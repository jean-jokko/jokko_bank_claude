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Dashboard" sheetId="2" state="visible" r:id="rId4"/>
    <sheet name="Assumptions" sheetId="3" state="visible" r:id="rId5"/>
    <sheet name="Unit costs" sheetId="4" state="visible" r:id="rId6"/>
    <sheet name="Hiring plan" sheetId="5" state="visible" r:id="rId7"/>
    <sheet name="Staff" sheetId="6" state="visible" r:id="rId8"/>
    <sheet name="Staff (€)" sheetId="7" state="visible" r:id="rId9"/>
    <sheet name="Sales &amp; marketing" sheetId="8" state="visible" r:id="rId10"/>
    <sheet name="Sales &amp; marketing (€)" sheetId="9" state="visible" r:id="rId11"/>
    <sheet name="Clients &amp; revenue" sheetId="10" state="visible" r:id="rId12"/>
    <sheet name="Clients &amp; revenue (€)" sheetId="11" state="visible" r:id="rId13"/>
    <sheet name="Credit" sheetId="12" state="visible" r:id="rId14"/>
    <sheet name="Credit (€)" sheetId="13" state="visible" r:id="rId15"/>
    <sheet name="Costs" sheetId="14" state="visible" r:id="rId16"/>
    <sheet name="Costs (€)" sheetId="15" state="visible" r:id="rId17"/>
    <sheet name="P&amp;L monthly" sheetId="16" state="visible" r:id="rId18"/>
    <sheet name="P&amp;L monthly (€)" sheetId="17" state="visible" r:id="rId19"/>
    <sheet name="P&amp;L annual" sheetId="18" state="visible" r:id="rId20"/>
    <sheet name="Cash flow" sheetId="19" state="visible" r:id="rId21"/>
    <sheet name="Cash flow (€)" sheetId="20" state="visible" r:id="rId22"/>
    <sheet name="Unit economics" sheetId="21" state="visible" r:id="rId23"/>
    <sheet name="Market" sheetId="22" state="visible" r:id="rId24"/>
    <sheet name="Regulatory path" sheetId="23" state="visible" r:id="rId25"/>
  </sheets>
  <definedNames>
    <definedName function="false" hidden="false" name="Accountant_Ext" vbProcedure="false">Assumptions!$D$216:$H$216</definedName>
    <definedName function="false" hidden="false" name="Agency_Credit" vbProcedure="false">Assumptions!$D$178</definedName>
    <definedName function="false" hidden="false" name="Agency_Dev" vbProcedure="false">Assumptions!$D$177</definedName>
    <definedName function="false" hidden="false" name="Agency_Fee_EUR" vbProcedure="false">Assumptions!$D$176</definedName>
    <definedName function="false" hidden="false" name="Agency_Rep" vbProcedure="false">Assumptions!$D$180</definedName>
    <definedName function="false" hidden="false" name="Agency_Support" vbProcedure="false">Assumptions!$D$179</definedName>
    <definedName function="false" hidden="false" name="AML_Audit" vbProcedure="false">Assumptions!$D$217:$H$217</definedName>
    <definedName function="false" hidden="false" name="Annual_Free" vbProcedure="false">Assumptions!$D$59</definedName>
    <definedName function="false" hidden="false" name="Annual_Share" vbProcedure="false">Assumptions!$D$58</definedName>
    <definedName function="false" hidden="false" name="Auditor" vbProcedure="false">Assumptions!$D$215:$H$215</definedName>
    <definedName function="false" hidden="false" name="Audit_Month" vbProcedure="false">Assumptions!$D$32</definedName>
    <definedName function="false" hidden="false" name="Avg_Advance" vbProcedure="false">Assumptions!$D$145</definedName>
    <definedName function="false" hidden="false" name="Avg_Bridge" vbProcedure="false">Assumptions!$D$130</definedName>
    <definedName function="false" hidden="false" name="Avg_Factoring" vbProcedure="false">Assumptions!$D$125</definedName>
    <definedName function="false" hidden="false" name="Avg_Line" vbProcedure="false">Assumptions!$D$135</definedName>
    <definedName function="false" hidden="false" name="Avg_Salary" vbProcedure="false">Assumptions!$D$99</definedName>
    <definedName function="false" hidden="false" name="Avg_Term" vbProcedure="false">Assumptions!$D$140</definedName>
    <definedName function="false" hidden="false" name="Balance_Grande" vbProcedure="false">Assumptions!$D$80</definedName>
    <definedName function="false" hidden="false" name="Balance_Moyenne" vbProcedure="false">Assumptions!$D$79</definedName>
    <definedName function="false" hidden="false" name="Balance_Petite" vbProcedure="false">Assumptions!$D$78</definedName>
    <definedName function="false" hidden="false" name="Bank_Fee" vbProcedure="false">Assumptions!$D$104</definedName>
    <definedName function="false" hidden="false" name="Bank_Min_CI" vbProcedure="false">Assumptions!$D$207:$H$207</definedName>
    <definedName function="false" hidden="false" name="Bank_Min_SN" vbProcedure="false">Assumptions!$D$206:$H$206</definedName>
    <definedName function="false" hidden="false" name="Bank_Payout_Cost" vbProcedure="false">Assumptions!$D$113</definedName>
    <definedName function="false" hidden="false" name="Bank_Setup_CI" vbProcedure="false">Assumptions!$D$204</definedName>
    <definedName function="false" hidden="false" name="Bank_Setup_Month" vbProcedure="false">Assumptions!$D$25</definedName>
    <definedName function="false" hidden="false" name="Bank_Setup_SN" vbProcedure="false">Assumptions!$D$203</definedName>
    <definedName function="false" hidden="false" name="Book_per_Credit" vbProcedure="false">Assumptions!$D$171</definedName>
    <definedName function="false" hidden="false" name="Brand_PR" vbProcedure="false">Assumptions!$D$223:$H$223</definedName>
    <definedName function="false" hidden="false" name="CAC_Digital" vbProcedure="false">Assumptions!$D$42</definedName>
    <definedName function="false" hidden="false" name="Capital_Ratio" vbProcedure="false">Assumptions!$D$152</definedName>
    <definedName function="false" hidden="false" name="Cards_Act_Grande" vbProcedure="false">Assumptions!$D$95</definedName>
    <definedName function="false" hidden="false" name="Cards_Act_Moyenne" vbProcedure="false">Assumptions!$D$94</definedName>
    <definedName function="false" hidden="false" name="Cards_Act_Petite" vbProcedure="false">Assumptions!$D$93</definedName>
    <definedName function="false" hidden="false" name="Cards_New_Grande" vbProcedure="false">Assumptions!$D$92</definedName>
    <definedName function="false" hidden="false" name="Cards_New_Moyenne" vbProcedure="false">Assumptions!$D$91</definedName>
    <definedName function="false" hidden="false" name="Cards_New_Petite" vbProcedure="false">Assumptions!$D$90</definedName>
    <definedName function="false" hidden="false" name="Card_Collateral" vbProcedure="false">Assumptions!$D$231</definedName>
    <definedName function="false" hidden="false" name="Card_Fee" vbProcedure="false">Assumptions!$D$60</definedName>
    <definedName function="false" hidden="false" name="Card_Proc_Fee" vbProcedure="false">Assumptions!$D$108</definedName>
    <definedName function="false" hidden="false" name="Card_Prod_Cost" vbProcedure="false">Assumptions!$D$109</definedName>
    <definedName function="false" hidden="false" name="Churn_Grande" vbProcedure="false">Assumptions!$D$48</definedName>
    <definedName function="false" hidden="false" name="Churn_Moyenne" vbProcedure="false">Assumptions!$D$47</definedName>
    <definedName function="false" hidden="false" name="Churn_Petite" vbProcedure="false">Assumptions!$D$46</definedName>
    <definedName function="false" hidden="false" name="CI_Bank_Setup_Month" vbProcedure="false">Assumptions!$D$26</definedName>
    <definedName function="false" hidden="false" name="CI_Company_Month" vbProcedure="false">Assumptions!$D$31</definedName>
    <definedName function="false" hidden="false" name="CI_Office_Start" vbProcedure="false">Assumptions!$D$19</definedName>
    <definedName function="false" hidden="false" name="CI_Productivity" vbProcedure="false">Assumptions!$D$36</definedName>
    <definedName function="false" hidden="false" name="Claude_Shared" vbProcedure="false">Assumptions!$D$185</definedName>
    <definedName function="false" hidden="false" name="Claude_USD" vbProcedure="false">Assumptions!$D$184</definedName>
    <definedName function="false" hidden="false" name="ClickUp_USD" vbProcedure="false">Assumptions!$D$183</definedName>
    <definedName function="false" hidden="false" name="Clients_per_Dev" vbProcedure="false">Assumptions!$D$162</definedName>
    <definedName function="false" hidden="false" name="Clients_per_Rep" vbProcedure="false">Assumptions!$D$167</definedName>
    <definedName function="false" hidden="false" name="Clients_per_Support" vbProcedure="false">Assumptions!$D$158</definedName>
    <definedName function="false" hidden="false" name="Cloud_Start" vbProcedure="false">Assumptions!$D$29</definedName>
    <definedName function="false" hidden="false" name="Cloud_USD" vbProcedure="false">Assumptions!$D$197:$H$197</definedName>
    <definedName function="false" hidden="false" name="CoF" vbProcedure="false">Assumptions!$D$148</definedName>
    <definedName function="false" hidden="false" name="Collateral_Month" vbProcedure="false">Assumptions!$D$24</definedName>
    <definedName function="false" hidden="false" name="Company_Setup_CI" vbProcedure="false">Assumptions!$D$211</definedName>
    <definedName function="false" hidden="false" name="Company_Setup_SN" vbProcedure="false">Assumptions!$D$210</definedName>
    <definedName function="false" hidden="false" name="Contingency_Pct" vbProcedure="false">Assumptions!$D$13</definedName>
    <definedName function="false" hidden="false" name="CoR_Advance" vbProcedure="false">Assumptions!$D$147</definedName>
    <definedName function="false" hidden="false" name="CoR_Bridge" vbProcedure="false">Assumptions!$D$132</definedName>
    <definedName function="false" hidden="false" name="CoR_Factoring" vbProcedure="false">Assumptions!$D$127</definedName>
    <definedName function="false" hidden="false" name="CoR_Line" vbProcedure="false">Assumptions!$D$137</definedName>
    <definedName function="false" hidden="false" name="CoR_Mult" vbProcedure="false">Assumptions!$D$121</definedName>
    <definedName function="false" hidden="false" name="CoR_Term" vbProcedure="false">Assumptions!$D$142</definedName>
    <definedName function="false" hidden="false" name="Credit_Lead_Months" vbProcedure="false">Assumptions!$D$170</definedName>
    <definedName function="false" hidden="false" name="Credit_Mult" vbProcedure="false">Assumptions!$D$120</definedName>
    <definedName function="false" hidden="false" name="Credit_Ramp" vbProcedure="false">Assumptions!$D$122</definedName>
    <definedName function="false" hidden="false" name="Data_Protection" vbProcedure="false">Assumptions!$D$218:$H$218</definedName>
    <definedName function="false" hidden="false" name="Deposit_Share" vbProcedure="false">Assumptions!$D$63</definedName>
    <definedName function="false" hidden="false" name="Devs_Min" vbProcedure="false">Assumptions!$D$161</definedName>
    <definedName function="false" hidden="false" name="Digital_CI" vbProcedure="false">Assumptions!$D$222:$H$222</definedName>
    <definedName function="false" hidden="false" name="Digital_SN" vbProcedure="false">Assumptions!$D$221:$H$221</definedName>
    <definedName function="false" hidden="false" name="Domain_USD" vbProcedure="false">Assumptions!$D$187</definedName>
    <definedName function="false" hidden="false" name="EmpAcc_Adoption" vbProcedure="false">Assumptions!$D$101</definedName>
    <definedName function="false" hidden="false" name="EmpAcc_Cost" vbProcedure="false">Assumptions!$D$117</definedName>
    <definedName function="false" hidden="false" name="EmpAcc_per_Support" vbProcedure="false">Assumptions!$D$159</definedName>
    <definedName function="false" hidden="false" name="EmpAcc_Start" vbProcedure="false">Assumptions!$D$21</definedName>
    <definedName function="false" hidden="false" name="Employer_Charges" vbProcedure="false">Assumptions!$D$155</definedName>
    <definedName function="false" hidden="false" name="Emp_Grande" vbProcedure="false">Assumptions!$D$83</definedName>
    <definedName function="false" hidden="false" name="Emp_Moyenne" vbProcedure="false">Assumptions!$D$82</definedName>
    <definedName function="false" hidden="false" name="Emp_Notif" vbProcedure="false">Assumptions!$D$116</definedName>
    <definedName function="false" hidden="false" name="Emp_Petite" vbProcedure="false">Assumptions!$D$81</definedName>
    <definedName function="false" hidden="false" name="Events" vbProcedure="false">Assumptions!$D$224:$H$224</definedName>
    <definedName function="false" hidden="false" name="First_Loss" vbProcedure="false">Assumptions!$D$151</definedName>
    <definedName function="false" hidden="false" name="Fraud_Rate" vbProcedure="false">Assumptions!$D$111</definedName>
    <definedName function="false" hidden="false" name="Freelance" vbProcedure="false">Assumptions!$D$199:$H$199</definedName>
    <definedName function="false" hidden="false" name="Free_Months" vbProcedure="false">Assumptions!$D$57</definedName>
    <definedName function="false" hidden="false" name="FX_EUR" vbProcedure="false">Assumptions!$D$9</definedName>
    <definedName function="false" hidden="false" name="FX_Fee" vbProcedure="false">Assumptions!$D$61</definedName>
    <definedName function="false" hidden="false" name="FX_USD" vbProcedure="false">Assumptions!$D$10</definedName>
    <definedName function="false" hidden="false" name="Gmail_USD" vbProcedure="false">Assumptions!$D$182</definedName>
    <definedName function="false" hidden="false" name="Insurance_USD" vbProcedure="false">Assumptions!$D$219:$H$219</definedName>
    <definedName function="false" hidden="false" name="Interchange_Share" vbProcedure="false">Assumptions!$D$62</definedName>
    <definedName function="false" hidden="false" name="KYB_Cost" vbProcedure="false">Assumptions!$D$105</definedName>
    <definedName function="false" hidden="false" name="KYC_Cost" vbProcedure="false">Assumptions!$D$106</definedName>
    <definedName function="false" hidden="false" name="KYC_Persons" vbProcedure="false">Assumptions!$D$107</definedName>
    <definedName function="false" hidden="false" name="Laptop_Dev_USD" vbProcedure="false">Assumptions!$D$175</definedName>
    <definedName function="false" hidden="false" name="Laptop_EUR" vbProcedure="false">Assumptions!$D$174</definedName>
    <definedName function="false" hidden="false" name="Launch_CI" vbProcedure="false">Assumptions!$D$17</definedName>
    <definedName function="false" hidden="false" name="Launch_SN" vbProcedure="false">Assumptions!$D$16</definedName>
    <definedName function="false" hidden="false" name="Legal_Counsel" vbProcedure="false">Assumptions!$D$214:$H$214</definedName>
    <definedName function="false" hidden="false" name="Maak_Equity_Pct" vbProcedure="false">Assumptions!$D$192</definedName>
    <definedName function="false" hidden="false" name="Maak_Lease_EUR" vbProcedure="false">Assumptions!$D$191</definedName>
    <definedName function="false" hidden="false" name="Maak_Option" vbProcedure="false">Assumptions!$D$190</definedName>
    <definedName function="false" hidden="false" name="Misc" vbProcedure="false">Assumptions!$D$227:$H$227</definedName>
    <definedName function="false" hidden="false" name="Mix_Grande" vbProcedure="false">Assumptions!$D$45</definedName>
    <definedName function="false" hidden="false" name="Mix_Moyenne" vbProcedure="false">Assumptions!$D$44</definedName>
    <definedName function="false" hidden="false" name="Mix_Petite" vbProcedure="false">Assumptions!$D$43</definedName>
    <definedName function="false" hidden="false" name="Monitoring_USD" vbProcedure="false">Assumptions!$D$198:$H$198</definedName>
    <definedName function="false" hidden="false" name="Notif_Cost" vbProcedure="false">Assumptions!$D$115</definedName>
    <definedName function="false" hidden="false" name="Office_Start" vbProcedure="false">Assumptions!$D$18</definedName>
    <definedName function="false" hidden="false" name="Opening_Cash" vbProcedure="false">Assumptions!$D$230</definedName>
    <definedName function="false" hidden="false" name="Overage_Fee" vbProcedure="false">Assumptions!$D$64</definedName>
    <definedName function="false" hidden="false" name="Overage_Grande" vbProcedure="false">Assumptions!$D$89</definedName>
    <definedName function="false" hidden="false" name="Overage_Moyenne" vbProcedure="false">Assumptions!$D$88</definedName>
    <definedName function="false" hidden="false" name="Overage_Petite" vbProcedure="false">Assumptions!$D$87</definedName>
    <definedName function="false" hidden="false" name="Own_Funding_Month" vbProcedure="false">Assumptions!$D$23</definedName>
    <definedName function="false" hidden="false" name="Partner_Base_CI" vbProcedure="false">Assumptions!$D$38</definedName>
    <definedName function="false" hidden="false" name="Partner_Base_SN" vbProcedure="false">Assumptions!$D$37</definedName>
    <definedName function="false" hidden="false" name="Partner_Cap_CI" vbProcedure="false">Assumptions!$D$41</definedName>
    <definedName function="false" hidden="false" name="Partner_Cap_SN" vbProcedure="false">Assumptions!$D$40</definedName>
    <definedName function="false" hidden="false" name="Partner_Growth" vbProcedure="false">Assumptions!$D$39</definedName>
    <definedName function="false" hidden="false" name="Partner_Share" vbProcedure="false">Assumptions!$D$150</definedName>
    <definedName function="false" hidden="false" name="PayLinks_Start" vbProcedure="false">Assumptions!$D$20</definedName>
    <definedName function="false" hidden="false" name="Phone_Cost" vbProcedure="false">Assumptions!$D$181</definedName>
    <definedName function="false" hidden="false" name="PL_Adoption" vbProcedure="false">Assumptions!$D$68</definedName>
    <definedName function="false" hidden="false" name="PL_Coll_Grande" vbProcedure="false">Assumptions!$D$98</definedName>
    <definedName function="false" hidden="false" name="PL_Coll_Moyenne" vbProcedure="false">Assumptions!$D$97</definedName>
    <definedName function="false" hidden="false" name="PL_Coll_Petite" vbProcedure="false">Assumptions!$D$96</definedName>
    <definedName function="false" hidden="false" name="PL_Cost" vbProcedure="false">Assumptions!$D$66</definedName>
    <definedName function="false" hidden="false" name="PL_Fee" vbProcedure="false">Assumptions!$D$65</definedName>
    <definedName function="false" hidden="false" name="PL_Momo_Share" vbProcedure="false">Assumptions!$D$67</definedName>
    <definedName function="false" hidden="false" name="PL_Ramp" vbProcedure="false">Assumptions!$D$69</definedName>
    <definedName function="false" hidden="false" name="Price_Grande" vbProcedure="false">Assumptions!$D$55</definedName>
    <definedName function="false" hidden="false" name="Price_Increase" vbProcedure="false">Assumptions!$D$56</definedName>
    <definedName function="false" hidden="false" name="Price_Moyenne" vbProcedure="false">Assumptions!$D$54</definedName>
    <definedName function="false" hidden="false" name="Price_Petite" vbProcedure="false">Assumptions!$D$53</definedName>
    <definedName function="false" hidden="false" name="Proc_Min_Start" vbProcedure="false">Assumptions!$D$28</definedName>
    <definedName function="false" hidden="false" name="Proc_Min_USD" vbProcedure="false">Assumptions!$D$200:$H$200</definedName>
    <definedName function="false" hidden="false" name="Proc_Setup_Month" vbProcedure="false">Assumptions!$D$27</definedName>
    <definedName function="false" hidden="false" name="Proc_Setup_USD" vbProcedure="false">Assumptions!$D$201</definedName>
    <definedName function="false" hidden="false" name="Referral_Fee" vbProcedure="false">Assumptions!$D$49</definedName>
    <definedName function="false" hidden="false" name="Regus_EUR" vbProcedure="false">Assumptions!$D$173</definedName>
    <definedName function="false" hidden="false" name="Reps_Min_CI" vbProcedure="false">Assumptions!$D$166</definedName>
    <definedName function="false" hidden="false" name="Reps_Min_SN" vbProcedure="false">Assumptions!$D$165</definedName>
    <definedName function="false" hidden="false" name="Reps_Start" vbProcedure="false">Assumptions!$D$164</definedName>
    <definedName function="false" hidden="false" name="Rep_Productivity" vbProcedure="false">Assumptions!$D$35</definedName>
    <definedName function="false" hidden="false" name="Rep_Transport" vbProcedure="false">Assumptions!$D$50</definedName>
    <definedName function="false" hidden="false" name="Salary_Credit" vbProcedure="false">Assumptions!$D$172</definedName>
    <definedName function="false" hidden="false" name="Salary_Dev" vbProcedure="false">Assumptions!$D$163</definedName>
    <definedName function="false" hidden="false" name="Salary_Raise" vbProcedure="false">Assumptions!$D$12</definedName>
    <definedName function="false" hidden="false" name="Salary_Rep_CI" vbProcedure="false">Assumptions!$D$169</definedName>
    <definedName function="false" hidden="false" name="Salary_Rep_SN" vbProcedure="false">Assumptions!$D$168</definedName>
    <definedName function="false" hidden="false" name="Salary_Support" vbProcedure="false">Assumptions!$D$160</definedName>
    <definedName function="false" hidden="false" name="Scenario" vbProcedure="false">Assumptions!$D$4</definedName>
    <definedName function="false" hidden="false" name="Scheme_Rate" vbProcedure="false">Assumptions!$D$110</definedName>
    <definedName function="false" hidden="false" name="Seed_Amount" vbProcedure="false">Assumptions!$D$234</definedName>
    <definedName function="false" hidden="false" name="Seed_Month" vbProcedure="false">Assumptions!$D$233</definedName>
    <definedName function="false" hidden="false" name="SeriesA_Amount" vbProcedure="false">Assumptions!$D$236</definedName>
    <definedName function="false" hidden="false" name="SeriesA_Month" vbProcedure="false">Assumptions!$D$235</definedName>
    <definedName function="false" hidden="false" name="SeriesB_Amount" vbProcedure="false">Assumptions!$D$238</definedName>
    <definedName function="false" hidden="false" name="SeriesB_Month" vbProcedure="false">Assumptions!$D$237</definedName>
    <definedName function="false" hidden="false" name="Servicing" vbProcedure="false">Assumptions!$D$149</definedName>
    <definedName function="false" hidden="false" name="SFD_Acquisition" vbProcedure="false">Assumptions!$D$232</definedName>
    <definedName function="false" hidden="false" name="SFD_Acq_Month" vbProcedure="false">Assumptions!$D$22</definedName>
    <definedName function="false" hidden="false" name="SFD_Annual" vbProcedure="false">Assumptions!$D$208:$H$208</definedName>
    <definedName function="false" hidden="false" name="SFD_Project" vbProcedure="false">Assumptions!$D$212:$H$212</definedName>
    <definedName function="false" hidden="false" name="SFD_Running" vbProcedure="false">Assumptions!$D$213:$H$213</definedName>
    <definedName function="false" hidden="false" name="SFD_Setup" vbProcedure="false">Assumptions!$D$205</definedName>
    <definedName function="false" hidden="false" name="SFD_Setup_Month" vbProcedure="false">Assumptions!$D$30</definedName>
    <definedName function="false" hidden="false" name="Spend_Dom_Grande" vbProcedure="false">Assumptions!$D$74</definedName>
    <definedName function="false" hidden="false" name="Spend_Dom_Moyenne" vbProcedure="false">Assumptions!$D$73</definedName>
    <definedName function="false" hidden="false" name="Spend_Dom_Petite" vbProcedure="false">Assumptions!$D$72</definedName>
    <definedName function="false" hidden="false" name="Spend_For_Grande" vbProcedure="false">Assumptions!$D$77</definedName>
    <definedName function="false" hidden="false" name="Spend_For_Moyenne" vbProcedure="false">Assumptions!$D$76</definedName>
    <definedName function="false" hidden="false" name="Spend_For_Petite" vbProcedure="false">Assumptions!$D$75</definedName>
    <definedName function="false" hidden="false" name="Start_Advance" vbProcedure="false">Assumptions!$D$143</definedName>
    <definedName function="false" hidden="false" name="Start_Bridge" vbProcedure="false">Assumptions!$D$128</definedName>
    <definedName function="false" hidden="false" name="Start_Date" vbProcedure="false">Assumptions!$D$8</definedName>
    <definedName function="false" hidden="false" name="Start_Factoring" vbProcedure="false">Assumptions!$D$123</definedName>
    <definedName function="false" hidden="false" name="Start_Line" vbProcedure="false">Assumptions!$D$133</definedName>
    <definedName function="false" hidden="false" name="Start_Term" vbProcedure="false">Assumptions!$D$138</definedName>
    <definedName function="false" hidden="false" name="Supplier_Grande" vbProcedure="false">Assumptions!$D$86</definedName>
    <definedName function="false" hidden="false" name="Supplier_Moyenne" vbProcedure="false">Assumptions!$D$85</definedName>
    <definedName function="false" hidden="false" name="Supplier_Payout_Cost" vbProcedure="false">Assumptions!$D$114</definedName>
    <definedName function="false" hidden="false" name="Supplier_Petite" vbProcedure="false">Assumptions!$D$84</definedName>
    <definedName function="false" hidden="false" name="Support_Min" vbProcedure="false">Assumptions!$D$157</definedName>
    <definedName function="false" hidden="false" name="Support_Start" vbProcedure="false">Assumptions!$D$156</definedName>
    <definedName function="false" hidden="false" name="Tax_Rate" vbProcedure="false">Assumptions!$D$11</definedName>
    <definedName function="false" hidden="false" name="Tech_Audit_USD" vbProcedure="false">Assumptions!$D$193</definedName>
    <definedName function="false" hidden="false" name="Travel" vbProcedure="false">Assumptions!$D$226:$H$226</definedName>
    <definedName function="false" hidden="false" name="Uptake_Bridge" vbProcedure="false">Assumptions!$D$129</definedName>
    <definedName function="false" hidden="false" name="Uptake_Factoring" vbProcedure="false">Assumptions!$D$124</definedName>
    <definedName function="false" hidden="false" name="Uptake_Line" vbProcedure="false">Assumptions!$D$134</definedName>
    <definedName function="false" hidden="false" name="Uptake_Term" vbProcedure="false">Assumptions!$D$139</definedName>
    <definedName function="false" hidden="false" name="Usage_Advance" vbProcedure="false">Assumptions!$D$144</definedName>
    <definedName function="false" hidden="false" name="Wallet_Payout_Cost" vbProcedure="false">Assumptions!$D$112</definedName>
    <definedName function="false" hidden="false" name="Wallet_Share" vbProcedure="false">Assumptions!$D$100</definedName>
    <definedName function="false" hidden="false" name="Website_USD" vbProcedure="false">Assumptions!$D$186</definedName>
    <definedName function="false" hidden="false" name="Yield_Advance" vbProcedure="false">Assumptions!$D$146</definedName>
    <definedName function="false" hidden="false" name="Yield_Bridge" vbProcedure="false">Assumptions!$D$131</definedName>
    <definedName function="false" hidden="false" name="Yield_Factoring" vbProcedure="false">Assumptions!$D$126</definedName>
    <definedName function="false" hidden="false" name="Yield_Line" vbProcedure="false">Assumptions!$D$136</definedName>
    <definedName function="false" hidden="false" name="Yield_Term" vbProcedure="false">Assumptions!$D$141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<sst xmlns="http://schemas.openxmlformats.org/spreadsheetml/2006/main" count="2483" uniqueCount="1116">
  <si>
    <t xml:space="preserve">Tabax (working name): business plan model</t>
  </si>
  <si>
    <t xml:space="preserve">B2B neobank for SMEs in Senegal, then Côte d'Ivoire. Five years, monthly, every figure driven by formulas.</t>
  </si>
  <si>
    <t xml:space="preserve">How to use</t>
  </si>
  <si>
    <t xml:space="preserve">1. Pick a scenario</t>
  </si>
  <si>
    <t xml:space="preserve">Assumptions › cell D4: 1 = Prudent, 2 = Base, 3 = Ambitious. Rows with three values switch with it.</t>
  </si>
  <si>
    <t xml:space="preserve">2. Change any input</t>
  </si>
  <si>
    <t xml:space="preserve">Inputs are blue on a cream background (Assumptions, Hiring plan, Market). Everything else is a formula: do not type over it.</t>
  </si>
  <si>
    <t xml:space="preserve">3. Change the team</t>
  </si>
  <si>
    <t xml:space="preserve">Hiring plan: the fixed roles (founder, CTO, financial expert, sales lead, marketing, country manager, compliance officer). Support, developers, field sales reps and credit analysts grow with clients and the loan book: ratios on Assumptions, section 8.</t>
  </si>
  <si>
    <t xml:space="preserve">4. Check the cash</t>
  </si>
  <si>
    <t xml:space="preserve">Dashboard › checks. If cash goes negative, raise more or earlier (Assumptions, section 11).</t>
  </si>
  <si>
    <t xml:space="preserve">Tabs</t>
  </si>
  <si>
    <t xml:space="preserve">Dashboard</t>
  </si>
  <si>
    <t xml:space="preserve">Headline numbers, year-by-year summary and checks.</t>
  </si>
  <si>
    <t xml:space="preserve">Assumptions</t>
  </si>
  <si>
    <t xml:space="preserve">Every hypothesis with its source: timing, acquisition, pricing, usage per client, cost to serve, credit, team and tools, Maak, fixed costs by year, funding.</t>
  </si>
  <si>
    <t xml:space="preserve">Unit costs</t>
  </si>
  <si>
    <t xml:space="preserve">What one of each thing costs or earns: one employee by role, one client by plan, one loan, and the price of every fixed item.</t>
  </si>
  <si>
    <t xml:space="preserve">Hiring plan</t>
  </si>
  <si>
    <t xml:space="preserve">Fixed roles, start months and salaries (employer cost = gross + 30% charges); 'Agency hire' adds the €800 agency fee.</t>
  </si>
  <si>
    <t xml:space="preserve">Staff</t>
  </si>
  <si>
    <t xml:space="preserve">Headcount and employer cost by month: fixed roles plus the team that grows with volume.</t>
  </si>
  <si>
    <t xml:space="preserve">Sales &amp; marketing</t>
  </si>
  <si>
    <t xml:space="preserve">New clients by channel (field sales, partners, digital) and country; marketing budget; cost to acquire a client.</t>
  </si>
  <si>
    <t xml:space="preserve">Clients &amp; revenue</t>
  </si>
  <si>
    <t xml:space="preserve">Active clients by plan, usage (cards, balances, payroll, payouts) and every non-credit revenue line.</t>
  </si>
  <si>
    <t xml:space="preserve">Credit</t>
  </si>
  <si>
    <t xml:space="preserve">Loan book by product, interest, cost of funds, losses and the share kept by Tabax; cash tied up by credit.</t>
  </si>
  <si>
    <t xml:space="preserve">Costs</t>
  </si>
  <si>
    <t xml:space="preserve">Variable costs, fixed costs by category and the contingency, month by month.</t>
  </si>
  <si>
    <t xml:space="preserve">P&amp;L monthly</t>
  </si>
  <si>
    <t xml:space="preserve">Revenue, cost of revenue, gross margin, operating expenses, EBITDA, tax, net income (no depreciation: equipment is expensed).</t>
  </si>
  <si>
    <t xml:space="preserve">P&amp;L annual</t>
  </si>
  <si>
    <t xml:space="preserve">Years 1–5, cash and funding, operating figures and a euro view.</t>
  </si>
  <si>
    <t xml:space="preserve">Cash flow</t>
  </si>
  <si>
    <t xml:space="preserve">Monthly cash, cash set aside, funding rounds, runway.</t>
  </si>
  <si>
    <t xml:space="preserve">Unit economics</t>
  </si>
  <si>
    <t xml:space="preserve">ARPA, cost to serve, contribution, CAC, payback, lifetime value, efficiency and credit ratios.</t>
  </si>
  <si>
    <t xml:space="preserve">Market</t>
  </si>
  <si>
    <t xml:space="preserve">Formal employers in Senegal and Côte d'Ivoire, target market and penetration.</t>
  </si>
  <si>
    <t xml:space="preserve">Sheets ending in (€)</t>
  </si>
  <si>
    <t xml:space="preserve">The same monthly sheet with every amount in euros. Annual sheets, Dashboard, Assumptions and Hiring plan show euros in extra columns.</t>
  </si>
  <si>
    <t xml:space="preserve">Regulatory path</t>
  </si>
  <si>
    <t xml:space="preserve">What each stage requires from regulators, and where its cost sits in the model.</t>
  </si>
  <si>
    <t xml:space="preserve">Colour code</t>
  </si>
  <si>
    <t xml:space="preserve">Blue on cream</t>
  </si>
  <si>
    <t xml:space="preserve">Input: change freely.</t>
  </si>
  <si>
    <t xml:space="preserve">Black</t>
  </si>
  <si>
    <t xml:space="preserve">Formula on the same sheet.</t>
  </si>
  <si>
    <t xml:space="preserve">Green</t>
  </si>
  <si>
    <t xml:space="preserve">Link to another sheet.</t>
  </si>
  <si>
    <t xml:space="preserve">Main caveats</t>
  </si>
  <si>
    <t xml:space="preserve">Estimates to replace</t>
  </si>
  <si>
    <t xml:space="preserve">Partner bank fees, card processor fees and minimums, interchange, the deposit income share, the changes to Maak's platform, the SFD acquisition price and running costs, insurance and the cost of wallet payouts have no public price. Replace them with term sheets and quotes.</t>
  </si>
  <si>
    <t xml:space="preserve">Taxes</t>
  </si>
  <si>
    <t xml:space="preserve">Amounts exclude VAT and the 17% tax on financial activities (TAF), which apply to fees. Corporate tax is simplified (30%, losses carried forward without limit).</t>
  </si>
  <si>
    <t xml:space="preserve">Côte d'Ivoire</t>
  </si>
  <si>
    <t xml:space="preserve">Same 30% employer charges as Senegal; the number of formal employers is an estimate.</t>
  </si>
  <si>
    <t xml:space="preserve">No loans before month 18. A partner microfinance institution (SFD) lends at 23% a year, under the 24% SFD usury cap. Tabax buys an SFD around month 24 and lends from it in Senegal; Côte d'Ivoire loans stay with a partner. The loan book is funded by debt lines, not equity.</t>
  </si>
  <si>
    <t xml:space="preserve">Licences</t>
  </si>
  <si>
    <t xml:space="preserve">Tabax holds no licence of its own until the SFD acquisition: partners hold the accounts, cards and loans. See Regulatory path.</t>
  </si>
  <si>
    <t xml:space="preserve">Sources</t>
  </si>
  <si>
    <t xml:space="preserve">Business model v2, Cost breakdown in euros, Senegal launch plan and the research notes in this project, plus IPRES/ANSD 2024 and CEPICI 2025 for the market.</t>
  </si>
  <si>
    <t xml:space="preserve">Tabax business plan: dashboard</t>
  </si>
  <si>
    <t xml:space="preserve">Key results for the scenario selected on Assumptions. FCFA in columns B–H, euros in column D (headline) and J–N (year by year).</t>
  </si>
  <si>
    <t xml:space="preserve">Scenario</t>
  </si>
  <si>
    <t xml:space="preserve">Headline numbers</t>
  </si>
  <si>
    <t xml:space="preserve">First month with positive EBITDA</t>
  </si>
  <si>
    <t xml:space="preserve">month #</t>
  </si>
  <si>
    <t xml:space="preserve">   which is</t>
  </si>
  <si>
    <t xml:space="preserve">Peak funding need (lowest cumulative cash flow before funding)</t>
  </si>
  <si>
    <t xml:space="preserve">FCFA</t>
  </si>
  <si>
    <t xml:space="preserve">   in euros</t>
  </si>
  <si>
    <t xml:space="preserve">€</t>
  </si>
  <si>
    <t xml:space="preserve">Equity raised in the plan</t>
  </si>
  <si>
    <t xml:space="preserve">Lowest closing cash</t>
  </si>
  <si>
    <t xml:space="preserve">   in month</t>
  </si>
  <si>
    <t xml:space="preserve">Cash at the end of year 5</t>
  </si>
  <si>
    <t xml:space="preserve">Technology from Maak</t>
  </si>
  <si>
    <t xml:space="preserve">   Maak's stake in Tabax</t>
  </si>
  <si>
    <t xml:space="preserve">Year by year</t>
  </si>
  <si>
    <t xml:space="preserve">Year</t>
  </si>
  <si>
    <t xml:space="preserve">Active clients (end of year)</t>
  </si>
  <si>
    <t xml:space="preserve">clients</t>
  </si>
  <si>
    <t xml:space="preserve">New clients in the year</t>
  </si>
  <si>
    <t xml:space="preserve">Headcount (end of year)</t>
  </si>
  <si>
    <t xml:space="preserve">people</t>
  </si>
  <si>
    <t xml:space="preserve">Total revenue</t>
  </si>
  <si>
    <t xml:space="preserve">Gross margin</t>
  </si>
  <si>
    <t xml:space="preserve">Gross margin %</t>
  </si>
  <si>
    <t xml:space="preserve">%</t>
  </si>
  <si>
    <t xml:space="preserve">Total operating expenses</t>
  </si>
  <si>
    <t xml:space="preserve">EBITDA</t>
  </si>
  <si>
    <t xml:space="preserve">EBITDA margin</t>
  </si>
  <si>
    <t xml:space="preserve">Net income</t>
  </si>
  <si>
    <t xml:space="preserve">Closing cash</t>
  </si>
  <si>
    <t xml:space="preserve">Loan book (end of year)</t>
  </si>
  <si>
    <t xml:space="preserve">Revenue per active client a month (ARPA)</t>
  </si>
  <si>
    <t xml:space="preserve">FCFA / month</t>
  </si>
  <si>
    <t xml:space="preserve">Blended CAC</t>
  </si>
  <si>
    <t xml:space="preserve">FCFA / client</t>
  </si>
  <si>
    <t xml:space="preserve">CAC payback (months)</t>
  </si>
  <si>
    <t xml:space="preserve">months</t>
  </si>
  <si>
    <t xml:space="preserve">Checks</t>
  </si>
  <si>
    <t xml:space="preserve">New-client mix adds up to 100%</t>
  </si>
  <si>
    <t xml:space="preserve">Cost of revenue in the P&amp;L equals variable costs</t>
  </si>
  <si>
    <t xml:space="preserve">Opex in the P&amp;L equals fixed costs</t>
  </si>
  <si>
    <t xml:space="preserve">Annual revenue equals monthly revenue</t>
  </si>
  <si>
    <t xml:space="preserve">Closing cash never negative</t>
  </si>
  <si>
    <t xml:space="preserve">Assumptions and hypotheses</t>
  </si>
  <si>
    <t xml:space="preserve">Every blue cell on a cream background is an input. Change it and the whole model updates. Amounts in FCFA unless stated. Column D is the value the model uses.</t>
  </si>
  <si>
    <t xml:space="preserve">Scenario (1 = Prudent, 2 = Base, 3 = Ambitious)</t>
  </si>
  <si>
    <t xml:space="preserve">Rows with Prudent / Base / Ambitious values switch with this cell.</t>
  </si>
  <si>
    <t xml:space="preserve">1. General</t>
  </si>
  <si>
    <t xml:space="preserve">Unit</t>
  </si>
  <si>
    <t xml:space="preserve">Value used</t>
  </si>
  <si>
    <t xml:space="preserve">Prudent</t>
  </si>
  <si>
    <t xml:space="preserve">Base</t>
  </si>
  <si>
    <t xml:space="preserve">Ambitious</t>
  </si>
  <si>
    <t xml:space="preserve">€ / FCFA equivalent</t>
  </si>
  <si>
    <t xml:space="preserve">Source / note</t>
  </si>
  <si>
    <t xml:space="preserve">Model start (month 1)</t>
  </si>
  <si>
    <t xml:space="preserve">date</t>
  </si>
  <si>
    <t xml:space="preserve">First month of the plan. Company set-up, licence file and product build start here.</t>
  </si>
  <si>
    <t xml:space="preserve">FCFA per euro</t>
  </si>
  <si>
    <t xml:space="preserve">Fixed parity CFA franc / euro (BCEAO).</t>
  </si>
  <si>
    <t xml:space="preserve">FCFA per US dollar</t>
  </si>
  <si>
    <t xml:space="preserve">Planning rate, used for vendor prices quoted in USD.</t>
  </si>
  <si>
    <t xml:space="preserve">Corporate income tax rate</t>
  </si>
  <si>
    <t xml:space="preserve">Senegal CIT 30%. Simplification: losses carried forward without limit (Senegal allows 3 years). Minimum tax and the 17% TAF on financial services are not modelled.</t>
  </si>
  <si>
    <t xml:space="preserve">Annual pay rise (from year 2)</t>
  </si>
  <si>
    <t xml:space="preserve">% / year</t>
  </si>
  <si>
    <t xml:space="preserve">Applied to every salary each new year.</t>
  </si>
  <si>
    <t xml:space="preserve">Contingency on fixed costs</t>
  </si>
  <si>
    <t xml:space="preserve">Same 5% as the cost breakdown.</t>
  </si>
  <si>
    <t xml:space="preserve">2. Timing (month numbers, 1 = first month of the model)</t>
  </si>
  <si>
    <t xml:space="preserve">Commercial launch, Senegal</t>
  </si>
  <si>
    <t xml:space="preserve">After partner bank integration and card programme set-up (business account with IBAN via the partner bank).</t>
  </si>
  <si>
    <t xml:space="preserve">Commercial launch, Côte d'Ivoire</t>
  </si>
  <si>
    <t xml:space="preserve">One month after the Abidjan office opens. Partners hold the licences in Côte d'Ivoire too.</t>
  </si>
  <si>
    <t xml:space="preserve">Dakar office (Regus) from</t>
  </si>
  <si>
    <t xml:space="preserve">Regus from day one: no lease, deposit or fit-out (decision).</t>
  </si>
  <si>
    <t xml:space="preserve">Abidjan office (Regus) and first Côte d'Ivoire hires</t>
  </si>
  <si>
    <t xml:space="preserve">Not before month 18 (decision).</t>
  </si>
  <si>
    <t xml:space="preserve">Payment links go live</t>
  </si>
  <si>
    <t xml:space="preserve">'Bientôt' feature in the app.</t>
  </si>
  <si>
    <t xml:space="preserve">B2C launch: employee salary accounts and personal accounts</t>
  </si>
  <si>
    <t xml:space="preserve">Not before 2 years of commercial activity: Senegal launch + 24 months (decision).</t>
  </si>
  <si>
    <t xml:space="preserve">Acquisition of a microfinance company (SFD) closes</t>
  </si>
  <si>
    <t xml:space="preserve">Around year 2 (decision). Due diligence and the change-of-control approval run during year 2.</t>
  </si>
  <si>
    <t xml:space="preserve">Own SFD lends from</t>
  </si>
  <si>
    <t xml:space="preserve">Before this month the partner SFD lends and Tabax keeps a share of the margin. Côte d'Ivoire loans stay with a partner: SFD licences are national.</t>
  </si>
  <si>
    <t xml:space="preserve">Card programme collateral at partner bank</t>
  </si>
  <si>
    <t xml:space="preserve">Partner bank set-up fee paid, Senegal</t>
  </si>
  <si>
    <t xml:space="preserve">Partner bank set-up fee paid, Côte d'Ivoire</t>
  </si>
  <si>
    <t xml:space="preserve">Card processor set-up fee paid</t>
  </si>
  <si>
    <t xml:space="preserve">Card processor monthly minimum starts</t>
  </si>
  <si>
    <t xml:space="preserve">Cloud hosting starts</t>
  </si>
  <si>
    <t xml:space="preserve">Partner SFD integration fee paid</t>
  </si>
  <si>
    <t xml:space="preserve">Partner SFD signed early; integration paid before the first loans.</t>
  </si>
  <si>
    <t xml:space="preserve">Côte d'Ivoire subsidiary created</t>
  </si>
  <si>
    <t xml:space="preserve">Before the first Abidjan hires.</t>
  </si>
  <si>
    <t xml:space="preserve">First tech audit (then every 12 months)</t>
  </si>
  <si>
    <t xml:space="preserve">Before launch, for the partner bank; repeated yearly.</t>
  </si>
  <si>
    <t xml:space="preserve">3. Client acquisition (sales and marketing)</t>
  </si>
  <si>
    <t xml:space="preserve">New clients signed per field sales rep per month</t>
  </si>
  <si>
    <t xml:space="preserve">Rep counts come from the hiring plan. A rep sells from the month after joining. Senegal B2B field sales benchmark to validate in the pilot.</t>
  </si>
  <si>
    <t xml:space="preserve">Côte d'Ivoire rep productivity vs Senegal</t>
  </si>
  <si>
    <t xml:space="preserve">x</t>
  </si>
  <si>
    <t xml:space="preserve">Slightly lower at first: new market, brand unknown.</t>
  </si>
  <si>
    <t xml:space="preserve">Partner channel, Senegal: clients a month at launch</t>
  </si>
  <si>
    <t xml:space="preserve">Accountants, payroll software, chambers of commerce.</t>
  </si>
  <si>
    <t xml:space="preserve">Partner channel, Côte d'Ivoire: clients a month at launch</t>
  </si>
  <si>
    <t xml:space="preserve">Partner channel monthly growth</t>
  </si>
  <si>
    <t xml:space="preserve">% / month</t>
  </si>
  <si>
    <t xml:space="preserve">Partner channel cap, Senegal</t>
  </si>
  <si>
    <t xml:space="preserve">clients / month</t>
  </si>
  <si>
    <t xml:space="preserve">Partner channel cap, Côte d'Ivoire</t>
  </si>
  <si>
    <t xml:space="preserve">Digital ads cost per signed client</t>
  </si>
  <si>
    <t xml:space="preserve">Media spend only. Meta leads 600–2,800 FCFA; lead-to-client conversion assumed 2–4%.</t>
  </si>
  <si>
    <t xml:space="preserve">Share of new clients on Petite (1–10 staff)</t>
  </si>
  <si>
    <t xml:space="preserve">From Business model v2. The three shares must add up to 100% (see check on the Dashboard).</t>
  </si>
  <si>
    <t xml:space="preserve">Share of new clients on Moyenne (11–50 staff)</t>
  </si>
  <si>
    <t xml:space="preserve">Share of new clients on Grande (51+ staff)</t>
  </si>
  <si>
    <t xml:space="preserve">Monthly churn, Petite</t>
  </si>
  <si>
    <t xml:space="preserve">Small companies leave or close more often.</t>
  </si>
  <si>
    <t xml:space="preserve">Monthly churn, Moyenne</t>
  </si>
  <si>
    <t xml:space="preserve">Monthly churn, Grande</t>
  </si>
  <si>
    <t xml:space="preserve">Referral fee per partner-channel client</t>
  </si>
  <si>
    <t xml:space="preserve">Paid to accountants and payroll software partners (cost breakdown).</t>
  </si>
  <si>
    <t xml:space="preserve">Field sales transport allowance per rep</t>
  </si>
  <si>
    <t xml:space="preserve">50–100k FCFA (cost breakdown).</t>
  </si>
  <si>
    <t xml:space="preserve">4. Pricing and fees</t>
  </si>
  <si>
    <t xml:space="preserve">Subscription, Petite (1–10 staff)</t>
  </si>
  <si>
    <t xml:space="preserve">Business model v2.</t>
  </si>
  <si>
    <t xml:space="preserve">Subscription, Moyenne (11–50 staff)</t>
  </si>
  <si>
    <t xml:space="preserve">Subscription, Grande (51+ staff)</t>
  </si>
  <si>
    <t xml:space="preserve">Annual price increase</t>
  </si>
  <si>
    <t xml:space="preserve">Free months for every new client</t>
  </si>
  <si>
    <t xml:space="preserve">Launch offer: first 3 months free. Use 0 to 6.</t>
  </si>
  <si>
    <t xml:space="preserve">Share of clients paying yearly</t>
  </si>
  <si>
    <t xml:space="preserve">Months free on yearly billing</t>
  </si>
  <si>
    <t xml:space="preserve">Yearly price = 10 months.</t>
  </si>
  <si>
    <t xml:space="preserve">Physical card fee (one-off; first card free)</t>
  </si>
  <si>
    <t xml:space="preserve">Fee on card spending in foreign currencies</t>
  </si>
  <si>
    <t xml:space="preserve">Business model v2. Card spending in FCFA is free.</t>
  </si>
  <si>
    <t xml:space="preserve">Interchange share received on FCFA card spending</t>
  </si>
  <si>
    <t xml:space="preserve">Placeholder: WAEMU interchange levels are not published. Negotiate with the partner bank.</t>
  </si>
  <si>
    <t xml:space="preserve">Share of bank income on client balances</t>
  </si>
  <si>
    <t xml:space="preserve">Negotiated with the partner bank; the largest non-credit lever.</t>
  </si>
  <si>
    <t xml:space="preserve">Fee per supplier payout above the allowance</t>
  </si>
  <si>
    <t xml:space="preserve">Allowance: 50 / 200 / 1,000 payouts a month. Salaries always unlimited.</t>
  </si>
  <si>
    <t xml:space="preserve">Payment links: fee on mobile money collections</t>
  </si>
  <si>
    <t xml:space="preserve">Payment links: operator and aggregator cost</t>
  </si>
  <si>
    <t xml:space="preserve">0.5–1.5% (cost breakdown).</t>
  </si>
  <si>
    <t xml:space="preserve">Payment links: share collected by mobile money</t>
  </si>
  <si>
    <t xml:space="preserve">The rest by card or transfer, free.</t>
  </si>
  <si>
    <t xml:space="preserve">Payment links: share of clients using them (at maturity)</t>
  </si>
  <si>
    <t xml:space="preserve">Payment links: months to reach maturity</t>
  </si>
  <si>
    <t xml:space="preserve">5. Usage per client (monthly, by plan)</t>
  </si>
  <si>
    <t xml:space="preserve">Card spending in FCFA, Petite</t>
  </si>
  <si>
    <t xml:space="preserve">Business model v2 (assumption).</t>
  </si>
  <si>
    <t xml:space="preserve">Card spending in FCFA, Moyenne</t>
  </si>
  <si>
    <t xml:space="preserve">Card spending in FCFA, Grande</t>
  </si>
  <si>
    <t xml:space="preserve">Card spending in foreign currencies, Petite</t>
  </si>
  <si>
    <t xml:space="preserve">Ads, software subscriptions, travel.</t>
  </si>
  <si>
    <t xml:space="preserve">Card spending in foreign currencies, Moyenne</t>
  </si>
  <si>
    <t xml:space="preserve">Card spending in foreign currencies, Grande</t>
  </si>
  <si>
    <t xml:space="preserve">Average balance, Petite</t>
  </si>
  <si>
    <t xml:space="preserve">Average balance, Moyenne</t>
  </si>
  <si>
    <t xml:space="preserve">Average balance, Grande</t>
  </si>
  <si>
    <t xml:space="preserve">Employees, Petite</t>
  </si>
  <si>
    <t xml:space="preserve">Employees, Moyenne</t>
  </si>
  <si>
    <t xml:space="preserve">Employees, Grande</t>
  </si>
  <si>
    <t xml:space="preserve">Supplier payouts a month, Petite</t>
  </si>
  <si>
    <t xml:space="preserve">payouts</t>
  </si>
  <si>
    <t xml:space="preserve">Supplier payouts a month, Moyenne</t>
  </si>
  <si>
    <t xml:space="preserve">Supplier payouts a month, Grande</t>
  </si>
  <si>
    <t xml:space="preserve">Payouts above the allowance, Petite</t>
  </si>
  <si>
    <t xml:space="preserve">Payouts above the allowance, Moyenne</t>
  </si>
  <si>
    <t xml:space="preserve">Payouts above the allowance, Grande</t>
  </si>
  <si>
    <t xml:space="preserve">Physical cards ordered at sign-up, Petite</t>
  </si>
  <si>
    <t xml:space="preserve">cards</t>
  </si>
  <si>
    <t xml:space="preserve">Physical cards ordered at sign-up, Moyenne</t>
  </si>
  <si>
    <t xml:space="preserve">Physical cards ordered at sign-up, Grande</t>
  </si>
  <si>
    <t xml:space="preserve">Active cards (physical + virtual), Petite</t>
  </si>
  <si>
    <t xml:space="preserve">Active cards (physical + virtual), Moyenne</t>
  </si>
  <si>
    <t xml:space="preserve">Active cards (physical + virtual), Grande</t>
  </si>
  <si>
    <t xml:space="preserve">Payment link collections, Petite (users)</t>
  </si>
  <si>
    <t xml:space="preserve">Payment link collections, Moyenne (users)</t>
  </si>
  <si>
    <t xml:space="preserve">Payment link collections, Grande (users)</t>
  </si>
  <si>
    <t xml:space="preserve">Average monthly salary paid through Tabax</t>
  </si>
  <si>
    <t xml:space="preserve">SME average; the formal-sector average is higher (about 380,000 FCFA).</t>
  </si>
  <si>
    <t xml:space="preserve">Share of salaries paid to mobile money wallets</t>
  </si>
  <si>
    <t xml:space="preserve">Senegal: 20.1% of adults receive wages on a phone vs 12.0% in an account (Global Findex 2025).</t>
  </si>
  <si>
    <t xml:space="preserve">Employees who open a Tabax salary account</t>
  </si>
  <si>
    <t xml:space="preserve">6. Cost to serve (variable costs)</t>
  </si>
  <si>
    <t xml:space="preserve">Partner bank fee per business account</t>
  </si>
  <si>
    <t xml:space="preserve">2,000–5,000 FCFA (estimate; replace with the term sheet).</t>
  </si>
  <si>
    <t xml:space="preserve">Company screening tool at onboarding (sanctions, adverse media)</t>
  </si>
  <si>
    <t xml:space="preserve">FCFA / company</t>
  </si>
  <si>
    <t xml:space="preserve">Tool fee only (estimate, about €2): our support team reviews the company documents (RCCM, NINEA, statutes), and that time is in their salaries.</t>
  </si>
  <si>
    <t xml:space="preserve">ID check tool per person (document, face match, sanctions)</t>
  </si>
  <si>
    <t xml:space="preserve">Tool fee only: Sumsub-type service, about €1.2–1.6 per check.</t>
  </si>
  <si>
    <t xml:space="preserve">People checked per new company</t>
  </si>
  <si>
    <t xml:space="preserve">Directors and beneficial owners.</t>
  </si>
  <si>
    <t xml:space="preserve">Card processing per active card</t>
  </si>
  <si>
    <t xml:space="preserve">€0.76–2.29 (estimate; processor quote needed).</t>
  </si>
  <si>
    <t xml:space="preserve">Physical card printed and delivered</t>
  </si>
  <si>
    <t xml:space="preserve">3,000–6,000 FCFA.</t>
  </si>
  <si>
    <t xml:space="preserve">Visa / Mastercard cross-border fees</t>
  </si>
  <si>
    <t xml:space="preserve">% of foreign spending</t>
  </si>
  <si>
    <t xml:space="preserve">About 0.5% (assumption).</t>
  </si>
  <si>
    <t xml:space="preserve">Fraud and chargebacks</t>
  </si>
  <si>
    <t xml:space="preserve">% of card spending</t>
  </si>
  <si>
    <t xml:space="preserve">0.1–0.3%.</t>
  </si>
  <si>
    <t xml:space="preserve">Cost of a salary paid to a wallet</t>
  </si>
  <si>
    <t xml:space="preserve">% of amount</t>
  </si>
  <si>
    <t xml:space="preserve">Estimate via PI-SPI / aggregator; Wave charges businesses 1% sender-pays. Quote needed.</t>
  </si>
  <si>
    <t xml:space="preserve">Cost of a salary paid to a bank account</t>
  </si>
  <si>
    <t xml:space="preserve">FCFA / payout</t>
  </si>
  <si>
    <t xml:space="preserve">PI-SPI / interbank transfer (estimate).</t>
  </si>
  <si>
    <t xml:space="preserve">Cost of a supplier payout</t>
  </si>
  <si>
    <t xml:space="preserve">Blend of PI-SPI, bank and wallet (estimate).</t>
  </si>
  <si>
    <t xml:space="preserve">SMS, WhatsApp and support tools per client</t>
  </si>
  <si>
    <t xml:space="preserve">Messages per employee account</t>
  </si>
  <si>
    <t xml:space="preserve">Processing per employee account</t>
  </si>
  <si>
    <t xml:space="preserve">About €0.23 (cost breakdown).</t>
  </si>
  <si>
    <t xml:space="preserve">7. Credit (lender of record: partner SFD, then own SFD in Senegal)</t>
  </si>
  <si>
    <t xml:space="preserve">Credit volume multiplier</t>
  </si>
  <si>
    <t xml:space="preserve">Scales every product's uptake.</t>
  </si>
  <si>
    <t xml:space="preserve">Credit losses multiplier</t>
  </si>
  <si>
    <t xml:space="preserve">Scales every product's cost of risk.</t>
  </si>
  <si>
    <t xml:space="preserve">Months for a product to reach full uptake</t>
  </si>
  <si>
    <t xml:space="preserve">Factoring: start month</t>
  </si>
  <si>
    <t xml:space="preserve">No loans before month 18 (decision). Lowest risk: the debtor pays the invoice.</t>
  </si>
  <si>
    <t xml:space="preserve">Factoring: share of active clients using it</t>
  </si>
  <si>
    <t xml:space="preserve">Factoring: average outstanding per user</t>
  </si>
  <si>
    <t xml:space="preserve">80–90% of invoices, 30–90 days.</t>
  </si>
  <si>
    <t xml:space="preserve">Factoring: yield</t>
  </si>
  <si>
    <t xml:space="preserve">0.063% a day = 23% a year, under the 24% SFD usury cap.</t>
  </si>
  <si>
    <t xml:space="preserve">Factoring: cost of risk</t>
  </si>
  <si>
    <t xml:space="preserve">Payroll bridge: start month</t>
  </si>
  <si>
    <t xml:space="preserve">Payroll bridge: share of active clients</t>
  </si>
  <si>
    <t xml:space="preserve">Payroll bridge: average outstanding</t>
  </si>
  <si>
    <t xml:space="preserve">Up to one month of payroll, 45 days max.</t>
  </si>
  <si>
    <t xml:space="preserve">Payroll bridge: yield</t>
  </si>
  <si>
    <t xml:space="preserve">Payroll bridge: cost of risk</t>
  </si>
  <si>
    <t xml:space="preserve">Credit line: start month</t>
  </si>
  <si>
    <t xml:space="preserve">Three months after the first loans, on transaction history.</t>
  </si>
  <si>
    <t xml:space="preserve">Credit line: share of active clients</t>
  </si>
  <si>
    <t xml:space="preserve">Credit line: average drawn</t>
  </si>
  <si>
    <t xml:space="preserve">5–30% of monthly inflows.</t>
  </si>
  <si>
    <t xml:space="preserve">Credit line: yield</t>
  </si>
  <si>
    <t xml:space="preserve">Credit line: cost of risk</t>
  </si>
  <si>
    <t xml:space="preserve">Equipment / term loans: start month</t>
  </si>
  <si>
    <t xml:space="preserve">Longer loans once the own SFD lends.</t>
  </si>
  <si>
    <t xml:space="preserve">Term loans: share of active clients</t>
  </si>
  <si>
    <t xml:space="preserve">Term loans: average outstanding</t>
  </si>
  <si>
    <t xml:space="preserve">1–50M FCFA, 6–24 months.</t>
  </si>
  <si>
    <t xml:space="preserve">Term loans: yield</t>
  </si>
  <si>
    <t xml:space="preserve">Term loans: cost of risk</t>
  </si>
  <si>
    <t xml:space="preserve">Salary advances: start month</t>
  </si>
  <si>
    <t xml:space="preserve">B2C product: after employee accounts open. Retention product, not a profit centre.</t>
  </si>
  <si>
    <t xml:space="preserve">Salary advances: share of employee accounts with an advance</t>
  </si>
  <si>
    <t xml:space="preserve">Salary advances: average outstanding</t>
  </si>
  <si>
    <t xml:space="preserve">Up to 50% of pay already earned.</t>
  </si>
  <si>
    <t xml:space="preserve">Salary advances: yield</t>
  </si>
  <si>
    <t xml:space="preserve">Salary advances: cost of risk</t>
  </si>
  <si>
    <t xml:space="preserve">Cost of funds</t>
  </si>
  <si>
    <t xml:space="preserve">8–10% (DFI lines, local debt).</t>
  </si>
  <si>
    <t xml:space="preserve">External servicing and collections</t>
  </si>
  <si>
    <t xml:space="preserve">Credit staff are in the hiring plan.</t>
  </si>
  <si>
    <t xml:space="preserve">Tabax share of the net margin while the partner SFD funds</t>
  </si>
  <si>
    <t xml:space="preserve">Negotiated; Tabax provides first-loss cover.</t>
  </si>
  <si>
    <t xml:space="preserve">First-loss cash reserve (partner phase)</t>
  </si>
  <si>
    <t xml:space="preserve">% of book</t>
  </si>
  <si>
    <t xml:space="preserve">Equity needed per FCFA lent (own SFD phase)</t>
  </si>
  <si>
    <t xml:space="preserve">The rest funded by debt lines (not modelled in the P&amp;L except the cost of funds).</t>
  </si>
  <si>
    <t xml:space="preserve">8. Team, offices and tools</t>
  </si>
  <si>
    <t xml:space="preserve">Employer charges and taxes on top of the gross salary</t>
  </si>
  <si>
    <t xml:space="preserve">% of gross</t>
  </si>
  <si>
    <t xml:space="preserve">All-in: social security, pension, health and payroll taxes, about 30% (decision).</t>
  </si>
  <si>
    <t xml:space="preserve">Customer support: first agents join</t>
  </si>
  <si>
    <t xml:space="preserve">One month before the Senegal launch.</t>
  </si>
  <si>
    <t xml:space="preserve">Customer support: starting team</t>
  </si>
  <si>
    <t xml:space="preserve">Decision. Agents also run onboarding checks with the partner.</t>
  </si>
  <si>
    <t xml:space="preserve">Customer support: active business clients per agent</t>
  </si>
  <si>
    <t xml:space="preserve">Estimate. The team grows with the client base.</t>
  </si>
  <si>
    <t xml:space="preserve">Customer support: B2C accounts per extra agent</t>
  </si>
  <si>
    <t xml:space="preserve">accounts</t>
  </si>
  <si>
    <t xml:space="preserve">From the B2C launch.</t>
  </si>
  <si>
    <t xml:space="preserve">Customer support agent: gross salary</t>
  </si>
  <si>
    <t xml:space="preserve">Support and onboarding (KYC) work.</t>
  </si>
  <si>
    <t xml:space="preserve">Developers: starting team (CTO not included)</t>
  </si>
  <si>
    <t xml:space="preserve">Decision.</t>
  </si>
  <si>
    <t xml:space="preserve">Developers: one more per this many active clients</t>
  </si>
  <si>
    <t xml:space="preserve">Estimate. Maak's platform covers the core; developers adapt and extend it.</t>
  </si>
  <si>
    <t xml:space="preserve">Developer: gross salary</t>
  </si>
  <si>
    <t xml:space="preserve">Blend of senior (1.5M) and mid-level (0.8M) developers in Dakar.</t>
  </si>
  <si>
    <t xml:space="preserve">Field sales: first reps join</t>
  </si>
  <si>
    <t xml:space="preserve">Field sales reps, Senegal: starting team</t>
  </si>
  <si>
    <t xml:space="preserve">Plus the sales lead on the hiring plan: 3 sellers at launch (decision: 'a few sales').</t>
  </si>
  <si>
    <t xml:space="preserve">Field sales reps, Côte d'Ivoire: starting team</t>
  </si>
  <si>
    <t xml:space="preserve">From the Abidjan opening.</t>
  </si>
  <si>
    <t xml:space="preserve">Field sales: one rep per this many active clients in the country</t>
  </si>
  <si>
    <t xml:space="preserve">Estimate. Based on the previous month's clients, so the team follows the client base.</t>
  </si>
  <si>
    <t xml:space="preserve">Field sales rep, Senegal: gross salary</t>
  </si>
  <si>
    <t xml:space="preserve">300k fixed + about 100k commission.</t>
  </si>
  <si>
    <t xml:space="preserve">Field sales rep, Côte d'Ivoire: gross salary</t>
  </si>
  <si>
    <t xml:space="preserve">Credit team joins this many months before the first loans</t>
  </si>
  <si>
    <t xml:space="preserve">Financial experts are added when loans start (decision).</t>
  </si>
  <si>
    <t xml:space="preserve">Credit analysts and collections: one per this loan book</t>
  </si>
  <si>
    <t xml:space="preserve">Estimate. Minimum one from the start of credit.</t>
  </si>
  <si>
    <t xml:space="preserve">Credit analyst: gross salary</t>
  </si>
  <si>
    <t xml:space="preserve">Office: Regus, all included</t>
  </si>
  <si>
    <t xml:space="preserve">€ / employee / month</t>
  </si>
  <si>
    <t xml:space="preserve">Desk, electricity, internet, cleaning and security included (decision). Dakar from month 1, Abidjan from its opening.</t>
  </si>
  <si>
    <t xml:space="preserve">Laptop per new hire (non-developers)</t>
  </si>
  <si>
    <t xml:space="preserve">€ / hire</t>
  </si>
  <si>
    <t xml:space="preserve">Decision: at most €500. Expensed in the month of hiring (no depreciation).</t>
  </si>
  <si>
    <t xml:space="preserve">MacBook per new developer and the CTO</t>
  </si>
  <si>
    <t xml:space="preserve">USD / hire</t>
  </si>
  <si>
    <t xml:space="preserve">Decision: about $2,000.</t>
  </si>
  <si>
    <t xml:space="preserve">Recruitment agency fee per senior hire</t>
  </si>
  <si>
    <t xml:space="preserve">Decision: about €800 per hire for the CEO, CTO, developers, financial and credit experts, country manager and compliance officer. Other roles are hired directly at no fee.</t>
  </si>
  <si>
    <t xml:space="preserve">Developers hired through an agency (1 = yes, 0 = no)</t>
  </si>
  <si>
    <t xml:space="preserve">flag</t>
  </si>
  <si>
    <t xml:space="preserve">Credit analysts hired through an agency (1 = yes, 0 = no)</t>
  </si>
  <si>
    <t xml:space="preserve">Customer support hired through an agency (1 = yes, 0 = no)</t>
  </si>
  <si>
    <t xml:space="preserve">Hired directly (decision).</t>
  </si>
  <si>
    <t xml:space="preserve">Field sales reps hired through an agency (1 = yes, 0 = no)</t>
  </si>
  <si>
    <t xml:space="preserve">Hired directly.</t>
  </si>
  <si>
    <t xml:space="preserve">Phone and data plan per employee</t>
  </si>
  <si>
    <t xml:space="preserve">Decision: about 5,000 FCFA.</t>
  </si>
  <si>
    <t xml:space="preserve">Google Workspace (Gmail) per user</t>
  </si>
  <si>
    <t xml:space="preserve">USD / user / month</t>
  </si>
  <si>
    <t xml:space="preserve">Decision: about $9.</t>
  </si>
  <si>
    <t xml:space="preserve">ClickUp per user</t>
  </si>
  <si>
    <t xml:space="preserve">Decision: same price as Gmail.</t>
  </si>
  <si>
    <t xml:space="preserve">Claude Enterprise seat</t>
  </si>
  <si>
    <t xml:space="preserve">USD / seat / month</t>
  </si>
  <si>
    <t xml:space="preserve">Decision. One seat per developer and the CTO, plus the shared seats below.</t>
  </si>
  <si>
    <t xml:space="preserve">Shared Claude seats</t>
  </si>
  <si>
    <t xml:space="preserve">seats</t>
  </si>
  <si>
    <t xml:space="preserve">One for support and marketing together, one for everyone else who needs it.</t>
  </si>
  <si>
    <t xml:space="preserve">Website builder</t>
  </si>
  <si>
    <t xml:space="preserve">USD / month</t>
  </si>
  <si>
    <t xml:space="preserve">Decision: the group's site tool.</t>
  </si>
  <si>
    <t xml:space="preserve">Domain name</t>
  </si>
  <si>
    <t xml:space="preserve">USD / year</t>
  </si>
  <si>
    <t xml:space="preserve">9. Technology from Maak (group company)</t>
  </si>
  <si>
    <t xml:space="preserve">Deal with Maak (1 = lease, 2 = equity)</t>
  </si>
  <si>
    <t xml:space="preserve">option</t>
  </si>
  <si>
    <t xml:space="preserve">1: Tabax pays a yearly lease, lease-to-own. 2: Maak takes a small stake in Tabax instead and there is no lease cost. Either way, adapting the platform to Tabax is included.</t>
  </si>
  <si>
    <t xml:space="preserve">Lease of Maak's platform (option 1)</t>
  </si>
  <si>
    <t xml:space="preserve">€ / year</t>
  </si>
  <si>
    <t xml:space="preserve">Decision: about 70k a year, paid monthly from month 1. Includes adapting the platform to Tabax's products.</t>
  </si>
  <si>
    <t xml:space="preserve">Maak's stake in Tabax (option 2)</t>
  </si>
  <si>
    <t xml:space="preserve">% of Tabax</t>
  </si>
  <si>
    <t xml:space="preserve">Assumption for 'a small %'. No cash cost; shown on the Dashboard.</t>
  </si>
  <si>
    <t xml:space="preserve">Tech audit</t>
  </si>
  <si>
    <t xml:space="preserve">USD</t>
  </si>
  <si>
    <t xml:space="preserve">Reference price (decision). Before launch, then once a year.</t>
  </si>
  <si>
    <t xml:space="preserve">10. Fixed costs by year</t>
  </si>
  <si>
    <t xml:space="preserve">Year 1</t>
  </si>
  <si>
    <t xml:space="preserve">Year 2</t>
  </si>
  <si>
    <t xml:space="preserve">Year 3</t>
  </si>
  <si>
    <t xml:space="preserve">Year 4</t>
  </si>
  <si>
    <t xml:space="preserve">Year 5</t>
  </si>
  <si>
    <t xml:space="preserve">Y1 (€ / FCFA)</t>
  </si>
  <si>
    <t xml:space="preserve">Y2 (€ / FCFA)</t>
  </si>
  <si>
    <t xml:space="preserve">Y3 (€ / FCFA)</t>
  </si>
  <si>
    <t xml:space="preserve">Y4 (€ / FCFA)</t>
  </si>
  <si>
    <t xml:space="preserve">Y5 (€ / FCFA)</t>
  </si>
  <si>
    <t xml:space="preserve">Technology</t>
  </si>
  <si>
    <t xml:space="preserve">Cloud hosting</t>
  </si>
  <si>
    <t xml:space="preserve">Check whether Maak's lease includes hosting. No AWS/GCP region in WAEMU; CDP authorisation for data abroad.</t>
  </si>
  <si>
    <t xml:space="preserve">Transaction monitoring and sanctions screening</t>
  </si>
  <si>
    <t xml:space="preserve">Freelance QA testing and DevOps on-call</t>
  </si>
  <si>
    <t xml:space="preserve">FCFA / year</t>
  </si>
  <si>
    <t xml:space="preserve">Design is done in-house with Claude Design (decision). About €12k in year 1, €15k in year 2, then €9k a year.</t>
  </si>
  <si>
    <t xml:space="preserve">Card processor monthly minimum</t>
  </si>
  <si>
    <t xml:space="preserve">Tabax pays the higher of this minimum and the per-card fees.</t>
  </si>
  <si>
    <t xml:space="preserve">Card processor set-up fee (one-off)</t>
  </si>
  <si>
    <t xml:space="preserve">USD 25–75k (estimate; quote needed).</t>
  </si>
  <si>
    <t xml:space="preserve">Bank and SFD partners</t>
  </si>
  <si>
    <t xml:space="preserve">Partner bank set-up and card programme, Senegal (one-off)</t>
  </si>
  <si>
    <t xml:space="preserve">No public price; replace with the term sheet.</t>
  </si>
  <si>
    <t xml:space="preserve">Partner bank set-up, Côte d'Ivoire (one-off)</t>
  </si>
  <si>
    <t xml:space="preserve">Partner SFD integration and legal set-up (one-off)</t>
  </si>
  <si>
    <t xml:space="preserve">Partner bank platform minimum, Senegal</t>
  </si>
  <si>
    <t xml:space="preserve">From the Senegal launch.</t>
  </si>
  <si>
    <t xml:space="preserve">Partner bank platform minimum, Côte d'Ivoire</t>
  </si>
  <si>
    <t xml:space="preserve">From the Côte d'Ivoire launch.</t>
  </si>
  <si>
    <t xml:space="preserve">Partner SFD running fees</t>
  </si>
  <si>
    <t xml:space="preserve">Still needed after the acquisition for Côte d'Ivoire loans.</t>
  </si>
  <si>
    <t xml:space="preserve">Legal, regulatory and audit</t>
  </si>
  <si>
    <t xml:space="preserve">Company set-up, Senegal (one-off, month 1)</t>
  </si>
  <si>
    <t xml:space="preserve">1.5–3M FCFA excluding capital.</t>
  </si>
  <si>
    <t xml:space="preserve">Company set-up, Côte d'Ivoire (one-off)</t>
  </si>
  <si>
    <t xml:space="preserve">SFD acquisition: due diligence, counsel and approval file</t>
  </si>
  <si>
    <t xml:space="preserve">Estimate. Year 2: target search, due diligence, change-of-control file; year 3: integration.</t>
  </si>
  <si>
    <t xml:space="preserve">Own SFD running costs (board, regulatory reporting, systems)</t>
  </si>
  <si>
    <t xml:space="preserve">ESTIMATE, from the acquisition month only. Replace after due diligence (the SFD's own staff and revenue).</t>
  </si>
  <si>
    <t xml:space="preserve">Ongoing legal counsel</t>
  </si>
  <si>
    <t xml:space="preserve">Statutory auditor</t>
  </si>
  <si>
    <t xml:space="preserve">Two entities from year 2; the SFD adds a regulated audit from year 3.</t>
  </si>
  <si>
    <t xml:space="preserve">External chartered accountant and tax adviser</t>
  </si>
  <si>
    <t xml:space="preserve">Independent AML audit</t>
  </si>
  <si>
    <t xml:space="preserve">From the own SFD (year 3). Before that the partners carry the AML obligations.</t>
  </si>
  <si>
    <t xml:space="preserve">Data-protection filings (CDP, ARTCI)</t>
  </si>
  <si>
    <t xml:space="preserve">Insurance: professional liability, cyber, directors</t>
  </si>
  <si>
    <t xml:space="preserve">Sales and marketing (non-staff)</t>
  </si>
  <si>
    <t xml:space="preserve">Digital ads budget, Senegal</t>
  </si>
  <si>
    <t xml:space="preserve">From the Senegal launch. Drives digital clients through the cost per client above.</t>
  </si>
  <si>
    <t xml:space="preserve">Digital ads budget, Côte d'Ivoire</t>
  </si>
  <si>
    <t xml:space="preserve">Brand, launch events, PR</t>
  </si>
  <si>
    <t xml:space="preserve">The website itself is under Technology (site tool).</t>
  </si>
  <si>
    <t xml:space="preserve">Events, sponsorships, sales materials</t>
  </si>
  <si>
    <t xml:space="preserve">Other</t>
  </si>
  <si>
    <t xml:space="preserve">Travel (Dakar–Abidjan, regulators, partners)</t>
  </si>
  <si>
    <t xml:space="preserve">Company bank fees and miscellaneous</t>
  </si>
  <si>
    <t xml:space="preserve">11. Cash, capital and funding</t>
  </si>
  <si>
    <t xml:space="preserve">Cash at month 1 before the first round</t>
  </si>
  <si>
    <t xml:space="preserve">Card programme collateral at the partner bank</t>
  </si>
  <si>
    <t xml:space="preserve">To quote.</t>
  </si>
  <si>
    <t xml:space="preserve">Acquisition of a microfinance company (SFD)</t>
  </si>
  <si>
    <t xml:space="preserve">Unknown; mid-range estimate (≈ €990k). Price depends on the target's equity, book and licence.</t>
  </si>
  <si>
    <t xml:space="preserve">Seed round: month</t>
  </si>
  <si>
    <t xml:space="preserve">Seed round: amount</t>
  </si>
  <si>
    <t xml:space="preserve">Adjust to keep closing cash above zero (see Cash flow).</t>
  </si>
  <si>
    <t xml:space="preserve">Series A: month</t>
  </si>
  <si>
    <t xml:space="preserve">Series A: amount</t>
  </si>
  <si>
    <t xml:space="preserve">Series B: month</t>
  </si>
  <si>
    <t xml:space="preserve">Funds the SFD acquisition and the credit book's equity.</t>
  </si>
  <si>
    <t xml:space="preserve">Series B: amount</t>
  </si>
  <si>
    <t xml:space="preserve">Unit costs and prices</t>
  </si>
  <si>
    <t xml:space="preserve">What one of each thing costs or earns, in FCFA and euros. Every cell links to the inputs on Assumptions and Hiring plan: change them there.</t>
  </si>
  <si>
    <t xml:space="preserve">One employee, per month</t>
  </si>
  <si>
    <t xml:space="preserve">Employer cost plus what each person adds: Regus desk, phone, Gmail and ClickUp, a Claude seat for the CTO and developers. One-off at hiring: a laptop (a MacBook for the CTO and developers), plus the agency fee for senior roles.</t>
  </si>
  <si>
    <t xml:space="preserve">Role</t>
  </si>
  <si>
    <t xml:space="preserve">Country</t>
  </si>
  <si>
    <t xml:space="preserve">Agency hire</t>
  </si>
  <si>
    <t xml:space="preserve">Gross salary</t>
  </si>
  <si>
    <t xml:space="preserve">Employer charges</t>
  </si>
  <si>
    <t xml:space="preserve">Employer cost</t>
  </si>
  <si>
    <t xml:space="preserve">Office (Regus)</t>
  </si>
  <si>
    <t xml:space="preserve">Phone and data</t>
  </si>
  <si>
    <t xml:space="preserve">Gmail and ClickUp</t>
  </si>
  <si>
    <t xml:space="preserve">Claude seat</t>
  </si>
  <si>
    <t xml:space="preserve">All-in per month (FCFA)</t>
  </si>
  <si>
    <t xml:space="preserve">All-in per month (€)</t>
  </si>
  <si>
    <t xml:space="preserve">One-off at hiring (FCFA)</t>
  </si>
  <si>
    <t xml:space="preserve">One-off at hiring (€)</t>
  </si>
  <si>
    <t xml:space="preserve">Customer support agent (grows with volume)</t>
  </si>
  <si>
    <t xml:space="preserve">SN</t>
  </si>
  <si>
    <t xml:space="preserve">Developer (grows with volume)</t>
  </si>
  <si>
    <t xml:space="preserve">Field sales rep, Senegal (grows with volume)</t>
  </si>
  <si>
    <t xml:space="preserve">Field sales rep, Côte d'Ivoire (grows with volume)</t>
  </si>
  <si>
    <t xml:space="preserve">CI</t>
  </si>
  <si>
    <t xml:space="preserve">Credit analyst (grows with volume)</t>
  </si>
  <si>
    <t xml:space="preserve">Company-wide, not per person: 2 shared Claude seats, the website and domain. Field reps also get the transport allowance (Sales &amp; marketing). Pay rises 5% a year from year 2.</t>
  </si>
  <si>
    <t xml:space="preserve">One business client, per month, by plan</t>
  </si>
  <si>
    <t xml:space="preserve">Steady state: after the free months, payment links at full adoption, no credit. Scenario inputs at their current value.</t>
  </si>
  <si>
    <t xml:space="preserve">Line</t>
  </si>
  <si>
    <t xml:space="preserve">How it is calculated</t>
  </si>
  <si>
    <t xml:space="preserve">Petite</t>
  </si>
  <si>
    <t xml:space="preserve">Moyenne</t>
  </si>
  <si>
    <t xml:space="preserve">Grande</t>
  </si>
  <si>
    <t xml:space="preserve">Petite (€)</t>
  </si>
  <si>
    <t xml:space="preserve">Moyenne (€)</t>
  </si>
  <si>
    <t xml:space="preserve">Grande (€)</t>
  </si>
  <si>
    <t xml:space="preserve">Revenue</t>
  </si>
  <si>
    <t xml:space="preserve">Subscription (after the yearly-billing discount)</t>
  </si>
  <si>
    <t xml:space="preserve">Plan price × (1 − share paying yearly × free months on yearly billing ÷ 12)</t>
  </si>
  <si>
    <t xml:space="preserve">Fees on foreign-currency card spending</t>
  </si>
  <si>
    <t xml:space="preserve">Foreign-currency card spending × FX fee</t>
  </si>
  <si>
    <t xml:space="preserve">Interchange share</t>
  </si>
  <si>
    <t xml:space="preserve">FCFA card spending × interchange share</t>
  </si>
  <si>
    <t xml:space="preserve">Share of bank income on balances</t>
  </si>
  <si>
    <t xml:space="preserve">Average balance × yearly share ÷ 12</t>
  </si>
  <si>
    <t xml:space="preserve">Fees on supplier payouts above the allowance</t>
  </si>
  <si>
    <t xml:space="preserve">Payouts above the allowance × fee per payout</t>
  </si>
  <si>
    <t xml:space="preserve">Payment link fees (average client)</t>
  </si>
  <si>
    <t xml:space="preserve">Collections × adoption × share by mobile money × fee</t>
  </si>
  <si>
    <t xml:space="preserve">Revenue per client</t>
  </si>
  <si>
    <t xml:space="preserve">Cost to serve</t>
  </si>
  <si>
    <t xml:space="preserve">Flat fee per account</t>
  </si>
  <si>
    <t xml:space="preserve">Card processing</t>
  </si>
  <si>
    <t xml:space="preserve">Active cards × processing fee per card</t>
  </si>
  <si>
    <t xml:space="preserve">Foreign-currency card spending × scheme rate</t>
  </si>
  <si>
    <t xml:space="preserve">All card spending × fraud rate</t>
  </si>
  <si>
    <t xml:space="preserve">Salaries paid to mobile wallets</t>
  </si>
  <si>
    <t xml:space="preserve">Employees × average salary × share to wallets × cost rate</t>
  </si>
  <si>
    <t xml:space="preserve">Salaries paid to bank accounts</t>
  </si>
  <si>
    <t xml:space="preserve">Employees × share to banks × cost per transfer</t>
  </si>
  <si>
    <t xml:space="preserve">Supplier payouts</t>
  </si>
  <si>
    <t xml:space="preserve">Payouts × cost per payout</t>
  </si>
  <si>
    <t xml:space="preserve">Payment link collection costs</t>
  </si>
  <si>
    <t xml:space="preserve">Collections × adoption × share by mobile money × operator cost</t>
  </si>
  <si>
    <t xml:space="preserve">SMS, WhatsApp and support tools</t>
  </si>
  <si>
    <t xml:space="preserve">Flat per client</t>
  </si>
  <si>
    <t xml:space="preserve">Cost to serve per client</t>
  </si>
  <si>
    <t xml:space="preserve">Contribution per client per month</t>
  </si>
  <si>
    <t xml:space="preserve">Revenue − cost to serve</t>
  </si>
  <si>
    <t xml:space="preserve">Contribution margin</t>
  </si>
  <si>
    <t xml:space="preserve">Once, when the client signs up</t>
  </si>
  <si>
    <t xml:space="preserve">Onboarding check tools</t>
  </si>
  <si>
    <t xml:space="preserve">Company screening + people checked × ID check (our team's review time is in salaries)</t>
  </si>
  <si>
    <t xml:space="preserve">Physical cards printed and delivered</t>
  </si>
  <si>
    <t xml:space="preserve">Cards ordered at sign-up × cost per card</t>
  </si>
  <si>
    <t xml:space="preserve">Card fees charged to the client (revenue)</t>
  </si>
  <si>
    <t xml:space="preserve">(Cards ordered − 1 free) × card fee</t>
  </si>
  <si>
    <t xml:space="preserve">Referral fee (partner-channel clients only)</t>
  </si>
  <si>
    <t xml:space="preserve">Fee paid to the accountant or software partner</t>
  </si>
  <si>
    <t xml:space="preserve">Subscription given away (free months)</t>
  </si>
  <si>
    <t xml:space="preserve">Free months × plan price</t>
  </si>
  <si>
    <t xml:space="preserve">One loan: 1,000,000 FCFA lent for a year</t>
  </si>
  <si>
    <t xml:space="preserve">Net margin after cost of funds, credit losses and servicing; what Tabax keeps with the partner SFD and with its own SFD; cash Tabax must lock up.</t>
  </si>
  <si>
    <t xml:space="preserve">Product</t>
  </si>
  <si>
    <t xml:space="preserve">Yield</t>
  </si>
  <si>
    <t xml:space="preserve">Credit losses</t>
  </si>
  <si>
    <t xml:space="preserve">Servicing</t>
  </si>
  <si>
    <t xml:space="preserve">Net margin</t>
  </si>
  <si>
    <t xml:space="preserve">Net margin (FCFA)</t>
  </si>
  <si>
    <t xml:space="preserve">Net margin (€)</t>
  </si>
  <si>
    <t xml:space="preserve">Tabax keeps, partner phase (FCFA)</t>
  </si>
  <si>
    <t xml:space="preserve">Tabax keeps, own SFD (FCFA)</t>
  </si>
  <si>
    <t xml:space="preserve">Cash locked, partner phase (FCFA)</t>
  </si>
  <si>
    <t xml:space="preserve">Cash locked, own SFD (FCFA)</t>
  </si>
  <si>
    <t xml:space="preserve">Factoring</t>
  </si>
  <si>
    <t xml:space="preserve">Payroll bridge</t>
  </si>
  <si>
    <t xml:space="preserve">Credit line</t>
  </si>
  <si>
    <t xml:space="preserve">Equipment and term loans</t>
  </si>
  <si>
    <t xml:space="preserve">Salary advances</t>
  </si>
  <si>
    <t xml:space="preserve">The usury cap is 24% a year all-in (TEG) for microfinance institutions: interest plus every fee charged to the borrower.</t>
  </si>
  <si>
    <t xml:space="preserve">Price list and fixed items</t>
  </si>
  <si>
    <t xml:space="preserve">List prices clients pay, and the price of each fixed cost at its year-1 level (later years on Assumptions, section 10).</t>
  </si>
  <si>
    <t xml:space="preserve">Item</t>
  </si>
  <si>
    <t xml:space="preserve">Price</t>
  </si>
  <si>
    <t xml:space="preserve">In FCFA</t>
  </si>
  <si>
    <t xml:space="preserve">In €</t>
  </si>
  <si>
    <t xml:space="preserve">What clients pay</t>
  </si>
  <si>
    <t xml:space="preserve">Subscription, Petite</t>
  </si>
  <si>
    <t xml:space="preserve">Subscription, Moyenne</t>
  </si>
  <si>
    <t xml:space="preserve">Subscription, Grande</t>
  </si>
  <si>
    <t xml:space="preserve">Extra physical card</t>
  </si>
  <si>
    <t xml:space="preserve">FCFA / card</t>
  </si>
  <si>
    <t xml:space="preserve">Fee on foreign-currency card spending</t>
  </si>
  <si>
    <t xml:space="preserve">% of spending</t>
  </si>
  <si>
    <t xml:space="preserve">Supplier payout above the allowance</t>
  </si>
  <si>
    <t xml:space="preserve">Payment link fee (mobile money)</t>
  </si>
  <si>
    <t xml:space="preserve">Credit (factoring, payroll bridge, credit line, advances)</t>
  </si>
  <si>
    <t xml:space="preserve">Maak platform lease (option 1)</t>
  </si>
  <si>
    <t xml:space="preserve">Laptop (non-developers)</t>
  </si>
  <si>
    <t xml:space="preserve">MacBook (CTO and developers)</t>
  </si>
  <si>
    <t xml:space="preserve">Phone and data plan</t>
  </si>
  <si>
    <t xml:space="preserve">FCFA / person / month</t>
  </si>
  <si>
    <t xml:space="preserve">Website tool</t>
  </si>
  <si>
    <t xml:space="preserve">Card processor set-up (once)</t>
  </si>
  <si>
    <t xml:space="preserve">Partners</t>
  </si>
  <si>
    <t xml:space="preserve">Partner bank set-up and card programme, Senegal (once)</t>
  </si>
  <si>
    <t xml:space="preserve">Partner bank set-up, Côte d'Ivoire (once)</t>
  </si>
  <si>
    <t xml:space="preserve">Partner bank platform minimum, Côte d'Ivoire (year 2)</t>
  </si>
  <si>
    <t xml:space="preserve">Partner SFD integration (once)</t>
  </si>
  <si>
    <t xml:space="preserve">Partner SFD running fees (year 2)</t>
  </si>
  <si>
    <t xml:space="preserve">Card programme collateral (cash set aside, not a cost)</t>
  </si>
  <si>
    <t xml:space="preserve">Legal, audit and insurance</t>
  </si>
  <si>
    <t xml:space="preserve">Company set-up, Senegal (once)</t>
  </si>
  <si>
    <t xml:space="preserve">External accountant and tax adviser</t>
  </si>
  <si>
    <t xml:space="preserve">Data-protection filings</t>
  </si>
  <si>
    <t xml:space="preserve">Insurance</t>
  </si>
  <si>
    <t xml:space="preserve">Sales, marketing and other</t>
  </si>
  <si>
    <t xml:space="preserve">Digital ads: cost per signed client</t>
  </si>
  <si>
    <t xml:space="preserve">Referral fee to partners</t>
  </si>
  <si>
    <t xml:space="preserve">Field sales transport allowance</t>
  </si>
  <si>
    <t xml:space="preserve">FCFA / rep / month</t>
  </si>
  <si>
    <t xml:space="preserve">Travel</t>
  </si>
  <si>
    <t xml:space="preserve">Recruitment agency fee (senior hire)</t>
  </si>
  <si>
    <t xml:space="preserve">One line per hire or group of identical hires. Edit headcount, start month, end month (leave blank if they stay) and gross salary. Spare lines at the bottom for new roles.</t>
  </si>
  <si>
    <t xml:space="preserve">#</t>
  </si>
  <si>
    <t xml:space="preserve">Department</t>
  </si>
  <si>
    <t xml:space="preserve">Category</t>
  </si>
  <si>
    <t xml:space="preserve">Headcount</t>
  </si>
  <si>
    <t xml:space="preserve">Start month</t>
  </si>
  <si>
    <t xml:space="preserve">End month</t>
  </si>
  <si>
    <t xml:space="preserve">Gross salary (FCFA / month)</t>
  </si>
  <si>
    <t xml:space="preserve">Agency hire (Y/N)</t>
  </si>
  <si>
    <t xml:space="preserve">Employer cost per person (FCFA / month)</t>
  </si>
  <si>
    <t xml:space="preserve">Note</t>
  </si>
  <si>
    <t xml:space="preserve">Gross salary (€ / month)</t>
  </si>
  <si>
    <t xml:space="preserve">Employer cost per person (€ / month)</t>
  </si>
  <si>
    <t xml:space="preserve">Leadership</t>
  </si>
  <si>
    <t xml:space="preserve">CEO (full salary from year 2)</t>
  </si>
  <si>
    <t xml:space="preserve">Y</t>
  </si>
  <si>
    <t xml:space="preserve">Founders and shareholders run the company unpaid in year 1 (decision).</t>
  </si>
  <si>
    <t xml:space="preserve">Engineering &amp; product</t>
  </si>
  <si>
    <t xml:space="preserve">CTO (also codes)</t>
  </si>
  <si>
    <t xml:space="preserve">Developers are added with volume on the Staff sheet (2 at the start).</t>
  </si>
  <si>
    <t xml:space="preserve">Finance &amp; admin</t>
  </si>
  <si>
    <t xml:space="preserve">Financial expert (finance, partners, credit lead)</t>
  </si>
  <si>
    <t xml:space="preserve">Starting team. Credit analysts are added with the loan book.</t>
  </si>
  <si>
    <t xml:space="preserve">Sales &amp; partnerships</t>
  </si>
  <si>
    <t xml:space="preserve">Sales lead (also sells; incl. bonus)</t>
  </si>
  <si>
    <t xml:space="preserve">Sales rep</t>
  </si>
  <si>
    <t xml:space="preserve">N</t>
  </si>
  <si>
    <t xml:space="preserve">Plus 2 field reps from month 4, then reps grow with clients (Staff sheet).</t>
  </si>
  <si>
    <t xml:space="preserve">Marketing</t>
  </si>
  <si>
    <t xml:space="preserve">Marketing manager (senior)</t>
  </si>
  <si>
    <t xml:space="preserve">Prepares the launch; runs digital ads and partnerships.</t>
  </si>
  <si>
    <t xml:space="preserve">Marketing officer (junior)</t>
  </si>
  <si>
    <t xml:space="preserve">Content, social media, events.</t>
  </si>
  <si>
    <t xml:space="preserve">Country manager, Abidjan</t>
  </si>
  <si>
    <t xml:space="preserve">Joins when the Abidjan office opens.</t>
  </si>
  <si>
    <t xml:space="preserve">Compliance &amp; risk</t>
  </si>
  <si>
    <t xml:space="preserve">Compliance officer (AML/CFT)</t>
  </si>
  <si>
    <t xml:space="preserve">Required once Tabax holds its own licence (SFD).</t>
  </si>
  <si>
    <t xml:space="preserve">Employer cost = gross salary × (1 + employer charges), 30% on Assumptions section 8. Customer support, developers, field sales reps and credit analysts grow with volume: see the Staff sheet and the ratios on Assumptions section 8.</t>
  </si>
  <si>
    <t xml:space="preserve">Headcount and employer cost by month, from the hiring plan. Pay rises each year by the rate on Assumptions.</t>
  </si>
  <si>
    <t xml:space="preserve">Month #</t>
  </si>
  <si>
    <t xml:space="preserve">Total / end</t>
  </si>
  <si>
    <t xml:space="preserve">Month</t>
  </si>
  <si>
    <t xml:space="preserve">Headcount by hire line</t>
  </si>
  <si>
    <t xml:space="preserve">Employer cost by hire line</t>
  </si>
  <si>
    <t xml:space="preserve">Team that grows with volume</t>
  </si>
  <si>
    <t xml:space="preserve">Customer support agents · SN</t>
  </si>
  <si>
    <t xml:space="preserve">Developers · SN</t>
  </si>
  <si>
    <t xml:space="preserve">Field sales reps, Senegal · SN</t>
  </si>
  <si>
    <t xml:space="preserve">Field sales reps, Côte d'Ivoire · CI</t>
  </si>
  <si>
    <t xml:space="preserve">Credit analysts and collections · SN</t>
  </si>
  <si>
    <t xml:space="preserve">Employer cost: Customer support agents</t>
  </si>
  <si>
    <t xml:space="preserve">Employer cost: Developers</t>
  </si>
  <si>
    <t xml:space="preserve">Employer cost: Field sales reps, Senegal</t>
  </si>
  <si>
    <t xml:space="preserve">Employer cost: Field sales reps, Côte d'Ivoire</t>
  </si>
  <si>
    <t xml:space="preserve">Employer cost: Credit analysts and collections</t>
  </si>
  <si>
    <t xml:space="preserve">New hires in these roles</t>
  </si>
  <si>
    <t xml:space="preserve">Summary</t>
  </si>
  <si>
    <t xml:space="preserve">Total headcount</t>
  </si>
  <si>
    <t xml:space="preserve">Headcount, Senegal</t>
  </si>
  <si>
    <t xml:space="preserve">Headcount, Côte d'Ivoire</t>
  </si>
  <si>
    <t xml:space="preserve">Engineering headcount (CTO and developers)</t>
  </si>
  <si>
    <t xml:space="preserve">Field sales reps, Senegal</t>
  </si>
  <si>
    <t xml:space="preserve">Field sales reps, Côte d'Ivoire</t>
  </si>
  <si>
    <t xml:space="preserve">New hires this month</t>
  </si>
  <si>
    <t xml:space="preserve">of which CTO and developers (MacBooks)</t>
  </si>
  <si>
    <t xml:space="preserve">Staff cost: Leadership</t>
  </si>
  <si>
    <t xml:space="preserve">Staff cost: Engineering &amp; product</t>
  </si>
  <si>
    <t xml:space="preserve">Staff cost: Compliance &amp; risk</t>
  </si>
  <si>
    <t xml:space="preserve">Staff cost: Credit</t>
  </si>
  <si>
    <t xml:space="preserve">Staff cost: Operations &amp; support</t>
  </si>
  <si>
    <t xml:space="preserve">Staff cost: Sales &amp; partnerships</t>
  </si>
  <si>
    <t xml:space="preserve">Staff cost: Marketing</t>
  </si>
  <si>
    <t xml:space="preserve">Staff cost: Finance &amp; admin</t>
  </si>
  <si>
    <t xml:space="preserve">Total staff cost</t>
  </si>
  <si>
    <t xml:space="preserve">Staff (€)</t>
  </si>
  <si>
    <t xml:space="preserve">Every amount of the 'Staff' sheet in euros (FCFA ÷ FCFA per euro on Assumptions). Edit the FCFA sheets and Assumptions, not this one.</t>
  </si>
  <si>
    <t xml:space="preserve">Client acquisition by channel and country, and the non-staff sales and marketing budget.</t>
  </si>
  <si>
    <t xml:space="preserve">Markets open</t>
  </si>
  <si>
    <t xml:space="preserve">Senegal open (1 = yes)</t>
  </si>
  <si>
    <t xml:space="preserve">Côte d'Ivoire open (1 = yes)</t>
  </si>
  <si>
    <t xml:space="preserve">Field sales</t>
  </si>
  <si>
    <t xml:space="preserve">Productive reps, Senegal (hired before this month)</t>
  </si>
  <si>
    <t xml:space="preserve">Productive reps, Côte d'Ivoire</t>
  </si>
  <si>
    <t xml:space="preserve">New clients from field sales, Senegal</t>
  </si>
  <si>
    <t xml:space="preserve">New clients from field sales, Côte d'Ivoire</t>
  </si>
  <si>
    <t xml:space="preserve">Partner channel (accountants, payroll software, chambers of commerce)</t>
  </si>
  <si>
    <t xml:space="preserve">New clients from partners, Senegal</t>
  </si>
  <si>
    <t xml:space="preserve">New clients from partners, Côte d'Ivoire</t>
  </si>
  <si>
    <t xml:space="preserve">Digital marketing</t>
  </si>
  <si>
    <t xml:space="preserve">New clients from digital, Senegal</t>
  </si>
  <si>
    <t xml:space="preserve">New clients from digital, Côte d'Ivoire</t>
  </si>
  <si>
    <t xml:space="preserve">New clients</t>
  </si>
  <si>
    <t xml:space="preserve">New clients, Senegal</t>
  </si>
  <si>
    <t xml:space="preserve">New clients, Côte d'Ivoire</t>
  </si>
  <si>
    <t xml:space="preserve">New clients, total</t>
  </si>
  <si>
    <t xml:space="preserve">of which Petite</t>
  </si>
  <si>
    <t xml:space="preserve">of which Moyenne</t>
  </si>
  <si>
    <t xml:space="preserve">of which Grande</t>
  </si>
  <si>
    <t xml:space="preserve">New clients from partners (for referral fees)</t>
  </si>
  <si>
    <t xml:space="preserve">Sales and marketing budget (non-staff)</t>
  </si>
  <si>
    <t xml:space="preserve">Digital ads</t>
  </si>
  <si>
    <t xml:space="preserve">Referral fees to partners</t>
  </si>
  <si>
    <t xml:space="preserve">Field sales transport</t>
  </si>
  <si>
    <t xml:space="preserve">Total sales and marketing budget (non-staff)</t>
  </si>
  <si>
    <t xml:space="preserve">Acquisition efficiency</t>
  </si>
  <si>
    <t xml:space="preserve">Sales, partnerships and marketing staff cost</t>
  </si>
  <si>
    <t xml:space="preserve">Blended cost to acquire a client (staff + budget)</t>
  </si>
  <si>
    <t xml:space="preserve">Sales &amp; marketing (€)</t>
  </si>
  <si>
    <t xml:space="preserve">Every amount of the 'Sales &amp; marketing' sheet in euros (FCFA ÷ FCFA per euro on Assumptions). Edit the FCFA sheets and Assumptions, not this one.</t>
  </si>
  <si>
    <t xml:space="preserve">Active clients by plan, usage and every revenue line except credit (see Credit).</t>
  </si>
  <si>
    <t xml:space="preserve">New clients by plan</t>
  </si>
  <si>
    <t xml:space="preserve">New clients, Petite</t>
  </si>
  <si>
    <t xml:space="preserve">New clients, Moyenne</t>
  </si>
  <si>
    <t xml:space="preserve">New clients, Grande</t>
  </si>
  <si>
    <t xml:space="preserve">Active clients (end of month)</t>
  </si>
  <si>
    <t xml:space="preserve">Active clients, Petite</t>
  </si>
  <si>
    <t xml:space="preserve">Active clients, Moyenne</t>
  </si>
  <si>
    <t xml:space="preserve">Active clients, Grande</t>
  </si>
  <si>
    <t xml:space="preserve">Active clients, total</t>
  </si>
  <si>
    <t xml:space="preserve">Blended monthly churn (by sales mix)</t>
  </si>
  <si>
    <t xml:space="preserve">Active clients, Senegal (approx.)</t>
  </si>
  <si>
    <t xml:space="preserve">Active clients, Côte d'Ivoire (approx.)</t>
  </si>
  <si>
    <t xml:space="preserve">Clients in their free months, and paying clients</t>
  </si>
  <si>
    <t xml:space="preserve">In free months, Petite</t>
  </si>
  <si>
    <t xml:space="preserve">In free months, Moyenne</t>
  </si>
  <si>
    <t xml:space="preserve">In free months, Grande</t>
  </si>
  <si>
    <t xml:space="preserve">Paying clients, Petite</t>
  </si>
  <si>
    <t xml:space="preserve">Paying clients, Moyenne</t>
  </si>
  <si>
    <t xml:space="preserve">Paying clients, Grande</t>
  </si>
  <si>
    <t xml:space="preserve">Usage</t>
  </si>
  <si>
    <t xml:space="preserve">Employees of active clients</t>
  </si>
  <si>
    <t xml:space="preserve">Employee salary accounts</t>
  </si>
  <si>
    <t xml:space="preserve">Physical cards issued</t>
  </si>
  <si>
    <t xml:space="preserve">Physical cards charged (first one free)</t>
  </si>
  <si>
    <t xml:space="preserve">Active cards</t>
  </si>
  <si>
    <t xml:space="preserve">Card spending in FCFA</t>
  </si>
  <si>
    <t xml:space="preserve">Card spending in foreign currencies</t>
  </si>
  <si>
    <t xml:space="preserve">Client balances (average)</t>
  </si>
  <si>
    <t xml:space="preserve">Salaries paid through Tabax</t>
  </si>
  <si>
    <t xml:space="preserve">Supplier payouts above the allowance</t>
  </si>
  <si>
    <t xml:space="preserve">Payment links: share of clients using them</t>
  </si>
  <si>
    <t xml:space="preserve">Payment links: amounts collected</t>
  </si>
  <si>
    <t xml:space="preserve">Revenue (excluding credit)</t>
  </si>
  <si>
    <t xml:space="preserve">Price factor (yearly increase × yearly-billing discount)</t>
  </si>
  <si>
    <t xml:space="preserve">Subscriptions, Petite</t>
  </si>
  <si>
    <t xml:space="preserve">Subscriptions, Moyenne</t>
  </si>
  <si>
    <t xml:space="preserve">Subscriptions, Grande</t>
  </si>
  <si>
    <t xml:space="preserve">Subscriptions</t>
  </si>
  <si>
    <t xml:space="preserve">Interchange share on FCFA card spending</t>
  </si>
  <si>
    <t xml:space="preserve">Physical card fees</t>
  </si>
  <si>
    <t xml:space="preserve">Payment link fees</t>
  </si>
  <si>
    <t xml:space="preserve">Revenue excluding credit</t>
  </si>
  <si>
    <t xml:space="preserve">Clients &amp; revenue (€)</t>
  </si>
  <si>
    <t xml:space="preserve">Every amount of the 'Clients &amp; revenue' sheet in euros (FCFA ÷ FCFA per euro on Assumptions). Edit the FCFA sheets and Assumptions, not this one.</t>
  </si>
  <si>
    <t xml:space="preserve">Loan book by product, interest, cost of funds, losses and the share Tabax keeps. A partner SFD lends until Tabax's own SFD (Senegal) takes over; Côte d'Ivoire loans stay with a partner.</t>
  </si>
  <si>
    <t xml:space="preserve">Active clients</t>
  </si>
  <si>
    <t xml:space="preserve">Ramp-up (share of full uptake)</t>
  </si>
  <si>
    <t xml:space="preserve">Loans outstanding (end of month)</t>
  </si>
  <si>
    <t xml:space="preserve">Total loan book</t>
  </si>
  <si>
    <t xml:space="preserve">Average loans outstanding in the month</t>
  </si>
  <si>
    <t xml:space="preserve">Average loan book</t>
  </si>
  <si>
    <t xml:space="preserve">Credit income and costs</t>
  </si>
  <si>
    <t xml:space="preserve">Interest and fees (daily rate)</t>
  </si>
  <si>
    <t xml:space="preserve">Net credit margin</t>
  </si>
  <si>
    <t xml:space="preserve">Senegal share of clients (own SFD lends there only)</t>
  </si>
  <si>
    <t xml:space="preserve">Share of the margin kept by Tabax</t>
  </si>
  <si>
    <t xml:space="preserve">Net credit income to Tabax</t>
  </si>
  <si>
    <t xml:space="preserve">Cash tied up by credit</t>
  </si>
  <si>
    <t xml:space="preserve">First-loss reserve (partner loans) and equity in the own SFD's loans</t>
  </si>
  <si>
    <t xml:space="preserve">Credit (€)</t>
  </si>
  <si>
    <t xml:space="preserve">Every amount of the 'Credit' sheet in euros (FCFA ÷ FCFA per euro on Assumptions). Edit the FCFA sheets and Assumptions, not this one.</t>
  </si>
  <si>
    <t xml:space="preserve">Every cost line by month: variable costs that grow with clients, then fixed costs by category and the contingency.</t>
  </si>
  <si>
    <t xml:space="preserve">Variable costs (cost to serve)</t>
  </si>
  <si>
    <t xml:space="preserve">Onboarding check tools (company screening, ID checks)</t>
  </si>
  <si>
    <t xml:space="preserve">Card processing (per active card)</t>
  </si>
  <si>
    <t xml:space="preserve">Salaries paid to wallets</t>
  </si>
  <si>
    <t xml:space="preserve">Employee account processing</t>
  </si>
  <si>
    <t xml:space="preserve">Total variable costs</t>
  </si>
  <si>
    <t xml:space="preserve">Operations &amp; support</t>
  </si>
  <si>
    <t xml:space="preserve">Total staff</t>
  </si>
  <si>
    <t xml:space="preserve">Office and equipment</t>
  </si>
  <si>
    <t xml:space="preserve">Dakar office (Regus, all included)</t>
  </si>
  <si>
    <t xml:space="preserve">Abidjan office (Regus, all included)</t>
  </si>
  <si>
    <t xml:space="preserve">Phones and data plans</t>
  </si>
  <si>
    <t xml:space="preserve">Laptops for new hires (MacBooks for the CTO and developers)</t>
  </si>
  <si>
    <t xml:space="preserve">Total office and equipment</t>
  </si>
  <si>
    <t xml:space="preserve">Gmail and ClickUp (every employee)</t>
  </si>
  <si>
    <t xml:space="preserve">Claude Enterprise seats (CTO, developers, 2 shared)</t>
  </si>
  <si>
    <t xml:space="preserve">Website tool and domain</t>
  </si>
  <si>
    <t xml:space="preserve">Card processor set-up fee</t>
  </si>
  <si>
    <t xml:space="preserve">Card processor minimum (top-up above per-card fees)</t>
  </si>
  <si>
    <t xml:space="preserve">Total technology</t>
  </si>
  <si>
    <t xml:space="preserve">Partner bank set-up, Senegal</t>
  </si>
  <si>
    <t xml:space="preserve">Partner bank set-up, Côte d'Ivoire</t>
  </si>
  <si>
    <t xml:space="preserve">Partner SFD integration and fees</t>
  </si>
  <si>
    <t xml:space="preserve">Total bank and SFD partners</t>
  </si>
  <si>
    <t xml:space="preserve">Company set-up (Senegal, Côte d'Ivoire)</t>
  </si>
  <si>
    <t xml:space="preserve">SFD acquisition: due diligence, counsel, approval file</t>
  </si>
  <si>
    <t xml:space="preserve">Own SFD running costs</t>
  </si>
  <si>
    <t xml:space="preserve">Total legal, regulatory and audit</t>
  </si>
  <si>
    <t xml:space="preserve">Total sales and marketing (non-staff)</t>
  </si>
  <si>
    <t xml:space="preserve">Recruitment agency fees (senior hires)</t>
  </si>
  <si>
    <t xml:space="preserve">Total other</t>
  </si>
  <si>
    <t xml:space="preserve">Fixed costs summary</t>
  </si>
  <si>
    <t xml:space="preserve">Fixed costs before contingency (staff, office, tech, partners, legal, marketing, other)</t>
  </si>
  <si>
    <t xml:space="preserve">Contingency (5% buffer for unplanned costs)</t>
  </si>
  <si>
    <t xml:space="preserve">Total fixed costs</t>
  </si>
  <si>
    <t xml:space="preserve">Costs (€)</t>
  </si>
  <si>
    <t xml:space="preserve">Every amount of the 'Costs' sheet in euros (FCFA ÷ FCFA per euro on Assumptions). Edit the FCFA sheets and Assumptions, not this one.</t>
  </si>
  <si>
    <t xml:space="preserve">Profit and loss by month. Revenue excludes VAT and taxes on financial services.</t>
  </si>
  <si>
    <t xml:space="preserve">Supplier payout fees above the allowance</t>
  </si>
  <si>
    <t xml:space="preserve">Net credit income</t>
  </si>
  <si>
    <t xml:space="preserve">Cost of revenue (variable costs)</t>
  </si>
  <si>
    <t xml:space="preserve">Bank accounts and onboarding</t>
  </si>
  <si>
    <t xml:space="preserve">Cards: processing, production, scheme fees, fraud</t>
  </si>
  <si>
    <t xml:space="preserve">Payouts and collections</t>
  </si>
  <si>
    <t xml:space="preserve">Messaging and employee accounts</t>
  </si>
  <si>
    <t xml:space="preserve">Total cost of revenue</t>
  </si>
  <si>
    <t xml:space="preserve">Operating expenses</t>
  </si>
  <si>
    <t xml:space="preserve">Contingency</t>
  </si>
  <si>
    <t xml:space="preserve">Cumulative EBITDA (for tax losses carried forward)</t>
  </si>
  <si>
    <t xml:space="preserve">Corporate income tax</t>
  </si>
  <si>
    <t xml:space="preserve">Cumulative net income</t>
  </si>
  <si>
    <t xml:space="preserve">Helpers</t>
  </si>
  <si>
    <t xml:space="preserve">Month number if EBITDA is positive (999 otherwise)</t>
  </si>
  <si>
    <t xml:space="preserve">P&amp;L monthly (€)</t>
  </si>
  <si>
    <t xml:space="preserve">Every amount of the 'P&amp;L monthly' sheet in euros (FCFA ÷ FCFA per euro on Assumptions). Edit the FCFA sheets and Assumptions, not this one.</t>
  </si>
  <si>
    <t xml:space="preserve">Years 1–5, summed from the monthly sheets. FCFA in columns D–I, euros in columns K–P.</t>
  </si>
  <si>
    <t xml:space="preserve">5 years</t>
  </si>
  <si>
    <t xml:space="preserve">Y1 (€)</t>
  </si>
  <si>
    <t xml:space="preserve">Y2 (€)</t>
  </si>
  <si>
    <t xml:space="preserve">Y3 (€)</t>
  </si>
  <si>
    <t xml:space="preserve">Y4 (€)</t>
  </si>
  <si>
    <t xml:space="preserve">Y5 (€)</t>
  </si>
  <si>
    <t xml:space="preserve">5 years (€)</t>
  </si>
  <si>
    <t xml:space="preserve">Fiscal year</t>
  </si>
  <si>
    <t xml:space="preserve">Revenue growth</t>
  </si>
  <si>
    <t xml:space="preserve">Cost of revenue</t>
  </si>
  <si>
    <t xml:space="preserve">Cash and funding</t>
  </si>
  <si>
    <t xml:space="preserve">Cash flow before funding</t>
  </si>
  <si>
    <t xml:space="preserve">Equity raised</t>
  </si>
  <si>
    <t xml:space="preserve">Closing cash (end of year)</t>
  </si>
  <si>
    <t xml:space="preserve">Operating figures (end of year)</t>
  </si>
  <si>
    <t xml:space="preserve">of which Senegal (approx.)</t>
  </si>
  <si>
    <t xml:space="preserve">of which Côte d'Ivoire (approx.)</t>
  </si>
  <si>
    <t xml:space="preserve">Loan book</t>
  </si>
  <si>
    <t xml:space="preserve">Employee salary accounts (B2C)</t>
  </si>
  <si>
    <t xml:space="preserve">Monthly cash: net income, cash set aside (card collateral, credit), the SFD acquisition, funding rounds and the closing balance.</t>
  </si>
  <si>
    <t xml:space="preserve">Operations</t>
  </si>
  <si>
    <t xml:space="preserve">Cash set aside (restricted)</t>
  </si>
  <si>
    <t xml:space="preserve">Card programme collateral</t>
  </si>
  <si>
    <t xml:space="preserve">Change in cash tied up by credit</t>
  </si>
  <si>
    <t xml:space="preserve">Cumulative cash flow before funding</t>
  </si>
  <si>
    <t xml:space="preserve">Funding</t>
  </si>
  <si>
    <t xml:space="preserve">Net cash flow</t>
  </si>
  <si>
    <t xml:space="preserve">Cash balance</t>
  </si>
  <si>
    <t xml:space="preserve">Opening cash</t>
  </si>
  <si>
    <t xml:space="preserve">Cash set aside so far (not included in closing cash)</t>
  </si>
  <si>
    <t xml:space="preserve">Monthly burn (average of the last 3 months, if negative)</t>
  </si>
  <si>
    <t xml:space="preserve">Runway at that burn (months)</t>
  </si>
  <si>
    <t xml:space="preserve">Cash flow (€)</t>
  </si>
  <si>
    <t xml:space="preserve">Every amount of the 'Cash flow' sheet in euros (FCFA ÷ FCFA per euro on Assumptions). Edit the FCFA sheets and Assumptions, not this one.</t>
  </si>
  <si>
    <t xml:space="preserve">Unit economics and KPIs</t>
  </si>
  <si>
    <t xml:space="preserve">Per-client economics and efficiency ratios by year. Euros in columns J–N.</t>
  </si>
  <si>
    <t xml:space="preserve">Clients</t>
  </si>
  <si>
    <t xml:space="preserve">Average active clients</t>
  </si>
  <si>
    <t xml:space="preserve">Clients lost (approx.)</t>
  </si>
  <si>
    <t xml:space="preserve">Revenue and margin per client (per month)</t>
  </si>
  <si>
    <t xml:space="preserve">Revenue per active client (ARPA), incl. credit</t>
  </si>
  <si>
    <t xml:space="preserve">of which subscription</t>
  </si>
  <si>
    <t xml:space="preserve">Contribution per client (gross margin)</t>
  </si>
  <si>
    <t xml:space="preserve">Acquisition</t>
  </si>
  <si>
    <t xml:space="preserve">Sales and marketing spend (staff + budget)</t>
  </si>
  <si>
    <t xml:space="preserve">Blended cost to acquire a client (CAC)</t>
  </si>
  <si>
    <t xml:space="preserve">CAC payback</t>
  </si>
  <si>
    <t xml:space="preserve">Lifetime contribution per client (contribution ÷ churn)</t>
  </si>
  <si>
    <t xml:space="preserve">Lifetime contribution ÷ CAC</t>
  </si>
  <si>
    <t xml:space="preserve">Efficiency</t>
  </si>
  <si>
    <t xml:space="preserve">Revenue per employee</t>
  </si>
  <si>
    <t xml:space="preserve">Staff cost as % of revenue</t>
  </si>
  <si>
    <t xml:space="preserve">New clients per field sales rep (end-of-year reps)</t>
  </si>
  <si>
    <t xml:space="preserve">Credit income as % of revenue</t>
  </si>
  <si>
    <t xml:space="preserve">Loan book per active client (end of year)</t>
  </si>
  <si>
    <t xml:space="preserve">Bank income share on balances as % of revenue</t>
  </si>
  <si>
    <t xml:space="preserve">How many companies Tabax can serve, and the share of them the plan reaches. Blue cells are inputs with their sources.</t>
  </si>
  <si>
    <t xml:space="preserve">Senegal: inputs</t>
  </si>
  <si>
    <t xml:space="preserve">Value</t>
  </si>
  <si>
    <t xml:space="preserve">€ equivalent</t>
  </si>
  <si>
    <t xml:space="preserve">Formal employers contributing to IPRES (2024)</t>
  </si>
  <si>
    <t xml:space="preserve">companies</t>
  </si>
  <si>
    <t xml:space="preserve">Le Soleil citing ANSD SES 2024: 40,300 contributing employers (+4.9% vs 2023). https://lesoleil.sn/actualites/economie/prevoyance-retraite-les-charges-de-lipres-estimees-a-plus-de-153-milliards-de-fcfa-en-2024/</t>
  </si>
  <si>
    <t xml:space="preserve">Growth in formal employers</t>
  </si>
  <si>
    <t xml:space="preserve">2023 → 2024 growth (38,381 → 40,300).</t>
  </si>
  <si>
    <t xml:space="preserve">Declared private-sector employees (IPRES, 2024)</t>
  </si>
  <si>
    <t xml:space="preserve">Same source. Base for employee salary accounts.</t>
  </si>
  <si>
    <t xml:space="preserve">New companies registered a year (APIX)</t>
  </si>
  <si>
    <t xml:space="preserve">companies / year</t>
  </si>
  <si>
    <t xml:space="preserve">AllAfrica / APS, Sep 2025.</t>
  </si>
  <si>
    <t xml:space="preserve">Economic units (ANSD census 2016, 97% informal)</t>
  </si>
  <si>
    <t xml:space="preserve">units</t>
  </si>
  <si>
    <t xml:space="preserve">ANSD RGE 2016. A new census (RGE-2) is under way, results 2027–28.</t>
  </si>
  <si>
    <t xml:space="preserve">Share of formal employers in Tabax's target (2–500 staff, urban, digital)</t>
  </si>
  <si>
    <t xml:space="preserve">Assumption. Core target: Dakar, Thiès, Saint-Louis.</t>
  </si>
  <si>
    <t xml:space="preserve">Côte d'Ivoire: inputs</t>
  </si>
  <si>
    <t xml:space="preserve">Formal employers (estimate)</t>
  </si>
  <si>
    <t xml:space="preserve">ESTIMATE: no published CNPS count of contributing employers was found. About 1.5× Senegal, as Côte d'Ivoire's economy is about twice as large. Replace with the CNPS annual report.</t>
  </si>
  <si>
    <t xml:space="preserve">Assumption.</t>
  </si>
  <si>
    <t xml:space="preserve">New companies created a year (CEPICI, 2025)</t>
  </si>
  <si>
    <t xml:space="preserve">CEPICI 2025 review (Feb 2026): 26,948 companies created, +6%. https://fr.allafrica.com/stories/202602200240.html</t>
  </si>
  <si>
    <t xml:space="preserve">Share of formal employers in Tabax's target</t>
  </si>
  <si>
    <t xml:space="preserve">Assumption. Core target: Abidjan.</t>
  </si>
  <si>
    <t xml:space="preserve">Addressable market and plan penetration (end of year)</t>
  </si>
  <si>
    <t xml:space="preserve">Y1</t>
  </si>
  <si>
    <t xml:space="preserve">Y2</t>
  </si>
  <si>
    <t xml:space="preserve">Y3</t>
  </si>
  <si>
    <t xml:space="preserve">Y4</t>
  </si>
  <si>
    <t xml:space="preserve">Y5</t>
  </si>
  <si>
    <t xml:space="preserve">Senegal: formal employers</t>
  </si>
  <si>
    <t xml:space="preserve">Senegal: target companies (serviceable market)</t>
  </si>
  <si>
    <t xml:space="preserve">Senegal: Tabax active clients</t>
  </si>
  <si>
    <t xml:space="preserve">Senegal: share of target companies</t>
  </si>
  <si>
    <t xml:space="preserve">Côte d'Ivoire: formal employers</t>
  </si>
  <si>
    <t xml:space="preserve">Côte d'Ivoire: target companies (serviceable market)</t>
  </si>
  <si>
    <t xml:space="preserve">Côte d'Ivoire: Tabax active clients</t>
  </si>
  <si>
    <t xml:space="preserve">Côte d'Ivoire: share of target companies</t>
  </si>
  <si>
    <t xml:space="preserve">Employee salary accounts vs declared employees in Senegal</t>
  </si>
  <si>
    <t xml:space="preserve">Revenue pool today (indicative)</t>
  </si>
  <si>
    <t xml:space="preserve">Bank business account fee (SME)</t>
  </si>
  <si>
    <t xml:space="preserve">UBA Senegal: 25,000 FCFA for SA/SARL, 10,000 for small businesses (comparison site, unverified).</t>
  </si>
  <si>
    <t xml:space="preserve">Senegal: what target companies pay for business accounts today</t>
  </si>
  <si>
    <t xml:space="preserve">Account fees only; transfer, card and payout fees come on top. Wave Business charges 1% on bulk payouts.</t>
  </si>
  <si>
    <t xml:space="preserve">What each stage needs from regulators (BCEAO / WAEMU, Senegal, Côte d'Ivoire) and where its cost sits in the model. Not legal advice: confirm with local counsel.</t>
  </si>
  <si>
    <t xml:space="preserve">Note: Not legal advice. Built from BCEAO and Commission Bancaire texts, Senegal and Côte d'Ivoire laws and FATF lists (research of 13 October 2026). 'Verified' = read in the official text or a reliable secondary source; 'To confirm' = not found or sources conflict. Confirm with local counsel before filing.</t>
  </si>
  <si>
    <t xml:space="preserve">Note: Three points change the plan: (1) no 'banque', 'bancaire' or 'néobanque' wording without a licence; (2) the credit partner must be a microfinance institution or a credit company, because banks are capped at 14% a year; (3) the change-of-control file for the microfinance company must go in about 6 months before the closing.</t>
  </si>
  <si>
    <t xml:space="preserve">Stage</t>
  </si>
  <si>
    <t xml:space="preserve">When</t>
  </si>
  <si>
    <t xml:space="preserve">Topic</t>
  </si>
  <si>
    <t xml:space="preserve">Requirement</t>
  </si>
  <si>
    <t xml:space="preserve">Authority and legal basis</t>
  </si>
  <si>
    <t xml:space="preserve">In the model</t>
  </si>
  <si>
    <t xml:space="preserve">Status</t>
  </si>
  <si>
    <t xml:space="preserve">Stage 0 · Set-up and build</t>
  </si>
  <si>
    <t xml:space="preserve">Tabax is an ordinary company with no financial licence. It builds the product on Maak's platform and signs its partners. The legal form, the name and the contracts must already fit the later stages.</t>
  </si>
  <si>
    <t xml:space="preserve">Legal form</t>
  </si>
  <si>
    <t xml:space="preserve">Create Tabax in Senegal (APIX one-stop shop). An SAS has no minimum capital; an SA needs 10M FCFA. Any future licensed entity must be an SA: a microfinance institution can only be an SA (not single-shareholder) or a cooperative.</t>
  </si>
  <si>
    <t xml:space="preserve">OHADA Uniform Act on commercial companies; Senegal Loi 2025-04 on microfinance, Art. 15</t>
  </si>
  <si>
    <t xml:space="preserve">Company set-up, Senegal (2.5M FCFA)</t>
  </si>
  <si>
    <t xml:space="preserve">Verified</t>
  </si>
  <si>
    <t xml:space="preserve">Name and wording</t>
  </si>
  <si>
    <t xml:space="preserve">Without a licence, nobody may use 'banque', 'bancaire', 'établissement de paiement' or 'monnaie électronique' in a company name, trade name or advertising, or create the appearance of being one. The same applies to presenting itself as a 'FinTech' while doing banking operations. Keep 'Tabax' and avoid 'néobanque' in French marketing until licensed; name the partner instead.</t>
  </si>
  <si>
    <t xml:space="preserve">Uniform banking law, Arts 31–32 (Senegal Loi 2025-03 of 19 Feb 2025)</t>
  </si>
  <si>
    <t xml:space="preserve">None</t>
  </si>
  <si>
    <t xml:space="preserve">Personal data</t>
  </si>
  <si>
    <t xml:space="preserve">Declare the processing to the CDP before onboarding clients. Biometric face matching needs a CDP authorisation. Hosting outside Senegal is allowed to countries with adequate protection after informing the CDP, otherwise with its authorisation. No general data-localisation rule for finance was found.</t>
  </si>
  <si>
    <t xml:space="preserve">Senegal Loi 2008-12, Arts 18, 20, 49, 51 (CDP)</t>
  </si>
  <si>
    <t xml:space="preserve">Data-protection filings (3.5M FCFA in year 1)</t>
  </si>
  <si>
    <t xml:space="preserve">Maak contract</t>
  </si>
  <si>
    <t xml:space="preserve">Lease payments to Maak above 20M FCFA a year go through an approved bank (domiciliation) and the contract is registered with the tax office. If Maak takes equity instead, it becomes a shareholder that the microfinance change-of-control review will look at in stage 3.</t>
  </si>
  <si>
    <t xml:space="preserve">Règlement n°06/2024/CM/UEMOA on foreign exchange</t>
  </si>
  <si>
    <t xml:space="preserve">Maak lease (Technology); Maak stake (Dashboard)</t>
  </si>
  <si>
    <t xml:space="preserve">Verified (secondary)</t>
  </si>
  <si>
    <t xml:space="preserve">IT security</t>
  </si>
  <si>
    <t xml:space="preserve">Partners will ask for a security audit before go-live. Licensed payment providers run penetration tests at least once a year and send the reports to the Commission Bancaire within 30 days.</t>
  </si>
  <si>
    <t xml:space="preserve">BCEAO Instruction 001-01-2024 on payment services, Art. 83</t>
  </si>
  <si>
    <t xml:space="preserve">Tech audit, $10k a year from month 4</t>
  </si>
  <si>
    <t xml:space="preserve">Stage 1 · Launch in Senegal through partners</t>
  </si>
  <si>
    <t xml:space="preserve">Accounts, cards, payments and client money stay with licensed partners. Tabax runs the app, onboarding, sales and support as the partner's registered agent or technical provider.</t>
  </si>
  <si>
    <t xml:space="preserve">Tabax's status</t>
  </si>
  <si>
    <t xml:space="preserve">Presenting a bank's or credit company's products makes Tabax an 'intermédiaire mandaté' (agent bancaire or payment-services agent). The partner must have Tabax entered on the BCEAO's register before launch and sign a written mandate that follows the outsourcing rules; the partner stays fully liable. With an e-money issuer, Tabax can instead be its technical provider or distributor, on the list the issuer sends to the BCEAO.</t>
  </si>
  <si>
    <t xml:space="preserve">Uniform banking law, Arts 92–97; BCEAO Instr. 001-01-2024, Arts 38–41; Instr. 008-05-2015, Arts 4, 17, 36</t>
  </si>
  <si>
    <t xml:space="preserve">Partner bank set-up and legal counsel</t>
  </si>
  <si>
    <t xml:space="preserve">Verified (register procedure: to confirm)</t>
  </si>
  <si>
    <t xml:space="preserve">Disclosure to clients</t>
  </si>
  <si>
    <t xml:space="preserve">Tabax tells clients it acts for the partner and names the partner in the app, the contracts and the ads. An agent may hold several mandates but acts only in its principal's country.</t>
  </si>
  <si>
    <t xml:space="preserve">Uniform banking law, Arts 92–101</t>
  </si>
  <si>
    <t xml:space="preserve">Partner's filings</t>
  </si>
  <si>
    <t xml:space="preserve">Tabax's work is a critical outsourced function. A payment institution informs the BCEAO and the Commission Bancaire at least 30 days before, with a contract carrying the required clauses. Exclusivity clauses in such partnerships are banned.</t>
  </si>
  <si>
    <t xml:space="preserve">BCEAO Instr. 001-01-2024, Arts 28, 36, 37; Uniform banking law, Art. 29</t>
  </si>
  <si>
    <t xml:space="preserve">Partner set-up fees</t>
  </si>
  <si>
    <t xml:space="preserve">Client money</t>
  </si>
  <si>
    <t xml:space="preserve">Tabax never holds client funds. The partner keeps them under its licence: e-money float or payment funds ring-fenced at a bank and reconciled daily.</t>
  </si>
  <si>
    <t xml:space="preserve">BCEAO Instr. 001-01-2024, Art. 48; Instr. 008-05-2015</t>
  </si>
  <si>
    <t xml:space="preserve">Share of bank income on balances (negotiated with the partner)</t>
  </si>
  <si>
    <t xml:space="preserve">Onboarding checks (KYB / KYC)</t>
  </si>
  <si>
    <t xml:space="preserve">Tabax can run remote onboarding for the partner: face-to-document match with a fallback in person. For a company: legal form, directors, shareholders, beneficial owners above 25% and the RCCM number.</t>
  </si>
  <si>
    <t xml:space="preserve">BCEAO Instr. 003-03-2025, Arts 7, 13–19; Senegal Loi 2024-08 (AML/CFT)</t>
  </si>
  <si>
    <t xml:space="preserve">KYB and ID checks (cost to serve)</t>
  </si>
  <si>
    <t xml:space="preserve">Card spending abroad</t>
  </si>
  <si>
    <t xml:space="preserve">Under the 2024 foreign-exchange rules, card payments abroad go through the partner bank, and cards may not be used to pay for goods from abroad (travel and personal spending only). Check with the partner how ads and software subscriptions paid by card are treated: they underpin the foreign-currency fee revenue.</t>
  </si>
  <si>
    <t xml:space="preserve">Règlement n°06/2024/CM/UEMOA; BCEAO instructions 001–015-07-2025/RFE</t>
  </si>
  <si>
    <t xml:space="preserve">Fees on foreign-currency card spending (about 17% of revenue)</t>
  </si>
  <si>
    <t xml:space="preserve">To confirm</t>
  </si>
  <si>
    <t xml:space="preserve">Instant payments</t>
  </si>
  <si>
    <t xml:space="preserve">Salary and supplier payouts to wallets and bank accounts run through the partner's connection to PI-SPI, the BCEAO instant-payment platform live since September 2025.</t>
  </si>
  <si>
    <t xml:space="preserve">BCEAO, PI-SPI</t>
  </si>
  <si>
    <t xml:space="preserve">Payout costs (cost to serve)</t>
  </si>
  <si>
    <t xml:space="preserve">Stage 2 · Credit and Côte d'Ivoire</t>
  </si>
  <si>
    <t xml:space="preserve">A licensed lender makes the loans; Tabax sources, scores and follows them. Côte d'Ivoire opens with Ivorian partners, under the old banking regime.</t>
  </si>
  <si>
    <t xml:space="preserve">Who can lend at 23%</t>
  </si>
  <si>
    <t xml:space="preserve">Lending, factoring included, is reserved to licensed institutions. Since 1 June 2026 the usury cap is 14% a year for banks and 24% for microfinance institutions and credit companies (EFC). The lending partner must therefore be a microfinance institution or an EFC, not a bank.</t>
  </si>
  <si>
    <t xml:space="preserve">Décision n°19 du 29/12/2025/CM/UMOA (usury rates); Uniform banking law, Arts 17, 19</t>
  </si>
  <si>
    <t xml:space="preserve">Credit yields 22–23% (Assumptions, section 7)</t>
  </si>
  <si>
    <t xml:space="preserve">Effective rate</t>
  </si>
  <si>
    <t xml:space="preserve">The 24% cap applies to the effective rate (TEG): interest plus fees, commissions and guarantee costs, taxes excluded, stated in writing in the loan contract. At 23% interest about 1 point is left for all fees, Tabax's included if the borrower pays them.</t>
  </si>
  <si>
    <t xml:space="preserve">Senegal Loi 2021-19 on usury</t>
  </si>
  <si>
    <t xml:space="preserve">Yield inputs (Assumptions, section 7)</t>
  </si>
  <si>
    <t xml:space="preserve">Credit bureau</t>
  </si>
  <si>
    <t xml:space="preserve">The lender reports loans to the credit bureau (Creditinfo VoLo) and consults it. In Senegal the borrower's consent is still required for new loans; Côte d'Ivoire dropped it.</t>
  </si>
  <si>
    <t xml:space="preserve">Uniform law on credit bureaus (Senegal Loi 2014-02, amended by Loi 2018-11); Côte d'Ivoire ordinance of 2016</t>
  </si>
  <si>
    <t xml:space="preserve">Microfinance institutions may offer factoring as a secondary activity, with its own authorisation. Senegal's factoring law (transposing the 2020 uniform law) was adopted by the Assembly in May 2026; promulgation not confirmed.</t>
  </si>
  <si>
    <t xml:space="preserve">Uniform microfinance law, Art. 5; Décision n°23/CM/UMOA (2020)</t>
  </si>
  <si>
    <t xml:space="preserve">Factoring from month 18</t>
  </si>
  <si>
    <t xml:space="preserve">Côte d'Ivoire regime</t>
  </si>
  <si>
    <t xml:space="preserve">Côte d'Ivoire has not yet transposed the new banking and microfinance laws (bills adopted in Council of Ministers in April 2026). Under the old regime an 'intermédiaire en opérations de banque' needs the prior authorisation of the Minister of Finance, reviewed by the BCEAO. An agent only acts in its principal's country, so Ivorian partners are needed.</t>
  </si>
  <si>
    <t xml:space="preserve">Banking framework law 2008, Art. 105; BCEAO Instr. 015-12/2010/RB; Uniform banking law, Art. 94</t>
  </si>
  <si>
    <t xml:space="preserve">Côte d'Ivoire partner bank set-up (15M FCFA, month 16)</t>
  </si>
  <si>
    <t xml:space="preserve">Côte d'Ivoire data and AML</t>
  </si>
  <si>
    <t xml:space="preserve">ARTCI: declaration, and prior authorisation for biometrics, ID numbers, phone numbers and any transfer outside ECOWAS (no answer within a month means refusal). Côte d'Ivoire has been on the FATF grey list since October 2024: expect stricter checks from partners and correspondent banks.</t>
  </si>
  <si>
    <t xml:space="preserve">Côte d'Ivoire Loi 2013-450, Arts 7, 26; FATF list of 19 June 2026</t>
  </si>
  <si>
    <t xml:space="preserve">Taxes on fees</t>
  </si>
  <si>
    <t xml:space="preserve">Fees bear the 17% TAF in Senegal and the 10% tax on banking operations (TOB) in Côte d'Ivoire. Prices in the model are net of these taxes.</t>
  </si>
  <si>
    <t xml:space="preserve">Senegal and Côte d'Ivoire tax codes</t>
  </si>
  <si>
    <t xml:space="preserve">Not modelled (prices net of tax)</t>
  </si>
  <si>
    <t xml:space="preserve">Stage 3 · Buying a microfinance institution in Senegal</t>
  </si>
  <si>
    <t xml:space="preserve">Tabax buys a licensed microfinance institution (IMF, société anonyme) to lend from its own balance sheet and take deposits in Senegal. The change of control needs the Minister of Finance's prior approval on the BCEAO's binding opinion.</t>
  </si>
  <si>
    <t xml:space="preserve">Applicable law</t>
  </si>
  <si>
    <t xml:space="preserve">Senegal's microfinance law is now Loi 2025-04 of 19 February 2025, which replaced the 2008 SFD law. Existing institutions had 12 months to comply: due diligence must check the target's form, capital and governance.</t>
  </si>
  <si>
    <t xml:space="preserve">Senegal Loi 2025-04, Arts 168, 171, 173</t>
  </si>
  <si>
    <t xml:space="preserve">SFD acquisition: due diligence and approval file (40M FCFA in year 2)</t>
  </si>
  <si>
    <t xml:space="preserve">Change of control</t>
  </si>
  <si>
    <t xml:space="preserve">Prior authorisation by order of the Minister of Finance, after the BCEAO's binding opinion, for any stake crossing one third or one half of the votes. A complete file is deemed refused after 4 months without an answer: file around month 18 to close in month 24.</t>
  </si>
  <si>
    <t xml:space="preserve">Senegal Loi 2025-04, Arts 14, 22–23, 32</t>
  </si>
  <si>
    <t xml:space="preserve">Acquisition price (650M FCFA, month 24)</t>
  </si>
  <si>
    <t xml:space="preserve">Shareholders and directors</t>
  </si>
  <si>
    <t xml:space="preserve">Fit-and-proper review of Tabax, its shareholders and beneficial owners (Maak too if it holds equity) and of the directors. Directors and managers must be WAEMU nationals unless the Minister grants a derogation. The BCEAO sets the minimum capital and the largest stake one shareholder may hold: amounts not found, confirm before signing.</t>
  </si>
  <si>
    <t xml:space="preserve">Senegal Loi 2025-04, Arts 17, 18, 21, 42, 44–47</t>
  </si>
  <si>
    <t xml:space="preserve">To confirm (capital, stake cap)</t>
  </si>
  <si>
    <t xml:space="preserve">Governance and compliance</t>
  </si>
  <si>
    <t xml:space="preserve">Board and management body, internal control, a statutory auditor approved by the supervisor (4-year term), and an AML/CFT unit reporting to management that files suspicious-transaction reports with CENTIF. The compliance officer must be in place for the approval.</t>
  </si>
  <si>
    <t xml:space="preserve">Senegal Loi 2025-04, Arts 36, 53, 83; BCEAO Instr. 001-03-2025, Arts 7–8</t>
  </si>
  <si>
    <t xml:space="preserve">Compliance officer from month 24; statutory auditor and AML audit; own SFD running costs</t>
  </si>
  <si>
    <t xml:space="preserve">Prudential ratios</t>
  </si>
  <si>
    <t xml:space="preserve">Equity at least 15% of total assets; one borrower at most 10% of own funds; related-party loans at most 10%; liquidity at least 100%; activities other than savings and credit at most 5%; 15% of yearly profit to the general reserve.</t>
  </si>
  <si>
    <t xml:space="preserve">BCEAO Instr. 010-08-2010 (still applicable)</t>
  </si>
  <si>
    <t xml:space="preserve">Equity in the own SFD's loans: 15% of the book</t>
  </si>
  <si>
    <t xml:space="preserve">Supervisor</t>
  </si>
  <si>
    <t xml:space="preserve">An institution with 2bn FCFA or more of deposits or loans for two years in a row is supervised by the BCEAO and the Commission Bancaire, otherwise by the Ministry. The plan's loan book passes 2bn FCFA in year 3.</t>
  </si>
  <si>
    <t xml:space="preserve">Senegal Loi 2025-04, Art. 70; BCEAO Instr. 007-06-2010</t>
  </si>
  <si>
    <t xml:space="preserve">Loan book (Credit)</t>
  </si>
  <si>
    <t xml:space="preserve">Verified (threshold under the new law: to confirm)</t>
  </si>
  <si>
    <t xml:space="preserve">Activities and scope</t>
  </si>
  <si>
    <t xml:space="preserve">Deposits and loans for individuals and companies; payment services, e-money, leasing and factoring as secondary activities, each with its own authorisation. The licence covers Senegal only. Membership of the deposit-guarantee fund (FGDR-UMOA) with a yearly contribution.</t>
  </si>
  <si>
    <t xml:space="preserve">Senegal Loi 2025-04, Arts 4, 5, 11, 99–100</t>
  </si>
  <si>
    <t xml:space="preserve">Côte d'Ivoire loans stay with a partner; own SFD running costs</t>
  </si>
  <si>
    <t xml:space="preserve">Target clients</t>
  </si>
  <si>
    <t xml:space="preserve">The law describes microfinance clients as people 'generally without access to banks'. Confirm with the BCEAO that SME current accounts and payroll services fit the licence.</t>
  </si>
  <si>
    <t xml:space="preserve">Senegal Loi 2025-04, Art. 3</t>
  </si>
  <si>
    <t xml:space="preserve">Stage 4 · Personal accounts (B2C)</t>
  </si>
  <si>
    <t xml:space="preserve">Salary accounts for clients' employees, then other individuals, held by Tabax's microfinance institution in Senegal or a partner.</t>
  </si>
  <si>
    <t xml:space="preserve">Free basic services</t>
  </si>
  <si>
    <t xml:space="preserve">Since 2014 banks and credit companies must offer 19 basic services for free (account opening and closing, statements, salary domiciliation, transfers within the bank, WAEMU card payments, own-ATM withdrawals, and others). No such list was found for microfinance institutions; pricing B2C on the same basis keeps the offer competitive.</t>
  </si>
  <si>
    <t xml:space="preserve">BCEAO, 19 free banking services (2014)</t>
  </si>
  <si>
    <t xml:space="preserve">Employee accounts are free in the model</t>
  </si>
  <si>
    <t xml:space="preserve">Verified (microfinance scope: to confirm)</t>
  </si>
  <si>
    <t xml:space="preserve">Complaints</t>
  </si>
  <si>
    <t xml:space="preserve">An internal complaints process (payment services: reply within 7 business days), a yearly report and membership of the Observatoire de la qualité des services financiers (OQSF) for mediation.</t>
  </si>
  <si>
    <t xml:space="preserve">BCEAO Instr. 001-01-2024, Art. 51; Senegal Loi 2025-04, Arts 94–98</t>
  </si>
  <si>
    <t xml:space="preserve">Customer support team</t>
  </si>
  <si>
    <t xml:space="preserve">Identifying individuals</t>
  </si>
  <si>
    <t xml:space="preserve">No anonymous accounts. Remote onboarding is allowed with a face-to-document match and a fallback in person; biometrics need CDP (and ARTCI) authorisation. For e-money, identified holders may keep up to 4M FCFA and reload up to 15M FCFA a month from 2 November 2026.</t>
  </si>
  <si>
    <t xml:space="preserve">Uniform banking law, Art. 30; BCEAO Instr. 003-03-2025; BCEAO Instr. n°020 of 8 October 2026</t>
  </si>
  <si>
    <t xml:space="preserve">ID check per person (cost to serve)</t>
  </si>
  <si>
    <t xml:space="preserve">Salary advances are credit: the 24% effective-rate cap and the credit-bureau rules apply.</t>
  </si>
  <si>
    <t xml:space="preserve">Décision n°19 du 29/12/2025/CM/UMOA</t>
  </si>
  <si>
    <t xml:space="preserve">Salary advances from month 30</t>
  </si>
</sst>
</file>

<file path=xl/styles.xml><?xml version="1.0" encoding="utf-8"?>
<styleSheet xmlns="http://schemas.openxmlformats.org/spreadsheetml/2006/main">
  <numFmts count="18">
    <numFmt numFmtId="164" formatCode="General"/>
    <numFmt numFmtId="165" formatCode="0"/>
    <numFmt numFmtId="166" formatCode="mmm\ yyyy"/>
    <numFmt numFmtId="167" formatCode="#,##0;\(#,##0\);\-"/>
    <numFmt numFmtId="168" formatCode="\€#,##0;&quot;(€&quot;#,##0\);\-"/>
    <numFmt numFmtId="169" formatCode="0.0%;\(0.0%\);\-"/>
    <numFmt numFmtId="170" formatCode="#,##0.0;\(#,##0.0\);\-"/>
    <numFmt numFmtId="171" formatCode="dd\ mmm\ yyyy"/>
    <numFmt numFmtId="172" formatCode="#,##0.000"/>
    <numFmt numFmtId="173" formatCode="0.00"/>
    <numFmt numFmtId="174" formatCode="[&lt;100]\€#,##0.00;\€#,##0"/>
    <numFmt numFmtId="175" formatCode="0.00%;\(0.00%\);\-"/>
    <numFmt numFmtId="176" formatCode="#,##0&quot; FCFA&quot;"/>
    <numFmt numFmtId="177" formatCode="\€#,##0.00;&quot;-€&quot;#,##0.00;\-"/>
    <numFmt numFmtId="178" formatCode="mmm\-yy"/>
    <numFmt numFmtId="179" formatCode="\Y0"/>
    <numFmt numFmtId="180" formatCode="0.000"/>
    <numFmt numFmtId="181" formatCode="0.0\x"/>
  </numFmts>
  <fonts count="23">
    <font>
      <sz val="11"/>
      <color theme="1"/>
      <name val="Calibri"/>
      <family val="2"/>
      <charset val="1"/>
    </font>
    <font>
      <sz val="10"/>
      <name val="Arial"/>
      <family val="0"/>
    </font>
    <font>
      <sz val="10"/>
      <name val="Arial"/>
      <family val="0"/>
    </font>
    <font>
      <sz val="10"/>
      <name val="Arial"/>
      <family val="0"/>
    </font>
    <font>
      <b val="true"/>
      <sz val="16"/>
      <color rgb="FF000000"/>
      <name val="Arial"/>
      <family val="0"/>
      <charset val="1"/>
    </font>
    <font>
      <i val="true"/>
      <sz val="10"/>
      <color rgb="FF595959"/>
      <name val="Arial"/>
      <family val="0"/>
      <charset val="1"/>
    </font>
    <font>
      <b val="true"/>
      <sz val="11"/>
      <color rgb="FF000000"/>
      <name val="Arial"/>
      <family val="0"/>
      <charset val="1"/>
    </font>
    <font>
      <sz val="10"/>
      <color rgb="FF000000"/>
      <name val="Arial"/>
      <family val="0"/>
      <charset val="1"/>
    </font>
    <font>
      <sz val="11"/>
      <color rgb="FF000000"/>
      <name val="Arial"/>
      <family val="0"/>
      <charset val="1"/>
    </font>
    <font>
      <b val="true"/>
      <sz val="14"/>
      <color rgb="FF000000"/>
      <name val="Arial"/>
      <family val="0"/>
      <charset val="1"/>
    </font>
    <font>
      <b val="true"/>
      <sz val="10"/>
      <color rgb="FF000000"/>
      <name val="Arial"/>
      <family val="0"/>
      <charset val="1"/>
    </font>
    <font>
      <sz val="10"/>
      <color rgb="FF595959"/>
      <name val="Arial"/>
      <family val="0"/>
      <charset val="1"/>
    </font>
    <font>
      <b val="true"/>
      <sz val="10"/>
      <color rgb="FFC00000"/>
      <name val="Arial"/>
      <family val="0"/>
      <charset val="1"/>
    </font>
    <font>
      <b val="true"/>
      <sz val="10"/>
      <color rgb="FF008000"/>
      <name val="Arial"/>
      <family val="0"/>
      <charset val="1"/>
    </font>
    <font>
      <sz val="10"/>
      <color rgb="FF008000"/>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0"/>
      <color rgb="FF0000FF"/>
      <name val="Arial"/>
      <family val="0"/>
      <charset val="1"/>
    </font>
    <font>
      <b val="true"/>
      <sz val="10"/>
      <color rgb="FFFFFFFF"/>
      <name val="Arial"/>
      <family val="0"/>
      <charset val="1"/>
    </font>
    <font>
      <sz val="10"/>
      <color rgb="FF0000FF"/>
      <name val="Arial"/>
      <family val="0"/>
      <charset val="1"/>
    </font>
    <font>
      <b val="true"/>
      <sz val="12"/>
      <color rgb="FF000000"/>
      <name val="Arial"/>
      <family val="0"/>
      <charset val="1"/>
    </font>
    <font>
      <i val="true"/>
      <sz val="10"/>
      <color rgb="FF000000"/>
      <name val="Arial"/>
      <family val="0"/>
      <charset val="1"/>
    </font>
  </fonts>
  <fills count="7">
    <fill>
      <patternFill patternType="none"/>
    </fill>
    <fill>
      <patternFill patternType="gray125"/>
    </fill>
    <fill>
      <patternFill patternType="solid">
        <fgColor rgb="FFFFFF00"/>
        <bgColor rgb="FFFFFF00"/>
      </patternFill>
    </fill>
    <fill>
      <patternFill patternType="solid">
        <fgColor rgb="FFDCE6F2"/>
        <bgColor rgb="FFD9D9D9"/>
      </patternFill>
    </fill>
    <fill>
      <patternFill patternType="solid">
        <fgColor rgb="FF1F2A44"/>
        <bgColor rgb="FF003366"/>
      </patternFill>
    </fill>
    <fill>
      <patternFill patternType="solid">
        <fgColor rgb="FFFFF6D5"/>
        <bgColor rgb="FFF2F2F2"/>
      </patternFill>
    </fill>
    <fill>
      <patternFill patternType="solid">
        <fgColor rgb="FFF2F2F2"/>
        <bgColor rgb="FFFFF6D5"/>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0" fillId="2" borderId="0" xfId="0" applyFont="true" applyBorder="false" applyAlignment="false" applyProtection="false">
      <alignment horizontal="general" vertical="bottom" textRotation="0" wrapText="false" indent="0" shrinkToFit="false"/>
      <protection locked="true" hidden="false"/>
    </xf>
    <xf numFmtId="164" fontId="10"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65" fontId="10" fillId="3" borderId="0" xfId="0" applyFont="true" applyBorder="false" applyAlignment="true" applyProtection="false">
      <alignment horizontal="center" vertical="bottom" textRotation="0" wrapText="false" indent="0" shrinkToFit="false"/>
      <protection locked="true" hidden="false"/>
    </xf>
    <xf numFmtId="164" fontId="10" fillId="3" borderId="0" xfId="0" applyFont="true" applyBorder="false" applyAlignment="true" applyProtection="false">
      <alignment horizontal="center" vertical="bottom" textRotation="0" wrapText="false" indent="0" shrinkToFit="false"/>
      <protection locked="true" hidden="false"/>
    </xf>
    <xf numFmtId="167" fontId="13" fillId="0" borderId="0" xfId="0" applyFont="true" applyBorder="false" applyAlignment="false" applyProtection="false">
      <alignment horizontal="general" vertical="bottom"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9" fontId="14" fillId="0" borderId="0" xfId="0" applyFont="true" applyBorder="false" applyAlignment="false" applyProtection="false">
      <alignment horizontal="general" vertical="bottom" textRotation="0" wrapText="false" indent="0" shrinkToFit="false"/>
      <protection locked="true" hidden="false"/>
    </xf>
    <xf numFmtId="170" fontId="14" fillId="0" borderId="0" xfId="0" applyFont="true" applyBorder="false" applyAlignment="false" applyProtection="false">
      <alignment horizontal="general" vertical="bottom" textRotation="0" wrapText="false" indent="0" shrinkToFit="false"/>
      <protection locked="true" hidden="false"/>
    </xf>
    <xf numFmtId="165" fontId="18" fillId="2" borderId="0" xfId="0" applyFont="true" applyBorder="false" applyAlignment="true" applyProtection="false">
      <alignment horizontal="center" vertical="bottom" textRotation="0" wrapText="false" indent="0" shrinkToFit="false"/>
      <protection locked="true" hidden="false"/>
    </xf>
    <xf numFmtId="164" fontId="19" fillId="4" borderId="0" xfId="0" applyFont="true" applyBorder="false" applyAlignment="false" applyProtection="false">
      <alignment horizontal="general" vertical="bottom" textRotation="0" wrapText="false" indent="0" shrinkToFit="false"/>
      <protection locked="true" hidden="false"/>
    </xf>
    <xf numFmtId="171" fontId="20" fillId="5" borderId="0" xfId="0" applyFont="true" applyBorder="false" applyAlignment="false" applyProtection="false">
      <alignment horizontal="general" vertical="bottom" textRotation="0" wrapText="false" indent="0" shrinkToFit="false"/>
      <protection locked="true" hidden="false"/>
    </xf>
    <xf numFmtId="172" fontId="20" fillId="5" borderId="0" xfId="0" applyFont="true" applyBorder="false" applyAlignment="false" applyProtection="false">
      <alignment horizontal="general" vertical="bottom" textRotation="0" wrapText="false" indent="0" shrinkToFit="false"/>
      <protection locked="true" hidden="false"/>
    </xf>
    <xf numFmtId="167" fontId="20" fillId="5" borderId="0" xfId="0" applyFont="true" applyBorder="false" applyAlignment="false" applyProtection="false">
      <alignment horizontal="general" vertical="bottom" textRotation="0" wrapText="false" indent="0" shrinkToFit="false"/>
      <protection locked="true" hidden="false"/>
    </xf>
    <xf numFmtId="169" fontId="20" fillId="5" borderId="0" xfId="0" applyFont="true" applyBorder="false" applyAlignment="false" applyProtection="false">
      <alignment horizontal="general" vertical="bottom" textRotation="0" wrapText="false" indent="0" shrinkToFit="false"/>
      <protection locked="true" hidden="false"/>
    </xf>
    <xf numFmtId="165" fontId="20" fillId="5" borderId="0" xfId="0" applyFont="true" applyBorder="false" applyAlignment="false" applyProtection="false">
      <alignment horizontal="general" vertical="bottom" textRotation="0" wrapText="false" indent="0" shrinkToFit="false"/>
      <protection locked="true" hidden="false"/>
    </xf>
    <xf numFmtId="170" fontId="7" fillId="0" borderId="0" xfId="0" applyFont="true" applyBorder="false" applyAlignment="false" applyProtection="false">
      <alignment horizontal="general" vertical="bottom" textRotation="0" wrapText="false" indent="0" shrinkToFit="false"/>
      <protection locked="true" hidden="false"/>
    </xf>
    <xf numFmtId="170" fontId="20" fillId="5" borderId="0" xfId="0" applyFont="true" applyBorder="false" applyAlignment="false" applyProtection="false">
      <alignment horizontal="general" vertical="bottom" textRotation="0" wrapText="false" indent="0" shrinkToFit="false"/>
      <protection locked="true" hidden="false"/>
    </xf>
    <xf numFmtId="173" fontId="20" fillId="5"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74" fontId="11" fillId="0" borderId="0" xfId="0" applyFont="true" applyBorder="false" applyAlignment="false" applyProtection="false">
      <alignment horizontal="general" vertical="bottom" textRotation="0" wrapText="false" indent="0" shrinkToFit="false"/>
      <protection locked="true" hidden="false"/>
    </xf>
    <xf numFmtId="175" fontId="7" fillId="0" borderId="0" xfId="0" applyFont="true" applyBorder="false" applyAlignment="false" applyProtection="false">
      <alignment horizontal="general" vertical="bottom" textRotation="0" wrapText="false" indent="0" shrinkToFit="false"/>
      <protection locked="true" hidden="false"/>
    </xf>
    <xf numFmtId="175" fontId="20" fillId="5" borderId="0" xfId="0" applyFont="true" applyBorder="false" applyAlignment="false" applyProtection="false">
      <alignment horizontal="general" vertical="bottom" textRotation="0" wrapText="false" indent="0" shrinkToFit="false"/>
      <protection locked="true" hidden="false"/>
    </xf>
    <xf numFmtId="173" fontId="7" fillId="0" borderId="0" xfId="0" applyFont="true" applyBorder="false" applyAlignment="false" applyProtection="false">
      <alignment horizontal="general" vertical="bottom" textRotation="0" wrapText="false" indent="0" shrinkToFit="false"/>
      <protection locked="true" hidden="false"/>
    </xf>
    <xf numFmtId="176" fontId="11" fillId="0" borderId="0" xfId="0" applyFont="true" applyBorder="false" applyAlignment="false" applyProtection="fals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19" fillId="4" borderId="0" xfId="0" applyFont="true" applyBorder="false" applyAlignment="true" applyProtection="false">
      <alignment horizontal="general" vertical="top"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77" fontId="7" fillId="0" borderId="0" xfId="0" applyFont="true" applyBorder="false" applyAlignment="false" applyProtection="false">
      <alignment horizontal="general" vertical="bottom" textRotation="0" wrapText="false" indent="0" shrinkToFit="false"/>
      <protection locked="true" hidden="false"/>
    </xf>
    <xf numFmtId="177" fontId="10"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4" fontId="20" fillId="5" borderId="0" xfId="0" applyFont="true" applyBorder="false" applyAlignment="false" applyProtection="false">
      <alignment horizontal="general" vertical="bottom" textRotation="0" wrapText="false" indent="0" shrinkToFit="false"/>
      <protection locked="true" hidden="false"/>
    </xf>
    <xf numFmtId="168" fontId="11" fillId="0" borderId="0" xfId="0" applyFont="true" applyBorder="false" applyAlignment="false" applyProtection="false">
      <alignment horizontal="general" vertical="bottom" textRotation="0" wrapText="false" indent="0" shrinkToFit="false"/>
      <protection locked="true" hidden="false"/>
    </xf>
    <xf numFmtId="165" fontId="7" fillId="5" borderId="0" xfId="0" applyFont="true" applyBorder="false" applyAlignment="false" applyProtection="false">
      <alignment horizontal="general" vertical="bottom" textRotation="0" wrapText="false" indent="0" shrinkToFit="false"/>
      <protection locked="true" hidden="false"/>
    </xf>
    <xf numFmtId="178" fontId="10" fillId="3" borderId="0" xfId="0" applyFont="true" applyBorder="false" applyAlignment="true" applyProtection="false">
      <alignment horizontal="center" vertical="bottom" textRotation="0" wrapText="false" indent="0" shrinkToFit="false"/>
      <protection locked="true" hidden="false"/>
    </xf>
    <xf numFmtId="179" fontId="10" fillId="3" borderId="0" xfId="0" applyFont="true" applyBorder="false" applyAlignment="true" applyProtection="false">
      <alignment horizontal="center" vertical="bottom" textRotation="0" wrapText="false" indent="0" shrinkToFit="false"/>
      <protection locked="true" hidden="false"/>
    </xf>
    <xf numFmtId="167" fontId="10" fillId="6"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70" fontId="10" fillId="6" borderId="0" xfId="0" applyFont="true" applyBorder="false" applyAlignment="false" applyProtection="false">
      <alignment horizontal="general" vertical="bottom" textRotation="0" wrapText="false" indent="0" shrinkToFit="false"/>
      <protection locked="true" hidden="false"/>
    </xf>
    <xf numFmtId="170" fontId="10" fillId="0" borderId="0" xfId="0" applyFont="true" applyBorder="false" applyAlignment="false" applyProtection="false">
      <alignment horizontal="general" vertical="bottom" textRotation="0" wrapText="false" indent="0" shrinkToFit="false"/>
      <protection locked="true" hidden="false"/>
    </xf>
    <xf numFmtId="180" fontId="7" fillId="0" borderId="0" xfId="0" applyFont="true" applyBorder="false" applyAlignment="false" applyProtection="false">
      <alignment horizontal="general" vertical="bottom" textRotation="0" wrapText="false" indent="0" shrinkToFit="false"/>
      <protection locked="true" hidden="false"/>
    </xf>
    <xf numFmtId="169" fontId="10" fillId="6" borderId="0" xfId="0" applyFont="true" applyBorder="false" applyAlignment="false" applyProtection="false">
      <alignment horizontal="general" vertical="bottom" textRotation="0" wrapText="false" indent="0" shrinkToFit="false"/>
      <protection locked="true" hidden="false"/>
    </xf>
    <xf numFmtId="181" fontId="7" fillId="0" borderId="0" xfId="0" applyFont="true" applyBorder="false" applyAlignment="false" applyProtection="false">
      <alignment horizontal="general" vertical="bottom" textRotation="0" wrapText="false" indent="0" shrinkToFit="false"/>
      <protection locked="true" hidden="false"/>
    </xf>
    <xf numFmtId="164" fontId="10" fillId="3" borderId="0" xfId="0" applyFont="true" applyBorder="false" applyAlignment="true" applyProtection="false">
      <alignment horizontal="general" vertical="top" textRotation="0" wrapText="true" indent="0" shrinkToFit="false"/>
      <protection locked="true" hidden="false"/>
    </xf>
    <xf numFmtId="164" fontId="0" fillId="3" borderId="0" xfId="0" applyFont="false" applyBorder="false" applyAlignment="true" applyProtection="false">
      <alignment horizontal="general" vertical="top" textRotation="0" wrapText="true" indent="0" shrinkToFit="false"/>
      <protection locked="true" hidden="false"/>
    </xf>
    <xf numFmtId="164" fontId="22" fillId="3"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C0504D"/>
      <rgbColor rgb="FFFFF6D5"/>
      <rgbColor rgb="FFDCE6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CCFFCC"/>
      <rgbColor rgb="FFFFFF99"/>
      <rgbColor rgb="FF99CCFF"/>
      <rgbColor rgb="FFFF99CC"/>
      <rgbColor rgb="FFCC99FF"/>
      <rgbColor rgb="FFFFCC99"/>
      <rgbColor rgb="FF4A7EBB"/>
      <rgbColor rgb="FF33CCCC"/>
      <rgbColor rgb="FF9BBB59"/>
      <rgbColor rgb="FFFFCC00"/>
      <rgbColor rgb="FFFF9900"/>
      <rgbColor rgb="FFFF6600"/>
      <rgbColor rgb="FF595959"/>
      <rgbColor rgb="FF969696"/>
      <rgbColor rgb="FF003366"/>
      <rgbColor rgb="FF4F81BD"/>
      <rgbColor rgb="FF003300"/>
      <rgbColor rgb="FF333300"/>
      <rgbColor rgb="FF993300"/>
      <rgbColor rgb="FF993366"/>
      <rgbColor rgb="FF333399"/>
      <rgbColor rgb="FF1F2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Revenue, operating expenses and EBITDA (FCFA)</a:t>
            </a:r>
          </a:p>
        </c:rich>
      </c:tx>
      <c:overlay val="0"/>
      <c:spPr>
        <a:noFill/>
        <a:ln w="0">
          <a:noFill/>
        </a:ln>
      </c:spPr>
    </c:title>
    <c:autoTitleDeleted val="0"/>
    <c:plotArea>
      <c:barChart>
        <c:barDir val="col"/>
        <c:grouping val="clustered"/>
        <c:varyColors val="0"/>
        <c:ser>
          <c:idx val="0"/>
          <c:order val="0"/>
          <c:tx>
            <c:strRef>
              <c:f>"Revenue"</c:f>
              <c:strCache>
                <c:ptCount val="1"/>
                <c:pt idx="0">
                  <c:v>Revenue</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'P&amp;L annual'!$D$5:$H$5</c:f>
              <c:multiLvlStrCache>
                <c:ptCount val="1"/>
                <c:lvl>
                  <c:pt idx="0">
                    <c:v>2031</c:v>
                  </c:pt>
                </c:lvl>
                <c:lvl>
                  <c:pt idx="0">
                    <c:v>2030</c:v>
                  </c:pt>
                </c:lvl>
                <c:lvl>
                  <c:pt idx="0">
                    <c:v>2029</c:v>
                  </c:pt>
                </c:lvl>
                <c:lvl>
                  <c:pt idx="0">
                    <c:v>2028</c:v>
                  </c:pt>
                </c:lvl>
                <c:lvl>
                  <c:pt idx="0">
                    <c:v>2027</c:v>
                  </c:pt>
                </c:lvl>
              </c:multiLvlStrCache>
            </c:multiLvlStrRef>
          </c:cat>
          <c:val>
            <c:numRef>
              <c:f>'P&amp;L annual'!$D$17:$H$17</c:f>
              <c:numCache>
                <c:formatCode>#,##0;\(#,##0\);\-</c:formatCode>
                <c:ptCount val="5"/>
                <c:pt idx="0">
                  <c:v>70060612.1619433</c:v>
                </c:pt>
                <c:pt idx="1">
                  <c:v>516430634.311245</c:v>
                </c:pt>
                <c:pt idx="2">
                  <c:v>1740313147.46559</c:v>
                </c:pt>
                <c:pt idx="3">
                  <c:v>3621776649.43345</c:v>
                </c:pt>
                <c:pt idx="4">
                  <c:v>6118157190.71567</c:v>
                </c:pt>
              </c:numCache>
            </c:numRef>
          </c:val>
        </c:ser>
        <c:ser>
          <c:idx val="1"/>
          <c:order val="1"/>
          <c:tx>
            <c:strRef>
              <c:f>"Operating expenses"</c:f>
              <c:strCache>
                <c:ptCount val="1"/>
                <c:pt idx="0">
                  <c:v>Operating expenses</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'P&amp;L annual'!$D$5:$H$5</c:f>
              <c:multiLvlStrCache>
                <c:ptCount val="1"/>
                <c:lvl>
                  <c:pt idx="0">
                    <c:v>2031</c:v>
                  </c:pt>
                </c:lvl>
                <c:lvl>
                  <c:pt idx="0">
                    <c:v>2030</c:v>
                  </c:pt>
                </c:lvl>
                <c:lvl>
                  <c:pt idx="0">
                    <c:v>2029</c:v>
                  </c:pt>
                </c:lvl>
                <c:lvl>
                  <c:pt idx="0">
                    <c:v>2028</c:v>
                  </c:pt>
                </c:lvl>
                <c:lvl>
                  <c:pt idx="0">
                    <c:v>2027</c:v>
                  </c:pt>
                </c:lvl>
              </c:multiLvlStrCache>
            </c:multiLvlStrRef>
          </c:cat>
          <c:val>
            <c:numRef>
              <c:f>'P&amp;L annual'!$D$38:$H$38</c:f>
              <c:numCache>
                <c:formatCode>#,##0;\(#,##0\);\-</c:formatCode>
                <c:ptCount val="5"/>
                <c:pt idx="0">
                  <c:v>443468278.725531</c:v>
                </c:pt>
                <c:pt idx="1">
                  <c:v>689795118.333309</c:v>
                </c:pt>
                <c:pt idx="2">
                  <c:v>1018364570.58904</c:v>
                </c:pt>
                <c:pt idx="3">
                  <c:v>1339826548.44485</c:v>
                </c:pt>
                <c:pt idx="4">
                  <c:v>1725535718.02293</c:v>
                </c:pt>
              </c:numCache>
            </c:numRef>
          </c:val>
        </c:ser>
        <c:ser>
          <c:idx val="2"/>
          <c:order val="2"/>
          <c:tx>
            <c:strRef>
              <c:f>"EBITDA"</c:f>
              <c:strCache>
                <c:ptCount val="1"/>
                <c:pt idx="0">
                  <c:v>EBITDA</c:v>
                </c:pt>
              </c:strCache>
            </c:strRef>
          </c:tx>
          <c:spPr>
            <a:solidFill>
              <a:srgbClr val="9bbb59"/>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'P&amp;L annual'!$D$5:$H$5</c:f>
              <c:multiLvlStrCache>
                <c:ptCount val="1"/>
                <c:lvl>
                  <c:pt idx="0">
                    <c:v>2031</c:v>
                  </c:pt>
                </c:lvl>
                <c:lvl>
                  <c:pt idx="0">
                    <c:v>2030</c:v>
                  </c:pt>
                </c:lvl>
                <c:lvl>
                  <c:pt idx="0">
                    <c:v>2029</c:v>
                  </c:pt>
                </c:lvl>
                <c:lvl>
                  <c:pt idx="0">
                    <c:v>2028</c:v>
                  </c:pt>
                </c:lvl>
                <c:lvl>
                  <c:pt idx="0">
                    <c:v>2027</c:v>
                  </c:pt>
                </c:lvl>
              </c:multiLvlStrCache>
            </c:multiLvlStrRef>
          </c:cat>
          <c:val>
            <c:numRef>
              <c:f>'P&amp;L annual'!$D$39:$H$39</c:f>
              <c:numCache>
                <c:formatCode>#,##0;\(#,##0\);\-</c:formatCode>
                <c:ptCount val="5"/>
                <c:pt idx="0">
                  <c:v>-432876907.595033</c:v>
                </c:pt>
                <c:pt idx="1">
                  <c:v>-522664790.529019</c:v>
                </c:pt>
                <c:pt idx="2">
                  <c:v>-345479657.710323</c:v>
                </c:pt>
                <c:pt idx="3">
                  <c:v>166938013.757578</c:v>
                </c:pt>
                <c:pt idx="4">
                  <c:v>876709385.8107</c:v>
                </c:pt>
              </c:numCache>
            </c:numRef>
          </c:val>
        </c:ser>
        <c:gapWidth val="150"/>
        <c:overlap val="0"/>
        <c:axId val="93367561"/>
        <c:axId val="28404052"/>
      </c:barChart>
      <c:catAx>
        <c:axId val="93367561"/>
        <c:scaling>
          <c:orientation val="minMax"/>
        </c:scaling>
        <c:delete val="0"/>
        <c:axPos val="b"/>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8404052"/>
        <c:crosses val="autoZero"/>
        <c:auto val="1"/>
        <c:lblAlgn val="ctr"/>
        <c:lblOffset val="100"/>
        <c:noMultiLvlLbl val="0"/>
      </c:catAx>
      <c:valAx>
        <c:axId val="2840405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FCFA</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3367561"/>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Active clients by month</a:t>
            </a:r>
          </a:p>
        </c:rich>
      </c:tx>
      <c:overlay val="0"/>
      <c:spPr>
        <a:noFill/>
        <a:ln w="0">
          <a:noFill/>
        </a:ln>
      </c:spPr>
    </c:title>
    <c:autoTitleDeleted val="0"/>
    <c:plotArea>
      <c:lineChart>
        <c:grouping val="standard"/>
        <c:varyColors val="0"/>
        <c:ser>
          <c:idx val="0"/>
          <c:order val="0"/>
          <c:tx>
            <c:strRef>
              <c:f>"Active clients"</c:f>
              <c:strCache>
                <c:ptCount val="1"/>
                <c:pt idx="0">
                  <c:v>Active clients</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'Clients &amp; revenue'!$E$3:$BL$3</c:f>
              <c:multiLvlStrCache>
                <c:ptCount val="1"/>
                <c:lvl>
                  <c:pt idx="0">
                    <c:v>60</c:v>
                  </c:pt>
                </c:lvl>
                <c:lvl>
                  <c:pt idx="0">
                    <c:v>59</c:v>
                  </c:pt>
                </c:lvl>
                <c:lvl>
                  <c:pt idx="0">
                    <c:v>58</c:v>
                  </c:pt>
                </c:lvl>
                <c:lvl>
                  <c:pt idx="0">
                    <c:v>57</c:v>
                  </c:pt>
                </c:lvl>
                <c:lvl>
                  <c:pt idx="0">
                    <c:v>56</c:v>
                  </c:pt>
                </c:lvl>
                <c:lvl>
                  <c:pt idx="0">
                    <c:v>55</c:v>
                  </c:pt>
                </c:lvl>
                <c:lvl>
                  <c:pt idx="0">
                    <c:v>54</c:v>
                  </c:pt>
                </c:lvl>
                <c:lvl>
                  <c:pt idx="0">
                    <c:v>53</c:v>
                  </c:pt>
                </c:lvl>
                <c:lvl>
                  <c:pt idx="0">
                    <c:v>52</c:v>
                  </c:pt>
                </c:lvl>
                <c:lvl>
                  <c:pt idx="0">
                    <c:v>51</c:v>
                  </c:pt>
                </c:lvl>
                <c:lvl>
                  <c:pt idx="0">
                    <c:v>50</c:v>
                  </c:pt>
                </c:lvl>
                <c:lvl>
                  <c:pt idx="0">
                    <c:v>49</c:v>
                  </c:pt>
                </c:lvl>
                <c:lvl>
                  <c:pt idx="0">
                    <c:v>48</c:v>
                  </c:pt>
                </c:lvl>
                <c:lvl>
                  <c:pt idx="0">
                    <c:v>47</c:v>
                  </c:pt>
                </c:lvl>
                <c:lvl>
                  <c:pt idx="0">
                    <c:v>46</c:v>
                  </c:pt>
                </c:lvl>
                <c:lvl>
                  <c:pt idx="0">
                    <c:v>45</c:v>
                  </c:pt>
                </c:lvl>
                <c:lvl>
                  <c:pt idx="0">
                    <c:v>44</c:v>
                  </c:pt>
                </c:lvl>
                <c:lvl>
                  <c:pt idx="0">
                    <c:v>43</c:v>
                  </c:pt>
                </c:lvl>
                <c:lvl>
                  <c:pt idx="0">
                    <c:v>42</c:v>
                  </c:pt>
                </c:lvl>
                <c:lvl>
                  <c:pt idx="0">
                    <c:v>41</c:v>
                  </c:pt>
                </c:lvl>
                <c:lvl>
                  <c:pt idx="0">
                    <c:v>40</c:v>
                  </c:pt>
                </c:lvl>
                <c:lvl>
                  <c:pt idx="0">
                    <c:v>39</c:v>
                  </c:pt>
                </c:lvl>
                <c:lvl>
                  <c:pt idx="0">
                    <c:v>38</c:v>
                  </c:pt>
                </c:lvl>
                <c:lvl>
                  <c:pt idx="0">
                    <c:v>37</c:v>
                  </c:pt>
                </c:lvl>
                <c:lvl>
                  <c:pt idx="0">
                    <c:v>36</c:v>
                  </c:pt>
                </c:lvl>
                <c:lvl>
                  <c:pt idx="0">
                    <c:v>35</c:v>
                  </c:pt>
                </c:lvl>
                <c:lvl>
                  <c:pt idx="0">
                    <c:v>34</c:v>
                  </c:pt>
                </c:lvl>
                <c:lvl>
                  <c:pt idx="0">
                    <c:v>33</c:v>
                  </c:pt>
                </c:lvl>
                <c:lvl>
                  <c:pt idx="0">
                    <c:v>32</c:v>
                  </c:pt>
                </c:lvl>
                <c:lvl>
                  <c:pt idx="0">
                    <c:v>31</c:v>
                  </c:pt>
                </c:lvl>
                <c:lvl>
                  <c:pt idx="0">
                    <c:v>30</c:v>
                  </c:pt>
                </c:lvl>
                <c:lvl>
                  <c:pt idx="0">
                    <c:v>29</c:v>
                  </c:pt>
                </c:lvl>
                <c:lvl>
                  <c:pt idx="0">
                    <c:v>28</c:v>
                  </c:pt>
                </c:lvl>
                <c:lvl>
                  <c:pt idx="0">
                    <c:v>27</c:v>
                  </c:pt>
                </c:lvl>
                <c:lvl>
                  <c:pt idx="0">
                    <c:v>26</c:v>
                  </c:pt>
                </c:lvl>
                <c:lvl>
                  <c:pt idx="0">
                    <c:v>25</c:v>
                  </c:pt>
                </c:lvl>
                <c:lvl>
                  <c:pt idx="0">
                    <c:v>24</c:v>
                  </c:pt>
                </c:lvl>
                <c:lvl>
                  <c:pt idx="0">
                    <c:v>23</c:v>
                  </c:pt>
                </c:lvl>
                <c:lvl>
                  <c:pt idx="0">
                    <c:v>22</c:v>
                  </c:pt>
                </c:lvl>
                <c:lvl>
                  <c:pt idx="0">
                    <c:v>21</c:v>
                  </c:pt>
                </c:lvl>
                <c:lvl>
                  <c:pt idx="0">
                    <c:v>20</c:v>
                  </c:pt>
                </c:lvl>
                <c:lvl>
                  <c:pt idx="0">
                    <c:v>19</c:v>
                  </c:pt>
                </c:lvl>
                <c:lvl>
                  <c:pt idx="0">
                    <c:v>18</c:v>
                  </c:pt>
                </c:lvl>
                <c:lvl>
                  <c:pt idx="0">
                    <c:v>17</c:v>
                  </c:pt>
                </c:lvl>
                <c:lvl>
                  <c:pt idx="0">
                    <c:v>16</c:v>
                  </c:pt>
                </c:lvl>
                <c:lvl>
                  <c:pt idx="0">
                    <c:v>15</c:v>
                  </c:pt>
                </c:lvl>
                <c:lvl>
                  <c:pt idx="0">
                    <c:v>14</c:v>
                  </c:pt>
                </c:lvl>
                <c:lvl>
                  <c:pt idx="0">
                    <c:v>13</c:v>
                  </c:pt>
                </c:lvl>
                <c:lvl>
                  <c:pt idx="0">
                    <c:v>12</c:v>
                  </c:pt>
                </c:lvl>
                <c:lvl>
                  <c:pt idx="0">
                    <c:v>11</c:v>
                  </c:pt>
                </c:lvl>
                <c:lvl>
                  <c:pt idx="0">
                    <c:v>10</c:v>
                  </c:pt>
                </c:lvl>
                <c:lvl>
                  <c:pt idx="0">
                    <c:v>9</c:v>
                  </c:pt>
                </c:lvl>
                <c:lvl>
                  <c:pt idx="0">
                    <c:v>8</c:v>
                  </c:pt>
                </c:lvl>
                <c:lvl>
                  <c:pt idx="0">
                    <c:v>7</c:v>
                  </c:pt>
                </c:lvl>
                <c:lvl>
                  <c:pt idx="0">
                    <c:v>6</c:v>
                  </c:pt>
                </c:lvl>
                <c:lvl>
                  <c:pt idx="0">
                    <c:v>5</c:v>
                  </c:pt>
                </c:lvl>
                <c:lvl>
                  <c:pt idx="0">
                    <c:v>4</c:v>
                  </c:pt>
                </c:lvl>
                <c:lvl>
                  <c:pt idx="0">
                    <c:v>3</c:v>
                  </c:pt>
                </c:lvl>
                <c:lvl>
                  <c:pt idx="0">
                    <c:v>2</c:v>
                  </c:pt>
                </c:lvl>
                <c:lvl>
                  <c:pt idx="0">
                    <c:v>1</c:v>
                  </c:pt>
                </c:lvl>
              </c:multiLvlStrCache>
            </c:multiLvlStrRef>
          </c:cat>
          <c:val>
            <c:numRef>
              <c:f>'Clients &amp; revenue'!$E$17:$BL$17</c:f>
              <c:numCache>
                <c:formatCode>#,##0;\(#,##0\);\-</c:formatCode>
                <c:ptCount val="60"/>
                <c:pt idx="0">
                  <c:v>0</c:v>
                </c:pt>
                <c:pt idx="1">
                  <c:v>0</c:v>
                </c:pt>
                <c:pt idx="2">
                  <c:v>0</c:v>
                </c:pt>
                <c:pt idx="3">
                  <c:v>0</c:v>
                </c:pt>
                <c:pt idx="4">
                  <c:v>57.4666666666667</c:v>
                </c:pt>
                <c:pt idx="5">
                  <c:v>114.585133333333</c:v>
                </c:pt>
                <c:pt idx="6">
                  <c:v>171.398309</c:v>
                </c:pt>
                <c:pt idx="7">
                  <c:v>227.950532230417</c:v>
                </c:pt>
                <c:pt idx="8">
                  <c:v>284.28767834109</c:v>
                </c:pt>
                <c:pt idx="9">
                  <c:v>340.457272610726</c:v>
                </c:pt>
                <c:pt idx="10">
                  <c:v>396.508609879351</c:v>
                </c:pt>
                <c:pt idx="11">
                  <c:v>452.492880928335</c:v>
                </c:pt>
                <c:pt idx="12">
                  <c:v>525.929972722537</c:v>
                </c:pt>
                <c:pt idx="13">
                  <c:v>599.120409620519</c:v>
                </c:pt>
                <c:pt idx="14">
                  <c:v>672.127011684965</c:v>
                </c:pt>
                <c:pt idx="15">
                  <c:v>745.014982108665</c:v>
                </c:pt>
                <c:pt idx="16">
                  <c:v>817.852076044859</c:v>
                </c:pt>
                <c:pt idx="17">
                  <c:v>890.708779072538</c:v>
                </c:pt>
                <c:pt idx="18">
                  <c:v>1015.12516255111</c:v>
                </c:pt>
                <c:pt idx="19">
                  <c:v>1139.22188315386</c:v>
                </c:pt>
                <c:pt idx="20">
                  <c:v>1263.10950790696</c:v>
                </c:pt>
                <c:pt idx="21">
                  <c:v>1386.9029222991</c:v>
                </c:pt>
                <c:pt idx="22">
                  <c:v>1510.72163254537</c:v>
                </c:pt>
                <c:pt idx="23">
                  <c:v>1644.69008516072</c:v>
                </c:pt>
                <c:pt idx="24">
                  <c:v>1813.83967156434</c:v>
                </c:pt>
                <c:pt idx="25">
                  <c:v>1982.66341049933</c:v>
                </c:pt>
                <c:pt idx="26">
                  <c:v>2151.31580383733</c:v>
                </c:pt>
                <c:pt idx="27">
                  <c:v>2329.95752360934</c:v>
                </c:pt>
                <c:pt idx="28">
                  <c:v>2508.59083991517</c:v>
                </c:pt>
                <c:pt idx="29">
                  <c:v>2687.39299840366</c:v>
                </c:pt>
                <c:pt idx="30">
                  <c:v>2866.5487195383</c:v>
                </c:pt>
                <c:pt idx="31">
                  <c:v>3056.250705832</c:v>
                </c:pt>
                <c:pt idx="32">
                  <c:v>3246.53517839307</c:v>
                </c:pt>
                <c:pt idx="33">
                  <c:v>3437.61536956295</c:v>
                </c:pt>
                <c:pt idx="34">
                  <c:v>3639.71414425118</c:v>
                </c:pt>
                <c:pt idx="35">
                  <c:v>3851.89963656643</c:v>
                </c:pt>
                <c:pt idx="36">
                  <c:v>4082.73701519155</c:v>
                </c:pt>
                <c:pt idx="37">
                  <c:v>4324.73264963456</c:v>
                </c:pt>
                <c:pt idx="38">
                  <c:v>4568.00019364887</c:v>
                </c:pt>
                <c:pt idx="39">
                  <c:v>4822.83424066905</c:v>
                </c:pt>
                <c:pt idx="40">
                  <c:v>5077.90567411927</c:v>
                </c:pt>
                <c:pt idx="41">
                  <c:v>5349.14899807733</c:v>
                </c:pt>
                <c:pt idx="42">
                  <c:v>5617.37928618614</c:v>
                </c:pt>
                <c:pt idx="43">
                  <c:v>5882.73310788383</c:v>
                </c:pt>
                <c:pt idx="44">
                  <c:v>6155.34961184438</c:v>
                </c:pt>
                <c:pt idx="45">
                  <c:v>6425.20578480087</c:v>
                </c:pt>
                <c:pt idx="46">
                  <c:v>6711.44964891287</c:v>
                </c:pt>
                <c:pt idx="47">
                  <c:v>6994.9190692476</c:v>
                </c:pt>
                <c:pt idx="48">
                  <c:v>7303.3746143755</c:v>
                </c:pt>
                <c:pt idx="49">
                  <c:v>7608.92531506289</c:v>
                </c:pt>
                <c:pt idx="50">
                  <c:v>7921.74787581127</c:v>
                </c:pt>
                <c:pt idx="51">
                  <c:v>8240.85840885726</c:v>
                </c:pt>
                <c:pt idx="52">
                  <c:v>8567.29723826201</c:v>
                </c:pt>
                <c:pt idx="53">
                  <c:v>8891.09595278025</c:v>
                </c:pt>
                <c:pt idx="54">
                  <c:v>9231.45957203069</c:v>
                </c:pt>
                <c:pt idx="55">
                  <c:v>9569.28551383948</c:v>
                </c:pt>
                <c:pt idx="56">
                  <c:v>9914.7966239842</c:v>
                </c:pt>
                <c:pt idx="57">
                  <c:v>10258.0575138841</c:v>
                </c:pt>
                <c:pt idx="58">
                  <c:v>10616.5937059603</c:v>
                </c:pt>
                <c:pt idx="59">
                  <c:v>10979.3790621792</c:v>
                </c:pt>
              </c:numCache>
            </c:numRef>
          </c:val>
          <c:smooth val="1"/>
        </c:ser>
        <c:hiLowLines>
          <c:spPr>
            <a:ln w="0">
              <a:noFill/>
            </a:ln>
          </c:spPr>
        </c:hiLowLines>
        <c:marker val="0"/>
        <c:axId val="1405795"/>
        <c:axId val="41633038"/>
      </c:lineChart>
      <c:catAx>
        <c:axId val="1405795"/>
        <c:scaling>
          <c:orientation val="minMax"/>
        </c:scaling>
        <c:delete val="0"/>
        <c:axPos val="b"/>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1633038"/>
        <c:crosses val="autoZero"/>
        <c:auto val="1"/>
        <c:lblAlgn val="ctr"/>
        <c:lblOffset val="100"/>
        <c:noMultiLvlLbl val="0"/>
      </c:catAx>
      <c:valAx>
        <c:axId val="41633038"/>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405795"/>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Closing cash by month (FCFA)</a:t>
            </a:r>
          </a:p>
        </c:rich>
      </c:tx>
      <c:overlay val="0"/>
      <c:spPr>
        <a:noFill/>
        <a:ln w="0">
          <a:noFill/>
        </a:ln>
      </c:spPr>
    </c:title>
    <c:autoTitleDeleted val="0"/>
    <c:plotArea>
      <c:lineChart>
        <c:grouping val="standard"/>
        <c:varyColors val="0"/>
        <c:ser>
          <c:idx val="0"/>
          <c:order val="0"/>
          <c:tx>
            <c:strRef>
              <c:f>"Closing cash"</c:f>
              <c:strCache>
                <c:ptCount val="1"/>
                <c:pt idx="0">
                  <c:v>Closing cash</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'Cash flow'!$E$3:$BL$3</c:f>
              <c:multiLvlStrCache>
                <c:ptCount val="1"/>
                <c:lvl>
                  <c:pt idx="0">
                    <c:v>60</c:v>
                  </c:pt>
                </c:lvl>
                <c:lvl>
                  <c:pt idx="0">
                    <c:v>59</c:v>
                  </c:pt>
                </c:lvl>
                <c:lvl>
                  <c:pt idx="0">
                    <c:v>58</c:v>
                  </c:pt>
                </c:lvl>
                <c:lvl>
                  <c:pt idx="0">
                    <c:v>57</c:v>
                  </c:pt>
                </c:lvl>
                <c:lvl>
                  <c:pt idx="0">
                    <c:v>56</c:v>
                  </c:pt>
                </c:lvl>
                <c:lvl>
                  <c:pt idx="0">
                    <c:v>55</c:v>
                  </c:pt>
                </c:lvl>
                <c:lvl>
                  <c:pt idx="0">
                    <c:v>54</c:v>
                  </c:pt>
                </c:lvl>
                <c:lvl>
                  <c:pt idx="0">
                    <c:v>53</c:v>
                  </c:pt>
                </c:lvl>
                <c:lvl>
                  <c:pt idx="0">
                    <c:v>52</c:v>
                  </c:pt>
                </c:lvl>
                <c:lvl>
                  <c:pt idx="0">
                    <c:v>51</c:v>
                  </c:pt>
                </c:lvl>
                <c:lvl>
                  <c:pt idx="0">
                    <c:v>50</c:v>
                  </c:pt>
                </c:lvl>
                <c:lvl>
                  <c:pt idx="0">
                    <c:v>49</c:v>
                  </c:pt>
                </c:lvl>
                <c:lvl>
                  <c:pt idx="0">
                    <c:v>48</c:v>
                  </c:pt>
                </c:lvl>
                <c:lvl>
                  <c:pt idx="0">
                    <c:v>47</c:v>
                  </c:pt>
                </c:lvl>
                <c:lvl>
                  <c:pt idx="0">
                    <c:v>46</c:v>
                  </c:pt>
                </c:lvl>
                <c:lvl>
                  <c:pt idx="0">
                    <c:v>45</c:v>
                  </c:pt>
                </c:lvl>
                <c:lvl>
                  <c:pt idx="0">
                    <c:v>44</c:v>
                  </c:pt>
                </c:lvl>
                <c:lvl>
                  <c:pt idx="0">
                    <c:v>43</c:v>
                  </c:pt>
                </c:lvl>
                <c:lvl>
                  <c:pt idx="0">
                    <c:v>42</c:v>
                  </c:pt>
                </c:lvl>
                <c:lvl>
                  <c:pt idx="0">
                    <c:v>41</c:v>
                  </c:pt>
                </c:lvl>
                <c:lvl>
                  <c:pt idx="0">
                    <c:v>40</c:v>
                  </c:pt>
                </c:lvl>
                <c:lvl>
                  <c:pt idx="0">
                    <c:v>39</c:v>
                  </c:pt>
                </c:lvl>
                <c:lvl>
                  <c:pt idx="0">
                    <c:v>38</c:v>
                  </c:pt>
                </c:lvl>
                <c:lvl>
                  <c:pt idx="0">
                    <c:v>37</c:v>
                  </c:pt>
                </c:lvl>
                <c:lvl>
                  <c:pt idx="0">
                    <c:v>36</c:v>
                  </c:pt>
                </c:lvl>
                <c:lvl>
                  <c:pt idx="0">
                    <c:v>35</c:v>
                  </c:pt>
                </c:lvl>
                <c:lvl>
                  <c:pt idx="0">
                    <c:v>34</c:v>
                  </c:pt>
                </c:lvl>
                <c:lvl>
                  <c:pt idx="0">
                    <c:v>33</c:v>
                  </c:pt>
                </c:lvl>
                <c:lvl>
                  <c:pt idx="0">
                    <c:v>32</c:v>
                  </c:pt>
                </c:lvl>
                <c:lvl>
                  <c:pt idx="0">
                    <c:v>31</c:v>
                  </c:pt>
                </c:lvl>
                <c:lvl>
                  <c:pt idx="0">
                    <c:v>30</c:v>
                  </c:pt>
                </c:lvl>
                <c:lvl>
                  <c:pt idx="0">
                    <c:v>29</c:v>
                  </c:pt>
                </c:lvl>
                <c:lvl>
                  <c:pt idx="0">
                    <c:v>28</c:v>
                  </c:pt>
                </c:lvl>
                <c:lvl>
                  <c:pt idx="0">
                    <c:v>27</c:v>
                  </c:pt>
                </c:lvl>
                <c:lvl>
                  <c:pt idx="0">
                    <c:v>26</c:v>
                  </c:pt>
                </c:lvl>
                <c:lvl>
                  <c:pt idx="0">
                    <c:v>25</c:v>
                  </c:pt>
                </c:lvl>
                <c:lvl>
                  <c:pt idx="0">
                    <c:v>24</c:v>
                  </c:pt>
                </c:lvl>
                <c:lvl>
                  <c:pt idx="0">
                    <c:v>23</c:v>
                  </c:pt>
                </c:lvl>
                <c:lvl>
                  <c:pt idx="0">
                    <c:v>22</c:v>
                  </c:pt>
                </c:lvl>
                <c:lvl>
                  <c:pt idx="0">
                    <c:v>21</c:v>
                  </c:pt>
                </c:lvl>
                <c:lvl>
                  <c:pt idx="0">
                    <c:v>20</c:v>
                  </c:pt>
                </c:lvl>
                <c:lvl>
                  <c:pt idx="0">
                    <c:v>19</c:v>
                  </c:pt>
                </c:lvl>
                <c:lvl>
                  <c:pt idx="0">
                    <c:v>18</c:v>
                  </c:pt>
                </c:lvl>
                <c:lvl>
                  <c:pt idx="0">
                    <c:v>17</c:v>
                  </c:pt>
                </c:lvl>
                <c:lvl>
                  <c:pt idx="0">
                    <c:v>16</c:v>
                  </c:pt>
                </c:lvl>
                <c:lvl>
                  <c:pt idx="0">
                    <c:v>15</c:v>
                  </c:pt>
                </c:lvl>
                <c:lvl>
                  <c:pt idx="0">
                    <c:v>14</c:v>
                  </c:pt>
                </c:lvl>
                <c:lvl>
                  <c:pt idx="0">
                    <c:v>13</c:v>
                  </c:pt>
                </c:lvl>
                <c:lvl>
                  <c:pt idx="0">
                    <c:v>12</c:v>
                  </c:pt>
                </c:lvl>
                <c:lvl>
                  <c:pt idx="0">
                    <c:v>11</c:v>
                  </c:pt>
                </c:lvl>
                <c:lvl>
                  <c:pt idx="0">
                    <c:v>10</c:v>
                  </c:pt>
                </c:lvl>
                <c:lvl>
                  <c:pt idx="0">
                    <c:v>9</c:v>
                  </c:pt>
                </c:lvl>
                <c:lvl>
                  <c:pt idx="0">
                    <c:v>8</c:v>
                  </c:pt>
                </c:lvl>
                <c:lvl>
                  <c:pt idx="0">
                    <c:v>7</c:v>
                  </c:pt>
                </c:lvl>
                <c:lvl>
                  <c:pt idx="0">
                    <c:v>6</c:v>
                  </c:pt>
                </c:lvl>
                <c:lvl>
                  <c:pt idx="0">
                    <c:v>5</c:v>
                  </c:pt>
                </c:lvl>
                <c:lvl>
                  <c:pt idx="0">
                    <c:v>4</c:v>
                  </c:pt>
                </c:lvl>
                <c:lvl>
                  <c:pt idx="0">
                    <c:v>3</c:v>
                  </c:pt>
                </c:lvl>
                <c:lvl>
                  <c:pt idx="0">
                    <c:v>2</c:v>
                  </c:pt>
                </c:lvl>
                <c:lvl>
                  <c:pt idx="0">
                    <c:v>1</c:v>
                  </c:pt>
                </c:lvl>
              </c:multiLvlStrCache>
            </c:multiLvlStrRef>
          </c:cat>
          <c:val>
            <c:numRef>
              <c:f>'Cash flow'!$E$24:$BL$24</c:f>
              <c:numCache>
                <c:formatCode>#,##0;\(#,##0\);\-</c:formatCode>
                <c:ptCount val="60"/>
                <c:pt idx="0">
                  <c:v>867961310.73</c:v>
                </c:pt>
                <c:pt idx="1">
                  <c:v>827517391.83</c:v>
                </c:pt>
                <c:pt idx="2">
                  <c:v>772373472.93</c:v>
                </c:pt>
                <c:pt idx="3">
                  <c:v>675592974.63</c:v>
                </c:pt>
                <c:pt idx="4">
                  <c:v>639008052.241667</c:v>
                </c:pt>
                <c:pt idx="5">
                  <c:v>602913431.546667</c:v>
                </c:pt>
                <c:pt idx="6">
                  <c:v>566963808.380988</c:v>
                </c:pt>
                <c:pt idx="7">
                  <c:v>532313457.015243</c:v>
                </c:pt>
                <c:pt idx="8">
                  <c:v>499006429.332044</c:v>
                </c:pt>
                <c:pt idx="9">
                  <c:v>467040058.276833</c:v>
                </c:pt>
                <c:pt idx="10">
                  <c:v>436412564.074117</c:v>
                </c:pt>
                <c:pt idx="11">
                  <c:v>407123092.404967</c:v>
                </c:pt>
                <c:pt idx="12">
                  <c:v>364501765.023213</c:v>
                </c:pt>
                <c:pt idx="13">
                  <c:v>324160166.327088</c:v>
                </c:pt>
                <c:pt idx="14">
                  <c:v>1479766052.42237</c:v>
                </c:pt>
                <c:pt idx="15">
                  <c:v>1415057781.71107</c:v>
                </c:pt>
                <c:pt idx="16">
                  <c:v>1377637375.19699</c:v>
                </c:pt>
                <c:pt idx="17">
                  <c:v>1329231040.58416</c:v>
                </c:pt>
                <c:pt idx="18">
                  <c:v>1278962252.78611</c:v>
                </c:pt>
                <c:pt idx="19">
                  <c:v>1229703596.95134</c:v>
                </c:pt>
                <c:pt idx="20">
                  <c:v>1179937087.5323</c:v>
                </c:pt>
                <c:pt idx="21">
                  <c:v>1131891402.22603</c:v>
                </c:pt>
                <c:pt idx="22">
                  <c:v>1083503402.9632</c:v>
                </c:pt>
                <c:pt idx="23">
                  <c:v>1580868816.60113</c:v>
                </c:pt>
                <c:pt idx="24">
                  <c:v>1493037499.12726</c:v>
                </c:pt>
                <c:pt idx="25">
                  <c:v>1429649879.32722</c:v>
                </c:pt>
                <c:pt idx="26">
                  <c:v>1357357182.70126</c:v>
                </c:pt>
                <c:pt idx="27">
                  <c:v>1280954621.30569</c:v>
                </c:pt>
                <c:pt idx="28">
                  <c:v>1198189575.7661</c:v>
                </c:pt>
                <c:pt idx="29">
                  <c:v>1142635592.58861</c:v>
                </c:pt>
                <c:pt idx="30">
                  <c:v>1088413177.26732</c:v>
                </c:pt>
                <c:pt idx="31">
                  <c:v>1036342929.37733</c:v>
                </c:pt>
                <c:pt idx="32">
                  <c:v>990585987.802985</c:v>
                </c:pt>
                <c:pt idx="33">
                  <c:v>947479423.582411</c:v>
                </c:pt>
                <c:pt idx="34">
                  <c:v>906689349.78617</c:v>
                </c:pt>
                <c:pt idx="35">
                  <c:v>868728096.59819</c:v>
                </c:pt>
                <c:pt idx="36">
                  <c:v>817819680.169266</c:v>
                </c:pt>
                <c:pt idx="37">
                  <c:v>773486125.529569</c:v>
                </c:pt>
                <c:pt idx="38">
                  <c:v>741935860.015266</c:v>
                </c:pt>
                <c:pt idx="39">
                  <c:v>708494295.69852</c:v>
                </c:pt>
                <c:pt idx="40">
                  <c:v>682156249.182442</c:v>
                </c:pt>
                <c:pt idx="41">
                  <c:v>663849732.275028</c:v>
                </c:pt>
                <c:pt idx="42">
                  <c:v>651853088.64529</c:v>
                </c:pt>
                <c:pt idx="43">
                  <c:v>645217752.280932</c:v>
                </c:pt>
                <c:pt idx="44">
                  <c:v>640660247.044098</c:v>
                </c:pt>
                <c:pt idx="45">
                  <c:v>640139234.831356</c:v>
                </c:pt>
                <c:pt idx="46">
                  <c:v>646860999.979492</c:v>
                </c:pt>
                <c:pt idx="47">
                  <c:v>659094922.711651</c:v>
                </c:pt>
                <c:pt idx="48">
                  <c:v>666196408.847709</c:v>
                </c:pt>
                <c:pt idx="49">
                  <c:v>677413035.714335</c:v>
                </c:pt>
                <c:pt idx="50">
                  <c:v>694593663.683042</c:v>
                </c:pt>
                <c:pt idx="51">
                  <c:v>707907885.398113</c:v>
                </c:pt>
                <c:pt idx="52">
                  <c:v>736079989.97537</c:v>
                </c:pt>
                <c:pt idx="53">
                  <c:v>767634179.484344</c:v>
                </c:pt>
                <c:pt idx="54">
                  <c:v>806889408.727736</c:v>
                </c:pt>
                <c:pt idx="55">
                  <c:v>853384987.144336</c:v>
                </c:pt>
                <c:pt idx="56">
                  <c:v>907354934.637179</c:v>
                </c:pt>
                <c:pt idx="57">
                  <c:v>961383004.957349</c:v>
                </c:pt>
                <c:pt idx="58">
                  <c:v>1024261756.69968</c:v>
                </c:pt>
                <c:pt idx="59">
                  <c:v>1095629629.27104</c:v>
                </c:pt>
              </c:numCache>
            </c:numRef>
          </c:val>
          <c:smooth val="1"/>
        </c:ser>
        <c:hiLowLines>
          <c:spPr>
            <a:ln w="0">
              <a:noFill/>
            </a:ln>
          </c:spPr>
        </c:hiLowLines>
        <c:marker val="0"/>
        <c:axId val="57849779"/>
        <c:axId val="58058611"/>
      </c:lineChart>
      <c:catAx>
        <c:axId val="57849779"/>
        <c:scaling>
          <c:orientation val="minMax"/>
        </c:scaling>
        <c:delete val="0"/>
        <c:axPos val="b"/>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8058611"/>
        <c:crosses val="autoZero"/>
        <c:auto val="1"/>
        <c:lblAlgn val="ctr"/>
        <c:lblOffset val="100"/>
        <c:noMultiLvlLbl val="0"/>
      </c:catAx>
      <c:valAx>
        <c:axId val="58058611"/>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784977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15</xdr:col>
      <xdr:colOff>0</xdr:colOff>
      <xdr:row>2</xdr:row>
      <xdr:rowOff>160920</xdr:rowOff>
    </xdr:from>
    <xdr:to>
      <xdr:col>25</xdr:col>
      <xdr:colOff>4680</xdr:colOff>
      <xdr:row>17</xdr:row>
      <xdr:rowOff>182880</xdr:rowOff>
    </xdr:to>
    <xdr:graphicFrame>
      <xdr:nvGraphicFramePr>
        <xdr:cNvPr id="0" name="Chart 1"/>
        <xdr:cNvGraphicFramePr/>
      </xdr:nvGraphicFramePr>
      <xdr:xfrm>
        <a:off x="17880480" y="571680"/>
        <a:ext cx="611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0</xdr:colOff>
      <xdr:row>19</xdr:row>
      <xdr:rowOff>160560</xdr:rowOff>
    </xdr:from>
    <xdr:to>
      <xdr:col>25</xdr:col>
      <xdr:colOff>4680</xdr:colOff>
      <xdr:row>34</xdr:row>
      <xdr:rowOff>182520</xdr:rowOff>
    </xdr:to>
    <xdr:graphicFrame>
      <xdr:nvGraphicFramePr>
        <xdr:cNvPr id="1" name="Chart 2"/>
        <xdr:cNvGraphicFramePr/>
      </xdr:nvGraphicFramePr>
      <xdr:xfrm>
        <a:off x="17880480" y="3809880"/>
        <a:ext cx="611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0</xdr:colOff>
      <xdr:row>36</xdr:row>
      <xdr:rowOff>160560</xdr:rowOff>
    </xdr:from>
    <xdr:to>
      <xdr:col>25</xdr:col>
      <xdr:colOff>4680</xdr:colOff>
      <xdr:row>51</xdr:row>
      <xdr:rowOff>182880</xdr:rowOff>
    </xdr:to>
    <xdr:graphicFrame>
      <xdr:nvGraphicFramePr>
        <xdr:cNvPr id="2" name="Chart 3"/>
        <xdr:cNvGraphicFramePr/>
      </xdr:nvGraphicFramePr>
      <xdr:xfrm>
        <a:off x="17880480" y="7048440"/>
        <a:ext cx="6119640" cy="287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4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110"/>
  </cols>
  <sheetData>
    <row r="2" customFormat="false" ht="19.7"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t="s">
        <v>2</v>
      </c>
      <c r="C5" s="4"/>
    </row>
    <row r="6" customFormat="false" ht="15" hidden="false" customHeight="false" outlineLevel="0" collapsed="false">
      <c r="B6" s="5" t="s">
        <v>3</v>
      </c>
      <c r="C6" s="4" t="s">
        <v>4</v>
      </c>
    </row>
    <row r="7" customFormat="false" ht="15" hidden="false" customHeight="false" outlineLevel="0" collapsed="false">
      <c r="B7" s="5" t="s">
        <v>5</v>
      </c>
      <c r="C7" s="4" t="s">
        <v>6</v>
      </c>
    </row>
    <row r="8" customFormat="false" ht="23.85" hidden="false" customHeight="false" outlineLevel="0" collapsed="false">
      <c r="B8" s="5" t="s">
        <v>7</v>
      </c>
      <c r="C8" s="4" t="s">
        <v>8</v>
      </c>
    </row>
    <row r="9" customFormat="false" ht="15" hidden="false" customHeight="false" outlineLevel="0" collapsed="false">
      <c r="B9" s="5" t="s">
        <v>9</v>
      </c>
      <c r="C9" s="4" t="s">
        <v>10</v>
      </c>
    </row>
    <row r="10" customFormat="false" ht="15" hidden="false" customHeight="false" outlineLevel="0" collapsed="false">
      <c r="B10" s="6"/>
      <c r="C10" s="4"/>
    </row>
    <row r="11" customFormat="false" ht="15" hidden="false" customHeight="false" outlineLevel="0" collapsed="false">
      <c r="B11" s="3" t="s">
        <v>11</v>
      </c>
      <c r="C11" s="4"/>
    </row>
    <row r="12" customFormat="false" ht="15" hidden="false" customHeight="false" outlineLevel="0" collapsed="false">
      <c r="B12" s="5" t="s">
        <v>12</v>
      </c>
      <c r="C12" s="4" t="s">
        <v>13</v>
      </c>
    </row>
    <row r="13" customFormat="false" ht="23.85" hidden="false" customHeight="false" outlineLevel="0" collapsed="false">
      <c r="B13" s="5" t="s">
        <v>14</v>
      </c>
      <c r="C13" s="4" t="s">
        <v>15</v>
      </c>
    </row>
    <row r="14" customFormat="false" ht="15" hidden="false" customHeight="false" outlineLevel="0" collapsed="false">
      <c r="B14" s="5" t="s">
        <v>16</v>
      </c>
      <c r="C14" s="4" t="s">
        <v>17</v>
      </c>
    </row>
    <row r="15" customFormat="false" ht="15" hidden="false" customHeight="false" outlineLevel="0" collapsed="false">
      <c r="B15" s="5" t="s">
        <v>18</v>
      </c>
      <c r="C15" s="4" t="s">
        <v>19</v>
      </c>
    </row>
    <row r="16" customFormat="false" ht="15" hidden="false" customHeight="false" outlineLevel="0" collapsed="false">
      <c r="B16" s="5" t="s">
        <v>20</v>
      </c>
      <c r="C16" s="4" t="s">
        <v>21</v>
      </c>
    </row>
    <row r="17" customFormat="false" ht="15" hidden="false" customHeight="false" outlineLevel="0" collapsed="false">
      <c r="B17" s="5" t="s">
        <v>22</v>
      </c>
      <c r="C17" s="4" t="s">
        <v>23</v>
      </c>
    </row>
    <row r="18" customFormat="false" ht="15" hidden="false" customHeight="false" outlineLevel="0" collapsed="false">
      <c r="B18" s="5" t="s">
        <v>24</v>
      </c>
      <c r="C18" s="4" t="s">
        <v>25</v>
      </c>
    </row>
    <row r="19" customFormat="false" ht="15" hidden="false" customHeight="false" outlineLevel="0" collapsed="false">
      <c r="B19" s="5" t="s">
        <v>26</v>
      </c>
      <c r="C19" s="4" t="s">
        <v>27</v>
      </c>
    </row>
    <row r="20" customFormat="false" ht="15" hidden="false" customHeight="false" outlineLevel="0" collapsed="false">
      <c r="B20" s="5" t="s">
        <v>28</v>
      </c>
      <c r="C20" s="4" t="s">
        <v>29</v>
      </c>
    </row>
    <row r="21" customFormat="false" ht="15" hidden="false" customHeight="false" outlineLevel="0" collapsed="false">
      <c r="B21" s="5" t="s">
        <v>30</v>
      </c>
      <c r="C21" s="4" t="s">
        <v>31</v>
      </c>
    </row>
    <row r="22" customFormat="false" ht="15" hidden="false" customHeight="false" outlineLevel="0" collapsed="false">
      <c r="B22" s="5" t="s">
        <v>32</v>
      </c>
      <c r="C22" s="4" t="s">
        <v>33</v>
      </c>
    </row>
    <row r="23" customFormat="false" ht="15" hidden="false" customHeight="false" outlineLevel="0" collapsed="false">
      <c r="B23" s="5" t="s">
        <v>34</v>
      </c>
      <c r="C23" s="4" t="s">
        <v>35</v>
      </c>
    </row>
    <row r="24" customFormat="false" ht="15" hidden="false" customHeight="false" outlineLevel="0" collapsed="false">
      <c r="B24" s="5" t="s">
        <v>36</v>
      </c>
      <c r="C24" s="4" t="s">
        <v>37</v>
      </c>
    </row>
    <row r="25" customFormat="false" ht="15" hidden="false" customHeight="false" outlineLevel="0" collapsed="false">
      <c r="B25" s="5" t="s">
        <v>38</v>
      </c>
      <c r="C25" s="4" t="s">
        <v>39</v>
      </c>
    </row>
    <row r="26" customFormat="false" ht="23.85" hidden="false" customHeight="false" outlineLevel="0" collapsed="false">
      <c r="B26" s="5" t="s">
        <v>40</v>
      </c>
      <c r="C26" s="4" t="s">
        <v>41</v>
      </c>
    </row>
    <row r="27" customFormat="false" ht="15" hidden="false" customHeight="false" outlineLevel="0" collapsed="false">
      <c r="B27" s="5" t="s">
        <v>42</v>
      </c>
      <c r="C27" s="4" t="s">
        <v>43</v>
      </c>
    </row>
    <row r="28" customFormat="false" ht="15" hidden="false" customHeight="false" outlineLevel="0" collapsed="false">
      <c r="B28" s="6"/>
      <c r="C28" s="4"/>
    </row>
    <row r="29" customFormat="false" ht="15" hidden="false" customHeight="false" outlineLevel="0" collapsed="false">
      <c r="B29" s="3" t="s">
        <v>44</v>
      </c>
      <c r="C29" s="4"/>
    </row>
    <row r="30" customFormat="false" ht="15" hidden="false" customHeight="false" outlineLevel="0" collapsed="false">
      <c r="B30" s="5" t="s">
        <v>45</v>
      </c>
      <c r="C30" s="4" t="s">
        <v>46</v>
      </c>
    </row>
    <row r="31" customFormat="false" ht="15" hidden="false" customHeight="false" outlineLevel="0" collapsed="false">
      <c r="B31" s="5" t="s">
        <v>47</v>
      </c>
      <c r="C31" s="4" t="s">
        <v>48</v>
      </c>
    </row>
    <row r="32" customFormat="false" ht="15" hidden="false" customHeight="false" outlineLevel="0" collapsed="false">
      <c r="B32" s="5" t="s">
        <v>49</v>
      </c>
      <c r="C32" s="4" t="s">
        <v>50</v>
      </c>
    </row>
    <row r="33" customFormat="false" ht="15" hidden="false" customHeight="false" outlineLevel="0" collapsed="false">
      <c r="B33" s="6"/>
      <c r="C33" s="4"/>
    </row>
    <row r="34" customFormat="false" ht="15" hidden="false" customHeight="false" outlineLevel="0" collapsed="false">
      <c r="B34" s="3" t="s">
        <v>51</v>
      </c>
      <c r="C34" s="4"/>
    </row>
    <row r="35" customFormat="false" ht="35.05" hidden="false" customHeight="false" outlineLevel="0" collapsed="false">
      <c r="B35" s="5" t="s">
        <v>52</v>
      </c>
      <c r="C35" s="4" t="s">
        <v>53</v>
      </c>
    </row>
    <row r="36" customFormat="false" ht="23.85" hidden="false" customHeight="false" outlineLevel="0" collapsed="false">
      <c r="B36" s="5" t="s">
        <v>54</v>
      </c>
      <c r="C36" s="4" t="s">
        <v>55</v>
      </c>
    </row>
    <row r="37" customFormat="false" ht="15" hidden="false" customHeight="false" outlineLevel="0" collapsed="false">
      <c r="B37" s="5" t="s">
        <v>56</v>
      </c>
      <c r="C37" s="4" t="s">
        <v>57</v>
      </c>
    </row>
    <row r="38" customFormat="false" ht="35.05" hidden="false" customHeight="false" outlineLevel="0" collapsed="false">
      <c r="B38" s="5" t="s">
        <v>26</v>
      </c>
      <c r="C38" s="4" t="s">
        <v>58</v>
      </c>
    </row>
    <row r="39" customFormat="false" ht="15" hidden="false" customHeight="false" outlineLevel="0" collapsed="false">
      <c r="B39" s="5" t="s">
        <v>59</v>
      </c>
      <c r="C39" s="4" t="s">
        <v>60</v>
      </c>
    </row>
    <row r="40" customFormat="false" ht="23.85" hidden="false" customHeight="false" outlineLevel="0" collapsed="false">
      <c r="B40" s="5" t="s">
        <v>61</v>
      </c>
      <c r="C40" s="4" t="s">
        <v>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18"/>
    <col collapsed="false" customWidth="true" hidden="false" outlineLevel="0" max="3" min="3" style="0" width="3"/>
    <col collapsed="false" customWidth="true" hidden="false" outlineLevel="0" max="14" min="4" style="0" width="16"/>
  </cols>
  <sheetData>
    <row r="1" customFormat="false" ht="17.35" hidden="false" customHeight="false" outlineLevel="0" collapsed="false">
      <c r="A1" s="7" t="s">
        <v>63</v>
      </c>
    </row>
    <row r="2" customFormat="false" ht="15" hidden="false" customHeight="false" outlineLevel="0" collapsed="false">
      <c r="A2" s="2" t="s">
        <v>64</v>
      </c>
    </row>
    <row r="4" customFormat="false" ht="15" hidden="false" customHeight="false" outlineLevel="0" collapsed="false">
      <c r="A4" s="8" t="s">
        <v>65</v>
      </c>
      <c r="B4" s="9" t="str">
        <f aca="false">Assumptions!E4</f>
        <v>Base</v>
      </c>
    </row>
    <row r="6" customFormat="false" ht="15" hidden="false" customHeight="false" outlineLevel="0" collapsed="false">
      <c r="A6" s="10" t="s">
        <v>66</v>
      </c>
      <c r="B6" s="11"/>
      <c r="C6" s="11"/>
      <c r="D6" s="11"/>
      <c r="E6" s="11"/>
      <c r="F6" s="11"/>
      <c r="G6" s="11"/>
      <c r="H6" s="11"/>
      <c r="I6" s="11"/>
    </row>
    <row r="7" customFormat="false" ht="15" hidden="false" customHeight="false" outlineLevel="0" collapsed="false">
      <c r="A7" s="12" t="s">
        <v>67</v>
      </c>
      <c r="B7" s="13" t="n">
        <f aca="false">IF(MIN('P&amp;L monthly'!E46:BL46)=999,"not reached",MIN('P&amp;L monthly'!E46:BL46))</f>
        <v>41</v>
      </c>
      <c r="C7" s="14" t="s">
        <v>68</v>
      </c>
    </row>
    <row r="8" customFormat="false" ht="15" hidden="false" customHeight="false" outlineLevel="0" collapsed="false">
      <c r="A8" s="12" t="s">
        <v>69</v>
      </c>
      <c r="B8" s="15" t="n">
        <f aca="false">IF(ISNUMBER(B7),DATE(YEAR(Start_Date),MONTH(Start_Date)+B7-1,1),"-")</f>
        <v>47604</v>
      </c>
      <c r="C8" s="14"/>
    </row>
    <row r="9" customFormat="false" ht="15" hidden="false" customHeight="false" outlineLevel="0" collapsed="false">
      <c r="A9" s="12" t="s">
        <v>70</v>
      </c>
      <c r="B9" s="16" t="n">
        <f aca="false">-MIN(0,MIN('Cash flow'!E16:BL16))</f>
        <v>2659860765.16864</v>
      </c>
      <c r="C9" s="14" t="s">
        <v>71</v>
      </c>
    </row>
    <row r="10" customFormat="false" ht="15" hidden="false" customHeight="false" outlineLevel="0" collapsed="false">
      <c r="A10" s="12" t="s">
        <v>72</v>
      </c>
      <c r="B10" s="17" t="n">
        <f aca="false">B9/FX_EUR</f>
        <v>4054931.59638306</v>
      </c>
      <c r="C10" s="14" t="s">
        <v>73</v>
      </c>
    </row>
    <row r="11" customFormat="false" ht="15" hidden="false" customHeight="false" outlineLevel="0" collapsed="false">
      <c r="A11" s="12" t="s">
        <v>74</v>
      </c>
      <c r="B11" s="16" t="n">
        <f aca="false">SUM('Cash flow'!E19:BL19)</f>
        <v>3300000000</v>
      </c>
      <c r="C11" s="14" t="s">
        <v>71</v>
      </c>
    </row>
    <row r="12" customFormat="false" ht="15" hidden="false" customHeight="false" outlineLevel="0" collapsed="false">
      <c r="A12" s="12" t="s">
        <v>72</v>
      </c>
      <c r="B12" s="17" t="n">
        <f aca="false">B11/FX_EUR</f>
        <v>5030817.56883454</v>
      </c>
      <c r="C12" s="14" t="s">
        <v>73</v>
      </c>
    </row>
    <row r="13" customFormat="false" ht="15" hidden="false" customHeight="false" outlineLevel="0" collapsed="false">
      <c r="A13" s="12" t="s">
        <v>75</v>
      </c>
      <c r="B13" s="16" t="n">
        <f aca="false">MIN('Cash flow'!E24:BL24)</f>
        <v>324160166.327088</v>
      </c>
      <c r="C13" s="14" t="s">
        <v>71</v>
      </c>
      <c r="D13" s="17" t="n">
        <f aca="false">B13/FX_EUR</f>
        <v>494178.9878408</v>
      </c>
      <c r="E13" s="18" t="str">
        <f aca="false">IF(B13&lt;0,"Cash goes negative: raise more or earlier (Assumptions, section 11)","OK: cash stays positive")</f>
        <v>OK: cash stays positive</v>
      </c>
    </row>
    <row r="14" customFormat="false" ht="15" hidden="false" customHeight="false" outlineLevel="0" collapsed="false">
      <c r="A14" s="12" t="s">
        <v>76</v>
      </c>
      <c r="B14" s="13" t="n">
        <f aca="false">MATCH(B13,'Cash flow'!E24:BL24,0)</f>
        <v>14</v>
      </c>
      <c r="C14" s="14" t="s">
        <v>68</v>
      </c>
    </row>
    <row r="15" customFormat="false" ht="15" hidden="false" customHeight="false" outlineLevel="0" collapsed="false">
      <c r="A15" s="12" t="s">
        <v>77</v>
      </c>
      <c r="B15" s="16" t="n">
        <f aca="false">'Cash flow'!BL24</f>
        <v>1095629629.27104</v>
      </c>
      <c r="C15" s="14" t="s">
        <v>71</v>
      </c>
      <c r="D15" s="17" t="n">
        <f aca="false">B15/FX_EUR</f>
        <v>1670276.60238559</v>
      </c>
    </row>
    <row r="16" customFormat="false" ht="15" hidden="false" customHeight="false" outlineLevel="0" collapsed="false">
      <c r="A16" s="12" t="s">
        <v>78</v>
      </c>
      <c r="B16" s="8" t="str">
        <f aca="false">IF(Maak_Option=1,"Lease (option 1)","Equity stake (option 2)")</f>
        <v>Lease (option 1)</v>
      </c>
    </row>
    <row r="17" customFormat="false" ht="15" hidden="false" customHeight="false" outlineLevel="0" collapsed="false">
      <c r="A17" s="12" t="s">
        <v>79</v>
      </c>
      <c r="B17" s="19" t="n">
        <f aca="false">IF(Maak_Option=2,Maak_Equity_Pct,0)</f>
        <v>0</v>
      </c>
    </row>
    <row r="18" customFormat="false" ht="15" hidden="false" customHeight="false" outlineLevel="0" collapsed="false">
      <c r="A18" s="10" t="s">
        <v>80</v>
      </c>
      <c r="B18" s="11"/>
      <c r="C18" s="11"/>
      <c r="D18" s="11"/>
      <c r="E18" s="11"/>
      <c r="F18" s="11"/>
      <c r="G18" s="11"/>
      <c r="H18" s="11"/>
      <c r="I18" s="11"/>
    </row>
    <row r="19" customFormat="false" ht="15" hidden="false" customHeight="false" outlineLevel="0" collapsed="false">
      <c r="A19" s="0" t="s">
        <v>81</v>
      </c>
      <c r="D19" s="20" t="n">
        <f aca="false">'P&amp;L annual'!D5</f>
        <v>2027</v>
      </c>
      <c r="E19" s="20" t="n">
        <f aca="false">'P&amp;L annual'!E5</f>
        <v>2028</v>
      </c>
      <c r="F19" s="20" t="n">
        <f aca="false">'P&amp;L annual'!F5</f>
        <v>2029</v>
      </c>
      <c r="G19" s="20" t="n">
        <f aca="false">'P&amp;L annual'!G5</f>
        <v>2030</v>
      </c>
      <c r="H19" s="20" t="n">
        <f aca="false">'P&amp;L annual'!H5</f>
        <v>2031</v>
      </c>
      <c r="J19" s="21" t="str">
        <f aca="false">"Y"&amp;1&amp;" (€)"</f>
        <v>Y1 (€)</v>
      </c>
      <c r="K19" s="21" t="str">
        <f aca="false">"Y"&amp;2&amp;" (€)"</f>
        <v>Y2 (€)</v>
      </c>
      <c r="L19" s="21" t="str">
        <f aca="false">"Y"&amp;3&amp;" (€)"</f>
        <v>Y3 (€)</v>
      </c>
      <c r="M19" s="21" t="str">
        <f aca="false">"Y"&amp;4&amp;" (€)"</f>
        <v>Y4 (€)</v>
      </c>
      <c r="N19" s="21" t="str">
        <f aca="false">"Y"&amp;5&amp;" (€)"</f>
        <v>Y5 (€)</v>
      </c>
    </row>
    <row r="20" customFormat="false" ht="15" hidden="false" customHeight="false" outlineLevel="0" collapsed="false">
      <c r="A20" s="8" t="s">
        <v>82</v>
      </c>
      <c r="B20" s="14" t="s">
        <v>83</v>
      </c>
      <c r="D20" s="22" t="n">
        <f aca="false">'P&amp;L annual'!D50</f>
        <v>452.492880928335</v>
      </c>
      <c r="E20" s="22" t="n">
        <f aca="false">'P&amp;L annual'!E50</f>
        <v>1644.69008516072</v>
      </c>
      <c r="F20" s="22" t="n">
        <f aca="false">'P&amp;L annual'!F50</f>
        <v>3851.89963656643</v>
      </c>
      <c r="G20" s="22" t="n">
        <f aca="false">'P&amp;L annual'!G50</f>
        <v>6994.9190692476</v>
      </c>
      <c r="H20" s="22" t="n">
        <f aca="false">'P&amp;L annual'!H50</f>
        <v>10979.3790621792</v>
      </c>
    </row>
    <row r="21" customFormat="false" ht="15" hidden="false" customHeight="false" outlineLevel="0" collapsed="false">
      <c r="A21" s="12" t="s">
        <v>84</v>
      </c>
      <c r="B21" s="14" t="s">
        <v>83</v>
      </c>
      <c r="D21" s="23" t="n">
        <f aca="false">'P&amp;L annual'!D53</f>
        <v>478.708012421807</v>
      </c>
      <c r="E21" s="23" t="n">
        <f aca="false">'P&amp;L annual'!E53</f>
        <v>1372.7331441726</v>
      </c>
      <c r="F21" s="23" t="n">
        <f aca="false">'P&amp;L annual'!F53</f>
        <v>2719.22387234443</v>
      </c>
      <c r="G21" s="23" t="n">
        <f aca="false">'P&amp;L annual'!G53</f>
        <v>4165.42608832767</v>
      </c>
      <c r="H21" s="23" t="n">
        <f aca="false">'P&amp;L annual'!H53</f>
        <v>5687.62267642127</v>
      </c>
    </row>
    <row r="22" customFormat="false" ht="15" hidden="false" customHeight="false" outlineLevel="0" collapsed="false">
      <c r="A22" s="12" t="s">
        <v>85</v>
      </c>
      <c r="B22" s="14" t="s">
        <v>86</v>
      </c>
      <c r="D22" s="23" t="n">
        <f aca="false">'P&amp;L annual'!D54</f>
        <v>11</v>
      </c>
      <c r="E22" s="23" t="n">
        <f aca="false">'P&amp;L annual'!E54</f>
        <v>21</v>
      </c>
      <c r="F22" s="23" t="n">
        <f aca="false">'P&amp;L annual'!F54</f>
        <v>36</v>
      </c>
      <c r="G22" s="23" t="n">
        <f aca="false">'P&amp;L annual'!G54</f>
        <v>58</v>
      </c>
      <c r="H22" s="23" t="n">
        <f aca="false">'P&amp;L annual'!H54</f>
        <v>84</v>
      </c>
    </row>
    <row r="23" customFormat="false" ht="15" hidden="false" customHeight="false" outlineLevel="0" collapsed="false">
      <c r="A23" s="8" t="s">
        <v>87</v>
      </c>
      <c r="B23" s="14" t="s">
        <v>71</v>
      </c>
      <c r="D23" s="22" t="n">
        <f aca="false">'P&amp;L annual'!D17</f>
        <v>70060612.1619433</v>
      </c>
      <c r="E23" s="22" t="n">
        <f aca="false">'P&amp;L annual'!E17</f>
        <v>516430634.311245</v>
      </c>
      <c r="F23" s="22" t="n">
        <f aca="false">'P&amp;L annual'!F17</f>
        <v>1740313147.46559</v>
      </c>
      <c r="G23" s="22" t="n">
        <f aca="false">'P&amp;L annual'!G17</f>
        <v>3621776649.43345</v>
      </c>
      <c r="H23" s="22" t="n">
        <f aca="false">'P&amp;L annual'!H17</f>
        <v>6118157190.71567</v>
      </c>
      <c r="J23" s="17" t="n">
        <f aca="false">D23/FX_EUR</f>
        <v>106806.714711396</v>
      </c>
      <c r="K23" s="17" t="n">
        <f aca="false">E23/FX_EUR</f>
        <v>787293.426720418</v>
      </c>
      <c r="L23" s="17" t="n">
        <f aca="false">F23/FX_EUR</f>
        <v>2653090.29016474</v>
      </c>
      <c r="M23" s="17" t="n">
        <f aca="false">G23/FX_EUR</f>
        <v>5521362.9085953</v>
      </c>
      <c r="N23" s="17" t="n">
        <f aca="false">H23/FX_EUR</f>
        <v>9327070.51028599</v>
      </c>
    </row>
    <row r="24" customFormat="false" ht="15" hidden="false" customHeight="false" outlineLevel="0" collapsed="false">
      <c r="A24" s="12" t="s">
        <v>88</v>
      </c>
      <c r="B24" s="14" t="s">
        <v>71</v>
      </c>
      <c r="D24" s="23" t="n">
        <f aca="false">'P&amp;L annual'!D26</f>
        <v>10591371.1304978</v>
      </c>
      <c r="E24" s="23" t="n">
        <f aca="false">'P&amp;L annual'!E26</f>
        <v>167130327.804289</v>
      </c>
      <c r="F24" s="23" t="n">
        <f aca="false">'P&amp;L annual'!F26</f>
        <v>672884912.878718</v>
      </c>
      <c r="G24" s="23" t="n">
        <f aca="false">'P&amp;L annual'!G26</f>
        <v>1506764562.20243</v>
      </c>
      <c r="H24" s="23" t="n">
        <f aca="false">'P&amp;L annual'!H26</f>
        <v>2602245103.83363</v>
      </c>
      <c r="J24" s="24" t="n">
        <f aca="false">D24/FX_EUR</f>
        <v>16146.4412004107</v>
      </c>
      <c r="K24" s="24" t="n">
        <f aca="false">E24/FX_EUR</f>
        <v>254788.542243302</v>
      </c>
      <c r="L24" s="24" t="n">
        <f aca="false">F24/FX_EUR</f>
        <v>1025806.43682241</v>
      </c>
      <c r="M24" s="24" t="n">
        <f aca="false">G24/FX_EUR</f>
        <v>2297047.76715917</v>
      </c>
      <c r="N24" s="24" t="n">
        <f aca="false">H24/FX_EUR</f>
        <v>3967097.086903</v>
      </c>
    </row>
    <row r="25" customFormat="false" ht="15" hidden="false" customHeight="false" outlineLevel="0" collapsed="false">
      <c r="A25" s="12" t="s">
        <v>89</v>
      </c>
      <c r="B25" s="14" t="s">
        <v>90</v>
      </c>
      <c r="D25" s="25" t="n">
        <f aca="false">'P&amp;L annual'!D27</f>
        <v>0.151174401759667</v>
      </c>
      <c r="E25" s="25" t="n">
        <f aca="false">'P&amp;L annual'!E27</f>
        <v>0.323625898039895</v>
      </c>
      <c r="F25" s="25" t="n">
        <f aca="false">'P&amp;L annual'!F27</f>
        <v>0.386645882586497</v>
      </c>
      <c r="G25" s="25" t="n">
        <f aca="false">'P&amp;L annual'!G27</f>
        <v>0.41602912273404</v>
      </c>
      <c r="H25" s="25" t="n">
        <f aca="false">'P&amp;L annual'!H27</f>
        <v>0.425331521030965</v>
      </c>
    </row>
    <row r="26" customFormat="false" ht="15" hidden="false" customHeight="false" outlineLevel="0" collapsed="false">
      <c r="A26" s="12" t="s">
        <v>91</v>
      </c>
      <c r="B26" s="14" t="s">
        <v>71</v>
      </c>
      <c r="D26" s="23" t="n">
        <f aca="false">'P&amp;L annual'!D38</f>
        <v>443468278.725531</v>
      </c>
      <c r="E26" s="23" t="n">
        <f aca="false">'P&amp;L annual'!E38</f>
        <v>689795118.333309</v>
      </c>
      <c r="F26" s="23" t="n">
        <f aca="false">'P&amp;L annual'!F38</f>
        <v>1018364570.58904</v>
      </c>
      <c r="G26" s="23" t="n">
        <f aca="false">'P&amp;L annual'!G38</f>
        <v>1339826548.44485</v>
      </c>
      <c r="H26" s="23" t="n">
        <f aca="false">'P&amp;L annual'!H38</f>
        <v>1725535718.02293</v>
      </c>
      <c r="J26" s="24" t="n">
        <f aca="false">D26/FX_EUR</f>
        <v>676063.032676732</v>
      </c>
      <c r="K26" s="24" t="n">
        <f aca="false">E26/FX_EUR</f>
        <v>1051585.87885076</v>
      </c>
      <c r="L26" s="24" t="n">
        <f aca="false">F26/FX_EUR</f>
        <v>1552486.77975697</v>
      </c>
      <c r="M26" s="24" t="n">
        <f aca="false">G26/FX_EUR</f>
        <v>2042552.40579009</v>
      </c>
      <c r="N26" s="24" t="n">
        <f aca="false">H26/FX_EUR</f>
        <v>2630562.24420646</v>
      </c>
    </row>
    <row r="27" customFormat="false" ht="15" hidden="false" customHeight="false" outlineLevel="0" collapsed="false">
      <c r="A27" s="8" t="s">
        <v>92</v>
      </c>
      <c r="B27" s="14" t="s">
        <v>71</v>
      </c>
      <c r="D27" s="22" t="n">
        <f aca="false">'P&amp;L annual'!D39</f>
        <v>-432876907.595033</v>
      </c>
      <c r="E27" s="22" t="n">
        <f aca="false">'P&amp;L annual'!E39</f>
        <v>-522664790.529019</v>
      </c>
      <c r="F27" s="22" t="n">
        <f aca="false">'P&amp;L annual'!F39</f>
        <v>-345479657.710323</v>
      </c>
      <c r="G27" s="22" t="n">
        <f aca="false">'P&amp;L annual'!G39</f>
        <v>166938013.757578</v>
      </c>
      <c r="H27" s="22" t="n">
        <f aca="false">'P&amp;L annual'!H39</f>
        <v>876709385.8107</v>
      </c>
      <c r="J27" s="17" t="n">
        <f aca="false">D27/FX_EUR</f>
        <v>-659916.591476321</v>
      </c>
      <c r="K27" s="17" t="n">
        <f aca="false">E27/FX_EUR</f>
        <v>-796797.336607459</v>
      </c>
      <c r="L27" s="17" t="n">
        <f aca="false">F27/FX_EUR</f>
        <v>-526680.342934556</v>
      </c>
      <c r="M27" s="17" t="n">
        <f aca="false">G27/FX_EUR</f>
        <v>254495.36136908</v>
      </c>
      <c r="N27" s="17" t="n">
        <f aca="false">H27/FX_EUR</f>
        <v>1336534.84269655</v>
      </c>
    </row>
    <row r="28" customFormat="false" ht="15" hidden="false" customHeight="false" outlineLevel="0" collapsed="false">
      <c r="A28" s="12" t="s">
        <v>93</v>
      </c>
      <c r="B28" s="14" t="s">
        <v>90</v>
      </c>
      <c r="D28" s="25" t="n">
        <f aca="false">'P&amp;L annual'!D40</f>
        <v>-6.17860584195938</v>
      </c>
      <c r="E28" s="25" t="n">
        <f aca="false">'P&amp;L annual'!E40</f>
        <v>-1.01207162357068</v>
      </c>
      <c r="F28" s="25" t="n">
        <f aca="false">'P&amp;L annual'!F40</f>
        <v>-0.19851580056925</v>
      </c>
      <c r="G28" s="25" t="n">
        <f aca="false">'P&amp;L annual'!G40</f>
        <v>0.0460928516350371</v>
      </c>
      <c r="H28" s="25" t="n">
        <f aca="false">'P&amp;L annual'!H40</f>
        <v>0.143296315946427</v>
      </c>
    </row>
    <row r="29" customFormat="false" ht="15" hidden="false" customHeight="false" outlineLevel="0" collapsed="false">
      <c r="A29" s="12" t="s">
        <v>94</v>
      </c>
      <c r="B29" s="14" t="s">
        <v>71</v>
      </c>
      <c r="D29" s="23" t="n">
        <f aca="false">'P&amp;L annual'!D42</f>
        <v>-432876907.595033</v>
      </c>
      <c r="E29" s="23" t="n">
        <f aca="false">'P&amp;L annual'!E42</f>
        <v>-522664790.529019</v>
      </c>
      <c r="F29" s="23" t="n">
        <f aca="false">'P&amp;L annual'!F42</f>
        <v>-345479657.710323</v>
      </c>
      <c r="G29" s="23" t="n">
        <f aca="false">'P&amp;L annual'!G42</f>
        <v>166938013.757578</v>
      </c>
      <c r="H29" s="23" t="n">
        <f aca="false">'P&amp;L annual'!H42</f>
        <v>876709385.8107</v>
      </c>
      <c r="J29" s="24" t="n">
        <f aca="false">D29/FX_EUR</f>
        <v>-659916.591476321</v>
      </c>
      <c r="K29" s="24" t="n">
        <f aca="false">E29/FX_EUR</f>
        <v>-796797.336607459</v>
      </c>
      <c r="L29" s="24" t="n">
        <f aca="false">F29/FX_EUR</f>
        <v>-526680.342934556</v>
      </c>
      <c r="M29" s="24" t="n">
        <f aca="false">G29/FX_EUR</f>
        <v>254495.36136908</v>
      </c>
      <c r="N29" s="24" t="n">
        <f aca="false">H29/FX_EUR</f>
        <v>1336534.84269655</v>
      </c>
    </row>
    <row r="30" customFormat="false" ht="15" hidden="false" customHeight="false" outlineLevel="0" collapsed="false">
      <c r="A30" s="12" t="s">
        <v>95</v>
      </c>
      <c r="B30" s="14" t="s">
        <v>71</v>
      </c>
      <c r="D30" s="23" t="n">
        <f aca="false">'P&amp;L annual'!D47</f>
        <v>407123092.404967</v>
      </c>
      <c r="E30" s="23" t="n">
        <f aca="false">'P&amp;L annual'!E47</f>
        <v>1580868816.60113</v>
      </c>
      <c r="F30" s="23" t="n">
        <f aca="false">'P&amp;L annual'!F47</f>
        <v>868728096.59819</v>
      </c>
      <c r="G30" s="23" t="n">
        <f aca="false">'P&amp;L annual'!G47</f>
        <v>659094922.711651</v>
      </c>
      <c r="H30" s="23" t="n">
        <f aca="false">'P&amp;L annual'!H47</f>
        <v>1095629629.27104</v>
      </c>
      <c r="J30" s="24" t="n">
        <f aca="false">D30/FX_EUR</f>
        <v>620655.153317926</v>
      </c>
      <c r="K30" s="24" t="n">
        <f aca="false">E30/FX_EUR</f>
        <v>2410018.9747211</v>
      </c>
      <c r="L30" s="24" t="n">
        <f aca="false">F30/FX_EUR</f>
        <v>1324367.4457292</v>
      </c>
      <c r="M30" s="24" t="n">
        <f aca="false">G30/FX_EUR</f>
        <v>1004783.73233558</v>
      </c>
      <c r="N30" s="24" t="n">
        <f aca="false">H30/FX_EUR</f>
        <v>1670276.60238559</v>
      </c>
    </row>
    <row r="31" customFormat="false" ht="15" hidden="false" customHeight="false" outlineLevel="0" collapsed="false">
      <c r="A31" s="12" t="s">
        <v>96</v>
      </c>
      <c r="B31" s="14" t="s">
        <v>71</v>
      </c>
      <c r="D31" s="23" t="n">
        <f aca="false">'P&amp;L annual'!D55</f>
        <v>0</v>
      </c>
      <c r="E31" s="23" t="n">
        <f aca="false">'P&amp;L annual'!E55</f>
        <v>535894852.748202</v>
      </c>
      <c r="F31" s="23" t="n">
        <f aca="false">'P&amp;L annual'!F55</f>
        <v>3045185338.79121</v>
      </c>
      <c r="G31" s="23" t="n">
        <f aca="false">'P&amp;L annual'!G55</f>
        <v>5835341738.56982</v>
      </c>
      <c r="H31" s="23" t="n">
        <f aca="false">'P&amp;L annual'!H55</f>
        <v>9163570963.45176</v>
      </c>
      <c r="J31" s="24" t="n">
        <f aca="false">D31/FX_EUR</f>
        <v>0</v>
      </c>
      <c r="K31" s="24" t="n">
        <f aca="false">E31/FX_EUR</f>
        <v>816966.436440501</v>
      </c>
      <c r="L31" s="24" t="n">
        <f aca="false">F31/FX_EUR</f>
        <v>4642355.1220449</v>
      </c>
      <c r="M31" s="24" t="n">
        <f aca="false">G31/FX_EUR</f>
        <v>8895921.1328941</v>
      </c>
      <c r="N31" s="24" t="n">
        <f aca="false">H31/FX_EUR</f>
        <v>13969773.8776349</v>
      </c>
    </row>
    <row r="32" customFormat="false" ht="15" hidden="false" customHeight="false" outlineLevel="0" collapsed="false">
      <c r="A32" s="12" t="s">
        <v>97</v>
      </c>
      <c r="B32" s="14" t="s">
        <v>98</v>
      </c>
      <c r="D32" s="23" t="n">
        <f aca="false">'Unit economics'!D13</f>
        <v>34257.0041757181</v>
      </c>
      <c r="E32" s="23" t="n">
        <f aca="false">'Unit economics'!E13</f>
        <v>42293.8947044195</v>
      </c>
      <c r="F32" s="23" t="n">
        <f aca="false">'Unit economics'!F13</f>
        <v>51837.732394198</v>
      </c>
      <c r="G32" s="23" t="n">
        <f aca="false">'Unit economics'!G13</f>
        <v>54865.0997143696</v>
      </c>
      <c r="H32" s="23" t="n">
        <f aca="false">'Unit economics'!H13</f>
        <v>56076.9584922434</v>
      </c>
      <c r="J32" s="24" t="n">
        <f aca="false">D32/FX_EUR</f>
        <v>52.2244662008609</v>
      </c>
      <c r="K32" s="24" t="n">
        <f aca="false">E32/FX_EUR</f>
        <v>64.4766268283127</v>
      </c>
      <c r="L32" s="24" t="n">
        <f aca="false">F32/FX_EUR</f>
        <v>79.0261135931135</v>
      </c>
      <c r="M32" s="24" t="n">
        <f aca="false">G32/FX_EUR</f>
        <v>83.6413053208817</v>
      </c>
      <c r="N32" s="24" t="n">
        <f aca="false">H32/FX_EUR</f>
        <v>85.4887721180557</v>
      </c>
    </row>
    <row r="33" customFormat="false" ht="15" hidden="false" customHeight="false" outlineLevel="0" collapsed="false">
      <c r="A33" s="12" t="s">
        <v>99</v>
      </c>
      <c r="B33" s="14" t="s">
        <v>100</v>
      </c>
      <c r="D33" s="23" t="n">
        <f aca="false">'Unit economics'!D20</f>
        <v>175920.111617032</v>
      </c>
      <c r="E33" s="23" t="n">
        <f aca="false">'Unit economics'!E20</f>
        <v>104908.101924731</v>
      </c>
      <c r="F33" s="23" t="n">
        <f aca="false">'Unit economics'!F20</f>
        <v>87505.9329349956</v>
      </c>
      <c r="G33" s="23" t="n">
        <f aca="false">'Unit economics'!G20</f>
        <v>79715.4035486685</v>
      </c>
      <c r="H33" s="23" t="n">
        <f aca="false">'Unit economics'!H20</f>
        <v>78319.0509907058</v>
      </c>
      <c r="J33" s="24" t="n">
        <f aca="false">D33/FX_EUR</f>
        <v>268.188481283121</v>
      </c>
      <c r="K33" s="24" t="n">
        <f aca="false">E33/FX_EUR</f>
        <v>159.931370386673</v>
      </c>
      <c r="L33" s="24" t="n">
        <f aca="false">F33/FX_EUR</f>
        <v>133.401934783828</v>
      </c>
      <c r="M33" s="24" t="n">
        <f aca="false">G33/FX_EUR</f>
        <v>121.525349296781</v>
      </c>
      <c r="N33" s="24" t="n">
        <f aca="false">H33/FX_EUR</f>
        <v>119.396623544997</v>
      </c>
    </row>
    <row r="34" customFormat="false" ht="15" hidden="false" customHeight="false" outlineLevel="0" collapsed="false">
      <c r="A34" s="12" t="s">
        <v>101</v>
      </c>
      <c r="B34" s="14" t="s">
        <v>102</v>
      </c>
      <c r="D34" s="26" t="n">
        <f aca="false">'Unit economics'!D21</f>
        <v>33.9693981713889</v>
      </c>
      <c r="E34" s="26" t="n">
        <f aca="false">'Unit economics'!E21</f>
        <v>7.66457505198481</v>
      </c>
      <c r="F34" s="26" t="n">
        <f aca="false">'Unit economics'!F21</f>
        <v>4.36594353114603</v>
      </c>
      <c r="G34" s="26" t="n">
        <f aca="false">'Unit economics'!G21</f>
        <v>3.49238684063881</v>
      </c>
      <c r="H34" s="26" t="n">
        <f aca="false">'Unit economics'!H21</f>
        <v>3.28363893761888</v>
      </c>
    </row>
    <row r="36" customFormat="false" ht="15" hidden="false" customHeight="false" outlineLevel="0" collapsed="false">
      <c r="A36" s="10" t="s">
        <v>103</v>
      </c>
      <c r="B36" s="11"/>
      <c r="C36" s="11"/>
      <c r="D36" s="11"/>
      <c r="E36" s="11"/>
      <c r="F36" s="11"/>
      <c r="G36" s="11"/>
      <c r="H36" s="11"/>
      <c r="I36" s="11"/>
    </row>
    <row r="37" customFormat="false" ht="15" hidden="false" customHeight="false" outlineLevel="0" collapsed="false">
      <c r="A37" s="12" t="s">
        <v>104</v>
      </c>
      <c r="B37" s="8" t="str">
        <f aca="false">IF(ABS(Mix_Petite+Mix_Moyenne+Mix_Grande-1)&lt;0.0001,"OK","ERROR")</f>
        <v>OK</v>
      </c>
    </row>
    <row r="38" customFormat="false" ht="15" hidden="false" customHeight="false" outlineLevel="0" collapsed="false">
      <c r="A38" s="12" t="s">
        <v>105</v>
      </c>
      <c r="B38" s="8" t="str">
        <f aca="false">IF(ABS(SUM('P&amp;L monthly'!E24:BL24)-SUM(Costs!E21:BL21))&lt;1,"OK","ERROR")</f>
        <v>OK</v>
      </c>
    </row>
    <row r="39" customFormat="false" ht="15" hidden="false" customHeight="false" outlineLevel="0" collapsed="false">
      <c r="A39" s="12" t="s">
        <v>106</v>
      </c>
      <c r="B39" s="8" t="str">
        <f aca="false">IF(ABS(SUM('P&amp;L monthly'!E37:BL37)-SUM(Costs!E91:BL91))&lt;1,"OK","ERROR")</f>
        <v>OK</v>
      </c>
    </row>
    <row r="40" customFormat="false" ht="15" hidden="false" customHeight="false" outlineLevel="0" collapsed="false">
      <c r="A40" s="12" t="s">
        <v>107</v>
      </c>
      <c r="B40" s="8" t="str">
        <f aca="false">IF(ABS('P&amp;L annual'!I17-SUM('P&amp;L monthly'!E17:BL17))&lt;1,"OK","ERROR")</f>
        <v>OK</v>
      </c>
    </row>
    <row r="41" customFormat="false" ht="15" hidden="false" customHeight="false" outlineLevel="0" collapsed="false">
      <c r="A41" s="12" t="s">
        <v>108</v>
      </c>
      <c r="B41" s="8" t="str">
        <f aca="false">IF(MIN('Cash flow'!E24:BL24)&gt;=0,"OK","RAISE MORE")</f>
        <v>OK</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52"/>
    <col collapsed="false" customWidth="true" hidden="false" outlineLevel="0" max="3" min="3" style="0" width="16"/>
    <col collapsed="false" customWidth="true" hidden="false" outlineLevel="0" max="7" min="4" style="0" width="15"/>
    <col collapsed="false" customWidth="true" hidden="false" outlineLevel="0" max="8" min="8" style="0" width="18"/>
    <col collapsed="false" customWidth="true" hidden="false" outlineLevel="0" max="9" min="9" style="0" width="90"/>
    <col collapsed="false" customWidth="true" hidden="false" outlineLevel="0" max="10" min="10" style="0" width="3"/>
    <col collapsed="false" customWidth="true" hidden="false" outlineLevel="0" max="15" min="11" style="0" width="16"/>
  </cols>
  <sheetData>
    <row r="1" customFormat="false" ht="17.35" hidden="false" customHeight="false" outlineLevel="0" collapsed="false">
      <c r="A1" s="7" t="s">
        <v>109</v>
      </c>
    </row>
    <row r="2" customFormat="false" ht="15" hidden="false" customHeight="false" outlineLevel="0" collapsed="false">
      <c r="A2" s="2" t="s">
        <v>110</v>
      </c>
    </row>
    <row r="4" customFormat="false" ht="15" hidden="false" customHeight="false" outlineLevel="0" collapsed="false">
      <c r="B4" s="8" t="s">
        <v>111</v>
      </c>
      <c r="D4" s="27" t="n">
        <v>2</v>
      </c>
      <c r="E4" s="8" t="str">
        <f aca="false">CHOOSE(Scenario,"Prudent","Base","Ambitious")</f>
        <v>Base</v>
      </c>
      <c r="I4" s="2" t="s">
        <v>112</v>
      </c>
    </row>
    <row r="7" customFormat="false" ht="15" hidden="false" customHeight="false" outlineLevel="0" collapsed="false">
      <c r="B7" s="28" t="s">
        <v>113</v>
      </c>
      <c r="C7" s="28" t="s">
        <v>114</v>
      </c>
      <c r="D7" s="28" t="s">
        <v>115</v>
      </c>
      <c r="E7" s="28" t="s">
        <v>116</v>
      </c>
      <c r="F7" s="28" t="s">
        <v>117</v>
      </c>
      <c r="G7" s="28" t="s">
        <v>118</v>
      </c>
      <c r="H7" s="28" t="s">
        <v>119</v>
      </c>
      <c r="I7" s="28" t="s">
        <v>120</v>
      </c>
    </row>
    <row r="8" customFormat="false" ht="15" hidden="false" customHeight="false" outlineLevel="0" collapsed="false">
      <c r="B8" s="12" t="s">
        <v>121</v>
      </c>
      <c r="C8" s="14" t="s">
        <v>122</v>
      </c>
      <c r="D8" s="29" t="n">
        <v>46388</v>
      </c>
      <c r="I8" s="14" t="s">
        <v>123</v>
      </c>
    </row>
    <row r="9" customFormat="false" ht="15" hidden="false" customHeight="false" outlineLevel="0" collapsed="false">
      <c r="B9" s="12" t="s">
        <v>124</v>
      </c>
      <c r="C9" s="14" t="s">
        <v>71</v>
      </c>
      <c r="D9" s="30" t="n">
        <v>655.957</v>
      </c>
      <c r="I9" s="14" t="s">
        <v>125</v>
      </c>
    </row>
    <row r="10" customFormat="false" ht="15" hidden="false" customHeight="false" outlineLevel="0" collapsed="false">
      <c r="B10" s="12" t="s">
        <v>126</v>
      </c>
      <c r="C10" s="14" t="s">
        <v>71</v>
      </c>
      <c r="D10" s="31" t="n">
        <v>580</v>
      </c>
      <c r="I10" s="14" t="s">
        <v>127</v>
      </c>
    </row>
    <row r="11" customFormat="false" ht="15" hidden="false" customHeight="false" outlineLevel="0" collapsed="false">
      <c r="B11" s="12" t="s">
        <v>128</v>
      </c>
      <c r="C11" s="14" t="s">
        <v>90</v>
      </c>
      <c r="D11" s="32" t="n">
        <v>0.3</v>
      </c>
      <c r="I11" s="14" t="s">
        <v>129</v>
      </c>
    </row>
    <row r="12" customFormat="false" ht="15" hidden="false" customHeight="false" outlineLevel="0" collapsed="false">
      <c r="B12" s="12" t="s">
        <v>130</v>
      </c>
      <c r="C12" s="14" t="s">
        <v>131</v>
      </c>
      <c r="D12" s="32" t="n">
        <v>0.05</v>
      </c>
      <c r="I12" s="14" t="s">
        <v>132</v>
      </c>
    </row>
    <row r="13" customFormat="false" ht="15" hidden="false" customHeight="false" outlineLevel="0" collapsed="false">
      <c r="B13" s="12" t="s">
        <v>133</v>
      </c>
      <c r="C13" s="14" t="s">
        <v>90</v>
      </c>
      <c r="D13" s="32" t="n">
        <v>0.05</v>
      </c>
      <c r="I13" s="14" t="s">
        <v>134</v>
      </c>
    </row>
    <row r="15" customFormat="false" ht="15" hidden="false" customHeight="false" outlineLevel="0" collapsed="false">
      <c r="B15" s="28" t="s">
        <v>135</v>
      </c>
      <c r="C15" s="28" t="s">
        <v>114</v>
      </c>
      <c r="D15" s="28" t="s">
        <v>115</v>
      </c>
      <c r="E15" s="28" t="s">
        <v>116</v>
      </c>
      <c r="F15" s="28" t="s">
        <v>117</v>
      </c>
      <c r="G15" s="28" t="s">
        <v>118</v>
      </c>
      <c r="H15" s="28" t="s">
        <v>119</v>
      </c>
      <c r="I15" s="28" t="s">
        <v>120</v>
      </c>
    </row>
    <row r="16" customFormat="false" ht="15" hidden="false" customHeight="false" outlineLevel="0" collapsed="false">
      <c r="B16" s="12" t="s">
        <v>136</v>
      </c>
      <c r="C16" s="14" t="s">
        <v>68</v>
      </c>
      <c r="D16" s="33" t="n">
        <v>5</v>
      </c>
      <c r="I16" s="14" t="s">
        <v>137</v>
      </c>
    </row>
    <row r="17" customFormat="false" ht="15" hidden="false" customHeight="false" outlineLevel="0" collapsed="false">
      <c r="B17" s="12" t="s">
        <v>138</v>
      </c>
      <c r="C17" s="14" t="s">
        <v>68</v>
      </c>
      <c r="D17" s="33" t="n">
        <v>19</v>
      </c>
      <c r="I17" s="14" t="s">
        <v>139</v>
      </c>
    </row>
    <row r="18" customFormat="false" ht="15" hidden="false" customHeight="false" outlineLevel="0" collapsed="false">
      <c r="B18" s="12" t="s">
        <v>140</v>
      </c>
      <c r="C18" s="14" t="s">
        <v>68</v>
      </c>
      <c r="D18" s="33" t="n">
        <v>1</v>
      </c>
      <c r="I18" s="14" t="s">
        <v>141</v>
      </c>
    </row>
    <row r="19" customFormat="false" ht="15" hidden="false" customHeight="false" outlineLevel="0" collapsed="false">
      <c r="B19" s="12" t="s">
        <v>142</v>
      </c>
      <c r="C19" s="14" t="s">
        <v>68</v>
      </c>
      <c r="D19" s="33" t="n">
        <v>18</v>
      </c>
      <c r="I19" s="14" t="s">
        <v>143</v>
      </c>
    </row>
    <row r="20" customFormat="false" ht="15" hidden="false" customHeight="false" outlineLevel="0" collapsed="false">
      <c r="B20" s="12" t="s">
        <v>144</v>
      </c>
      <c r="C20" s="14" t="s">
        <v>68</v>
      </c>
      <c r="D20" s="33" t="n">
        <v>18</v>
      </c>
      <c r="I20" s="14" t="s">
        <v>145</v>
      </c>
    </row>
    <row r="21" customFormat="false" ht="15" hidden="false" customHeight="false" outlineLevel="0" collapsed="false">
      <c r="B21" s="12" t="s">
        <v>146</v>
      </c>
      <c r="C21" s="14" t="s">
        <v>68</v>
      </c>
      <c r="D21" s="33" t="n">
        <v>29</v>
      </c>
      <c r="I21" s="14" t="s">
        <v>147</v>
      </c>
    </row>
    <row r="22" customFormat="false" ht="15" hidden="false" customHeight="false" outlineLevel="0" collapsed="false">
      <c r="B22" s="12" t="s">
        <v>148</v>
      </c>
      <c r="C22" s="14" t="s">
        <v>68</v>
      </c>
      <c r="D22" s="33" t="n">
        <v>24</v>
      </c>
      <c r="I22" s="14" t="s">
        <v>149</v>
      </c>
    </row>
    <row r="23" customFormat="false" ht="15" hidden="false" customHeight="false" outlineLevel="0" collapsed="false">
      <c r="B23" s="12" t="s">
        <v>150</v>
      </c>
      <c r="C23" s="14" t="s">
        <v>68</v>
      </c>
      <c r="D23" s="33" t="n">
        <v>25</v>
      </c>
      <c r="I23" s="14" t="s">
        <v>151</v>
      </c>
    </row>
    <row r="24" customFormat="false" ht="15" hidden="false" customHeight="false" outlineLevel="0" collapsed="false">
      <c r="B24" s="12" t="s">
        <v>152</v>
      </c>
      <c r="C24" s="14" t="s">
        <v>68</v>
      </c>
      <c r="D24" s="33" t="n">
        <v>4</v>
      </c>
      <c r="I24" s="14"/>
    </row>
    <row r="25" customFormat="false" ht="15" hidden="false" customHeight="false" outlineLevel="0" collapsed="false">
      <c r="B25" s="12" t="s">
        <v>153</v>
      </c>
      <c r="C25" s="14" t="s">
        <v>68</v>
      </c>
      <c r="D25" s="33" t="n">
        <v>2</v>
      </c>
      <c r="I25" s="14"/>
    </row>
    <row r="26" customFormat="false" ht="15" hidden="false" customHeight="false" outlineLevel="0" collapsed="false">
      <c r="B26" s="12" t="s">
        <v>154</v>
      </c>
      <c r="C26" s="14" t="s">
        <v>68</v>
      </c>
      <c r="D26" s="33" t="n">
        <v>16</v>
      </c>
      <c r="I26" s="14"/>
    </row>
    <row r="27" customFormat="false" ht="15" hidden="false" customHeight="false" outlineLevel="0" collapsed="false">
      <c r="B27" s="12" t="s">
        <v>155</v>
      </c>
      <c r="C27" s="14" t="s">
        <v>68</v>
      </c>
      <c r="D27" s="33" t="n">
        <v>3</v>
      </c>
      <c r="I27" s="14"/>
    </row>
    <row r="28" customFormat="false" ht="15" hidden="false" customHeight="false" outlineLevel="0" collapsed="false">
      <c r="B28" s="12" t="s">
        <v>156</v>
      </c>
      <c r="C28" s="14" t="s">
        <v>68</v>
      </c>
      <c r="D28" s="33" t="n">
        <v>5</v>
      </c>
      <c r="I28" s="14"/>
    </row>
    <row r="29" customFormat="false" ht="15" hidden="false" customHeight="false" outlineLevel="0" collapsed="false">
      <c r="B29" s="12" t="s">
        <v>157</v>
      </c>
      <c r="C29" s="14" t="s">
        <v>68</v>
      </c>
      <c r="D29" s="33" t="n">
        <v>2</v>
      </c>
      <c r="I29" s="14"/>
    </row>
    <row r="30" customFormat="false" ht="15" hidden="false" customHeight="false" outlineLevel="0" collapsed="false">
      <c r="B30" s="12" t="s">
        <v>158</v>
      </c>
      <c r="C30" s="14" t="s">
        <v>68</v>
      </c>
      <c r="D30" s="33" t="n">
        <v>15</v>
      </c>
      <c r="I30" s="14" t="s">
        <v>159</v>
      </c>
    </row>
    <row r="31" customFormat="false" ht="15" hidden="false" customHeight="false" outlineLevel="0" collapsed="false">
      <c r="B31" s="12" t="s">
        <v>160</v>
      </c>
      <c r="C31" s="14" t="s">
        <v>68</v>
      </c>
      <c r="D31" s="33" t="n">
        <v>16</v>
      </c>
      <c r="I31" s="14" t="s">
        <v>161</v>
      </c>
    </row>
    <row r="32" customFormat="false" ht="15" hidden="false" customHeight="false" outlineLevel="0" collapsed="false">
      <c r="B32" s="12" t="s">
        <v>162</v>
      </c>
      <c r="C32" s="14" t="s">
        <v>68</v>
      </c>
      <c r="D32" s="33" t="n">
        <v>4</v>
      </c>
      <c r="I32" s="14" t="s">
        <v>163</v>
      </c>
    </row>
    <row r="34" customFormat="false" ht="15" hidden="false" customHeight="false" outlineLevel="0" collapsed="false">
      <c r="B34" s="28" t="s">
        <v>164</v>
      </c>
      <c r="C34" s="28" t="s">
        <v>114</v>
      </c>
      <c r="D34" s="28" t="s">
        <v>115</v>
      </c>
      <c r="E34" s="28" t="s">
        <v>116</v>
      </c>
      <c r="F34" s="28" t="s">
        <v>117</v>
      </c>
      <c r="G34" s="28" t="s">
        <v>118</v>
      </c>
      <c r="H34" s="28" t="s">
        <v>119</v>
      </c>
      <c r="I34" s="28" t="s">
        <v>120</v>
      </c>
    </row>
    <row r="35" customFormat="false" ht="15" hidden="false" customHeight="false" outlineLevel="0" collapsed="false">
      <c r="B35" s="12" t="s">
        <v>165</v>
      </c>
      <c r="C35" s="14" t="s">
        <v>83</v>
      </c>
      <c r="D35" s="34" t="n">
        <f aca="false">CHOOSE(Scenario,E35,F35,G35)</f>
        <v>10</v>
      </c>
      <c r="E35" s="35" t="n">
        <v>7</v>
      </c>
      <c r="F35" s="35" t="n">
        <v>10</v>
      </c>
      <c r="G35" s="35" t="n">
        <v>13</v>
      </c>
      <c r="I35" s="14" t="s">
        <v>166</v>
      </c>
    </row>
    <row r="36" customFormat="false" ht="15" hidden="false" customHeight="false" outlineLevel="0" collapsed="false">
      <c r="B36" s="12" t="s">
        <v>167</v>
      </c>
      <c r="C36" s="14" t="s">
        <v>168</v>
      </c>
      <c r="D36" s="36" t="n">
        <v>0.9</v>
      </c>
      <c r="I36" s="14" t="s">
        <v>169</v>
      </c>
    </row>
    <row r="37" customFormat="false" ht="15" hidden="false" customHeight="false" outlineLevel="0" collapsed="false">
      <c r="B37" s="12" t="s">
        <v>170</v>
      </c>
      <c r="C37" s="14" t="s">
        <v>83</v>
      </c>
      <c r="D37" s="34" t="n">
        <f aca="false">CHOOSE(Scenario,E37,F37,G37)</f>
        <v>10</v>
      </c>
      <c r="E37" s="35" t="n">
        <v>6</v>
      </c>
      <c r="F37" s="35" t="n">
        <v>10</v>
      </c>
      <c r="G37" s="35" t="n">
        <v>14</v>
      </c>
      <c r="I37" s="14" t="s">
        <v>171</v>
      </c>
    </row>
    <row r="38" customFormat="false" ht="15" hidden="false" customHeight="false" outlineLevel="0" collapsed="false">
      <c r="B38" s="12" t="s">
        <v>172</v>
      </c>
      <c r="C38" s="14" t="s">
        <v>83</v>
      </c>
      <c r="D38" s="34" t="n">
        <f aca="false">CHOOSE(Scenario,E38,F38,G38)</f>
        <v>6</v>
      </c>
      <c r="E38" s="35" t="n">
        <v>4</v>
      </c>
      <c r="F38" s="35" t="n">
        <v>6</v>
      </c>
      <c r="G38" s="35" t="n">
        <v>9</v>
      </c>
      <c r="I38" s="14"/>
    </row>
    <row r="39" customFormat="false" ht="15" hidden="false" customHeight="false" outlineLevel="0" collapsed="false">
      <c r="B39" s="12" t="s">
        <v>173</v>
      </c>
      <c r="C39" s="14" t="s">
        <v>174</v>
      </c>
      <c r="D39" s="32" t="n">
        <v>0.06</v>
      </c>
      <c r="I39" s="14"/>
    </row>
    <row r="40" customFormat="false" ht="15" hidden="false" customHeight="false" outlineLevel="0" collapsed="false">
      <c r="B40" s="12" t="s">
        <v>175</v>
      </c>
      <c r="C40" s="14" t="s">
        <v>176</v>
      </c>
      <c r="D40" s="31" t="n">
        <v>80</v>
      </c>
      <c r="I40" s="14"/>
    </row>
    <row r="41" customFormat="false" ht="15" hidden="false" customHeight="false" outlineLevel="0" collapsed="false">
      <c r="B41" s="12" t="s">
        <v>177</v>
      </c>
      <c r="C41" s="14" t="s">
        <v>176</v>
      </c>
      <c r="D41" s="31" t="n">
        <v>60</v>
      </c>
      <c r="I41" s="14"/>
    </row>
    <row r="42" customFormat="false" ht="15" hidden="false" customHeight="false" outlineLevel="0" collapsed="false">
      <c r="B42" s="12" t="s">
        <v>178</v>
      </c>
      <c r="C42" s="14" t="s">
        <v>71</v>
      </c>
      <c r="D42" s="37" t="n">
        <f aca="false">CHOOSE(Scenario,E42,F42,G42)</f>
        <v>75000</v>
      </c>
      <c r="E42" s="31" t="n">
        <v>100000</v>
      </c>
      <c r="F42" s="31" t="n">
        <v>75000</v>
      </c>
      <c r="G42" s="31" t="n">
        <v>55000</v>
      </c>
      <c r="H42" s="38" t="n">
        <f aca="false">D42/FX_EUR</f>
        <v>114.336762928058</v>
      </c>
      <c r="I42" s="14" t="s">
        <v>179</v>
      </c>
    </row>
    <row r="43" customFormat="false" ht="15" hidden="false" customHeight="false" outlineLevel="0" collapsed="false">
      <c r="B43" s="12" t="s">
        <v>180</v>
      </c>
      <c r="C43" s="14" t="s">
        <v>90</v>
      </c>
      <c r="D43" s="32" t="n">
        <v>0.6</v>
      </c>
      <c r="I43" s="14" t="s">
        <v>181</v>
      </c>
    </row>
    <row r="44" customFormat="false" ht="15" hidden="false" customHeight="false" outlineLevel="0" collapsed="false">
      <c r="B44" s="12" t="s">
        <v>182</v>
      </c>
      <c r="C44" s="14" t="s">
        <v>90</v>
      </c>
      <c r="D44" s="32" t="n">
        <v>0.3</v>
      </c>
      <c r="I44" s="14"/>
    </row>
    <row r="45" customFormat="false" ht="15" hidden="false" customHeight="false" outlineLevel="0" collapsed="false">
      <c r="B45" s="12" t="s">
        <v>183</v>
      </c>
      <c r="C45" s="14" t="s">
        <v>90</v>
      </c>
      <c r="D45" s="32" t="n">
        <v>0.1</v>
      </c>
      <c r="I45" s="14"/>
    </row>
    <row r="46" customFormat="false" ht="15" hidden="false" customHeight="false" outlineLevel="0" collapsed="false">
      <c r="B46" s="12" t="s">
        <v>184</v>
      </c>
      <c r="C46" s="14" t="s">
        <v>174</v>
      </c>
      <c r="D46" s="39" t="n">
        <f aca="false">CHOOSE(Scenario,E46,F46,G46)</f>
        <v>0.02</v>
      </c>
      <c r="E46" s="40" t="n">
        <v>0.03</v>
      </c>
      <c r="F46" s="40" t="n">
        <v>0.02</v>
      </c>
      <c r="G46" s="40" t="n">
        <v>0.015</v>
      </c>
      <c r="I46" s="14" t="s">
        <v>185</v>
      </c>
    </row>
    <row r="47" customFormat="false" ht="15" hidden="false" customHeight="false" outlineLevel="0" collapsed="false">
      <c r="B47" s="12" t="s">
        <v>186</v>
      </c>
      <c r="C47" s="14" t="s">
        <v>174</v>
      </c>
      <c r="D47" s="39" t="n">
        <f aca="false">CHOOSE(Scenario,E47,F47,G47)</f>
        <v>0.0125</v>
      </c>
      <c r="E47" s="40" t="n">
        <v>0.02</v>
      </c>
      <c r="F47" s="40" t="n">
        <v>0.0125</v>
      </c>
      <c r="G47" s="40" t="n">
        <v>0.01</v>
      </c>
      <c r="I47" s="14"/>
    </row>
    <row r="48" customFormat="false" ht="15" hidden="false" customHeight="false" outlineLevel="0" collapsed="false">
      <c r="B48" s="12" t="s">
        <v>187</v>
      </c>
      <c r="C48" s="14" t="s">
        <v>174</v>
      </c>
      <c r="D48" s="39" t="n">
        <f aca="false">CHOOSE(Scenario,E48,F48,G48)</f>
        <v>0.0075</v>
      </c>
      <c r="E48" s="40" t="n">
        <v>0.015</v>
      </c>
      <c r="F48" s="40" t="n">
        <v>0.0075</v>
      </c>
      <c r="G48" s="40" t="n">
        <v>0.005</v>
      </c>
      <c r="I48" s="14"/>
    </row>
    <row r="49" customFormat="false" ht="15" hidden="false" customHeight="false" outlineLevel="0" collapsed="false">
      <c r="B49" s="12" t="s">
        <v>188</v>
      </c>
      <c r="C49" s="14" t="s">
        <v>71</v>
      </c>
      <c r="D49" s="31" t="n">
        <v>25000</v>
      </c>
      <c r="H49" s="38" t="n">
        <f aca="false">D49/FX_EUR</f>
        <v>38.1122543093526</v>
      </c>
      <c r="I49" s="14" t="s">
        <v>189</v>
      </c>
    </row>
    <row r="50" customFormat="false" ht="15" hidden="false" customHeight="false" outlineLevel="0" collapsed="false">
      <c r="B50" s="12" t="s">
        <v>190</v>
      </c>
      <c r="C50" s="14" t="s">
        <v>98</v>
      </c>
      <c r="D50" s="31" t="n">
        <v>75000</v>
      </c>
      <c r="H50" s="38" t="n">
        <f aca="false">D50/FX_EUR</f>
        <v>114.336762928058</v>
      </c>
      <c r="I50" s="14" t="s">
        <v>191</v>
      </c>
    </row>
    <row r="52" customFormat="false" ht="15" hidden="false" customHeight="false" outlineLevel="0" collapsed="false">
      <c r="B52" s="28" t="s">
        <v>192</v>
      </c>
      <c r="C52" s="28" t="s">
        <v>114</v>
      </c>
      <c r="D52" s="28" t="s">
        <v>115</v>
      </c>
      <c r="E52" s="28" t="s">
        <v>116</v>
      </c>
      <c r="F52" s="28" t="s">
        <v>117</v>
      </c>
      <c r="G52" s="28" t="s">
        <v>118</v>
      </c>
      <c r="H52" s="28" t="s">
        <v>119</v>
      </c>
      <c r="I52" s="28" t="s">
        <v>120</v>
      </c>
    </row>
    <row r="53" customFormat="false" ht="15" hidden="false" customHeight="false" outlineLevel="0" collapsed="false">
      <c r="B53" s="12" t="s">
        <v>193</v>
      </c>
      <c r="C53" s="14" t="s">
        <v>98</v>
      </c>
      <c r="D53" s="31" t="n">
        <v>9900</v>
      </c>
      <c r="H53" s="38" t="n">
        <f aca="false">D53/FX_EUR</f>
        <v>15.0924527065036</v>
      </c>
      <c r="I53" s="14" t="s">
        <v>194</v>
      </c>
    </row>
    <row r="54" customFormat="false" ht="15" hidden="false" customHeight="false" outlineLevel="0" collapsed="false">
      <c r="B54" s="12" t="s">
        <v>195</v>
      </c>
      <c r="C54" s="14" t="s">
        <v>98</v>
      </c>
      <c r="D54" s="31" t="n">
        <v>29900</v>
      </c>
      <c r="H54" s="38" t="n">
        <f aca="false">D54/FX_EUR</f>
        <v>45.5822561539857</v>
      </c>
      <c r="I54" s="14" t="s">
        <v>194</v>
      </c>
    </row>
    <row r="55" customFormat="false" ht="15" hidden="false" customHeight="false" outlineLevel="0" collapsed="false">
      <c r="B55" s="12" t="s">
        <v>196</v>
      </c>
      <c r="C55" s="14" t="s">
        <v>98</v>
      </c>
      <c r="D55" s="31" t="n">
        <v>79900</v>
      </c>
      <c r="H55" s="38" t="n">
        <f aca="false">D55/FX_EUR</f>
        <v>121.806764772691</v>
      </c>
      <c r="I55" s="14" t="s">
        <v>194</v>
      </c>
    </row>
    <row r="56" customFormat="false" ht="15" hidden="false" customHeight="false" outlineLevel="0" collapsed="false">
      <c r="B56" s="12" t="s">
        <v>197</v>
      </c>
      <c r="C56" s="14" t="s">
        <v>131</v>
      </c>
      <c r="D56" s="32" t="n">
        <v>0</v>
      </c>
      <c r="I56" s="14"/>
    </row>
    <row r="57" customFormat="false" ht="15" hidden="false" customHeight="false" outlineLevel="0" collapsed="false">
      <c r="B57" s="12" t="s">
        <v>198</v>
      </c>
      <c r="C57" s="14" t="s">
        <v>102</v>
      </c>
      <c r="D57" s="33" t="n">
        <v>3</v>
      </c>
      <c r="I57" s="14" t="s">
        <v>199</v>
      </c>
    </row>
    <row r="58" customFormat="false" ht="15" hidden="false" customHeight="false" outlineLevel="0" collapsed="false">
      <c r="B58" s="12" t="s">
        <v>200</v>
      </c>
      <c r="C58" s="14" t="s">
        <v>90</v>
      </c>
      <c r="D58" s="32" t="n">
        <v>0.3</v>
      </c>
      <c r="I58" s="14"/>
    </row>
    <row r="59" customFormat="false" ht="15" hidden="false" customHeight="false" outlineLevel="0" collapsed="false">
      <c r="B59" s="12" t="s">
        <v>201</v>
      </c>
      <c r="C59" s="14" t="s">
        <v>102</v>
      </c>
      <c r="D59" s="33" t="n">
        <v>2</v>
      </c>
      <c r="I59" s="14" t="s">
        <v>202</v>
      </c>
    </row>
    <row r="60" customFormat="false" ht="15" hidden="false" customHeight="false" outlineLevel="0" collapsed="false">
      <c r="B60" s="12" t="s">
        <v>203</v>
      </c>
      <c r="C60" s="14" t="s">
        <v>71</v>
      </c>
      <c r="D60" s="31" t="n">
        <v>5000</v>
      </c>
      <c r="H60" s="38" t="n">
        <f aca="false">D60/FX_EUR</f>
        <v>7.62245086187052</v>
      </c>
      <c r="I60" s="14" t="s">
        <v>194</v>
      </c>
    </row>
    <row r="61" customFormat="false" ht="15" hidden="false" customHeight="false" outlineLevel="0" collapsed="false">
      <c r="B61" s="12" t="s">
        <v>204</v>
      </c>
      <c r="C61" s="14" t="s">
        <v>90</v>
      </c>
      <c r="D61" s="32" t="n">
        <v>0.01</v>
      </c>
      <c r="I61" s="14" t="s">
        <v>205</v>
      </c>
    </row>
    <row r="62" customFormat="false" ht="15" hidden="false" customHeight="false" outlineLevel="0" collapsed="false">
      <c r="B62" s="12" t="s">
        <v>206</v>
      </c>
      <c r="C62" s="14" t="s">
        <v>90</v>
      </c>
      <c r="D62" s="39" t="n">
        <f aca="false">CHOOSE(Scenario,E62,F62,G62)</f>
        <v>0.005</v>
      </c>
      <c r="E62" s="40" t="n">
        <v>0.003</v>
      </c>
      <c r="F62" s="40" t="n">
        <v>0.005</v>
      </c>
      <c r="G62" s="40" t="n">
        <v>0.007</v>
      </c>
      <c r="I62" s="14" t="s">
        <v>207</v>
      </c>
    </row>
    <row r="63" customFormat="false" ht="15" hidden="false" customHeight="false" outlineLevel="0" collapsed="false">
      <c r="B63" s="12" t="s">
        <v>208</v>
      </c>
      <c r="C63" s="14" t="s">
        <v>131</v>
      </c>
      <c r="D63" s="39" t="n">
        <f aca="false">CHOOSE(Scenario,E63,F63,G63)</f>
        <v>0.015</v>
      </c>
      <c r="E63" s="40" t="n">
        <v>0.01</v>
      </c>
      <c r="F63" s="40" t="n">
        <v>0.015</v>
      </c>
      <c r="G63" s="40" t="n">
        <v>0.02</v>
      </c>
      <c r="I63" s="14" t="s">
        <v>209</v>
      </c>
    </row>
    <row r="64" customFormat="false" ht="15" hidden="false" customHeight="false" outlineLevel="0" collapsed="false">
      <c r="B64" s="12" t="s">
        <v>210</v>
      </c>
      <c r="C64" s="14" t="s">
        <v>71</v>
      </c>
      <c r="D64" s="31" t="n">
        <v>100</v>
      </c>
      <c r="H64" s="38" t="n">
        <f aca="false">D64/FX_EUR</f>
        <v>0.15244901723741</v>
      </c>
      <c r="I64" s="14" t="s">
        <v>211</v>
      </c>
    </row>
    <row r="65" customFormat="false" ht="15" hidden="false" customHeight="false" outlineLevel="0" collapsed="false">
      <c r="B65" s="12" t="s">
        <v>212</v>
      </c>
      <c r="C65" s="14" t="s">
        <v>90</v>
      </c>
      <c r="D65" s="32" t="n">
        <v>0.01</v>
      </c>
      <c r="I65" s="14"/>
    </row>
    <row r="66" customFormat="false" ht="15" hidden="false" customHeight="false" outlineLevel="0" collapsed="false">
      <c r="B66" s="12" t="s">
        <v>213</v>
      </c>
      <c r="C66" s="14" t="s">
        <v>90</v>
      </c>
      <c r="D66" s="40" t="n">
        <v>0.007</v>
      </c>
      <c r="I66" s="14" t="s">
        <v>214</v>
      </c>
    </row>
    <row r="67" customFormat="false" ht="15" hidden="false" customHeight="false" outlineLevel="0" collapsed="false">
      <c r="B67" s="12" t="s">
        <v>215</v>
      </c>
      <c r="C67" s="14" t="s">
        <v>90</v>
      </c>
      <c r="D67" s="32" t="n">
        <v>0.7</v>
      </c>
      <c r="I67" s="14" t="s">
        <v>216</v>
      </c>
    </row>
    <row r="68" customFormat="false" ht="15" hidden="false" customHeight="false" outlineLevel="0" collapsed="false">
      <c r="B68" s="12" t="s">
        <v>217</v>
      </c>
      <c r="C68" s="14" t="s">
        <v>90</v>
      </c>
      <c r="D68" s="32" t="n">
        <v>0.25</v>
      </c>
      <c r="I68" s="14"/>
    </row>
    <row r="69" customFormat="false" ht="15" hidden="false" customHeight="false" outlineLevel="0" collapsed="false">
      <c r="B69" s="12" t="s">
        <v>218</v>
      </c>
      <c r="C69" s="14" t="s">
        <v>102</v>
      </c>
      <c r="D69" s="33" t="n">
        <v>12</v>
      </c>
      <c r="I69" s="14"/>
    </row>
    <row r="71" customFormat="false" ht="15" hidden="false" customHeight="false" outlineLevel="0" collapsed="false">
      <c r="B71" s="28" t="s">
        <v>219</v>
      </c>
      <c r="C71" s="28" t="s">
        <v>114</v>
      </c>
      <c r="D71" s="28" t="s">
        <v>115</v>
      </c>
      <c r="E71" s="28" t="s">
        <v>116</v>
      </c>
      <c r="F71" s="28" t="s">
        <v>117</v>
      </c>
      <c r="G71" s="28" t="s">
        <v>118</v>
      </c>
      <c r="H71" s="28" t="s">
        <v>119</v>
      </c>
      <c r="I71" s="28" t="s">
        <v>120</v>
      </c>
    </row>
    <row r="72" customFormat="false" ht="15" hidden="false" customHeight="false" outlineLevel="0" collapsed="false">
      <c r="B72" s="12" t="s">
        <v>220</v>
      </c>
      <c r="C72" s="14" t="s">
        <v>98</v>
      </c>
      <c r="D72" s="31" t="n">
        <v>300000</v>
      </c>
      <c r="H72" s="38" t="n">
        <f aca="false">D72/FX_EUR</f>
        <v>457.347051712231</v>
      </c>
      <c r="I72" s="14" t="s">
        <v>221</v>
      </c>
    </row>
    <row r="73" customFormat="false" ht="15" hidden="false" customHeight="false" outlineLevel="0" collapsed="false">
      <c r="B73" s="12" t="s">
        <v>222</v>
      </c>
      <c r="C73" s="14" t="s">
        <v>98</v>
      </c>
      <c r="D73" s="31" t="n">
        <v>800000</v>
      </c>
      <c r="H73" s="38" t="n">
        <f aca="false">D73/FX_EUR</f>
        <v>1219.59213789928</v>
      </c>
      <c r="I73" s="14"/>
    </row>
    <row r="74" customFormat="false" ht="15" hidden="false" customHeight="false" outlineLevel="0" collapsed="false">
      <c r="B74" s="12" t="s">
        <v>223</v>
      </c>
      <c r="C74" s="14" t="s">
        <v>98</v>
      </c>
      <c r="D74" s="31" t="n">
        <v>2500000</v>
      </c>
      <c r="H74" s="38" t="n">
        <f aca="false">D74/FX_EUR</f>
        <v>3811.22543093526</v>
      </c>
      <c r="I74" s="14"/>
    </row>
    <row r="75" customFormat="false" ht="15" hidden="false" customHeight="false" outlineLevel="0" collapsed="false">
      <c r="B75" s="12" t="s">
        <v>224</v>
      </c>
      <c r="C75" s="14" t="s">
        <v>98</v>
      </c>
      <c r="D75" s="31" t="n">
        <v>300000</v>
      </c>
      <c r="H75" s="38" t="n">
        <f aca="false">D75/FX_EUR</f>
        <v>457.347051712231</v>
      </c>
      <c r="I75" s="14" t="s">
        <v>225</v>
      </c>
    </row>
    <row r="76" customFormat="false" ht="15" hidden="false" customHeight="false" outlineLevel="0" collapsed="false">
      <c r="B76" s="12" t="s">
        <v>226</v>
      </c>
      <c r="C76" s="14" t="s">
        <v>98</v>
      </c>
      <c r="D76" s="31" t="n">
        <v>1200000</v>
      </c>
      <c r="H76" s="38" t="n">
        <f aca="false">D76/FX_EUR</f>
        <v>1829.38820684892</v>
      </c>
      <c r="I76" s="14"/>
    </row>
    <row r="77" customFormat="false" ht="15" hidden="false" customHeight="false" outlineLevel="0" collapsed="false">
      <c r="B77" s="12" t="s">
        <v>227</v>
      </c>
      <c r="C77" s="14" t="s">
        <v>98</v>
      </c>
      <c r="D77" s="31" t="n">
        <v>3500000</v>
      </c>
      <c r="H77" s="38" t="n">
        <f aca="false">D77/FX_EUR</f>
        <v>5335.71560330936</v>
      </c>
      <c r="I77" s="14"/>
    </row>
    <row r="78" customFormat="false" ht="15" hidden="false" customHeight="false" outlineLevel="0" collapsed="false">
      <c r="B78" s="12" t="s">
        <v>228</v>
      </c>
      <c r="C78" s="14" t="s">
        <v>71</v>
      </c>
      <c r="D78" s="31" t="n">
        <v>3000000</v>
      </c>
      <c r="H78" s="38" t="n">
        <f aca="false">D78/FX_EUR</f>
        <v>4573.47051712231</v>
      </c>
      <c r="I78" s="14"/>
    </row>
    <row r="79" customFormat="false" ht="15" hidden="false" customHeight="false" outlineLevel="0" collapsed="false">
      <c r="B79" s="12" t="s">
        <v>229</v>
      </c>
      <c r="C79" s="14" t="s">
        <v>71</v>
      </c>
      <c r="D79" s="31" t="n">
        <v>10000000</v>
      </c>
      <c r="H79" s="38" t="n">
        <f aca="false">D79/FX_EUR</f>
        <v>15244.901723741</v>
      </c>
      <c r="I79" s="14"/>
    </row>
    <row r="80" customFormat="false" ht="15" hidden="false" customHeight="false" outlineLevel="0" collapsed="false">
      <c r="B80" s="12" t="s">
        <v>230</v>
      </c>
      <c r="C80" s="14" t="s">
        <v>71</v>
      </c>
      <c r="D80" s="31" t="n">
        <v>40000000</v>
      </c>
      <c r="H80" s="38" t="n">
        <f aca="false">D80/FX_EUR</f>
        <v>60979.6068949642</v>
      </c>
      <c r="I80" s="14"/>
    </row>
    <row r="81" customFormat="false" ht="15" hidden="false" customHeight="false" outlineLevel="0" collapsed="false">
      <c r="B81" s="12" t="s">
        <v>231</v>
      </c>
      <c r="C81" s="14" t="s">
        <v>86</v>
      </c>
      <c r="D81" s="31" t="n">
        <v>5</v>
      </c>
      <c r="I81" s="14"/>
    </row>
    <row r="82" customFormat="false" ht="15" hidden="false" customHeight="false" outlineLevel="0" collapsed="false">
      <c r="B82" s="12" t="s">
        <v>232</v>
      </c>
      <c r="C82" s="14" t="s">
        <v>86</v>
      </c>
      <c r="D82" s="31" t="n">
        <v>25</v>
      </c>
      <c r="I82" s="14"/>
    </row>
    <row r="83" customFormat="false" ht="15" hidden="false" customHeight="false" outlineLevel="0" collapsed="false">
      <c r="B83" s="12" t="s">
        <v>233</v>
      </c>
      <c r="C83" s="14" t="s">
        <v>86</v>
      </c>
      <c r="D83" s="31" t="n">
        <v>120</v>
      </c>
      <c r="I83" s="14"/>
    </row>
    <row r="84" customFormat="false" ht="15" hidden="false" customHeight="false" outlineLevel="0" collapsed="false">
      <c r="B84" s="12" t="s">
        <v>234</v>
      </c>
      <c r="C84" s="14" t="s">
        <v>235</v>
      </c>
      <c r="D84" s="31" t="n">
        <v>10</v>
      </c>
      <c r="I84" s="14"/>
    </row>
    <row r="85" customFormat="false" ht="15" hidden="false" customHeight="false" outlineLevel="0" collapsed="false">
      <c r="B85" s="12" t="s">
        <v>236</v>
      </c>
      <c r="C85" s="14" t="s">
        <v>235</v>
      </c>
      <c r="D85" s="31" t="n">
        <v>40</v>
      </c>
      <c r="I85" s="14"/>
    </row>
    <row r="86" customFormat="false" ht="15" hidden="false" customHeight="false" outlineLevel="0" collapsed="false">
      <c r="B86" s="12" t="s">
        <v>237</v>
      </c>
      <c r="C86" s="14" t="s">
        <v>235</v>
      </c>
      <c r="D86" s="31" t="n">
        <v>150</v>
      </c>
      <c r="I86" s="14"/>
    </row>
    <row r="87" customFormat="false" ht="15" hidden="false" customHeight="false" outlineLevel="0" collapsed="false">
      <c r="B87" s="12" t="s">
        <v>238</v>
      </c>
      <c r="C87" s="14" t="s">
        <v>235</v>
      </c>
      <c r="D87" s="31" t="n">
        <v>0</v>
      </c>
      <c r="I87" s="14"/>
    </row>
    <row r="88" customFormat="false" ht="15" hidden="false" customHeight="false" outlineLevel="0" collapsed="false">
      <c r="B88" s="12" t="s">
        <v>239</v>
      </c>
      <c r="C88" s="14" t="s">
        <v>235</v>
      </c>
      <c r="D88" s="31" t="n">
        <v>5</v>
      </c>
      <c r="I88" s="14"/>
    </row>
    <row r="89" customFormat="false" ht="15" hidden="false" customHeight="false" outlineLevel="0" collapsed="false">
      <c r="B89" s="12" t="s">
        <v>240</v>
      </c>
      <c r="C89" s="14" t="s">
        <v>235</v>
      </c>
      <c r="D89" s="31" t="n">
        <v>40</v>
      </c>
      <c r="I89" s="14"/>
    </row>
    <row r="90" customFormat="false" ht="15" hidden="false" customHeight="false" outlineLevel="0" collapsed="false">
      <c r="B90" s="12" t="s">
        <v>241</v>
      </c>
      <c r="C90" s="14" t="s">
        <v>242</v>
      </c>
      <c r="D90" s="31" t="n">
        <v>1</v>
      </c>
      <c r="I90" s="14"/>
    </row>
    <row r="91" customFormat="false" ht="15" hidden="false" customHeight="false" outlineLevel="0" collapsed="false">
      <c r="B91" s="12" t="s">
        <v>243</v>
      </c>
      <c r="C91" s="14" t="s">
        <v>242</v>
      </c>
      <c r="D91" s="31" t="n">
        <v>3</v>
      </c>
      <c r="I91" s="14"/>
    </row>
    <row r="92" customFormat="false" ht="15" hidden="false" customHeight="false" outlineLevel="0" collapsed="false">
      <c r="B92" s="12" t="s">
        <v>244</v>
      </c>
      <c r="C92" s="14" t="s">
        <v>242</v>
      </c>
      <c r="D92" s="31" t="n">
        <v>8</v>
      </c>
      <c r="I92" s="14"/>
    </row>
    <row r="93" customFormat="false" ht="15" hidden="false" customHeight="false" outlineLevel="0" collapsed="false">
      <c r="B93" s="12" t="s">
        <v>245</v>
      </c>
      <c r="C93" s="14" t="s">
        <v>242</v>
      </c>
      <c r="D93" s="31" t="n">
        <v>2</v>
      </c>
      <c r="I93" s="14"/>
    </row>
    <row r="94" customFormat="false" ht="15" hidden="false" customHeight="false" outlineLevel="0" collapsed="false">
      <c r="B94" s="12" t="s">
        <v>246</v>
      </c>
      <c r="C94" s="14" t="s">
        <v>242</v>
      </c>
      <c r="D94" s="31" t="n">
        <v>6</v>
      </c>
      <c r="I94" s="14"/>
    </row>
    <row r="95" customFormat="false" ht="15" hidden="false" customHeight="false" outlineLevel="0" collapsed="false">
      <c r="B95" s="12" t="s">
        <v>247</v>
      </c>
      <c r="C95" s="14" t="s">
        <v>242</v>
      </c>
      <c r="D95" s="31" t="n">
        <v>15</v>
      </c>
      <c r="I95" s="14"/>
    </row>
    <row r="96" customFormat="false" ht="15" hidden="false" customHeight="false" outlineLevel="0" collapsed="false">
      <c r="B96" s="12" t="s">
        <v>248</v>
      </c>
      <c r="C96" s="14" t="s">
        <v>98</v>
      </c>
      <c r="D96" s="31" t="n">
        <v>800000</v>
      </c>
      <c r="H96" s="38" t="n">
        <f aca="false">D96/FX_EUR</f>
        <v>1219.59213789928</v>
      </c>
      <c r="I96" s="14"/>
    </row>
    <row r="97" customFormat="false" ht="15" hidden="false" customHeight="false" outlineLevel="0" collapsed="false">
      <c r="B97" s="12" t="s">
        <v>249</v>
      </c>
      <c r="C97" s="14" t="s">
        <v>98</v>
      </c>
      <c r="D97" s="31" t="n">
        <v>3000000</v>
      </c>
      <c r="H97" s="38" t="n">
        <f aca="false">D97/FX_EUR</f>
        <v>4573.47051712231</v>
      </c>
      <c r="I97" s="14"/>
    </row>
    <row r="98" customFormat="false" ht="15" hidden="false" customHeight="false" outlineLevel="0" collapsed="false">
      <c r="B98" s="12" t="s">
        <v>250</v>
      </c>
      <c r="C98" s="14" t="s">
        <v>98</v>
      </c>
      <c r="D98" s="31" t="n">
        <v>10000000</v>
      </c>
      <c r="H98" s="38" t="n">
        <f aca="false">D98/FX_EUR</f>
        <v>15244.901723741</v>
      </c>
      <c r="I98" s="14"/>
    </row>
    <row r="99" customFormat="false" ht="15" hidden="false" customHeight="false" outlineLevel="0" collapsed="false">
      <c r="B99" s="12" t="s">
        <v>251</v>
      </c>
      <c r="C99" s="14" t="s">
        <v>71</v>
      </c>
      <c r="D99" s="31" t="n">
        <v>200000</v>
      </c>
      <c r="H99" s="38" t="n">
        <f aca="false">D99/FX_EUR</f>
        <v>304.898034474821</v>
      </c>
      <c r="I99" s="14" t="s">
        <v>252</v>
      </c>
    </row>
    <row r="100" customFormat="false" ht="15" hidden="false" customHeight="false" outlineLevel="0" collapsed="false">
      <c r="B100" s="12" t="s">
        <v>253</v>
      </c>
      <c r="C100" s="14" t="s">
        <v>90</v>
      </c>
      <c r="D100" s="32" t="n">
        <v>0.6</v>
      </c>
      <c r="I100" s="14" t="s">
        <v>254</v>
      </c>
    </row>
    <row r="101" customFormat="false" ht="15" hidden="false" customHeight="false" outlineLevel="0" collapsed="false">
      <c r="B101" s="12" t="s">
        <v>255</v>
      </c>
      <c r="C101" s="14" t="s">
        <v>90</v>
      </c>
      <c r="D101" s="32" t="n">
        <v>0.2</v>
      </c>
      <c r="I101" s="14"/>
    </row>
    <row r="103" customFormat="false" ht="15" hidden="false" customHeight="false" outlineLevel="0" collapsed="false">
      <c r="B103" s="28" t="s">
        <v>256</v>
      </c>
      <c r="C103" s="28" t="s">
        <v>114</v>
      </c>
      <c r="D103" s="28" t="s">
        <v>115</v>
      </c>
      <c r="E103" s="28" t="s">
        <v>116</v>
      </c>
      <c r="F103" s="28" t="s">
        <v>117</v>
      </c>
      <c r="G103" s="28" t="s">
        <v>118</v>
      </c>
      <c r="H103" s="28" t="s">
        <v>119</v>
      </c>
      <c r="I103" s="28" t="s">
        <v>120</v>
      </c>
    </row>
    <row r="104" customFormat="false" ht="15" hidden="false" customHeight="false" outlineLevel="0" collapsed="false">
      <c r="B104" s="12" t="s">
        <v>257</v>
      </c>
      <c r="C104" s="14" t="s">
        <v>98</v>
      </c>
      <c r="D104" s="31" t="n">
        <v>3000</v>
      </c>
      <c r="H104" s="38" t="n">
        <f aca="false">D104/FX_EUR</f>
        <v>4.57347051712231</v>
      </c>
      <c r="I104" s="14" t="s">
        <v>258</v>
      </c>
    </row>
    <row r="105" customFormat="false" ht="15" hidden="false" customHeight="false" outlineLevel="0" collapsed="false">
      <c r="B105" s="12" t="s">
        <v>259</v>
      </c>
      <c r="C105" s="14" t="s">
        <v>260</v>
      </c>
      <c r="D105" s="31" t="n">
        <v>1500</v>
      </c>
      <c r="H105" s="38" t="n">
        <f aca="false">D105/FX_EUR</f>
        <v>2.28673525856116</v>
      </c>
      <c r="I105" s="14" t="s">
        <v>261</v>
      </c>
    </row>
    <row r="106" customFormat="false" ht="15" hidden="false" customHeight="false" outlineLevel="0" collapsed="false">
      <c r="B106" s="12" t="s">
        <v>262</v>
      </c>
      <c r="C106" s="14" t="s">
        <v>71</v>
      </c>
      <c r="D106" s="31" t="n">
        <v>900</v>
      </c>
      <c r="H106" s="38" t="n">
        <f aca="false">D106/FX_EUR</f>
        <v>1.37204115513669</v>
      </c>
      <c r="I106" s="14" t="s">
        <v>263</v>
      </c>
    </row>
    <row r="107" customFormat="false" ht="15" hidden="false" customHeight="false" outlineLevel="0" collapsed="false">
      <c r="B107" s="12" t="s">
        <v>264</v>
      </c>
      <c r="C107" s="14" t="s">
        <v>86</v>
      </c>
      <c r="D107" s="31" t="n">
        <v>2</v>
      </c>
      <c r="I107" s="14" t="s">
        <v>265</v>
      </c>
    </row>
    <row r="108" customFormat="false" ht="15" hidden="false" customHeight="false" outlineLevel="0" collapsed="false">
      <c r="B108" s="12" t="s">
        <v>266</v>
      </c>
      <c r="C108" s="14" t="s">
        <v>98</v>
      </c>
      <c r="D108" s="31" t="n">
        <v>1000</v>
      </c>
      <c r="H108" s="38" t="n">
        <f aca="false">D108/FX_EUR</f>
        <v>1.5244901723741</v>
      </c>
      <c r="I108" s="14" t="s">
        <v>267</v>
      </c>
    </row>
    <row r="109" customFormat="false" ht="15" hidden="false" customHeight="false" outlineLevel="0" collapsed="false">
      <c r="B109" s="12" t="s">
        <v>268</v>
      </c>
      <c r="C109" s="14" t="s">
        <v>71</v>
      </c>
      <c r="D109" s="31" t="n">
        <v>4500</v>
      </c>
      <c r="H109" s="38" t="n">
        <f aca="false">D109/FX_EUR</f>
        <v>6.86020577568347</v>
      </c>
      <c r="I109" s="14" t="s">
        <v>269</v>
      </c>
    </row>
    <row r="110" customFormat="false" ht="15" hidden="false" customHeight="false" outlineLevel="0" collapsed="false">
      <c r="B110" s="12" t="s">
        <v>270</v>
      </c>
      <c r="C110" s="14" t="s">
        <v>271</v>
      </c>
      <c r="D110" s="40" t="n">
        <v>0.005</v>
      </c>
      <c r="I110" s="14" t="s">
        <v>272</v>
      </c>
    </row>
    <row r="111" customFormat="false" ht="15" hidden="false" customHeight="false" outlineLevel="0" collapsed="false">
      <c r="B111" s="12" t="s">
        <v>273</v>
      </c>
      <c r="C111" s="14" t="s">
        <v>274</v>
      </c>
      <c r="D111" s="40" t="n">
        <v>0.0015</v>
      </c>
      <c r="I111" s="14" t="s">
        <v>275</v>
      </c>
    </row>
    <row r="112" customFormat="false" ht="15" hidden="false" customHeight="false" outlineLevel="0" collapsed="false">
      <c r="B112" s="12" t="s">
        <v>276</v>
      </c>
      <c r="C112" s="14" t="s">
        <v>277</v>
      </c>
      <c r="D112" s="40" t="n">
        <v>0.0025</v>
      </c>
      <c r="I112" s="14" t="s">
        <v>278</v>
      </c>
    </row>
    <row r="113" customFormat="false" ht="15" hidden="false" customHeight="false" outlineLevel="0" collapsed="false">
      <c r="B113" s="12" t="s">
        <v>279</v>
      </c>
      <c r="C113" s="14" t="s">
        <v>280</v>
      </c>
      <c r="D113" s="31" t="n">
        <v>100</v>
      </c>
      <c r="H113" s="38" t="n">
        <f aca="false">D113/FX_EUR</f>
        <v>0.15244901723741</v>
      </c>
      <c r="I113" s="14" t="s">
        <v>281</v>
      </c>
    </row>
    <row r="114" customFormat="false" ht="15" hidden="false" customHeight="false" outlineLevel="0" collapsed="false">
      <c r="B114" s="12" t="s">
        <v>282</v>
      </c>
      <c r="C114" s="14" t="s">
        <v>280</v>
      </c>
      <c r="D114" s="31" t="n">
        <v>100</v>
      </c>
      <c r="H114" s="38" t="n">
        <f aca="false">D114/FX_EUR</f>
        <v>0.15244901723741</v>
      </c>
      <c r="I114" s="14" t="s">
        <v>283</v>
      </c>
    </row>
    <row r="115" customFormat="false" ht="15" hidden="false" customHeight="false" outlineLevel="0" collapsed="false">
      <c r="B115" s="12" t="s">
        <v>284</v>
      </c>
      <c r="C115" s="14" t="s">
        <v>98</v>
      </c>
      <c r="D115" s="31" t="n">
        <v>400</v>
      </c>
      <c r="H115" s="38" t="n">
        <f aca="false">D115/FX_EUR</f>
        <v>0.609796068949642</v>
      </c>
      <c r="I115" s="14"/>
    </row>
    <row r="116" customFormat="false" ht="15" hidden="false" customHeight="false" outlineLevel="0" collapsed="false">
      <c r="B116" s="12" t="s">
        <v>285</v>
      </c>
      <c r="C116" s="14" t="s">
        <v>98</v>
      </c>
      <c r="D116" s="31" t="n">
        <v>50</v>
      </c>
      <c r="H116" s="38" t="n">
        <f aca="false">D116/FX_EUR</f>
        <v>0.0762245086187052</v>
      </c>
      <c r="I116" s="14"/>
    </row>
    <row r="117" customFormat="false" ht="15" hidden="false" customHeight="false" outlineLevel="0" collapsed="false">
      <c r="B117" s="12" t="s">
        <v>286</v>
      </c>
      <c r="C117" s="14" t="s">
        <v>98</v>
      </c>
      <c r="D117" s="31" t="n">
        <v>150</v>
      </c>
      <c r="H117" s="38" t="n">
        <f aca="false">D117/FX_EUR</f>
        <v>0.228673525856116</v>
      </c>
      <c r="I117" s="14" t="s">
        <v>287</v>
      </c>
    </row>
    <row r="119" customFormat="false" ht="15" hidden="false" customHeight="false" outlineLevel="0" collapsed="false">
      <c r="B119" s="28" t="s">
        <v>288</v>
      </c>
      <c r="C119" s="28" t="s">
        <v>114</v>
      </c>
      <c r="D119" s="28" t="s">
        <v>115</v>
      </c>
      <c r="E119" s="28" t="s">
        <v>116</v>
      </c>
      <c r="F119" s="28" t="s">
        <v>117</v>
      </c>
      <c r="G119" s="28" t="s">
        <v>118</v>
      </c>
      <c r="H119" s="28" t="s">
        <v>119</v>
      </c>
      <c r="I119" s="28" t="s">
        <v>120</v>
      </c>
    </row>
    <row r="120" customFormat="false" ht="15" hidden="false" customHeight="false" outlineLevel="0" collapsed="false">
      <c r="B120" s="12" t="s">
        <v>289</v>
      </c>
      <c r="C120" s="14" t="s">
        <v>168</v>
      </c>
      <c r="D120" s="41" t="n">
        <f aca="false">CHOOSE(Scenario,E120,F120,G120)</f>
        <v>1</v>
      </c>
      <c r="E120" s="36" t="n">
        <v>0.6</v>
      </c>
      <c r="F120" s="36" t="n">
        <v>1</v>
      </c>
      <c r="G120" s="36" t="n">
        <v>1.4</v>
      </c>
      <c r="I120" s="14" t="s">
        <v>290</v>
      </c>
    </row>
    <row r="121" customFormat="false" ht="15" hidden="false" customHeight="false" outlineLevel="0" collapsed="false">
      <c r="B121" s="12" t="s">
        <v>291</v>
      </c>
      <c r="C121" s="14" t="s">
        <v>168</v>
      </c>
      <c r="D121" s="41" t="n">
        <f aca="false">CHOOSE(Scenario,E121,F121,G121)</f>
        <v>1</v>
      </c>
      <c r="E121" s="36" t="n">
        <v>1.5</v>
      </c>
      <c r="F121" s="36" t="n">
        <v>1</v>
      </c>
      <c r="G121" s="36" t="n">
        <v>0.8</v>
      </c>
      <c r="I121" s="14" t="s">
        <v>292</v>
      </c>
    </row>
    <row r="122" customFormat="false" ht="15" hidden="false" customHeight="false" outlineLevel="0" collapsed="false">
      <c r="B122" s="12" t="s">
        <v>293</v>
      </c>
      <c r="C122" s="14" t="s">
        <v>102</v>
      </c>
      <c r="D122" s="33" t="n">
        <v>12</v>
      </c>
      <c r="I122" s="14"/>
    </row>
    <row r="123" customFormat="false" ht="15" hidden="false" customHeight="false" outlineLevel="0" collapsed="false">
      <c r="B123" s="12" t="s">
        <v>294</v>
      </c>
      <c r="C123" s="14" t="s">
        <v>68</v>
      </c>
      <c r="D123" s="33" t="n">
        <v>18</v>
      </c>
      <c r="I123" s="14" t="s">
        <v>295</v>
      </c>
    </row>
    <row r="124" customFormat="false" ht="15" hidden="false" customHeight="false" outlineLevel="0" collapsed="false">
      <c r="B124" s="12" t="s">
        <v>296</v>
      </c>
      <c r="C124" s="14" t="s">
        <v>90</v>
      </c>
      <c r="D124" s="32" t="n">
        <v>0.05</v>
      </c>
      <c r="I124" s="14"/>
    </row>
    <row r="125" customFormat="false" ht="15" hidden="false" customHeight="false" outlineLevel="0" collapsed="false">
      <c r="B125" s="12" t="s">
        <v>297</v>
      </c>
      <c r="C125" s="14" t="s">
        <v>71</v>
      </c>
      <c r="D125" s="31" t="n">
        <v>8000000</v>
      </c>
      <c r="H125" s="38" t="n">
        <f aca="false">D125/FX_EUR</f>
        <v>12195.9213789928</v>
      </c>
      <c r="I125" s="14" t="s">
        <v>298</v>
      </c>
    </row>
    <row r="126" customFormat="false" ht="15" hidden="false" customHeight="false" outlineLevel="0" collapsed="false">
      <c r="B126" s="12" t="s">
        <v>299</v>
      </c>
      <c r="C126" s="14" t="s">
        <v>131</v>
      </c>
      <c r="D126" s="32" t="n">
        <v>0.23</v>
      </c>
      <c r="I126" s="14" t="s">
        <v>300</v>
      </c>
    </row>
    <row r="127" customFormat="false" ht="15" hidden="false" customHeight="false" outlineLevel="0" collapsed="false">
      <c r="B127" s="12" t="s">
        <v>301</v>
      </c>
      <c r="C127" s="14" t="s">
        <v>131</v>
      </c>
      <c r="D127" s="40" t="n">
        <v>0.015</v>
      </c>
      <c r="I127" s="14"/>
    </row>
    <row r="128" customFormat="false" ht="15" hidden="false" customHeight="false" outlineLevel="0" collapsed="false">
      <c r="B128" s="12" t="s">
        <v>302</v>
      </c>
      <c r="C128" s="14" t="s">
        <v>68</v>
      </c>
      <c r="D128" s="33" t="n">
        <v>18</v>
      </c>
      <c r="I128" s="14"/>
    </row>
    <row r="129" customFormat="false" ht="15" hidden="false" customHeight="false" outlineLevel="0" collapsed="false">
      <c r="B129" s="12" t="s">
        <v>303</v>
      </c>
      <c r="C129" s="14" t="s">
        <v>90</v>
      </c>
      <c r="D129" s="32" t="n">
        <v>0.03</v>
      </c>
      <c r="I129" s="14"/>
    </row>
    <row r="130" customFormat="false" ht="15" hidden="false" customHeight="false" outlineLevel="0" collapsed="false">
      <c r="B130" s="12" t="s">
        <v>304</v>
      </c>
      <c r="C130" s="14" t="s">
        <v>71</v>
      </c>
      <c r="D130" s="31" t="n">
        <v>3000000</v>
      </c>
      <c r="H130" s="38" t="n">
        <f aca="false">D130/FX_EUR</f>
        <v>4573.47051712231</v>
      </c>
      <c r="I130" s="14" t="s">
        <v>305</v>
      </c>
    </row>
    <row r="131" customFormat="false" ht="15" hidden="false" customHeight="false" outlineLevel="0" collapsed="false">
      <c r="B131" s="12" t="s">
        <v>306</v>
      </c>
      <c r="C131" s="14" t="s">
        <v>131</v>
      </c>
      <c r="D131" s="32" t="n">
        <v>0.23</v>
      </c>
      <c r="I131" s="14"/>
    </row>
    <row r="132" customFormat="false" ht="15" hidden="false" customHeight="false" outlineLevel="0" collapsed="false">
      <c r="B132" s="12" t="s">
        <v>307</v>
      </c>
      <c r="C132" s="14" t="s">
        <v>131</v>
      </c>
      <c r="D132" s="40" t="n">
        <v>0.02</v>
      </c>
      <c r="I132" s="14"/>
    </row>
    <row r="133" customFormat="false" ht="15" hidden="false" customHeight="false" outlineLevel="0" collapsed="false">
      <c r="B133" s="12" t="s">
        <v>308</v>
      </c>
      <c r="C133" s="14" t="s">
        <v>68</v>
      </c>
      <c r="D133" s="33" t="n">
        <v>21</v>
      </c>
      <c r="I133" s="14" t="s">
        <v>309</v>
      </c>
    </row>
    <row r="134" customFormat="false" ht="15" hidden="false" customHeight="false" outlineLevel="0" collapsed="false">
      <c r="B134" s="12" t="s">
        <v>310</v>
      </c>
      <c r="C134" s="14" t="s">
        <v>90</v>
      </c>
      <c r="D134" s="32" t="n">
        <v>0.08</v>
      </c>
      <c r="I134" s="14"/>
    </row>
    <row r="135" customFormat="false" ht="15" hidden="false" customHeight="false" outlineLevel="0" collapsed="false">
      <c r="B135" s="12" t="s">
        <v>311</v>
      </c>
      <c r="C135" s="14" t="s">
        <v>71</v>
      </c>
      <c r="D135" s="31" t="n">
        <v>1500000</v>
      </c>
      <c r="H135" s="38" t="n">
        <f aca="false">D135/FX_EUR</f>
        <v>2286.73525856116</v>
      </c>
      <c r="I135" s="14" t="s">
        <v>312</v>
      </c>
    </row>
    <row r="136" customFormat="false" ht="15" hidden="false" customHeight="false" outlineLevel="0" collapsed="false">
      <c r="B136" s="12" t="s">
        <v>313</v>
      </c>
      <c r="C136" s="14" t="s">
        <v>131</v>
      </c>
      <c r="D136" s="32" t="n">
        <v>0.23</v>
      </c>
      <c r="I136" s="14"/>
    </row>
    <row r="137" customFormat="false" ht="15" hidden="false" customHeight="false" outlineLevel="0" collapsed="false">
      <c r="B137" s="12" t="s">
        <v>314</v>
      </c>
      <c r="C137" s="14" t="s">
        <v>131</v>
      </c>
      <c r="D137" s="40" t="n">
        <v>0.04</v>
      </c>
      <c r="I137" s="14"/>
    </row>
    <row r="138" customFormat="false" ht="15" hidden="false" customHeight="false" outlineLevel="0" collapsed="false">
      <c r="B138" s="12" t="s">
        <v>315</v>
      </c>
      <c r="C138" s="14" t="s">
        <v>68</v>
      </c>
      <c r="D138" s="33" t="n">
        <v>27</v>
      </c>
      <c r="I138" s="14" t="s">
        <v>316</v>
      </c>
    </row>
    <row r="139" customFormat="false" ht="15" hidden="false" customHeight="false" outlineLevel="0" collapsed="false">
      <c r="B139" s="12" t="s">
        <v>317</v>
      </c>
      <c r="C139" s="14" t="s">
        <v>90</v>
      </c>
      <c r="D139" s="32" t="n">
        <v>0.02</v>
      </c>
      <c r="I139" s="14"/>
    </row>
    <row r="140" customFormat="false" ht="15" hidden="false" customHeight="false" outlineLevel="0" collapsed="false">
      <c r="B140" s="12" t="s">
        <v>318</v>
      </c>
      <c r="C140" s="14" t="s">
        <v>71</v>
      </c>
      <c r="D140" s="31" t="n">
        <v>10000000</v>
      </c>
      <c r="H140" s="38" t="n">
        <f aca="false">D140/FX_EUR</f>
        <v>15244.901723741</v>
      </c>
      <c r="I140" s="14" t="s">
        <v>319</v>
      </c>
    </row>
    <row r="141" customFormat="false" ht="15" hidden="false" customHeight="false" outlineLevel="0" collapsed="false">
      <c r="B141" s="12" t="s">
        <v>320</v>
      </c>
      <c r="C141" s="14" t="s">
        <v>131</v>
      </c>
      <c r="D141" s="32" t="n">
        <v>0.22</v>
      </c>
      <c r="I141" s="14"/>
    </row>
    <row r="142" customFormat="false" ht="15" hidden="false" customHeight="false" outlineLevel="0" collapsed="false">
      <c r="B142" s="12" t="s">
        <v>321</v>
      </c>
      <c r="C142" s="14" t="s">
        <v>131</v>
      </c>
      <c r="D142" s="40" t="n">
        <v>0.03</v>
      </c>
      <c r="I142" s="14"/>
    </row>
    <row r="143" customFormat="false" ht="15" hidden="false" customHeight="false" outlineLevel="0" collapsed="false">
      <c r="B143" s="12" t="s">
        <v>322</v>
      </c>
      <c r="C143" s="14" t="s">
        <v>68</v>
      </c>
      <c r="D143" s="33" t="n">
        <v>30</v>
      </c>
      <c r="I143" s="14" t="s">
        <v>323</v>
      </c>
    </row>
    <row r="144" customFormat="false" ht="15" hidden="false" customHeight="false" outlineLevel="0" collapsed="false">
      <c r="B144" s="12" t="s">
        <v>324</v>
      </c>
      <c r="C144" s="14" t="s">
        <v>90</v>
      </c>
      <c r="D144" s="32" t="n">
        <v>0.1</v>
      </c>
      <c r="I144" s="14"/>
    </row>
    <row r="145" customFormat="false" ht="15" hidden="false" customHeight="false" outlineLevel="0" collapsed="false">
      <c r="B145" s="12" t="s">
        <v>325</v>
      </c>
      <c r="C145" s="14" t="s">
        <v>71</v>
      </c>
      <c r="D145" s="31" t="n">
        <v>50000</v>
      </c>
      <c r="H145" s="38" t="n">
        <f aca="false">D145/FX_EUR</f>
        <v>76.2245086187052</v>
      </c>
      <c r="I145" s="14" t="s">
        <v>326</v>
      </c>
    </row>
    <row r="146" customFormat="false" ht="15" hidden="false" customHeight="false" outlineLevel="0" collapsed="false">
      <c r="B146" s="12" t="s">
        <v>327</v>
      </c>
      <c r="C146" s="14" t="s">
        <v>131</v>
      </c>
      <c r="D146" s="32" t="n">
        <v>0.23</v>
      </c>
      <c r="I146" s="14"/>
    </row>
    <row r="147" customFormat="false" ht="15" hidden="false" customHeight="false" outlineLevel="0" collapsed="false">
      <c r="B147" s="12" t="s">
        <v>328</v>
      </c>
      <c r="C147" s="14" t="s">
        <v>131</v>
      </c>
      <c r="D147" s="40" t="n">
        <v>0.015</v>
      </c>
      <c r="I147" s="14"/>
    </row>
    <row r="148" customFormat="false" ht="15" hidden="false" customHeight="false" outlineLevel="0" collapsed="false">
      <c r="B148" s="12" t="s">
        <v>329</v>
      </c>
      <c r="C148" s="14" t="s">
        <v>131</v>
      </c>
      <c r="D148" s="32" t="n">
        <v>0.09</v>
      </c>
      <c r="I148" s="14" t="s">
        <v>330</v>
      </c>
    </row>
    <row r="149" customFormat="false" ht="15" hidden="false" customHeight="false" outlineLevel="0" collapsed="false">
      <c r="B149" s="12" t="s">
        <v>331</v>
      </c>
      <c r="C149" s="14" t="s">
        <v>131</v>
      </c>
      <c r="D149" s="32" t="n">
        <v>0.01</v>
      </c>
      <c r="I149" s="14" t="s">
        <v>332</v>
      </c>
    </row>
    <row r="150" customFormat="false" ht="15" hidden="false" customHeight="false" outlineLevel="0" collapsed="false">
      <c r="B150" s="12" t="s">
        <v>333</v>
      </c>
      <c r="C150" s="14" t="s">
        <v>90</v>
      </c>
      <c r="D150" s="32" t="n">
        <v>0.5</v>
      </c>
      <c r="I150" s="14" t="s">
        <v>334</v>
      </c>
    </row>
    <row r="151" customFormat="false" ht="15" hidden="false" customHeight="false" outlineLevel="0" collapsed="false">
      <c r="B151" s="12" t="s">
        <v>335</v>
      </c>
      <c r="C151" s="14" t="s">
        <v>336</v>
      </c>
      <c r="D151" s="32" t="n">
        <v>0.1</v>
      </c>
      <c r="I151" s="14"/>
    </row>
    <row r="152" customFormat="false" ht="15" hidden="false" customHeight="false" outlineLevel="0" collapsed="false">
      <c r="B152" s="12" t="s">
        <v>337</v>
      </c>
      <c r="C152" s="14" t="s">
        <v>336</v>
      </c>
      <c r="D152" s="32" t="n">
        <v>0.15</v>
      </c>
      <c r="I152" s="14" t="s">
        <v>338</v>
      </c>
    </row>
    <row r="154" customFormat="false" ht="15" hidden="false" customHeight="false" outlineLevel="0" collapsed="false">
      <c r="B154" s="28" t="s">
        <v>339</v>
      </c>
      <c r="C154" s="28" t="s">
        <v>114</v>
      </c>
      <c r="D154" s="28" t="s">
        <v>115</v>
      </c>
      <c r="E154" s="28" t="s">
        <v>116</v>
      </c>
      <c r="F154" s="28" t="s">
        <v>117</v>
      </c>
      <c r="G154" s="28" t="s">
        <v>118</v>
      </c>
      <c r="H154" s="28" t="s">
        <v>119</v>
      </c>
      <c r="I154" s="28" t="s">
        <v>120</v>
      </c>
    </row>
    <row r="155" customFormat="false" ht="15" hidden="false" customHeight="false" outlineLevel="0" collapsed="false">
      <c r="B155" s="12" t="s">
        <v>340</v>
      </c>
      <c r="C155" s="14" t="s">
        <v>341</v>
      </c>
      <c r="D155" s="32" t="n">
        <v>0.3</v>
      </c>
      <c r="I155" s="14" t="s">
        <v>342</v>
      </c>
    </row>
    <row r="156" customFormat="false" ht="15" hidden="false" customHeight="false" outlineLevel="0" collapsed="false">
      <c r="B156" s="12" t="s">
        <v>343</v>
      </c>
      <c r="C156" s="14" t="s">
        <v>68</v>
      </c>
      <c r="D156" s="33" t="n">
        <v>4</v>
      </c>
      <c r="I156" s="14" t="s">
        <v>344</v>
      </c>
    </row>
    <row r="157" customFormat="false" ht="15" hidden="false" customHeight="false" outlineLevel="0" collapsed="false">
      <c r="B157" s="12" t="s">
        <v>345</v>
      </c>
      <c r="C157" s="14" t="s">
        <v>86</v>
      </c>
      <c r="D157" s="31" t="n">
        <v>2</v>
      </c>
      <c r="I157" s="14" t="s">
        <v>346</v>
      </c>
    </row>
    <row r="158" customFormat="false" ht="15" hidden="false" customHeight="false" outlineLevel="0" collapsed="false">
      <c r="B158" s="12" t="s">
        <v>347</v>
      </c>
      <c r="C158" s="14" t="s">
        <v>83</v>
      </c>
      <c r="D158" s="31" t="n">
        <v>500</v>
      </c>
      <c r="I158" s="14" t="s">
        <v>348</v>
      </c>
    </row>
    <row r="159" customFormat="false" ht="15" hidden="false" customHeight="false" outlineLevel="0" collapsed="false">
      <c r="B159" s="12" t="s">
        <v>349</v>
      </c>
      <c r="C159" s="14" t="s">
        <v>350</v>
      </c>
      <c r="D159" s="31" t="n">
        <v>5000</v>
      </c>
      <c r="I159" s="14" t="s">
        <v>351</v>
      </c>
    </row>
    <row r="160" customFormat="false" ht="15" hidden="false" customHeight="false" outlineLevel="0" collapsed="false">
      <c r="B160" s="12" t="s">
        <v>352</v>
      </c>
      <c r="C160" s="14" t="s">
        <v>98</v>
      </c>
      <c r="D160" s="31" t="n">
        <v>250000</v>
      </c>
      <c r="H160" s="38" t="n">
        <f aca="false">D160/FX_EUR</f>
        <v>381.122543093526</v>
      </c>
      <c r="I160" s="14" t="s">
        <v>353</v>
      </c>
    </row>
    <row r="161" customFormat="false" ht="15" hidden="false" customHeight="false" outlineLevel="0" collapsed="false">
      <c r="B161" s="12" t="s">
        <v>354</v>
      </c>
      <c r="C161" s="14" t="s">
        <v>86</v>
      </c>
      <c r="D161" s="31" t="n">
        <v>2</v>
      </c>
      <c r="I161" s="14" t="s">
        <v>355</v>
      </c>
    </row>
    <row r="162" customFormat="false" ht="15" hidden="false" customHeight="false" outlineLevel="0" collapsed="false">
      <c r="B162" s="12" t="s">
        <v>356</v>
      </c>
      <c r="C162" s="14" t="s">
        <v>83</v>
      </c>
      <c r="D162" s="31" t="n">
        <v>2000</v>
      </c>
      <c r="I162" s="14" t="s">
        <v>357</v>
      </c>
    </row>
    <row r="163" customFormat="false" ht="15" hidden="false" customHeight="false" outlineLevel="0" collapsed="false">
      <c r="B163" s="12" t="s">
        <v>358</v>
      </c>
      <c r="C163" s="14" t="s">
        <v>98</v>
      </c>
      <c r="D163" s="31" t="n">
        <v>1200000</v>
      </c>
      <c r="H163" s="38" t="n">
        <f aca="false">D163/FX_EUR</f>
        <v>1829.38820684892</v>
      </c>
      <c r="I163" s="14" t="s">
        <v>359</v>
      </c>
    </row>
    <row r="164" customFormat="false" ht="15" hidden="false" customHeight="false" outlineLevel="0" collapsed="false">
      <c r="B164" s="12" t="s">
        <v>360</v>
      </c>
      <c r="C164" s="14" t="s">
        <v>68</v>
      </c>
      <c r="D164" s="33" t="n">
        <v>4</v>
      </c>
      <c r="I164" s="14" t="s">
        <v>344</v>
      </c>
    </row>
    <row r="165" customFormat="false" ht="15" hidden="false" customHeight="false" outlineLevel="0" collapsed="false">
      <c r="B165" s="12" t="s">
        <v>361</v>
      </c>
      <c r="C165" s="14" t="s">
        <v>86</v>
      </c>
      <c r="D165" s="31" t="n">
        <v>2</v>
      </c>
      <c r="I165" s="14" t="s">
        <v>362</v>
      </c>
    </row>
    <row r="166" customFormat="false" ht="15" hidden="false" customHeight="false" outlineLevel="0" collapsed="false">
      <c r="B166" s="12" t="s">
        <v>363</v>
      </c>
      <c r="C166" s="14" t="s">
        <v>86</v>
      </c>
      <c r="D166" s="31" t="n">
        <v>2</v>
      </c>
      <c r="I166" s="14" t="s">
        <v>364</v>
      </c>
    </row>
    <row r="167" customFormat="false" ht="15" hidden="false" customHeight="false" outlineLevel="0" collapsed="false">
      <c r="B167" s="12" t="s">
        <v>365</v>
      </c>
      <c r="C167" s="14" t="s">
        <v>83</v>
      </c>
      <c r="D167" s="31" t="n">
        <v>400</v>
      </c>
      <c r="I167" s="14" t="s">
        <v>366</v>
      </c>
    </row>
    <row r="168" customFormat="false" ht="15" hidden="false" customHeight="false" outlineLevel="0" collapsed="false">
      <c r="B168" s="12" t="s">
        <v>367</v>
      </c>
      <c r="C168" s="14" t="s">
        <v>98</v>
      </c>
      <c r="D168" s="31" t="n">
        <v>400000</v>
      </c>
      <c r="H168" s="38" t="n">
        <f aca="false">D168/FX_EUR</f>
        <v>609.796068949642</v>
      </c>
      <c r="I168" s="14" t="s">
        <v>368</v>
      </c>
    </row>
    <row r="169" customFormat="false" ht="15" hidden="false" customHeight="false" outlineLevel="0" collapsed="false">
      <c r="B169" s="12" t="s">
        <v>369</v>
      </c>
      <c r="C169" s="14" t="s">
        <v>98</v>
      </c>
      <c r="D169" s="31" t="n">
        <v>450000</v>
      </c>
      <c r="H169" s="38" t="n">
        <f aca="false">D169/FX_EUR</f>
        <v>686.020577568347</v>
      </c>
      <c r="I169" s="14"/>
    </row>
    <row r="170" customFormat="false" ht="15" hidden="false" customHeight="false" outlineLevel="0" collapsed="false">
      <c r="B170" s="12" t="s">
        <v>370</v>
      </c>
      <c r="C170" s="14" t="s">
        <v>102</v>
      </c>
      <c r="D170" s="33" t="n">
        <v>2</v>
      </c>
      <c r="I170" s="14" t="s">
        <v>371</v>
      </c>
    </row>
    <row r="171" customFormat="false" ht="15" hidden="false" customHeight="false" outlineLevel="0" collapsed="false">
      <c r="B171" s="12" t="s">
        <v>372</v>
      </c>
      <c r="C171" s="14" t="s">
        <v>71</v>
      </c>
      <c r="D171" s="31" t="n">
        <v>1000000000</v>
      </c>
      <c r="H171" s="38" t="n">
        <f aca="false">D171/FX_EUR</f>
        <v>1524490.1723741</v>
      </c>
      <c r="I171" s="14" t="s">
        <v>373</v>
      </c>
    </row>
    <row r="172" customFormat="false" ht="15" hidden="false" customHeight="false" outlineLevel="0" collapsed="false">
      <c r="B172" s="12" t="s">
        <v>374</v>
      </c>
      <c r="C172" s="14" t="s">
        <v>98</v>
      </c>
      <c r="D172" s="31" t="n">
        <v>600000</v>
      </c>
      <c r="H172" s="38" t="n">
        <f aca="false">D172/FX_EUR</f>
        <v>914.694103424462</v>
      </c>
      <c r="I172" s="14"/>
    </row>
    <row r="173" customFormat="false" ht="15" hidden="false" customHeight="false" outlineLevel="0" collapsed="false">
      <c r="B173" s="12" t="s">
        <v>375</v>
      </c>
      <c r="C173" s="14" t="s">
        <v>376</v>
      </c>
      <c r="D173" s="31" t="n">
        <v>300</v>
      </c>
      <c r="H173" s="42" t="n">
        <f aca="false">D173*FX_EUR</f>
        <v>196787.1</v>
      </c>
      <c r="I173" s="14" t="s">
        <v>377</v>
      </c>
    </row>
    <row r="174" customFormat="false" ht="15" hidden="false" customHeight="false" outlineLevel="0" collapsed="false">
      <c r="B174" s="12" t="s">
        <v>378</v>
      </c>
      <c r="C174" s="14" t="s">
        <v>379</v>
      </c>
      <c r="D174" s="31" t="n">
        <v>500</v>
      </c>
      <c r="H174" s="42" t="n">
        <f aca="false">D174*FX_EUR</f>
        <v>327978.5</v>
      </c>
      <c r="I174" s="14" t="s">
        <v>380</v>
      </c>
    </row>
    <row r="175" customFormat="false" ht="15" hidden="false" customHeight="false" outlineLevel="0" collapsed="false">
      <c r="B175" s="12" t="s">
        <v>381</v>
      </c>
      <c r="C175" s="14" t="s">
        <v>382</v>
      </c>
      <c r="D175" s="31" t="n">
        <v>2000</v>
      </c>
      <c r="H175" s="38" t="n">
        <f aca="false">D175*FX_USD/FX_EUR</f>
        <v>1768.40859995396</v>
      </c>
      <c r="I175" s="14" t="s">
        <v>383</v>
      </c>
    </row>
    <row r="176" customFormat="false" ht="15" hidden="false" customHeight="false" outlineLevel="0" collapsed="false">
      <c r="B176" s="12" t="s">
        <v>384</v>
      </c>
      <c r="C176" s="14" t="s">
        <v>379</v>
      </c>
      <c r="D176" s="31" t="n">
        <v>800</v>
      </c>
      <c r="H176" s="42" t="n">
        <f aca="false">D176*FX_EUR</f>
        <v>524765.6</v>
      </c>
      <c r="I176" s="14" t="s">
        <v>385</v>
      </c>
    </row>
    <row r="177" customFormat="false" ht="15" hidden="false" customHeight="false" outlineLevel="0" collapsed="false">
      <c r="B177" s="12" t="s">
        <v>386</v>
      </c>
      <c r="C177" s="14" t="s">
        <v>387</v>
      </c>
      <c r="D177" s="33" t="n">
        <v>1</v>
      </c>
      <c r="I177" s="14"/>
    </row>
    <row r="178" customFormat="false" ht="15" hidden="false" customHeight="false" outlineLevel="0" collapsed="false">
      <c r="B178" s="12" t="s">
        <v>388</v>
      </c>
      <c r="C178" s="14" t="s">
        <v>387</v>
      </c>
      <c r="D178" s="33" t="n">
        <v>1</v>
      </c>
      <c r="I178" s="14"/>
    </row>
    <row r="179" customFormat="false" ht="15" hidden="false" customHeight="false" outlineLevel="0" collapsed="false">
      <c r="B179" s="12" t="s">
        <v>389</v>
      </c>
      <c r="C179" s="14" t="s">
        <v>387</v>
      </c>
      <c r="D179" s="33" t="n">
        <v>0</v>
      </c>
      <c r="I179" s="14" t="s">
        <v>390</v>
      </c>
    </row>
    <row r="180" customFormat="false" ht="15" hidden="false" customHeight="false" outlineLevel="0" collapsed="false">
      <c r="B180" s="12" t="s">
        <v>391</v>
      </c>
      <c r="C180" s="14" t="s">
        <v>387</v>
      </c>
      <c r="D180" s="33" t="n">
        <v>0</v>
      </c>
      <c r="I180" s="14" t="s">
        <v>392</v>
      </c>
    </row>
    <row r="181" customFormat="false" ht="15" hidden="false" customHeight="false" outlineLevel="0" collapsed="false">
      <c r="B181" s="12" t="s">
        <v>393</v>
      </c>
      <c r="C181" s="14" t="s">
        <v>98</v>
      </c>
      <c r="D181" s="31" t="n">
        <v>5000</v>
      </c>
      <c r="H181" s="38" t="n">
        <f aca="false">D181/FX_EUR</f>
        <v>7.62245086187052</v>
      </c>
      <c r="I181" s="14" t="s">
        <v>394</v>
      </c>
    </row>
    <row r="182" customFormat="false" ht="15" hidden="false" customHeight="false" outlineLevel="0" collapsed="false">
      <c r="B182" s="12" t="s">
        <v>395</v>
      </c>
      <c r="C182" s="14" t="s">
        <v>396</v>
      </c>
      <c r="D182" s="31" t="n">
        <v>9</v>
      </c>
      <c r="H182" s="38" t="n">
        <f aca="false">D182*FX_USD/FX_EUR</f>
        <v>7.95783869979282</v>
      </c>
      <c r="I182" s="14" t="s">
        <v>397</v>
      </c>
    </row>
    <row r="183" customFormat="false" ht="15" hidden="false" customHeight="false" outlineLevel="0" collapsed="false">
      <c r="B183" s="12" t="s">
        <v>398</v>
      </c>
      <c r="C183" s="14" t="s">
        <v>396</v>
      </c>
      <c r="D183" s="31" t="n">
        <v>9</v>
      </c>
      <c r="H183" s="38" t="n">
        <f aca="false">D183*FX_USD/FX_EUR</f>
        <v>7.95783869979282</v>
      </c>
      <c r="I183" s="14" t="s">
        <v>399</v>
      </c>
    </row>
    <row r="184" customFormat="false" ht="15" hidden="false" customHeight="false" outlineLevel="0" collapsed="false">
      <c r="B184" s="12" t="s">
        <v>400</v>
      </c>
      <c r="C184" s="14" t="s">
        <v>401</v>
      </c>
      <c r="D184" s="31" t="n">
        <v>25</v>
      </c>
      <c r="H184" s="38" t="n">
        <f aca="false">D184*FX_USD/FX_EUR</f>
        <v>22.1051074994245</v>
      </c>
      <c r="I184" s="14" t="s">
        <v>402</v>
      </c>
    </row>
    <row r="185" customFormat="false" ht="15" hidden="false" customHeight="false" outlineLevel="0" collapsed="false">
      <c r="B185" s="12" t="s">
        <v>403</v>
      </c>
      <c r="C185" s="14" t="s">
        <v>404</v>
      </c>
      <c r="D185" s="31" t="n">
        <v>2</v>
      </c>
      <c r="I185" s="14" t="s">
        <v>405</v>
      </c>
    </row>
    <row r="186" customFormat="false" ht="15" hidden="false" customHeight="false" outlineLevel="0" collapsed="false">
      <c r="B186" s="12" t="s">
        <v>406</v>
      </c>
      <c r="C186" s="14" t="s">
        <v>407</v>
      </c>
      <c r="D186" s="31" t="n">
        <v>25</v>
      </c>
      <c r="H186" s="38" t="n">
        <f aca="false">D186*FX_USD/FX_EUR</f>
        <v>22.1051074994245</v>
      </c>
      <c r="I186" s="14" t="s">
        <v>408</v>
      </c>
    </row>
    <row r="187" customFormat="false" ht="15" hidden="false" customHeight="false" outlineLevel="0" collapsed="false">
      <c r="B187" s="12" t="s">
        <v>409</v>
      </c>
      <c r="C187" s="14" t="s">
        <v>410</v>
      </c>
      <c r="D187" s="31" t="n">
        <v>20</v>
      </c>
      <c r="H187" s="38" t="n">
        <f aca="false">D187*FX_USD/FX_EUR</f>
        <v>17.6840859995396</v>
      </c>
      <c r="I187" s="14"/>
    </row>
    <row r="189" customFormat="false" ht="15" hidden="false" customHeight="false" outlineLevel="0" collapsed="false">
      <c r="B189" s="28" t="s">
        <v>411</v>
      </c>
      <c r="C189" s="28" t="s">
        <v>114</v>
      </c>
      <c r="D189" s="28" t="s">
        <v>115</v>
      </c>
      <c r="E189" s="28" t="s">
        <v>116</v>
      </c>
      <c r="F189" s="28" t="s">
        <v>117</v>
      </c>
      <c r="G189" s="28" t="s">
        <v>118</v>
      </c>
      <c r="H189" s="28" t="s">
        <v>119</v>
      </c>
      <c r="I189" s="28" t="s">
        <v>120</v>
      </c>
    </row>
    <row r="190" customFormat="false" ht="15" hidden="false" customHeight="false" outlineLevel="0" collapsed="false">
      <c r="B190" s="12" t="s">
        <v>412</v>
      </c>
      <c r="C190" s="14" t="s">
        <v>413</v>
      </c>
      <c r="D190" s="33" t="n">
        <v>1</v>
      </c>
      <c r="I190" s="14" t="s">
        <v>414</v>
      </c>
    </row>
    <row r="191" customFormat="false" ht="15" hidden="false" customHeight="false" outlineLevel="0" collapsed="false">
      <c r="B191" s="12" t="s">
        <v>415</v>
      </c>
      <c r="C191" s="14" t="s">
        <v>416</v>
      </c>
      <c r="D191" s="31" t="n">
        <v>70000</v>
      </c>
      <c r="H191" s="42" t="n">
        <f aca="false">D191*FX_EUR</f>
        <v>45916990</v>
      </c>
      <c r="I191" s="14" t="s">
        <v>417</v>
      </c>
    </row>
    <row r="192" customFormat="false" ht="15" hidden="false" customHeight="false" outlineLevel="0" collapsed="false">
      <c r="B192" s="12" t="s">
        <v>418</v>
      </c>
      <c r="C192" s="14" t="s">
        <v>419</v>
      </c>
      <c r="D192" s="32" t="n">
        <v>0.05</v>
      </c>
      <c r="I192" s="14" t="s">
        <v>420</v>
      </c>
    </row>
    <row r="193" customFormat="false" ht="15" hidden="false" customHeight="false" outlineLevel="0" collapsed="false">
      <c r="B193" s="12" t="s">
        <v>421</v>
      </c>
      <c r="C193" s="14" t="s">
        <v>422</v>
      </c>
      <c r="D193" s="31" t="n">
        <v>10000</v>
      </c>
      <c r="H193" s="38" t="n">
        <f aca="false">D193*FX_USD/FX_EUR</f>
        <v>8842.0429997698</v>
      </c>
      <c r="I193" s="14" t="s">
        <v>423</v>
      </c>
    </row>
    <row r="195" customFormat="false" ht="15" hidden="false" customHeight="false" outlineLevel="0" collapsed="false">
      <c r="B195" s="28" t="s">
        <v>424</v>
      </c>
      <c r="C195" s="28" t="s">
        <v>114</v>
      </c>
      <c r="D195" s="28" t="s">
        <v>425</v>
      </c>
      <c r="E195" s="28" t="s">
        <v>426</v>
      </c>
      <c r="F195" s="28" t="s">
        <v>427</v>
      </c>
      <c r="G195" s="28" t="s">
        <v>428</v>
      </c>
      <c r="H195" s="28" t="s">
        <v>429</v>
      </c>
      <c r="I195" s="28" t="s">
        <v>120</v>
      </c>
      <c r="K195" s="28" t="s">
        <v>430</v>
      </c>
      <c r="L195" s="28" t="s">
        <v>431</v>
      </c>
      <c r="M195" s="28" t="s">
        <v>432</v>
      </c>
      <c r="N195" s="28" t="s">
        <v>433</v>
      </c>
      <c r="O195" s="28" t="s">
        <v>434</v>
      </c>
    </row>
    <row r="196" customFormat="false" ht="15" hidden="false" customHeight="false" outlineLevel="0" collapsed="false">
      <c r="B196" s="8" t="s">
        <v>435</v>
      </c>
    </row>
    <row r="197" customFormat="false" ht="15" hidden="false" customHeight="false" outlineLevel="0" collapsed="false">
      <c r="B197" s="12" t="s">
        <v>436</v>
      </c>
      <c r="C197" s="14" t="s">
        <v>407</v>
      </c>
      <c r="D197" s="31" t="n">
        <v>3000</v>
      </c>
      <c r="E197" s="31" t="n">
        <v>5000</v>
      </c>
      <c r="F197" s="31" t="n">
        <v>8000</v>
      </c>
      <c r="G197" s="31" t="n">
        <v>10000</v>
      </c>
      <c r="H197" s="31" t="n">
        <v>12000</v>
      </c>
      <c r="I197" s="14" t="s">
        <v>437</v>
      </c>
      <c r="K197" s="38" t="n">
        <f aca="false">D197*FX_USD/FX_EUR</f>
        <v>2652.61289993094</v>
      </c>
      <c r="L197" s="38" t="n">
        <f aca="false">E197*FX_USD/FX_EUR</f>
        <v>4421.0214998849</v>
      </c>
      <c r="M197" s="38" t="n">
        <f aca="false">F197*FX_USD/FX_EUR</f>
        <v>7073.63439981584</v>
      </c>
      <c r="N197" s="38" t="n">
        <f aca="false">G197*FX_USD/FX_EUR</f>
        <v>8842.0429997698</v>
      </c>
      <c r="O197" s="38" t="n">
        <f aca="false">H197*FX_USD/FX_EUR</f>
        <v>10610.4515997238</v>
      </c>
    </row>
    <row r="198" customFormat="false" ht="15" hidden="false" customHeight="false" outlineLevel="0" collapsed="false">
      <c r="B198" s="12" t="s">
        <v>438</v>
      </c>
      <c r="C198" s="14" t="s">
        <v>410</v>
      </c>
      <c r="D198" s="31" t="n">
        <v>6000</v>
      </c>
      <c r="E198" s="31" t="n">
        <v>15000</v>
      </c>
      <c r="F198" s="31" t="n">
        <v>30000</v>
      </c>
      <c r="G198" s="31" t="n">
        <v>40000</v>
      </c>
      <c r="H198" s="31" t="n">
        <v>50000</v>
      </c>
      <c r="I198" s="14"/>
      <c r="K198" s="38" t="n">
        <f aca="false">D198*FX_USD/FX_EUR</f>
        <v>5305.22579986188</v>
      </c>
      <c r="L198" s="38" t="n">
        <f aca="false">E198*FX_USD/FX_EUR</f>
        <v>13263.0644996547</v>
      </c>
      <c r="M198" s="38" t="n">
        <f aca="false">F198*FX_USD/FX_EUR</f>
        <v>26526.1289993094</v>
      </c>
      <c r="N198" s="38" t="n">
        <f aca="false">G198*FX_USD/FX_EUR</f>
        <v>35368.1719990792</v>
      </c>
      <c r="O198" s="38" t="n">
        <f aca="false">H198*FX_USD/FX_EUR</f>
        <v>44210.214998849</v>
      </c>
    </row>
    <row r="199" customFormat="false" ht="15" hidden="false" customHeight="false" outlineLevel="0" collapsed="false">
      <c r="B199" s="12" t="s">
        <v>439</v>
      </c>
      <c r="C199" s="14" t="s">
        <v>440</v>
      </c>
      <c r="D199" s="31" t="n">
        <v>7900000</v>
      </c>
      <c r="E199" s="31" t="n">
        <v>9800000</v>
      </c>
      <c r="F199" s="31" t="n">
        <v>5900000</v>
      </c>
      <c r="G199" s="31" t="n">
        <v>5900000</v>
      </c>
      <c r="H199" s="31" t="n">
        <v>5900000</v>
      </c>
      <c r="I199" s="14" t="s">
        <v>441</v>
      </c>
      <c r="K199" s="38" t="n">
        <f aca="false">D199/FX_EUR</f>
        <v>12043.4723617554</v>
      </c>
      <c r="L199" s="38" t="n">
        <f aca="false">E199/FX_EUR</f>
        <v>14940.0036892662</v>
      </c>
      <c r="M199" s="38" t="n">
        <f aca="false">F199/FX_EUR</f>
        <v>8994.49201700721</v>
      </c>
      <c r="N199" s="38" t="n">
        <f aca="false">G199/FX_EUR</f>
        <v>8994.49201700721</v>
      </c>
      <c r="O199" s="38" t="n">
        <f aca="false">H199/FX_EUR</f>
        <v>8994.49201700721</v>
      </c>
    </row>
    <row r="200" customFormat="false" ht="15" hidden="false" customHeight="false" outlineLevel="0" collapsed="false">
      <c r="B200" s="12" t="s">
        <v>442</v>
      </c>
      <c r="C200" s="14" t="s">
        <v>407</v>
      </c>
      <c r="D200" s="31" t="n">
        <v>5000</v>
      </c>
      <c r="E200" s="31" t="n">
        <v>5000</v>
      </c>
      <c r="F200" s="31" t="n">
        <v>7500</v>
      </c>
      <c r="G200" s="31" t="n">
        <v>10000</v>
      </c>
      <c r="H200" s="31" t="n">
        <v>12000</v>
      </c>
      <c r="I200" s="14" t="s">
        <v>443</v>
      </c>
      <c r="K200" s="38" t="n">
        <f aca="false">D200*FX_USD/FX_EUR</f>
        <v>4421.0214998849</v>
      </c>
      <c r="L200" s="38" t="n">
        <f aca="false">E200*FX_USD/FX_EUR</f>
        <v>4421.0214998849</v>
      </c>
      <c r="M200" s="38" t="n">
        <f aca="false">F200*FX_USD/FX_EUR</f>
        <v>6631.53224982735</v>
      </c>
      <c r="N200" s="38" t="n">
        <f aca="false">G200*FX_USD/FX_EUR</f>
        <v>8842.0429997698</v>
      </c>
      <c r="O200" s="38" t="n">
        <f aca="false">H200*FX_USD/FX_EUR</f>
        <v>10610.4515997238</v>
      </c>
    </row>
    <row r="201" customFormat="false" ht="15" hidden="false" customHeight="false" outlineLevel="0" collapsed="false">
      <c r="B201" s="12" t="s">
        <v>444</v>
      </c>
      <c r="C201" s="14" t="s">
        <v>422</v>
      </c>
      <c r="D201" s="31" t="n">
        <v>50000</v>
      </c>
      <c r="I201" s="14" t="s">
        <v>445</v>
      </c>
      <c r="K201" s="38" t="n">
        <f aca="false">D201*FX_USD/FX_EUR</f>
        <v>44210.214998849</v>
      </c>
    </row>
    <row r="202" customFormat="false" ht="15" hidden="false" customHeight="false" outlineLevel="0" collapsed="false">
      <c r="B202" s="8" t="s">
        <v>446</v>
      </c>
    </row>
    <row r="203" customFormat="false" ht="15" hidden="false" customHeight="false" outlineLevel="0" collapsed="false">
      <c r="B203" s="12" t="s">
        <v>447</v>
      </c>
      <c r="C203" s="14" t="s">
        <v>71</v>
      </c>
      <c r="D203" s="31" t="n">
        <v>15000000</v>
      </c>
      <c r="I203" s="14" t="s">
        <v>448</v>
      </c>
      <c r="K203" s="38" t="n">
        <f aca="false">D203/FX_EUR</f>
        <v>22867.3525856116</v>
      </c>
    </row>
    <row r="204" customFormat="false" ht="15" hidden="false" customHeight="false" outlineLevel="0" collapsed="false">
      <c r="B204" s="12" t="s">
        <v>449</v>
      </c>
      <c r="C204" s="14" t="s">
        <v>71</v>
      </c>
      <c r="D204" s="31" t="n">
        <v>15000000</v>
      </c>
      <c r="I204" s="14"/>
      <c r="K204" s="38" t="n">
        <f aca="false">D204/FX_EUR</f>
        <v>22867.3525856116</v>
      </c>
    </row>
    <row r="205" customFormat="false" ht="15" hidden="false" customHeight="false" outlineLevel="0" collapsed="false">
      <c r="B205" s="12" t="s">
        <v>450</v>
      </c>
      <c r="C205" s="14" t="s">
        <v>71</v>
      </c>
      <c r="D205" s="31" t="n">
        <v>5000000</v>
      </c>
      <c r="I205" s="14"/>
      <c r="K205" s="38" t="n">
        <f aca="false">D205/FX_EUR</f>
        <v>7622.45086187052</v>
      </c>
    </row>
    <row r="206" customFormat="false" ht="15" hidden="false" customHeight="false" outlineLevel="0" collapsed="false">
      <c r="B206" s="12" t="s">
        <v>451</v>
      </c>
      <c r="C206" s="14" t="s">
        <v>98</v>
      </c>
      <c r="D206" s="31" t="n">
        <v>1500000</v>
      </c>
      <c r="E206" s="31" t="n">
        <v>1500000</v>
      </c>
      <c r="F206" s="31" t="n">
        <v>2000000</v>
      </c>
      <c r="G206" s="31" t="n">
        <v>2000000</v>
      </c>
      <c r="H206" s="31" t="n">
        <v>2000000</v>
      </c>
      <c r="I206" s="14" t="s">
        <v>452</v>
      </c>
      <c r="K206" s="38" t="n">
        <f aca="false">D206/FX_EUR</f>
        <v>2286.73525856116</v>
      </c>
      <c r="L206" s="38" t="n">
        <f aca="false">E206/FX_EUR</f>
        <v>2286.73525856116</v>
      </c>
      <c r="M206" s="38" t="n">
        <f aca="false">F206/FX_EUR</f>
        <v>3048.98034474821</v>
      </c>
      <c r="N206" s="38" t="n">
        <f aca="false">G206/FX_EUR</f>
        <v>3048.98034474821</v>
      </c>
      <c r="O206" s="38" t="n">
        <f aca="false">H206/FX_EUR</f>
        <v>3048.98034474821</v>
      </c>
    </row>
    <row r="207" customFormat="false" ht="15" hidden="false" customHeight="false" outlineLevel="0" collapsed="false">
      <c r="B207" s="12" t="s">
        <v>453</v>
      </c>
      <c r="C207" s="14" t="s">
        <v>98</v>
      </c>
      <c r="D207" s="31" t="n">
        <v>0</v>
      </c>
      <c r="E207" s="31" t="n">
        <v>1500000</v>
      </c>
      <c r="F207" s="31" t="n">
        <v>2000000</v>
      </c>
      <c r="G207" s="31" t="n">
        <v>2000000</v>
      </c>
      <c r="H207" s="31" t="n">
        <v>2000000</v>
      </c>
      <c r="I207" s="14" t="s">
        <v>454</v>
      </c>
      <c r="K207" s="38" t="n">
        <f aca="false">D207/FX_EUR</f>
        <v>0</v>
      </c>
      <c r="L207" s="38" t="n">
        <f aca="false">E207/FX_EUR</f>
        <v>2286.73525856116</v>
      </c>
      <c r="M207" s="38" t="n">
        <f aca="false">F207/FX_EUR</f>
        <v>3048.98034474821</v>
      </c>
      <c r="N207" s="38" t="n">
        <f aca="false">G207/FX_EUR</f>
        <v>3048.98034474821</v>
      </c>
      <c r="O207" s="38" t="n">
        <f aca="false">H207/FX_EUR</f>
        <v>3048.98034474821</v>
      </c>
    </row>
    <row r="208" customFormat="false" ht="15" hidden="false" customHeight="false" outlineLevel="0" collapsed="false">
      <c r="B208" s="12" t="s">
        <v>455</v>
      </c>
      <c r="C208" s="14" t="s">
        <v>440</v>
      </c>
      <c r="D208" s="31" t="n">
        <v>0</v>
      </c>
      <c r="E208" s="31" t="n">
        <v>3000000</v>
      </c>
      <c r="F208" s="31" t="n">
        <v>3000000</v>
      </c>
      <c r="G208" s="31" t="n">
        <v>3000000</v>
      </c>
      <c r="H208" s="31" t="n">
        <v>3000000</v>
      </c>
      <c r="I208" s="14" t="s">
        <v>456</v>
      </c>
      <c r="K208" s="38" t="n">
        <f aca="false">D208/FX_EUR</f>
        <v>0</v>
      </c>
      <c r="L208" s="38" t="n">
        <f aca="false">E208/FX_EUR</f>
        <v>4573.47051712231</v>
      </c>
      <c r="M208" s="38" t="n">
        <f aca="false">F208/FX_EUR</f>
        <v>4573.47051712231</v>
      </c>
      <c r="N208" s="38" t="n">
        <f aca="false">G208/FX_EUR</f>
        <v>4573.47051712231</v>
      </c>
      <c r="O208" s="38" t="n">
        <f aca="false">H208/FX_EUR</f>
        <v>4573.47051712231</v>
      </c>
    </row>
    <row r="209" customFormat="false" ht="15" hidden="false" customHeight="false" outlineLevel="0" collapsed="false">
      <c r="B209" s="8" t="s">
        <v>457</v>
      </c>
    </row>
    <row r="210" customFormat="false" ht="15" hidden="false" customHeight="false" outlineLevel="0" collapsed="false">
      <c r="B210" s="12" t="s">
        <v>458</v>
      </c>
      <c r="C210" s="14" t="s">
        <v>71</v>
      </c>
      <c r="D210" s="31" t="n">
        <v>2500000</v>
      </c>
      <c r="I210" s="14" t="s">
        <v>459</v>
      </c>
      <c r="K210" s="38" t="n">
        <f aca="false">D210/FX_EUR</f>
        <v>3811.22543093526</v>
      </c>
    </row>
    <row r="211" customFormat="false" ht="15" hidden="false" customHeight="false" outlineLevel="0" collapsed="false">
      <c r="B211" s="12" t="s">
        <v>460</v>
      </c>
      <c r="C211" s="14" t="s">
        <v>71</v>
      </c>
      <c r="D211" s="31" t="n">
        <v>3000000</v>
      </c>
      <c r="I211" s="14"/>
      <c r="K211" s="38" t="n">
        <f aca="false">D211/FX_EUR</f>
        <v>4573.47051712231</v>
      </c>
    </row>
    <row r="212" customFormat="false" ht="15" hidden="false" customHeight="false" outlineLevel="0" collapsed="false">
      <c r="B212" s="12" t="s">
        <v>461</v>
      </c>
      <c r="C212" s="14" t="s">
        <v>440</v>
      </c>
      <c r="D212" s="31" t="n">
        <v>0</v>
      </c>
      <c r="E212" s="31" t="n">
        <v>40000000</v>
      </c>
      <c r="F212" s="31" t="n">
        <v>10000000</v>
      </c>
      <c r="G212" s="31" t="n">
        <v>0</v>
      </c>
      <c r="H212" s="31" t="n">
        <v>0</v>
      </c>
      <c r="I212" s="14" t="s">
        <v>462</v>
      </c>
      <c r="K212" s="38" t="n">
        <f aca="false">D212/FX_EUR</f>
        <v>0</v>
      </c>
      <c r="L212" s="38" t="n">
        <f aca="false">E212/FX_EUR</f>
        <v>60979.6068949642</v>
      </c>
      <c r="M212" s="38" t="n">
        <f aca="false">F212/FX_EUR</f>
        <v>15244.901723741</v>
      </c>
      <c r="N212" s="38" t="n">
        <f aca="false">G212/FX_EUR</f>
        <v>0</v>
      </c>
      <c r="O212" s="38" t="n">
        <f aca="false">H212/FX_EUR</f>
        <v>0</v>
      </c>
    </row>
    <row r="213" customFormat="false" ht="15" hidden="false" customHeight="false" outlineLevel="0" collapsed="false">
      <c r="B213" s="12" t="s">
        <v>463</v>
      </c>
      <c r="C213" s="14" t="s">
        <v>440</v>
      </c>
      <c r="D213" s="31" t="n">
        <v>36000000</v>
      </c>
      <c r="E213" s="31" t="n">
        <v>36000000</v>
      </c>
      <c r="F213" s="31" t="n">
        <v>42000000</v>
      </c>
      <c r="G213" s="31" t="n">
        <v>48000000</v>
      </c>
      <c r="H213" s="31" t="n">
        <v>54000000</v>
      </c>
      <c r="I213" s="14" t="s">
        <v>464</v>
      </c>
      <c r="K213" s="38" t="n">
        <f aca="false">D213/FX_EUR</f>
        <v>54881.6462054677</v>
      </c>
      <c r="L213" s="38" t="n">
        <f aca="false">E213/FX_EUR</f>
        <v>54881.6462054677</v>
      </c>
      <c r="M213" s="38" t="n">
        <f aca="false">F213/FX_EUR</f>
        <v>64028.5872397124</v>
      </c>
      <c r="N213" s="38" t="n">
        <f aca="false">G213/FX_EUR</f>
        <v>73175.528273957</v>
      </c>
      <c r="O213" s="38" t="n">
        <f aca="false">H213/FX_EUR</f>
        <v>82322.4693082016</v>
      </c>
    </row>
    <row r="214" customFormat="false" ht="15" hidden="false" customHeight="false" outlineLevel="0" collapsed="false">
      <c r="B214" s="12" t="s">
        <v>465</v>
      </c>
      <c r="C214" s="14" t="s">
        <v>98</v>
      </c>
      <c r="D214" s="31" t="n">
        <v>1000000</v>
      </c>
      <c r="E214" s="31" t="n">
        <v>1500000</v>
      </c>
      <c r="F214" s="31" t="n">
        <v>2000000</v>
      </c>
      <c r="G214" s="31" t="n">
        <v>2500000</v>
      </c>
      <c r="H214" s="31" t="n">
        <v>3000000</v>
      </c>
      <c r="I214" s="14"/>
      <c r="K214" s="38" t="n">
        <f aca="false">D214/FX_EUR</f>
        <v>1524.4901723741</v>
      </c>
      <c r="L214" s="38" t="n">
        <f aca="false">E214/FX_EUR</f>
        <v>2286.73525856116</v>
      </c>
      <c r="M214" s="38" t="n">
        <f aca="false">F214/FX_EUR</f>
        <v>3048.98034474821</v>
      </c>
      <c r="N214" s="38" t="n">
        <f aca="false">G214/FX_EUR</f>
        <v>3811.22543093526</v>
      </c>
      <c r="O214" s="38" t="n">
        <f aca="false">H214/FX_EUR</f>
        <v>4573.47051712231</v>
      </c>
    </row>
    <row r="215" customFormat="false" ht="15" hidden="false" customHeight="false" outlineLevel="0" collapsed="false">
      <c r="B215" s="12" t="s">
        <v>466</v>
      </c>
      <c r="C215" s="14" t="s">
        <v>440</v>
      </c>
      <c r="D215" s="31" t="n">
        <v>5000000</v>
      </c>
      <c r="E215" s="31" t="n">
        <v>10000000</v>
      </c>
      <c r="F215" s="31" t="n">
        <v>25000000</v>
      </c>
      <c r="G215" s="31" t="n">
        <v>30000000</v>
      </c>
      <c r="H215" s="31" t="n">
        <v>35000000</v>
      </c>
      <c r="I215" s="14" t="s">
        <v>467</v>
      </c>
      <c r="K215" s="38" t="n">
        <f aca="false">D215/FX_EUR</f>
        <v>7622.45086187052</v>
      </c>
      <c r="L215" s="38" t="n">
        <f aca="false">E215/FX_EUR</f>
        <v>15244.901723741</v>
      </c>
      <c r="M215" s="38" t="n">
        <f aca="false">F215/FX_EUR</f>
        <v>38112.2543093526</v>
      </c>
      <c r="N215" s="38" t="n">
        <f aca="false">G215/FX_EUR</f>
        <v>45734.7051712231</v>
      </c>
      <c r="O215" s="38" t="n">
        <f aca="false">H215/FX_EUR</f>
        <v>53357.1560330936</v>
      </c>
    </row>
    <row r="216" customFormat="false" ht="15" hidden="false" customHeight="false" outlineLevel="0" collapsed="false">
      <c r="B216" s="12" t="s">
        <v>468</v>
      </c>
      <c r="C216" s="14" t="s">
        <v>98</v>
      </c>
      <c r="D216" s="31" t="n">
        <v>300000</v>
      </c>
      <c r="E216" s="31" t="n">
        <v>600000</v>
      </c>
      <c r="F216" s="31" t="n">
        <v>800000</v>
      </c>
      <c r="G216" s="31" t="n">
        <v>900000</v>
      </c>
      <c r="H216" s="31" t="n">
        <v>1000000</v>
      </c>
      <c r="I216" s="14"/>
      <c r="K216" s="38" t="n">
        <f aca="false">D216/FX_EUR</f>
        <v>457.347051712231</v>
      </c>
      <c r="L216" s="38" t="n">
        <f aca="false">E216/FX_EUR</f>
        <v>914.694103424462</v>
      </c>
      <c r="M216" s="38" t="n">
        <f aca="false">F216/FX_EUR</f>
        <v>1219.59213789928</v>
      </c>
      <c r="N216" s="38" t="n">
        <f aca="false">G216/FX_EUR</f>
        <v>1372.04115513669</v>
      </c>
      <c r="O216" s="38" t="n">
        <f aca="false">H216/FX_EUR</f>
        <v>1524.4901723741</v>
      </c>
    </row>
    <row r="217" customFormat="false" ht="15" hidden="false" customHeight="false" outlineLevel="0" collapsed="false">
      <c r="B217" s="12" t="s">
        <v>469</v>
      </c>
      <c r="C217" s="14" t="s">
        <v>440</v>
      </c>
      <c r="D217" s="31" t="n">
        <v>0</v>
      </c>
      <c r="E217" s="31" t="n">
        <v>0</v>
      </c>
      <c r="F217" s="31" t="n">
        <v>12000000</v>
      </c>
      <c r="G217" s="31" t="n">
        <v>14000000</v>
      </c>
      <c r="H217" s="31" t="n">
        <v>16000000</v>
      </c>
      <c r="I217" s="14" t="s">
        <v>470</v>
      </c>
      <c r="K217" s="38" t="n">
        <f aca="false">D217/FX_EUR</f>
        <v>0</v>
      </c>
      <c r="L217" s="38" t="n">
        <f aca="false">E217/FX_EUR</f>
        <v>0</v>
      </c>
      <c r="M217" s="38" t="n">
        <f aca="false">F217/FX_EUR</f>
        <v>18293.8820684892</v>
      </c>
      <c r="N217" s="38" t="n">
        <f aca="false">G217/FX_EUR</f>
        <v>21342.8624132375</v>
      </c>
      <c r="O217" s="38" t="n">
        <f aca="false">H217/FX_EUR</f>
        <v>24391.8427579857</v>
      </c>
    </row>
    <row r="218" customFormat="false" ht="15" hidden="false" customHeight="false" outlineLevel="0" collapsed="false">
      <c r="B218" s="12" t="s">
        <v>471</v>
      </c>
      <c r="C218" s="14" t="s">
        <v>440</v>
      </c>
      <c r="D218" s="31" t="n">
        <v>3500000</v>
      </c>
      <c r="E218" s="31" t="n">
        <v>3000000</v>
      </c>
      <c r="F218" s="31" t="n">
        <v>1500000</v>
      </c>
      <c r="G218" s="31" t="n">
        <v>1500000</v>
      </c>
      <c r="H218" s="31" t="n">
        <v>1500000</v>
      </c>
      <c r="I218" s="14"/>
      <c r="K218" s="38" t="n">
        <f aca="false">D218/FX_EUR</f>
        <v>5335.71560330936</v>
      </c>
      <c r="L218" s="38" t="n">
        <f aca="false">E218/FX_EUR</f>
        <v>4573.47051712231</v>
      </c>
      <c r="M218" s="38" t="n">
        <f aca="false">F218/FX_EUR</f>
        <v>2286.73525856116</v>
      </c>
      <c r="N218" s="38" t="n">
        <f aca="false">G218/FX_EUR</f>
        <v>2286.73525856116</v>
      </c>
      <c r="O218" s="38" t="n">
        <f aca="false">H218/FX_EUR</f>
        <v>2286.73525856116</v>
      </c>
    </row>
    <row r="219" customFormat="false" ht="15" hidden="false" customHeight="false" outlineLevel="0" collapsed="false">
      <c r="B219" s="12" t="s">
        <v>472</v>
      </c>
      <c r="C219" s="14" t="s">
        <v>410</v>
      </c>
      <c r="D219" s="31" t="n">
        <v>20000</v>
      </c>
      <c r="E219" s="31" t="n">
        <v>25000</v>
      </c>
      <c r="F219" s="31" t="n">
        <v>35000</v>
      </c>
      <c r="G219" s="31" t="n">
        <v>45000</v>
      </c>
      <c r="H219" s="31" t="n">
        <v>55000</v>
      </c>
      <c r="I219" s="14"/>
      <c r="K219" s="38" t="n">
        <f aca="false">D219*FX_USD/FX_EUR</f>
        <v>17684.0859995396</v>
      </c>
      <c r="L219" s="38" t="n">
        <f aca="false">E219*FX_USD/FX_EUR</f>
        <v>22105.1074994245</v>
      </c>
      <c r="M219" s="38" t="n">
        <f aca="false">F219*FX_USD/FX_EUR</f>
        <v>30947.1504991943</v>
      </c>
      <c r="N219" s="38" t="n">
        <f aca="false">G219*FX_USD/FX_EUR</f>
        <v>39789.1934989641</v>
      </c>
      <c r="O219" s="38" t="n">
        <f aca="false">H219*FX_USD/FX_EUR</f>
        <v>48631.2364987339</v>
      </c>
    </row>
    <row r="220" customFormat="false" ht="15" hidden="false" customHeight="false" outlineLevel="0" collapsed="false">
      <c r="B220" s="8" t="s">
        <v>473</v>
      </c>
    </row>
    <row r="221" customFormat="false" ht="15" hidden="false" customHeight="false" outlineLevel="0" collapsed="false">
      <c r="B221" s="12" t="s">
        <v>474</v>
      </c>
      <c r="C221" s="14" t="s">
        <v>98</v>
      </c>
      <c r="D221" s="31" t="n">
        <v>1310000</v>
      </c>
      <c r="E221" s="31" t="n">
        <v>2620000</v>
      </c>
      <c r="F221" s="31" t="n">
        <v>3940000</v>
      </c>
      <c r="G221" s="31" t="n">
        <v>4590000</v>
      </c>
      <c r="H221" s="31" t="n">
        <v>5250000</v>
      </c>
      <c r="I221" s="14" t="s">
        <v>475</v>
      </c>
      <c r="K221" s="38" t="n">
        <f aca="false">D221/FX_EUR</f>
        <v>1997.08212581008</v>
      </c>
      <c r="L221" s="38" t="n">
        <f aca="false">E221/FX_EUR</f>
        <v>3994.16425162015</v>
      </c>
      <c r="M221" s="38" t="n">
        <f aca="false">F221/FX_EUR</f>
        <v>6006.49127915397</v>
      </c>
      <c r="N221" s="38" t="n">
        <f aca="false">G221/FX_EUR</f>
        <v>6997.40989119714</v>
      </c>
      <c r="O221" s="38" t="n">
        <f aca="false">H221/FX_EUR</f>
        <v>8003.57340496405</v>
      </c>
    </row>
    <row r="222" customFormat="false" ht="15" hidden="false" customHeight="false" outlineLevel="0" collapsed="false">
      <c r="B222" s="12" t="s">
        <v>476</v>
      </c>
      <c r="C222" s="14" t="s">
        <v>98</v>
      </c>
      <c r="D222" s="31" t="n">
        <v>0</v>
      </c>
      <c r="E222" s="31" t="n">
        <v>1310000</v>
      </c>
      <c r="F222" s="31" t="n">
        <v>2620000</v>
      </c>
      <c r="G222" s="31" t="n">
        <v>3280000</v>
      </c>
      <c r="H222" s="31" t="n">
        <v>3940000</v>
      </c>
      <c r="I222" s="14" t="s">
        <v>454</v>
      </c>
      <c r="K222" s="38" t="n">
        <f aca="false">D222/FX_EUR</f>
        <v>0</v>
      </c>
      <c r="L222" s="38" t="n">
        <f aca="false">E222/FX_EUR</f>
        <v>1997.08212581008</v>
      </c>
      <c r="M222" s="38" t="n">
        <f aca="false">F222/FX_EUR</f>
        <v>3994.16425162015</v>
      </c>
      <c r="N222" s="38" t="n">
        <f aca="false">G222/FX_EUR</f>
        <v>5000.32776538706</v>
      </c>
      <c r="O222" s="38" t="n">
        <f aca="false">H222/FX_EUR</f>
        <v>6006.49127915397</v>
      </c>
    </row>
    <row r="223" customFormat="false" ht="15" hidden="false" customHeight="false" outlineLevel="0" collapsed="false">
      <c r="B223" s="12" t="s">
        <v>477</v>
      </c>
      <c r="C223" s="14" t="s">
        <v>440</v>
      </c>
      <c r="D223" s="31" t="n">
        <v>16400000</v>
      </c>
      <c r="E223" s="31" t="n">
        <v>5250000</v>
      </c>
      <c r="F223" s="31" t="n">
        <v>6560000</v>
      </c>
      <c r="G223" s="31" t="n">
        <v>6560000</v>
      </c>
      <c r="H223" s="31" t="n">
        <v>6560000</v>
      </c>
      <c r="I223" s="14" t="s">
        <v>478</v>
      </c>
      <c r="K223" s="38" t="n">
        <f aca="false">D223/FX_EUR</f>
        <v>25001.6388269353</v>
      </c>
      <c r="L223" s="38" t="n">
        <f aca="false">E223/FX_EUR</f>
        <v>8003.57340496405</v>
      </c>
      <c r="M223" s="38" t="n">
        <f aca="false">F223/FX_EUR</f>
        <v>10000.6555307741</v>
      </c>
      <c r="N223" s="38" t="n">
        <f aca="false">G223/FX_EUR</f>
        <v>10000.6555307741</v>
      </c>
      <c r="O223" s="38" t="n">
        <f aca="false">H223/FX_EUR</f>
        <v>10000.6555307741</v>
      </c>
    </row>
    <row r="224" customFormat="false" ht="15" hidden="false" customHeight="false" outlineLevel="0" collapsed="false">
      <c r="B224" s="12" t="s">
        <v>479</v>
      </c>
      <c r="C224" s="14" t="s">
        <v>440</v>
      </c>
      <c r="D224" s="31" t="n">
        <v>9840000</v>
      </c>
      <c r="E224" s="31" t="n">
        <v>19700000</v>
      </c>
      <c r="F224" s="31" t="n">
        <v>29500000</v>
      </c>
      <c r="G224" s="31" t="n">
        <v>36100000</v>
      </c>
      <c r="H224" s="31" t="n">
        <v>42600000</v>
      </c>
      <c r="I224" s="14"/>
      <c r="K224" s="38" t="n">
        <f aca="false">D224/FX_EUR</f>
        <v>15000.9832961612</v>
      </c>
      <c r="L224" s="38" t="n">
        <f aca="false">E224/FX_EUR</f>
        <v>30032.4563957698</v>
      </c>
      <c r="M224" s="38" t="n">
        <f aca="false">F224/FX_EUR</f>
        <v>44972.4600850361</v>
      </c>
      <c r="N224" s="38" t="n">
        <f aca="false">G224/FX_EUR</f>
        <v>55034.0952227051</v>
      </c>
      <c r="O224" s="38" t="n">
        <f aca="false">H224/FX_EUR</f>
        <v>64943.2813431368</v>
      </c>
    </row>
    <row r="225" customFormat="false" ht="15" hidden="false" customHeight="false" outlineLevel="0" collapsed="false">
      <c r="B225" s="8" t="s">
        <v>480</v>
      </c>
    </row>
    <row r="226" customFormat="false" ht="15" hidden="false" customHeight="false" outlineLevel="0" collapsed="false">
      <c r="B226" s="12" t="s">
        <v>481</v>
      </c>
      <c r="C226" s="14" t="s">
        <v>440</v>
      </c>
      <c r="D226" s="31" t="n">
        <v>5250000</v>
      </c>
      <c r="E226" s="31" t="n">
        <v>13100000</v>
      </c>
      <c r="F226" s="31" t="n">
        <v>16400000</v>
      </c>
      <c r="G226" s="31" t="n">
        <v>19700000</v>
      </c>
      <c r="H226" s="31" t="n">
        <v>23000000</v>
      </c>
      <c r="I226" s="14"/>
      <c r="K226" s="38" t="n">
        <f aca="false">D226/FX_EUR</f>
        <v>8003.57340496405</v>
      </c>
      <c r="L226" s="38" t="n">
        <f aca="false">E226/FX_EUR</f>
        <v>19970.8212581008</v>
      </c>
      <c r="M226" s="38" t="n">
        <f aca="false">F226/FX_EUR</f>
        <v>25001.6388269353</v>
      </c>
      <c r="N226" s="38" t="n">
        <f aca="false">G226/FX_EUR</f>
        <v>30032.4563957698</v>
      </c>
      <c r="O226" s="38" t="n">
        <f aca="false">H226/FX_EUR</f>
        <v>35063.2739646044</v>
      </c>
    </row>
    <row r="227" customFormat="false" ht="15" hidden="false" customHeight="false" outlineLevel="0" collapsed="false">
      <c r="B227" s="12" t="s">
        <v>482</v>
      </c>
      <c r="C227" s="14" t="s">
        <v>98</v>
      </c>
      <c r="D227" s="31" t="n">
        <v>300000</v>
      </c>
      <c r="E227" s="31" t="n">
        <v>450000</v>
      </c>
      <c r="F227" s="31" t="n">
        <v>600000</v>
      </c>
      <c r="G227" s="31" t="n">
        <v>700000</v>
      </c>
      <c r="H227" s="31" t="n">
        <v>800000</v>
      </c>
      <c r="I227" s="14"/>
      <c r="K227" s="38" t="n">
        <f aca="false">D227/FX_EUR</f>
        <v>457.347051712231</v>
      </c>
      <c r="L227" s="38" t="n">
        <f aca="false">E227/FX_EUR</f>
        <v>686.020577568347</v>
      </c>
      <c r="M227" s="38" t="n">
        <f aca="false">F227/FX_EUR</f>
        <v>914.694103424462</v>
      </c>
      <c r="N227" s="38" t="n">
        <f aca="false">G227/FX_EUR</f>
        <v>1067.14312066187</v>
      </c>
      <c r="O227" s="38" t="n">
        <f aca="false">H227/FX_EUR</f>
        <v>1219.59213789928</v>
      </c>
    </row>
    <row r="229" customFormat="false" ht="15" hidden="false" customHeight="false" outlineLevel="0" collapsed="false">
      <c r="B229" s="28" t="s">
        <v>483</v>
      </c>
      <c r="C229" s="28" t="s">
        <v>114</v>
      </c>
      <c r="D229" s="28" t="s">
        <v>115</v>
      </c>
      <c r="E229" s="28" t="s">
        <v>116</v>
      </c>
      <c r="F229" s="28" t="s">
        <v>117</v>
      </c>
      <c r="G229" s="28" t="s">
        <v>118</v>
      </c>
      <c r="H229" s="28" t="s">
        <v>119</v>
      </c>
      <c r="I229" s="28" t="s">
        <v>120</v>
      </c>
    </row>
    <row r="230" customFormat="false" ht="15" hidden="false" customHeight="false" outlineLevel="0" collapsed="false">
      <c r="B230" s="12" t="s">
        <v>484</v>
      </c>
      <c r="C230" s="14" t="s">
        <v>71</v>
      </c>
      <c r="D230" s="31" t="n">
        <v>0</v>
      </c>
      <c r="H230" s="38" t="n">
        <f aca="false">D230/FX_EUR</f>
        <v>0</v>
      </c>
      <c r="I230" s="14"/>
    </row>
    <row r="231" customFormat="false" ht="15" hidden="false" customHeight="false" outlineLevel="0" collapsed="false">
      <c r="B231" s="12" t="s">
        <v>485</v>
      </c>
      <c r="C231" s="14" t="s">
        <v>71</v>
      </c>
      <c r="D231" s="31" t="n">
        <v>60000000</v>
      </c>
      <c r="H231" s="38" t="n">
        <f aca="false">D231/FX_EUR</f>
        <v>91469.4103424462</v>
      </c>
      <c r="I231" s="14" t="s">
        <v>486</v>
      </c>
    </row>
    <row r="232" customFormat="false" ht="15" hidden="false" customHeight="false" outlineLevel="0" collapsed="false">
      <c r="B232" s="12" t="s">
        <v>487</v>
      </c>
      <c r="C232" s="14" t="s">
        <v>71</v>
      </c>
      <c r="D232" s="31" t="n">
        <v>650000000</v>
      </c>
      <c r="H232" s="38" t="n">
        <f aca="false">D232/FX_EUR</f>
        <v>990918.612043168</v>
      </c>
      <c r="I232" s="14" t="s">
        <v>488</v>
      </c>
    </row>
    <row r="233" customFormat="false" ht="15" hidden="false" customHeight="false" outlineLevel="0" collapsed="false">
      <c r="B233" s="12" t="s">
        <v>489</v>
      </c>
      <c r="C233" s="14" t="s">
        <v>68</v>
      </c>
      <c r="D233" s="33" t="n">
        <v>1</v>
      </c>
      <c r="I233" s="14"/>
    </row>
    <row r="234" customFormat="false" ht="15" hidden="false" customHeight="false" outlineLevel="0" collapsed="false">
      <c r="B234" s="12" t="s">
        <v>490</v>
      </c>
      <c r="C234" s="14" t="s">
        <v>71</v>
      </c>
      <c r="D234" s="31" t="n">
        <v>900000000</v>
      </c>
      <c r="H234" s="38" t="n">
        <f aca="false">D234/FX_EUR</f>
        <v>1372041.15513669</v>
      </c>
      <c r="I234" s="14" t="s">
        <v>491</v>
      </c>
    </row>
    <row r="235" customFormat="false" ht="15" hidden="false" customHeight="false" outlineLevel="0" collapsed="false">
      <c r="B235" s="12" t="s">
        <v>492</v>
      </c>
      <c r="C235" s="14" t="s">
        <v>68</v>
      </c>
      <c r="D235" s="33" t="n">
        <v>15</v>
      </c>
      <c r="I235" s="14"/>
    </row>
    <row r="236" customFormat="false" ht="15" hidden="false" customHeight="false" outlineLevel="0" collapsed="false">
      <c r="B236" s="12" t="s">
        <v>493</v>
      </c>
      <c r="C236" s="14" t="s">
        <v>71</v>
      </c>
      <c r="D236" s="31" t="n">
        <v>1200000000</v>
      </c>
      <c r="H236" s="38" t="n">
        <f aca="false">D236/FX_EUR</f>
        <v>1829388.20684892</v>
      </c>
      <c r="I236" s="14"/>
    </row>
    <row r="237" customFormat="false" ht="15" hidden="false" customHeight="false" outlineLevel="0" collapsed="false">
      <c r="B237" s="12" t="s">
        <v>494</v>
      </c>
      <c r="C237" s="14" t="s">
        <v>68</v>
      </c>
      <c r="D237" s="33" t="n">
        <v>24</v>
      </c>
      <c r="I237" s="14" t="s">
        <v>495</v>
      </c>
    </row>
    <row r="238" customFormat="false" ht="15" hidden="false" customHeight="false" outlineLevel="0" collapsed="false">
      <c r="B238" s="12" t="s">
        <v>496</v>
      </c>
      <c r="C238" s="14" t="s">
        <v>71</v>
      </c>
      <c r="D238" s="31" t="n">
        <v>1200000000</v>
      </c>
      <c r="H238" s="38" t="n">
        <f aca="false">D238/FX_EUR</f>
        <v>1829388.20684892</v>
      </c>
      <c r="I238" s="14"/>
    </row>
  </sheetData>
  <dataValidations count="1">
    <dataValidation allowBlank="false" errorStyle="stop" operator="between" showDropDown="false" showErrorMessage="false" showInputMessage="false" sqref="D4" type="list">
      <formula1>"1,2,3"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30"/>
    <col collapsed="false" customWidth="true" hidden="false" outlineLevel="0" max="3" min="3" style="0" width="12"/>
    <col collapsed="false" customWidth="true" hidden="false" outlineLevel="0" max="14" min="4" style="0" width="15"/>
  </cols>
  <sheetData>
    <row r="1" customFormat="false" ht="17.35" hidden="false" customHeight="false" outlineLevel="0" collapsed="false">
      <c r="A1" s="7" t="s">
        <v>497</v>
      </c>
    </row>
    <row r="2" customFormat="false" ht="15" hidden="false" customHeight="false" outlineLevel="0" collapsed="false">
      <c r="A2" s="2" t="s">
        <v>498</v>
      </c>
    </row>
    <row r="5" customFormat="false" ht="15" hidden="false" customHeight="false" outlineLevel="0" collapsed="false">
      <c r="A5" s="43" t="s">
        <v>499</v>
      </c>
    </row>
    <row r="6" customFormat="false" ht="15" hidden="false" customHeight="false" outlineLevel="0" collapsed="false">
      <c r="A6" s="2" t="s">
        <v>500</v>
      </c>
    </row>
    <row r="7" customFormat="false" ht="30" hidden="false" customHeight="true" outlineLevel="0" collapsed="false">
      <c r="A7" s="44" t="s">
        <v>501</v>
      </c>
      <c r="B7" s="44" t="s">
        <v>502</v>
      </c>
      <c r="C7" s="44" t="s">
        <v>503</v>
      </c>
      <c r="D7" s="44" t="s">
        <v>504</v>
      </c>
      <c r="E7" s="44" t="s">
        <v>505</v>
      </c>
      <c r="F7" s="44" t="s">
        <v>506</v>
      </c>
      <c r="G7" s="44" t="s">
        <v>507</v>
      </c>
      <c r="H7" s="44" t="s">
        <v>508</v>
      </c>
      <c r="I7" s="44" t="s">
        <v>509</v>
      </c>
      <c r="J7" s="44" t="s">
        <v>510</v>
      </c>
      <c r="K7" s="44" t="s">
        <v>511</v>
      </c>
      <c r="L7" s="44" t="s">
        <v>512</v>
      </c>
      <c r="M7" s="44" t="s">
        <v>513</v>
      </c>
      <c r="N7" s="44" t="s">
        <v>514</v>
      </c>
    </row>
    <row r="8" customFormat="false" ht="15" hidden="false" customHeight="false" outlineLevel="0" collapsed="false">
      <c r="A8" s="45" t="str">
        <f aca="false">'Hiring plan'!C5</f>
        <v>CEO (full salary from year 2)</v>
      </c>
      <c r="B8" s="46" t="str">
        <f aca="false">'Hiring plan'!D5</f>
        <v>SN</v>
      </c>
      <c r="C8" s="12" t="str">
        <f aca="false">'Hiring plan'!J5</f>
        <v>Y</v>
      </c>
      <c r="D8" s="37" t="n">
        <f aca="false">'Hiring plan'!I5</f>
        <v>2500000</v>
      </c>
      <c r="E8" s="37" t="n">
        <f aca="false">D8*Employer_Charges</f>
        <v>750000</v>
      </c>
      <c r="F8" s="37" t="n">
        <f aca="false">D8+E8</f>
        <v>3250000</v>
      </c>
      <c r="G8" s="37" t="n">
        <f aca="false">Regus_EUR*FX_EUR</f>
        <v>196787.1</v>
      </c>
      <c r="H8" s="37" t="n">
        <f aca="false">Phone_Cost</f>
        <v>5000</v>
      </c>
      <c r="I8" s="37" t="n">
        <f aca="false">(Gmail_USD+ClickUp_USD)*FX_USD</f>
        <v>10440</v>
      </c>
      <c r="J8" s="37" t="n">
        <f aca="false">IF('Hiring plan'!B5="Engineering &amp; product",Claude_USD*FX_USD,0)</f>
        <v>0</v>
      </c>
      <c r="K8" s="37" t="n">
        <f aca="false">SUM(F8:J8)</f>
        <v>3462227.1</v>
      </c>
      <c r="L8" s="24" t="n">
        <f aca="false">K8/FX_EUR</f>
        <v>5278.13118847729</v>
      </c>
      <c r="M8" s="37" t="n">
        <f aca="false">IF('Hiring plan'!B5="Engineering &amp; product",Laptop_Dev_USD*FX_USD,Laptop_EUR*FX_EUR)+IF(C8="Y",Agency_Fee_EUR*FX_EUR,0)</f>
        <v>852744.1</v>
      </c>
      <c r="N8" s="24" t="n">
        <f aca="false">M8/FX_EUR</f>
        <v>1300</v>
      </c>
    </row>
    <row r="9" customFormat="false" ht="15" hidden="false" customHeight="false" outlineLevel="0" collapsed="false">
      <c r="A9" s="45" t="str">
        <f aca="false">'Hiring plan'!C6</f>
        <v>CTO (also codes)</v>
      </c>
      <c r="B9" s="46" t="str">
        <f aca="false">'Hiring plan'!D6</f>
        <v>SN</v>
      </c>
      <c r="C9" s="12" t="str">
        <f aca="false">'Hiring plan'!J6</f>
        <v>Y</v>
      </c>
      <c r="D9" s="37" t="n">
        <f aca="false">'Hiring plan'!I6</f>
        <v>2500000</v>
      </c>
      <c r="E9" s="37" t="n">
        <f aca="false">D9*Employer_Charges</f>
        <v>750000</v>
      </c>
      <c r="F9" s="37" t="n">
        <f aca="false">D9+E9</f>
        <v>3250000</v>
      </c>
      <c r="G9" s="37" t="n">
        <f aca="false">Regus_EUR*FX_EUR</f>
        <v>196787.1</v>
      </c>
      <c r="H9" s="37" t="n">
        <f aca="false">Phone_Cost</f>
        <v>5000</v>
      </c>
      <c r="I9" s="37" t="n">
        <f aca="false">(Gmail_USD+ClickUp_USD)*FX_USD</f>
        <v>10440</v>
      </c>
      <c r="J9" s="37" t="n">
        <f aca="false">IF('Hiring plan'!B6="Engineering &amp; product",Claude_USD*FX_USD,0)</f>
        <v>14500</v>
      </c>
      <c r="K9" s="37" t="n">
        <f aca="false">SUM(F9:J9)</f>
        <v>3476727.1</v>
      </c>
      <c r="L9" s="24" t="n">
        <f aca="false">K9/FX_EUR</f>
        <v>5300.23629597672</v>
      </c>
      <c r="M9" s="37" t="n">
        <f aca="false">IF('Hiring plan'!B6="Engineering &amp; product",Laptop_Dev_USD*FX_USD,Laptop_EUR*FX_EUR)+IF(C9="Y",Agency_Fee_EUR*FX_EUR,0)</f>
        <v>1684765.6</v>
      </c>
      <c r="N9" s="24" t="n">
        <f aca="false">M9/FX_EUR</f>
        <v>2568.40859995396</v>
      </c>
    </row>
    <row r="10" customFormat="false" ht="15" hidden="false" customHeight="false" outlineLevel="0" collapsed="false">
      <c r="A10" s="45" t="str">
        <f aca="false">'Hiring plan'!C7</f>
        <v>Financial expert (finance, partners, credit lead)</v>
      </c>
      <c r="B10" s="46" t="str">
        <f aca="false">'Hiring plan'!D7</f>
        <v>SN</v>
      </c>
      <c r="C10" s="12" t="str">
        <f aca="false">'Hiring plan'!J7</f>
        <v>Y</v>
      </c>
      <c r="D10" s="37" t="n">
        <f aca="false">'Hiring plan'!I7</f>
        <v>1500000</v>
      </c>
      <c r="E10" s="37" t="n">
        <f aca="false">D10*Employer_Charges</f>
        <v>450000</v>
      </c>
      <c r="F10" s="37" t="n">
        <f aca="false">D10+E10</f>
        <v>1950000</v>
      </c>
      <c r="G10" s="37" t="n">
        <f aca="false">Regus_EUR*FX_EUR</f>
        <v>196787.1</v>
      </c>
      <c r="H10" s="37" t="n">
        <f aca="false">Phone_Cost</f>
        <v>5000</v>
      </c>
      <c r="I10" s="37" t="n">
        <f aca="false">(Gmail_USD+ClickUp_USD)*FX_USD</f>
        <v>10440</v>
      </c>
      <c r="J10" s="37" t="n">
        <f aca="false">IF('Hiring plan'!B7="Engineering &amp; product",Claude_USD*FX_USD,0)</f>
        <v>0</v>
      </c>
      <c r="K10" s="37" t="n">
        <f aca="false">SUM(F10:J10)</f>
        <v>2162227.1</v>
      </c>
      <c r="L10" s="24" t="n">
        <f aca="false">K10/FX_EUR</f>
        <v>3296.29396439096</v>
      </c>
      <c r="M10" s="37" t="n">
        <f aca="false">IF('Hiring plan'!B7="Engineering &amp; product",Laptop_Dev_USD*FX_USD,Laptop_EUR*FX_EUR)+IF(C10="Y",Agency_Fee_EUR*FX_EUR,0)</f>
        <v>852744.1</v>
      </c>
      <c r="N10" s="24" t="n">
        <f aca="false">M10/FX_EUR</f>
        <v>1300</v>
      </c>
    </row>
    <row r="11" customFormat="false" ht="15" hidden="false" customHeight="false" outlineLevel="0" collapsed="false">
      <c r="A11" s="45" t="str">
        <f aca="false">'Hiring plan'!C8</f>
        <v>Sales lead (also sells; incl. bonus)</v>
      </c>
      <c r="B11" s="46" t="str">
        <f aca="false">'Hiring plan'!D8</f>
        <v>SN</v>
      </c>
      <c r="C11" s="12" t="str">
        <f aca="false">'Hiring plan'!J8</f>
        <v>N</v>
      </c>
      <c r="D11" s="37" t="n">
        <f aca="false">'Hiring plan'!I8</f>
        <v>1200000</v>
      </c>
      <c r="E11" s="37" t="n">
        <f aca="false">D11*Employer_Charges</f>
        <v>360000</v>
      </c>
      <c r="F11" s="37" t="n">
        <f aca="false">D11+E11</f>
        <v>1560000</v>
      </c>
      <c r="G11" s="37" t="n">
        <f aca="false">Regus_EUR*FX_EUR</f>
        <v>196787.1</v>
      </c>
      <c r="H11" s="37" t="n">
        <f aca="false">Phone_Cost</f>
        <v>5000</v>
      </c>
      <c r="I11" s="37" t="n">
        <f aca="false">(Gmail_USD+ClickUp_USD)*FX_USD</f>
        <v>10440</v>
      </c>
      <c r="J11" s="37" t="n">
        <f aca="false">IF('Hiring plan'!B8="Engineering &amp; product",Claude_USD*FX_USD,0)</f>
        <v>0</v>
      </c>
      <c r="K11" s="37" t="n">
        <f aca="false">SUM(F11:J11)</f>
        <v>1772227.1</v>
      </c>
      <c r="L11" s="24" t="n">
        <f aca="false">K11/FX_EUR</f>
        <v>2701.74279716506</v>
      </c>
      <c r="M11" s="37" t="n">
        <f aca="false">IF('Hiring plan'!B8="Engineering &amp; product",Laptop_Dev_USD*FX_USD,Laptop_EUR*FX_EUR)+IF(C11="Y",Agency_Fee_EUR*FX_EUR,0)</f>
        <v>327978.5</v>
      </c>
      <c r="N11" s="24" t="n">
        <f aca="false">M11/FX_EUR</f>
        <v>500</v>
      </c>
    </row>
    <row r="12" customFormat="false" ht="15" hidden="false" customHeight="false" outlineLevel="0" collapsed="false">
      <c r="A12" s="45" t="str">
        <f aca="false">'Hiring plan'!C9</f>
        <v>Marketing manager (senior)</v>
      </c>
      <c r="B12" s="46" t="str">
        <f aca="false">'Hiring plan'!D9</f>
        <v>SN</v>
      </c>
      <c r="C12" s="12" t="str">
        <f aca="false">'Hiring plan'!J9</f>
        <v>N</v>
      </c>
      <c r="D12" s="37" t="n">
        <f aca="false">'Hiring plan'!I9</f>
        <v>900000</v>
      </c>
      <c r="E12" s="37" t="n">
        <f aca="false">D12*Employer_Charges</f>
        <v>270000</v>
      </c>
      <c r="F12" s="37" t="n">
        <f aca="false">D12+E12</f>
        <v>1170000</v>
      </c>
      <c r="G12" s="37" t="n">
        <f aca="false">Regus_EUR*FX_EUR</f>
        <v>196787.1</v>
      </c>
      <c r="H12" s="37" t="n">
        <f aca="false">Phone_Cost</f>
        <v>5000</v>
      </c>
      <c r="I12" s="37" t="n">
        <f aca="false">(Gmail_USD+ClickUp_USD)*FX_USD</f>
        <v>10440</v>
      </c>
      <c r="J12" s="37" t="n">
        <f aca="false">IF('Hiring plan'!B9="Engineering &amp; product",Claude_USD*FX_USD,0)</f>
        <v>0</v>
      </c>
      <c r="K12" s="37" t="n">
        <f aca="false">SUM(F12:J12)</f>
        <v>1382227.1</v>
      </c>
      <c r="L12" s="24" t="n">
        <f aca="false">K12/FX_EUR</f>
        <v>2107.19162993916</v>
      </c>
      <c r="M12" s="37" t="n">
        <f aca="false">IF('Hiring plan'!B9="Engineering &amp; product",Laptop_Dev_USD*FX_USD,Laptop_EUR*FX_EUR)+IF(C12="Y",Agency_Fee_EUR*FX_EUR,0)</f>
        <v>327978.5</v>
      </c>
      <c r="N12" s="24" t="n">
        <f aca="false">M12/FX_EUR</f>
        <v>500</v>
      </c>
    </row>
    <row r="13" customFormat="false" ht="15" hidden="false" customHeight="false" outlineLevel="0" collapsed="false">
      <c r="A13" s="45" t="str">
        <f aca="false">'Hiring plan'!C10</f>
        <v>Marketing officer (junior)</v>
      </c>
      <c r="B13" s="46" t="str">
        <f aca="false">'Hiring plan'!D10</f>
        <v>SN</v>
      </c>
      <c r="C13" s="12" t="str">
        <f aca="false">'Hiring plan'!J10</f>
        <v>N</v>
      </c>
      <c r="D13" s="37" t="n">
        <f aca="false">'Hiring plan'!I10</f>
        <v>400000</v>
      </c>
      <c r="E13" s="37" t="n">
        <f aca="false">D13*Employer_Charges</f>
        <v>120000</v>
      </c>
      <c r="F13" s="37" t="n">
        <f aca="false">D13+E13</f>
        <v>520000</v>
      </c>
      <c r="G13" s="37" t="n">
        <f aca="false">Regus_EUR*FX_EUR</f>
        <v>196787.1</v>
      </c>
      <c r="H13" s="37" t="n">
        <f aca="false">Phone_Cost</f>
        <v>5000</v>
      </c>
      <c r="I13" s="37" t="n">
        <f aca="false">(Gmail_USD+ClickUp_USD)*FX_USD</f>
        <v>10440</v>
      </c>
      <c r="J13" s="37" t="n">
        <f aca="false">IF('Hiring plan'!B10="Engineering &amp; product",Claude_USD*FX_USD,0)</f>
        <v>0</v>
      </c>
      <c r="K13" s="37" t="n">
        <f aca="false">SUM(F13:J13)</f>
        <v>732227.1</v>
      </c>
      <c r="L13" s="24" t="n">
        <f aca="false">K13/FX_EUR</f>
        <v>1116.27301789599</v>
      </c>
      <c r="M13" s="37" t="n">
        <f aca="false">IF('Hiring plan'!B10="Engineering &amp; product",Laptop_Dev_USD*FX_USD,Laptop_EUR*FX_EUR)+IF(C13="Y",Agency_Fee_EUR*FX_EUR,0)</f>
        <v>327978.5</v>
      </c>
      <c r="N13" s="24" t="n">
        <f aca="false">M13/FX_EUR</f>
        <v>500</v>
      </c>
    </row>
    <row r="14" customFormat="false" ht="15" hidden="false" customHeight="false" outlineLevel="0" collapsed="false">
      <c r="A14" s="45" t="str">
        <f aca="false">'Hiring plan'!C11</f>
        <v>Country manager, Abidjan</v>
      </c>
      <c r="B14" s="46" t="str">
        <f aca="false">'Hiring plan'!D11</f>
        <v>CI</v>
      </c>
      <c r="C14" s="12" t="str">
        <f aca="false">'Hiring plan'!J11</f>
        <v>Y</v>
      </c>
      <c r="D14" s="37" t="n">
        <f aca="false">'Hiring plan'!I11</f>
        <v>2800000</v>
      </c>
      <c r="E14" s="37" t="n">
        <f aca="false">D14*Employer_Charges</f>
        <v>840000</v>
      </c>
      <c r="F14" s="37" t="n">
        <f aca="false">D14+E14</f>
        <v>3640000</v>
      </c>
      <c r="G14" s="37" t="n">
        <f aca="false">Regus_EUR*FX_EUR</f>
        <v>196787.1</v>
      </c>
      <c r="H14" s="37" t="n">
        <f aca="false">Phone_Cost</f>
        <v>5000</v>
      </c>
      <c r="I14" s="37" t="n">
        <f aca="false">(Gmail_USD+ClickUp_USD)*FX_USD</f>
        <v>10440</v>
      </c>
      <c r="J14" s="37" t="n">
        <f aca="false">IF('Hiring plan'!B11="Engineering &amp; product",Claude_USD*FX_USD,0)</f>
        <v>0</v>
      </c>
      <c r="K14" s="37" t="n">
        <f aca="false">SUM(F14:J14)</f>
        <v>3852227.1</v>
      </c>
      <c r="L14" s="24" t="n">
        <f aca="false">K14/FX_EUR</f>
        <v>5872.68235570319</v>
      </c>
      <c r="M14" s="37" t="n">
        <f aca="false">IF('Hiring plan'!B11="Engineering &amp; product",Laptop_Dev_USD*FX_USD,Laptop_EUR*FX_EUR)+IF(C14="Y",Agency_Fee_EUR*FX_EUR,0)</f>
        <v>852744.1</v>
      </c>
      <c r="N14" s="24" t="n">
        <f aca="false">M14/FX_EUR</f>
        <v>1300</v>
      </c>
    </row>
    <row r="15" customFormat="false" ht="15" hidden="false" customHeight="false" outlineLevel="0" collapsed="false">
      <c r="A15" s="45" t="str">
        <f aca="false">'Hiring plan'!C12</f>
        <v>Compliance officer (AML/CFT)</v>
      </c>
      <c r="B15" s="46" t="str">
        <f aca="false">'Hiring plan'!D12</f>
        <v>SN</v>
      </c>
      <c r="C15" s="12" t="str">
        <f aca="false">'Hiring plan'!J12</f>
        <v>Y</v>
      </c>
      <c r="D15" s="37" t="n">
        <f aca="false">'Hiring plan'!I12</f>
        <v>1500000</v>
      </c>
      <c r="E15" s="37" t="n">
        <f aca="false">D15*Employer_Charges</f>
        <v>450000</v>
      </c>
      <c r="F15" s="37" t="n">
        <f aca="false">D15+E15</f>
        <v>1950000</v>
      </c>
      <c r="G15" s="37" t="n">
        <f aca="false">Regus_EUR*FX_EUR</f>
        <v>196787.1</v>
      </c>
      <c r="H15" s="37" t="n">
        <f aca="false">Phone_Cost</f>
        <v>5000</v>
      </c>
      <c r="I15" s="37" t="n">
        <f aca="false">(Gmail_USD+ClickUp_USD)*FX_USD</f>
        <v>10440</v>
      </c>
      <c r="J15" s="37" t="n">
        <f aca="false">IF('Hiring plan'!B12="Engineering &amp; product",Claude_USD*FX_USD,0)</f>
        <v>0</v>
      </c>
      <c r="K15" s="37" t="n">
        <f aca="false">SUM(F15:J15)</f>
        <v>2162227.1</v>
      </c>
      <c r="L15" s="24" t="n">
        <f aca="false">K15/FX_EUR</f>
        <v>3296.29396439096</v>
      </c>
      <c r="M15" s="37" t="n">
        <f aca="false">IF('Hiring plan'!B12="Engineering &amp; product",Laptop_Dev_USD*FX_USD,Laptop_EUR*FX_EUR)+IF(C15="Y",Agency_Fee_EUR*FX_EUR,0)</f>
        <v>852744.1</v>
      </c>
      <c r="N15" s="24" t="n">
        <f aca="false">M15/FX_EUR</f>
        <v>1300</v>
      </c>
    </row>
    <row r="16" customFormat="false" ht="15" hidden="false" customHeight="false" outlineLevel="0" collapsed="false">
      <c r="A16" s="12" t="s">
        <v>515</v>
      </c>
      <c r="B16" s="46" t="s">
        <v>516</v>
      </c>
      <c r="C16" s="12" t="str">
        <f aca="false">IF(Agency_Support=1,"Y","N")</f>
        <v>N</v>
      </c>
      <c r="D16" s="37" t="n">
        <f aca="false">Salary_Support</f>
        <v>250000</v>
      </c>
      <c r="E16" s="37" t="n">
        <f aca="false">D16*Employer_Charges</f>
        <v>75000</v>
      </c>
      <c r="F16" s="37" t="n">
        <f aca="false">D16+E16</f>
        <v>325000</v>
      </c>
      <c r="G16" s="37" t="n">
        <f aca="false">Regus_EUR*FX_EUR</f>
        <v>196787.1</v>
      </c>
      <c r="H16" s="37" t="n">
        <f aca="false">Phone_Cost</f>
        <v>5000</v>
      </c>
      <c r="I16" s="37" t="n">
        <f aca="false">(Gmail_USD+ClickUp_USD)*FX_USD</f>
        <v>10440</v>
      </c>
      <c r="J16" s="37" t="n">
        <f aca="false">0</f>
        <v>0</v>
      </c>
      <c r="K16" s="37" t="n">
        <f aca="false">SUM(F16:J16)</f>
        <v>537227.1</v>
      </c>
      <c r="L16" s="24" t="n">
        <f aca="false">K16/FX_EUR</f>
        <v>818.99743428304</v>
      </c>
      <c r="M16" s="37" t="n">
        <f aca="false">IF(FALSE(),Laptop_Dev_USD*FX_USD,Laptop_EUR*FX_EUR)+IF(C16="Y",Agency_Fee_EUR*FX_EUR,0)</f>
        <v>327978.5</v>
      </c>
      <c r="N16" s="24" t="n">
        <f aca="false">M16/FX_EUR</f>
        <v>500</v>
      </c>
    </row>
    <row r="17" customFormat="false" ht="15" hidden="false" customHeight="false" outlineLevel="0" collapsed="false">
      <c r="A17" s="12" t="s">
        <v>517</v>
      </c>
      <c r="B17" s="46" t="s">
        <v>516</v>
      </c>
      <c r="C17" s="12" t="str">
        <f aca="false">IF(Agency_Dev=1,"Y","N")</f>
        <v>Y</v>
      </c>
      <c r="D17" s="37" t="n">
        <f aca="false">Salary_Dev</f>
        <v>1200000</v>
      </c>
      <c r="E17" s="37" t="n">
        <f aca="false">D17*Employer_Charges</f>
        <v>360000</v>
      </c>
      <c r="F17" s="37" t="n">
        <f aca="false">D17+E17</f>
        <v>1560000</v>
      </c>
      <c r="G17" s="37" t="n">
        <f aca="false">Regus_EUR*FX_EUR</f>
        <v>196787.1</v>
      </c>
      <c r="H17" s="37" t="n">
        <f aca="false">Phone_Cost</f>
        <v>5000</v>
      </c>
      <c r="I17" s="37" t="n">
        <f aca="false">(Gmail_USD+ClickUp_USD)*FX_USD</f>
        <v>10440</v>
      </c>
      <c r="J17" s="37" t="n">
        <f aca="false">Claude_USD*FX_USD</f>
        <v>14500</v>
      </c>
      <c r="K17" s="37" t="n">
        <f aca="false">SUM(F17:J17)</f>
        <v>1786727.1</v>
      </c>
      <c r="L17" s="24" t="n">
        <f aca="false">K17/FX_EUR</f>
        <v>2723.84790466448</v>
      </c>
      <c r="M17" s="37" t="n">
        <f aca="false">IF(TRUE(),Laptop_Dev_USD*FX_USD,Laptop_EUR*FX_EUR)+IF(C17="Y",Agency_Fee_EUR*FX_EUR,0)</f>
        <v>1684765.6</v>
      </c>
      <c r="N17" s="24" t="n">
        <f aca="false">M17/FX_EUR</f>
        <v>2568.40859995396</v>
      </c>
    </row>
    <row r="18" customFormat="false" ht="15" hidden="false" customHeight="false" outlineLevel="0" collapsed="false">
      <c r="A18" s="12" t="s">
        <v>518</v>
      </c>
      <c r="B18" s="46" t="s">
        <v>516</v>
      </c>
      <c r="C18" s="12" t="str">
        <f aca="false">IF(Agency_Rep=1,"Y","N")</f>
        <v>N</v>
      </c>
      <c r="D18" s="37" t="n">
        <f aca="false">Salary_Rep_SN</f>
        <v>400000</v>
      </c>
      <c r="E18" s="37" t="n">
        <f aca="false">D18*Employer_Charges</f>
        <v>120000</v>
      </c>
      <c r="F18" s="37" t="n">
        <f aca="false">D18+E18</f>
        <v>520000</v>
      </c>
      <c r="G18" s="37" t="n">
        <f aca="false">Regus_EUR*FX_EUR</f>
        <v>196787.1</v>
      </c>
      <c r="H18" s="37" t="n">
        <f aca="false">Phone_Cost</f>
        <v>5000</v>
      </c>
      <c r="I18" s="37" t="n">
        <f aca="false">(Gmail_USD+ClickUp_USD)*FX_USD</f>
        <v>10440</v>
      </c>
      <c r="J18" s="37" t="n">
        <f aca="false">0</f>
        <v>0</v>
      </c>
      <c r="K18" s="37" t="n">
        <f aca="false">SUM(F18:J18)</f>
        <v>732227.1</v>
      </c>
      <c r="L18" s="24" t="n">
        <f aca="false">K18/FX_EUR</f>
        <v>1116.27301789599</v>
      </c>
      <c r="M18" s="37" t="n">
        <f aca="false">IF(FALSE(),Laptop_Dev_USD*FX_USD,Laptop_EUR*FX_EUR)+IF(C18="Y",Agency_Fee_EUR*FX_EUR,0)</f>
        <v>327978.5</v>
      </c>
      <c r="N18" s="24" t="n">
        <f aca="false">M18/FX_EUR</f>
        <v>500</v>
      </c>
    </row>
    <row r="19" customFormat="false" ht="15" hidden="false" customHeight="false" outlineLevel="0" collapsed="false">
      <c r="A19" s="12" t="s">
        <v>519</v>
      </c>
      <c r="B19" s="46" t="s">
        <v>520</v>
      </c>
      <c r="C19" s="12" t="str">
        <f aca="false">IF(Agency_Rep=1,"Y","N")</f>
        <v>N</v>
      </c>
      <c r="D19" s="37" t="n">
        <f aca="false">Salary_Rep_CI</f>
        <v>450000</v>
      </c>
      <c r="E19" s="37" t="n">
        <f aca="false">D19*Employer_Charges</f>
        <v>135000</v>
      </c>
      <c r="F19" s="37" t="n">
        <f aca="false">D19+E19</f>
        <v>585000</v>
      </c>
      <c r="G19" s="37" t="n">
        <f aca="false">Regus_EUR*FX_EUR</f>
        <v>196787.1</v>
      </c>
      <c r="H19" s="37" t="n">
        <f aca="false">Phone_Cost</f>
        <v>5000</v>
      </c>
      <c r="I19" s="37" t="n">
        <f aca="false">(Gmail_USD+ClickUp_USD)*FX_USD</f>
        <v>10440</v>
      </c>
      <c r="J19" s="37" t="n">
        <f aca="false">0</f>
        <v>0</v>
      </c>
      <c r="K19" s="37" t="n">
        <f aca="false">SUM(F19:J19)</f>
        <v>797227.1</v>
      </c>
      <c r="L19" s="24" t="n">
        <f aca="false">K19/FX_EUR</f>
        <v>1215.36487910031</v>
      </c>
      <c r="M19" s="37" t="n">
        <f aca="false">IF(FALSE(),Laptop_Dev_USD*FX_USD,Laptop_EUR*FX_EUR)+IF(C19="Y",Agency_Fee_EUR*FX_EUR,0)</f>
        <v>327978.5</v>
      </c>
      <c r="N19" s="24" t="n">
        <f aca="false">M19/FX_EUR</f>
        <v>500</v>
      </c>
    </row>
    <row r="20" customFormat="false" ht="15" hidden="false" customHeight="false" outlineLevel="0" collapsed="false">
      <c r="A20" s="12" t="s">
        <v>521</v>
      </c>
      <c r="B20" s="46" t="s">
        <v>516</v>
      </c>
      <c r="C20" s="12" t="str">
        <f aca="false">IF(Agency_Credit=1,"Y","N")</f>
        <v>Y</v>
      </c>
      <c r="D20" s="37" t="n">
        <f aca="false">Salary_Credit</f>
        <v>600000</v>
      </c>
      <c r="E20" s="37" t="n">
        <f aca="false">D20*Employer_Charges</f>
        <v>180000</v>
      </c>
      <c r="F20" s="37" t="n">
        <f aca="false">D20+E20</f>
        <v>780000</v>
      </c>
      <c r="G20" s="37" t="n">
        <f aca="false">Regus_EUR*FX_EUR</f>
        <v>196787.1</v>
      </c>
      <c r="H20" s="37" t="n">
        <f aca="false">Phone_Cost</f>
        <v>5000</v>
      </c>
      <c r="I20" s="37" t="n">
        <f aca="false">(Gmail_USD+ClickUp_USD)*FX_USD</f>
        <v>10440</v>
      </c>
      <c r="J20" s="37" t="n">
        <f aca="false">0</f>
        <v>0</v>
      </c>
      <c r="K20" s="37" t="n">
        <f aca="false">SUM(F20:J20)</f>
        <v>992227.1</v>
      </c>
      <c r="L20" s="24" t="n">
        <f aca="false">K20/FX_EUR</f>
        <v>1512.64046271326</v>
      </c>
      <c r="M20" s="37" t="n">
        <f aca="false">IF(FALSE(),Laptop_Dev_USD*FX_USD,Laptop_EUR*FX_EUR)+IF(C20="Y",Agency_Fee_EUR*FX_EUR,0)</f>
        <v>852744.1</v>
      </c>
      <c r="N20" s="24" t="n">
        <f aca="false">M20/FX_EUR</f>
        <v>1300</v>
      </c>
    </row>
    <row r="21" customFormat="false" ht="15" hidden="false" customHeight="false" outlineLevel="0" collapsed="false">
      <c r="A21" s="2" t="s">
        <v>522</v>
      </c>
    </row>
    <row r="23" customFormat="false" ht="15" hidden="false" customHeight="false" outlineLevel="0" collapsed="false">
      <c r="A23" s="43" t="s">
        <v>523</v>
      </c>
    </row>
    <row r="24" customFormat="false" ht="15" hidden="false" customHeight="false" outlineLevel="0" collapsed="false">
      <c r="A24" s="2" t="s">
        <v>524</v>
      </c>
    </row>
    <row r="25" customFormat="false" ht="30" hidden="false" customHeight="true" outlineLevel="0" collapsed="false">
      <c r="A25" s="44" t="s">
        <v>525</v>
      </c>
      <c r="B25" s="44" t="s">
        <v>526</v>
      </c>
      <c r="C25" s="44"/>
      <c r="D25" s="44" t="s">
        <v>527</v>
      </c>
      <c r="E25" s="44" t="s">
        <v>528</v>
      </c>
      <c r="F25" s="44" t="s">
        <v>529</v>
      </c>
      <c r="G25" s="44" t="s">
        <v>530</v>
      </c>
      <c r="H25" s="44" t="s">
        <v>531</v>
      </c>
      <c r="I25" s="44" t="s">
        <v>532</v>
      </c>
    </row>
    <row r="26" customFormat="false" ht="15" hidden="false" customHeight="false" outlineLevel="0" collapsed="false">
      <c r="A26" s="10" t="s">
        <v>533</v>
      </c>
      <c r="B26" s="11"/>
      <c r="C26" s="11"/>
      <c r="D26" s="11"/>
      <c r="E26" s="11"/>
      <c r="F26" s="11"/>
      <c r="G26" s="11"/>
      <c r="H26" s="11"/>
      <c r="I26" s="11"/>
      <c r="J26" s="11"/>
      <c r="K26" s="11"/>
      <c r="L26" s="11"/>
      <c r="M26" s="11"/>
      <c r="N26" s="11"/>
    </row>
    <row r="27" customFormat="false" ht="23.85" hidden="false" customHeight="false" outlineLevel="0" collapsed="false">
      <c r="A27" s="12" t="s">
        <v>534</v>
      </c>
      <c r="B27" s="46" t="s">
        <v>535</v>
      </c>
      <c r="D27" s="37" t="n">
        <f aca="false">Price_Petite*(1-Annual_Share*Annual_Free/12)</f>
        <v>9405</v>
      </c>
      <c r="E27" s="37" t="n">
        <f aca="false">Price_Moyenne*(1-Annual_Share*Annual_Free/12)</f>
        <v>28405</v>
      </c>
      <c r="F27" s="37" t="n">
        <f aca="false">Price_Grande*(1-Annual_Share*Annual_Free/12)</f>
        <v>75905</v>
      </c>
      <c r="G27" s="47" t="n">
        <f aca="false">D27/FX_EUR</f>
        <v>14.3378300711784</v>
      </c>
      <c r="H27" s="47" t="n">
        <f aca="false">E27/FX_EUR</f>
        <v>43.3031433462864</v>
      </c>
      <c r="I27" s="47" t="n">
        <f aca="false">F27/FX_EUR</f>
        <v>115.716426534056</v>
      </c>
    </row>
    <row r="28" customFormat="false" ht="23.85" hidden="false" customHeight="false" outlineLevel="0" collapsed="false">
      <c r="A28" s="12" t="s">
        <v>536</v>
      </c>
      <c r="B28" s="46" t="s">
        <v>537</v>
      </c>
      <c r="D28" s="37" t="n">
        <f aca="false">Spend_For_Petite*FX_Fee</f>
        <v>3000</v>
      </c>
      <c r="E28" s="37" t="n">
        <f aca="false">Spend_For_Moyenne*FX_Fee</f>
        <v>12000</v>
      </c>
      <c r="F28" s="37" t="n">
        <f aca="false">Spend_For_Grande*FX_Fee</f>
        <v>35000</v>
      </c>
      <c r="G28" s="47" t="n">
        <f aca="false">D28/FX_EUR</f>
        <v>4.57347051712231</v>
      </c>
      <c r="H28" s="47" t="n">
        <f aca="false">E28/FX_EUR</f>
        <v>18.2938820684892</v>
      </c>
      <c r="I28" s="47" t="n">
        <f aca="false">F28/FX_EUR</f>
        <v>53.3571560330936</v>
      </c>
    </row>
    <row r="29" customFormat="false" ht="23.85" hidden="false" customHeight="false" outlineLevel="0" collapsed="false">
      <c r="A29" s="12" t="s">
        <v>538</v>
      </c>
      <c r="B29" s="46" t="s">
        <v>539</v>
      </c>
      <c r="D29" s="37" t="n">
        <f aca="false">Spend_Dom_Petite*Interchange_Share</f>
        <v>1500</v>
      </c>
      <c r="E29" s="37" t="n">
        <f aca="false">Spend_Dom_Moyenne*Interchange_Share</f>
        <v>4000</v>
      </c>
      <c r="F29" s="37" t="n">
        <f aca="false">Spend_Dom_Grande*Interchange_Share</f>
        <v>12500</v>
      </c>
      <c r="G29" s="47" t="n">
        <f aca="false">D29/FX_EUR</f>
        <v>2.28673525856116</v>
      </c>
      <c r="H29" s="47" t="n">
        <f aca="false">E29/FX_EUR</f>
        <v>6.09796068949642</v>
      </c>
      <c r="I29" s="47" t="n">
        <f aca="false">F29/FX_EUR</f>
        <v>19.0561271546763</v>
      </c>
    </row>
    <row r="30" customFormat="false" ht="23.85" hidden="false" customHeight="false" outlineLevel="0" collapsed="false">
      <c r="A30" s="12" t="s">
        <v>540</v>
      </c>
      <c r="B30" s="46" t="s">
        <v>541</v>
      </c>
      <c r="D30" s="37" t="n">
        <f aca="false">Balance_Petite*Deposit_Share/12</f>
        <v>3750</v>
      </c>
      <c r="E30" s="37" t="n">
        <f aca="false">Balance_Moyenne*Deposit_Share/12</f>
        <v>12500</v>
      </c>
      <c r="F30" s="37" t="n">
        <f aca="false">Balance_Grande*Deposit_Share/12</f>
        <v>50000</v>
      </c>
      <c r="G30" s="47" t="n">
        <f aca="false">D30/FX_EUR</f>
        <v>5.71683814640289</v>
      </c>
      <c r="H30" s="47" t="n">
        <f aca="false">E30/FX_EUR</f>
        <v>19.0561271546763</v>
      </c>
      <c r="I30" s="47" t="n">
        <f aca="false">F30/FX_EUR</f>
        <v>76.2245086187052</v>
      </c>
    </row>
    <row r="31" customFormat="false" ht="23.85" hidden="false" customHeight="false" outlineLevel="0" collapsed="false">
      <c r="A31" s="12" t="s">
        <v>542</v>
      </c>
      <c r="B31" s="46" t="s">
        <v>543</v>
      </c>
      <c r="D31" s="37" t="n">
        <f aca="false">Overage_Petite*Overage_Fee</f>
        <v>0</v>
      </c>
      <c r="E31" s="37" t="n">
        <f aca="false">Overage_Moyenne*Overage_Fee</f>
        <v>500</v>
      </c>
      <c r="F31" s="37" t="n">
        <f aca="false">Overage_Grande*Overage_Fee</f>
        <v>4000</v>
      </c>
      <c r="G31" s="47" t="n">
        <f aca="false">D31/FX_EUR</f>
        <v>0</v>
      </c>
      <c r="H31" s="47" t="n">
        <f aca="false">E31/FX_EUR</f>
        <v>0.762245086187052</v>
      </c>
      <c r="I31" s="47" t="n">
        <f aca="false">F31/FX_EUR</f>
        <v>6.09796068949642</v>
      </c>
    </row>
    <row r="32" customFormat="false" ht="23.85" hidden="false" customHeight="false" outlineLevel="0" collapsed="false">
      <c r="A32" s="12" t="s">
        <v>544</v>
      </c>
      <c r="B32" s="46" t="s">
        <v>545</v>
      </c>
      <c r="D32" s="37" t="n">
        <f aca="false">PL_Coll_Petite*PL_Adoption*PL_Momo_Share*PL_Fee</f>
        <v>1400</v>
      </c>
      <c r="E32" s="37" t="n">
        <f aca="false">PL_Coll_Moyenne*PL_Adoption*PL_Momo_Share*PL_Fee</f>
        <v>5250</v>
      </c>
      <c r="F32" s="37" t="n">
        <f aca="false">PL_Coll_Grande*PL_Adoption*PL_Momo_Share*PL_Fee</f>
        <v>17500</v>
      </c>
      <c r="G32" s="47" t="n">
        <f aca="false">D32/FX_EUR</f>
        <v>2.13428624132375</v>
      </c>
      <c r="H32" s="47" t="n">
        <f aca="false">E32/FX_EUR</f>
        <v>8.00357340496405</v>
      </c>
      <c r="I32" s="47" t="n">
        <f aca="false">F32/FX_EUR</f>
        <v>26.6785780165468</v>
      </c>
    </row>
    <row r="33" customFormat="false" ht="15" hidden="false" customHeight="false" outlineLevel="0" collapsed="false">
      <c r="A33" s="8" t="s">
        <v>546</v>
      </c>
      <c r="D33" s="16" t="n">
        <f aca="false">SUM(D27:D32)</f>
        <v>19055</v>
      </c>
      <c r="E33" s="16" t="n">
        <f aca="false">SUM(E27:E32)</f>
        <v>62655</v>
      </c>
      <c r="F33" s="16" t="n">
        <f aca="false">SUM(F27:F32)</f>
        <v>194905</v>
      </c>
      <c r="G33" s="48" t="n">
        <f aca="false">D33/FX_EUR</f>
        <v>29.0491602345886</v>
      </c>
      <c r="H33" s="48" t="n">
        <f aca="false">E33/FX_EUR</f>
        <v>95.5169317500995</v>
      </c>
      <c r="I33" s="48" t="n">
        <f aca="false">F33/FX_EUR</f>
        <v>297.130757046575</v>
      </c>
    </row>
    <row r="34" customFormat="false" ht="15" hidden="false" customHeight="false" outlineLevel="0" collapsed="false">
      <c r="A34" s="10" t="s">
        <v>547</v>
      </c>
      <c r="B34" s="11"/>
      <c r="C34" s="11"/>
      <c r="D34" s="11"/>
      <c r="E34" s="11"/>
      <c r="F34" s="11"/>
      <c r="G34" s="11"/>
      <c r="H34" s="11"/>
      <c r="I34" s="11"/>
      <c r="J34" s="11"/>
      <c r="K34" s="11"/>
      <c r="L34" s="11"/>
      <c r="M34" s="11"/>
      <c r="N34" s="11"/>
    </row>
    <row r="35" customFormat="false" ht="15" hidden="false" customHeight="false" outlineLevel="0" collapsed="false">
      <c r="A35" s="12" t="s">
        <v>257</v>
      </c>
      <c r="B35" s="46" t="s">
        <v>548</v>
      </c>
      <c r="D35" s="37" t="n">
        <f aca="false">Bank_Fee</f>
        <v>3000</v>
      </c>
      <c r="E35" s="37" t="n">
        <f aca="false">Bank_Fee</f>
        <v>3000</v>
      </c>
      <c r="F35" s="37" t="n">
        <f aca="false">Bank_Fee</f>
        <v>3000</v>
      </c>
      <c r="G35" s="47" t="n">
        <f aca="false">D35/FX_EUR</f>
        <v>4.57347051712231</v>
      </c>
      <c r="H35" s="47" t="n">
        <f aca="false">E35/FX_EUR</f>
        <v>4.57347051712231</v>
      </c>
      <c r="I35" s="47" t="n">
        <f aca="false">F35/FX_EUR</f>
        <v>4.57347051712231</v>
      </c>
    </row>
    <row r="36" customFormat="false" ht="23.85" hidden="false" customHeight="false" outlineLevel="0" collapsed="false">
      <c r="A36" s="12" t="s">
        <v>549</v>
      </c>
      <c r="B36" s="46" t="s">
        <v>550</v>
      </c>
      <c r="D36" s="37" t="n">
        <f aca="false">Cards_Act_Petite*Card_Proc_Fee</f>
        <v>2000</v>
      </c>
      <c r="E36" s="37" t="n">
        <f aca="false">Cards_Act_Moyenne*Card_Proc_Fee</f>
        <v>6000</v>
      </c>
      <c r="F36" s="37" t="n">
        <f aca="false">Cards_Act_Grande*Card_Proc_Fee</f>
        <v>15000</v>
      </c>
      <c r="G36" s="47" t="n">
        <f aca="false">D36/FX_EUR</f>
        <v>3.04898034474821</v>
      </c>
      <c r="H36" s="47" t="n">
        <f aca="false">E36/FX_EUR</f>
        <v>9.14694103424462</v>
      </c>
      <c r="I36" s="47" t="n">
        <f aca="false">F36/FX_EUR</f>
        <v>22.8673525856116</v>
      </c>
    </row>
    <row r="37" customFormat="false" ht="23.85" hidden="false" customHeight="false" outlineLevel="0" collapsed="false">
      <c r="A37" s="12" t="s">
        <v>270</v>
      </c>
      <c r="B37" s="46" t="s">
        <v>551</v>
      </c>
      <c r="D37" s="37" t="n">
        <f aca="false">Spend_For_Petite*Scheme_Rate</f>
        <v>1500</v>
      </c>
      <c r="E37" s="37" t="n">
        <f aca="false">Spend_For_Moyenne*Scheme_Rate</f>
        <v>6000</v>
      </c>
      <c r="F37" s="37" t="n">
        <f aca="false">Spend_For_Grande*Scheme_Rate</f>
        <v>17500</v>
      </c>
      <c r="G37" s="47" t="n">
        <f aca="false">D37/FX_EUR</f>
        <v>2.28673525856116</v>
      </c>
      <c r="H37" s="47" t="n">
        <f aca="false">E37/FX_EUR</f>
        <v>9.14694103424462</v>
      </c>
      <c r="I37" s="47" t="n">
        <f aca="false">F37/FX_EUR</f>
        <v>26.6785780165468</v>
      </c>
    </row>
    <row r="38" customFormat="false" ht="15" hidden="false" customHeight="false" outlineLevel="0" collapsed="false">
      <c r="A38" s="12" t="s">
        <v>273</v>
      </c>
      <c r="B38" s="46" t="s">
        <v>552</v>
      </c>
      <c r="D38" s="37" t="n">
        <f aca="false">(Spend_Dom_Petite+Spend_For_Petite)*Fraud_Rate</f>
        <v>900</v>
      </c>
      <c r="E38" s="37" t="n">
        <f aca="false">(Spend_Dom_Moyenne+Spend_For_Moyenne)*Fraud_Rate</f>
        <v>3000</v>
      </c>
      <c r="F38" s="37" t="n">
        <f aca="false">(Spend_Dom_Grande+Spend_For_Grande)*Fraud_Rate</f>
        <v>9000</v>
      </c>
      <c r="G38" s="47" t="n">
        <f aca="false">D38/FX_EUR</f>
        <v>1.37204115513669</v>
      </c>
      <c r="H38" s="47" t="n">
        <f aca="false">E38/FX_EUR</f>
        <v>4.57347051712231</v>
      </c>
      <c r="I38" s="47" t="n">
        <f aca="false">F38/FX_EUR</f>
        <v>13.7204115513669</v>
      </c>
    </row>
    <row r="39" customFormat="false" ht="23.85" hidden="false" customHeight="false" outlineLevel="0" collapsed="false">
      <c r="A39" s="12" t="s">
        <v>553</v>
      </c>
      <c r="B39" s="46" t="s">
        <v>554</v>
      </c>
      <c r="D39" s="37" t="n">
        <f aca="false">Emp_Petite*Avg_Salary*Wallet_Share*Wallet_Payout_Cost</f>
        <v>1500</v>
      </c>
      <c r="E39" s="37" t="n">
        <f aca="false">Emp_Moyenne*Avg_Salary*Wallet_Share*Wallet_Payout_Cost</f>
        <v>7500</v>
      </c>
      <c r="F39" s="37" t="n">
        <f aca="false">Emp_Grande*Avg_Salary*Wallet_Share*Wallet_Payout_Cost</f>
        <v>36000</v>
      </c>
      <c r="G39" s="47" t="n">
        <f aca="false">D39/FX_EUR</f>
        <v>2.28673525856116</v>
      </c>
      <c r="H39" s="47" t="n">
        <f aca="false">E39/FX_EUR</f>
        <v>11.4336762928058</v>
      </c>
      <c r="I39" s="47" t="n">
        <f aca="false">F39/FX_EUR</f>
        <v>54.8816462054677</v>
      </c>
    </row>
    <row r="40" customFormat="false" ht="23.85" hidden="false" customHeight="false" outlineLevel="0" collapsed="false">
      <c r="A40" s="12" t="s">
        <v>555</v>
      </c>
      <c r="B40" s="46" t="s">
        <v>556</v>
      </c>
      <c r="D40" s="37" t="n">
        <f aca="false">Emp_Petite*(1-Wallet_Share)*Bank_Payout_Cost</f>
        <v>200</v>
      </c>
      <c r="E40" s="37" t="n">
        <f aca="false">Emp_Moyenne*(1-Wallet_Share)*Bank_Payout_Cost</f>
        <v>1000</v>
      </c>
      <c r="F40" s="37" t="n">
        <f aca="false">Emp_Grande*(1-Wallet_Share)*Bank_Payout_Cost</f>
        <v>4800</v>
      </c>
      <c r="G40" s="47" t="n">
        <f aca="false">D40/FX_EUR</f>
        <v>0.304898034474821</v>
      </c>
      <c r="H40" s="47" t="n">
        <f aca="false">E40/FX_EUR</f>
        <v>1.5244901723741</v>
      </c>
      <c r="I40" s="47" t="n">
        <f aca="false">F40/FX_EUR</f>
        <v>7.3175528273957</v>
      </c>
    </row>
    <row r="41" customFormat="false" ht="15" hidden="false" customHeight="false" outlineLevel="0" collapsed="false">
      <c r="A41" s="12" t="s">
        <v>557</v>
      </c>
      <c r="B41" s="46" t="s">
        <v>558</v>
      </c>
      <c r="D41" s="37" t="n">
        <f aca="false">Supplier_Petite*Supplier_Payout_Cost</f>
        <v>1000</v>
      </c>
      <c r="E41" s="37" t="n">
        <f aca="false">Supplier_Moyenne*Supplier_Payout_Cost</f>
        <v>4000</v>
      </c>
      <c r="F41" s="37" t="n">
        <f aca="false">Supplier_Grande*Supplier_Payout_Cost</f>
        <v>15000</v>
      </c>
      <c r="G41" s="47" t="n">
        <f aca="false">D41/FX_EUR</f>
        <v>1.5244901723741</v>
      </c>
      <c r="H41" s="47" t="n">
        <f aca="false">E41/FX_EUR</f>
        <v>6.09796068949642</v>
      </c>
      <c r="I41" s="47" t="n">
        <f aca="false">F41/FX_EUR</f>
        <v>22.8673525856116</v>
      </c>
    </row>
    <row r="42" customFormat="false" ht="23.85" hidden="false" customHeight="false" outlineLevel="0" collapsed="false">
      <c r="A42" s="12" t="s">
        <v>559</v>
      </c>
      <c r="B42" s="46" t="s">
        <v>560</v>
      </c>
      <c r="D42" s="37" t="n">
        <f aca="false">PL_Coll_Petite*PL_Adoption*PL_Momo_Share*PL_Cost</f>
        <v>980</v>
      </c>
      <c r="E42" s="37" t="n">
        <f aca="false">PL_Coll_Moyenne*PL_Adoption*PL_Momo_Share*PL_Cost</f>
        <v>3675</v>
      </c>
      <c r="F42" s="37" t="n">
        <f aca="false">PL_Coll_Grande*PL_Adoption*PL_Momo_Share*PL_Cost</f>
        <v>12250</v>
      </c>
      <c r="G42" s="47" t="n">
        <f aca="false">D42/FX_EUR</f>
        <v>1.49400036892662</v>
      </c>
      <c r="H42" s="47" t="n">
        <f aca="false">E42/FX_EUR</f>
        <v>5.60250138347483</v>
      </c>
      <c r="I42" s="47" t="n">
        <f aca="false">F42/FX_EUR</f>
        <v>18.6750046115828</v>
      </c>
    </row>
    <row r="43" customFormat="false" ht="15" hidden="false" customHeight="false" outlineLevel="0" collapsed="false">
      <c r="A43" s="12" t="s">
        <v>561</v>
      </c>
      <c r="B43" s="46" t="s">
        <v>562</v>
      </c>
      <c r="D43" s="37" t="n">
        <f aca="false">Notif_Cost</f>
        <v>400</v>
      </c>
      <c r="E43" s="37" t="n">
        <f aca="false">Notif_Cost</f>
        <v>400</v>
      </c>
      <c r="F43" s="37" t="n">
        <f aca="false">Notif_Cost</f>
        <v>400</v>
      </c>
      <c r="G43" s="47" t="n">
        <f aca="false">D43/FX_EUR</f>
        <v>0.609796068949642</v>
      </c>
      <c r="H43" s="47" t="n">
        <f aca="false">E43/FX_EUR</f>
        <v>0.609796068949642</v>
      </c>
      <c r="I43" s="47" t="n">
        <f aca="false">F43/FX_EUR</f>
        <v>0.609796068949642</v>
      </c>
    </row>
    <row r="44" customFormat="false" ht="15" hidden="false" customHeight="false" outlineLevel="0" collapsed="false">
      <c r="A44" s="8" t="s">
        <v>563</v>
      </c>
      <c r="D44" s="16" t="n">
        <f aca="false">SUM(D35:D43)</f>
        <v>11480</v>
      </c>
      <c r="E44" s="16" t="n">
        <f aca="false">SUM(E35:E43)</f>
        <v>34575</v>
      </c>
      <c r="F44" s="16" t="n">
        <f aca="false">SUM(F35:F43)</f>
        <v>112950</v>
      </c>
      <c r="G44" s="48" t="n">
        <f aca="false">D44/FX_EUR</f>
        <v>17.5011471788547</v>
      </c>
      <c r="H44" s="48" t="n">
        <f aca="false">E44/FX_EUR</f>
        <v>52.7092477098346</v>
      </c>
      <c r="I44" s="48" t="n">
        <f aca="false">F44/FX_EUR</f>
        <v>172.191164969655</v>
      </c>
    </row>
    <row r="45" customFormat="false" ht="15" hidden="false" customHeight="false" outlineLevel="0" collapsed="false">
      <c r="A45" s="8" t="s">
        <v>564</v>
      </c>
      <c r="B45" s="46" t="s">
        <v>565</v>
      </c>
      <c r="D45" s="16" t="n">
        <f aca="false">D33-D44</f>
        <v>7575</v>
      </c>
      <c r="E45" s="16" t="n">
        <f aca="false">E33-E44</f>
        <v>28080</v>
      </c>
      <c r="F45" s="16" t="n">
        <f aca="false">F33-F44</f>
        <v>81955</v>
      </c>
      <c r="G45" s="48" t="n">
        <f aca="false">D45/FX_EUR</f>
        <v>11.5480130557338</v>
      </c>
      <c r="H45" s="48" t="n">
        <f aca="false">E45/FX_EUR</f>
        <v>42.8076840402648</v>
      </c>
      <c r="I45" s="48" t="n">
        <f aca="false">F45/FX_EUR</f>
        <v>124.93959207692</v>
      </c>
    </row>
    <row r="46" customFormat="false" ht="15" hidden="false" customHeight="false" outlineLevel="0" collapsed="false">
      <c r="A46" s="12" t="s">
        <v>566</v>
      </c>
      <c r="D46" s="49" t="n">
        <f aca="false">IFERROR(D45/D33,0)</f>
        <v>0.397533455785883</v>
      </c>
      <c r="E46" s="49" t="n">
        <f aca="false">IFERROR(E45/E33,0)</f>
        <v>0.448168542015801</v>
      </c>
      <c r="F46" s="49" t="n">
        <f aca="false">IFERROR(F45/F33,0)</f>
        <v>0.420486903876247</v>
      </c>
    </row>
    <row r="47" customFormat="false" ht="15" hidden="false" customHeight="false" outlineLevel="0" collapsed="false">
      <c r="A47" s="10" t="s">
        <v>567</v>
      </c>
      <c r="B47" s="11"/>
      <c r="C47" s="11"/>
      <c r="D47" s="11"/>
      <c r="E47" s="11"/>
      <c r="F47" s="11"/>
      <c r="G47" s="11"/>
      <c r="H47" s="11"/>
      <c r="I47" s="11"/>
      <c r="J47" s="11"/>
      <c r="K47" s="11"/>
      <c r="L47" s="11"/>
      <c r="M47" s="11"/>
      <c r="N47" s="11"/>
    </row>
    <row r="48" customFormat="false" ht="35.05" hidden="false" customHeight="false" outlineLevel="0" collapsed="false">
      <c r="A48" s="12" t="s">
        <v>568</v>
      </c>
      <c r="B48" s="46" t="s">
        <v>569</v>
      </c>
      <c r="D48" s="37" t="n">
        <f aca="false">KYB_Cost+KYC_Cost*KYC_Persons</f>
        <v>3300</v>
      </c>
      <c r="E48" s="37" t="n">
        <f aca="false">KYB_Cost+KYC_Cost*KYC_Persons</f>
        <v>3300</v>
      </c>
      <c r="F48" s="37" t="n">
        <f aca="false">KYB_Cost+KYC_Cost*KYC_Persons</f>
        <v>3300</v>
      </c>
      <c r="G48" s="47" t="n">
        <f aca="false">D48/FX_EUR</f>
        <v>5.03081756883454</v>
      </c>
      <c r="H48" s="47" t="n">
        <f aca="false">E48/FX_EUR</f>
        <v>5.03081756883454</v>
      </c>
      <c r="I48" s="47" t="n">
        <f aca="false">F48/FX_EUR</f>
        <v>5.03081756883454</v>
      </c>
    </row>
    <row r="49" customFormat="false" ht="23.85" hidden="false" customHeight="false" outlineLevel="0" collapsed="false">
      <c r="A49" s="12" t="s">
        <v>570</v>
      </c>
      <c r="B49" s="46" t="s">
        <v>571</v>
      </c>
      <c r="D49" s="37" t="n">
        <f aca="false">Cards_New_Petite*Card_Prod_Cost</f>
        <v>4500</v>
      </c>
      <c r="E49" s="37" t="n">
        <f aca="false">Cards_New_Moyenne*Card_Prod_Cost</f>
        <v>13500</v>
      </c>
      <c r="F49" s="37" t="n">
        <f aca="false">Cards_New_Grande*Card_Prod_Cost</f>
        <v>36000</v>
      </c>
      <c r="G49" s="47" t="n">
        <f aca="false">D49/FX_EUR</f>
        <v>6.86020577568347</v>
      </c>
      <c r="H49" s="47" t="n">
        <f aca="false">E49/FX_EUR</f>
        <v>20.5806173270504</v>
      </c>
      <c r="I49" s="47" t="n">
        <f aca="false">F49/FX_EUR</f>
        <v>54.8816462054677</v>
      </c>
    </row>
    <row r="50" customFormat="false" ht="15" hidden="false" customHeight="false" outlineLevel="0" collapsed="false">
      <c r="A50" s="12" t="s">
        <v>572</v>
      </c>
      <c r="B50" s="46" t="s">
        <v>573</v>
      </c>
      <c r="D50" s="37" t="n">
        <f aca="false">MAX(0,Cards_New_Petite-1)*Card_Fee</f>
        <v>0</v>
      </c>
      <c r="E50" s="37" t="n">
        <f aca="false">MAX(0,Cards_New_Moyenne-1)*Card_Fee</f>
        <v>10000</v>
      </c>
      <c r="F50" s="37" t="n">
        <f aca="false">MAX(0,Cards_New_Grande-1)*Card_Fee</f>
        <v>35000</v>
      </c>
      <c r="G50" s="47" t="n">
        <f aca="false">D50/FX_EUR</f>
        <v>0</v>
      </c>
      <c r="H50" s="47" t="n">
        <f aca="false">E50/FX_EUR</f>
        <v>15.244901723741</v>
      </c>
      <c r="I50" s="47" t="n">
        <f aca="false">F50/FX_EUR</f>
        <v>53.3571560330936</v>
      </c>
    </row>
    <row r="51" customFormat="false" ht="23.85" hidden="false" customHeight="false" outlineLevel="0" collapsed="false">
      <c r="A51" s="12" t="s">
        <v>574</v>
      </c>
      <c r="B51" s="46" t="s">
        <v>575</v>
      </c>
      <c r="D51" s="37" t="n">
        <f aca="false">Referral_Fee</f>
        <v>25000</v>
      </c>
      <c r="E51" s="37" t="n">
        <f aca="false">Referral_Fee</f>
        <v>25000</v>
      </c>
      <c r="F51" s="37" t="n">
        <f aca="false">Referral_Fee</f>
        <v>25000</v>
      </c>
      <c r="G51" s="47" t="n">
        <f aca="false">D51/FX_EUR</f>
        <v>38.1122543093526</v>
      </c>
      <c r="H51" s="47" t="n">
        <f aca="false">E51/FX_EUR</f>
        <v>38.1122543093526</v>
      </c>
      <c r="I51" s="47" t="n">
        <f aca="false">F51/FX_EUR</f>
        <v>38.1122543093526</v>
      </c>
    </row>
    <row r="52" customFormat="false" ht="15" hidden="false" customHeight="false" outlineLevel="0" collapsed="false">
      <c r="A52" s="12" t="s">
        <v>576</v>
      </c>
      <c r="B52" s="46" t="s">
        <v>577</v>
      </c>
      <c r="D52" s="37" t="n">
        <f aca="false">Free_Months*Price_Petite</f>
        <v>29700</v>
      </c>
      <c r="E52" s="37" t="n">
        <f aca="false">Free_Months*Price_Moyenne</f>
        <v>89700</v>
      </c>
      <c r="F52" s="37" t="n">
        <f aca="false">Free_Months*Price_Grande</f>
        <v>239700</v>
      </c>
      <c r="G52" s="47" t="n">
        <f aca="false">D52/FX_EUR</f>
        <v>45.2773581195109</v>
      </c>
      <c r="H52" s="47" t="n">
        <f aca="false">E52/FX_EUR</f>
        <v>136.746768461957</v>
      </c>
      <c r="I52" s="47" t="n">
        <f aca="false">F52/FX_EUR</f>
        <v>365.420294318073</v>
      </c>
    </row>
    <row r="54" customFormat="false" ht="15" hidden="false" customHeight="false" outlineLevel="0" collapsed="false">
      <c r="A54" s="43" t="s">
        <v>578</v>
      </c>
    </row>
    <row r="55" customFormat="false" ht="15" hidden="false" customHeight="false" outlineLevel="0" collapsed="false">
      <c r="A55" s="2" t="s">
        <v>579</v>
      </c>
    </row>
    <row r="56" customFormat="false" ht="30" hidden="false" customHeight="true" outlineLevel="0" collapsed="false">
      <c r="A56" s="44" t="s">
        <v>580</v>
      </c>
      <c r="B56" s="44" t="s">
        <v>581</v>
      </c>
      <c r="C56" s="44" t="s">
        <v>329</v>
      </c>
      <c r="D56" s="44" t="s">
        <v>582</v>
      </c>
      <c r="E56" s="44" t="s">
        <v>583</v>
      </c>
      <c r="F56" s="44" t="s">
        <v>584</v>
      </c>
      <c r="G56" s="44" t="s">
        <v>585</v>
      </c>
      <c r="H56" s="44" t="s">
        <v>586</v>
      </c>
      <c r="I56" s="44" t="s">
        <v>587</v>
      </c>
      <c r="J56" s="44" t="s">
        <v>588</v>
      </c>
      <c r="K56" s="44" t="s">
        <v>589</v>
      </c>
      <c r="L56" s="44" t="s">
        <v>590</v>
      </c>
    </row>
    <row r="57" customFormat="false" ht="15" hidden="false" customHeight="false" outlineLevel="0" collapsed="false">
      <c r="A57" s="12" t="s">
        <v>591</v>
      </c>
      <c r="B57" s="49" t="n">
        <f aca="false">Yield_Factoring</f>
        <v>0.23</v>
      </c>
      <c r="C57" s="49" t="n">
        <f aca="false">CoF</f>
        <v>0.09</v>
      </c>
      <c r="D57" s="39" t="n">
        <f aca="false">CoR_Factoring*CoR_Mult</f>
        <v>0.015</v>
      </c>
      <c r="E57" s="49" t="n">
        <f aca="false">Servicing</f>
        <v>0.01</v>
      </c>
      <c r="F57" s="39" t="n">
        <f aca="false">B57-C57-D57-E57</f>
        <v>0.115</v>
      </c>
      <c r="G57" s="37" t="n">
        <f aca="false">F57*1000000</f>
        <v>115000</v>
      </c>
      <c r="H57" s="24" t="n">
        <f aca="false">G57/FX_EUR</f>
        <v>175.316369823022</v>
      </c>
      <c r="I57" s="37" t="n">
        <f aca="false">G57*Partner_Share</f>
        <v>57500</v>
      </c>
      <c r="J57" s="37" t="n">
        <f aca="false">G57</f>
        <v>115000</v>
      </c>
      <c r="K57" s="37" t="n">
        <f aca="false">1000000*First_Loss</f>
        <v>100000</v>
      </c>
      <c r="L57" s="37" t="n">
        <f aca="false">1000000*Capital_Ratio</f>
        <v>150000</v>
      </c>
    </row>
    <row r="58" customFormat="false" ht="15" hidden="false" customHeight="false" outlineLevel="0" collapsed="false">
      <c r="A58" s="12" t="s">
        <v>592</v>
      </c>
      <c r="B58" s="49" t="n">
        <f aca="false">Yield_Bridge</f>
        <v>0.23</v>
      </c>
      <c r="C58" s="49" t="n">
        <f aca="false">CoF</f>
        <v>0.09</v>
      </c>
      <c r="D58" s="39" t="n">
        <f aca="false">CoR_Bridge*CoR_Mult</f>
        <v>0.02</v>
      </c>
      <c r="E58" s="49" t="n">
        <f aca="false">Servicing</f>
        <v>0.01</v>
      </c>
      <c r="F58" s="39" t="n">
        <f aca="false">B58-C58-D58-E58</f>
        <v>0.11</v>
      </c>
      <c r="G58" s="37" t="n">
        <f aca="false">F58*1000000</f>
        <v>110000</v>
      </c>
      <c r="H58" s="24" t="n">
        <f aca="false">G58/FX_EUR</f>
        <v>167.693918961151</v>
      </c>
      <c r="I58" s="37" t="n">
        <f aca="false">G58*Partner_Share</f>
        <v>55000</v>
      </c>
      <c r="J58" s="37" t="n">
        <f aca="false">G58</f>
        <v>110000</v>
      </c>
      <c r="K58" s="37" t="n">
        <f aca="false">1000000*First_Loss</f>
        <v>100000</v>
      </c>
      <c r="L58" s="37" t="n">
        <f aca="false">1000000*Capital_Ratio</f>
        <v>150000</v>
      </c>
    </row>
    <row r="59" customFormat="false" ht="15" hidden="false" customHeight="false" outlineLevel="0" collapsed="false">
      <c r="A59" s="12" t="s">
        <v>593</v>
      </c>
      <c r="B59" s="49" t="n">
        <f aca="false">Yield_Line</f>
        <v>0.23</v>
      </c>
      <c r="C59" s="49" t="n">
        <f aca="false">CoF</f>
        <v>0.09</v>
      </c>
      <c r="D59" s="39" t="n">
        <f aca="false">CoR_Line*CoR_Mult</f>
        <v>0.04</v>
      </c>
      <c r="E59" s="49" t="n">
        <f aca="false">Servicing</f>
        <v>0.01</v>
      </c>
      <c r="F59" s="39" t="n">
        <f aca="false">B59-C59-D59-E59</f>
        <v>0.09</v>
      </c>
      <c r="G59" s="37" t="n">
        <f aca="false">F59*1000000</f>
        <v>90000</v>
      </c>
      <c r="H59" s="24" t="n">
        <f aca="false">G59/FX_EUR</f>
        <v>137.204115513669</v>
      </c>
      <c r="I59" s="37" t="n">
        <f aca="false">G59*Partner_Share</f>
        <v>45000</v>
      </c>
      <c r="J59" s="37" t="n">
        <f aca="false">G59</f>
        <v>90000</v>
      </c>
      <c r="K59" s="37" t="n">
        <f aca="false">1000000*First_Loss</f>
        <v>100000</v>
      </c>
      <c r="L59" s="37" t="n">
        <f aca="false">1000000*Capital_Ratio</f>
        <v>150000</v>
      </c>
    </row>
    <row r="60" customFormat="false" ht="15" hidden="false" customHeight="false" outlineLevel="0" collapsed="false">
      <c r="A60" s="12" t="s">
        <v>594</v>
      </c>
      <c r="B60" s="49" t="n">
        <f aca="false">Yield_Term</f>
        <v>0.22</v>
      </c>
      <c r="C60" s="49" t="n">
        <f aca="false">CoF</f>
        <v>0.09</v>
      </c>
      <c r="D60" s="39" t="n">
        <f aca="false">CoR_Term*CoR_Mult</f>
        <v>0.03</v>
      </c>
      <c r="E60" s="49" t="n">
        <f aca="false">Servicing</f>
        <v>0.01</v>
      </c>
      <c r="F60" s="39" t="n">
        <f aca="false">B60-C60-D60-E60</f>
        <v>0.09</v>
      </c>
      <c r="G60" s="37" t="n">
        <f aca="false">F60*1000000</f>
        <v>90000</v>
      </c>
      <c r="H60" s="24" t="n">
        <f aca="false">G60/FX_EUR</f>
        <v>137.204115513669</v>
      </c>
      <c r="I60" s="37" t="n">
        <f aca="false">G60*Partner_Share</f>
        <v>45000</v>
      </c>
      <c r="J60" s="37" t="n">
        <f aca="false">G60</f>
        <v>90000</v>
      </c>
      <c r="K60" s="37" t="n">
        <f aca="false">1000000*First_Loss</f>
        <v>100000</v>
      </c>
      <c r="L60" s="37" t="n">
        <f aca="false">1000000*Capital_Ratio</f>
        <v>150000</v>
      </c>
    </row>
    <row r="61" customFormat="false" ht="15" hidden="false" customHeight="false" outlineLevel="0" collapsed="false">
      <c r="A61" s="12" t="s">
        <v>595</v>
      </c>
      <c r="B61" s="49" t="n">
        <f aca="false">Yield_Advance</f>
        <v>0.23</v>
      </c>
      <c r="C61" s="49" t="n">
        <f aca="false">CoF</f>
        <v>0.09</v>
      </c>
      <c r="D61" s="39" t="n">
        <f aca="false">CoR_Advance*CoR_Mult</f>
        <v>0.015</v>
      </c>
      <c r="E61" s="49" t="n">
        <f aca="false">Servicing</f>
        <v>0.01</v>
      </c>
      <c r="F61" s="39" t="n">
        <f aca="false">B61-C61-D61-E61</f>
        <v>0.115</v>
      </c>
      <c r="G61" s="37" t="n">
        <f aca="false">F61*1000000</f>
        <v>115000</v>
      </c>
      <c r="H61" s="24" t="n">
        <f aca="false">G61/FX_EUR</f>
        <v>175.316369823022</v>
      </c>
      <c r="I61" s="37" t="n">
        <f aca="false">G61*Partner_Share</f>
        <v>57500</v>
      </c>
      <c r="J61" s="37" t="n">
        <f aca="false">G61</f>
        <v>115000</v>
      </c>
      <c r="K61" s="37" t="n">
        <f aca="false">1000000*First_Loss</f>
        <v>100000</v>
      </c>
      <c r="L61" s="37" t="n">
        <f aca="false">1000000*Capital_Ratio</f>
        <v>150000</v>
      </c>
    </row>
    <row r="62" customFormat="false" ht="15" hidden="false" customHeight="false" outlineLevel="0" collapsed="false">
      <c r="A62" s="2" t="s">
        <v>596</v>
      </c>
    </row>
    <row r="64" customFormat="false" ht="15" hidden="false" customHeight="false" outlineLevel="0" collapsed="false">
      <c r="A64" s="43" t="s">
        <v>597</v>
      </c>
    </row>
    <row r="65" customFormat="false" ht="15" hidden="false" customHeight="false" outlineLevel="0" collapsed="false">
      <c r="A65" s="2" t="s">
        <v>598</v>
      </c>
    </row>
    <row r="66" customFormat="false" ht="30" hidden="false" customHeight="true" outlineLevel="0" collapsed="false">
      <c r="A66" s="44" t="s">
        <v>599</v>
      </c>
      <c r="B66" s="44" t="s">
        <v>114</v>
      </c>
      <c r="C66" s="44" t="s">
        <v>600</v>
      </c>
      <c r="D66" s="44" t="s">
        <v>601</v>
      </c>
      <c r="E66" s="44" t="s">
        <v>602</v>
      </c>
    </row>
    <row r="67" customFormat="false" ht="15" hidden="false" customHeight="false" outlineLevel="0" collapsed="false">
      <c r="A67" s="10" t="s">
        <v>603</v>
      </c>
      <c r="B67" s="11"/>
      <c r="C67" s="11"/>
      <c r="D67" s="11"/>
      <c r="E67" s="11"/>
      <c r="F67" s="11"/>
      <c r="G67" s="11"/>
      <c r="H67" s="11"/>
      <c r="I67" s="11"/>
      <c r="J67" s="11"/>
      <c r="K67" s="11"/>
      <c r="L67" s="11"/>
      <c r="M67" s="11"/>
      <c r="N67" s="11"/>
    </row>
    <row r="68" customFormat="false" ht="15" hidden="false" customHeight="false" outlineLevel="0" collapsed="false">
      <c r="A68" s="12" t="s">
        <v>604</v>
      </c>
      <c r="B68" s="46" t="s">
        <v>98</v>
      </c>
      <c r="C68" s="37" t="n">
        <f aca="false">Price_Petite</f>
        <v>9900</v>
      </c>
      <c r="D68" s="37" t="n">
        <f aca="false">C68</f>
        <v>9900</v>
      </c>
      <c r="E68" s="47" t="n">
        <f aca="false">D68/FX_EUR</f>
        <v>15.0924527065036</v>
      </c>
    </row>
    <row r="69" customFormat="false" ht="15" hidden="false" customHeight="false" outlineLevel="0" collapsed="false">
      <c r="A69" s="12" t="s">
        <v>605</v>
      </c>
      <c r="B69" s="46" t="s">
        <v>98</v>
      </c>
      <c r="C69" s="37" t="n">
        <f aca="false">Price_Moyenne</f>
        <v>29900</v>
      </c>
      <c r="D69" s="37" t="n">
        <f aca="false">C69</f>
        <v>29900</v>
      </c>
      <c r="E69" s="47" t="n">
        <f aca="false">D69/FX_EUR</f>
        <v>45.5822561539857</v>
      </c>
    </row>
    <row r="70" customFormat="false" ht="15" hidden="false" customHeight="false" outlineLevel="0" collapsed="false">
      <c r="A70" s="12" t="s">
        <v>606</v>
      </c>
      <c r="B70" s="46" t="s">
        <v>98</v>
      </c>
      <c r="C70" s="37" t="n">
        <f aca="false">Price_Grande</f>
        <v>79900</v>
      </c>
      <c r="D70" s="37" t="n">
        <f aca="false">C70</f>
        <v>79900</v>
      </c>
      <c r="E70" s="47" t="n">
        <f aca="false">D70/FX_EUR</f>
        <v>121.806764772691</v>
      </c>
    </row>
    <row r="71" customFormat="false" ht="15" hidden="false" customHeight="false" outlineLevel="0" collapsed="false">
      <c r="A71" s="12" t="s">
        <v>607</v>
      </c>
      <c r="B71" s="46" t="s">
        <v>608</v>
      </c>
      <c r="C71" s="37" t="n">
        <f aca="false">Card_Fee</f>
        <v>5000</v>
      </c>
      <c r="D71" s="37" t="n">
        <f aca="false">C71</f>
        <v>5000</v>
      </c>
      <c r="E71" s="47" t="n">
        <f aca="false">D71/FX_EUR</f>
        <v>7.62245086187052</v>
      </c>
    </row>
    <row r="72" customFormat="false" ht="15" hidden="false" customHeight="false" outlineLevel="0" collapsed="false">
      <c r="A72" s="12" t="s">
        <v>609</v>
      </c>
      <c r="B72" s="46" t="s">
        <v>610</v>
      </c>
      <c r="C72" s="49" t="n">
        <f aca="false">FX_Fee</f>
        <v>0.01</v>
      </c>
    </row>
    <row r="73" customFormat="false" ht="15" hidden="false" customHeight="false" outlineLevel="0" collapsed="false">
      <c r="A73" s="12" t="s">
        <v>611</v>
      </c>
      <c r="B73" s="46" t="s">
        <v>280</v>
      </c>
      <c r="C73" s="37" t="n">
        <f aca="false">Overage_Fee</f>
        <v>100</v>
      </c>
      <c r="D73" s="37" t="n">
        <f aca="false">C73</f>
        <v>100</v>
      </c>
      <c r="E73" s="47" t="n">
        <f aca="false">D73/FX_EUR</f>
        <v>0.15244901723741</v>
      </c>
    </row>
    <row r="74" customFormat="false" ht="15" hidden="false" customHeight="false" outlineLevel="0" collapsed="false">
      <c r="A74" s="12" t="s">
        <v>612</v>
      </c>
      <c r="B74" s="46" t="s">
        <v>277</v>
      </c>
      <c r="C74" s="49" t="n">
        <f aca="false">PL_Fee</f>
        <v>0.01</v>
      </c>
    </row>
    <row r="75" customFormat="false" ht="15" hidden="false" customHeight="false" outlineLevel="0" collapsed="false">
      <c r="A75" s="12" t="s">
        <v>613</v>
      </c>
      <c r="B75" s="46" t="s">
        <v>131</v>
      </c>
      <c r="C75" s="49" t="n">
        <f aca="false">Yield_Line</f>
        <v>0.23</v>
      </c>
    </row>
    <row r="76" customFormat="false" ht="15" hidden="false" customHeight="false" outlineLevel="0" collapsed="false">
      <c r="A76" s="10" t="s">
        <v>435</v>
      </c>
      <c r="B76" s="11"/>
      <c r="C76" s="11"/>
      <c r="D76" s="11"/>
      <c r="E76" s="11"/>
      <c r="F76" s="11"/>
      <c r="G76" s="11"/>
      <c r="H76" s="11"/>
      <c r="I76" s="11"/>
      <c r="J76" s="11"/>
      <c r="K76" s="11"/>
      <c r="L76" s="11"/>
      <c r="M76" s="11"/>
      <c r="N76" s="11"/>
    </row>
    <row r="77" customFormat="false" ht="15" hidden="false" customHeight="false" outlineLevel="0" collapsed="false">
      <c r="A77" s="12" t="s">
        <v>614</v>
      </c>
      <c r="B77" s="46" t="s">
        <v>416</v>
      </c>
      <c r="C77" s="37" t="n">
        <f aca="false">IF(Maak_Option=1,Maak_Lease_EUR,0)</f>
        <v>70000</v>
      </c>
      <c r="D77" s="37" t="n">
        <f aca="false">C77*FX_EUR</f>
        <v>45916990</v>
      </c>
      <c r="E77" s="47" t="n">
        <f aca="false">D77/FX_EUR</f>
        <v>70000</v>
      </c>
    </row>
    <row r="78" customFormat="false" ht="15" hidden="false" customHeight="false" outlineLevel="0" collapsed="false">
      <c r="A78" s="12" t="s">
        <v>436</v>
      </c>
      <c r="B78" s="46" t="s">
        <v>407</v>
      </c>
      <c r="C78" s="37" t="n">
        <f aca="false">INDEX(Cloud_USD,1,1)</f>
        <v>3000</v>
      </c>
      <c r="D78" s="37" t="n">
        <f aca="false">C78*FX_USD</f>
        <v>1740000</v>
      </c>
      <c r="E78" s="47" t="n">
        <f aca="false">D78/FX_EUR</f>
        <v>2652.61289993094</v>
      </c>
    </row>
    <row r="79" customFormat="false" ht="15" hidden="false" customHeight="false" outlineLevel="0" collapsed="false">
      <c r="A79" s="12" t="s">
        <v>438</v>
      </c>
      <c r="B79" s="46" t="s">
        <v>410</v>
      </c>
      <c r="C79" s="37" t="n">
        <f aca="false">INDEX(Monitoring_USD,1,1)</f>
        <v>6000</v>
      </c>
      <c r="D79" s="37" t="n">
        <f aca="false">C79*FX_USD</f>
        <v>3480000</v>
      </c>
      <c r="E79" s="47" t="n">
        <f aca="false">D79/FX_EUR</f>
        <v>5305.22579986188</v>
      </c>
    </row>
    <row r="80" customFormat="false" ht="15" hidden="false" customHeight="false" outlineLevel="0" collapsed="false">
      <c r="A80" s="12" t="s">
        <v>439</v>
      </c>
      <c r="B80" s="46" t="s">
        <v>440</v>
      </c>
      <c r="C80" s="37" t="n">
        <f aca="false">INDEX(Freelance,1,1)</f>
        <v>7900000</v>
      </c>
      <c r="D80" s="37" t="n">
        <f aca="false">C80</f>
        <v>7900000</v>
      </c>
      <c r="E80" s="47" t="n">
        <f aca="false">D80/FX_EUR</f>
        <v>12043.4723617554</v>
      </c>
    </row>
    <row r="81" customFormat="false" ht="15" hidden="false" customHeight="false" outlineLevel="0" collapsed="false">
      <c r="A81" s="12" t="s">
        <v>615</v>
      </c>
      <c r="B81" s="46" t="s">
        <v>379</v>
      </c>
      <c r="C81" s="37" t="n">
        <f aca="false">Laptop_EUR</f>
        <v>500</v>
      </c>
      <c r="D81" s="37" t="n">
        <f aca="false">C81*FX_EUR</f>
        <v>327978.5</v>
      </c>
      <c r="E81" s="47" t="n">
        <f aca="false">D81/FX_EUR</f>
        <v>500</v>
      </c>
    </row>
    <row r="82" customFormat="false" ht="15" hidden="false" customHeight="false" outlineLevel="0" collapsed="false">
      <c r="A82" s="12" t="s">
        <v>616</v>
      </c>
      <c r="B82" s="46" t="s">
        <v>382</v>
      </c>
      <c r="C82" s="37" t="n">
        <f aca="false">Laptop_Dev_USD</f>
        <v>2000</v>
      </c>
      <c r="D82" s="37" t="n">
        <f aca="false">C82*FX_USD</f>
        <v>1160000</v>
      </c>
      <c r="E82" s="47" t="n">
        <f aca="false">D82/FX_EUR</f>
        <v>1768.40859995396</v>
      </c>
    </row>
    <row r="83" customFormat="false" ht="15" hidden="false" customHeight="false" outlineLevel="0" collapsed="false">
      <c r="A83" s="12" t="s">
        <v>617</v>
      </c>
      <c r="B83" s="46" t="s">
        <v>618</v>
      </c>
      <c r="C83" s="37" t="n">
        <f aca="false">Phone_Cost</f>
        <v>5000</v>
      </c>
      <c r="D83" s="37" t="n">
        <f aca="false">C83</f>
        <v>5000</v>
      </c>
      <c r="E83" s="47" t="n">
        <f aca="false">D83/FX_EUR</f>
        <v>7.62245086187052</v>
      </c>
    </row>
    <row r="84" customFormat="false" ht="15" hidden="false" customHeight="false" outlineLevel="0" collapsed="false">
      <c r="A84" s="12" t="s">
        <v>421</v>
      </c>
      <c r="B84" s="46" t="s">
        <v>410</v>
      </c>
      <c r="C84" s="37" t="n">
        <f aca="false">Tech_Audit_USD</f>
        <v>10000</v>
      </c>
      <c r="D84" s="37" t="n">
        <f aca="false">C84*FX_USD</f>
        <v>5800000</v>
      </c>
      <c r="E84" s="47" t="n">
        <f aca="false">D84/FX_EUR</f>
        <v>8842.0429997698</v>
      </c>
    </row>
    <row r="85" customFormat="false" ht="15" hidden="false" customHeight="false" outlineLevel="0" collapsed="false">
      <c r="A85" s="12" t="s">
        <v>619</v>
      </c>
      <c r="B85" s="46" t="s">
        <v>407</v>
      </c>
      <c r="C85" s="37" t="n">
        <f aca="false">Website_USD</f>
        <v>25</v>
      </c>
      <c r="D85" s="37" t="n">
        <f aca="false">C85*FX_USD</f>
        <v>14500</v>
      </c>
      <c r="E85" s="47" t="n">
        <f aca="false">D85/FX_EUR</f>
        <v>22.1051074994245</v>
      </c>
    </row>
    <row r="86" customFormat="false" ht="15" hidden="false" customHeight="false" outlineLevel="0" collapsed="false">
      <c r="A86" s="12" t="s">
        <v>409</v>
      </c>
      <c r="B86" s="46" t="s">
        <v>410</v>
      </c>
      <c r="C86" s="37" t="n">
        <f aca="false">Domain_USD</f>
        <v>20</v>
      </c>
      <c r="D86" s="37" t="n">
        <f aca="false">C86*FX_USD</f>
        <v>11600</v>
      </c>
      <c r="E86" s="47" t="n">
        <f aca="false">D86/FX_EUR</f>
        <v>17.6840859995396</v>
      </c>
    </row>
    <row r="87" customFormat="false" ht="15" hidden="false" customHeight="false" outlineLevel="0" collapsed="false">
      <c r="A87" s="12" t="s">
        <v>400</v>
      </c>
      <c r="B87" s="46" t="s">
        <v>401</v>
      </c>
      <c r="C87" s="37" t="n">
        <f aca="false">Claude_USD</f>
        <v>25</v>
      </c>
      <c r="D87" s="37" t="n">
        <f aca="false">C87*FX_USD</f>
        <v>14500</v>
      </c>
      <c r="E87" s="47" t="n">
        <f aca="false">D87/FX_EUR</f>
        <v>22.1051074994245</v>
      </c>
    </row>
    <row r="88" customFormat="false" ht="15" hidden="false" customHeight="false" outlineLevel="0" collapsed="false">
      <c r="A88" s="12" t="s">
        <v>620</v>
      </c>
      <c r="B88" s="46" t="s">
        <v>422</v>
      </c>
      <c r="C88" s="37" t="n">
        <f aca="false">Proc_Setup_USD</f>
        <v>50000</v>
      </c>
      <c r="D88" s="37" t="n">
        <f aca="false">C88*FX_USD</f>
        <v>29000000</v>
      </c>
      <c r="E88" s="47" t="n">
        <f aca="false">D88/FX_EUR</f>
        <v>44210.214998849</v>
      </c>
    </row>
    <row r="89" customFormat="false" ht="15" hidden="false" customHeight="false" outlineLevel="0" collapsed="false">
      <c r="A89" s="12" t="s">
        <v>442</v>
      </c>
      <c r="B89" s="46" t="s">
        <v>407</v>
      </c>
      <c r="C89" s="37" t="n">
        <f aca="false">INDEX(Proc_Min_USD,1,1)</f>
        <v>5000</v>
      </c>
      <c r="D89" s="37" t="n">
        <f aca="false">C89*FX_USD</f>
        <v>2900000</v>
      </c>
      <c r="E89" s="47" t="n">
        <f aca="false">D89/FX_EUR</f>
        <v>4421.0214998849</v>
      </c>
    </row>
    <row r="90" customFormat="false" ht="15" hidden="false" customHeight="false" outlineLevel="0" collapsed="false">
      <c r="A90" s="10" t="s">
        <v>621</v>
      </c>
      <c r="B90" s="11"/>
      <c r="C90" s="11"/>
      <c r="D90" s="11"/>
      <c r="E90" s="11"/>
      <c r="F90" s="11"/>
      <c r="G90" s="11"/>
      <c r="H90" s="11"/>
      <c r="I90" s="11"/>
      <c r="J90" s="11"/>
      <c r="K90" s="11"/>
      <c r="L90" s="11"/>
      <c r="M90" s="11"/>
      <c r="N90" s="11"/>
    </row>
    <row r="91" customFormat="false" ht="15" hidden="false" customHeight="false" outlineLevel="0" collapsed="false">
      <c r="A91" s="12" t="s">
        <v>622</v>
      </c>
      <c r="B91" s="46" t="s">
        <v>71</v>
      </c>
      <c r="C91" s="37" t="n">
        <f aca="false">Bank_Setup_SN</f>
        <v>15000000</v>
      </c>
      <c r="D91" s="37" t="n">
        <f aca="false">C91</f>
        <v>15000000</v>
      </c>
      <c r="E91" s="47" t="n">
        <f aca="false">D91/FX_EUR</f>
        <v>22867.3525856116</v>
      </c>
    </row>
    <row r="92" customFormat="false" ht="15" hidden="false" customHeight="false" outlineLevel="0" collapsed="false">
      <c r="A92" s="12" t="s">
        <v>451</v>
      </c>
      <c r="B92" s="46" t="s">
        <v>98</v>
      </c>
      <c r="C92" s="37" t="n">
        <f aca="false">INDEX(Bank_Min_SN,1,1)</f>
        <v>1500000</v>
      </c>
      <c r="D92" s="37" t="n">
        <f aca="false">C92</f>
        <v>1500000</v>
      </c>
      <c r="E92" s="47" t="n">
        <f aca="false">D92/FX_EUR</f>
        <v>2286.73525856116</v>
      </c>
    </row>
    <row r="93" customFormat="false" ht="15" hidden="false" customHeight="false" outlineLevel="0" collapsed="false">
      <c r="A93" s="12" t="s">
        <v>623</v>
      </c>
      <c r="B93" s="46" t="s">
        <v>71</v>
      </c>
      <c r="C93" s="37" t="n">
        <f aca="false">Bank_Setup_CI</f>
        <v>15000000</v>
      </c>
      <c r="D93" s="37" t="n">
        <f aca="false">C93</f>
        <v>15000000</v>
      </c>
      <c r="E93" s="47" t="n">
        <f aca="false">D93/FX_EUR</f>
        <v>22867.3525856116</v>
      </c>
    </row>
    <row r="94" customFormat="false" ht="15" hidden="false" customHeight="false" outlineLevel="0" collapsed="false">
      <c r="A94" s="12" t="s">
        <v>624</v>
      </c>
      <c r="B94" s="46" t="s">
        <v>98</v>
      </c>
      <c r="C94" s="37" t="n">
        <f aca="false">INDEX(Bank_Min_CI,1,2)</f>
        <v>1500000</v>
      </c>
      <c r="D94" s="37" t="n">
        <f aca="false">C94</f>
        <v>1500000</v>
      </c>
      <c r="E94" s="47" t="n">
        <f aca="false">D94/FX_EUR</f>
        <v>2286.73525856116</v>
      </c>
    </row>
    <row r="95" customFormat="false" ht="15" hidden="false" customHeight="false" outlineLevel="0" collapsed="false">
      <c r="A95" s="12" t="s">
        <v>625</v>
      </c>
      <c r="B95" s="46" t="s">
        <v>71</v>
      </c>
      <c r="C95" s="37" t="n">
        <f aca="false">SFD_Setup</f>
        <v>5000000</v>
      </c>
      <c r="D95" s="37" t="n">
        <f aca="false">C95</f>
        <v>5000000</v>
      </c>
      <c r="E95" s="47" t="n">
        <f aca="false">D95/FX_EUR</f>
        <v>7622.45086187052</v>
      </c>
    </row>
    <row r="96" customFormat="false" ht="15" hidden="false" customHeight="false" outlineLevel="0" collapsed="false">
      <c r="A96" s="12" t="s">
        <v>626</v>
      </c>
      <c r="B96" s="46" t="s">
        <v>440</v>
      </c>
      <c r="C96" s="37" t="n">
        <f aca="false">INDEX(SFD_Annual,1,2)</f>
        <v>3000000</v>
      </c>
      <c r="D96" s="37" t="n">
        <f aca="false">C96</f>
        <v>3000000</v>
      </c>
      <c r="E96" s="47" t="n">
        <f aca="false">D96/FX_EUR</f>
        <v>4573.47051712231</v>
      </c>
    </row>
    <row r="97" customFormat="false" ht="15" hidden="false" customHeight="false" outlineLevel="0" collapsed="false">
      <c r="A97" s="12" t="s">
        <v>627</v>
      </c>
      <c r="B97" s="46" t="s">
        <v>71</v>
      </c>
      <c r="C97" s="37" t="n">
        <f aca="false">Card_Collateral</f>
        <v>60000000</v>
      </c>
      <c r="D97" s="37" t="n">
        <f aca="false">C97</f>
        <v>60000000</v>
      </c>
      <c r="E97" s="47" t="n">
        <f aca="false">D97/FX_EUR</f>
        <v>91469.4103424462</v>
      </c>
    </row>
    <row r="98" customFormat="false" ht="15" hidden="false" customHeight="false" outlineLevel="0" collapsed="false">
      <c r="A98" s="10" t="s">
        <v>628</v>
      </c>
      <c r="B98" s="11"/>
      <c r="C98" s="11"/>
      <c r="D98" s="11"/>
      <c r="E98" s="11"/>
      <c r="F98" s="11"/>
      <c r="G98" s="11"/>
      <c r="H98" s="11"/>
      <c r="I98" s="11"/>
      <c r="J98" s="11"/>
      <c r="K98" s="11"/>
      <c r="L98" s="11"/>
      <c r="M98" s="11"/>
      <c r="N98" s="11"/>
    </row>
    <row r="99" customFormat="false" ht="15" hidden="false" customHeight="false" outlineLevel="0" collapsed="false">
      <c r="A99" s="12" t="s">
        <v>629</v>
      </c>
      <c r="B99" s="46" t="s">
        <v>71</v>
      </c>
      <c r="C99" s="37" t="n">
        <f aca="false">Company_Setup_SN</f>
        <v>2500000</v>
      </c>
      <c r="D99" s="37" t="n">
        <f aca="false">C99</f>
        <v>2500000</v>
      </c>
      <c r="E99" s="47" t="n">
        <f aca="false">D99/FX_EUR</f>
        <v>3811.22543093526</v>
      </c>
    </row>
    <row r="100" customFormat="false" ht="15" hidden="false" customHeight="false" outlineLevel="0" collapsed="false">
      <c r="A100" s="12" t="s">
        <v>465</v>
      </c>
      <c r="B100" s="46" t="s">
        <v>98</v>
      </c>
      <c r="C100" s="37" t="n">
        <f aca="false">INDEX(Legal_Counsel,1,1)</f>
        <v>1000000</v>
      </c>
      <c r="D100" s="37" t="n">
        <f aca="false">C100</f>
        <v>1000000</v>
      </c>
      <c r="E100" s="47" t="n">
        <f aca="false">D100/FX_EUR</f>
        <v>1524.4901723741</v>
      </c>
    </row>
    <row r="101" customFormat="false" ht="15" hidden="false" customHeight="false" outlineLevel="0" collapsed="false">
      <c r="A101" s="12" t="s">
        <v>630</v>
      </c>
      <c r="B101" s="46" t="s">
        <v>98</v>
      </c>
      <c r="C101" s="37" t="n">
        <f aca="false">INDEX(Accountant_Ext,1,1)</f>
        <v>300000</v>
      </c>
      <c r="D101" s="37" t="n">
        <f aca="false">C101</f>
        <v>300000</v>
      </c>
      <c r="E101" s="47" t="n">
        <f aca="false">D101/FX_EUR</f>
        <v>457.347051712231</v>
      </c>
    </row>
    <row r="102" customFormat="false" ht="15" hidden="false" customHeight="false" outlineLevel="0" collapsed="false">
      <c r="A102" s="12" t="s">
        <v>466</v>
      </c>
      <c r="B102" s="46" t="s">
        <v>440</v>
      </c>
      <c r="C102" s="37" t="n">
        <f aca="false">INDEX(Auditor,1,1)</f>
        <v>5000000</v>
      </c>
      <c r="D102" s="37" t="n">
        <f aca="false">C102</f>
        <v>5000000</v>
      </c>
      <c r="E102" s="47" t="n">
        <f aca="false">D102/FX_EUR</f>
        <v>7622.45086187052</v>
      </c>
    </row>
    <row r="103" customFormat="false" ht="15" hidden="false" customHeight="false" outlineLevel="0" collapsed="false">
      <c r="A103" s="12" t="s">
        <v>631</v>
      </c>
      <c r="B103" s="46" t="s">
        <v>440</v>
      </c>
      <c r="C103" s="37" t="n">
        <f aca="false">INDEX(Data_Protection,1,1)</f>
        <v>3500000</v>
      </c>
      <c r="D103" s="37" t="n">
        <f aca="false">C103</f>
        <v>3500000</v>
      </c>
      <c r="E103" s="47" t="n">
        <f aca="false">D103/FX_EUR</f>
        <v>5335.71560330936</v>
      </c>
    </row>
    <row r="104" customFormat="false" ht="15" hidden="false" customHeight="false" outlineLevel="0" collapsed="false">
      <c r="A104" s="12" t="s">
        <v>632</v>
      </c>
      <c r="B104" s="46" t="s">
        <v>410</v>
      </c>
      <c r="C104" s="37" t="n">
        <f aca="false">INDEX(Insurance_USD,1,1)</f>
        <v>20000</v>
      </c>
      <c r="D104" s="37" t="n">
        <f aca="false">C104*FX_USD</f>
        <v>11600000</v>
      </c>
      <c r="E104" s="47" t="n">
        <f aca="false">D104/FX_EUR</f>
        <v>17684.0859995396</v>
      </c>
    </row>
    <row r="105" customFormat="false" ht="15" hidden="false" customHeight="false" outlineLevel="0" collapsed="false">
      <c r="A105" s="10" t="s">
        <v>633</v>
      </c>
      <c r="B105" s="11"/>
      <c r="C105" s="11"/>
      <c r="D105" s="11"/>
      <c r="E105" s="11"/>
      <c r="F105" s="11"/>
      <c r="G105" s="11"/>
      <c r="H105" s="11"/>
      <c r="I105" s="11"/>
      <c r="J105" s="11"/>
      <c r="K105" s="11"/>
      <c r="L105" s="11"/>
      <c r="M105" s="11"/>
      <c r="N105" s="11"/>
    </row>
    <row r="106" customFormat="false" ht="15" hidden="false" customHeight="false" outlineLevel="0" collapsed="false">
      <c r="A106" s="12" t="s">
        <v>474</v>
      </c>
      <c r="B106" s="46" t="s">
        <v>98</v>
      </c>
      <c r="C106" s="37" t="n">
        <f aca="false">INDEX(Digital_SN,1,1)</f>
        <v>1310000</v>
      </c>
      <c r="D106" s="37" t="n">
        <f aca="false">C106</f>
        <v>1310000</v>
      </c>
      <c r="E106" s="47" t="n">
        <f aca="false">D106/FX_EUR</f>
        <v>1997.08212581008</v>
      </c>
    </row>
    <row r="107" customFormat="false" ht="15" hidden="false" customHeight="false" outlineLevel="0" collapsed="false">
      <c r="A107" s="12" t="s">
        <v>634</v>
      </c>
      <c r="B107" s="46" t="s">
        <v>100</v>
      </c>
      <c r="C107" s="37" t="n">
        <f aca="false">CAC_Digital</f>
        <v>75000</v>
      </c>
      <c r="D107" s="37" t="n">
        <f aca="false">C107</f>
        <v>75000</v>
      </c>
      <c r="E107" s="47" t="n">
        <f aca="false">D107/FX_EUR</f>
        <v>114.336762928058</v>
      </c>
    </row>
    <row r="108" customFormat="false" ht="15" hidden="false" customHeight="false" outlineLevel="0" collapsed="false">
      <c r="A108" s="12" t="s">
        <v>635</v>
      </c>
      <c r="B108" s="46" t="s">
        <v>100</v>
      </c>
      <c r="C108" s="37" t="n">
        <f aca="false">Referral_Fee</f>
        <v>25000</v>
      </c>
      <c r="D108" s="37" t="n">
        <f aca="false">C108</f>
        <v>25000</v>
      </c>
      <c r="E108" s="47" t="n">
        <f aca="false">D108/FX_EUR</f>
        <v>38.1122543093526</v>
      </c>
    </row>
    <row r="109" customFormat="false" ht="15" hidden="false" customHeight="false" outlineLevel="0" collapsed="false">
      <c r="A109" s="12" t="s">
        <v>636</v>
      </c>
      <c r="B109" s="46" t="s">
        <v>637</v>
      </c>
      <c r="C109" s="37" t="n">
        <f aca="false">Rep_Transport</f>
        <v>75000</v>
      </c>
      <c r="D109" s="37" t="n">
        <f aca="false">C109</f>
        <v>75000</v>
      </c>
      <c r="E109" s="47" t="n">
        <f aca="false">D109/FX_EUR</f>
        <v>114.336762928058</v>
      </c>
    </row>
    <row r="110" customFormat="false" ht="15" hidden="false" customHeight="false" outlineLevel="0" collapsed="false">
      <c r="A110" s="12" t="s">
        <v>477</v>
      </c>
      <c r="B110" s="46" t="s">
        <v>440</v>
      </c>
      <c r="C110" s="37" t="n">
        <f aca="false">INDEX(Brand_PR,1,1)</f>
        <v>16400000</v>
      </c>
      <c r="D110" s="37" t="n">
        <f aca="false">C110</f>
        <v>16400000</v>
      </c>
      <c r="E110" s="47" t="n">
        <f aca="false">D110/FX_EUR</f>
        <v>25001.6388269353</v>
      </c>
    </row>
    <row r="111" customFormat="false" ht="15" hidden="false" customHeight="false" outlineLevel="0" collapsed="false">
      <c r="A111" s="12" t="s">
        <v>479</v>
      </c>
      <c r="B111" s="46" t="s">
        <v>440</v>
      </c>
      <c r="C111" s="37" t="n">
        <f aca="false">INDEX(Events,1,1)</f>
        <v>9840000</v>
      </c>
      <c r="D111" s="37" t="n">
        <f aca="false">C111</f>
        <v>9840000</v>
      </c>
      <c r="E111" s="47" t="n">
        <f aca="false">D111/FX_EUR</f>
        <v>15000.9832961612</v>
      </c>
    </row>
    <row r="112" customFormat="false" ht="15" hidden="false" customHeight="false" outlineLevel="0" collapsed="false">
      <c r="A112" s="12" t="s">
        <v>638</v>
      </c>
      <c r="B112" s="46" t="s">
        <v>440</v>
      </c>
      <c r="C112" s="37" t="n">
        <f aca="false">INDEX(Travel,1,1)</f>
        <v>5250000</v>
      </c>
      <c r="D112" s="37" t="n">
        <f aca="false">C112</f>
        <v>5250000</v>
      </c>
      <c r="E112" s="47" t="n">
        <f aca="false">D112/FX_EUR</f>
        <v>8003.57340496405</v>
      </c>
    </row>
    <row r="113" customFormat="false" ht="15" hidden="false" customHeight="false" outlineLevel="0" collapsed="false">
      <c r="A113" s="12" t="s">
        <v>482</v>
      </c>
      <c r="B113" s="46" t="s">
        <v>98</v>
      </c>
      <c r="C113" s="37" t="n">
        <f aca="false">INDEX(Misc,1,1)</f>
        <v>300000</v>
      </c>
      <c r="D113" s="37" t="n">
        <f aca="false">C113</f>
        <v>300000</v>
      </c>
      <c r="E113" s="47" t="n">
        <f aca="false">D113/FX_EUR</f>
        <v>457.347051712231</v>
      </c>
    </row>
    <row r="114" customFormat="false" ht="15" hidden="false" customHeight="false" outlineLevel="0" collapsed="false">
      <c r="A114" s="12" t="s">
        <v>639</v>
      </c>
      <c r="B114" s="46" t="s">
        <v>379</v>
      </c>
      <c r="C114" s="37" t="n">
        <f aca="false">Agency_Fee_EUR</f>
        <v>800</v>
      </c>
      <c r="D114" s="37" t="n">
        <f aca="false">C114*FX_EUR</f>
        <v>524765.6</v>
      </c>
      <c r="E114" s="47" t="n">
        <f aca="false">D114/FX_EUR</f>
        <v>800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2"/>
    <col collapsed="false" customWidth="true" hidden="false" outlineLevel="0" max="3" min="3" style="0" width="44"/>
    <col collapsed="false" customWidth="true" hidden="false" outlineLevel="0" max="4" min="4" style="0" width="9"/>
    <col collapsed="false" customWidth="true" hidden="false" outlineLevel="0" max="5" min="5" style="0" width="12"/>
    <col collapsed="false" customWidth="true" hidden="false" outlineLevel="0" max="8" min="6" style="0" width="11"/>
    <col collapsed="false" customWidth="true" hidden="false" outlineLevel="0" max="9" min="9" style="0" width="16"/>
    <col collapsed="false" customWidth="true" hidden="false" outlineLevel="0" max="10" min="10" style="0" width="10"/>
    <col collapsed="false" customWidth="true" hidden="false" outlineLevel="0" max="11" min="11" style="0" width="18"/>
    <col collapsed="false" customWidth="true" hidden="false" outlineLevel="0" max="12" min="12" style="0" width="60"/>
    <col collapsed="false" customWidth="true" hidden="false" outlineLevel="0" max="13" min="13" style="0" width="14"/>
    <col collapsed="false" customWidth="true" hidden="false" outlineLevel="0" max="14" min="14" style="0" width="16"/>
  </cols>
  <sheetData>
    <row r="1" customFormat="false" ht="17.35" hidden="false" customHeight="false" outlineLevel="0" collapsed="false">
      <c r="A1" s="7" t="s">
        <v>18</v>
      </c>
    </row>
    <row r="2" customFormat="false" ht="15" hidden="false" customHeight="false" outlineLevel="0" collapsed="false">
      <c r="A2" s="2" t="s">
        <v>640</v>
      </c>
    </row>
    <row r="4" customFormat="false" ht="42" hidden="false" customHeight="true" outlineLevel="0" collapsed="false">
      <c r="A4" s="44" t="s">
        <v>641</v>
      </c>
      <c r="B4" s="44" t="s">
        <v>642</v>
      </c>
      <c r="C4" s="44" t="s">
        <v>501</v>
      </c>
      <c r="D4" s="44" t="s">
        <v>502</v>
      </c>
      <c r="E4" s="44" t="s">
        <v>643</v>
      </c>
      <c r="F4" s="44" t="s">
        <v>644</v>
      </c>
      <c r="G4" s="44" t="s">
        <v>645</v>
      </c>
      <c r="H4" s="44" t="s">
        <v>646</v>
      </c>
      <c r="I4" s="44" t="s">
        <v>647</v>
      </c>
      <c r="J4" s="44" t="s">
        <v>648</v>
      </c>
      <c r="K4" s="44" t="s">
        <v>649</v>
      </c>
      <c r="L4" s="44" t="s">
        <v>650</v>
      </c>
      <c r="M4" s="44" t="s">
        <v>651</v>
      </c>
      <c r="N4" s="44" t="s">
        <v>652</v>
      </c>
    </row>
    <row r="5" customFormat="false" ht="15" hidden="false" customHeight="false" outlineLevel="0" collapsed="false">
      <c r="A5" s="14" t="n">
        <v>1</v>
      </c>
      <c r="B5" s="50" t="s">
        <v>653</v>
      </c>
      <c r="C5" s="50" t="s">
        <v>654</v>
      </c>
      <c r="D5" s="50" t="s">
        <v>516</v>
      </c>
      <c r="E5" s="50"/>
      <c r="F5" s="31" t="n">
        <v>1</v>
      </c>
      <c r="G5" s="33" t="n">
        <v>13</v>
      </c>
      <c r="H5" s="33"/>
      <c r="I5" s="31" t="n">
        <v>2500000</v>
      </c>
      <c r="J5" s="50" t="s">
        <v>655</v>
      </c>
      <c r="K5" s="37" t="n">
        <f aca="false">IF(I5="",0,I5*(1+Employer_Charges))</f>
        <v>3250000</v>
      </c>
      <c r="L5" s="14" t="s">
        <v>656</v>
      </c>
      <c r="M5" s="51" t="n">
        <f aca="false">IF(N(I5)=0,0,I5/FX_EUR)</f>
        <v>3811.22543093526</v>
      </c>
      <c r="N5" s="51" t="n">
        <f aca="false">IF(N(K5)=0,0,K5/FX_EUR)</f>
        <v>4954.59306021584</v>
      </c>
    </row>
    <row r="6" customFormat="false" ht="15" hidden="false" customHeight="false" outlineLevel="0" collapsed="false">
      <c r="A6" s="14" t="n">
        <v>2</v>
      </c>
      <c r="B6" s="50" t="s">
        <v>657</v>
      </c>
      <c r="C6" s="50" t="s">
        <v>658</v>
      </c>
      <c r="D6" s="50" t="s">
        <v>516</v>
      </c>
      <c r="E6" s="50"/>
      <c r="F6" s="31" t="n">
        <v>1</v>
      </c>
      <c r="G6" s="33" t="n">
        <v>1</v>
      </c>
      <c r="H6" s="33"/>
      <c r="I6" s="31" t="n">
        <v>2500000</v>
      </c>
      <c r="J6" s="50" t="s">
        <v>655</v>
      </c>
      <c r="K6" s="37" t="n">
        <f aca="false">IF(I6="",0,I6*(1+Employer_Charges))</f>
        <v>3250000</v>
      </c>
      <c r="L6" s="14" t="s">
        <v>659</v>
      </c>
      <c r="M6" s="51" t="n">
        <f aca="false">IF(N(I6)=0,0,I6/FX_EUR)</f>
        <v>3811.22543093526</v>
      </c>
      <c r="N6" s="51" t="n">
        <f aca="false">IF(N(K6)=0,0,K6/FX_EUR)</f>
        <v>4954.59306021584</v>
      </c>
    </row>
    <row r="7" customFormat="false" ht="15" hidden="false" customHeight="false" outlineLevel="0" collapsed="false">
      <c r="A7" s="14" t="n">
        <v>3</v>
      </c>
      <c r="B7" s="50" t="s">
        <v>660</v>
      </c>
      <c r="C7" s="50" t="s">
        <v>661</v>
      </c>
      <c r="D7" s="50" t="s">
        <v>516</v>
      </c>
      <c r="E7" s="50"/>
      <c r="F7" s="31" t="n">
        <v>1</v>
      </c>
      <c r="G7" s="33" t="n">
        <v>1</v>
      </c>
      <c r="H7" s="33"/>
      <c r="I7" s="31" t="n">
        <v>1500000</v>
      </c>
      <c r="J7" s="50" t="s">
        <v>655</v>
      </c>
      <c r="K7" s="37" t="n">
        <f aca="false">IF(I7="",0,I7*(1+Employer_Charges))</f>
        <v>1950000</v>
      </c>
      <c r="L7" s="14" t="s">
        <v>662</v>
      </c>
      <c r="M7" s="51" t="n">
        <f aca="false">IF(N(I7)=0,0,I7/FX_EUR)</f>
        <v>2286.73525856116</v>
      </c>
      <c r="N7" s="51" t="n">
        <f aca="false">IF(N(K7)=0,0,K7/FX_EUR)</f>
        <v>2972.7558361295</v>
      </c>
    </row>
    <row r="8" customFormat="false" ht="15" hidden="false" customHeight="false" outlineLevel="0" collapsed="false">
      <c r="A8" s="14" t="n">
        <v>4</v>
      </c>
      <c r="B8" s="50" t="s">
        <v>663</v>
      </c>
      <c r="C8" s="50" t="s">
        <v>664</v>
      </c>
      <c r="D8" s="50" t="s">
        <v>516</v>
      </c>
      <c r="E8" s="50" t="s">
        <v>665</v>
      </c>
      <c r="F8" s="31" t="n">
        <v>1</v>
      </c>
      <c r="G8" s="33" t="n">
        <v>1</v>
      </c>
      <c r="H8" s="33"/>
      <c r="I8" s="31" t="n">
        <v>1200000</v>
      </c>
      <c r="J8" s="50" t="s">
        <v>666</v>
      </c>
      <c r="K8" s="37" t="n">
        <f aca="false">IF(I8="",0,I8*(1+Employer_Charges))</f>
        <v>1560000</v>
      </c>
      <c r="L8" s="14" t="s">
        <v>667</v>
      </c>
      <c r="M8" s="51" t="n">
        <f aca="false">IF(N(I8)=0,0,I8/FX_EUR)</f>
        <v>1829.38820684892</v>
      </c>
      <c r="N8" s="51" t="n">
        <f aca="false">IF(N(K8)=0,0,K8/FX_EUR)</f>
        <v>2378.2046689036</v>
      </c>
    </row>
    <row r="9" customFormat="false" ht="15" hidden="false" customHeight="false" outlineLevel="0" collapsed="false">
      <c r="A9" s="14" t="n">
        <v>5</v>
      </c>
      <c r="B9" s="50" t="s">
        <v>668</v>
      </c>
      <c r="C9" s="50" t="s">
        <v>669</v>
      </c>
      <c r="D9" s="50" t="s">
        <v>516</v>
      </c>
      <c r="E9" s="50"/>
      <c r="F9" s="31" t="n">
        <v>1</v>
      </c>
      <c r="G9" s="33" t="n">
        <v>4</v>
      </c>
      <c r="H9" s="33"/>
      <c r="I9" s="31" t="n">
        <v>900000</v>
      </c>
      <c r="J9" s="50" t="s">
        <v>666</v>
      </c>
      <c r="K9" s="37" t="n">
        <f aca="false">IF(I9="",0,I9*(1+Employer_Charges))</f>
        <v>1170000</v>
      </c>
      <c r="L9" s="14" t="s">
        <v>670</v>
      </c>
      <c r="M9" s="51" t="n">
        <f aca="false">IF(N(I9)=0,0,I9/FX_EUR)</f>
        <v>1372.04115513669</v>
      </c>
      <c r="N9" s="51" t="n">
        <f aca="false">IF(N(K9)=0,0,K9/FX_EUR)</f>
        <v>1783.6535016777</v>
      </c>
    </row>
    <row r="10" customFormat="false" ht="15" hidden="false" customHeight="false" outlineLevel="0" collapsed="false">
      <c r="A10" s="14" t="n">
        <v>6</v>
      </c>
      <c r="B10" s="50" t="s">
        <v>668</v>
      </c>
      <c r="C10" s="50" t="s">
        <v>671</v>
      </c>
      <c r="D10" s="50" t="s">
        <v>516</v>
      </c>
      <c r="E10" s="50"/>
      <c r="F10" s="31" t="n">
        <v>1</v>
      </c>
      <c r="G10" s="33" t="n">
        <v>5</v>
      </c>
      <c r="H10" s="33"/>
      <c r="I10" s="31" t="n">
        <v>400000</v>
      </c>
      <c r="J10" s="50" t="s">
        <v>666</v>
      </c>
      <c r="K10" s="37" t="n">
        <f aca="false">IF(I10="",0,I10*(1+Employer_Charges))</f>
        <v>520000</v>
      </c>
      <c r="L10" s="14" t="s">
        <v>672</v>
      </c>
      <c r="M10" s="51" t="n">
        <f aca="false">IF(N(I10)=0,0,I10/FX_EUR)</f>
        <v>609.796068949642</v>
      </c>
      <c r="N10" s="51" t="n">
        <f aca="false">IF(N(K10)=0,0,K10/FX_EUR)</f>
        <v>792.734889634534</v>
      </c>
    </row>
    <row r="11" customFormat="false" ht="15" hidden="false" customHeight="false" outlineLevel="0" collapsed="false">
      <c r="A11" s="14" t="n">
        <v>7</v>
      </c>
      <c r="B11" s="50" t="s">
        <v>653</v>
      </c>
      <c r="C11" s="50" t="s">
        <v>673</v>
      </c>
      <c r="D11" s="50" t="s">
        <v>520</v>
      </c>
      <c r="E11" s="50"/>
      <c r="F11" s="31" t="n">
        <v>1</v>
      </c>
      <c r="G11" s="52" t="n">
        <f aca="false">CI_Office_Start</f>
        <v>18</v>
      </c>
      <c r="H11" s="33"/>
      <c r="I11" s="31" t="n">
        <v>2800000</v>
      </c>
      <c r="J11" s="50" t="s">
        <v>655</v>
      </c>
      <c r="K11" s="37" t="n">
        <f aca="false">IF(I11="",0,I11*(1+Employer_Charges))</f>
        <v>3640000</v>
      </c>
      <c r="L11" s="14" t="s">
        <v>674</v>
      </c>
      <c r="M11" s="51" t="n">
        <f aca="false">IF(N(I11)=0,0,I11/FX_EUR)</f>
        <v>4268.57248264749</v>
      </c>
      <c r="N11" s="51" t="n">
        <f aca="false">IF(N(K11)=0,0,K11/FX_EUR)</f>
        <v>5549.14422744174</v>
      </c>
    </row>
    <row r="12" customFormat="false" ht="15" hidden="false" customHeight="false" outlineLevel="0" collapsed="false">
      <c r="A12" s="14" t="n">
        <v>8</v>
      </c>
      <c r="B12" s="50" t="s">
        <v>675</v>
      </c>
      <c r="C12" s="50" t="s">
        <v>676</v>
      </c>
      <c r="D12" s="50" t="s">
        <v>516</v>
      </c>
      <c r="E12" s="50"/>
      <c r="F12" s="31" t="n">
        <v>1</v>
      </c>
      <c r="G12" s="52" t="n">
        <f aca="false">SFD_Acq_Month</f>
        <v>24</v>
      </c>
      <c r="H12" s="33"/>
      <c r="I12" s="31" t="n">
        <v>1500000</v>
      </c>
      <c r="J12" s="50" t="s">
        <v>655</v>
      </c>
      <c r="K12" s="37" t="n">
        <f aca="false">IF(I12="",0,I12*(1+Employer_Charges))</f>
        <v>1950000</v>
      </c>
      <c r="L12" s="14" t="s">
        <v>677</v>
      </c>
      <c r="M12" s="51" t="n">
        <f aca="false">IF(N(I12)=0,0,I12/FX_EUR)</f>
        <v>2286.73525856116</v>
      </c>
      <c r="N12" s="51" t="n">
        <f aca="false">IF(N(K12)=0,0,K12/FX_EUR)</f>
        <v>2972.7558361295</v>
      </c>
    </row>
    <row r="13" customFormat="false" ht="15" hidden="false" customHeight="false" outlineLevel="0" collapsed="false">
      <c r="A13" s="14" t="n">
        <v>9</v>
      </c>
      <c r="B13" s="50"/>
      <c r="C13" s="50"/>
      <c r="D13" s="50"/>
      <c r="E13" s="50"/>
      <c r="F13" s="31"/>
      <c r="G13" s="33"/>
      <c r="H13" s="33"/>
      <c r="I13" s="31"/>
      <c r="J13" s="50"/>
      <c r="K13" s="37" t="n">
        <f aca="false">IF(I13="",0,I13*(1+Employer_Charges))</f>
        <v>0</v>
      </c>
      <c r="L13" s="14"/>
      <c r="M13" s="51" t="n">
        <f aca="false">IF(N(I13)=0,0,I13/FX_EUR)</f>
        <v>0</v>
      </c>
      <c r="N13" s="51" t="n">
        <f aca="false">IF(N(K13)=0,0,K13/FX_EUR)</f>
        <v>0</v>
      </c>
    </row>
    <row r="14" customFormat="false" ht="15" hidden="false" customHeight="false" outlineLevel="0" collapsed="false">
      <c r="A14" s="14" t="n">
        <v>10</v>
      </c>
      <c r="B14" s="50"/>
      <c r="C14" s="50"/>
      <c r="D14" s="50"/>
      <c r="E14" s="50"/>
      <c r="F14" s="31"/>
      <c r="G14" s="33"/>
      <c r="H14" s="33"/>
      <c r="I14" s="31"/>
      <c r="J14" s="50"/>
      <c r="K14" s="37" t="n">
        <f aca="false">IF(I14="",0,I14*(1+Employer_Charges))</f>
        <v>0</v>
      </c>
      <c r="L14" s="14"/>
      <c r="M14" s="51" t="n">
        <f aca="false">IF(N(I14)=0,0,I14/FX_EUR)</f>
        <v>0</v>
      </c>
      <c r="N14" s="51" t="n">
        <f aca="false">IF(N(K14)=0,0,K14/FX_EUR)</f>
        <v>0</v>
      </c>
    </row>
    <row r="15" customFormat="false" ht="15" hidden="false" customHeight="false" outlineLevel="0" collapsed="false">
      <c r="A15" s="14" t="n">
        <v>11</v>
      </c>
      <c r="B15" s="50"/>
      <c r="C15" s="50"/>
      <c r="D15" s="50"/>
      <c r="E15" s="50"/>
      <c r="F15" s="31"/>
      <c r="G15" s="33"/>
      <c r="H15" s="33"/>
      <c r="I15" s="31"/>
      <c r="J15" s="50"/>
      <c r="K15" s="37" t="n">
        <f aca="false">IF(I15="",0,I15*(1+Employer_Charges))</f>
        <v>0</v>
      </c>
      <c r="L15" s="14"/>
      <c r="M15" s="51" t="n">
        <f aca="false">IF(N(I15)=0,0,I15/FX_EUR)</f>
        <v>0</v>
      </c>
      <c r="N15" s="51" t="n">
        <f aca="false">IF(N(K15)=0,0,K15/FX_EUR)</f>
        <v>0</v>
      </c>
    </row>
    <row r="16" customFormat="false" ht="15" hidden="false" customHeight="false" outlineLevel="0" collapsed="false">
      <c r="A16" s="14" t="n">
        <v>12</v>
      </c>
      <c r="B16" s="50"/>
      <c r="C16" s="50"/>
      <c r="D16" s="50"/>
      <c r="E16" s="50"/>
      <c r="F16" s="31"/>
      <c r="G16" s="33"/>
      <c r="H16" s="33"/>
      <c r="I16" s="31"/>
      <c r="J16" s="50"/>
      <c r="K16" s="37" t="n">
        <f aca="false">IF(I16="",0,I16*(1+Employer_Charges))</f>
        <v>0</v>
      </c>
      <c r="L16" s="14"/>
      <c r="M16" s="51" t="n">
        <f aca="false">IF(N(I16)=0,0,I16/FX_EUR)</f>
        <v>0</v>
      </c>
      <c r="N16" s="51" t="n">
        <f aca="false">IF(N(K16)=0,0,K16/FX_EUR)</f>
        <v>0</v>
      </c>
    </row>
    <row r="17" customFormat="false" ht="15" hidden="false" customHeight="false" outlineLevel="0" collapsed="false">
      <c r="A17" s="14" t="n">
        <v>13</v>
      </c>
      <c r="B17" s="50"/>
      <c r="C17" s="50"/>
      <c r="D17" s="50"/>
      <c r="E17" s="50"/>
      <c r="F17" s="31"/>
      <c r="G17" s="33"/>
      <c r="H17" s="33"/>
      <c r="I17" s="31"/>
      <c r="J17" s="50"/>
      <c r="K17" s="37" t="n">
        <f aca="false">IF(I17="",0,I17*(1+Employer_Charges))</f>
        <v>0</v>
      </c>
      <c r="L17" s="14"/>
      <c r="M17" s="51" t="n">
        <f aca="false">IF(N(I17)=0,0,I17/FX_EUR)</f>
        <v>0</v>
      </c>
      <c r="N17" s="51" t="n">
        <f aca="false">IF(N(K17)=0,0,K17/FX_EUR)</f>
        <v>0</v>
      </c>
    </row>
    <row r="18" customFormat="false" ht="15" hidden="false" customHeight="false" outlineLevel="0" collapsed="false">
      <c r="A18" s="14" t="n">
        <v>14</v>
      </c>
      <c r="B18" s="50"/>
      <c r="C18" s="50"/>
      <c r="D18" s="50"/>
      <c r="E18" s="50"/>
      <c r="F18" s="31"/>
      <c r="G18" s="33"/>
      <c r="H18" s="33"/>
      <c r="I18" s="31"/>
      <c r="J18" s="50"/>
      <c r="K18" s="37" t="n">
        <f aca="false">IF(I18="",0,I18*(1+Employer_Charges))</f>
        <v>0</v>
      </c>
      <c r="L18" s="14"/>
      <c r="M18" s="51" t="n">
        <f aca="false">IF(N(I18)=0,0,I18/FX_EUR)</f>
        <v>0</v>
      </c>
      <c r="N18" s="51" t="n">
        <f aca="false">IF(N(K18)=0,0,K18/FX_EUR)</f>
        <v>0</v>
      </c>
    </row>
    <row r="19" customFormat="false" ht="15" hidden="false" customHeight="false" outlineLevel="0" collapsed="false">
      <c r="A19" s="14" t="n">
        <v>15</v>
      </c>
      <c r="B19" s="50"/>
      <c r="C19" s="50"/>
      <c r="D19" s="50"/>
      <c r="E19" s="50"/>
      <c r="F19" s="31"/>
      <c r="G19" s="33"/>
      <c r="H19" s="33"/>
      <c r="I19" s="31"/>
      <c r="J19" s="50"/>
      <c r="K19" s="37" t="n">
        <f aca="false">IF(I19="",0,I19*(1+Employer_Charges))</f>
        <v>0</v>
      </c>
      <c r="L19" s="14"/>
      <c r="M19" s="51" t="n">
        <f aca="false">IF(N(I19)=0,0,I19/FX_EUR)</f>
        <v>0</v>
      </c>
      <c r="N19" s="51" t="n">
        <f aca="false">IF(N(K19)=0,0,K19/FX_EUR)</f>
        <v>0</v>
      </c>
    </row>
    <row r="20" customFormat="false" ht="15" hidden="false" customHeight="false" outlineLevel="0" collapsed="false">
      <c r="A20" s="14" t="n">
        <v>16</v>
      </c>
      <c r="B20" s="50"/>
      <c r="C20" s="50"/>
      <c r="D20" s="50"/>
      <c r="E20" s="50"/>
      <c r="F20" s="31"/>
      <c r="G20" s="33"/>
      <c r="H20" s="33"/>
      <c r="I20" s="31"/>
      <c r="J20" s="50"/>
      <c r="K20" s="37" t="n">
        <f aca="false">IF(I20="",0,I20*(1+Employer_Charges))</f>
        <v>0</v>
      </c>
      <c r="L20" s="14"/>
      <c r="M20" s="51" t="n">
        <f aca="false">IF(N(I20)=0,0,I20/FX_EUR)</f>
        <v>0</v>
      </c>
      <c r="N20" s="51" t="n">
        <f aca="false">IF(N(K20)=0,0,K20/FX_EUR)</f>
        <v>0</v>
      </c>
    </row>
    <row r="21" customFormat="false" ht="15" hidden="false" customHeight="false" outlineLevel="0" collapsed="false">
      <c r="A21" s="14" t="n">
        <v>17</v>
      </c>
      <c r="B21" s="50"/>
      <c r="C21" s="50"/>
      <c r="D21" s="50"/>
      <c r="E21" s="50"/>
      <c r="F21" s="31"/>
      <c r="G21" s="33"/>
      <c r="H21" s="33"/>
      <c r="I21" s="31"/>
      <c r="J21" s="50"/>
      <c r="K21" s="37" t="n">
        <f aca="false">IF(I21="",0,I21*(1+Employer_Charges))</f>
        <v>0</v>
      </c>
      <c r="L21" s="14"/>
      <c r="M21" s="51" t="n">
        <f aca="false">IF(N(I21)=0,0,I21/FX_EUR)</f>
        <v>0</v>
      </c>
      <c r="N21" s="51" t="n">
        <f aca="false">IF(N(K21)=0,0,K21/FX_EUR)</f>
        <v>0</v>
      </c>
    </row>
    <row r="22" customFormat="false" ht="15" hidden="false" customHeight="false" outlineLevel="0" collapsed="false">
      <c r="A22" s="14" t="n">
        <v>18</v>
      </c>
      <c r="B22" s="50"/>
      <c r="C22" s="50"/>
      <c r="D22" s="50"/>
      <c r="E22" s="50"/>
      <c r="F22" s="31"/>
      <c r="G22" s="33"/>
      <c r="H22" s="33"/>
      <c r="I22" s="31"/>
      <c r="J22" s="50"/>
      <c r="K22" s="37" t="n">
        <f aca="false">IF(I22="",0,I22*(1+Employer_Charges))</f>
        <v>0</v>
      </c>
      <c r="L22" s="14"/>
      <c r="M22" s="51" t="n">
        <f aca="false">IF(N(I22)=0,0,I22/FX_EUR)</f>
        <v>0</v>
      </c>
      <c r="N22" s="51" t="n">
        <f aca="false">IF(N(K22)=0,0,K22/FX_EUR)</f>
        <v>0</v>
      </c>
    </row>
    <row r="23" customFormat="false" ht="15" hidden="false" customHeight="false" outlineLevel="0" collapsed="false">
      <c r="A23" s="14" t="n">
        <v>19</v>
      </c>
      <c r="B23" s="50"/>
      <c r="C23" s="50"/>
      <c r="D23" s="50"/>
      <c r="E23" s="50"/>
      <c r="F23" s="31"/>
      <c r="G23" s="33"/>
      <c r="H23" s="33"/>
      <c r="I23" s="31"/>
      <c r="J23" s="50"/>
      <c r="K23" s="37" t="n">
        <f aca="false">IF(I23="",0,I23*(1+Employer_Charges))</f>
        <v>0</v>
      </c>
      <c r="L23" s="14"/>
      <c r="M23" s="51" t="n">
        <f aca="false">IF(N(I23)=0,0,I23/FX_EUR)</f>
        <v>0</v>
      </c>
      <c r="N23" s="51" t="n">
        <f aca="false">IF(N(K23)=0,0,K23/FX_EUR)</f>
        <v>0</v>
      </c>
    </row>
    <row r="24" customFormat="false" ht="15" hidden="false" customHeight="false" outlineLevel="0" collapsed="false">
      <c r="A24" s="14" t="n">
        <v>20</v>
      </c>
      <c r="B24" s="50"/>
      <c r="C24" s="50"/>
      <c r="D24" s="50"/>
      <c r="E24" s="50"/>
      <c r="F24" s="31"/>
      <c r="G24" s="33"/>
      <c r="H24" s="33"/>
      <c r="I24" s="31"/>
      <c r="J24" s="50"/>
      <c r="K24" s="37" t="n">
        <f aca="false">IF(I24="",0,I24*(1+Employer_Charges))</f>
        <v>0</v>
      </c>
      <c r="L24" s="14"/>
      <c r="M24" s="51" t="n">
        <f aca="false">IF(N(I24)=0,0,I24/FX_EUR)</f>
        <v>0</v>
      </c>
      <c r="N24" s="51" t="n">
        <f aca="false">IF(N(K24)=0,0,K24/FX_EUR)</f>
        <v>0</v>
      </c>
    </row>
    <row r="25" customFormat="false" ht="15" hidden="false" customHeight="false" outlineLevel="0" collapsed="false">
      <c r="A25" s="14" t="n">
        <v>21</v>
      </c>
      <c r="B25" s="50"/>
      <c r="C25" s="50"/>
      <c r="D25" s="50"/>
      <c r="E25" s="50"/>
      <c r="F25" s="31"/>
      <c r="G25" s="33"/>
      <c r="H25" s="33"/>
      <c r="I25" s="31"/>
      <c r="J25" s="50"/>
      <c r="K25" s="37" t="n">
        <f aca="false">IF(I25="",0,I25*(1+Employer_Charges))</f>
        <v>0</v>
      </c>
      <c r="L25" s="14"/>
      <c r="M25" s="51" t="n">
        <f aca="false">IF(N(I25)=0,0,I25/FX_EUR)</f>
        <v>0</v>
      </c>
      <c r="N25" s="51" t="n">
        <f aca="false">IF(N(K25)=0,0,K25/FX_EUR)</f>
        <v>0</v>
      </c>
    </row>
    <row r="26" customFormat="false" ht="15" hidden="false" customHeight="false" outlineLevel="0" collapsed="false">
      <c r="A26" s="14" t="n">
        <v>22</v>
      </c>
      <c r="B26" s="50"/>
      <c r="C26" s="50"/>
      <c r="D26" s="50"/>
      <c r="E26" s="50"/>
      <c r="F26" s="31"/>
      <c r="G26" s="33"/>
      <c r="H26" s="33"/>
      <c r="I26" s="31"/>
      <c r="J26" s="50"/>
      <c r="K26" s="37" t="n">
        <f aca="false">IF(I26="",0,I26*(1+Employer_Charges))</f>
        <v>0</v>
      </c>
      <c r="L26" s="14"/>
      <c r="M26" s="51" t="n">
        <f aca="false">IF(N(I26)=0,0,I26/FX_EUR)</f>
        <v>0</v>
      </c>
      <c r="N26" s="51" t="n">
        <f aca="false">IF(N(K26)=0,0,K26/FX_EUR)</f>
        <v>0</v>
      </c>
    </row>
    <row r="27" customFormat="false" ht="15" hidden="false" customHeight="false" outlineLevel="0" collapsed="false">
      <c r="A27" s="14" t="n">
        <v>23</v>
      </c>
      <c r="B27" s="50"/>
      <c r="C27" s="50"/>
      <c r="D27" s="50"/>
      <c r="E27" s="50"/>
      <c r="F27" s="31"/>
      <c r="G27" s="33"/>
      <c r="H27" s="33"/>
      <c r="I27" s="31"/>
      <c r="J27" s="50"/>
      <c r="K27" s="37" t="n">
        <f aca="false">IF(I27="",0,I27*(1+Employer_Charges))</f>
        <v>0</v>
      </c>
      <c r="L27" s="14"/>
      <c r="M27" s="51" t="n">
        <f aca="false">IF(N(I27)=0,0,I27/FX_EUR)</f>
        <v>0</v>
      </c>
      <c r="N27" s="51" t="n">
        <f aca="false">IF(N(K27)=0,0,K27/FX_EUR)</f>
        <v>0</v>
      </c>
    </row>
    <row r="28" customFormat="false" ht="15" hidden="false" customHeight="false" outlineLevel="0" collapsed="false">
      <c r="A28" s="14" t="n">
        <v>24</v>
      </c>
      <c r="B28" s="50"/>
      <c r="C28" s="50"/>
      <c r="D28" s="50"/>
      <c r="E28" s="50"/>
      <c r="F28" s="31"/>
      <c r="G28" s="33"/>
      <c r="H28" s="33"/>
      <c r="I28" s="31"/>
      <c r="J28" s="50"/>
      <c r="K28" s="37" t="n">
        <f aca="false">IF(I28="",0,I28*(1+Employer_Charges))</f>
        <v>0</v>
      </c>
      <c r="L28" s="14"/>
      <c r="M28" s="51" t="n">
        <f aca="false">IF(N(I28)=0,0,I28/FX_EUR)</f>
        <v>0</v>
      </c>
      <c r="N28" s="51" t="n">
        <f aca="false">IF(N(K28)=0,0,K28/FX_EUR)</f>
        <v>0</v>
      </c>
    </row>
    <row r="29" customFormat="false" ht="15" hidden="false" customHeight="false" outlineLevel="0" collapsed="false">
      <c r="A29" s="14" t="n">
        <v>25</v>
      </c>
      <c r="B29" s="50"/>
      <c r="C29" s="50"/>
      <c r="D29" s="50"/>
      <c r="E29" s="50"/>
      <c r="F29" s="31"/>
      <c r="G29" s="33"/>
      <c r="H29" s="33"/>
      <c r="I29" s="31"/>
      <c r="J29" s="50"/>
      <c r="K29" s="37" t="n">
        <f aca="false">IF(I29="",0,I29*(1+Employer_Charges))</f>
        <v>0</v>
      </c>
      <c r="L29" s="14"/>
      <c r="M29" s="51" t="n">
        <f aca="false">IF(N(I29)=0,0,I29/FX_EUR)</f>
        <v>0</v>
      </c>
      <c r="N29" s="51" t="n">
        <f aca="false">IF(N(K29)=0,0,K29/FX_EUR)</f>
        <v>0</v>
      </c>
    </row>
    <row r="30" customFormat="false" ht="15" hidden="false" customHeight="false" outlineLevel="0" collapsed="false">
      <c r="A30" s="14" t="n">
        <v>26</v>
      </c>
      <c r="B30" s="50"/>
      <c r="C30" s="50"/>
      <c r="D30" s="50"/>
      <c r="E30" s="50"/>
      <c r="F30" s="31"/>
      <c r="G30" s="33"/>
      <c r="H30" s="33"/>
      <c r="I30" s="31"/>
      <c r="J30" s="50"/>
      <c r="K30" s="37" t="n">
        <f aca="false">IF(I30="",0,I30*(1+Employer_Charges))</f>
        <v>0</v>
      </c>
      <c r="L30" s="14"/>
      <c r="M30" s="51" t="n">
        <f aca="false">IF(N(I30)=0,0,I30/FX_EUR)</f>
        <v>0</v>
      </c>
      <c r="N30" s="51" t="n">
        <f aca="false">IF(N(K30)=0,0,K30/FX_EUR)</f>
        <v>0</v>
      </c>
    </row>
    <row r="31" customFormat="false" ht="15" hidden="false" customHeight="false" outlineLevel="0" collapsed="false">
      <c r="A31" s="14" t="n">
        <v>27</v>
      </c>
      <c r="B31" s="50"/>
      <c r="C31" s="50"/>
      <c r="D31" s="50"/>
      <c r="E31" s="50"/>
      <c r="F31" s="31"/>
      <c r="G31" s="33"/>
      <c r="H31" s="33"/>
      <c r="I31" s="31"/>
      <c r="J31" s="50"/>
      <c r="K31" s="37" t="n">
        <f aca="false">IF(I31="",0,I31*(1+Employer_Charges))</f>
        <v>0</v>
      </c>
      <c r="L31" s="14"/>
      <c r="M31" s="51" t="n">
        <f aca="false">IF(N(I31)=0,0,I31/FX_EUR)</f>
        <v>0</v>
      </c>
      <c r="N31" s="51" t="n">
        <f aca="false">IF(N(K31)=0,0,K31/FX_EUR)</f>
        <v>0</v>
      </c>
    </row>
    <row r="32" customFormat="false" ht="15" hidden="false" customHeight="false" outlineLevel="0" collapsed="false">
      <c r="A32" s="14" t="n">
        <v>28</v>
      </c>
      <c r="B32" s="50"/>
      <c r="C32" s="50"/>
      <c r="D32" s="50"/>
      <c r="E32" s="50"/>
      <c r="F32" s="31"/>
      <c r="G32" s="33"/>
      <c r="H32" s="33"/>
      <c r="I32" s="31"/>
      <c r="J32" s="50"/>
      <c r="K32" s="37" t="n">
        <f aca="false">IF(I32="",0,I32*(1+Employer_Charges))</f>
        <v>0</v>
      </c>
      <c r="L32" s="14"/>
      <c r="M32" s="51" t="n">
        <f aca="false">IF(N(I32)=0,0,I32/FX_EUR)</f>
        <v>0</v>
      </c>
      <c r="N32" s="51" t="n">
        <f aca="false">IF(N(K32)=0,0,K32/FX_EUR)</f>
        <v>0</v>
      </c>
    </row>
    <row r="34" customFormat="false" ht="15" hidden="false" customHeight="false" outlineLevel="0" collapsed="false">
      <c r="B34" s="2" t="s">
        <v>678</v>
      </c>
    </row>
  </sheetData>
  <dataValidations count="4">
    <dataValidation allowBlank="true" errorStyle="stop" operator="between" showDropDown="false" showErrorMessage="false" showInputMessage="false" sqref="B5:B32" type="list">
      <formula1>"Leadership,Engineering &amp; product,Compliance &amp; risk,Credit,Operations &amp; support,Sales &amp; partnerships,Marketing,Finance &amp; admin"</formula1>
      <formula2>0</formula2>
    </dataValidation>
    <dataValidation allowBlank="true" errorStyle="stop" operator="between" showDropDown="false" showErrorMessage="false" showInputMessage="false" sqref="D5:D32" type="list">
      <formula1>"SN,CI"</formula1>
      <formula2>0</formula2>
    </dataValidation>
    <dataValidation allowBlank="true" errorStyle="stop" operator="between" showDropDown="false" showErrorMessage="false" showInputMessage="false" sqref="E5:E32" type="list">
      <formula1>"Sales rep"</formula1>
      <formula2>0</formula2>
    </dataValidation>
    <dataValidation allowBlank="true" errorStyle="stop" operator="between" showDropDown="false" showErrorMessage="false" showInputMessage="false" sqref="J5:J32"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L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16"/>
    <col collapsed="false" customWidth="true" hidden="false" outlineLevel="0" max="3" min="3" style="0" width="3"/>
    <col collapsed="false" customWidth="true" hidden="false" outlineLevel="0" max="4" min="4" style="0" width="16"/>
    <col collapsed="false" customWidth="true" hidden="false" outlineLevel="0" max="64" min="5" style="0" width="12"/>
  </cols>
  <sheetData>
    <row r="1" customFormat="false" ht="17.35" hidden="false" customHeight="false" outlineLevel="0" collapsed="false">
      <c r="A1" s="7" t="s">
        <v>20</v>
      </c>
    </row>
    <row r="2" customFormat="false" ht="15" hidden="false" customHeight="false" outlineLevel="0" collapsed="false">
      <c r="A2" s="2" t="s">
        <v>679</v>
      </c>
    </row>
    <row r="3" customFormat="false" ht="15" hidden="false" customHeight="false" outlineLevel="0" collapsed="false">
      <c r="A3" s="8" t="s">
        <v>680</v>
      </c>
      <c r="D3" s="8" t="s">
        <v>681</v>
      </c>
      <c r="E3" s="20" t="n">
        <v>1</v>
      </c>
      <c r="F3" s="20" t="n">
        <f aca="false">E3+1</f>
        <v>2</v>
      </c>
      <c r="G3" s="20" t="n">
        <f aca="false">F3+1</f>
        <v>3</v>
      </c>
      <c r="H3" s="20" t="n">
        <f aca="false">G3+1</f>
        <v>4</v>
      </c>
      <c r="I3" s="20" t="n">
        <f aca="false">H3+1</f>
        <v>5</v>
      </c>
      <c r="J3" s="20" t="n">
        <f aca="false">I3+1</f>
        <v>6</v>
      </c>
      <c r="K3" s="20" t="n">
        <f aca="false">J3+1</f>
        <v>7</v>
      </c>
      <c r="L3" s="20" t="n">
        <f aca="false">K3+1</f>
        <v>8</v>
      </c>
      <c r="M3" s="20" t="n">
        <f aca="false">L3+1</f>
        <v>9</v>
      </c>
      <c r="N3" s="20" t="n">
        <f aca="false">M3+1</f>
        <v>10</v>
      </c>
      <c r="O3" s="20" t="n">
        <f aca="false">N3+1</f>
        <v>11</v>
      </c>
      <c r="P3" s="20" t="n">
        <f aca="false">O3+1</f>
        <v>12</v>
      </c>
      <c r="Q3" s="20" t="n">
        <f aca="false">P3+1</f>
        <v>13</v>
      </c>
      <c r="R3" s="20" t="n">
        <f aca="false">Q3+1</f>
        <v>14</v>
      </c>
      <c r="S3" s="20" t="n">
        <f aca="false">R3+1</f>
        <v>15</v>
      </c>
      <c r="T3" s="20" t="n">
        <f aca="false">S3+1</f>
        <v>16</v>
      </c>
      <c r="U3" s="20" t="n">
        <f aca="false">T3+1</f>
        <v>17</v>
      </c>
      <c r="V3" s="20" t="n">
        <f aca="false">U3+1</f>
        <v>18</v>
      </c>
      <c r="W3" s="20" t="n">
        <f aca="false">V3+1</f>
        <v>19</v>
      </c>
      <c r="X3" s="20" t="n">
        <f aca="false">W3+1</f>
        <v>20</v>
      </c>
      <c r="Y3" s="20" t="n">
        <f aca="false">X3+1</f>
        <v>21</v>
      </c>
      <c r="Z3" s="20" t="n">
        <f aca="false">Y3+1</f>
        <v>22</v>
      </c>
      <c r="AA3" s="20" t="n">
        <f aca="false">Z3+1</f>
        <v>23</v>
      </c>
      <c r="AB3" s="20" t="n">
        <f aca="false">AA3+1</f>
        <v>24</v>
      </c>
      <c r="AC3" s="20" t="n">
        <f aca="false">AB3+1</f>
        <v>25</v>
      </c>
      <c r="AD3" s="20" t="n">
        <f aca="false">AC3+1</f>
        <v>26</v>
      </c>
      <c r="AE3" s="20" t="n">
        <f aca="false">AD3+1</f>
        <v>27</v>
      </c>
      <c r="AF3" s="20" t="n">
        <f aca="false">AE3+1</f>
        <v>28</v>
      </c>
      <c r="AG3" s="20" t="n">
        <f aca="false">AF3+1</f>
        <v>29</v>
      </c>
      <c r="AH3" s="20" t="n">
        <f aca="false">AG3+1</f>
        <v>30</v>
      </c>
      <c r="AI3" s="20" t="n">
        <f aca="false">AH3+1</f>
        <v>31</v>
      </c>
      <c r="AJ3" s="20" t="n">
        <f aca="false">AI3+1</f>
        <v>32</v>
      </c>
      <c r="AK3" s="20" t="n">
        <f aca="false">AJ3+1</f>
        <v>33</v>
      </c>
      <c r="AL3" s="20" t="n">
        <f aca="false">AK3+1</f>
        <v>34</v>
      </c>
      <c r="AM3" s="20" t="n">
        <f aca="false">AL3+1</f>
        <v>35</v>
      </c>
      <c r="AN3" s="20" t="n">
        <f aca="false">AM3+1</f>
        <v>36</v>
      </c>
      <c r="AO3" s="20" t="n">
        <f aca="false">AN3+1</f>
        <v>37</v>
      </c>
      <c r="AP3" s="20" t="n">
        <f aca="false">AO3+1</f>
        <v>38</v>
      </c>
      <c r="AQ3" s="20" t="n">
        <f aca="false">AP3+1</f>
        <v>39</v>
      </c>
      <c r="AR3" s="20" t="n">
        <f aca="false">AQ3+1</f>
        <v>40</v>
      </c>
      <c r="AS3" s="20" t="n">
        <f aca="false">AR3+1</f>
        <v>41</v>
      </c>
      <c r="AT3" s="20" t="n">
        <f aca="false">AS3+1</f>
        <v>42</v>
      </c>
      <c r="AU3" s="20" t="n">
        <f aca="false">AT3+1</f>
        <v>43</v>
      </c>
      <c r="AV3" s="20" t="n">
        <f aca="false">AU3+1</f>
        <v>44</v>
      </c>
      <c r="AW3" s="20" t="n">
        <f aca="false">AV3+1</f>
        <v>45</v>
      </c>
      <c r="AX3" s="20" t="n">
        <f aca="false">AW3+1</f>
        <v>46</v>
      </c>
      <c r="AY3" s="20" t="n">
        <f aca="false">AX3+1</f>
        <v>47</v>
      </c>
      <c r="AZ3" s="20" t="n">
        <f aca="false">AY3+1</f>
        <v>48</v>
      </c>
      <c r="BA3" s="20" t="n">
        <f aca="false">AZ3+1</f>
        <v>49</v>
      </c>
      <c r="BB3" s="20" t="n">
        <f aca="false">BA3+1</f>
        <v>50</v>
      </c>
      <c r="BC3" s="20" t="n">
        <f aca="false">BB3+1</f>
        <v>51</v>
      </c>
      <c r="BD3" s="20" t="n">
        <f aca="false">BC3+1</f>
        <v>52</v>
      </c>
      <c r="BE3" s="20" t="n">
        <f aca="false">BD3+1</f>
        <v>53</v>
      </c>
      <c r="BF3" s="20" t="n">
        <f aca="false">BE3+1</f>
        <v>54</v>
      </c>
      <c r="BG3" s="20" t="n">
        <f aca="false">BF3+1</f>
        <v>55</v>
      </c>
      <c r="BH3" s="20" t="n">
        <f aca="false">BG3+1</f>
        <v>56</v>
      </c>
      <c r="BI3" s="20" t="n">
        <f aca="false">BH3+1</f>
        <v>57</v>
      </c>
      <c r="BJ3" s="20" t="n">
        <f aca="false">BI3+1</f>
        <v>58</v>
      </c>
      <c r="BK3" s="20" t="n">
        <f aca="false">BJ3+1</f>
        <v>59</v>
      </c>
      <c r="BL3" s="20" t="n">
        <f aca="false">BK3+1</f>
        <v>60</v>
      </c>
    </row>
    <row r="4" customFormat="false" ht="15" hidden="false" customHeight="false" outlineLevel="0" collapsed="false">
      <c r="A4" s="8" t="s">
        <v>682</v>
      </c>
      <c r="E4" s="53" t="n">
        <f aca="false">DATE(YEAR(Start_Date),MONTH(Start_Date)+E3-1,1)</f>
        <v>46388</v>
      </c>
      <c r="F4" s="53" t="n">
        <f aca="false">DATE(YEAR(Start_Date),MONTH(Start_Date)+F3-1,1)</f>
        <v>46419</v>
      </c>
      <c r="G4" s="53" t="n">
        <f aca="false">DATE(YEAR(Start_Date),MONTH(Start_Date)+G3-1,1)</f>
        <v>46447</v>
      </c>
      <c r="H4" s="53" t="n">
        <f aca="false">DATE(YEAR(Start_Date),MONTH(Start_Date)+H3-1,1)</f>
        <v>46478</v>
      </c>
      <c r="I4" s="53" t="n">
        <f aca="false">DATE(YEAR(Start_Date),MONTH(Start_Date)+I3-1,1)</f>
        <v>46508</v>
      </c>
      <c r="J4" s="53" t="n">
        <f aca="false">DATE(YEAR(Start_Date),MONTH(Start_Date)+J3-1,1)</f>
        <v>46539</v>
      </c>
      <c r="K4" s="53" t="n">
        <f aca="false">DATE(YEAR(Start_Date),MONTH(Start_Date)+K3-1,1)</f>
        <v>46569</v>
      </c>
      <c r="L4" s="53" t="n">
        <f aca="false">DATE(YEAR(Start_Date),MONTH(Start_Date)+L3-1,1)</f>
        <v>46600</v>
      </c>
      <c r="M4" s="53" t="n">
        <f aca="false">DATE(YEAR(Start_Date),MONTH(Start_Date)+M3-1,1)</f>
        <v>46631</v>
      </c>
      <c r="N4" s="53" t="n">
        <f aca="false">DATE(YEAR(Start_Date),MONTH(Start_Date)+N3-1,1)</f>
        <v>46661</v>
      </c>
      <c r="O4" s="53" t="n">
        <f aca="false">DATE(YEAR(Start_Date),MONTH(Start_Date)+O3-1,1)</f>
        <v>46692</v>
      </c>
      <c r="P4" s="53" t="n">
        <f aca="false">DATE(YEAR(Start_Date),MONTH(Start_Date)+P3-1,1)</f>
        <v>46722</v>
      </c>
      <c r="Q4" s="53" t="n">
        <f aca="false">DATE(YEAR(Start_Date),MONTH(Start_Date)+Q3-1,1)</f>
        <v>46753</v>
      </c>
      <c r="R4" s="53" t="n">
        <f aca="false">DATE(YEAR(Start_Date),MONTH(Start_Date)+R3-1,1)</f>
        <v>46784</v>
      </c>
      <c r="S4" s="53" t="n">
        <f aca="false">DATE(YEAR(Start_Date),MONTH(Start_Date)+S3-1,1)</f>
        <v>46813</v>
      </c>
      <c r="T4" s="53" t="n">
        <f aca="false">DATE(YEAR(Start_Date),MONTH(Start_Date)+T3-1,1)</f>
        <v>46844</v>
      </c>
      <c r="U4" s="53" t="n">
        <f aca="false">DATE(YEAR(Start_Date),MONTH(Start_Date)+U3-1,1)</f>
        <v>46874</v>
      </c>
      <c r="V4" s="53" t="n">
        <f aca="false">DATE(YEAR(Start_Date),MONTH(Start_Date)+V3-1,1)</f>
        <v>46905</v>
      </c>
      <c r="W4" s="53" t="n">
        <f aca="false">DATE(YEAR(Start_Date),MONTH(Start_Date)+W3-1,1)</f>
        <v>46935</v>
      </c>
      <c r="X4" s="53" t="n">
        <f aca="false">DATE(YEAR(Start_Date),MONTH(Start_Date)+X3-1,1)</f>
        <v>46966</v>
      </c>
      <c r="Y4" s="53" t="n">
        <f aca="false">DATE(YEAR(Start_Date),MONTH(Start_Date)+Y3-1,1)</f>
        <v>46997</v>
      </c>
      <c r="Z4" s="53" t="n">
        <f aca="false">DATE(YEAR(Start_Date),MONTH(Start_Date)+Z3-1,1)</f>
        <v>47027</v>
      </c>
      <c r="AA4" s="53" t="n">
        <f aca="false">DATE(YEAR(Start_Date),MONTH(Start_Date)+AA3-1,1)</f>
        <v>47058</v>
      </c>
      <c r="AB4" s="53" t="n">
        <f aca="false">DATE(YEAR(Start_Date),MONTH(Start_Date)+AB3-1,1)</f>
        <v>47088</v>
      </c>
      <c r="AC4" s="53" t="n">
        <f aca="false">DATE(YEAR(Start_Date),MONTH(Start_Date)+AC3-1,1)</f>
        <v>47119</v>
      </c>
      <c r="AD4" s="53" t="n">
        <f aca="false">DATE(YEAR(Start_Date),MONTH(Start_Date)+AD3-1,1)</f>
        <v>47150</v>
      </c>
      <c r="AE4" s="53" t="n">
        <f aca="false">DATE(YEAR(Start_Date),MONTH(Start_Date)+AE3-1,1)</f>
        <v>47178</v>
      </c>
      <c r="AF4" s="53" t="n">
        <f aca="false">DATE(YEAR(Start_Date),MONTH(Start_Date)+AF3-1,1)</f>
        <v>47209</v>
      </c>
      <c r="AG4" s="53" t="n">
        <f aca="false">DATE(YEAR(Start_Date),MONTH(Start_Date)+AG3-1,1)</f>
        <v>47239</v>
      </c>
      <c r="AH4" s="53" t="n">
        <f aca="false">DATE(YEAR(Start_Date),MONTH(Start_Date)+AH3-1,1)</f>
        <v>47270</v>
      </c>
      <c r="AI4" s="53" t="n">
        <f aca="false">DATE(YEAR(Start_Date),MONTH(Start_Date)+AI3-1,1)</f>
        <v>47300</v>
      </c>
      <c r="AJ4" s="53" t="n">
        <f aca="false">DATE(YEAR(Start_Date),MONTH(Start_Date)+AJ3-1,1)</f>
        <v>47331</v>
      </c>
      <c r="AK4" s="53" t="n">
        <f aca="false">DATE(YEAR(Start_Date),MONTH(Start_Date)+AK3-1,1)</f>
        <v>47362</v>
      </c>
      <c r="AL4" s="53" t="n">
        <f aca="false">DATE(YEAR(Start_Date),MONTH(Start_Date)+AL3-1,1)</f>
        <v>47392</v>
      </c>
      <c r="AM4" s="53" t="n">
        <f aca="false">DATE(YEAR(Start_Date),MONTH(Start_Date)+AM3-1,1)</f>
        <v>47423</v>
      </c>
      <c r="AN4" s="53" t="n">
        <f aca="false">DATE(YEAR(Start_Date),MONTH(Start_Date)+AN3-1,1)</f>
        <v>47453</v>
      </c>
      <c r="AO4" s="53" t="n">
        <f aca="false">DATE(YEAR(Start_Date),MONTH(Start_Date)+AO3-1,1)</f>
        <v>47484</v>
      </c>
      <c r="AP4" s="53" t="n">
        <f aca="false">DATE(YEAR(Start_Date),MONTH(Start_Date)+AP3-1,1)</f>
        <v>47515</v>
      </c>
      <c r="AQ4" s="53" t="n">
        <f aca="false">DATE(YEAR(Start_Date),MONTH(Start_Date)+AQ3-1,1)</f>
        <v>47543</v>
      </c>
      <c r="AR4" s="53" t="n">
        <f aca="false">DATE(YEAR(Start_Date),MONTH(Start_Date)+AR3-1,1)</f>
        <v>47574</v>
      </c>
      <c r="AS4" s="53" t="n">
        <f aca="false">DATE(YEAR(Start_Date),MONTH(Start_Date)+AS3-1,1)</f>
        <v>47604</v>
      </c>
      <c r="AT4" s="53" t="n">
        <f aca="false">DATE(YEAR(Start_Date),MONTH(Start_Date)+AT3-1,1)</f>
        <v>47635</v>
      </c>
      <c r="AU4" s="53" t="n">
        <f aca="false">DATE(YEAR(Start_Date),MONTH(Start_Date)+AU3-1,1)</f>
        <v>47665</v>
      </c>
      <c r="AV4" s="53" t="n">
        <f aca="false">DATE(YEAR(Start_Date),MONTH(Start_Date)+AV3-1,1)</f>
        <v>47696</v>
      </c>
      <c r="AW4" s="53" t="n">
        <f aca="false">DATE(YEAR(Start_Date),MONTH(Start_Date)+AW3-1,1)</f>
        <v>47727</v>
      </c>
      <c r="AX4" s="53" t="n">
        <f aca="false">DATE(YEAR(Start_Date),MONTH(Start_Date)+AX3-1,1)</f>
        <v>47757</v>
      </c>
      <c r="AY4" s="53" t="n">
        <f aca="false">DATE(YEAR(Start_Date),MONTH(Start_Date)+AY3-1,1)</f>
        <v>47788</v>
      </c>
      <c r="AZ4" s="53" t="n">
        <f aca="false">DATE(YEAR(Start_Date),MONTH(Start_Date)+AZ3-1,1)</f>
        <v>47818</v>
      </c>
      <c r="BA4" s="53" t="n">
        <f aca="false">DATE(YEAR(Start_Date),MONTH(Start_Date)+BA3-1,1)</f>
        <v>47849</v>
      </c>
      <c r="BB4" s="53" t="n">
        <f aca="false">DATE(YEAR(Start_Date),MONTH(Start_Date)+BB3-1,1)</f>
        <v>47880</v>
      </c>
      <c r="BC4" s="53" t="n">
        <f aca="false">DATE(YEAR(Start_Date),MONTH(Start_Date)+BC3-1,1)</f>
        <v>47908</v>
      </c>
      <c r="BD4" s="53" t="n">
        <f aca="false">DATE(YEAR(Start_Date),MONTH(Start_Date)+BD3-1,1)</f>
        <v>47939</v>
      </c>
      <c r="BE4" s="53" t="n">
        <f aca="false">DATE(YEAR(Start_Date),MONTH(Start_Date)+BE3-1,1)</f>
        <v>47969</v>
      </c>
      <c r="BF4" s="53" t="n">
        <f aca="false">DATE(YEAR(Start_Date),MONTH(Start_Date)+BF3-1,1)</f>
        <v>48000</v>
      </c>
      <c r="BG4" s="53" t="n">
        <f aca="false">DATE(YEAR(Start_Date),MONTH(Start_Date)+BG3-1,1)</f>
        <v>48030</v>
      </c>
      <c r="BH4" s="53" t="n">
        <f aca="false">DATE(YEAR(Start_Date),MONTH(Start_Date)+BH3-1,1)</f>
        <v>48061</v>
      </c>
      <c r="BI4" s="53" t="n">
        <f aca="false">DATE(YEAR(Start_Date),MONTH(Start_Date)+BI3-1,1)</f>
        <v>48092</v>
      </c>
      <c r="BJ4" s="53" t="n">
        <f aca="false">DATE(YEAR(Start_Date),MONTH(Start_Date)+BJ3-1,1)</f>
        <v>48122</v>
      </c>
      <c r="BK4" s="53" t="n">
        <f aca="false">DATE(YEAR(Start_Date),MONTH(Start_Date)+BK3-1,1)</f>
        <v>48153</v>
      </c>
      <c r="BL4" s="53" t="n">
        <f aca="false">DATE(YEAR(Start_Date),MONTH(Start_Date)+BL3-1,1)</f>
        <v>48183</v>
      </c>
    </row>
    <row r="5" customFormat="false" ht="15" hidden="false" customHeight="false" outlineLevel="0" collapsed="false">
      <c r="A5" s="8" t="s">
        <v>81</v>
      </c>
      <c r="E5" s="54" t="n">
        <f aca="false">INT((E3-1)/12)+1</f>
        <v>1</v>
      </c>
      <c r="F5" s="54" t="n">
        <f aca="false">INT((F3-1)/12)+1</f>
        <v>1</v>
      </c>
      <c r="G5" s="54" t="n">
        <f aca="false">INT((G3-1)/12)+1</f>
        <v>1</v>
      </c>
      <c r="H5" s="54" t="n">
        <f aca="false">INT((H3-1)/12)+1</f>
        <v>1</v>
      </c>
      <c r="I5" s="54" t="n">
        <f aca="false">INT((I3-1)/12)+1</f>
        <v>1</v>
      </c>
      <c r="J5" s="54" t="n">
        <f aca="false">INT((J3-1)/12)+1</f>
        <v>1</v>
      </c>
      <c r="K5" s="54" t="n">
        <f aca="false">INT((K3-1)/12)+1</f>
        <v>1</v>
      </c>
      <c r="L5" s="54" t="n">
        <f aca="false">INT((L3-1)/12)+1</f>
        <v>1</v>
      </c>
      <c r="M5" s="54" t="n">
        <f aca="false">INT((M3-1)/12)+1</f>
        <v>1</v>
      </c>
      <c r="N5" s="54" t="n">
        <f aca="false">INT((N3-1)/12)+1</f>
        <v>1</v>
      </c>
      <c r="O5" s="54" t="n">
        <f aca="false">INT((O3-1)/12)+1</f>
        <v>1</v>
      </c>
      <c r="P5" s="54" t="n">
        <f aca="false">INT((P3-1)/12)+1</f>
        <v>1</v>
      </c>
      <c r="Q5" s="54" t="n">
        <f aca="false">INT((Q3-1)/12)+1</f>
        <v>2</v>
      </c>
      <c r="R5" s="54" t="n">
        <f aca="false">INT((R3-1)/12)+1</f>
        <v>2</v>
      </c>
      <c r="S5" s="54" t="n">
        <f aca="false">INT((S3-1)/12)+1</f>
        <v>2</v>
      </c>
      <c r="T5" s="54" t="n">
        <f aca="false">INT((T3-1)/12)+1</f>
        <v>2</v>
      </c>
      <c r="U5" s="54" t="n">
        <f aca="false">INT((U3-1)/12)+1</f>
        <v>2</v>
      </c>
      <c r="V5" s="54" t="n">
        <f aca="false">INT((V3-1)/12)+1</f>
        <v>2</v>
      </c>
      <c r="W5" s="54" t="n">
        <f aca="false">INT((W3-1)/12)+1</f>
        <v>2</v>
      </c>
      <c r="X5" s="54" t="n">
        <f aca="false">INT((X3-1)/12)+1</f>
        <v>2</v>
      </c>
      <c r="Y5" s="54" t="n">
        <f aca="false">INT((Y3-1)/12)+1</f>
        <v>2</v>
      </c>
      <c r="Z5" s="54" t="n">
        <f aca="false">INT((Z3-1)/12)+1</f>
        <v>2</v>
      </c>
      <c r="AA5" s="54" t="n">
        <f aca="false">INT((AA3-1)/12)+1</f>
        <v>2</v>
      </c>
      <c r="AB5" s="54" t="n">
        <f aca="false">INT((AB3-1)/12)+1</f>
        <v>2</v>
      </c>
      <c r="AC5" s="54" t="n">
        <f aca="false">INT((AC3-1)/12)+1</f>
        <v>3</v>
      </c>
      <c r="AD5" s="54" t="n">
        <f aca="false">INT((AD3-1)/12)+1</f>
        <v>3</v>
      </c>
      <c r="AE5" s="54" t="n">
        <f aca="false">INT((AE3-1)/12)+1</f>
        <v>3</v>
      </c>
      <c r="AF5" s="54" t="n">
        <f aca="false">INT((AF3-1)/12)+1</f>
        <v>3</v>
      </c>
      <c r="AG5" s="54" t="n">
        <f aca="false">INT((AG3-1)/12)+1</f>
        <v>3</v>
      </c>
      <c r="AH5" s="54" t="n">
        <f aca="false">INT((AH3-1)/12)+1</f>
        <v>3</v>
      </c>
      <c r="AI5" s="54" t="n">
        <f aca="false">INT((AI3-1)/12)+1</f>
        <v>3</v>
      </c>
      <c r="AJ5" s="54" t="n">
        <f aca="false">INT((AJ3-1)/12)+1</f>
        <v>3</v>
      </c>
      <c r="AK5" s="54" t="n">
        <f aca="false">INT((AK3-1)/12)+1</f>
        <v>3</v>
      </c>
      <c r="AL5" s="54" t="n">
        <f aca="false">INT((AL3-1)/12)+1</f>
        <v>3</v>
      </c>
      <c r="AM5" s="54" t="n">
        <f aca="false">INT((AM3-1)/12)+1</f>
        <v>3</v>
      </c>
      <c r="AN5" s="54" t="n">
        <f aca="false">INT((AN3-1)/12)+1</f>
        <v>3</v>
      </c>
      <c r="AO5" s="54" t="n">
        <f aca="false">INT((AO3-1)/12)+1</f>
        <v>4</v>
      </c>
      <c r="AP5" s="54" t="n">
        <f aca="false">INT((AP3-1)/12)+1</f>
        <v>4</v>
      </c>
      <c r="AQ5" s="54" t="n">
        <f aca="false">INT((AQ3-1)/12)+1</f>
        <v>4</v>
      </c>
      <c r="AR5" s="54" t="n">
        <f aca="false">INT((AR3-1)/12)+1</f>
        <v>4</v>
      </c>
      <c r="AS5" s="54" t="n">
        <f aca="false">INT((AS3-1)/12)+1</f>
        <v>4</v>
      </c>
      <c r="AT5" s="54" t="n">
        <f aca="false">INT((AT3-1)/12)+1</f>
        <v>4</v>
      </c>
      <c r="AU5" s="54" t="n">
        <f aca="false">INT((AU3-1)/12)+1</f>
        <v>4</v>
      </c>
      <c r="AV5" s="54" t="n">
        <f aca="false">INT((AV3-1)/12)+1</f>
        <v>4</v>
      </c>
      <c r="AW5" s="54" t="n">
        <f aca="false">INT((AW3-1)/12)+1</f>
        <v>4</v>
      </c>
      <c r="AX5" s="54" t="n">
        <f aca="false">INT((AX3-1)/12)+1</f>
        <v>4</v>
      </c>
      <c r="AY5" s="54" t="n">
        <f aca="false">INT((AY3-1)/12)+1</f>
        <v>4</v>
      </c>
      <c r="AZ5" s="54" t="n">
        <f aca="false">INT((AZ3-1)/12)+1</f>
        <v>4</v>
      </c>
      <c r="BA5" s="54" t="n">
        <f aca="false">INT((BA3-1)/12)+1</f>
        <v>5</v>
      </c>
      <c r="BB5" s="54" t="n">
        <f aca="false">INT((BB3-1)/12)+1</f>
        <v>5</v>
      </c>
      <c r="BC5" s="54" t="n">
        <f aca="false">INT((BC3-1)/12)+1</f>
        <v>5</v>
      </c>
      <c r="BD5" s="54" t="n">
        <f aca="false">INT((BD3-1)/12)+1</f>
        <v>5</v>
      </c>
      <c r="BE5" s="54" t="n">
        <f aca="false">INT((BE3-1)/12)+1</f>
        <v>5</v>
      </c>
      <c r="BF5" s="54" t="n">
        <f aca="false">INT((BF3-1)/12)+1</f>
        <v>5</v>
      </c>
      <c r="BG5" s="54" t="n">
        <f aca="false">INT((BG3-1)/12)+1</f>
        <v>5</v>
      </c>
      <c r="BH5" s="54" t="n">
        <f aca="false">INT((BH3-1)/12)+1</f>
        <v>5</v>
      </c>
      <c r="BI5" s="54" t="n">
        <f aca="false">INT((BI3-1)/12)+1</f>
        <v>5</v>
      </c>
      <c r="BJ5" s="54" t="n">
        <f aca="false">INT((BJ3-1)/12)+1</f>
        <v>5</v>
      </c>
      <c r="BK5" s="54" t="n">
        <f aca="false">INT((BK3-1)/12)+1</f>
        <v>5</v>
      </c>
      <c r="BL5" s="54" t="n">
        <f aca="false">INT((BL3-1)/12)+1</f>
        <v>5</v>
      </c>
    </row>
    <row r="8" customFormat="false" ht="15" hidden="false" customHeight="false" outlineLevel="0" collapsed="false">
      <c r="A8" s="10" t="s">
        <v>683</v>
      </c>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row>
    <row r="9" customFormat="false" ht="15" hidden="false" customHeight="false" outlineLevel="0" collapsed="false">
      <c r="A9" s="12" t="str">
        <f aca="false">IF('Hiring plan'!$C$5="","(spare line 1)",'Hiring plan'!$C$5&amp;" · "&amp;'Hiring plan'!$D$5)</f>
        <v>CEO (full salary from year 2) · SN</v>
      </c>
      <c r="B9" s="14" t="s">
        <v>86</v>
      </c>
      <c r="D9" s="55" t="n">
        <f aca="false">MAX(E9:BL9)</f>
        <v>1</v>
      </c>
      <c r="E9" s="37" t="n">
        <f aca="false">IF(AND(N('Hiring plan'!$F$5)&gt;0,E$3&gt;='Hiring plan'!$G$5,E$3&lt;=IF('Hiring plan'!$H$5="",999,'Hiring plan'!$H$5)),'Hiring plan'!$F$5,0)</f>
        <v>0</v>
      </c>
      <c r="F9" s="37" t="n">
        <f aca="false">IF(AND(N('Hiring plan'!$F$5)&gt;0,F$3&gt;='Hiring plan'!$G$5,F$3&lt;=IF('Hiring plan'!$H$5="",999,'Hiring plan'!$H$5)),'Hiring plan'!$F$5,0)</f>
        <v>0</v>
      </c>
      <c r="G9" s="37" t="n">
        <f aca="false">IF(AND(N('Hiring plan'!$F$5)&gt;0,G$3&gt;='Hiring plan'!$G$5,G$3&lt;=IF('Hiring plan'!$H$5="",999,'Hiring plan'!$H$5)),'Hiring plan'!$F$5,0)</f>
        <v>0</v>
      </c>
      <c r="H9" s="37" t="n">
        <f aca="false">IF(AND(N('Hiring plan'!$F$5)&gt;0,H$3&gt;='Hiring plan'!$G$5,H$3&lt;=IF('Hiring plan'!$H$5="",999,'Hiring plan'!$H$5)),'Hiring plan'!$F$5,0)</f>
        <v>0</v>
      </c>
      <c r="I9" s="37" t="n">
        <f aca="false">IF(AND(N('Hiring plan'!$F$5)&gt;0,I$3&gt;='Hiring plan'!$G$5,I$3&lt;=IF('Hiring plan'!$H$5="",999,'Hiring plan'!$H$5)),'Hiring plan'!$F$5,0)</f>
        <v>0</v>
      </c>
      <c r="J9" s="37" t="n">
        <f aca="false">IF(AND(N('Hiring plan'!$F$5)&gt;0,J$3&gt;='Hiring plan'!$G$5,J$3&lt;=IF('Hiring plan'!$H$5="",999,'Hiring plan'!$H$5)),'Hiring plan'!$F$5,0)</f>
        <v>0</v>
      </c>
      <c r="K9" s="37" t="n">
        <f aca="false">IF(AND(N('Hiring plan'!$F$5)&gt;0,K$3&gt;='Hiring plan'!$G$5,K$3&lt;=IF('Hiring plan'!$H$5="",999,'Hiring plan'!$H$5)),'Hiring plan'!$F$5,0)</f>
        <v>0</v>
      </c>
      <c r="L9" s="37" t="n">
        <f aca="false">IF(AND(N('Hiring plan'!$F$5)&gt;0,L$3&gt;='Hiring plan'!$G$5,L$3&lt;=IF('Hiring plan'!$H$5="",999,'Hiring plan'!$H$5)),'Hiring plan'!$F$5,0)</f>
        <v>0</v>
      </c>
      <c r="M9" s="37" t="n">
        <f aca="false">IF(AND(N('Hiring plan'!$F$5)&gt;0,M$3&gt;='Hiring plan'!$G$5,M$3&lt;=IF('Hiring plan'!$H$5="",999,'Hiring plan'!$H$5)),'Hiring plan'!$F$5,0)</f>
        <v>0</v>
      </c>
      <c r="N9" s="37" t="n">
        <f aca="false">IF(AND(N('Hiring plan'!$F$5)&gt;0,N$3&gt;='Hiring plan'!$G$5,N$3&lt;=IF('Hiring plan'!$H$5="",999,'Hiring plan'!$H$5)),'Hiring plan'!$F$5,0)</f>
        <v>0</v>
      </c>
      <c r="O9" s="37" t="n">
        <f aca="false">IF(AND(N('Hiring plan'!$F$5)&gt;0,O$3&gt;='Hiring plan'!$G$5,O$3&lt;=IF('Hiring plan'!$H$5="",999,'Hiring plan'!$H$5)),'Hiring plan'!$F$5,0)</f>
        <v>0</v>
      </c>
      <c r="P9" s="37" t="n">
        <f aca="false">IF(AND(N('Hiring plan'!$F$5)&gt;0,P$3&gt;='Hiring plan'!$G$5,P$3&lt;=IF('Hiring plan'!$H$5="",999,'Hiring plan'!$H$5)),'Hiring plan'!$F$5,0)</f>
        <v>0</v>
      </c>
      <c r="Q9" s="37" t="n">
        <f aca="false">IF(AND(N('Hiring plan'!$F$5)&gt;0,Q$3&gt;='Hiring plan'!$G$5,Q$3&lt;=IF('Hiring plan'!$H$5="",999,'Hiring plan'!$H$5)),'Hiring plan'!$F$5,0)</f>
        <v>1</v>
      </c>
      <c r="R9" s="37" t="n">
        <f aca="false">IF(AND(N('Hiring plan'!$F$5)&gt;0,R$3&gt;='Hiring plan'!$G$5,R$3&lt;=IF('Hiring plan'!$H$5="",999,'Hiring plan'!$H$5)),'Hiring plan'!$F$5,0)</f>
        <v>1</v>
      </c>
      <c r="S9" s="37" t="n">
        <f aca="false">IF(AND(N('Hiring plan'!$F$5)&gt;0,S$3&gt;='Hiring plan'!$G$5,S$3&lt;=IF('Hiring plan'!$H$5="",999,'Hiring plan'!$H$5)),'Hiring plan'!$F$5,0)</f>
        <v>1</v>
      </c>
      <c r="T9" s="37" t="n">
        <f aca="false">IF(AND(N('Hiring plan'!$F$5)&gt;0,T$3&gt;='Hiring plan'!$G$5,T$3&lt;=IF('Hiring plan'!$H$5="",999,'Hiring plan'!$H$5)),'Hiring plan'!$F$5,0)</f>
        <v>1</v>
      </c>
      <c r="U9" s="37" t="n">
        <f aca="false">IF(AND(N('Hiring plan'!$F$5)&gt;0,U$3&gt;='Hiring plan'!$G$5,U$3&lt;=IF('Hiring plan'!$H$5="",999,'Hiring plan'!$H$5)),'Hiring plan'!$F$5,0)</f>
        <v>1</v>
      </c>
      <c r="V9" s="37" t="n">
        <f aca="false">IF(AND(N('Hiring plan'!$F$5)&gt;0,V$3&gt;='Hiring plan'!$G$5,V$3&lt;=IF('Hiring plan'!$H$5="",999,'Hiring plan'!$H$5)),'Hiring plan'!$F$5,0)</f>
        <v>1</v>
      </c>
      <c r="W9" s="37" t="n">
        <f aca="false">IF(AND(N('Hiring plan'!$F$5)&gt;0,W$3&gt;='Hiring plan'!$G$5,W$3&lt;=IF('Hiring plan'!$H$5="",999,'Hiring plan'!$H$5)),'Hiring plan'!$F$5,0)</f>
        <v>1</v>
      </c>
      <c r="X9" s="37" t="n">
        <f aca="false">IF(AND(N('Hiring plan'!$F$5)&gt;0,X$3&gt;='Hiring plan'!$G$5,X$3&lt;=IF('Hiring plan'!$H$5="",999,'Hiring plan'!$H$5)),'Hiring plan'!$F$5,0)</f>
        <v>1</v>
      </c>
      <c r="Y9" s="37" t="n">
        <f aca="false">IF(AND(N('Hiring plan'!$F$5)&gt;0,Y$3&gt;='Hiring plan'!$G$5,Y$3&lt;=IF('Hiring plan'!$H$5="",999,'Hiring plan'!$H$5)),'Hiring plan'!$F$5,0)</f>
        <v>1</v>
      </c>
      <c r="Z9" s="37" t="n">
        <f aca="false">IF(AND(N('Hiring plan'!$F$5)&gt;0,Z$3&gt;='Hiring plan'!$G$5,Z$3&lt;=IF('Hiring plan'!$H$5="",999,'Hiring plan'!$H$5)),'Hiring plan'!$F$5,0)</f>
        <v>1</v>
      </c>
      <c r="AA9" s="37" t="n">
        <f aca="false">IF(AND(N('Hiring plan'!$F$5)&gt;0,AA$3&gt;='Hiring plan'!$G$5,AA$3&lt;=IF('Hiring plan'!$H$5="",999,'Hiring plan'!$H$5)),'Hiring plan'!$F$5,0)</f>
        <v>1</v>
      </c>
      <c r="AB9" s="37" t="n">
        <f aca="false">IF(AND(N('Hiring plan'!$F$5)&gt;0,AB$3&gt;='Hiring plan'!$G$5,AB$3&lt;=IF('Hiring plan'!$H$5="",999,'Hiring plan'!$H$5)),'Hiring plan'!$F$5,0)</f>
        <v>1</v>
      </c>
      <c r="AC9" s="37" t="n">
        <f aca="false">IF(AND(N('Hiring plan'!$F$5)&gt;0,AC$3&gt;='Hiring plan'!$G$5,AC$3&lt;=IF('Hiring plan'!$H$5="",999,'Hiring plan'!$H$5)),'Hiring plan'!$F$5,0)</f>
        <v>1</v>
      </c>
      <c r="AD9" s="37" t="n">
        <f aca="false">IF(AND(N('Hiring plan'!$F$5)&gt;0,AD$3&gt;='Hiring plan'!$G$5,AD$3&lt;=IF('Hiring plan'!$H$5="",999,'Hiring plan'!$H$5)),'Hiring plan'!$F$5,0)</f>
        <v>1</v>
      </c>
      <c r="AE9" s="37" t="n">
        <f aca="false">IF(AND(N('Hiring plan'!$F$5)&gt;0,AE$3&gt;='Hiring plan'!$G$5,AE$3&lt;=IF('Hiring plan'!$H$5="",999,'Hiring plan'!$H$5)),'Hiring plan'!$F$5,0)</f>
        <v>1</v>
      </c>
      <c r="AF9" s="37" t="n">
        <f aca="false">IF(AND(N('Hiring plan'!$F$5)&gt;0,AF$3&gt;='Hiring plan'!$G$5,AF$3&lt;=IF('Hiring plan'!$H$5="",999,'Hiring plan'!$H$5)),'Hiring plan'!$F$5,0)</f>
        <v>1</v>
      </c>
      <c r="AG9" s="37" t="n">
        <f aca="false">IF(AND(N('Hiring plan'!$F$5)&gt;0,AG$3&gt;='Hiring plan'!$G$5,AG$3&lt;=IF('Hiring plan'!$H$5="",999,'Hiring plan'!$H$5)),'Hiring plan'!$F$5,0)</f>
        <v>1</v>
      </c>
      <c r="AH9" s="37" t="n">
        <f aca="false">IF(AND(N('Hiring plan'!$F$5)&gt;0,AH$3&gt;='Hiring plan'!$G$5,AH$3&lt;=IF('Hiring plan'!$H$5="",999,'Hiring plan'!$H$5)),'Hiring plan'!$F$5,0)</f>
        <v>1</v>
      </c>
      <c r="AI9" s="37" t="n">
        <f aca="false">IF(AND(N('Hiring plan'!$F$5)&gt;0,AI$3&gt;='Hiring plan'!$G$5,AI$3&lt;=IF('Hiring plan'!$H$5="",999,'Hiring plan'!$H$5)),'Hiring plan'!$F$5,0)</f>
        <v>1</v>
      </c>
      <c r="AJ9" s="37" t="n">
        <f aca="false">IF(AND(N('Hiring plan'!$F$5)&gt;0,AJ$3&gt;='Hiring plan'!$G$5,AJ$3&lt;=IF('Hiring plan'!$H$5="",999,'Hiring plan'!$H$5)),'Hiring plan'!$F$5,0)</f>
        <v>1</v>
      </c>
      <c r="AK9" s="37" t="n">
        <f aca="false">IF(AND(N('Hiring plan'!$F$5)&gt;0,AK$3&gt;='Hiring plan'!$G$5,AK$3&lt;=IF('Hiring plan'!$H$5="",999,'Hiring plan'!$H$5)),'Hiring plan'!$F$5,0)</f>
        <v>1</v>
      </c>
      <c r="AL9" s="37" t="n">
        <f aca="false">IF(AND(N('Hiring plan'!$F$5)&gt;0,AL$3&gt;='Hiring plan'!$G$5,AL$3&lt;=IF('Hiring plan'!$H$5="",999,'Hiring plan'!$H$5)),'Hiring plan'!$F$5,0)</f>
        <v>1</v>
      </c>
      <c r="AM9" s="37" t="n">
        <f aca="false">IF(AND(N('Hiring plan'!$F$5)&gt;0,AM$3&gt;='Hiring plan'!$G$5,AM$3&lt;=IF('Hiring plan'!$H$5="",999,'Hiring plan'!$H$5)),'Hiring plan'!$F$5,0)</f>
        <v>1</v>
      </c>
      <c r="AN9" s="37" t="n">
        <f aca="false">IF(AND(N('Hiring plan'!$F$5)&gt;0,AN$3&gt;='Hiring plan'!$G$5,AN$3&lt;=IF('Hiring plan'!$H$5="",999,'Hiring plan'!$H$5)),'Hiring plan'!$F$5,0)</f>
        <v>1</v>
      </c>
      <c r="AO9" s="37" t="n">
        <f aca="false">IF(AND(N('Hiring plan'!$F$5)&gt;0,AO$3&gt;='Hiring plan'!$G$5,AO$3&lt;=IF('Hiring plan'!$H$5="",999,'Hiring plan'!$H$5)),'Hiring plan'!$F$5,0)</f>
        <v>1</v>
      </c>
      <c r="AP9" s="37" t="n">
        <f aca="false">IF(AND(N('Hiring plan'!$F$5)&gt;0,AP$3&gt;='Hiring plan'!$G$5,AP$3&lt;=IF('Hiring plan'!$H$5="",999,'Hiring plan'!$H$5)),'Hiring plan'!$F$5,0)</f>
        <v>1</v>
      </c>
      <c r="AQ9" s="37" t="n">
        <f aca="false">IF(AND(N('Hiring plan'!$F$5)&gt;0,AQ$3&gt;='Hiring plan'!$G$5,AQ$3&lt;=IF('Hiring plan'!$H$5="",999,'Hiring plan'!$H$5)),'Hiring plan'!$F$5,0)</f>
        <v>1</v>
      </c>
      <c r="AR9" s="37" t="n">
        <f aca="false">IF(AND(N('Hiring plan'!$F$5)&gt;0,AR$3&gt;='Hiring plan'!$G$5,AR$3&lt;=IF('Hiring plan'!$H$5="",999,'Hiring plan'!$H$5)),'Hiring plan'!$F$5,0)</f>
        <v>1</v>
      </c>
      <c r="AS9" s="37" t="n">
        <f aca="false">IF(AND(N('Hiring plan'!$F$5)&gt;0,AS$3&gt;='Hiring plan'!$G$5,AS$3&lt;=IF('Hiring plan'!$H$5="",999,'Hiring plan'!$H$5)),'Hiring plan'!$F$5,0)</f>
        <v>1</v>
      </c>
      <c r="AT9" s="37" t="n">
        <f aca="false">IF(AND(N('Hiring plan'!$F$5)&gt;0,AT$3&gt;='Hiring plan'!$G$5,AT$3&lt;=IF('Hiring plan'!$H$5="",999,'Hiring plan'!$H$5)),'Hiring plan'!$F$5,0)</f>
        <v>1</v>
      </c>
      <c r="AU9" s="37" t="n">
        <f aca="false">IF(AND(N('Hiring plan'!$F$5)&gt;0,AU$3&gt;='Hiring plan'!$G$5,AU$3&lt;=IF('Hiring plan'!$H$5="",999,'Hiring plan'!$H$5)),'Hiring plan'!$F$5,0)</f>
        <v>1</v>
      </c>
      <c r="AV9" s="37" t="n">
        <f aca="false">IF(AND(N('Hiring plan'!$F$5)&gt;0,AV$3&gt;='Hiring plan'!$G$5,AV$3&lt;=IF('Hiring plan'!$H$5="",999,'Hiring plan'!$H$5)),'Hiring plan'!$F$5,0)</f>
        <v>1</v>
      </c>
      <c r="AW9" s="37" t="n">
        <f aca="false">IF(AND(N('Hiring plan'!$F$5)&gt;0,AW$3&gt;='Hiring plan'!$G$5,AW$3&lt;=IF('Hiring plan'!$H$5="",999,'Hiring plan'!$H$5)),'Hiring plan'!$F$5,0)</f>
        <v>1</v>
      </c>
      <c r="AX9" s="37" t="n">
        <f aca="false">IF(AND(N('Hiring plan'!$F$5)&gt;0,AX$3&gt;='Hiring plan'!$G$5,AX$3&lt;=IF('Hiring plan'!$H$5="",999,'Hiring plan'!$H$5)),'Hiring plan'!$F$5,0)</f>
        <v>1</v>
      </c>
      <c r="AY9" s="37" t="n">
        <f aca="false">IF(AND(N('Hiring plan'!$F$5)&gt;0,AY$3&gt;='Hiring plan'!$G$5,AY$3&lt;=IF('Hiring plan'!$H$5="",999,'Hiring plan'!$H$5)),'Hiring plan'!$F$5,0)</f>
        <v>1</v>
      </c>
      <c r="AZ9" s="37" t="n">
        <f aca="false">IF(AND(N('Hiring plan'!$F$5)&gt;0,AZ$3&gt;='Hiring plan'!$G$5,AZ$3&lt;=IF('Hiring plan'!$H$5="",999,'Hiring plan'!$H$5)),'Hiring plan'!$F$5,0)</f>
        <v>1</v>
      </c>
      <c r="BA9" s="37" t="n">
        <f aca="false">IF(AND(N('Hiring plan'!$F$5)&gt;0,BA$3&gt;='Hiring plan'!$G$5,BA$3&lt;=IF('Hiring plan'!$H$5="",999,'Hiring plan'!$H$5)),'Hiring plan'!$F$5,0)</f>
        <v>1</v>
      </c>
      <c r="BB9" s="37" t="n">
        <f aca="false">IF(AND(N('Hiring plan'!$F$5)&gt;0,BB$3&gt;='Hiring plan'!$G$5,BB$3&lt;=IF('Hiring plan'!$H$5="",999,'Hiring plan'!$H$5)),'Hiring plan'!$F$5,0)</f>
        <v>1</v>
      </c>
      <c r="BC9" s="37" t="n">
        <f aca="false">IF(AND(N('Hiring plan'!$F$5)&gt;0,BC$3&gt;='Hiring plan'!$G$5,BC$3&lt;=IF('Hiring plan'!$H$5="",999,'Hiring plan'!$H$5)),'Hiring plan'!$F$5,0)</f>
        <v>1</v>
      </c>
      <c r="BD9" s="37" t="n">
        <f aca="false">IF(AND(N('Hiring plan'!$F$5)&gt;0,BD$3&gt;='Hiring plan'!$G$5,BD$3&lt;=IF('Hiring plan'!$H$5="",999,'Hiring plan'!$H$5)),'Hiring plan'!$F$5,0)</f>
        <v>1</v>
      </c>
      <c r="BE9" s="37" t="n">
        <f aca="false">IF(AND(N('Hiring plan'!$F$5)&gt;0,BE$3&gt;='Hiring plan'!$G$5,BE$3&lt;=IF('Hiring plan'!$H$5="",999,'Hiring plan'!$H$5)),'Hiring plan'!$F$5,0)</f>
        <v>1</v>
      </c>
      <c r="BF9" s="37" t="n">
        <f aca="false">IF(AND(N('Hiring plan'!$F$5)&gt;0,BF$3&gt;='Hiring plan'!$G$5,BF$3&lt;=IF('Hiring plan'!$H$5="",999,'Hiring plan'!$H$5)),'Hiring plan'!$F$5,0)</f>
        <v>1</v>
      </c>
      <c r="BG9" s="37" t="n">
        <f aca="false">IF(AND(N('Hiring plan'!$F$5)&gt;0,BG$3&gt;='Hiring plan'!$G$5,BG$3&lt;=IF('Hiring plan'!$H$5="",999,'Hiring plan'!$H$5)),'Hiring plan'!$F$5,0)</f>
        <v>1</v>
      </c>
      <c r="BH9" s="37" t="n">
        <f aca="false">IF(AND(N('Hiring plan'!$F$5)&gt;0,BH$3&gt;='Hiring plan'!$G$5,BH$3&lt;=IF('Hiring plan'!$H$5="",999,'Hiring plan'!$H$5)),'Hiring plan'!$F$5,0)</f>
        <v>1</v>
      </c>
      <c r="BI9" s="37" t="n">
        <f aca="false">IF(AND(N('Hiring plan'!$F$5)&gt;0,BI$3&gt;='Hiring plan'!$G$5,BI$3&lt;=IF('Hiring plan'!$H$5="",999,'Hiring plan'!$H$5)),'Hiring plan'!$F$5,0)</f>
        <v>1</v>
      </c>
      <c r="BJ9" s="37" t="n">
        <f aca="false">IF(AND(N('Hiring plan'!$F$5)&gt;0,BJ$3&gt;='Hiring plan'!$G$5,BJ$3&lt;=IF('Hiring plan'!$H$5="",999,'Hiring plan'!$H$5)),'Hiring plan'!$F$5,0)</f>
        <v>1</v>
      </c>
      <c r="BK9" s="37" t="n">
        <f aca="false">IF(AND(N('Hiring plan'!$F$5)&gt;0,BK$3&gt;='Hiring plan'!$G$5,BK$3&lt;=IF('Hiring plan'!$H$5="",999,'Hiring plan'!$H$5)),'Hiring plan'!$F$5,0)</f>
        <v>1</v>
      </c>
      <c r="BL9" s="37" t="n">
        <f aca="false">IF(AND(N('Hiring plan'!$F$5)&gt;0,BL$3&gt;='Hiring plan'!$G$5,BL$3&lt;=IF('Hiring plan'!$H$5="",999,'Hiring plan'!$H$5)),'Hiring plan'!$F$5,0)</f>
        <v>1</v>
      </c>
    </row>
    <row r="10" customFormat="false" ht="15" hidden="false" customHeight="false" outlineLevel="0" collapsed="false">
      <c r="A10" s="12" t="str">
        <f aca="false">IF('Hiring plan'!$C$6="","(spare line 2)",'Hiring plan'!$C$6&amp;" · "&amp;'Hiring plan'!$D$6)</f>
        <v>CTO (also codes) · SN</v>
      </c>
      <c r="B10" s="14" t="s">
        <v>86</v>
      </c>
      <c r="D10" s="55" t="n">
        <f aca="false">MAX(E10:BL10)</f>
        <v>1</v>
      </c>
      <c r="E10" s="37" t="n">
        <f aca="false">IF(AND(N('Hiring plan'!$F$6)&gt;0,E$3&gt;='Hiring plan'!$G$6,E$3&lt;=IF('Hiring plan'!$H$6="",999,'Hiring plan'!$H$6)),'Hiring plan'!$F$6,0)</f>
        <v>1</v>
      </c>
      <c r="F10" s="37" t="n">
        <f aca="false">IF(AND(N('Hiring plan'!$F$6)&gt;0,F$3&gt;='Hiring plan'!$G$6,F$3&lt;=IF('Hiring plan'!$H$6="",999,'Hiring plan'!$H$6)),'Hiring plan'!$F$6,0)</f>
        <v>1</v>
      </c>
      <c r="G10" s="37" t="n">
        <f aca="false">IF(AND(N('Hiring plan'!$F$6)&gt;0,G$3&gt;='Hiring plan'!$G$6,G$3&lt;=IF('Hiring plan'!$H$6="",999,'Hiring plan'!$H$6)),'Hiring plan'!$F$6,0)</f>
        <v>1</v>
      </c>
      <c r="H10" s="37" t="n">
        <f aca="false">IF(AND(N('Hiring plan'!$F$6)&gt;0,H$3&gt;='Hiring plan'!$G$6,H$3&lt;=IF('Hiring plan'!$H$6="",999,'Hiring plan'!$H$6)),'Hiring plan'!$F$6,0)</f>
        <v>1</v>
      </c>
      <c r="I10" s="37" t="n">
        <f aca="false">IF(AND(N('Hiring plan'!$F$6)&gt;0,I$3&gt;='Hiring plan'!$G$6,I$3&lt;=IF('Hiring plan'!$H$6="",999,'Hiring plan'!$H$6)),'Hiring plan'!$F$6,0)</f>
        <v>1</v>
      </c>
      <c r="J10" s="37" t="n">
        <f aca="false">IF(AND(N('Hiring plan'!$F$6)&gt;0,J$3&gt;='Hiring plan'!$G$6,J$3&lt;=IF('Hiring plan'!$H$6="",999,'Hiring plan'!$H$6)),'Hiring plan'!$F$6,0)</f>
        <v>1</v>
      </c>
      <c r="K10" s="37" t="n">
        <f aca="false">IF(AND(N('Hiring plan'!$F$6)&gt;0,K$3&gt;='Hiring plan'!$G$6,K$3&lt;=IF('Hiring plan'!$H$6="",999,'Hiring plan'!$H$6)),'Hiring plan'!$F$6,0)</f>
        <v>1</v>
      </c>
      <c r="L10" s="37" t="n">
        <f aca="false">IF(AND(N('Hiring plan'!$F$6)&gt;0,L$3&gt;='Hiring plan'!$G$6,L$3&lt;=IF('Hiring plan'!$H$6="",999,'Hiring plan'!$H$6)),'Hiring plan'!$F$6,0)</f>
        <v>1</v>
      </c>
      <c r="M10" s="37" t="n">
        <f aca="false">IF(AND(N('Hiring plan'!$F$6)&gt;0,M$3&gt;='Hiring plan'!$G$6,M$3&lt;=IF('Hiring plan'!$H$6="",999,'Hiring plan'!$H$6)),'Hiring plan'!$F$6,0)</f>
        <v>1</v>
      </c>
      <c r="N10" s="37" t="n">
        <f aca="false">IF(AND(N('Hiring plan'!$F$6)&gt;0,N$3&gt;='Hiring plan'!$G$6,N$3&lt;=IF('Hiring plan'!$H$6="",999,'Hiring plan'!$H$6)),'Hiring plan'!$F$6,0)</f>
        <v>1</v>
      </c>
      <c r="O10" s="37" t="n">
        <f aca="false">IF(AND(N('Hiring plan'!$F$6)&gt;0,O$3&gt;='Hiring plan'!$G$6,O$3&lt;=IF('Hiring plan'!$H$6="",999,'Hiring plan'!$H$6)),'Hiring plan'!$F$6,0)</f>
        <v>1</v>
      </c>
      <c r="P10" s="37" t="n">
        <f aca="false">IF(AND(N('Hiring plan'!$F$6)&gt;0,P$3&gt;='Hiring plan'!$G$6,P$3&lt;=IF('Hiring plan'!$H$6="",999,'Hiring plan'!$H$6)),'Hiring plan'!$F$6,0)</f>
        <v>1</v>
      </c>
      <c r="Q10" s="37" t="n">
        <f aca="false">IF(AND(N('Hiring plan'!$F$6)&gt;0,Q$3&gt;='Hiring plan'!$G$6,Q$3&lt;=IF('Hiring plan'!$H$6="",999,'Hiring plan'!$H$6)),'Hiring plan'!$F$6,0)</f>
        <v>1</v>
      </c>
      <c r="R10" s="37" t="n">
        <f aca="false">IF(AND(N('Hiring plan'!$F$6)&gt;0,R$3&gt;='Hiring plan'!$G$6,R$3&lt;=IF('Hiring plan'!$H$6="",999,'Hiring plan'!$H$6)),'Hiring plan'!$F$6,0)</f>
        <v>1</v>
      </c>
      <c r="S10" s="37" t="n">
        <f aca="false">IF(AND(N('Hiring plan'!$F$6)&gt;0,S$3&gt;='Hiring plan'!$G$6,S$3&lt;=IF('Hiring plan'!$H$6="",999,'Hiring plan'!$H$6)),'Hiring plan'!$F$6,0)</f>
        <v>1</v>
      </c>
      <c r="T10" s="37" t="n">
        <f aca="false">IF(AND(N('Hiring plan'!$F$6)&gt;0,T$3&gt;='Hiring plan'!$G$6,T$3&lt;=IF('Hiring plan'!$H$6="",999,'Hiring plan'!$H$6)),'Hiring plan'!$F$6,0)</f>
        <v>1</v>
      </c>
      <c r="U10" s="37" t="n">
        <f aca="false">IF(AND(N('Hiring plan'!$F$6)&gt;0,U$3&gt;='Hiring plan'!$G$6,U$3&lt;=IF('Hiring plan'!$H$6="",999,'Hiring plan'!$H$6)),'Hiring plan'!$F$6,0)</f>
        <v>1</v>
      </c>
      <c r="V10" s="37" t="n">
        <f aca="false">IF(AND(N('Hiring plan'!$F$6)&gt;0,V$3&gt;='Hiring plan'!$G$6,V$3&lt;=IF('Hiring plan'!$H$6="",999,'Hiring plan'!$H$6)),'Hiring plan'!$F$6,0)</f>
        <v>1</v>
      </c>
      <c r="W10" s="37" t="n">
        <f aca="false">IF(AND(N('Hiring plan'!$F$6)&gt;0,W$3&gt;='Hiring plan'!$G$6,W$3&lt;=IF('Hiring plan'!$H$6="",999,'Hiring plan'!$H$6)),'Hiring plan'!$F$6,0)</f>
        <v>1</v>
      </c>
      <c r="X10" s="37" t="n">
        <f aca="false">IF(AND(N('Hiring plan'!$F$6)&gt;0,X$3&gt;='Hiring plan'!$G$6,X$3&lt;=IF('Hiring plan'!$H$6="",999,'Hiring plan'!$H$6)),'Hiring plan'!$F$6,0)</f>
        <v>1</v>
      </c>
      <c r="Y10" s="37" t="n">
        <f aca="false">IF(AND(N('Hiring plan'!$F$6)&gt;0,Y$3&gt;='Hiring plan'!$G$6,Y$3&lt;=IF('Hiring plan'!$H$6="",999,'Hiring plan'!$H$6)),'Hiring plan'!$F$6,0)</f>
        <v>1</v>
      </c>
      <c r="Z10" s="37" t="n">
        <f aca="false">IF(AND(N('Hiring plan'!$F$6)&gt;0,Z$3&gt;='Hiring plan'!$G$6,Z$3&lt;=IF('Hiring plan'!$H$6="",999,'Hiring plan'!$H$6)),'Hiring plan'!$F$6,0)</f>
        <v>1</v>
      </c>
      <c r="AA10" s="37" t="n">
        <f aca="false">IF(AND(N('Hiring plan'!$F$6)&gt;0,AA$3&gt;='Hiring plan'!$G$6,AA$3&lt;=IF('Hiring plan'!$H$6="",999,'Hiring plan'!$H$6)),'Hiring plan'!$F$6,0)</f>
        <v>1</v>
      </c>
      <c r="AB10" s="37" t="n">
        <f aca="false">IF(AND(N('Hiring plan'!$F$6)&gt;0,AB$3&gt;='Hiring plan'!$G$6,AB$3&lt;=IF('Hiring plan'!$H$6="",999,'Hiring plan'!$H$6)),'Hiring plan'!$F$6,0)</f>
        <v>1</v>
      </c>
      <c r="AC10" s="37" t="n">
        <f aca="false">IF(AND(N('Hiring plan'!$F$6)&gt;0,AC$3&gt;='Hiring plan'!$G$6,AC$3&lt;=IF('Hiring plan'!$H$6="",999,'Hiring plan'!$H$6)),'Hiring plan'!$F$6,0)</f>
        <v>1</v>
      </c>
      <c r="AD10" s="37" t="n">
        <f aca="false">IF(AND(N('Hiring plan'!$F$6)&gt;0,AD$3&gt;='Hiring plan'!$G$6,AD$3&lt;=IF('Hiring plan'!$H$6="",999,'Hiring plan'!$H$6)),'Hiring plan'!$F$6,0)</f>
        <v>1</v>
      </c>
      <c r="AE10" s="37" t="n">
        <f aca="false">IF(AND(N('Hiring plan'!$F$6)&gt;0,AE$3&gt;='Hiring plan'!$G$6,AE$3&lt;=IF('Hiring plan'!$H$6="",999,'Hiring plan'!$H$6)),'Hiring plan'!$F$6,0)</f>
        <v>1</v>
      </c>
      <c r="AF10" s="37" t="n">
        <f aca="false">IF(AND(N('Hiring plan'!$F$6)&gt;0,AF$3&gt;='Hiring plan'!$G$6,AF$3&lt;=IF('Hiring plan'!$H$6="",999,'Hiring plan'!$H$6)),'Hiring plan'!$F$6,0)</f>
        <v>1</v>
      </c>
      <c r="AG10" s="37" t="n">
        <f aca="false">IF(AND(N('Hiring plan'!$F$6)&gt;0,AG$3&gt;='Hiring plan'!$G$6,AG$3&lt;=IF('Hiring plan'!$H$6="",999,'Hiring plan'!$H$6)),'Hiring plan'!$F$6,0)</f>
        <v>1</v>
      </c>
      <c r="AH10" s="37" t="n">
        <f aca="false">IF(AND(N('Hiring plan'!$F$6)&gt;0,AH$3&gt;='Hiring plan'!$G$6,AH$3&lt;=IF('Hiring plan'!$H$6="",999,'Hiring plan'!$H$6)),'Hiring plan'!$F$6,0)</f>
        <v>1</v>
      </c>
      <c r="AI10" s="37" t="n">
        <f aca="false">IF(AND(N('Hiring plan'!$F$6)&gt;0,AI$3&gt;='Hiring plan'!$G$6,AI$3&lt;=IF('Hiring plan'!$H$6="",999,'Hiring plan'!$H$6)),'Hiring plan'!$F$6,0)</f>
        <v>1</v>
      </c>
      <c r="AJ10" s="37" t="n">
        <f aca="false">IF(AND(N('Hiring plan'!$F$6)&gt;0,AJ$3&gt;='Hiring plan'!$G$6,AJ$3&lt;=IF('Hiring plan'!$H$6="",999,'Hiring plan'!$H$6)),'Hiring plan'!$F$6,0)</f>
        <v>1</v>
      </c>
      <c r="AK10" s="37" t="n">
        <f aca="false">IF(AND(N('Hiring plan'!$F$6)&gt;0,AK$3&gt;='Hiring plan'!$G$6,AK$3&lt;=IF('Hiring plan'!$H$6="",999,'Hiring plan'!$H$6)),'Hiring plan'!$F$6,0)</f>
        <v>1</v>
      </c>
      <c r="AL10" s="37" t="n">
        <f aca="false">IF(AND(N('Hiring plan'!$F$6)&gt;0,AL$3&gt;='Hiring plan'!$G$6,AL$3&lt;=IF('Hiring plan'!$H$6="",999,'Hiring plan'!$H$6)),'Hiring plan'!$F$6,0)</f>
        <v>1</v>
      </c>
      <c r="AM10" s="37" t="n">
        <f aca="false">IF(AND(N('Hiring plan'!$F$6)&gt;0,AM$3&gt;='Hiring plan'!$G$6,AM$3&lt;=IF('Hiring plan'!$H$6="",999,'Hiring plan'!$H$6)),'Hiring plan'!$F$6,0)</f>
        <v>1</v>
      </c>
      <c r="AN10" s="37" t="n">
        <f aca="false">IF(AND(N('Hiring plan'!$F$6)&gt;0,AN$3&gt;='Hiring plan'!$G$6,AN$3&lt;=IF('Hiring plan'!$H$6="",999,'Hiring plan'!$H$6)),'Hiring plan'!$F$6,0)</f>
        <v>1</v>
      </c>
      <c r="AO10" s="37" t="n">
        <f aca="false">IF(AND(N('Hiring plan'!$F$6)&gt;0,AO$3&gt;='Hiring plan'!$G$6,AO$3&lt;=IF('Hiring plan'!$H$6="",999,'Hiring plan'!$H$6)),'Hiring plan'!$F$6,0)</f>
        <v>1</v>
      </c>
      <c r="AP10" s="37" t="n">
        <f aca="false">IF(AND(N('Hiring plan'!$F$6)&gt;0,AP$3&gt;='Hiring plan'!$G$6,AP$3&lt;=IF('Hiring plan'!$H$6="",999,'Hiring plan'!$H$6)),'Hiring plan'!$F$6,0)</f>
        <v>1</v>
      </c>
      <c r="AQ10" s="37" t="n">
        <f aca="false">IF(AND(N('Hiring plan'!$F$6)&gt;0,AQ$3&gt;='Hiring plan'!$G$6,AQ$3&lt;=IF('Hiring plan'!$H$6="",999,'Hiring plan'!$H$6)),'Hiring plan'!$F$6,0)</f>
        <v>1</v>
      </c>
      <c r="AR10" s="37" t="n">
        <f aca="false">IF(AND(N('Hiring plan'!$F$6)&gt;0,AR$3&gt;='Hiring plan'!$G$6,AR$3&lt;=IF('Hiring plan'!$H$6="",999,'Hiring plan'!$H$6)),'Hiring plan'!$F$6,0)</f>
        <v>1</v>
      </c>
      <c r="AS10" s="37" t="n">
        <f aca="false">IF(AND(N('Hiring plan'!$F$6)&gt;0,AS$3&gt;='Hiring plan'!$G$6,AS$3&lt;=IF('Hiring plan'!$H$6="",999,'Hiring plan'!$H$6)),'Hiring plan'!$F$6,0)</f>
        <v>1</v>
      </c>
      <c r="AT10" s="37" t="n">
        <f aca="false">IF(AND(N('Hiring plan'!$F$6)&gt;0,AT$3&gt;='Hiring plan'!$G$6,AT$3&lt;=IF('Hiring plan'!$H$6="",999,'Hiring plan'!$H$6)),'Hiring plan'!$F$6,0)</f>
        <v>1</v>
      </c>
      <c r="AU10" s="37" t="n">
        <f aca="false">IF(AND(N('Hiring plan'!$F$6)&gt;0,AU$3&gt;='Hiring plan'!$G$6,AU$3&lt;=IF('Hiring plan'!$H$6="",999,'Hiring plan'!$H$6)),'Hiring plan'!$F$6,0)</f>
        <v>1</v>
      </c>
      <c r="AV10" s="37" t="n">
        <f aca="false">IF(AND(N('Hiring plan'!$F$6)&gt;0,AV$3&gt;='Hiring plan'!$G$6,AV$3&lt;=IF('Hiring plan'!$H$6="",999,'Hiring plan'!$H$6)),'Hiring plan'!$F$6,0)</f>
        <v>1</v>
      </c>
      <c r="AW10" s="37" t="n">
        <f aca="false">IF(AND(N('Hiring plan'!$F$6)&gt;0,AW$3&gt;='Hiring plan'!$G$6,AW$3&lt;=IF('Hiring plan'!$H$6="",999,'Hiring plan'!$H$6)),'Hiring plan'!$F$6,0)</f>
        <v>1</v>
      </c>
      <c r="AX10" s="37" t="n">
        <f aca="false">IF(AND(N('Hiring plan'!$F$6)&gt;0,AX$3&gt;='Hiring plan'!$G$6,AX$3&lt;=IF('Hiring plan'!$H$6="",999,'Hiring plan'!$H$6)),'Hiring plan'!$F$6,0)</f>
        <v>1</v>
      </c>
      <c r="AY10" s="37" t="n">
        <f aca="false">IF(AND(N('Hiring plan'!$F$6)&gt;0,AY$3&gt;='Hiring plan'!$G$6,AY$3&lt;=IF('Hiring plan'!$H$6="",999,'Hiring plan'!$H$6)),'Hiring plan'!$F$6,0)</f>
        <v>1</v>
      </c>
      <c r="AZ10" s="37" t="n">
        <f aca="false">IF(AND(N('Hiring plan'!$F$6)&gt;0,AZ$3&gt;='Hiring plan'!$G$6,AZ$3&lt;=IF('Hiring plan'!$H$6="",999,'Hiring plan'!$H$6)),'Hiring plan'!$F$6,0)</f>
        <v>1</v>
      </c>
      <c r="BA10" s="37" t="n">
        <f aca="false">IF(AND(N('Hiring plan'!$F$6)&gt;0,BA$3&gt;='Hiring plan'!$G$6,BA$3&lt;=IF('Hiring plan'!$H$6="",999,'Hiring plan'!$H$6)),'Hiring plan'!$F$6,0)</f>
        <v>1</v>
      </c>
      <c r="BB10" s="37" t="n">
        <f aca="false">IF(AND(N('Hiring plan'!$F$6)&gt;0,BB$3&gt;='Hiring plan'!$G$6,BB$3&lt;=IF('Hiring plan'!$H$6="",999,'Hiring plan'!$H$6)),'Hiring plan'!$F$6,0)</f>
        <v>1</v>
      </c>
      <c r="BC10" s="37" t="n">
        <f aca="false">IF(AND(N('Hiring plan'!$F$6)&gt;0,BC$3&gt;='Hiring plan'!$G$6,BC$3&lt;=IF('Hiring plan'!$H$6="",999,'Hiring plan'!$H$6)),'Hiring plan'!$F$6,0)</f>
        <v>1</v>
      </c>
      <c r="BD10" s="37" t="n">
        <f aca="false">IF(AND(N('Hiring plan'!$F$6)&gt;0,BD$3&gt;='Hiring plan'!$G$6,BD$3&lt;=IF('Hiring plan'!$H$6="",999,'Hiring plan'!$H$6)),'Hiring plan'!$F$6,0)</f>
        <v>1</v>
      </c>
      <c r="BE10" s="37" t="n">
        <f aca="false">IF(AND(N('Hiring plan'!$F$6)&gt;0,BE$3&gt;='Hiring plan'!$G$6,BE$3&lt;=IF('Hiring plan'!$H$6="",999,'Hiring plan'!$H$6)),'Hiring plan'!$F$6,0)</f>
        <v>1</v>
      </c>
      <c r="BF10" s="37" t="n">
        <f aca="false">IF(AND(N('Hiring plan'!$F$6)&gt;0,BF$3&gt;='Hiring plan'!$G$6,BF$3&lt;=IF('Hiring plan'!$H$6="",999,'Hiring plan'!$H$6)),'Hiring plan'!$F$6,0)</f>
        <v>1</v>
      </c>
      <c r="BG10" s="37" t="n">
        <f aca="false">IF(AND(N('Hiring plan'!$F$6)&gt;0,BG$3&gt;='Hiring plan'!$G$6,BG$3&lt;=IF('Hiring plan'!$H$6="",999,'Hiring plan'!$H$6)),'Hiring plan'!$F$6,0)</f>
        <v>1</v>
      </c>
      <c r="BH10" s="37" t="n">
        <f aca="false">IF(AND(N('Hiring plan'!$F$6)&gt;0,BH$3&gt;='Hiring plan'!$G$6,BH$3&lt;=IF('Hiring plan'!$H$6="",999,'Hiring plan'!$H$6)),'Hiring plan'!$F$6,0)</f>
        <v>1</v>
      </c>
      <c r="BI10" s="37" t="n">
        <f aca="false">IF(AND(N('Hiring plan'!$F$6)&gt;0,BI$3&gt;='Hiring plan'!$G$6,BI$3&lt;=IF('Hiring plan'!$H$6="",999,'Hiring plan'!$H$6)),'Hiring plan'!$F$6,0)</f>
        <v>1</v>
      </c>
      <c r="BJ10" s="37" t="n">
        <f aca="false">IF(AND(N('Hiring plan'!$F$6)&gt;0,BJ$3&gt;='Hiring plan'!$G$6,BJ$3&lt;=IF('Hiring plan'!$H$6="",999,'Hiring plan'!$H$6)),'Hiring plan'!$F$6,0)</f>
        <v>1</v>
      </c>
      <c r="BK10" s="37" t="n">
        <f aca="false">IF(AND(N('Hiring plan'!$F$6)&gt;0,BK$3&gt;='Hiring plan'!$G$6,BK$3&lt;=IF('Hiring plan'!$H$6="",999,'Hiring plan'!$H$6)),'Hiring plan'!$F$6,0)</f>
        <v>1</v>
      </c>
      <c r="BL10" s="37" t="n">
        <f aca="false">IF(AND(N('Hiring plan'!$F$6)&gt;0,BL$3&gt;='Hiring plan'!$G$6,BL$3&lt;=IF('Hiring plan'!$H$6="",999,'Hiring plan'!$H$6)),'Hiring plan'!$F$6,0)</f>
        <v>1</v>
      </c>
    </row>
    <row r="11" customFormat="false" ht="15" hidden="false" customHeight="false" outlineLevel="0" collapsed="false">
      <c r="A11" s="12" t="str">
        <f aca="false">IF('Hiring plan'!$C$7="","(spare line 3)",'Hiring plan'!$C$7&amp;" · "&amp;'Hiring plan'!$D$7)</f>
        <v>Financial expert (finance, partners, credit lead) · SN</v>
      </c>
      <c r="B11" s="14" t="s">
        <v>86</v>
      </c>
      <c r="D11" s="55" t="n">
        <f aca="false">MAX(E11:BL11)</f>
        <v>1</v>
      </c>
      <c r="E11" s="37" t="n">
        <f aca="false">IF(AND(N('Hiring plan'!$F$7)&gt;0,E$3&gt;='Hiring plan'!$G$7,E$3&lt;=IF('Hiring plan'!$H$7="",999,'Hiring plan'!$H$7)),'Hiring plan'!$F$7,0)</f>
        <v>1</v>
      </c>
      <c r="F11" s="37" t="n">
        <f aca="false">IF(AND(N('Hiring plan'!$F$7)&gt;0,F$3&gt;='Hiring plan'!$G$7,F$3&lt;=IF('Hiring plan'!$H$7="",999,'Hiring plan'!$H$7)),'Hiring plan'!$F$7,0)</f>
        <v>1</v>
      </c>
      <c r="G11" s="37" t="n">
        <f aca="false">IF(AND(N('Hiring plan'!$F$7)&gt;0,G$3&gt;='Hiring plan'!$G$7,G$3&lt;=IF('Hiring plan'!$H$7="",999,'Hiring plan'!$H$7)),'Hiring plan'!$F$7,0)</f>
        <v>1</v>
      </c>
      <c r="H11" s="37" t="n">
        <f aca="false">IF(AND(N('Hiring plan'!$F$7)&gt;0,H$3&gt;='Hiring plan'!$G$7,H$3&lt;=IF('Hiring plan'!$H$7="",999,'Hiring plan'!$H$7)),'Hiring plan'!$F$7,0)</f>
        <v>1</v>
      </c>
      <c r="I11" s="37" t="n">
        <f aca="false">IF(AND(N('Hiring plan'!$F$7)&gt;0,I$3&gt;='Hiring plan'!$G$7,I$3&lt;=IF('Hiring plan'!$H$7="",999,'Hiring plan'!$H$7)),'Hiring plan'!$F$7,0)</f>
        <v>1</v>
      </c>
      <c r="J11" s="37" t="n">
        <f aca="false">IF(AND(N('Hiring plan'!$F$7)&gt;0,J$3&gt;='Hiring plan'!$G$7,J$3&lt;=IF('Hiring plan'!$H$7="",999,'Hiring plan'!$H$7)),'Hiring plan'!$F$7,0)</f>
        <v>1</v>
      </c>
      <c r="K11" s="37" t="n">
        <f aca="false">IF(AND(N('Hiring plan'!$F$7)&gt;0,K$3&gt;='Hiring plan'!$G$7,K$3&lt;=IF('Hiring plan'!$H$7="",999,'Hiring plan'!$H$7)),'Hiring plan'!$F$7,0)</f>
        <v>1</v>
      </c>
      <c r="L11" s="37" t="n">
        <f aca="false">IF(AND(N('Hiring plan'!$F$7)&gt;0,L$3&gt;='Hiring plan'!$G$7,L$3&lt;=IF('Hiring plan'!$H$7="",999,'Hiring plan'!$H$7)),'Hiring plan'!$F$7,0)</f>
        <v>1</v>
      </c>
      <c r="M11" s="37" t="n">
        <f aca="false">IF(AND(N('Hiring plan'!$F$7)&gt;0,M$3&gt;='Hiring plan'!$G$7,M$3&lt;=IF('Hiring plan'!$H$7="",999,'Hiring plan'!$H$7)),'Hiring plan'!$F$7,0)</f>
        <v>1</v>
      </c>
      <c r="N11" s="37" t="n">
        <f aca="false">IF(AND(N('Hiring plan'!$F$7)&gt;0,N$3&gt;='Hiring plan'!$G$7,N$3&lt;=IF('Hiring plan'!$H$7="",999,'Hiring plan'!$H$7)),'Hiring plan'!$F$7,0)</f>
        <v>1</v>
      </c>
      <c r="O11" s="37" t="n">
        <f aca="false">IF(AND(N('Hiring plan'!$F$7)&gt;0,O$3&gt;='Hiring plan'!$G$7,O$3&lt;=IF('Hiring plan'!$H$7="",999,'Hiring plan'!$H$7)),'Hiring plan'!$F$7,0)</f>
        <v>1</v>
      </c>
      <c r="P11" s="37" t="n">
        <f aca="false">IF(AND(N('Hiring plan'!$F$7)&gt;0,P$3&gt;='Hiring plan'!$G$7,P$3&lt;=IF('Hiring plan'!$H$7="",999,'Hiring plan'!$H$7)),'Hiring plan'!$F$7,0)</f>
        <v>1</v>
      </c>
      <c r="Q11" s="37" t="n">
        <f aca="false">IF(AND(N('Hiring plan'!$F$7)&gt;0,Q$3&gt;='Hiring plan'!$G$7,Q$3&lt;=IF('Hiring plan'!$H$7="",999,'Hiring plan'!$H$7)),'Hiring plan'!$F$7,0)</f>
        <v>1</v>
      </c>
      <c r="R11" s="37" t="n">
        <f aca="false">IF(AND(N('Hiring plan'!$F$7)&gt;0,R$3&gt;='Hiring plan'!$G$7,R$3&lt;=IF('Hiring plan'!$H$7="",999,'Hiring plan'!$H$7)),'Hiring plan'!$F$7,0)</f>
        <v>1</v>
      </c>
      <c r="S11" s="37" t="n">
        <f aca="false">IF(AND(N('Hiring plan'!$F$7)&gt;0,S$3&gt;='Hiring plan'!$G$7,S$3&lt;=IF('Hiring plan'!$H$7="",999,'Hiring plan'!$H$7)),'Hiring plan'!$F$7,0)</f>
        <v>1</v>
      </c>
      <c r="T11" s="37" t="n">
        <f aca="false">IF(AND(N('Hiring plan'!$F$7)&gt;0,T$3&gt;='Hiring plan'!$G$7,T$3&lt;=IF('Hiring plan'!$H$7="",999,'Hiring plan'!$H$7)),'Hiring plan'!$F$7,0)</f>
        <v>1</v>
      </c>
      <c r="U11" s="37" t="n">
        <f aca="false">IF(AND(N('Hiring plan'!$F$7)&gt;0,U$3&gt;='Hiring plan'!$G$7,U$3&lt;=IF('Hiring plan'!$H$7="",999,'Hiring plan'!$H$7)),'Hiring plan'!$F$7,0)</f>
        <v>1</v>
      </c>
      <c r="V11" s="37" t="n">
        <f aca="false">IF(AND(N('Hiring plan'!$F$7)&gt;0,V$3&gt;='Hiring plan'!$G$7,V$3&lt;=IF('Hiring plan'!$H$7="",999,'Hiring plan'!$H$7)),'Hiring plan'!$F$7,0)</f>
        <v>1</v>
      </c>
      <c r="W11" s="37" t="n">
        <f aca="false">IF(AND(N('Hiring plan'!$F$7)&gt;0,W$3&gt;='Hiring plan'!$G$7,W$3&lt;=IF('Hiring plan'!$H$7="",999,'Hiring plan'!$H$7)),'Hiring plan'!$F$7,0)</f>
        <v>1</v>
      </c>
      <c r="X11" s="37" t="n">
        <f aca="false">IF(AND(N('Hiring plan'!$F$7)&gt;0,X$3&gt;='Hiring plan'!$G$7,X$3&lt;=IF('Hiring plan'!$H$7="",999,'Hiring plan'!$H$7)),'Hiring plan'!$F$7,0)</f>
        <v>1</v>
      </c>
      <c r="Y11" s="37" t="n">
        <f aca="false">IF(AND(N('Hiring plan'!$F$7)&gt;0,Y$3&gt;='Hiring plan'!$G$7,Y$3&lt;=IF('Hiring plan'!$H$7="",999,'Hiring plan'!$H$7)),'Hiring plan'!$F$7,0)</f>
        <v>1</v>
      </c>
      <c r="Z11" s="37" t="n">
        <f aca="false">IF(AND(N('Hiring plan'!$F$7)&gt;0,Z$3&gt;='Hiring plan'!$G$7,Z$3&lt;=IF('Hiring plan'!$H$7="",999,'Hiring plan'!$H$7)),'Hiring plan'!$F$7,0)</f>
        <v>1</v>
      </c>
      <c r="AA11" s="37" t="n">
        <f aca="false">IF(AND(N('Hiring plan'!$F$7)&gt;0,AA$3&gt;='Hiring plan'!$G$7,AA$3&lt;=IF('Hiring plan'!$H$7="",999,'Hiring plan'!$H$7)),'Hiring plan'!$F$7,0)</f>
        <v>1</v>
      </c>
      <c r="AB11" s="37" t="n">
        <f aca="false">IF(AND(N('Hiring plan'!$F$7)&gt;0,AB$3&gt;='Hiring plan'!$G$7,AB$3&lt;=IF('Hiring plan'!$H$7="",999,'Hiring plan'!$H$7)),'Hiring plan'!$F$7,0)</f>
        <v>1</v>
      </c>
      <c r="AC11" s="37" t="n">
        <f aca="false">IF(AND(N('Hiring plan'!$F$7)&gt;0,AC$3&gt;='Hiring plan'!$G$7,AC$3&lt;=IF('Hiring plan'!$H$7="",999,'Hiring plan'!$H$7)),'Hiring plan'!$F$7,0)</f>
        <v>1</v>
      </c>
      <c r="AD11" s="37" t="n">
        <f aca="false">IF(AND(N('Hiring plan'!$F$7)&gt;0,AD$3&gt;='Hiring plan'!$G$7,AD$3&lt;=IF('Hiring plan'!$H$7="",999,'Hiring plan'!$H$7)),'Hiring plan'!$F$7,0)</f>
        <v>1</v>
      </c>
      <c r="AE11" s="37" t="n">
        <f aca="false">IF(AND(N('Hiring plan'!$F$7)&gt;0,AE$3&gt;='Hiring plan'!$G$7,AE$3&lt;=IF('Hiring plan'!$H$7="",999,'Hiring plan'!$H$7)),'Hiring plan'!$F$7,0)</f>
        <v>1</v>
      </c>
      <c r="AF11" s="37" t="n">
        <f aca="false">IF(AND(N('Hiring plan'!$F$7)&gt;0,AF$3&gt;='Hiring plan'!$G$7,AF$3&lt;=IF('Hiring plan'!$H$7="",999,'Hiring plan'!$H$7)),'Hiring plan'!$F$7,0)</f>
        <v>1</v>
      </c>
      <c r="AG11" s="37" t="n">
        <f aca="false">IF(AND(N('Hiring plan'!$F$7)&gt;0,AG$3&gt;='Hiring plan'!$G$7,AG$3&lt;=IF('Hiring plan'!$H$7="",999,'Hiring plan'!$H$7)),'Hiring plan'!$F$7,0)</f>
        <v>1</v>
      </c>
      <c r="AH11" s="37" t="n">
        <f aca="false">IF(AND(N('Hiring plan'!$F$7)&gt;0,AH$3&gt;='Hiring plan'!$G$7,AH$3&lt;=IF('Hiring plan'!$H$7="",999,'Hiring plan'!$H$7)),'Hiring plan'!$F$7,0)</f>
        <v>1</v>
      </c>
      <c r="AI11" s="37" t="n">
        <f aca="false">IF(AND(N('Hiring plan'!$F$7)&gt;0,AI$3&gt;='Hiring plan'!$G$7,AI$3&lt;=IF('Hiring plan'!$H$7="",999,'Hiring plan'!$H$7)),'Hiring plan'!$F$7,0)</f>
        <v>1</v>
      </c>
      <c r="AJ11" s="37" t="n">
        <f aca="false">IF(AND(N('Hiring plan'!$F$7)&gt;0,AJ$3&gt;='Hiring plan'!$G$7,AJ$3&lt;=IF('Hiring plan'!$H$7="",999,'Hiring plan'!$H$7)),'Hiring plan'!$F$7,0)</f>
        <v>1</v>
      </c>
      <c r="AK11" s="37" t="n">
        <f aca="false">IF(AND(N('Hiring plan'!$F$7)&gt;0,AK$3&gt;='Hiring plan'!$G$7,AK$3&lt;=IF('Hiring plan'!$H$7="",999,'Hiring plan'!$H$7)),'Hiring plan'!$F$7,0)</f>
        <v>1</v>
      </c>
      <c r="AL11" s="37" t="n">
        <f aca="false">IF(AND(N('Hiring plan'!$F$7)&gt;0,AL$3&gt;='Hiring plan'!$G$7,AL$3&lt;=IF('Hiring plan'!$H$7="",999,'Hiring plan'!$H$7)),'Hiring plan'!$F$7,0)</f>
        <v>1</v>
      </c>
      <c r="AM11" s="37" t="n">
        <f aca="false">IF(AND(N('Hiring plan'!$F$7)&gt;0,AM$3&gt;='Hiring plan'!$G$7,AM$3&lt;=IF('Hiring plan'!$H$7="",999,'Hiring plan'!$H$7)),'Hiring plan'!$F$7,0)</f>
        <v>1</v>
      </c>
      <c r="AN11" s="37" t="n">
        <f aca="false">IF(AND(N('Hiring plan'!$F$7)&gt;0,AN$3&gt;='Hiring plan'!$G$7,AN$3&lt;=IF('Hiring plan'!$H$7="",999,'Hiring plan'!$H$7)),'Hiring plan'!$F$7,0)</f>
        <v>1</v>
      </c>
      <c r="AO11" s="37" t="n">
        <f aca="false">IF(AND(N('Hiring plan'!$F$7)&gt;0,AO$3&gt;='Hiring plan'!$G$7,AO$3&lt;=IF('Hiring plan'!$H$7="",999,'Hiring plan'!$H$7)),'Hiring plan'!$F$7,0)</f>
        <v>1</v>
      </c>
      <c r="AP11" s="37" t="n">
        <f aca="false">IF(AND(N('Hiring plan'!$F$7)&gt;0,AP$3&gt;='Hiring plan'!$G$7,AP$3&lt;=IF('Hiring plan'!$H$7="",999,'Hiring plan'!$H$7)),'Hiring plan'!$F$7,0)</f>
        <v>1</v>
      </c>
      <c r="AQ11" s="37" t="n">
        <f aca="false">IF(AND(N('Hiring plan'!$F$7)&gt;0,AQ$3&gt;='Hiring plan'!$G$7,AQ$3&lt;=IF('Hiring plan'!$H$7="",999,'Hiring plan'!$H$7)),'Hiring plan'!$F$7,0)</f>
        <v>1</v>
      </c>
      <c r="AR11" s="37" t="n">
        <f aca="false">IF(AND(N('Hiring plan'!$F$7)&gt;0,AR$3&gt;='Hiring plan'!$G$7,AR$3&lt;=IF('Hiring plan'!$H$7="",999,'Hiring plan'!$H$7)),'Hiring plan'!$F$7,0)</f>
        <v>1</v>
      </c>
      <c r="AS11" s="37" t="n">
        <f aca="false">IF(AND(N('Hiring plan'!$F$7)&gt;0,AS$3&gt;='Hiring plan'!$G$7,AS$3&lt;=IF('Hiring plan'!$H$7="",999,'Hiring plan'!$H$7)),'Hiring plan'!$F$7,0)</f>
        <v>1</v>
      </c>
      <c r="AT11" s="37" t="n">
        <f aca="false">IF(AND(N('Hiring plan'!$F$7)&gt;0,AT$3&gt;='Hiring plan'!$G$7,AT$3&lt;=IF('Hiring plan'!$H$7="",999,'Hiring plan'!$H$7)),'Hiring plan'!$F$7,0)</f>
        <v>1</v>
      </c>
      <c r="AU11" s="37" t="n">
        <f aca="false">IF(AND(N('Hiring plan'!$F$7)&gt;0,AU$3&gt;='Hiring plan'!$G$7,AU$3&lt;=IF('Hiring plan'!$H$7="",999,'Hiring plan'!$H$7)),'Hiring plan'!$F$7,0)</f>
        <v>1</v>
      </c>
      <c r="AV11" s="37" t="n">
        <f aca="false">IF(AND(N('Hiring plan'!$F$7)&gt;0,AV$3&gt;='Hiring plan'!$G$7,AV$3&lt;=IF('Hiring plan'!$H$7="",999,'Hiring plan'!$H$7)),'Hiring plan'!$F$7,0)</f>
        <v>1</v>
      </c>
      <c r="AW11" s="37" t="n">
        <f aca="false">IF(AND(N('Hiring plan'!$F$7)&gt;0,AW$3&gt;='Hiring plan'!$G$7,AW$3&lt;=IF('Hiring plan'!$H$7="",999,'Hiring plan'!$H$7)),'Hiring plan'!$F$7,0)</f>
        <v>1</v>
      </c>
      <c r="AX11" s="37" t="n">
        <f aca="false">IF(AND(N('Hiring plan'!$F$7)&gt;0,AX$3&gt;='Hiring plan'!$G$7,AX$3&lt;=IF('Hiring plan'!$H$7="",999,'Hiring plan'!$H$7)),'Hiring plan'!$F$7,0)</f>
        <v>1</v>
      </c>
      <c r="AY11" s="37" t="n">
        <f aca="false">IF(AND(N('Hiring plan'!$F$7)&gt;0,AY$3&gt;='Hiring plan'!$G$7,AY$3&lt;=IF('Hiring plan'!$H$7="",999,'Hiring plan'!$H$7)),'Hiring plan'!$F$7,0)</f>
        <v>1</v>
      </c>
      <c r="AZ11" s="37" t="n">
        <f aca="false">IF(AND(N('Hiring plan'!$F$7)&gt;0,AZ$3&gt;='Hiring plan'!$G$7,AZ$3&lt;=IF('Hiring plan'!$H$7="",999,'Hiring plan'!$H$7)),'Hiring plan'!$F$7,0)</f>
        <v>1</v>
      </c>
      <c r="BA11" s="37" t="n">
        <f aca="false">IF(AND(N('Hiring plan'!$F$7)&gt;0,BA$3&gt;='Hiring plan'!$G$7,BA$3&lt;=IF('Hiring plan'!$H$7="",999,'Hiring plan'!$H$7)),'Hiring plan'!$F$7,0)</f>
        <v>1</v>
      </c>
      <c r="BB11" s="37" t="n">
        <f aca="false">IF(AND(N('Hiring plan'!$F$7)&gt;0,BB$3&gt;='Hiring plan'!$G$7,BB$3&lt;=IF('Hiring plan'!$H$7="",999,'Hiring plan'!$H$7)),'Hiring plan'!$F$7,0)</f>
        <v>1</v>
      </c>
      <c r="BC11" s="37" t="n">
        <f aca="false">IF(AND(N('Hiring plan'!$F$7)&gt;0,BC$3&gt;='Hiring plan'!$G$7,BC$3&lt;=IF('Hiring plan'!$H$7="",999,'Hiring plan'!$H$7)),'Hiring plan'!$F$7,0)</f>
        <v>1</v>
      </c>
      <c r="BD11" s="37" t="n">
        <f aca="false">IF(AND(N('Hiring plan'!$F$7)&gt;0,BD$3&gt;='Hiring plan'!$G$7,BD$3&lt;=IF('Hiring plan'!$H$7="",999,'Hiring plan'!$H$7)),'Hiring plan'!$F$7,0)</f>
        <v>1</v>
      </c>
      <c r="BE11" s="37" t="n">
        <f aca="false">IF(AND(N('Hiring plan'!$F$7)&gt;0,BE$3&gt;='Hiring plan'!$G$7,BE$3&lt;=IF('Hiring plan'!$H$7="",999,'Hiring plan'!$H$7)),'Hiring plan'!$F$7,0)</f>
        <v>1</v>
      </c>
      <c r="BF11" s="37" t="n">
        <f aca="false">IF(AND(N('Hiring plan'!$F$7)&gt;0,BF$3&gt;='Hiring plan'!$G$7,BF$3&lt;=IF('Hiring plan'!$H$7="",999,'Hiring plan'!$H$7)),'Hiring plan'!$F$7,0)</f>
        <v>1</v>
      </c>
      <c r="BG11" s="37" t="n">
        <f aca="false">IF(AND(N('Hiring plan'!$F$7)&gt;0,BG$3&gt;='Hiring plan'!$G$7,BG$3&lt;=IF('Hiring plan'!$H$7="",999,'Hiring plan'!$H$7)),'Hiring plan'!$F$7,0)</f>
        <v>1</v>
      </c>
      <c r="BH11" s="37" t="n">
        <f aca="false">IF(AND(N('Hiring plan'!$F$7)&gt;0,BH$3&gt;='Hiring plan'!$G$7,BH$3&lt;=IF('Hiring plan'!$H$7="",999,'Hiring plan'!$H$7)),'Hiring plan'!$F$7,0)</f>
        <v>1</v>
      </c>
      <c r="BI11" s="37" t="n">
        <f aca="false">IF(AND(N('Hiring plan'!$F$7)&gt;0,BI$3&gt;='Hiring plan'!$G$7,BI$3&lt;=IF('Hiring plan'!$H$7="",999,'Hiring plan'!$H$7)),'Hiring plan'!$F$7,0)</f>
        <v>1</v>
      </c>
      <c r="BJ11" s="37" t="n">
        <f aca="false">IF(AND(N('Hiring plan'!$F$7)&gt;0,BJ$3&gt;='Hiring plan'!$G$7,BJ$3&lt;=IF('Hiring plan'!$H$7="",999,'Hiring plan'!$H$7)),'Hiring plan'!$F$7,0)</f>
        <v>1</v>
      </c>
      <c r="BK11" s="37" t="n">
        <f aca="false">IF(AND(N('Hiring plan'!$F$7)&gt;0,BK$3&gt;='Hiring plan'!$G$7,BK$3&lt;=IF('Hiring plan'!$H$7="",999,'Hiring plan'!$H$7)),'Hiring plan'!$F$7,0)</f>
        <v>1</v>
      </c>
      <c r="BL11" s="37" t="n">
        <f aca="false">IF(AND(N('Hiring plan'!$F$7)&gt;0,BL$3&gt;='Hiring plan'!$G$7,BL$3&lt;=IF('Hiring plan'!$H$7="",999,'Hiring plan'!$H$7)),'Hiring plan'!$F$7,0)</f>
        <v>1</v>
      </c>
    </row>
    <row r="12" customFormat="false" ht="15" hidden="false" customHeight="false" outlineLevel="0" collapsed="false">
      <c r="A12" s="12" t="str">
        <f aca="false">IF('Hiring plan'!$C$8="","(spare line 4)",'Hiring plan'!$C$8&amp;" · "&amp;'Hiring plan'!$D$8)</f>
        <v>Sales lead (also sells; incl. bonus) · SN</v>
      </c>
      <c r="B12" s="14" t="s">
        <v>86</v>
      </c>
      <c r="D12" s="55" t="n">
        <f aca="false">MAX(E12:BL12)</f>
        <v>1</v>
      </c>
      <c r="E12" s="37" t="n">
        <f aca="false">IF(AND(N('Hiring plan'!$F$8)&gt;0,E$3&gt;='Hiring plan'!$G$8,E$3&lt;=IF('Hiring plan'!$H$8="",999,'Hiring plan'!$H$8)),'Hiring plan'!$F$8,0)</f>
        <v>1</v>
      </c>
      <c r="F12" s="37" t="n">
        <f aca="false">IF(AND(N('Hiring plan'!$F$8)&gt;0,F$3&gt;='Hiring plan'!$G$8,F$3&lt;=IF('Hiring plan'!$H$8="",999,'Hiring plan'!$H$8)),'Hiring plan'!$F$8,0)</f>
        <v>1</v>
      </c>
      <c r="G12" s="37" t="n">
        <f aca="false">IF(AND(N('Hiring plan'!$F$8)&gt;0,G$3&gt;='Hiring plan'!$G$8,G$3&lt;=IF('Hiring plan'!$H$8="",999,'Hiring plan'!$H$8)),'Hiring plan'!$F$8,0)</f>
        <v>1</v>
      </c>
      <c r="H12" s="37" t="n">
        <f aca="false">IF(AND(N('Hiring plan'!$F$8)&gt;0,H$3&gt;='Hiring plan'!$G$8,H$3&lt;=IF('Hiring plan'!$H$8="",999,'Hiring plan'!$H$8)),'Hiring plan'!$F$8,0)</f>
        <v>1</v>
      </c>
      <c r="I12" s="37" t="n">
        <f aca="false">IF(AND(N('Hiring plan'!$F$8)&gt;0,I$3&gt;='Hiring plan'!$G$8,I$3&lt;=IF('Hiring plan'!$H$8="",999,'Hiring plan'!$H$8)),'Hiring plan'!$F$8,0)</f>
        <v>1</v>
      </c>
      <c r="J12" s="37" t="n">
        <f aca="false">IF(AND(N('Hiring plan'!$F$8)&gt;0,J$3&gt;='Hiring plan'!$G$8,J$3&lt;=IF('Hiring plan'!$H$8="",999,'Hiring plan'!$H$8)),'Hiring plan'!$F$8,0)</f>
        <v>1</v>
      </c>
      <c r="K12" s="37" t="n">
        <f aca="false">IF(AND(N('Hiring plan'!$F$8)&gt;0,K$3&gt;='Hiring plan'!$G$8,K$3&lt;=IF('Hiring plan'!$H$8="",999,'Hiring plan'!$H$8)),'Hiring plan'!$F$8,0)</f>
        <v>1</v>
      </c>
      <c r="L12" s="37" t="n">
        <f aca="false">IF(AND(N('Hiring plan'!$F$8)&gt;0,L$3&gt;='Hiring plan'!$G$8,L$3&lt;=IF('Hiring plan'!$H$8="",999,'Hiring plan'!$H$8)),'Hiring plan'!$F$8,0)</f>
        <v>1</v>
      </c>
      <c r="M12" s="37" t="n">
        <f aca="false">IF(AND(N('Hiring plan'!$F$8)&gt;0,M$3&gt;='Hiring plan'!$G$8,M$3&lt;=IF('Hiring plan'!$H$8="",999,'Hiring plan'!$H$8)),'Hiring plan'!$F$8,0)</f>
        <v>1</v>
      </c>
      <c r="N12" s="37" t="n">
        <f aca="false">IF(AND(N('Hiring plan'!$F$8)&gt;0,N$3&gt;='Hiring plan'!$G$8,N$3&lt;=IF('Hiring plan'!$H$8="",999,'Hiring plan'!$H$8)),'Hiring plan'!$F$8,0)</f>
        <v>1</v>
      </c>
      <c r="O12" s="37" t="n">
        <f aca="false">IF(AND(N('Hiring plan'!$F$8)&gt;0,O$3&gt;='Hiring plan'!$G$8,O$3&lt;=IF('Hiring plan'!$H$8="",999,'Hiring plan'!$H$8)),'Hiring plan'!$F$8,0)</f>
        <v>1</v>
      </c>
      <c r="P12" s="37" t="n">
        <f aca="false">IF(AND(N('Hiring plan'!$F$8)&gt;0,P$3&gt;='Hiring plan'!$G$8,P$3&lt;=IF('Hiring plan'!$H$8="",999,'Hiring plan'!$H$8)),'Hiring plan'!$F$8,0)</f>
        <v>1</v>
      </c>
      <c r="Q12" s="37" t="n">
        <f aca="false">IF(AND(N('Hiring plan'!$F$8)&gt;0,Q$3&gt;='Hiring plan'!$G$8,Q$3&lt;=IF('Hiring plan'!$H$8="",999,'Hiring plan'!$H$8)),'Hiring plan'!$F$8,0)</f>
        <v>1</v>
      </c>
      <c r="R12" s="37" t="n">
        <f aca="false">IF(AND(N('Hiring plan'!$F$8)&gt;0,R$3&gt;='Hiring plan'!$G$8,R$3&lt;=IF('Hiring plan'!$H$8="",999,'Hiring plan'!$H$8)),'Hiring plan'!$F$8,0)</f>
        <v>1</v>
      </c>
      <c r="S12" s="37" t="n">
        <f aca="false">IF(AND(N('Hiring plan'!$F$8)&gt;0,S$3&gt;='Hiring plan'!$G$8,S$3&lt;=IF('Hiring plan'!$H$8="",999,'Hiring plan'!$H$8)),'Hiring plan'!$F$8,0)</f>
        <v>1</v>
      </c>
      <c r="T12" s="37" t="n">
        <f aca="false">IF(AND(N('Hiring plan'!$F$8)&gt;0,T$3&gt;='Hiring plan'!$G$8,T$3&lt;=IF('Hiring plan'!$H$8="",999,'Hiring plan'!$H$8)),'Hiring plan'!$F$8,0)</f>
        <v>1</v>
      </c>
      <c r="U12" s="37" t="n">
        <f aca="false">IF(AND(N('Hiring plan'!$F$8)&gt;0,U$3&gt;='Hiring plan'!$G$8,U$3&lt;=IF('Hiring plan'!$H$8="",999,'Hiring plan'!$H$8)),'Hiring plan'!$F$8,0)</f>
        <v>1</v>
      </c>
      <c r="V12" s="37" t="n">
        <f aca="false">IF(AND(N('Hiring plan'!$F$8)&gt;0,V$3&gt;='Hiring plan'!$G$8,V$3&lt;=IF('Hiring plan'!$H$8="",999,'Hiring plan'!$H$8)),'Hiring plan'!$F$8,0)</f>
        <v>1</v>
      </c>
      <c r="W12" s="37" t="n">
        <f aca="false">IF(AND(N('Hiring plan'!$F$8)&gt;0,W$3&gt;='Hiring plan'!$G$8,W$3&lt;=IF('Hiring plan'!$H$8="",999,'Hiring plan'!$H$8)),'Hiring plan'!$F$8,0)</f>
        <v>1</v>
      </c>
      <c r="X12" s="37" t="n">
        <f aca="false">IF(AND(N('Hiring plan'!$F$8)&gt;0,X$3&gt;='Hiring plan'!$G$8,X$3&lt;=IF('Hiring plan'!$H$8="",999,'Hiring plan'!$H$8)),'Hiring plan'!$F$8,0)</f>
        <v>1</v>
      </c>
      <c r="Y12" s="37" t="n">
        <f aca="false">IF(AND(N('Hiring plan'!$F$8)&gt;0,Y$3&gt;='Hiring plan'!$G$8,Y$3&lt;=IF('Hiring plan'!$H$8="",999,'Hiring plan'!$H$8)),'Hiring plan'!$F$8,0)</f>
        <v>1</v>
      </c>
      <c r="Z12" s="37" t="n">
        <f aca="false">IF(AND(N('Hiring plan'!$F$8)&gt;0,Z$3&gt;='Hiring plan'!$G$8,Z$3&lt;=IF('Hiring plan'!$H$8="",999,'Hiring plan'!$H$8)),'Hiring plan'!$F$8,0)</f>
        <v>1</v>
      </c>
      <c r="AA12" s="37" t="n">
        <f aca="false">IF(AND(N('Hiring plan'!$F$8)&gt;0,AA$3&gt;='Hiring plan'!$G$8,AA$3&lt;=IF('Hiring plan'!$H$8="",999,'Hiring plan'!$H$8)),'Hiring plan'!$F$8,0)</f>
        <v>1</v>
      </c>
      <c r="AB12" s="37" t="n">
        <f aca="false">IF(AND(N('Hiring plan'!$F$8)&gt;0,AB$3&gt;='Hiring plan'!$G$8,AB$3&lt;=IF('Hiring plan'!$H$8="",999,'Hiring plan'!$H$8)),'Hiring plan'!$F$8,0)</f>
        <v>1</v>
      </c>
      <c r="AC12" s="37" t="n">
        <f aca="false">IF(AND(N('Hiring plan'!$F$8)&gt;0,AC$3&gt;='Hiring plan'!$G$8,AC$3&lt;=IF('Hiring plan'!$H$8="",999,'Hiring plan'!$H$8)),'Hiring plan'!$F$8,0)</f>
        <v>1</v>
      </c>
      <c r="AD12" s="37" t="n">
        <f aca="false">IF(AND(N('Hiring plan'!$F$8)&gt;0,AD$3&gt;='Hiring plan'!$G$8,AD$3&lt;=IF('Hiring plan'!$H$8="",999,'Hiring plan'!$H$8)),'Hiring plan'!$F$8,0)</f>
        <v>1</v>
      </c>
      <c r="AE12" s="37" t="n">
        <f aca="false">IF(AND(N('Hiring plan'!$F$8)&gt;0,AE$3&gt;='Hiring plan'!$G$8,AE$3&lt;=IF('Hiring plan'!$H$8="",999,'Hiring plan'!$H$8)),'Hiring plan'!$F$8,0)</f>
        <v>1</v>
      </c>
      <c r="AF12" s="37" t="n">
        <f aca="false">IF(AND(N('Hiring plan'!$F$8)&gt;0,AF$3&gt;='Hiring plan'!$G$8,AF$3&lt;=IF('Hiring plan'!$H$8="",999,'Hiring plan'!$H$8)),'Hiring plan'!$F$8,0)</f>
        <v>1</v>
      </c>
      <c r="AG12" s="37" t="n">
        <f aca="false">IF(AND(N('Hiring plan'!$F$8)&gt;0,AG$3&gt;='Hiring plan'!$G$8,AG$3&lt;=IF('Hiring plan'!$H$8="",999,'Hiring plan'!$H$8)),'Hiring plan'!$F$8,0)</f>
        <v>1</v>
      </c>
      <c r="AH12" s="37" t="n">
        <f aca="false">IF(AND(N('Hiring plan'!$F$8)&gt;0,AH$3&gt;='Hiring plan'!$G$8,AH$3&lt;=IF('Hiring plan'!$H$8="",999,'Hiring plan'!$H$8)),'Hiring plan'!$F$8,0)</f>
        <v>1</v>
      </c>
      <c r="AI12" s="37" t="n">
        <f aca="false">IF(AND(N('Hiring plan'!$F$8)&gt;0,AI$3&gt;='Hiring plan'!$G$8,AI$3&lt;=IF('Hiring plan'!$H$8="",999,'Hiring plan'!$H$8)),'Hiring plan'!$F$8,0)</f>
        <v>1</v>
      </c>
      <c r="AJ12" s="37" t="n">
        <f aca="false">IF(AND(N('Hiring plan'!$F$8)&gt;0,AJ$3&gt;='Hiring plan'!$G$8,AJ$3&lt;=IF('Hiring plan'!$H$8="",999,'Hiring plan'!$H$8)),'Hiring plan'!$F$8,0)</f>
        <v>1</v>
      </c>
      <c r="AK12" s="37" t="n">
        <f aca="false">IF(AND(N('Hiring plan'!$F$8)&gt;0,AK$3&gt;='Hiring plan'!$G$8,AK$3&lt;=IF('Hiring plan'!$H$8="",999,'Hiring plan'!$H$8)),'Hiring plan'!$F$8,0)</f>
        <v>1</v>
      </c>
      <c r="AL12" s="37" t="n">
        <f aca="false">IF(AND(N('Hiring plan'!$F$8)&gt;0,AL$3&gt;='Hiring plan'!$G$8,AL$3&lt;=IF('Hiring plan'!$H$8="",999,'Hiring plan'!$H$8)),'Hiring plan'!$F$8,0)</f>
        <v>1</v>
      </c>
      <c r="AM12" s="37" t="n">
        <f aca="false">IF(AND(N('Hiring plan'!$F$8)&gt;0,AM$3&gt;='Hiring plan'!$G$8,AM$3&lt;=IF('Hiring plan'!$H$8="",999,'Hiring plan'!$H$8)),'Hiring plan'!$F$8,0)</f>
        <v>1</v>
      </c>
      <c r="AN12" s="37" t="n">
        <f aca="false">IF(AND(N('Hiring plan'!$F$8)&gt;0,AN$3&gt;='Hiring plan'!$G$8,AN$3&lt;=IF('Hiring plan'!$H$8="",999,'Hiring plan'!$H$8)),'Hiring plan'!$F$8,0)</f>
        <v>1</v>
      </c>
      <c r="AO12" s="37" t="n">
        <f aca="false">IF(AND(N('Hiring plan'!$F$8)&gt;0,AO$3&gt;='Hiring plan'!$G$8,AO$3&lt;=IF('Hiring plan'!$H$8="",999,'Hiring plan'!$H$8)),'Hiring plan'!$F$8,0)</f>
        <v>1</v>
      </c>
      <c r="AP12" s="37" t="n">
        <f aca="false">IF(AND(N('Hiring plan'!$F$8)&gt;0,AP$3&gt;='Hiring plan'!$G$8,AP$3&lt;=IF('Hiring plan'!$H$8="",999,'Hiring plan'!$H$8)),'Hiring plan'!$F$8,0)</f>
        <v>1</v>
      </c>
      <c r="AQ12" s="37" t="n">
        <f aca="false">IF(AND(N('Hiring plan'!$F$8)&gt;0,AQ$3&gt;='Hiring plan'!$G$8,AQ$3&lt;=IF('Hiring plan'!$H$8="",999,'Hiring plan'!$H$8)),'Hiring plan'!$F$8,0)</f>
        <v>1</v>
      </c>
      <c r="AR12" s="37" t="n">
        <f aca="false">IF(AND(N('Hiring plan'!$F$8)&gt;0,AR$3&gt;='Hiring plan'!$G$8,AR$3&lt;=IF('Hiring plan'!$H$8="",999,'Hiring plan'!$H$8)),'Hiring plan'!$F$8,0)</f>
        <v>1</v>
      </c>
      <c r="AS12" s="37" t="n">
        <f aca="false">IF(AND(N('Hiring plan'!$F$8)&gt;0,AS$3&gt;='Hiring plan'!$G$8,AS$3&lt;=IF('Hiring plan'!$H$8="",999,'Hiring plan'!$H$8)),'Hiring plan'!$F$8,0)</f>
        <v>1</v>
      </c>
      <c r="AT12" s="37" t="n">
        <f aca="false">IF(AND(N('Hiring plan'!$F$8)&gt;0,AT$3&gt;='Hiring plan'!$G$8,AT$3&lt;=IF('Hiring plan'!$H$8="",999,'Hiring plan'!$H$8)),'Hiring plan'!$F$8,0)</f>
        <v>1</v>
      </c>
      <c r="AU12" s="37" t="n">
        <f aca="false">IF(AND(N('Hiring plan'!$F$8)&gt;0,AU$3&gt;='Hiring plan'!$G$8,AU$3&lt;=IF('Hiring plan'!$H$8="",999,'Hiring plan'!$H$8)),'Hiring plan'!$F$8,0)</f>
        <v>1</v>
      </c>
      <c r="AV12" s="37" t="n">
        <f aca="false">IF(AND(N('Hiring plan'!$F$8)&gt;0,AV$3&gt;='Hiring plan'!$G$8,AV$3&lt;=IF('Hiring plan'!$H$8="",999,'Hiring plan'!$H$8)),'Hiring plan'!$F$8,0)</f>
        <v>1</v>
      </c>
      <c r="AW12" s="37" t="n">
        <f aca="false">IF(AND(N('Hiring plan'!$F$8)&gt;0,AW$3&gt;='Hiring plan'!$G$8,AW$3&lt;=IF('Hiring plan'!$H$8="",999,'Hiring plan'!$H$8)),'Hiring plan'!$F$8,0)</f>
        <v>1</v>
      </c>
      <c r="AX12" s="37" t="n">
        <f aca="false">IF(AND(N('Hiring plan'!$F$8)&gt;0,AX$3&gt;='Hiring plan'!$G$8,AX$3&lt;=IF('Hiring plan'!$H$8="",999,'Hiring plan'!$H$8)),'Hiring plan'!$F$8,0)</f>
        <v>1</v>
      </c>
      <c r="AY12" s="37" t="n">
        <f aca="false">IF(AND(N('Hiring plan'!$F$8)&gt;0,AY$3&gt;='Hiring plan'!$G$8,AY$3&lt;=IF('Hiring plan'!$H$8="",999,'Hiring plan'!$H$8)),'Hiring plan'!$F$8,0)</f>
        <v>1</v>
      </c>
      <c r="AZ12" s="37" t="n">
        <f aca="false">IF(AND(N('Hiring plan'!$F$8)&gt;0,AZ$3&gt;='Hiring plan'!$G$8,AZ$3&lt;=IF('Hiring plan'!$H$8="",999,'Hiring plan'!$H$8)),'Hiring plan'!$F$8,0)</f>
        <v>1</v>
      </c>
      <c r="BA12" s="37" t="n">
        <f aca="false">IF(AND(N('Hiring plan'!$F$8)&gt;0,BA$3&gt;='Hiring plan'!$G$8,BA$3&lt;=IF('Hiring plan'!$H$8="",999,'Hiring plan'!$H$8)),'Hiring plan'!$F$8,0)</f>
        <v>1</v>
      </c>
      <c r="BB12" s="37" t="n">
        <f aca="false">IF(AND(N('Hiring plan'!$F$8)&gt;0,BB$3&gt;='Hiring plan'!$G$8,BB$3&lt;=IF('Hiring plan'!$H$8="",999,'Hiring plan'!$H$8)),'Hiring plan'!$F$8,0)</f>
        <v>1</v>
      </c>
      <c r="BC12" s="37" t="n">
        <f aca="false">IF(AND(N('Hiring plan'!$F$8)&gt;0,BC$3&gt;='Hiring plan'!$G$8,BC$3&lt;=IF('Hiring plan'!$H$8="",999,'Hiring plan'!$H$8)),'Hiring plan'!$F$8,0)</f>
        <v>1</v>
      </c>
      <c r="BD12" s="37" t="n">
        <f aca="false">IF(AND(N('Hiring plan'!$F$8)&gt;0,BD$3&gt;='Hiring plan'!$G$8,BD$3&lt;=IF('Hiring plan'!$H$8="",999,'Hiring plan'!$H$8)),'Hiring plan'!$F$8,0)</f>
        <v>1</v>
      </c>
      <c r="BE12" s="37" t="n">
        <f aca="false">IF(AND(N('Hiring plan'!$F$8)&gt;0,BE$3&gt;='Hiring plan'!$G$8,BE$3&lt;=IF('Hiring plan'!$H$8="",999,'Hiring plan'!$H$8)),'Hiring plan'!$F$8,0)</f>
        <v>1</v>
      </c>
      <c r="BF12" s="37" t="n">
        <f aca="false">IF(AND(N('Hiring plan'!$F$8)&gt;0,BF$3&gt;='Hiring plan'!$G$8,BF$3&lt;=IF('Hiring plan'!$H$8="",999,'Hiring plan'!$H$8)),'Hiring plan'!$F$8,0)</f>
        <v>1</v>
      </c>
      <c r="BG12" s="37" t="n">
        <f aca="false">IF(AND(N('Hiring plan'!$F$8)&gt;0,BG$3&gt;='Hiring plan'!$G$8,BG$3&lt;=IF('Hiring plan'!$H$8="",999,'Hiring plan'!$H$8)),'Hiring plan'!$F$8,0)</f>
        <v>1</v>
      </c>
      <c r="BH12" s="37" t="n">
        <f aca="false">IF(AND(N('Hiring plan'!$F$8)&gt;0,BH$3&gt;='Hiring plan'!$G$8,BH$3&lt;=IF('Hiring plan'!$H$8="",999,'Hiring plan'!$H$8)),'Hiring plan'!$F$8,0)</f>
        <v>1</v>
      </c>
      <c r="BI12" s="37" t="n">
        <f aca="false">IF(AND(N('Hiring plan'!$F$8)&gt;0,BI$3&gt;='Hiring plan'!$G$8,BI$3&lt;=IF('Hiring plan'!$H$8="",999,'Hiring plan'!$H$8)),'Hiring plan'!$F$8,0)</f>
        <v>1</v>
      </c>
      <c r="BJ12" s="37" t="n">
        <f aca="false">IF(AND(N('Hiring plan'!$F$8)&gt;0,BJ$3&gt;='Hiring plan'!$G$8,BJ$3&lt;=IF('Hiring plan'!$H$8="",999,'Hiring plan'!$H$8)),'Hiring plan'!$F$8,0)</f>
        <v>1</v>
      </c>
      <c r="BK12" s="37" t="n">
        <f aca="false">IF(AND(N('Hiring plan'!$F$8)&gt;0,BK$3&gt;='Hiring plan'!$G$8,BK$3&lt;=IF('Hiring plan'!$H$8="",999,'Hiring plan'!$H$8)),'Hiring plan'!$F$8,0)</f>
        <v>1</v>
      </c>
      <c r="BL12" s="37" t="n">
        <f aca="false">IF(AND(N('Hiring plan'!$F$8)&gt;0,BL$3&gt;='Hiring plan'!$G$8,BL$3&lt;=IF('Hiring plan'!$H$8="",999,'Hiring plan'!$H$8)),'Hiring plan'!$F$8,0)</f>
        <v>1</v>
      </c>
    </row>
    <row r="13" customFormat="false" ht="15" hidden="false" customHeight="false" outlineLevel="0" collapsed="false">
      <c r="A13" s="12" t="str">
        <f aca="false">IF('Hiring plan'!$C$9="","(spare line 5)",'Hiring plan'!$C$9&amp;" · "&amp;'Hiring plan'!$D$9)</f>
        <v>Marketing manager (senior) · SN</v>
      </c>
      <c r="B13" s="14" t="s">
        <v>86</v>
      </c>
      <c r="D13" s="55" t="n">
        <f aca="false">MAX(E13:BL13)</f>
        <v>1</v>
      </c>
      <c r="E13" s="37" t="n">
        <f aca="false">IF(AND(N('Hiring plan'!$F$9)&gt;0,E$3&gt;='Hiring plan'!$G$9,E$3&lt;=IF('Hiring plan'!$H$9="",999,'Hiring plan'!$H$9)),'Hiring plan'!$F$9,0)</f>
        <v>0</v>
      </c>
      <c r="F13" s="37" t="n">
        <f aca="false">IF(AND(N('Hiring plan'!$F$9)&gt;0,F$3&gt;='Hiring plan'!$G$9,F$3&lt;=IF('Hiring plan'!$H$9="",999,'Hiring plan'!$H$9)),'Hiring plan'!$F$9,0)</f>
        <v>0</v>
      </c>
      <c r="G13" s="37" t="n">
        <f aca="false">IF(AND(N('Hiring plan'!$F$9)&gt;0,G$3&gt;='Hiring plan'!$G$9,G$3&lt;=IF('Hiring plan'!$H$9="",999,'Hiring plan'!$H$9)),'Hiring plan'!$F$9,0)</f>
        <v>0</v>
      </c>
      <c r="H13" s="37" t="n">
        <f aca="false">IF(AND(N('Hiring plan'!$F$9)&gt;0,H$3&gt;='Hiring plan'!$G$9,H$3&lt;=IF('Hiring plan'!$H$9="",999,'Hiring plan'!$H$9)),'Hiring plan'!$F$9,0)</f>
        <v>1</v>
      </c>
      <c r="I13" s="37" t="n">
        <f aca="false">IF(AND(N('Hiring plan'!$F$9)&gt;0,I$3&gt;='Hiring plan'!$G$9,I$3&lt;=IF('Hiring plan'!$H$9="",999,'Hiring plan'!$H$9)),'Hiring plan'!$F$9,0)</f>
        <v>1</v>
      </c>
      <c r="J13" s="37" t="n">
        <f aca="false">IF(AND(N('Hiring plan'!$F$9)&gt;0,J$3&gt;='Hiring plan'!$G$9,J$3&lt;=IF('Hiring plan'!$H$9="",999,'Hiring plan'!$H$9)),'Hiring plan'!$F$9,0)</f>
        <v>1</v>
      </c>
      <c r="K13" s="37" t="n">
        <f aca="false">IF(AND(N('Hiring plan'!$F$9)&gt;0,K$3&gt;='Hiring plan'!$G$9,K$3&lt;=IF('Hiring plan'!$H$9="",999,'Hiring plan'!$H$9)),'Hiring plan'!$F$9,0)</f>
        <v>1</v>
      </c>
      <c r="L13" s="37" t="n">
        <f aca="false">IF(AND(N('Hiring plan'!$F$9)&gt;0,L$3&gt;='Hiring plan'!$G$9,L$3&lt;=IF('Hiring plan'!$H$9="",999,'Hiring plan'!$H$9)),'Hiring plan'!$F$9,0)</f>
        <v>1</v>
      </c>
      <c r="M13" s="37" t="n">
        <f aca="false">IF(AND(N('Hiring plan'!$F$9)&gt;0,M$3&gt;='Hiring plan'!$G$9,M$3&lt;=IF('Hiring plan'!$H$9="",999,'Hiring plan'!$H$9)),'Hiring plan'!$F$9,0)</f>
        <v>1</v>
      </c>
      <c r="N13" s="37" t="n">
        <f aca="false">IF(AND(N('Hiring plan'!$F$9)&gt;0,N$3&gt;='Hiring plan'!$G$9,N$3&lt;=IF('Hiring plan'!$H$9="",999,'Hiring plan'!$H$9)),'Hiring plan'!$F$9,0)</f>
        <v>1</v>
      </c>
      <c r="O13" s="37" t="n">
        <f aca="false">IF(AND(N('Hiring plan'!$F$9)&gt;0,O$3&gt;='Hiring plan'!$G$9,O$3&lt;=IF('Hiring plan'!$H$9="",999,'Hiring plan'!$H$9)),'Hiring plan'!$F$9,0)</f>
        <v>1</v>
      </c>
      <c r="P13" s="37" t="n">
        <f aca="false">IF(AND(N('Hiring plan'!$F$9)&gt;0,P$3&gt;='Hiring plan'!$G$9,P$3&lt;=IF('Hiring plan'!$H$9="",999,'Hiring plan'!$H$9)),'Hiring plan'!$F$9,0)</f>
        <v>1</v>
      </c>
      <c r="Q13" s="37" t="n">
        <f aca="false">IF(AND(N('Hiring plan'!$F$9)&gt;0,Q$3&gt;='Hiring plan'!$G$9,Q$3&lt;=IF('Hiring plan'!$H$9="",999,'Hiring plan'!$H$9)),'Hiring plan'!$F$9,0)</f>
        <v>1</v>
      </c>
      <c r="R13" s="37" t="n">
        <f aca="false">IF(AND(N('Hiring plan'!$F$9)&gt;0,R$3&gt;='Hiring plan'!$G$9,R$3&lt;=IF('Hiring plan'!$H$9="",999,'Hiring plan'!$H$9)),'Hiring plan'!$F$9,0)</f>
        <v>1</v>
      </c>
      <c r="S13" s="37" t="n">
        <f aca="false">IF(AND(N('Hiring plan'!$F$9)&gt;0,S$3&gt;='Hiring plan'!$G$9,S$3&lt;=IF('Hiring plan'!$H$9="",999,'Hiring plan'!$H$9)),'Hiring plan'!$F$9,0)</f>
        <v>1</v>
      </c>
      <c r="T13" s="37" t="n">
        <f aca="false">IF(AND(N('Hiring plan'!$F$9)&gt;0,T$3&gt;='Hiring plan'!$G$9,T$3&lt;=IF('Hiring plan'!$H$9="",999,'Hiring plan'!$H$9)),'Hiring plan'!$F$9,0)</f>
        <v>1</v>
      </c>
      <c r="U13" s="37" t="n">
        <f aca="false">IF(AND(N('Hiring plan'!$F$9)&gt;0,U$3&gt;='Hiring plan'!$G$9,U$3&lt;=IF('Hiring plan'!$H$9="",999,'Hiring plan'!$H$9)),'Hiring plan'!$F$9,0)</f>
        <v>1</v>
      </c>
      <c r="V13" s="37" t="n">
        <f aca="false">IF(AND(N('Hiring plan'!$F$9)&gt;0,V$3&gt;='Hiring plan'!$G$9,V$3&lt;=IF('Hiring plan'!$H$9="",999,'Hiring plan'!$H$9)),'Hiring plan'!$F$9,0)</f>
        <v>1</v>
      </c>
      <c r="W13" s="37" t="n">
        <f aca="false">IF(AND(N('Hiring plan'!$F$9)&gt;0,W$3&gt;='Hiring plan'!$G$9,W$3&lt;=IF('Hiring plan'!$H$9="",999,'Hiring plan'!$H$9)),'Hiring plan'!$F$9,0)</f>
        <v>1</v>
      </c>
      <c r="X13" s="37" t="n">
        <f aca="false">IF(AND(N('Hiring plan'!$F$9)&gt;0,X$3&gt;='Hiring plan'!$G$9,X$3&lt;=IF('Hiring plan'!$H$9="",999,'Hiring plan'!$H$9)),'Hiring plan'!$F$9,0)</f>
        <v>1</v>
      </c>
      <c r="Y13" s="37" t="n">
        <f aca="false">IF(AND(N('Hiring plan'!$F$9)&gt;0,Y$3&gt;='Hiring plan'!$G$9,Y$3&lt;=IF('Hiring plan'!$H$9="",999,'Hiring plan'!$H$9)),'Hiring plan'!$F$9,0)</f>
        <v>1</v>
      </c>
      <c r="Z13" s="37" t="n">
        <f aca="false">IF(AND(N('Hiring plan'!$F$9)&gt;0,Z$3&gt;='Hiring plan'!$G$9,Z$3&lt;=IF('Hiring plan'!$H$9="",999,'Hiring plan'!$H$9)),'Hiring plan'!$F$9,0)</f>
        <v>1</v>
      </c>
      <c r="AA13" s="37" t="n">
        <f aca="false">IF(AND(N('Hiring plan'!$F$9)&gt;0,AA$3&gt;='Hiring plan'!$G$9,AA$3&lt;=IF('Hiring plan'!$H$9="",999,'Hiring plan'!$H$9)),'Hiring plan'!$F$9,0)</f>
        <v>1</v>
      </c>
      <c r="AB13" s="37" t="n">
        <f aca="false">IF(AND(N('Hiring plan'!$F$9)&gt;0,AB$3&gt;='Hiring plan'!$G$9,AB$3&lt;=IF('Hiring plan'!$H$9="",999,'Hiring plan'!$H$9)),'Hiring plan'!$F$9,0)</f>
        <v>1</v>
      </c>
      <c r="AC13" s="37" t="n">
        <f aca="false">IF(AND(N('Hiring plan'!$F$9)&gt;0,AC$3&gt;='Hiring plan'!$G$9,AC$3&lt;=IF('Hiring plan'!$H$9="",999,'Hiring plan'!$H$9)),'Hiring plan'!$F$9,0)</f>
        <v>1</v>
      </c>
      <c r="AD13" s="37" t="n">
        <f aca="false">IF(AND(N('Hiring plan'!$F$9)&gt;0,AD$3&gt;='Hiring plan'!$G$9,AD$3&lt;=IF('Hiring plan'!$H$9="",999,'Hiring plan'!$H$9)),'Hiring plan'!$F$9,0)</f>
        <v>1</v>
      </c>
      <c r="AE13" s="37" t="n">
        <f aca="false">IF(AND(N('Hiring plan'!$F$9)&gt;0,AE$3&gt;='Hiring plan'!$G$9,AE$3&lt;=IF('Hiring plan'!$H$9="",999,'Hiring plan'!$H$9)),'Hiring plan'!$F$9,0)</f>
        <v>1</v>
      </c>
      <c r="AF13" s="37" t="n">
        <f aca="false">IF(AND(N('Hiring plan'!$F$9)&gt;0,AF$3&gt;='Hiring plan'!$G$9,AF$3&lt;=IF('Hiring plan'!$H$9="",999,'Hiring plan'!$H$9)),'Hiring plan'!$F$9,0)</f>
        <v>1</v>
      </c>
      <c r="AG13" s="37" t="n">
        <f aca="false">IF(AND(N('Hiring plan'!$F$9)&gt;0,AG$3&gt;='Hiring plan'!$G$9,AG$3&lt;=IF('Hiring plan'!$H$9="",999,'Hiring plan'!$H$9)),'Hiring plan'!$F$9,0)</f>
        <v>1</v>
      </c>
      <c r="AH13" s="37" t="n">
        <f aca="false">IF(AND(N('Hiring plan'!$F$9)&gt;0,AH$3&gt;='Hiring plan'!$G$9,AH$3&lt;=IF('Hiring plan'!$H$9="",999,'Hiring plan'!$H$9)),'Hiring plan'!$F$9,0)</f>
        <v>1</v>
      </c>
      <c r="AI13" s="37" t="n">
        <f aca="false">IF(AND(N('Hiring plan'!$F$9)&gt;0,AI$3&gt;='Hiring plan'!$G$9,AI$3&lt;=IF('Hiring plan'!$H$9="",999,'Hiring plan'!$H$9)),'Hiring plan'!$F$9,0)</f>
        <v>1</v>
      </c>
      <c r="AJ13" s="37" t="n">
        <f aca="false">IF(AND(N('Hiring plan'!$F$9)&gt;0,AJ$3&gt;='Hiring plan'!$G$9,AJ$3&lt;=IF('Hiring plan'!$H$9="",999,'Hiring plan'!$H$9)),'Hiring plan'!$F$9,0)</f>
        <v>1</v>
      </c>
      <c r="AK13" s="37" t="n">
        <f aca="false">IF(AND(N('Hiring plan'!$F$9)&gt;0,AK$3&gt;='Hiring plan'!$G$9,AK$3&lt;=IF('Hiring plan'!$H$9="",999,'Hiring plan'!$H$9)),'Hiring plan'!$F$9,0)</f>
        <v>1</v>
      </c>
      <c r="AL13" s="37" t="n">
        <f aca="false">IF(AND(N('Hiring plan'!$F$9)&gt;0,AL$3&gt;='Hiring plan'!$G$9,AL$3&lt;=IF('Hiring plan'!$H$9="",999,'Hiring plan'!$H$9)),'Hiring plan'!$F$9,0)</f>
        <v>1</v>
      </c>
      <c r="AM13" s="37" t="n">
        <f aca="false">IF(AND(N('Hiring plan'!$F$9)&gt;0,AM$3&gt;='Hiring plan'!$G$9,AM$3&lt;=IF('Hiring plan'!$H$9="",999,'Hiring plan'!$H$9)),'Hiring plan'!$F$9,0)</f>
        <v>1</v>
      </c>
      <c r="AN13" s="37" t="n">
        <f aca="false">IF(AND(N('Hiring plan'!$F$9)&gt;0,AN$3&gt;='Hiring plan'!$G$9,AN$3&lt;=IF('Hiring plan'!$H$9="",999,'Hiring plan'!$H$9)),'Hiring plan'!$F$9,0)</f>
        <v>1</v>
      </c>
      <c r="AO13" s="37" t="n">
        <f aca="false">IF(AND(N('Hiring plan'!$F$9)&gt;0,AO$3&gt;='Hiring plan'!$G$9,AO$3&lt;=IF('Hiring plan'!$H$9="",999,'Hiring plan'!$H$9)),'Hiring plan'!$F$9,0)</f>
        <v>1</v>
      </c>
      <c r="AP13" s="37" t="n">
        <f aca="false">IF(AND(N('Hiring plan'!$F$9)&gt;0,AP$3&gt;='Hiring plan'!$G$9,AP$3&lt;=IF('Hiring plan'!$H$9="",999,'Hiring plan'!$H$9)),'Hiring plan'!$F$9,0)</f>
        <v>1</v>
      </c>
      <c r="AQ13" s="37" t="n">
        <f aca="false">IF(AND(N('Hiring plan'!$F$9)&gt;0,AQ$3&gt;='Hiring plan'!$G$9,AQ$3&lt;=IF('Hiring plan'!$H$9="",999,'Hiring plan'!$H$9)),'Hiring plan'!$F$9,0)</f>
        <v>1</v>
      </c>
      <c r="AR13" s="37" t="n">
        <f aca="false">IF(AND(N('Hiring plan'!$F$9)&gt;0,AR$3&gt;='Hiring plan'!$G$9,AR$3&lt;=IF('Hiring plan'!$H$9="",999,'Hiring plan'!$H$9)),'Hiring plan'!$F$9,0)</f>
        <v>1</v>
      </c>
      <c r="AS13" s="37" t="n">
        <f aca="false">IF(AND(N('Hiring plan'!$F$9)&gt;0,AS$3&gt;='Hiring plan'!$G$9,AS$3&lt;=IF('Hiring plan'!$H$9="",999,'Hiring plan'!$H$9)),'Hiring plan'!$F$9,0)</f>
        <v>1</v>
      </c>
      <c r="AT13" s="37" t="n">
        <f aca="false">IF(AND(N('Hiring plan'!$F$9)&gt;0,AT$3&gt;='Hiring plan'!$G$9,AT$3&lt;=IF('Hiring plan'!$H$9="",999,'Hiring plan'!$H$9)),'Hiring plan'!$F$9,0)</f>
        <v>1</v>
      </c>
      <c r="AU13" s="37" t="n">
        <f aca="false">IF(AND(N('Hiring plan'!$F$9)&gt;0,AU$3&gt;='Hiring plan'!$G$9,AU$3&lt;=IF('Hiring plan'!$H$9="",999,'Hiring plan'!$H$9)),'Hiring plan'!$F$9,0)</f>
        <v>1</v>
      </c>
      <c r="AV13" s="37" t="n">
        <f aca="false">IF(AND(N('Hiring plan'!$F$9)&gt;0,AV$3&gt;='Hiring plan'!$G$9,AV$3&lt;=IF('Hiring plan'!$H$9="",999,'Hiring plan'!$H$9)),'Hiring plan'!$F$9,0)</f>
        <v>1</v>
      </c>
      <c r="AW13" s="37" t="n">
        <f aca="false">IF(AND(N('Hiring plan'!$F$9)&gt;0,AW$3&gt;='Hiring plan'!$G$9,AW$3&lt;=IF('Hiring plan'!$H$9="",999,'Hiring plan'!$H$9)),'Hiring plan'!$F$9,0)</f>
        <v>1</v>
      </c>
      <c r="AX13" s="37" t="n">
        <f aca="false">IF(AND(N('Hiring plan'!$F$9)&gt;0,AX$3&gt;='Hiring plan'!$G$9,AX$3&lt;=IF('Hiring plan'!$H$9="",999,'Hiring plan'!$H$9)),'Hiring plan'!$F$9,0)</f>
        <v>1</v>
      </c>
      <c r="AY13" s="37" t="n">
        <f aca="false">IF(AND(N('Hiring plan'!$F$9)&gt;0,AY$3&gt;='Hiring plan'!$G$9,AY$3&lt;=IF('Hiring plan'!$H$9="",999,'Hiring plan'!$H$9)),'Hiring plan'!$F$9,0)</f>
        <v>1</v>
      </c>
      <c r="AZ13" s="37" t="n">
        <f aca="false">IF(AND(N('Hiring plan'!$F$9)&gt;0,AZ$3&gt;='Hiring plan'!$G$9,AZ$3&lt;=IF('Hiring plan'!$H$9="",999,'Hiring plan'!$H$9)),'Hiring plan'!$F$9,0)</f>
        <v>1</v>
      </c>
      <c r="BA13" s="37" t="n">
        <f aca="false">IF(AND(N('Hiring plan'!$F$9)&gt;0,BA$3&gt;='Hiring plan'!$G$9,BA$3&lt;=IF('Hiring plan'!$H$9="",999,'Hiring plan'!$H$9)),'Hiring plan'!$F$9,0)</f>
        <v>1</v>
      </c>
      <c r="BB13" s="37" t="n">
        <f aca="false">IF(AND(N('Hiring plan'!$F$9)&gt;0,BB$3&gt;='Hiring plan'!$G$9,BB$3&lt;=IF('Hiring plan'!$H$9="",999,'Hiring plan'!$H$9)),'Hiring plan'!$F$9,0)</f>
        <v>1</v>
      </c>
      <c r="BC13" s="37" t="n">
        <f aca="false">IF(AND(N('Hiring plan'!$F$9)&gt;0,BC$3&gt;='Hiring plan'!$G$9,BC$3&lt;=IF('Hiring plan'!$H$9="",999,'Hiring plan'!$H$9)),'Hiring plan'!$F$9,0)</f>
        <v>1</v>
      </c>
      <c r="BD13" s="37" t="n">
        <f aca="false">IF(AND(N('Hiring plan'!$F$9)&gt;0,BD$3&gt;='Hiring plan'!$G$9,BD$3&lt;=IF('Hiring plan'!$H$9="",999,'Hiring plan'!$H$9)),'Hiring plan'!$F$9,0)</f>
        <v>1</v>
      </c>
      <c r="BE13" s="37" t="n">
        <f aca="false">IF(AND(N('Hiring plan'!$F$9)&gt;0,BE$3&gt;='Hiring plan'!$G$9,BE$3&lt;=IF('Hiring plan'!$H$9="",999,'Hiring plan'!$H$9)),'Hiring plan'!$F$9,0)</f>
        <v>1</v>
      </c>
      <c r="BF13" s="37" t="n">
        <f aca="false">IF(AND(N('Hiring plan'!$F$9)&gt;0,BF$3&gt;='Hiring plan'!$G$9,BF$3&lt;=IF('Hiring plan'!$H$9="",999,'Hiring plan'!$H$9)),'Hiring plan'!$F$9,0)</f>
        <v>1</v>
      </c>
      <c r="BG13" s="37" t="n">
        <f aca="false">IF(AND(N('Hiring plan'!$F$9)&gt;0,BG$3&gt;='Hiring plan'!$G$9,BG$3&lt;=IF('Hiring plan'!$H$9="",999,'Hiring plan'!$H$9)),'Hiring plan'!$F$9,0)</f>
        <v>1</v>
      </c>
      <c r="BH13" s="37" t="n">
        <f aca="false">IF(AND(N('Hiring plan'!$F$9)&gt;0,BH$3&gt;='Hiring plan'!$G$9,BH$3&lt;=IF('Hiring plan'!$H$9="",999,'Hiring plan'!$H$9)),'Hiring plan'!$F$9,0)</f>
        <v>1</v>
      </c>
      <c r="BI13" s="37" t="n">
        <f aca="false">IF(AND(N('Hiring plan'!$F$9)&gt;0,BI$3&gt;='Hiring plan'!$G$9,BI$3&lt;=IF('Hiring plan'!$H$9="",999,'Hiring plan'!$H$9)),'Hiring plan'!$F$9,0)</f>
        <v>1</v>
      </c>
      <c r="BJ13" s="37" t="n">
        <f aca="false">IF(AND(N('Hiring plan'!$F$9)&gt;0,BJ$3&gt;='Hiring plan'!$G$9,BJ$3&lt;=IF('Hiring plan'!$H$9="",999,'Hiring plan'!$H$9)),'Hiring plan'!$F$9,0)</f>
        <v>1</v>
      </c>
      <c r="BK13" s="37" t="n">
        <f aca="false">IF(AND(N('Hiring plan'!$F$9)&gt;0,BK$3&gt;='Hiring plan'!$G$9,BK$3&lt;=IF('Hiring plan'!$H$9="",999,'Hiring plan'!$H$9)),'Hiring plan'!$F$9,0)</f>
        <v>1</v>
      </c>
      <c r="BL13" s="37" t="n">
        <f aca="false">IF(AND(N('Hiring plan'!$F$9)&gt;0,BL$3&gt;='Hiring plan'!$G$9,BL$3&lt;=IF('Hiring plan'!$H$9="",999,'Hiring plan'!$H$9)),'Hiring plan'!$F$9,0)</f>
        <v>1</v>
      </c>
    </row>
    <row r="14" customFormat="false" ht="15" hidden="false" customHeight="false" outlineLevel="0" collapsed="false">
      <c r="A14" s="12" t="str">
        <f aca="false">IF('Hiring plan'!$C$10="","(spare line 6)",'Hiring plan'!$C$10&amp;" · "&amp;'Hiring plan'!$D$10)</f>
        <v>Marketing officer (junior) · SN</v>
      </c>
      <c r="B14" s="14" t="s">
        <v>86</v>
      </c>
      <c r="D14" s="55" t="n">
        <f aca="false">MAX(E14:BL14)</f>
        <v>1</v>
      </c>
      <c r="E14" s="37" t="n">
        <f aca="false">IF(AND(N('Hiring plan'!$F$10)&gt;0,E$3&gt;='Hiring plan'!$G$10,E$3&lt;=IF('Hiring plan'!$H$10="",999,'Hiring plan'!$H$10)),'Hiring plan'!$F$10,0)</f>
        <v>0</v>
      </c>
      <c r="F14" s="37" t="n">
        <f aca="false">IF(AND(N('Hiring plan'!$F$10)&gt;0,F$3&gt;='Hiring plan'!$G$10,F$3&lt;=IF('Hiring plan'!$H$10="",999,'Hiring plan'!$H$10)),'Hiring plan'!$F$10,0)</f>
        <v>0</v>
      </c>
      <c r="G14" s="37" t="n">
        <f aca="false">IF(AND(N('Hiring plan'!$F$10)&gt;0,G$3&gt;='Hiring plan'!$G$10,G$3&lt;=IF('Hiring plan'!$H$10="",999,'Hiring plan'!$H$10)),'Hiring plan'!$F$10,0)</f>
        <v>0</v>
      </c>
      <c r="H14" s="37" t="n">
        <f aca="false">IF(AND(N('Hiring plan'!$F$10)&gt;0,H$3&gt;='Hiring plan'!$G$10,H$3&lt;=IF('Hiring plan'!$H$10="",999,'Hiring plan'!$H$10)),'Hiring plan'!$F$10,0)</f>
        <v>0</v>
      </c>
      <c r="I14" s="37" t="n">
        <f aca="false">IF(AND(N('Hiring plan'!$F$10)&gt;0,I$3&gt;='Hiring plan'!$G$10,I$3&lt;=IF('Hiring plan'!$H$10="",999,'Hiring plan'!$H$10)),'Hiring plan'!$F$10,0)</f>
        <v>1</v>
      </c>
      <c r="J14" s="37" t="n">
        <f aca="false">IF(AND(N('Hiring plan'!$F$10)&gt;0,J$3&gt;='Hiring plan'!$G$10,J$3&lt;=IF('Hiring plan'!$H$10="",999,'Hiring plan'!$H$10)),'Hiring plan'!$F$10,0)</f>
        <v>1</v>
      </c>
      <c r="K14" s="37" t="n">
        <f aca="false">IF(AND(N('Hiring plan'!$F$10)&gt;0,K$3&gt;='Hiring plan'!$G$10,K$3&lt;=IF('Hiring plan'!$H$10="",999,'Hiring plan'!$H$10)),'Hiring plan'!$F$10,0)</f>
        <v>1</v>
      </c>
      <c r="L14" s="37" t="n">
        <f aca="false">IF(AND(N('Hiring plan'!$F$10)&gt;0,L$3&gt;='Hiring plan'!$G$10,L$3&lt;=IF('Hiring plan'!$H$10="",999,'Hiring plan'!$H$10)),'Hiring plan'!$F$10,0)</f>
        <v>1</v>
      </c>
      <c r="M14" s="37" t="n">
        <f aca="false">IF(AND(N('Hiring plan'!$F$10)&gt;0,M$3&gt;='Hiring plan'!$G$10,M$3&lt;=IF('Hiring plan'!$H$10="",999,'Hiring plan'!$H$10)),'Hiring plan'!$F$10,0)</f>
        <v>1</v>
      </c>
      <c r="N14" s="37" t="n">
        <f aca="false">IF(AND(N('Hiring plan'!$F$10)&gt;0,N$3&gt;='Hiring plan'!$G$10,N$3&lt;=IF('Hiring plan'!$H$10="",999,'Hiring plan'!$H$10)),'Hiring plan'!$F$10,0)</f>
        <v>1</v>
      </c>
      <c r="O14" s="37" t="n">
        <f aca="false">IF(AND(N('Hiring plan'!$F$10)&gt;0,O$3&gt;='Hiring plan'!$G$10,O$3&lt;=IF('Hiring plan'!$H$10="",999,'Hiring plan'!$H$10)),'Hiring plan'!$F$10,0)</f>
        <v>1</v>
      </c>
      <c r="P14" s="37" t="n">
        <f aca="false">IF(AND(N('Hiring plan'!$F$10)&gt;0,P$3&gt;='Hiring plan'!$G$10,P$3&lt;=IF('Hiring plan'!$H$10="",999,'Hiring plan'!$H$10)),'Hiring plan'!$F$10,0)</f>
        <v>1</v>
      </c>
      <c r="Q14" s="37" t="n">
        <f aca="false">IF(AND(N('Hiring plan'!$F$10)&gt;0,Q$3&gt;='Hiring plan'!$G$10,Q$3&lt;=IF('Hiring plan'!$H$10="",999,'Hiring plan'!$H$10)),'Hiring plan'!$F$10,0)</f>
        <v>1</v>
      </c>
      <c r="R14" s="37" t="n">
        <f aca="false">IF(AND(N('Hiring plan'!$F$10)&gt;0,R$3&gt;='Hiring plan'!$G$10,R$3&lt;=IF('Hiring plan'!$H$10="",999,'Hiring plan'!$H$10)),'Hiring plan'!$F$10,0)</f>
        <v>1</v>
      </c>
      <c r="S14" s="37" t="n">
        <f aca="false">IF(AND(N('Hiring plan'!$F$10)&gt;0,S$3&gt;='Hiring plan'!$G$10,S$3&lt;=IF('Hiring plan'!$H$10="",999,'Hiring plan'!$H$10)),'Hiring plan'!$F$10,0)</f>
        <v>1</v>
      </c>
      <c r="T14" s="37" t="n">
        <f aca="false">IF(AND(N('Hiring plan'!$F$10)&gt;0,T$3&gt;='Hiring plan'!$G$10,T$3&lt;=IF('Hiring plan'!$H$10="",999,'Hiring plan'!$H$10)),'Hiring plan'!$F$10,0)</f>
        <v>1</v>
      </c>
      <c r="U14" s="37" t="n">
        <f aca="false">IF(AND(N('Hiring plan'!$F$10)&gt;0,U$3&gt;='Hiring plan'!$G$10,U$3&lt;=IF('Hiring plan'!$H$10="",999,'Hiring plan'!$H$10)),'Hiring plan'!$F$10,0)</f>
        <v>1</v>
      </c>
      <c r="V14" s="37" t="n">
        <f aca="false">IF(AND(N('Hiring plan'!$F$10)&gt;0,V$3&gt;='Hiring plan'!$G$10,V$3&lt;=IF('Hiring plan'!$H$10="",999,'Hiring plan'!$H$10)),'Hiring plan'!$F$10,0)</f>
        <v>1</v>
      </c>
      <c r="W14" s="37" t="n">
        <f aca="false">IF(AND(N('Hiring plan'!$F$10)&gt;0,W$3&gt;='Hiring plan'!$G$10,W$3&lt;=IF('Hiring plan'!$H$10="",999,'Hiring plan'!$H$10)),'Hiring plan'!$F$10,0)</f>
        <v>1</v>
      </c>
      <c r="X14" s="37" t="n">
        <f aca="false">IF(AND(N('Hiring plan'!$F$10)&gt;0,X$3&gt;='Hiring plan'!$G$10,X$3&lt;=IF('Hiring plan'!$H$10="",999,'Hiring plan'!$H$10)),'Hiring plan'!$F$10,0)</f>
        <v>1</v>
      </c>
      <c r="Y14" s="37" t="n">
        <f aca="false">IF(AND(N('Hiring plan'!$F$10)&gt;0,Y$3&gt;='Hiring plan'!$G$10,Y$3&lt;=IF('Hiring plan'!$H$10="",999,'Hiring plan'!$H$10)),'Hiring plan'!$F$10,0)</f>
        <v>1</v>
      </c>
      <c r="Z14" s="37" t="n">
        <f aca="false">IF(AND(N('Hiring plan'!$F$10)&gt;0,Z$3&gt;='Hiring plan'!$G$10,Z$3&lt;=IF('Hiring plan'!$H$10="",999,'Hiring plan'!$H$10)),'Hiring plan'!$F$10,0)</f>
        <v>1</v>
      </c>
      <c r="AA14" s="37" t="n">
        <f aca="false">IF(AND(N('Hiring plan'!$F$10)&gt;0,AA$3&gt;='Hiring plan'!$G$10,AA$3&lt;=IF('Hiring plan'!$H$10="",999,'Hiring plan'!$H$10)),'Hiring plan'!$F$10,0)</f>
        <v>1</v>
      </c>
      <c r="AB14" s="37" t="n">
        <f aca="false">IF(AND(N('Hiring plan'!$F$10)&gt;0,AB$3&gt;='Hiring plan'!$G$10,AB$3&lt;=IF('Hiring plan'!$H$10="",999,'Hiring plan'!$H$10)),'Hiring plan'!$F$10,0)</f>
        <v>1</v>
      </c>
      <c r="AC14" s="37" t="n">
        <f aca="false">IF(AND(N('Hiring plan'!$F$10)&gt;0,AC$3&gt;='Hiring plan'!$G$10,AC$3&lt;=IF('Hiring plan'!$H$10="",999,'Hiring plan'!$H$10)),'Hiring plan'!$F$10,0)</f>
        <v>1</v>
      </c>
      <c r="AD14" s="37" t="n">
        <f aca="false">IF(AND(N('Hiring plan'!$F$10)&gt;0,AD$3&gt;='Hiring plan'!$G$10,AD$3&lt;=IF('Hiring plan'!$H$10="",999,'Hiring plan'!$H$10)),'Hiring plan'!$F$10,0)</f>
        <v>1</v>
      </c>
      <c r="AE14" s="37" t="n">
        <f aca="false">IF(AND(N('Hiring plan'!$F$10)&gt;0,AE$3&gt;='Hiring plan'!$G$10,AE$3&lt;=IF('Hiring plan'!$H$10="",999,'Hiring plan'!$H$10)),'Hiring plan'!$F$10,0)</f>
        <v>1</v>
      </c>
      <c r="AF14" s="37" t="n">
        <f aca="false">IF(AND(N('Hiring plan'!$F$10)&gt;0,AF$3&gt;='Hiring plan'!$G$10,AF$3&lt;=IF('Hiring plan'!$H$10="",999,'Hiring plan'!$H$10)),'Hiring plan'!$F$10,0)</f>
        <v>1</v>
      </c>
      <c r="AG14" s="37" t="n">
        <f aca="false">IF(AND(N('Hiring plan'!$F$10)&gt;0,AG$3&gt;='Hiring plan'!$G$10,AG$3&lt;=IF('Hiring plan'!$H$10="",999,'Hiring plan'!$H$10)),'Hiring plan'!$F$10,0)</f>
        <v>1</v>
      </c>
      <c r="AH14" s="37" t="n">
        <f aca="false">IF(AND(N('Hiring plan'!$F$10)&gt;0,AH$3&gt;='Hiring plan'!$G$10,AH$3&lt;=IF('Hiring plan'!$H$10="",999,'Hiring plan'!$H$10)),'Hiring plan'!$F$10,0)</f>
        <v>1</v>
      </c>
      <c r="AI14" s="37" t="n">
        <f aca="false">IF(AND(N('Hiring plan'!$F$10)&gt;0,AI$3&gt;='Hiring plan'!$G$10,AI$3&lt;=IF('Hiring plan'!$H$10="",999,'Hiring plan'!$H$10)),'Hiring plan'!$F$10,0)</f>
        <v>1</v>
      </c>
      <c r="AJ14" s="37" t="n">
        <f aca="false">IF(AND(N('Hiring plan'!$F$10)&gt;0,AJ$3&gt;='Hiring plan'!$G$10,AJ$3&lt;=IF('Hiring plan'!$H$10="",999,'Hiring plan'!$H$10)),'Hiring plan'!$F$10,0)</f>
        <v>1</v>
      </c>
      <c r="AK14" s="37" t="n">
        <f aca="false">IF(AND(N('Hiring plan'!$F$10)&gt;0,AK$3&gt;='Hiring plan'!$G$10,AK$3&lt;=IF('Hiring plan'!$H$10="",999,'Hiring plan'!$H$10)),'Hiring plan'!$F$10,0)</f>
        <v>1</v>
      </c>
      <c r="AL14" s="37" t="n">
        <f aca="false">IF(AND(N('Hiring plan'!$F$10)&gt;0,AL$3&gt;='Hiring plan'!$G$10,AL$3&lt;=IF('Hiring plan'!$H$10="",999,'Hiring plan'!$H$10)),'Hiring plan'!$F$10,0)</f>
        <v>1</v>
      </c>
      <c r="AM14" s="37" t="n">
        <f aca="false">IF(AND(N('Hiring plan'!$F$10)&gt;0,AM$3&gt;='Hiring plan'!$G$10,AM$3&lt;=IF('Hiring plan'!$H$10="",999,'Hiring plan'!$H$10)),'Hiring plan'!$F$10,0)</f>
        <v>1</v>
      </c>
      <c r="AN14" s="37" t="n">
        <f aca="false">IF(AND(N('Hiring plan'!$F$10)&gt;0,AN$3&gt;='Hiring plan'!$G$10,AN$3&lt;=IF('Hiring plan'!$H$10="",999,'Hiring plan'!$H$10)),'Hiring plan'!$F$10,0)</f>
        <v>1</v>
      </c>
      <c r="AO14" s="37" t="n">
        <f aca="false">IF(AND(N('Hiring plan'!$F$10)&gt;0,AO$3&gt;='Hiring plan'!$G$10,AO$3&lt;=IF('Hiring plan'!$H$10="",999,'Hiring plan'!$H$10)),'Hiring plan'!$F$10,0)</f>
        <v>1</v>
      </c>
      <c r="AP14" s="37" t="n">
        <f aca="false">IF(AND(N('Hiring plan'!$F$10)&gt;0,AP$3&gt;='Hiring plan'!$G$10,AP$3&lt;=IF('Hiring plan'!$H$10="",999,'Hiring plan'!$H$10)),'Hiring plan'!$F$10,0)</f>
        <v>1</v>
      </c>
      <c r="AQ14" s="37" t="n">
        <f aca="false">IF(AND(N('Hiring plan'!$F$10)&gt;0,AQ$3&gt;='Hiring plan'!$G$10,AQ$3&lt;=IF('Hiring plan'!$H$10="",999,'Hiring plan'!$H$10)),'Hiring plan'!$F$10,0)</f>
        <v>1</v>
      </c>
      <c r="AR14" s="37" t="n">
        <f aca="false">IF(AND(N('Hiring plan'!$F$10)&gt;0,AR$3&gt;='Hiring plan'!$G$10,AR$3&lt;=IF('Hiring plan'!$H$10="",999,'Hiring plan'!$H$10)),'Hiring plan'!$F$10,0)</f>
        <v>1</v>
      </c>
      <c r="AS14" s="37" t="n">
        <f aca="false">IF(AND(N('Hiring plan'!$F$10)&gt;0,AS$3&gt;='Hiring plan'!$G$10,AS$3&lt;=IF('Hiring plan'!$H$10="",999,'Hiring plan'!$H$10)),'Hiring plan'!$F$10,0)</f>
        <v>1</v>
      </c>
      <c r="AT14" s="37" t="n">
        <f aca="false">IF(AND(N('Hiring plan'!$F$10)&gt;0,AT$3&gt;='Hiring plan'!$G$10,AT$3&lt;=IF('Hiring plan'!$H$10="",999,'Hiring plan'!$H$10)),'Hiring plan'!$F$10,0)</f>
        <v>1</v>
      </c>
      <c r="AU14" s="37" t="n">
        <f aca="false">IF(AND(N('Hiring plan'!$F$10)&gt;0,AU$3&gt;='Hiring plan'!$G$10,AU$3&lt;=IF('Hiring plan'!$H$10="",999,'Hiring plan'!$H$10)),'Hiring plan'!$F$10,0)</f>
        <v>1</v>
      </c>
      <c r="AV14" s="37" t="n">
        <f aca="false">IF(AND(N('Hiring plan'!$F$10)&gt;0,AV$3&gt;='Hiring plan'!$G$10,AV$3&lt;=IF('Hiring plan'!$H$10="",999,'Hiring plan'!$H$10)),'Hiring plan'!$F$10,0)</f>
        <v>1</v>
      </c>
      <c r="AW14" s="37" t="n">
        <f aca="false">IF(AND(N('Hiring plan'!$F$10)&gt;0,AW$3&gt;='Hiring plan'!$G$10,AW$3&lt;=IF('Hiring plan'!$H$10="",999,'Hiring plan'!$H$10)),'Hiring plan'!$F$10,0)</f>
        <v>1</v>
      </c>
      <c r="AX14" s="37" t="n">
        <f aca="false">IF(AND(N('Hiring plan'!$F$10)&gt;0,AX$3&gt;='Hiring plan'!$G$10,AX$3&lt;=IF('Hiring plan'!$H$10="",999,'Hiring plan'!$H$10)),'Hiring plan'!$F$10,0)</f>
        <v>1</v>
      </c>
      <c r="AY14" s="37" t="n">
        <f aca="false">IF(AND(N('Hiring plan'!$F$10)&gt;0,AY$3&gt;='Hiring plan'!$G$10,AY$3&lt;=IF('Hiring plan'!$H$10="",999,'Hiring plan'!$H$10)),'Hiring plan'!$F$10,0)</f>
        <v>1</v>
      </c>
      <c r="AZ14" s="37" t="n">
        <f aca="false">IF(AND(N('Hiring plan'!$F$10)&gt;0,AZ$3&gt;='Hiring plan'!$G$10,AZ$3&lt;=IF('Hiring plan'!$H$10="",999,'Hiring plan'!$H$10)),'Hiring plan'!$F$10,0)</f>
        <v>1</v>
      </c>
      <c r="BA14" s="37" t="n">
        <f aca="false">IF(AND(N('Hiring plan'!$F$10)&gt;0,BA$3&gt;='Hiring plan'!$G$10,BA$3&lt;=IF('Hiring plan'!$H$10="",999,'Hiring plan'!$H$10)),'Hiring plan'!$F$10,0)</f>
        <v>1</v>
      </c>
      <c r="BB14" s="37" t="n">
        <f aca="false">IF(AND(N('Hiring plan'!$F$10)&gt;0,BB$3&gt;='Hiring plan'!$G$10,BB$3&lt;=IF('Hiring plan'!$H$10="",999,'Hiring plan'!$H$10)),'Hiring plan'!$F$10,0)</f>
        <v>1</v>
      </c>
      <c r="BC14" s="37" t="n">
        <f aca="false">IF(AND(N('Hiring plan'!$F$10)&gt;0,BC$3&gt;='Hiring plan'!$G$10,BC$3&lt;=IF('Hiring plan'!$H$10="",999,'Hiring plan'!$H$10)),'Hiring plan'!$F$10,0)</f>
        <v>1</v>
      </c>
      <c r="BD14" s="37" t="n">
        <f aca="false">IF(AND(N('Hiring plan'!$F$10)&gt;0,BD$3&gt;='Hiring plan'!$G$10,BD$3&lt;=IF('Hiring plan'!$H$10="",999,'Hiring plan'!$H$10)),'Hiring plan'!$F$10,0)</f>
        <v>1</v>
      </c>
      <c r="BE14" s="37" t="n">
        <f aca="false">IF(AND(N('Hiring plan'!$F$10)&gt;0,BE$3&gt;='Hiring plan'!$G$10,BE$3&lt;=IF('Hiring plan'!$H$10="",999,'Hiring plan'!$H$10)),'Hiring plan'!$F$10,0)</f>
        <v>1</v>
      </c>
      <c r="BF14" s="37" t="n">
        <f aca="false">IF(AND(N('Hiring plan'!$F$10)&gt;0,BF$3&gt;='Hiring plan'!$G$10,BF$3&lt;=IF('Hiring plan'!$H$10="",999,'Hiring plan'!$H$10)),'Hiring plan'!$F$10,0)</f>
        <v>1</v>
      </c>
      <c r="BG14" s="37" t="n">
        <f aca="false">IF(AND(N('Hiring plan'!$F$10)&gt;0,BG$3&gt;='Hiring plan'!$G$10,BG$3&lt;=IF('Hiring plan'!$H$10="",999,'Hiring plan'!$H$10)),'Hiring plan'!$F$10,0)</f>
        <v>1</v>
      </c>
      <c r="BH14" s="37" t="n">
        <f aca="false">IF(AND(N('Hiring plan'!$F$10)&gt;0,BH$3&gt;='Hiring plan'!$G$10,BH$3&lt;=IF('Hiring plan'!$H$10="",999,'Hiring plan'!$H$10)),'Hiring plan'!$F$10,0)</f>
        <v>1</v>
      </c>
      <c r="BI14" s="37" t="n">
        <f aca="false">IF(AND(N('Hiring plan'!$F$10)&gt;0,BI$3&gt;='Hiring plan'!$G$10,BI$3&lt;=IF('Hiring plan'!$H$10="",999,'Hiring plan'!$H$10)),'Hiring plan'!$F$10,0)</f>
        <v>1</v>
      </c>
      <c r="BJ14" s="37" t="n">
        <f aca="false">IF(AND(N('Hiring plan'!$F$10)&gt;0,BJ$3&gt;='Hiring plan'!$G$10,BJ$3&lt;=IF('Hiring plan'!$H$10="",999,'Hiring plan'!$H$10)),'Hiring plan'!$F$10,0)</f>
        <v>1</v>
      </c>
      <c r="BK14" s="37" t="n">
        <f aca="false">IF(AND(N('Hiring plan'!$F$10)&gt;0,BK$3&gt;='Hiring plan'!$G$10,BK$3&lt;=IF('Hiring plan'!$H$10="",999,'Hiring plan'!$H$10)),'Hiring plan'!$F$10,0)</f>
        <v>1</v>
      </c>
      <c r="BL14" s="37" t="n">
        <f aca="false">IF(AND(N('Hiring plan'!$F$10)&gt;0,BL$3&gt;='Hiring plan'!$G$10,BL$3&lt;=IF('Hiring plan'!$H$10="",999,'Hiring plan'!$H$10)),'Hiring plan'!$F$10,0)</f>
        <v>1</v>
      </c>
    </row>
    <row r="15" customFormat="false" ht="15" hidden="false" customHeight="false" outlineLevel="0" collapsed="false">
      <c r="A15" s="12" t="str">
        <f aca="false">IF('Hiring plan'!$C$11="","(spare line 7)",'Hiring plan'!$C$11&amp;" · "&amp;'Hiring plan'!$D$11)</f>
        <v>Country manager, Abidjan · CI</v>
      </c>
      <c r="B15" s="14" t="s">
        <v>86</v>
      </c>
      <c r="D15" s="55" t="n">
        <f aca="false">MAX(E15:BL15)</f>
        <v>1</v>
      </c>
      <c r="E15" s="37" t="n">
        <f aca="false">IF(AND(N('Hiring plan'!$F$11)&gt;0,E$3&gt;='Hiring plan'!$G$11,E$3&lt;=IF('Hiring plan'!$H$11="",999,'Hiring plan'!$H$11)),'Hiring plan'!$F$11,0)</f>
        <v>0</v>
      </c>
      <c r="F15" s="37" t="n">
        <f aca="false">IF(AND(N('Hiring plan'!$F$11)&gt;0,F$3&gt;='Hiring plan'!$G$11,F$3&lt;=IF('Hiring plan'!$H$11="",999,'Hiring plan'!$H$11)),'Hiring plan'!$F$11,0)</f>
        <v>0</v>
      </c>
      <c r="G15" s="37" t="n">
        <f aca="false">IF(AND(N('Hiring plan'!$F$11)&gt;0,G$3&gt;='Hiring plan'!$G$11,G$3&lt;=IF('Hiring plan'!$H$11="",999,'Hiring plan'!$H$11)),'Hiring plan'!$F$11,0)</f>
        <v>0</v>
      </c>
      <c r="H15" s="37" t="n">
        <f aca="false">IF(AND(N('Hiring plan'!$F$11)&gt;0,H$3&gt;='Hiring plan'!$G$11,H$3&lt;=IF('Hiring plan'!$H$11="",999,'Hiring plan'!$H$11)),'Hiring plan'!$F$11,0)</f>
        <v>0</v>
      </c>
      <c r="I15" s="37" t="n">
        <f aca="false">IF(AND(N('Hiring plan'!$F$11)&gt;0,I$3&gt;='Hiring plan'!$G$11,I$3&lt;=IF('Hiring plan'!$H$11="",999,'Hiring plan'!$H$11)),'Hiring plan'!$F$11,0)</f>
        <v>0</v>
      </c>
      <c r="J15" s="37" t="n">
        <f aca="false">IF(AND(N('Hiring plan'!$F$11)&gt;0,J$3&gt;='Hiring plan'!$G$11,J$3&lt;=IF('Hiring plan'!$H$11="",999,'Hiring plan'!$H$11)),'Hiring plan'!$F$11,0)</f>
        <v>0</v>
      </c>
      <c r="K15" s="37" t="n">
        <f aca="false">IF(AND(N('Hiring plan'!$F$11)&gt;0,K$3&gt;='Hiring plan'!$G$11,K$3&lt;=IF('Hiring plan'!$H$11="",999,'Hiring plan'!$H$11)),'Hiring plan'!$F$11,0)</f>
        <v>0</v>
      </c>
      <c r="L15" s="37" t="n">
        <f aca="false">IF(AND(N('Hiring plan'!$F$11)&gt;0,L$3&gt;='Hiring plan'!$G$11,L$3&lt;=IF('Hiring plan'!$H$11="",999,'Hiring plan'!$H$11)),'Hiring plan'!$F$11,0)</f>
        <v>0</v>
      </c>
      <c r="M15" s="37" t="n">
        <f aca="false">IF(AND(N('Hiring plan'!$F$11)&gt;0,M$3&gt;='Hiring plan'!$G$11,M$3&lt;=IF('Hiring plan'!$H$11="",999,'Hiring plan'!$H$11)),'Hiring plan'!$F$11,0)</f>
        <v>0</v>
      </c>
      <c r="N15" s="37" t="n">
        <f aca="false">IF(AND(N('Hiring plan'!$F$11)&gt;0,N$3&gt;='Hiring plan'!$G$11,N$3&lt;=IF('Hiring plan'!$H$11="",999,'Hiring plan'!$H$11)),'Hiring plan'!$F$11,0)</f>
        <v>0</v>
      </c>
      <c r="O15" s="37" t="n">
        <f aca="false">IF(AND(N('Hiring plan'!$F$11)&gt;0,O$3&gt;='Hiring plan'!$G$11,O$3&lt;=IF('Hiring plan'!$H$11="",999,'Hiring plan'!$H$11)),'Hiring plan'!$F$11,0)</f>
        <v>0</v>
      </c>
      <c r="P15" s="37" t="n">
        <f aca="false">IF(AND(N('Hiring plan'!$F$11)&gt;0,P$3&gt;='Hiring plan'!$G$11,P$3&lt;=IF('Hiring plan'!$H$11="",999,'Hiring plan'!$H$11)),'Hiring plan'!$F$11,0)</f>
        <v>0</v>
      </c>
      <c r="Q15" s="37" t="n">
        <f aca="false">IF(AND(N('Hiring plan'!$F$11)&gt;0,Q$3&gt;='Hiring plan'!$G$11,Q$3&lt;=IF('Hiring plan'!$H$11="",999,'Hiring plan'!$H$11)),'Hiring plan'!$F$11,0)</f>
        <v>0</v>
      </c>
      <c r="R15" s="37" t="n">
        <f aca="false">IF(AND(N('Hiring plan'!$F$11)&gt;0,R$3&gt;='Hiring plan'!$G$11,R$3&lt;=IF('Hiring plan'!$H$11="",999,'Hiring plan'!$H$11)),'Hiring plan'!$F$11,0)</f>
        <v>0</v>
      </c>
      <c r="S15" s="37" t="n">
        <f aca="false">IF(AND(N('Hiring plan'!$F$11)&gt;0,S$3&gt;='Hiring plan'!$G$11,S$3&lt;=IF('Hiring plan'!$H$11="",999,'Hiring plan'!$H$11)),'Hiring plan'!$F$11,0)</f>
        <v>0</v>
      </c>
      <c r="T15" s="37" t="n">
        <f aca="false">IF(AND(N('Hiring plan'!$F$11)&gt;0,T$3&gt;='Hiring plan'!$G$11,T$3&lt;=IF('Hiring plan'!$H$11="",999,'Hiring plan'!$H$11)),'Hiring plan'!$F$11,0)</f>
        <v>0</v>
      </c>
      <c r="U15" s="37" t="n">
        <f aca="false">IF(AND(N('Hiring plan'!$F$11)&gt;0,U$3&gt;='Hiring plan'!$G$11,U$3&lt;=IF('Hiring plan'!$H$11="",999,'Hiring plan'!$H$11)),'Hiring plan'!$F$11,0)</f>
        <v>0</v>
      </c>
      <c r="V15" s="37" t="n">
        <f aca="false">IF(AND(N('Hiring plan'!$F$11)&gt;0,V$3&gt;='Hiring plan'!$G$11,V$3&lt;=IF('Hiring plan'!$H$11="",999,'Hiring plan'!$H$11)),'Hiring plan'!$F$11,0)</f>
        <v>1</v>
      </c>
      <c r="W15" s="37" t="n">
        <f aca="false">IF(AND(N('Hiring plan'!$F$11)&gt;0,W$3&gt;='Hiring plan'!$G$11,W$3&lt;=IF('Hiring plan'!$H$11="",999,'Hiring plan'!$H$11)),'Hiring plan'!$F$11,0)</f>
        <v>1</v>
      </c>
      <c r="X15" s="37" t="n">
        <f aca="false">IF(AND(N('Hiring plan'!$F$11)&gt;0,X$3&gt;='Hiring plan'!$G$11,X$3&lt;=IF('Hiring plan'!$H$11="",999,'Hiring plan'!$H$11)),'Hiring plan'!$F$11,0)</f>
        <v>1</v>
      </c>
      <c r="Y15" s="37" t="n">
        <f aca="false">IF(AND(N('Hiring plan'!$F$11)&gt;0,Y$3&gt;='Hiring plan'!$G$11,Y$3&lt;=IF('Hiring plan'!$H$11="",999,'Hiring plan'!$H$11)),'Hiring plan'!$F$11,0)</f>
        <v>1</v>
      </c>
      <c r="Z15" s="37" t="n">
        <f aca="false">IF(AND(N('Hiring plan'!$F$11)&gt;0,Z$3&gt;='Hiring plan'!$G$11,Z$3&lt;=IF('Hiring plan'!$H$11="",999,'Hiring plan'!$H$11)),'Hiring plan'!$F$11,0)</f>
        <v>1</v>
      </c>
      <c r="AA15" s="37" t="n">
        <f aca="false">IF(AND(N('Hiring plan'!$F$11)&gt;0,AA$3&gt;='Hiring plan'!$G$11,AA$3&lt;=IF('Hiring plan'!$H$11="",999,'Hiring plan'!$H$11)),'Hiring plan'!$F$11,0)</f>
        <v>1</v>
      </c>
      <c r="AB15" s="37" t="n">
        <f aca="false">IF(AND(N('Hiring plan'!$F$11)&gt;0,AB$3&gt;='Hiring plan'!$G$11,AB$3&lt;=IF('Hiring plan'!$H$11="",999,'Hiring plan'!$H$11)),'Hiring plan'!$F$11,0)</f>
        <v>1</v>
      </c>
      <c r="AC15" s="37" t="n">
        <f aca="false">IF(AND(N('Hiring plan'!$F$11)&gt;0,AC$3&gt;='Hiring plan'!$G$11,AC$3&lt;=IF('Hiring plan'!$H$11="",999,'Hiring plan'!$H$11)),'Hiring plan'!$F$11,0)</f>
        <v>1</v>
      </c>
      <c r="AD15" s="37" t="n">
        <f aca="false">IF(AND(N('Hiring plan'!$F$11)&gt;0,AD$3&gt;='Hiring plan'!$G$11,AD$3&lt;=IF('Hiring plan'!$H$11="",999,'Hiring plan'!$H$11)),'Hiring plan'!$F$11,0)</f>
        <v>1</v>
      </c>
      <c r="AE15" s="37" t="n">
        <f aca="false">IF(AND(N('Hiring plan'!$F$11)&gt;0,AE$3&gt;='Hiring plan'!$G$11,AE$3&lt;=IF('Hiring plan'!$H$11="",999,'Hiring plan'!$H$11)),'Hiring plan'!$F$11,0)</f>
        <v>1</v>
      </c>
      <c r="AF15" s="37" t="n">
        <f aca="false">IF(AND(N('Hiring plan'!$F$11)&gt;0,AF$3&gt;='Hiring plan'!$G$11,AF$3&lt;=IF('Hiring plan'!$H$11="",999,'Hiring plan'!$H$11)),'Hiring plan'!$F$11,0)</f>
        <v>1</v>
      </c>
      <c r="AG15" s="37" t="n">
        <f aca="false">IF(AND(N('Hiring plan'!$F$11)&gt;0,AG$3&gt;='Hiring plan'!$G$11,AG$3&lt;=IF('Hiring plan'!$H$11="",999,'Hiring plan'!$H$11)),'Hiring plan'!$F$11,0)</f>
        <v>1</v>
      </c>
      <c r="AH15" s="37" t="n">
        <f aca="false">IF(AND(N('Hiring plan'!$F$11)&gt;0,AH$3&gt;='Hiring plan'!$G$11,AH$3&lt;=IF('Hiring plan'!$H$11="",999,'Hiring plan'!$H$11)),'Hiring plan'!$F$11,0)</f>
        <v>1</v>
      </c>
      <c r="AI15" s="37" t="n">
        <f aca="false">IF(AND(N('Hiring plan'!$F$11)&gt;0,AI$3&gt;='Hiring plan'!$G$11,AI$3&lt;=IF('Hiring plan'!$H$11="",999,'Hiring plan'!$H$11)),'Hiring plan'!$F$11,0)</f>
        <v>1</v>
      </c>
      <c r="AJ15" s="37" t="n">
        <f aca="false">IF(AND(N('Hiring plan'!$F$11)&gt;0,AJ$3&gt;='Hiring plan'!$G$11,AJ$3&lt;=IF('Hiring plan'!$H$11="",999,'Hiring plan'!$H$11)),'Hiring plan'!$F$11,0)</f>
        <v>1</v>
      </c>
      <c r="AK15" s="37" t="n">
        <f aca="false">IF(AND(N('Hiring plan'!$F$11)&gt;0,AK$3&gt;='Hiring plan'!$G$11,AK$3&lt;=IF('Hiring plan'!$H$11="",999,'Hiring plan'!$H$11)),'Hiring plan'!$F$11,0)</f>
        <v>1</v>
      </c>
      <c r="AL15" s="37" t="n">
        <f aca="false">IF(AND(N('Hiring plan'!$F$11)&gt;0,AL$3&gt;='Hiring plan'!$G$11,AL$3&lt;=IF('Hiring plan'!$H$11="",999,'Hiring plan'!$H$11)),'Hiring plan'!$F$11,0)</f>
        <v>1</v>
      </c>
      <c r="AM15" s="37" t="n">
        <f aca="false">IF(AND(N('Hiring plan'!$F$11)&gt;0,AM$3&gt;='Hiring plan'!$G$11,AM$3&lt;=IF('Hiring plan'!$H$11="",999,'Hiring plan'!$H$11)),'Hiring plan'!$F$11,0)</f>
        <v>1</v>
      </c>
      <c r="AN15" s="37" t="n">
        <f aca="false">IF(AND(N('Hiring plan'!$F$11)&gt;0,AN$3&gt;='Hiring plan'!$G$11,AN$3&lt;=IF('Hiring plan'!$H$11="",999,'Hiring plan'!$H$11)),'Hiring plan'!$F$11,0)</f>
        <v>1</v>
      </c>
      <c r="AO15" s="37" t="n">
        <f aca="false">IF(AND(N('Hiring plan'!$F$11)&gt;0,AO$3&gt;='Hiring plan'!$G$11,AO$3&lt;=IF('Hiring plan'!$H$11="",999,'Hiring plan'!$H$11)),'Hiring plan'!$F$11,0)</f>
        <v>1</v>
      </c>
      <c r="AP15" s="37" t="n">
        <f aca="false">IF(AND(N('Hiring plan'!$F$11)&gt;0,AP$3&gt;='Hiring plan'!$G$11,AP$3&lt;=IF('Hiring plan'!$H$11="",999,'Hiring plan'!$H$11)),'Hiring plan'!$F$11,0)</f>
        <v>1</v>
      </c>
      <c r="AQ15" s="37" t="n">
        <f aca="false">IF(AND(N('Hiring plan'!$F$11)&gt;0,AQ$3&gt;='Hiring plan'!$G$11,AQ$3&lt;=IF('Hiring plan'!$H$11="",999,'Hiring plan'!$H$11)),'Hiring plan'!$F$11,0)</f>
        <v>1</v>
      </c>
      <c r="AR15" s="37" t="n">
        <f aca="false">IF(AND(N('Hiring plan'!$F$11)&gt;0,AR$3&gt;='Hiring plan'!$G$11,AR$3&lt;=IF('Hiring plan'!$H$11="",999,'Hiring plan'!$H$11)),'Hiring plan'!$F$11,0)</f>
        <v>1</v>
      </c>
      <c r="AS15" s="37" t="n">
        <f aca="false">IF(AND(N('Hiring plan'!$F$11)&gt;0,AS$3&gt;='Hiring plan'!$G$11,AS$3&lt;=IF('Hiring plan'!$H$11="",999,'Hiring plan'!$H$11)),'Hiring plan'!$F$11,0)</f>
        <v>1</v>
      </c>
      <c r="AT15" s="37" t="n">
        <f aca="false">IF(AND(N('Hiring plan'!$F$11)&gt;0,AT$3&gt;='Hiring plan'!$G$11,AT$3&lt;=IF('Hiring plan'!$H$11="",999,'Hiring plan'!$H$11)),'Hiring plan'!$F$11,0)</f>
        <v>1</v>
      </c>
      <c r="AU15" s="37" t="n">
        <f aca="false">IF(AND(N('Hiring plan'!$F$11)&gt;0,AU$3&gt;='Hiring plan'!$G$11,AU$3&lt;=IF('Hiring plan'!$H$11="",999,'Hiring plan'!$H$11)),'Hiring plan'!$F$11,0)</f>
        <v>1</v>
      </c>
      <c r="AV15" s="37" t="n">
        <f aca="false">IF(AND(N('Hiring plan'!$F$11)&gt;0,AV$3&gt;='Hiring plan'!$G$11,AV$3&lt;=IF('Hiring plan'!$H$11="",999,'Hiring plan'!$H$11)),'Hiring plan'!$F$11,0)</f>
        <v>1</v>
      </c>
      <c r="AW15" s="37" t="n">
        <f aca="false">IF(AND(N('Hiring plan'!$F$11)&gt;0,AW$3&gt;='Hiring plan'!$G$11,AW$3&lt;=IF('Hiring plan'!$H$11="",999,'Hiring plan'!$H$11)),'Hiring plan'!$F$11,0)</f>
        <v>1</v>
      </c>
      <c r="AX15" s="37" t="n">
        <f aca="false">IF(AND(N('Hiring plan'!$F$11)&gt;0,AX$3&gt;='Hiring plan'!$G$11,AX$3&lt;=IF('Hiring plan'!$H$11="",999,'Hiring plan'!$H$11)),'Hiring plan'!$F$11,0)</f>
        <v>1</v>
      </c>
      <c r="AY15" s="37" t="n">
        <f aca="false">IF(AND(N('Hiring plan'!$F$11)&gt;0,AY$3&gt;='Hiring plan'!$G$11,AY$3&lt;=IF('Hiring plan'!$H$11="",999,'Hiring plan'!$H$11)),'Hiring plan'!$F$11,0)</f>
        <v>1</v>
      </c>
      <c r="AZ15" s="37" t="n">
        <f aca="false">IF(AND(N('Hiring plan'!$F$11)&gt;0,AZ$3&gt;='Hiring plan'!$G$11,AZ$3&lt;=IF('Hiring plan'!$H$11="",999,'Hiring plan'!$H$11)),'Hiring plan'!$F$11,0)</f>
        <v>1</v>
      </c>
      <c r="BA15" s="37" t="n">
        <f aca="false">IF(AND(N('Hiring plan'!$F$11)&gt;0,BA$3&gt;='Hiring plan'!$G$11,BA$3&lt;=IF('Hiring plan'!$H$11="",999,'Hiring plan'!$H$11)),'Hiring plan'!$F$11,0)</f>
        <v>1</v>
      </c>
      <c r="BB15" s="37" t="n">
        <f aca="false">IF(AND(N('Hiring plan'!$F$11)&gt;0,BB$3&gt;='Hiring plan'!$G$11,BB$3&lt;=IF('Hiring plan'!$H$11="",999,'Hiring plan'!$H$11)),'Hiring plan'!$F$11,0)</f>
        <v>1</v>
      </c>
      <c r="BC15" s="37" t="n">
        <f aca="false">IF(AND(N('Hiring plan'!$F$11)&gt;0,BC$3&gt;='Hiring plan'!$G$11,BC$3&lt;=IF('Hiring plan'!$H$11="",999,'Hiring plan'!$H$11)),'Hiring plan'!$F$11,0)</f>
        <v>1</v>
      </c>
      <c r="BD15" s="37" t="n">
        <f aca="false">IF(AND(N('Hiring plan'!$F$11)&gt;0,BD$3&gt;='Hiring plan'!$G$11,BD$3&lt;=IF('Hiring plan'!$H$11="",999,'Hiring plan'!$H$11)),'Hiring plan'!$F$11,0)</f>
        <v>1</v>
      </c>
      <c r="BE15" s="37" t="n">
        <f aca="false">IF(AND(N('Hiring plan'!$F$11)&gt;0,BE$3&gt;='Hiring plan'!$G$11,BE$3&lt;=IF('Hiring plan'!$H$11="",999,'Hiring plan'!$H$11)),'Hiring plan'!$F$11,0)</f>
        <v>1</v>
      </c>
      <c r="BF15" s="37" t="n">
        <f aca="false">IF(AND(N('Hiring plan'!$F$11)&gt;0,BF$3&gt;='Hiring plan'!$G$11,BF$3&lt;=IF('Hiring plan'!$H$11="",999,'Hiring plan'!$H$11)),'Hiring plan'!$F$11,0)</f>
        <v>1</v>
      </c>
      <c r="BG15" s="37" t="n">
        <f aca="false">IF(AND(N('Hiring plan'!$F$11)&gt;0,BG$3&gt;='Hiring plan'!$G$11,BG$3&lt;=IF('Hiring plan'!$H$11="",999,'Hiring plan'!$H$11)),'Hiring plan'!$F$11,0)</f>
        <v>1</v>
      </c>
      <c r="BH15" s="37" t="n">
        <f aca="false">IF(AND(N('Hiring plan'!$F$11)&gt;0,BH$3&gt;='Hiring plan'!$G$11,BH$3&lt;=IF('Hiring plan'!$H$11="",999,'Hiring plan'!$H$11)),'Hiring plan'!$F$11,0)</f>
        <v>1</v>
      </c>
      <c r="BI15" s="37" t="n">
        <f aca="false">IF(AND(N('Hiring plan'!$F$11)&gt;0,BI$3&gt;='Hiring plan'!$G$11,BI$3&lt;=IF('Hiring plan'!$H$11="",999,'Hiring plan'!$H$11)),'Hiring plan'!$F$11,0)</f>
        <v>1</v>
      </c>
      <c r="BJ15" s="37" t="n">
        <f aca="false">IF(AND(N('Hiring plan'!$F$11)&gt;0,BJ$3&gt;='Hiring plan'!$G$11,BJ$3&lt;=IF('Hiring plan'!$H$11="",999,'Hiring plan'!$H$11)),'Hiring plan'!$F$11,0)</f>
        <v>1</v>
      </c>
      <c r="BK15" s="37" t="n">
        <f aca="false">IF(AND(N('Hiring plan'!$F$11)&gt;0,BK$3&gt;='Hiring plan'!$G$11,BK$3&lt;=IF('Hiring plan'!$H$11="",999,'Hiring plan'!$H$11)),'Hiring plan'!$F$11,0)</f>
        <v>1</v>
      </c>
      <c r="BL15" s="37" t="n">
        <f aca="false">IF(AND(N('Hiring plan'!$F$11)&gt;0,BL$3&gt;='Hiring plan'!$G$11,BL$3&lt;=IF('Hiring plan'!$H$11="",999,'Hiring plan'!$H$11)),'Hiring plan'!$F$11,0)</f>
        <v>1</v>
      </c>
    </row>
    <row r="16" customFormat="false" ht="15" hidden="false" customHeight="false" outlineLevel="0" collapsed="false">
      <c r="A16" s="12" t="str">
        <f aca="false">IF('Hiring plan'!$C$12="","(spare line 8)",'Hiring plan'!$C$12&amp;" · "&amp;'Hiring plan'!$D$12)</f>
        <v>Compliance officer (AML/CFT) · SN</v>
      </c>
      <c r="B16" s="14" t="s">
        <v>86</v>
      </c>
      <c r="D16" s="55" t="n">
        <f aca="false">MAX(E16:BL16)</f>
        <v>1</v>
      </c>
      <c r="E16" s="37" t="n">
        <f aca="false">IF(AND(N('Hiring plan'!$F$12)&gt;0,E$3&gt;='Hiring plan'!$G$12,E$3&lt;=IF('Hiring plan'!$H$12="",999,'Hiring plan'!$H$12)),'Hiring plan'!$F$12,0)</f>
        <v>0</v>
      </c>
      <c r="F16" s="37" t="n">
        <f aca="false">IF(AND(N('Hiring plan'!$F$12)&gt;0,F$3&gt;='Hiring plan'!$G$12,F$3&lt;=IF('Hiring plan'!$H$12="",999,'Hiring plan'!$H$12)),'Hiring plan'!$F$12,0)</f>
        <v>0</v>
      </c>
      <c r="G16" s="37" t="n">
        <f aca="false">IF(AND(N('Hiring plan'!$F$12)&gt;0,G$3&gt;='Hiring plan'!$G$12,G$3&lt;=IF('Hiring plan'!$H$12="",999,'Hiring plan'!$H$12)),'Hiring plan'!$F$12,0)</f>
        <v>0</v>
      </c>
      <c r="H16" s="37" t="n">
        <f aca="false">IF(AND(N('Hiring plan'!$F$12)&gt;0,H$3&gt;='Hiring plan'!$G$12,H$3&lt;=IF('Hiring plan'!$H$12="",999,'Hiring plan'!$H$12)),'Hiring plan'!$F$12,0)</f>
        <v>0</v>
      </c>
      <c r="I16" s="37" t="n">
        <f aca="false">IF(AND(N('Hiring plan'!$F$12)&gt;0,I$3&gt;='Hiring plan'!$G$12,I$3&lt;=IF('Hiring plan'!$H$12="",999,'Hiring plan'!$H$12)),'Hiring plan'!$F$12,0)</f>
        <v>0</v>
      </c>
      <c r="J16" s="37" t="n">
        <f aca="false">IF(AND(N('Hiring plan'!$F$12)&gt;0,J$3&gt;='Hiring plan'!$G$12,J$3&lt;=IF('Hiring plan'!$H$12="",999,'Hiring plan'!$H$12)),'Hiring plan'!$F$12,0)</f>
        <v>0</v>
      </c>
      <c r="K16" s="37" t="n">
        <f aca="false">IF(AND(N('Hiring plan'!$F$12)&gt;0,K$3&gt;='Hiring plan'!$G$12,K$3&lt;=IF('Hiring plan'!$H$12="",999,'Hiring plan'!$H$12)),'Hiring plan'!$F$12,0)</f>
        <v>0</v>
      </c>
      <c r="L16" s="37" t="n">
        <f aca="false">IF(AND(N('Hiring plan'!$F$12)&gt;0,L$3&gt;='Hiring plan'!$G$12,L$3&lt;=IF('Hiring plan'!$H$12="",999,'Hiring plan'!$H$12)),'Hiring plan'!$F$12,0)</f>
        <v>0</v>
      </c>
      <c r="M16" s="37" t="n">
        <f aca="false">IF(AND(N('Hiring plan'!$F$12)&gt;0,M$3&gt;='Hiring plan'!$G$12,M$3&lt;=IF('Hiring plan'!$H$12="",999,'Hiring plan'!$H$12)),'Hiring plan'!$F$12,0)</f>
        <v>0</v>
      </c>
      <c r="N16" s="37" t="n">
        <f aca="false">IF(AND(N('Hiring plan'!$F$12)&gt;0,N$3&gt;='Hiring plan'!$G$12,N$3&lt;=IF('Hiring plan'!$H$12="",999,'Hiring plan'!$H$12)),'Hiring plan'!$F$12,0)</f>
        <v>0</v>
      </c>
      <c r="O16" s="37" t="n">
        <f aca="false">IF(AND(N('Hiring plan'!$F$12)&gt;0,O$3&gt;='Hiring plan'!$G$12,O$3&lt;=IF('Hiring plan'!$H$12="",999,'Hiring plan'!$H$12)),'Hiring plan'!$F$12,0)</f>
        <v>0</v>
      </c>
      <c r="P16" s="37" t="n">
        <f aca="false">IF(AND(N('Hiring plan'!$F$12)&gt;0,P$3&gt;='Hiring plan'!$G$12,P$3&lt;=IF('Hiring plan'!$H$12="",999,'Hiring plan'!$H$12)),'Hiring plan'!$F$12,0)</f>
        <v>0</v>
      </c>
      <c r="Q16" s="37" t="n">
        <f aca="false">IF(AND(N('Hiring plan'!$F$12)&gt;0,Q$3&gt;='Hiring plan'!$G$12,Q$3&lt;=IF('Hiring plan'!$H$12="",999,'Hiring plan'!$H$12)),'Hiring plan'!$F$12,0)</f>
        <v>0</v>
      </c>
      <c r="R16" s="37" t="n">
        <f aca="false">IF(AND(N('Hiring plan'!$F$12)&gt;0,R$3&gt;='Hiring plan'!$G$12,R$3&lt;=IF('Hiring plan'!$H$12="",999,'Hiring plan'!$H$12)),'Hiring plan'!$F$12,0)</f>
        <v>0</v>
      </c>
      <c r="S16" s="37" t="n">
        <f aca="false">IF(AND(N('Hiring plan'!$F$12)&gt;0,S$3&gt;='Hiring plan'!$G$12,S$3&lt;=IF('Hiring plan'!$H$12="",999,'Hiring plan'!$H$12)),'Hiring plan'!$F$12,0)</f>
        <v>0</v>
      </c>
      <c r="T16" s="37" t="n">
        <f aca="false">IF(AND(N('Hiring plan'!$F$12)&gt;0,T$3&gt;='Hiring plan'!$G$12,T$3&lt;=IF('Hiring plan'!$H$12="",999,'Hiring plan'!$H$12)),'Hiring plan'!$F$12,0)</f>
        <v>0</v>
      </c>
      <c r="U16" s="37" t="n">
        <f aca="false">IF(AND(N('Hiring plan'!$F$12)&gt;0,U$3&gt;='Hiring plan'!$G$12,U$3&lt;=IF('Hiring plan'!$H$12="",999,'Hiring plan'!$H$12)),'Hiring plan'!$F$12,0)</f>
        <v>0</v>
      </c>
      <c r="V16" s="37" t="n">
        <f aca="false">IF(AND(N('Hiring plan'!$F$12)&gt;0,V$3&gt;='Hiring plan'!$G$12,V$3&lt;=IF('Hiring plan'!$H$12="",999,'Hiring plan'!$H$12)),'Hiring plan'!$F$12,0)</f>
        <v>0</v>
      </c>
      <c r="W16" s="37" t="n">
        <f aca="false">IF(AND(N('Hiring plan'!$F$12)&gt;0,W$3&gt;='Hiring plan'!$G$12,W$3&lt;=IF('Hiring plan'!$H$12="",999,'Hiring plan'!$H$12)),'Hiring plan'!$F$12,0)</f>
        <v>0</v>
      </c>
      <c r="X16" s="37" t="n">
        <f aca="false">IF(AND(N('Hiring plan'!$F$12)&gt;0,X$3&gt;='Hiring plan'!$G$12,X$3&lt;=IF('Hiring plan'!$H$12="",999,'Hiring plan'!$H$12)),'Hiring plan'!$F$12,0)</f>
        <v>0</v>
      </c>
      <c r="Y16" s="37" t="n">
        <f aca="false">IF(AND(N('Hiring plan'!$F$12)&gt;0,Y$3&gt;='Hiring plan'!$G$12,Y$3&lt;=IF('Hiring plan'!$H$12="",999,'Hiring plan'!$H$12)),'Hiring plan'!$F$12,0)</f>
        <v>0</v>
      </c>
      <c r="Z16" s="37" t="n">
        <f aca="false">IF(AND(N('Hiring plan'!$F$12)&gt;0,Z$3&gt;='Hiring plan'!$G$12,Z$3&lt;=IF('Hiring plan'!$H$12="",999,'Hiring plan'!$H$12)),'Hiring plan'!$F$12,0)</f>
        <v>0</v>
      </c>
      <c r="AA16" s="37" t="n">
        <f aca="false">IF(AND(N('Hiring plan'!$F$12)&gt;0,AA$3&gt;='Hiring plan'!$G$12,AA$3&lt;=IF('Hiring plan'!$H$12="",999,'Hiring plan'!$H$12)),'Hiring plan'!$F$12,0)</f>
        <v>0</v>
      </c>
      <c r="AB16" s="37" t="n">
        <f aca="false">IF(AND(N('Hiring plan'!$F$12)&gt;0,AB$3&gt;='Hiring plan'!$G$12,AB$3&lt;=IF('Hiring plan'!$H$12="",999,'Hiring plan'!$H$12)),'Hiring plan'!$F$12,0)</f>
        <v>1</v>
      </c>
      <c r="AC16" s="37" t="n">
        <f aca="false">IF(AND(N('Hiring plan'!$F$12)&gt;0,AC$3&gt;='Hiring plan'!$G$12,AC$3&lt;=IF('Hiring plan'!$H$12="",999,'Hiring plan'!$H$12)),'Hiring plan'!$F$12,0)</f>
        <v>1</v>
      </c>
      <c r="AD16" s="37" t="n">
        <f aca="false">IF(AND(N('Hiring plan'!$F$12)&gt;0,AD$3&gt;='Hiring plan'!$G$12,AD$3&lt;=IF('Hiring plan'!$H$12="",999,'Hiring plan'!$H$12)),'Hiring plan'!$F$12,0)</f>
        <v>1</v>
      </c>
      <c r="AE16" s="37" t="n">
        <f aca="false">IF(AND(N('Hiring plan'!$F$12)&gt;0,AE$3&gt;='Hiring plan'!$G$12,AE$3&lt;=IF('Hiring plan'!$H$12="",999,'Hiring plan'!$H$12)),'Hiring plan'!$F$12,0)</f>
        <v>1</v>
      </c>
      <c r="AF16" s="37" t="n">
        <f aca="false">IF(AND(N('Hiring plan'!$F$12)&gt;0,AF$3&gt;='Hiring plan'!$G$12,AF$3&lt;=IF('Hiring plan'!$H$12="",999,'Hiring plan'!$H$12)),'Hiring plan'!$F$12,0)</f>
        <v>1</v>
      </c>
      <c r="AG16" s="37" t="n">
        <f aca="false">IF(AND(N('Hiring plan'!$F$12)&gt;0,AG$3&gt;='Hiring plan'!$G$12,AG$3&lt;=IF('Hiring plan'!$H$12="",999,'Hiring plan'!$H$12)),'Hiring plan'!$F$12,0)</f>
        <v>1</v>
      </c>
      <c r="AH16" s="37" t="n">
        <f aca="false">IF(AND(N('Hiring plan'!$F$12)&gt;0,AH$3&gt;='Hiring plan'!$G$12,AH$3&lt;=IF('Hiring plan'!$H$12="",999,'Hiring plan'!$H$12)),'Hiring plan'!$F$12,0)</f>
        <v>1</v>
      </c>
      <c r="AI16" s="37" t="n">
        <f aca="false">IF(AND(N('Hiring plan'!$F$12)&gt;0,AI$3&gt;='Hiring plan'!$G$12,AI$3&lt;=IF('Hiring plan'!$H$12="",999,'Hiring plan'!$H$12)),'Hiring plan'!$F$12,0)</f>
        <v>1</v>
      </c>
      <c r="AJ16" s="37" t="n">
        <f aca="false">IF(AND(N('Hiring plan'!$F$12)&gt;0,AJ$3&gt;='Hiring plan'!$G$12,AJ$3&lt;=IF('Hiring plan'!$H$12="",999,'Hiring plan'!$H$12)),'Hiring plan'!$F$12,0)</f>
        <v>1</v>
      </c>
      <c r="AK16" s="37" t="n">
        <f aca="false">IF(AND(N('Hiring plan'!$F$12)&gt;0,AK$3&gt;='Hiring plan'!$G$12,AK$3&lt;=IF('Hiring plan'!$H$12="",999,'Hiring plan'!$H$12)),'Hiring plan'!$F$12,0)</f>
        <v>1</v>
      </c>
      <c r="AL16" s="37" t="n">
        <f aca="false">IF(AND(N('Hiring plan'!$F$12)&gt;0,AL$3&gt;='Hiring plan'!$G$12,AL$3&lt;=IF('Hiring plan'!$H$12="",999,'Hiring plan'!$H$12)),'Hiring plan'!$F$12,0)</f>
        <v>1</v>
      </c>
      <c r="AM16" s="37" t="n">
        <f aca="false">IF(AND(N('Hiring plan'!$F$12)&gt;0,AM$3&gt;='Hiring plan'!$G$12,AM$3&lt;=IF('Hiring plan'!$H$12="",999,'Hiring plan'!$H$12)),'Hiring plan'!$F$12,0)</f>
        <v>1</v>
      </c>
      <c r="AN16" s="37" t="n">
        <f aca="false">IF(AND(N('Hiring plan'!$F$12)&gt;0,AN$3&gt;='Hiring plan'!$G$12,AN$3&lt;=IF('Hiring plan'!$H$12="",999,'Hiring plan'!$H$12)),'Hiring plan'!$F$12,0)</f>
        <v>1</v>
      </c>
      <c r="AO16" s="37" t="n">
        <f aca="false">IF(AND(N('Hiring plan'!$F$12)&gt;0,AO$3&gt;='Hiring plan'!$G$12,AO$3&lt;=IF('Hiring plan'!$H$12="",999,'Hiring plan'!$H$12)),'Hiring plan'!$F$12,0)</f>
        <v>1</v>
      </c>
      <c r="AP16" s="37" t="n">
        <f aca="false">IF(AND(N('Hiring plan'!$F$12)&gt;0,AP$3&gt;='Hiring plan'!$G$12,AP$3&lt;=IF('Hiring plan'!$H$12="",999,'Hiring plan'!$H$12)),'Hiring plan'!$F$12,0)</f>
        <v>1</v>
      </c>
      <c r="AQ16" s="37" t="n">
        <f aca="false">IF(AND(N('Hiring plan'!$F$12)&gt;0,AQ$3&gt;='Hiring plan'!$G$12,AQ$3&lt;=IF('Hiring plan'!$H$12="",999,'Hiring plan'!$H$12)),'Hiring plan'!$F$12,0)</f>
        <v>1</v>
      </c>
      <c r="AR16" s="37" t="n">
        <f aca="false">IF(AND(N('Hiring plan'!$F$12)&gt;0,AR$3&gt;='Hiring plan'!$G$12,AR$3&lt;=IF('Hiring plan'!$H$12="",999,'Hiring plan'!$H$12)),'Hiring plan'!$F$12,0)</f>
        <v>1</v>
      </c>
      <c r="AS16" s="37" t="n">
        <f aca="false">IF(AND(N('Hiring plan'!$F$12)&gt;0,AS$3&gt;='Hiring plan'!$G$12,AS$3&lt;=IF('Hiring plan'!$H$12="",999,'Hiring plan'!$H$12)),'Hiring plan'!$F$12,0)</f>
        <v>1</v>
      </c>
      <c r="AT16" s="37" t="n">
        <f aca="false">IF(AND(N('Hiring plan'!$F$12)&gt;0,AT$3&gt;='Hiring plan'!$G$12,AT$3&lt;=IF('Hiring plan'!$H$12="",999,'Hiring plan'!$H$12)),'Hiring plan'!$F$12,0)</f>
        <v>1</v>
      </c>
      <c r="AU16" s="37" t="n">
        <f aca="false">IF(AND(N('Hiring plan'!$F$12)&gt;0,AU$3&gt;='Hiring plan'!$G$12,AU$3&lt;=IF('Hiring plan'!$H$12="",999,'Hiring plan'!$H$12)),'Hiring plan'!$F$12,0)</f>
        <v>1</v>
      </c>
      <c r="AV16" s="37" t="n">
        <f aca="false">IF(AND(N('Hiring plan'!$F$12)&gt;0,AV$3&gt;='Hiring plan'!$G$12,AV$3&lt;=IF('Hiring plan'!$H$12="",999,'Hiring plan'!$H$12)),'Hiring plan'!$F$12,0)</f>
        <v>1</v>
      </c>
      <c r="AW16" s="37" t="n">
        <f aca="false">IF(AND(N('Hiring plan'!$F$12)&gt;0,AW$3&gt;='Hiring plan'!$G$12,AW$3&lt;=IF('Hiring plan'!$H$12="",999,'Hiring plan'!$H$12)),'Hiring plan'!$F$12,0)</f>
        <v>1</v>
      </c>
      <c r="AX16" s="37" t="n">
        <f aca="false">IF(AND(N('Hiring plan'!$F$12)&gt;0,AX$3&gt;='Hiring plan'!$G$12,AX$3&lt;=IF('Hiring plan'!$H$12="",999,'Hiring plan'!$H$12)),'Hiring plan'!$F$12,0)</f>
        <v>1</v>
      </c>
      <c r="AY16" s="37" t="n">
        <f aca="false">IF(AND(N('Hiring plan'!$F$12)&gt;0,AY$3&gt;='Hiring plan'!$G$12,AY$3&lt;=IF('Hiring plan'!$H$12="",999,'Hiring plan'!$H$12)),'Hiring plan'!$F$12,0)</f>
        <v>1</v>
      </c>
      <c r="AZ16" s="37" t="n">
        <f aca="false">IF(AND(N('Hiring plan'!$F$12)&gt;0,AZ$3&gt;='Hiring plan'!$G$12,AZ$3&lt;=IF('Hiring plan'!$H$12="",999,'Hiring plan'!$H$12)),'Hiring plan'!$F$12,0)</f>
        <v>1</v>
      </c>
      <c r="BA16" s="37" t="n">
        <f aca="false">IF(AND(N('Hiring plan'!$F$12)&gt;0,BA$3&gt;='Hiring plan'!$G$12,BA$3&lt;=IF('Hiring plan'!$H$12="",999,'Hiring plan'!$H$12)),'Hiring plan'!$F$12,0)</f>
        <v>1</v>
      </c>
      <c r="BB16" s="37" t="n">
        <f aca="false">IF(AND(N('Hiring plan'!$F$12)&gt;0,BB$3&gt;='Hiring plan'!$G$12,BB$3&lt;=IF('Hiring plan'!$H$12="",999,'Hiring plan'!$H$12)),'Hiring plan'!$F$12,0)</f>
        <v>1</v>
      </c>
      <c r="BC16" s="37" t="n">
        <f aca="false">IF(AND(N('Hiring plan'!$F$12)&gt;0,BC$3&gt;='Hiring plan'!$G$12,BC$3&lt;=IF('Hiring plan'!$H$12="",999,'Hiring plan'!$H$12)),'Hiring plan'!$F$12,0)</f>
        <v>1</v>
      </c>
      <c r="BD16" s="37" t="n">
        <f aca="false">IF(AND(N('Hiring plan'!$F$12)&gt;0,BD$3&gt;='Hiring plan'!$G$12,BD$3&lt;=IF('Hiring plan'!$H$12="",999,'Hiring plan'!$H$12)),'Hiring plan'!$F$12,0)</f>
        <v>1</v>
      </c>
      <c r="BE16" s="37" t="n">
        <f aca="false">IF(AND(N('Hiring plan'!$F$12)&gt;0,BE$3&gt;='Hiring plan'!$G$12,BE$3&lt;=IF('Hiring plan'!$H$12="",999,'Hiring plan'!$H$12)),'Hiring plan'!$F$12,0)</f>
        <v>1</v>
      </c>
      <c r="BF16" s="37" t="n">
        <f aca="false">IF(AND(N('Hiring plan'!$F$12)&gt;0,BF$3&gt;='Hiring plan'!$G$12,BF$3&lt;=IF('Hiring plan'!$H$12="",999,'Hiring plan'!$H$12)),'Hiring plan'!$F$12,0)</f>
        <v>1</v>
      </c>
      <c r="BG16" s="37" t="n">
        <f aca="false">IF(AND(N('Hiring plan'!$F$12)&gt;0,BG$3&gt;='Hiring plan'!$G$12,BG$3&lt;=IF('Hiring plan'!$H$12="",999,'Hiring plan'!$H$12)),'Hiring plan'!$F$12,0)</f>
        <v>1</v>
      </c>
      <c r="BH16" s="37" t="n">
        <f aca="false">IF(AND(N('Hiring plan'!$F$12)&gt;0,BH$3&gt;='Hiring plan'!$G$12,BH$3&lt;=IF('Hiring plan'!$H$12="",999,'Hiring plan'!$H$12)),'Hiring plan'!$F$12,0)</f>
        <v>1</v>
      </c>
      <c r="BI16" s="37" t="n">
        <f aca="false">IF(AND(N('Hiring plan'!$F$12)&gt;0,BI$3&gt;='Hiring plan'!$G$12,BI$3&lt;=IF('Hiring plan'!$H$12="",999,'Hiring plan'!$H$12)),'Hiring plan'!$F$12,0)</f>
        <v>1</v>
      </c>
      <c r="BJ16" s="37" t="n">
        <f aca="false">IF(AND(N('Hiring plan'!$F$12)&gt;0,BJ$3&gt;='Hiring plan'!$G$12,BJ$3&lt;=IF('Hiring plan'!$H$12="",999,'Hiring plan'!$H$12)),'Hiring plan'!$F$12,0)</f>
        <v>1</v>
      </c>
      <c r="BK16" s="37" t="n">
        <f aca="false">IF(AND(N('Hiring plan'!$F$12)&gt;0,BK$3&gt;='Hiring plan'!$G$12,BK$3&lt;=IF('Hiring plan'!$H$12="",999,'Hiring plan'!$H$12)),'Hiring plan'!$F$12,0)</f>
        <v>1</v>
      </c>
      <c r="BL16" s="37" t="n">
        <f aca="false">IF(AND(N('Hiring plan'!$F$12)&gt;0,BL$3&gt;='Hiring plan'!$G$12,BL$3&lt;=IF('Hiring plan'!$H$12="",999,'Hiring plan'!$H$12)),'Hiring plan'!$F$12,0)</f>
        <v>1</v>
      </c>
    </row>
    <row r="17" customFormat="false" ht="15" hidden="false" customHeight="false" outlineLevel="0" collapsed="false">
      <c r="A17" s="12" t="str">
        <f aca="false">IF('Hiring plan'!$C$13="","(spare line 9)",'Hiring plan'!$C$13&amp;" · "&amp;'Hiring plan'!$D$13)</f>
        <v>(spare line 9)</v>
      </c>
      <c r="B17" s="14" t="s">
        <v>86</v>
      </c>
      <c r="D17" s="55" t="n">
        <f aca="false">MAX(E17:BL17)</f>
        <v>0</v>
      </c>
      <c r="E17" s="37" t="n">
        <f aca="false">IF(AND(N('Hiring plan'!$F$13)&gt;0,E$3&gt;='Hiring plan'!$G$13,E$3&lt;=IF('Hiring plan'!$H$13="",999,'Hiring plan'!$H$13)),'Hiring plan'!$F$13,0)</f>
        <v>0</v>
      </c>
      <c r="F17" s="37" t="n">
        <f aca="false">IF(AND(N('Hiring plan'!$F$13)&gt;0,F$3&gt;='Hiring plan'!$G$13,F$3&lt;=IF('Hiring plan'!$H$13="",999,'Hiring plan'!$H$13)),'Hiring plan'!$F$13,0)</f>
        <v>0</v>
      </c>
      <c r="G17" s="37" t="n">
        <f aca="false">IF(AND(N('Hiring plan'!$F$13)&gt;0,G$3&gt;='Hiring plan'!$G$13,G$3&lt;=IF('Hiring plan'!$H$13="",999,'Hiring plan'!$H$13)),'Hiring plan'!$F$13,0)</f>
        <v>0</v>
      </c>
      <c r="H17" s="37" t="n">
        <f aca="false">IF(AND(N('Hiring plan'!$F$13)&gt;0,H$3&gt;='Hiring plan'!$G$13,H$3&lt;=IF('Hiring plan'!$H$13="",999,'Hiring plan'!$H$13)),'Hiring plan'!$F$13,0)</f>
        <v>0</v>
      </c>
      <c r="I17" s="37" t="n">
        <f aca="false">IF(AND(N('Hiring plan'!$F$13)&gt;0,I$3&gt;='Hiring plan'!$G$13,I$3&lt;=IF('Hiring plan'!$H$13="",999,'Hiring plan'!$H$13)),'Hiring plan'!$F$13,0)</f>
        <v>0</v>
      </c>
      <c r="J17" s="37" t="n">
        <f aca="false">IF(AND(N('Hiring plan'!$F$13)&gt;0,J$3&gt;='Hiring plan'!$G$13,J$3&lt;=IF('Hiring plan'!$H$13="",999,'Hiring plan'!$H$13)),'Hiring plan'!$F$13,0)</f>
        <v>0</v>
      </c>
      <c r="K17" s="37" t="n">
        <f aca="false">IF(AND(N('Hiring plan'!$F$13)&gt;0,K$3&gt;='Hiring plan'!$G$13,K$3&lt;=IF('Hiring plan'!$H$13="",999,'Hiring plan'!$H$13)),'Hiring plan'!$F$13,0)</f>
        <v>0</v>
      </c>
      <c r="L17" s="37" t="n">
        <f aca="false">IF(AND(N('Hiring plan'!$F$13)&gt;0,L$3&gt;='Hiring plan'!$G$13,L$3&lt;=IF('Hiring plan'!$H$13="",999,'Hiring plan'!$H$13)),'Hiring plan'!$F$13,0)</f>
        <v>0</v>
      </c>
      <c r="M17" s="37" t="n">
        <f aca="false">IF(AND(N('Hiring plan'!$F$13)&gt;0,M$3&gt;='Hiring plan'!$G$13,M$3&lt;=IF('Hiring plan'!$H$13="",999,'Hiring plan'!$H$13)),'Hiring plan'!$F$13,0)</f>
        <v>0</v>
      </c>
      <c r="N17" s="37" t="n">
        <f aca="false">IF(AND(N('Hiring plan'!$F$13)&gt;0,N$3&gt;='Hiring plan'!$G$13,N$3&lt;=IF('Hiring plan'!$H$13="",999,'Hiring plan'!$H$13)),'Hiring plan'!$F$13,0)</f>
        <v>0</v>
      </c>
      <c r="O17" s="37" t="n">
        <f aca="false">IF(AND(N('Hiring plan'!$F$13)&gt;0,O$3&gt;='Hiring plan'!$G$13,O$3&lt;=IF('Hiring plan'!$H$13="",999,'Hiring plan'!$H$13)),'Hiring plan'!$F$13,0)</f>
        <v>0</v>
      </c>
      <c r="P17" s="37" t="n">
        <f aca="false">IF(AND(N('Hiring plan'!$F$13)&gt;0,P$3&gt;='Hiring plan'!$G$13,P$3&lt;=IF('Hiring plan'!$H$13="",999,'Hiring plan'!$H$13)),'Hiring plan'!$F$13,0)</f>
        <v>0</v>
      </c>
      <c r="Q17" s="37" t="n">
        <f aca="false">IF(AND(N('Hiring plan'!$F$13)&gt;0,Q$3&gt;='Hiring plan'!$G$13,Q$3&lt;=IF('Hiring plan'!$H$13="",999,'Hiring plan'!$H$13)),'Hiring plan'!$F$13,0)</f>
        <v>0</v>
      </c>
      <c r="R17" s="37" t="n">
        <f aca="false">IF(AND(N('Hiring plan'!$F$13)&gt;0,R$3&gt;='Hiring plan'!$G$13,R$3&lt;=IF('Hiring plan'!$H$13="",999,'Hiring plan'!$H$13)),'Hiring plan'!$F$13,0)</f>
        <v>0</v>
      </c>
      <c r="S17" s="37" t="n">
        <f aca="false">IF(AND(N('Hiring plan'!$F$13)&gt;0,S$3&gt;='Hiring plan'!$G$13,S$3&lt;=IF('Hiring plan'!$H$13="",999,'Hiring plan'!$H$13)),'Hiring plan'!$F$13,0)</f>
        <v>0</v>
      </c>
      <c r="T17" s="37" t="n">
        <f aca="false">IF(AND(N('Hiring plan'!$F$13)&gt;0,T$3&gt;='Hiring plan'!$G$13,T$3&lt;=IF('Hiring plan'!$H$13="",999,'Hiring plan'!$H$13)),'Hiring plan'!$F$13,0)</f>
        <v>0</v>
      </c>
      <c r="U17" s="37" t="n">
        <f aca="false">IF(AND(N('Hiring plan'!$F$13)&gt;0,U$3&gt;='Hiring plan'!$G$13,U$3&lt;=IF('Hiring plan'!$H$13="",999,'Hiring plan'!$H$13)),'Hiring plan'!$F$13,0)</f>
        <v>0</v>
      </c>
      <c r="V17" s="37" t="n">
        <f aca="false">IF(AND(N('Hiring plan'!$F$13)&gt;0,V$3&gt;='Hiring plan'!$G$13,V$3&lt;=IF('Hiring plan'!$H$13="",999,'Hiring plan'!$H$13)),'Hiring plan'!$F$13,0)</f>
        <v>0</v>
      </c>
      <c r="W17" s="37" t="n">
        <f aca="false">IF(AND(N('Hiring plan'!$F$13)&gt;0,W$3&gt;='Hiring plan'!$G$13,W$3&lt;=IF('Hiring plan'!$H$13="",999,'Hiring plan'!$H$13)),'Hiring plan'!$F$13,0)</f>
        <v>0</v>
      </c>
      <c r="X17" s="37" t="n">
        <f aca="false">IF(AND(N('Hiring plan'!$F$13)&gt;0,X$3&gt;='Hiring plan'!$G$13,X$3&lt;=IF('Hiring plan'!$H$13="",999,'Hiring plan'!$H$13)),'Hiring plan'!$F$13,0)</f>
        <v>0</v>
      </c>
      <c r="Y17" s="37" t="n">
        <f aca="false">IF(AND(N('Hiring plan'!$F$13)&gt;0,Y$3&gt;='Hiring plan'!$G$13,Y$3&lt;=IF('Hiring plan'!$H$13="",999,'Hiring plan'!$H$13)),'Hiring plan'!$F$13,0)</f>
        <v>0</v>
      </c>
      <c r="Z17" s="37" t="n">
        <f aca="false">IF(AND(N('Hiring plan'!$F$13)&gt;0,Z$3&gt;='Hiring plan'!$G$13,Z$3&lt;=IF('Hiring plan'!$H$13="",999,'Hiring plan'!$H$13)),'Hiring plan'!$F$13,0)</f>
        <v>0</v>
      </c>
      <c r="AA17" s="37" t="n">
        <f aca="false">IF(AND(N('Hiring plan'!$F$13)&gt;0,AA$3&gt;='Hiring plan'!$G$13,AA$3&lt;=IF('Hiring plan'!$H$13="",999,'Hiring plan'!$H$13)),'Hiring plan'!$F$13,0)</f>
        <v>0</v>
      </c>
      <c r="AB17" s="37" t="n">
        <f aca="false">IF(AND(N('Hiring plan'!$F$13)&gt;0,AB$3&gt;='Hiring plan'!$G$13,AB$3&lt;=IF('Hiring plan'!$H$13="",999,'Hiring plan'!$H$13)),'Hiring plan'!$F$13,0)</f>
        <v>0</v>
      </c>
      <c r="AC17" s="37" t="n">
        <f aca="false">IF(AND(N('Hiring plan'!$F$13)&gt;0,AC$3&gt;='Hiring plan'!$G$13,AC$3&lt;=IF('Hiring plan'!$H$13="",999,'Hiring plan'!$H$13)),'Hiring plan'!$F$13,0)</f>
        <v>0</v>
      </c>
      <c r="AD17" s="37" t="n">
        <f aca="false">IF(AND(N('Hiring plan'!$F$13)&gt;0,AD$3&gt;='Hiring plan'!$G$13,AD$3&lt;=IF('Hiring plan'!$H$13="",999,'Hiring plan'!$H$13)),'Hiring plan'!$F$13,0)</f>
        <v>0</v>
      </c>
      <c r="AE17" s="37" t="n">
        <f aca="false">IF(AND(N('Hiring plan'!$F$13)&gt;0,AE$3&gt;='Hiring plan'!$G$13,AE$3&lt;=IF('Hiring plan'!$H$13="",999,'Hiring plan'!$H$13)),'Hiring plan'!$F$13,0)</f>
        <v>0</v>
      </c>
      <c r="AF17" s="37" t="n">
        <f aca="false">IF(AND(N('Hiring plan'!$F$13)&gt;0,AF$3&gt;='Hiring plan'!$G$13,AF$3&lt;=IF('Hiring plan'!$H$13="",999,'Hiring plan'!$H$13)),'Hiring plan'!$F$13,0)</f>
        <v>0</v>
      </c>
      <c r="AG17" s="37" t="n">
        <f aca="false">IF(AND(N('Hiring plan'!$F$13)&gt;0,AG$3&gt;='Hiring plan'!$G$13,AG$3&lt;=IF('Hiring plan'!$H$13="",999,'Hiring plan'!$H$13)),'Hiring plan'!$F$13,0)</f>
        <v>0</v>
      </c>
      <c r="AH17" s="37" t="n">
        <f aca="false">IF(AND(N('Hiring plan'!$F$13)&gt;0,AH$3&gt;='Hiring plan'!$G$13,AH$3&lt;=IF('Hiring plan'!$H$13="",999,'Hiring plan'!$H$13)),'Hiring plan'!$F$13,0)</f>
        <v>0</v>
      </c>
      <c r="AI17" s="37" t="n">
        <f aca="false">IF(AND(N('Hiring plan'!$F$13)&gt;0,AI$3&gt;='Hiring plan'!$G$13,AI$3&lt;=IF('Hiring plan'!$H$13="",999,'Hiring plan'!$H$13)),'Hiring plan'!$F$13,0)</f>
        <v>0</v>
      </c>
      <c r="AJ17" s="37" t="n">
        <f aca="false">IF(AND(N('Hiring plan'!$F$13)&gt;0,AJ$3&gt;='Hiring plan'!$G$13,AJ$3&lt;=IF('Hiring plan'!$H$13="",999,'Hiring plan'!$H$13)),'Hiring plan'!$F$13,0)</f>
        <v>0</v>
      </c>
      <c r="AK17" s="37" t="n">
        <f aca="false">IF(AND(N('Hiring plan'!$F$13)&gt;0,AK$3&gt;='Hiring plan'!$G$13,AK$3&lt;=IF('Hiring plan'!$H$13="",999,'Hiring plan'!$H$13)),'Hiring plan'!$F$13,0)</f>
        <v>0</v>
      </c>
      <c r="AL17" s="37" t="n">
        <f aca="false">IF(AND(N('Hiring plan'!$F$13)&gt;0,AL$3&gt;='Hiring plan'!$G$13,AL$3&lt;=IF('Hiring plan'!$H$13="",999,'Hiring plan'!$H$13)),'Hiring plan'!$F$13,0)</f>
        <v>0</v>
      </c>
      <c r="AM17" s="37" t="n">
        <f aca="false">IF(AND(N('Hiring plan'!$F$13)&gt;0,AM$3&gt;='Hiring plan'!$G$13,AM$3&lt;=IF('Hiring plan'!$H$13="",999,'Hiring plan'!$H$13)),'Hiring plan'!$F$13,0)</f>
        <v>0</v>
      </c>
      <c r="AN17" s="37" t="n">
        <f aca="false">IF(AND(N('Hiring plan'!$F$13)&gt;0,AN$3&gt;='Hiring plan'!$G$13,AN$3&lt;=IF('Hiring plan'!$H$13="",999,'Hiring plan'!$H$13)),'Hiring plan'!$F$13,0)</f>
        <v>0</v>
      </c>
      <c r="AO17" s="37" t="n">
        <f aca="false">IF(AND(N('Hiring plan'!$F$13)&gt;0,AO$3&gt;='Hiring plan'!$G$13,AO$3&lt;=IF('Hiring plan'!$H$13="",999,'Hiring plan'!$H$13)),'Hiring plan'!$F$13,0)</f>
        <v>0</v>
      </c>
      <c r="AP17" s="37" t="n">
        <f aca="false">IF(AND(N('Hiring plan'!$F$13)&gt;0,AP$3&gt;='Hiring plan'!$G$13,AP$3&lt;=IF('Hiring plan'!$H$13="",999,'Hiring plan'!$H$13)),'Hiring plan'!$F$13,0)</f>
        <v>0</v>
      </c>
      <c r="AQ17" s="37" t="n">
        <f aca="false">IF(AND(N('Hiring plan'!$F$13)&gt;0,AQ$3&gt;='Hiring plan'!$G$13,AQ$3&lt;=IF('Hiring plan'!$H$13="",999,'Hiring plan'!$H$13)),'Hiring plan'!$F$13,0)</f>
        <v>0</v>
      </c>
      <c r="AR17" s="37" t="n">
        <f aca="false">IF(AND(N('Hiring plan'!$F$13)&gt;0,AR$3&gt;='Hiring plan'!$G$13,AR$3&lt;=IF('Hiring plan'!$H$13="",999,'Hiring plan'!$H$13)),'Hiring plan'!$F$13,0)</f>
        <v>0</v>
      </c>
      <c r="AS17" s="37" t="n">
        <f aca="false">IF(AND(N('Hiring plan'!$F$13)&gt;0,AS$3&gt;='Hiring plan'!$G$13,AS$3&lt;=IF('Hiring plan'!$H$13="",999,'Hiring plan'!$H$13)),'Hiring plan'!$F$13,0)</f>
        <v>0</v>
      </c>
      <c r="AT17" s="37" t="n">
        <f aca="false">IF(AND(N('Hiring plan'!$F$13)&gt;0,AT$3&gt;='Hiring plan'!$G$13,AT$3&lt;=IF('Hiring plan'!$H$13="",999,'Hiring plan'!$H$13)),'Hiring plan'!$F$13,0)</f>
        <v>0</v>
      </c>
      <c r="AU17" s="37" t="n">
        <f aca="false">IF(AND(N('Hiring plan'!$F$13)&gt;0,AU$3&gt;='Hiring plan'!$G$13,AU$3&lt;=IF('Hiring plan'!$H$13="",999,'Hiring plan'!$H$13)),'Hiring plan'!$F$13,0)</f>
        <v>0</v>
      </c>
      <c r="AV17" s="37" t="n">
        <f aca="false">IF(AND(N('Hiring plan'!$F$13)&gt;0,AV$3&gt;='Hiring plan'!$G$13,AV$3&lt;=IF('Hiring plan'!$H$13="",999,'Hiring plan'!$H$13)),'Hiring plan'!$F$13,0)</f>
        <v>0</v>
      </c>
      <c r="AW17" s="37" t="n">
        <f aca="false">IF(AND(N('Hiring plan'!$F$13)&gt;0,AW$3&gt;='Hiring plan'!$G$13,AW$3&lt;=IF('Hiring plan'!$H$13="",999,'Hiring plan'!$H$13)),'Hiring plan'!$F$13,0)</f>
        <v>0</v>
      </c>
      <c r="AX17" s="37" t="n">
        <f aca="false">IF(AND(N('Hiring plan'!$F$13)&gt;0,AX$3&gt;='Hiring plan'!$G$13,AX$3&lt;=IF('Hiring plan'!$H$13="",999,'Hiring plan'!$H$13)),'Hiring plan'!$F$13,0)</f>
        <v>0</v>
      </c>
      <c r="AY17" s="37" t="n">
        <f aca="false">IF(AND(N('Hiring plan'!$F$13)&gt;0,AY$3&gt;='Hiring plan'!$G$13,AY$3&lt;=IF('Hiring plan'!$H$13="",999,'Hiring plan'!$H$13)),'Hiring plan'!$F$13,0)</f>
        <v>0</v>
      </c>
      <c r="AZ17" s="37" t="n">
        <f aca="false">IF(AND(N('Hiring plan'!$F$13)&gt;0,AZ$3&gt;='Hiring plan'!$G$13,AZ$3&lt;=IF('Hiring plan'!$H$13="",999,'Hiring plan'!$H$13)),'Hiring plan'!$F$13,0)</f>
        <v>0</v>
      </c>
      <c r="BA17" s="37" t="n">
        <f aca="false">IF(AND(N('Hiring plan'!$F$13)&gt;0,BA$3&gt;='Hiring plan'!$G$13,BA$3&lt;=IF('Hiring plan'!$H$13="",999,'Hiring plan'!$H$13)),'Hiring plan'!$F$13,0)</f>
        <v>0</v>
      </c>
      <c r="BB17" s="37" t="n">
        <f aca="false">IF(AND(N('Hiring plan'!$F$13)&gt;0,BB$3&gt;='Hiring plan'!$G$13,BB$3&lt;=IF('Hiring plan'!$H$13="",999,'Hiring plan'!$H$13)),'Hiring plan'!$F$13,0)</f>
        <v>0</v>
      </c>
      <c r="BC17" s="37" t="n">
        <f aca="false">IF(AND(N('Hiring plan'!$F$13)&gt;0,BC$3&gt;='Hiring plan'!$G$13,BC$3&lt;=IF('Hiring plan'!$H$13="",999,'Hiring plan'!$H$13)),'Hiring plan'!$F$13,0)</f>
        <v>0</v>
      </c>
      <c r="BD17" s="37" t="n">
        <f aca="false">IF(AND(N('Hiring plan'!$F$13)&gt;0,BD$3&gt;='Hiring plan'!$G$13,BD$3&lt;=IF('Hiring plan'!$H$13="",999,'Hiring plan'!$H$13)),'Hiring plan'!$F$13,0)</f>
        <v>0</v>
      </c>
      <c r="BE17" s="37" t="n">
        <f aca="false">IF(AND(N('Hiring plan'!$F$13)&gt;0,BE$3&gt;='Hiring plan'!$G$13,BE$3&lt;=IF('Hiring plan'!$H$13="",999,'Hiring plan'!$H$13)),'Hiring plan'!$F$13,0)</f>
        <v>0</v>
      </c>
      <c r="BF17" s="37" t="n">
        <f aca="false">IF(AND(N('Hiring plan'!$F$13)&gt;0,BF$3&gt;='Hiring plan'!$G$13,BF$3&lt;=IF('Hiring plan'!$H$13="",999,'Hiring plan'!$H$13)),'Hiring plan'!$F$13,0)</f>
        <v>0</v>
      </c>
      <c r="BG17" s="37" t="n">
        <f aca="false">IF(AND(N('Hiring plan'!$F$13)&gt;0,BG$3&gt;='Hiring plan'!$G$13,BG$3&lt;=IF('Hiring plan'!$H$13="",999,'Hiring plan'!$H$13)),'Hiring plan'!$F$13,0)</f>
        <v>0</v>
      </c>
      <c r="BH17" s="37" t="n">
        <f aca="false">IF(AND(N('Hiring plan'!$F$13)&gt;0,BH$3&gt;='Hiring plan'!$G$13,BH$3&lt;=IF('Hiring plan'!$H$13="",999,'Hiring plan'!$H$13)),'Hiring plan'!$F$13,0)</f>
        <v>0</v>
      </c>
      <c r="BI17" s="37" t="n">
        <f aca="false">IF(AND(N('Hiring plan'!$F$13)&gt;0,BI$3&gt;='Hiring plan'!$G$13,BI$3&lt;=IF('Hiring plan'!$H$13="",999,'Hiring plan'!$H$13)),'Hiring plan'!$F$13,0)</f>
        <v>0</v>
      </c>
      <c r="BJ17" s="37" t="n">
        <f aca="false">IF(AND(N('Hiring plan'!$F$13)&gt;0,BJ$3&gt;='Hiring plan'!$G$13,BJ$3&lt;=IF('Hiring plan'!$H$13="",999,'Hiring plan'!$H$13)),'Hiring plan'!$F$13,0)</f>
        <v>0</v>
      </c>
      <c r="BK17" s="37" t="n">
        <f aca="false">IF(AND(N('Hiring plan'!$F$13)&gt;0,BK$3&gt;='Hiring plan'!$G$13,BK$3&lt;=IF('Hiring plan'!$H$13="",999,'Hiring plan'!$H$13)),'Hiring plan'!$F$13,0)</f>
        <v>0</v>
      </c>
      <c r="BL17" s="37" t="n">
        <f aca="false">IF(AND(N('Hiring plan'!$F$13)&gt;0,BL$3&gt;='Hiring plan'!$G$13,BL$3&lt;=IF('Hiring plan'!$H$13="",999,'Hiring plan'!$H$13)),'Hiring plan'!$F$13,0)</f>
        <v>0</v>
      </c>
    </row>
    <row r="18" customFormat="false" ht="15" hidden="false" customHeight="false" outlineLevel="0" collapsed="false">
      <c r="A18" s="12" t="str">
        <f aca="false">IF('Hiring plan'!$C$14="","(spare line 10)",'Hiring plan'!$C$14&amp;" · "&amp;'Hiring plan'!$D$14)</f>
        <v>(spare line 10)</v>
      </c>
      <c r="B18" s="14" t="s">
        <v>86</v>
      </c>
      <c r="D18" s="55" t="n">
        <f aca="false">MAX(E18:BL18)</f>
        <v>0</v>
      </c>
      <c r="E18" s="37" t="n">
        <f aca="false">IF(AND(N('Hiring plan'!$F$14)&gt;0,E$3&gt;='Hiring plan'!$G$14,E$3&lt;=IF('Hiring plan'!$H$14="",999,'Hiring plan'!$H$14)),'Hiring plan'!$F$14,0)</f>
        <v>0</v>
      </c>
      <c r="F18" s="37" t="n">
        <f aca="false">IF(AND(N('Hiring plan'!$F$14)&gt;0,F$3&gt;='Hiring plan'!$G$14,F$3&lt;=IF('Hiring plan'!$H$14="",999,'Hiring plan'!$H$14)),'Hiring plan'!$F$14,0)</f>
        <v>0</v>
      </c>
      <c r="G18" s="37" t="n">
        <f aca="false">IF(AND(N('Hiring plan'!$F$14)&gt;0,G$3&gt;='Hiring plan'!$G$14,G$3&lt;=IF('Hiring plan'!$H$14="",999,'Hiring plan'!$H$14)),'Hiring plan'!$F$14,0)</f>
        <v>0</v>
      </c>
      <c r="H18" s="37" t="n">
        <f aca="false">IF(AND(N('Hiring plan'!$F$14)&gt;0,H$3&gt;='Hiring plan'!$G$14,H$3&lt;=IF('Hiring plan'!$H$14="",999,'Hiring plan'!$H$14)),'Hiring plan'!$F$14,0)</f>
        <v>0</v>
      </c>
      <c r="I18" s="37" t="n">
        <f aca="false">IF(AND(N('Hiring plan'!$F$14)&gt;0,I$3&gt;='Hiring plan'!$G$14,I$3&lt;=IF('Hiring plan'!$H$14="",999,'Hiring plan'!$H$14)),'Hiring plan'!$F$14,0)</f>
        <v>0</v>
      </c>
      <c r="J18" s="37" t="n">
        <f aca="false">IF(AND(N('Hiring plan'!$F$14)&gt;0,J$3&gt;='Hiring plan'!$G$14,J$3&lt;=IF('Hiring plan'!$H$14="",999,'Hiring plan'!$H$14)),'Hiring plan'!$F$14,0)</f>
        <v>0</v>
      </c>
      <c r="K18" s="37" t="n">
        <f aca="false">IF(AND(N('Hiring plan'!$F$14)&gt;0,K$3&gt;='Hiring plan'!$G$14,K$3&lt;=IF('Hiring plan'!$H$14="",999,'Hiring plan'!$H$14)),'Hiring plan'!$F$14,0)</f>
        <v>0</v>
      </c>
      <c r="L18" s="37" t="n">
        <f aca="false">IF(AND(N('Hiring plan'!$F$14)&gt;0,L$3&gt;='Hiring plan'!$G$14,L$3&lt;=IF('Hiring plan'!$H$14="",999,'Hiring plan'!$H$14)),'Hiring plan'!$F$14,0)</f>
        <v>0</v>
      </c>
      <c r="M18" s="37" t="n">
        <f aca="false">IF(AND(N('Hiring plan'!$F$14)&gt;0,M$3&gt;='Hiring plan'!$G$14,M$3&lt;=IF('Hiring plan'!$H$14="",999,'Hiring plan'!$H$14)),'Hiring plan'!$F$14,0)</f>
        <v>0</v>
      </c>
      <c r="N18" s="37" t="n">
        <f aca="false">IF(AND(N('Hiring plan'!$F$14)&gt;0,N$3&gt;='Hiring plan'!$G$14,N$3&lt;=IF('Hiring plan'!$H$14="",999,'Hiring plan'!$H$14)),'Hiring plan'!$F$14,0)</f>
        <v>0</v>
      </c>
      <c r="O18" s="37" t="n">
        <f aca="false">IF(AND(N('Hiring plan'!$F$14)&gt;0,O$3&gt;='Hiring plan'!$G$14,O$3&lt;=IF('Hiring plan'!$H$14="",999,'Hiring plan'!$H$14)),'Hiring plan'!$F$14,0)</f>
        <v>0</v>
      </c>
      <c r="P18" s="37" t="n">
        <f aca="false">IF(AND(N('Hiring plan'!$F$14)&gt;0,P$3&gt;='Hiring plan'!$G$14,P$3&lt;=IF('Hiring plan'!$H$14="",999,'Hiring plan'!$H$14)),'Hiring plan'!$F$14,0)</f>
        <v>0</v>
      </c>
      <c r="Q18" s="37" t="n">
        <f aca="false">IF(AND(N('Hiring plan'!$F$14)&gt;0,Q$3&gt;='Hiring plan'!$G$14,Q$3&lt;=IF('Hiring plan'!$H$14="",999,'Hiring plan'!$H$14)),'Hiring plan'!$F$14,0)</f>
        <v>0</v>
      </c>
      <c r="R18" s="37" t="n">
        <f aca="false">IF(AND(N('Hiring plan'!$F$14)&gt;0,R$3&gt;='Hiring plan'!$G$14,R$3&lt;=IF('Hiring plan'!$H$14="",999,'Hiring plan'!$H$14)),'Hiring plan'!$F$14,0)</f>
        <v>0</v>
      </c>
      <c r="S18" s="37" t="n">
        <f aca="false">IF(AND(N('Hiring plan'!$F$14)&gt;0,S$3&gt;='Hiring plan'!$G$14,S$3&lt;=IF('Hiring plan'!$H$14="",999,'Hiring plan'!$H$14)),'Hiring plan'!$F$14,0)</f>
        <v>0</v>
      </c>
      <c r="T18" s="37" t="n">
        <f aca="false">IF(AND(N('Hiring plan'!$F$14)&gt;0,T$3&gt;='Hiring plan'!$G$14,T$3&lt;=IF('Hiring plan'!$H$14="",999,'Hiring plan'!$H$14)),'Hiring plan'!$F$14,0)</f>
        <v>0</v>
      </c>
      <c r="U18" s="37" t="n">
        <f aca="false">IF(AND(N('Hiring plan'!$F$14)&gt;0,U$3&gt;='Hiring plan'!$G$14,U$3&lt;=IF('Hiring plan'!$H$14="",999,'Hiring plan'!$H$14)),'Hiring plan'!$F$14,0)</f>
        <v>0</v>
      </c>
      <c r="V18" s="37" t="n">
        <f aca="false">IF(AND(N('Hiring plan'!$F$14)&gt;0,V$3&gt;='Hiring plan'!$G$14,V$3&lt;=IF('Hiring plan'!$H$14="",999,'Hiring plan'!$H$14)),'Hiring plan'!$F$14,0)</f>
        <v>0</v>
      </c>
      <c r="W18" s="37" t="n">
        <f aca="false">IF(AND(N('Hiring plan'!$F$14)&gt;0,W$3&gt;='Hiring plan'!$G$14,W$3&lt;=IF('Hiring plan'!$H$14="",999,'Hiring plan'!$H$14)),'Hiring plan'!$F$14,0)</f>
        <v>0</v>
      </c>
      <c r="X18" s="37" t="n">
        <f aca="false">IF(AND(N('Hiring plan'!$F$14)&gt;0,X$3&gt;='Hiring plan'!$G$14,X$3&lt;=IF('Hiring plan'!$H$14="",999,'Hiring plan'!$H$14)),'Hiring plan'!$F$14,0)</f>
        <v>0</v>
      </c>
      <c r="Y18" s="37" t="n">
        <f aca="false">IF(AND(N('Hiring plan'!$F$14)&gt;0,Y$3&gt;='Hiring plan'!$G$14,Y$3&lt;=IF('Hiring plan'!$H$14="",999,'Hiring plan'!$H$14)),'Hiring plan'!$F$14,0)</f>
        <v>0</v>
      </c>
      <c r="Z18" s="37" t="n">
        <f aca="false">IF(AND(N('Hiring plan'!$F$14)&gt;0,Z$3&gt;='Hiring plan'!$G$14,Z$3&lt;=IF('Hiring plan'!$H$14="",999,'Hiring plan'!$H$14)),'Hiring plan'!$F$14,0)</f>
        <v>0</v>
      </c>
      <c r="AA18" s="37" t="n">
        <f aca="false">IF(AND(N('Hiring plan'!$F$14)&gt;0,AA$3&gt;='Hiring plan'!$G$14,AA$3&lt;=IF('Hiring plan'!$H$14="",999,'Hiring plan'!$H$14)),'Hiring plan'!$F$14,0)</f>
        <v>0</v>
      </c>
      <c r="AB18" s="37" t="n">
        <f aca="false">IF(AND(N('Hiring plan'!$F$14)&gt;0,AB$3&gt;='Hiring plan'!$G$14,AB$3&lt;=IF('Hiring plan'!$H$14="",999,'Hiring plan'!$H$14)),'Hiring plan'!$F$14,0)</f>
        <v>0</v>
      </c>
      <c r="AC18" s="37" t="n">
        <f aca="false">IF(AND(N('Hiring plan'!$F$14)&gt;0,AC$3&gt;='Hiring plan'!$G$14,AC$3&lt;=IF('Hiring plan'!$H$14="",999,'Hiring plan'!$H$14)),'Hiring plan'!$F$14,0)</f>
        <v>0</v>
      </c>
      <c r="AD18" s="37" t="n">
        <f aca="false">IF(AND(N('Hiring plan'!$F$14)&gt;0,AD$3&gt;='Hiring plan'!$G$14,AD$3&lt;=IF('Hiring plan'!$H$14="",999,'Hiring plan'!$H$14)),'Hiring plan'!$F$14,0)</f>
        <v>0</v>
      </c>
      <c r="AE18" s="37" t="n">
        <f aca="false">IF(AND(N('Hiring plan'!$F$14)&gt;0,AE$3&gt;='Hiring plan'!$G$14,AE$3&lt;=IF('Hiring plan'!$H$14="",999,'Hiring plan'!$H$14)),'Hiring plan'!$F$14,0)</f>
        <v>0</v>
      </c>
      <c r="AF18" s="37" t="n">
        <f aca="false">IF(AND(N('Hiring plan'!$F$14)&gt;0,AF$3&gt;='Hiring plan'!$G$14,AF$3&lt;=IF('Hiring plan'!$H$14="",999,'Hiring plan'!$H$14)),'Hiring plan'!$F$14,0)</f>
        <v>0</v>
      </c>
      <c r="AG18" s="37" t="n">
        <f aca="false">IF(AND(N('Hiring plan'!$F$14)&gt;0,AG$3&gt;='Hiring plan'!$G$14,AG$3&lt;=IF('Hiring plan'!$H$14="",999,'Hiring plan'!$H$14)),'Hiring plan'!$F$14,0)</f>
        <v>0</v>
      </c>
      <c r="AH18" s="37" t="n">
        <f aca="false">IF(AND(N('Hiring plan'!$F$14)&gt;0,AH$3&gt;='Hiring plan'!$G$14,AH$3&lt;=IF('Hiring plan'!$H$14="",999,'Hiring plan'!$H$14)),'Hiring plan'!$F$14,0)</f>
        <v>0</v>
      </c>
      <c r="AI18" s="37" t="n">
        <f aca="false">IF(AND(N('Hiring plan'!$F$14)&gt;0,AI$3&gt;='Hiring plan'!$G$14,AI$3&lt;=IF('Hiring plan'!$H$14="",999,'Hiring plan'!$H$14)),'Hiring plan'!$F$14,0)</f>
        <v>0</v>
      </c>
      <c r="AJ18" s="37" t="n">
        <f aca="false">IF(AND(N('Hiring plan'!$F$14)&gt;0,AJ$3&gt;='Hiring plan'!$G$14,AJ$3&lt;=IF('Hiring plan'!$H$14="",999,'Hiring plan'!$H$14)),'Hiring plan'!$F$14,0)</f>
        <v>0</v>
      </c>
      <c r="AK18" s="37" t="n">
        <f aca="false">IF(AND(N('Hiring plan'!$F$14)&gt;0,AK$3&gt;='Hiring plan'!$G$14,AK$3&lt;=IF('Hiring plan'!$H$14="",999,'Hiring plan'!$H$14)),'Hiring plan'!$F$14,0)</f>
        <v>0</v>
      </c>
      <c r="AL18" s="37" t="n">
        <f aca="false">IF(AND(N('Hiring plan'!$F$14)&gt;0,AL$3&gt;='Hiring plan'!$G$14,AL$3&lt;=IF('Hiring plan'!$H$14="",999,'Hiring plan'!$H$14)),'Hiring plan'!$F$14,0)</f>
        <v>0</v>
      </c>
      <c r="AM18" s="37" t="n">
        <f aca="false">IF(AND(N('Hiring plan'!$F$14)&gt;0,AM$3&gt;='Hiring plan'!$G$14,AM$3&lt;=IF('Hiring plan'!$H$14="",999,'Hiring plan'!$H$14)),'Hiring plan'!$F$14,0)</f>
        <v>0</v>
      </c>
      <c r="AN18" s="37" t="n">
        <f aca="false">IF(AND(N('Hiring plan'!$F$14)&gt;0,AN$3&gt;='Hiring plan'!$G$14,AN$3&lt;=IF('Hiring plan'!$H$14="",999,'Hiring plan'!$H$14)),'Hiring plan'!$F$14,0)</f>
        <v>0</v>
      </c>
      <c r="AO18" s="37" t="n">
        <f aca="false">IF(AND(N('Hiring plan'!$F$14)&gt;0,AO$3&gt;='Hiring plan'!$G$14,AO$3&lt;=IF('Hiring plan'!$H$14="",999,'Hiring plan'!$H$14)),'Hiring plan'!$F$14,0)</f>
        <v>0</v>
      </c>
      <c r="AP18" s="37" t="n">
        <f aca="false">IF(AND(N('Hiring plan'!$F$14)&gt;0,AP$3&gt;='Hiring plan'!$G$14,AP$3&lt;=IF('Hiring plan'!$H$14="",999,'Hiring plan'!$H$14)),'Hiring plan'!$F$14,0)</f>
        <v>0</v>
      </c>
      <c r="AQ18" s="37" t="n">
        <f aca="false">IF(AND(N('Hiring plan'!$F$14)&gt;0,AQ$3&gt;='Hiring plan'!$G$14,AQ$3&lt;=IF('Hiring plan'!$H$14="",999,'Hiring plan'!$H$14)),'Hiring plan'!$F$14,0)</f>
        <v>0</v>
      </c>
      <c r="AR18" s="37" t="n">
        <f aca="false">IF(AND(N('Hiring plan'!$F$14)&gt;0,AR$3&gt;='Hiring plan'!$G$14,AR$3&lt;=IF('Hiring plan'!$H$14="",999,'Hiring plan'!$H$14)),'Hiring plan'!$F$14,0)</f>
        <v>0</v>
      </c>
      <c r="AS18" s="37" t="n">
        <f aca="false">IF(AND(N('Hiring plan'!$F$14)&gt;0,AS$3&gt;='Hiring plan'!$G$14,AS$3&lt;=IF('Hiring plan'!$H$14="",999,'Hiring plan'!$H$14)),'Hiring plan'!$F$14,0)</f>
        <v>0</v>
      </c>
      <c r="AT18" s="37" t="n">
        <f aca="false">IF(AND(N('Hiring plan'!$F$14)&gt;0,AT$3&gt;='Hiring plan'!$G$14,AT$3&lt;=IF('Hiring plan'!$H$14="",999,'Hiring plan'!$H$14)),'Hiring plan'!$F$14,0)</f>
        <v>0</v>
      </c>
      <c r="AU18" s="37" t="n">
        <f aca="false">IF(AND(N('Hiring plan'!$F$14)&gt;0,AU$3&gt;='Hiring plan'!$G$14,AU$3&lt;=IF('Hiring plan'!$H$14="",999,'Hiring plan'!$H$14)),'Hiring plan'!$F$14,0)</f>
        <v>0</v>
      </c>
      <c r="AV18" s="37" t="n">
        <f aca="false">IF(AND(N('Hiring plan'!$F$14)&gt;0,AV$3&gt;='Hiring plan'!$G$14,AV$3&lt;=IF('Hiring plan'!$H$14="",999,'Hiring plan'!$H$14)),'Hiring plan'!$F$14,0)</f>
        <v>0</v>
      </c>
      <c r="AW18" s="37" t="n">
        <f aca="false">IF(AND(N('Hiring plan'!$F$14)&gt;0,AW$3&gt;='Hiring plan'!$G$14,AW$3&lt;=IF('Hiring plan'!$H$14="",999,'Hiring plan'!$H$14)),'Hiring plan'!$F$14,0)</f>
        <v>0</v>
      </c>
      <c r="AX18" s="37" t="n">
        <f aca="false">IF(AND(N('Hiring plan'!$F$14)&gt;0,AX$3&gt;='Hiring plan'!$G$14,AX$3&lt;=IF('Hiring plan'!$H$14="",999,'Hiring plan'!$H$14)),'Hiring plan'!$F$14,0)</f>
        <v>0</v>
      </c>
      <c r="AY18" s="37" t="n">
        <f aca="false">IF(AND(N('Hiring plan'!$F$14)&gt;0,AY$3&gt;='Hiring plan'!$G$14,AY$3&lt;=IF('Hiring plan'!$H$14="",999,'Hiring plan'!$H$14)),'Hiring plan'!$F$14,0)</f>
        <v>0</v>
      </c>
      <c r="AZ18" s="37" t="n">
        <f aca="false">IF(AND(N('Hiring plan'!$F$14)&gt;0,AZ$3&gt;='Hiring plan'!$G$14,AZ$3&lt;=IF('Hiring plan'!$H$14="",999,'Hiring plan'!$H$14)),'Hiring plan'!$F$14,0)</f>
        <v>0</v>
      </c>
      <c r="BA18" s="37" t="n">
        <f aca="false">IF(AND(N('Hiring plan'!$F$14)&gt;0,BA$3&gt;='Hiring plan'!$G$14,BA$3&lt;=IF('Hiring plan'!$H$14="",999,'Hiring plan'!$H$14)),'Hiring plan'!$F$14,0)</f>
        <v>0</v>
      </c>
      <c r="BB18" s="37" t="n">
        <f aca="false">IF(AND(N('Hiring plan'!$F$14)&gt;0,BB$3&gt;='Hiring plan'!$G$14,BB$3&lt;=IF('Hiring plan'!$H$14="",999,'Hiring plan'!$H$14)),'Hiring plan'!$F$14,0)</f>
        <v>0</v>
      </c>
      <c r="BC18" s="37" t="n">
        <f aca="false">IF(AND(N('Hiring plan'!$F$14)&gt;0,BC$3&gt;='Hiring plan'!$G$14,BC$3&lt;=IF('Hiring plan'!$H$14="",999,'Hiring plan'!$H$14)),'Hiring plan'!$F$14,0)</f>
        <v>0</v>
      </c>
      <c r="BD18" s="37" t="n">
        <f aca="false">IF(AND(N('Hiring plan'!$F$14)&gt;0,BD$3&gt;='Hiring plan'!$G$14,BD$3&lt;=IF('Hiring plan'!$H$14="",999,'Hiring plan'!$H$14)),'Hiring plan'!$F$14,0)</f>
        <v>0</v>
      </c>
      <c r="BE18" s="37" t="n">
        <f aca="false">IF(AND(N('Hiring plan'!$F$14)&gt;0,BE$3&gt;='Hiring plan'!$G$14,BE$3&lt;=IF('Hiring plan'!$H$14="",999,'Hiring plan'!$H$14)),'Hiring plan'!$F$14,0)</f>
        <v>0</v>
      </c>
      <c r="BF18" s="37" t="n">
        <f aca="false">IF(AND(N('Hiring plan'!$F$14)&gt;0,BF$3&gt;='Hiring plan'!$G$14,BF$3&lt;=IF('Hiring plan'!$H$14="",999,'Hiring plan'!$H$14)),'Hiring plan'!$F$14,0)</f>
        <v>0</v>
      </c>
      <c r="BG18" s="37" t="n">
        <f aca="false">IF(AND(N('Hiring plan'!$F$14)&gt;0,BG$3&gt;='Hiring plan'!$G$14,BG$3&lt;=IF('Hiring plan'!$H$14="",999,'Hiring plan'!$H$14)),'Hiring plan'!$F$14,0)</f>
        <v>0</v>
      </c>
      <c r="BH18" s="37" t="n">
        <f aca="false">IF(AND(N('Hiring plan'!$F$14)&gt;0,BH$3&gt;='Hiring plan'!$G$14,BH$3&lt;=IF('Hiring plan'!$H$14="",999,'Hiring plan'!$H$14)),'Hiring plan'!$F$14,0)</f>
        <v>0</v>
      </c>
      <c r="BI18" s="37" t="n">
        <f aca="false">IF(AND(N('Hiring plan'!$F$14)&gt;0,BI$3&gt;='Hiring plan'!$G$14,BI$3&lt;=IF('Hiring plan'!$H$14="",999,'Hiring plan'!$H$14)),'Hiring plan'!$F$14,0)</f>
        <v>0</v>
      </c>
      <c r="BJ18" s="37" t="n">
        <f aca="false">IF(AND(N('Hiring plan'!$F$14)&gt;0,BJ$3&gt;='Hiring plan'!$G$14,BJ$3&lt;=IF('Hiring plan'!$H$14="",999,'Hiring plan'!$H$14)),'Hiring plan'!$F$14,0)</f>
        <v>0</v>
      </c>
      <c r="BK18" s="37" t="n">
        <f aca="false">IF(AND(N('Hiring plan'!$F$14)&gt;0,BK$3&gt;='Hiring plan'!$G$14,BK$3&lt;=IF('Hiring plan'!$H$14="",999,'Hiring plan'!$H$14)),'Hiring plan'!$F$14,0)</f>
        <v>0</v>
      </c>
      <c r="BL18" s="37" t="n">
        <f aca="false">IF(AND(N('Hiring plan'!$F$14)&gt;0,BL$3&gt;='Hiring plan'!$G$14,BL$3&lt;=IF('Hiring plan'!$H$14="",999,'Hiring plan'!$H$14)),'Hiring plan'!$F$14,0)</f>
        <v>0</v>
      </c>
    </row>
    <row r="19" customFormat="false" ht="15" hidden="false" customHeight="false" outlineLevel="0" collapsed="false">
      <c r="A19" s="12" t="str">
        <f aca="false">IF('Hiring plan'!$C$15="","(spare line 11)",'Hiring plan'!$C$15&amp;" · "&amp;'Hiring plan'!$D$15)</f>
        <v>(spare line 11)</v>
      </c>
      <c r="B19" s="14" t="s">
        <v>86</v>
      </c>
      <c r="D19" s="55" t="n">
        <f aca="false">MAX(E19:BL19)</f>
        <v>0</v>
      </c>
      <c r="E19" s="37" t="n">
        <f aca="false">IF(AND(N('Hiring plan'!$F$15)&gt;0,E$3&gt;='Hiring plan'!$G$15,E$3&lt;=IF('Hiring plan'!$H$15="",999,'Hiring plan'!$H$15)),'Hiring plan'!$F$15,0)</f>
        <v>0</v>
      </c>
      <c r="F19" s="37" t="n">
        <f aca="false">IF(AND(N('Hiring plan'!$F$15)&gt;0,F$3&gt;='Hiring plan'!$G$15,F$3&lt;=IF('Hiring plan'!$H$15="",999,'Hiring plan'!$H$15)),'Hiring plan'!$F$15,0)</f>
        <v>0</v>
      </c>
      <c r="G19" s="37" t="n">
        <f aca="false">IF(AND(N('Hiring plan'!$F$15)&gt;0,G$3&gt;='Hiring plan'!$G$15,G$3&lt;=IF('Hiring plan'!$H$15="",999,'Hiring plan'!$H$15)),'Hiring plan'!$F$15,0)</f>
        <v>0</v>
      </c>
      <c r="H19" s="37" t="n">
        <f aca="false">IF(AND(N('Hiring plan'!$F$15)&gt;0,H$3&gt;='Hiring plan'!$G$15,H$3&lt;=IF('Hiring plan'!$H$15="",999,'Hiring plan'!$H$15)),'Hiring plan'!$F$15,0)</f>
        <v>0</v>
      </c>
      <c r="I19" s="37" t="n">
        <f aca="false">IF(AND(N('Hiring plan'!$F$15)&gt;0,I$3&gt;='Hiring plan'!$G$15,I$3&lt;=IF('Hiring plan'!$H$15="",999,'Hiring plan'!$H$15)),'Hiring plan'!$F$15,0)</f>
        <v>0</v>
      </c>
      <c r="J19" s="37" t="n">
        <f aca="false">IF(AND(N('Hiring plan'!$F$15)&gt;0,J$3&gt;='Hiring plan'!$G$15,J$3&lt;=IF('Hiring plan'!$H$15="",999,'Hiring plan'!$H$15)),'Hiring plan'!$F$15,0)</f>
        <v>0</v>
      </c>
      <c r="K19" s="37" t="n">
        <f aca="false">IF(AND(N('Hiring plan'!$F$15)&gt;0,K$3&gt;='Hiring plan'!$G$15,K$3&lt;=IF('Hiring plan'!$H$15="",999,'Hiring plan'!$H$15)),'Hiring plan'!$F$15,0)</f>
        <v>0</v>
      </c>
      <c r="L19" s="37" t="n">
        <f aca="false">IF(AND(N('Hiring plan'!$F$15)&gt;0,L$3&gt;='Hiring plan'!$G$15,L$3&lt;=IF('Hiring plan'!$H$15="",999,'Hiring plan'!$H$15)),'Hiring plan'!$F$15,0)</f>
        <v>0</v>
      </c>
      <c r="M19" s="37" t="n">
        <f aca="false">IF(AND(N('Hiring plan'!$F$15)&gt;0,M$3&gt;='Hiring plan'!$G$15,M$3&lt;=IF('Hiring plan'!$H$15="",999,'Hiring plan'!$H$15)),'Hiring plan'!$F$15,0)</f>
        <v>0</v>
      </c>
      <c r="N19" s="37" t="n">
        <f aca="false">IF(AND(N('Hiring plan'!$F$15)&gt;0,N$3&gt;='Hiring plan'!$G$15,N$3&lt;=IF('Hiring plan'!$H$15="",999,'Hiring plan'!$H$15)),'Hiring plan'!$F$15,0)</f>
        <v>0</v>
      </c>
      <c r="O19" s="37" t="n">
        <f aca="false">IF(AND(N('Hiring plan'!$F$15)&gt;0,O$3&gt;='Hiring plan'!$G$15,O$3&lt;=IF('Hiring plan'!$H$15="",999,'Hiring plan'!$H$15)),'Hiring plan'!$F$15,0)</f>
        <v>0</v>
      </c>
      <c r="P19" s="37" t="n">
        <f aca="false">IF(AND(N('Hiring plan'!$F$15)&gt;0,P$3&gt;='Hiring plan'!$G$15,P$3&lt;=IF('Hiring plan'!$H$15="",999,'Hiring plan'!$H$15)),'Hiring plan'!$F$15,0)</f>
        <v>0</v>
      </c>
      <c r="Q19" s="37" t="n">
        <f aca="false">IF(AND(N('Hiring plan'!$F$15)&gt;0,Q$3&gt;='Hiring plan'!$G$15,Q$3&lt;=IF('Hiring plan'!$H$15="",999,'Hiring plan'!$H$15)),'Hiring plan'!$F$15,0)</f>
        <v>0</v>
      </c>
      <c r="R19" s="37" t="n">
        <f aca="false">IF(AND(N('Hiring plan'!$F$15)&gt;0,R$3&gt;='Hiring plan'!$G$15,R$3&lt;=IF('Hiring plan'!$H$15="",999,'Hiring plan'!$H$15)),'Hiring plan'!$F$15,0)</f>
        <v>0</v>
      </c>
      <c r="S19" s="37" t="n">
        <f aca="false">IF(AND(N('Hiring plan'!$F$15)&gt;0,S$3&gt;='Hiring plan'!$G$15,S$3&lt;=IF('Hiring plan'!$H$15="",999,'Hiring plan'!$H$15)),'Hiring plan'!$F$15,0)</f>
        <v>0</v>
      </c>
      <c r="T19" s="37" t="n">
        <f aca="false">IF(AND(N('Hiring plan'!$F$15)&gt;0,T$3&gt;='Hiring plan'!$G$15,T$3&lt;=IF('Hiring plan'!$H$15="",999,'Hiring plan'!$H$15)),'Hiring plan'!$F$15,0)</f>
        <v>0</v>
      </c>
      <c r="U19" s="37" t="n">
        <f aca="false">IF(AND(N('Hiring plan'!$F$15)&gt;0,U$3&gt;='Hiring plan'!$G$15,U$3&lt;=IF('Hiring plan'!$H$15="",999,'Hiring plan'!$H$15)),'Hiring plan'!$F$15,0)</f>
        <v>0</v>
      </c>
      <c r="V19" s="37" t="n">
        <f aca="false">IF(AND(N('Hiring plan'!$F$15)&gt;0,V$3&gt;='Hiring plan'!$G$15,V$3&lt;=IF('Hiring plan'!$H$15="",999,'Hiring plan'!$H$15)),'Hiring plan'!$F$15,0)</f>
        <v>0</v>
      </c>
      <c r="W19" s="37" t="n">
        <f aca="false">IF(AND(N('Hiring plan'!$F$15)&gt;0,W$3&gt;='Hiring plan'!$G$15,W$3&lt;=IF('Hiring plan'!$H$15="",999,'Hiring plan'!$H$15)),'Hiring plan'!$F$15,0)</f>
        <v>0</v>
      </c>
      <c r="X19" s="37" t="n">
        <f aca="false">IF(AND(N('Hiring plan'!$F$15)&gt;0,X$3&gt;='Hiring plan'!$G$15,X$3&lt;=IF('Hiring plan'!$H$15="",999,'Hiring plan'!$H$15)),'Hiring plan'!$F$15,0)</f>
        <v>0</v>
      </c>
      <c r="Y19" s="37" t="n">
        <f aca="false">IF(AND(N('Hiring plan'!$F$15)&gt;0,Y$3&gt;='Hiring plan'!$G$15,Y$3&lt;=IF('Hiring plan'!$H$15="",999,'Hiring plan'!$H$15)),'Hiring plan'!$F$15,0)</f>
        <v>0</v>
      </c>
      <c r="Z19" s="37" t="n">
        <f aca="false">IF(AND(N('Hiring plan'!$F$15)&gt;0,Z$3&gt;='Hiring plan'!$G$15,Z$3&lt;=IF('Hiring plan'!$H$15="",999,'Hiring plan'!$H$15)),'Hiring plan'!$F$15,0)</f>
        <v>0</v>
      </c>
      <c r="AA19" s="37" t="n">
        <f aca="false">IF(AND(N('Hiring plan'!$F$15)&gt;0,AA$3&gt;='Hiring plan'!$G$15,AA$3&lt;=IF('Hiring plan'!$H$15="",999,'Hiring plan'!$H$15)),'Hiring plan'!$F$15,0)</f>
        <v>0</v>
      </c>
      <c r="AB19" s="37" t="n">
        <f aca="false">IF(AND(N('Hiring plan'!$F$15)&gt;0,AB$3&gt;='Hiring plan'!$G$15,AB$3&lt;=IF('Hiring plan'!$H$15="",999,'Hiring plan'!$H$15)),'Hiring plan'!$F$15,0)</f>
        <v>0</v>
      </c>
      <c r="AC19" s="37" t="n">
        <f aca="false">IF(AND(N('Hiring plan'!$F$15)&gt;0,AC$3&gt;='Hiring plan'!$G$15,AC$3&lt;=IF('Hiring plan'!$H$15="",999,'Hiring plan'!$H$15)),'Hiring plan'!$F$15,0)</f>
        <v>0</v>
      </c>
      <c r="AD19" s="37" t="n">
        <f aca="false">IF(AND(N('Hiring plan'!$F$15)&gt;0,AD$3&gt;='Hiring plan'!$G$15,AD$3&lt;=IF('Hiring plan'!$H$15="",999,'Hiring plan'!$H$15)),'Hiring plan'!$F$15,0)</f>
        <v>0</v>
      </c>
      <c r="AE19" s="37" t="n">
        <f aca="false">IF(AND(N('Hiring plan'!$F$15)&gt;0,AE$3&gt;='Hiring plan'!$G$15,AE$3&lt;=IF('Hiring plan'!$H$15="",999,'Hiring plan'!$H$15)),'Hiring plan'!$F$15,0)</f>
        <v>0</v>
      </c>
      <c r="AF19" s="37" t="n">
        <f aca="false">IF(AND(N('Hiring plan'!$F$15)&gt;0,AF$3&gt;='Hiring plan'!$G$15,AF$3&lt;=IF('Hiring plan'!$H$15="",999,'Hiring plan'!$H$15)),'Hiring plan'!$F$15,0)</f>
        <v>0</v>
      </c>
      <c r="AG19" s="37" t="n">
        <f aca="false">IF(AND(N('Hiring plan'!$F$15)&gt;0,AG$3&gt;='Hiring plan'!$G$15,AG$3&lt;=IF('Hiring plan'!$H$15="",999,'Hiring plan'!$H$15)),'Hiring plan'!$F$15,0)</f>
        <v>0</v>
      </c>
      <c r="AH19" s="37" t="n">
        <f aca="false">IF(AND(N('Hiring plan'!$F$15)&gt;0,AH$3&gt;='Hiring plan'!$G$15,AH$3&lt;=IF('Hiring plan'!$H$15="",999,'Hiring plan'!$H$15)),'Hiring plan'!$F$15,0)</f>
        <v>0</v>
      </c>
      <c r="AI19" s="37" t="n">
        <f aca="false">IF(AND(N('Hiring plan'!$F$15)&gt;0,AI$3&gt;='Hiring plan'!$G$15,AI$3&lt;=IF('Hiring plan'!$H$15="",999,'Hiring plan'!$H$15)),'Hiring plan'!$F$15,0)</f>
        <v>0</v>
      </c>
      <c r="AJ19" s="37" t="n">
        <f aca="false">IF(AND(N('Hiring plan'!$F$15)&gt;0,AJ$3&gt;='Hiring plan'!$G$15,AJ$3&lt;=IF('Hiring plan'!$H$15="",999,'Hiring plan'!$H$15)),'Hiring plan'!$F$15,0)</f>
        <v>0</v>
      </c>
      <c r="AK19" s="37" t="n">
        <f aca="false">IF(AND(N('Hiring plan'!$F$15)&gt;0,AK$3&gt;='Hiring plan'!$G$15,AK$3&lt;=IF('Hiring plan'!$H$15="",999,'Hiring plan'!$H$15)),'Hiring plan'!$F$15,0)</f>
        <v>0</v>
      </c>
      <c r="AL19" s="37" t="n">
        <f aca="false">IF(AND(N('Hiring plan'!$F$15)&gt;0,AL$3&gt;='Hiring plan'!$G$15,AL$3&lt;=IF('Hiring plan'!$H$15="",999,'Hiring plan'!$H$15)),'Hiring plan'!$F$15,0)</f>
        <v>0</v>
      </c>
      <c r="AM19" s="37" t="n">
        <f aca="false">IF(AND(N('Hiring plan'!$F$15)&gt;0,AM$3&gt;='Hiring plan'!$G$15,AM$3&lt;=IF('Hiring plan'!$H$15="",999,'Hiring plan'!$H$15)),'Hiring plan'!$F$15,0)</f>
        <v>0</v>
      </c>
      <c r="AN19" s="37" t="n">
        <f aca="false">IF(AND(N('Hiring plan'!$F$15)&gt;0,AN$3&gt;='Hiring plan'!$G$15,AN$3&lt;=IF('Hiring plan'!$H$15="",999,'Hiring plan'!$H$15)),'Hiring plan'!$F$15,0)</f>
        <v>0</v>
      </c>
      <c r="AO19" s="37" t="n">
        <f aca="false">IF(AND(N('Hiring plan'!$F$15)&gt;0,AO$3&gt;='Hiring plan'!$G$15,AO$3&lt;=IF('Hiring plan'!$H$15="",999,'Hiring plan'!$H$15)),'Hiring plan'!$F$15,0)</f>
        <v>0</v>
      </c>
      <c r="AP19" s="37" t="n">
        <f aca="false">IF(AND(N('Hiring plan'!$F$15)&gt;0,AP$3&gt;='Hiring plan'!$G$15,AP$3&lt;=IF('Hiring plan'!$H$15="",999,'Hiring plan'!$H$15)),'Hiring plan'!$F$15,0)</f>
        <v>0</v>
      </c>
      <c r="AQ19" s="37" t="n">
        <f aca="false">IF(AND(N('Hiring plan'!$F$15)&gt;0,AQ$3&gt;='Hiring plan'!$G$15,AQ$3&lt;=IF('Hiring plan'!$H$15="",999,'Hiring plan'!$H$15)),'Hiring plan'!$F$15,0)</f>
        <v>0</v>
      </c>
      <c r="AR19" s="37" t="n">
        <f aca="false">IF(AND(N('Hiring plan'!$F$15)&gt;0,AR$3&gt;='Hiring plan'!$G$15,AR$3&lt;=IF('Hiring plan'!$H$15="",999,'Hiring plan'!$H$15)),'Hiring plan'!$F$15,0)</f>
        <v>0</v>
      </c>
      <c r="AS19" s="37" t="n">
        <f aca="false">IF(AND(N('Hiring plan'!$F$15)&gt;0,AS$3&gt;='Hiring plan'!$G$15,AS$3&lt;=IF('Hiring plan'!$H$15="",999,'Hiring plan'!$H$15)),'Hiring plan'!$F$15,0)</f>
        <v>0</v>
      </c>
      <c r="AT19" s="37" t="n">
        <f aca="false">IF(AND(N('Hiring plan'!$F$15)&gt;0,AT$3&gt;='Hiring plan'!$G$15,AT$3&lt;=IF('Hiring plan'!$H$15="",999,'Hiring plan'!$H$15)),'Hiring plan'!$F$15,0)</f>
        <v>0</v>
      </c>
      <c r="AU19" s="37" t="n">
        <f aca="false">IF(AND(N('Hiring plan'!$F$15)&gt;0,AU$3&gt;='Hiring plan'!$G$15,AU$3&lt;=IF('Hiring plan'!$H$15="",999,'Hiring plan'!$H$15)),'Hiring plan'!$F$15,0)</f>
        <v>0</v>
      </c>
      <c r="AV19" s="37" t="n">
        <f aca="false">IF(AND(N('Hiring plan'!$F$15)&gt;0,AV$3&gt;='Hiring plan'!$G$15,AV$3&lt;=IF('Hiring plan'!$H$15="",999,'Hiring plan'!$H$15)),'Hiring plan'!$F$15,0)</f>
        <v>0</v>
      </c>
      <c r="AW19" s="37" t="n">
        <f aca="false">IF(AND(N('Hiring plan'!$F$15)&gt;0,AW$3&gt;='Hiring plan'!$G$15,AW$3&lt;=IF('Hiring plan'!$H$15="",999,'Hiring plan'!$H$15)),'Hiring plan'!$F$15,0)</f>
        <v>0</v>
      </c>
      <c r="AX19" s="37" t="n">
        <f aca="false">IF(AND(N('Hiring plan'!$F$15)&gt;0,AX$3&gt;='Hiring plan'!$G$15,AX$3&lt;=IF('Hiring plan'!$H$15="",999,'Hiring plan'!$H$15)),'Hiring plan'!$F$15,0)</f>
        <v>0</v>
      </c>
      <c r="AY19" s="37" t="n">
        <f aca="false">IF(AND(N('Hiring plan'!$F$15)&gt;0,AY$3&gt;='Hiring plan'!$G$15,AY$3&lt;=IF('Hiring plan'!$H$15="",999,'Hiring plan'!$H$15)),'Hiring plan'!$F$15,0)</f>
        <v>0</v>
      </c>
      <c r="AZ19" s="37" t="n">
        <f aca="false">IF(AND(N('Hiring plan'!$F$15)&gt;0,AZ$3&gt;='Hiring plan'!$G$15,AZ$3&lt;=IF('Hiring plan'!$H$15="",999,'Hiring plan'!$H$15)),'Hiring plan'!$F$15,0)</f>
        <v>0</v>
      </c>
      <c r="BA19" s="37" t="n">
        <f aca="false">IF(AND(N('Hiring plan'!$F$15)&gt;0,BA$3&gt;='Hiring plan'!$G$15,BA$3&lt;=IF('Hiring plan'!$H$15="",999,'Hiring plan'!$H$15)),'Hiring plan'!$F$15,0)</f>
        <v>0</v>
      </c>
      <c r="BB19" s="37" t="n">
        <f aca="false">IF(AND(N('Hiring plan'!$F$15)&gt;0,BB$3&gt;='Hiring plan'!$G$15,BB$3&lt;=IF('Hiring plan'!$H$15="",999,'Hiring plan'!$H$15)),'Hiring plan'!$F$15,0)</f>
        <v>0</v>
      </c>
      <c r="BC19" s="37" t="n">
        <f aca="false">IF(AND(N('Hiring plan'!$F$15)&gt;0,BC$3&gt;='Hiring plan'!$G$15,BC$3&lt;=IF('Hiring plan'!$H$15="",999,'Hiring plan'!$H$15)),'Hiring plan'!$F$15,0)</f>
        <v>0</v>
      </c>
      <c r="BD19" s="37" t="n">
        <f aca="false">IF(AND(N('Hiring plan'!$F$15)&gt;0,BD$3&gt;='Hiring plan'!$G$15,BD$3&lt;=IF('Hiring plan'!$H$15="",999,'Hiring plan'!$H$15)),'Hiring plan'!$F$15,0)</f>
        <v>0</v>
      </c>
      <c r="BE19" s="37" t="n">
        <f aca="false">IF(AND(N('Hiring plan'!$F$15)&gt;0,BE$3&gt;='Hiring plan'!$G$15,BE$3&lt;=IF('Hiring plan'!$H$15="",999,'Hiring plan'!$H$15)),'Hiring plan'!$F$15,0)</f>
        <v>0</v>
      </c>
      <c r="BF19" s="37" t="n">
        <f aca="false">IF(AND(N('Hiring plan'!$F$15)&gt;0,BF$3&gt;='Hiring plan'!$G$15,BF$3&lt;=IF('Hiring plan'!$H$15="",999,'Hiring plan'!$H$15)),'Hiring plan'!$F$15,0)</f>
        <v>0</v>
      </c>
      <c r="BG19" s="37" t="n">
        <f aca="false">IF(AND(N('Hiring plan'!$F$15)&gt;0,BG$3&gt;='Hiring plan'!$G$15,BG$3&lt;=IF('Hiring plan'!$H$15="",999,'Hiring plan'!$H$15)),'Hiring plan'!$F$15,0)</f>
        <v>0</v>
      </c>
      <c r="BH19" s="37" t="n">
        <f aca="false">IF(AND(N('Hiring plan'!$F$15)&gt;0,BH$3&gt;='Hiring plan'!$G$15,BH$3&lt;=IF('Hiring plan'!$H$15="",999,'Hiring plan'!$H$15)),'Hiring plan'!$F$15,0)</f>
        <v>0</v>
      </c>
      <c r="BI19" s="37" t="n">
        <f aca="false">IF(AND(N('Hiring plan'!$F$15)&gt;0,BI$3&gt;='Hiring plan'!$G$15,BI$3&lt;=IF('Hiring plan'!$H$15="",999,'Hiring plan'!$H$15)),'Hiring plan'!$F$15,0)</f>
        <v>0</v>
      </c>
      <c r="BJ19" s="37" t="n">
        <f aca="false">IF(AND(N('Hiring plan'!$F$15)&gt;0,BJ$3&gt;='Hiring plan'!$G$15,BJ$3&lt;=IF('Hiring plan'!$H$15="",999,'Hiring plan'!$H$15)),'Hiring plan'!$F$15,0)</f>
        <v>0</v>
      </c>
      <c r="BK19" s="37" t="n">
        <f aca="false">IF(AND(N('Hiring plan'!$F$15)&gt;0,BK$3&gt;='Hiring plan'!$G$15,BK$3&lt;=IF('Hiring plan'!$H$15="",999,'Hiring plan'!$H$15)),'Hiring plan'!$F$15,0)</f>
        <v>0</v>
      </c>
      <c r="BL19" s="37" t="n">
        <f aca="false">IF(AND(N('Hiring plan'!$F$15)&gt;0,BL$3&gt;='Hiring plan'!$G$15,BL$3&lt;=IF('Hiring plan'!$H$15="",999,'Hiring plan'!$H$15)),'Hiring plan'!$F$15,0)</f>
        <v>0</v>
      </c>
    </row>
    <row r="20" customFormat="false" ht="15" hidden="false" customHeight="false" outlineLevel="0" collapsed="false">
      <c r="A20" s="12" t="str">
        <f aca="false">IF('Hiring plan'!$C$16="","(spare line 12)",'Hiring plan'!$C$16&amp;" · "&amp;'Hiring plan'!$D$16)</f>
        <v>(spare line 12)</v>
      </c>
      <c r="B20" s="14" t="s">
        <v>86</v>
      </c>
      <c r="D20" s="55" t="n">
        <f aca="false">MAX(E20:BL20)</f>
        <v>0</v>
      </c>
      <c r="E20" s="37" t="n">
        <f aca="false">IF(AND(N('Hiring plan'!$F$16)&gt;0,E$3&gt;='Hiring plan'!$G$16,E$3&lt;=IF('Hiring plan'!$H$16="",999,'Hiring plan'!$H$16)),'Hiring plan'!$F$16,0)</f>
        <v>0</v>
      </c>
      <c r="F20" s="37" t="n">
        <f aca="false">IF(AND(N('Hiring plan'!$F$16)&gt;0,F$3&gt;='Hiring plan'!$G$16,F$3&lt;=IF('Hiring plan'!$H$16="",999,'Hiring plan'!$H$16)),'Hiring plan'!$F$16,0)</f>
        <v>0</v>
      </c>
      <c r="G20" s="37" t="n">
        <f aca="false">IF(AND(N('Hiring plan'!$F$16)&gt;0,G$3&gt;='Hiring plan'!$G$16,G$3&lt;=IF('Hiring plan'!$H$16="",999,'Hiring plan'!$H$16)),'Hiring plan'!$F$16,0)</f>
        <v>0</v>
      </c>
      <c r="H20" s="37" t="n">
        <f aca="false">IF(AND(N('Hiring plan'!$F$16)&gt;0,H$3&gt;='Hiring plan'!$G$16,H$3&lt;=IF('Hiring plan'!$H$16="",999,'Hiring plan'!$H$16)),'Hiring plan'!$F$16,0)</f>
        <v>0</v>
      </c>
      <c r="I20" s="37" t="n">
        <f aca="false">IF(AND(N('Hiring plan'!$F$16)&gt;0,I$3&gt;='Hiring plan'!$G$16,I$3&lt;=IF('Hiring plan'!$H$16="",999,'Hiring plan'!$H$16)),'Hiring plan'!$F$16,0)</f>
        <v>0</v>
      </c>
      <c r="J20" s="37" t="n">
        <f aca="false">IF(AND(N('Hiring plan'!$F$16)&gt;0,J$3&gt;='Hiring plan'!$G$16,J$3&lt;=IF('Hiring plan'!$H$16="",999,'Hiring plan'!$H$16)),'Hiring plan'!$F$16,0)</f>
        <v>0</v>
      </c>
      <c r="K20" s="37" t="n">
        <f aca="false">IF(AND(N('Hiring plan'!$F$16)&gt;0,K$3&gt;='Hiring plan'!$G$16,K$3&lt;=IF('Hiring plan'!$H$16="",999,'Hiring plan'!$H$16)),'Hiring plan'!$F$16,0)</f>
        <v>0</v>
      </c>
      <c r="L20" s="37" t="n">
        <f aca="false">IF(AND(N('Hiring plan'!$F$16)&gt;0,L$3&gt;='Hiring plan'!$G$16,L$3&lt;=IF('Hiring plan'!$H$16="",999,'Hiring plan'!$H$16)),'Hiring plan'!$F$16,0)</f>
        <v>0</v>
      </c>
      <c r="M20" s="37" t="n">
        <f aca="false">IF(AND(N('Hiring plan'!$F$16)&gt;0,M$3&gt;='Hiring plan'!$G$16,M$3&lt;=IF('Hiring plan'!$H$16="",999,'Hiring plan'!$H$16)),'Hiring plan'!$F$16,0)</f>
        <v>0</v>
      </c>
      <c r="N20" s="37" t="n">
        <f aca="false">IF(AND(N('Hiring plan'!$F$16)&gt;0,N$3&gt;='Hiring plan'!$G$16,N$3&lt;=IF('Hiring plan'!$H$16="",999,'Hiring plan'!$H$16)),'Hiring plan'!$F$16,0)</f>
        <v>0</v>
      </c>
      <c r="O20" s="37" t="n">
        <f aca="false">IF(AND(N('Hiring plan'!$F$16)&gt;0,O$3&gt;='Hiring plan'!$G$16,O$3&lt;=IF('Hiring plan'!$H$16="",999,'Hiring plan'!$H$16)),'Hiring plan'!$F$16,0)</f>
        <v>0</v>
      </c>
      <c r="P20" s="37" t="n">
        <f aca="false">IF(AND(N('Hiring plan'!$F$16)&gt;0,P$3&gt;='Hiring plan'!$G$16,P$3&lt;=IF('Hiring plan'!$H$16="",999,'Hiring plan'!$H$16)),'Hiring plan'!$F$16,0)</f>
        <v>0</v>
      </c>
      <c r="Q20" s="37" t="n">
        <f aca="false">IF(AND(N('Hiring plan'!$F$16)&gt;0,Q$3&gt;='Hiring plan'!$G$16,Q$3&lt;=IF('Hiring plan'!$H$16="",999,'Hiring plan'!$H$16)),'Hiring plan'!$F$16,0)</f>
        <v>0</v>
      </c>
      <c r="R20" s="37" t="n">
        <f aca="false">IF(AND(N('Hiring plan'!$F$16)&gt;0,R$3&gt;='Hiring plan'!$G$16,R$3&lt;=IF('Hiring plan'!$H$16="",999,'Hiring plan'!$H$16)),'Hiring plan'!$F$16,0)</f>
        <v>0</v>
      </c>
      <c r="S20" s="37" t="n">
        <f aca="false">IF(AND(N('Hiring plan'!$F$16)&gt;0,S$3&gt;='Hiring plan'!$G$16,S$3&lt;=IF('Hiring plan'!$H$16="",999,'Hiring plan'!$H$16)),'Hiring plan'!$F$16,0)</f>
        <v>0</v>
      </c>
      <c r="T20" s="37" t="n">
        <f aca="false">IF(AND(N('Hiring plan'!$F$16)&gt;0,T$3&gt;='Hiring plan'!$G$16,T$3&lt;=IF('Hiring plan'!$H$16="",999,'Hiring plan'!$H$16)),'Hiring plan'!$F$16,0)</f>
        <v>0</v>
      </c>
      <c r="U20" s="37" t="n">
        <f aca="false">IF(AND(N('Hiring plan'!$F$16)&gt;0,U$3&gt;='Hiring plan'!$G$16,U$3&lt;=IF('Hiring plan'!$H$16="",999,'Hiring plan'!$H$16)),'Hiring plan'!$F$16,0)</f>
        <v>0</v>
      </c>
      <c r="V20" s="37" t="n">
        <f aca="false">IF(AND(N('Hiring plan'!$F$16)&gt;0,V$3&gt;='Hiring plan'!$G$16,V$3&lt;=IF('Hiring plan'!$H$16="",999,'Hiring plan'!$H$16)),'Hiring plan'!$F$16,0)</f>
        <v>0</v>
      </c>
      <c r="W20" s="37" t="n">
        <f aca="false">IF(AND(N('Hiring plan'!$F$16)&gt;0,W$3&gt;='Hiring plan'!$G$16,W$3&lt;=IF('Hiring plan'!$H$16="",999,'Hiring plan'!$H$16)),'Hiring plan'!$F$16,0)</f>
        <v>0</v>
      </c>
      <c r="X20" s="37" t="n">
        <f aca="false">IF(AND(N('Hiring plan'!$F$16)&gt;0,X$3&gt;='Hiring plan'!$G$16,X$3&lt;=IF('Hiring plan'!$H$16="",999,'Hiring plan'!$H$16)),'Hiring plan'!$F$16,0)</f>
        <v>0</v>
      </c>
      <c r="Y20" s="37" t="n">
        <f aca="false">IF(AND(N('Hiring plan'!$F$16)&gt;0,Y$3&gt;='Hiring plan'!$G$16,Y$3&lt;=IF('Hiring plan'!$H$16="",999,'Hiring plan'!$H$16)),'Hiring plan'!$F$16,0)</f>
        <v>0</v>
      </c>
      <c r="Z20" s="37" t="n">
        <f aca="false">IF(AND(N('Hiring plan'!$F$16)&gt;0,Z$3&gt;='Hiring plan'!$G$16,Z$3&lt;=IF('Hiring plan'!$H$16="",999,'Hiring plan'!$H$16)),'Hiring plan'!$F$16,0)</f>
        <v>0</v>
      </c>
      <c r="AA20" s="37" t="n">
        <f aca="false">IF(AND(N('Hiring plan'!$F$16)&gt;0,AA$3&gt;='Hiring plan'!$G$16,AA$3&lt;=IF('Hiring plan'!$H$16="",999,'Hiring plan'!$H$16)),'Hiring plan'!$F$16,0)</f>
        <v>0</v>
      </c>
      <c r="AB20" s="37" t="n">
        <f aca="false">IF(AND(N('Hiring plan'!$F$16)&gt;0,AB$3&gt;='Hiring plan'!$G$16,AB$3&lt;=IF('Hiring plan'!$H$16="",999,'Hiring plan'!$H$16)),'Hiring plan'!$F$16,0)</f>
        <v>0</v>
      </c>
      <c r="AC20" s="37" t="n">
        <f aca="false">IF(AND(N('Hiring plan'!$F$16)&gt;0,AC$3&gt;='Hiring plan'!$G$16,AC$3&lt;=IF('Hiring plan'!$H$16="",999,'Hiring plan'!$H$16)),'Hiring plan'!$F$16,0)</f>
        <v>0</v>
      </c>
      <c r="AD20" s="37" t="n">
        <f aca="false">IF(AND(N('Hiring plan'!$F$16)&gt;0,AD$3&gt;='Hiring plan'!$G$16,AD$3&lt;=IF('Hiring plan'!$H$16="",999,'Hiring plan'!$H$16)),'Hiring plan'!$F$16,0)</f>
        <v>0</v>
      </c>
      <c r="AE20" s="37" t="n">
        <f aca="false">IF(AND(N('Hiring plan'!$F$16)&gt;0,AE$3&gt;='Hiring plan'!$G$16,AE$3&lt;=IF('Hiring plan'!$H$16="",999,'Hiring plan'!$H$16)),'Hiring plan'!$F$16,0)</f>
        <v>0</v>
      </c>
      <c r="AF20" s="37" t="n">
        <f aca="false">IF(AND(N('Hiring plan'!$F$16)&gt;0,AF$3&gt;='Hiring plan'!$G$16,AF$3&lt;=IF('Hiring plan'!$H$16="",999,'Hiring plan'!$H$16)),'Hiring plan'!$F$16,0)</f>
        <v>0</v>
      </c>
      <c r="AG20" s="37" t="n">
        <f aca="false">IF(AND(N('Hiring plan'!$F$16)&gt;0,AG$3&gt;='Hiring plan'!$G$16,AG$3&lt;=IF('Hiring plan'!$H$16="",999,'Hiring plan'!$H$16)),'Hiring plan'!$F$16,0)</f>
        <v>0</v>
      </c>
      <c r="AH20" s="37" t="n">
        <f aca="false">IF(AND(N('Hiring plan'!$F$16)&gt;0,AH$3&gt;='Hiring plan'!$G$16,AH$3&lt;=IF('Hiring plan'!$H$16="",999,'Hiring plan'!$H$16)),'Hiring plan'!$F$16,0)</f>
        <v>0</v>
      </c>
      <c r="AI20" s="37" t="n">
        <f aca="false">IF(AND(N('Hiring plan'!$F$16)&gt;0,AI$3&gt;='Hiring plan'!$G$16,AI$3&lt;=IF('Hiring plan'!$H$16="",999,'Hiring plan'!$H$16)),'Hiring plan'!$F$16,0)</f>
        <v>0</v>
      </c>
      <c r="AJ20" s="37" t="n">
        <f aca="false">IF(AND(N('Hiring plan'!$F$16)&gt;0,AJ$3&gt;='Hiring plan'!$G$16,AJ$3&lt;=IF('Hiring plan'!$H$16="",999,'Hiring plan'!$H$16)),'Hiring plan'!$F$16,0)</f>
        <v>0</v>
      </c>
      <c r="AK20" s="37" t="n">
        <f aca="false">IF(AND(N('Hiring plan'!$F$16)&gt;0,AK$3&gt;='Hiring plan'!$G$16,AK$3&lt;=IF('Hiring plan'!$H$16="",999,'Hiring plan'!$H$16)),'Hiring plan'!$F$16,0)</f>
        <v>0</v>
      </c>
      <c r="AL20" s="37" t="n">
        <f aca="false">IF(AND(N('Hiring plan'!$F$16)&gt;0,AL$3&gt;='Hiring plan'!$G$16,AL$3&lt;=IF('Hiring plan'!$H$16="",999,'Hiring plan'!$H$16)),'Hiring plan'!$F$16,0)</f>
        <v>0</v>
      </c>
      <c r="AM20" s="37" t="n">
        <f aca="false">IF(AND(N('Hiring plan'!$F$16)&gt;0,AM$3&gt;='Hiring plan'!$G$16,AM$3&lt;=IF('Hiring plan'!$H$16="",999,'Hiring plan'!$H$16)),'Hiring plan'!$F$16,0)</f>
        <v>0</v>
      </c>
      <c r="AN20" s="37" t="n">
        <f aca="false">IF(AND(N('Hiring plan'!$F$16)&gt;0,AN$3&gt;='Hiring plan'!$G$16,AN$3&lt;=IF('Hiring plan'!$H$16="",999,'Hiring plan'!$H$16)),'Hiring plan'!$F$16,0)</f>
        <v>0</v>
      </c>
      <c r="AO20" s="37" t="n">
        <f aca="false">IF(AND(N('Hiring plan'!$F$16)&gt;0,AO$3&gt;='Hiring plan'!$G$16,AO$3&lt;=IF('Hiring plan'!$H$16="",999,'Hiring plan'!$H$16)),'Hiring plan'!$F$16,0)</f>
        <v>0</v>
      </c>
      <c r="AP20" s="37" t="n">
        <f aca="false">IF(AND(N('Hiring plan'!$F$16)&gt;0,AP$3&gt;='Hiring plan'!$G$16,AP$3&lt;=IF('Hiring plan'!$H$16="",999,'Hiring plan'!$H$16)),'Hiring plan'!$F$16,0)</f>
        <v>0</v>
      </c>
      <c r="AQ20" s="37" t="n">
        <f aca="false">IF(AND(N('Hiring plan'!$F$16)&gt;0,AQ$3&gt;='Hiring plan'!$G$16,AQ$3&lt;=IF('Hiring plan'!$H$16="",999,'Hiring plan'!$H$16)),'Hiring plan'!$F$16,0)</f>
        <v>0</v>
      </c>
      <c r="AR20" s="37" t="n">
        <f aca="false">IF(AND(N('Hiring plan'!$F$16)&gt;0,AR$3&gt;='Hiring plan'!$G$16,AR$3&lt;=IF('Hiring plan'!$H$16="",999,'Hiring plan'!$H$16)),'Hiring plan'!$F$16,0)</f>
        <v>0</v>
      </c>
      <c r="AS20" s="37" t="n">
        <f aca="false">IF(AND(N('Hiring plan'!$F$16)&gt;0,AS$3&gt;='Hiring plan'!$G$16,AS$3&lt;=IF('Hiring plan'!$H$16="",999,'Hiring plan'!$H$16)),'Hiring plan'!$F$16,0)</f>
        <v>0</v>
      </c>
      <c r="AT20" s="37" t="n">
        <f aca="false">IF(AND(N('Hiring plan'!$F$16)&gt;0,AT$3&gt;='Hiring plan'!$G$16,AT$3&lt;=IF('Hiring plan'!$H$16="",999,'Hiring plan'!$H$16)),'Hiring plan'!$F$16,0)</f>
        <v>0</v>
      </c>
      <c r="AU20" s="37" t="n">
        <f aca="false">IF(AND(N('Hiring plan'!$F$16)&gt;0,AU$3&gt;='Hiring plan'!$G$16,AU$3&lt;=IF('Hiring plan'!$H$16="",999,'Hiring plan'!$H$16)),'Hiring plan'!$F$16,0)</f>
        <v>0</v>
      </c>
      <c r="AV20" s="37" t="n">
        <f aca="false">IF(AND(N('Hiring plan'!$F$16)&gt;0,AV$3&gt;='Hiring plan'!$G$16,AV$3&lt;=IF('Hiring plan'!$H$16="",999,'Hiring plan'!$H$16)),'Hiring plan'!$F$16,0)</f>
        <v>0</v>
      </c>
      <c r="AW20" s="37" t="n">
        <f aca="false">IF(AND(N('Hiring plan'!$F$16)&gt;0,AW$3&gt;='Hiring plan'!$G$16,AW$3&lt;=IF('Hiring plan'!$H$16="",999,'Hiring plan'!$H$16)),'Hiring plan'!$F$16,0)</f>
        <v>0</v>
      </c>
      <c r="AX20" s="37" t="n">
        <f aca="false">IF(AND(N('Hiring plan'!$F$16)&gt;0,AX$3&gt;='Hiring plan'!$G$16,AX$3&lt;=IF('Hiring plan'!$H$16="",999,'Hiring plan'!$H$16)),'Hiring plan'!$F$16,0)</f>
        <v>0</v>
      </c>
      <c r="AY20" s="37" t="n">
        <f aca="false">IF(AND(N('Hiring plan'!$F$16)&gt;0,AY$3&gt;='Hiring plan'!$G$16,AY$3&lt;=IF('Hiring plan'!$H$16="",999,'Hiring plan'!$H$16)),'Hiring plan'!$F$16,0)</f>
        <v>0</v>
      </c>
      <c r="AZ20" s="37" t="n">
        <f aca="false">IF(AND(N('Hiring plan'!$F$16)&gt;0,AZ$3&gt;='Hiring plan'!$G$16,AZ$3&lt;=IF('Hiring plan'!$H$16="",999,'Hiring plan'!$H$16)),'Hiring plan'!$F$16,0)</f>
        <v>0</v>
      </c>
      <c r="BA20" s="37" t="n">
        <f aca="false">IF(AND(N('Hiring plan'!$F$16)&gt;0,BA$3&gt;='Hiring plan'!$G$16,BA$3&lt;=IF('Hiring plan'!$H$16="",999,'Hiring plan'!$H$16)),'Hiring plan'!$F$16,0)</f>
        <v>0</v>
      </c>
      <c r="BB20" s="37" t="n">
        <f aca="false">IF(AND(N('Hiring plan'!$F$16)&gt;0,BB$3&gt;='Hiring plan'!$G$16,BB$3&lt;=IF('Hiring plan'!$H$16="",999,'Hiring plan'!$H$16)),'Hiring plan'!$F$16,0)</f>
        <v>0</v>
      </c>
      <c r="BC20" s="37" t="n">
        <f aca="false">IF(AND(N('Hiring plan'!$F$16)&gt;0,BC$3&gt;='Hiring plan'!$G$16,BC$3&lt;=IF('Hiring plan'!$H$16="",999,'Hiring plan'!$H$16)),'Hiring plan'!$F$16,0)</f>
        <v>0</v>
      </c>
      <c r="BD20" s="37" t="n">
        <f aca="false">IF(AND(N('Hiring plan'!$F$16)&gt;0,BD$3&gt;='Hiring plan'!$G$16,BD$3&lt;=IF('Hiring plan'!$H$16="",999,'Hiring plan'!$H$16)),'Hiring plan'!$F$16,0)</f>
        <v>0</v>
      </c>
      <c r="BE20" s="37" t="n">
        <f aca="false">IF(AND(N('Hiring plan'!$F$16)&gt;0,BE$3&gt;='Hiring plan'!$G$16,BE$3&lt;=IF('Hiring plan'!$H$16="",999,'Hiring plan'!$H$16)),'Hiring plan'!$F$16,0)</f>
        <v>0</v>
      </c>
      <c r="BF20" s="37" t="n">
        <f aca="false">IF(AND(N('Hiring plan'!$F$16)&gt;0,BF$3&gt;='Hiring plan'!$G$16,BF$3&lt;=IF('Hiring plan'!$H$16="",999,'Hiring plan'!$H$16)),'Hiring plan'!$F$16,0)</f>
        <v>0</v>
      </c>
      <c r="BG20" s="37" t="n">
        <f aca="false">IF(AND(N('Hiring plan'!$F$16)&gt;0,BG$3&gt;='Hiring plan'!$G$16,BG$3&lt;=IF('Hiring plan'!$H$16="",999,'Hiring plan'!$H$16)),'Hiring plan'!$F$16,0)</f>
        <v>0</v>
      </c>
      <c r="BH20" s="37" t="n">
        <f aca="false">IF(AND(N('Hiring plan'!$F$16)&gt;0,BH$3&gt;='Hiring plan'!$G$16,BH$3&lt;=IF('Hiring plan'!$H$16="",999,'Hiring plan'!$H$16)),'Hiring plan'!$F$16,0)</f>
        <v>0</v>
      </c>
      <c r="BI20" s="37" t="n">
        <f aca="false">IF(AND(N('Hiring plan'!$F$16)&gt;0,BI$3&gt;='Hiring plan'!$G$16,BI$3&lt;=IF('Hiring plan'!$H$16="",999,'Hiring plan'!$H$16)),'Hiring plan'!$F$16,0)</f>
        <v>0</v>
      </c>
      <c r="BJ20" s="37" t="n">
        <f aca="false">IF(AND(N('Hiring plan'!$F$16)&gt;0,BJ$3&gt;='Hiring plan'!$G$16,BJ$3&lt;=IF('Hiring plan'!$H$16="",999,'Hiring plan'!$H$16)),'Hiring plan'!$F$16,0)</f>
        <v>0</v>
      </c>
      <c r="BK20" s="37" t="n">
        <f aca="false">IF(AND(N('Hiring plan'!$F$16)&gt;0,BK$3&gt;='Hiring plan'!$G$16,BK$3&lt;=IF('Hiring plan'!$H$16="",999,'Hiring plan'!$H$16)),'Hiring plan'!$F$16,0)</f>
        <v>0</v>
      </c>
      <c r="BL20" s="37" t="n">
        <f aca="false">IF(AND(N('Hiring plan'!$F$16)&gt;0,BL$3&gt;='Hiring plan'!$G$16,BL$3&lt;=IF('Hiring plan'!$H$16="",999,'Hiring plan'!$H$16)),'Hiring plan'!$F$16,0)</f>
        <v>0</v>
      </c>
    </row>
    <row r="21" customFormat="false" ht="15" hidden="false" customHeight="false" outlineLevel="0" collapsed="false">
      <c r="A21" s="12" t="str">
        <f aca="false">IF('Hiring plan'!$C$17="","(spare line 13)",'Hiring plan'!$C$17&amp;" · "&amp;'Hiring plan'!$D$17)</f>
        <v>(spare line 13)</v>
      </c>
      <c r="B21" s="14" t="s">
        <v>86</v>
      </c>
      <c r="D21" s="55" t="n">
        <f aca="false">MAX(E21:BL21)</f>
        <v>0</v>
      </c>
      <c r="E21" s="37" t="n">
        <f aca="false">IF(AND(N('Hiring plan'!$F$17)&gt;0,E$3&gt;='Hiring plan'!$G$17,E$3&lt;=IF('Hiring plan'!$H$17="",999,'Hiring plan'!$H$17)),'Hiring plan'!$F$17,0)</f>
        <v>0</v>
      </c>
      <c r="F21" s="37" t="n">
        <f aca="false">IF(AND(N('Hiring plan'!$F$17)&gt;0,F$3&gt;='Hiring plan'!$G$17,F$3&lt;=IF('Hiring plan'!$H$17="",999,'Hiring plan'!$H$17)),'Hiring plan'!$F$17,0)</f>
        <v>0</v>
      </c>
      <c r="G21" s="37" t="n">
        <f aca="false">IF(AND(N('Hiring plan'!$F$17)&gt;0,G$3&gt;='Hiring plan'!$G$17,G$3&lt;=IF('Hiring plan'!$H$17="",999,'Hiring plan'!$H$17)),'Hiring plan'!$F$17,0)</f>
        <v>0</v>
      </c>
      <c r="H21" s="37" t="n">
        <f aca="false">IF(AND(N('Hiring plan'!$F$17)&gt;0,H$3&gt;='Hiring plan'!$G$17,H$3&lt;=IF('Hiring plan'!$H$17="",999,'Hiring plan'!$H$17)),'Hiring plan'!$F$17,0)</f>
        <v>0</v>
      </c>
      <c r="I21" s="37" t="n">
        <f aca="false">IF(AND(N('Hiring plan'!$F$17)&gt;0,I$3&gt;='Hiring plan'!$G$17,I$3&lt;=IF('Hiring plan'!$H$17="",999,'Hiring plan'!$H$17)),'Hiring plan'!$F$17,0)</f>
        <v>0</v>
      </c>
      <c r="J21" s="37" t="n">
        <f aca="false">IF(AND(N('Hiring plan'!$F$17)&gt;0,J$3&gt;='Hiring plan'!$G$17,J$3&lt;=IF('Hiring plan'!$H$17="",999,'Hiring plan'!$H$17)),'Hiring plan'!$F$17,0)</f>
        <v>0</v>
      </c>
      <c r="K21" s="37" t="n">
        <f aca="false">IF(AND(N('Hiring plan'!$F$17)&gt;0,K$3&gt;='Hiring plan'!$G$17,K$3&lt;=IF('Hiring plan'!$H$17="",999,'Hiring plan'!$H$17)),'Hiring plan'!$F$17,0)</f>
        <v>0</v>
      </c>
      <c r="L21" s="37" t="n">
        <f aca="false">IF(AND(N('Hiring plan'!$F$17)&gt;0,L$3&gt;='Hiring plan'!$G$17,L$3&lt;=IF('Hiring plan'!$H$17="",999,'Hiring plan'!$H$17)),'Hiring plan'!$F$17,0)</f>
        <v>0</v>
      </c>
      <c r="M21" s="37" t="n">
        <f aca="false">IF(AND(N('Hiring plan'!$F$17)&gt;0,M$3&gt;='Hiring plan'!$G$17,M$3&lt;=IF('Hiring plan'!$H$17="",999,'Hiring plan'!$H$17)),'Hiring plan'!$F$17,0)</f>
        <v>0</v>
      </c>
      <c r="N21" s="37" t="n">
        <f aca="false">IF(AND(N('Hiring plan'!$F$17)&gt;0,N$3&gt;='Hiring plan'!$G$17,N$3&lt;=IF('Hiring plan'!$H$17="",999,'Hiring plan'!$H$17)),'Hiring plan'!$F$17,0)</f>
        <v>0</v>
      </c>
      <c r="O21" s="37" t="n">
        <f aca="false">IF(AND(N('Hiring plan'!$F$17)&gt;0,O$3&gt;='Hiring plan'!$G$17,O$3&lt;=IF('Hiring plan'!$H$17="",999,'Hiring plan'!$H$17)),'Hiring plan'!$F$17,0)</f>
        <v>0</v>
      </c>
      <c r="P21" s="37" t="n">
        <f aca="false">IF(AND(N('Hiring plan'!$F$17)&gt;0,P$3&gt;='Hiring plan'!$G$17,P$3&lt;=IF('Hiring plan'!$H$17="",999,'Hiring plan'!$H$17)),'Hiring plan'!$F$17,0)</f>
        <v>0</v>
      </c>
      <c r="Q21" s="37" t="n">
        <f aca="false">IF(AND(N('Hiring plan'!$F$17)&gt;0,Q$3&gt;='Hiring plan'!$G$17,Q$3&lt;=IF('Hiring plan'!$H$17="",999,'Hiring plan'!$H$17)),'Hiring plan'!$F$17,0)</f>
        <v>0</v>
      </c>
      <c r="R21" s="37" t="n">
        <f aca="false">IF(AND(N('Hiring plan'!$F$17)&gt;0,R$3&gt;='Hiring plan'!$G$17,R$3&lt;=IF('Hiring plan'!$H$17="",999,'Hiring plan'!$H$17)),'Hiring plan'!$F$17,0)</f>
        <v>0</v>
      </c>
      <c r="S21" s="37" t="n">
        <f aca="false">IF(AND(N('Hiring plan'!$F$17)&gt;0,S$3&gt;='Hiring plan'!$G$17,S$3&lt;=IF('Hiring plan'!$H$17="",999,'Hiring plan'!$H$17)),'Hiring plan'!$F$17,0)</f>
        <v>0</v>
      </c>
      <c r="T21" s="37" t="n">
        <f aca="false">IF(AND(N('Hiring plan'!$F$17)&gt;0,T$3&gt;='Hiring plan'!$G$17,T$3&lt;=IF('Hiring plan'!$H$17="",999,'Hiring plan'!$H$17)),'Hiring plan'!$F$17,0)</f>
        <v>0</v>
      </c>
      <c r="U21" s="37" t="n">
        <f aca="false">IF(AND(N('Hiring plan'!$F$17)&gt;0,U$3&gt;='Hiring plan'!$G$17,U$3&lt;=IF('Hiring plan'!$H$17="",999,'Hiring plan'!$H$17)),'Hiring plan'!$F$17,0)</f>
        <v>0</v>
      </c>
      <c r="V21" s="37" t="n">
        <f aca="false">IF(AND(N('Hiring plan'!$F$17)&gt;0,V$3&gt;='Hiring plan'!$G$17,V$3&lt;=IF('Hiring plan'!$H$17="",999,'Hiring plan'!$H$17)),'Hiring plan'!$F$17,0)</f>
        <v>0</v>
      </c>
      <c r="W21" s="37" t="n">
        <f aca="false">IF(AND(N('Hiring plan'!$F$17)&gt;0,W$3&gt;='Hiring plan'!$G$17,W$3&lt;=IF('Hiring plan'!$H$17="",999,'Hiring plan'!$H$17)),'Hiring plan'!$F$17,0)</f>
        <v>0</v>
      </c>
      <c r="X21" s="37" t="n">
        <f aca="false">IF(AND(N('Hiring plan'!$F$17)&gt;0,X$3&gt;='Hiring plan'!$G$17,X$3&lt;=IF('Hiring plan'!$H$17="",999,'Hiring plan'!$H$17)),'Hiring plan'!$F$17,0)</f>
        <v>0</v>
      </c>
      <c r="Y21" s="37" t="n">
        <f aca="false">IF(AND(N('Hiring plan'!$F$17)&gt;0,Y$3&gt;='Hiring plan'!$G$17,Y$3&lt;=IF('Hiring plan'!$H$17="",999,'Hiring plan'!$H$17)),'Hiring plan'!$F$17,0)</f>
        <v>0</v>
      </c>
      <c r="Z21" s="37" t="n">
        <f aca="false">IF(AND(N('Hiring plan'!$F$17)&gt;0,Z$3&gt;='Hiring plan'!$G$17,Z$3&lt;=IF('Hiring plan'!$H$17="",999,'Hiring plan'!$H$17)),'Hiring plan'!$F$17,0)</f>
        <v>0</v>
      </c>
      <c r="AA21" s="37" t="n">
        <f aca="false">IF(AND(N('Hiring plan'!$F$17)&gt;0,AA$3&gt;='Hiring plan'!$G$17,AA$3&lt;=IF('Hiring plan'!$H$17="",999,'Hiring plan'!$H$17)),'Hiring plan'!$F$17,0)</f>
        <v>0</v>
      </c>
      <c r="AB21" s="37" t="n">
        <f aca="false">IF(AND(N('Hiring plan'!$F$17)&gt;0,AB$3&gt;='Hiring plan'!$G$17,AB$3&lt;=IF('Hiring plan'!$H$17="",999,'Hiring plan'!$H$17)),'Hiring plan'!$F$17,0)</f>
        <v>0</v>
      </c>
      <c r="AC21" s="37" t="n">
        <f aca="false">IF(AND(N('Hiring plan'!$F$17)&gt;0,AC$3&gt;='Hiring plan'!$G$17,AC$3&lt;=IF('Hiring plan'!$H$17="",999,'Hiring plan'!$H$17)),'Hiring plan'!$F$17,0)</f>
        <v>0</v>
      </c>
      <c r="AD21" s="37" t="n">
        <f aca="false">IF(AND(N('Hiring plan'!$F$17)&gt;0,AD$3&gt;='Hiring plan'!$G$17,AD$3&lt;=IF('Hiring plan'!$H$17="",999,'Hiring plan'!$H$17)),'Hiring plan'!$F$17,0)</f>
        <v>0</v>
      </c>
      <c r="AE21" s="37" t="n">
        <f aca="false">IF(AND(N('Hiring plan'!$F$17)&gt;0,AE$3&gt;='Hiring plan'!$G$17,AE$3&lt;=IF('Hiring plan'!$H$17="",999,'Hiring plan'!$H$17)),'Hiring plan'!$F$17,0)</f>
        <v>0</v>
      </c>
      <c r="AF21" s="37" t="n">
        <f aca="false">IF(AND(N('Hiring plan'!$F$17)&gt;0,AF$3&gt;='Hiring plan'!$G$17,AF$3&lt;=IF('Hiring plan'!$H$17="",999,'Hiring plan'!$H$17)),'Hiring plan'!$F$17,0)</f>
        <v>0</v>
      </c>
      <c r="AG21" s="37" t="n">
        <f aca="false">IF(AND(N('Hiring plan'!$F$17)&gt;0,AG$3&gt;='Hiring plan'!$G$17,AG$3&lt;=IF('Hiring plan'!$H$17="",999,'Hiring plan'!$H$17)),'Hiring plan'!$F$17,0)</f>
        <v>0</v>
      </c>
      <c r="AH21" s="37" t="n">
        <f aca="false">IF(AND(N('Hiring plan'!$F$17)&gt;0,AH$3&gt;='Hiring plan'!$G$17,AH$3&lt;=IF('Hiring plan'!$H$17="",999,'Hiring plan'!$H$17)),'Hiring plan'!$F$17,0)</f>
        <v>0</v>
      </c>
      <c r="AI21" s="37" t="n">
        <f aca="false">IF(AND(N('Hiring plan'!$F$17)&gt;0,AI$3&gt;='Hiring plan'!$G$17,AI$3&lt;=IF('Hiring plan'!$H$17="",999,'Hiring plan'!$H$17)),'Hiring plan'!$F$17,0)</f>
        <v>0</v>
      </c>
      <c r="AJ21" s="37" t="n">
        <f aca="false">IF(AND(N('Hiring plan'!$F$17)&gt;0,AJ$3&gt;='Hiring plan'!$G$17,AJ$3&lt;=IF('Hiring plan'!$H$17="",999,'Hiring plan'!$H$17)),'Hiring plan'!$F$17,0)</f>
        <v>0</v>
      </c>
      <c r="AK21" s="37" t="n">
        <f aca="false">IF(AND(N('Hiring plan'!$F$17)&gt;0,AK$3&gt;='Hiring plan'!$G$17,AK$3&lt;=IF('Hiring plan'!$H$17="",999,'Hiring plan'!$H$17)),'Hiring plan'!$F$17,0)</f>
        <v>0</v>
      </c>
      <c r="AL21" s="37" t="n">
        <f aca="false">IF(AND(N('Hiring plan'!$F$17)&gt;0,AL$3&gt;='Hiring plan'!$G$17,AL$3&lt;=IF('Hiring plan'!$H$17="",999,'Hiring plan'!$H$17)),'Hiring plan'!$F$17,0)</f>
        <v>0</v>
      </c>
      <c r="AM21" s="37" t="n">
        <f aca="false">IF(AND(N('Hiring plan'!$F$17)&gt;0,AM$3&gt;='Hiring plan'!$G$17,AM$3&lt;=IF('Hiring plan'!$H$17="",999,'Hiring plan'!$H$17)),'Hiring plan'!$F$17,0)</f>
        <v>0</v>
      </c>
      <c r="AN21" s="37" t="n">
        <f aca="false">IF(AND(N('Hiring plan'!$F$17)&gt;0,AN$3&gt;='Hiring plan'!$G$17,AN$3&lt;=IF('Hiring plan'!$H$17="",999,'Hiring plan'!$H$17)),'Hiring plan'!$F$17,0)</f>
        <v>0</v>
      </c>
      <c r="AO21" s="37" t="n">
        <f aca="false">IF(AND(N('Hiring plan'!$F$17)&gt;0,AO$3&gt;='Hiring plan'!$G$17,AO$3&lt;=IF('Hiring plan'!$H$17="",999,'Hiring plan'!$H$17)),'Hiring plan'!$F$17,0)</f>
        <v>0</v>
      </c>
      <c r="AP21" s="37" t="n">
        <f aca="false">IF(AND(N('Hiring plan'!$F$17)&gt;0,AP$3&gt;='Hiring plan'!$G$17,AP$3&lt;=IF('Hiring plan'!$H$17="",999,'Hiring plan'!$H$17)),'Hiring plan'!$F$17,0)</f>
        <v>0</v>
      </c>
      <c r="AQ21" s="37" t="n">
        <f aca="false">IF(AND(N('Hiring plan'!$F$17)&gt;0,AQ$3&gt;='Hiring plan'!$G$17,AQ$3&lt;=IF('Hiring plan'!$H$17="",999,'Hiring plan'!$H$17)),'Hiring plan'!$F$17,0)</f>
        <v>0</v>
      </c>
      <c r="AR21" s="37" t="n">
        <f aca="false">IF(AND(N('Hiring plan'!$F$17)&gt;0,AR$3&gt;='Hiring plan'!$G$17,AR$3&lt;=IF('Hiring plan'!$H$17="",999,'Hiring plan'!$H$17)),'Hiring plan'!$F$17,0)</f>
        <v>0</v>
      </c>
      <c r="AS21" s="37" t="n">
        <f aca="false">IF(AND(N('Hiring plan'!$F$17)&gt;0,AS$3&gt;='Hiring plan'!$G$17,AS$3&lt;=IF('Hiring plan'!$H$17="",999,'Hiring plan'!$H$17)),'Hiring plan'!$F$17,0)</f>
        <v>0</v>
      </c>
      <c r="AT21" s="37" t="n">
        <f aca="false">IF(AND(N('Hiring plan'!$F$17)&gt;0,AT$3&gt;='Hiring plan'!$G$17,AT$3&lt;=IF('Hiring plan'!$H$17="",999,'Hiring plan'!$H$17)),'Hiring plan'!$F$17,0)</f>
        <v>0</v>
      </c>
      <c r="AU21" s="37" t="n">
        <f aca="false">IF(AND(N('Hiring plan'!$F$17)&gt;0,AU$3&gt;='Hiring plan'!$G$17,AU$3&lt;=IF('Hiring plan'!$H$17="",999,'Hiring plan'!$H$17)),'Hiring plan'!$F$17,0)</f>
        <v>0</v>
      </c>
      <c r="AV21" s="37" t="n">
        <f aca="false">IF(AND(N('Hiring plan'!$F$17)&gt;0,AV$3&gt;='Hiring plan'!$G$17,AV$3&lt;=IF('Hiring plan'!$H$17="",999,'Hiring plan'!$H$17)),'Hiring plan'!$F$17,0)</f>
        <v>0</v>
      </c>
      <c r="AW21" s="37" t="n">
        <f aca="false">IF(AND(N('Hiring plan'!$F$17)&gt;0,AW$3&gt;='Hiring plan'!$G$17,AW$3&lt;=IF('Hiring plan'!$H$17="",999,'Hiring plan'!$H$17)),'Hiring plan'!$F$17,0)</f>
        <v>0</v>
      </c>
      <c r="AX21" s="37" t="n">
        <f aca="false">IF(AND(N('Hiring plan'!$F$17)&gt;0,AX$3&gt;='Hiring plan'!$G$17,AX$3&lt;=IF('Hiring plan'!$H$17="",999,'Hiring plan'!$H$17)),'Hiring plan'!$F$17,0)</f>
        <v>0</v>
      </c>
      <c r="AY21" s="37" t="n">
        <f aca="false">IF(AND(N('Hiring plan'!$F$17)&gt;0,AY$3&gt;='Hiring plan'!$G$17,AY$3&lt;=IF('Hiring plan'!$H$17="",999,'Hiring plan'!$H$17)),'Hiring plan'!$F$17,0)</f>
        <v>0</v>
      </c>
      <c r="AZ21" s="37" t="n">
        <f aca="false">IF(AND(N('Hiring plan'!$F$17)&gt;0,AZ$3&gt;='Hiring plan'!$G$17,AZ$3&lt;=IF('Hiring plan'!$H$17="",999,'Hiring plan'!$H$17)),'Hiring plan'!$F$17,0)</f>
        <v>0</v>
      </c>
      <c r="BA21" s="37" t="n">
        <f aca="false">IF(AND(N('Hiring plan'!$F$17)&gt;0,BA$3&gt;='Hiring plan'!$G$17,BA$3&lt;=IF('Hiring plan'!$H$17="",999,'Hiring plan'!$H$17)),'Hiring plan'!$F$17,0)</f>
        <v>0</v>
      </c>
      <c r="BB21" s="37" t="n">
        <f aca="false">IF(AND(N('Hiring plan'!$F$17)&gt;0,BB$3&gt;='Hiring plan'!$G$17,BB$3&lt;=IF('Hiring plan'!$H$17="",999,'Hiring plan'!$H$17)),'Hiring plan'!$F$17,0)</f>
        <v>0</v>
      </c>
      <c r="BC21" s="37" t="n">
        <f aca="false">IF(AND(N('Hiring plan'!$F$17)&gt;0,BC$3&gt;='Hiring plan'!$G$17,BC$3&lt;=IF('Hiring plan'!$H$17="",999,'Hiring plan'!$H$17)),'Hiring plan'!$F$17,0)</f>
        <v>0</v>
      </c>
      <c r="BD21" s="37" t="n">
        <f aca="false">IF(AND(N('Hiring plan'!$F$17)&gt;0,BD$3&gt;='Hiring plan'!$G$17,BD$3&lt;=IF('Hiring plan'!$H$17="",999,'Hiring plan'!$H$17)),'Hiring plan'!$F$17,0)</f>
        <v>0</v>
      </c>
      <c r="BE21" s="37" t="n">
        <f aca="false">IF(AND(N('Hiring plan'!$F$17)&gt;0,BE$3&gt;='Hiring plan'!$G$17,BE$3&lt;=IF('Hiring plan'!$H$17="",999,'Hiring plan'!$H$17)),'Hiring plan'!$F$17,0)</f>
        <v>0</v>
      </c>
      <c r="BF21" s="37" t="n">
        <f aca="false">IF(AND(N('Hiring plan'!$F$17)&gt;0,BF$3&gt;='Hiring plan'!$G$17,BF$3&lt;=IF('Hiring plan'!$H$17="",999,'Hiring plan'!$H$17)),'Hiring plan'!$F$17,0)</f>
        <v>0</v>
      </c>
      <c r="BG21" s="37" t="n">
        <f aca="false">IF(AND(N('Hiring plan'!$F$17)&gt;0,BG$3&gt;='Hiring plan'!$G$17,BG$3&lt;=IF('Hiring plan'!$H$17="",999,'Hiring plan'!$H$17)),'Hiring plan'!$F$17,0)</f>
        <v>0</v>
      </c>
      <c r="BH21" s="37" t="n">
        <f aca="false">IF(AND(N('Hiring plan'!$F$17)&gt;0,BH$3&gt;='Hiring plan'!$G$17,BH$3&lt;=IF('Hiring plan'!$H$17="",999,'Hiring plan'!$H$17)),'Hiring plan'!$F$17,0)</f>
        <v>0</v>
      </c>
      <c r="BI21" s="37" t="n">
        <f aca="false">IF(AND(N('Hiring plan'!$F$17)&gt;0,BI$3&gt;='Hiring plan'!$G$17,BI$3&lt;=IF('Hiring plan'!$H$17="",999,'Hiring plan'!$H$17)),'Hiring plan'!$F$17,0)</f>
        <v>0</v>
      </c>
      <c r="BJ21" s="37" t="n">
        <f aca="false">IF(AND(N('Hiring plan'!$F$17)&gt;0,BJ$3&gt;='Hiring plan'!$G$17,BJ$3&lt;=IF('Hiring plan'!$H$17="",999,'Hiring plan'!$H$17)),'Hiring plan'!$F$17,0)</f>
        <v>0</v>
      </c>
      <c r="BK21" s="37" t="n">
        <f aca="false">IF(AND(N('Hiring plan'!$F$17)&gt;0,BK$3&gt;='Hiring plan'!$G$17,BK$3&lt;=IF('Hiring plan'!$H$17="",999,'Hiring plan'!$H$17)),'Hiring plan'!$F$17,0)</f>
        <v>0</v>
      </c>
      <c r="BL21" s="37" t="n">
        <f aca="false">IF(AND(N('Hiring plan'!$F$17)&gt;0,BL$3&gt;='Hiring plan'!$G$17,BL$3&lt;=IF('Hiring plan'!$H$17="",999,'Hiring plan'!$H$17)),'Hiring plan'!$F$17,0)</f>
        <v>0</v>
      </c>
    </row>
    <row r="22" customFormat="false" ht="15" hidden="false" customHeight="false" outlineLevel="0" collapsed="false">
      <c r="A22" s="12" t="str">
        <f aca="false">IF('Hiring plan'!$C$18="","(spare line 14)",'Hiring plan'!$C$18&amp;" · "&amp;'Hiring plan'!$D$18)</f>
        <v>(spare line 14)</v>
      </c>
      <c r="B22" s="14" t="s">
        <v>86</v>
      </c>
      <c r="D22" s="55" t="n">
        <f aca="false">MAX(E22:BL22)</f>
        <v>0</v>
      </c>
      <c r="E22" s="37" t="n">
        <f aca="false">IF(AND(N('Hiring plan'!$F$18)&gt;0,E$3&gt;='Hiring plan'!$G$18,E$3&lt;=IF('Hiring plan'!$H$18="",999,'Hiring plan'!$H$18)),'Hiring plan'!$F$18,0)</f>
        <v>0</v>
      </c>
      <c r="F22" s="37" t="n">
        <f aca="false">IF(AND(N('Hiring plan'!$F$18)&gt;0,F$3&gt;='Hiring plan'!$G$18,F$3&lt;=IF('Hiring plan'!$H$18="",999,'Hiring plan'!$H$18)),'Hiring plan'!$F$18,0)</f>
        <v>0</v>
      </c>
      <c r="G22" s="37" t="n">
        <f aca="false">IF(AND(N('Hiring plan'!$F$18)&gt;0,G$3&gt;='Hiring plan'!$G$18,G$3&lt;=IF('Hiring plan'!$H$18="",999,'Hiring plan'!$H$18)),'Hiring plan'!$F$18,0)</f>
        <v>0</v>
      </c>
      <c r="H22" s="37" t="n">
        <f aca="false">IF(AND(N('Hiring plan'!$F$18)&gt;0,H$3&gt;='Hiring plan'!$G$18,H$3&lt;=IF('Hiring plan'!$H$18="",999,'Hiring plan'!$H$18)),'Hiring plan'!$F$18,0)</f>
        <v>0</v>
      </c>
      <c r="I22" s="37" t="n">
        <f aca="false">IF(AND(N('Hiring plan'!$F$18)&gt;0,I$3&gt;='Hiring plan'!$G$18,I$3&lt;=IF('Hiring plan'!$H$18="",999,'Hiring plan'!$H$18)),'Hiring plan'!$F$18,0)</f>
        <v>0</v>
      </c>
      <c r="J22" s="37" t="n">
        <f aca="false">IF(AND(N('Hiring plan'!$F$18)&gt;0,J$3&gt;='Hiring plan'!$G$18,J$3&lt;=IF('Hiring plan'!$H$18="",999,'Hiring plan'!$H$18)),'Hiring plan'!$F$18,0)</f>
        <v>0</v>
      </c>
      <c r="K22" s="37" t="n">
        <f aca="false">IF(AND(N('Hiring plan'!$F$18)&gt;0,K$3&gt;='Hiring plan'!$G$18,K$3&lt;=IF('Hiring plan'!$H$18="",999,'Hiring plan'!$H$18)),'Hiring plan'!$F$18,0)</f>
        <v>0</v>
      </c>
      <c r="L22" s="37" t="n">
        <f aca="false">IF(AND(N('Hiring plan'!$F$18)&gt;0,L$3&gt;='Hiring plan'!$G$18,L$3&lt;=IF('Hiring plan'!$H$18="",999,'Hiring plan'!$H$18)),'Hiring plan'!$F$18,0)</f>
        <v>0</v>
      </c>
      <c r="M22" s="37" t="n">
        <f aca="false">IF(AND(N('Hiring plan'!$F$18)&gt;0,M$3&gt;='Hiring plan'!$G$18,M$3&lt;=IF('Hiring plan'!$H$18="",999,'Hiring plan'!$H$18)),'Hiring plan'!$F$18,0)</f>
        <v>0</v>
      </c>
      <c r="N22" s="37" t="n">
        <f aca="false">IF(AND(N('Hiring plan'!$F$18)&gt;0,N$3&gt;='Hiring plan'!$G$18,N$3&lt;=IF('Hiring plan'!$H$18="",999,'Hiring plan'!$H$18)),'Hiring plan'!$F$18,0)</f>
        <v>0</v>
      </c>
      <c r="O22" s="37" t="n">
        <f aca="false">IF(AND(N('Hiring plan'!$F$18)&gt;0,O$3&gt;='Hiring plan'!$G$18,O$3&lt;=IF('Hiring plan'!$H$18="",999,'Hiring plan'!$H$18)),'Hiring plan'!$F$18,0)</f>
        <v>0</v>
      </c>
      <c r="P22" s="37" t="n">
        <f aca="false">IF(AND(N('Hiring plan'!$F$18)&gt;0,P$3&gt;='Hiring plan'!$G$18,P$3&lt;=IF('Hiring plan'!$H$18="",999,'Hiring plan'!$H$18)),'Hiring plan'!$F$18,0)</f>
        <v>0</v>
      </c>
      <c r="Q22" s="37" t="n">
        <f aca="false">IF(AND(N('Hiring plan'!$F$18)&gt;0,Q$3&gt;='Hiring plan'!$G$18,Q$3&lt;=IF('Hiring plan'!$H$18="",999,'Hiring plan'!$H$18)),'Hiring plan'!$F$18,0)</f>
        <v>0</v>
      </c>
      <c r="R22" s="37" t="n">
        <f aca="false">IF(AND(N('Hiring plan'!$F$18)&gt;0,R$3&gt;='Hiring plan'!$G$18,R$3&lt;=IF('Hiring plan'!$H$18="",999,'Hiring plan'!$H$18)),'Hiring plan'!$F$18,0)</f>
        <v>0</v>
      </c>
      <c r="S22" s="37" t="n">
        <f aca="false">IF(AND(N('Hiring plan'!$F$18)&gt;0,S$3&gt;='Hiring plan'!$G$18,S$3&lt;=IF('Hiring plan'!$H$18="",999,'Hiring plan'!$H$18)),'Hiring plan'!$F$18,0)</f>
        <v>0</v>
      </c>
      <c r="T22" s="37" t="n">
        <f aca="false">IF(AND(N('Hiring plan'!$F$18)&gt;0,T$3&gt;='Hiring plan'!$G$18,T$3&lt;=IF('Hiring plan'!$H$18="",999,'Hiring plan'!$H$18)),'Hiring plan'!$F$18,0)</f>
        <v>0</v>
      </c>
      <c r="U22" s="37" t="n">
        <f aca="false">IF(AND(N('Hiring plan'!$F$18)&gt;0,U$3&gt;='Hiring plan'!$G$18,U$3&lt;=IF('Hiring plan'!$H$18="",999,'Hiring plan'!$H$18)),'Hiring plan'!$F$18,0)</f>
        <v>0</v>
      </c>
      <c r="V22" s="37" t="n">
        <f aca="false">IF(AND(N('Hiring plan'!$F$18)&gt;0,V$3&gt;='Hiring plan'!$G$18,V$3&lt;=IF('Hiring plan'!$H$18="",999,'Hiring plan'!$H$18)),'Hiring plan'!$F$18,0)</f>
        <v>0</v>
      </c>
      <c r="W22" s="37" t="n">
        <f aca="false">IF(AND(N('Hiring plan'!$F$18)&gt;0,W$3&gt;='Hiring plan'!$G$18,W$3&lt;=IF('Hiring plan'!$H$18="",999,'Hiring plan'!$H$18)),'Hiring plan'!$F$18,0)</f>
        <v>0</v>
      </c>
      <c r="X22" s="37" t="n">
        <f aca="false">IF(AND(N('Hiring plan'!$F$18)&gt;0,X$3&gt;='Hiring plan'!$G$18,X$3&lt;=IF('Hiring plan'!$H$18="",999,'Hiring plan'!$H$18)),'Hiring plan'!$F$18,0)</f>
        <v>0</v>
      </c>
      <c r="Y22" s="37" t="n">
        <f aca="false">IF(AND(N('Hiring plan'!$F$18)&gt;0,Y$3&gt;='Hiring plan'!$G$18,Y$3&lt;=IF('Hiring plan'!$H$18="",999,'Hiring plan'!$H$18)),'Hiring plan'!$F$18,0)</f>
        <v>0</v>
      </c>
      <c r="Z22" s="37" t="n">
        <f aca="false">IF(AND(N('Hiring plan'!$F$18)&gt;0,Z$3&gt;='Hiring plan'!$G$18,Z$3&lt;=IF('Hiring plan'!$H$18="",999,'Hiring plan'!$H$18)),'Hiring plan'!$F$18,0)</f>
        <v>0</v>
      </c>
      <c r="AA22" s="37" t="n">
        <f aca="false">IF(AND(N('Hiring plan'!$F$18)&gt;0,AA$3&gt;='Hiring plan'!$G$18,AA$3&lt;=IF('Hiring plan'!$H$18="",999,'Hiring plan'!$H$18)),'Hiring plan'!$F$18,0)</f>
        <v>0</v>
      </c>
      <c r="AB22" s="37" t="n">
        <f aca="false">IF(AND(N('Hiring plan'!$F$18)&gt;0,AB$3&gt;='Hiring plan'!$G$18,AB$3&lt;=IF('Hiring plan'!$H$18="",999,'Hiring plan'!$H$18)),'Hiring plan'!$F$18,0)</f>
        <v>0</v>
      </c>
      <c r="AC22" s="37" t="n">
        <f aca="false">IF(AND(N('Hiring plan'!$F$18)&gt;0,AC$3&gt;='Hiring plan'!$G$18,AC$3&lt;=IF('Hiring plan'!$H$18="",999,'Hiring plan'!$H$18)),'Hiring plan'!$F$18,0)</f>
        <v>0</v>
      </c>
      <c r="AD22" s="37" t="n">
        <f aca="false">IF(AND(N('Hiring plan'!$F$18)&gt;0,AD$3&gt;='Hiring plan'!$G$18,AD$3&lt;=IF('Hiring plan'!$H$18="",999,'Hiring plan'!$H$18)),'Hiring plan'!$F$18,0)</f>
        <v>0</v>
      </c>
      <c r="AE22" s="37" t="n">
        <f aca="false">IF(AND(N('Hiring plan'!$F$18)&gt;0,AE$3&gt;='Hiring plan'!$G$18,AE$3&lt;=IF('Hiring plan'!$H$18="",999,'Hiring plan'!$H$18)),'Hiring plan'!$F$18,0)</f>
        <v>0</v>
      </c>
      <c r="AF22" s="37" t="n">
        <f aca="false">IF(AND(N('Hiring plan'!$F$18)&gt;0,AF$3&gt;='Hiring plan'!$G$18,AF$3&lt;=IF('Hiring plan'!$H$18="",999,'Hiring plan'!$H$18)),'Hiring plan'!$F$18,0)</f>
        <v>0</v>
      </c>
      <c r="AG22" s="37" t="n">
        <f aca="false">IF(AND(N('Hiring plan'!$F$18)&gt;0,AG$3&gt;='Hiring plan'!$G$18,AG$3&lt;=IF('Hiring plan'!$H$18="",999,'Hiring plan'!$H$18)),'Hiring plan'!$F$18,0)</f>
        <v>0</v>
      </c>
      <c r="AH22" s="37" t="n">
        <f aca="false">IF(AND(N('Hiring plan'!$F$18)&gt;0,AH$3&gt;='Hiring plan'!$G$18,AH$3&lt;=IF('Hiring plan'!$H$18="",999,'Hiring plan'!$H$18)),'Hiring plan'!$F$18,0)</f>
        <v>0</v>
      </c>
      <c r="AI22" s="37" t="n">
        <f aca="false">IF(AND(N('Hiring plan'!$F$18)&gt;0,AI$3&gt;='Hiring plan'!$G$18,AI$3&lt;=IF('Hiring plan'!$H$18="",999,'Hiring plan'!$H$18)),'Hiring plan'!$F$18,0)</f>
        <v>0</v>
      </c>
      <c r="AJ22" s="37" t="n">
        <f aca="false">IF(AND(N('Hiring plan'!$F$18)&gt;0,AJ$3&gt;='Hiring plan'!$G$18,AJ$3&lt;=IF('Hiring plan'!$H$18="",999,'Hiring plan'!$H$18)),'Hiring plan'!$F$18,0)</f>
        <v>0</v>
      </c>
      <c r="AK22" s="37" t="n">
        <f aca="false">IF(AND(N('Hiring plan'!$F$18)&gt;0,AK$3&gt;='Hiring plan'!$G$18,AK$3&lt;=IF('Hiring plan'!$H$18="",999,'Hiring plan'!$H$18)),'Hiring plan'!$F$18,0)</f>
        <v>0</v>
      </c>
      <c r="AL22" s="37" t="n">
        <f aca="false">IF(AND(N('Hiring plan'!$F$18)&gt;0,AL$3&gt;='Hiring plan'!$G$18,AL$3&lt;=IF('Hiring plan'!$H$18="",999,'Hiring plan'!$H$18)),'Hiring plan'!$F$18,0)</f>
        <v>0</v>
      </c>
      <c r="AM22" s="37" t="n">
        <f aca="false">IF(AND(N('Hiring plan'!$F$18)&gt;0,AM$3&gt;='Hiring plan'!$G$18,AM$3&lt;=IF('Hiring plan'!$H$18="",999,'Hiring plan'!$H$18)),'Hiring plan'!$F$18,0)</f>
        <v>0</v>
      </c>
      <c r="AN22" s="37" t="n">
        <f aca="false">IF(AND(N('Hiring plan'!$F$18)&gt;0,AN$3&gt;='Hiring plan'!$G$18,AN$3&lt;=IF('Hiring plan'!$H$18="",999,'Hiring plan'!$H$18)),'Hiring plan'!$F$18,0)</f>
        <v>0</v>
      </c>
      <c r="AO22" s="37" t="n">
        <f aca="false">IF(AND(N('Hiring plan'!$F$18)&gt;0,AO$3&gt;='Hiring plan'!$G$18,AO$3&lt;=IF('Hiring plan'!$H$18="",999,'Hiring plan'!$H$18)),'Hiring plan'!$F$18,0)</f>
        <v>0</v>
      </c>
      <c r="AP22" s="37" t="n">
        <f aca="false">IF(AND(N('Hiring plan'!$F$18)&gt;0,AP$3&gt;='Hiring plan'!$G$18,AP$3&lt;=IF('Hiring plan'!$H$18="",999,'Hiring plan'!$H$18)),'Hiring plan'!$F$18,0)</f>
        <v>0</v>
      </c>
      <c r="AQ22" s="37" t="n">
        <f aca="false">IF(AND(N('Hiring plan'!$F$18)&gt;0,AQ$3&gt;='Hiring plan'!$G$18,AQ$3&lt;=IF('Hiring plan'!$H$18="",999,'Hiring plan'!$H$18)),'Hiring plan'!$F$18,0)</f>
        <v>0</v>
      </c>
      <c r="AR22" s="37" t="n">
        <f aca="false">IF(AND(N('Hiring plan'!$F$18)&gt;0,AR$3&gt;='Hiring plan'!$G$18,AR$3&lt;=IF('Hiring plan'!$H$18="",999,'Hiring plan'!$H$18)),'Hiring plan'!$F$18,0)</f>
        <v>0</v>
      </c>
      <c r="AS22" s="37" t="n">
        <f aca="false">IF(AND(N('Hiring plan'!$F$18)&gt;0,AS$3&gt;='Hiring plan'!$G$18,AS$3&lt;=IF('Hiring plan'!$H$18="",999,'Hiring plan'!$H$18)),'Hiring plan'!$F$18,0)</f>
        <v>0</v>
      </c>
      <c r="AT22" s="37" t="n">
        <f aca="false">IF(AND(N('Hiring plan'!$F$18)&gt;0,AT$3&gt;='Hiring plan'!$G$18,AT$3&lt;=IF('Hiring plan'!$H$18="",999,'Hiring plan'!$H$18)),'Hiring plan'!$F$18,0)</f>
        <v>0</v>
      </c>
      <c r="AU22" s="37" t="n">
        <f aca="false">IF(AND(N('Hiring plan'!$F$18)&gt;0,AU$3&gt;='Hiring plan'!$G$18,AU$3&lt;=IF('Hiring plan'!$H$18="",999,'Hiring plan'!$H$18)),'Hiring plan'!$F$18,0)</f>
        <v>0</v>
      </c>
      <c r="AV22" s="37" t="n">
        <f aca="false">IF(AND(N('Hiring plan'!$F$18)&gt;0,AV$3&gt;='Hiring plan'!$G$18,AV$3&lt;=IF('Hiring plan'!$H$18="",999,'Hiring plan'!$H$18)),'Hiring plan'!$F$18,0)</f>
        <v>0</v>
      </c>
      <c r="AW22" s="37" t="n">
        <f aca="false">IF(AND(N('Hiring plan'!$F$18)&gt;0,AW$3&gt;='Hiring plan'!$G$18,AW$3&lt;=IF('Hiring plan'!$H$18="",999,'Hiring plan'!$H$18)),'Hiring plan'!$F$18,0)</f>
        <v>0</v>
      </c>
      <c r="AX22" s="37" t="n">
        <f aca="false">IF(AND(N('Hiring plan'!$F$18)&gt;0,AX$3&gt;='Hiring plan'!$G$18,AX$3&lt;=IF('Hiring plan'!$H$18="",999,'Hiring plan'!$H$18)),'Hiring plan'!$F$18,0)</f>
        <v>0</v>
      </c>
      <c r="AY22" s="37" t="n">
        <f aca="false">IF(AND(N('Hiring plan'!$F$18)&gt;0,AY$3&gt;='Hiring plan'!$G$18,AY$3&lt;=IF('Hiring plan'!$H$18="",999,'Hiring plan'!$H$18)),'Hiring plan'!$F$18,0)</f>
        <v>0</v>
      </c>
      <c r="AZ22" s="37" t="n">
        <f aca="false">IF(AND(N('Hiring plan'!$F$18)&gt;0,AZ$3&gt;='Hiring plan'!$G$18,AZ$3&lt;=IF('Hiring plan'!$H$18="",999,'Hiring plan'!$H$18)),'Hiring plan'!$F$18,0)</f>
        <v>0</v>
      </c>
      <c r="BA22" s="37" t="n">
        <f aca="false">IF(AND(N('Hiring plan'!$F$18)&gt;0,BA$3&gt;='Hiring plan'!$G$18,BA$3&lt;=IF('Hiring plan'!$H$18="",999,'Hiring plan'!$H$18)),'Hiring plan'!$F$18,0)</f>
        <v>0</v>
      </c>
      <c r="BB22" s="37" t="n">
        <f aca="false">IF(AND(N('Hiring plan'!$F$18)&gt;0,BB$3&gt;='Hiring plan'!$G$18,BB$3&lt;=IF('Hiring plan'!$H$18="",999,'Hiring plan'!$H$18)),'Hiring plan'!$F$18,0)</f>
        <v>0</v>
      </c>
      <c r="BC22" s="37" t="n">
        <f aca="false">IF(AND(N('Hiring plan'!$F$18)&gt;0,BC$3&gt;='Hiring plan'!$G$18,BC$3&lt;=IF('Hiring plan'!$H$18="",999,'Hiring plan'!$H$18)),'Hiring plan'!$F$18,0)</f>
        <v>0</v>
      </c>
      <c r="BD22" s="37" t="n">
        <f aca="false">IF(AND(N('Hiring plan'!$F$18)&gt;0,BD$3&gt;='Hiring plan'!$G$18,BD$3&lt;=IF('Hiring plan'!$H$18="",999,'Hiring plan'!$H$18)),'Hiring plan'!$F$18,0)</f>
        <v>0</v>
      </c>
      <c r="BE22" s="37" t="n">
        <f aca="false">IF(AND(N('Hiring plan'!$F$18)&gt;0,BE$3&gt;='Hiring plan'!$G$18,BE$3&lt;=IF('Hiring plan'!$H$18="",999,'Hiring plan'!$H$18)),'Hiring plan'!$F$18,0)</f>
        <v>0</v>
      </c>
      <c r="BF22" s="37" t="n">
        <f aca="false">IF(AND(N('Hiring plan'!$F$18)&gt;0,BF$3&gt;='Hiring plan'!$G$18,BF$3&lt;=IF('Hiring plan'!$H$18="",999,'Hiring plan'!$H$18)),'Hiring plan'!$F$18,0)</f>
        <v>0</v>
      </c>
      <c r="BG22" s="37" t="n">
        <f aca="false">IF(AND(N('Hiring plan'!$F$18)&gt;0,BG$3&gt;='Hiring plan'!$G$18,BG$3&lt;=IF('Hiring plan'!$H$18="",999,'Hiring plan'!$H$18)),'Hiring plan'!$F$18,0)</f>
        <v>0</v>
      </c>
      <c r="BH22" s="37" t="n">
        <f aca="false">IF(AND(N('Hiring plan'!$F$18)&gt;0,BH$3&gt;='Hiring plan'!$G$18,BH$3&lt;=IF('Hiring plan'!$H$18="",999,'Hiring plan'!$H$18)),'Hiring plan'!$F$18,0)</f>
        <v>0</v>
      </c>
      <c r="BI22" s="37" t="n">
        <f aca="false">IF(AND(N('Hiring plan'!$F$18)&gt;0,BI$3&gt;='Hiring plan'!$G$18,BI$3&lt;=IF('Hiring plan'!$H$18="",999,'Hiring plan'!$H$18)),'Hiring plan'!$F$18,0)</f>
        <v>0</v>
      </c>
      <c r="BJ22" s="37" t="n">
        <f aca="false">IF(AND(N('Hiring plan'!$F$18)&gt;0,BJ$3&gt;='Hiring plan'!$G$18,BJ$3&lt;=IF('Hiring plan'!$H$18="",999,'Hiring plan'!$H$18)),'Hiring plan'!$F$18,0)</f>
        <v>0</v>
      </c>
      <c r="BK22" s="37" t="n">
        <f aca="false">IF(AND(N('Hiring plan'!$F$18)&gt;0,BK$3&gt;='Hiring plan'!$G$18,BK$3&lt;=IF('Hiring plan'!$H$18="",999,'Hiring plan'!$H$18)),'Hiring plan'!$F$18,0)</f>
        <v>0</v>
      </c>
      <c r="BL22" s="37" t="n">
        <f aca="false">IF(AND(N('Hiring plan'!$F$18)&gt;0,BL$3&gt;='Hiring plan'!$G$18,BL$3&lt;=IF('Hiring plan'!$H$18="",999,'Hiring plan'!$H$18)),'Hiring plan'!$F$18,0)</f>
        <v>0</v>
      </c>
    </row>
    <row r="23" customFormat="false" ht="15" hidden="false" customHeight="false" outlineLevel="0" collapsed="false">
      <c r="A23" s="12" t="str">
        <f aca="false">IF('Hiring plan'!$C$19="","(spare line 15)",'Hiring plan'!$C$19&amp;" · "&amp;'Hiring plan'!$D$19)</f>
        <v>(spare line 15)</v>
      </c>
      <c r="B23" s="14" t="s">
        <v>86</v>
      </c>
      <c r="D23" s="55" t="n">
        <f aca="false">MAX(E23:BL23)</f>
        <v>0</v>
      </c>
      <c r="E23" s="37" t="n">
        <f aca="false">IF(AND(N('Hiring plan'!$F$19)&gt;0,E$3&gt;='Hiring plan'!$G$19,E$3&lt;=IF('Hiring plan'!$H$19="",999,'Hiring plan'!$H$19)),'Hiring plan'!$F$19,0)</f>
        <v>0</v>
      </c>
      <c r="F23" s="37" t="n">
        <f aca="false">IF(AND(N('Hiring plan'!$F$19)&gt;0,F$3&gt;='Hiring plan'!$G$19,F$3&lt;=IF('Hiring plan'!$H$19="",999,'Hiring plan'!$H$19)),'Hiring plan'!$F$19,0)</f>
        <v>0</v>
      </c>
      <c r="G23" s="37" t="n">
        <f aca="false">IF(AND(N('Hiring plan'!$F$19)&gt;0,G$3&gt;='Hiring plan'!$G$19,G$3&lt;=IF('Hiring plan'!$H$19="",999,'Hiring plan'!$H$19)),'Hiring plan'!$F$19,0)</f>
        <v>0</v>
      </c>
      <c r="H23" s="37" t="n">
        <f aca="false">IF(AND(N('Hiring plan'!$F$19)&gt;0,H$3&gt;='Hiring plan'!$G$19,H$3&lt;=IF('Hiring plan'!$H$19="",999,'Hiring plan'!$H$19)),'Hiring plan'!$F$19,0)</f>
        <v>0</v>
      </c>
      <c r="I23" s="37" t="n">
        <f aca="false">IF(AND(N('Hiring plan'!$F$19)&gt;0,I$3&gt;='Hiring plan'!$G$19,I$3&lt;=IF('Hiring plan'!$H$19="",999,'Hiring plan'!$H$19)),'Hiring plan'!$F$19,0)</f>
        <v>0</v>
      </c>
      <c r="J23" s="37" t="n">
        <f aca="false">IF(AND(N('Hiring plan'!$F$19)&gt;0,J$3&gt;='Hiring plan'!$G$19,J$3&lt;=IF('Hiring plan'!$H$19="",999,'Hiring plan'!$H$19)),'Hiring plan'!$F$19,0)</f>
        <v>0</v>
      </c>
      <c r="K23" s="37" t="n">
        <f aca="false">IF(AND(N('Hiring plan'!$F$19)&gt;0,K$3&gt;='Hiring plan'!$G$19,K$3&lt;=IF('Hiring plan'!$H$19="",999,'Hiring plan'!$H$19)),'Hiring plan'!$F$19,0)</f>
        <v>0</v>
      </c>
      <c r="L23" s="37" t="n">
        <f aca="false">IF(AND(N('Hiring plan'!$F$19)&gt;0,L$3&gt;='Hiring plan'!$G$19,L$3&lt;=IF('Hiring plan'!$H$19="",999,'Hiring plan'!$H$19)),'Hiring plan'!$F$19,0)</f>
        <v>0</v>
      </c>
      <c r="M23" s="37" t="n">
        <f aca="false">IF(AND(N('Hiring plan'!$F$19)&gt;0,M$3&gt;='Hiring plan'!$G$19,M$3&lt;=IF('Hiring plan'!$H$19="",999,'Hiring plan'!$H$19)),'Hiring plan'!$F$19,0)</f>
        <v>0</v>
      </c>
      <c r="N23" s="37" t="n">
        <f aca="false">IF(AND(N('Hiring plan'!$F$19)&gt;0,N$3&gt;='Hiring plan'!$G$19,N$3&lt;=IF('Hiring plan'!$H$19="",999,'Hiring plan'!$H$19)),'Hiring plan'!$F$19,0)</f>
        <v>0</v>
      </c>
      <c r="O23" s="37" t="n">
        <f aca="false">IF(AND(N('Hiring plan'!$F$19)&gt;0,O$3&gt;='Hiring plan'!$G$19,O$3&lt;=IF('Hiring plan'!$H$19="",999,'Hiring plan'!$H$19)),'Hiring plan'!$F$19,0)</f>
        <v>0</v>
      </c>
      <c r="P23" s="37" t="n">
        <f aca="false">IF(AND(N('Hiring plan'!$F$19)&gt;0,P$3&gt;='Hiring plan'!$G$19,P$3&lt;=IF('Hiring plan'!$H$19="",999,'Hiring plan'!$H$19)),'Hiring plan'!$F$19,0)</f>
        <v>0</v>
      </c>
      <c r="Q23" s="37" t="n">
        <f aca="false">IF(AND(N('Hiring plan'!$F$19)&gt;0,Q$3&gt;='Hiring plan'!$G$19,Q$3&lt;=IF('Hiring plan'!$H$19="",999,'Hiring plan'!$H$19)),'Hiring plan'!$F$19,0)</f>
        <v>0</v>
      </c>
      <c r="R23" s="37" t="n">
        <f aca="false">IF(AND(N('Hiring plan'!$F$19)&gt;0,R$3&gt;='Hiring plan'!$G$19,R$3&lt;=IF('Hiring plan'!$H$19="",999,'Hiring plan'!$H$19)),'Hiring plan'!$F$19,0)</f>
        <v>0</v>
      </c>
      <c r="S23" s="37" t="n">
        <f aca="false">IF(AND(N('Hiring plan'!$F$19)&gt;0,S$3&gt;='Hiring plan'!$G$19,S$3&lt;=IF('Hiring plan'!$H$19="",999,'Hiring plan'!$H$19)),'Hiring plan'!$F$19,0)</f>
        <v>0</v>
      </c>
      <c r="T23" s="37" t="n">
        <f aca="false">IF(AND(N('Hiring plan'!$F$19)&gt;0,T$3&gt;='Hiring plan'!$G$19,T$3&lt;=IF('Hiring plan'!$H$19="",999,'Hiring plan'!$H$19)),'Hiring plan'!$F$19,0)</f>
        <v>0</v>
      </c>
      <c r="U23" s="37" t="n">
        <f aca="false">IF(AND(N('Hiring plan'!$F$19)&gt;0,U$3&gt;='Hiring plan'!$G$19,U$3&lt;=IF('Hiring plan'!$H$19="",999,'Hiring plan'!$H$19)),'Hiring plan'!$F$19,0)</f>
        <v>0</v>
      </c>
      <c r="V23" s="37" t="n">
        <f aca="false">IF(AND(N('Hiring plan'!$F$19)&gt;0,V$3&gt;='Hiring plan'!$G$19,V$3&lt;=IF('Hiring plan'!$H$19="",999,'Hiring plan'!$H$19)),'Hiring plan'!$F$19,0)</f>
        <v>0</v>
      </c>
      <c r="W23" s="37" t="n">
        <f aca="false">IF(AND(N('Hiring plan'!$F$19)&gt;0,W$3&gt;='Hiring plan'!$G$19,W$3&lt;=IF('Hiring plan'!$H$19="",999,'Hiring plan'!$H$19)),'Hiring plan'!$F$19,0)</f>
        <v>0</v>
      </c>
      <c r="X23" s="37" t="n">
        <f aca="false">IF(AND(N('Hiring plan'!$F$19)&gt;0,X$3&gt;='Hiring plan'!$G$19,X$3&lt;=IF('Hiring plan'!$H$19="",999,'Hiring plan'!$H$19)),'Hiring plan'!$F$19,0)</f>
        <v>0</v>
      </c>
      <c r="Y23" s="37" t="n">
        <f aca="false">IF(AND(N('Hiring plan'!$F$19)&gt;0,Y$3&gt;='Hiring plan'!$G$19,Y$3&lt;=IF('Hiring plan'!$H$19="",999,'Hiring plan'!$H$19)),'Hiring plan'!$F$19,0)</f>
        <v>0</v>
      </c>
      <c r="Z23" s="37" t="n">
        <f aca="false">IF(AND(N('Hiring plan'!$F$19)&gt;0,Z$3&gt;='Hiring plan'!$G$19,Z$3&lt;=IF('Hiring plan'!$H$19="",999,'Hiring plan'!$H$19)),'Hiring plan'!$F$19,0)</f>
        <v>0</v>
      </c>
      <c r="AA23" s="37" t="n">
        <f aca="false">IF(AND(N('Hiring plan'!$F$19)&gt;0,AA$3&gt;='Hiring plan'!$G$19,AA$3&lt;=IF('Hiring plan'!$H$19="",999,'Hiring plan'!$H$19)),'Hiring plan'!$F$19,0)</f>
        <v>0</v>
      </c>
      <c r="AB23" s="37" t="n">
        <f aca="false">IF(AND(N('Hiring plan'!$F$19)&gt;0,AB$3&gt;='Hiring plan'!$G$19,AB$3&lt;=IF('Hiring plan'!$H$19="",999,'Hiring plan'!$H$19)),'Hiring plan'!$F$19,0)</f>
        <v>0</v>
      </c>
      <c r="AC23" s="37" t="n">
        <f aca="false">IF(AND(N('Hiring plan'!$F$19)&gt;0,AC$3&gt;='Hiring plan'!$G$19,AC$3&lt;=IF('Hiring plan'!$H$19="",999,'Hiring plan'!$H$19)),'Hiring plan'!$F$19,0)</f>
        <v>0</v>
      </c>
      <c r="AD23" s="37" t="n">
        <f aca="false">IF(AND(N('Hiring plan'!$F$19)&gt;0,AD$3&gt;='Hiring plan'!$G$19,AD$3&lt;=IF('Hiring plan'!$H$19="",999,'Hiring plan'!$H$19)),'Hiring plan'!$F$19,0)</f>
        <v>0</v>
      </c>
      <c r="AE23" s="37" t="n">
        <f aca="false">IF(AND(N('Hiring plan'!$F$19)&gt;0,AE$3&gt;='Hiring plan'!$G$19,AE$3&lt;=IF('Hiring plan'!$H$19="",999,'Hiring plan'!$H$19)),'Hiring plan'!$F$19,0)</f>
        <v>0</v>
      </c>
      <c r="AF23" s="37" t="n">
        <f aca="false">IF(AND(N('Hiring plan'!$F$19)&gt;0,AF$3&gt;='Hiring plan'!$G$19,AF$3&lt;=IF('Hiring plan'!$H$19="",999,'Hiring plan'!$H$19)),'Hiring plan'!$F$19,0)</f>
        <v>0</v>
      </c>
      <c r="AG23" s="37" t="n">
        <f aca="false">IF(AND(N('Hiring plan'!$F$19)&gt;0,AG$3&gt;='Hiring plan'!$G$19,AG$3&lt;=IF('Hiring plan'!$H$19="",999,'Hiring plan'!$H$19)),'Hiring plan'!$F$19,0)</f>
        <v>0</v>
      </c>
      <c r="AH23" s="37" t="n">
        <f aca="false">IF(AND(N('Hiring plan'!$F$19)&gt;0,AH$3&gt;='Hiring plan'!$G$19,AH$3&lt;=IF('Hiring plan'!$H$19="",999,'Hiring plan'!$H$19)),'Hiring plan'!$F$19,0)</f>
        <v>0</v>
      </c>
      <c r="AI23" s="37" t="n">
        <f aca="false">IF(AND(N('Hiring plan'!$F$19)&gt;0,AI$3&gt;='Hiring plan'!$G$19,AI$3&lt;=IF('Hiring plan'!$H$19="",999,'Hiring plan'!$H$19)),'Hiring plan'!$F$19,0)</f>
        <v>0</v>
      </c>
      <c r="AJ23" s="37" t="n">
        <f aca="false">IF(AND(N('Hiring plan'!$F$19)&gt;0,AJ$3&gt;='Hiring plan'!$G$19,AJ$3&lt;=IF('Hiring plan'!$H$19="",999,'Hiring plan'!$H$19)),'Hiring plan'!$F$19,0)</f>
        <v>0</v>
      </c>
      <c r="AK23" s="37" t="n">
        <f aca="false">IF(AND(N('Hiring plan'!$F$19)&gt;0,AK$3&gt;='Hiring plan'!$G$19,AK$3&lt;=IF('Hiring plan'!$H$19="",999,'Hiring plan'!$H$19)),'Hiring plan'!$F$19,0)</f>
        <v>0</v>
      </c>
      <c r="AL23" s="37" t="n">
        <f aca="false">IF(AND(N('Hiring plan'!$F$19)&gt;0,AL$3&gt;='Hiring plan'!$G$19,AL$3&lt;=IF('Hiring plan'!$H$19="",999,'Hiring plan'!$H$19)),'Hiring plan'!$F$19,0)</f>
        <v>0</v>
      </c>
      <c r="AM23" s="37" t="n">
        <f aca="false">IF(AND(N('Hiring plan'!$F$19)&gt;0,AM$3&gt;='Hiring plan'!$G$19,AM$3&lt;=IF('Hiring plan'!$H$19="",999,'Hiring plan'!$H$19)),'Hiring plan'!$F$19,0)</f>
        <v>0</v>
      </c>
      <c r="AN23" s="37" t="n">
        <f aca="false">IF(AND(N('Hiring plan'!$F$19)&gt;0,AN$3&gt;='Hiring plan'!$G$19,AN$3&lt;=IF('Hiring plan'!$H$19="",999,'Hiring plan'!$H$19)),'Hiring plan'!$F$19,0)</f>
        <v>0</v>
      </c>
      <c r="AO23" s="37" t="n">
        <f aca="false">IF(AND(N('Hiring plan'!$F$19)&gt;0,AO$3&gt;='Hiring plan'!$G$19,AO$3&lt;=IF('Hiring plan'!$H$19="",999,'Hiring plan'!$H$19)),'Hiring plan'!$F$19,0)</f>
        <v>0</v>
      </c>
      <c r="AP23" s="37" t="n">
        <f aca="false">IF(AND(N('Hiring plan'!$F$19)&gt;0,AP$3&gt;='Hiring plan'!$G$19,AP$3&lt;=IF('Hiring plan'!$H$19="",999,'Hiring plan'!$H$19)),'Hiring plan'!$F$19,0)</f>
        <v>0</v>
      </c>
      <c r="AQ23" s="37" t="n">
        <f aca="false">IF(AND(N('Hiring plan'!$F$19)&gt;0,AQ$3&gt;='Hiring plan'!$G$19,AQ$3&lt;=IF('Hiring plan'!$H$19="",999,'Hiring plan'!$H$19)),'Hiring plan'!$F$19,0)</f>
        <v>0</v>
      </c>
      <c r="AR23" s="37" t="n">
        <f aca="false">IF(AND(N('Hiring plan'!$F$19)&gt;0,AR$3&gt;='Hiring plan'!$G$19,AR$3&lt;=IF('Hiring plan'!$H$19="",999,'Hiring plan'!$H$19)),'Hiring plan'!$F$19,0)</f>
        <v>0</v>
      </c>
      <c r="AS23" s="37" t="n">
        <f aca="false">IF(AND(N('Hiring plan'!$F$19)&gt;0,AS$3&gt;='Hiring plan'!$G$19,AS$3&lt;=IF('Hiring plan'!$H$19="",999,'Hiring plan'!$H$19)),'Hiring plan'!$F$19,0)</f>
        <v>0</v>
      </c>
      <c r="AT23" s="37" t="n">
        <f aca="false">IF(AND(N('Hiring plan'!$F$19)&gt;0,AT$3&gt;='Hiring plan'!$G$19,AT$3&lt;=IF('Hiring plan'!$H$19="",999,'Hiring plan'!$H$19)),'Hiring plan'!$F$19,0)</f>
        <v>0</v>
      </c>
      <c r="AU23" s="37" t="n">
        <f aca="false">IF(AND(N('Hiring plan'!$F$19)&gt;0,AU$3&gt;='Hiring plan'!$G$19,AU$3&lt;=IF('Hiring plan'!$H$19="",999,'Hiring plan'!$H$19)),'Hiring plan'!$F$19,0)</f>
        <v>0</v>
      </c>
      <c r="AV23" s="37" t="n">
        <f aca="false">IF(AND(N('Hiring plan'!$F$19)&gt;0,AV$3&gt;='Hiring plan'!$G$19,AV$3&lt;=IF('Hiring plan'!$H$19="",999,'Hiring plan'!$H$19)),'Hiring plan'!$F$19,0)</f>
        <v>0</v>
      </c>
      <c r="AW23" s="37" t="n">
        <f aca="false">IF(AND(N('Hiring plan'!$F$19)&gt;0,AW$3&gt;='Hiring plan'!$G$19,AW$3&lt;=IF('Hiring plan'!$H$19="",999,'Hiring plan'!$H$19)),'Hiring plan'!$F$19,0)</f>
        <v>0</v>
      </c>
      <c r="AX23" s="37" t="n">
        <f aca="false">IF(AND(N('Hiring plan'!$F$19)&gt;0,AX$3&gt;='Hiring plan'!$G$19,AX$3&lt;=IF('Hiring plan'!$H$19="",999,'Hiring plan'!$H$19)),'Hiring plan'!$F$19,0)</f>
        <v>0</v>
      </c>
      <c r="AY23" s="37" t="n">
        <f aca="false">IF(AND(N('Hiring plan'!$F$19)&gt;0,AY$3&gt;='Hiring plan'!$G$19,AY$3&lt;=IF('Hiring plan'!$H$19="",999,'Hiring plan'!$H$19)),'Hiring plan'!$F$19,0)</f>
        <v>0</v>
      </c>
      <c r="AZ23" s="37" t="n">
        <f aca="false">IF(AND(N('Hiring plan'!$F$19)&gt;0,AZ$3&gt;='Hiring plan'!$G$19,AZ$3&lt;=IF('Hiring plan'!$H$19="",999,'Hiring plan'!$H$19)),'Hiring plan'!$F$19,0)</f>
        <v>0</v>
      </c>
      <c r="BA23" s="37" t="n">
        <f aca="false">IF(AND(N('Hiring plan'!$F$19)&gt;0,BA$3&gt;='Hiring plan'!$G$19,BA$3&lt;=IF('Hiring plan'!$H$19="",999,'Hiring plan'!$H$19)),'Hiring plan'!$F$19,0)</f>
        <v>0</v>
      </c>
      <c r="BB23" s="37" t="n">
        <f aca="false">IF(AND(N('Hiring plan'!$F$19)&gt;0,BB$3&gt;='Hiring plan'!$G$19,BB$3&lt;=IF('Hiring plan'!$H$19="",999,'Hiring plan'!$H$19)),'Hiring plan'!$F$19,0)</f>
        <v>0</v>
      </c>
      <c r="BC23" s="37" t="n">
        <f aca="false">IF(AND(N('Hiring plan'!$F$19)&gt;0,BC$3&gt;='Hiring plan'!$G$19,BC$3&lt;=IF('Hiring plan'!$H$19="",999,'Hiring plan'!$H$19)),'Hiring plan'!$F$19,0)</f>
        <v>0</v>
      </c>
      <c r="BD23" s="37" t="n">
        <f aca="false">IF(AND(N('Hiring plan'!$F$19)&gt;0,BD$3&gt;='Hiring plan'!$G$19,BD$3&lt;=IF('Hiring plan'!$H$19="",999,'Hiring plan'!$H$19)),'Hiring plan'!$F$19,0)</f>
        <v>0</v>
      </c>
      <c r="BE23" s="37" t="n">
        <f aca="false">IF(AND(N('Hiring plan'!$F$19)&gt;0,BE$3&gt;='Hiring plan'!$G$19,BE$3&lt;=IF('Hiring plan'!$H$19="",999,'Hiring plan'!$H$19)),'Hiring plan'!$F$19,0)</f>
        <v>0</v>
      </c>
      <c r="BF23" s="37" t="n">
        <f aca="false">IF(AND(N('Hiring plan'!$F$19)&gt;0,BF$3&gt;='Hiring plan'!$G$19,BF$3&lt;=IF('Hiring plan'!$H$19="",999,'Hiring plan'!$H$19)),'Hiring plan'!$F$19,0)</f>
        <v>0</v>
      </c>
      <c r="BG23" s="37" t="n">
        <f aca="false">IF(AND(N('Hiring plan'!$F$19)&gt;0,BG$3&gt;='Hiring plan'!$G$19,BG$3&lt;=IF('Hiring plan'!$H$19="",999,'Hiring plan'!$H$19)),'Hiring plan'!$F$19,0)</f>
        <v>0</v>
      </c>
      <c r="BH23" s="37" t="n">
        <f aca="false">IF(AND(N('Hiring plan'!$F$19)&gt;0,BH$3&gt;='Hiring plan'!$G$19,BH$3&lt;=IF('Hiring plan'!$H$19="",999,'Hiring plan'!$H$19)),'Hiring plan'!$F$19,0)</f>
        <v>0</v>
      </c>
      <c r="BI23" s="37" t="n">
        <f aca="false">IF(AND(N('Hiring plan'!$F$19)&gt;0,BI$3&gt;='Hiring plan'!$G$19,BI$3&lt;=IF('Hiring plan'!$H$19="",999,'Hiring plan'!$H$19)),'Hiring plan'!$F$19,0)</f>
        <v>0</v>
      </c>
      <c r="BJ23" s="37" t="n">
        <f aca="false">IF(AND(N('Hiring plan'!$F$19)&gt;0,BJ$3&gt;='Hiring plan'!$G$19,BJ$3&lt;=IF('Hiring plan'!$H$19="",999,'Hiring plan'!$H$19)),'Hiring plan'!$F$19,0)</f>
        <v>0</v>
      </c>
      <c r="BK23" s="37" t="n">
        <f aca="false">IF(AND(N('Hiring plan'!$F$19)&gt;0,BK$3&gt;='Hiring plan'!$G$19,BK$3&lt;=IF('Hiring plan'!$H$19="",999,'Hiring plan'!$H$19)),'Hiring plan'!$F$19,0)</f>
        <v>0</v>
      </c>
      <c r="BL23" s="37" t="n">
        <f aca="false">IF(AND(N('Hiring plan'!$F$19)&gt;0,BL$3&gt;='Hiring plan'!$G$19,BL$3&lt;=IF('Hiring plan'!$H$19="",999,'Hiring plan'!$H$19)),'Hiring plan'!$F$19,0)</f>
        <v>0</v>
      </c>
    </row>
    <row r="24" customFormat="false" ht="15" hidden="false" customHeight="false" outlineLevel="0" collapsed="false">
      <c r="A24" s="12" t="str">
        <f aca="false">IF('Hiring plan'!$C$20="","(spare line 16)",'Hiring plan'!$C$20&amp;" · "&amp;'Hiring plan'!$D$20)</f>
        <v>(spare line 16)</v>
      </c>
      <c r="B24" s="14" t="s">
        <v>86</v>
      </c>
      <c r="D24" s="55" t="n">
        <f aca="false">MAX(E24:BL24)</f>
        <v>0</v>
      </c>
      <c r="E24" s="37" t="n">
        <f aca="false">IF(AND(N('Hiring plan'!$F$20)&gt;0,E$3&gt;='Hiring plan'!$G$20,E$3&lt;=IF('Hiring plan'!$H$20="",999,'Hiring plan'!$H$20)),'Hiring plan'!$F$20,0)</f>
        <v>0</v>
      </c>
      <c r="F24" s="37" t="n">
        <f aca="false">IF(AND(N('Hiring plan'!$F$20)&gt;0,F$3&gt;='Hiring plan'!$G$20,F$3&lt;=IF('Hiring plan'!$H$20="",999,'Hiring plan'!$H$20)),'Hiring plan'!$F$20,0)</f>
        <v>0</v>
      </c>
      <c r="G24" s="37" t="n">
        <f aca="false">IF(AND(N('Hiring plan'!$F$20)&gt;0,G$3&gt;='Hiring plan'!$G$20,G$3&lt;=IF('Hiring plan'!$H$20="",999,'Hiring plan'!$H$20)),'Hiring plan'!$F$20,0)</f>
        <v>0</v>
      </c>
      <c r="H24" s="37" t="n">
        <f aca="false">IF(AND(N('Hiring plan'!$F$20)&gt;0,H$3&gt;='Hiring plan'!$G$20,H$3&lt;=IF('Hiring plan'!$H$20="",999,'Hiring plan'!$H$20)),'Hiring plan'!$F$20,0)</f>
        <v>0</v>
      </c>
      <c r="I24" s="37" t="n">
        <f aca="false">IF(AND(N('Hiring plan'!$F$20)&gt;0,I$3&gt;='Hiring plan'!$G$20,I$3&lt;=IF('Hiring plan'!$H$20="",999,'Hiring plan'!$H$20)),'Hiring plan'!$F$20,0)</f>
        <v>0</v>
      </c>
      <c r="J24" s="37" t="n">
        <f aca="false">IF(AND(N('Hiring plan'!$F$20)&gt;0,J$3&gt;='Hiring plan'!$G$20,J$3&lt;=IF('Hiring plan'!$H$20="",999,'Hiring plan'!$H$20)),'Hiring plan'!$F$20,0)</f>
        <v>0</v>
      </c>
      <c r="K24" s="37" t="n">
        <f aca="false">IF(AND(N('Hiring plan'!$F$20)&gt;0,K$3&gt;='Hiring plan'!$G$20,K$3&lt;=IF('Hiring plan'!$H$20="",999,'Hiring plan'!$H$20)),'Hiring plan'!$F$20,0)</f>
        <v>0</v>
      </c>
      <c r="L24" s="37" t="n">
        <f aca="false">IF(AND(N('Hiring plan'!$F$20)&gt;0,L$3&gt;='Hiring plan'!$G$20,L$3&lt;=IF('Hiring plan'!$H$20="",999,'Hiring plan'!$H$20)),'Hiring plan'!$F$20,0)</f>
        <v>0</v>
      </c>
      <c r="M24" s="37" t="n">
        <f aca="false">IF(AND(N('Hiring plan'!$F$20)&gt;0,M$3&gt;='Hiring plan'!$G$20,M$3&lt;=IF('Hiring plan'!$H$20="",999,'Hiring plan'!$H$20)),'Hiring plan'!$F$20,0)</f>
        <v>0</v>
      </c>
      <c r="N24" s="37" t="n">
        <f aca="false">IF(AND(N('Hiring plan'!$F$20)&gt;0,N$3&gt;='Hiring plan'!$G$20,N$3&lt;=IF('Hiring plan'!$H$20="",999,'Hiring plan'!$H$20)),'Hiring plan'!$F$20,0)</f>
        <v>0</v>
      </c>
      <c r="O24" s="37" t="n">
        <f aca="false">IF(AND(N('Hiring plan'!$F$20)&gt;0,O$3&gt;='Hiring plan'!$G$20,O$3&lt;=IF('Hiring plan'!$H$20="",999,'Hiring plan'!$H$20)),'Hiring plan'!$F$20,0)</f>
        <v>0</v>
      </c>
      <c r="P24" s="37" t="n">
        <f aca="false">IF(AND(N('Hiring plan'!$F$20)&gt;0,P$3&gt;='Hiring plan'!$G$20,P$3&lt;=IF('Hiring plan'!$H$20="",999,'Hiring plan'!$H$20)),'Hiring plan'!$F$20,0)</f>
        <v>0</v>
      </c>
      <c r="Q24" s="37" t="n">
        <f aca="false">IF(AND(N('Hiring plan'!$F$20)&gt;0,Q$3&gt;='Hiring plan'!$G$20,Q$3&lt;=IF('Hiring plan'!$H$20="",999,'Hiring plan'!$H$20)),'Hiring plan'!$F$20,0)</f>
        <v>0</v>
      </c>
      <c r="R24" s="37" t="n">
        <f aca="false">IF(AND(N('Hiring plan'!$F$20)&gt;0,R$3&gt;='Hiring plan'!$G$20,R$3&lt;=IF('Hiring plan'!$H$20="",999,'Hiring plan'!$H$20)),'Hiring plan'!$F$20,0)</f>
        <v>0</v>
      </c>
      <c r="S24" s="37" t="n">
        <f aca="false">IF(AND(N('Hiring plan'!$F$20)&gt;0,S$3&gt;='Hiring plan'!$G$20,S$3&lt;=IF('Hiring plan'!$H$20="",999,'Hiring plan'!$H$20)),'Hiring plan'!$F$20,0)</f>
        <v>0</v>
      </c>
      <c r="T24" s="37" t="n">
        <f aca="false">IF(AND(N('Hiring plan'!$F$20)&gt;0,T$3&gt;='Hiring plan'!$G$20,T$3&lt;=IF('Hiring plan'!$H$20="",999,'Hiring plan'!$H$20)),'Hiring plan'!$F$20,0)</f>
        <v>0</v>
      </c>
      <c r="U24" s="37" t="n">
        <f aca="false">IF(AND(N('Hiring plan'!$F$20)&gt;0,U$3&gt;='Hiring plan'!$G$20,U$3&lt;=IF('Hiring plan'!$H$20="",999,'Hiring plan'!$H$20)),'Hiring plan'!$F$20,0)</f>
        <v>0</v>
      </c>
      <c r="V24" s="37" t="n">
        <f aca="false">IF(AND(N('Hiring plan'!$F$20)&gt;0,V$3&gt;='Hiring plan'!$G$20,V$3&lt;=IF('Hiring plan'!$H$20="",999,'Hiring plan'!$H$20)),'Hiring plan'!$F$20,0)</f>
        <v>0</v>
      </c>
      <c r="W24" s="37" t="n">
        <f aca="false">IF(AND(N('Hiring plan'!$F$20)&gt;0,W$3&gt;='Hiring plan'!$G$20,W$3&lt;=IF('Hiring plan'!$H$20="",999,'Hiring plan'!$H$20)),'Hiring plan'!$F$20,0)</f>
        <v>0</v>
      </c>
      <c r="X24" s="37" t="n">
        <f aca="false">IF(AND(N('Hiring plan'!$F$20)&gt;0,X$3&gt;='Hiring plan'!$G$20,X$3&lt;=IF('Hiring plan'!$H$20="",999,'Hiring plan'!$H$20)),'Hiring plan'!$F$20,0)</f>
        <v>0</v>
      </c>
      <c r="Y24" s="37" t="n">
        <f aca="false">IF(AND(N('Hiring plan'!$F$20)&gt;0,Y$3&gt;='Hiring plan'!$G$20,Y$3&lt;=IF('Hiring plan'!$H$20="",999,'Hiring plan'!$H$20)),'Hiring plan'!$F$20,0)</f>
        <v>0</v>
      </c>
      <c r="Z24" s="37" t="n">
        <f aca="false">IF(AND(N('Hiring plan'!$F$20)&gt;0,Z$3&gt;='Hiring plan'!$G$20,Z$3&lt;=IF('Hiring plan'!$H$20="",999,'Hiring plan'!$H$20)),'Hiring plan'!$F$20,0)</f>
        <v>0</v>
      </c>
      <c r="AA24" s="37" t="n">
        <f aca="false">IF(AND(N('Hiring plan'!$F$20)&gt;0,AA$3&gt;='Hiring plan'!$G$20,AA$3&lt;=IF('Hiring plan'!$H$20="",999,'Hiring plan'!$H$20)),'Hiring plan'!$F$20,0)</f>
        <v>0</v>
      </c>
      <c r="AB24" s="37" t="n">
        <f aca="false">IF(AND(N('Hiring plan'!$F$20)&gt;0,AB$3&gt;='Hiring plan'!$G$20,AB$3&lt;=IF('Hiring plan'!$H$20="",999,'Hiring plan'!$H$20)),'Hiring plan'!$F$20,0)</f>
        <v>0</v>
      </c>
      <c r="AC24" s="37" t="n">
        <f aca="false">IF(AND(N('Hiring plan'!$F$20)&gt;0,AC$3&gt;='Hiring plan'!$G$20,AC$3&lt;=IF('Hiring plan'!$H$20="",999,'Hiring plan'!$H$20)),'Hiring plan'!$F$20,0)</f>
        <v>0</v>
      </c>
      <c r="AD24" s="37" t="n">
        <f aca="false">IF(AND(N('Hiring plan'!$F$20)&gt;0,AD$3&gt;='Hiring plan'!$G$20,AD$3&lt;=IF('Hiring plan'!$H$20="",999,'Hiring plan'!$H$20)),'Hiring plan'!$F$20,0)</f>
        <v>0</v>
      </c>
      <c r="AE24" s="37" t="n">
        <f aca="false">IF(AND(N('Hiring plan'!$F$20)&gt;0,AE$3&gt;='Hiring plan'!$G$20,AE$3&lt;=IF('Hiring plan'!$H$20="",999,'Hiring plan'!$H$20)),'Hiring plan'!$F$20,0)</f>
        <v>0</v>
      </c>
      <c r="AF24" s="37" t="n">
        <f aca="false">IF(AND(N('Hiring plan'!$F$20)&gt;0,AF$3&gt;='Hiring plan'!$G$20,AF$3&lt;=IF('Hiring plan'!$H$20="",999,'Hiring plan'!$H$20)),'Hiring plan'!$F$20,0)</f>
        <v>0</v>
      </c>
      <c r="AG24" s="37" t="n">
        <f aca="false">IF(AND(N('Hiring plan'!$F$20)&gt;0,AG$3&gt;='Hiring plan'!$G$20,AG$3&lt;=IF('Hiring plan'!$H$20="",999,'Hiring plan'!$H$20)),'Hiring plan'!$F$20,0)</f>
        <v>0</v>
      </c>
      <c r="AH24" s="37" t="n">
        <f aca="false">IF(AND(N('Hiring plan'!$F$20)&gt;0,AH$3&gt;='Hiring plan'!$G$20,AH$3&lt;=IF('Hiring plan'!$H$20="",999,'Hiring plan'!$H$20)),'Hiring plan'!$F$20,0)</f>
        <v>0</v>
      </c>
      <c r="AI24" s="37" t="n">
        <f aca="false">IF(AND(N('Hiring plan'!$F$20)&gt;0,AI$3&gt;='Hiring plan'!$G$20,AI$3&lt;=IF('Hiring plan'!$H$20="",999,'Hiring plan'!$H$20)),'Hiring plan'!$F$20,0)</f>
        <v>0</v>
      </c>
      <c r="AJ24" s="37" t="n">
        <f aca="false">IF(AND(N('Hiring plan'!$F$20)&gt;0,AJ$3&gt;='Hiring plan'!$G$20,AJ$3&lt;=IF('Hiring plan'!$H$20="",999,'Hiring plan'!$H$20)),'Hiring plan'!$F$20,0)</f>
        <v>0</v>
      </c>
      <c r="AK24" s="37" t="n">
        <f aca="false">IF(AND(N('Hiring plan'!$F$20)&gt;0,AK$3&gt;='Hiring plan'!$G$20,AK$3&lt;=IF('Hiring plan'!$H$20="",999,'Hiring plan'!$H$20)),'Hiring plan'!$F$20,0)</f>
        <v>0</v>
      </c>
      <c r="AL24" s="37" t="n">
        <f aca="false">IF(AND(N('Hiring plan'!$F$20)&gt;0,AL$3&gt;='Hiring plan'!$G$20,AL$3&lt;=IF('Hiring plan'!$H$20="",999,'Hiring plan'!$H$20)),'Hiring plan'!$F$20,0)</f>
        <v>0</v>
      </c>
      <c r="AM24" s="37" t="n">
        <f aca="false">IF(AND(N('Hiring plan'!$F$20)&gt;0,AM$3&gt;='Hiring plan'!$G$20,AM$3&lt;=IF('Hiring plan'!$H$20="",999,'Hiring plan'!$H$20)),'Hiring plan'!$F$20,0)</f>
        <v>0</v>
      </c>
      <c r="AN24" s="37" t="n">
        <f aca="false">IF(AND(N('Hiring plan'!$F$20)&gt;0,AN$3&gt;='Hiring plan'!$G$20,AN$3&lt;=IF('Hiring plan'!$H$20="",999,'Hiring plan'!$H$20)),'Hiring plan'!$F$20,0)</f>
        <v>0</v>
      </c>
      <c r="AO24" s="37" t="n">
        <f aca="false">IF(AND(N('Hiring plan'!$F$20)&gt;0,AO$3&gt;='Hiring plan'!$G$20,AO$3&lt;=IF('Hiring plan'!$H$20="",999,'Hiring plan'!$H$20)),'Hiring plan'!$F$20,0)</f>
        <v>0</v>
      </c>
      <c r="AP24" s="37" t="n">
        <f aca="false">IF(AND(N('Hiring plan'!$F$20)&gt;0,AP$3&gt;='Hiring plan'!$G$20,AP$3&lt;=IF('Hiring plan'!$H$20="",999,'Hiring plan'!$H$20)),'Hiring plan'!$F$20,0)</f>
        <v>0</v>
      </c>
      <c r="AQ24" s="37" t="n">
        <f aca="false">IF(AND(N('Hiring plan'!$F$20)&gt;0,AQ$3&gt;='Hiring plan'!$G$20,AQ$3&lt;=IF('Hiring plan'!$H$20="",999,'Hiring plan'!$H$20)),'Hiring plan'!$F$20,0)</f>
        <v>0</v>
      </c>
      <c r="AR24" s="37" t="n">
        <f aca="false">IF(AND(N('Hiring plan'!$F$20)&gt;0,AR$3&gt;='Hiring plan'!$G$20,AR$3&lt;=IF('Hiring plan'!$H$20="",999,'Hiring plan'!$H$20)),'Hiring plan'!$F$20,0)</f>
        <v>0</v>
      </c>
      <c r="AS24" s="37" t="n">
        <f aca="false">IF(AND(N('Hiring plan'!$F$20)&gt;0,AS$3&gt;='Hiring plan'!$G$20,AS$3&lt;=IF('Hiring plan'!$H$20="",999,'Hiring plan'!$H$20)),'Hiring plan'!$F$20,0)</f>
        <v>0</v>
      </c>
      <c r="AT24" s="37" t="n">
        <f aca="false">IF(AND(N('Hiring plan'!$F$20)&gt;0,AT$3&gt;='Hiring plan'!$G$20,AT$3&lt;=IF('Hiring plan'!$H$20="",999,'Hiring plan'!$H$20)),'Hiring plan'!$F$20,0)</f>
        <v>0</v>
      </c>
      <c r="AU24" s="37" t="n">
        <f aca="false">IF(AND(N('Hiring plan'!$F$20)&gt;0,AU$3&gt;='Hiring plan'!$G$20,AU$3&lt;=IF('Hiring plan'!$H$20="",999,'Hiring plan'!$H$20)),'Hiring plan'!$F$20,0)</f>
        <v>0</v>
      </c>
      <c r="AV24" s="37" t="n">
        <f aca="false">IF(AND(N('Hiring plan'!$F$20)&gt;0,AV$3&gt;='Hiring plan'!$G$20,AV$3&lt;=IF('Hiring plan'!$H$20="",999,'Hiring plan'!$H$20)),'Hiring plan'!$F$20,0)</f>
        <v>0</v>
      </c>
      <c r="AW24" s="37" t="n">
        <f aca="false">IF(AND(N('Hiring plan'!$F$20)&gt;0,AW$3&gt;='Hiring plan'!$G$20,AW$3&lt;=IF('Hiring plan'!$H$20="",999,'Hiring plan'!$H$20)),'Hiring plan'!$F$20,0)</f>
        <v>0</v>
      </c>
      <c r="AX24" s="37" t="n">
        <f aca="false">IF(AND(N('Hiring plan'!$F$20)&gt;0,AX$3&gt;='Hiring plan'!$G$20,AX$3&lt;=IF('Hiring plan'!$H$20="",999,'Hiring plan'!$H$20)),'Hiring plan'!$F$20,0)</f>
        <v>0</v>
      </c>
      <c r="AY24" s="37" t="n">
        <f aca="false">IF(AND(N('Hiring plan'!$F$20)&gt;0,AY$3&gt;='Hiring plan'!$G$20,AY$3&lt;=IF('Hiring plan'!$H$20="",999,'Hiring plan'!$H$20)),'Hiring plan'!$F$20,0)</f>
        <v>0</v>
      </c>
      <c r="AZ24" s="37" t="n">
        <f aca="false">IF(AND(N('Hiring plan'!$F$20)&gt;0,AZ$3&gt;='Hiring plan'!$G$20,AZ$3&lt;=IF('Hiring plan'!$H$20="",999,'Hiring plan'!$H$20)),'Hiring plan'!$F$20,0)</f>
        <v>0</v>
      </c>
      <c r="BA24" s="37" t="n">
        <f aca="false">IF(AND(N('Hiring plan'!$F$20)&gt;0,BA$3&gt;='Hiring plan'!$G$20,BA$3&lt;=IF('Hiring plan'!$H$20="",999,'Hiring plan'!$H$20)),'Hiring plan'!$F$20,0)</f>
        <v>0</v>
      </c>
      <c r="BB24" s="37" t="n">
        <f aca="false">IF(AND(N('Hiring plan'!$F$20)&gt;0,BB$3&gt;='Hiring plan'!$G$20,BB$3&lt;=IF('Hiring plan'!$H$20="",999,'Hiring plan'!$H$20)),'Hiring plan'!$F$20,0)</f>
        <v>0</v>
      </c>
      <c r="BC24" s="37" t="n">
        <f aca="false">IF(AND(N('Hiring plan'!$F$20)&gt;0,BC$3&gt;='Hiring plan'!$G$20,BC$3&lt;=IF('Hiring plan'!$H$20="",999,'Hiring plan'!$H$20)),'Hiring plan'!$F$20,0)</f>
        <v>0</v>
      </c>
      <c r="BD24" s="37" t="n">
        <f aca="false">IF(AND(N('Hiring plan'!$F$20)&gt;0,BD$3&gt;='Hiring plan'!$G$20,BD$3&lt;=IF('Hiring plan'!$H$20="",999,'Hiring plan'!$H$20)),'Hiring plan'!$F$20,0)</f>
        <v>0</v>
      </c>
      <c r="BE24" s="37" t="n">
        <f aca="false">IF(AND(N('Hiring plan'!$F$20)&gt;0,BE$3&gt;='Hiring plan'!$G$20,BE$3&lt;=IF('Hiring plan'!$H$20="",999,'Hiring plan'!$H$20)),'Hiring plan'!$F$20,0)</f>
        <v>0</v>
      </c>
      <c r="BF24" s="37" t="n">
        <f aca="false">IF(AND(N('Hiring plan'!$F$20)&gt;0,BF$3&gt;='Hiring plan'!$G$20,BF$3&lt;=IF('Hiring plan'!$H$20="",999,'Hiring plan'!$H$20)),'Hiring plan'!$F$20,0)</f>
        <v>0</v>
      </c>
      <c r="BG24" s="37" t="n">
        <f aca="false">IF(AND(N('Hiring plan'!$F$20)&gt;0,BG$3&gt;='Hiring plan'!$G$20,BG$3&lt;=IF('Hiring plan'!$H$20="",999,'Hiring plan'!$H$20)),'Hiring plan'!$F$20,0)</f>
        <v>0</v>
      </c>
      <c r="BH24" s="37" t="n">
        <f aca="false">IF(AND(N('Hiring plan'!$F$20)&gt;0,BH$3&gt;='Hiring plan'!$G$20,BH$3&lt;=IF('Hiring plan'!$H$20="",999,'Hiring plan'!$H$20)),'Hiring plan'!$F$20,0)</f>
        <v>0</v>
      </c>
      <c r="BI24" s="37" t="n">
        <f aca="false">IF(AND(N('Hiring plan'!$F$20)&gt;0,BI$3&gt;='Hiring plan'!$G$20,BI$3&lt;=IF('Hiring plan'!$H$20="",999,'Hiring plan'!$H$20)),'Hiring plan'!$F$20,0)</f>
        <v>0</v>
      </c>
      <c r="BJ24" s="37" t="n">
        <f aca="false">IF(AND(N('Hiring plan'!$F$20)&gt;0,BJ$3&gt;='Hiring plan'!$G$20,BJ$3&lt;=IF('Hiring plan'!$H$20="",999,'Hiring plan'!$H$20)),'Hiring plan'!$F$20,0)</f>
        <v>0</v>
      </c>
      <c r="BK24" s="37" t="n">
        <f aca="false">IF(AND(N('Hiring plan'!$F$20)&gt;0,BK$3&gt;='Hiring plan'!$G$20,BK$3&lt;=IF('Hiring plan'!$H$20="",999,'Hiring plan'!$H$20)),'Hiring plan'!$F$20,0)</f>
        <v>0</v>
      </c>
      <c r="BL24" s="37" t="n">
        <f aca="false">IF(AND(N('Hiring plan'!$F$20)&gt;0,BL$3&gt;='Hiring plan'!$G$20,BL$3&lt;=IF('Hiring plan'!$H$20="",999,'Hiring plan'!$H$20)),'Hiring plan'!$F$20,0)</f>
        <v>0</v>
      </c>
    </row>
    <row r="25" customFormat="false" ht="15" hidden="false" customHeight="false" outlineLevel="0" collapsed="false">
      <c r="A25" s="12" t="str">
        <f aca="false">IF('Hiring plan'!$C$21="","(spare line 17)",'Hiring plan'!$C$21&amp;" · "&amp;'Hiring plan'!$D$21)</f>
        <v>(spare line 17)</v>
      </c>
      <c r="B25" s="14" t="s">
        <v>86</v>
      </c>
      <c r="D25" s="55" t="n">
        <f aca="false">MAX(E25:BL25)</f>
        <v>0</v>
      </c>
      <c r="E25" s="37" t="n">
        <f aca="false">IF(AND(N('Hiring plan'!$F$21)&gt;0,E$3&gt;='Hiring plan'!$G$21,E$3&lt;=IF('Hiring plan'!$H$21="",999,'Hiring plan'!$H$21)),'Hiring plan'!$F$21,0)</f>
        <v>0</v>
      </c>
      <c r="F25" s="37" t="n">
        <f aca="false">IF(AND(N('Hiring plan'!$F$21)&gt;0,F$3&gt;='Hiring plan'!$G$21,F$3&lt;=IF('Hiring plan'!$H$21="",999,'Hiring plan'!$H$21)),'Hiring plan'!$F$21,0)</f>
        <v>0</v>
      </c>
      <c r="G25" s="37" t="n">
        <f aca="false">IF(AND(N('Hiring plan'!$F$21)&gt;0,G$3&gt;='Hiring plan'!$G$21,G$3&lt;=IF('Hiring plan'!$H$21="",999,'Hiring plan'!$H$21)),'Hiring plan'!$F$21,0)</f>
        <v>0</v>
      </c>
      <c r="H25" s="37" t="n">
        <f aca="false">IF(AND(N('Hiring plan'!$F$21)&gt;0,H$3&gt;='Hiring plan'!$G$21,H$3&lt;=IF('Hiring plan'!$H$21="",999,'Hiring plan'!$H$21)),'Hiring plan'!$F$21,0)</f>
        <v>0</v>
      </c>
      <c r="I25" s="37" t="n">
        <f aca="false">IF(AND(N('Hiring plan'!$F$21)&gt;0,I$3&gt;='Hiring plan'!$G$21,I$3&lt;=IF('Hiring plan'!$H$21="",999,'Hiring plan'!$H$21)),'Hiring plan'!$F$21,0)</f>
        <v>0</v>
      </c>
      <c r="J25" s="37" t="n">
        <f aca="false">IF(AND(N('Hiring plan'!$F$21)&gt;0,J$3&gt;='Hiring plan'!$G$21,J$3&lt;=IF('Hiring plan'!$H$21="",999,'Hiring plan'!$H$21)),'Hiring plan'!$F$21,0)</f>
        <v>0</v>
      </c>
      <c r="K25" s="37" t="n">
        <f aca="false">IF(AND(N('Hiring plan'!$F$21)&gt;0,K$3&gt;='Hiring plan'!$G$21,K$3&lt;=IF('Hiring plan'!$H$21="",999,'Hiring plan'!$H$21)),'Hiring plan'!$F$21,0)</f>
        <v>0</v>
      </c>
      <c r="L25" s="37" t="n">
        <f aca="false">IF(AND(N('Hiring plan'!$F$21)&gt;0,L$3&gt;='Hiring plan'!$G$21,L$3&lt;=IF('Hiring plan'!$H$21="",999,'Hiring plan'!$H$21)),'Hiring plan'!$F$21,0)</f>
        <v>0</v>
      </c>
      <c r="M25" s="37" t="n">
        <f aca="false">IF(AND(N('Hiring plan'!$F$21)&gt;0,M$3&gt;='Hiring plan'!$G$21,M$3&lt;=IF('Hiring plan'!$H$21="",999,'Hiring plan'!$H$21)),'Hiring plan'!$F$21,0)</f>
        <v>0</v>
      </c>
      <c r="N25" s="37" t="n">
        <f aca="false">IF(AND(N('Hiring plan'!$F$21)&gt;0,N$3&gt;='Hiring plan'!$G$21,N$3&lt;=IF('Hiring plan'!$H$21="",999,'Hiring plan'!$H$21)),'Hiring plan'!$F$21,0)</f>
        <v>0</v>
      </c>
      <c r="O25" s="37" t="n">
        <f aca="false">IF(AND(N('Hiring plan'!$F$21)&gt;0,O$3&gt;='Hiring plan'!$G$21,O$3&lt;=IF('Hiring plan'!$H$21="",999,'Hiring plan'!$H$21)),'Hiring plan'!$F$21,0)</f>
        <v>0</v>
      </c>
      <c r="P25" s="37" t="n">
        <f aca="false">IF(AND(N('Hiring plan'!$F$21)&gt;0,P$3&gt;='Hiring plan'!$G$21,P$3&lt;=IF('Hiring plan'!$H$21="",999,'Hiring plan'!$H$21)),'Hiring plan'!$F$21,0)</f>
        <v>0</v>
      </c>
      <c r="Q25" s="37" t="n">
        <f aca="false">IF(AND(N('Hiring plan'!$F$21)&gt;0,Q$3&gt;='Hiring plan'!$G$21,Q$3&lt;=IF('Hiring plan'!$H$21="",999,'Hiring plan'!$H$21)),'Hiring plan'!$F$21,0)</f>
        <v>0</v>
      </c>
      <c r="R25" s="37" t="n">
        <f aca="false">IF(AND(N('Hiring plan'!$F$21)&gt;0,R$3&gt;='Hiring plan'!$G$21,R$3&lt;=IF('Hiring plan'!$H$21="",999,'Hiring plan'!$H$21)),'Hiring plan'!$F$21,0)</f>
        <v>0</v>
      </c>
      <c r="S25" s="37" t="n">
        <f aca="false">IF(AND(N('Hiring plan'!$F$21)&gt;0,S$3&gt;='Hiring plan'!$G$21,S$3&lt;=IF('Hiring plan'!$H$21="",999,'Hiring plan'!$H$21)),'Hiring plan'!$F$21,0)</f>
        <v>0</v>
      </c>
      <c r="T25" s="37" t="n">
        <f aca="false">IF(AND(N('Hiring plan'!$F$21)&gt;0,T$3&gt;='Hiring plan'!$G$21,T$3&lt;=IF('Hiring plan'!$H$21="",999,'Hiring plan'!$H$21)),'Hiring plan'!$F$21,0)</f>
        <v>0</v>
      </c>
      <c r="U25" s="37" t="n">
        <f aca="false">IF(AND(N('Hiring plan'!$F$21)&gt;0,U$3&gt;='Hiring plan'!$G$21,U$3&lt;=IF('Hiring plan'!$H$21="",999,'Hiring plan'!$H$21)),'Hiring plan'!$F$21,0)</f>
        <v>0</v>
      </c>
      <c r="V25" s="37" t="n">
        <f aca="false">IF(AND(N('Hiring plan'!$F$21)&gt;0,V$3&gt;='Hiring plan'!$G$21,V$3&lt;=IF('Hiring plan'!$H$21="",999,'Hiring plan'!$H$21)),'Hiring plan'!$F$21,0)</f>
        <v>0</v>
      </c>
      <c r="W25" s="37" t="n">
        <f aca="false">IF(AND(N('Hiring plan'!$F$21)&gt;0,W$3&gt;='Hiring plan'!$G$21,W$3&lt;=IF('Hiring plan'!$H$21="",999,'Hiring plan'!$H$21)),'Hiring plan'!$F$21,0)</f>
        <v>0</v>
      </c>
      <c r="X25" s="37" t="n">
        <f aca="false">IF(AND(N('Hiring plan'!$F$21)&gt;0,X$3&gt;='Hiring plan'!$G$21,X$3&lt;=IF('Hiring plan'!$H$21="",999,'Hiring plan'!$H$21)),'Hiring plan'!$F$21,0)</f>
        <v>0</v>
      </c>
      <c r="Y25" s="37" t="n">
        <f aca="false">IF(AND(N('Hiring plan'!$F$21)&gt;0,Y$3&gt;='Hiring plan'!$G$21,Y$3&lt;=IF('Hiring plan'!$H$21="",999,'Hiring plan'!$H$21)),'Hiring plan'!$F$21,0)</f>
        <v>0</v>
      </c>
      <c r="Z25" s="37" t="n">
        <f aca="false">IF(AND(N('Hiring plan'!$F$21)&gt;0,Z$3&gt;='Hiring plan'!$G$21,Z$3&lt;=IF('Hiring plan'!$H$21="",999,'Hiring plan'!$H$21)),'Hiring plan'!$F$21,0)</f>
        <v>0</v>
      </c>
      <c r="AA25" s="37" t="n">
        <f aca="false">IF(AND(N('Hiring plan'!$F$21)&gt;0,AA$3&gt;='Hiring plan'!$G$21,AA$3&lt;=IF('Hiring plan'!$H$21="",999,'Hiring plan'!$H$21)),'Hiring plan'!$F$21,0)</f>
        <v>0</v>
      </c>
      <c r="AB25" s="37" t="n">
        <f aca="false">IF(AND(N('Hiring plan'!$F$21)&gt;0,AB$3&gt;='Hiring plan'!$G$21,AB$3&lt;=IF('Hiring plan'!$H$21="",999,'Hiring plan'!$H$21)),'Hiring plan'!$F$21,0)</f>
        <v>0</v>
      </c>
      <c r="AC25" s="37" t="n">
        <f aca="false">IF(AND(N('Hiring plan'!$F$21)&gt;0,AC$3&gt;='Hiring plan'!$G$21,AC$3&lt;=IF('Hiring plan'!$H$21="",999,'Hiring plan'!$H$21)),'Hiring plan'!$F$21,0)</f>
        <v>0</v>
      </c>
      <c r="AD25" s="37" t="n">
        <f aca="false">IF(AND(N('Hiring plan'!$F$21)&gt;0,AD$3&gt;='Hiring plan'!$G$21,AD$3&lt;=IF('Hiring plan'!$H$21="",999,'Hiring plan'!$H$21)),'Hiring plan'!$F$21,0)</f>
        <v>0</v>
      </c>
      <c r="AE25" s="37" t="n">
        <f aca="false">IF(AND(N('Hiring plan'!$F$21)&gt;0,AE$3&gt;='Hiring plan'!$G$21,AE$3&lt;=IF('Hiring plan'!$H$21="",999,'Hiring plan'!$H$21)),'Hiring plan'!$F$21,0)</f>
        <v>0</v>
      </c>
      <c r="AF25" s="37" t="n">
        <f aca="false">IF(AND(N('Hiring plan'!$F$21)&gt;0,AF$3&gt;='Hiring plan'!$G$21,AF$3&lt;=IF('Hiring plan'!$H$21="",999,'Hiring plan'!$H$21)),'Hiring plan'!$F$21,0)</f>
        <v>0</v>
      </c>
      <c r="AG25" s="37" t="n">
        <f aca="false">IF(AND(N('Hiring plan'!$F$21)&gt;0,AG$3&gt;='Hiring plan'!$G$21,AG$3&lt;=IF('Hiring plan'!$H$21="",999,'Hiring plan'!$H$21)),'Hiring plan'!$F$21,0)</f>
        <v>0</v>
      </c>
      <c r="AH25" s="37" t="n">
        <f aca="false">IF(AND(N('Hiring plan'!$F$21)&gt;0,AH$3&gt;='Hiring plan'!$G$21,AH$3&lt;=IF('Hiring plan'!$H$21="",999,'Hiring plan'!$H$21)),'Hiring plan'!$F$21,0)</f>
        <v>0</v>
      </c>
      <c r="AI25" s="37" t="n">
        <f aca="false">IF(AND(N('Hiring plan'!$F$21)&gt;0,AI$3&gt;='Hiring plan'!$G$21,AI$3&lt;=IF('Hiring plan'!$H$21="",999,'Hiring plan'!$H$21)),'Hiring plan'!$F$21,0)</f>
        <v>0</v>
      </c>
      <c r="AJ25" s="37" t="n">
        <f aca="false">IF(AND(N('Hiring plan'!$F$21)&gt;0,AJ$3&gt;='Hiring plan'!$G$21,AJ$3&lt;=IF('Hiring plan'!$H$21="",999,'Hiring plan'!$H$21)),'Hiring plan'!$F$21,0)</f>
        <v>0</v>
      </c>
      <c r="AK25" s="37" t="n">
        <f aca="false">IF(AND(N('Hiring plan'!$F$21)&gt;0,AK$3&gt;='Hiring plan'!$G$21,AK$3&lt;=IF('Hiring plan'!$H$21="",999,'Hiring plan'!$H$21)),'Hiring plan'!$F$21,0)</f>
        <v>0</v>
      </c>
      <c r="AL25" s="37" t="n">
        <f aca="false">IF(AND(N('Hiring plan'!$F$21)&gt;0,AL$3&gt;='Hiring plan'!$G$21,AL$3&lt;=IF('Hiring plan'!$H$21="",999,'Hiring plan'!$H$21)),'Hiring plan'!$F$21,0)</f>
        <v>0</v>
      </c>
      <c r="AM25" s="37" t="n">
        <f aca="false">IF(AND(N('Hiring plan'!$F$21)&gt;0,AM$3&gt;='Hiring plan'!$G$21,AM$3&lt;=IF('Hiring plan'!$H$21="",999,'Hiring plan'!$H$21)),'Hiring plan'!$F$21,0)</f>
        <v>0</v>
      </c>
      <c r="AN25" s="37" t="n">
        <f aca="false">IF(AND(N('Hiring plan'!$F$21)&gt;0,AN$3&gt;='Hiring plan'!$G$21,AN$3&lt;=IF('Hiring plan'!$H$21="",999,'Hiring plan'!$H$21)),'Hiring plan'!$F$21,0)</f>
        <v>0</v>
      </c>
      <c r="AO25" s="37" t="n">
        <f aca="false">IF(AND(N('Hiring plan'!$F$21)&gt;0,AO$3&gt;='Hiring plan'!$G$21,AO$3&lt;=IF('Hiring plan'!$H$21="",999,'Hiring plan'!$H$21)),'Hiring plan'!$F$21,0)</f>
        <v>0</v>
      </c>
      <c r="AP25" s="37" t="n">
        <f aca="false">IF(AND(N('Hiring plan'!$F$21)&gt;0,AP$3&gt;='Hiring plan'!$G$21,AP$3&lt;=IF('Hiring plan'!$H$21="",999,'Hiring plan'!$H$21)),'Hiring plan'!$F$21,0)</f>
        <v>0</v>
      </c>
      <c r="AQ25" s="37" t="n">
        <f aca="false">IF(AND(N('Hiring plan'!$F$21)&gt;0,AQ$3&gt;='Hiring plan'!$G$21,AQ$3&lt;=IF('Hiring plan'!$H$21="",999,'Hiring plan'!$H$21)),'Hiring plan'!$F$21,0)</f>
        <v>0</v>
      </c>
      <c r="AR25" s="37" t="n">
        <f aca="false">IF(AND(N('Hiring plan'!$F$21)&gt;0,AR$3&gt;='Hiring plan'!$G$21,AR$3&lt;=IF('Hiring plan'!$H$21="",999,'Hiring plan'!$H$21)),'Hiring plan'!$F$21,0)</f>
        <v>0</v>
      </c>
      <c r="AS25" s="37" t="n">
        <f aca="false">IF(AND(N('Hiring plan'!$F$21)&gt;0,AS$3&gt;='Hiring plan'!$G$21,AS$3&lt;=IF('Hiring plan'!$H$21="",999,'Hiring plan'!$H$21)),'Hiring plan'!$F$21,0)</f>
        <v>0</v>
      </c>
      <c r="AT25" s="37" t="n">
        <f aca="false">IF(AND(N('Hiring plan'!$F$21)&gt;0,AT$3&gt;='Hiring plan'!$G$21,AT$3&lt;=IF('Hiring plan'!$H$21="",999,'Hiring plan'!$H$21)),'Hiring plan'!$F$21,0)</f>
        <v>0</v>
      </c>
      <c r="AU25" s="37" t="n">
        <f aca="false">IF(AND(N('Hiring plan'!$F$21)&gt;0,AU$3&gt;='Hiring plan'!$G$21,AU$3&lt;=IF('Hiring plan'!$H$21="",999,'Hiring plan'!$H$21)),'Hiring plan'!$F$21,0)</f>
        <v>0</v>
      </c>
      <c r="AV25" s="37" t="n">
        <f aca="false">IF(AND(N('Hiring plan'!$F$21)&gt;0,AV$3&gt;='Hiring plan'!$G$21,AV$3&lt;=IF('Hiring plan'!$H$21="",999,'Hiring plan'!$H$21)),'Hiring plan'!$F$21,0)</f>
        <v>0</v>
      </c>
      <c r="AW25" s="37" t="n">
        <f aca="false">IF(AND(N('Hiring plan'!$F$21)&gt;0,AW$3&gt;='Hiring plan'!$G$21,AW$3&lt;=IF('Hiring plan'!$H$21="",999,'Hiring plan'!$H$21)),'Hiring plan'!$F$21,0)</f>
        <v>0</v>
      </c>
      <c r="AX25" s="37" t="n">
        <f aca="false">IF(AND(N('Hiring plan'!$F$21)&gt;0,AX$3&gt;='Hiring plan'!$G$21,AX$3&lt;=IF('Hiring plan'!$H$21="",999,'Hiring plan'!$H$21)),'Hiring plan'!$F$21,0)</f>
        <v>0</v>
      </c>
      <c r="AY25" s="37" t="n">
        <f aca="false">IF(AND(N('Hiring plan'!$F$21)&gt;0,AY$3&gt;='Hiring plan'!$G$21,AY$3&lt;=IF('Hiring plan'!$H$21="",999,'Hiring plan'!$H$21)),'Hiring plan'!$F$21,0)</f>
        <v>0</v>
      </c>
      <c r="AZ25" s="37" t="n">
        <f aca="false">IF(AND(N('Hiring plan'!$F$21)&gt;0,AZ$3&gt;='Hiring plan'!$G$21,AZ$3&lt;=IF('Hiring plan'!$H$21="",999,'Hiring plan'!$H$21)),'Hiring plan'!$F$21,0)</f>
        <v>0</v>
      </c>
      <c r="BA25" s="37" t="n">
        <f aca="false">IF(AND(N('Hiring plan'!$F$21)&gt;0,BA$3&gt;='Hiring plan'!$G$21,BA$3&lt;=IF('Hiring plan'!$H$21="",999,'Hiring plan'!$H$21)),'Hiring plan'!$F$21,0)</f>
        <v>0</v>
      </c>
      <c r="BB25" s="37" t="n">
        <f aca="false">IF(AND(N('Hiring plan'!$F$21)&gt;0,BB$3&gt;='Hiring plan'!$G$21,BB$3&lt;=IF('Hiring plan'!$H$21="",999,'Hiring plan'!$H$21)),'Hiring plan'!$F$21,0)</f>
        <v>0</v>
      </c>
      <c r="BC25" s="37" t="n">
        <f aca="false">IF(AND(N('Hiring plan'!$F$21)&gt;0,BC$3&gt;='Hiring plan'!$G$21,BC$3&lt;=IF('Hiring plan'!$H$21="",999,'Hiring plan'!$H$21)),'Hiring plan'!$F$21,0)</f>
        <v>0</v>
      </c>
      <c r="BD25" s="37" t="n">
        <f aca="false">IF(AND(N('Hiring plan'!$F$21)&gt;0,BD$3&gt;='Hiring plan'!$G$21,BD$3&lt;=IF('Hiring plan'!$H$21="",999,'Hiring plan'!$H$21)),'Hiring plan'!$F$21,0)</f>
        <v>0</v>
      </c>
      <c r="BE25" s="37" t="n">
        <f aca="false">IF(AND(N('Hiring plan'!$F$21)&gt;0,BE$3&gt;='Hiring plan'!$G$21,BE$3&lt;=IF('Hiring plan'!$H$21="",999,'Hiring plan'!$H$21)),'Hiring plan'!$F$21,0)</f>
        <v>0</v>
      </c>
      <c r="BF25" s="37" t="n">
        <f aca="false">IF(AND(N('Hiring plan'!$F$21)&gt;0,BF$3&gt;='Hiring plan'!$G$21,BF$3&lt;=IF('Hiring plan'!$H$21="",999,'Hiring plan'!$H$21)),'Hiring plan'!$F$21,0)</f>
        <v>0</v>
      </c>
      <c r="BG25" s="37" t="n">
        <f aca="false">IF(AND(N('Hiring plan'!$F$21)&gt;0,BG$3&gt;='Hiring plan'!$G$21,BG$3&lt;=IF('Hiring plan'!$H$21="",999,'Hiring plan'!$H$21)),'Hiring plan'!$F$21,0)</f>
        <v>0</v>
      </c>
      <c r="BH25" s="37" t="n">
        <f aca="false">IF(AND(N('Hiring plan'!$F$21)&gt;0,BH$3&gt;='Hiring plan'!$G$21,BH$3&lt;=IF('Hiring plan'!$H$21="",999,'Hiring plan'!$H$21)),'Hiring plan'!$F$21,0)</f>
        <v>0</v>
      </c>
      <c r="BI25" s="37" t="n">
        <f aca="false">IF(AND(N('Hiring plan'!$F$21)&gt;0,BI$3&gt;='Hiring plan'!$G$21,BI$3&lt;=IF('Hiring plan'!$H$21="",999,'Hiring plan'!$H$21)),'Hiring plan'!$F$21,0)</f>
        <v>0</v>
      </c>
      <c r="BJ25" s="37" t="n">
        <f aca="false">IF(AND(N('Hiring plan'!$F$21)&gt;0,BJ$3&gt;='Hiring plan'!$G$21,BJ$3&lt;=IF('Hiring plan'!$H$21="",999,'Hiring plan'!$H$21)),'Hiring plan'!$F$21,0)</f>
        <v>0</v>
      </c>
      <c r="BK25" s="37" t="n">
        <f aca="false">IF(AND(N('Hiring plan'!$F$21)&gt;0,BK$3&gt;='Hiring plan'!$G$21,BK$3&lt;=IF('Hiring plan'!$H$21="",999,'Hiring plan'!$H$21)),'Hiring plan'!$F$21,0)</f>
        <v>0</v>
      </c>
      <c r="BL25" s="37" t="n">
        <f aca="false">IF(AND(N('Hiring plan'!$F$21)&gt;0,BL$3&gt;='Hiring plan'!$G$21,BL$3&lt;=IF('Hiring plan'!$H$21="",999,'Hiring plan'!$H$21)),'Hiring plan'!$F$21,0)</f>
        <v>0</v>
      </c>
    </row>
    <row r="26" customFormat="false" ht="15" hidden="false" customHeight="false" outlineLevel="0" collapsed="false">
      <c r="A26" s="12" t="str">
        <f aca="false">IF('Hiring plan'!$C$22="","(spare line 18)",'Hiring plan'!$C$22&amp;" · "&amp;'Hiring plan'!$D$22)</f>
        <v>(spare line 18)</v>
      </c>
      <c r="B26" s="14" t="s">
        <v>86</v>
      </c>
      <c r="D26" s="55" t="n">
        <f aca="false">MAX(E26:BL26)</f>
        <v>0</v>
      </c>
      <c r="E26" s="37" t="n">
        <f aca="false">IF(AND(N('Hiring plan'!$F$22)&gt;0,E$3&gt;='Hiring plan'!$G$22,E$3&lt;=IF('Hiring plan'!$H$22="",999,'Hiring plan'!$H$22)),'Hiring plan'!$F$22,0)</f>
        <v>0</v>
      </c>
      <c r="F26" s="37" t="n">
        <f aca="false">IF(AND(N('Hiring plan'!$F$22)&gt;0,F$3&gt;='Hiring plan'!$G$22,F$3&lt;=IF('Hiring plan'!$H$22="",999,'Hiring plan'!$H$22)),'Hiring plan'!$F$22,0)</f>
        <v>0</v>
      </c>
      <c r="G26" s="37" t="n">
        <f aca="false">IF(AND(N('Hiring plan'!$F$22)&gt;0,G$3&gt;='Hiring plan'!$G$22,G$3&lt;=IF('Hiring plan'!$H$22="",999,'Hiring plan'!$H$22)),'Hiring plan'!$F$22,0)</f>
        <v>0</v>
      </c>
      <c r="H26" s="37" t="n">
        <f aca="false">IF(AND(N('Hiring plan'!$F$22)&gt;0,H$3&gt;='Hiring plan'!$G$22,H$3&lt;=IF('Hiring plan'!$H$22="",999,'Hiring plan'!$H$22)),'Hiring plan'!$F$22,0)</f>
        <v>0</v>
      </c>
      <c r="I26" s="37" t="n">
        <f aca="false">IF(AND(N('Hiring plan'!$F$22)&gt;0,I$3&gt;='Hiring plan'!$G$22,I$3&lt;=IF('Hiring plan'!$H$22="",999,'Hiring plan'!$H$22)),'Hiring plan'!$F$22,0)</f>
        <v>0</v>
      </c>
      <c r="J26" s="37" t="n">
        <f aca="false">IF(AND(N('Hiring plan'!$F$22)&gt;0,J$3&gt;='Hiring plan'!$G$22,J$3&lt;=IF('Hiring plan'!$H$22="",999,'Hiring plan'!$H$22)),'Hiring plan'!$F$22,0)</f>
        <v>0</v>
      </c>
      <c r="K26" s="37" t="n">
        <f aca="false">IF(AND(N('Hiring plan'!$F$22)&gt;0,K$3&gt;='Hiring plan'!$G$22,K$3&lt;=IF('Hiring plan'!$H$22="",999,'Hiring plan'!$H$22)),'Hiring plan'!$F$22,0)</f>
        <v>0</v>
      </c>
      <c r="L26" s="37" t="n">
        <f aca="false">IF(AND(N('Hiring plan'!$F$22)&gt;0,L$3&gt;='Hiring plan'!$G$22,L$3&lt;=IF('Hiring plan'!$H$22="",999,'Hiring plan'!$H$22)),'Hiring plan'!$F$22,0)</f>
        <v>0</v>
      </c>
      <c r="M26" s="37" t="n">
        <f aca="false">IF(AND(N('Hiring plan'!$F$22)&gt;0,M$3&gt;='Hiring plan'!$G$22,M$3&lt;=IF('Hiring plan'!$H$22="",999,'Hiring plan'!$H$22)),'Hiring plan'!$F$22,0)</f>
        <v>0</v>
      </c>
      <c r="N26" s="37" t="n">
        <f aca="false">IF(AND(N('Hiring plan'!$F$22)&gt;0,N$3&gt;='Hiring plan'!$G$22,N$3&lt;=IF('Hiring plan'!$H$22="",999,'Hiring plan'!$H$22)),'Hiring plan'!$F$22,0)</f>
        <v>0</v>
      </c>
      <c r="O26" s="37" t="n">
        <f aca="false">IF(AND(N('Hiring plan'!$F$22)&gt;0,O$3&gt;='Hiring plan'!$G$22,O$3&lt;=IF('Hiring plan'!$H$22="",999,'Hiring plan'!$H$22)),'Hiring plan'!$F$22,0)</f>
        <v>0</v>
      </c>
      <c r="P26" s="37" t="n">
        <f aca="false">IF(AND(N('Hiring plan'!$F$22)&gt;0,P$3&gt;='Hiring plan'!$G$22,P$3&lt;=IF('Hiring plan'!$H$22="",999,'Hiring plan'!$H$22)),'Hiring plan'!$F$22,0)</f>
        <v>0</v>
      </c>
      <c r="Q26" s="37" t="n">
        <f aca="false">IF(AND(N('Hiring plan'!$F$22)&gt;0,Q$3&gt;='Hiring plan'!$G$22,Q$3&lt;=IF('Hiring plan'!$H$22="",999,'Hiring plan'!$H$22)),'Hiring plan'!$F$22,0)</f>
        <v>0</v>
      </c>
      <c r="R26" s="37" t="n">
        <f aca="false">IF(AND(N('Hiring plan'!$F$22)&gt;0,R$3&gt;='Hiring plan'!$G$22,R$3&lt;=IF('Hiring plan'!$H$22="",999,'Hiring plan'!$H$22)),'Hiring plan'!$F$22,0)</f>
        <v>0</v>
      </c>
      <c r="S26" s="37" t="n">
        <f aca="false">IF(AND(N('Hiring plan'!$F$22)&gt;0,S$3&gt;='Hiring plan'!$G$22,S$3&lt;=IF('Hiring plan'!$H$22="",999,'Hiring plan'!$H$22)),'Hiring plan'!$F$22,0)</f>
        <v>0</v>
      </c>
      <c r="T26" s="37" t="n">
        <f aca="false">IF(AND(N('Hiring plan'!$F$22)&gt;0,T$3&gt;='Hiring plan'!$G$22,T$3&lt;=IF('Hiring plan'!$H$22="",999,'Hiring plan'!$H$22)),'Hiring plan'!$F$22,0)</f>
        <v>0</v>
      </c>
      <c r="U26" s="37" t="n">
        <f aca="false">IF(AND(N('Hiring plan'!$F$22)&gt;0,U$3&gt;='Hiring plan'!$G$22,U$3&lt;=IF('Hiring plan'!$H$22="",999,'Hiring plan'!$H$22)),'Hiring plan'!$F$22,0)</f>
        <v>0</v>
      </c>
      <c r="V26" s="37" t="n">
        <f aca="false">IF(AND(N('Hiring plan'!$F$22)&gt;0,V$3&gt;='Hiring plan'!$G$22,V$3&lt;=IF('Hiring plan'!$H$22="",999,'Hiring plan'!$H$22)),'Hiring plan'!$F$22,0)</f>
        <v>0</v>
      </c>
      <c r="W26" s="37" t="n">
        <f aca="false">IF(AND(N('Hiring plan'!$F$22)&gt;0,W$3&gt;='Hiring plan'!$G$22,W$3&lt;=IF('Hiring plan'!$H$22="",999,'Hiring plan'!$H$22)),'Hiring plan'!$F$22,0)</f>
        <v>0</v>
      </c>
      <c r="X26" s="37" t="n">
        <f aca="false">IF(AND(N('Hiring plan'!$F$22)&gt;0,X$3&gt;='Hiring plan'!$G$22,X$3&lt;=IF('Hiring plan'!$H$22="",999,'Hiring plan'!$H$22)),'Hiring plan'!$F$22,0)</f>
        <v>0</v>
      </c>
      <c r="Y26" s="37" t="n">
        <f aca="false">IF(AND(N('Hiring plan'!$F$22)&gt;0,Y$3&gt;='Hiring plan'!$G$22,Y$3&lt;=IF('Hiring plan'!$H$22="",999,'Hiring plan'!$H$22)),'Hiring plan'!$F$22,0)</f>
        <v>0</v>
      </c>
      <c r="Z26" s="37" t="n">
        <f aca="false">IF(AND(N('Hiring plan'!$F$22)&gt;0,Z$3&gt;='Hiring plan'!$G$22,Z$3&lt;=IF('Hiring plan'!$H$22="",999,'Hiring plan'!$H$22)),'Hiring plan'!$F$22,0)</f>
        <v>0</v>
      </c>
      <c r="AA26" s="37" t="n">
        <f aca="false">IF(AND(N('Hiring plan'!$F$22)&gt;0,AA$3&gt;='Hiring plan'!$G$22,AA$3&lt;=IF('Hiring plan'!$H$22="",999,'Hiring plan'!$H$22)),'Hiring plan'!$F$22,0)</f>
        <v>0</v>
      </c>
      <c r="AB26" s="37" t="n">
        <f aca="false">IF(AND(N('Hiring plan'!$F$22)&gt;0,AB$3&gt;='Hiring plan'!$G$22,AB$3&lt;=IF('Hiring plan'!$H$22="",999,'Hiring plan'!$H$22)),'Hiring plan'!$F$22,0)</f>
        <v>0</v>
      </c>
      <c r="AC26" s="37" t="n">
        <f aca="false">IF(AND(N('Hiring plan'!$F$22)&gt;0,AC$3&gt;='Hiring plan'!$G$22,AC$3&lt;=IF('Hiring plan'!$H$22="",999,'Hiring plan'!$H$22)),'Hiring plan'!$F$22,0)</f>
        <v>0</v>
      </c>
      <c r="AD26" s="37" t="n">
        <f aca="false">IF(AND(N('Hiring plan'!$F$22)&gt;0,AD$3&gt;='Hiring plan'!$G$22,AD$3&lt;=IF('Hiring plan'!$H$22="",999,'Hiring plan'!$H$22)),'Hiring plan'!$F$22,0)</f>
        <v>0</v>
      </c>
      <c r="AE26" s="37" t="n">
        <f aca="false">IF(AND(N('Hiring plan'!$F$22)&gt;0,AE$3&gt;='Hiring plan'!$G$22,AE$3&lt;=IF('Hiring plan'!$H$22="",999,'Hiring plan'!$H$22)),'Hiring plan'!$F$22,0)</f>
        <v>0</v>
      </c>
      <c r="AF26" s="37" t="n">
        <f aca="false">IF(AND(N('Hiring plan'!$F$22)&gt;0,AF$3&gt;='Hiring plan'!$G$22,AF$3&lt;=IF('Hiring plan'!$H$22="",999,'Hiring plan'!$H$22)),'Hiring plan'!$F$22,0)</f>
        <v>0</v>
      </c>
      <c r="AG26" s="37" t="n">
        <f aca="false">IF(AND(N('Hiring plan'!$F$22)&gt;0,AG$3&gt;='Hiring plan'!$G$22,AG$3&lt;=IF('Hiring plan'!$H$22="",999,'Hiring plan'!$H$22)),'Hiring plan'!$F$22,0)</f>
        <v>0</v>
      </c>
      <c r="AH26" s="37" t="n">
        <f aca="false">IF(AND(N('Hiring plan'!$F$22)&gt;0,AH$3&gt;='Hiring plan'!$G$22,AH$3&lt;=IF('Hiring plan'!$H$22="",999,'Hiring plan'!$H$22)),'Hiring plan'!$F$22,0)</f>
        <v>0</v>
      </c>
      <c r="AI26" s="37" t="n">
        <f aca="false">IF(AND(N('Hiring plan'!$F$22)&gt;0,AI$3&gt;='Hiring plan'!$G$22,AI$3&lt;=IF('Hiring plan'!$H$22="",999,'Hiring plan'!$H$22)),'Hiring plan'!$F$22,0)</f>
        <v>0</v>
      </c>
      <c r="AJ26" s="37" t="n">
        <f aca="false">IF(AND(N('Hiring plan'!$F$22)&gt;0,AJ$3&gt;='Hiring plan'!$G$22,AJ$3&lt;=IF('Hiring plan'!$H$22="",999,'Hiring plan'!$H$22)),'Hiring plan'!$F$22,0)</f>
        <v>0</v>
      </c>
      <c r="AK26" s="37" t="n">
        <f aca="false">IF(AND(N('Hiring plan'!$F$22)&gt;0,AK$3&gt;='Hiring plan'!$G$22,AK$3&lt;=IF('Hiring plan'!$H$22="",999,'Hiring plan'!$H$22)),'Hiring plan'!$F$22,0)</f>
        <v>0</v>
      </c>
      <c r="AL26" s="37" t="n">
        <f aca="false">IF(AND(N('Hiring plan'!$F$22)&gt;0,AL$3&gt;='Hiring plan'!$G$22,AL$3&lt;=IF('Hiring plan'!$H$22="",999,'Hiring plan'!$H$22)),'Hiring plan'!$F$22,0)</f>
        <v>0</v>
      </c>
      <c r="AM26" s="37" t="n">
        <f aca="false">IF(AND(N('Hiring plan'!$F$22)&gt;0,AM$3&gt;='Hiring plan'!$G$22,AM$3&lt;=IF('Hiring plan'!$H$22="",999,'Hiring plan'!$H$22)),'Hiring plan'!$F$22,0)</f>
        <v>0</v>
      </c>
      <c r="AN26" s="37" t="n">
        <f aca="false">IF(AND(N('Hiring plan'!$F$22)&gt;0,AN$3&gt;='Hiring plan'!$G$22,AN$3&lt;=IF('Hiring plan'!$H$22="",999,'Hiring plan'!$H$22)),'Hiring plan'!$F$22,0)</f>
        <v>0</v>
      </c>
      <c r="AO26" s="37" t="n">
        <f aca="false">IF(AND(N('Hiring plan'!$F$22)&gt;0,AO$3&gt;='Hiring plan'!$G$22,AO$3&lt;=IF('Hiring plan'!$H$22="",999,'Hiring plan'!$H$22)),'Hiring plan'!$F$22,0)</f>
        <v>0</v>
      </c>
      <c r="AP26" s="37" t="n">
        <f aca="false">IF(AND(N('Hiring plan'!$F$22)&gt;0,AP$3&gt;='Hiring plan'!$G$22,AP$3&lt;=IF('Hiring plan'!$H$22="",999,'Hiring plan'!$H$22)),'Hiring plan'!$F$22,0)</f>
        <v>0</v>
      </c>
      <c r="AQ26" s="37" t="n">
        <f aca="false">IF(AND(N('Hiring plan'!$F$22)&gt;0,AQ$3&gt;='Hiring plan'!$G$22,AQ$3&lt;=IF('Hiring plan'!$H$22="",999,'Hiring plan'!$H$22)),'Hiring plan'!$F$22,0)</f>
        <v>0</v>
      </c>
      <c r="AR26" s="37" t="n">
        <f aca="false">IF(AND(N('Hiring plan'!$F$22)&gt;0,AR$3&gt;='Hiring plan'!$G$22,AR$3&lt;=IF('Hiring plan'!$H$22="",999,'Hiring plan'!$H$22)),'Hiring plan'!$F$22,0)</f>
        <v>0</v>
      </c>
      <c r="AS26" s="37" t="n">
        <f aca="false">IF(AND(N('Hiring plan'!$F$22)&gt;0,AS$3&gt;='Hiring plan'!$G$22,AS$3&lt;=IF('Hiring plan'!$H$22="",999,'Hiring plan'!$H$22)),'Hiring plan'!$F$22,0)</f>
        <v>0</v>
      </c>
      <c r="AT26" s="37" t="n">
        <f aca="false">IF(AND(N('Hiring plan'!$F$22)&gt;0,AT$3&gt;='Hiring plan'!$G$22,AT$3&lt;=IF('Hiring plan'!$H$22="",999,'Hiring plan'!$H$22)),'Hiring plan'!$F$22,0)</f>
        <v>0</v>
      </c>
      <c r="AU26" s="37" t="n">
        <f aca="false">IF(AND(N('Hiring plan'!$F$22)&gt;0,AU$3&gt;='Hiring plan'!$G$22,AU$3&lt;=IF('Hiring plan'!$H$22="",999,'Hiring plan'!$H$22)),'Hiring plan'!$F$22,0)</f>
        <v>0</v>
      </c>
      <c r="AV26" s="37" t="n">
        <f aca="false">IF(AND(N('Hiring plan'!$F$22)&gt;0,AV$3&gt;='Hiring plan'!$G$22,AV$3&lt;=IF('Hiring plan'!$H$22="",999,'Hiring plan'!$H$22)),'Hiring plan'!$F$22,0)</f>
        <v>0</v>
      </c>
      <c r="AW26" s="37" t="n">
        <f aca="false">IF(AND(N('Hiring plan'!$F$22)&gt;0,AW$3&gt;='Hiring plan'!$G$22,AW$3&lt;=IF('Hiring plan'!$H$22="",999,'Hiring plan'!$H$22)),'Hiring plan'!$F$22,0)</f>
        <v>0</v>
      </c>
      <c r="AX26" s="37" t="n">
        <f aca="false">IF(AND(N('Hiring plan'!$F$22)&gt;0,AX$3&gt;='Hiring plan'!$G$22,AX$3&lt;=IF('Hiring plan'!$H$22="",999,'Hiring plan'!$H$22)),'Hiring plan'!$F$22,0)</f>
        <v>0</v>
      </c>
      <c r="AY26" s="37" t="n">
        <f aca="false">IF(AND(N('Hiring plan'!$F$22)&gt;0,AY$3&gt;='Hiring plan'!$G$22,AY$3&lt;=IF('Hiring plan'!$H$22="",999,'Hiring plan'!$H$22)),'Hiring plan'!$F$22,0)</f>
        <v>0</v>
      </c>
      <c r="AZ26" s="37" t="n">
        <f aca="false">IF(AND(N('Hiring plan'!$F$22)&gt;0,AZ$3&gt;='Hiring plan'!$G$22,AZ$3&lt;=IF('Hiring plan'!$H$22="",999,'Hiring plan'!$H$22)),'Hiring plan'!$F$22,0)</f>
        <v>0</v>
      </c>
      <c r="BA26" s="37" t="n">
        <f aca="false">IF(AND(N('Hiring plan'!$F$22)&gt;0,BA$3&gt;='Hiring plan'!$G$22,BA$3&lt;=IF('Hiring plan'!$H$22="",999,'Hiring plan'!$H$22)),'Hiring plan'!$F$22,0)</f>
        <v>0</v>
      </c>
      <c r="BB26" s="37" t="n">
        <f aca="false">IF(AND(N('Hiring plan'!$F$22)&gt;0,BB$3&gt;='Hiring plan'!$G$22,BB$3&lt;=IF('Hiring plan'!$H$22="",999,'Hiring plan'!$H$22)),'Hiring plan'!$F$22,0)</f>
        <v>0</v>
      </c>
      <c r="BC26" s="37" t="n">
        <f aca="false">IF(AND(N('Hiring plan'!$F$22)&gt;0,BC$3&gt;='Hiring plan'!$G$22,BC$3&lt;=IF('Hiring plan'!$H$22="",999,'Hiring plan'!$H$22)),'Hiring plan'!$F$22,0)</f>
        <v>0</v>
      </c>
      <c r="BD26" s="37" t="n">
        <f aca="false">IF(AND(N('Hiring plan'!$F$22)&gt;0,BD$3&gt;='Hiring plan'!$G$22,BD$3&lt;=IF('Hiring plan'!$H$22="",999,'Hiring plan'!$H$22)),'Hiring plan'!$F$22,0)</f>
        <v>0</v>
      </c>
      <c r="BE26" s="37" t="n">
        <f aca="false">IF(AND(N('Hiring plan'!$F$22)&gt;0,BE$3&gt;='Hiring plan'!$G$22,BE$3&lt;=IF('Hiring plan'!$H$22="",999,'Hiring plan'!$H$22)),'Hiring plan'!$F$22,0)</f>
        <v>0</v>
      </c>
      <c r="BF26" s="37" t="n">
        <f aca="false">IF(AND(N('Hiring plan'!$F$22)&gt;0,BF$3&gt;='Hiring plan'!$G$22,BF$3&lt;=IF('Hiring plan'!$H$22="",999,'Hiring plan'!$H$22)),'Hiring plan'!$F$22,0)</f>
        <v>0</v>
      </c>
      <c r="BG26" s="37" t="n">
        <f aca="false">IF(AND(N('Hiring plan'!$F$22)&gt;0,BG$3&gt;='Hiring plan'!$G$22,BG$3&lt;=IF('Hiring plan'!$H$22="",999,'Hiring plan'!$H$22)),'Hiring plan'!$F$22,0)</f>
        <v>0</v>
      </c>
      <c r="BH26" s="37" t="n">
        <f aca="false">IF(AND(N('Hiring plan'!$F$22)&gt;0,BH$3&gt;='Hiring plan'!$G$22,BH$3&lt;=IF('Hiring plan'!$H$22="",999,'Hiring plan'!$H$22)),'Hiring plan'!$F$22,0)</f>
        <v>0</v>
      </c>
      <c r="BI26" s="37" t="n">
        <f aca="false">IF(AND(N('Hiring plan'!$F$22)&gt;0,BI$3&gt;='Hiring plan'!$G$22,BI$3&lt;=IF('Hiring plan'!$H$22="",999,'Hiring plan'!$H$22)),'Hiring plan'!$F$22,0)</f>
        <v>0</v>
      </c>
      <c r="BJ26" s="37" t="n">
        <f aca="false">IF(AND(N('Hiring plan'!$F$22)&gt;0,BJ$3&gt;='Hiring plan'!$G$22,BJ$3&lt;=IF('Hiring plan'!$H$22="",999,'Hiring plan'!$H$22)),'Hiring plan'!$F$22,0)</f>
        <v>0</v>
      </c>
      <c r="BK26" s="37" t="n">
        <f aca="false">IF(AND(N('Hiring plan'!$F$22)&gt;0,BK$3&gt;='Hiring plan'!$G$22,BK$3&lt;=IF('Hiring plan'!$H$22="",999,'Hiring plan'!$H$22)),'Hiring plan'!$F$22,0)</f>
        <v>0</v>
      </c>
      <c r="BL26" s="37" t="n">
        <f aca="false">IF(AND(N('Hiring plan'!$F$22)&gt;0,BL$3&gt;='Hiring plan'!$G$22,BL$3&lt;=IF('Hiring plan'!$H$22="",999,'Hiring plan'!$H$22)),'Hiring plan'!$F$22,0)</f>
        <v>0</v>
      </c>
    </row>
    <row r="27" customFormat="false" ht="15" hidden="false" customHeight="false" outlineLevel="0" collapsed="false">
      <c r="A27" s="12" t="str">
        <f aca="false">IF('Hiring plan'!$C$23="","(spare line 19)",'Hiring plan'!$C$23&amp;" · "&amp;'Hiring plan'!$D$23)</f>
        <v>(spare line 19)</v>
      </c>
      <c r="B27" s="14" t="s">
        <v>86</v>
      </c>
      <c r="D27" s="55" t="n">
        <f aca="false">MAX(E27:BL27)</f>
        <v>0</v>
      </c>
      <c r="E27" s="37" t="n">
        <f aca="false">IF(AND(N('Hiring plan'!$F$23)&gt;0,E$3&gt;='Hiring plan'!$G$23,E$3&lt;=IF('Hiring plan'!$H$23="",999,'Hiring plan'!$H$23)),'Hiring plan'!$F$23,0)</f>
        <v>0</v>
      </c>
      <c r="F27" s="37" t="n">
        <f aca="false">IF(AND(N('Hiring plan'!$F$23)&gt;0,F$3&gt;='Hiring plan'!$G$23,F$3&lt;=IF('Hiring plan'!$H$23="",999,'Hiring plan'!$H$23)),'Hiring plan'!$F$23,0)</f>
        <v>0</v>
      </c>
      <c r="G27" s="37" t="n">
        <f aca="false">IF(AND(N('Hiring plan'!$F$23)&gt;0,G$3&gt;='Hiring plan'!$G$23,G$3&lt;=IF('Hiring plan'!$H$23="",999,'Hiring plan'!$H$23)),'Hiring plan'!$F$23,0)</f>
        <v>0</v>
      </c>
      <c r="H27" s="37" t="n">
        <f aca="false">IF(AND(N('Hiring plan'!$F$23)&gt;0,H$3&gt;='Hiring plan'!$G$23,H$3&lt;=IF('Hiring plan'!$H$23="",999,'Hiring plan'!$H$23)),'Hiring plan'!$F$23,0)</f>
        <v>0</v>
      </c>
      <c r="I27" s="37" t="n">
        <f aca="false">IF(AND(N('Hiring plan'!$F$23)&gt;0,I$3&gt;='Hiring plan'!$G$23,I$3&lt;=IF('Hiring plan'!$H$23="",999,'Hiring plan'!$H$23)),'Hiring plan'!$F$23,0)</f>
        <v>0</v>
      </c>
      <c r="J27" s="37" t="n">
        <f aca="false">IF(AND(N('Hiring plan'!$F$23)&gt;0,J$3&gt;='Hiring plan'!$G$23,J$3&lt;=IF('Hiring plan'!$H$23="",999,'Hiring plan'!$H$23)),'Hiring plan'!$F$23,0)</f>
        <v>0</v>
      </c>
      <c r="K27" s="37" t="n">
        <f aca="false">IF(AND(N('Hiring plan'!$F$23)&gt;0,K$3&gt;='Hiring plan'!$G$23,K$3&lt;=IF('Hiring plan'!$H$23="",999,'Hiring plan'!$H$23)),'Hiring plan'!$F$23,0)</f>
        <v>0</v>
      </c>
      <c r="L27" s="37" t="n">
        <f aca="false">IF(AND(N('Hiring plan'!$F$23)&gt;0,L$3&gt;='Hiring plan'!$G$23,L$3&lt;=IF('Hiring plan'!$H$23="",999,'Hiring plan'!$H$23)),'Hiring plan'!$F$23,0)</f>
        <v>0</v>
      </c>
      <c r="M27" s="37" t="n">
        <f aca="false">IF(AND(N('Hiring plan'!$F$23)&gt;0,M$3&gt;='Hiring plan'!$G$23,M$3&lt;=IF('Hiring plan'!$H$23="",999,'Hiring plan'!$H$23)),'Hiring plan'!$F$23,0)</f>
        <v>0</v>
      </c>
      <c r="N27" s="37" t="n">
        <f aca="false">IF(AND(N('Hiring plan'!$F$23)&gt;0,N$3&gt;='Hiring plan'!$G$23,N$3&lt;=IF('Hiring plan'!$H$23="",999,'Hiring plan'!$H$23)),'Hiring plan'!$F$23,0)</f>
        <v>0</v>
      </c>
      <c r="O27" s="37" t="n">
        <f aca="false">IF(AND(N('Hiring plan'!$F$23)&gt;0,O$3&gt;='Hiring plan'!$G$23,O$3&lt;=IF('Hiring plan'!$H$23="",999,'Hiring plan'!$H$23)),'Hiring plan'!$F$23,0)</f>
        <v>0</v>
      </c>
      <c r="P27" s="37" t="n">
        <f aca="false">IF(AND(N('Hiring plan'!$F$23)&gt;0,P$3&gt;='Hiring plan'!$G$23,P$3&lt;=IF('Hiring plan'!$H$23="",999,'Hiring plan'!$H$23)),'Hiring plan'!$F$23,0)</f>
        <v>0</v>
      </c>
      <c r="Q27" s="37" t="n">
        <f aca="false">IF(AND(N('Hiring plan'!$F$23)&gt;0,Q$3&gt;='Hiring plan'!$G$23,Q$3&lt;=IF('Hiring plan'!$H$23="",999,'Hiring plan'!$H$23)),'Hiring plan'!$F$23,0)</f>
        <v>0</v>
      </c>
      <c r="R27" s="37" t="n">
        <f aca="false">IF(AND(N('Hiring plan'!$F$23)&gt;0,R$3&gt;='Hiring plan'!$G$23,R$3&lt;=IF('Hiring plan'!$H$23="",999,'Hiring plan'!$H$23)),'Hiring plan'!$F$23,0)</f>
        <v>0</v>
      </c>
      <c r="S27" s="37" t="n">
        <f aca="false">IF(AND(N('Hiring plan'!$F$23)&gt;0,S$3&gt;='Hiring plan'!$G$23,S$3&lt;=IF('Hiring plan'!$H$23="",999,'Hiring plan'!$H$23)),'Hiring plan'!$F$23,0)</f>
        <v>0</v>
      </c>
      <c r="T27" s="37" t="n">
        <f aca="false">IF(AND(N('Hiring plan'!$F$23)&gt;0,T$3&gt;='Hiring plan'!$G$23,T$3&lt;=IF('Hiring plan'!$H$23="",999,'Hiring plan'!$H$23)),'Hiring plan'!$F$23,0)</f>
        <v>0</v>
      </c>
      <c r="U27" s="37" t="n">
        <f aca="false">IF(AND(N('Hiring plan'!$F$23)&gt;0,U$3&gt;='Hiring plan'!$G$23,U$3&lt;=IF('Hiring plan'!$H$23="",999,'Hiring plan'!$H$23)),'Hiring plan'!$F$23,0)</f>
        <v>0</v>
      </c>
      <c r="V27" s="37" t="n">
        <f aca="false">IF(AND(N('Hiring plan'!$F$23)&gt;0,V$3&gt;='Hiring plan'!$G$23,V$3&lt;=IF('Hiring plan'!$H$23="",999,'Hiring plan'!$H$23)),'Hiring plan'!$F$23,0)</f>
        <v>0</v>
      </c>
      <c r="W27" s="37" t="n">
        <f aca="false">IF(AND(N('Hiring plan'!$F$23)&gt;0,W$3&gt;='Hiring plan'!$G$23,W$3&lt;=IF('Hiring plan'!$H$23="",999,'Hiring plan'!$H$23)),'Hiring plan'!$F$23,0)</f>
        <v>0</v>
      </c>
      <c r="X27" s="37" t="n">
        <f aca="false">IF(AND(N('Hiring plan'!$F$23)&gt;0,X$3&gt;='Hiring plan'!$G$23,X$3&lt;=IF('Hiring plan'!$H$23="",999,'Hiring plan'!$H$23)),'Hiring plan'!$F$23,0)</f>
        <v>0</v>
      </c>
      <c r="Y27" s="37" t="n">
        <f aca="false">IF(AND(N('Hiring plan'!$F$23)&gt;0,Y$3&gt;='Hiring plan'!$G$23,Y$3&lt;=IF('Hiring plan'!$H$23="",999,'Hiring plan'!$H$23)),'Hiring plan'!$F$23,0)</f>
        <v>0</v>
      </c>
      <c r="Z27" s="37" t="n">
        <f aca="false">IF(AND(N('Hiring plan'!$F$23)&gt;0,Z$3&gt;='Hiring plan'!$G$23,Z$3&lt;=IF('Hiring plan'!$H$23="",999,'Hiring plan'!$H$23)),'Hiring plan'!$F$23,0)</f>
        <v>0</v>
      </c>
      <c r="AA27" s="37" t="n">
        <f aca="false">IF(AND(N('Hiring plan'!$F$23)&gt;0,AA$3&gt;='Hiring plan'!$G$23,AA$3&lt;=IF('Hiring plan'!$H$23="",999,'Hiring plan'!$H$23)),'Hiring plan'!$F$23,0)</f>
        <v>0</v>
      </c>
      <c r="AB27" s="37" t="n">
        <f aca="false">IF(AND(N('Hiring plan'!$F$23)&gt;0,AB$3&gt;='Hiring plan'!$G$23,AB$3&lt;=IF('Hiring plan'!$H$23="",999,'Hiring plan'!$H$23)),'Hiring plan'!$F$23,0)</f>
        <v>0</v>
      </c>
      <c r="AC27" s="37" t="n">
        <f aca="false">IF(AND(N('Hiring plan'!$F$23)&gt;0,AC$3&gt;='Hiring plan'!$G$23,AC$3&lt;=IF('Hiring plan'!$H$23="",999,'Hiring plan'!$H$23)),'Hiring plan'!$F$23,0)</f>
        <v>0</v>
      </c>
      <c r="AD27" s="37" t="n">
        <f aca="false">IF(AND(N('Hiring plan'!$F$23)&gt;0,AD$3&gt;='Hiring plan'!$G$23,AD$3&lt;=IF('Hiring plan'!$H$23="",999,'Hiring plan'!$H$23)),'Hiring plan'!$F$23,0)</f>
        <v>0</v>
      </c>
      <c r="AE27" s="37" t="n">
        <f aca="false">IF(AND(N('Hiring plan'!$F$23)&gt;0,AE$3&gt;='Hiring plan'!$G$23,AE$3&lt;=IF('Hiring plan'!$H$23="",999,'Hiring plan'!$H$23)),'Hiring plan'!$F$23,0)</f>
        <v>0</v>
      </c>
      <c r="AF27" s="37" t="n">
        <f aca="false">IF(AND(N('Hiring plan'!$F$23)&gt;0,AF$3&gt;='Hiring plan'!$G$23,AF$3&lt;=IF('Hiring plan'!$H$23="",999,'Hiring plan'!$H$23)),'Hiring plan'!$F$23,0)</f>
        <v>0</v>
      </c>
      <c r="AG27" s="37" t="n">
        <f aca="false">IF(AND(N('Hiring plan'!$F$23)&gt;0,AG$3&gt;='Hiring plan'!$G$23,AG$3&lt;=IF('Hiring plan'!$H$23="",999,'Hiring plan'!$H$23)),'Hiring plan'!$F$23,0)</f>
        <v>0</v>
      </c>
      <c r="AH27" s="37" t="n">
        <f aca="false">IF(AND(N('Hiring plan'!$F$23)&gt;0,AH$3&gt;='Hiring plan'!$G$23,AH$3&lt;=IF('Hiring plan'!$H$23="",999,'Hiring plan'!$H$23)),'Hiring plan'!$F$23,0)</f>
        <v>0</v>
      </c>
      <c r="AI27" s="37" t="n">
        <f aca="false">IF(AND(N('Hiring plan'!$F$23)&gt;0,AI$3&gt;='Hiring plan'!$G$23,AI$3&lt;=IF('Hiring plan'!$H$23="",999,'Hiring plan'!$H$23)),'Hiring plan'!$F$23,0)</f>
        <v>0</v>
      </c>
      <c r="AJ27" s="37" t="n">
        <f aca="false">IF(AND(N('Hiring plan'!$F$23)&gt;0,AJ$3&gt;='Hiring plan'!$G$23,AJ$3&lt;=IF('Hiring plan'!$H$23="",999,'Hiring plan'!$H$23)),'Hiring plan'!$F$23,0)</f>
        <v>0</v>
      </c>
      <c r="AK27" s="37" t="n">
        <f aca="false">IF(AND(N('Hiring plan'!$F$23)&gt;0,AK$3&gt;='Hiring plan'!$G$23,AK$3&lt;=IF('Hiring plan'!$H$23="",999,'Hiring plan'!$H$23)),'Hiring plan'!$F$23,0)</f>
        <v>0</v>
      </c>
      <c r="AL27" s="37" t="n">
        <f aca="false">IF(AND(N('Hiring plan'!$F$23)&gt;0,AL$3&gt;='Hiring plan'!$G$23,AL$3&lt;=IF('Hiring plan'!$H$23="",999,'Hiring plan'!$H$23)),'Hiring plan'!$F$23,0)</f>
        <v>0</v>
      </c>
      <c r="AM27" s="37" t="n">
        <f aca="false">IF(AND(N('Hiring plan'!$F$23)&gt;0,AM$3&gt;='Hiring plan'!$G$23,AM$3&lt;=IF('Hiring plan'!$H$23="",999,'Hiring plan'!$H$23)),'Hiring plan'!$F$23,0)</f>
        <v>0</v>
      </c>
      <c r="AN27" s="37" t="n">
        <f aca="false">IF(AND(N('Hiring plan'!$F$23)&gt;0,AN$3&gt;='Hiring plan'!$G$23,AN$3&lt;=IF('Hiring plan'!$H$23="",999,'Hiring plan'!$H$23)),'Hiring plan'!$F$23,0)</f>
        <v>0</v>
      </c>
      <c r="AO27" s="37" t="n">
        <f aca="false">IF(AND(N('Hiring plan'!$F$23)&gt;0,AO$3&gt;='Hiring plan'!$G$23,AO$3&lt;=IF('Hiring plan'!$H$23="",999,'Hiring plan'!$H$23)),'Hiring plan'!$F$23,0)</f>
        <v>0</v>
      </c>
      <c r="AP27" s="37" t="n">
        <f aca="false">IF(AND(N('Hiring plan'!$F$23)&gt;0,AP$3&gt;='Hiring plan'!$G$23,AP$3&lt;=IF('Hiring plan'!$H$23="",999,'Hiring plan'!$H$23)),'Hiring plan'!$F$23,0)</f>
        <v>0</v>
      </c>
      <c r="AQ27" s="37" t="n">
        <f aca="false">IF(AND(N('Hiring plan'!$F$23)&gt;0,AQ$3&gt;='Hiring plan'!$G$23,AQ$3&lt;=IF('Hiring plan'!$H$23="",999,'Hiring plan'!$H$23)),'Hiring plan'!$F$23,0)</f>
        <v>0</v>
      </c>
      <c r="AR27" s="37" t="n">
        <f aca="false">IF(AND(N('Hiring plan'!$F$23)&gt;0,AR$3&gt;='Hiring plan'!$G$23,AR$3&lt;=IF('Hiring plan'!$H$23="",999,'Hiring plan'!$H$23)),'Hiring plan'!$F$23,0)</f>
        <v>0</v>
      </c>
      <c r="AS27" s="37" t="n">
        <f aca="false">IF(AND(N('Hiring plan'!$F$23)&gt;0,AS$3&gt;='Hiring plan'!$G$23,AS$3&lt;=IF('Hiring plan'!$H$23="",999,'Hiring plan'!$H$23)),'Hiring plan'!$F$23,0)</f>
        <v>0</v>
      </c>
      <c r="AT27" s="37" t="n">
        <f aca="false">IF(AND(N('Hiring plan'!$F$23)&gt;0,AT$3&gt;='Hiring plan'!$G$23,AT$3&lt;=IF('Hiring plan'!$H$23="",999,'Hiring plan'!$H$23)),'Hiring plan'!$F$23,0)</f>
        <v>0</v>
      </c>
      <c r="AU27" s="37" t="n">
        <f aca="false">IF(AND(N('Hiring plan'!$F$23)&gt;0,AU$3&gt;='Hiring plan'!$G$23,AU$3&lt;=IF('Hiring plan'!$H$23="",999,'Hiring plan'!$H$23)),'Hiring plan'!$F$23,0)</f>
        <v>0</v>
      </c>
      <c r="AV27" s="37" t="n">
        <f aca="false">IF(AND(N('Hiring plan'!$F$23)&gt;0,AV$3&gt;='Hiring plan'!$G$23,AV$3&lt;=IF('Hiring plan'!$H$23="",999,'Hiring plan'!$H$23)),'Hiring plan'!$F$23,0)</f>
        <v>0</v>
      </c>
      <c r="AW27" s="37" t="n">
        <f aca="false">IF(AND(N('Hiring plan'!$F$23)&gt;0,AW$3&gt;='Hiring plan'!$G$23,AW$3&lt;=IF('Hiring plan'!$H$23="",999,'Hiring plan'!$H$23)),'Hiring plan'!$F$23,0)</f>
        <v>0</v>
      </c>
      <c r="AX27" s="37" t="n">
        <f aca="false">IF(AND(N('Hiring plan'!$F$23)&gt;0,AX$3&gt;='Hiring plan'!$G$23,AX$3&lt;=IF('Hiring plan'!$H$23="",999,'Hiring plan'!$H$23)),'Hiring plan'!$F$23,0)</f>
        <v>0</v>
      </c>
      <c r="AY27" s="37" t="n">
        <f aca="false">IF(AND(N('Hiring plan'!$F$23)&gt;0,AY$3&gt;='Hiring plan'!$G$23,AY$3&lt;=IF('Hiring plan'!$H$23="",999,'Hiring plan'!$H$23)),'Hiring plan'!$F$23,0)</f>
        <v>0</v>
      </c>
      <c r="AZ27" s="37" t="n">
        <f aca="false">IF(AND(N('Hiring plan'!$F$23)&gt;0,AZ$3&gt;='Hiring plan'!$G$23,AZ$3&lt;=IF('Hiring plan'!$H$23="",999,'Hiring plan'!$H$23)),'Hiring plan'!$F$23,0)</f>
        <v>0</v>
      </c>
      <c r="BA27" s="37" t="n">
        <f aca="false">IF(AND(N('Hiring plan'!$F$23)&gt;0,BA$3&gt;='Hiring plan'!$G$23,BA$3&lt;=IF('Hiring plan'!$H$23="",999,'Hiring plan'!$H$23)),'Hiring plan'!$F$23,0)</f>
        <v>0</v>
      </c>
      <c r="BB27" s="37" t="n">
        <f aca="false">IF(AND(N('Hiring plan'!$F$23)&gt;0,BB$3&gt;='Hiring plan'!$G$23,BB$3&lt;=IF('Hiring plan'!$H$23="",999,'Hiring plan'!$H$23)),'Hiring plan'!$F$23,0)</f>
        <v>0</v>
      </c>
      <c r="BC27" s="37" t="n">
        <f aca="false">IF(AND(N('Hiring plan'!$F$23)&gt;0,BC$3&gt;='Hiring plan'!$G$23,BC$3&lt;=IF('Hiring plan'!$H$23="",999,'Hiring plan'!$H$23)),'Hiring plan'!$F$23,0)</f>
        <v>0</v>
      </c>
      <c r="BD27" s="37" t="n">
        <f aca="false">IF(AND(N('Hiring plan'!$F$23)&gt;0,BD$3&gt;='Hiring plan'!$G$23,BD$3&lt;=IF('Hiring plan'!$H$23="",999,'Hiring plan'!$H$23)),'Hiring plan'!$F$23,0)</f>
        <v>0</v>
      </c>
      <c r="BE27" s="37" t="n">
        <f aca="false">IF(AND(N('Hiring plan'!$F$23)&gt;0,BE$3&gt;='Hiring plan'!$G$23,BE$3&lt;=IF('Hiring plan'!$H$23="",999,'Hiring plan'!$H$23)),'Hiring plan'!$F$23,0)</f>
        <v>0</v>
      </c>
      <c r="BF27" s="37" t="n">
        <f aca="false">IF(AND(N('Hiring plan'!$F$23)&gt;0,BF$3&gt;='Hiring plan'!$G$23,BF$3&lt;=IF('Hiring plan'!$H$23="",999,'Hiring plan'!$H$23)),'Hiring plan'!$F$23,0)</f>
        <v>0</v>
      </c>
      <c r="BG27" s="37" t="n">
        <f aca="false">IF(AND(N('Hiring plan'!$F$23)&gt;0,BG$3&gt;='Hiring plan'!$G$23,BG$3&lt;=IF('Hiring plan'!$H$23="",999,'Hiring plan'!$H$23)),'Hiring plan'!$F$23,0)</f>
        <v>0</v>
      </c>
      <c r="BH27" s="37" t="n">
        <f aca="false">IF(AND(N('Hiring plan'!$F$23)&gt;0,BH$3&gt;='Hiring plan'!$G$23,BH$3&lt;=IF('Hiring plan'!$H$23="",999,'Hiring plan'!$H$23)),'Hiring plan'!$F$23,0)</f>
        <v>0</v>
      </c>
      <c r="BI27" s="37" t="n">
        <f aca="false">IF(AND(N('Hiring plan'!$F$23)&gt;0,BI$3&gt;='Hiring plan'!$G$23,BI$3&lt;=IF('Hiring plan'!$H$23="",999,'Hiring plan'!$H$23)),'Hiring plan'!$F$23,0)</f>
        <v>0</v>
      </c>
      <c r="BJ27" s="37" t="n">
        <f aca="false">IF(AND(N('Hiring plan'!$F$23)&gt;0,BJ$3&gt;='Hiring plan'!$G$23,BJ$3&lt;=IF('Hiring plan'!$H$23="",999,'Hiring plan'!$H$23)),'Hiring plan'!$F$23,0)</f>
        <v>0</v>
      </c>
      <c r="BK27" s="37" t="n">
        <f aca="false">IF(AND(N('Hiring plan'!$F$23)&gt;0,BK$3&gt;='Hiring plan'!$G$23,BK$3&lt;=IF('Hiring plan'!$H$23="",999,'Hiring plan'!$H$23)),'Hiring plan'!$F$23,0)</f>
        <v>0</v>
      </c>
      <c r="BL27" s="37" t="n">
        <f aca="false">IF(AND(N('Hiring plan'!$F$23)&gt;0,BL$3&gt;='Hiring plan'!$G$23,BL$3&lt;=IF('Hiring plan'!$H$23="",999,'Hiring plan'!$H$23)),'Hiring plan'!$F$23,0)</f>
        <v>0</v>
      </c>
    </row>
    <row r="28" customFormat="false" ht="15" hidden="false" customHeight="false" outlineLevel="0" collapsed="false">
      <c r="A28" s="12" t="str">
        <f aca="false">IF('Hiring plan'!$C$24="","(spare line 20)",'Hiring plan'!$C$24&amp;" · "&amp;'Hiring plan'!$D$24)</f>
        <v>(spare line 20)</v>
      </c>
      <c r="B28" s="14" t="s">
        <v>86</v>
      </c>
      <c r="D28" s="55" t="n">
        <f aca="false">MAX(E28:BL28)</f>
        <v>0</v>
      </c>
      <c r="E28" s="37" t="n">
        <f aca="false">IF(AND(N('Hiring plan'!$F$24)&gt;0,E$3&gt;='Hiring plan'!$G$24,E$3&lt;=IF('Hiring plan'!$H$24="",999,'Hiring plan'!$H$24)),'Hiring plan'!$F$24,0)</f>
        <v>0</v>
      </c>
      <c r="F28" s="37" t="n">
        <f aca="false">IF(AND(N('Hiring plan'!$F$24)&gt;0,F$3&gt;='Hiring plan'!$G$24,F$3&lt;=IF('Hiring plan'!$H$24="",999,'Hiring plan'!$H$24)),'Hiring plan'!$F$24,0)</f>
        <v>0</v>
      </c>
      <c r="G28" s="37" t="n">
        <f aca="false">IF(AND(N('Hiring plan'!$F$24)&gt;0,G$3&gt;='Hiring plan'!$G$24,G$3&lt;=IF('Hiring plan'!$H$24="",999,'Hiring plan'!$H$24)),'Hiring plan'!$F$24,0)</f>
        <v>0</v>
      </c>
      <c r="H28" s="37" t="n">
        <f aca="false">IF(AND(N('Hiring plan'!$F$24)&gt;0,H$3&gt;='Hiring plan'!$G$24,H$3&lt;=IF('Hiring plan'!$H$24="",999,'Hiring plan'!$H$24)),'Hiring plan'!$F$24,0)</f>
        <v>0</v>
      </c>
      <c r="I28" s="37" t="n">
        <f aca="false">IF(AND(N('Hiring plan'!$F$24)&gt;0,I$3&gt;='Hiring plan'!$G$24,I$3&lt;=IF('Hiring plan'!$H$24="",999,'Hiring plan'!$H$24)),'Hiring plan'!$F$24,0)</f>
        <v>0</v>
      </c>
      <c r="J28" s="37" t="n">
        <f aca="false">IF(AND(N('Hiring plan'!$F$24)&gt;0,J$3&gt;='Hiring plan'!$G$24,J$3&lt;=IF('Hiring plan'!$H$24="",999,'Hiring plan'!$H$24)),'Hiring plan'!$F$24,0)</f>
        <v>0</v>
      </c>
      <c r="K28" s="37" t="n">
        <f aca="false">IF(AND(N('Hiring plan'!$F$24)&gt;0,K$3&gt;='Hiring plan'!$G$24,K$3&lt;=IF('Hiring plan'!$H$24="",999,'Hiring plan'!$H$24)),'Hiring plan'!$F$24,0)</f>
        <v>0</v>
      </c>
      <c r="L28" s="37" t="n">
        <f aca="false">IF(AND(N('Hiring plan'!$F$24)&gt;0,L$3&gt;='Hiring plan'!$G$24,L$3&lt;=IF('Hiring plan'!$H$24="",999,'Hiring plan'!$H$24)),'Hiring plan'!$F$24,0)</f>
        <v>0</v>
      </c>
      <c r="M28" s="37" t="n">
        <f aca="false">IF(AND(N('Hiring plan'!$F$24)&gt;0,M$3&gt;='Hiring plan'!$G$24,M$3&lt;=IF('Hiring plan'!$H$24="",999,'Hiring plan'!$H$24)),'Hiring plan'!$F$24,0)</f>
        <v>0</v>
      </c>
      <c r="N28" s="37" t="n">
        <f aca="false">IF(AND(N('Hiring plan'!$F$24)&gt;0,N$3&gt;='Hiring plan'!$G$24,N$3&lt;=IF('Hiring plan'!$H$24="",999,'Hiring plan'!$H$24)),'Hiring plan'!$F$24,0)</f>
        <v>0</v>
      </c>
      <c r="O28" s="37" t="n">
        <f aca="false">IF(AND(N('Hiring plan'!$F$24)&gt;0,O$3&gt;='Hiring plan'!$G$24,O$3&lt;=IF('Hiring plan'!$H$24="",999,'Hiring plan'!$H$24)),'Hiring plan'!$F$24,0)</f>
        <v>0</v>
      </c>
      <c r="P28" s="37" t="n">
        <f aca="false">IF(AND(N('Hiring plan'!$F$24)&gt;0,P$3&gt;='Hiring plan'!$G$24,P$3&lt;=IF('Hiring plan'!$H$24="",999,'Hiring plan'!$H$24)),'Hiring plan'!$F$24,0)</f>
        <v>0</v>
      </c>
      <c r="Q28" s="37" t="n">
        <f aca="false">IF(AND(N('Hiring plan'!$F$24)&gt;0,Q$3&gt;='Hiring plan'!$G$24,Q$3&lt;=IF('Hiring plan'!$H$24="",999,'Hiring plan'!$H$24)),'Hiring plan'!$F$24,0)</f>
        <v>0</v>
      </c>
      <c r="R28" s="37" t="n">
        <f aca="false">IF(AND(N('Hiring plan'!$F$24)&gt;0,R$3&gt;='Hiring plan'!$G$24,R$3&lt;=IF('Hiring plan'!$H$24="",999,'Hiring plan'!$H$24)),'Hiring plan'!$F$24,0)</f>
        <v>0</v>
      </c>
      <c r="S28" s="37" t="n">
        <f aca="false">IF(AND(N('Hiring plan'!$F$24)&gt;0,S$3&gt;='Hiring plan'!$G$24,S$3&lt;=IF('Hiring plan'!$H$24="",999,'Hiring plan'!$H$24)),'Hiring plan'!$F$24,0)</f>
        <v>0</v>
      </c>
      <c r="T28" s="37" t="n">
        <f aca="false">IF(AND(N('Hiring plan'!$F$24)&gt;0,T$3&gt;='Hiring plan'!$G$24,T$3&lt;=IF('Hiring plan'!$H$24="",999,'Hiring plan'!$H$24)),'Hiring plan'!$F$24,0)</f>
        <v>0</v>
      </c>
      <c r="U28" s="37" t="n">
        <f aca="false">IF(AND(N('Hiring plan'!$F$24)&gt;0,U$3&gt;='Hiring plan'!$G$24,U$3&lt;=IF('Hiring plan'!$H$24="",999,'Hiring plan'!$H$24)),'Hiring plan'!$F$24,0)</f>
        <v>0</v>
      </c>
      <c r="V28" s="37" t="n">
        <f aca="false">IF(AND(N('Hiring plan'!$F$24)&gt;0,V$3&gt;='Hiring plan'!$G$24,V$3&lt;=IF('Hiring plan'!$H$24="",999,'Hiring plan'!$H$24)),'Hiring plan'!$F$24,0)</f>
        <v>0</v>
      </c>
      <c r="W28" s="37" t="n">
        <f aca="false">IF(AND(N('Hiring plan'!$F$24)&gt;0,W$3&gt;='Hiring plan'!$G$24,W$3&lt;=IF('Hiring plan'!$H$24="",999,'Hiring plan'!$H$24)),'Hiring plan'!$F$24,0)</f>
        <v>0</v>
      </c>
      <c r="X28" s="37" t="n">
        <f aca="false">IF(AND(N('Hiring plan'!$F$24)&gt;0,X$3&gt;='Hiring plan'!$G$24,X$3&lt;=IF('Hiring plan'!$H$24="",999,'Hiring plan'!$H$24)),'Hiring plan'!$F$24,0)</f>
        <v>0</v>
      </c>
      <c r="Y28" s="37" t="n">
        <f aca="false">IF(AND(N('Hiring plan'!$F$24)&gt;0,Y$3&gt;='Hiring plan'!$G$24,Y$3&lt;=IF('Hiring plan'!$H$24="",999,'Hiring plan'!$H$24)),'Hiring plan'!$F$24,0)</f>
        <v>0</v>
      </c>
      <c r="Z28" s="37" t="n">
        <f aca="false">IF(AND(N('Hiring plan'!$F$24)&gt;0,Z$3&gt;='Hiring plan'!$G$24,Z$3&lt;=IF('Hiring plan'!$H$24="",999,'Hiring plan'!$H$24)),'Hiring plan'!$F$24,0)</f>
        <v>0</v>
      </c>
      <c r="AA28" s="37" t="n">
        <f aca="false">IF(AND(N('Hiring plan'!$F$24)&gt;0,AA$3&gt;='Hiring plan'!$G$24,AA$3&lt;=IF('Hiring plan'!$H$24="",999,'Hiring plan'!$H$24)),'Hiring plan'!$F$24,0)</f>
        <v>0</v>
      </c>
      <c r="AB28" s="37" t="n">
        <f aca="false">IF(AND(N('Hiring plan'!$F$24)&gt;0,AB$3&gt;='Hiring plan'!$G$24,AB$3&lt;=IF('Hiring plan'!$H$24="",999,'Hiring plan'!$H$24)),'Hiring plan'!$F$24,0)</f>
        <v>0</v>
      </c>
      <c r="AC28" s="37" t="n">
        <f aca="false">IF(AND(N('Hiring plan'!$F$24)&gt;0,AC$3&gt;='Hiring plan'!$G$24,AC$3&lt;=IF('Hiring plan'!$H$24="",999,'Hiring plan'!$H$24)),'Hiring plan'!$F$24,0)</f>
        <v>0</v>
      </c>
      <c r="AD28" s="37" t="n">
        <f aca="false">IF(AND(N('Hiring plan'!$F$24)&gt;0,AD$3&gt;='Hiring plan'!$G$24,AD$3&lt;=IF('Hiring plan'!$H$24="",999,'Hiring plan'!$H$24)),'Hiring plan'!$F$24,0)</f>
        <v>0</v>
      </c>
      <c r="AE28" s="37" t="n">
        <f aca="false">IF(AND(N('Hiring plan'!$F$24)&gt;0,AE$3&gt;='Hiring plan'!$G$24,AE$3&lt;=IF('Hiring plan'!$H$24="",999,'Hiring plan'!$H$24)),'Hiring plan'!$F$24,0)</f>
        <v>0</v>
      </c>
      <c r="AF28" s="37" t="n">
        <f aca="false">IF(AND(N('Hiring plan'!$F$24)&gt;0,AF$3&gt;='Hiring plan'!$G$24,AF$3&lt;=IF('Hiring plan'!$H$24="",999,'Hiring plan'!$H$24)),'Hiring plan'!$F$24,0)</f>
        <v>0</v>
      </c>
      <c r="AG28" s="37" t="n">
        <f aca="false">IF(AND(N('Hiring plan'!$F$24)&gt;0,AG$3&gt;='Hiring plan'!$G$24,AG$3&lt;=IF('Hiring plan'!$H$24="",999,'Hiring plan'!$H$24)),'Hiring plan'!$F$24,0)</f>
        <v>0</v>
      </c>
      <c r="AH28" s="37" t="n">
        <f aca="false">IF(AND(N('Hiring plan'!$F$24)&gt;0,AH$3&gt;='Hiring plan'!$G$24,AH$3&lt;=IF('Hiring plan'!$H$24="",999,'Hiring plan'!$H$24)),'Hiring plan'!$F$24,0)</f>
        <v>0</v>
      </c>
      <c r="AI28" s="37" t="n">
        <f aca="false">IF(AND(N('Hiring plan'!$F$24)&gt;0,AI$3&gt;='Hiring plan'!$G$24,AI$3&lt;=IF('Hiring plan'!$H$24="",999,'Hiring plan'!$H$24)),'Hiring plan'!$F$24,0)</f>
        <v>0</v>
      </c>
      <c r="AJ28" s="37" t="n">
        <f aca="false">IF(AND(N('Hiring plan'!$F$24)&gt;0,AJ$3&gt;='Hiring plan'!$G$24,AJ$3&lt;=IF('Hiring plan'!$H$24="",999,'Hiring plan'!$H$24)),'Hiring plan'!$F$24,0)</f>
        <v>0</v>
      </c>
      <c r="AK28" s="37" t="n">
        <f aca="false">IF(AND(N('Hiring plan'!$F$24)&gt;0,AK$3&gt;='Hiring plan'!$G$24,AK$3&lt;=IF('Hiring plan'!$H$24="",999,'Hiring plan'!$H$24)),'Hiring plan'!$F$24,0)</f>
        <v>0</v>
      </c>
      <c r="AL28" s="37" t="n">
        <f aca="false">IF(AND(N('Hiring plan'!$F$24)&gt;0,AL$3&gt;='Hiring plan'!$G$24,AL$3&lt;=IF('Hiring plan'!$H$24="",999,'Hiring plan'!$H$24)),'Hiring plan'!$F$24,0)</f>
        <v>0</v>
      </c>
      <c r="AM28" s="37" t="n">
        <f aca="false">IF(AND(N('Hiring plan'!$F$24)&gt;0,AM$3&gt;='Hiring plan'!$G$24,AM$3&lt;=IF('Hiring plan'!$H$24="",999,'Hiring plan'!$H$24)),'Hiring plan'!$F$24,0)</f>
        <v>0</v>
      </c>
      <c r="AN28" s="37" t="n">
        <f aca="false">IF(AND(N('Hiring plan'!$F$24)&gt;0,AN$3&gt;='Hiring plan'!$G$24,AN$3&lt;=IF('Hiring plan'!$H$24="",999,'Hiring plan'!$H$24)),'Hiring plan'!$F$24,0)</f>
        <v>0</v>
      </c>
      <c r="AO28" s="37" t="n">
        <f aca="false">IF(AND(N('Hiring plan'!$F$24)&gt;0,AO$3&gt;='Hiring plan'!$G$24,AO$3&lt;=IF('Hiring plan'!$H$24="",999,'Hiring plan'!$H$24)),'Hiring plan'!$F$24,0)</f>
        <v>0</v>
      </c>
      <c r="AP28" s="37" t="n">
        <f aca="false">IF(AND(N('Hiring plan'!$F$24)&gt;0,AP$3&gt;='Hiring plan'!$G$24,AP$3&lt;=IF('Hiring plan'!$H$24="",999,'Hiring plan'!$H$24)),'Hiring plan'!$F$24,0)</f>
        <v>0</v>
      </c>
      <c r="AQ28" s="37" t="n">
        <f aca="false">IF(AND(N('Hiring plan'!$F$24)&gt;0,AQ$3&gt;='Hiring plan'!$G$24,AQ$3&lt;=IF('Hiring plan'!$H$24="",999,'Hiring plan'!$H$24)),'Hiring plan'!$F$24,0)</f>
        <v>0</v>
      </c>
      <c r="AR28" s="37" t="n">
        <f aca="false">IF(AND(N('Hiring plan'!$F$24)&gt;0,AR$3&gt;='Hiring plan'!$G$24,AR$3&lt;=IF('Hiring plan'!$H$24="",999,'Hiring plan'!$H$24)),'Hiring plan'!$F$24,0)</f>
        <v>0</v>
      </c>
      <c r="AS28" s="37" t="n">
        <f aca="false">IF(AND(N('Hiring plan'!$F$24)&gt;0,AS$3&gt;='Hiring plan'!$G$24,AS$3&lt;=IF('Hiring plan'!$H$24="",999,'Hiring plan'!$H$24)),'Hiring plan'!$F$24,0)</f>
        <v>0</v>
      </c>
      <c r="AT28" s="37" t="n">
        <f aca="false">IF(AND(N('Hiring plan'!$F$24)&gt;0,AT$3&gt;='Hiring plan'!$G$24,AT$3&lt;=IF('Hiring plan'!$H$24="",999,'Hiring plan'!$H$24)),'Hiring plan'!$F$24,0)</f>
        <v>0</v>
      </c>
      <c r="AU28" s="37" t="n">
        <f aca="false">IF(AND(N('Hiring plan'!$F$24)&gt;0,AU$3&gt;='Hiring plan'!$G$24,AU$3&lt;=IF('Hiring plan'!$H$24="",999,'Hiring plan'!$H$24)),'Hiring plan'!$F$24,0)</f>
        <v>0</v>
      </c>
      <c r="AV28" s="37" t="n">
        <f aca="false">IF(AND(N('Hiring plan'!$F$24)&gt;0,AV$3&gt;='Hiring plan'!$G$24,AV$3&lt;=IF('Hiring plan'!$H$24="",999,'Hiring plan'!$H$24)),'Hiring plan'!$F$24,0)</f>
        <v>0</v>
      </c>
      <c r="AW28" s="37" t="n">
        <f aca="false">IF(AND(N('Hiring plan'!$F$24)&gt;0,AW$3&gt;='Hiring plan'!$G$24,AW$3&lt;=IF('Hiring plan'!$H$24="",999,'Hiring plan'!$H$24)),'Hiring plan'!$F$24,0)</f>
        <v>0</v>
      </c>
      <c r="AX28" s="37" t="n">
        <f aca="false">IF(AND(N('Hiring plan'!$F$24)&gt;0,AX$3&gt;='Hiring plan'!$G$24,AX$3&lt;=IF('Hiring plan'!$H$24="",999,'Hiring plan'!$H$24)),'Hiring plan'!$F$24,0)</f>
        <v>0</v>
      </c>
      <c r="AY28" s="37" t="n">
        <f aca="false">IF(AND(N('Hiring plan'!$F$24)&gt;0,AY$3&gt;='Hiring plan'!$G$24,AY$3&lt;=IF('Hiring plan'!$H$24="",999,'Hiring plan'!$H$24)),'Hiring plan'!$F$24,0)</f>
        <v>0</v>
      </c>
      <c r="AZ28" s="37" t="n">
        <f aca="false">IF(AND(N('Hiring plan'!$F$24)&gt;0,AZ$3&gt;='Hiring plan'!$G$24,AZ$3&lt;=IF('Hiring plan'!$H$24="",999,'Hiring plan'!$H$24)),'Hiring plan'!$F$24,0)</f>
        <v>0</v>
      </c>
      <c r="BA28" s="37" t="n">
        <f aca="false">IF(AND(N('Hiring plan'!$F$24)&gt;0,BA$3&gt;='Hiring plan'!$G$24,BA$3&lt;=IF('Hiring plan'!$H$24="",999,'Hiring plan'!$H$24)),'Hiring plan'!$F$24,0)</f>
        <v>0</v>
      </c>
      <c r="BB28" s="37" t="n">
        <f aca="false">IF(AND(N('Hiring plan'!$F$24)&gt;0,BB$3&gt;='Hiring plan'!$G$24,BB$3&lt;=IF('Hiring plan'!$H$24="",999,'Hiring plan'!$H$24)),'Hiring plan'!$F$24,0)</f>
        <v>0</v>
      </c>
      <c r="BC28" s="37" t="n">
        <f aca="false">IF(AND(N('Hiring plan'!$F$24)&gt;0,BC$3&gt;='Hiring plan'!$G$24,BC$3&lt;=IF('Hiring plan'!$H$24="",999,'Hiring plan'!$H$24)),'Hiring plan'!$F$24,0)</f>
        <v>0</v>
      </c>
      <c r="BD28" s="37" t="n">
        <f aca="false">IF(AND(N('Hiring plan'!$F$24)&gt;0,BD$3&gt;='Hiring plan'!$G$24,BD$3&lt;=IF('Hiring plan'!$H$24="",999,'Hiring plan'!$H$24)),'Hiring plan'!$F$24,0)</f>
        <v>0</v>
      </c>
      <c r="BE28" s="37" t="n">
        <f aca="false">IF(AND(N('Hiring plan'!$F$24)&gt;0,BE$3&gt;='Hiring plan'!$G$24,BE$3&lt;=IF('Hiring plan'!$H$24="",999,'Hiring plan'!$H$24)),'Hiring plan'!$F$24,0)</f>
        <v>0</v>
      </c>
      <c r="BF28" s="37" t="n">
        <f aca="false">IF(AND(N('Hiring plan'!$F$24)&gt;0,BF$3&gt;='Hiring plan'!$G$24,BF$3&lt;=IF('Hiring plan'!$H$24="",999,'Hiring plan'!$H$24)),'Hiring plan'!$F$24,0)</f>
        <v>0</v>
      </c>
      <c r="BG28" s="37" t="n">
        <f aca="false">IF(AND(N('Hiring plan'!$F$24)&gt;0,BG$3&gt;='Hiring plan'!$G$24,BG$3&lt;=IF('Hiring plan'!$H$24="",999,'Hiring plan'!$H$24)),'Hiring plan'!$F$24,0)</f>
        <v>0</v>
      </c>
      <c r="BH28" s="37" t="n">
        <f aca="false">IF(AND(N('Hiring plan'!$F$24)&gt;0,BH$3&gt;='Hiring plan'!$G$24,BH$3&lt;=IF('Hiring plan'!$H$24="",999,'Hiring plan'!$H$24)),'Hiring plan'!$F$24,0)</f>
        <v>0</v>
      </c>
      <c r="BI28" s="37" t="n">
        <f aca="false">IF(AND(N('Hiring plan'!$F$24)&gt;0,BI$3&gt;='Hiring plan'!$G$24,BI$3&lt;=IF('Hiring plan'!$H$24="",999,'Hiring plan'!$H$24)),'Hiring plan'!$F$24,0)</f>
        <v>0</v>
      </c>
      <c r="BJ28" s="37" t="n">
        <f aca="false">IF(AND(N('Hiring plan'!$F$24)&gt;0,BJ$3&gt;='Hiring plan'!$G$24,BJ$3&lt;=IF('Hiring plan'!$H$24="",999,'Hiring plan'!$H$24)),'Hiring plan'!$F$24,0)</f>
        <v>0</v>
      </c>
      <c r="BK28" s="37" t="n">
        <f aca="false">IF(AND(N('Hiring plan'!$F$24)&gt;0,BK$3&gt;='Hiring plan'!$G$24,BK$3&lt;=IF('Hiring plan'!$H$24="",999,'Hiring plan'!$H$24)),'Hiring plan'!$F$24,0)</f>
        <v>0</v>
      </c>
      <c r="BL28" s="37" t="n">
        <f aca="false">IF(AND(N('Hiring plan'!$F$24)&gt;0,BL$3&gt;='Hiring plan'!$G$24,BL$3&lt;=IF('Hiring plan'!$H$24="",999,'Hiring plan'!$H$24)),'Hiring plan'!$F$24,0)</f>
        <v>0</v>
      </c>
    </row>
    <row r="29" customFormat="false" ht="15" hidden="false" customHeight="false" outlineLevel="0" collapsed="false">
      <c r="A29" s="12" t="str">
        <f aca="false">IF('Hiring plan'!$C$25="","(spare line 21)",'Hiring plan'!$C$25&amp;" · "&amp;'Hiring plan'!$D$25)</f>
        <v>(spare line 21)</v>
      </c>
      <c r="B29" s="14" t="s">
        <v>86</v>
      </c>
      <c r="D29" s="55" t="n">
        <f aca="false">MAX(E29:BL29)</f>
        <v>0</v>
      </c>
      <c r="E29" s="37" t="n">
        <f aca="false">IF(AND(N('Hiring plan'!$F$25)&gt;0,E$3&gt;='Hiring plan'!$G$25,E$3&lt;=IF('Hiring plan'!$H$25="",999,'Hiring plan'!$H$25)),'Hiring plan'!$F$25,0)</f>
        <v>0</v>
      </c>
      <c r="F29" s="37" t="n">
        <f aca="false">IF(AND(N('Hiring plan'!$F$25)&gt;0,F$3&gt;='Hiring plan'!$G$25,F$3&lt;=IF('Hiring plan'!$H$25="",999,'Hiring plan'!$H$25)),'Hiring plan'!$F$25,0)</f>
        <v>0</v>
      </c>
      <c r="G29" s="37" t="n">
        <f aca="false">IF(AND(N('Hiring plan'!$F$25)&gt;0,G$3&gt;='Hiring plan'!$G$25,G$3&lt;=IF('Hiring plan'!$H$25="",999,'Hiring plan'!$H$25)),'Hiring plan'!$F$25,0)</f>
        <v>0</v>
      </c>
      <c r="H29" s="37" t="n">
        <f aca="false">IF(AND(N('Hiring plan'!$F$25)&gt;0,H$3&gt;='Hiring plan'!$G$25,H$3&lt;=IF('Hiring plan'!$H$25="",999,'Hiring plan'!$H$25)),'Hiring plan'!$F$25,0)</f>
        <v>0</v>
      </c>
      <c r="I29" s="37" t="n">
        <f aca="false">IF(AND(N('Hiring plan'!$F$25)&gt;0,I$3&gt;='Hiring plan'!$G$25,I$3&lt;=IF('Hiring plan'!$H$25="",999,'Hiring plan'!$H$25)),'Hiring plan'!$F$25,0)</f>
        <v>0</v>
      </c>
      <c r="J29" s="37" t="n">
        <f aca="false">IF(AND(N('Hiring plan'!$F$25)&gt;0,J$3&gt;='Hiring plan'!$G$25,J$3&lt;=IF('Hiring plan'!$H$25="",999,'Hiring plan'!$H$25)),'Hiring plan'!$F$25,0)</f>
        <v>0</v>
      </c>
      <c r="K29" s="37" t="n">
        <f aca="false">IF(AND(N('Hiring plan'!$F$25)&gt;0,K$3&gt;='Hiring plan'!$G$25,K$3&lt;=IF('Hiring plan'!$H$25="",999,'Hiring plan'!$H$25)),'Hiring plan'!$F$25,0)</f>
        <v>0</v>
      </c>
      <c r="L29" s="37" t="n">
        <f aca="false">IF(AND(N('Hiring plan'!$F$25)&gt;0,L$3&gt;='Hiring plan'!$G$25,L$3&lt;=IF('Hiring plan'!$H$25="",999,'Hiring plan'!$H$25)),'Hiring plan'!$F$25,0)</f>
        <v>0</v>
      </c>
      <c r="M29" s="37" t="n">
        <f aca="false">IF(AND(N('Hiring plan'!$F$25)&gt;0,M$3&gt;='Hiring plan'!$G$25,M$3&lt;=IF('Hiring plan'!$H$25="",999,'Hiring plan'!$H$25)),'Hiring plan'!$F$25,0)</f>
        <v>0</v>
      </c>
      <c r="N29" s="37" t="n">
        <f aca="false">IF(AND(N('Hiring plan'!$F$25)&gt;0,N$3&gt;='Hiring plan'!$G$25,N$3&lt;=IF('Hiring plan'!$H$25="",999,'Hiring plan'!$H$25)),'Hiring plan'!$F$25,0)</f>
        <v>0</v>
      </c>
      <c r="O29" s="37" t="n">
        <f aca="false">IF(AND(N('Hiring plan'!$F$25)&gt;0,O$3&gt;='Hiring plan'!$G$25,O$3&lt;=IF('Hiring plan'!$H$25="",999,'Hiring plan'!$H$25)),'Hiring plan'!$F$25,0)</f>
        <v>0</v>
      </c>
      <c r="P29" s="37" t="n">
        <f aca="false">IF(AND(N('Hiring plan'!$F$25)&gt;0,P$3&gt;='Hiring plan'!$G$25,P$3&lt;=IF('Hiring plan'!$H$25="",999,'Hiring plan'!$H$25)),'Hiring plan'!$F$25,0)</f>
        <v>0</v>
      </c>
      <c r="Q29" s="37" t="n">
        <f aca="false">IF(AND(N('Hiring plan'!$F$25)&gt;0,Q$3&gt;='Hiring plan'!$G$25,Q$3&lt;=IF('Hiring plan'!$H$25="",999,'Hiring plan'!$H$25)),'Hiring plan'!$F$25,0)</f>
        <v>0</v>
      </c>
      <c r="R29" s="37" t="n">
        <f aca="false">IF(AND(N('Hiring plan'!$F$25)&gt;0,R$3&gt;='Hiring plan'!$G$25,R$3&lt;=IF('Hiring plan'!$H$25="",999,'Hiring plan'!$H$25)),'Hiring plan'!$F$25,0)</f>
        <v>0</v>
      </c>
      <c r="S29" s="37" t="n">
        <f aca="false">IF(AND(N('Hiring plan'!$F$25)&gt;0,S$3&gt;='Hiring plan'!$G$25,S$3&lt;=IF('Hiring plan'!$H$25="",999,'Hiring plan'!$H$25)),'Hiring plan'!$F$25,0)</f>
        <v>0</v>
      </c>
      <c r="T29" s="37" t="n">
        <f aca="false">IF(AND(N('Hiring plan'!$F$25)&gt;0,T$3&gt;='Hiring plan'!$G$25,T$3&lt;=IF('Hiring plan'!$H$25="",999,'Hiring plan'!$H$25)),'Hiring plan'!$F$25,0)</f>
        <v>0</v>
      </c>
      <c r="U29" s="37" t="n">
        <f aca="false">IF(AND(N('Hiring plan'!$F$25)&gt;0,U$3&gt;='Hiring plan'!$G$25,U$3&lt;=IF('Hiring plan'!$H$25="",999,'Hiring plan'!$H$25)),'Hiring plan'!$F$25,0)</f>
        <v>0</v>
      </c>
      <c r="V29" s="37" t="n">
        <f aca="false">IF(AND(N('Hiring plan'!$F$25)&gt;0,V$3&gt;='Hiring plan'!$G$25,V$3&lt;=IF('Hiring plan'!$H$25="",999,'Hiring plan'!$H$25)),'Hiring plan'!$F$25,0)</f>
        <v>0</v>
      </c>
      <c r="W29" s="37" t="n">
        <f aca="false">IF(AND(N('Hiring plan'!$F$25)&gt;0,W$3&gt;='Hiring plan'!$G$25,W$3&lt;=IF('Hiring plan'!$H$25="",999,'Hiring plan'!$H$25)),'Hiring plan'!$F$25,0)</f>
        <v>0</v>
      </c>
      <c r="X29" s="37" t="n">
        <f aca="false">IF(AND(N('Hiring plan'!$F$25)&gt;0,X$3&gt;='Hiring plan'!$G$25,X$3&lt;=IF('Hiring plan'!$H$25="",999,'Hiring plan'!$H$25)),'Hiring plan'!$F$25,0)</f>
        <v>0</v>
      </c>
      <c r="Y29" s="37" t="n">
        <f aca="false">IF(AND(N('Hiring plan'!$F$25)&gt;0,Y$3&gt;='Hiring plan'!$G$25,Y$3&lt;=IF('Hiring plan'!$H$25="",999,'Hiring plan'!$H$25)),'Hiring plan'!$F$25,0)</f>
        <v>0</v>
      </c>
      <c r="Z29" s="37" t="n">
        <f aca="false">IF(AND(N('Hiring plan'!$F$25)&gt;0,Z$3&gt;='Hiring plan'!$G$25,Z$3&lt;=IF('Hiring plan'!$H$25="",999,'Hiring plan'!$H$25)),'Hiring plan'!$F$25,0)</f>
        <v>0</v>
      </c>
      <c r="AA29" s="37" t="n">
        <f aca="false">IF(AND(N('Hiring plan'!$F$25)&gt;0,AA$3&gt;='Hiring plan'!$G$25,AA$3&lt;=IF('Hiring plan'!$H$25="",999,'Hiring plan'!$H$25)),'Hiring plan'!$F$25,0)</f>
        <v>0</v>
      </c>
      <c r="AB29" s="37" t="n">
        <f aca="false">IF(AND(N('Hiring plan'!$F$25)&gt;0,AB$3&gt;='Hiring plan'!$G$25,AB$3&lt;=IF('Hiring plan'!$H$25="",999,'Hiring plan'!$H$25)),'Hiring plan'!$F$25,0)</f>
        <v>0</v>
      </c>
      <c r="AC29" s="37" t="n">
        <f aca="false">IF(AND(N('Hiring plan'!$F$25)&gt;0,AC$3&gt;='Hiring plan'!$G$25,AC$3&lt;=IF('Hiring plan'!$H$25="",999,'Hiring plan'!$H$25)),'Hiring plan'!$F$25,0)</f>
        <v>0</v>
      </c>
      <c r="AD29" s="37" t="n">
        <f aca="false">IF(AND(N('Hiring plan'!$F$25)&gt;0,AD$3&gt;='Hiring plan'!$G$25,AD$3&lt;=IF('Hiring plan'!$H$25="",999,'Hiring plan'!$H$25)),'Hiring plan'!$F$25,0)</f>
        <v>0</v>
      </c>
      <c r="AE29" s="37" t="n">
        <f aca="false">IF(AND(N('Hiring plan'!$F$25)&gt;0,AE$3&gt;='Hiring plan'!$G$25,AE$3&lt;=IF('Hiring plan'!$H$25="",999,'Hiring plan'!$H$25)),'Hiring plan'!$F$25,0)</f>
        <v>0</v>
      </c>
      <c r="AF29" s="37" t="n">
        <f aca="false">IF(AND(N('Hiring plan'!$F$25)&gt;0,AF$3&gt;='Hiring plan'!$G$25,AF$3&lt;=IF('Hiring plan'!$H$25="",999,'Hiring plan'!$H$25)),'Hiring plan'!$F$25,0)</f>
        <v>0</v>
      </c>
      <c r="AG29" s="37" t="n">
        <f aca="false">IF(AND(N('Hiring plan'!$F$25)&gt;0,AG$3&gt;='Hiring plan'!$G$25,AG$3&lt;=IF('Hiring plan'!$H$25="",999,'Hiring plan'!$H$25)),'Hiring plan'!$F$25,0)</f>
        <v>0</v>
      </c>
      <c r="AH29" s="37" t="n">
        <f aca="false">IF(AND(N('Hiring plan'!$F$25)&gt;0,AH$3&gt;='Hiring plan'!$G$25,AH$3&lt;=IF('Hiring plan'!$H$25="",999,'Hiring plan'!$H$25)),'Hiring plan'!$F$25,0)</f>
        <v>0</v>
      </c>
      <c r="AI29" s="37" t="n">
        <f aca="false">IF(AND(N('Hiring plan'!$F$25)&gt;0,AI$3&gt;='Hiring plan'!$G$25,AI$3&lt;=IF('Hiring plan'!$H$25="",999,'Hiring plan'!$H$25)),'Hiring plan'!$F$25,0)</f>
        <v>0</v>
      </c>
      <c r="AJ29" s="37" t="n">
        <f aca="false">IF(AND(N('Hiring plan'!$F$25)&gt;0,AJ$3&gt;='Hiring plan'!$G$25,AJ$3&lt;=IF('Hiring plan'!$H$25="",999,'Hiring plan'!$H$25)),'Hiring plan'!$F$25,0)</f>
        <v>0</v>
      </c>
      <c r="AK29" s="37" t="n">
        <f aca="false">IF(AND(N('Hiring plan'!$F$25)&gt;0,AK$3&gt;='Hiring plan'!$G$25,AK$3&lt;=IF('Hiring plan'!$H$25="",999,'Hiring plan'!$H$25)),'Hiring plan'!$F$25,0)</f>
        <v>0</v>
      </c>
      <c r="AL29" s="37" t="n">
        <f aca="false">IF(AND(N('Hiring plan'!$F$25)&gt;0,AL$3&gt;='Hiring plan'!$G$25,AL$3&lt;=IF('Hiring plan'!$H$25="",999,'Hiring plan'!$H$25)),'Hiring plan'!$F$25,0)</f>
        <v>0</v>
      </c>
      <c r="AM29" s="37" t="n">
        <f aca="false">IF(AND(N('Hiring plan'!$F$25)&gt;0,AM$3&gt;='Hiring plan'!$G$25,AM$3&lt;=IF('Hiring plan'!$H$25="",999,'Hiring plan'!$H$25)),'Hiring plan'!$F$25,0)</f>
        <v>0</v>
      </c>
      <c r="AN29" s="37" t="n">
        <f aca="false">IF(AND(N('Hiring plan'!$F$25)&gt;0,AN$3&gt;='Hiring plan'!$G$25,AN$3&lt;=IF('Hiring plan'!$H$25="",999,'Hiring plan'!$H$25)),'Hiring plan'!$F$25,0)</f>
        <v>0</v>
      </c>
      <c r="AO29" s="37" t="n">
        <f aca="false">IF(AND(N('Hiring plan'!$F$25)&gt;0,AO$3&gt;='Hiring plan'!$G$25,AO$3&lt;=IF('Hiring plan'!$H$25="",999,'Hiring plan'!$H$25)),'Hiring plan'!$F$25,0)</f>
        <v>0</v>
      </c>
      <c r="AP29" s="37" t="n">
        <f aca="false">IF(AND(N('Hiring plan'!$F$25)&gt;0,AP$3&gt;='Hiring plan'!$G$25,AP$3&lt;=IF('Hiring plan'!$H$25="",999,'Hiring plan'!$H$25)),'Hiring plan'!$F$25,0)</f>
        <v>0</v>
      </c>
      <c r="AQ29" s="37" t="n">
        <f aca="false">IF(AND(N('Hiring plan'!$F$25)&gt;0,AQ$3&gt;='Hiring plan'!$G$25,AQ$3&lt;=IF('Hiring plan'!$H$25="",999,'Hiring plan'!$H$25)),'Hiring plan'!$F$25,0)</f>
        <v>0</v>
      </c>
      <c r="AR29" s="37" t="n">
        <f aca="false">IF(AND(N('Hiring plan'!$F$25)&gt;0,AR$3&gt;='Hiring plan'!$G$25,AR$3&lt;=IF('Hiring plan'!$H$25="",999,'Hiring plan'!$H$25)),'Hiring plan'!$F$25,0)</f>
        <v>0</v>
      </c>
      <c r="AS29" s="37" t="n">
        <f aca="false">IF(AND(N('Hiring plan'!$F$25)&gt;0,AS$3&gt;='Hiring plan'!$G$25,AS$3&lt;=IF('Hiring plan'!$H$25="",999,'Hiring plan'!$H$25)),'Hiring plan'!$F$25,0)</f>
        <v>0</v>
      </c>
      <c r="AT29" s="37" t="n">
        <f aca="false">IF(AND(N('Hiring plan'!$F$25)&gt;0,AT$3&gt;='Hiring plan'!$G$25,AT$3&lt;=IF('Hiring plan'!$H$25="",999,'Hiring plan'!$H$25)),'Hiring plan'!$F$25,0)</f>
        <v>0</v>
      </c>
      <c r="AU29" s="37" t="n">
        <f aca="false">IF(AND(N('Hiring plan'!$F$25)&gt;0,AU$3&gt;='Hiring plan'!$G$25,AU$3&lt;=IF('Hiring plan'!$H$25="",999,'Hiring plan'!$H$25)),'Hiring plan'!$F$25,0)</f>
        <v>0</v>
      </c>
      <c r="AV29" s="37" t="n">
        <f aca="false">IF(AND(N('Hiring plan'!$F$25)&gt;0,AV$3&gt;='Hiring plan'!$G$25,AV$3&lt;=IF('Hiring plan'!$H$25="",999,'Hiring plan'!$H$25)),'Hiring plan'!$F$25,0)</f>
        <v>0</v>
      </c>
      <c r="AW29" s="37" t="n">
        <f aca="false">IF(AND(N('Hiring plan'!$F$25)&gt;0,AW$3&gt;='Hiring plan'!$G$25,AW$3&lt;=IF('Hiring plan'!$H$25="",999,'Hiring plan'!$H$25)),'Hiring plan'!$F$25,0)</f>
        <v>0</v>
      </c>
      <c r="AX29" s="37" t="n">
        <f aca="false">IF(AND(N('Hiring plan'!$F$25)&gt;0,AX$3&gt;='Hiring plan'!$G$25,AX$3&lt;=IF('Hiring plan'!$H$25="",999,'Hiring plan'!$H$25)),'Hiring plan'!$F$25,0)</f>
        <v>0</v>
      </c>
      <c r="AY29" s="37" t="n">
        <f aca="false">IF(AND(N('Hiring plan'!$F$25)&gt;0,AY$3&gt;='Hiring plan'!$G$25,AY$3&lt;=IF('Hiring plan'!$H$25="",999,'Hiring plan'!$H$25)),'Hiring plan'!$F$25,0)</f>
        <v>0</v>
      </c>
      <c r="AZ29" s="37" t="n">
        <f aca="false">IF(AND(N('Hiring plan'!$F$25)&gt;0,AZ$3&gt;='Hiring plan'!$G$25,AZ$3&lt;=IF('Hiring plan'!$H$25="",999,'Hiring plan'!$H$25)),'Hiring plan'!$F$25,0)</f>
        <v>0</v>
      </c>
      <c r="BA29" s="37" t="n">
        <f aca="false">IF(AND(N('Hiring plan'!$F$25)&gt;0,BA$3&gt;='Hiring plan'!$G$25,BA$3&lt;=IF('Hiring plan'!$H$25="",999,'Hiring plan'!$H$25)),'Hiring plan'!$F$25,0)</f>
        <v>0</v>
      </c>
      <c r="BB29" s="37" t="n">
        <f aca="false">IF(AND(N('Hiring plan'!$F$25)&gt;0,BB$3&gt;='Hiring plan'!$G$25,BB$3&lt;=IF('Hiring plan'!$H$25="",999,'Hiring plan'!$H$25)),'Hiring plan'!$F$25,0)</f>
        <v>0</v>
      </c>
      <c r="BC29" s="37" t="n">
        <f aca="false">IF(AND(N('Hiring plan'!$F$25)&gt;0,BC$3&gt;='Hiring plan'!$G$25,BC$3&lt;=IF('Hiring plan'!$H$25="",999,'Hiring plan'!$H$25)),'Hiring plan'!$F$25,0)</f>
        <v>0</v>
      </c>
      <c r="BD29" s="37" t="n">
        <f aca="false">IF(AND(N('Hiring plan'!$F$25)&gt;0,BD$3&gt;='Hiring plan'!$G$25,BD$3&lt;=IF('Hiring plan'!$H$25="",999,'Hiring plan'!$H$25)),'Hiring plan'!$F$25,0)</f>
        <v>0</v>
      </c>
      <c r="BE29" s="37" t="n">
        <f aca="false">IF(AND(N('Hiring plan'!$F$25)&gt;0,BE$3&gt;='Hiring plan'!$G$25,BE$3&lt;=IF('Hiring plan'!$H$25="",999,'Hiring plan'!$H$25)),'Hiring plan'!$F$25,0)</f>
        <v>0</v>
      </c>
      <c r="BF29" s="37" t="n">
        <f aca="false">IF(AND(N('Hiring plan'!$F$25)&gt;0,BF$3&gt;='Hiring plan'!$G$25,BF$3&lt;=IF('Hiring plan'!$H$25="",999,'Hiring plan'!$H$25)),'Hiring plan'!$F$25,0)</f>
        <v>0</v>
      </c>
      <c r="BG29" s="37" t="n">
        <f aca="false">IF(AND(N('Hiring plan'!$F$25)&gt;0,BG$3&gt;='Hiring plan'!$G$25,BG$3&lt;=IF('Hiring plan'!$H$25="",999,'Hiring plan'!$H$25)),'Hiring plan'!$F$25,0)</f>
        <v>0</v>
      </c>
      <c r="BH29" s="37" t="n">
        <f aca="false">IF(AND(N('Hiring plan'!$F$25)&gt;0,BH$3&gt;='Hiring plan'!$G$25,BH$3&lt;=IF('Hiring plan'!$H$25="",999,'Hiring plan'!$H$25)),'Hiring plan'!$F$25,0)</f>
        <v>0</v>
      </c>
      <c r="BI29" s="37" t="n">
        <f aca="false">IF(AND(N('Hiring plan'!$F$25)&gt;0,BI$3&gt;='Hiring plan'!$G$25,BI$3&lt;=IF('Hiring plan'!$H$25="",999,'Hiring plan'!$H$25)),'Hiring plan'!$F$25,0)</f>
        <v>0</v>
      </c>
      <c r="BJ29" s="37" t="n">
        <f aca="false">IF(AND(N('Hiring plan'!$F$25)&gt;0,BJ$3&gt;='Hiring plan'!$G$25,BJ$3&lt;=IF('Hiring plan'!$H$25="",999,'Hiring plan'!$H$25)),'Hiring plan'!$F$25,0)</f>
        <v>0</v>
      </c>
      <c r="BK29" s="37" t="n">
        <f aca="false">IF(AND(N('Hiring plan'!$F$25)&gt;0,BK$3&gt;='Hiring plan'!$G$25,BK$3&lt;=IF('Hiring plan'!$H$25="",999,'Hiring plan'!$H$25)),'Hiring plan'!$F$25,0)</f>
        <v>0</v>
      </c>
      <c r="BL29" s="37" t="n">
        <f aca="false">IF(AND(N('Hiring plan'!$F$25)&gt;0,BL$3&gt;='Hiring plan'!$G$25,BL$3&lt;=IF('Hiring plan'!$H$25="",999,'Hiring plan'!$H$25)),'Hiring plan'!$F$25,0)</f>
        <v>0</v>
      </c>
    </row>
    <row r="30" customFormat="false" ht="15" hidden="false" customHeight="false" outlineLevel="0" collapsed="false">
      <c r="A30" s="12" t="str">
        <f aca="false">IF('Hiring plan'!$C$26="","(spare line 22)",'Hiring plan'!$C$26&amp;" · "&amp;'Hiring plan'!$D$26)</f>
        <v>(spare line 22)</v>
      </c>
      <c r="B30" s="14" t="s">
        <v>86</v>
      </c>
      <c r="D30" s="55" t="n">
        <f aca="false">MAX(E30:BL30)</f>
        <v>0</v>
      </c>
      <c r="E30" s="37" t="n">
        <f aca="false">IF(AND(N('Hiring plan'!$F$26)&gt;0,E$3&gt;='Hiring plan'!$G$26,E$3&lt;=IF('Hiring plan'!$H$26="",999,'Hiring plan'!$H$26)),'Hiring plan'!$F$26,0)</f>
        <v>0</v>
      </c>
      <c r="F30" s="37" t="n">
        <f aca="false">IF(AND(N('Hiring plan'!$F$26)&gt;0,F$3&gt;='Hiring plan'!$G$26,F$3&lt;=IF('Hiring plan'!$H$26="",999,'Hiring plan'!$H$26)),'Hiring plan'!$F$26,0)</f>
        <v>0</v>
      </c>
      <c r="G30" s="37" t="n">
        <f aca="false">IF(AND(N('Hiring plan'!$F$26)&gt;0,G$3&gt;='Hiring plan'!$G$26,G$3&lt;=IF('Hiring plan'!$H$26="",999,'Hiring plan'!$H$26)),'Hiring plan'!$F$26,0)</f>
        <v>0</v>
      </c>
      <c r="H30" s="37" t="n">
        <f aca="false">IF(AND(N('Hiring plan'!$F$26)&gt;0,H$3&gt;='Hiring plan'!$G$26,H$3&lt;=IF('Hiring plan'!$H$26="",999,'Hiring plan'!$H$26)),'Hiring plan'!$F$26,0)</f>
        <v>0</v>
      </c>
      <c r="I30" s="37" t="n">
        <f aca="false">IF(AND(N('Hiring plan'!$F$26)&gt;0,I$3&gt;='Hiring plan'!$G$26,I$3&lt;=IF('Hiring plan'!$H$26="",999,'Hiring plan'!$H$26)),'Hiring plan'!$F$26,0)</f>
        <v>0</v>
      </c>
      <c r="J30" s="37" t="n">
        <f aca="false">IF(AND(N('Hiring plan'!$F$26)&gt;0,J$3&gt;='Hiring plan'!$G$26,J$3&lt;=IF('Hiring plan'!$H$26="",999,'Hiring plan'!$H$26)),'Hiring plan'!$F$26,0)</f>
        <v>0</v>
      </c>
      <c r="K30" s="37" t="n">
        <f aca="false">IF(AND(N('Hiring plan'!$F$26)&gt;0,K$3&gt;='Hiring plan'!$G$26,K$3&lt;=IF('Hiring plan'!$H$26="",999,'Hiring plan'!$H$26)),'Hiring plan'!$F$26,0)</f>
        <v>0</v>
      </c>
      <c r="L30" s="37" t="n">
        <f aca="false">IF(AND(N('Hiring plan'!$F$26)&gt;0,L$3&gt;='Hiring plan'!$G$26,L$3&lt;=IF('Hiring plan'!$H$26="",999,'Hiring plan'!$H$26)),'Hiring plan'!$F$26,0)</f>
        <v>0</v>
      </c>
      <c r="M30" s="37" t="n">
        <f aca="false">IF(AND(N('Hiring plan'!$F$26)&gt;0,M$3&gt;='Hiring plan'!$G$26,M$3&lt;=IF('Hiring plan'!$H$26="",999,'Hiring plan'!$H$26)),'Hiring plan'!$F$26,0)</f>
        <v>0</v>
      </c>
      <c r="N30" s="37" t="n">
        <f aca="false">IF(AND(N('Hiring plan'!$F$26)&gt;0,N$3&gt;='Hiring plan'!$G$26,N$3&lt;=IF('Hiring plan'!$H$26="",999,'Hiring plan'!$H$26)),'Hiring plan'!$F$26,0)</f>
        <v>0</v>
      </c>
      <c r="O30" s="37" t="n">
        <f aca="false">IF(AND(N('Hiring plan'!$F$26)&gt;0,O$3&gt;='Hiring plan'!$G$26,O$3&lt;=IF('Hiring plan'!$H$26="",999,'Hiring plan'!$H$26)),'Hiring plan'!$F$26,0)</f>
        <v>0</v>
      </c>
      <c r="P30" s="37" t="n">
        <f aca="false">IF(AND(N('Hiring plan'!$F$26)&gt;0,P$3&gt;='Hiring plan'!$G$26,P$3&lt;=IF('Hiring plan'!$H$26="",999,'Hiring plan'!$H$26)),'Hiring plan'!$F$26,0)</f>
        <v>0</v>
      </c>
      <c r="Q30" s="37" t="n">
        <f aca="false">IF(AND(N('Hiring plan'!$F$26)&gt;0,Q$3&gt;='Hiring plan'!$G$26,Q$3&lt;=IF('Hiring plan'!$H$26="",999,'Hiring plan'!$H$26)),'Hiring plan'!$F$26,0)</f>
        <v>0</v>
      </c>
      <c r="R30" s="37" t="n">
        <f aca="false">IF(AND(N('Hiring plan'!$F$26)&gt;0,R$3&gt;='Hiring plan'!$G$26,R$3&lt;=IF('Hiring plan'!$H$26="",999,'Hiring plan'!$H$26)),'Hiring plan'!$F$26,0)</f>
        <v>0</v>
      </c>
      <c r="S30" s="37" t="n">
        <f aca="false">IF(AND(N('Hiring plan'!$F$26)&gt;0,S$3&gt;='Hiring plan'!$G$26,S$3&lt;=IF('Hiring plan'!$H$26="",999,'Hiring plan'!$H$26)),'Hiring plan'!$F$26,0)</f>
        <v>0</v>
      </c>
      <c r="T30" s="37" t="n">
        <f aca="false">IF(AND(N('Hiring plan'!$F$26)&gt;0,T$3&gt;='Hiring plan'!$G$26,T$3&lt;=IF('Hiring plan'!$H$26="",999,'Hiring plan'!$H$26)),'Hiring plan'!$F$26,0)</f>
        <v>0</v>
      </c>
      <c r="U30" s="37" t="n">
        <f aca="false">IF(AND(N('Hiring plan'!$F$26)&gt;0,U$3&gt;='Hiring plan'!$G$26,U$3&lt;=IF('Hiring plan'!$H$26="",999,'Hiring plan'!$H$26)),'Hiring plan'!$F$26,0)</f>
        <v>0</v>
      </c>
      <c r="V30" s="37" t="n">
        <f aca="false">IF(AND(N('Hiring plan'!$F$26)&gt;0,V$3&gt;='Hiring plan'!$G$26,V$3&lt;=IF('Hiring plan'!$H$26="",999,'Hiring plan'!$H$26)),'Hiring plan'!$F$26,0)</f>
        <v>0</v>
      </c>
      <c r="W30" s="37" t="n">
        <f aca="false">IF(AND(N('Hiring plan'!$F$26)&gt;0,W$3&gt;='Hiring plan'!$G$26,W$3&lt;=IF('Hiring plan'!$H$26="",999,'Hiring plan'!$H$26)),'Hiring plan'!$F$26,0)</f>
        <v>0</v>
      </c>
      <c r="X30" s="37" t="n">
        <f aca="false">IF(AND(N('Hiring plan'!$F$26)&gt;0,X$3&gt;='Hiring plan'!$G$26,X$3&lt;=IF('Hiring plan'!$H$26="",999,'Hiring plan'!$H$26)),'Hiring plan'!$F$26,0)</f>
        <v>0</v>
      </c>
      <c r="Y30" s="37" t="n">
        <f aca="false">IF(AND(N('Hiring plan'!$F$26)&gt;0,Y$3&gt;='Hiring plan'!$G$26,Y$3&lt;=IF('Hiring plan'!$H$26="",999,'Hiring plan'!$H$26)),'Hiring plan'!$F$26,0)</f>
        <v>0</v>
      </c>
      <c r="Z30" s="37" t="n">
        <f aca="false">IF(AND(N('Hiring plan'!$F$26)&gt;0,Z$3&gt;='Hiring plan'!$G$26,Z$3&lt;=IF('Hiring plan'!$H$26="",999,'Hiring plan'!$H$26)),'Hiring plan'!$F$26,0)</f>
        <v>0</v>
      </c>
      <c r="AA30" s="37" t="n">
        <f aca="false">IF(AND(N('Hiring plan'!$F$26)&gt;0,AA$3&gt;='Hiring plan'!$G$26,AA$3&lt;=IF('Hiring plan'!$H$26="",999,'Hiring plan'!$H$26)),'Hiring plan'!$F$26,0)</f>
        <v>0</v>
      </c>
      <c r="AB30" s="37" t="n">
        <f aca="false">IF(AND(N('Hiring plan'!$F$26)&gt;0,AB$3&gt;='Hiring plan'!$G$26,AB$3&lt;=IF('Hiring plan'!$H$26="",999,'Hiring plan'!$H$26)),'Hiring plan'!$F$26,0)</f>
        <v>0</v>
      </c>
      <c r="AC30" s="37" t="n">
        <f aca="false">IF(AND(N('Hiring plan'!$F$26)&gt;0,AC$3&gt;='Hiring plan'!$G$26,AC$3&lt;=IF('Hiring plan'!$H$26="",999,'Hiring plan'!$H$26)),'Hiring plan'!$F$26,0)</f>
        <v>0</v>
      </c>
      <c r="AD30" s="37" t="n">
        <f aca="false">IF(AND(N('Hiring plan'!$F$26)&gt;0,AD$3&gt;='Hiring plan'!$G$26,AD$3&lt;=IF('Hiring plan'!$H$26="",999,'Hiring plan'!$H$26)),'Hiring plan'!$F$26,0)</f>
        <v>0</v>
      </c>
      <c r="AE30" s="37" t="n">
        <f aca="false">IF(AND(N('Hiring plan'!$F$26)&gt;0,AE$3&gt;='Hiring plan'!$G$26,AE$3&lt;=IF('Hiring plan'!$H$26="",999,'Hiring plan'!$H$26)),'Hiring plan'!$F$26,0)</f>
        <v>0</v>
      </c>
      <c r="AF30" s="37" t="n">
        <f aca="false">IF(AND(N('Hiring plan'!$F$26)&gt;0,AF$3&gt;='Hiring plan'!$G$26,AF$3&lt;=IF('Hiring plan'!$H$26="",999,'Hiring plan'!$H$26)),'Hiring plan'!$F$26,0)</f>
        <v>0</v>
      </c>
      <c r="AG30" s="37" t="n">
        <f aca="false">IF(AND(N('Hiring plan'!$F$26)&gt;0,AG$3&gt;='Hiring plan'!$G$26,AG$3&lt;=IF('Hiring plan'!$H$26="",999,'Hiring plan'!$H$26)),'Hiring plan'!$F$26,0)</f>
        <v>0</v>
      </c>
      <c r="AH30" s="37" t="n">
        <f aca="false">IF(AND(N('Hiring plan'!$F$26)&gt;0,AH$3&gt;='Hiring plan'!$G$26,AH$3&lt;=IF('Hiring plan'!$H$26="",999,'Hiring plan'!$H$26)),'Hiring plan'!$F$26,0)</f>
        <v>0</v>
      </c>
      <c r="AI30" s="37" t="n">
        <f aca="false">IF(AND(N('Hiring plan'!$F$26)&gt;0,AI$3&gt;='Hiring plan'!$G$26,AI$3&lt;=IF('Hiring plan'!$H$26="",999,'Hiring plan'!$H$26)),'Hiring plan'!$F$26,0)</f>
        <v>0</v>
      </c>
      <c r="AJ30" s="37" t="n">
        <f aca="false">IF(AND(N('Hiring plan'!$F$26)&gt;0,AJ$3&gt;='Hiring plan'!$G$26,AJ$3&lt;=IF('Hiring plan'!$H$26="",999,'Hiring plan'!$H$26)),'Hiring plan'!$F$26,0)</f>
        <v>0</v>
      </c>
      <c r="AK30" s="37" t="n">
        <f aca="false">IF(AND(N('Hiring plan'!$F$26)&gt;0,AK$3&gt;='Hiring plan'!$G$26,AK$3&lt;=IF('Hiring plan'!$H$26="",999,'Hiring plan'!$H$26)),'Hiring plan'!$F$26,0)</f>
        <v>0</v>
      </c>
      <c r="AL30" s="37" t="n">
        <f aca="false">IF(AND(N('Hiring plan'!$F$26)&gt;0,AL$3&gt;='Hiring plan'!$G$26,AL$3&lt;=IF('Hiring plan'!$H$26="",999,'Hiring plan'!$H$26)),'Hiring plan'!$F$26,0)</f>
        <v>0</v>
      </c>
      <c r="AM30" s="37" t="n">
        <f aca="false">IF(AND(N('Hiring plan'!$F$26)&gt;0,AM$3&gt;='Hiring plan'!$G$26,AM$3&lt;=IF('Hiring plan'!$H$26="",999,'Hiring plan'!$H$26)),'Hiring plan'!$F$26,0)</f>
        <v>0</v>
      </c>
      <c r="AN30" s="37" t="n">
        <f aca="false">IF(AND(N('Hiring plan'!$F$26)&gt;0,AN$3&gt;='Hiring plan'!$G$26,AN$3&lt;=IF('Hiring plan'!$H$26="",999,'Hiring plan'!$H$26)),'Hiring plan'!$F$26,0)</f>
        <v>0</v>
      </c>
      <c r="AO30" s="37" t="n">
        <f aca="false">IF(AND(N('Hiring plan'!$F$26)&gt;0,AO$3&gt;='Hiring plan'!$G$26,AO$3&lt;=IF('Hiring plan'!$H$26="",999,'Hiring plan'!$H$26)),'Hiring plan'!$F$26,0)</f>
        <v>0</v>
      </c>
      <c r="AP30" s="37" t="n">
        <f aca="false">IF(AND(N('Hiring plan'!$F$26)&gt;0,AP$3&gt;='Hiring plan'!$G$26,AP$3&lt;=IF('Hiring plan'!$H$26="",999,'Hiring plan'!$H$26)),'Hiring plan'!$F$26,0)</f>
        <v>0</v>
      </c>
      <c r="AQ30" s="37" t="n">
        <f aca="false">IF(AND(N('Hiring plan'!$F$26)&gt;0,AQ$3&gt;='Hiring plan'!$G$26,AQ$3&lt;=IF('Hiring plan'!$H$26="",999,'Hiring plan'!$H$26)),'Hiring plan'!$F$26,0)</f>
        <v>0</v>
      </c>
      <c r="AR30" s="37" t="n">
        <f aca="false">IF(AND(N('Hiring plan'!$F$26)&gt;0,AR$3&gt;='Hiring plan'!$G$26,AR$3&lt;=IF('Hiring plan'!$H$26="",999,'Hiring plan'!$H$26)),'Hiring plan'!$F$26,0)</f>
        <v>0</v>
      </c>
      <c r="AS30" s="37" t="n">
        <f aca="false">IF(AND(N('Hiring plan'!$F$26)&gt;0,AS$3&gt;='Hiring plan'!$G$26,AS$3&lt;=IF('Hiring plan'!$H$26="",999,'Hiring plan'!$H$26)),'Hiring plan'!$F$26,0)</f>
        <v>0</v>
      </c>
      <c r="AT30" s="37" t="n">
        <f aca="false">IF(AND(N('Hiring plan'!$F$26)&gt;0,AT$3&gt;='Hiring plan'!$G$26,AT$3&lt;=IF('Hiring plan'!$H$26="",999,'Hiring plan'!$H$26)),'Hiring plan'!$F$26,0)</f>
        <v>0</v>
      </c>
      <c r="AU30" s="37" t="n">
        <f aca="false">IF(AND(N('Hiring plan'!$F$26)&gt;0,AU$3&gt;='Hiring plan'!$G$26,AU$3&lt;=IF('Hiring plan'!$H$26="",999,'Hiring plan'!$H$26)),'Hiring plan'!$F$26,0)</f>
        <v>0</v>
      </c>
      <c r="AV30" s="37" t="n">
        <f aca="false">IF(AND(N('Hiring plan'!$F$26)&gt;0,AV$3&gt;='Hiring plan'!$G$26,AV$3&lt;=IF('Hiring plan'!$H$26="",999,'Hiring plan'!$H$26)),'Hiring plan'!$F$26,0)</f>
        <v>0</v>
      </c>
      <c r="AW30" s="37" t="n">
        <f aca="false">IF(AND(N('Hiring plan'!$F$26)&gt;0,AW$3&gt;='Hiring plan'!$G$26,AW$3&lt;=IF('Hiring plan'!$H$26="",999,'Hiring plan'!$H$26)),'Hiring plan'!$F$26,0)</f>
        <v>0</v>
      </c>
      <c r="AX30" s="37" t="n">
        <f aca="false">IF(AND(N('Hiring plan'!$F$26)&gt;0,AX$3&gt;='Hiring plan'!$G$26,AX$3&lt;=IF('Hiring plan'!$H$26="",999,'Hiring plan'!$H$26)),'Hiring plan'!$F$26,0)</f>
        <v>0</v>
      </c>
      <c r="AY30" s="37" t="n">
        <f aca="false">IF(AND(N('Hiring plan'!$F$26)&gt;0,AY$3&gt;='Hiring plan'!$G$26,AY$3&lt;=IF('Hiring plan'!$H$26="",999,'Hiring plan'!$H$26)),'Hiring plan'!$F$26,0)</f>
        <v>0</v>
      </c>
      <c r="AZ30" s="37" t="n">
        <f aca="false">IF(AND(N('Hiring plan'!$F$26)&gt;0,AZ$3&gt;='Hiring plan'!$G$26,AZ$3&lt;=IF('Hiring plan'!$H$26="",999,'Hiring plan'!$H$26)),'Hiring plan'!$F$26,0)</f>
        <v>0</v>
      </c>
      <c r="BA30" s="37" t="n">
        <f aca="false">IF(AND(N('Hiring plan'!$F$26)&gt;0,BA$3&gt;='Hiring plan'!$G$26,BA$3&lt;=IF('Hiring plan'!$H$26="",999,'Hiring plan'!$H$26)),'Hiring plan'!$F$26,0)</f>
        <v>0</v>
      </c>
      <c r="BB30" s="37" t="n">
        <f aca="false">IF(AND(N('Hiring plan'!$F$26)&gt;0,BB$3&gt;='Hiring plan'!$G$26,BB$3&lt;=IF('Hiring plan'!$H$26="",999,'Hiring plan'!$H$26)),'Hiring plan'!$F$26,0)</f>
        <v>0</v>
      </c>
      <c r="BC30" s="37" t="n">
        <f aca="false">IF(AND(N('Hiring plan'!$F$26)&gt;0,BC$3&gt;='Hiring plan'!$G$26,BC$3&lt;=IF('Hiring plan'!$H$26="",999,'Hiring plan'!$H$26)),'Hiring plan'!$F$26,0)</f>
        <v>0</v>
      </c>
      <c r="BD30" s="37" t="n">
        <f aca="false">IF(AND(N('Hiring plan'!$F$26)&gt;0,BD$3&gt;='Hiring plan'!$G$26,BD$3&lt;=IF('Hiring plan'!$H$26="",999,'Hiring plan'!$H$26)),'Hiring plan'!$F$26,0)</f>
        <v>0</v>
      </c>
      <c r="BE30" s="37" t="n">
        <f aca="false">IF(AND(N('Hiring plan'!$F$26)&gt;0,BE$3&gt;='Hiring plan'!$G$26,BE$3&lt;=IF('Hiring plan'!$H$26="",999,'Hiring plan'!$H$26)),'Hiring plan'!$F$26,0)</f>
        <v>0</v>
      </c>
      <c r="BF30" s="37" t="n">
        <f aca="false">IF(AND(N('Hiring plan'!$F$26)&gt;0,BF$3&gt;='Hiring plan'!$G$26,BF$3&lt;=IF('Hiring plan'!$H$26="",999,'Hiring plan'!$H$26)),'Hiring plan'!$F$26,0)</f>
        <v>0</v>
      </c>
      <c r="BG30" s="37" t="n">
        <f aca="false">IF(AND(N('Hiring plan'!$F$26)&gt;0,BG$3&gt;='Hiring plan'!$G$26,BG$3&lt;=IF('Hiring plan'!$H$26="",999,'Hiring plan'!$H$26)),'Hiring plan'!$F$26,0)</f>
        <v>0</v>
      </c>
      <c r="BH30" s="37" t="n">
        <f aca="false">IF(AND(N('Hiring plan'!$F$26)&gt;0,BH$3&gt;='Hiring plan'!$G$26,BH$3&lt;=IF('Hiring plan'!$H$26="",999,'Hiring plan'!$H$26)),'Hiring plan'!$F$26,0)</f>
        <v>0</v>
      </c>
      <c r="BI30" s="37" t="n">
        <f aca="false">IF(AND(N('Hiring plan'!$F$26)&gt;0,BI$3&gt;='Hiring plan'!$G$26,BI$3&lt;=IF('Hiring plan'!$H$26="",999,'Hiring plan'!$H$26)),'Hiring plan'!$F$26,0)</f>
        <v>0</v>
      </c>
      <c r="BJ30" s="37" t="n">
        <f aca="false">IF(AND(N('Hiring plan'!$F$26)&gt;0,BJ$3&gt;='Hiring plan'!$G$26,BJ$3&lt;=IF('Hiring plan'!$H$26="",999,'Hiring plan'!$H$26)),'Hiring plan'!$F$26,0)</f>
        <v>0</v>
      </c>
      <c r="BK30" s="37" t="n">
        <f aca="false">IF(AND(N('Hiring plan'!$F$26)&gt;0,BK$3&gt;='Hiring plan'!$G$26,BK$3&lt;=IF('Hiring plan'!$H$26="",999,'Hiring plan'!$H$26)),'Hiring plan'!$F$26,0)</f>
        <v>0</v>
      </c>
      <c r="BL30" s="37" t="n">
        <f aca="false">IF(AND(N('Hiring plan'!$F$26)&gt;0,BL$3&gt;='Hiring plan'!$G$26,BL$3&lt;=IF('Hiring plan'!$H$26="",999,'Hiring plan'!$H$26)),'Hiring plan'!$F$26,0)</f>
        <v>0</v>
      </c>
    </row>
    <row r="31" customFormat="false" ht="15" hidden="false" customHeight="false" outlineLevel="0" collapsed="false">
      <c r="A31" s="12" t="str">
        <f aca="false">IF('Hiring plan'!$C$27="","(spare line 23)",'Hiring plan'!$C$27&amp;" · "&amp;'Hiring plan'!$D$27)</f>
        <v>(spare line 23)</v>
      </c>
      <c r="B31" s="14" t="s">
        <v>86</v>
      </c>
      <c r="D31" s="55" t="n">
        <f aca="false">MAX(E31:BL31)</f>
        <v>0</v>
      </c>
      <c r="E31" s="37" t="n">
        <f aca="false">IF(AND(N('Hiring plan'!$F$27)&gt;0,E$3&gt;='Hiring plan'!$G$27,E$3&lt;=IF('Hiring plan'!$H$27="",999,'Hiring plan'!$H$27)),'Hiring plan'!$F$27,0)</f>
        <v>0</v>
      </c>
      <c r="F31" s="37" t="n">
        <f aca="false">IF(AND(N('Hiring plan'!$F$27)&gt;0,F$3&gt;='Hiring plan'!$G$27,F$3&lt;=IF('Hiring plan'!$H$27="",999,'Hiring plan'!$H$27)),'Hiring plan'!$F$27,0)</f>
        <v>0</v>
      </c>
      <c r="G31" s="37" t="n">
        <f aca="false">IF(AND(N('Hiring plan'!$F$27)&gt;0,G$3&gt;='Hiring plan'!$G$27,G$3&lt;=IF('Hiring plan'!$H$27="",999,'Hiring plan'!$H$27)),'Hiring plan'!$F$27,0)</f>
        <v>0</v>
      </c>
      <c r="H31" s="37" t="n">
        <f aca="false">IF(AND(N('Hiring plan'!$F$27)&gt;0,H$3&gt;='Hiring plan'!$G$27,H$3&lt;=IF('Hiring plan'!$H$27="",999,'Hiring plan'!$H$27)),'Hiring plan'!$F$27,0)</f>
        <v>0</v>
      </c>
      <c r="I31" s="37" t="n">
        <f aca="false">IF(AND(N('Hiring plan'!$F$27)&gt;0,I$3&gt;='Hiring plan'!$G$27,I$3&lt;=IF('Hiring plan'!$H$27="",999,'Hiring plan'!$H$27)),'Hiring plan'!$F$27,0)</f>
        <v>0</v>
      </c>
      <c r="J31" s="37" t="n">
        <f aca="false">IF(AND(N('Hiring plan'!$F$27)&gt;0,J$3&gt;='Hiring plan'!$G$27,J$3&lt;=IF('Hiring plan'!$H$27="",999,'Hiring plan'!$H$27)),'Hiring plan'!$F$27,0)</f>
        <v>0</v>
      </c>
      <c r="K31" s="37" t="n">
        <f aca="false">IF(AND(N('Hiring plan'!$F$27)&gt;0,K$3&gt;='Hiring plan'!$G$27,K$3&lt;=IF('Hiring plan'!$H$27="",999,'Hiring plan'!$H$27)),'Hiring plan'!$F$27,0)</f>
        <v>0</v>
      </c>
      <c r="L31" s="37" t="n">
        <f aca="false">IF(AND(N('Hiring plan'!$F$27)&gt;0,L$3&gt;='Hiring plan'!$G$27,L$3&lt;=IF('Hiring plan'!$H$27="",999,'Hiring plan'!$H$27)),'Hiring plan'!$F$27,0)</f>
        <v>0</v>
      </c>
      <c r="M31" s="37" t="n">
        <f aca="false">IF(AND(N('Hiring plan'!$F$27)&gt;0,M$3&gt;='Hiring plan'!$G$27,M$3&lt;=IF('Hiring plan'!$H$27="",999,'Hiring plan'!$H$27)),'Hiring plan'!$F$27,0)</f>
        <v>0</v>
      </c>
      <c r="N31" s="37" t="n">
        <f aca="false">IF(AND(N('Hiring plan'!$F$27)&gt;0,N$3&gt;='Hiring plan'!$G$27,N$3&lt;=IF('Hiring plan'!$H$27="",999,'Hiring plan'!$H$27)),'Hiring plan'!$F$27,0)</f>
        <v>0</v>
      </c>
      <c r="O31" s="37" t="n">
        <f aca="false">IF(AND(N('Hiring plan'!$F$27)&gt;0,O$3&gt;='Hiring plan'!$G$27,O$3&lt;=IF('Hiring plan'!$H$27="",999,'Hiring plan'!$H$27)),'Hiring plan'!$F$27,0)</f>
        <v>0</v>
      </c>
      <c r="P31" s="37" t="n">
        <f aca="false">IF(AND(N('Hiring plan'!$F$27)&gt;0,P$3&gt;='Hiring plan'!$G$27,P$3&lt;=IF('Hiring plan'!$H$27="",999,'Hiring plan'!$H$27)),'Hiring plan'!$F$27,0)</f>
        <v>0</v>
      </c>
      <c r="Q31" s="37" t="n">
        <f aca="false">IF(AND(N('Hiring plan'!$F$27)&gt;0,Q$3&gt;='Hiring plan'!$G$27,Q$3&lt;=IF('Hiring plan'!$H$27="",999,'Hiring plan'!$H$27)),'Hiring plan'!$F$27,0)</f>
        <v>0</v>
      </c>
      <c r="R31" s="37" t="n">
        <f aca="false">IF(AND(N('Hiring plan'!$F$27)&gt;0,R$3&gt;='Hiring plan'!$G$27,R$3&lt;=IF('Hiring plan'!$H$27="",999,'Hiring plan'!$H$27)),'Hiring plan'!$F$27,0)</f>
        <v>0</v>
      </c>
      <c r="S31" s="37" t="n">
        <f aca="false">IF(AND(N('Hiring plan'!$F$27)&gt;0,S$3&gt;='Hiring plan'!$G$27,S$3&lt;=IF('Hiring plan'!$H$27="",999,'Hiring plan'!$H$27)),'Hiring plan'!$F$27,0)</f>
        <v>0</v>
      </c>
      <c r="T31" s="37" t="n">
        <f aca="false">IF(AND(N('Hiring plan'!$F$27)&gt;0,T$3&gt;='Hiring plan'!$G$27,T$3&lt;=IF('Hiring plan'!$H$27="",999,'Hiring plan'!$H$27)),'Hiring plan'!$F$27,0)</f>
        <v>0</v>
      </c>
      <c r="U31" s="37" t="n">
        <f aca="false">IF(AND(N('Hiring plan'!$F$27)&gt;0,U$3&gt;='Hiring plan'!$G$27,U$3&lt;=IF('Hiring plan'!$H$27="",999,'Hiring plan'!$H$27)),'Hiring plan'!$F$27,0)</f>
        <v>0</v>
      </c>
      <c r="V31" s="37" t="n">
        <f aca="false">IF(AND(N('Hiring plan'!$F$27)&gt;0,V$3&gt;='Hiring plan'!$G$27,V$3&lt;=IF('Hiring plan'!$H$27="",999,'Hiring plan'!$H$27)),'Hiring plan'!$F$27,0)</f>
        <v>0</v>
      </c>
      <c r="W31" s="37" t="n">
        <f aca="false">IF(AND(N('Hiring plan'!$F$27)&gt;0,W$3&gt;='Hiring plan'!$G$27,W$3&lt;=IF('Hiring plan'!$H$27="",999,'Hiring plan'!$H$27)),'Hiring plan'!$F$27,0)</f>
        <v>0</v>
      </c>
      <c r="X31" s="37" t="n">
        <f aca="false">IF(AND(N('Hiring plan'!$F$27)&gt;0,X$3&gt;='Hiring plan'!$G$27,X$3&lt;=IF('Hiring plan'!$H$27="",999,'Hiring plan'!$H$27)),'Hiring plan'!$F$27,0)</f>
        <v>0</v>
      </c>
      <c r="Y31" s="37" t="n">
        <f aca="false">IF(AND(N('Hiring plan'!$F$27)&gt;0,Y$3&gt;='Hiring plan'!$G$27,Y$3&lt;=IF('Hiring plan'!$H$27="",999,'Hiring plan'!$H$27)),'Hiring plan'!$F$27,0)</f>
        <v>0</v>
      </c>
      <c r="Z31" s="37" t="n">
        <f aca="false">IF(AND(N('Hiring plan'!$F$27)&gt;0,Z$3&gt;='Hiring plan'!$G$27,Z$3&lt;=IF('Hiring plan'!$H$27="",999,'Hiring plan'!$H$27)),'Hiring plan'!$F$27,0)</f>
        <v>0</v>
      </c>
      <c r="AA31" s="37" t="n">
        <f aca="false">IF(AND(N('Hiring plan'!$F$27)&gt;0,AA$3&gt;='Hiring plan'!$G$27,AA$3&lt;=IF('Hiring plan'!$H$27="",999,'Hiring plan'!$H$27)),'Hiring plan'!$F$27,0)</f>
        <v>0</v>
      </c>
      <c r="AB31" s="37" t="n">
        <f aca="false">IF(AND(N('Hiring plan'!$F$27)&gt;0,AB$3&gt;='Hiring plan'!$G$27,AB$3&lt;=IF('Hiring plan'!$H$27="",999,'Hiring plan'!$H$27)),'Hiring plan'!$F$27,0)</f>
        <v>0</v>
      </c>
      <c r="AC31" s="37" t="n">
        <f aca="false">IF(AND(N('Hiring plan'!$F$27)&gt;0,AC$3&gt;='Hiring plan'!$G$27,AC$3&lt;=IF('Hiring plan'!$H$27="",999,'Hiring plan'!$H$27)),'Hiring plan'!$F$27,0)</f>
        <v>0</v>
      </c>
      <c r="AD31" s="37" t="n">
        <f aca="false">IF(AND(N('Hiring plan'!$F$27)&gt;0,AD$3&gt;='Hiring plan'!$G$27,AD$3&lt;=IF('Hiring plan'!$H$27="",999,'Hiring plan'!$H$27)),'Hiring plan'!$F$27,0)</f>
        <v>0</v>
      </c>
      <c r="AE31" s="37" t="n">
        <f aca="false">IF(AND(N('Hiring plan'!$F$27)&gt;0,AE$3&gt;='Hiring plan'!$G$27,AE$3&lt;=IF('Hiring plan'!$H$27="",999,'Hiring plan'!$H$27)),'Hiring plan'!$F$27,0)</f>
        <v>0</v>
      </c>
      <c r="AF31" s="37" t="n">
        <f aca="false">IF(AND(N('Hiring plan'!$F$27)&gt;0,AF$3&gt;='Hiring plan'!$G$27,AF$3&lt;=IF('Hiring plan'!$H$27="",999,'Hiring plan'!$H$27)),'Hiring plan'!$F$27,0)</f>
        <v>0</v>
      </c>
      <c r="AG31" s="37" t="n">
        <f aca="false">IF(AND(N('Hiring plan'!$F$27)&gt;0,AG$3&gt;='Hiring plan'!$G$27,AG$3&lt;=IF('Hiring plan'!$H$27="",999,'Hiring plan'!$H$27)),'Hiring plan'!$F$27,0)</f>
        <v>0</v>
      </c>
      <c r="AH31" s="37" t="n">
        <f aca="false">IF(AND(N('Hiring plan'!$F$27)&gt;0,AH$3&gt;='Hiring plan'!$G$27,AH$3&lt;=IF('Hiring plan'!$H$27="",999,'Hiring plan'!$H$27)),'Hiring plan'!$F$27,0)</f>
        <v>0</v>
      </c>
      <c r="AI31" s="37" t="n">
        <f aca="false">IF(AND(N('Hiring plan'!$F$27)&gt;0,AI$3&gt;='Hiring plan'!$G$27,AI$3&lt;=IF('Hiring plan'!$H$27="",999,'Hiring plan'!$H$27)),'Hiring plan'!$F$27,0)</f>
        <v>0</v>
      </c>
      <c r="AJ31" s="37" t="n">
        <f aca="false">IF(AND(N('Hiring plan'!$F$27)&gt;0,AJ$3&gt;='Hiring plan'!$G$27,AJ$3&lt;=IF('Hiring plan'!$H$27="",999,'Hiring plan'!$H$27)),'Hiring plan'!$F$27,0)</f>
        <v>0</v>
      </c>
      <c r="AK31" s="37" t="n">
        <f aca="false">IF(AND(N('Hiring plan'!$F$27)&gt;0,AK$3&gt;='Hiring plan'!$G$27,AK$3&lt;=IF('Hiring plan'!$H$27="",999,'Hiring plan'!$H$27)),'Hiring plan'!$F$27,0)</f>
        <v>0</v>
      </c>
      <c r="AL31" s="37" t="n">
        <f aca="false">IF(AND(N('Hiring plan'!$F$27)&gt;0,AL$3&gt;='Hiring plan'!$G$27,AL$3&lt;=IF('Hiring plan'!$H$27="",999,'Hiring plan'!$H$27)),'Hiring plan'!$F$27,0)</f>
        <v>0</v>
      </c>
      <c r="AM31" s="37" t="n">
        <f aca="false">IF(AND(N('Hiring plan'!$F$27)&gt;0,AM$3&gt;='Hiring plan'!$G$27,AM$3&lt;=IF('Hiring plan'!$H$27="",999,'Hiring plan'!$H$27)),'Hiring plan'!$F$27,0)</f>
        <v>0</v>
      </c>
      <c r="AN31" s="37" t="n">
        <f aca="false">IF(AND(N('Hiring plan'!$F$27)&gt;0,AN$3&gt;='Hiring plan'!$G$27,AN$3&lt;=IF('Hiring plan'!$H$27="",999,'Hiring plan'!$H$27)),'Hiring plan'!$F$27,0)</f>
        <v>0</v>
      </c>
      <c r="AO31" s="37" t="n">
        <f aca="false">IF(AND(N('Hiring plan'!$F$27)&gt;0,AO$3&gt;='Hiring plan'!$G$27,AO$3&lt;=IF('Hiring plan'!$H$27="",999,'Hiring plan'!$H$27)),'Hiring plan'!$F$27,0)</f>
        <v>0</v>
      </c>
      <c r="AP31" s="37" t="n">
        <f aca="false">IF(AND(N('Hiring plan'!$F$27)&gt;0,AP$3&gt;='Hiring plan'!$G$27,AP$3&lt;=IF('Hiring plan'!$H$27="",999,'Hiring plan'!$H$27)),'Hiring plan'!$F$27,0)</f>
        <v>0</v>
      </c>
      <c r="AQ31" s="37" t="n">
        <f aca="false">IF(AND(N('Hiring plan'!$F$27)&gt;0,AQ$3&gt;='Hiring plan'!$G$27,AQ$3&lt;=IF('Hiring plan'!$H$27="",999,'Hiring plan'!$H$27)),'Hiring plan'!$F$27,0)</f>
        <v>0</v>
      </c>
      <c r="AR31" s="37" t="n">
        <f aca="false">IF(AND(N('Hiring plan'!$F$27)&gt;0,AR$3&gt;='Hiring plan'!$G$27,AR$3&lt;=IF('Hiring plan'!$H$27="",999,'Hiring plan'!$H$27)),'Hiring plan'!$F$27,0)</f>
        <v>0</v>
      </c>
      <c r="AS31" s="37" t="n">
        <f aca="false">IF(AND(N('Hiring plan'!$F$27)&gt;0,AS$3&gt;='Hiring plan'!$G$27,AS$3&lt;=IF('Hiring plan'!$H$27="",999,'Hiring plan'!$H$27)),'Hiring plan'!$F$27,0)</f>
        <v>0</v>
      </c>
      <c r="AT31" s="37" t="n">
        <f aca="false">IF(AND(N('Hiring plan'!$F$27)&gt;0,AT$3&gt;='Hiring plan'!$G$27,AT$3&lt;=IF('Hiring plan'!$H$27="",999,'Hiring plan'!$H$27)),'Hiring plan'!$F$27,0)</f>
        <v>0</v>
      </c>
      <c r="AU31" s="37" t="n">
        <f aca="false">IF(AND(N('Hiring plan'!$F$27)&gt;0,AU$3&gt;='Hiring plan'!$G$27,AU$3&lt;=IF('Hiring plan'!$H$27="",999,'Hiring plan'!$H$27)),'Hiring plan'!$F$27,0)</f>
        <v>0</v>
      </c>
      <c r="AV31" s="37" t="n">
        <f aca="false">IF(AND(N('Hiring plan'!$F$27)&gt;0,AV$3&gt;='Hiring plan'!$G$27,AV$3&lt;=IF('Hiring plan'!$H$27="",999,'Hiring plan'!$H$27)),'Hiring plan'!$F$27,0)</f>
        <v>0</v>
      </c>
      <c r="AW31" s="37" t="n">
        <f aca="false">IF(AND(N('Hiring plan'!$F$27)&gt;0,AW$3&gt;='Hiring plan'!$G$27,AW$3&lt;=IF('Hiring plan'!$H$27="",999,'Hiring plan'!$H$27)),'Hiring plan'!$F$27,0)</f>
        <v>0</v>
      </c>
      <c r="AX31" s="37" t="n">
        <f aca="false">IF(AND(N('Hiring plan'!$F$27)&gt;0,AX$3&gt;='Hiring plan'!$G$27,AX$3&lt;=IF('Hiring plan'!$H$27="",999,'Hiring plan'!$H$27)),'Hiring plan'!$F$27,0)</f>
        <v>0</v>
      </c>
      <c r="AY31" s="37" t="n">
        <f aca="false">IF(AND(N('Hiring plan'!$F$27)&gt;0,AY$3&gt;='Hiring plan'!$G$27,AY$3&lt;=IF('Hiring plan'!$H$27="",999,'Hiring plan'!$H$27)),'Hiring plan'!$F$27,0)</f>
        <v>0</v>
      </c>
      <c r="AZ31" s="37" t="n">
        <f aca="false">IF(AND(N('Hiring plan'!$F$27)&gt;0,AZ$3&gt;='Hiring plan'!$G$27,AZ$3&lt;=IF('Hiring plan'!$H$27="",999,'Hiring plan'!$H$27)),'Hiring plan'!$F$27,0)</f>
        <v>0</v>
      </c>
      <c r="BA31" s="37" t="n">
        <f aca="false">IF(AND(N('Hiring plan'!$F$27)&gt;0,BA$3&gt;='Hiring plan'!$G$27,BA$3&lt;=IF('Hiring plan'!$H$27="",999,'Hiring plan'!$H$27)),'Hiring plan'!$F$27,0)</f>
        <v>0</v>
      </c>
      <c r="BB31" s="37" t="n">
        <f aca="false">IF(AND(N('Hiring plan'!$F$27)&gt;0,BB$3&gt;='Hiring plan'!$G$27,BB$3&lt;=IF('Hiring plan'!$H$27="",999,'Hiring plan'!$H$27)),'Hiring plan'!$F$27,0)</f>
        <v>0</v>
      </c>
      <c r="BC31" s="37" t="n">
        <f aca="false">IF(AND(N('Hiring plan'!$F$27)&gt;0,BC$3&gt;='Hiring plan'!$G$27,BC$3&lt;=IF('Hiring plan'!$H$27="",999,'Hiring plan'!$H$27)),'Hiring plan'!$F$27,0)</f>
        <v>0</v>
      </c>
      <c r="BD31" s="37" t="n">
        <f aca="false">IF(AND(N('Hiring plan'!$F$27)&gt;0,BD$3&gt;='Hiring plan'!$G$27,BD$3&lt;=IF('Hiring plan'!$H$27="",999,'Hiring plan'!$H$27)),'Hiring plan'!$F$27,0)</f>
        <v>0</v>
      </c>
      <c r="BE31" s="37" t="n">
        <f aca="false">IF(AND(N('Hiring plan'!$F$27)&gt;0,BE$3&gt;='Hiring plan'!$G$27,BE$3&lt;=IF('Hiring plan'!$H$27="",999,'Hiring plan'!$H$27)),'Hiring plan'!$F$27,0)</f>
        <v>0</v>
      </c>
      <c r="BF31" s="37" t="n">
        <f aca="false">IF(AND(N('Hiring plan'!$F$27)&gt;0,BF$3&gt;='Hiring plan'!$G$27,BF$3&lt;=IF('Hiring plan'!$H$27="",999,'Hiring plan'!$H$27)),'Hiring plan'!$F$27,0)</f>
        <v>0</v>
      </c>
      <c r="BG31" s="37" t="n">
        <f aca="false">IF(AND(N('Hiring plan'!$F$27)&gt;0,BG$3&gt;='Hiring plan'!$G$27,BG$3&lt;=IF('Hiring plan'!$H$27="",999,'Hiring plan'!$H$27)),'Hiring plan'!$F$27,0)</f>
        <v>0</v>
      </c>
      <c r="BH31" s="37" t="n">
        <f aca="false">IF(AND(N('Hiring plan'!$F$27)&gt;0,BH$3&gt;='Hiring plan'!$G$27,BH$3&lt;=IF('Hiring plan'!$H$27="",999,'Hiring plan'!$H$27)),'Hiring plan'!$F$27,0)</f>
        <v>0</v>
      </c>
      <c r="BI31" s="37" t="n">
        <f aca="false">IF(AND(N('Hiring plan'!$F$27)&gt;0,BI$3&gt;='Hiring plan'!$G$27,BI$3&lt;=IF('Hiring plan'!$H$27="",999,'Hiring plan'!$H$27)),'Hiring plan'!$F$27,0)</f>
        <v>0</v>
      </c>
      <c r="BJ31" s="37" t="n">
        <f aca="false">IF(AND(N('Hiring plan'!$F$27)&gt;0,BJ$3&gt;='Hiring plan'!$G$27,BJ$3&lt;=IF('Hiring plan'!$H$27="",999,'Hiring plan'!$H$27)),'Hiring plan'!$F$27,0)</f>
        <v>0</v>
      </c>
      <c r="BK31" s="37" t="n">
        <f aca="false">IF(AND(N('Hiring plan'!$F$27)&gt;0,BK$3&gt;='Hiring plan'!$G$27,BK$3&lt;=IF('Hiring plan'!$H$27="",999,'Hiring plan'!$H$27)),'Hiring plan'!$F$27,0)</f>
        <v>0</v>
      </c>
      <c r="BL31" s="37" t="n">
        <f aca="false">IF(AND(N('Hiring plan'!$F$27)&gt;0,BL$3&gt;='Hiring plan'!$G$27,BL$3&lt;=IF('Hiring plan'!$H$27="",999,'Hiring plan'!$H$27)),'Hiring plan'!$F$27,0)</f>
        <v>0</v>
      </c>
    </row>
    <row r="32" customFormat="false" ht="15" hidden="false" customHeight="false" outlineLevel="0" collapsed="false">
      <c r="A32" s="12" t="str">
        <f aca="false">IF('Hiring plan'!$C$28="","(spare line 24)",'Hiring plan'!$C$28&amp;" · "&amp;'Hiring plan'!$D$28)</f>
        <v>(spare line 24)</v>
      </c>
      <c r="B32" s="14" t="s">
        <v>86</v>
      </c>
      <c r="D32" s="55" t="n">
        <f aca="false">MAX(E32:BL32)</f>
        <v>0</v>
      </c>
      <c r="E32" s="37" t="n">
        <f aca="false">IF(AND(N('Hiring plan'!$F$28)&gt;0,E$3&gt;='Hiring plan'!$G$28,E$3&lt;=IF('Hiring plan'!$H$28="",999,'Hiring plan'!$H$28)),'Hiring plan'!$F$28,0)</f>
        <v>0</v>
      </c>
      <c r="F32" s="37" t="n">
        <f aca="false">IF(AND(N('Hiring plan'!$F$28)&gt;0,F$3&gt;='Hiring plan'!$G$28,F$3&lt;=IF('Hiring plan'!$H$28="",999,'Hiring plan'!$H$28)),'Hiring plan'!$F$28,0)</f>
        <v>0</v>
      </c>
      <c r="G32" s="37" t="n">
        <f aca="false">IF(AND(N('Hiring plan'!$F$28)&gt;0,G$3&gt;='Hiring plan'!$G$28,G$3&lt;=IF('Hiring plan'!$H$28="",999,'Hiring plan'!$H$28)),'Hiring plan'!$F$28,0)</f>
        <v>0</v>
      </c>
      <c r="H32" s="37" t="n">
        <f aca="false">IF(AND(N('Hiring plan'!$F$28)&gt;0,H$3&gt;='Hiring plan'!$G$28,H$3&lt;=IF('Hiring plan'!$H$28="",999,'Hiring plan'!$H$28)),'Hiring plan'!$F$28,0)</f>
        <v>0</v>
      </c>
      <c r="I32" s="37" t="n">
        <f aca="false">IF(AND(N('Hiring plan'!$F$28)&gt;0,I$3&gt;='Hiring plan'!$G$28,I$3&lt;=IF('Hiring plan'!$H$28="",999,'Hiring plan'!$H$28)),'Hiring plan'!$F$28,0)</f>
        <v>0</v>
      </c>
      <c r="J32" s="37" t="n">
        <f aca="false">IF(AND(N('Hiring plan'!$F$28)&gt;0,J$3&gt;='Hiring plan'!$G$28,J$3&lt;=IF('Hiring plan'!$H$28="",999,'Hiring plan'!$H$28)),'Hiring plan'!$F$28,0)</f>
        <v>0</v>
      </c>
      <c r="K32" s="37" t="n">
        <f aca="false">IF(AND(N('Hiring plan'!$F$28)&gt;0,K$3&gt;='Hiring plan'!$G$28,K$3&lt;=IF('Hiring plan'!$H$28="",999,'Hiring plan'!$H$28)),'Hiring plan'!$F$28,0)</f>
        <v>0</v>
      </c>
      <c r="L32" s="37" t="n">
        <f aca="false">IF(AND(N('Hiring plan'!$F$28)&gt;0,L$3&gt;='Hiring plan'!$G$28,L$3&lt;=IF('Hiring plan'!$H$28="",999,'Hiring plan'!$H$28)),'Hiring plan'!$F$28,0)</f>
        <v>0</v>
      </c>
      <c r="M32" s="37" t="n">
        <f aca="false">IF(AND(N('Hiring plan'!$F$28)&gt;0,M$3&gt;='Hiring plan'!$G$28,M$3&lt;=IF('Hiring plan'!$H$28="",999,'Hiring plan'!$H$28)),'Hiring plan'!$F$28,0)</f>
        <v>0</v>
      </c>
      <c r="N32" s="37" t="n">
        <f aca="false">IF(AND(N('Hiring plan'!$F$28)&gt;0,N$3&gt;='Hiring plan'!$G$28,N$3&lt;=IF('Hiring plan'!$H$28="",999,'Hiring plan'!$H$28)),'Hiring plan'!$F$28,0)</f>
        <v>0</v>
      </c>
      <c r="O32" s="37" t="n">
        <f aca="false">IF(AND(N('Hiring plan'!$F$28)&gt;0,O$3&gt;='Hiring plan'!$G$28,O$3&lt;=IF('Hiring plan'!$H$28="",999,'Hiring plan'!$H$28)),'Hiring plan'!$F$28,0)</f>
        <v>0</v>
      </c>
      <c r="P32" s="37" t="n">
        <f aca="false">IF(AND(N('Hiring plan'!$F$28)&gt;0,P$3&gt;='Hiring plan'!$G$28,P$3&lt;=IF('Hiring plan'!$H$28="",999,'Hiring plan'!$H$28)),'Hiring plan'!$F$28,0)</f>
        <v>0</v>
      </c>
      <c r="Q32" s="37" t="n">
        <f aca="false">IF(AND(N('Hiring plan'!$F$28)&gt;0,Q$3&gt;='Hiring plan'!$G$28,Q$3&lt;=IF('Hiring plan'!$H$28="",999,'Hiring plan'!$H$28)),'Hiring plan'!$F$28,0)</f>
        <v>0</v>
      </c>
      <c r="R32" s="37" t="n">
        <f aca="false">IF(AND(N('Hiring plan'!$F$28)&gt;0,R$3&gt;='Hiring plan'!$G$28,R$3&lt;=IF('Hiring plan'!$H$28="",999,'Hiring plan'!$H$28)),'Hiring plan'!$F$28,0)</f>
        <v>0</v>
      </c>
      <c r="S32" s="37" t="n">
        <f aca="false">IF(AND(N('Hiring plan'!$F$28)&gt;0,S$3&gt;='Hiring plan'!$G$28,S$3&lt;=IF('Hiring plan'!$H$28="",999,'Hiring plan'!$H$28)),'Hiring plan'!$F$28,0)</f>
        <v>0</v>
      </c>
      <c r="T32" s="37" t="n">
        <f aca="false">IF(AND(N('Hiring plan'!$F$28)&gt;0,T$3&gt;='Hiring plan'!$G$28,T$3&lt;=IF('Hiring plan'!$H$28="",999,'Hiring plan'!$H$28)),'Hiring plan'!$F$28,0)</f>
        <v>0</v>
      </c>
      <c r="U32" s="37" t="n">
        <f aca="false">IF(AND(N('Hiring plan'!$F$28)&gt;0,U$3&gt;='Hiring plan'!$G$28,U$3&lt;=IF('Hiring plan'!$H$28="",999,'Hiring plan'!$H$28)),'Hiring plan'!$F$28,0)</f>
        <v>0</v>
      </c>
      <c r="V32" s="37" t="n">
        <f aca="false">IF(AND(N('Hiring plan'!$F$28)&gt;0,V$3&gt;='Hiring plan'!$G$28,V$3&lt;=IF('Hiring plan'!$H$28="",999,'Hiring plan'!$H$28)),'Hiring plan'!$F$28,0)</f>
        <v>0</v>
      </c>
      <c r="W32" s="37" t="n">
        <f aca="false">IF(AND(N('Hiring plan'!$F$28)&gt;0,W$3&gt;='Hiring plan'!$G$28,W$3&lt;=IF('Hiring plan'!$H$28="",999,'Hiring plan'!$H$28)),'Hiring plan'!$F$28,0)</f>
        <v>0</v>
      </c>
      <c r="X32" s="37" t="n">
        <f aca="false">IF(AND(N('Hiring plan'!$F$28)&gt;0,X$3&gt;='Hiring plan'!$G$28,X$3&lt;=IF('Hiring plan'!$H$28="",999,'Hiring plan'!$H$28)),'Hiring plan'!$F$28,0)</f>
        <v>0</v>
      </c>
      <c r="Y32" s="37" t="n">
        <f aca="false">IF(AND(N('Hiring plan'!$F$28)&gt;0,Y$3&gt;='Hiring plan'!$G$28,Y$3&lt;=IF('Hiring plan'!$H$28="",999,'Hiring plan'!$H$28)),'Hiring plan'!$F$28,0)</f>
        <v>0</v>
      </c>
      <c r="Z32" s="37" t="n">
        <f aca="false">IF(AND(N('Hiring plan'!$F$28)&gt;0,Z$3&gt;='Hiring plan'!$G$28,Z$3&lt;=IF('Hiring plan'!$H$28="",999,'Hiring plan'!$H$28)),'Hiring plan'!$F$28,0)</f>
        <v>0</v>
      </c>
      <c r="AA32" s="37" t="n">
        <f aca="false">IF(AND(N('Hiring plan'!$F$28)&gt;0,AA$3&gt;='Hiring plan'!$G$28,AA$3&lt;=IF('Hiring plan'!$H$28="",999,'Hiring plan'!$H$28)),'Hiring plan'!$F$28,0)</f>
        <v>0</v>
      </c>
      <c r="AB32" s="37" t="n">
        <f aca="false">IF(AND(N('Hiring plan'!$F$28)&gt;0,AB$3&gt;='Hiring plan'!$G$28,AB$3&lt;=IF('Hiring plan'!$H$28="",999,'Hiring plan'!$H$28)),'Hiring plan'!$F$28,0)</f>
        <v>0</v>
      </c>
      <c r="AC32" s="37" t="n">
        <f aca="false">IF(AND(N('Hiring plan'!$F$28)&gt;0,AC$3&gt;='Hiring plan'!$G$28,AC$3&lt;=IF('Hiring plan'!$H$28="",999,'Hiring plan'!$H$28)),'Hiring plan'!$F$28,0)</f>
        <v>0</v>
      </c>
      <c r="AD32" s="37" t="n">
        <f aca="false">IF(AND(N('Hiring plan'!$F$28)&gt;0,AD$3&gt;='Hiring plan'!$G$28,AD$3&lt;=IF('Hiring plan'!$H$28="",999,'Hiring plan'!$H$28)),'Hiring plan'!$F$28,0)</f>
        <v>0</v>
      </c>
      <c r="AE32" s="37" t="n">
        <f aca="false">IF(AND(N('Hiring plan'!$F$28)&gt;0,AE$3&gt;='Hiring plan'!$G$28,AE$3&lt;=IF('Hiring plan'!$H$28="",999,'Hiring plan'!$H$28)),'Hiring plan'!$F$28,0)</f>
        <v>0</v>
      </c>
      <c r="AF32" s="37" t="n">
        <f aca="false">IF(AND(N('Hiring plan'!$F$28)&gt;0,AF$3&gt;='Hiring plan'!$G$28,AF$3&lt;=IF('Hiring plan'!$H$28="",999,'Hiring plan'!$H$28)),'Hiring plan'!$F$28,0)</f>
        <v>0</v>
      </c>
      <c r="AG32" s="37" t="n">
        <f aca="false">IF(AND(N('Hiring plan'!$F$28)&gt;0,AG$3&gt;='Hiring plan'!$G$28,AG$3&lt;=IF('Hiring plan'!$H$28="",999,'Hiring plan'!$H$28)),'Hiring plan'!$F$28,0)</f>
        <v>0</v>
      </c>
      <c r="AH32" s="37" t="n">
        <f aca="false">IF(AND(N('Hiring plan'!$F$28)&gt;0,AH$3&gt;='Hiring plan'!$G$28,AH$3&lt;=IF('Hiring plan'!$H$28="",999,'Hiring plan'!$H$28)),'Hiring plan'!$F$28,0)</f>
        <v>0</v>
      </c>
      <c r="AI32" s="37" t="n">
        <f aca="false">IF(AND(N('Hiring plan'!$F$28)&gt;0,AI$3&gt;='Hiring plan'!$G$28,AI$3&lt;=IF('Hiring plan'!$H$28="",999,'Hiring plan'!$H$28)),'Hiring plan'!$F$28,0)</f>
        <v>0</v>
      </c>
      <c r="AJ32" s="37" t="n">
        <f aca="false">IF(AND(N('Hiring plan'!$F$28)&gt;0,AJ$3&gt;='Hiring plan'!$G$28,AJ$3&lt;=IF('Hiring plan'!$H$28="",999,'Hiring plan'!$H$28)),'Hiring plan'!$F$28,0)</f>
        <v>0</v>
      </c>
      <c r="AK32" s="37" t="n">
        <f aca="false">IF(AND(N('Hiring plan'!$F$28)&gt;0,AK$3&gt;='Hiring plan'!$G$28,AK$3&lt;=IF('Hiring plan'!$H$28="",999,'Hiring plan'!$H$28)),'Hiring plan'!$F$28,0)</f>
        <v>0</v>
      </c>
      <c r="AL32" s="37" t="n">
        <f aca="false">IF(AND(N('Hiring plan'!$F$28)&gt;0,AL$3&gt;='Hiring plan'!$G$28,AL$3&lt;=IF('Hiring plan'!$H$28="",999,'Hiring plan'!$H$28)),'Hiring plan'!$F$28,0)</f>
        <v>0</v>
      </c>
      <c r="AM32" s="37" t="n">
        <f aca="false">IF(AND(N('Hiring plan'!$F$28)&gt;0,AM$3&gt;='Hiring plan'!$G$28,AM$3&lt;=IF('Hiring plan'!$H$28="",999,'Hiring plan'!$H$28)),'Hiring plan'!$F$28,0)</f>
        <v>0</v>
      </c>
      <c r="AN32" s="37" t="n">
        <f aca="false">IF(AND(N('Hiring plan'!$F$28)&gt;0,AN$3&gt;='Hiring plan'!$G$28,AN$3&lt;=IF('Hiring plan'!$H$28="",999,'Hiring plan'!$H$28)),'Hiring plan'!$F$28,0)</f>
        <v>0</v>
      </c>
      <c r="AO32" s="37" t="n">
        <f aca="false">IF(AND(N('Hiring plan'!$F$28)&gt;0,AO$3&gt;='Hiring plan'!$G$28,AO$3&lt;=IF('Hiring plan'!$H$28="",999,'Hiring plan'!$H$28)),'Hiring plan'!$F$28,0)</f>
        <v>0</v>
      </c>
      <c r="AP32" s="37" t="n">
        <f aca="false">IF(AND(N('Hiring plan'!$F$28)&gt;0,AP$3&gt;='Hiring plan'!$G$28,AP$3&lt;=IF('Hiring plan'!$H$28="",999,'Hiring plan'!$H$28)),'Hiring plan'!$F$28,0)</f>
        <v>0</v>
      </c>
      <c r="AQ32" s="37" t="n">
        <f aca="false">IF(AND(N('Hiring plan'!$F$28)&gt;0,AQ$3&gt;='Hiring plan'!$G$28,AQ$3&lt;=IF('Hiring plan'!$H$28="",999,'Hiring plan'!$H$28)),'Hiring plan'!$F$28,0)</f>
        <v>0</v>
      </c>
      <c r="AR32" s="37" t="n">
        <f aca="false">IF(AND(N('Hiring plan'!$F$28)&gt;0,AR$3&gt;='Hiring plan'!$G$28,AR$3&lt;=IF('Hiring plan'!$H$28="",999,'Hiring plan'!$H$28)),'Hiring plan'!$F$28,0)</f>
        <v>0</v>
      </c>
      <c r="AS32" s="37" t="n">
        <f aca="false">IF(AND(N('Hiring plan'!$F$28)&gt;0,AS$3&gt;='Hiring plan'!$G$28,AS$3&lt;=IF('Hiring plan'!$H$28="",999,'Hiring plan'!$H$28)),'Hiring plan'!$F$28,0)</f>
        <v>0</v>
      </c>
      <c r="AT32" s="37" t="n">
        <f aca="false">IF(AND(N('Hiring plan'!$F$28)&gt;0,AT$3&gt;='Hiring plan'!$G$28,AT$3&lt;=IF('Hiring plan'!$H$28="",999,'Hiring plan'!$H$28)),'Hiring plan'!$F$28,0)</f>
        <v>0</v>
      </c>
      <c r="AU32" s="37" t="n">
        <f aca="false">IF(AND(N('Hiring plan'!$F$28)&gt;0,AU$3&gt;='Hiring plan'!$G$28,AU$3&lt;=IF('Hiring plan'!$H$28="",999,'Hiring plan'!$H$28)),'Hiring plan'!$F$28,0)</f>
        <v>0</v>
      </c>
      <c r="AV32" s="37" t="n">
        <f aca="false">IF(AND(N('Hiring plan'!$F$28)&gt;0,AV$3&gt;='Hiring plan'!$G$28,AV$3&lt;=IF('Hiring plan'!$H$28="",999,'Hiring plan'!$H$28)),'Hiring plan'!$F$28,0)</f>
        <v>0</v>
      </c>
      <c r="AW32" s="37" t="n">
        <f aca="false">IF(AND(N('Hiring plan'!$F$28)&gt;0,AW$3&gt;='Hiring plan'!$G$28,AW$3&lt;=IF('Hiring plan'!$H$28="",999,'Hiring plan'!$H$28)),'Hiring plan'!$F$28,0)</f>
        <v>0</v>
      </c>
      <c r="AX32" s="37" t="n">
        <f aca="false">IF(AND(N('Hiring plan'!$F$28)&gt;0,AX$3&gt;='Hiring plan'!$G$28,AX$3&lt;=IF('Hiring plan'!$H$28="",999,'Hiring plan'!$H$28)),'Hiring plan'!$F$28,0)</f>
        <v>0</v>
      </c>
      <c r="AY32" s="37" t="n">
        <f aca="false">IF(AND(N('Hiring plan'!$F$28)&gt;0,AY$3&gt;='Hiring plan'!$G$28,AY$3&lt;=IF('Hiring plan'!$H$28="",999,'Hiring plan'!$H$28)),'Hiring plan'!$F$28,0)</f>
        <v>0</v>
      </c>
      <c r="AZ32" s="37" t="n">
        <f aca="false">IF(AND(N('Hiring plan'!$F$28)&gt;0,AZ$3&gt;='Hiring plan'!$G$28,AZ$3&lt;=IF('Hiring plan'!$H$28="",999,'Hiring plan'!$H$28)),'Hiring plan'!$F$28,0)</f>
        <v>0</v>
      </c>
      <c r="BA32" s="37" t="n">
        <f aca="false">IF(AND(N('Hiring plan'!$F$28)&gt;0,BA$3&gt;='Hiring plan'!$G$28,BA$3&lt;=IF('Hiring plan'!$H$28="",999,'Hiring plan'!$H$28)),'Hiring plan'!$F$28,0)</f>
        <v>0</v>
      </c>
      <c r="BB32" s="37" t="n">
        <f aca="false">IF(AND(N('Hiring plan'!$F$28)&gt;0,BB$3&gt;='Hiring plan'!$G$28,BB$3&lt;=IF('Hiring plan'!$H$28="",999,'Hiring plan'!$H$28)),'Hiring plan'!$F$28,0)</f>
        <v>0</v>
      </c>
      <c r="BC32" s="37" t="n">
        <f aca="false">IF(AND(N('Hiring plan'!$F$28)&gt;0,BC$3&gt;='Hiring plan'!$G$28,BC$3&lt;=IF('Hiring plan'!$H$28="",999,'Hiring plan'!$H$28)),'Hiring plan'!$F$28,0)</f>
        <v>0</v>
      </c>
      <c r="BD32" s="37" t="n">
        <f aca="false">IF(AND(N('Hiring plan'!$F$28)&gt;0,BD$3&gt;='Hiring plan'!$G$28,BD$3&lt;=IF('Hiring plan'!$H$28="",999,'Hiring plan'!$H$28)),'Hiring plan'!$F$28,0)</f>
        <v>0</v>
      </c>
      <c r="BE32" s="37" t="n">
        <f aca="false">IF(AND(N('Hiring plan'!$F$28)&gt;0,BE$3&gt;='Hiring plan'!$G$28,BE$3&lt;=IF('Hiring plan'!$H$28="",999,'Hiring plan'!$H$28)),'Hiring plan'!$F$28,0)</f>
        <v>0</v>
      </c>
      <c r="BF32" s="37" t="n">
        <f aca="false">IF(AND(N('Hiring plan'!$F$28)&gt;0,BF$3&gt;='Hiring plan'!$G$28,BF$3&lt;=IF('Hiring plan'!$H$28="",999,'Hiring plan'!$H$28)),'Hiring plan'!$F$28,0)</f>
        <v>0</v>
      </c>
      <c r="BG32" s="37" t="n">
        <f aca="false">IF(AND(N('Hiring plan'!$F$28)&gt;0,BG$3&gt;='Hiring plan'!$G$28,BG$3&lt;=IF('Hiring plan'!$H$28="",999,'Hiring plan'!$H$28)),'Hiring plan'!$F$28,0)</f>
        <v>0</v>
      </c>
      <c r="BH32" s="37" t="n">
        <f aca="false">IF(AND(N('Hiring plan'!$F$28)&gt;0,BH$3&gt;='Hiring plan'!$G$28,BH$3&lt;=IF('Hiring plan'!$H$28="",999,'Hiring plan'!$H$28)),'Hiring plan'!$F$28,0)</f>
        <v>0</v>
      </c>
      <c r="BI32" s="37" t="n">
        <f aca="false">IF(AND(N('Hiring plan'!$F$28)&gt;0,BI$3&gt;='Hiring plan'!$G$28,BI$3&lt;=IF('Hiring plan'!$H$28="",999,'Hiring plan'!$H$28)),'Hiring plan'!$F$28,0)</f>
        <v>0</v>
      </c>
      <c r="BJ32" s="37" t="n">
        <f aca="false">IF(AND(N('Hiring plan'!$F$28)&gt;0,BJ$3&gt;='Hiring plan'!$G$28,BJ$3&lt;=IF('Hiring plan'!$H$28="",999,'Hiring plan'!$H$28)),'Hiring plan'!$F$28,0)</f>
        <v>0</v>
      </c>
      <c r="BK32" s="37" t="n">
        <f aca="false">IF(AND(N('Hiring plan'!$F$28)&gt;0,BK$3&gt;='Hiring plan'!$G$28,BK$3&lt;=IF('Hiring plan'!$H$28="",999,'Hiring plan'!$H$28)),'Hiring plan'!$F$28,0)</f>
        <v>0</v>
      </c>
      <c r="BL32" s="37" t="n">
        <f aca="false">IF(AND(N('Hiring plan'!$F$28)&gt;0,BL$3&gt;='Hiring plan'!$G$28,BL$3&lt;=IF('Hiring plan'!$H$28="",999,'Hiring plan'!$H$28)),'Hiring plan'!$F$28,0)</f>
        <v>0</v>
      </c>
    </row>
    <row r="33" customFormat="false" ht="15" hidden="false" customHeight="false" outlineLevel="0" collapsed="false">
      <c r="A33" s="12" t="str">
        <f aca="false">IF('Hiring plan'!$C$29="","(spare line 25)",'Hiring plan'!$C$29&amp;" · "&amp;'Hiring plan'!$D$29)</f>
        <v>(spare line 25)</v>
      </c>
      <c r="B33" s="14" t="s">
        <v>86</v>
      </c>
      <c r="D33" s="55" t="n">
        <f aca="false">MAX(E33:BL33)</f>
        <v>0</v>
      </c>
      <c r="E33" s="37" t="n">
        <f aca="false">IF(AND(N('Hiring plan'!$F$29)&gt;0,E$3&gt;='Hiring plan'!$G$29,E$3&lt;=IF('Hiring plan'!$H$29="",999,'Hiring plan'!$H$29)),'Hiring plan'!$F$29,0)</f>
        <v>0</v>
      </c>
      <c r="F33" s="37" t="n">
        <f aca="false">IF(AND(N('Hiring plan'!$F$29)&gt;0,F$3&gt;='Hiring plan'!$G$29,F$3&lt;=IF('Hiring plan'!$H$29="",999,'Hiring plan'!$H$29)),'Hiring plan'!$F$29,0)</f>
        <v>0</v>
      </c>
      <c r="G33" s="37" t="n">
        <f aca="false">IF(AND(N('Hiring plan'!$F$29)&gt;0,G$3&gt;='Hiring plan'!$G$29,G$3&lt;=IF('Hiring plan'!$H$29="",999,'Hiring plan'!$H$29)),'Hiring plan'!$F$29,0)</f>
        <v>0</v>
      </c>
      <c r="H33" s="37" t="n">
        <f aca="false">IF(AND(N('Hiring plan'!$F$29)&gt;0,H$3&gt;='Hiring plan'!$G$29,H$3&lt;=IF('Hiring plan'!$H$29="",999,'Hiring plan'!$H$29)),'Hiring plan'!$F$29,0)</f>
        <v>0</v>
      </c>
      <c r="I33" s="37" t="n">
        <f aca="false">IF(AND(N('Hiring plan'!$F$29)&gt;0,I$3&gt;='Hiring plan'!$G$29,I$3&lt;=IF('Hiring plan'!$H$29="",999,'Hiring plan'!$H$29)),'Hiring plan'!$F$29,0)</f>
        <v>0</v>
      </c>
      <c r="J33" s="37" t="n">
        <f aca="false">IF(AND(N('Hiring plan'!$F$29)&gt;0,J$3&gt;='Hiring plan'!$G$29,J$3&lt;=IF('Hiring plan'!$H$29="",999,'Hiring plan'!$H$29)),'Hiring plan'!$F$29,0)</f>
        <v>0</v>
      </c>
      <c r="K33" s="37" t="n">
        <f aca="false">IF(AND(N('Hiring plan'!$F$29)&gt;0,K$3&gt;='Hiring plan'!$G$29,K$3&lt;=IF('Hiring plan'!$H$29="",999,'Hiring plan'!$H$29)),'Hiring plan'!$F$29,0)</f>
        <v>0</v>
      </c>
      <c r="L33" s="37" t="n">
        <f aca="false">IF(AND(N('Hiring plan'!$F$29)&gt;0,L$3&gt;='Hiring plan'!$G$29,L$3&lt;=IF('Hiring plan'!$H$29="",999,'Hiring plan'!$H$29)),'Hiring plan'!$F$29,0)</f>
        <v>0</v>
      </c>
      <c r="M33" s="37" t="n">
        <f aca="false">IF(AND(N('Hiring plan'!$F$29)&gt;0,M$3&gt;='Hiring plan'!$G$29,M$3&lt;=IF('Hiring plan'!$H$29="",999,'Hiring plan'!$H$29)),'Hiring plan'!$F$29,0)</f>
        <v>0</v>
      </c>
      <c r="N33" s="37" t="n">
        <f aca="false">IF(AND(N('Hiring plan'!$F$29)&gt;0,N$3&gt;='Hiring plan'!$G$29,N$3&lt;=IF('Hiring plan'!$H$29="",999,'Hiring plan'!$H$29)),'Hiring plan'!$F$29,0)</f>
        <v>0</v>
      </c>
      <c r="O33" s="37" t="n">
        <f aca="false">IF(AND(N('Hiring plan'!$F$29)&gt;0,O$3&gt;='Hiring plan'!$G$29,O$3&lt;=IF('Hiring plan'!$H$29="",999,'Hiring plan'!$H$29)),'Hiring plan'!$F$29,0)</f>
        <v>0</v>
      </c>
      <c r="P33" s="37" t="n">
        <f aca="false">IF(AND(N('Hiring plan'!$F$29)&gt;0,P$3&gt;='Hiring plan'!$G$29,P$3&lt;=IF('Hiring plan'!$H$29="",999,'Hiring plan'!$H$29)),'Hiring plan'!$F$29,0)</f>
        <v>0</v>
      </c>
      <c r="Q33" s="37" t="n">
        <f aca="false">IF(AND(N('Hiring plan'!$F$29)&gt;0,Q$3&gt;='Hiring plan'!$G$29,Q$3&lt;=IF('Hiring plan'!$H$29="",999,'Hiring plan'!$H$29)),'Hiring plan'!$F$29,0)</f>
        <v>0</v>
      </c>
      <c r="R33" s="37" t="n">
        <f aca="false">IF(AND(N('Hiring plan'!$F$29)&gt;0,R$3&gt;='Hiring plan'!$G$29,R$3&lt;=IF('Hiring plan'!$H$29="",999,'Hiring plan'!$H$29)),'Hiring plan'!$F$29,0)</f>
        <v>0</v>
      </c>
      <c r="S33" s="37" t="n">
        <f aca="false">IF(AND(N('Hiring plan'!$F$29)&gt;0,S$3&gt;='Hiring plan'!$G$29,S$3&lt;=IF('Hiring plan'!$H$29="",999,'Hiring plan'!$H$29)),'Hiring plan'!$F$29,0)</f>
        <v>0</v>
      </c>
      <c r="T33" s="37" t="n">
        <f aca="false">IF(AND(N('Hiring plan'!$F$29)&gt;0,T$3&gt;='Hiring plan'!$G$29,T$3&lt;=IF('Hiring plan'!$H$29="",999,'Hiring plan'!$H$29)),'Hiring plan'!$F$29,0)</f>
        <v>0</v>
      </c>
      <c r="U33" s="37" t="n">
        <f aca="false">IF(AND(N('Hiring plan'!$F$29)&gt;0,U$3&gt;='Hiring plan'!$G$29,U$3&lt;=IF('Hiring plan'!$H$29="",999,'Hiring plan'!$H$29)),'Hiring plan'!$F$29,0)</f>
        <v>0</v>
      </c>
      <c r="V33" s="37" t="n">
        <f aca="false">IF(AND(N('Hiring plan'!$F$29)&gt;0,V$3&gt;='Hiring plan'!$G$29,V$3&lt;=IF('Hiring plan'!$H$29="",999,'Hiring plan'!$H$29)),'Hiring plan'!$F$29,0)</f>
        <v>0</v>
      </c>
      <c r="W33" s="37" t="n">
        <f aca="false">IF(AND(N('Hiring plan'!$F$29)&gt;0,W$3&gt;='Hiring plan'!$G$29,W$3&lt;=IF('Hiring plan'!$H$29="",999,'Hiring plan'!$H$29)),'Hiring plan'!$F$29,0)</f>
        <v>0</v>
      </c>
      <c r="X33" s="37" t="n">
        <f aca="false">IF(AND(N('Hiring plan'!$F$29)&gt;0,X$3&gt;='Hiring plan'!$G$29,X$3&lt;=IF('Hiring plan'!$H$29="",999,'Hiring plan'!$H$29)),'Hiring plan'!$F$29,0)</f>
        <v>0</v>
      </c>
      <c r="Y33" s="37" t="n">
        <f aca="false">IF(AND(N('Hiring plan'!$F$29)&gt;0,Y$3&gt;='Hiring plan'!$G$29,Y$3&lt;=IF('Hiring plan'!$H$29="",999,'Hiring plan'!$H$29)),'Hiring plan'!$F$29,0)</f>
        <v>0</v>
      </c>
      <c r="Z33" s="37" t="n">
        <f aca="false">IF(AND(N('Hiring plan'!$F$29)&gt;0,Z$3&gt;='Hiring plan'!$G$29,Z$3&lt;=IF('Hiring plan'!$H$29="",999,'Hiring plan'!$H$29)),'Hiring plan'!$F$29,0)</f>
        <v>0</v>
      </c>
      <c r="AA33" s="37" t="n">
        <f aca="false">IF(AND(N('Hiring plan'!$F$29)&gt;0,AA$3&gt;='Hiring plan'!$G$29,AA$3&lt;=IF('Hiring plan'!$H$29="",999,'Hiring plan'!$H$29)),'Hiring plan'!$F$29,0)</f>
        <v>0</v>
      </c>
      <c r="AB33" s="37" t="n">
        <f aca="false">IF(AND(N('Hiring plan'!$F$29)&gt;0,AB$3&gt;='Hiring plan'!$G$29,AB$3&lt;=IF('Hiring plan'!$H$29="",999,'Hiring plan'!$H$29)),'Hiring plan'!$F$29,0)</f>
        <v>0</v>
      </c>
      <c r="AC33" s="37" t="n">
        <f aca="false">IF(AND(N('Hiring plan'!$F$29)&gt;0,AC$3&gt;='Hiring plan'!$G$29,AC$3&lt;=IF('Hiring plan'!$H$29="",999,'Hiring plan'!$H$29)),'Hiring plan'!$F$29,0)</f>
        <v>0</v>
      </c>
      <c r="AD33" s="37" t="n">
        <f aca="false">IF(AND(N('Hiring plan'!$F$29)&gt;0,AD$3&gt;='Hiring plan'!$G$29,AD$3&lt;=IF('Hiring plan'!$H$29="",999,'Hiring plan'!$H$29)),'Hiring plan'!$F$29,0)</f>
        <v>0</v>
      </c>
      <c r="AE33" s="37" t="n">
        <f aca="false">IF(AND(N('Hiring plan'!$F$29)&gt;0,AE$3&gt;='Hiring plan'!$G$29,AE$3&lt;=IF('Hiring plan'!$H$29="",999,'Hiring plan'!$H$29)),'Hiring plan'!$F$29,0)</f>
        <v>0</v>
      </c>
      <c r="AF33" s="37" t="n">
        <f aca="false">IF(AND(N('Hiring plan'!$F$29)&gt;0,AF$3&gt;='Hiring plan'!$G$29,AF$3&lt;=IF('Hiring plan'!$H$29="",999,'Hiring plan'!$H$29)),'Hiring plan'!$F$29,0)</f>
        <v>0</v>
      </c>
      <c r="AG33" s="37" t="n">
        <f aca="false">IF(AND(N('Hiring plan'!$F$29)&gt;0,AG$3&gt;='Hiring plan'!$G$29,AG$3&lt;=IF('Hiring plan'!$H$29="",999,'Hiring plan'!$H$29)),'Hiring plan'!$F$29,0)</f>
        <v>0</v>
      </c>
      <c r="AH33" s="37" t="n">
        <f aca="false">IF(AND(N('Hiring plan'!$F$29)&gt;0,AH$3&gt;='Hiring plan'!$G$29,AH$3&lt;=IF('Hiring plan'!$H$29="",999,'Hiring plan'!$H$29)),'Hiring plan'!$F$29,0)</f>
        <v>0</v>
      </c>
      <c r="AI33" s="37" t="n">
        <f aca="false">IF(AND(N('Hiring plan'!$F$29)&gt;0,AI$3&gt;='Hiring plan'!$G$29,AI$3&lt;=IF('Hiring plan'!$H$29="",999,'Hiring plan'!$H$29)),'Hiring plan'!$F$29,0)</f>
        <v>0</v>
      </c>
      <c r="AJ33" s="37" t="n">
        <f aca="false">IF(AND(N('Hiring plan'!$F$29)&gt;0,AJ$3&gt;='Hiring plan'!$G$29,AJ$3&lt;=IF('Hiring plan'!$H$29="",999,'Hiring plan'!$H$29)),'Hiring plan'!$F$29,0)</f>
        <v>0</v>
      </c>
      <c r="AK33" s="37" t="n">
        <f aca="false">IF(AND(N('Hiring plan'!$F$29)&gt;0,AK$3&gt;='Hiring plan'!$G$29,AK$3&lt;=IF('Hiring plan'!$H$29="",999,'Hiring plan'!$H$29)),'Hiring plan'!$F$29,0)</f>
        <v>0</v>
      </c>
      <c r="AL33" s="37" t="n">
        <f aca="false">IF(AND(N('Hiring plan'!$F$29)&gt;0,AL$3&gt;='Hiring plan'!$G$29,AL$3&lt;=IF('Hiring plan'!$H$29="",999,'Hiring plan'!$H$29)),'Hiring plan'!$F$29,0)</f>
        <v>0</v>
      </c>
      <c r="AM33" s="37" t="n">
        <f aca="false">IF(AND(N('Hiring plan'!$F$29)&gt;0,AM$3&gt;='Hiring plan'!$G$29,AM$3&lt;=IF('Hiring plan'!$H$29="",999,'Hiring plan'!$H$29)),'Hiring plan'!$F$29,0)</f>
        <v>0</v>
      </c>
      <c r="AN33" s="37" t="n">
        <f aca="false">IF(AND(N('Hiring plan'!$F$29)&gt;0,AN$3&gt;='Hiring plan'!$G$29,AN$3&lt;=IF('Hiring plan'!$H$29="",999,'Hiring plan'!$H$29)),'Hiring plan'!$F$29,0)</f>
        <v>0</v>
      </c>
      <c r="AO33" s="37" t="n">
        <f aca="false">IF(AND(N('Hiring plan'!$F$29)&gt;0,AO$3&gt;='Hiring plan'!$G$29,AO$3&lt;=IF('Hiring plan'!$H$29="",999,'Hiring plan'!$H$29)),'Hiring plan'!$F$29,0)</f>
        <v>0</v>
      </c>
      <c r="AP33" s="37" t="n">
        <f aca="false">IF(AND(N('Hiring plan'!$F$29)&gt;0,AP$3&gt;='Hiring plan'!$G$29,AP$3&lt;=IF('Hiring plan'!$H$29="",999,'Hiring plan'!$H$29)),'Hiring plan'!$F$29,0)</f>
        <v>0</v>
      </c>
      <c r="AQ33" s="37" t="n">
        <f aca="false">IF(AND(N('Hiring plan'!$F$29)&gt;0,AQ$3&gt;='Hiring plan'!$G$29,AQ$3&lt;=IF('Hiring plan'!$H$29="",999,'Hiring plan'!$H$29)),'Hiring plan'!$F$29,0)</f>
        <v>0</v>
      </c>
      <c r="AR33" s="37" t="n">
        <f aca="false">IF(AND(N('Hiring plan'!$F$29)&gt;0,AR$3&gt;='Hiring plan'!$G$29,AR$3&lt;=IF('Hiring plan'!$H$29="",999,'Hiring plan'!$H$29)),'Hiring plan'!$F$29,0)</f>
        <v>0</v>
      </c>
      <c r="AS33" s="37" t="n">
        <f aca="false">IF(AND(N('Hiring plan'!$F$29)&gt;0,AS$3&gt;='Hiring plan'!$G$29,AS$3&lt;=IF('Hiring plan'!$H$29="",999,'Hiring plan'!$H$29)),'Hiring plan'!$F$29,0)</f>
        <v>0</v>
      </c>
      <c r="AT33" s="37" t="n">
        <f aca="false">IF(AND(N('Hiring plan'!$F$29)&gt;0,AT$3&gt;='Hiring plan'!$G$29,AT$3&lt;=IF('Hiring plan'!$H$29="",999,'Hiring plan'!$H$29)),'Hiring plan'!$F$29,0)</f>
        <v>0</v>
      </c>
      <c r="AU33" s="37" t="n">
        <f aca="false">IF(AND(N('Hiring plan'!$F$29)&gt;0,AU$3&gt;='Hiring plan'!$G$29,AU$3&lt;=IF('Hiring plan'!$H$29="",999,'Hiring plan'!$H$29)),'Hiring plan'!$F$29,0)</f>
        <v>0</v>
      </c>
      <c r="AV33" s="37" t="n">
        <f aca="false">IF(AND(N('Hiring plan'!$F$29)&gt;0,AV$3&gt;='Hiring plan'!$G$29,AV$3&lt;=IF('Hiring plan'!$H$29="",999,'Hiring plan'!$H$29)),'Hiring plan'!$F$29,0)</f>
        <v>0</v>
      </c>
      <c r="AW33" s="37" t="n">
        <f aca="false">IF(AND(N('Hiring plan'!$F$29)&gt;0,AW$3&gt;='Hiring plan'!$G$29,AW$3&lt;=IF('Hiring plan'!$H$29="",999,'Hiring plan'!$H$29)),'Hiring plan'!$F$29,0)</f>
        <v>0</v>
      </c>
      <c r="AX33" s="37" t="n">
        <f aca="false">IF(AND(N('Hiring plan'!$F$29)&gt;0,AX$3&gt;='Hiring plan'!$G$29,AX$3&lt;=IF('Hiring plan'!$H$29="",999,'Hiring plan'!$H$29)),'Hiring plan'!$F$29,0)</f>
        <v>0</v>
      </c>
      <c r="AY33" s="37" t="n">
        <f aca="false">IF(AND(N('Hiring plan'!$F$29)&gt;0,AY$3&gt;='Hiring plan'!$G$29,AY$3&lt;=IF('Hiring plan'!$H$29="",999,'Hiring plan'!$H$29)),'Hiring plan'!$F$29,0)</f>
        <v>0</v>
      </c>
      <c r="AZ33" s="37" t="n">
        <f aca="false">IF(AND(N('Hiring plan'!$F$29)&gt;0,AZ$3&gt;='Hiring plan'!$G$29,AZ$3&lt;=IF('Hiring plan'!$H$29="",999,'Hiring plan'!$H$29)),'Hiring plan'!$F$29,0)</f>
        <v>0</v>
      </c>
      <c r="BA33" s="37" t="n">
        <f aca="false">IF(AND(N('Hiring plan'!$F$29)&gt;0,BA$3&gt;='Hiring plan'!$G$29,BA$3&lt;=IF('Hiring plan'!$H$29="",999,'Hiring plan'!$H$29)),'Hiring plan'!$F$29,0)</f>
        <v>0</v>
      </c>
      <c r="BB33" s="37" t="n">
        <f aca="false">IF(AND(N('Hiring plan'!$F$29)&gt;0,BB$3&gt;='Hiring plan'!$G$29,BB$3&lt;=IF('Hiring plan'!$H$29="",999,'Hiring plan'!$H$29)),'Hiring plan'!$F$29,0)</f>
        <v>0</v>
      </c>
      <c r="BC33" s="37" t="n">
        <f aca="false">IF(AND(N('Hiring plan'!$F$29)&gt;0,BC$3&gt;='Hiring plan'!$G$29,BC$3&lt;=IF('Hiring plan'!$H$29="",999,'Hiring plan'!$H$29)),'Hiring plan'!$F$29,0)</f>
        <v>0</v>
      </c>
      <c r="BD33" s="37" t="n">
        <f aca="false">IF(AND(N('Hiring plan'!$F$29)&gt;0,BD$3&gt;='Hiring plan'!$G$29,BD$3&lt;=IF('Hiring plan'!$H$29="",999,'Hiring plan'!$H$29)),'Hiring plan'!$F$29,0)</f>
        <v>0</v>
      </c>
      <c r="BE33" s="37" t="n">
        <f aca="false">IF(AND(N('Hiring plan'!$F$29)&gt;0,BE$3&gt;='Hiring plan'!$G$29,BE$3&lt;=IF('Hiring plan'!$H$29="",999,'Hiring plan'!$H$29)),'Hiring plan'!$F$29,0)</f>
        <v>0</v>
      </c>
      <c r="BF33" s="37" t="n">
        <f aca="false">IF(AND(N('Hiring plan'!$F$29)&gt;0,BF$3&gt;='Hiring plan'!$G$29,BF$3&lt;=IF('Hiring plan'!$H$29="",999,'Hiring plan'!$H$29)),'Hiring plan'!$F$29,0)</f>
        <v>0</v>
      </c>
      <c r="BG33" s="37" t="n">
        <f aca="false">IF(AND(N('Hiring plan'!$F$29)&gt;0,BG$3&gt;='Hiring plan'!$G$29,BG$3&lt;=IF('Hiring plan'!$H$29="",999,'Hiring plan'!$H$29)),'Hiring plan'!$F$29,0)</f>
        <v>0</v>
      </c>
      <c r="BH33" s="37" t="n">
        <f aca="false">IF(AND(N('Hiring plan'!$F$29)&gt;0,BH$3&gt;='Hiring plan'!$G$29,BH$3&lt;=IF('Hiring plan'!$H$29="",999,'Hiring plan'!$H$29)),'Hiring plan'!$F$29,0)</f>
        <v>0</v>
      </c>
      <c r="BI33" s="37" t="n">
        <f aca="false">IF(AND(N('Hiring plan'!$F$29)&gt;0,BI$3&gt;='Hiring plan'!$G$29,BI$3&lt;=IF('Hiring plan'!$H$29="",999,'Hiring plan'!$H$29)),'Hiring plan'!$F$29,0)</f>
        <v>0</v>
      </c>
      <c r="BJ33" s="37" t="n">
        <f aca="false">IF(AND(N('Hiring plan'!$F$29)&gt;0,BJ$3&gt;='Hiring plan'!$G$29,BJ$3&lt;=IF('Hiring plan'!$H$29="",999,'Hiring plan'!$H$29)),'Hiring plan'!$F$29,0)</f>
        <v>0</v>
      </c>
      <c r="BK33" s="37" t="n">
        <f aca="false">IF(AND(N('Hiring plan'!$F$29)&gt;0,BK$3&gt;='Hiring plan'!$G$29,BK$3&lt;=IF('Hiring plan'!$H$29="",999,'Hiring plan'!$H$29)),'Hiring plan'!$F$29,0)</f>
        <v>0</v>
      </c>
      <c r="BL33" s="37" t="n">
        <f aca="false">IF(AND(N('Hiring plan'!$F$29)&gt;0,BL$3&gt;='Hiring plan'!$G$29,BL$3&lt;=IF('Hiring plan'!$H$29="",999,'Hiring plan'!$H$29)),'Hiring plan'!$F$29,0)</f>
        <v>0</v>
      </c>
    </row>
    <row r="34" customFormat="false" ht="15" hidden="false" customHeight="false" outlineLevel="0" collapsed="false">
      <c r="A34" s="12" t="str">
        <f aca="false">IF('Hiring plan'!$C$30="","(spare line 26)",'Hiring plan'!$C$30&amp;" · "&amp;'Hiring plan'!$D$30)</f>
        <v>(spare line 26)</v>
      </c>
      <c r="B34" s="14" t="s">
        <v>86</v>
      </c>
      <c r="D34" s="55" t="n">
        <f aca="false">MAX(E34:BL34)</f>
        <v>0</v>
      </c>
      <c r="E34" s="37" t="n">
        <f aca="false">IF(AND(N('Hiring plan'!$F$30)&gt;0,E$3&gt;='Hiring plan'!$G$30,E$3&lt;=IF('Hiring plan'!$H$30="",999,'Hiring plan'!$H$30)),'Hiring plan'!$F$30,0)</f>
        <v>0</v>
      </c>
      <c r="F34" s="37" t="n">
        <f aca="false">IF(AND(N('Hiring plan'!$F$30)&gt;0,F$3&gt;='Hiring plan'!$G$30,F$3&lt;=IF('Hiring plan'!$H$30="",999,'Hiring plan'!$H$30)),'Hiring plan'!$F$30,0)</f>
        <v>0</v>
      </c>
      <c r="G34" s="37" t="n">
        <f aca="false">IF(AND(N('Hiring plan'!$F$30)&gt;0,G$3&gt;='Hiring plan'!$G$30,G$3&lt;=IF('Hiring plan'!$H$30="",999,'Hiring plan'!$H$30)),'Hiring plan'!$F$30,0)</f>
        <v>0</v>
      </c>
      <c r="H34" s="37" t="n">
        <f aca="false">IF(AND(N('Hiring plan'!$F$30)&gt;0,H$3&gt;='Hiring plan'!$G$30,H$3&lt;=IF('Hiring plan'!$H$30="",999,'Hiring plan'!$H$30)),'Hiring plan'!$F$30,0)</f>
        <v>0</v>
      </c>
      <c r="I34" s="37" t="n">
        <f aca="false">IF(AND(N('Hiring plan'!$F$30)&gt;0,I$3&gt;='Hiring plan'!$G$30,I$3&lt;=IF('Hiring plan'!$H$30="",999,'Hiring plan'!$H$30)),'Hiring plan'!$F$30,0)</f>
        <v>0</v>
      </c>
      <c r="J34" s="37" t="n">
        <f aca="false">IF(AND(N('Hiring plan'!$F$30)&gt;0,J$3&gt;='Hiring plan'!$G$30,J$3&lt;=IF('Hiring plan'!$H$30="",999,'Hiring plan'!$H$30)),'Hiring plan'!$F$30,0)</f>
        <v>0</v>
      </c>
      <c r="K34" s="37" t="n">
        <f aca="false">IF(AND(N('Hiring plan'!$F$30)&gt;0,K$3&gt;='Hiring plan'!$G$30,K$3&lt;=IF('Hiring plan'!$H$30="",999,'Hiring plan'!$H$30)),'Hiring plan'!$F$30,0)</f>
        <v>0</v>
      </c>
      <c r="L34" s="37" t="n">
        <f aca="false">IF(AND(N('Hiring plan'!$F$30)&gt;0,L$3&gt;='Hiring plan'!$G$30,L$3&lt;=IF('Hiring plan'!$H$30="",999,'Hiring plan'!$H$30)),'Hiring plan'!$F$30,0)</f>
        <v>0</v>
      </c>
      <c r="M34" s="37" t="n">
        <f aca="false">IF(AND(N('Hiring plan'!$F$30)&gt;0,M$3&gt;='Hiring plan'!$G$30,M$3&lt;=IF('Hiring plan'!$H$30="",999,'Hiring plan'!$H$30)),'Hiring plan'!$F$30,0)</f>
        <v>0</v>
      </c>
      <c r="N34" s="37" t="n">
        <f aca="false">IF(AND(N('Hiring plan'!$F$30)&gt;0,N$3&gt;='Hiring plan'!$G$30,N$3&lt;=IF('Hiring plan'!$H$30="",999,'Hiring plan'!$H$30)),'Hiring plan'!$F$30,0)</f>
        <v>0</v>
      </c>
      <c r="O34" s="37" t="n">
        <f aca="false">IF(AND(N('Hiring plan'!$F$30)&gt;0,O$3&gt;='Hiring plan'!$G$30,O$3&lt;=IF('Hiring plan'!$H$30="",999,'Hiring plan'!$H$30)),'Hiring plan'!$F$30,0)</f>
        <v>0</v>
      </c>
      <c r="P34" s="37" t="n">
        <f aca="false">IF(AND(N('Hiring plan'!$F$30)&gt;0,P$3&gt;='Hiring plan'!$G$30,P$3&lt;=IF('Hiring plan'!$H$30="",999,'Hiring plan'!$H$30)),'Hiring plan'!$F$30,0)</f>
        <v>0</v>
      </c>
      <c r="Q34" s="37" t="n">
        <f aca="false">IF(AND(N('Hiring plan'!$F$30)&gt;0,Q$3&gt;='Hiring plan'!$G$30,Q$3&lt;=IF('Hiring plan'!$H$30="",999,'Hiring plan'!$H$30)),'Hiring plan'!$F$30,0)</f>
        <v>0</v>
      </c>
      <c r="R34" s="37" t="n">
        <f aca="false">IF(AND(N('Hiring plan'!$F$30)&gt;0,R$3&gt;='Hiring plan'!$G$30,R$3&lt;=IF('Hiring plan'!$H$30="",999,'Hiring plan'!$H$30)),'Hiring plan'!$F$30,0)</f>
        <v>0</v>
      </c>
      <c r="S34" s="37" t="n">
        <f aca="false">IF(AND(N('Hiring plan'!$F$30)&gt;0,S$3&gt;='Hiring plan'!$G$30,S$3&lt;=IF('Hiring plan'!$H$30="",999,'Hiring plan'!$H$30)),'Hiring plan'!$F$30,0)</f>
        <v>0</v>
      </c>
      <c r="T34" s="37" t="n">
        <f aca="false">IF(AND(N('Hiring plan'!$F$30)&gt;0,T$3&gt;='Hiring plan'!$G$30,T$3&lt;=IF('Hiring plan'!$H$30="",999,'Hiring plan'!$H$30)),'Hiring plan'!$F$30,0)</f>
        <v>0</v>
      </c>
      <c r="U34" s="37" t="n">
        <f aca="false">IF(AND(N('Hiring plan'!$F$30)&gt;0,U$3&gt;='Hiring plan'!$G$30,U$3&lt;=IF('Hiring plan'!$H$30="",999,'Hiring plan'!$H$30)),'Hiring plan'!$F$30,0)</f>
        <v>0</v>
      </c>
      <c r="V34" s="37" t="n">
        <f aca="false">IF(AND(N('Hiring plan'!$F$30)&gt;0,V$3&gt;='Hiring plan'!$G$30,V$3&lt;=IF('Hiring plan'!$H$30="",999,'Hiring plan'!$H$30)),'Hiring plan'!$F$30,0)</f>
        <v>0</v>
      </c>
      <c r="W34" s="37" t="n">
        <f aca="false">IF(AND(N('Hiring plan'!$F$30)&gt;0,W$3&gt;='Hiring plan'!$G$30,W$3&lt;=IF('Hiring plan'!$H$30="",999,'Hiring plan'!$H$30)),'Hiring plan'!$F$30,0)</f>
        <v>0</v>
      </c>
      <c r="X34" s="37" t="n">
        <f aca="false">IF(AND(N('Hiring plan'!$F$30)&gt;0,X$3&gt;='Hiring plan'!$G$30,X$3&lt;=IF('Hiring plan'!$H$30="",999,'Hiring plan'!$H$30)),'Hiring plan'!$F$30,0)</f>
        <v>0</v>
      </c>
      <c r="Y34" s="37" t="n">
        <f aca="false">IF(AND(N('Hiring plan'!$F$30)&gt;0,Y$3&gt;='Hiring plan'!$G$30,Y$3&lt;=IF('Hiring plan'!$H$30="",999,'Hiring plan'!$H$30)),'Hiring plan'!$F$30,0)</f>
        <v>0</v>
      </c>
      <c r="Z34" s="37" t="n">
        <f aca="false">IF(AND(N('Hiring plan'!$F$30)&gt;0,Z$3&gt;='Hiring plan'!$G$30,Z$3&lt;=IF('Hiring plan'!$H$30="",999,'Hiring plan'!$H$30)),'Hiring plan'!$F$30,0)</f>
        <v>0</v>
      </c>
      <c r="AA34" s="37" t="n">
        <f aca="false">IF(AND(N('Hiring plan'!$F$30)&gt;0,AA$3&gt;='Hiring plan'!$G$30,AA$3&lt;=IF('Hiring plan'!$H$30="",999,'Hiring plan'!$H$30)),'Hiring plan'!$F$30,0)</f>
        <v>0</v>
      </c>
      <c r="AB34" s="37" t="n">
        <f aca="false">IF(AND(N('Hiring plan'!$F$30)&gt;0,AB$3&gt;='Hiring plan'!$G$30,AB$3&lt;=IF('Hiring plan'!$H$30="",999,'Hiring plan'!$H$30)),'Hiring plan'!$F$30,0)</f>
        <v>0</v>
      </c>
      <c r="AC34" s="37" t="n">
        <f aca="false">IF(AND(N('Hiring plan'!$F$30)&gt;0,AC$3&gt;='Hiring plan'!$G$30,AC$3&lt;=IF('Hiring plan'!$H$30="",999,'Hiring plan'!$H$30)),'Hiring plan'!$F$30,0)</f>
        <v>0</v>
      </c>
      <c r="AD34" s="37" t="n">
        <f aca="false">IF(AND(N('Hiring plan'!$F$30)&gt;0,AD$3&gt;='Hiring plan'!$G$30,AD$3&lt;=IF('Hiring plan'!$H$30="",999,'Hiring plan'!$H$30)),'Hiring plan'!$F$30,0)</f>
        <v>0</v>
      </c>
      <c r="AE34" s="37" t="n">
        <f aca="false">IF(AND(N('Hiring plan'!$F$30)&gt;0,AE$3&gt;='Hiring plan'!$G$30,AE$3&lt;=IF('Hiring plan'!$H$30="",999,'Hiring plan'!$H$30)),'Hiring plan'!$F$30,0)</f>
        <v>0</v>
      </c>
      <c r="AF34" s="37" t="n">
        <f aca="false">IF(AND(N('Hiring plan'!$F$30)&gt;0,AF$3&gt;='Hiring plan'!$G$30,AF$3&lt;=IF('Hiring plan'!$H$30="",999,'Hiring plan'!$H$30)),'Hiring plan'!$F$30,0)</f>
        <v>0</v>
      </c>
      <c r="AG34" s="37" t="n">
        <f aca="false">IF(AND(N('Hiring plan'!$F$30)&gt;0,AG$3&gt;='Hiring plan'!$G$30,AG$3&lt;=IF('Hiring plan'!$H$30="",999,'Hiring plan'!$H$30)),'Hiring plan'!$F$30,0)</f>
        <v>0</v>
      </c>
      <c r="AH34" s="37" t="n">
        <f aca="false">IF(AND(N('Hiring plan'!$F$30)&gt;0,AH$3&gt;='Hiring plan'!$G$30,AH$3&lt;=IF('Hiring plan'!$H$30="",999,'Hiring plan'!$H$30)),'Hiring plan'!$F$30,0)</f>
        <v>0</v>
      </c>
      <c r="AI34" s="37" t="n">
        <f aca="false">IF(AND(N('Hiring plan'!$F$30)&gt;0,AI$3&gt;='Hiring plan'!$G$30,AI$3&lt;=IF('Hiring plan'!$H$30="",999,'Hiring plan'!$H$30)),'Hiring plan'!$F$30,0)</f>
        <v>0</v>
      </c>
      <c r="AJ34" s="37" t="n">
        <f aca="false">IF(AND(N('Hiring plan'!$F$30)&gt;0,AJ$3&gt;='Hiring plan'!$G$30,AJ$3&lt;=IF('Hiring plan'!$H$30="",999,'Hiring plan'!$H$30)),'Hiring plan'!$F$30,0)</f>
        <v>0</v>
      </c>
      <c r="AK34" s="37" t="n">
        <f aca="false">IF(AND(N('Hiring plan'!$F$30)&gt;0,AK$3&gt;='Hiring plan'!$G$30,AK$3&lt;=IF('Hiring plan'!$H$30="",999,'Hiring plan'!$H$30)),'Hiring plan'!$F$30,0)</f>
        <v>0</v>
      </c>
      <c r="AL34" s="37" t="n">
        <f aca="false">IF(AND(N('Hiring plan'!$F$30)&gt;0,AL$3&gt;='Hiring plan'!$G$30,AL$3&lt;=IF('Hiring plan'!$H$30="",999,'Hiring plan'!$H$30)),'Hiring plan'!$F$30,0)</f>
        <v>0</v>
      </c>
      <c r="AM34" s="37" t="n">
        <f aca="false">IF(AND(N('Hiring plan'!$F$30)&gt;0,AM$3&gt;='Hiring plan'!$G$30,AM$3&lt;=IF('Hiring plan'!$H$30="",999,'Hiring plan'!$H$30)),'Hiring plan'!$F$30,0)</f>
        <v>0</v>
      </c>
      <c r="AN34" s="37" t="n">
        <f aca="false">IF(AND(N('Hiring plan'!$F$30)&gt;0,AN$3&gt;='Hiring plan'!$G$30,AN$3&lt;=IF('Hiring plan'!$H$30="",999,'Hiring plan'!$H$30)),'Hiring plan'!$F$30,0)</f>
        <v>0</v>
      </c>
      <c r="AO34" s="37" t="n">
        <f aca="false">IF(AND(N('Hiring plan'!$F$30)&gt;0,AO$3&gt;='Hiring plan'!$G$30,AO$3&lt;=IF('Hiring plan'!$H$30="",999,'Hiring plan'!$H$30)),'Hiring plan'!$F$30,0)</f>
        <v>0</v>
      </c>
      <c r="AP34" s="37" t="n">
        <f aca="false">IF(AND(N('Hiring plan'!$F$30)&gt;0,AP$3&gt;='Hiring plan'!$G$30,AP$3&lt;=IF('Hiring plan'!$H$30="",999,'Hiring plan'!$H$30)),'Hiring plan'!$F$30,0)</f>
        <v>0</v>
      </c>
      <c r="AQ34" s="37" t="n">
        <f aca="false">IF(AND(N('Hiring plan'!$F$30)&gt;0,AQ$3&gt;='Hiring plan'!$G$30,AQ$3&lt;=IF('Hiring plan'!$H$30="",999,'Hiring plan'!$H$30)),'Hiring plan'!$F$30,0)</f>
        <v>0</v>
      </c>
      <c r="AR34" s="37" t="n">
        <f aca="false">IF(AND(N('Hiring plan'!$F$30)&gt;0,AR$3&gt;='Hiring plan'!$G$30,AR$3&lt;=IF('Hiring plan'!$H$30="",999,'Hiring plan'!$H$30)),'Hiring plan'!$F$30,0)</f>
        <v>0</v>
      </c>
      <c r="AS34" s="37" t="n">
        <f aca="false">IF(AND(N('Hiring plan'!$F$30)&gt;0,AS$3&gt;='Hiring plan'!$G$30,AS$3&lt;=IF('Hiring plan'!$H$30="",999,'Hiring plan'!$H$30)),'Hiring plan'!$F$30,0)</f>
        <v>0</v>
      </c>
      <c r="AT34" s="37" t="n">
        <f aca="false">IF(AND(N('Hiring plan'!$F$30)&gt;0,AT$3&gt;='Hiring plan'!$G$30,AT$3&lt;=IF('Hiring plan'!$H$30="",999,'Hiring plan'!$H$30)),'Hiring plan'!$F$30,0)</f>
        <v>0</v>
      </c>
      <c r="AU34" s="37" t="n">
        <f aca="false">IF(AND(N('Hiring plan'!$F$30)&gt;0,AU$3&gt;='Hiring plan'!$G$30,AU$3&lt;=IF('Hiring plan'!$H$30="",999,'Hiring plan'!$H$30)),'Hiring plan'!$F$30,0)</f>
        <v>0</v>
      </c>
      <c r="AV34" s="37" t="n">
        <f aca="false">IF(AND(N('Hiring plan'!$F$30)&gt;0,AV$3&gt;='Hiring plan'!$G$30,AV$3&lt;=IF('Hiring plan'!$H$30="",999,'Hiring plan'!$H$30)),'Hiring plan'!$F$30,0)</f>
        <v>0</v>
      </c>
      <c r="AW34" s="37" t="n">
        <f aca="false">IF(AND(N('Hiring plan'!$F$30)&gt;0,AW$3&gt;='Hiring plan'!$G$30,AW$3&lt;=IF('Hiring plan'!$H$30="",999,'Hiring plan'!$H$30)),'Hiring plan'!$F$30,0)</f>
        <v>0</v>
      </c>
      <c r="AX34" s="37" t="n">
        <f aca="false">IF(AND(N('Hiring plan'!$F$30)&gt;0,AX$3&gt;='Hiring plan'!$G$30,AX$3&lt;=IF('Hiring plan'!$H$30="",999,'Hiring plan'!$H$30)),'Hiring plan'!$F$30,0)</f>
        <v>0</v>
      </c>
      <c r="AY34" s="37" t="n">
        <f aca="false">IF(AND(N('Hiring plan'!$F$30)&gt;0,AY$3&gt;='Hiring plan'!$G$30,AY$3&lt;=IF('Hiring plan'!$H$30="",999,'Hiring plan'!$H$30)),'Hiring plan'!$F$30,0)</f>
        <v>0</v>
      </c>
      <c r="AZ34" s="37" t="n">
        <f aca="false">IF(AND(N('Hiring plan'!$F$30)&gt;0,AZ$3&gt;='Hiring plan'!$G$30,AZ$3&lt;=IF('Hiring plan'!$H$30="",999,'Hiring plan'!$H$30)),'Hiring plan'!$F$30,0)</f>
        <v>0</v>
      </c>
      <c r="BA34" s="37" t="n">
        <f aca="false">IF(AND(N('Hiring plan'!$F$30)&gt;0,BA$3&gt;='Hiring plan'!$G$30,BA$3&lt;=IF('Hiring plan'!$H$30="",999,'Hiring plan'!$H$30)),'Hiring plan'!$F$30,0)</f>
        <v>0</v>
      </c>
      <c r="BB34" s="37" t="n">
        <f aca="false">IF(AND(N('Hiring plan'!$F$30)&gt;0,BB$3&gt;='Hiring plan'!$G$30,BB$3&lt;=IF('Hiring plan'!$H$30="",999,'Hiring plan'!$H$30)),'Hiring plan'!$F$30,0)</f>
        <v>0</v>
      </c>
      <c r="BC34" s="37" t="n">
        <f aca="false">IF(AND(N('Hiring plan'!$F$30)&gt;0,BC$3&gt;='Hiring plan'!$G$30,BC$3&lt;=IF('Hiring plan'!$H$30="",999,'Hiring plan'!$H$30)),'Hiring plan'!$F$30,0)</f>
        <v>0</v>
      </c>
      <c r="BD34" s="37" t="n">
        <f aca="false">IF(AND(N('Hiring plan'!$F$30)&gt;0,BD$3&gt;='Hiring plan'!$G$30,BD$3&lt;=IF('Hiring plan'!$H$30="",999,'Hiring plan'!$H$30)),'Hiring plan'!$F$30,0)</f>
        <v>0</v>
      </c>
      <c r="BE34" s="37" t="n">
        <f aca="false">IF(AND(N('Hiring plan'!$F$30)&gt;0,BE$3&gt;='Hiring plan'!$G$30,BE$3&lt;=IF('Hiring plan'!$H$30="",999,'Hiring plan'!$H$30)),'Hiring plan'!$F$30,0)</f>
        <v>0</v>
      </c>
      <c r="BF34" s="37" t="n">
        <f aca="false">IF(AND(N('Hiring plan'!$F$30)&gt;0,BF$3&gt;='Hiring plan'!$G$30,BF$3&lt;=IF('Hiring plan'!$H$30="",999,'Hiring plan'!$H$30)),'Hiring plan'!$F$30,0)</f>
        <v>0</v>
      </c>
      <c r="BG34" s="37" t="n">
        <f aca="false">IF(AND(N('Hiring plan'!$F$30)&gt;0,BG$3&gt;='Hiring plan'!$G$30,BG$3&lt;=IF('Hiring plan'!$H$30="",999,'Hiring plan'!$H$30)),'Hiring plan'!$F$30,0)</f>
        <v>0</v>
      </c>
      <c r="BH34" s="37" t="n">
        <f aca="false">IF(AND(N('Hiring plan'!$F$30)&gt;0,BH$3&gt;='Hiring plan'!$G$30,BH$3&lt;=IF('Hiring plan'!$H$30="",999,'Hiring plan'!$H$30)),'Hiring plan'!$F$30,0)</f>
        <v>0</v>
      </c>
      <c r="BI34" s="37" t="n">
        <f aca="false">IF(AND(N('Hiring plan'!$F$30)&gt;0,BI$3&gt;='Hiring plan'!$G$30,BI$3&lt;=IF('Hiring plan'!$H$30="",999,'Hiring plan'!$H$30)),'Hiring plan'!$F$30,0)</f>
        <v>0</v>
      </c>
      <c r="BJ34" s="37" t="n">
        <f aca="false">IF(AND(N('Hiring plan'!$F$30)&gt;0,BJ$3&gt;='Hiring plan'!$G$30,BJ$3&lt;=IF('Hiring plan'!$H$30="",999,'Hiring plan'!$H$30)),'Hiring plan'!$F$30,0)</f>
        <v>0</v>
      </c>
      <c r="BK34" s="37" t="n">
        <f aca="false">IF(AND(N('Hiring plan'!$F$30)&gt;0,BK$3&gt;='Hiring plan'!$G$30,BK$3&lt;=IF('Hiring plan'!$H$30="",999,'Hiring plan'!$H$30)),'Hiring plan'!$F$30,0)</f>
        <v>0</v>
      </c>
      <c r="BL34" s="37" t="n">
        <f aca="false">IF(AND(N('Hiring plan'!$F$30)&gt;0,BL$3&gt;='Hiring plan'!$G$30,BL$3&lt;=IF('Hiring plan'!$H$30="",999,'Hiring plan'!$H$30)),'Hiring plan'!$F$30,0)</f>
        <v>0</v>
      </c>
    </row>
    <row r="35" customFormat="false" ht="15" hidden="false" customHeight="false" outlineLevel="0" collapsed="false">
      <c r="A35" s="12" t="str">
        <f aca="false">IF('Hiring plan'!$C$31="","(spare line 27)",'Hiring plan'!$C$31&amp;" · "&amp;'Hiring plan'!$D$31)</f>
        <v>(spare line 27)</v>
      </c>
      <c r="B35" s="14" t="s">
        <v>86</v>
      </c>
      <c r="D35" s="55" t="n">
        <f aca="false">MAX(E35:BL35)</f>
        <v>0</v>
      </c>
      <c r="E35" s="37" t="n">
        <f aca="false">IF(AND(N('Hiring plan'!$F$31)&gt;0,E$3&gt;='Hiring plan'!$G$31,E$3&lt;=IF('Hiring plan'!$H$31="",999,'Hiring plan'!$H$31)),'Hiring plan'!$F$31,0)</f>
        <v>0</v>
      </c>
      <c r="F35" s="37" t="n">
        <f aca="false">IF(AND(N('Hiring plan'!$F$31)&gt;0,F$3&gt;='Hiring plan'!$G$31,F$3&lt;=IF('Hiring plan'!$H$31="",999,'Hiring plan'!$H$31)),'Hiring plan'!$F$31,0)</f>
        <v>0</v>
      </c>
      <c r="G35" s="37" t="n">
        <f aca="false">IF(AND(N('Hiring plan'!$F$31)&gt;0,G$3&gt;='Hiring plan'!$G$31,G$3&lt;=IF('Hiring plan'!$H$31="",999,'Hiring plan'!$H$31)),'Hiring plan'!$F$31,0)</f>
        <v>0</v>
      </c>
      <c r="H35" s="37" t="n">
        <f aca="false">IF(AND(N('Hiring plan'!$F$31)&gt;0,H$3&gt;='Hiring plan'!$G$31,H$3&lt;=IF('Hiring plan'!$H$31="",999,'Hiring plan'!$H$31)),'Hiring plan'!$F$31,0)</f>
        <v>0</v>
      </c>
      <c r="I35" s="37" t="n">
        <f aca="false">IF(AND(N('Hiring plan'!$F$31)&gt;0,I$3&gt;='Hiring plan'!$G$31,I$3&lt;=IF('Hiring plan'!$H$31="",999,'Hiring plan'!$H$31)),'Hiring plan'!$F$31,0)</f>
        <v>0</v>
      </c>
      <c r="J35" s="37" t="n">
        <f aca="false">IF(AND(N('Hiring plan'!$F$31)&gt;0,J$3&gt;='Hiring plan'!$G$31,J$3&lt;=IF('Hiring plan'!$H$31="",999,'Hiring plan'!$H$31)),'Hiring plan'!$F$31,0)</f>
        <v>0</v>
      </c>
      <c r="K35" s="37" t="n">
        <f aca="false">IF(AND(N('Hiring plan'!$F$31)&gt;0,K$3&gt;='Hiring plan'!$G$31,K$3&lt;=IF('Hiring plan'!$H$31="",999,'Hiring plan'!$H$31)),'Hiring plan'!$F$31,0)</f>
        <v>0</v>
      </c>
      <c r="L35" s="37" t="n">
        <f aca="false">IF(AND(N('Hiring plan'!$F$31)&gt;0,L$3&gt;='Hiring plan'!$G$31,L$3&lt;=IF('Hiring plan'!$H$31="",999,'Hiring plan'!$H$31)),'Hiring plan'!$F$31,0)</f>
        <v>0</v>
      </c>
      <c r="M35" s="37" t="n">
        <f aca="false">IF(AND(N('Hiring plan'!$F$31)&gt;0,M$3&gt;='Hiring plan'!$G$31,M$3&lt;=IF('Hiring plan'!$H$31="",999,'Hiring plan'!$H$31)),'Hiring plan'!$F$31,0)</f>
        <v>0</v>
      </c>
      <c r="N35" s="37" t="n">
        <f aca="false">IF(AND(N('Hiring plan'!$F$31)&gt;0,N$3&gt;='Hiring plan'!$G$31,N$3&lt;=IF('Hiring plan'!$H$31="",999,'Hiring plan'!$H$31)),'Hiring plan'!$F$31,0)</f>
        <v>0</v>
      </c>
      <c r="O35" s="37" t="n">
        <f aca="false">IF(AND(N('Hiring plan'!$F$31)&gt;0,O$3&gt;='Hiring plan'!$G$31,O$3&lt;=IF('Hiring plan'!$H$31="",999,'Hiring plan'!$H$31)),'Hiring plan'!$F$31,0)</f>
        <v>0</v>
      </c>
      <c r="P35" s="37" t="n">
        <f aca="false">IF(AND(N('Hiring plan'!$F$31)&gt;0,P$3&gt;='Hiring plan'!$G$31,P$3&lt;=IF('Hiring plan'!$H$31="",999,'Hiring plan'!$H$31)),'Hiring plan'!$F$31,0)</f>
        <v>0</v>
      </c>
      <c r="Q35" s="37" t="n">
        <f aca="false">IF(AND(N('Hiring plan'!$F$31)&gt;0,Q$3&gt;='Hiring plan'!$G$31,Q$3&lt;=IF('Hiring plan'!$H$31="",999,'Hiring plan'!$H$31)),'Hiring plan'!$F$31,0)</f>
        <v>0</v>
      </c>
      <c r="R35" s="37" t="n">
        <f aca="false">IF(AND(N('Hiring plan'!$F$31)&gt;0,R$3&gt;='Hiring plan'!$G$31,R$3&lt;=IF('Hiring plan'!$H$31="",999,'Hiring plan'!$H$31)),'Hiring plan'!$F$31,0)</f>
        <v>0</v>
      </c>
      <c r="S35" s="37" t="n">
        <f aca="false">IF(AND(N('Hiring plan'!$F$31)&gt;0,S$3&gt;='Hiring plan'!$G$31,S$3&lt;=IF('Hiring plan'!$H$31="",999,'Hiring plan'!$H$31)),'Hiring plan'!$F$31,0)</f>
        <v>0</v>
      </c>
      <c r="T35" s="37" t="n">
        <f aca="false">IF(AND(N('Hiring plan'!$F$31)&gt;0,T$3&gt;='Hiring plan'!$G$31,T$3&lt;=IF('Hiring plan'!$H$31="",999,'Hiring plan'!$H$31)),'Hiring plan'!$F$31,0)</f>
        <v>0</v>
      </c>
      <c r="U35" s="37" t="n">
        <f aca="false">IF(AND(N('Hiring plan'!$F$31)&gt;0,U$3&gt;='Hiring plan'!$G$31,U$3&lt;=IF('Hiring plan'!$H$31="",999,'Hiring plan'!$H$31)),'Hiring plan'!$F$31,0)</f>
        <v>0</v>
      </c>
      <c r="V35" s="37" t="n">
        <f aca="false">IF(AND(N('Hiring plan'!$F$31)&gt;0,V$3&gt;='Hiring plan'!$G$31,V$3&lt;=IF('Hiring plan'!$H$31="",999,'Hiring plan'!$H$31)),'Hiring plan'!$F$31,0)</f>
        <v>0</v>
      </c>
      <c r="W35" s="37" t="n">
        <f aca="false">IF(AND(N('Hiring plan'!$F$31)&gt;0,W$3&gt;='Hiring plan'!$G$31,W$3&lt;=IF('Hiring plan'!$H$31="",999,'Hiring plan'!$H$31)),'Hiring plan'!$F$31,0)</f>
        <v>0</v>
      </c>
      <c r="X35" s="37" t="n">
        <f aca="false">IF(AND(N('Hiring plan'!$F$31)&gt;0,X$3&gt;='Hiring plan'!$G$31,X$3&lt;=IF('Hiring plan'!$H$31="",999,'Hiring plan'!$H$31)),'Hiring plan'!$F$31,0)</f>
        <v>0</v>
      </c>
      <c r="Y35" s="37" t="n">
        <f aca="false">IF(AND(N('Hiring plan'!$F$31)&gt;0,Y$3&gt;='Hiring plan'!$G$31,Y$3&lt;=IF('Hiring plan'!$H$31="",999,'Hiring plan'!$H$31)),'Hiring plan'!$F$31,0)</f>
        <v>0</v>
      </c>
      <c r="Z35" s="37" t="n">
        <f aca="false">IF(AND(N('Hiring plan'!$F$31)&gt;0,Z$3&gt;='Hiring plan'!$G$31,Z$3&lt;=IF('Hiring plan'!$H$31="",999,'Hiring plan'!$H$31)),'Hiring plan'!$F$31,0)</f>
        <v>0</v>
      </c>
      <c r="AA35" s="37" t="n">
        <f aca="false">IF(AND(N('Hiring plan'!$F$31)&gt;0,AA$3&gt;='Hiring plan'!$G$31,AA$3&lt;=IF('Hiring plan'!$H$31="",999,'Hiring plan'!$H$31)),'Hiring plan'!$F$31,0)</f>
        <v>0</v>
      </c>
      <c r="AB35" s="37" t="n">
        <f aca="false">IF(AND(N('Hiring plan'!$F$31)&gt;0,AB$3&gt;='Hiring plan'!$G$31,AB$3&lt;=IF('Hiring plan'!$H$31="",999,'Hiring plan'!$H$31)),'Hiring plan'!$F$31,0)</f>
        <v>0</v>
      </c>
      <c r="AC35" s="37" t="n">
        <f aca="false">IF(AND(N('Hiring plan'!$F$31)&gt;0,AC$3&gt;='Hiring plan'!$G$31,AC$3&lt;=IF('Hiring plan'!$H$31="",999,'Hiring plan'!$H$31)),'Hiring plan'!$F$31,0)</f>
        <v>0</v>
      </c>
      <c r="AD35" s="37" t="n">
        <f aca="false">IF(AND(N('Hiring plan'!$F$31)&gt;0,AD$3&gt;='Hiring plan'!$G$31,AD$3&lt;=IF('Hiring plan'!$H$31="",999,'Hiring plan'!$H$31)),'Hiring plan'!$F$31,0)</f>
        <v>0</v>
      </c>
      <c r="AE35" s="37" t="n">
        <f aca="false">IF(AND(N('Hiring plan'!$F$31)&gt;0,AE$3&gt;='Hiring plan'!$G$31,AE$3&lt;=IF('Hiring plan'!$H$31="",999,'Hiring plan'!$H$31)),'Hiring plan'!$F$31,0)</f>
        <v>0</v>
      </c>
      <c r="AF35" s="37" t="n">
        <f aca="false">IF(AND(N('Hiring plan'!$F$31)&gt;0,AF$3&gt;='Hiring plan'!$G$31,AF$3&lt;=IF('Hiring plan'!$H$31="",999,'Hiring plan'!$H$31)),'Hiring plan'!$F$31,0)</f>
        <v>0</v>
      </c>
      <c r="AG35" s="37" t="n">
        <f aca="false">IF(AND(N('Hiring plan'!$F$31)&gt;0,AG$3&gt;='Hiring plan'!$G$31,AG$3&lt;=IF('Hiring plan'!$H$31="",999,'Hiring plan'!$H$31)),'Hiring plan'!$F$31,0)</f>
        <v>0</v>
      </c>
      <c r="AH35" s="37" t="n">
        <f aca="false">IF(AND(N('Hiring plan'!$F$31)&gt;0,AH$3&gt;='Hiring plan'!$G$31,AH$3&lt;=IF('Hiring plan'!$H$31="",999,'Hiring plan'!$H$31)),'Hiring plan'!$F$31,0)</f>
        <v>0</v>
      </c>
      <c r="AI35" s="37" t="n">
        <f aca="false">IF(AND(N('Hiring plan'!$F$31)&gt;0,AI$3&gt;='Hiring plan'!$G$31,AI$3&lt;=IF('Hiring plan'!$H$31="",999,'Hiring plan'!$H$31)),'Hiring plan'!$F$31,0)</f>
        <v>0</v>
      </c>
      <c r="AJ35" s="37" t="n">
        <f aca="false">IF(AND(N('Hiring plan'!$F$31)&gt;0,AJ$3&gt;='Hiring plan'!$G$31,AJ$3&lt;=IF('Hiring plan'!$H$31="",999,'Hiring plan'!$H$31)),'Hiring plan'!$F$31,0)</f>
        <v>0</v>
      </c>
      <c r="AK35" s="37" t="n">
        <f aca="false">IF(AND(N('Hiring plan'!$F$31)&gt;0,AK$3&gt;='Hiring plan'!$G$31,AK$3&lt;=IF('Hiring plan'!$H$31="",999,'Hiring plan'!$H$31)),'Hiring plan'!$F$31,0)</f>
        <v>0</v>
      </c>
      <c r="AL35" s="37" t="n">
        <f aca="false">IF(AND(N('Hiring plan'!$F$31)&gt;0,AL$3&gt;='Hiring plan'!$G$31,AL$3&lt;=IF('Hiring plan'!$H$31="",999,'Hiring plan'!$H$31)),'Hiring plan'!$F$31,0)</f>
        <v>0</v>
      </c>
      <c r="AM35" s="37" t="n">
        <f aca="false">IF(AND(N('Hiring plan'!$F$31)&gt;0,AM$3&gt;='Hiring plan'!$G$31,AM$3&lt;=IF('Hiring plan'!$H$31="",999,'Hiring plan'!$H$31)),'Hiring plan'!$F$31,0)</f>
        <v>0</v>
      </c>
      <c r="AN35" s="37" t="n">
        <f aca="false">IF(AND(N('Hiring plan'!$F$31)&gt;0,AN$3&gt;='Hiring plan'!$G$31,AN$3&lt;=IF('Hiring plan'!$H$31="",999,'Hiring plan'!$H$31)),'Hiring plan'!$F$31,0)</f>
        <v>0</v>
      </c>
      <c r="AO35" s="37" t="n">
        <f aca="false">IF(AND(N('Hiring plan'!$F$31)&gt;0,AO$3&gt;='Hiring plan'!$G$31,AO$3&lt;=IF('Hiring plan'!$H$31="",999,'Hiring plan'!$H$31)),'Hiring plan'!$F$31,0)</f>
        <v>0</v>
      </c>
      <c r="AP35" s="37" t="n">
        <f aca="false">IF(AND(N('Hiring plan'!$F$31)&gt;0,AP$3&gt;='Hiring plan'!$G$31,AP$3&lt;=IF('Hiring plan'!$H$31="",999,'Hiring plan'!$H$31)),'Hiring plan'!$F$31,0)</f>
        <v>0</v>
      </c>
      <c r="AQ35" s="37" t="n">
        <f aca="false">IF(AND(N('Hiring plan'!$F$31)&gt;0,AQ$3&gt;='Hiring plan'!$G$31,AQ$3&lt;=IF('Hiring plan'!$H$31="",999,'Hiring plan'!$H$31)),'Hiring plan'!$F$31,0)</f>
        <v>0</v>
      </c>
      <c r="AR35" s="37" t="n">
        <f aca="false">IF(AND(N('Hiring plan'!$F$31)&gt;0,AR$3&gt;='Hiring plan'!$G$31,AR$3&lt;=IF('Hiring plan'!$H$31="",999,'Hiring plan'!$H$31)),'Hiring plan'!$F$31,0)</f>
        <v>0</v>
      </c>
      <c r="AS35" s="37" t="n">
        <f aca="false">IF(AND(N('Hiring plan'!$F$31)&gt;0,AS$3&gt;='Hiring plan'!$G$31,AS$3&lt;=IF('Hiring plan'!$H$31="",999,'Hiring plan'!$H$31)),'Hiring plan'!$F$31,0)</f>
        <v>0</v>
      </c>
      <c r="AT35" s="37" t="n">
        <f aca="false">IF(AND(N('Hiring plan'!$F$31)&gt;0,AT$3&gt;='Hiring plan'!$G$31,AT$3&lt;=IF('Hiring plan'!$H$31="",999,'Hiring plan'!$H$31)),'Hiring plan'!$F$31,0)</f>
        <v>0</v>
      </c>
      <c r="AU35" s="37" t="n">
        <f aca="false">IF(AND(N('Hiring plan'!$F$31)&gt;0,AU$3&gt;='Hiring plan'!$G$31,AU$3&lt;=IF('Hiring plan'!$H$31="",999,'Hiring plan'!$H$31)),'Hiring plan'!$F$31,0)</f>
        <v>0</v>
      </c>
      <c r="AV35" s="37" t="n">
        <f aca="false">IF(AND(N('Hiring plan'!$F$31)&gt;0,AV$3&gt;='Hiring plan'!$G$31,AV$3&lt;=IF('Hiring plan'!$H$31="",999,'Hiring plan'!$H$31)),'Hiring plan'!$F$31,0)</f>
        <v>0</v>
      </c>
      <c r="AW35" s="37" t="n">
        <f aca="false">IF(AND(N('Hiring plan'!$F$31)&gt;0,AW$3&gt;='Hiring plan'!$G$31,AW$3&lt;=IF('Hiring plan'!$H$31="",999,'Hiring plan'!$H$31)),'Hiring plan'!$F$31,0)</f>
        <v>0</v>
      </c>
      <c r="AX35" s="37" t="n">
        <f aca="false">IF(AND(N('Hiring plan'!$F$31)&gt;0,AX$3&gt;='Hiring plan'!$G$31,AX$3&lt;=IF('Hiring plan'!$H$31="",999,'Hiring plan'!$H$31)),'Hiring plan'!$F$31,0)</f>
        <v>0</v>
      </c>
      <c r="AY35" s="37" t="n">
        <f aca="false">IF(AND(N('Hiring plan'!$F$31)&gt;0,AY$3&gt;='Hiring plan'!$G$31,AY$3&lt;=IF('Hiring plan'!$H$31="",999,'Hiring plan'!$H$31)),'Hiring plan'!$F$31,0)</f>
        <v>0</v>
      </c>
      <c r="AZ35" s="37" t="n">
        <f aca="false">IF(AND(N('Hiring plan'!$F$31)&gt;0,AZ$3&gt;='Hiring plan'!$G$31,AZ$3&lt;=IF('Hiring plan'!$H$31="",999,'Hiring plan'!$H$31)),'Hiring plan'!$F$31,0)</f>
        <v>0</v>
      </c>
      <c r="BA35" s="37" t="n">
        <f aca="false">IF(AND(N('Hiring plan'!$F$31)&gt;0,BA$3&gt;='Hiring plan'!$G$31,BA$3&lt;=IF('Hiring plan'!$H$31="",999,'Hiring plan'!$H$31)),'Hiring plan'!$F$31,0)</f>
        <v>0</v>
      </c>
      <c r="BB35" s="37" t="n">
        <f aca="false">IF(AND(N('Hiring plan'!$F$31)&gt;0,BB$3&gt;='Hiring plan'!$G$31,BB$3&lt;=IF('Hiring plan'!$H$31="",999,'Hiring plan'!$H$31)),'Hiring plan'!$F$31,0)</f>
        <v>0</v>
      </c>
      <c r="BC35" s="37" t="n">
        <f aca="false">IF(AND(N('Hiring plan'!$F$31)&gt;0,BC$3&gt;='Hiring plan'!$G$31,BC$3&lt;=IF('Hiring plan'!$H$31="",999,'Hiring plan'!$H$31)),'Hiring plan'!$F$31,0)</f>
        <v>0</v>
      </c>
      <c r="BD35" s="37" t="n">
        <f aca="false">IF(AND(N('Hiring plan'!$F$31)&gt;0,BD$3&gt;='Hiring plan'!$G$31,BD$3&lt;=IF('Hiring plan'!$H$31="",999,'Hiring plan'!$H$31)),'Hiring plan'!$F$31,0)</f>
        <v>0</v>
      </c>
      <c r="BE35" s="37" t="n">
        <f aca="false">IF(AND(N('Hiring plan'!$F$31)&gt;0,BE$3&gt;='Hiring plan'!$G$31,BE$3&lt;=IF('Hiring plan'!$H$31="",999,'Hiring plan'!$H$31)),'Hiring plan'!$F$31,0)</f>
        <v>0</v>
      </c>
      <c r="BF35" s="37" t="n">
        <f aca="false">IF(AND(N('Hiring plan'!$F$31)&gt;0,BF$3&gt;='Hiring plan'!$G$31,BF$3&lt;=IF('Hiring plan'!$H$31="",999,'Hiring plan'!$H$31)),'Hiring plan'!$F$31,0)</f>
        <v>0</v>
      </c>
      <c r="BG35" s="37" t="n">
        <f aca="false">IF(AND(N('Hiring plan'!$F$31)&gt;0,BG$3&gt;='Hiring plan'!$G$31,BG$3&lt;=IF('Hiring plan'!$H$31="",999,'Hiring plan'!$H$31)),'Hiring plan'!$F$31,0)</f>
        <v>0</v>
      </c>
      <c r="BH35" s="37" t="n">
        <f aca="false">IF(AND(N('Hiring plan'!$F$31)&gt;0,BH$3&gt;='Hiring plan'!$G$31,BH$3&lt;=IF('Hiring plan'!$H$31="",999,'Hiring plan'!$H$31)),'Hiring plan'!$F$31,0)</f>
        <v>0</v>
      </c>
      <c r="BI35" s="37" t="n">
        <f aca="false">IF(AND(N('Hiring plan'!$F$31)&gt;0,BI$3&gt;='Hiring plan'!$G$31,BI$3&lt;=IF('Hiring plan'!$H$31="",999,'Hiring plan'!$H$31)),'Hiring plan'!$F$31,0)</f>
        <v>0</v>
      </c>
      <c r="BJ35" s="37" t="n">
        <f aca="false">IF(AND(N('Hiring plan'!$F$31)&gt;0,BJ$3&gt;='Hiring plan'!$G$31,BJ$3&lt;=IF('Hiring plan'!$H$31="",999,'Hiring plan'!$H$31)),'Hiring plan'!$F$31,0)</f>
        <v>0</v>
      </c>
      <c r="BK35" s="37" t="n">
        <f aca="false">IF(AND(N('Hiring plan'!$F$31)&gt;0,BK$3&gt;='Hiring plan'!$G$31,BK$3&lt;=IF('Hiring plan'!$H$31="",999,'Hiring plan'!$H$31)),'Hiring plan'!$F$31,0)</f>
        <v>0</v>
      </c>
      <c r="BL35" s="37" t="n">
        <f aca="false">IF(AND(N('Hiring plan'!$F$31)&gt;0,BL$3&gt;='Hiring plan'!$G$31,BL$3&lt;=IF('Hiring plan'!$H$31="",999,'Hiring plan'!$H$31)),'Hiring plan'!$F$31,0)</f>
        <v>0</v>
      </c>
    </row>
    <row r="36" customFormat="false" ht="15" hidden="false" customHeight="false" outlineLevel="0" collapsed="false">
      <c r="A36" s="12" t="str">
        <f aca="false">IF('Hiring plan'!$C$32="","(spare line 28)",'Hiring plan'!$C$32&amp;" · "&amp;'Hiring plan'!$D$32)</f>
        <v>(spare line 28)</v>
      </c>
      <c r="B36" s="14" t="s">
        <v>86</v>
      </c>
      <c r="D36" s="55" t="n">
        <f aca="false">MAX(E36:BL36)</f>
        <v>0</v>
      </c>
      <c r="E36" s="37" t="n">
        <f aca="false">IF(AND(N('Hiring plan'!$F$32)&gt;0,E$3&gt;='Hiring plan'!$G$32,E$3&lt;=IF('Hiring plan'!$H$32="",999,'Hiring plan'!$H$32)),'Hiring plan'!$F$32,0)</f>
        <v>0</v>
      </c>
      <c r="F36" s="37" t="n">
        <f aca="false">IF(AND(N('Hiring plan'!$F$32)&gt;0,F$3&gt;='Hiring plan'!$G$32,F$3&lt;=IF('Hiring plan'!$H$32="",999,'Hiring plan'!$H$32)),'Hiring plan'!$F$32,0)</f>
        <v>0</v>
      </c>
      <c r="G36" s="37" t="n">
        <f aca="false">IF(AND(N('Hiring plan'!$F$32)&gt;0,G$3&gt;='Hiring plan'!$G$32,G$3&lt;=IF('Hiring plan'!$H$32="",999,'Hiring plan'!$H$32)),'Hiring plan'!$F$32,0)</f>
        <v>0</v>
      </c>
      <c r="H36" s="37" t="n">
        <f aca="false">IF(AND(N('Hiring plan'!$F$32)&gt;0,H$3&gt;='Hiring plan'!$G$32,H$3&lt;=IF('Hiring plan'!$H$32="",999,'Hiring plan'!$H$32)),'Hiring plan'!$F$32,0)</f>
        <v>0</v>
      </c>
      <c r="I36" s="37" t="n">
        <f aca="false">IF(AND(N('Hiring plan'!$F$32)&gt;0,I$3&gt;='Hiring plan'!$G$32,I$3&lt;=IF('Hiring plan'!$H$32="",999,'Hiring plan'!$H$32)),'Hiring plan'!$F$32,0)</f>
        <v>0</v>
      </c>
      <c r="J36" s="37" t="n">
        <f aca="false">IF(AND(N('Hiring plan'!$F$32)&gt;0,J$3&gt;='Hiring plan'!$G$32,J$3&lt;=IF('Hiring plan'!$H$32="",999,'Hiring plan'!$H$32)),'Hiring plan'!$F$32,0)</f>
        <v>0</v>
      </c>
      <c r="K36" s="37" t="n">
        <f aca="false">IF(AND(N('Hiring plan'!$F$32)&gt;0,K$3&gt;='Hiring plan'!$G$32,K$3&lt;=IF('Hiring plan'!$H$32="",999,'Hiring plan'!$H$32)),'Hiring plan'!$F$32,0)</f>
        <v>0</v>
      </c>
      <c r="L36" s="37" t="n">
        <f aca="false">IF(AND(N('Hiring plan'!$F$32)&gt;0,L$3&gt;='Hiring plan'!$G$32,L$3&lt;=IF('Hiring plan'!$H$32="",999,'Hiring plan'!$H$32)),'Hiring plan'!$F$32,0)</f>
        <v>0</v>
      </c>
      <c r="M36" s="37" t="n">
        <f aca="false">IF(AND(N('Hiring plan'!$F$32)&gt;0,M$3&gt;='Hiring plan'!$G$32,M$3&lt;=IF('Hiring plan'!$H$32="",999,'Hiring plan'!$H$32)),'Hiring plan'!$F$32,0)</f>
        <v>0</v>
      </c>
      <c r="N36" s="37" t="n">
        <f aca="false">IF(AND(N('Hiring plan'!$F$32)&gt;0,N$3&gt;='Hiring plan'!$G$32,N$3&lt;=IF('Hiring plan'!$H$32="",999,'Hiring plan'!$H$32)),'Hiring plan'!$F$32,0)</f>
        <v>0</v>
      </c>
      <c r="O36" s="37" t="n">
        <f aca="false">IF(AND(N('Hiring plan'!$F$32)&gt;0,O$3&gt;='Hiring plan'!$G$32,O$3&lt;=IF('Hiring plan'!$H$32="",999,'Hiring plan'!$H$32)),'Hiring plan'!$F$32,0)</f>
        <v>0</v>
      </c>
      <c r="P36" s="37" t="n">
        <f aca="false">IF(AND(N('Hiring plan'!$F$32)&gt;0,P$3&gt;='Hiring plan'!$G$32,P$3&lt;=IF('Hiring plan'!$H$32="",999,'Hiring plan'!$H$32)),'Hiring plan'!$F$32,0)</f>
        <v>0</v>
      </c>
      <c r="Q36" s="37" t="n">
        <f aca="false">IF(AND(N('Hiring plan'!$F$32)&gt;0,Q$3&gt;='Hiring plan'!$G$32,Q$3&lt;=IF('Hiring plan'!$H$32="",999,'Hiring plan'!$H$32)),'Hiring plan'!$F$32,0)</f>
        <v>0</v>
      </c>
      <c r="R36" s="37" t="n">
        <f aca="false">IF(AND(N('Hiring plan'!$F$32)&gt;0,R$3&gt;='Hiring plan'!$G$32,R$3&lt;=IF('Hiring plan'!$H$32="",999,'Hiring plan'!$H$32)),'Hiring plan'!$F$32,0)</f>
        <v>0</v>
      </c>
      <c r="S36" s="37" t="n">
        <f aca="false">IF(AND(N('Hiring plan'!$F$32)&gt;0,S$3&gt;='Hiring plan'!$G$32,S$3&lt;=IF('Hiring plan'!$H$32="",999,'Hiring plan'!$H$32)),'Hiring plan'!$F$32,0)</f>
        <v>0</v>
      </c>
      <c r="T36" s="37" t="n">
        <f aca="false">IF(AND(N('Hiring plan'!$F$32)&gt;0,T$3&gt;='Hiring plan'!$G$32,T$3&lt;=IF('Hiring plan'!$H$32="",999,'Hiring plan'!$H$32)),'Hiring plan'!$F$32,0)</f>
        <v>0</v>
      </c>
      <c r="U36" s="37" t="n">
        <f aca="false">IF(AND(N('Hiring plan'!$F$32)&gt;0,U$3&gt;='Hiring plan'!$G$32,U$3&lt;=IF('Hiring plan'!$H$32="",999,'Hiring plan'!$H$32)),'Hiring plan'!$F$32,0)</f>
        <v>0</v>
      </c>
      <c r="V36" s="37" t="n">
        <f aca="false">IF(AND(N('Hiring plan'!$F$32)&gt;0,V$3&gt;='Hiring plan'!$G$32,V$3&lt;=IF('Hiring plan'!$H$32="",999,'Hiring plan'!$H$32)),'Hiring plan'!$F$32,0)</f>
        <v>0</v>
      </c>
      <c r="W36" s="37" t="n">
        <f aca="false">IF(AND(N('Hiring plan'!$F$32)&gt;0,W$3&gt;='Hiring plan'!$G$32,W$3&lt;=IF('Hiring plan'!$H$32="",999,'Hiring plan'!$H$32)),'Hiring plan'!$F$32,0)</f>
        <v>0</v>
      </c>
      <c r="X36" s="37" t="n">
        <f aca="false">IF(AND(N('Hiring plan'!$F$32)&gt;0,X$3&gt;='Hiring plan'!$G$32,X$3&lt;=IF('Hiring plan'!$H$32="",999,'Hiring plan'!$H$32)),'Hiring plan'!$F$32,0)</f>
        <v>0</v>
      </c>
      <c r="Y36" s="37" t="n">
        <f aca="false">IF(AND(N('Hiring plan'!$F$32)&gt;0,Y$3&gt;='Hiring plan'!$G$32,Y$3&lt;=IF('Hiring plan'!$H$32="",999,'Hiring plan'!$H$32)),'Hiring plan'!$F$32,0)</f>
        <v>0</v>
      </c>
      <c r="Z36" s="37" t="n">
        <f aca="false">IF(AND(N('Hiring plan'!$F$32)&gt;0,Z$3&gt;='Hiring plan'!$G$32,Z$3&lt;=IF('Hiring plan'!$H$32="",999,'Hiring plan'!$H$32)),'Hiring plan'!$F$32,0)</f>
        <v>0</v>
      </c>
      <c r="AA36" s="37" t="n">
        <f aca="false">IF(AND(N('Hiring plan'!$F$32)&gt;0,AA$3&gt;='Hiring plan'!$G$32,AA$3&lt;=IF('Hiring plan'!$H$32="",999,'Hiring plan'!$H$32)),'Hiring plan'!$F$32,0)</f>
        <v>0</v>
      </c>
      <c r="AB36" s="37" t="n">
        <f aca="false">IF(AND(N('Hiring plan'!$F$32)&gt;0,AB$3&gt;='Hiring plan'!$G$32,AB$3&lt;=IF('Hiring plan'!$H$32="",999,'Hiring plan'!$H$32)),'Hiring plan'!$F$32,0)</f>
        <v>0</v>
      </c>
      <c r="AC36" s="37" t="n">
        <f aca="false">IF(AND(N('Hiring plan'!$F$32)&gt;0,AC$3&gt;='Hiring plan'!$G$32,AC$3&lt;=IF('Hiring plan'!$H$32="",999,'Hiring plan'!$H$32)),'Hiring plan'!$F$32,0)</f>
        <v>0</v>
      </c>
      <c r="AD36" s="37" t="n">
        <f aca="false">IF(AND(N('Hiring plan'!$F$32)&gt;0,AD$3&gt;='Hiring plan'!$G$32,AD$3&lt;=IF('Hiring plan'!$H$32="",999,'Hiring plan'!$H$32)),'Hiring plan'!$F$32,0)</f>
        <v>0</v>
      </c>
      <c r="AE36" s="37" t="n">
        <f aca="false">IF(AND(N('Hiring plan'!$F$32)&gt;0,AE$3&gt;='Hiring plan'!$G$32,AE$3&lt;=IF('Hiring plan'!$H$32="",999,'Hiring plan'!$H$32)),'Hiring plan'!$F$32,0)</f>
        <v>0</v>
      </c>
      <c r="AF36" s="37" t="n">
        <f aca="false">IF(AND(N('Hiring plan'!$F$32)&gt;0,AF$3&gt;='Hiring plan'!$G$32,AF$3&lt;=IF('Hiring plan'!$H$32="",999,'Hiring plan'!$H$32)),'Hiring plan'!$F$32,0)</f>
        <v>0</v>
      </c>
      <c r="AG36" s="37" t="n">
        <f aca="false">IF(AND(N('Hiring plan'!$F$32)&gt;0,AG$3&gt;='Hiring plan'!$G$32,AG$3&lt;=IF('Hiring plan'!$H$32="",999,'Hiring plan'!$H$32)),'Hiring plan'!$F$32,0)</f>
        <v>0</v>
      </c>
      <c r="AH36" s="37" t="n">
        <f aca="false">IF(AND(N('Hiring plan'!$F$32)&gt;0,AH$3&gt;='Hiring plan'!$G$32,AH$3&lt;=IF('Hiring plan'!$H$32="",999,'Hiring plan'!$H$32)),'Hiring plan'!$F$32,0)</f>
        <v>0</v>
      </c>
      <c r="AI36" s="37" t="n">
        <f aca="false">IF(AND(N('Hiring plan'!$F$32)&gt;0,AI$3&gt;='Hiring plan'!$G$32,AI$3&lt;=IF('Hiring plan'!$H$32="",999,'Hiring plan'!$H$32)),'Hiring plan'!$F$32,0)</f>
        <v>0</v>
      </c>
      <c r="AJ36" s="37" t="n">
        <f aca="false">IF(AND(N('Hiring plan'!$F$32)&gt;0,AJ$3&gt;='Hiring plan'!$G$32,AJ$3&lt;=IF('Hiring plan'!$H$32="",999,'Hiring plan'!$H$32)),'Hiring plan'!$F$32,0)</f>
        <v>0</v>
      </c>
      <c r="AK36" s="37" t="n">
        <f aca="false">IF(AND(N('Hiring plan'!$F$32)&gt;0,AK$3&gt;='Hiring plan'!$G$32,AK$3&lt;=IF('Hiring plan'!$H$32="",999,'Hiring plan'!$H$32)),'Hiring plan'!$F$32,0)</f>
        <v>0</v>
      </c>
      <c r="AL36" s="37" t="n">
        <f aca="false">IF(AND(N('Hiring plan'!$F$32)&gt;0,AL$3&gt;='Hiring plan'!$G$32,AL$3&lt;=IF('Hiring plan'!$H$32="",999,'Hiring plan'!$H$32)),'Hiring plan'!$F$32,0)</f>
        <v>0</v>
      </c>
      <c r="AM36" s="37" t="n">
        <f aca="false">IF(AND(N('Hiring plan'!$F$32)&gt;0,AM$3&gt;='Hiring plan'!$G$32,AM$3&lt;=IF('Hiring plan'!$H$32="",999,'Hiring plan'!$H$32)),'Hiring plan'!$F$32,0)</f>
        <v>0</v>
      </c>
      <c r="AN36" s="37" t="n">
        <f aca="false">IF(AND(N('Hiring plan'!$F$32)&gt;0,AN$3&gt;='Hiring plan'!$G$32,AN$3&lt;=IF('Hiring plan'!$H$32="",999,'Hiring plan'!$H$32)),'Hiring plan'!$F$32,0)</f>
        <v>0</v>
      </c>
      <c r="AO36" s="37" t="n">
        <f aca="false">IF(AND(N('Hiring plan'!$F$32)&gt;0,AO$3&gt;='Hiring plan'!$G$32,AO$3&lt;=IF('Hiring plan'!$H$32="",999,'Hiring plan'!$H$32)),'Hiring plan'!$F$32,0)</f>
        <v>0</v>
      </c>
      <c r="AP36" s="37" t="n">
        <f aca="false">IF(AND(N('Hiring plan'!$F$32)&gt;0,AP$3&gt;='Hiring plan'!$G$32,AP$3&lt;=IF('Hiring plan'!$H$32="",999,'Hiring plan'!$H$32)),'Hiring plan'!$F$32,0)</f>
        <v>0</v>
      </c>
      <c r="AQ36" s="37" t="n">
        <f aca="false">IF(AND(N('Hiring plan'!$F$32)&gt;0,AQ$3&gt;='Hiring plan'!$G$32,AQ$3&lt;=IF('Hiring plan'!$H$32="",999,'Hiring plan'!$H$32)),'Hiring plan'!$F$32,0)</f>
        <v>0</v>
      </c>
      <c r="AR36" s="37" t="n">
        <f aca="false">IF(AND(N('Hiring plan'!$F$32)&gt;0,AR$3&gt;='Hiring plan'!$G$32,AR$3&lt;=IF('Hiring plan'!$H$32="",999,'Hiring plan'!$H$32)),'Hiring plan'!$F$32,0)</f>
        <v>0</v>
      </c>
      <c r="AS36" s="37" t="n">
        <f aca="false">IF(AND(N('Hiring plan'!$F$32)&gt;0,AS$3&gt;='Hiring plan'!$G$32,AS$3&lt;=IF('Hiring plan'!$H$32="",999,'Hiring plan'!$H$32)),'Hiring plan'!$F$32,0)</f>
        <v>0</v>
      </c>
      <c r="AT36" s="37" t="n">
        <f aca="false">IF(AND(N('Hiring plan'!$F$32)&gt;0,AT$3&gt;='Hiring plan'!$G$32,AT$3&lt;=IF('Hiring plan'!$H$32="",999,'Hiring plan'!$H$32)),'Hiring plan'!$F$32,0)</f>
        <v>0</v>
      </c>
      <c r="AU36" s="37" t="n">
        <f aca="false">IF(AND(N('Hiring plan'!$F$32)&gt;0,AU$3&gt;='Hiring plan'!$G$32,AU$3&lt;=IF('Hiring plan'!$H$32="",999,'Hiring plan'!$H$32)),'Hiring plan'!$F$32,0)</f>
        <v>0</v>
      </c>
      <c r="AV36" s="37" t="n">
        <f aca="false">IF(AND(N('Hiring plan'!$F$32)&gt;0,AV$3&gt;='Hiring plan'!$G$32,AV$3&lt;=IF('Hiring plan'!$H$32="",999,'Hiring plan'!$H$32)),'Hiring plan'!$F$32,0)</f>
        <v>0</v>
      </c>
      <c r="AW36" s="37" t="n">
        <f aca="false">IF(AND(N('Hiring plan'!$F$32)&gt;0,AW$3&gt;='Hiring plan'!$G$32,AW$3&lt;=IF('Hiring plan'!$H$32="",999,'Hiring plan'!$H$32)),'Hiring plan'!$F$32,0)</f>
        <v>0</v>
      </c>
      <c r="AX36" s="37" t="n">
        <f aca="false">IF(AND(N('Hiring plan'!$F$32)&gt;0,AX$3&gt;='Hiring plan'!$G$32,AX$3&lt;=IF('Hiring plan'!$H$32="",999,'Hiring plan'!$H$32)),'Hiring plan'!$F$32,0)</f>
        <v>0</v>
      </c>
      <c r="AY36" s="37" t="n">
        <f aca="false">IF(AND(N('Hiring plan'!$F$32)&gt;0,AY$3&gt;='Hiring plan'!$G$32,AY$3&lt;=IF('Hiring plan'!$H$32="",999,'Hiring plan'!$H$32)),'Hiring plan'!$F$32,0)</f>
        <v>0</v>
      </c>
      <c r="AZ36" s="37" t="n">
        <f aca="false">IF(AND(N('Hiring plan'!$F$32)&gt;0,AZ$3&gt;='Hiring plan'!$G$32,AZ$3&lt;=IF('Hiring plan'!$H$32="",999,'Hiring plan'!$H$32)),'Hiring plan'!$F$32,0)</f>
        <v>0</v>
      </c>
      <c r="BA36" s="37" t="n">
        <f aca="false">IF(AND(N('Hiring plan'!$F$32)&gt;0,BA$3&gt;='Hiring plan'!$G$32,BA$3&lt;=IF('Hiring plan'!$H$32="",999,'Hiring plan'!$H$32)),'Hiring plan'!$F$32,0)</f>
        <v>0</v>
      </c>
      <c r="BB36" s="37" t="n">
        <f aca="false">IF(AND(N('Hiring plan'!$F$32)&gt;0,BB$3&gt;='Hiring plan'!$G$32,BB$3&lt;=IF('Hiring plan'!$H$32="",999,'Hiring plan'!$H$32)),'Hiring plan'!$F$32,0)</f>
        <v>0</v>
      </c>
      <c r="BC36" s="37" t="n">
        <f aca="false">IF(AND(N('Hiring plan'!$F$32)&gt;0,BC$3&gt;='Hiring plan'!$G$32,BC$3&lt;=IF('Hiring plan'!$H$32="",999,'Hiring plan'!$H$32)),'Hiring plan'!$F$32,0)</f>
        <v>0</v>
      </c>
      <c r="BD36" s="37" t="n">
        <f aca="false">IF(AND(N('Hiring plan'!$F$32)&gt;0,BD$3&gt;='Hiring plan'!$G$32,BD$3&lt;=IF('Hiring plan'!$H$32="",999,'Hiring plan'!$H$32)),'Hiring plan'!$F$32,0)</f>
        <v>0</v>
      </c>
      <c r="BE36" s="37" t="n">
        <f aca="false">IF(AND(N('Hiring plan'!$F$32)&gt;0,BE$3&gt;='Hiring plan'!$G$32,BE$3&lt;=IF('Hiring plan'!$H$32="",999,'Hiring plan'!$H$32)),'Hiring plan'!$F$32,0)</f>
        <v>0</v>
      </c>
      <c r="BF36" s="37" t="n">
        <f aca="false">IF(AND(N('Hiring plan'!$F$32)&gt;0,BF$3&gt;='Hiring plan'!$G$32,BF$3&lt;=IF('Hiring plan'!$H$32="",999,'Hiring plan'!$H$32)),'Hiring plan'!$F$32,0)</f>
        <v>0</v>
      </c>
      <c r="BG36" s="37" t="n">
        <f aca="false">IF(AND(N('Hiring plan'!$F$32)&gt;0,BG$3&gt;='Hiring plan'!$G$32,BG$3&lt;=IF('Hiring plan'!$H$32="",999,'Hiring plan'!$H$32)),'Hiring plan'!$F$32,0)</f>
        <v>0</v>
      </c>
      <c r="BH36" s="37" t="n">
        <f aca="false">IF(AND(N('Hiring plan'!$F$32)&gt;0,BH$3&gt;='Hiring plan'!$G$32,BH$3&lt;=IF('Hiring plan'!$H$32="",999,'Hiring plan'!$H$32)),'Hiring plan'!$F$32,0)</f>
        <v>0</v>
      </c>
      <c r="BI36" s="37" t="n">
        <f aca="false">IF(AND(N('Hiring plan'!$F$32)&gt;0,BI$3&gt;='Hiring plan'!$G$32,BI$3&lt;=IF('Hiring plan'!$H$32="",999,'Hiring plan'!$H$32)),'Hiring plan'!$F$32,0)</f>
        <v>0</v>
      </c>
      <c r="BJ36" s="37" t="n">
        <f aca="false">IF(AND(N('Hiring plan'!$F$32)&gt;0,BJ$3&gt;='Hiring plan'!$G$32,BJ$3&lt;=IF('Hiring plan'!$H$32="",999,'Hiring plan'!$H$32)),'Hiring plan'!$F$32,0)</f>
        <v>0</v>
      </c>
      <c r="BK36" s="37" t="n">
        <f aca="false">IF(AND(N('Hiring plan'!$F$32)&gt;0,BK$3&gt;='Hiring plan'!$G$32,BK$3&lt;=IF('Hiring plan'!$H$32="",999,'Hiring plan'!$H$32)),'Hiring plan'!$F$32,0)</f>
        <v>0</v>
      </c>
      <c r="BL36" s="37" t="n">
        <f aca="false">IF(AND(N('Hiring plan'!$F$32)&gt;0,BL$3&gt;='Hiring plan'!$G$32,BL$3&lt;=IF('Hiring plan'!$H$32="",999,'Hiring plan'!$H$32)),'Hiring plan'!$F$32,0)</f>
        <v>0</v>
      </c>
    </row>
    <row r="38" customFormat="false" ht="15" hidden="false" customHeight="false" outlineLevel="0" collapsed="false">
      <c r="A38" s="10" t="s">
        <v>684</v>
      </c>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c r="BK38" s="11"/>
      <c r="BL38" s="11"/>
    </row>
    <row r="39" customFormat="false" ht="15" hidden="false" customHeight="false" outlineLevel="0" collapsed="false">
      <c r="A39" s="12" t="str">
        <f aca="false">A9</f>
        <v>CEO (full salary from year 2) · SN</v>
      </c>
      <c r="B39" s="14" t="s">
        <v>71</v>
      </c>
      <c r="D39" s="55" t="n">
        <f aca="false">SUM(E39:BL39)</f>
        <v>176499618.75</v>
      </c>
      <c r="E39" s="37" t="n">
        <f aca="false">E9*'Hiring plan'!$K$5*(1+Salary_Raise)^(E$5-1)</f>
        <v>0</v>
      </c>
      <c r="F39" s="37" t="n">
        <f aca="false">F9*'Hiring plan'!$K$5*(1+Salary_Raise)^(F$5-1)</f>
        <v>0</v>
      </c>
      <c r="G39" s="37" t="n">
        <f aca="false">G9*'Hiring plan'!$K$5*(1+Salary_Raise)^(G$5-1)</f>
        <v>0</v>
      </c>
      <c r="H39" s="37" t="n">
        <f aca="false">H9*'Hiring plan'!$K$5*(1+Salary_Raise)^(H$5-1)</f>
        <v>0</v>
      </c>
      <c r="I39" s="37" t="n">
        <f aca="false">I9*'Hiring plan'!$K$5*(1+Salary_Raise)^(I$5-1)</f>
        <v>0</v>
      </c>
      <c r="J39" s="37" t="n">
        <f aca="false">J9*'Hiring plan'!$K$5*(1+Salary_Raise)^(J$5-1)</f>
        <v>0</v>
      </c>
      <c r="K39" s="37" t="n">
        <f aca="false">K9*'Hiring plan'!$K$5*(1+Salary_Raise)^(K$5-1)</f>
        <v>0</v>
      </c>
      <c r="L39" s="37" t="n">
        <f aca="false">L9*'Hiring plan'!$K$5*(1+Salary_Raise)^(L$5-1)</f>
        <v>0</v>
      </c>
      <c r="M39" s="37" t="n">
        <f aca="false">M9*'Hiring plan'!$K$5*(1+Salary_Raise)^(M$5-1)</f>
        <v>0</v>
      </c>
      <c r="N39" s="37" t="n">
        <f aca="false">N9*'Hiring plan'!$K$5*(1+Salary_Raise)^(N$5-1)</f>
        <v>0</v>
      </c>
      <c r="O39" s="37" t="n">
        <f aca="false">O9*'Hiring plan'!$K$5*(1+Salary_Raise)^(O$5-1)</f>
        <v>0</v>
      </c>
      <c r="P39" s="37" t="n">
        <f aca="false">P9*'Hiring plan'!$K$5*(1+Salary_Raise)^(P$5-1)</f>
        <v>0</v>
      </c>
      <c r="Q39" s="37" t="n">
        <f aca="false">Q9*'Hiring plan'!$K$5*(1+Salary_Raise)^(Q$5-1)</f>
        <v>3412500</v>
      </c>
      <c r="R39" s="37" t="n">
        <f aca="false">R9*'Hiring plan'!$K$5*(1+Salary_Raise)^(R$5-1)</f>
        <v>3412500</v>
      </c>
      <c r="S39" s="37" t="n">
        <f aca="false">S9*'Hiring plan'!$K$5*(1+Salary_Raise)^(S$5-1)</f>
        <v>3412500</v>
      </c>
      <c r="T39" s="37" t="n">
        <f aca="false">T9*'Hiring plan'!$K$5*(1+Salary_Raise)^(T$5-1)</f>
        <v>3412500</v>
      </c>
      <c r="U39" s="37" t="n">
        <f aca="false">U9*'Hiring plan'!$K$5*(1+Salary_Raise)^(U$5-1)</f>
        <v>3412500</v>
      </c>
      <c r="V39" s="37" t="n">
        <f aca="false">V9*'Hiring plan'!$K$5*(1+Salary_Raise)^(V$5-1)</f>
        <v>3412500</v>
      </c>
      <c r="W39" s="37" t="n">
        <f aca="false">W9*'Hiring plan'!$K$5*(1+Salary_Raise)^(W$5-1)</f>
        <v>3412500</v>
      </c>
      <c r="X39" s="37" t="n">
        <f aca="false">X9*'Hiring plan'!$K$5*(1+Salary_Raise)^(X$5-1)</f>
        <v>3412500</v>
      </c>
      <c r="Y39" s="37" t="n">
        <f aca="false">Y9*'Hiring plan'!$K$5*(1+Salary_Raise)^(Y$5-1)</f>
        <v>3412500</v>
      </c>
      <c r="Z39" s="37" t="n">
        <f aca="false">Z9*'Hiring plan'!$K$5*(1+Salary_Raise)^(Z$5-1)</f>
        <v>3412500</v>
      </c>
      <c r="AA39" s="37" t="n">
        <f aca="false">AA9*'Hiring plan'!$K$5*(1+Salary_Raise)^(AA$5-1)</f>
        <v>3412500</v>
      </c>
      <c r="AB39" s="37" t="n">
        <f aca="false">AB9*'Hiring plan'!$K$5*(1+Salary_Raise)^(AB$5-1)</f>
        <v>3412500</v>
      </c>
      <c r="AC39" s="37" t="n">
        <f aca="false">AC9*'Hiring plan'!$K$5*(1+Salary_Raise)^(AC$5-1)</f>
        <v>3583125</v>
      </c>
      <c r="AD39" s="37" t="n">
        <f aca="false">AD9*'Hiring plan'!$K$5*(1+Salary_Raise)^(AD$5-1)</f>
        <v>3583125</v>
      </c>
      <c r="AE39" s="37" t="n">
        <f aca="false">AE9*'Hiring plan'!$K$5*(1+Salary_Raise)^(AE$5-1)</f>
        <v>3583125</v>
      </c>
      <c r="AF39" s="37" t="n">
        <f aca="false">AF9*'Hiring plan'!$K$5*(1+Salary_Raise)^(AF$5-1)</f>
        <v>3583125</v>
      </c>
      <c r="AG39" s="37" t="n">
        <f aca="false">AG9*'Hiring plan'!$K$5*(1+Salary_Raise)^(AG$5-1)</f>
        <v>3583125</v>
      </c>
      <c r="AH39" s="37" t="n">
        <f aca="false">AH9*'Hiring plan'!$K$5*(1+Salary_Raise)^(AH$5-1)</f>
        <v>3583125</v>
      </c>
      <c r="AI39" s="37" t="n">
        <f aca="false">AI9*'Hiring plan'!$K$5*(1+Salary_Raise)^(AI$5-1)</f>
        <v>3583125</v>
      </c>
      <c r="AJ39" s="37" t="n">
        <f aca="false">AJ9*'Hiring plan'!$K$5*(1+Salary_Raise)^(AJ$5-1)</f>
        <v>3583125</v>
      </c>
      <c r="AK39" s="37" t="n">
        <f aca="false">AK9*'Hiring plan'!$K$5*(1+Salary_Raise)^(AK$5-1)</f>
        <v>3583125</v>
      </c>
      <c r="AL39" s="37" t="n">
        <f aca="false">AL9*'Hiring plan'!$K$5*(1+Salary_Raise)^(AL$5-1)</f>
        <v>3583125</v>
      </c>
      <c r="AM39" s="37" t="n">
        <f aca="false">AM9*'Hiring plan'!$K$5*(1+Salary_Raise)^(AM$5-1)</f>
        <v>3583125</v>
      </c>
      <c r="AN39" s="37" t="n">
        <f aca="false">AN9*'Hiring plan'!$K$5*(1+Salary_Raise)^(AN$5-1)</f>
        <v>3583125</v>
      </c>
      <c r="AO39" s="37" t="n">
        <f aca="false">AO9*'Hiring plan'!$K$5*(1+Salary_Raise)^(AO$5-1)</f>
        <v>3762281.25</v>
      </c>
      <c r="AP39" s="37" t="n">
        <f aca="false">AP9*'Hiring plan'!$K$5*(1+Salary_Raise)^(AP$5-1)</f>
        <v>3762281.25</v>
      </c>
      <c r="AQ39" s="37" t="n">
        <f aca="false">AQ9*'Hiring plan'!$K$5*(1+Salary_Raise)^(AQ$5-1)</f>
        <v>3762281.25</v>
      </c>
      <c r="AR39" s="37" t="n">
        <f aca="false">AR9*'Hiring plan'!$K$5*(1+Salary_Raise)^(AR$5-1)</f>
        <v>3762281.25</v>
      </c>
      <c r="AS39" s="37" t="n">
        <f aca="false">AS9*'Hiring plan'!$K$5*(1+Salary_Raise)^(AS$5-1)</f>
        <v>3762281.25</v>
      </c>
      <c r="AT39" s="37" t="n">
        <f aca="false">AT9*'Hiring plan'!$K$5*(1+Salary_Raise)^(AT$5-1)</f>
        <v>3762281.25</v>
      </c>
      <c r="AU39" s="37" t="n">
        <f aca="false">AU9*'Hiring plan'!$K$5*(1+Salary_Raise)^(AU$5-1)</f>
        <v>3762281.25</v>
      </c>
      <c r="AV39" s="37" t="n">
        <f aca="false">AV9*'Hiring plan'!$K$5*(1+Salary_Raise)^(AV$5-1)</f>
        <v>3762281.25</v>
      </c>
      <c r="AW39" s="37" t="n">
        <f aca="false">AW9*'Hiring plan'!$K$5*(1+Salary_Raise)^(AW$5-1)</f>
        <v>3762281.25</v>
      </c>
      <c r="AX39" s="37" t="n">
        <f aca="false">AX9*'Hiring plan'!$K$5*(1+Salary_Raise)^(AX$5-1)</f>
        <v>3762281.25</v>
      </c>
      <c r="AY39" s="37" t="n">
        <f aca="false">AY9*'Hiring plan'!$K$5*(1+Salary_Raise)^(AY$5-1)</f>
        <v>3762281.25</v>
      </c>
      <c r="AZ39" s="37" t="n">
        <f aca="false">AZ9*'Hiring plan'!$K$5*(1+Salary_Raise)^(AZ$5-1)</f>
        <v>3762281.25</v>
      </c>
      <c r="BA39" s="37" t="n">
        <f aca="false">BA9*'Hiring plan'!$K$5*(1+Salary_Raise)^(BA$5-1)</f>
        <v>3950395.3125</v>
      </c>
      <c r="BB39" s="37" t="n">
        <f aca="false">BB9*'Hiring plan'!$K$5*(1+Salary_Raise)^(BB$5-1)</f>
        <v>3950395.3125</v>
      </c>
      <c r="BC39" s="37" t="n">
        <f aca="false">BC9*'Hiring plan'!$K$5*(1+Salary_Raise)^(BC$5-1)</f>
        <v>3950395.3125</v>
      </c>
      <c r="BD39" s="37" t="n">
        <f aca="false">BD9*'Hiring plan'!$K$5*(1+Salary_Raise)^(BD$5-1)</f>
        <v>3950395.3125</v>
      </c>
      <c r="BE39" s="37" t="n">
        <f aca="false">BE9*'Hiring plan'!$K$5*(1+Salary_Raise)^(BE$5-1)</f>
        <v>3950395.3125</v>
      </c>
      <c r="BF39" s="37" t="n">
        <f aca="false">BF9*'Hiring plan'!$K$5*(1+Salary_Raise)^(BF$5-1)</f>
        <v>3950395.3125</v>
      </c>
      <c r="BG39" s="37" t="n">
        <f aca="false">BG9*'Hiring plan'!$K$5*(1+Salary_Raise)^(BG$5-1)</f>
        <v>3950395.3125</v>
      </c>
      <c r="BH39" s="37" t="n">
        <f aca="false">BH9*'Hiring plan'!$K$5*(1+Salary_Raise)^(BH$5-1)</f>
        <v>3950395.3125</v>
      </c>
      <c r="BI39" s="37" t="n">
        <f aca="false">BI9*'Hiring plan'!$K$5*(1+Salary_Raise)^(BI$5-1)</f>
        <v>3950395.3125</v>
      </c>
      <c r="BJ39" s="37" t="n">
        <f aca="false">BJ9*'Hiring plan'!$K$5*(1+Salary_Raise)^(BJ$5-1)</f>
        <v>3950395.3125</v>
      </c>
      <c r="BK39" s="37" t="n">
        <f aca="false">BK9*'Hiring plan'!$K$5*(1+Salary_Raise)^(BK$5-1)</f>
        <v>3950395.3125</v>
      </c>
      <c r="BL39" s="37" t="n">
        <f aca="false">BL9*'Hiring plan'!$K$5*(1+Salary_Raise)^(BL$5-1)</f>
        <v>3950395.3125</v>
      </c>
    </row>
    <row r="40" customFormat="false" ht="15" hidden="false" customHeight="false" outlineLevel="0" collapsed="false">
      <c r="A40" s="12" t="str">
        <f aca="false">A10</f>
        <v>CTO (also codes) · SN</v>
      </c>
      <c r="B40" s="14" t="s">
        <v>71</v>
      </c>
      <c r="D40" s="55" t="n">
        <f aca="false">SUM(E40:BL40)</f>
        <v>215499618.75</v>
      </c>
      <c r="E40" s="37" t="n">
        <f aca="false">E10*'Hiring plan'!$K$6*(1+Salary_Raise)^(E$5-1)</f>
        <v>3250000</v>
      </c>
      <c r="F40" s="37" t="n">
        <f aca="false">F10*'Hiring plan'!$K$6*(1+Salary_Raise)^(F$5-1)</f>
        <v>3250000</v>
      </c>
      <c r="G40" s="37" t="n">
        <f aca="false">G10*'Hiring plan'!$K$6*(1+Salary_Raise)^(G$5-1)</f>
        <v>3250000</v>
      </c>
      <c r="H40" s="37" t="n">
        <f aca="false">H10*'Hiring plan'!$K$6*(1+Salary_Raise)^(H$5-1)</f>
        <v>3250000</v>
      </c>
      <c r="I40" s="37" t="n">
        <f aca="false">I10*'Hiring plan'!$K$6*(1+Salary_Raise)^(I$5-1)</f>
        <v>3250000</v>
      </c>
      <c r="J40" s="37" t="n">
        <f aca="false">J10*'Hiring plan'!$K$6*(1+Salary_Raise)^(J$5-1)</f>
        <v>3250000</v>
      </c>
      <c r="K40" s="37" t="n">
        <f aca="false">K10*'Hiring plan'!$K$6*(1+Salary_Raise)^(K$5-1)</f>
        <v>3250000</v>
      </c>
      <c r="L40" s="37" t="n">
        <f aca="false">L10*'Hiring plan'!$K$6*(1+Salary_Raise)^(L$5-1)</f>
        <v>3250000</v>
      </c>
      <c r="M40" s="37" t="n">
        <f aca="false">M10*'Hiring plan'!$K$6*(1+Salary_Raise)^(M$5-1)</f>
        <v>3250000</v>
      </c>
      <c r="N40" s="37" t="n">
        <f aca="false">N10*'Hiring plan'!$K$6*(1+Salary_Raise)^(N$5-1)</f>
        <v>3250000</v>
      </c>
      <c r="O40" s="37" t="n">
        <f aca="false">O10*'Hiring plan'!$K$6*(1+Salary_Raise)^(O$5-1)</f>
        <v>3250000</v>
      </c>
      <c r="P40" s="37" t="n">
        <f aca="false">P10*'Hiring plan'!$K$6*(1+Salary_Raise)^(P$5-1)</f>
        <v>3250000</v>
      </c>
      <c r="Q40" s="37" t="n">
        <f aca="false">Q10*'Hiring plan'!$K$6*(1+Salary_Raise)^(Q$5-1)</f>
        <v>3412500</v>
      </c>
      <c r="R40" s="37" t="n">
        <f aca="false">R10*'Hiring plan'!$K$6*(1+Salary_Raise)^(R$5-1)</f>
        <v>3412500</v>
      </c>
      <c r="S40" s="37" t="n">
        <f aca="false">S10*'Hiring plan'!$K$6*(1+Salary_Raise)^(S$5-1)</f>
        <v>3412500</v>
      </c>
      <c r="T40" s="37" t="n">
        <f aca="false">T10*'Hiring plan'!$K$6*(1+Salary_Raise)^(T$5-1)</f>
        <v>3412500</v>
      </c>
      <c r="U40" s="37" t="n">
        <f aca="false">U10*'Hiring plan'!$K$6*(1+Salary_Raise)^(U$5-1)</f>
        <v>3412500</v>
      </c>
      <c r="V40" s="37" t="n">
        <f aca="false">V10*'Hiring plan'!$K$6*(1+Salary_Raise)^(V$5-1)</f>
        <v>3412500</v>
      </c>
      <c r="W40" s="37" t="n">
        <f aca="false">W10*'Hiring plan'!$K$6*(1+Salary_Raise)^(W$5-1)</f>
        <v>3412500</v>
      </c>
      <c r="X40" s="37" t="n">
        <f aca="false">X10*'Hiring plan'!$K$6*(1+Salary_Raise)^(X$5-1)</f>
        <v>3412500</v>
      </c>
      <c r="Y40" s="37" t="n">
        <f aca="false">Y10*'Hiring plan'!$K$6*(1+Salary_Raise)^(Y$5-1)</f>
        <v>3412500</v>
      </c>
      <c r="Z40" s="37" t="n">
        <f aca="false">Z10*'Hiring plan'!$K$6*(1+Salary_Raise)^(Z$5-1)</f>
        <v>3412500</v>
      </c>
      <c r="AA40" s="37" t="n">
        <f aca="false">AA10*'Hiring plan'!$K$6*(1+Salary_Raise)^(AA$5-1)</f>
        <v>3412500</v>
      </c>
      <c r="AB40" s="37" t="n">
        <f aca="false">AB10*'Hiring plan'!$K$6*(1+Salary_Raise)^(AB$5-1)</f>
        <v>3412500</v>
      </c>
      <c r="AC40" s="37" t="n">
        <f aca="false">AC10*'Hiring plan'!$K$6*(1+Salary_Raise)^(AC$5-1)</f>
        <v>3583125</v>
      </c>
      <c r="AD40" s="37" t="n">
        <f aca="false">AD10*'Hiring plan'!$K$6*(1+Salary_Raise)^(AD$5-1)</f>
        <v>3583125</v>
      </c>
      <c r="AE40" s="37" t="n">
        <f aca="false">AE10*'Hiring plan'!$K$6*(1+Salary_Raise)^(AE$5-1)</f>
        <v>3583125</v>
      </c>
      <c r="AF40" s="37" t="n">
        <f aca="false">AF10*'Hiring plan'!$K$6*(1+Salary_Raise)^(AF$5-1)</f>
        <v>3583125</v>
      </c>
      <c r="AG40" s="37" t="n">
        <f aca="false">AG10*'Hiring plan'!$K$6*(1+Salary_Raise)^(AG$5-1)</f>
        <v>3583125</v>
      </c>
      <c r="AH40" s="37" t="n">
        <f aca="false">AH10*'Hiring plan'!$K$6*(1+Salary_Raise)^(AH$5-1)</f>
        <v>3583125</v>
      </c>
      <c r="AI40" s="37" t="n">
        <f aca="false">AI10*'Hiring plan'!$K$6*(1+Salary_Raise)^(AI$5-1)</f>
        <v>3583125</v>
      </c>
      <c r="AJ40" s="37" t="n">
        <f aca="false">AJ10*'Hiring plan'!$K$6*(1+Salary_Raise)^(AJ$5-1)</f>
        <v>3583125</v>
      </c>
      <c r="AK40" s="37" t="n">
        <f aca="false">AK10*'Hiring plan'!$K$6*(1+Salary_Raise)^(AK$5-1)</f>
        <v>3583125</v>
      </c>
      <c r="AL40" s="37" t="n">
        <f aca="false">AL10*'Hiring plan'!$K$6*(1+Salary_Raise)^(AL$5-1)</f>
        <v>3583125</v>
      </c>
      <c r="AM40" s="37" t="n">
        <f aca="false">AM10*'Hiring plan'!$K$6*(1+Salary_Raise)^(AM$5-1)</f>
        <v>3583125</v>
      </c>
      <c r="AN40" s="37" t="n">
        <f aca="false">AN10*'Hiring plan'!$K$6*(1+Salary_Raise)^(AN$5-1)</f>
        <v>3583125</v>
      </c>
      <c r="AO40" s="37" t="n">
        <f aca="false">AO10*'Hiring plan'!$K$6*(1+Salary_Raise)^(AO$5-1)</f>
        <v>3762281.25</v>
      </c>
      <c r="AP40" s="37" t="n">
        <f aca="false">AP10*'Hiring plan'!$K$6*(1+Salary_Raise)^(AP$5-1)</f>
        <v>3762281.25</v>
      </c>
      <c r="AQ40" s="37" t="n">
        <f aca="false">AQ10*'Hiring plan'!$K$6*(1+Salary_Raise)^(AQ$5-1)</f>
        <v>3762281.25</v>
      </c>
      <c r="AR40" s="37" t="n">
        <f aca="false">AR10*'Hiring plan'!$K$6*(1+Salary_Raise)^(AR$5-1)</f>
        <v>3762281.25</v>
      </c>
      <c r="AS40" s="37" t="n">
        <f aca="false">AS10*'Hiring plan'!$K$6*(1+Salary_Raise)^(AS$5-1)</f>
        <v>3762281.25</v>
      </c>
      <c r="AT40" s="37" t="n">
        <f aca="false">AT10*'Hiring plan'!$K$6*(1+Salary_Raise)^(AT$5-1)</f>
        <v>3762281.25</v>
      </c>
      <c r="AU40" s="37" t="n">
        <f aca="false">AU10*'Hiring plan'!$K$6*(1+Salary_Raise)^(AU$5-1)</f>
        <v>3762281.25</v>
      </c>
      <c r="AV40" s="37" t="n">
        <f aca="false">AV10*'Hiring plan'!$K$6*(1+Salary_Raise)^(AV$5-1)</f>
        <v>3762281.25</v>
      </c>
      <c r="AW40" s="37" t="n">
        <f aca="false">AW10*'Hiring plan'!$K$6*(1+Salary_Raise)^(AW$5-1)</f>
        <v>3762281.25</v>
      </c>
      <c r="AX40" s="37" t="n">
        <f aca="false">AX10*'Hiring plan'!$K$6*(1+Salary_Raise)^(AX$5-1)</f>
        <v>3762281.25</v>
      </c>
      <c r="AY40" s="37" t="n">
        <f aca="false">AY10*'Hiring plan'!$K$6*(1+Salary_Raise)^(AY$5-1)</f>
        <v>3762281.25</v>
      </c>
      <c r="AZ40" s="37" t="n">
        <f aca="false">AZ10*'Hiring plan'!$K$6*(1+Salary_Raise)^(AZ$5-1)</f>
        <v>3762281.25</v>
      </c>
      <c r="BA40" s="37" t="n">
        <f aca="false">BA10*'Hiring plan'!$K$6*(1+Salary_Raise)^(BA$5-1)</f>
        <v>3950395.3125</v>
      </c>
      <c r="BB40" s="37" t="n">
        <f aca="false">BB10*'Hiring plan'!$K$6*(1+Salary_Raise)^(BB$5-1)</f>
        <v>3950395.3125</v>
      </c>
      <c r="BC40" s="37" t="n">
        <f aca="false">BC10*'Hiring plan'!$K$6*(1+Salary_Raise)^(BC$5-1)</f>
        <v>3950395.3125</v>
      </c>
      <c r="BD40" s="37" t="n">
        <f aca="false">BD10*'Hiring plan'!$K$6*(1+Salary_Raise)^(BD$5-1)</f>
        <v>3950395.3125</v>
      </c>
      <c r="BE40" s="37" t="n">
        <f aca="false">BE10*'Hiring plan'!$K$6*(1+Salary_Raise)^(BE$5-1)</f>
        <v>3950395.3125</v>
      </c>
      <c r="BF40" s="37" t="n">
        <f aca="false">BF10*'Hiring plan'!$K$6*(1+Salary_Raise)^(BF$5-1)</f>
        <v>3950395.3125</v>
      </c>
      <c r="BG40" s="37" t="n">
        <f aca="false">BG10*'Hiring plan'!$K$6*(1+Salary_Raise)^(BG$5-1)</f>
        <v>3950395.3125</v>
      </c>
      <c r="BH40" s="37" t="n">
        <f aca="false">BH10*'Hiring plan'!$K$6*(1+Salary_Raise)^(BH$5-1)</f>
        <v>3950395.3125</v>
      </c>
      <c r="BI40" s="37" t="n">
        <f aca="false">BI10*'Hiring plan'!$K$6*(1+Salary_Raise)^(BI$5-1)</f>
        <v>3950395.3125</v>
      </c>
      <c r="BJ40" s="37" t="n">
        <f aca="false">BJ10*'Hiring plan'!$K$6*(1+Salary_Raise)^(BJ$5-1)</f>
        <v>3950395.3125</v>
      </c>
      <c r="BK40" s="37" t="n">
        <f aca="false">BK10*'Hiring plan'!$K$6*(1+Salary_Raise)^(BK$5-1)</f>
        <v>3950395.3125</v>
      </c>
      <c r="BL40" s="37" t="n">
        <f aca="false">BL10*'Hiring plan'!$K$6*(1+Salary_Raise)^(BL$5-1)</f>
        <v>3950395.3125</v>
      </c>
    </row>
    <row r="41" customFormat="false" ht="15" hidden="false" customHeight="false" outlineLevel="0" collapsed="false">
      <c r="A41" s="12" t="str">
        <f aca="false">A11</f>
        <v>Financial expert (finance, partners, credit lead) · SN</v>
      </c>
      <c r="B41" s="14" t="s">
        <v>71</v>
      </c>
      <c r="D41" s="55" t="n">
        <f aca="false">SUM(E41:BL41)</f>
        <v>129299771.25</v>
      </c>
      <c r="E41" s="37" t="n">
        <f aca="false">E11*'Hiring plan'!$K$7*(1+Salary_Raise)^(E$5-1)</f>
        <v>1950000</v>
      </c>
      <c r="F41" s="37" t="n">
        <f aca="false">F11*'Hiring plan'!$K$7*(1+Salary_Raise)^(F$5-1)</f>
        <v>1950000</v>
      </c>
      <c r="G41" s="37" t="n">
        <f aca="false">G11*'Hiring plan'!$K$7*(1+Salary_Raise)^(G$5-1)</f>
        <v>1950000</v>
      </c>
      <c r="H41" s="37" t="n">
        <f aca="false">H11*'Hiring plan'!$K$7*(1+Salary_Raise)^(H$5-1)</f>
        <v>1950000</v>
      </c>
      <c r="I41" s="37" t="n">
        <f aca="false">I11*'Hiring plan'!$K$7*(1+Salary_Raise)^(I$5-1)</f>
        <v>1950000</v>
      </c>
      <c r="J41" s="37" t="n">
        <f aca="false">J11*'Hiring plan'!$K$7*(1+Salary_Raise)^(J$5-1)</f>
        <v>1950000</v>
      </c>
      <c r="K41" s="37" t="n">
        <f aca="false">K11*'Hiring plan'!$K$7*(1+Salary_Raise)^(K$5-1)</f>
        <v>1950000</v>
      </c>
      <c r="L41" s="37" t="n">
        <f aca="false">L11*'Hiring plan'!$K$7*(1+Salary_Raise)^(L$5-1)</f>
        <v>1950000</v>
      </c>
      <c r="M41" s="37" t="n">
        <f aca="false">M11*'Hiring plan'!$K$7*(1+Salary_Raise)^(M$5-1)</f>
        <v>1950000</v>
      </c>
      <c r="N41" s="37" t="n">
        <f aca="false">N11*'Hiring plan'!$K$7*(1+Salary_Raise)^(N$5-1)</f>
        <v>1950000</v>
      </c>
      <c r="O41" s="37" t="n">
        <f aca="false">O11*'Hiring plan'!$K$7*(1+Salary_Raise)^(O$5-1)</f>
        <v>1950000</v>
      </c>
      <c r="P41" s="37" t="n">
        <f aca="false">P11*'Hiring plan'!$K$7*(1+Salary_Raise)^(P$5-1)</f>
        <v>1950000</v>
      </c>
      <c r="Q41" s="37" t="n">
        <f aca="false">Q11*'Hiring plan'!$K$7*(1+Salary_Raise)^(Q$5-1)</f>
        <v>2047500</v>
      </c>
      <c r="R41" s="37" t="n">
        <f aca="false">R11*'Hiring plan'!$K$7*(1+Salary_Raise)^(R$5-1)</f>
        <v>2047500</v>
      </c>
      <c r="S41" s="37" t="n">
        <f aca="false">S11*'Hiring plan'!$K$7*(1+Salary_Raise)^(S$5-1)</f>
        <v>2047500</v>
      </c>
      <c r="T41" s="37" t="n">
        <f aca="false">T11*'Hiring plan'!$K$7*(1+Salary_Raise)^(T$5-1)</f>
        <v>2047500</v>
      </c>
      <c r="U41" s="37" t="n">
        <f aca="false">U11*'Hiring plan'!$K$7*(1+Salary_Raise)^(U$5-1)</f>
        <v>2047500</v>
      </c>
      <c r="V41" s="37" t="n">
        <f aca="false">V11*'Hiring plan'!$K$7*(1+Salary_Raise)^(V$5-1)</f>
        <v>2047500</v>
      </c>
      <c r="W41" s="37" t="n">
        <f aca="false">W11*'Hiring plan'!$K$7*(1+Salary_Raise)^(W$5-1)</f>
        <v>2047500</v>
      </c>
      <c r="X41" s="37" t="n">
        <f aca="false">X11*'Hiring plan'!$K$7*(1+Salary_Raise)^(X$5-1)</f>
        <v>2047500</v>
      </c>
      <c r="Y41" s="37" t="n">
        <f aca="false">Y11*'Hiring plan'!$K$7*(1+Salary_Raise)^(Y$5-1)</f>
        <v>2047500</v>
      </c>
      <c r="Z41" s="37" t="n">
        <f aca="false">Z11*'Hiring plan'!$K$7*(1+Salary_Raise)^(Z$5-1)</f>
        <v>2047500</v>
      </c>
      <c r="AA41" s="37" t="n">
        <f aca="false">AA11*'Hiring plan'!$K$7*(1+Salary_Raise)^(AA$5-1)</f>
        <v>2047500</v>
      </c>
      <c r="AB41" s="37" t="n">
        <f aca="false">AB11*'Hiring plan'!$K$7*(1+Salary_Raise)^(AB$5-1)</f>
        <v>2047500</v>
      </c>
      <c r="AC41" s="37" t="n">
        <f aca="false">AC11*'Hiring plan'!$K$7*(1+Salary_Raise)^(AC$5-1)</f>
        <v>2149875</v>
      </c>
      <c r="AD41" s="37" t="n">
        <f aca="false">AD11*'Hiring plan'!$K$7*(1+Salary_Raise)^(AD$5-1)</f>
        <v>2149875</v>
      </c>
      <c r="AE41" s="37" t="n">
        <f aca="false">AE11*'Hiring plan'!$K$7*(1+Salary_Raise)^(AE$5-1)</f>
        <v>2149875</v>
      </c>
      <c r="AF41" s="37" t="n">
        <f aca="false">AF11*'Hiring plan'!$K$7*(1+Salary_Raise)^(AF$5-1)</f>
        <v>2149875</v>
      </c>
      <c r="AG41" s="37" t="n">
        <f aca="false">AG11*'Hiring plan'!$K$7*(1+Salary_Raise)^(AG$5-1)</f>
        <v>2149875</v>
      </c>
      <c r="AH41" s="37" t="n">
        <f aca="false">AH11*'Hiring plan'!$K$7*(1+Salary_Raise)^(AH$5-1)</f>
        <v>2149875</v>
      </c>
      <c r="AI41" s="37" t="n">
        <f aca="false">AI11*'Hiring plan'!$K$7*(1+Salary_Raise)^(AI$5-1)</f>
        <v>2149875</v>
      </c>
      <c r="AJ41" s="37" t="n">
        <f aca="false">AJ11*'Hiring plan'!$K$7*(1+Salary_Raise)^(AJ$5-1)</f>
        <v>2149875</v>
      </c>
      <c r="AK41" s="37" t="n">
        <f aca="false">AK11*'Hiring plan'!$K$7*(1+Salary_Raise)^(AK$5-1)</f>
        <v>2149875</v>
      </c>
      <c r="AL41" s="37" t="n">
        <f aca="false">AL11*'Hiring plan'!$K$7*(1+Salary_Raise)^(AL$5-1)</f>
        <v>2149875</v>
      </c>
      <c r="AM41" s="37" t="n">
        <f aca="false">AM11*'Hiring plan'!$K$7*(1+Salary_Raise)^(AM$5-1)</f>
        <v>2149875</v>
      </c>
      <c r="AN41" s="37" t="n">
        <f aca="false">AN11*'Hiring plan'!$K$7*(1+Salary_Raise)^(AN$5-1)</f>
        <v>2149875</v>
      </c>
      <c r="AO41" s="37" t="n">
        <f aca="false">AO11*'Hiring plan'!$K$7*(1+Salary_Raise)^(AO$5-1)</f>
        <v>2257368.75</v>
      </c>
      <c r="AP41" s="37" t="n">
        <f aca="false">AP11*'Hiring plan'!$K$7*(1+Salary_Raise)^(AP$5-1)</f>
        <v>2257368.75</v>
      </c>
      <c r="AQ41" s="37" t="n">
        <f aca="false">AQ11*'Hiring plan'!$K$7*(1+Salary_Raise)^(AQ$5-1)</f>
        <v>2257368.75</v>
      </c>
      <c r="AR41" s="37" t="n">
        <f aca="false">AR11*'Hiring plan'!$K$7*(1+Salary_Raise)^(AR$5-1)</f>
        <v>2257368.75</v>
      </c>
      <c r="AS41" s="37" t="n">
        <f aca="false">AS11*'Hiring plan'!$K$7*(1+Salary_Raise)^(AS$5-1)</f>
        <v>2257368.75</v>
      </c>
      <c r="AT41" s="37" t="n">
        <f aca="false">AT11*'Hiring plan'!$K$7*(1+Salary_Raise)^(AT$5-1)</f>
        <v>2257368.75</v>
      </c>
      <c r="AU41" s="37" t="n">
        <f aca="false">AU11*'Hiring plan'!$K$7*(1+Salary_Raise)^(AU$5-1)</f>
        <v>2257368.75</v>
      </c>
      <c r="AV41" s="37" t="n">
        <f aca="false">AV11*'Hiring plan'!$K$7*(1+Salary_Raise)^(AV$5-1)</f>
        <v>2257368.75</v>
      </c>
      <c r="AW41" s="37" t="n">
        <f aca="false">AW11*'Hiring plan'!$K$7*(1+Salary_Raise)^(AW$5-1)</f>
        <v>2257368.75</v>
      </c>
      <c r="AX41" s="37" t="n">
        <f aca="false">AX11*'Hiring plan'!$K$7*(1+Salary_Raise)^(AX$5-1)</f>
        <v>2257368.75</v>
      </c>
      <c r="AY41" s="37" t="n">
        <f aca="false">AY11*'Hiring plan'!$K$7*(1+Salary_Raise)^(AY$5-1)</f>
        <v>2257368.75</v>
      </c>
      <c r="AZ41" s="37" t="n">
        <f aca="false">AZ11*'Hiring plan'!$K$7*(1+Salary_Raise)^(AZ$5-1)</f>
        <v>2257368.75</v>
      </c>
      <c r="BA41" s="37" t="n">
        <f aca="false">BA11*'Hiring plan'!$K$7*(1+Salary_Raise)^(BA$5-1)</f>
        <v>2370237.1875</v>
      </c>
      <c r="BB41" s="37" t="n">
        <f aca="false">BB11*'Hiring plan'!$K$7*(1+Salary_Raise)^(BB$5-1)</f>
        <v>2370237.1875</v>
      </c>
      <c r="BC41" s="37" t="n">
        <f aca="false">BC11*'Hiring plan'!$K$7*(1+Salary_Raise)^(BC$5-1)</f>
        <v>2370237.1875</v>
      </c>
      <c r="BD41" s="37" t="n">
        <f aca="false">BD11*'Hiring plan'!$K$7*(1+Salary_Raise)^(BD$5-1)</f>
        <v>2370237.1875</v>
      </c>
      <c r="BE41" s="37" t="n">
        <f aca="false">BE11*'Hiring plan'!$K$7*(1+Salary_Raise)^(BE$5-1)</f>
        <v>2370237.1875</v>
      </c>
      <c r="BF41" s="37" t="n">
        <f aca="false">BF11*'Hiring plan'!$K$7*(1+Salary_Raise)^(BF$5-1)</f>
        <v>2370237.1875</v>
      </c>
      <c r="BG41" s="37" t="n">
        <f aca="false">BG11*'Hiring plan'!$K$7*(1+Salary_Raise)^(BG$5-1)</f>
        <v>2370237.1875</v>
      </c>
      <c r="BH41" s="37" t="n">
        <f aca="false">BH11*'Hiring plan'!$K$7*(1+Salary_Raise)^(BH$5-1)</f>
        <v>2370237.1875</v>
      </c>
      <c r="BI41" s="37" t="n">
        <f aca="false">BI11*'Hiring plan'!$K$7*(1+Salary_Raise)^(BI$5-1)</f>
        <v>2370237.1875</v>
      </c>
      <c r="BJ41" s="37" t="n">
        <f aca="false">BJ11*'Hiring plan'!$K$7*(1+Salary_Raise)^(BJ$5-1)</f>
        <v>2370237.1875</v>
      </c>
      <c r="BK41" s="37" t="n">
        <f aca="false">BK11*'Hiring plan'!$K$7*(1+Salary_Raise)^(BK$5-1)</f>
        <v>2370237.1875</v>
      </c>
      <c r="BL41" s="37" t="n">
        <f aca="false">BL11*'Hiring plan'!$K$7*(1+Salary_Raise)^(BL$5-1)</f>
        <v>2370237.1875</v>
      </c>
    </row>
    <row r="42" customFormat="false" ht="15" hidden="false" customHeight="false" outlineLevel="0" collapsed="false">
      <c r="A42" s="12" t="str">
        <f aca="false">A12</f>
        <v>Sales lead (also sells; incl. bonus) · SN</v>
      </c>
      <c r="B42" s="14" t="s">
        <v>71</v>
      </c>
      <c r="D42" s="55" t="n">
        <f aca="false">SUM(E42:BL42)</f>
        <v>103439817</v>
      </c>
      <c r="E42" s="37" t="n">
        <f aca="false">E12*'Hiring plan'!$K$8*(1+Salary_Raise)^(E$5-1)</f>
        <v>1560000</v>
      </c>
      <c r="F42" s="37" t="n">
        <f aca="false">F12*'Hiring plan'!$K$8*(1+Salary_Raise)^(F$5-1)</f>
        <v>1560000</v>
      </c>
      <c r="G42" s="37" t="n">
        <f aca="false">G12*'Hiring plan'!$K$8*(1+Salary_Raise)^(G$5-1)</f>
        <v>1560000</v>
      </c>
      <c r="H42" s="37" t="n">
        <f aca="false">H12*'Hiring plan'!$K$8*(1+Salary_Raise)^(H$5-1)</f>
        <v>1560000</v>
      </c>
      <c r="I42" s="37" t="n">
        <f aca="false">I12*'Hiring plan'!$K$8*(1+Salary_Raise)^(I$5-1)</f>
        <v>1560000</v>
      </c>
      <c r="J42" s="37" t="n">
        <f aca="false">J12*'Hiring plan'!$K$8*(1+Salary_Raise)^(J$5-1)</f>
        <v>1560000</v>
      </c>
      <c r="K42" s="37" t="n">
        <f aca="false">K12*'Hiring plan'!$K$8*(1+Salary_Raise)^(K$5-1)</f>
        <v>1560000</v>
      </c>
      <c r="L42" s="37" t="n">
        <f aca="false">L12*'Hiring plan'!$K$8*(1+Salary_Raise)^(L$5-1)</f>
        <v>1560000</v>
      </c>
      <c r="M42" s="37" t="n">
        <f aca="false">M12*'Hiring plan'!$K$8*(1+Salary_Raise)^(M$5-1)</f>
        <v>1560000</v>
      </c>
      <c r="N42" s="37" t="n">
        <f aca="false">N12*'Hiring plan'!$K$8*(1+Salary_Raise)^(N$5-1)</f>
        <v>1560000</v>
      </c>
      <c r="O42" s="37" t="n">
        <f aca="false">O12*'Hiring plan'!$K$8*(1+Salary_Raise)^(O$5-1)</f>
        <v>1560000</v>
      </c>
      <c r="P42" s="37" t="n">
        <f aca="false">P12*'Hiring plan'!$K$8*(1+Salary_Raise)^(P$5-1)</f>
        <v>1560000</v>
      </c>
      <c r="Q42" s="37" t="n">
        <f aca="false">Q12*'Hiring plan'!$K$8*(1+Salary_Raise)^(Q$5-1)</f>
        <v>1638000</v>
      </c>
      <c r="R42" s="37" t="n">
        <f aca="false">R12*'Hiring plan'!$K$8*(1+Salary_Raise)^(R$5-1)</f>
        <v>1638000</v>
      </c>
      <c r="S42" s="37" t="n">
        <f aca="false">S12*'Hiring plan'!$K$8*(1+Salary_Raise)^(S$5-1)</f>
        <v>1638000</v>
      </c>
      <c r="T42" s="37" t="n">
        <f aca="false">T12*'Hiring plan'!$K$8*(1+Salary_Raise)^(T$5-1)</f>
        <v>1638000</v>
      </c>
      <c r="U42" s="37" t="n">
        <f aca="false">U12*'Hiring plan'!$K$8*(1+Salary_Raise)^(U$5-1)</f>
        <v>1638000</v>
      </c>
      <c r="V42" s="37" t="n">
        <f aca="false">V12*'Hiring plan'!$K$8*(1+Salary_Raise)^(V$5-1)</f>
        <v>1638000</v>
      </c>
      <c r="W42" s="37" t="n">
        <f aca="false">W12*'Hiring plan'!$K$8*(1+Salary_Raise)^(W$5-1)</f>
        <v>1638000</v>
      </c>
      <c r="X42" s="37" t="n">
        <f aca="false">X12*'Hiring plan'!$K$8*(1+Salary_Raise)^(X$5-1)</f>
        <v>1638000</v>
      </c>
      <c r="Y42" s="37" t="n">
        <f aca="false">Y12*'Hiring plan'!$K$8*(1+Salary_Raise)^(Y$5-1)</f>
        <v>1638000</v>
      </c>
      <c r="Z42" s="37" t="n">
        <f aca="false">Z12*'Hiring plan'!$K$8*(1+Salary_Raise)^(Z$5-1)</f>
        <v>1638000</v>
      </c>
      <c r="AA42" s="37" t="n">
        <f aca="false">AA12*'Hiring plan'!$K$8*(1+Salary_Raise)^(AA$5-1)</f>
        <v>1638000</v>
      </c>
      <c r="AB42" s="37" t="n">
        <f aca="false">AB12*'Hiring plan'!$K$8*(1+Salary_Raise)^(AB$5-1)</f>
        <v>1638000</v>
      </c>
      <c r="AC42" s="37" t="n">
        <f aca="false">AC12*'Hiring plan'!$K$8*(1+Salary_Raise)^(AC$5-1)</f>
        <v>1719900</v>
      </c>
      <c r="AD42" s="37" t="n">
        <f aca="false">AD12*'Hiring plan'!$K$8*(1+Salary_Raise)^(AD$5-1)</f>
        <v>1719900</v>
      </c>
      <c r="AE42" s="37" t="n">
        <f aca="false">AE12*'Hiring plan'!$K$8*(1+Salary_Raise)^(AE$5-1)</f>
        <v>1719900</v>
      </c>
      <c r="AF42" s="37" t="n">
        <f aca="false">AF12*'Hiring plan'!$K$8*(1+Salary_Raise)^(AF$5-1)</f>
        <v>1719900</v>
      </c>
      <c r="AG42" s="37" t="n">
        <f aca="false">AG12*'Hiring plan'!$K$8*(1+Salary_Raise)^(AG$5-1)</f>
        <v>1719900</v>
      </c>
      <c r="AH42" s="37" t="n">
        <f aca="false">AH12*'Hiring plan'!$K$8*(1+Salary_Raise)^(AH$5-1)</f>
        <v>1719900</v>
      </c>
      <c r="AI42" s="37" t="n">
        <f aca="false">AI12*'Hiring plan'!$K$8*(1+Salary_Raise)^(AI$5-1)</f>
        <v>1719900</v>
      </c>
      <c r="AJ42" s="37" t="n">
        <f aca="false">AJ12*'Hiring plan'!$K$8*(1+Salary_Raise)^(AJ$5-1)</f>
        <v>1719900</v>
      </c>
      <c r="AK42" s="37" t="n">
        <f aca="false">AK12*'Hiring plan'!$K$8*(1+Salary_Raise)^(AK$5-1)</f>
        <v>1719900</v>
      </c>
      <c r="AL42" s="37" t="n">
        <f aca="false">AL12*'Hiring plan'!$K$8*(1+Salary_Raise)^(AL$5-1)</f>
        <v>1719900</v>
      </c>
      <c r="AM42" s="37" t="n">
        <f aca="false">AM12*'Hiring plan'!$K$8*(1+Salary_Raise)^(AM$5-1)</f>
        <v>1719900</v>
      </c>
      <c r="AN42" s="37" t="n">
        <f aca="false">AN12*'Hiring plan'!$K$8*(1+Salary_Raise)^(AN$5-1)</f>
        <v>1719900</v>
      </c>
      <c r="AO42" s="37" t="n">
        <f aca="false">AO12*'Hiring plan'!$K$8*(1+Salary_Raise)^(AO$5-1)</f>
        <v>1805895</v>
      </c>
      <c r="AP42" s="37" t="n">
        <f aca="false">AP12*'Hiring plan'!$K$8*(1+Salary_Raise)^(AP$5-1)</f>
        <v>1805895</v>
      </c>
      <c r="AQ42" s="37" t="n">
        <f aca="false">AQ12*'Hiring plan'!$K$8*(1+Salary_Raise)^(AQ$5-1)</f>
        <v>1805895</v>
      </c>
      <c r="AR42" s="37" t="n">
        <f aca="false">AR12*'Hiring plan'!$K$8*(1+Salary_Raise)^(AR$5-1)</f>
        <v>1805895</v>
      </c>
      <c r="AS42" s="37" t="n">
        <f aca="false">AS12*'Hiring plan'!$K$8*(1+Salary_Raise)^(AS$5-1)</f>
        <v>1805895</v>
      </c>
      <c r="AT42" s="37" t="n">
        <f aca="false">AT12*'Hiring plan'!$K$8*(1+Salary_Raise)^(AT$5-1)</f>
        <v>1805895</v>
      </c>
      <c r="AU42" s="37" t="n">
        <f aca="false">AU12*'Hiring plan'!$K$8*(1+Salary_Raise)^(AU$5-1)</f>
        <v>1805895</v>
      </c>
      <c r="AV42" s="37" t="n">
        <f aca="false">AV12*'Hiring plan'!$K$8*(1+Salary_Raise)^(AV$5-1)</f>
        <v>1805895</v>
      </c>
      <c r="AW42" s="37" t="n">
        <f aca="false">AW12*'Hiring plan'!$K$8*(1+Salary_Raise)^(AW$5-1)</f>
        <v>1805895</v>
      </c>
      <c r="AX42" s="37" t="n">
        <f aca="false">AX12*'Hiring plan'!$K$8*(1+Salary_Raise)^(AX$5-1)</f>
        <v>1805895</v>
      </c>
      <c r="AY42" s="37" t="n">
        <f aca="false">AY12*'Hiring plan'!$K$8*(1+Salary_Raise)^(AY$5-1)</f>
        <v>1805895</v>
      </c>
      <c r="AZ42" s="37" t="n">
        <f aca="false">AZ12*'Hiring plan'!$K$8*(1+Salary_Raise)^(AZ$5-1)</f>
        <v>1805895</v>
      </c>
      <c r="BA42" s="37" t="n">
        <f aca="false">BA12*'Hiring plan'!$K$8*(1+Salary_Raise)^(BA$5-1)</f>
        <v>1896189.75</v>
      </c>
      <c r="BB42" s="37" t="n">
        <f aca="false">BB12*'Hiring plan'!$K$8*(1+Salary_Raise)^(BB$5-1)</f>
        <v>1896189.75</v>
      </c>
      <c r="BC42" s="37" t="n">
        <f aca="false">BC12*'Hiring plan'!$K$8*(1+Salary_Raise)^(BC$5-1)</f>
        <v>1896189.75</v>
      </c>
      <c r="BD42" s="37" t="n">
        <f aca="false">BD12*'Hiring plan'!$K$8*(1+Salary_Raise)^(BD$5-1)</f>
        <v>1896189.75</v>
      </c>
      <c r="BE42" s="37" t="n">
        <f aca="false">BE12*'Hiring plan'!$K$8*(1+Salary_Raise)^(BE$5-1)</f>
        <v>1896189.75</v>
      </c>
      <c r="BF42" s="37" t="n">
        <f aca="false">BF12*'Hiring plan'!$K$8*(1+Salary_Raise)^(BF$5-1)</f>
        <v>1896189.75</v>
      </c>
      <c r="BG42" s="37" t="n">
        <f aca="false">BG12*'Hiring plan'!$K$8*(1+Salary_Raise)^(BG$5-1)</f>
        <v>1896189.75</v>
      </c>
      <c r="BH42" s="37" t="n">
        <f aca="false">BH12*'Hiring plan'!$K$8*(1+Salary_Raise)^(BH$5-1)</f>
        <v>1896189.75</v>
      </c>
      <c r="BI42" s="37" t="n">
        <f aca="false">BI12*'Hiring plan'!$K$8*(1+Salary_Raise)^(BI$5-1)</f>
        <v>1896189.75</v>
      </c>
      <c r="BJ42" s="37" t="n">
        <f aca="false">BJ12*'Hiring plan'!$K$8*(1+Salary_Raise)^(BJ$5-1)</f>
        <v>1896189.75</v>
      </c>
      <c r="BK42" s="37" t="n">
        <f aca="false">BK12*'Hiring plan'!$K$8*(1+Salary_Raise)^(BK$5-1)</f>
        <v>1896189.75</v>
      </c>
      <c r="BL42" s="37" t="n">
        <f aca="false">BL12*'Hiring plan'!$K$8*(1+Salary_Raise)^(BL$5-1)</f>
        <v>1896189.75</v>
      </c>
    </row>
    <row r="43" customFormat="false" ht="15" hidden="false" customHeight="false" outlineLevel="0" collapsed="false">
      <c r="A43" s="12" t="str">
        <f aca="false">A13</f>
        <v>Marketing manager (senior) · SN</v>
      </c>
      <c r="B43" s="14" t="s">
        <v>71</v>
      </c>
      <c r="D43" s="55" t="n">
        <f aca="false">SUM(E43:BL43)</f>
        <v>74069862.75</v>
      </c>
      <c r="E43" s="37" t="n">
        <f aca="false">E13*'Hiring plan'!$K$9*(1+Salary_Raise)^(E$5-1)</f>
        <v>0</v>
      </c>
      <c r="F43" s="37" t="n">
        <f aca="false">F13*'Hiring plan'!$K$9*(1+Salary_Raise)^(F$5-1)</f>
        <v>0</v>
      </c>
      <c r="G43" s="37" t="n">
        <f aca="false">G13*'Hiring plan'!$K$9*(1+Salary_Raise)^(G$5-1)</f>
        <v>0</v>
      </c>
      <c r="H43" s="37" t="n">
        <f aca="false">H13*'Hiring plan'!$K$9*(1+Salary_Raise)^(H$5-1)</f>
        <v>1170000</v>
      </c>
      <c r="I43" s="37" t="n">
        <f aca="false">I13*'Hiring plan'!$K$9*(1+Salary_Raise)^(I$5-1)</f>
        <v>1170000</v>
      </c>
      <c r="J43" s="37" t="n">
        <f aca="false">J13*'Hiring plan'!$K$9*(1+Salary_Raise)^(J$5-1)</f>
        <v>1170000</v>
      </c>
      <c r="K43" s="37" t="n">
        <f aca="false">K13*'Hiring plan'!$K$9*(1+Salary_Raise)^(K$5-1)</f>
        <v>1170000</v>
      </c>
      <c r="L43" s="37" t="n">
        <f aca="false">L13*'Hiring plan'!$K$9*(1+Salary_Raise)^(L$5-1)</f>
        <v>1170000</v>
      </c>
      <c r="M43" s="37" t="n">
        <f aca="false">M13*'Hiring plan'!$K$9*(1+Salary_Raise)^(M$5-1)</f>
        <v>1170000</v>
      </c>
      <c r="N43" s="37" t="n">
        <f aca="false">N13*'Hiring plan'!$K$9*(1+Salary_Raise)^(N$5-1)</f>
        <v>1170000</v>
      </c>
      <c r="O43" s="37" t="n">
        <f aca="false">O13*'Hiring plan'!$K$9*(1+Salary_Raise)^(O$5-1)</f>
        <v>1170000</v>
      </c>
      <c r="P43" s="37" t="n">
        <f aca="false">P13*'Hiring plan'!$K$9*(1+Salary_Raise)^(P$5-1)</f>
        <v>1170000</v>
      </c>
      <c r="Q43" s="37" t="n">
        <f aca="false">Q13*'Hiring plan'!$K$9*(1+Salary_Raise)^(Q$5-1)</f>
        <v>1228500</v>
      </c>
      <c r="R43" s="37" t="n">
        <f aca="false">R13*'Hiring plan'!$K$9*(1+Salary_Raise)^(R$5-1)</f>
        <v>1228500</v>
      </c>
      <c r="S43" s="37" t="n">
        <f aca="false">S13*'Hiring plan'!$K$9*(1+Salary_Raise)^(S$5-1)</f>
        <v>1228500</v>
      </c>
      <c r="T43" s="37" t="n">
        <f aca="false">T13*'Hiring plan'!$K$9*(1+Salary_Raise)^(T$5-1)</f>
        <v>1228500</v>
      </c>
      <c r="U43" s="37" t="n">
        <f aca="false">U13*'Hiring plan'!$K$9*(1+Salary_Raise)^(U$5-1)</f>
        <v>1228500</v>
      </c>
      <c r="V43" s="37" t="n">
        <f aca="false">V13*'Hiring plan'!$K$9*(1+Salary_Raise)^(V$5-1)</f>
        <v>1228500</v>
      </c>
      <c r="W43" s="37" t="n">
        <f aca="false">W13*'Hiring plan'!$K$9*(1+Salary_Raise)^(W$5-1)</f>
        <v>1228500</v>
      </c>
      <c r="X43" s="37" t="n">
        <f aca="false">X13*'Hiring plan'!$K$9*(1+Salary_Raise)^(X$5-1)</f>
        <v>1228500</v>
      </c>
      <c r="Y43" s="37" t="n">
        <f aca="false">Y13*'Hiring plan'!$K$9*(1+Salary_Raise)^(Y$5-1)</f>
        <v>1228500</v>
      </c>
      <c r="Z43" s="37" t="n">
        <f aca="false">Z13*'Hiring plan'!$K$9*(1+Salary_Raise)^(Z$5-1)</f>
        <v>1228500</v>
      </c>
      <c r="AA43" s="37" t="n">
        <f aca="false">AA13*'Hiring plan'!$K$9*(1+Salary_Raise)^(AA$5-1)</f>
        <v>1228500</v>
      </c>
      <c r="AB43" s="37" t="n">
        <f aca="false">AB13*'Hiring plan'!$K$9*(1+Salary_Raise)^(AB$5-1)</f>
        <v>1228500</v>
      </c>
      <c r="AC43" s="37" t="n">
        <f aca="false">AC13*'Hiring plan'!$K$9*(1+Salary_Raise)^(AC$5-1)</f>
        <v>1289925</v>
      </c>
      <c r="AD43" s="37" t="n">
        <f aca="false">AD13*'Hiring plan'!$K$9*(1+Salary_Raise)^(AD$5-1)</f>
        <v>1289925</v>
      </c>
      <c r="AE43" s="37" t="n">
        <f aca="false">AE13*'Hiring plan'!$K$9*(1+Salary_Raise)^(AE$5-1)</f>
        <v>1289925</v>
      </c>
      <c r="AF43" s="37" t="n">
        <f aca="false">AF13*'Hiring plan'!$K$9*(1+Salary_Raise)^(AF$5-1)</f>
        <v>1289925</v>
      </c>
      <c r="AG43" s="37" t="n">
        <f aca="false">AG13*'Hiring plan'!$K$9*(1+Salary_Raise)^(AG$5-1)</f>
        <v>1289925</v>
      </c>
      <c r="AH43" s="37" t="n">
        <f aca="false">AH13*'Hiring plan'!$K$9*(1+Salary_Raise)^(AH$5-1)</f>
        <v>1289925</v>
      </c>
      <c r="AI43" s="37" t="n">
        <f aca="false">AI13*'Hiring plan'!$K$9*(1+Salary_Raise)^(AI$5-1)</f>
        <v>1289925</v>
      </c>
      <c r="AJ43" s="37" t="n">
        <f aca="false">AJ13*'Hiring plan'!$K$9*(1+Salary_Raise)^(AJ$5-1)</f>
        <v>1289925</v>
      </c>
      <c r="AK43" s="37" t="n">
        <f aca="false">AK13*'Hiring plan'!$K$9*(1+Salary_Raise)^(AK$5-1)</f>
        <v>1289925</v>
      </c>
      <c r="AL43" s="37" t="n">
        <f aca="false">AL13*'Hiring plan'!$K$9*(1+Salary_Raise)^(AL$5-1)</f>
        <v>1289925</v>
      </c>
      <c r="AM43" s="37" t="n">
        <f aca="false">AM13*'Hiring plan'!$K$9*(1+Salary_Raise)^(AM$5-1)</f>
        <v>1289925</v>
      </c>
      <c r="AN43" s="37" t="n">
        <f aca="false">AN13*'Hiring plan'!$K$9*(1+Salary_Raise)^(AN$5-1)</f>
        <v>1289925</v>
      </c>
      <c r="AO43" s="37" t="n">
        <f aca="false">AO13*'Hiring plan'!$K$9*(1+Salary_Raise)^(AO$5-1)</f>
        <v>1354421.25</v>
      </c>
      <c r="AP43" s="37" t="n">
        <f aca="false">AP13*'Hiring plan'!$K$9*(1+Salary_Raise)^(AP$5-1)</f>
        <v>1354421.25</v>
      </c>
      <c r="AQ43" s="37" t="n">
        <f aca="false">AQ13*'Hiring plan'!$K$9*(1+Salary_Raise)^(AQ$5-1)</f>
        <v>1354421.25</v>
      </c>
      <c r="AR43" s="37" t="n">
        <f aca="false">AR13*'Hiring plan'!$K$9*(1+Salary_Raise)^(AR$5-1)</f>
        <v>1354421.25</v>
      </c>
      <c r="AS43" s="37" t="n">
        <f aca="false">AS13*'Hiring plan'!$K$9*(1+Salary_Raise)^(AS$5-1)</f>
        <v>1354421.25</v>
      </c>
      <c r="AT43" s="37" t="n">
        <f aca="false">AT13*'Hiring plan'!$K$9*(1+Salary_Raise)^(AT$5-1)</f>
        <v>1354421.25</v>
      </c>
      <c r="AU43" s="37" t="n">
        <f aca="false">AU13*'Hiring plan'!$K$9*(1+Salary_Raise)^(AU$5-1)</f>
        <v>1354421.25</v>
      </c>
      <c r="AV43" s="37" t="n">
        <f aca="false">AV13*'Hiring plan'!$K$9*(1+Salary_Raise)^(AV$5-1)</f>
        <v>1354421.25</v>
      </c>
      <c r="AW43" s="37" t="n">
        <f aca="false">AW13*'Hiring plan'!$K$9*(1+Salary_Raise)^(AW$5-1)</f>
        <v>1354421.25</v>
      </c>
      <c r="AX43" s="37" t="n">
        <f aca="false">AX13*'Hiring plan'!$K$9*(1+Salary_Raise)^(AX$5-1)</f>
        <v>1354421.25</v>
      </c>
      <c r="AY43" s="37" t="n">
        <f aca="false">AY13*'Hiring plan'!$K$9*(1+Salary_Raise)^(AY$5-1)</f>
        <v>1354421.25</v>
      </c>
      <c r="AZ43" s="37" t="n">
        <f aca="false">AZ13*'Hiring plan'!$K$9*(1+Salary_Raise)^(AZ$5-1)</f>
        <v>1354421.25</v>
      </c>
      <c r="BA43" s="37" t="n">
        <f aca="false">BA13*'Hiring plan'!$K$9*(1+Salary_Raise)^(BA$5-1)</f>
        <v>1422142.3125</v>
      </c>
      <c r="BB43" s="37" t="n">
        <f aca="false">BB13*'Hiring plan'!$K$9*(1+Salary_Raise)^(BB$5-1)</f>
        <v>1422142.3125</v>
      </c>
      <c r="BC43" s="37" t="n">
        <f aca="false">BC13*'Hiring plan'!$K$9*(1+Salary_Raise)^(BC$5-1)</f>
        <v>1422142.3125</v>
      </c>
      <c r="BD43" s="37" t="n">
        <f aca="false">BD13*'Hiring plan'!$K$9*(1+Salary_Raise)^(BD$5-1)</f>
        <v>1422142.3125</v>
      </c>
      <c r="BE43" s="37" t="n">
        <f aca="false">BE13*'Hiring plan'!$K$9*(1+Salary_Raise)^(BE$5-1)</f>
        <v>1422142.3125</v>
      </c>
      <c r="BF43" s="37" t="n">
        <f aca="false">BF13*'Hiring plan'!$K$9*(1+Salary_Raise)^(BF$5-1)</f>
        <v>1422142.3125</v>
      </c>
      <c r="BG43" s="37" t="n">
        <f aca="false">BG13*'Hiring plan'!$K$9*(1+Salary_Raise)^(BG$5-1)</f>
        <v>1422142.3125</v>
      </c>
      <c r="BH43" s="37" t="n">
        <f aca="false">BH13*'Hiring plan'!$K$9*(1+Salary_Raise)^(BH$5-1)</f>
        <v>1422142.3125</v>
      </c>
      <c r="BI43" s="37" t="n">
        <f aca="false">BI13*'Hiring plan'!$K$9*(1+Salary_Raise)^(BI$5-1)</f>
        <v>1422142.3125</v>
      </c>
      <c r="BJ43" s="37" t="n">
        <f aca="false">BJ13*'Hiring plan'!$K$9*(1+Salary_Raise)^(BJ$5-1)</f>
        <v>1422142.3125</v>
      </c>
      <c r="BK43" s="37" t="n">
        <f aca="false">BK13*'Hiring plan'!$K$9*(1+Salary_Raise)^(BK$5-1)</f>
        <v>1422142.3125</v>
      </c>
      <c r="BL43" s="37" t="n">
        <f aca="false">BL13*'Hiring plan'!$K$9*(1+Salary_Raise)^(BL$5-1)</f>
        <v>1422142.3125</v>
      </c>
    </row>
    <row r="44" customFormat="false" ht="15" hidden="false" customHeight="false" outlineLevel="0" collapsed="false">
      <c r="A44" s="12" t="str">
        <f aca="false">A14</f>
        <v>Marketing officer (junior) · SN</v>
      </c>
      <c r="B44" s="14" t="s">
        <v>71</v>
      </c>
      <c r="D44" s="55" t="n">
        <f aca="false">SUM(E44:BL44)</f>
        <v>32399939</v>
      </c>
      <c r="E44" s="37" t="n">
        <f aca="false">E14*'Hiring plan'!$K$10*(1+Salary_Raise)^(E$5-1)</f>
        <v>0</v>
      </c>
      <c r="F44" s="37" t="n">
        <f aca="false">F14*'Hiring plan'!$K$10*(1+Salary_Raise)^(F$5-1)</f>
        <v>0</v>
      </c>
      <c r="G44" s="37" t="n">
        <f aca="false">G14*'Hiring plan'!$K$10*(1+Salary_Raise)^(G$5-1)</f>
        <v>0</v>
      </c>
      <c r="H44" s="37" t="n">
        <f aca="false">H14*'Hiring plan'!$K$10*(1+Salary_Raise)^(H$5-1)</f>
        <v>0</v>
      </c>
      <c r="I44" s="37" t="n">
        <f aca="false">I14*'Hiring plan'!$K$10*(1+Salary_Raise)^(I$5-1)</f>
        <v>520000</v>
      </c>
      <c r="J44" s="37" t="n">
        <f aca="false">J14*'Hiring plan'!$K$10*(1+Salary_Raise)^(J$5-1)</f>
        <v>520000</v>
      </c>
      <c r="K44" s="37" t="n">
        <f aca="false">K14*'Hiring plan'!$K$10*(1+Salary_Raise)^(K$5-1)</f>
        <v>520000</v>
      </c>
      <c r="L44" s="37" t="n">
        <f aca="false">L14*'Hiring plan'!$K$10*(1+Salary_Raise)^(L$5-1)</f>
        <v>520000</v>
      </c>
      <c r="M44" s="37" t="n">
        <f aca="false">M14*'Hiring plan'!$K$10*(1+Salary_Raise)^(M$5-1)</f>
        <v>520000</v>
      </c>
      <c r="N44" s="37" t="n">
        <f aca="false">N14*'Hiring plan'!$K$10*(1+Salary_Raise)^(N$5-1)</f>
        <v>520000</v>
      </c>
      <c r="O44" s="37" t="n">
        <f aca="false">O14*'Hiring plan'!$K$10*(1+Salary_Raise)^(O$5-1)</f>
        <v>520000</v>
      </c>
      <c r="P44" s="37" t="n">
        <f aca="false">P14*'Hiring plan'!$K$10*(1+Salary_Raise)^(P$5-1)</f>
        <v>520000</v>
      </c>
      <c r="Q44" s="37" t="n">
        <f aca="false">Q14*'Hiring plan'!$K$10*(1+Salary_Raise)^(Q$5-1)</f>
        <v>546000</v>
      </c>
      <c r="R44" s="37" t="n">
        <f aca="false">R14*'Hiring plan'!$K$10*(1+Salary_Raise)^(R$5-1)</f>
        <v>546000</v>
      </c>
      <c r="S44" s="37" t="n">
        <f aca="false">S14*'Hiring plan'!$K$10*(1+Salary_Raise)^(S$5-1)</f>
        <v>546000</v>
      </c>
      <c r="T44" s="37" t="n">
        <f aca="false">T14*'Hiring plan'!$K$10*(1+Salary_Raise)^(T$5-1)</f>
        <v>546000</v>
      </c>
      <c r="U44" s="37" t="n">
        <f aca="false">U14*'Hiring plan'!$K$10*(1+Salary_Raise)^(U$5-1)</f>
        <v>546000</v>
      </c>
      <c r="V44" s="37" t="n">
        <f aca="false">V14*'Hiring plan'!$K$10*(1+Salary_Raise)^(V$5-1)</f>
        <v>546000</v>
      </c>
      <c r="W44" s="37" t="n">
        <f aca="false">W14*'Hiring plan'!$K$10*(1+Salary_Raise)^(W$5-1)</f>
        <v>546000</v>
      </c>
      <c r="X44" s="37" t="n">
        <f aca="false">X14*'Hiring plan'!$K$10*(1+Salary_Raise)^(X$5-1)</f>
        <v>546000</v>
      </c>
      <c r="Y44" s="37" t="n">
        <f aca="false">Y14*'Hiring plan'!$K$10*(1+Salary_Raise)^(Y$5-1)</f>
        <v>546000</v>
      </c>
      <c r="Z44" s="37" t="n">
        <f aca="false">Z14*'Hiring plan'!$K$10*(1+Salary_Raise)^(Z$5-1)</f>
        <v>546000</v>
      </c>
      <c r="AA44" s="37" t="n">
        <f aca="false">AA14*'Hiring plan'!$K$10*(1+Salary_Raise)^(AA$5-1)</f>
        <v>546000</v>
      </c>
      <c r="AB44" s="37" t="n">
        <f aca="false">AB14*'Hiring plan'!$K$10*(1+Salary_Raise)^(AB$5-1)</f>
        <v>546000</v>
      </c>
      <c r="AC44" s="37" t="n">
        <f aca="false">AC14*'Hiring plan'!$K$10*(1+Salary_Raise)^(AC$5-1)</f>
        <v>573300</v>
      </c>
      <c r="AD44" s="37" t="n">
        <f aca="false">AD14*'Hiring plan'!$K$10*(1+Salary_Raise)^(AD$5-1)</f>
        <v>573300</v>
      </c>
      <c r="AE44" s="37" t="n">
        <f aca="false">AE14*'Hiring plan'!$K$10*(1+Salary_Raise)^(AE$5-1)</f>
        <v>573300</v>
      </c>
      <c r="AF44" s="37" t="n">
        <f aca="false">AF14*'Hiring plan'!$K$10*(1+Salary_Raise)^(AF$5-1)</f>
        <v>573300</v>
      </c>
      <c r="AG44" s="37" t="n">
        <f aca="false">AG14*'Hiring plan'!$K$10*(1+Salary_Raise)^(AG$5-1)</f>
        <v>573300</v>
      </c>
      <c r="AH44" s="37" t="n">
        <f aca="false">AH14*'Hiring plan'!$K$10*(1+Salary_Raise)^(AH$5-1)</f>
        <v>573300</v>
      </c>
      <c r="AI44" s="37" t="n">
        <f aca="false">AI14*'Hiring plan'!$K$10*(1+Salary_Raise)^(AI$5-1)</f>
        <v>573300</v>
      </c>
      <c r="AJ44" s="37" t="n">
        <f aca="false">AJ14*'Hiring plan'!$K$10*(1+Salary_Raise)^(AJ$5-1)</f>
        <v>573300</v>
      </c>
      <c r="AK44" s="37" t="n">
        <f aca="false">AK14*'Hiring plan'!$K$10*(1+Salary_Raise)^(AK$5-1)</f>
        <v>573300</v>
      </c>
      <c r="AL44" s="37" t="n">
        <f aca="false">AL14*'Hiring plan'!$K$10*(1+Salary_Raise)^(AL$5-1)</f>
        <v>573300</v>
      </c>
      <c r="AM44" s="37" t="n">
        <f aca="false">AM14*'Hiring plan'!$K$10*(1+Salary_Raise)^(AM$5-1)</f>
        <v>573300</v>
      </c>
      <c r="AN44" s="37" t="n">
        <f aca="false">AN14*'Hiring plan'!$K$10*(1+Salary_Raise)^(AN$5-1)</f>
        <v>573300</v>
      </c>
      <c r="AO44" s="37" t="n">
        <f aca="false">AO14*'Hiring plan'!$K$10*(1+Salary_Raise)^(AO$5-1)</f>
        <v>601965</v>
      </c>
      <c r="AP44" s="37" t="n">
        <f aca="false">AP14*'Hiring plan'!$K$10*(1+Salary_Raise)^(AP$5-1)</f>
        <v>601965</v>
      </c>
      <c r="AQ44" s="37" t="n">
        <f aca="false">AQ14*'Hiring plan'!$K$10*(1+Salary_Raise)^(AQ$5-1)</f>
        <v>601965</v>
      </c>
      <c r="AR44" s="37" t="n">
        <f aca="false">AR14*'Hiring plan'!$K$10*(1+Salary_Raise)^(AR$5-1)</f>
        <v>601965</v>
      </c>
      <c r="AS44" s="37" t="n">
        <f aca="false">AS14*'Hiring plan'!$K$10*(1+Salary_Raise)^(AS$5-1)</f>
        <v>601965</v>
      </c>
      <c r="AT44" s="37" t="n">
        <f aca="false">AT14*'Hiring plan'!$K$10*(1+Salary_Raise)^(AT$5-1)</f>
        <v>601965</v>
      </c>
      <c r="AU44" s="37" t="n">
        <f aca="false">AU14*'Hiring plan'!$K$10*(1+Salary_Raise)^(AU$5-1)</f>
        <v>601965</v>
      </c>
      <c r="AV44" s="37" t="n">
        <f aca="false">AV14*'Hiring plan'!$K$10*(1+Salary_Raise)^(AV$5-1)</f>
        <v>601965</v>
      </c>
      <c r="AW44" s="37" t="n">
        <f aca="false">AW14*'Hiring plan'!$K$10*(1+Salary_Raise)^(AW$5-1)</f>
        <v>601965</v>
      </c>
      <c r="AX44" s="37" t="n">
        <f aca="false">AX14*'Hiring plan'!$K$10*(1+Salary_Raise)^(AX$5-1)</f>
        <v>601965</v>
      </c>
      <c r="AY44" s="37" t="n">
        <f aca="false">AY14*'Hiring plan'!$K$10*(1+Salary_Raise)^(AY$5-1)</f>
        <v>601965</v>
      </c>
      <c r="AZ44" s="37" t="n">
        <f aca="false">AZ14*'Hiring plan'!$K$10*(1+Salary_Raise)^(AZ$5-1)</f>
        <v>601965</v>
      </c>
      <c r="BA44" s="37" t="n">
        <f aca="false">BA14*'Hiring plan'!$K$10*(1+Salary_Raise)^(BA$5-1)</f>
        <v>632063.25</v>
      </c>
      <c r="BB44" s="37" t="n">
        <f aca="false">BB14*'Hiring plan'!$K$10*(1+Salary_Raise)^(BB$5-1)</f>
        <v>632063.25</v>
      </c>
      <c r="BC44" s="37" t="n">
        <f aca="false">BC14*'Hiring plan'!$K$10*(1+Salary_Raise)^(BC$5-1)</f>
        <v>632063.25</v>
      </c>
      <c r="BD44" s="37" t="n">
        <f aca="false">BD14*'Hiring plan'!$K$10*(1+Salary_Raise)^(BD$5-1)</f>
        <v>632063.25</v>
      </c>
      <c r="BE44" s="37" t="n">
        <f aca="false">BE14*'Hiring plan'!$K$10*(1+Salary_Raise)^(BE$5-1)</f>
        <v>632063.25</v>
      </c>
      <c r="BF44" s="37" t="n">
        <f aca="false">BF14*'Hiring plan'!$K$10*(1+Salary_Raise)^(BF$5-1)</f>
        <v>632063.25</v>
      </c>
      <c r="BG44" s="37" t="n">
        <f aca="false">BG14*'Hiring plan'!$K$10*(1+Salary_Raise)^(BG$5-1)</f>
        <v>632063.25</v>
      </c>
      <c r="BH44" s="37" t="n">
        <f aca="false">BH14*'Hiring plan'!$K$10*(1+Salary_Raise)^(BH$5-1)</f>
        <v>632063.25</v>
      </c>
      <c r="BI44" s="37" t="n">
        <f aca="false">BI14*'Hiring plan'!$K$10*(1+Salary_Raise)^(BI$5-1)</f>
        <v>632063.25</v>
      </c>
      <c r="BJ44" s="37" t="n">
        <f aca="false">BJ14*'Hiring plan'!$K$10*(1+Salary_Raise)^(BJ$5-1)</f>
        <v>632063.25</v>
      </c>
      <c r="BK44" s="37" t="n">
        <f aca="false">BK14*'Hiring plan'!$K$10*(1+Salary_Raise)^(BK$5-1)</f>
        <v>632063.25</v>
      </c>
      <c r="BL44" s="37" t="n">
        <f aca="false">BL14*'Hiring plan'!$K$10*(1+Salary_Raise)^(BL$5-1)</f>
        <v>632063.25</v>
      </c>
    </row>
    <row r="45" customFormat="false" ht="15" hidden="false" customHeight="false" outlineLevel="0" collapsed="false">
      <c r="A45" s="12" t="str">
        <f aca="false">A15</f>
        <v>Country manager, Abidjan · CI</v>
      </c>
      <c r="B45" s="14" t="s">
        <v>71</v>
      </c>
      <c r="D45" s="55" t="n">
        <f aca="false">SUM(E45:BL45)</f>
        <v>178569573</v>
      </c>
      <c r="E45" s="37" t="n">
        <f aca="false">E15*'Hiring plan'!$K$11*(1+Salary_Raise)^(E$5-1)</f>
        <v>0</v>
      </c>
      <c r="F45" s="37" t="n">
        <f aca="false">F15*'Hiring plan'!$K$11*(1+Salary_Raise)^(F$5-1)</f>
        <v>0</v>
      </c>
      <c r="G45" s="37" t="n">
        <f aca="false">G15*'Hiring plan'!$K$11*(1+Salary_Raise)^(G$5-1)</f>
        <v>0</v>
      </c>
      <c r="H45" s="37" t="n">
        <f aca="false">H15*'Hiring plan'!$K$11*(1+Salary_Raise)^(H$5-1)</f>
        <v>0</v>
      </c>
      <c r="I45" s="37" t="n">
        <f aca="false">I15*'Hiring plan'!$K$11*(1+Salary_Raise)^(I$5-1)</f>
        <v>0</v>
      </c>
      <c r="J45" s="37" t="n">
        <f aca="false">J15*'Hiring plan'!$K$11*(1+Salary_Raise)^(J$5-1)</f>
        <v>0</v>
      </c>
      <c r="K45" s="37" t="n">
        <f aca="false">K15*'Hiring plan'!$K$11*(1+Salary_Raise)^(K$5-1)</f>
        <v>0</v>
      </c>
      <c r="L45" s="37" t="n">
        <f aca="false">L15*'Hiring plan'!$K$11*(1+Salary_Raise)^(L$5-1)</f>
        <v>0</v>
      </c>
      <c r="M45" s="37" t="n">
        <f aca="false">M15*'Hiring plan'!$K$11*(1+Salary_Raise)^(M$5-1)</f>
        <v>0</v>
      </c>
      <c r="N45" s="37" t="n">
        <f aca="false">N15*'Hiring plan'!$K$11*(1+Salary_Raise)^(N$5-1)</f>
        <v>0</v>
      </c>
      <c r="O45" s="37" t="n">
        <f aca="false">O15*'Hiring plan'!$K$11*(1+Salary_Raise)^(O$5-1)</f>
        <v>0</v>
      </c>
      <c r="P45" s="37" t="n">
        <f aca="false">P15*'Hiring plan'!$K$11*(1+Salary_Raise)^(P$5-1)</f>
        <v>0</v>
      </c>
      <c r="Q45" s="37" t="n">
        <f aca="false">Q15*'Hiring plan'!$K$11*(1+Salary_Raise)^(Q$5-1)</f>
        <v>0</v>
      </c>
      <c r="R45" s="37" t="n">
        <f aca="false">R15*'Hiring plan'!$K$11*(1+Salary_Raise)^(R$5-1)</f>
        <v>0</v>
      </c>
      <c r="S45" s="37" t="n">
        <f aca="false">S15*'Hiring plan'!$K$11*(1+Salary_Raise)^(S$5-1)</f>
        <v>0</v>
      </c>
      <c r="T45" s="37" t="n">
        <f aca="false">T15*'Hiring plan'!$K$11*(1+Salary_Raise)^(T$5-1)</f>
        <v>0</v>
      </c>
      <c r="U45" s="37" t="n">
        <f aca="false">U15*'Hiring plan'!$K$11*(1+Salary_Raise)^(U$5-1)</f>
        <v>0</v>
      </c>
      <c r="V45" s="37" t="n">
        <f aca="false">V15*'Hiring plan'!$K$11*(1+Salary_Raise)^(V$5-1)</f>
        <v>3822000</v>
      </c>
      <c r="W45" s="37" t="n">
        <f aca="false">W15*'Hiring plan'!$K$11*(1+Salary_Raise)^(W$5-1)</f>
        <v>3822000</v>
      </c>
      <c r="X45" s="37" t="n">
        <f aca="false">X15*'Hiring plan'!$K$11*(1+Salary_Raise)^(X$5-1)</f>
        <v>3822000</v>
      </c>
      <c r="Y45" s="37" t="n">
        <f aca="false">Y15*'Hiring plan'!$K$11*(1+Salary_Raise)^(Y$5-1)</f>
        <v>3822000</v>
      </c>
      <c r="Z45" s="37" t="n">
        <f aca="false">Z15*'Hiring plan'!$K$11*(1+Salary_Raise)^(Z$5-1)</f>
        <v>3822000</v>
      </c>
      <c r="AA45" s="37" t="n">
        <f aca="false">AA15*'Hiring plan'!$K$11*(1+Salary_Raise)^(AA$5-1)</f>
        <v>3822000</v>
      </c>
      <c r="AB45" s="37" t="n">
        <f aca="false">AB15*'Hiring plan'!$K$11*(1+Salary_Raise)^(AB$5-1)</f>
        <v>3822000</v>
      </c>
      <c r="AC45" s="37" t="n">
        <f aca="false">AC15*'Hiring plan'!$K$11*(1+Salary_Raise)^(AC$5-1)</f>
        <v>4013100</v>
      </c>
      <c r="AD45" s="37" t="n">
        <f aca="false">AD15*'Hiring plan'!$K$11*(1+Salary_Raise)^(AD$5-1)</f>
        <v>4013100</v>
      </c>
      <c r="AE45" s="37" t="n">
        <f aca="false">AE15*'Hiring plan'!$K$11*(1+Salary_Raise)^(AE$5-1)</f>
        <v>4013100</v>
      </c>
      <c r="AF45" s="37" t="n">
        <f aca="false">AF15*'Hiring plan'!$K$11*(1+Salary_Raise)^(AF$5-1)</f>
        <v>4013100</v>
      </c>
      <c r="AG45" s="37" t="n">
        <f aca="false">AG15*'Hiring plan'!$K$11*(1+Salary_Raise)^(AG$5-1)</f>
        <v>4013100</v>
      </c>
      <c r="AH45" s="37" t="n">
        <f aca="false">AH15*'Hiring plan'!$K$11*(1+Salary_Raise)^(AH$5-1)</f>
        <v>4013100</v>
      </c>
      <c r="AI45" s="37" t="n">
        <f aca="false">AI15*'Hiring plan'!$K$11*(1+Salary_Raise)^(AI$5-1)</f>
        <v>4013100</v>
      </c>
      <c r="AJ45" s="37" t="n">
        <f aca="false">AJ15*'Hiring plan'!$K$11*(1+Salary_Raise)^(AJ$5-1)</f>
        <v>4013100</v>
      </c>
      <c r="AK45" s="37" t="n">
        <f aca="false">AK15*'Hiring plan'!$K$11*(1+Salary_Raise)^(AK$5-1)</f>
        <v>4013100</v>
      </c>
      <c r="AL45" s="37" t="n">
        <f aca="false">AL15*'Hiring plan'!$K$11*(1+Salary_Raise)^(AL$5-1)</f>
        <v>4013100</v>
      </c>
      <c r="AM45" s="37" t="n">
        <f aca="false">AM15*'Hiring plan'!$K$11*(1+Salary_Raise)^(AM$5-1)</f>
        <v>4013100</v>
      </c>
      <c r="AN45" s="37" t="n">
        <f aca="false">AN15*'Hiring plan'!$K$11*(1+Salary_Raise)^(AN$5-1)</f>
        <v>4013100</v>
      </c>
      <c r="AO45" s="37" t="n">
        <f aca="false">AO15*'Hiring plan'!$K$11*(1+Salary_Raise)^(AO$5-1)</f>
        <v>4213755</v>
      </c>
      <c r="AP45" s="37" t="n">
        <f aca="false">AP15*'Hiring plan'!$K$11*(1+Salary_Raise)^(AP$5-1)</f>
        <v>4213755</v>
      </c>
      <c r="AQ45" s="37" t="n">
        <f aca="false">AQ15*'Hiring plan'!$K$11*(1+Salary_Raise)^(AQ$5-1)</f>
        <v>4213755</v>
      </c>
      <c r="AR45" s="37" t="n">
        <f aca="false">AR15*'Hiring plan'!$K$11*(1+Salary_Raise)^(AR$5-1)</f>
        <v>4213755</v>
      </c>
      <c r="AS45" s="37" t="n">
        <f aca="false">AS15*'Hiring plan'!$K$11*(1+Salary_Raise)^(AS$5-1)</f>
        <v>4213755</v>
      </c>
      <c r="AT45" s="37" t="n">
        <f aca="false">AT15*'Hiring plan'!$K$11*(1+Salary_Raise)^(AT$5-1)</f>
        <v>4213755</v>
      </c>
      <c r="AU45" s="37" t="n">
        <f aca="false">AU15*'Hiring plan'!$K$11*(1+Salary_Raise)^(AU$5-1)</f>
        <v>4213755</v>
      </c>
      <c r="AV45" s="37" t="n">
        <f aca="false">AV15*'Hiring plan'!$K$11*(1+Salary_Raise)^(AV$5-1)</f>
        <v>4213755</v>
      </c>
      <c r="AW45" s="37" t="n">
        <f aca="false">AW15*'Hiring plan'!$K$11*(1+Salary_Raise)^(AW$5-1)</f>
        <v>4213755</v>
      </c>
      <c r="AX45" s="37" t="n">
        <f aca="false">AX15*'Hiring plan'!$K$11*(1+Salary_Raise)^(AX$5-1)</f>
        <v>4213755</v>
      </c>
      <c r="AY45" s="37" t="n">
        <f aca="false">AY15*'Hiring plan'!$K$11*(1+Salary_Raise)^(AY$5-1)</f>
        <v>4213755</v>
      </c>
      <c r="AZ45" s="37" t="n">
        <f aca="false">AZ15*'Hiring plan'!$K$11*(1+Salary_Raise)^(AZ$5-1)</f>
        <v>4213755</v>
      </c>
      <c r="BA45" s="37" t="n">
        <f aca="false">BA15*'Hiring plan'!$K$11*(1+Salary_Raise)^(BA$5-1)</f>
        <v>4424442.75</v>
      </c>
      <c r="BB45" s="37" t="n">
        <f aca="false">BB15*'Hiring plan'!$K$11*(1+Salary_Raise)^(BB$5-1)</f>
        <v>4424442.75</v>
      </c>
      <c r="BC45" s="37" t="n">
        <f aca="false">BC15*'Hiring plan'!$K$11*(1+Salary_Raise)^(BC$5-1)</f>
        <v>4424442.75</v>
      </c>
      <c r="BD45" s="37" t="n">
        <f aca="false">BD15*'Hiring plan'!$K$11*(1+Salary_Raise)^(BD$5-1)</f>
        <v>4424442.75</v>
      </c>
      <c r="BE45" s="37" t="n">
        <f aca="false">BE15*'Hiring plan'!$K$11*(1+Salary_Raise)^(BE$5-1)</f>
        <v>4424442.75</v>
      </c>
      <c r="BF45" s="37" t="n">
        <f aca="false">BF15*'Hiring plan'!$K$11*(1+Salary_Raise)^(BF$5-1)</f>
        <v>4424442.75</v>
      </c>
      <c r="BG45" s="37" t="n">
        <f aca="false">BG15*'Hiring plan'!$K$11*(1+Salary_Raise)^(BG$5-1)</f>
        <v>4424442.75</v>
      </c>
      <c r="BH45" s="37" t="n">
        <f aca="false">BH15*'Hiring plan'!$K$11*(1+Salary_Raise)^(BH$5-1)</f>
        <v>4424442.75</v>
      </c>
      <c r="BI45" s="37" t="n">
        <f aca="false">BI15*'Hiring plan'!$K$11*(1+Salary_Raise)^(BI$5-1)</f>
        <v>4424442.75</v>
      </c>
      <c r="BJ45" s="37" t="n">
        <f aca="false">BJ15*'Hiring plan'!$K$11*(1+Salary_Raise)^(BJ$5-1)</f>
        <v>4424442.75</v>
      </c>
      <c r="BK45" s="37" t="n">
        <f aca="false">BK15*'Hiring plan'!$K$11*(1+Salary_Raise)^(BK$5-1)</f>
        <v>4424442.75</v>
      </c>
      <c r="BL45" s="37" t="n">
        <f aca="false">BL15*'Hiring plan'!$K$11*(1+Salary_Raise)^(BL$5-1)</f>
        <v>4424442.75</v>
      </c>
    </row>
    <row r="46" customFormat="false" ht="15" hidden="false" customHeight="false" outlineLevel="0" collapsed="false">
      <c r="A46" s="12" t="str">
        <f aca="false">A16</f>
        <v>Compliance officer (AML/CFT) · SN</v>
      </c>
      <c r="B46" s="14" t="s">
        <v>71</v>
      </c>
      <c r="D46" s="55" t="n">
        <f aca="false">SUM(E46:BL46)</f>
        <v>83377271.25</v>
      </c>
      <c r="E46" s="37" t="n">
        <f aca="false">E16*'Hiring plan'!$K$12*(1+Salary_Raise)^(E$5-1)</f>
        <v>0</v>
      </c>
      <c r="F46" s="37" t="n">
        <f aca="false">F16*'Hiring plan'!$K$12*(1+Salary_Raise)^(F$5-1)</f>
        <v>0</v>
      </c>
      <c r="G46" s="37" t="n">
        <f aca="false">G16*'Hiring plan'!$K$12*(1+Salary_Raise)^(G$5-1)</f>
        <v>0</v>
      </c>
      <c r="H46" s="37" t="n">
        <f aca="false">H16*'Hiring plan'!$K$12*(1+Salary_Raise)^(H$5-1)</f>
        <v>0</v>
      </c>
      <c r="I46" s="37" t="n">
        <f aca="false">I16*'Hiring plan'!$K$12*(1+Salary_Raise)^(I$5-1)</f>
        <v>0</v>
      </c>
      <c r="J46" s="37" t="n">
        <f aca="false">J16*'Hiring plan'!$K$12*(1+Salary_Raise)^(J$5-1)</f>
        <v>0</v>
      </c>
      <c r="K46" s="37" t="n">
        <f aca="false">K16*'Hiring plan'!$K$12*(1+Salary_Raise)^(K$5-1)</f>
        <v>0</v>
      </c>
      <c r="L46" s="37" t="n">
        <f aca="false">L16*'Hiring plan'!$K$12*(1+Salary_Raise)^(L$5-1)</f>
        <v>0</v>
      </c>
      <c r="M46" s="37" t="n">
        <f aca="false">M16*'Hiring plan'!$K$12*(1+Salary_Raise)^(M$5-1)</f>
        <v>0</v>
      </c>
      <c r="N46" s="37" t="n">
        <f aca="false">N16*'Hiring plan'!$K$12*(1+Salary_Raise)^(N$5-1)</f>
        <v>0</v>
      </c>
      <c r="O46" s="37" t="n">
        <f aca="false">O16*'Hiring plan'!$K$12*(1+Salary_Raise)^(O$5-1)</f>
        <v>0</v>
      </c>
      <c r="P46" s="37" t="n">
        <f aca="false">P16*'Hiring plan'!$K$12*(1+Salary_Raise)^(P$5-1)</f>
        <v>0</v>
      </c>
      <c r="Q46" s="37" t="n">
        <f aca="false">Q16*'Hiring plan'!$K$12*(1+Salary_Raise)^(Q$5-1)</f>
        <v>0</v>
      </c>
      <c r="R46" s="37" t="n">
        <f aca="false">R16*'Hiring plan'!$K$12*(1+Salary_Raise)^(R$5-1)</f>
        <v>0</v>
      </c>
      <c r="S46" s="37" t="n">
        <f aca="false">S16*'Hiring plan'!$K$12*(1+Salary_Raise)^(S$5-1)</f>
        <v>0</v>
      </c>
      <c r="T46" s="37" t="n">
        <f aca="false">T16*'Hiring plan'!$K$12*(1+Salary_Raise)^(T$5-1)</f>
        <v>0</v>
      </c>
      <c r="U46" s="37" t="n">
        <f aca="false">U16*'Hiring plan'!$K$12*(1+Salary_Raise)^(U$5-1)</f>
        <v>0</v>
      </c>
      <c r="V46" s="37" t="n">
        <f aca="false">V16*'Hiring plan'!$K$12*(1+Salary_Raise)^(V$5-1)</f>
        <v>0</v>
      </c>
      <c r="W46" s="37" t="n">
        <f aca="false">W16*'Hiring plan'!$K$12*(1+Salary_Raise)^(W$5-1)</f>
        <v>0</v>
      </c>
      <c r="X46" s="37" t="n">
        <f aca="false">X16*'Hiring plan'!$K$12*(1+Salary_Raise)^(X$5-1)</f>
        <v>0</v>
      </c>
      <c r="Y46" s="37" t="n">
        <f aca="false">Y16*'Hiring plan'!$K$12*(1+Salary_Raise)^(Y$5-1)</f>
        <v>0</v>
      </c>
      <c r="Z46" s="37" t="n">
        <f aca="false">Z16*'Hiring plan'!$K$12*(1+Salary_Raise)^(Z$5-1)</f>
        <v>0</v>
      </c>
      <c r="AA46" s="37" t="n">
        <f aca="false">AA16*'Hiring plan'!$K$12*(1+Salary_Raise)^(AA$5-1)</f>
        <v>0</v>
      </c>
      <c r="AB46" s="37" t="n">
        <f aca="false">AB16*'Hiring plan'!$K$12*(1+Salary_Raise)^(AB$5-1)</f>
        <v>2047500</v>
      </c>
      <c r="AC46" s="37" t="n">
        <f aca="false">AC16*'Hiring plan'!$K$12*(1+Salary_Raise)^(AC$5-1)</f>
        <v>2149875</v>
      </c>
      <c r="AD46" s="37" t="n">
        <f aca="false">AD16*'Hiring plan'!$K$12*(1+Salary_Raise)^(AD$5-1)</f>
        <v>2149875</v>
      </c>
      <c r="AE46" s="37" t="n">
        <f aca="false">AE16*'Hiring plan'!$K$12*(1+Salary_Raise)^(AE$5-1)</f>
        <v>2149875</v>
      </c>
      <c r="AF46" s="37" t="n">
        <f aca="false">AF16*'Hiring plan'!$K$12*(1+Salary_Raise)^(AF$5-1)</f>
        <v>2149875</v>
      </c>
      <c r="AG46" s="37" t="n">
        <f aca="false">AG16*'Hiring plan'!$K$12*(1+Salary_Raise)^(AG$5-1)</f>
        <v>2149875</v>
      </c>
      <c r="AH46" s="37" t="n">
        <f aca="false">AH16*'Hiring plan'!$K$12*(1+Salary_Raise)^(AH$5-1)</f>
        <v>2149875</v>
      </c>
      <c r="AI46" s="37" t="n">
        <f aca="false">AI16*'Hiring plan'!$K$12*(1+Salary_Raise)^(AI$5-1)</f>
        <v>2149875</v>
      </c>
      <c r="AJ46" s="37" t="n">
        <f aca="false">AJ16*'Hiring plan'!$K$12*(1+Salary_Raise)^(AJ$5-1)</f>
        <v>2149875</v>
      </c>
      <c r="AK46" s="37" t="n">
        <f aca="false">AK16*'Hiring plan'!$K$12*(1+Salary_Raise)^(AK$5-1)</f>
        <v>2149875</v>
      </c>
      <c r="AL46" s="37" t="n">
        <f aca="false">AL16*'Hiring plan'!$K$12*(1+Salary_Raise)^(AL$5-1)</f>
        <v>2149875</v>
      </c>
      <c r="AM46" s="37" t="n">
        <f aca="false">AM16*'Hiring plan'!$K$12*(1+Salary_Raise)^(AM$5-1)</f>
        <v>2149875</v>
      </c>
      <c r="AN46" s="37" t="n">
        <f aca="false">AN16*'Hiring plan'!$K$12*(1+Salary_Raise)^(AN$5-1)</f>
        <v>2149875</v>
      </c>
      <c r="AO46" s="37" t="n">
        <f aca="false">AO16*'Hiring plan'!$K$12*(1+Salary_Raise)^(AO$5-1)</f>
        <v>2257368.75</v>
      </c>
      <c r="AP46" s="37" t="n">
        <f aca="false">AP16*'Hiring plan'!$K$12*(1+Salary_Raise)^(AP$5-1)</f>
        <v>2257368.75</v>
      </c>
      <c r="AQ46" s="37" t="n">
        <f aca="false">AQ16*'Hiring plan'!$K$12*(1+Salary_Raise)^(AQ$5-1)</f>
        <v>2257368.75</v>
      </c>
      <c r="AR46" s="37" t="n">
        <f aca="false">AR16*'Hiring plan'!$K$12*(1+Salary_Raise)^(AR$5-1)</f>
        <v>2257368.75</v>
      </c>
      <c r="AS46" s="37" t="n">
        <f aca="false">AS16*'Hiring plan'!$K$12*(1+Salary_Raise)^(AS$5-1)</f>
        <v>2257368.75</v>
      </c>
      <c r="AT46" s="37" t="n">
        <f aca="false">AT16*'Hiring plan'!$K$12*(1+Salary_Raise)^(AT$5-1)</f>
        <v>2257368.75</v>
      </c>
      <c r="AU46" s="37" t="n">
        <f aca="false">AU16*'Hiring plan'!$K$12*(1+Salary_Raise)^(AU$5-1)</f>
        <v>2257368.75</v>
      </c>
      <c r="AV46" s="37" t="n">
        <f aca="false">AV16*'Hiring plan'!$K$12*(1+Salary_Raise)^(AV$5-1)</f>
        <v>2257368.75</v>
      </c>
      <c r="AW46" s="37" t="n">
        <f aca="false">AW16*'Hiring plan'!$K$12*(1+Salary_Raise)^(AW$5-1)</f>
        <v>2257368.75</v>
      </c>
      <c r="AX46" s="37" t="n">
        <f aca="false">AX16*'Hiring plan'!$K$12*(1+Salary_Raise)^(AX$5-1)</f>
        <v>2257368.75</v>
      </c>
      <c r="AY46" s="37" t="n">
        <f aca="false">AY16*'Hiring plan'!$K$12*(1+Salary_Raise)^(AY$5-1)</f>
        <v>2257368.75</v>
      </c>
      <c r="AZ46" s="37" t="n">
        <f aca="false">AZ16*'Hiring plan'!$K$12*(1+Salary_Raise)^(AZ$5-1)</f>
        <v>2257368.75</v>
      </c>
      <c r="BA46" s="37" t="n">
        <f aca="false">BA16*'Hiring plan'!$K$12*(1+Salary_Raise)^(BA$5-1)</f>
        <v>2370237.1875</v>
      </c>
      <c r="BB46" s="37" t="n">
        <f aca="false">BB16*'Hiring plan'!$K$12*(1+Salary_Raise)^(BB$5-1)</f>
        <v>2370237.1875</v>
      </c>
      <c r="BC46" s="37" t="n">
        <f aca="false">BC16*'Hiring plan'!$K$12*(1+Salary_Raise)^(BC$5-1)</f>
        <v>2370237.1875</v>
      </c>
      <c r="BD46" s="37" t="n">
        <f aca="false">BD16*'Hiring plan'!$K$12*(1+Salary_Raise)^(BD$5-1)</f>
        <v>2370237.1875</v>
      </c>
      <c r="BE46" s="37" t="n">
        <f aca="false">BE16*'Hiring plan'!$K$12*(1+Salary_Raise)^(BE$5-1)</f>
        <v>2370237.1875</v>
      </c>
      <c r="BF46" s="37" t="n">
        <f aca="false">BF16*'Hiring plan'!$K$12*(1+Salary_Raise)^(BF$5-1)</f>
        <v>2370237.1875</v>
      </c>
      <c r="BG46" s="37" t="n">
        <f aca="false">BG16*'Hiring plan'!$K$12*(1+Salary_Raise)^(BG$5-1)</f>
        <v>2370237.1875</v>
      </c>
      <c r="BH46" s="37" t="n">
        <f aca="false">BH16*'Hiring plan'!$K$12*(1+Salary_Raise)^(BH$5-1)</f>
        <v>2370237.1875</v>
      </c>
      <c r="BI46" s="37" t="n">
        <f aca="false">BI16*'Hiring plan'!$K$12*(1+Salary_Raise)^(BI$5-1)</f>
        <v>2370237.1875</v>
      </c>
      <c r="BJ46" s="37" t="n">
        <f aca="false">BJ16*'Hiring plan'!$K$12*(1+Salary_Raise)^(BJ$5-1)</f>
        <v>2370237.1875</v>
      </c>
      <c r="BK46" s="37" t="n">
        <f aca="false">BK16*'Hiring plan'!$K$12*(1+Salary_Raise)^(BK$5-1)</f>
        <v>2370237.1875</v>
      </c>
      <c r="BL46" s="37" t="n">
        <f aca="false">BL16*'Hiring plan'!$K$12*(1+Salary_Raise)^(BL$5-1)</f>
        <v>2370237.1875</v>
      </c>
    </row>
    <row r="47" customFormat="false" ht="15" hidden="false" customHeight="false" outlineLevel="0" collapsed="false">
      <c r="A47" s="12" t="str">
        <f aca="false">A17</f>
        <v>(spare line 9)</v>
      </c>
      <c r="B47" s="14" t="s">
        <v>71</v>
      </c>
      <c r="D47" s="55" t="n">
        <f aca="false">SUM(E47:BL47)</f>
        <v>0</v>
      </c>
      <c r="E47" s="37" t="n">
        <f aca="false">E17*'Hiring plan'!$K$13*(1+Salary_Raise)^(E$5-1)</f>
        <v>0</v>
      </c>
      <c r="F47" s="37" t="n">
        <f aca="false">F17*'Hiring plan'!$K$13*(1+Salary_Raise)^(F$5-1)</f>
        <v>0</v>
      </c>
      <c r="G47" s="37" t="n">
        <f aca="false">G17*'Hiring plan'!$K$13*(1+Salary_Raise)^(G$5-1)</f>
        <v>0</v>
      </c>
      <c r="H47" s="37" t="n">
        <f aca="false">H17*'Hiring plan'!$K$13*(1+Salary_Raise)^(H$5-1)</f>
        <v>0</v>
      </c>
      <c r="I47" s="37" t="n">
        <f aca="false">I17*'Hiring plan'!$K$13*(1+Salary_Raise)^(I$5-1)</f>
        <v>0</v>
      </c>
      <c r="J47" s="37" t="n">
        <f aca="false">J17*'Hiring plan'!$K$13*(1+Salary_Raise)^(J$5-1)</f>
        <v>0</v>
      </c>
      <c r="K47" s="37" t="n">
        <f aca="false">K17*'Hiring plan'!$K$13*(1+Salary_Raise)^(K$5-1)</f>
        <v>0</v>
      </c>
      <c r="L47" s="37" t="n">
        <f aca="false">L17*'Hiring plan'!$K$13*(1+Salary_Raise)^(L$5-1)</f>
        <v>0</v>
      </c>
      <c r="M47" s="37" t="n">
        <f aca="false">M17*'Hiring plan'!$K$13*(1+Salary_Raise)^(M$5-1)</f>
        <v>0</v>
      </c>
      <c r="N47" s="37" t="n">
        <f aca="false">N17*'Hiring plan'!$K$13*(1+Salary_Raise)^(N$5-1)</f>
        <v>0</v>
      </c>
      <c r="O47" s="37" t="n">
        <f aca="false">O17*'Hiring plan'!$K$13*(1+Salary_Raise)^(O$5-1)</f>
        <v>0</v>
      </c>
      <c r="P47" s="37" t="n">
        <f aca="false">P17*'Hiring plan'!$K$13*(1+Salary_Raise)^(P$5-1)</f>
        <v>0</v>
      </c>
      <c r="Q47" s="37" t="n">
        <f aca="false">Q17*'Hiring plan'!$K$13*(1+Salary_Raise)^(Q$5-1)</f>
        <v>0</v>
      </c>
      <c r="R47" s="37" t="n">
        <f aca="false">R17*'Hiring plan'!$K$13*(1+Salary_Raise)^(R$5-1)</f>
        <v>0</v>
      </c>
      <c r="S47" s="37" t="n">
        <f aca="false">S17*'Hiring plan'!$K$13*(1+Salary_Raise)^(S$5-1)</f>
        <v>0</v>
      </c>
      <c r="T47" s="37" t="n">
        <f aca="false">T17*'Hiring plan'!$K$13*(1+Salary_Raise)^(T$5-1)</f>
        <v>0</v>
      </c>
      <c r="U47" s="37" t="n">
        <f aca="false">U17*'Hiring plan'!$K$13*(1+Salary_Raise)^(U$5-1)</f>
        <v>0</v>
      </c>
      <c r="V47" s="37" t="n">
        <f aca="false">V17*'Hiring plan'!$K$13*(1+Salary_Raise)^(V$5-1)</f>
        <v>0</v>
      </c>
      <c r="W47" s="37" t="n">
        <f aca="false">W17*'Hiring plan'!$K$13*(1+Salary_Raise)^(W$5-1)</f>
        <v>0</v>
      </c>
      <c r="X47" s="37" t="n">
        <f aca="false">X17*'Hiring plan'!$K$13*(1+Salary_Raise)^(X$5-1)</f>
        <v>0</v>
      </c>
      <c r="Y47" s="37" t="n">
        <f aca="false">Y17*'Hiring plan'!$K$13*(1+Salary_Raise)^(Y$5-1)</f>
        <v>0</v>
      </c>
      <c r="Z47" s="37" t="n">
        <f aca="false">Z17*'Hiring plan'!$K$13*(1+Salary_Raise)^(Z$5-1)</f>
        <v>0</v>
      </c>
      <c r="AA47" s="37" t="n">
        <f aca="false">AA17*'Hiring plan'!$K$13*(1+Salary_Raise)^(AA$5-1)</f>
        <v>0</v>
      </c>
      <c r="AB47" s="37" t="n">
        <f aca="false">AB17*'Hiring plan'!$K$13*(1+Salary_Raise)^(AB$5-1)</f>
        <v>0</v>
      </c>
      <c r="AC47" s="37" t="n">
        <f aca="false">AC17*'Hiring plan'!$K$13*(1+Salary_Raise)^(AC$5-1)</f>
        <v>0</v>
      </c>
      <c r="AD47" s="37" t="n">
        <f aca="false">AD17*'Hiring plan'!$K$13*(1+Salary_Raise)^(AD$5-1)</f>
        <v>0</v>
      </c>
      <c r="AE47" s="37" t="n">
        <f aca="false">AE17*'Hiring plan'!$K$13*(1+Salary_Raise)^(AE$5-1)</f>
        <v>0</v>
      </c>
      <c r="AF47" s="37" t="n">
        <f aca="false">AF17*'Hiring plan'!$K$13*(1+Salary_Raise)^(AF$5-1)</f>
        <v>0</v>
      </c>
      <c r="AG47" s="37" t="n">
        <f aca="false">AG17*'Hiring plan'!$K$13*(1+Salary_Raise)^(AG$5-1)</f>
        <v>0</v>
      </c>
      <c r="AH47" s="37" t="n">
        <f aca="false">AH17*'Hiring plan'!$K$13*(1+Salary_Raise)^(AH$5-1)</f>
        <v>0</v>
      </c>
      <c r="AI47" s="37" t="n">
        <f aca="false">AI17*'Hiring plan'!$K$13*(1+Salary_Raise)^(AI$5-1)</f>
        <v>0</v>
      </c>
      <c r="AJ47" s="37" t="n">
        <f aca="false">AJ17*'Hiring plan'!$K$13*(1+Salary_Raise)^(AJ$5-1)</f>
        <v>0</v>
      </c>
      <c r="AK47" s="37" t="n">
        <f aca="false">AK17*'Hiring plan'!$K$13*(1+Salary_Raise)^(AK$5-1)</f>
        <v>0</v>
      </c>
      <c r="AL47" s="37" t="n">
        <f aca="false">AL17*'Hiring plan'!$K$13*(1+Salary_Raise)^(AL$5-1)</f>
        <v>0</v>
      </c>
      <c r="AM47" s="37" t="n">
        <f aca="false">AM17*'Hiring plan'!$K$13*(1+Salary_Raise)^(AM$5-1)</f>
        <v>0</v>
      </c>
      <c r="AN47" s="37" t="n">
        <f aca="false">AN17*'Hiring plan'!$K$13*(1+Salary_Raise)^(AN$5-1)</f>
        <v>0</v>
      </c>
      <c r="AO47" s="37" t="n">
        <f aca="false">AO17*'Hiring plan'!$K$13*(1+Salary_Raise)^(AO$5-1)</f>
        <v>0</v>
      </c>
      <c r="AP47" s="37" t="n">
        <f aca="false">AP17*'Hiring plan'!$K$13*(1+Salary_Raise)^(AP$5-1)</f>
        <v>0</v>
      </c>
      <c r="AQ47" s="37" t="n">
        <f aca="false">AQ17*'Hiring plan'!$K$13*(1+Salary_Raise)^(AQ$5-1)</f>
        <v>0</v>
      </c>
      <c r="AR47" s="37" t="n">
        <f aca="false">AR17*'Hiring plan'!$K$13*(1+Salary_Raise)^(AR$5-1)</f>
        <v>0</v>
      </c>
      <c r="AS47" s="37" t="n">
        <f aca="false">AS17*'Hiring plan'!$K$13*(1+Salary_Raise)^(AS$5-1)</f>
        <v>0</v>
      </c>
      <c r="AT47" s="37" t="n">
        <f aca="false">AT17*'Hiring plan'!$K$13*(1+Salary_Raise)^(AT$5-1)</f>
        <v>0</v>
      </c>
      <c r="AU47" s="37" t="n">
        <f aca="false">AU17*'Hiring plan'!$K$13*(1+Salary_Raise)^(AU$5-1)</f>
        <v>0</v>
      </c>
      <c r="AV47" s="37" t="n">
        <f aca="false">AV17*'Hiring plan'!$K$13*(1+Salary_Raise)^(AV$5-1)</f>
        <v>0</v>
      </c>
      <c r="AW47" s="37" t="n">
        <f aca="false">AW17*'Hiring plan'!$K$13*(1+Salary_Raise)^(AW$5-1)</f>
        <v>0</v>
      </c>
      <c r="AX47" s="37" t="n">
        <f aca="false">AX17*'Hiring plan'!$K$13*(1+Salary_Raise)^(AX$5-1)</f>
        <v>0</v>
      </c>
      <c r="AY47" s="37" t="n">
        <f aca="false">AY17*'Hiring plan'!$K$13*(1+Salary_Raise)^(AY$5-1)</f>
        <v>0</v>
      </c>
      <c r="AZ47" s="37" t="n">
        <f aca="false">AZ17*'Hiring plan'!$K$13*(1+Salary_Raise)^(AZ$5-1)</f>
        <v>0</v>
      </c>
      <c r="BA47" s="37" t="n">
        <f aca="false">BA17*'Hiring plan'!$K$13*(1+Salary_Raise)^(BA$5-1)</f>
        <v>0</v>
      </c>
      <c r="BB47" s="37" t="n">
        <f aca="false">BB17*'Hiring plan'!$K$13*(1+Salary_Raise)^(BB$5-1)</f>
        <v>0</v>
      </c>
      <c r="BC47" s="37" t="n">
        <f aca="false">BC17*'Hiring plan'!$K$13*(1+Salary_Raise)^(BC$5-1)</f>
        <v>0</v>
      </c>
      <c r="BD47" s="37" t="n">
        <f aca="false">BD17*'Hiring plan'!$K$13*(1+Salary_Raise)^(BD$5-1)</f>
        <v>0</v>
      </c>
      <c r="BE47" s="37" t="n">
        <f aca="false">BE17*'Hiring plan'!$K$13*(1+Salary_Raise)^(BE$5-1)</f>
        <v>0</v>
      </c>
      <c r="BF47" s="37" t="n">
        <f aca="false">BF17*'Hiring plan'!$K$13*(1+Salary_Raise)^(BF$5-1)</f>
        <v>0</v>
      </c>
      <c r="BG47" s="37" t="n">
        <f aca="false">BG17*'Hiring plan'!$K$13*(1+Salary_Raise)^(BG$5-1)</f>
        <v>0</v>
      </c>
      <c r="BH47" s="37" t="n">
        <f aca="false">BH17*'Hiring plan'!$K$13*(1+Salary_Raise)^(BH$5-1)</f>
        <v>0</v>
      </c>
      <c r="BI47" s="37" t="n">
        <f aca="false">BI17*'Hiring plan'!$K$13*(1+Salary_Raise)^(BI$5-1)</f>
        <v>0</v>
      </c>
      <c r="BJ47" s="37" t="n">
        <f aca="false">BJ17*'Hiring plan'!$K$13*(1+Salary_Raise)^(BJ$5-1)</f>
        <v>0</v>
      </c>
      <c r="BK47" s="37" t="n">
        <f aca="false">BK17*'Hiring plan'!$K$13*(1+Salary_Raise)^(BK$5-1)</f>
        <v>0</v>
      </c>
      <c r="BL47" s="37" t="n">
        <f aca="false">BL17*'Hiring plan'!$K$13*(1+Salary_Raise)^(BL$5-1)</f>
        <v>0</v>
      </c>
    </row>
    <row r="48" customFormat="false" ht="15" hidden="false" customHeight="false" outlineLevel="0" collapsed="false">
      <c r="A48" s="12" t="str">
        <f aca="false">A18</f>
        <v>(spare line 10)</v>
      </c>
      <c r="B48" s="14" t="s">
        <v>71</v>
      </c>
      <c r="D48" s="55" t="n">
        <f aca="false">SUM(E48:BL48)</f>
        <v>0</v>
      </c>
      <c r="E48" s="37" t="n">
        <f aca="false">E18*'Hiring plan'!$K$14*(1+Salary_Raise)^(E$5-1)</f>
        <v>0</v>
      </c>
      <c r="F48" s="37" t="n">
        <f aca="false">F18*'Hiring plan'!$K$14*(1+Salary_Raise)^(F$5-1)</f>
        <v>0</v>
      </c>
      <c r="G48" s="37" t="n">
        <f aca="false">G18*'Hiring plan'!$K$14*(1+Salary_Raise)^(G$5-1)</f>
        <v>0</v>
      </c>
      <c r="H48" s="37" t="n">
        <f aca="false">H18*'Hiring plan'!$K$14*(1+Salary_Raise)^(H$5-1)</f>
        <v>0</v>
      </c>
      <c r="I48" s="37" t="n">
        <f aca="false">I18*'Hiring plan'!$K$14*(1+Salary_Raise)^(I$5-1)</f>
        <v>0</v>
      </c>
      <c r="J48" s="37" t="n">
        <f aca="false">J18*'Hiring plan'!$K$14*(1+Salary_Raise)^(J$5-1)</f>
        <v>0</v>
      </c>
      <c r="K48" s="37" t="n">
        <f aca="false">K18*'Hiring plan'!$K$14*(1+Salary_Raise)^(K$5-1)</f>
        <v>0</v>
      </c>
      <c r="L48" s="37" t="n">
        <f aca="false">L18*'Hiring plan'!$K$14*(1+Salary_Raise)^(L$5-1)</f>
        <v>0</v>
      </c>
      <c r="M48" s="37" t="n">
        <f aca="false">M18*'Hiring plan'!$K$14*(1+Salary_Raise)^(M$5-1)</f>
        <v>0</v>
      </c>
      <c r="N48" s="37" t="n">
        <f aca="false">N18*'Hiring plan'!$K$14*(1+Salary_Raise)^(N$5-1)</f>
        <v>0</v>
      </c>
      <c r="O48" s="37" t="n">
        <f aca="false">O18*'Hiring plan'!$K$14*(1+Salary_Raise)^(O$5-1)</f>
        <v>0</v>
      </c>
      <c r="P48" s="37" t="n">
        <f aca="false">P18*'Hiring plan'!$K$14*(1+Salary_Raise)^(P$5-1)</f>
        <v>0</v>
      </c>
      <c r="Q48" s="37" t="n">
        <f aca="false">Q18*'Hiring plan'!$K$14*(1+Salary_Raise)^(Q$5-1)</f>
        <v>0</v>
      </c>
      <c r="R48" s="37" t="n">
        <f aca="false">R18*'Hiring plan'!$K$14*(1+Salary_Raise)^(R$5-1)</f>
        <v>0</v>
      </c>
      <c r="S48" s="37" t="n">
        <f aca="false">S18*'Hiring plan'!$K$14*(1+Salary_Raise)^(S$5-1)</f>
        <v>0</v>
      </c>
      <c r="T48" s="37" t="n">
        <f aca="false">T18*'Hiring plan'!$K$14*(1+Salary_Raise)^(T$5-1)</f>
        <v>0</v>
      </c>
      <c r="U48" s="37" t="n">
        <f aca="false">U18*'Hiring plan'!$K$14*(1+Salary_Raise)^(U$5-1)</f>
        <v>0</v>
      </c>
      <c r="V48" s="37" t="n">
        <f aca="false">V18*'Hiring plan'!$K$14*(1+Salary_Raise)^(V$5-1)</f>
        <v>0</v>
      </c>
      <c r="W48" s="37" t="n">
        <f aca="false">W18*'Hiring plan'!$K$14*(1+Salary_Raise)^(W$5-1)</f>
        <v>0</v>
      </c>
      <c r="X48" s="37" t="n">
        <f aca="false">X18*'Hiring plan'!$K$14*(1+Salary_Raise)^(X$5-1)</f>
        <v>0</v>
      </c>
      <c r="Y48" s="37" t="n">
        <f aca="false">Y18*'Hiring plan'!$K$14*(1+Salary_Raise)^(Y$5-1)</f>
        <v>0</v>
      </c>
      <c r="Z48" s="37" t="n">
        <f aca="false">Z18*'Hiring plan'!$K$14*(1+Salary_Raise)^(Z$5-1)</f>
        <v>0</v>
      </c>
      <c r="AA48" s="37" t="n">
        <f aca="false">AA18*'Hiring plan'!$K$14*(1+Salary_Raise)^(AA$5-1)</f>
        <v>0</v>
      </c>
      <c r="AB48" s="37" t="n">
        <f aca="false">AB18*'Hiring plan'!$K$14*(1+Salary_Raise)^(AB$5-1)</f>
        <v>0</v>
      </c>
      <c r="AC48" s="37" t="n">
        <f aca="false">AC18*'Hiring plan'!$K$14*(1+Salary_Raise)^(AC$5-1)</f>
        <v>0</v>
      </c>
      <c r="AD48" s="37" t="n">
        <f aca="false">AD18*'Hiring plan'!$K$14*(1+Salary_Raise)^(AD$5-1)</f>
        <v>0</v>
      </c>
      <c r="AE48" s="37" t="n">
        <f aca="false">AE18*'Hiring plan'!$K$14*(1+Salary_Raise)^(AE$5-1)</f>
        <v>0</v>
      </c>
      <c r="AF48" s="37" t="n">
        <f aca="false">AF18*'Hiring plan'!$K$14*(1+Salary_Raise)^(AF$5-1)</f>
        <v>0</v>
      </c>
      <c r="AG48" s="37" t="n">
        <f aca="false">AG18*'Hiring plan'!$K$14*(1+Salary_Raise)^(AG$5-1)</f>
        <v>0</v>
      </c>
      <c r="AH48" s="37" t="n">
        <f aca="false">AH18*'Hiring plan'!$K$14*(1+Salary_Raise)^(AH$5-1)</f>
        <v>0</v>
      </c>
      <c r="AI48" s="37" t="n">
        <f aca="false">AI18*'Hiring plan'!$K$14*(1+Salary_Raise)^(AI$5-1)</f>
        <v>0</v>
      </c>
      <c r="AJ48" s="37" t="n">
        <f aca="false">AJ18*'Hiring plan'!$K$14*(1+Salary_Raise)^(AJ$5-1)</f>
        <v>0</v>
      </c>
      <c r="AK48" s="37" t="n">
        <f aca="false">AK18*'Hiring plan'!$K$14*(1+Salary_Raise)^(AK$5-1)</f>
        <v>0</v>
      </c>
      <c r="AL48" s="37" t="n">
        <f aca="false">AL18*'Hiring plan'!$K$14*(1+Salary_Raise)^(AL$5-1)</f>
        <v>0</v>
      </c>
      <c r="AM48" s="37" t="n">
        <f aca="false">AM18*'Hiring plan'!$K$14*(1+Salary_Raise)^(AM$5-1)</f>
        <v>0</v>
      </c>
      <c r="AN48" s="37" t="n">
        <f aca="false">AN18*'Hiring plan'!$K$14*(1+Salary_Raise)^(AN$5-1)</f>
        <v>0</v>
      </c>
      <c r="AO48" s="37" t="n">
        <f aca="false">AO18*'Hiring plan'!$K$14*(1+Salary_Raise)^(AO$5-1)</f>
        <v>0</v>
      </c>
      <c r="AP48" s="37" t="n">
        <f aca="false">AP18*'Hiring plan'!$K$14*(1+Salary_Raise)^(AP$5-1)</f>
        <v>0</v>
      </c>
      <c r="AQ48" s="37" t="n">
        <f aca="false">AQ18*'Hiring plan'!$K$14*(1+Salary_Raise)^(AQ$5-1)</f>
        <v>0</v>
      </c>
      <c r="AR48" s="37" t="n">
        <f aca="false">AR18*'Hiring plan'!$K$14*(1+Salary_Raise)^(AR$5-1)</f>
        <v>0</v>
      </c>
      <c r="AS48" s="37" t="n">
        <f aca="false">AS18*'Hiring plan'!$K$14*(1+Salary_Raise)^(AS$5-1)</f>
        <v>0</v>
      </c>
      <c r="AT48" s="37" t="n">
        <f aca="false">AT18*'Hiring plan'!$K$14*(1+Salary_Raise)^(AT$5-1)</f>
        <v>0</v>
      </c>
      <c r="AU48" s="37" t="n">
        <f aca="false">AU18*'Hiring plan'!$K$14*(1+Salary_Raise)^(AU$5-1)</f>
        <v>0</v>
      </c>
      <c r="AV48" s="37" t="n">
        <f aca="false">AV18*'Hiring plan'!$K$14*(1+Salary_Raise)^(AV$5-1)</f>
        <v>0</v>
      </c>
      <c r="AW48" s="37" t="n">
        <f aca="false">AW18*'Hiring plan'!$K$14*(1+Salary_Raise)^(AW$5-1)</f>
        <v>0</v>
      </c>
      <c r="AX48" s="37" t="n">
        <f aca="false">AX18*'Hiring plan'!$K$14*(1+Salary_Raise)^(AX$5-1)</f>
        <v>0</v>
      </c>
      <c r="AY48" s="37" t="n">
        <f aca="false">AY18*'Hiring plan'!$K$14*(1+Salary_Raise)^(AY$5-1)</f>
        <v>0</v>
      </c>
      <c r="AZ48" s="37" t="n">
        <f aca="false">AZ18*'Hiring plan'!$K$14*(1+Salary_Raise)^(AZ$5-1)</f>
        <v>0</v>
      </c>
      <c r="BA48" s="37" t="n">
        <f aca="false">BA18*'Hiring plan'!$K$14*(1+Salary_Raise)^(BA$5-1)</f>
        <v>0</v>
      </c>
      <c r="BB48" s="37" t="n">
        <f aca="false">BB18*'Hiring plan'!$K$14*(1+Salary_Raise)^(BB$5-1)</f>
        <v>0</v>
      </c>
      <c r="BC48" s="37" t="n">
        <f aca="false">BC18*'Hiring plan'!$K$14*(1+Salary_Raise)^(BC$5-1)</f>
        <v>0</v>
      </c>
      <c r="BD48" s="37" t="n">
        <f aca="false">BD18*'Hiring plan'!$K$14*(1+Salary_Raise)^(BD$5-1)</f>
        <v>0</v>
      </c>
      <c r="BE48" s="37" t="n">
        <f aca="false">BE18*'Hiring plan'!$K$14*(1+Salary_Raise)^(BE$5-1)</f>
        <v>0</v>
      </c>
      <c r="BF48" s="37" t="n">
        <f aca="false">BF18*'Hiring plan'!$K$14*(1+Salary_Raise)^(BF$5-1)</f>
        <v>0</v>
      </c>
      <c r="BG48" s="37" t="n">
        <f aca="false">BG18*'Hiring plan'!$K$14*(1+Salary_Raise)^(BG$5-1)</f>
        <v>0</v>
      </c>
      <c r="BH48" s="37" t="n">
        <f aca="false">BH18*'Hiring plan'!$K$14*(1+Salary_Raise)^(BH$5-1)</f>
        <v>0</v>
      </c>
      <c r="BI48" s="37" t="n">
        <f aca="false">BI18*'Hiring plan'!$K$14*(1+Salary_Raise)^(BI$5-1)</f>
        <v>0</v>
      </c>
      <c r="BJ48" s="37" t="n">
        <f aca="false">BJ18*'Hiring plan'!$K$14*(1+Salary_Raise)^(BJ$5-1)</f>
        <v>0</v>
      </c>
      <c r="BK48" s="37" t="n">
        <f aca="false">BK18*'Hiring plan'!$K$14*(1+Salary_Raise)^(BK$5-1)</f>
        <v>0</v>
      </c>
      <c r="BL48" s="37" t="n">
        <f aca="false">BL18*'Hiring plan'!$K$14*(1+Salary_Raise)^(BL$5-1)</f>
        <v>0</v>
      </c>
    </row>
    <row r="49" customFormat="false" ht="15" hidden="false" customHeight="false" outlineLevel="0" collapsed="false">
      <c r="A49" s="12" t="str">
        <f aca="false">A19</f>
        <v>(spare line 11)</v>
      </c>
      <c r="B49" s="14" t="s">
        <v>71</v>
      </c>
      <c r="D49" s="55" t="n">
        <f aca="false">SUM(E49:BL49)</f>
        <v>0</v>
      </c>
      <c r="E49" s="37" t="n">
        <f aca="false">E19*'Hiring plan'!$K$15*(1+Salary_Raise)^(E$5-1)</f>
        <v>0</v>
      </c>
      <c r="F49" s="37" t="n">
        <f aca="false">F19*'Hiring plan'!$K$15*(1+Salary_Raise)^(F$5-1)</f>
        <v>0</v>
      </c>
      <c r="G49" s="37" t="n">
        <f aca="false">G19*'Hiring plan'!$K$15*(1+Salary_Raise)^(G$5-1)</f>
        <v>0</v>
      </c>
      <c r="H49" s="37" t="n">
        <f aca="false">H19*'Hiring plan'!$K$15*(1+Salary_Raise)^(H$5-1)</f>
        <v>0</v>
      </c>
      <c r="I49" s="37" t="n">
        <f aca="false">I19*'Hiring plan'!$K$15*(1+Salary_Raise)^(I$5-1)</f>
        <v>0</v>
      </c>
      <c r="J49" s="37" t="n">
        <f aca="false">J19*'Hiring plan'!$K$15*(1+Salary_Raise)^(J$5-1)</f>
        <v>0</v>
      </c>
      <c r="K49" s="37" t="n">
        <f aca="false">K19*'Hiring plan'!$K$15*(1+Salary_Raise)^(K$5-1)</f>
        <v>0</v>
      </c>
      <c r="L49" s="37" t="n">
        <f aca="false">L19*'Hiring plan'!$K$15*(1+Salary_Raise)^(L$5-1)</f>
        <v>0</v>
      </c>
      <c r="M49" s="37" t="n">
        <f aca="false">M19*'Hiring plan'!$K$15*(1+Salary_Raise)^(M$5-1)</f>
        <v>0</v>
      </c>
      <c r="N49" s="37" t="n">
        <f aca="false">N19*'Hiring plan'!$K$15*(1+Salary_Raise)^(N$5-1)</f>
        <v>0</v>
      </c>
      <c r="O49" s="37" t="n">
        <f aca="false">O19*'Hiring plan'!$K$15*(1+Salary_Raise)^(O$5-1)</f>
        <v>0</v>
      </c>
      <c r="P49" s="37" t="n">
        <f aca="false">P19*'Hiring plan'!$K$15*(1+Salary_Raise)^(P$5-1)</f>
        <v>0</v>
      </c>
      <c r="Q49" s="37" t="n">
        <f aca="false">Q19*'Hiring plan'!$K$15*(1+Salary_Raise)^(Q$5-1)</f>
        <v>0</v>
      </c>
      <c r="R49" s="37" t="n">
        <f aca="false">R19*'Hiring plan'!$K$15*(1+Salary_Raise)^(R$5-1)</f>
        <v>0</v>
      </c>
      <c r="S49" s="37" t="n">
        <f aca="false">S19*'Hiring plan'!$K$15*(1+Salary_Raise)^(S$5-1)</f>
        <v>0</v>
      </c>
      <c r="T49" s="37" t="n">
        <f aca="false">T19*'Hiring plan'!$K$15*(1+Salary_Raise)^(T$5-1)</f>
        <v>0</v>
      </c>
      <c r="U49" s="37" t="n">
        <f aca="false">U19*'Hiring plan'!$K$15*(1+Salary_Raise)^(U$5-1)</f>
        <v>0</v>
      </c>
      <c r="V49" s="37" t="n">
        <f aca="false">V19*'Hiring plan'!$K$15*(1+Salary_Raise)^(V$5-1)</f>
        <v>0</v>
      </c>
      <c r="W49" s="37" t="n">
        <f aca="false">W19*'Hiring plan'!$K$15*(1+Salary_Raise)^(W$5-1)</f>
        <v>0</v>
      </c>
      <c r="X49" s="37" t="n">
        <f aca="false">X19*'Hiring plan'!$K$15*(1+Salary_Raise)^(X$5-1)</f>
        <v>0</v>
      </c>
      <c r="Y49" s="37" t="n">
        <f aca="false">Y19*'Hiring plan'!$K$15*(1+Salary_Raise)^(Y$5-1)</f>
        <v>0</v>
      </c>
      <c r="Z49" s="37" t="n">
        <f aca="false">Z19*'Hiring plan'!$K$15*(1+Salary_Raise)^(Z$5-1)</f>
        <v>0</v>
      </c>
      <c r="AA49" s="37" t="n">
        <f aca="false">AA19*'Hiring plan'!$K$15*(1+Salary_Raise)^(AA$5-1)</f>
        <v>0</v>
      </c>
      <c r="AB49" s="37" t="n">
        <f aca="false">AB19*'Hiring plan'!$K$15*(1+Salary_Raise)^(AB$5-1)</f>
        <v>0</v>
      </c>
      <c r="AC49" s="37" t="n">
        <f aca="false">AC19*'Hiring plan'!$K$15*(1+Salary_Raise)^(AC$5-1)</f>
        <v>0</v>
      </c>
      <c r="AD49" s="37" t="n">
        <f aca="false">AD19*'Hiring plan'!$K$15*(1+Salary_Raise)^(AD$5-1)</f>
        <v>0</v>
      </c>
      <c r="AE49" s="37" t="n">
        <f aca="false">AE19*'Hiring plan'!$K$15*(1+Salary_Raise)^(AE$5-1)</f>
        <v>0</v>
      </c>
      <c r="AF49" s="37" t="n">
        <f aca="false">AF19*'Hiring plan'!$K$15*(1+Salary_Raise)^(AF$5-1)</f>
        <v>0</v>
      </c>
      <c r="AG49" s="37" t="n">
        <f aca="false">AG19*'Hiring plan'!$K$15*(1+Salary_Raise)^(AG$5-1)</f>
        <v>0</v>
      </c>
      <c r="AH49" s="37" t="n">
        <f aca="false">AH19*'Hiring plan'!$K$15*(1+Salary_Raise)^(AH$5-1)</f>
        <v>0</v>
      </c>
      <c r="AI49" s="37" t="n">
        <f aca="false">AI19*'Hiring plan'!$K$15*(1+Salary_Raise)^(AI$5-1)</f>
        <v>0</v>
      </c>
      <c r="AJ49" s="37" t="n">
        <f aca="false">AJ19*'Hiring plan'!$K$15*(1+Salary_Raise)^(AJ$5-1)</f>
        <v>0</v>
      </c>
      <c r="AK49" s="37" t="n">
        <f aca="false">AK19*'Hiring plan'!$K$15*(1+Salary_Raise)^(AK$5-1)</f>
        <v>0</v>
      </c>
      <c r="AL49" s="37" t="n">
        <f aca="false">AL19*'Hiring plan'!$K$15*(1+Salary_Raise)^(AL$5-1)</f>
        <v>0</v>
      </c>
      <c r="AM49" s="37" t="n">
        <f aca="false">AM19*'Hiring plan'!$K$15*(1+Salary_Raise)^(AM$5-1)</f>
        <v>0</v>
      </c>
      <c r="AN49" s="37" t="n">
        <f aca="false">AN19*'Hiring plan'!$K$15*(1+Salary_Raise)^(AN$5-1)</f>
        <v>0</v>
      </c>
      <c r="AO49" s="37" t="n">
        <f aca="false">AO19*'Hiring plan'!$K$15*(1+Salary_Raise)^(AO$5-1)</f>
        <v>0</v>
      </c>
      <c r="AP49" s="37" t="n">
        <f aca="false">AP19*'Hiring plan'!$K$15*(1+Salary_Raise)^(AP$5-1)</f>
        <v>0</v>
      </c>
      <c r="AQ49" s="37" t="n">
        <f aca="false">AQ19*'Hiring plan'!$K$15*(1+Salary_Raise)^(AQ$5-1)</f>
        <v>0</v>
      </c>
      <c r="AR49" s="37" t="n">
        <f aca="false">AR19*'Hiring plan'!$K$15*(1+Salary_Raise)^(AR$5-1)</f>
        <v>0</v>
      </c>
      <c r="AS49" s="37" t="n">
        <f aca="false">AS19*'Hiring plan'!$K$15*(1+Salary_Raise)^(AS$5-1)</f>
        <v>0</v>
      </c>
      <c r="AT49" s="37" t="n">
        <f aca="false">AT19*'Hiring plan'!$K$15*(1+Salary_Raise)^(AT$5-1)</f>
        <v>0</v>
      </c>
      <c r="AU49" s="37" t="n">
        <f aca="false">AU19*'Hiring plan'!$K$15*(1+Salary_Raise)^(AU$5-1)</f>
        <v>0</v>
      </c>
      <c r="AV49" s="37" t="n">
        <f aca="false">AV19*'Hiring plan'!$K$15*(1+Salary_Raise)^(AV$5-1)</f>
        <v>0</v>
      </c>
      <c r="AW49" s="37" t="n">
        <f aca="false">AW19*'Hiring plan'!$K$15*(1+Salary_Raise)^(AW$5-1)</f>
        <v>0</v>
      </c>
      <c r="AX49" s="37" t="n">
        <f aca="false">AX19*'Hiring plan'!$K$15*(1+Salary_Raise)^(AX$5-1)</f>
        <v>0</v>
      </c>
      <c r="AY49" s="37" t="n">
        <f aca="false">AY19*'Hiring plan'!$K$15*(1+Salary_Raise)^(AY$5-1)</f>
        <v>0</v>
      </c>
      <c r="AZ49" s="37" t="n">
        <f aca="false">AZ19*'Hiring plan'!$K$15*(1+Salary_Raise)^(AZ$5-1)</f>
        <v>0</v>
      </c>
      <c r="BA49" s="37" t="n">
        <f aca="false">BA19*'Hiring plan'!$K$15*(1+Salary_Raise)^(BA$5-1)</f>
        <v>0</v>
      </c>
      <c r="BB49" s="37" t="n">
        <f aca="false">BB19*'Hiring plan'!$K$15*(1+Salary_Raise)^(BB$5-1)</f>
        <v>0</v>
      </c>
      <c r="BC49" s="37" t="n">
        <f aca="false">BC19*'Hiring plan'!$K$15*(1+Salary_Raise)^(BC$5-1)</f>
        <v>0</v>
      </c>
      <c r="BD49" s="37" t="n">
        <f aca="false">BD19*'Hiring plan'!$K$15*(1+Salary_Raise)^(BD$5-1)</f>
        <v>0</v>
      </c>
      <c r="BE49" s="37" t="n">
        <f aca="false">BE19*'Hiring plan'!$K$15*(1+Salary_Raise)^(BE$5-1)</f>
        <v>0</v>
      </c>
      <c r="BF49" s="37" t="n">
        <f aca="false">BF19*'Hiring plan'!$K$15*(1+Salary_Raise)^(BF$5-1)</f>
        <v>0</v>
      </c>
      <c r="BG49" s="37" t="n">
        <f aca="false">BG19*'Hiring plan'!$K$15*(1+Salary_Raise)^(BG$5-1)</f>
        <v>0</v>
      </c>
      <c r="BH49" s="37" t="n">
        <f aca="false">BH19*'Hiring plan'!$K$15*(1+Salary_Raise)^(BH$5-1)</f>
        <v>0</v>
      </c>
      <c r="BI49" s="37" t="n">
        <f aca="false">BI19*'Hiring plan'!$K$15*(1+Salary_Raise)^(BI$5-1)</f>
        <v>0</v>
      </c>
      <c r="BJ49" s="37" t="n">
        <f aca="false">BJ19*'Hiring plan'!$K$15*(1+Salary_Raise)^(BJ$5-1)</f>
        <v>0</v>
      </c>
      <c r="BK49" s="37" t="n">
        <f aca="false">BK19*'Hiring plan'!$K$15*(1+Salary_Raise)^(BK$5-1)</f>
        <v>0</v>
      </c>
      <c r="BL49" s="37" t="n">
        <f aca="false">BL19*'Hiring plan'!$K$15*(1+Salary_Raise)^(BL$5-1)</f>
        <v>0</v>
      </c>
    </row>
    <row r="50" customFormat="false" ht="15" hidden="false" customHeight="false" outlineLevel="0" collapsed="false">
      <c r="A50" s="12" t="str">
        <f aca="false">A20</f>
        <v>(spare line 12)</v>
      </c>
      <c r="B50" s="14" t="s">
        <v>71</v>
      </c>
      <c r="D50" s="55" t="n">
        <f aca="false">SUM(E50:BL50)</f>
        <v>0</v>
      </c>
      <c r="E50" s="37" t="n">
        <f aca="false">E20*'Hiring plan'!$K$16*(1+Salary_Raise)^(E$5-1)</f>
        <v>0</v>
      </c>
      <c r="F50" s="37" t="n">
        <f aca="false">F20*'Hiring plan'!$K$16*(1+Salary_Raise)^(F$5-1)</f>
        <v>0</v>
      </c>
      <c r="G50" s="37" t="n">
        <f aca="false">G20*'Hiring plan'!$K$16*(1+Salary_Raise)^(G$5-1)</f>
        <v>0</v>
      </c>
      <c r="H50" s="37" t="n">
        <f aca="false">H20*'Hiring plan'!$K$16*(1+Salary_Raise)^(H$5-1)</f>
        <v>0</v>
      </c>
      <c r="I50" s="37" t="n">
        <f aca="false">I20*'Hiring plan'!$K$16*(1+Salary_Raise)^(I$5-1)</f>
        <v>0</v>
      </c>
      <c r="J50" s="37" t="n">
        <f aca="false">J20*'Hiring plan'!$K$16*(1+Salary_Raise)^(J$5-1)</f>
        <v>0</v>
      </c>
      <c r="K50" s="37" t="n">
        <f aca="false">K20*'Hiring plan'!$K$16*(1+Salary_Raise)^(K$5-1)</f>
        <v>0</v>
      </c>
      <c r="L50" s="37" t="n">
        <f aca="false">L20*'Hiring plan'!$K$16*(1+Salary_Raise)^(L$5-1)</f>
        <v>0</v>
      </c>
      <c r="M50" s="37" t="n">
        <f aca="false">M20*'Hiring plan'!$K$16*(1+Salary_Raise)^(M$5-1)</f>
        <v>0</v>
      </c>
      <c r="N50" s="37" t="n">
        <f aca="false">N20*'Hiring plan'!$K$16*(1+Salary_Raise)^(N$5-1)</f>
        <v>0</v>
      </c>
      <c r="O50" s="37" t="n">
        <f aca="false">O20*'Hiring plan'!$K$16*(1+Salary_Raise)^(O$5-1)</f>
        <v>0</v>
      </c>
      <c r="P50" s="37" t="n">
        <f aca="false">P20*'Hiring plan'!$K$16*(1+Salary_Raise)^(P$5-1)</f>
        <v>0</v>
      </c>
      <c r="Q50" s="37" t="n">
        <f aca="false">Q20*'Hiring plan'!$K$16*(1+Salary_Raise)^(Q$5-1)</f>
        <v>0</v>
      </c>
      <c r="R50" s="37" t="n">
        <f aca="false">R20*'Hiring plan'!$K$16*(1+Salary_Raise)^(R$5-1)</f>
        <v>0</v>
      </c>
      <c r="S50" s="37" t="n">
        <f aca="false">S20*'Hiring plan'!$K$16*(1+Salary_Raise)^(S$5-1)</f>
        <v>0</v>
      </c>
      <c r="T50" s="37" t="n">
        <f aca="false">T20*'Hiring plan'!$K$16*(1+Salary_Raise)^(T$5-1)</f>
        <v>0</v>
      </c>
      <c r="U50" s="37" t="n">
        <f aca="false">U20*'Hiring plan'!$K$16*(1+Salary_Raise)^(U$5-1)</f>
        <v>0</v>
      </c>
      <c r="V50" s="37" t="n">
        <f aca="false">V20*'Hiring plan'!$K$16*(1+Salary_Raise)^(V$5-1)</f>
        <v>0</v>
      </c>
      <c r="W50" s="37" t="n">
        <f aca="false">W20*'Hiring plan'!$K$16*(1+Salary_Raise)^(W$5-1)</f>
        <v>0</v>
      </c>
      <c r="X50" s="37" t="n">
        <f aca="false">X20*'Hiring plan'!$K$16*(1+Salary_Raise)^(X$5-1)</f>
        <v>0</v>
      </c>
      <c r="Y50" s="37" t="n">
        <f aca="false">Y20*'Hiring plan'!$K$16*(1+Salary_Raise)^(Y$5-1)</f>
        <v>0</v>
      </c>
      <c r="Z50" s="37" t="n">
        <f aca="false">Z20*'Hiring plan'!$K$16*(1+Salary_Raise)^(Z$5-1)</f>
        <v>0</v>
      </c>
      <c r="AA50" s="37" t="n">
        <f aca="false">AA20*'Hiring plan'!$K$16*(1+Salary_Raise)^(AA$5-1)</f>
        <v>0</v>
      </c>
      <c r="AB50" s="37" t="n">
        <f aca="false">AB20*'Hiring plan'!$K$16*(1+Salary_Raise)^(AB$5-1)</f>
        <v>0</v>
      </c>
      <c r="AC50" s="37" t="n">
        <f aca="false">AC20*'Hiring plan'!$K$16*(1+Salary_Raise)^(AC$5-1)</f>
        <v>0</v>
      </c>
      <c r="AD50" s="37" t="n">
        <f aca="false">AD20*'Hiring plan'!$K$16*(1+Salary_Raise)^(AD$5-1)</f>
        <v>0</v>
      </c>
      <c r="AE50" s="37" t="n">
        <f aca="false">AE20*'Hiring plan'!$K$16*(1+Salary_Raise)^(AE$5-1)</f>
        <v>0</v>
      </c>
      <c r="AF50" s="37" t="n">
        <f aca="false">AF20*'Hiring plan'!$K$16*(1+Salary_Raise)^(AF$5-1)</f>
        <v>0</v>
      </c>
      <c r="AG50" s="37" t="n">
        <f aca="false">AG20*'Hiring plan'!$K$16*(1+Salary_Raise)^(AG$5-1)</f>
        <v>0</v>
      </c>
      <c r="AH50" s="37" t="n">
        <f aca="false">AH20*'Hiring plan'!$K$16*(1+Salary_Raise)^(AH$5-1)</f>
        <v>0</v>
      </c>
      <c r="AI50" s="37" t="n">
        <f aca="false">AI20*'Hiring plan'!$K$16*(1+Salary_Raise)^(AI$5-1)</f>
        <v>0</v>
      </c>
      <c r="AJ50" s="37" t="n">
        <f aca="false">AJ20*'Hiring plan'!$K$16*(1+Salary_Raise)^(AJ$5-1)</f>
        <v>0</v>
      </c>
      <c r="AK50" s="37" t="n">
        <f aca="false">AK20*'Hiring plan'!$K$16*(1+Salary_Raise)^(AK$5-1)</f>
        <v>0</v>
      </c>
      <c r="AL50" s="37" t="n">
        <f aca="false">AL20*'Hiring plan'!$K$16*(1+Salary_Raise)^(AL$5-1)</f>
        <v>0</v>
      </c>
      <c r="AM50" s="37" t="n">
        <f aca="false">AM20*'Hiring plan'!$K$16*(1+Salary_Raise)^(AM$5-1)</f>
        <v>0</v>
      </c>
      <c r="AN50" s="37" t="n">
        <f aca="false">AN20*'Hiring plan'!$K$16*(1+Salary_Raise)^(AN$5-1)</f>
        <v>0</v>
      </c>
      <c r="AO50" s="37" t="n">
        <f aca="false">AO20*'Hiring plan'!$K$16*(1+Salary_Raise)^(AO$5-1)</f>
        <v>0</v>
      </c>
      <c r="AP50" s="37" t="n">
        <f aca="false">AP20*'Hiring plan'!$K$16*(1+Salary_Raise)^(AP$5-1)</f>
        <v>0</v>
      </c>
      <c r="AQ50" s="37" t="n">
        <f aca="false">AQ20*'Hiring plan'!$K$16*(1+Salary_Raise)^(AQ$5-1)</f>
        <v>0</v>
      </c>
      <c r="AR50" s="37" t="n">
        <f aca="false">AR20*'Hiring plan'!$K$16*(1+Salary_Raise)^(AR$5-1)</f>
        <v>0</v>
      </c>
      <c r="AS50" s="37" t="n">
        <f aca="false">AS20*'Hiring plan'!$K$16*(1+Salary_Raise)^(AS$5-1)</f>
        <v>0</v>
      </c>
      <c r="AT50" s="37" t="n">
        <f aca="false">AT20*'Hiring plan'!$K$16*(1+Salary_Raise)^(AT$5-1)</f>
        <v>0</v>
      </c>
      <c r="AU50" s="37" t="n">
        <f aca="false">AU20*'Hiring plan'!$K$16*(1+Salary_Raise)^(AU$5-1)</f>
        <v>0</v>
      </c>
      <c r="AV50" s="37" t="n">
        <f aca="false">AV20*'Hiring plan'!$K$16*(1+Salary_Raise)^(AV$5-1)</f>
        <v>0</v>
      </c>
      <c r="AW50" s="37" t="n">
        <f aca="false">AW20*'Hiring plan'!$K$16*(1+Salary_Raise)^(AW$5-1)</f>
        <v>0</v>
      </c>
      <c r="AX50" s="37" t="n">
        <f aca="false">AX20*'Hiring plan'!$K$16*(1+Salary_Raise)^(AX$5-1)</f>
        <v>0</v>
      </c>
      <c r="AY50" s="37" t="n">
        <f aca="false">AY20*'Hiring plan'!$K$16*(1+Salary_Raise)^(AY$5-1)</f>
        <v>0</v>
      </c>
      <c r="AZ50" s="37" t="n">
        <f aca="false">AZ20*'Hiring plan'!$K$16*(1+Salary_Raise)^(AZ$5-1)</f>
        <v>0</v>
      </c>
      <c r="BA50" s="37" t="n">
        <f aca="false">BA20*'Hiring plan'!$K$16*(1+Salary_Raise)^(BA$5-1)</f>
        <v>0</v>
      </c>
      <c r="BB50" s="37" t="n">
        <f aca="false">BB20*'Hiring plan'!$K$16*(1+Salary_Raise)^(BB$5-1)</f>
        <v>0</v>
      </c>
      <c r="BC50" s="37" t="n">
        <f aca="false">BC20*'Hiring plan'!$K$16*(1+Salary_Raise)^(BC$5-1)</f>
        <v>0</v>
      </c>
      <c r="BD50" s="37" t="n">
        <f aca="false">BD20*'Hiring plan'!$K$16*(1+Salary_Raise)^(BD$5-1)</f>
        <v>0</v>
      </c>
      <c r="BE50" s="37" t="n">
        <f aca="false">BE20*'Hiring plan'!$K$16*(1+Salary_Raise)^(BE$5-1)</f>
        <v>0</v>
      </c>
      <c r="BF50" s="37" t="n">
        <f aca="false">BF20*'Hiring plan'!$K$16*(1+Salary_Raise)^(BF$5-1)</f>
        <v>0</v>
      </c>
      <c r="BG50" s="37" t="n">
        <f aca="false">BG20*'Hiring plan'!$K$16*(1+Salary_Raise)^(BG$5-1)</f>
        <v>0</v>
      </c>
      <c r="BH50" s="37" t="n">
        <f aca="false">BH20*'Hiring plan'!$K$16*(1+Salary_Raise)^(BH$5-1)</f>
        <v>0</v>
      </c>
      <c r="BI50" s="37" t="n">
        <f aca="false">BI20*'Hiring plan'!$K$16*(1+Salary_Raise)^(BI$5-1)</f>
        <v>0</v>
      </c>
      <c r="BJ50" s="37" t="n">
        <f aca="false">BJ20*'Hiring plan'!$K$16*(1+Salary_Raise)^(BJ$5-1)</f>
        <v>0</v>
      </c>
      <c r="BK50" s="37" t="n">
        <f aca="false">BK20*'Hiring plan'!$K$16*(1+Salary_Raise)^(BK$5-1)</f>
        <v>0</v>
      </c>
      <c r="BL50" s="37" t="n">
        <f aca="false">BL20*'Hiring plan'!$K$16*(1+Salary_Raise)^(BL$5-1)</f>
        <v>0</v>
      </c>
    </row>
    <row r="51" customFormat="false" ht="15" hidden="false" customHeight="false" outlineLevel="0" collapsed="false">
      <c r="A51" s="12" t="str">
        <f aca="false">A21</f>
        <v>(spare line 13)</v>
      </c>
      <c r="B51" s="14" t="s">
        <v>71</v>
      </c>
      <c r="D51" s="55" t="n">
        <f aca="false">SUM(E51:BL51)</f>
        <v>0</v>
      </c>
      <c r="E51" s="37" t="n">
        <f aca="false">E21*'Hiring plan'!$K$17*(1+Salary_Raise)^(E$5-1)</f>
        <v>0</v>
      </c>
      <c r="F51" s="37" t="n">
        <f aca="false">F21*'Hiring plan'!$K$17*(1+Salary_Raise)^(F$5-1)</f>
        <v>0</v>
      </c>
      <c r="G51" s="37" t="n">
        <f aca="false">G21*'Hiring plan'!$K$17*(1+Salary_Raise)^(G$5-1)</f>
        <v>0</v>
      </c>
      <c r="H51" s="37" t="n">
        <f aca="false">H21*'Hiring plan'!$K$17*(1+Salary_Raise)^(H$5-1)</f>
        <v>0</v>
      </c>
      <c r="I51" s="37" t="n">
        <f aca="false">I21*'Hiring plan'!$K$17*(1+Salary_Raise)^(I$5-1)</f>
        <v>0</v>
      </c>
      <c r="J51" s="37" t="n">
        <f aca="false">J21*'Hiring plan'!$K$17*(1+Salary_Raise)^(J$5-1)</f>
        <v>0</v>
      </c>
      <c r="K51" s="37" t="n">
        <f aca="false">K21*'Hiring plan'!$K$17*(1+Salary_Raise)^(K$5-1)</f>
        <v>0</v>
      </c>
      <c r="L51" s="37" t="n">
        <f aca="false">L21*'Hiring plan'!$K$17*(1+Salary_Raise)^(L$5-1)</f>
        <v>0</v>
      </c>
      <c r="M51" s="37" t="n">
        <f aca="false">M21*'Hiring plan'!$K$17*(1+Salary_Raise)^(M$5-1)</f>
        <v>0</v>
      </c>
      <c r="N51" s="37" t="n">
        <f aca="false">N21*'Hiring plan'!$K$17*(1+Salary_Raise)^(N$5-1)</f>
        <v>0</v>
      </c>
      <c r="O51" s="37" t="n">
        <f aca="false">O21*'Hiring plan'!$K$17*(1+Salary_Raise)^(O$5-1)</f>
        <v>0</v>
      </c>
      <c r="P51" s="37" t="n">
        <f aca="false">P21*'Hiring plan'!$K$17*(1+Salary_Raise)^(P$5-1)</f>
        <v>0</v>
      </c>
      <c r="Q51" s="37" t="n">
        <f aca="false">Q21*'Hiring plan'!$K$17*(1+Salary_Raise)^(Q$5-1)</f>
        <v>0</v>
      </c>
      <c r="R51" s="37" t="n">
        <f aca="false">R21*'Hiring plan'!$K$17*(1+Salary_Raise)^(R$5-1)</f>
        <v>0</v>
      </c>
      <c r="S51" s="37" t="n">
        <f aca="false">S21*'Hiring plan'!$K$17*(1+Salary_Raise)^(S$5-1)</f>
        <v>0</v>
      </c>
      <c r="T51" s="37" t="n">
        <f aca="false">T21*'Hiring plan'!$K$17*(1+Salary_Raise)^(T$5-1)</f>
        <v>0</v>
      </c>
      <c r="U51" s="37" t="n">
        <f aca="false">U21*'Hiring plan'!$K$17*(1+Salary_Raise)^(U$5-1)</f>
        <v>0</v>
      </c>
      <c r="V51" s="37" t="n">
        <f aca="false">V21*'Hiring plan'!$K$17*(1+Salary_Raise)^(V$5-1)</f>
        <v>0</v>
      </c>
      <c r="W51" s="37" t="n">
        <f aca="false">W21*'Hiring plan'!$K$17*(1+Salary_Raise)^(W$5-1)</f>
        <v>0</v>
      </c>
      <c r="X51" s="37" t="n">
        <f aca="false">X21*'Hiring plan'!$K$17*(1+Salary_Raise)^(X$5-1)</f>
        <v>0</v>
      </c>
      <c r="Y51" s="37" t="n">
        <f aca="false">Y21*'Hiring plan'!$K$17*(1+Salary_Raise)^(Y$5-1)</f>
        <v>0</v>
      </c>
      <c r="Z51" s="37" t="n">
        <f aca="false">Z21*'Hiring plan'!$K$17*(1+Salary_Raise)^(Z$5-1)</f>
        <v>0</v>
      </c>
      <c r="AA51" s="37" t="n">
        <f aca="false">AA21*'Hiring plan'!$K$17*(1+Salary_Raise)^(AA$5-1)</f>
        <v>0</v>
      </c>
      <c r="AB51" s="37" t="n">
        <f aca="false">AB21*'Hiring plan'!$K$17*(1+Salary_Raise)^(AB$5-1)</f>
        <v>0</v>
      </c>
      <c r="AC51" s="37" t="n">
        <f aca="false">AC21*'Hiring plan'!$K$17*(1+Salary_Raise)^(AC$5-1)</f>
        <v>0</v>
      </c>
      <c r="AD51" s="37" t="n">
        <f aca="false">AD21*'Hiring plan'!$K$17*(1+Salary_Raise)^(AD$5-1)</f>
        <v>0</v>
      </c>
      <c r="AE51" s="37" t="n">
        <f aca="false">AE21*'Hiring plan'!$K$17*(1+Salary_Raise)^(AE$5-1)</f>
        <v>0</v>
      </c>
      <c r="AF51" s="37" t="n">
        <f aca="false">AF21*'Hiring plan'!$K$17*(1+Salary_Raise)^(AF$5-1)</f>
        <v>0</v>
      </c>
      <c r="AG51" s="37" t="n">
        <f aca="false">AG21*'Hiring plan'!$K$17*(1+Salary_Raise)^(AG$5-1)</f>
        <v>0</v>
      </c>
      <c r="AH51" s="37" t="n">
        <f aca="false">AH21*'Hiring plan'!$K$17*(1+Salary_Raise)^(AH$5-1)</f>
        <v>0</v>
      </c>
      <c r="AI51" s="37" t="n">
        <f aca="false">AI21*'Hiring plan'!$K$17*(1+Salary_Raise)^(AI$5-1)</f>
        <v>0</v>
      </c>
      <c r="AJ51" s="37" t="n">
        <f aca="false">AJ21*'Hiring plan'!$K$17*(1+Salary_Raise)^(AJ$5-1)</f>
        <v>0</v>
      </c>
      <c r="AK51" s="37" t="n">
        <f aca="false">AK21*'Hiring plan'!$K$17*(1+Salary_Raise)^(AK$5-1)</f>
        <v>0</v>
      </c>
      <c r="AL51" s="37" t="n">
        <f aca="false">AL21*'Hiring plan'!$K$17*(1+Salary_Raise)^(AL$5-1)</f>
        <v>0</v>
      </c>
      <c r="AM51" s="37" t="n">
        <f aca="false">AM21*'Hiring plan'!$K$17*(1+Salary_Raise)^(AM$5-1)</f>
        <v>0</v>
      </c>
      <c r="AN51" s="37" t="n">
        <f aca="false">AN21*'Hiring plan'!$K$17*(1+Salary_Raise)^(AN$5-1)</f>
        <v>0</v>
      </c>
      <c r="AO51" s="37" t="n">
        <f aca="false">AO21*'Hiring plan'!$K$17*(1+Salary_Raise)^(AO$5-1)</f>
        <v>0</v>
      </c>
      <c r="AP51" s="37" t="n">
        <f aca="false">AP21*'Hiring plan'!$K$17*(1+Salary_Raise)^(AP$5-1)</f>
        <v>0</v>
      </c>
      <c r="AQ51" s="37" t="n">
        <f aca="false">AQ21*'Hiring plan'!$K$17*(1+Salary_Raise)^(AQ$5-1)</f>
        <v>0</v>
      </c>
      <c r="AR51" s="37" t="n">
        <f aca="false">AR21*'Hiring plan'!$K$17*(1+Salary_Raise)^(AR$5-1)</f>
        <v>0</v>
      </c>
      <c r="AS51" s="37" t="n">
        <f aca="false">AS21*'Hiring plan'!$K$17*(1+Salary_Raise)^(AS$5-1)</f>
        <v>0</v>
      </c>
      <c r="AT51" s="37" t="n">
        <f aca="false">AT21*'Hiring plan'!$K$17*(1+Salary_Raise)^(AT$5-1)</f>
        <v>0</v>
      </c>
      <c r="AU51" s="37" t="n">
        <f aca="false">AU21*'Hiring plan'!$K$17*(1+Salary_Raise)^(AU$5-1)</f>
        <v>0</v>
      </c>
      <c r="AV51" s="37" t="n">
        <f aca="false">AV21*'Hiring plan'!$K$17*(1+Salary_Raise)^(AV$5-1)</f>
        <v>0</v>
      </c>
      <c r="AW51" s="37" t="n">
        <f aca="false">AW21*'Hiring plan'!$K$17*(1+Salary_Raise)^(AW$5-1)</f>
        <v>0</v>
      </c>
      <c r="AX51" s="37" t="n">
        <f aca="false">AX21*'Hiring plan'!$K$17*(1+Salary_Raise)^(AX$5-1)</f>
        <v>0</v>
      </c>
      <c r="AY51" s="37" t="n">
        <f aca="false">AY21*'Hiring plan'!$K$17*(1+Salary_Raise)^(AY$5-1)</f>
        <v>0</v>
      </c>
      <c r="AZ51" s="37" t="n">
        <f aca="false">AZ21*'Hiring plan'!$K$17*(1+Salary_Raise)^(AZ$5-1)</f>
        <v>0</v>
      </c>
      <c r="BA51" s="37" t="n">
        <f aca="false">BA21*'Hiring plan'!$K$17*(1+Salary_Raise)^(BA$5-1)</f>
        <v>0</v>
      </c>
      <c r="BB51" s="37" t="n">
        <f aca="false">BB21*'Hiring plan'!$K$17*(1+Salary_Raise)^(BB$5-1)</f>
        <v>0</v>
      </c>
      <c r="BC51" s="37" t="n">
        <f aca="false">BC21*'Hiring plan'!$K$17*(1+Salary_Raise)^(BC$5-1)</f>
        <v>0</v>
      </c>
      <c r="BD51" s="37" t="n">
        <f aca="false">BD21*'Hiring plan'!$K$17*(1+Salary_Raise)^(BD$5-1)</f>
        <v>0</v>
      </c>
      <c r="BE51" s="37" t="n">
        <f aca="false">BE21*'Hiring plan'!$K$17*(1+Salary_Raise)^(BE$5-1)</f>
        <v>0</v>
      </c>
      <c r="BF51" s="37" t="n">
        <f aca="false">BF21*'Hiring plan'!$K$17*(1+Salary_Raise)^(BF$5-1)</f>
        <v>0</v>
      </c>
      <c r="BG51" s="37" t="n">
        <f aca="false">BG21*'Hiring plan'!$K$17*(1+Salary_Raise)^(BG$5-1)</f>
        <v>0</v>
      </c>
      <c r="BH51" s="37" t="n">
        <f aca="false">BH21*'Hiring plan'!$K$17*(1+Salary_Raise)^(BH$5-1)</f>
        <v>0</v>
      </c>
      <c r="BI51" s="37" t="n">
        <f aca="false">BI21*'Hiring plan'!$K$17*(1+Salary_Raise)^(BI$5-1)</f>
        <v>0</v>
      </c>
      <c r="BJ51" s="37" t="n">
        <f aca="false">BJ21*'Hiring plan'!$K$17*(1+Salary_Raise)^(BJ$5-1)</f>
        <v>0</v>
      </c>
      <c r="BK51" s="37" t="n">
        <f aca="false">BK21*'Hiring plan'!$K$17*(1+Salary_Raise)^(BK$5-1)</f>
        <v>0</v>
      </c>
      <c r="BL51" s="37" t="n">
        <f aca="false">BL21*'Hiring plan'!$K$17*(1+Salary_Raise)^(BL$5-1)</f>
        <v>0</v>
      </c>
    </row>
    <row r="52" customFormat="false" ht="15" hidden="false" customHeight="false" outlineLevel="0" collapsed="false">
      <c r="A52" s="12" t="str">
        <f aca="false">A22</f>
        <v>(spare line 14)</v>
      </c>
      <c r="B52" s="14" t="s">
        <v>71</v>
      </c>
      <c r="D52" s="55" t="n">
        <f aca="false">SUM(E52:BL52)</f>
        <v>0</v>
      </c>
      <c r="E52" s="37" t="n">
        <f aca="false">E22*'Hiring plan'!$K$18*(1+Salary_Raise)^(E$5-1)</f>
        <v>0</v>
      </c>
      <c r="F52" s="37" t="n">
        <f aca="false">F22*'Hiring plan'!$K$18*(1+Salary_Raise)^(F$5-1)</f>
        <v>0</v>
      </c>
      <c r="G52" s="37" t="n">
        <f aca="false">G22*'Hiring plan'!$K$18*(1+Salary_Raise)^(G$5-1)</f>
        <v>0</v>
      </c>
      <c r="H52" s="37" t="n">
        <f aca="false">H22*'Hiring plan'!$K$18*(1+Salary_Raise)^(H$5-1)</f>
        <v>0</v>
      </c>
      <c r="I52" s="37" t="n">
        <f aca="false">I22*'Hiring plan'!$K$18*(1+Salary_Raise)^(I$5-1)</f>
        <v>0</v>
      </c>
      <c r="J52" s="37" t="n">
        <f aca="false">J22*'Hiring plan'!$K$18*(1+Salary_Raise)^(J$5-1)</f>
        <v>0</v>
      </c>
      <c r="K52" s="37" t="n">
        <f aca="false">K22*'Hiring plan'!$K$18*(1+Salary_Raise)^(K$5-1)</f>
        <v>0</v>
      </c>
      <c r="L52" s="37" t="n">
        <f aca="false">L22*'Hiring plan'!$K$18*(1+Salary_Raise)^(L$5-1)</f>
        <v>0</v>
      </c>
      <c r="M52" s="37" t="n">
        <f aca="false">M22*'Hiring plan'!$K$18*(1+Salary_Raise)^(M$5-1)</f>
        <v>0</v>
      </c>
      <c r="N52" s="37" t="n">
        <f aca="false">N22*'Hiring plan'!$K$18*(1+Salary_Raise)^(N$5-1)</f>
        <v>0</v>
      </c>
      <c r="O52" s="37" t="n">
        <f aca="false">O22*'Hiring plan'!$K$18*(1+Salary_Raise)^(O$5-1)</f>
        <v>0</v>
      </c>
      <c r="P52" s="37" t="n">
        <f aca="false">P22*'Hiring plan'!$K$18*(1+Salary_Raise)^(P$5-1)</f>
        <v>0</v>
      </c>
      <c r="Q52" s="37" t="n">
        <f aca="false">Q22*'Hiring plan'!$K$18*(1+Salary_Raise)^(Q$5-1)</f>
        <v>0</v>
      </c>
      <c r="R52" s="37" t="n">
        <f aca="false">R22*'Hiring plan'!$K$18*(1+Salary_Raise)^(R$5-1)</f>
        <v>0</v>
      </c>
      <c r="S52" s="37" t="n">
        <f aca="false">S22*'Hiring plan'!$K$18*(1+Salary_Raise)^(S$5-1)</f>
        <v>0</v>
      </c>
      <c r="T52" s="37" t="n">
        <f aca="false">T22*'Hiring plan'!$K$18*(1+Salary_Raise)^(T$5-1)</f>
        <v>0</v>
      </c>
      <c r="U52" s="37" t="n">
        <f aca="false">U22*'Hiring plan'!$K$18*(1+Salary_Raise)^(U$5-1)</f>
        <v>0</v>
      </c>
      <c r="V52" s="37" t="n">
        <f aca="false">V22*'Hiring plan'!$K$18*(1+Salary_Raise)^(V$5-1)</f>
        <v>0</v>
      </c>
      <c r="W52" s="37" t="n">
        <f aca="false">W22*'Hiring plan'!$K$18*(1+Salary_Raise)^(W$5-1)</f>
        <v>0</v>
      </c>
      <c r="X52" s="37" t="n">
        <f aca="false">X22*'Hiring plan'!$K$18*(1+Salary_Raise)^(X$5-1)</f>
        <v>0</v>
      </c>
      <c r="Y52" s="37" t="n">
        <f aca="false">Y22*'Hiring plan'!$K$18*(1+Salary_Raise)^(Y$5-1)</f>
        <v>0</v>
      </c>
      <c r="Z52" s="37" t="n">
        <f aca="false">Z22*'Hiring plan'!$K$18*(1+Salary_Raise)^(Z$5-1)</f>
        <v>0</v>
      </c>
      <c r="AA52" s="37" t="n">
        <f aca="false">AA22*'Hiring plan'!$K$18*(1+Salary_Raise)^(AA$5-1)</f>
        <v>0</v>
      </c>
      <c r="AB52" s="37" t="n">
        <f aca="false">AB22*'Hiring plan'!$K$18*(1+Salary_Raise)^(AB$5-1)</f>
        <v>0</v>
      </c>
      <c r="AC52" s="37" t="n">
        <f aca="false">AC22*'Hiring plan'!$K$18*(1+Salary_Raise)^(AC$5-1)</f>
        <v>0</v>
      </c>
      <c r="AD52" s="37" t="n">
        <f aca="false">AD22*'Hiring plan'!$K$18*(1+Salary_Raise)^(AD$5-1)</f>
        <v>0</v>
      </c>
      <c r="AE52" s="37" t="n">
        <f aca="false">AE22*'Hiring plan'!$K$18*(1+Salary_Raise)^(AE$5-1)</f>
        <v>0</v>
      </c>
      <c r="AF52" s="37" t="n">
        <f aca="false">AF22*'Hiring plan'!$K$18*(1+Salary_Raise)^(AF$5-1)</f>
        <v>0</v>
      </c>
      <c r="AG52" s="37" t="n">
        <f aca="false">AG22*'Hiring plan'!$K$18*(1+Salary_Raise)^(AG$5-1)</f>
        <v>0</v>
      </c>
      <c r="AH52" s="37" t="n">
        <f aca="false">AH22*'Hiring plan'!$K$18*(1+Salary_Raise)^(AH$5-1)</f>
        <v>0</v>
      </c>
      <c r="AI52" s="37" t="n">
        <f aca="false">AI22*'Hiring plan'!$K$18*(1+Salary_Raise)^(AI$5-1)</f>
        <v>0</v>
      </c>
      <c r="AJ52" s="37" t="n">
        <f aca="false">AJ22*'Hiring plan'!$K$18*(1+Salary_Raise)^(AJ$5-1)</f>
        <v>0</v>
      </c>
      <c r="AK52" s="37" t="n">
        <f aca="false">AK22*'Hiring plan'!$K$18*(1+Salary_Raise)^(AK$5-1)</f>
        <v>0</v>
      </c>
      <c r="AL52" s="37" t="n">
        <f aca="false">AL22*'Hiring plan'!$K$18*(1+Salary_Raise)^(AL$5-1)</f>
        <v>0</v>
      </c>
      <c r="AM52" s="37" t="n">
        <f aca="false">AM22*'Hiring plan'!$K$18*(1+Salary_Raise)^(AM$5-1)</f>
        <v>0</v>
      </c>
      <c r="AN52" s="37" t="n">
        <f aca="false">AN22*'Hiring plan'!$K$18*(1+Salary_Raise)^(AN$5-1)</f>
        <v>0</v>
      </c>
      <c r="AO52" s="37" t="n">
        <f aca="false">AO22*'Hiring plan'!$K$18*(1+Salary_Raise)^(AO$5-1)</f>
        <v>0</v>
      </c>
      <c r="AP52" s="37" t="n">
        <f aca="false">AP22*'Hiring plan'!$K$18*(1+Salary_Raise)^(AP$5-1)</f>
        <v>0</v>
      </c>
      <c r="AQ52" s="37" t="n">
        <f aca="false">AQ22*'Hiring plan'!$K$18*(1+Salary_Raise)^(AQ$5-1)</f>
        <v>0</v>
      </c>
      <c r="AR52" s="37" t="n">
        <f aca="false">AR22*'Hiring plan'!$K$18*(1+Salary_Raise)^(AR$5-1)</f>
        <v>0</v>
      </c>
      <c r="AS52" s="37" t="n">
        <f aca="false">AS22*'Hiring plan'!$K$18*(1+Salary_Raise)^(AS$5-1)</f>
        <v>0</v>
      </c>
      <c r="AT52" s="37" t="n">
        <f aca="false">AT22*'Hiring plan'!$K$18*(1+Salary_Raise)^(AT$5-1)</f>
        <v>0</v>
      </c>
      <c r="AU52" s="37" t="n">
        <f aca="false">AU22*'Hiring plan'!$K$18*(1+Salary_Raise)^(AU$5-1)</f>
        <v>0</v>
      </c>
      <c r="AV52" s="37" t="n">
        <f aca="false">AV22*'Hiring plan'!$K$18*(1+Salary_Raise)^(AV$5-1)</f>
        <v>0</v>
      </c>
      <c r="AW52" s="37" t="n">
        <f aca="false">AW22*'Hiring plan'!$K$18*(1+Salary_Raise)^(AW$5-1)</f>
        <v>0</v>
      </c>
      <c r="AX52" s="37" t="n">
        <f aca="false">AX22*'Hiring plan'!$K$18*(1+Salary_Raise)^(AX$5-1)</f>
        <v>0</v>
      </c>
      <c r="AY52" s="37" t="n">
        <f aca="false">AY22*'Hiring plan'!$K$18*(1+Salary_Raise)^(AY$5-1)</f>
        <v>0</v>
      </c>
      <c r="AZ52" s="37" t="n">
        <f aca="false">AZ22*'Hiring plan'!$K$18*(1+Salary_Raise)^(AZ$5-1)</f>
        <v>0</v>
      </c>
      <c r="BA52" s="37" t="n">
        <f aca="false">BA22*'Hiring plan'!$K$18*(1+Salary_Raise)^(BA$5-1)</f>
        <v>0</v>
      </c>
      <c r="BB52" s="37" t="n">
        <f aca="false">BB22*'Hiring plan'!$K$18*(1+Salary_Raise)^(BB$5-1)</f>
        <v>0</v>
      </c>
      <c r="BC52" s="37" t="n">
        <f aca="false">BC22*'Hiring plan'!$K$18*(1+Salary_Raise)^(BC$5-1)</f>
        <v>0</v>
      </c>
      <c r="BD52" s="37" t="n">
        <f aca="false">BD22*'Hiring plan'!$K$18*(1+Salary_Raise)^(BD$5-1)</f>
        <v>0</v>
      </c>
      <c r="BE52" s="37" t="n">
        <f aca="false">BE22*'Hiring plan'!$K$18*(1+Salary_Raise)^(BE$5-1)</f>
        <v>0</v>
      </c>
      <c r="BF52" s="37" t="n">
        <f aca="false">BF22*'Hiring plan'!$K$18*(1+Salary_Raise)^(BF$5-1)</f>
        <v>0</v>
      </c>
      <c r="BG52" s="37" t="n">
        <f aca="false">BG22*'Hiring plan'!$K$18*(1+Salary_Raise)^(BG$5-1)</f>
        <v>0</v>
      </c>
      <c r="BH52" s="37" t="n">
        <f aca="false">BH22*'Hiring plan'!$K$18*(1+Salary_Raise)^(BH$5-1)</f>
        <v>0</v>
      </c>
      <c r="BI52" s="37" t="n">
        <f aca="false">BI22*'Hiring plan'!$K$18*(1+Salary_Raise)^(BI$5-1)</f>
        <v>0</v>
      </c>
      <c r="BJ52" s="37" t="n">
        <f aca="false">BJ22*'Hiring plan'!$K$18*(1+Salary_Raise)^(BJ$5-1)</f>
        <v>0</v>
      </c>
      <c r="BK52" s="37" t="n">
        <f aca="false">BK22*'Hiring plan'!$K$18*(1+Salary_Raise)^(BK$5-1)</f>
        <v>0</v>
      </c>
      <c r="BL52" s="37" t="n">
        <f aca="false">BL22*'Hiring plan'!$K$18*(1+Salary_Raise)^(BL$5-1)</f>
        <v>0</v>
      </c>
    </row>
    <row r="53" customFormat="false" ht="15" hidden="false" customHeight="false" outlineLevel="0" collapsed="false">
      <c r="A53" s="12" t="str">
        <f aca="false">A23</f>
        <v>(spare line 15)</v>
      </c>
      <c r="B53" s="14" t="s">
        <v>71</v>
      </c>
      <c r="D53" s="55" t="n">
        <f aca="false">SUM(E53:BL53)</f>
        <v>0</v>
      </c>
      <c r="E53" s="37" t="n">
        <f aca="false">E23*'Hiring plan'!$K$19*(1+Salary_Raise)^(E$5-1)</f>
        <v>0</v>
      </c>
      <c r="F53" s="37" t="n">
        <f aca="false">F23*'Hiring plan'!$K$19*(1+Salary_Raise)^(F$5-1)</f>
        <v>0</v>
      </c>
      <c r="G53" s="37" t="n">
        <f aca="false">G23*'Hiring plan'!$K$19*(1+Salary_Raise)^(G$5-1)</f>
        <v>0</v>
      </c>
      <c r="H53" s="37" t="n">
        <f aca="false">H23*'Hiring plan'!$K$19*(1+Salary_Raise)^(H$5-1)</f>
        <v>0</v>
      </c>
      <c r="I53" s="37" t="n">
        <f aca="false">I23*'Hiring plan'!$K$19*(1+Salary_Raise)^(I$5-1)</f>
        <v>0</v>
      </c>
      <c r="J53" s="37" t="n">
        <f aca="false">J23*'Hiring plan'!$K$19*(1+Salary_Raise)^(J$5-1)</f>
        <v>0</v>
      </c>
      <c r="K53" s="37" t="n">
        <f aca="false">K23*'Hiring plan'!$K$19*(1+Salary_Raise)^(K$5-1)</f>
        <v>0</v>
      </c>
      <c r="L53" s="37" t="n">
        <f aca="false">L23*'Hiring plan'!$K$19*(1+Salary_Raise)^(L$5-1)</f>
        <v>0</v>
      </c>
      <c r="M53" s="37" t="n">
        <f aca="false">M23*'Hiring plan'!$K$19*(1+Salary_Raise)^(M$5-1)</f>
        <v>0</v>
      </c>
      <c r="N53" s="37" t="n">
        <f aca="false">N23*'Hiring plan'!$K$19*(1+Salary_Raise)^(N$5-1)</f>
        <v>0</v>
      </c>
      <c r="O53" s="37" t="n">
        <f aca="false">O23*'Hiring plan'!$K$19*(1+Salary_Raise)^(O$5-1)</f>
        <v>0</v>
      </c>
      <c r="P53" s="37" t="n">
        <f aca="false">P23*'Hiring plan'!$K$19*(1+Salary_Raise)^(P$5-1)</f>
        <v>0</v>
      </c>
      <c r="Q53" s="37" t="n">
        <f aca="false">Q23*'Hiring plan'!$K$19*(1+Salary_Raise)^(Q$5-1)</f>
        <v>0</v>
      </c>
      <c r="R53" s="37" t="n">
        <f aca="false">R23*'Hiring plan'!$K$19*(1+Salary_Raise)^(R$5-1)</f>
        <v>0</v>
      </c>
      <c r="S53" s="37" t="n">
        <f aca="false">S23*'Hiring plan'!$K$19*(1+Salary_Raise)^(S$5-1)</f>
        <v>0</v>
      </c>
      <c r="T53" s="37" t="n">
        <f aca="false">T23*'Hiring plan'!$K$19*(1+Salary_Raise)^(T$5-1)</f>
        <v>0</v>
      </c>
      <c r="U53" s="37" t="n">
        <f aca="false">U23*'Hiring plan'!$K$19*(1+Salary_Raise)^(U$5-1)</f>
        <v>0</v>
      </c>
      <c r="V53" s="37" t="n">
        <f aca="false">V23*'Hiring plan'!$K$19*(1+Salary_Raise)^(V$5-1)</f>
        <v>0</v>
      </c>
      <c r="W53" s="37" t="n">
        <f aca="false">W23*'Hiring plan'!$K$19*(1+Salary_Raise)^(W$5-1)</f>
        <v>0</v>
      </c>
      <c r="X53" s="37" t="n">
        <f aca="false">X23*'Hiring plan'!$K$19*(1+Salary_Raise)^(X$5-1)</f>
        <v>0</v>
      </c>
      <c r="Y53" s="37" t="n">
        <f aca="false">Y23*'Hiring plan'!$K$19*(1+Salary_Raise)^(Y$5-1)</f>
        <v>0</v>
      </c>
      <c r="Z53" s="37" t="n">
        <f aca="false">Z23*'Hiring plan'!$K$19*(1+Salary_Raise)^(Z$5-1)</f>
        <v>0</v>
      </c>
      <c r="AA53" s="37" t="n">
        <f aca="false">AA23*'Hiring plan'!$K$19*(1+Salary_Raise)^(AA$5-1)</f>
        <v>0</v>
      </c>
      <c r="AB53" s="37" t="n">
        <f aca="false">AB23*'Hiring plan'!$K$19*(1+Salary_Raise)^(AB$5-1)</f>
        <v>0</v>
      </c>
      <c r="AC53" s="37" t="n">
        <f aca="false">AC23*'Hiring plan'!$K$19*(1+Salary_Raise)^(AC$5-1)</f>
        <v>0</v>
      </c>
      <c r="AD53" s="37" t="n">
        <f aca="false">AD23*'Hiring plan'!$K$19*(1+Salary_Raise)^(AD$5-1)</f>
        <v>0</v>
      </c>
      <c r="AE53" s="37" t="n">
        <f aca="false">AE23*'Hiring plan'!$K$19*(1+Salary_Raise)^(AE$5-1)</f>
        <v>0</v>
      </c>
      <c r="AF53" s="37" t="n">
        <f aca="false">AF23*'Hiring plan'!$K$19*(1+Salary_Raise)^(AF$5-1)</f>
        <v>0</v>
      </c>
      <c r="AG53" s="37" t="n">
        <f aca="false">AG23*'Hiring plan'!$K$19*(1+Salary_Raise)^(AG$5-1)</f>
        <v>0</v>
      </c>
      <c r="AH53" s="37" t="n">
        <f aca="false">AH23*'Hiring plan'!$K$19*(1+Salary_Raise)^(AH$5-1)</f>
        <v>0</v>
      </c>
      <c r="AI53" s="37" t="n">
        <f aca="false">AI23*'Hiring plan'!$K$19*(1+Salary_Raise)^(AI$5-1)</f>
        <v>0</v>
      </c>
      <c r="AJ53" s="37" t="n">
        <f aca="false">AJ23*'Hiring plan'!$K$19*(1+Salary_Raise)^(AJ$5-1)</f>
        <v>0</v>
      </c>
      <c r="AK53" s="37" t="n">
        <f aca="false">AK23*'Hiring plan'!$K$19*(1+Salary_Raise)^(AK$5-1)</f>
        <v>0</v>
      </c>
      <c r="AL53" s="37" t="n">
        <f aca="false">AL23*'Hiring plan'!$K$19*(1+Salary_Raise)^(AL$5-1)</f>
        <v>0</v>
      </c>
      <c r="AM53" s="37" t="n">
        <f aca="false">AM23*'Hiring plan'!$K$19*(1+Salary_Raise)^(AM$5-1)</f>
        <v>0</v>
      </c>
      <c r="AN53" s="37" t="n">
        <f aca="false">AN23*'Hiring plan'!$K$19*(1+Salary_Raise)^(AN$5-1)</f>
        <v>0</v>
      </c>
      <c r="AO53" s="37" t="n">
        <f aca="false">AO23*'Hiring plan'!$K$19*(1+Salary_Raise)^(AO$5-1)</f>
        <v>0</v>
      </c>
      <c r="AP53" s="37" t="n">
        <f aca="false">AP23*'Hiring plan'!$K$19*(1+Salary_Raise)^(AP$5-1)</f>
        <v>0</v>
      </c>
      <c r="AQ53" s="37" t="n">
        <f aca="false">AQ23*'Hiring plan'!$K$19*(1+Salary_Raise)^(AQ$5-1)</f>
        <v>0</v>
      </c>
      <c r="AR53" s="37" t="n">
        <f aca="false">AR23*'Hiring plan'!$K$19*(1+Salary_Raise)^(AR$5-1)</f>
        <v>0</v>
      </c>
      <c r="AS53" s="37" t="n">
        <f aca="false">AS23*'Hiring plan'!$K$19*(1+Salary_Raise)^(AS$5-1)</f>
        <v>0</v>
      </c>
      <c r="AT53" s="37" t="n">
        <f aca="false">AT23*'Hiring plan'!$K$19*(1+Salary_Raise)^(AT$5-1)</f>
        <v>0</v>
      </c>
      <c r="AU53" s="37" t="n">
        <f aca="false">AU23*'Hiring plan'!$K$19*(1+Salary_Raise)^(AU$5-1)</f>
        <v>0</v>
      </c>
      <c r="AV53" s="37" t="n">
        <f aca="false">AV23*'Hiring plan'!$K$19*(1+Salary_Raise)^(AV$5-1)</f>
        <v>0</v>
      </c>
      <c r="AW53" s="37" t="n">
        <f aca="false">AW23*'Hiring plan'!$K$19*(1+Salary_Raise)^(AW$5-1)</f>
        <v>0</v>
      </c>
      <c r="AX53" s="37" t="n">
        <f aca="false">AX23*'Hiring plan'!$K$19*(1+Salary_Raise)^(AX$5-1)</f>
        <v>0</v>
      </c>
      <c r="AY53" s="37" t="n">
        <f aca="false">AY23*'Hiring plan'!$K$19*(1+Salary_Raise)^(AY$5-1)</f>
        <v>0</v>
      </c>
      <c r="AZ53" s="37" t="n">
        <f aca="false">AZ23*'Hiring plan'!$K$19*(1+Salary_Raise)^(AZ$5-1)</f>
        <v>0</v>
      </c>
      <c r="BA53" s="37" t="n">
        <f aca="false">BA23*'Hiring plan'!$K$19*(1+Salary_Raise)^(BA$5-1)</f>
        <v>0</v>
      </c>
      <c r="BB53" s="37" t="n">
        <f aca="false">BB23*'Hiring plan'!$K$19*(1+Salary_Raise)^(BB$5-1)</f>
        <v>0</v>
      </c>
      <c r="BC53" s="37" t="n">
        <f aca="false">BC23*'Hiring plan'!$K$19*(1+Salary_Raise)^(BC$5-1)</f>
        <v>0</v>
      </c>
      <c r="BD53" s="37" t="n">
        <f aca="false">BD23*'Hiring plan'!$K$19*(1+Salary_Raise)^(BD$5-1)</f>
        <v>0</v>
      </c>
      <c r="BE53" s="37" t="n">
        <f aca="false">BE23*'Hiring plan'!$K$19*(1+Salary_Raise)^(BE$5-1)</f>
        <v>0</v>
      </c>
      <c r="BF53" s="37" t="n">
        <f aca="false">BF23*'Hiring plan'!$K$19*(1+Salary_Raise)^(BF$5-1)</f>
        <v>0</v>
      </c>
      <c r="BG53" s="37" t="n">
        <f aca="false">BG23*'Hiring plan'!$K$19*(1+Salary_Raise)^(BG$5-1)</f>
        <v>0</v>
      </c>
      <c r="BH53" s="37" t="n">
        <f aca="false">BH23*'Hiring plan'!$K$19*(1+Salary_Raise)^(BH$5-1)</f>
        <v>0</v>
      </c>
      <c r="BI53" s="37" t="n">
        <f aca="false">BI23*'Hiring plan'!$K$19*(1+Salary_Raise)^(BI$5-1)</f>
        <v>0</v>
      </c>
      <c r="BJ53" s="37" t="n">
        <f aca="false">BJ23*'Hiring plan'!$K$19*(1+Salary_Raise)^(BJ$5-1)</f>
        <v>0</v>
      </c>
      <c r="BK53" s="37" t="n">
        <f aca="false">BK23*'Hiring plan'!$K$19*(1+Salary_Raise)^(BK$5-1)</f>
        <v>0</v>
      </c>
      <c r="BL53" s="37" t="n">
        <f aca="false">BL23*'Hiring plan'!$K$19*(1+Salary_Raise)^(BL$5-1)</f>
        <v>0</v>
      </c>
    </row>
    <row r="54" customFormat="false" ht="15" hidden="false" customHeight="false" outlineLevel="0" collapsed="false">
      <c r="A54" s="12" t="str">
        <f aca="false">A24</f>
        <v>(spare line 16)</v>
      </c>
      <c r="B54" s="14" t="s">
        <v>71</v>
      </c>
      <c r="D54" s="55" t="n">
        <f aca="false">SUM(E54:BL54)</f>
        <v>0</v>
      </c>
      <c r="E54" s="37" t="n">
        <f aca="false">E24*'Hiring plan'!$K$20*(1+Salary_Raise)^(E$5-1)</f>
        <v>0</v>
      </c>
      <c r="F54" s="37" t="n">
        <f aca="false">F24*'Hiring plan'!$K$20*(1+Salary_Raise)^(F$5-1)</f>
        <v>0</v>
      </c>
      <c r="G54" s="37" t="n">
        <f aca="false">G24*'Hiring plan'!$K$20*(1+Salary_Raise)^(G$5-1)</f>
        <v>0</v>
      </c>
      <c r="H54" s="37" t="n">
        <f aca="false">H24*'Hiring plan'!$K$20*(1+Salary_Raise)^(H$5-1)</f>
        <v>0</v>
      </c>
      <c r="I54" s="37" t="n">
        <f aca="false">I24*'Hiring plan'!$K$20*(1+Salary_Raise)^(I$5-1)</f>
        <v>0</v>
      </c>
      <c r="J54" s="37" t="n">
        <f aca="false">J24*'Hiring plan'!$K$20*(1+Salary_Raise)^(J$5-1)</f>
        <v>0</v>
      </c>
      <c r="K54" s="37" t="n">
        <f aca="false">K24*'Hiring plan'!$K$20*(1+Salary_Raise)^(K$5-1)</f>
        <v>0</v>
      </c>
      <c r="L54" s="37" t="n">
        <f aca="false">L24*'Hiring plan'!$K$20*(1+Salary_Raise)^(L$5-1)</f>
        <v>0</v>
      </c>
      <c r="M54" s="37" t="n">
        <f aca="false">M24*'Hiring plan'!$K$20*(1+Salary_Raise)^(M$5-1)</f>
        <v>0</v>
      </c>
      <c r="N54" s="37" t="n">
        <f aca="false">N24*'Hiring plan'!$K$20*(1+Salary_Raise)^(N$5-1)</f>
        <v>0</v>
      </c>
      <c r="O54" s="37" t="n">
        <f aca="false">O24*'Hiring plan'!$K$20*(1+Salary_Raise)^(O$5-1)</f>
        <v>0</v>
      </c>
      <c r="P54" s="37" t="n">
        <f aca="false">P24*'Hiring plan'!$K$20*(1+Salary_Raise)^(P$5-1)</f>
        <v>0</v>
      </c>
      <c r="Q54" s="37" t="n">
        <f aca="false">Q24*'Hiring plan'!$K$20*(1+Salary_Raise)^(Q$5-1)</f>
        <v>0</v>
      </c>
      <c r="R54" s="37" t="n">
        <f aca="false">R24*'Hiring plan'!$K$20*(1+Salary_Raise)^(R$5-1)</f>
        <v>0</v>
      </c>
      <c r="S54" s="37" t="n">
        <f aca="false">S24*'Hiring plan'!$K$20*(1+Salary_Raise)^(S$5-1)</f>
        <v>0</v>
      </c>
      <c r="T54" s="37" t="n">
        <f aca="false">T24*'Hiring plan'!$K$20*(1+Salary_Raise)^(T$5-1)</f>
        <v>0</v>
      </c>
      <c r="U54" s="37" t="n">
        <f aca="false">U24*'Hiring plan'!$K$20*(1+Salary_Raise)^(U$5-1)</f>
        <v>0</v>
      </c>
      <c r="V54" s="37" t="n">
        <f aca="false">V24*'Hiring plan'!$K$20*(1+Salary_Raise)^(V$5-1)</f>
        <v>0</v>
      </c>
      <c r="W54" s="37" t="n">
        <f aca="false">W24*'Hiring plan'!$K$20*(1+Salary_Raise)^(W$5-1)</f>
        <v>0</v>
      </c>
      <c r="X54" s="37" t="n">
        <f aca="false">X24*'Hiring plan'!$K$20*(1+Salary_Raise)^(X$5-1)</f>
        <v>0</v>
      </c>
      <c r="Y54" s="37" t="n">
        <f aca="false">Y24*'Hiring plan'!$K$20*(1+Salary_Raise)^(Y$5-1)</f>
        <v>0</v>
      </c>
      <c r="Z54" s="37" t="n">
        <f aca="false">Z24*'Hiring plan'!$K$20*(1+Salary_Raise)^(Z$5-1)</f>
        <v>0</v>
      </c>
      <c r="AA54" s="37" t="n">
        <f aca="false">AA24*'Hiring plan'!$K$20*(1+Salary_Raise)^(AA$5-1)</f>
        <v>0</v>
      </c>
      <c r="AB54" s="37" t="n">
        <f aca="false">AB24*'Hiring plan'!$K$20*(1+Salary_Raise)^(AB$5-1)</f>
        <v>0</v>
      </c>
      <c r="AC54" s="37" t="n">
        <f aca="false">AC24*'Hiring plan'!$K$20*(1+Salary_Raise)^(AC$5-1)</f>
        <v>0</v>
      </c>
      <c r="AD54" s="37" t="n">
        <f aca="false">AD24*'Hiring plan'!$K$20*(1+Salary_Raise)^(AD$5-1)</f>
        <v>0</v>
      </c>
      <c r="AE54" s="37" t="n">
        <f aca="false">AE24*'Hiring plan'!$K$20*(1+Salary_Raise)^(AE$5-1)</f>
        <v>0</v>
      </c>
      <c r="AF54" s="37" t="n">
        <f aca="false">AF24*'Hiring plan'!$K$20*(1+Salary_Raise)^(AF$5-1)</f>
        <v>0</v>
      </c>
      <c r="AG54" s="37" t="n">
        <f aca="false">AG24*'Hiring plan'!$K$20*(1+Salary_Raise)^(AG$5-1)</f>
        <v>0</v>
      </c>
      <c r="AH54" s="37" t="n">
        <f aca="false">AH24*'Hiring plan'!$K$20*(1+Salary_Raise)^(AH$5-1)</f>
        <v>0</v>
      </c>
      <c r="AI54" s="37" t="n">
        <f aca="false">AI24*'Hiring plan'!$K$20*(1+Salary_Raise)^(AI$5-1)</f>
        <v>0</v>
      </c>
      <c r="AJ54" s="37" t="n">
        <f aca="false">AJ24*'Hiring plan'!$K$20*(1+Salary_Raise)^(AJ$5-1)</f>
        <v>0</v>
      </c>
      <c r="AK54" s="37" t="n">
        <f aca="false">AK24*'Hiring plan'!$K$20*(1+Salary_Raise)^(AK$5-1)</f>
        <v>0</v>
      </c>
      <c r="AL54" s="37" t="n">
        <f aca="false">AL24*'Hiring plan'!$K$20*(1+Salary_Raise)^(AL$5-1)</f>
        <v>0</v>
      </c>
      <c r="AM54" s="37" t="n">
        <f aca="false">AM24*'Hiring plan'!$K$20*(1+Salary_Raise)^(AM$5-1)</f>
        <v>0</v>
      </c>
      <c r="AN54" s="37" t="n">
        <f aca="false">AN24*'Hiring plan'!$K$20*(1+Salary_Raise)^(AN$5-1)</f>
        <v>0</v>
      </c>
      <c r="AO54" s="37" t="n">
        <f aca="false">AO24*'Hiring plan'!$K$20*(1+Salary_Raise)^(AO$5-1)</f>
        <v>0</v>
      </c>
      <c r="AP54" s="37" t="n">
        <f aca="false">AP24*'Hiring plan'!$K$20*(1+Salary_Raise)^(AP$5-1)</f>
        <v>0</v>
      </c>
      <c r="AQ54" s="37" t="n">
        <f aca="false">AQ24*'Hiring plan'!$K$20*(1+Salary_Raise)^(AQ$5-1)</f>
        <v>0</v>
      </c>
      <c r="AR54" s="37" t="n">
        <f aca="false">AR24*'Hiring plan'!$K$20*(1+Salary_Raise)^(AR$5-1)</f>
        <v>0</v>
      </c>
      <c r="AS54" s="37" t="n">
        <f aca="false">AS24*'Hiring plan'!$K$20*(1+Salary_Raise)^(AS$5-1)</f>
        <v>0</v>
      </c>
      <c r="AT54" s="37" t="n">
        <f aca="false">AT24*'Hiring plan'!$K$20*(1+Salary_Raise)^(AT$5-1)</f>
        <v>0</v>
      </c>
      <c r="AU54" s="37" t="n">
        <f aca="false">AU24*'Hiring plan'!$K$20*(1+Salary_Raise)^(AU$5-1)</f>
        <v>0</v>
      </c>
      <c r="AV54" s="37" t="n">
        <f aca="false">AV24*'Hiring plan'!$K$20*(1+Salary_Raise)^(AV$5-1)</f>
        <v>0</v>
      </c>
      <c r="AW54" s="37" t="n">
        <f aca="false">AW24*'Hiring plan'!$K$20*(1+Salary_Raise)^(AW$5-1)</f>
        <v>0</v>
      </c>
      <c r="AX54" s="37" t="n">
        <f aca="false">AX24*'Hiring plan'!$K$20*(1+Salary_Raise)^(AX$5-1)</f>
        <v>0</v>
      </c>
      <c r="AY54" s="37" t="n">
        <f aca="false">AY24*'Hiring plan'!$K$20*(1+Salary_Raise)^(AY$5-1)</f>
        <v>0</v>
      </c>
      <c r="AZ54" s="37" t="n">
        <f aca="false">AZ24*'Hiring plan'!$K$20*(1+Salary_Raise)^(AZ$5-1)</f>
        <v>0</v>
      </c>
      <c r="BA54" s="37" t="n">
        <f aca="false">BA24*'Hiring plan'!$K$20*(1+Salary_Raise)^(BA$5-1)</f>
        <v>0</v>
      </c>
      <c r="BB54" s="37" t="n">
        <f aca="false">BB24*'Hiring plan'!$K$20*(1+Salary_Raise)^(BB$5-1)</f>
        <v>0</v>
      </c>
      <c r="BC54" s="37" t="n">
        <f aca="false">BC24*'Hiring plan'!$K$20*(1+Salary_Raise)^(BC$5-1)</f>
        <v>0</v>
      </c>
      <c r="BD54" s="37" t="n">
        <f aca="false">BD24*'Hiring plan'!$K$20*(1+Salary_Raise)^(BD$5-1)</f>
        <v>0</v>
      </c>
      <c r="BE54" s="37" t="n">
        <f aca="false">BE24*'Hiring plan'!$K$20*(1+Salary_Raise)^(BE$5-1)</f>
        <v>0</v>
      </c>
      <c r="BF54" s="37" t="n">
        <f aca="false">BF24*'Hiring plan'!$K$20*(1+Salary_Raise)^(BF$5-1)</f>
        <v>0</v>
      </c>
      <c r="BG54" s="37" t="n">
        <f aca="false">BG24*'Hiring plan'!$K$20*(1+Salary_Raise)^(BG$5-1)</f>
        <v>0</v>
      </c>
      <c r="BH54" s="37" t="n">
        <f aca="false">BH24*'Hiring plan'!$K$20*(1+Salary_Raise)^(BH$5-1)</f>
        <v>0</v>
      </c>
      <c r="BI54" s="37" t="n">
        <f aca="false">BI24*'Hiring plan'!$K$20*(1+Salary_Raise)^(BI$5-1)</f>
        <v>0</v>
      </c>
      <c r="BJ54" s="37" t="n">
        <f aca="false">BJ24*'Hiring plan'!$K$20*(1+Salary_Raise)^(BJ$5-1)</f>
        <v>0</v>
      </c>
      <c r="BK54" s="37" t="n">
        <f aca="false">BK24*'Hiring plan'!$K$20*(1+Salary_Raise)^(BK$5-1)</f>
        <v>0</v>
      </c>
      <c r="BL54" s="37" t="n">
        <f aca="false">BL24*'Hiring plan'!$K$20*(1+Salary_Raise)^(BL$5-1)</f>
        <v>0</v>
      </c>
    </row>
    <row r="55" customFormat="false" ht="15" hidden="false" customHeight="false" outlineLevel="0" collapsed="false">
      <c r="A55" s="12" t="str">
        <f aca="false">A25</f>
        <v>(spare line 17)</v>
      </c>
      <c r="B55" s="14" t="s">
        <v>71</v>
      </c>
      <c r="D55" s="55" t="n">
        <f aca="false">SUM(E55:BL55)</f>
        <v>0</v>
      </c>
      <c r="E55" s="37" t="n">
        <f aca="false">E25*'Hiring plan'!$K$21*(1+Salary_Raise)^(E$5-1)</f>
        <v>0</v>
      </c>
      <c r="F55" s="37" t="n">
        <f aca="false">F25*'Hiring plan'!$K$21*(1+Salary_Raise)^(F$5-1)</f>
        <v>0</v>
      </c>
      <c r="G55" s="37" t="n">
        <f aca="false">G25*'Hiring plan'!$K$21*(1+Salary_Raise)^(G$5-1)</f>
        <v>0</v>
      </c>
      <c r="H55" s="37" t="n">
        <f aca="false">H25*'Hiring plan'!$K$21*(1+Salary_Raise)^(H$5-1)</f>
        <v>0</v>
      </c>
      <c r="I55" s="37" t="n">
        <f aca="false">I25*'Hiring plan'!$K$21*(1+Salary_Raise)^(I$5-1)</f>
        <v>0</v>
      </c>
      <c r="J55" s="37" t="n">
        <f aca="false">J25*'Hiring plan'!$K$21*(1+Salary_Raise)^(J$5-1)</f>
        <v>0</v>
      </c>
      <c r="K55" s="37" t="n">
        <f aca="false">K25*'Hiring plan'!$K$21*(1+Salary_Raise)^(K$5-1)</f>
        <v>0</v>
      </c>
      <c r="L55" s="37" t="n">
        <f aca="false">L25*'Hiring plan'!$K$21*(1+Salary_Raise)^(L$5-1)</f>
        <v>0</v>
      </c>
      <c r="M55" s="37" t="n">
        <f aca="false">M25*'Hiring plan'!$K$21*(1+Salary_Raise)^(M$5-1)</f>
        <v>0</v>
      </c>
      <c r="N55" s="37" t="n">
        <f aca="false">N25*'Hiring plan'!$K$21*(1+Salary_Raise)^(N$5-1)</f>
        <v>0</v>
      </c>
      <c r="O55" s="37" t="n">
        <f aca="false">O25*'Hiring plan'!$K$21*(1+Salary_Raise)^(O$5-1)</f>
        <v>0</v>
      </c>
      <c r="P55" s="37" t="n">
        <f aca="false">P25*'Hiring plan'!$K$21*(1+Salary_Raise)^(P$5-1)</f>
        <v>0</v>
      </c>
      <c r="Q55" s="37" t="n">
        <f aca="false">Q25*'Hiring plan'!$K$21*(1+Salary_Raise)^(Q$5-1)</f>
        <v>0</v>
      </c>
      <c r="R55" s="37" t="n">
        <f aca="false">R25*'Hiring plan'!$K$21*(1+Salary_Raise)^(R$5-1)</f>
        <v>0</v>
      </c>
      <c r="S55" s="37" t="n">
        <f aca="false">S25*'Hiring plan'!$K$21*(1+Salary_Raise)^(S$5-1)</f>
        <v>0</v>
      </c>
      <c r="T55" s="37" t="n">
        <f aca="false">T25*'Hiring plan'!$K$21*(1+Salary_Raise)^(T$5-1)</f>
        <v>0</v>
      </c>
      <c r="U55" s="37" t="n">
        <f aca="false">U25*'Hiring plan'!$K$21*(1+Salary_Raise)^(U$5-1)</f>
        <v>0</v>
      </c>
      <c r="V55" s="37" t="n">
        <f aca="false">V25*'Hiring plan'!$K$21*(1+Salary_Raise)^(V$5-1)</f>
        <v>0</v>
      </c>
      <c r="W55" s="37" t="n">
        <f aca="false">W25*'Hiring plan'!$K$21*(1+Salary_Raise)^(W$5-1)</f>
        <v>0</v>
      </c>
      <c r="X55" s="37" t="n">
        <f aca="false">X25*'Hiring plan'!$K$21*(1+Salary_Raise)^(X$5-1)</f>
        <v>0</v>
      </c>
      <c r="Y55" s="37" t="n">
        <f aca="false">Y25*'Hiring plan'!$K$21*(1+Salary_Raise)^(Y$5-1)</f>
        <v>0</v>
      </c>
      <c r="Z55" s="37" t="n">
        <f aca="false">Z25*'Hiring plan'!$K$21*(1+Salary_Raise)^(Z$5-1)</f>
        <v>0</v>
      </c>
      <c r="AA55" s="37" t="n">
        <f aca="false">AA25*'Hiring plan'!$K$21*(1+Salary_Raise)^(AA$5-1)</f>
        <v>0</v>
      </c>
      <c r="AB55" s="37" t="n">
        <f aca="false">AB25*'Hiring plan'!$K$21*(1+Salary_Raise)^(AB$5-1)</f>
        <v>0</v>
      </c>
      <c r="AC55" s="37" t="n">
        <f aca="false">AC25*'Hiring plan'!$K$21*(1+Salary_Raise)^(AC$5-1)</f>
        <v>0</v>
      </c>
      <c r="AD55" s="37" t="n">
        <f aca="false">AD25*'Hiring plan'!$K$21*(1+Salary_Raise)^(AD$5-1)</f>
        <v>0</v>
      </c>
      <c r="AE55" s="37" t="n">
        <f aca="false">AE25*'Hiring plan'!$K$21*(1+Salary_Raise)^(AE$5-1)</f>
        <v>0</v>
      </c>
      <c r="AF55" s="37" t="n">
        <f aca="false">AF25*'Hiring plan'!$K$21*(1+Salary_Raise)^(AF$5-1)</f>
        <v>0</v>
      </c>
      <c r="AG55" s="37" t="n">
        <f aca="false">AG25*'Hiring plan'!$K$21*(1+Salary_Raise)^(AG$5-1)</f>
        <v>0</v>
      </c>
      <c r="AH55" s="37" t="n">
        <f aca="false">AH25*'Hiring plan'!$K$21*(1+Salary_Raise)^(AH$5-1)</f>
        <v>0</v>
      </c>
      <c r="AI55" s="37" t="n">
        <f aca="false">AI25*'Hiring plan'!$K$21*(1+Salary_Raise)^(AI$5-1)</f>
        <v>0</v>
      </c>
      <c r="AJ55" s="37" t="n">
        <f aca="false">AJ25*'Hiring plan'!$K$21*(1+Salary_Raise)^(AJ$5-1)</f>
        <v>0</v>
      </c>
      <c r="AK55" s="37" t="n">
        <f aca="false">AK25*'Hiring plan'!$K$21*(1+Salary_Raise)^(AK$5-1)</f>
        <v>0</v>
      </c>
      <c r="AL55" s="37" t="n">
        <f aca="false">AL25*'Hiring plan'!$K$21*(1+Salary_Raise)^(AL$5-1)</f>
        <v>0</v>
      </c>
      <c r="AM55" s="37" t="n">
        <f aca="false">AM25*'Hiring plan'!$K$21*(1+Salary_Raise)^(AM$5-1)</f>
        <v>0</v>
      </c>
      <c r="AN55" s="37" t="n">
        <f aca="false">AN25*'Hiring plan'!$K$21*(1+Salary_Raise)^(AN$5-1)</f>
        <v>0</v>
      </c>
      <c r="AO55" s="37" t="n">
        <f aca="false">AO25*'Hiring plan'!$K$21*(1+Salary_Raise)^(AO$5-1)</f>
        <v>0</v>
      </c>
      <c r="AP55" s="37" t="n">
        <f aca="false">AP25*'Hiring plan'!$K$21*(1+Salary_Raise)^(AP$5-1)</f>
        <v>0</v>
      </c>
      <c r="AQ55" s="37" t="n">
        <f aca="false">AQ25*'Hiring plan'!$K$21*(1+Salary_Raise)^(AQ$5-1)</f>
        <v>0</v>
      </c>
      <c r="AR55" s="37" t="n">
        <f aca="false">AR25*'Hiring plan'!$K$21*(1+Salary_Raise)^(AR$5-1)</f>
        <v>0</v>
      </c>
      <c r="AS55" s="37" t="n">
        <f aca="false">AS25*'Hiring plan'!$K$21*(1+Salary_Raise)^(AS$5-1)</f>
        <v>0</v>
      </c>
      <c r="AT55" s="37" t="n">
        <f aca="false">AT25*'Hiring plan'!$K$21*(1+Salary_Raise)^(AT$5-1)</f>
        <v>0</v>
      </c>
      <c r="AU55" s="37" t="n">
        <f aca="false">AU25*'Hiring plan'!$K$21*(1+Salary_Raise)^(AU$5-1)</f>
        <v>0</v>
      </c>
      <c r="AV55" s="37" t="n">
        <f aca="false">AV25*'Hiring plan'!$K$21*(1+Salary_Raise)^(AV$5-1)</f>
        <v>0</v>
      </c>
      <c r="AW55" s="37" t="n">
        <f aca="false">AW25*'Hiring plan'!$K$21*(1+Salary_Raise)^(AW$5-1)</f>
        <v>0</v>
      </c>
      <c r="AX55" s="37" t="n">
        <f aca="false">AX25*'Hiring plan'!$K$21*(1+Salary_Raise)^(AX$5-1)</f>
        <v>0</v>
      </c>
      <c r="AY55" s="37" t="n">
        <f aca="false">AY25*'Hiring plan'!$K$21*(1+Salary_Raise)^(AY$5-1)</f>
        <v>0</v>
      </c>
      <c r="AZ55" s="37" t="n">
        <f aca="false">AZ25*'Hiring plan'!$K$21*(1+Salary_Raise)^(AZ$5-1)</f>
        <v>0</v>
      </c>
      <c r="BA55" s="37" t="n">
        <f aca="false">BA25*'Hiring plan'!$K$21*(1+Salary_Raise)^(BA$5-1)</f>
        <v>0</v>
      </c>
      <c r="BB55" s="37" t="n">
        <f aca="false">BB25*'Hiring plan'!$K$21*(1+Salary_Raise)^(BB$5-1)</f>
        <v>0</v>
      </c>
      <c r="BC55" s="37" t="n">
        <f aca="false">BC25*'Hiring plan'!$K$21*(1+Salary_Raise)^(BC$5-1)</f>
        <v>0</v>
      </c>
      <c r="BD55" s="37" t="n">
        <f aca="false">BD25*'Hiring plan'!$K$21*(1+Salary_Raise)^(BD$5-1)</f>
        <v>0</v>
      </c>
      <c r="BE55" s="37" t="n">
        <f aca="false">BE25*'Hiring plan'!$K$21*(1+Salary_Raise)^(BE$5-1)</f>
        <v>0</v>
      </c>
      <c r="BF55" s="37" t="n">
        <f aca="false">BF25*'Hiring plan'!$K$21*(1+Salary_Raise)^(BF$5-1)</f>
        <v>0</v>
      </c>
      <c r="BG55" s="37" t="n">
        <f aca="false">BG25*'Hiring plan'!$K$21*(1+Salary_Raise)^(BG$5-1)</f>
        <v>0</v>
      </c>
      <c r="BH55" s="37" t="n">
        <f aca="false">BH25*'Hiring plan'!$K$21*(1+Salary_Raise)^(BH$5-1)</f>
        <v>0</v>
      </c>
      <c r="BI55" s="37" t="n">
        <f aca="false">BI25*'Hiring plan'!$K$21*(1+Salary_Raise)^(BI$5-1)</f>
        <v>0</v>
      </c>
      <c r="BJ55" s="37" t="n">
        <f aca="false">BJ25*'Hiring plan'!$K$21*(1+Salary_Raise)^(BJ$5-1)</f>
        <v>0</v>
      </c>
      <c r="BK55" s="37" t="n">
        <f aca="false">BK25*'Hiring plan'!$K$21*(1+Salary_Raise)^(BK$5-1)</f>
        <v>0</v>
      </c>
      <c r="BL55" s="37" t="n">
        <f aca="false">BL25*'Hiring plan'!$K$21*(1+Salary_Raise)^(BL$5-1)</f>
        <v>0</v>
      </c>
    </row>
    <row r="56" customFormat="false" ht="15" hidden="false" customHeight="false" outlineLevel="0" collapsed="false">
      <c r="A56" s="12" t="str">
        <f aca="false">A26</f>
        <v>(spare line 18)</v>
      </c>
      <c r="B56" s="14" t="s">
        <v>71</v>
      </c>
      <c r="D56" s="55" t="n">
        <f aca="false">SUM(E56:BL56)</f>
        <v>0</v>
      </c>
      <c r="E56" s="37" t="n">
        <f aca="false">E26*'Hiring plan'!$K$22*(1+Salary_Raise)^(E$5-1)</f>
        <v>0</v>
      </c>
      <c r="F56" s="37" t="n">
        <f aca="false">F26*'Hiring plan'!$K$22*(1+Salary_Raise)^(F$5-1)</f>
        <v>0</v>
      </c>
      <c r="G56" s="37" t="n">
        <f aca="false">G26*'Hiring plan'!$K$22*(1+Salary_Raise)^(G$5-1)</f>
        <v>0</v>
      </c>
      <c r="H56" s="37" t="n">
        <f aca="false">H26*'Hiring plan'!$K$22*(1+Salary_Raise)^(H$5-1)</f>
        <v>0</v>
      </c>
      <c r="I56" s="37" t="n">
        <f aca="false">I26*'Hiring plan'!$K$22*(1+Salary_Raise)^(I$5-1)</f>
        <v>0</v>
      </c>
      <c r="J56" s="37" t="n">
        <f aca="false">J26*'Hiring plan'!$K$22*(1+Salary_Raise)^(J$5-1)</f>
        <v>0</v>
      </c>
      <c r="K56" s="37" t="n">
        <f aca="false">K26*'Hiring plan'!$K$22*(1+Salary_Raise)^(K$5-1)</f>
        <v>0</v>
      </c>
      <c r="L56" s="37" t="n">
        <f aca="false">L26*'Hiring plan'!$K$22*(1+Salary_Raise)^(L$5-1)</f>
        <v>0</v>
      </c>
      <c r="M56" s="37" t="n">
        <f aca="false">M26*'Hiring plan'!$K$22*(1+Salary_Raise)^(M$5-1)</f>
        <v>0</v>
      </c>
      <c r="N56" s="37" t="n">
        <f aca="false">N26*'Hiring plan'!$K$22*(1+Salary_Raise)^(N$5-1)</f>
        <v>0</v>
      </c>
      <c r="O56" s="37" t="n">
        <f aca="false">O26*'Hiring plan'!$K$22*(1+Salary_Raise)^(O$5-1)</f>
        <v>0</v>
      </c>
      <c r="P56" s="37" t="n">
        <f aca="false">P26*'Hiring plan'!$K$22*(1+Salary_Raise)^(P$5-1)</f>
        <v>0</v>
      </c>
      <c r="Q56" s="37" t="n">
        <f aca="false">Q26*'Hiring plan'!$K$22*(1+Salary_Raise)^(Q$5-1)</f>
        <v>0</v>
      </c>
      <c r="R56" s="37" t="n">
        <f aca="false">R26*'Hiring plan'!$K$22*(1+Salary_Raise)^(R$5-1)</f>
        <v>0</v>
      </c>
      <c r="S56" s="37" t="n">
        <f aca="false">S26*'Hiring plan'!$K$22*(1+Salary_Raise)^(S$5-1)</f>
        <v>0</v>
      </c>
      <c r="T56" s="37" t="n">
        <f aca="false">T26*'Hiring plan'!$K$22*(1+Salary_Raise)^(T$5-1)</f>
        <v>0</v>
      </c>
      <c r="U56" s="37" t="n">
        <f aca="false">U26*'Hiring plan'!$K$22*(1+Salary_Raise)^(U$5-1)</f>
        <v>0</v>
      </c>
      <c r="V56" s="37" t="n">
        <f aca="false">V26*'Hiring plan'!$K$22*(1+Salary_Raise)^(V$5-1)</f>
        <v>0</v>
      </c>
      <c r="W56" s="37" t="n">
        <f aca="false">W26*'Hiring plan'!$K$22*(1+Salary_Raise)^(W$5-1)</f>
        <v>0</v>
      </c>
      <c r="X56" s="37" t="n">
        <f aca="false">X26*'Hiring plan'!$K$22*(1+Salary_Raise)^(X$5-1)</f>
        <v>0</v>
      </c>
      <c r="Y56" s="37" t="n">
        <f aca="false">Y26*'Hiring plan'!$K$22*(1+Salary_Raise)^(Y$5-1)</f>
        <v>0</v>
      </c>
      <c r="Z56" s="37" t="n">
        <f aca="false">Z26*'Hiring plan'!$K$22*(1+Salary_Raise)^(Z$5-1)</f>
        <v>0</v>
      </c>
      <c r="AA56" s="37" t="n">
        <f aca="false">AA26*'Hiring plan'!$K$22*(1+Salary_Raise)^(AA$5-1)</f>
        <v>0</v>
      </c>
      <c r="AB56" s="37" t="n">
        <f aca="false">AB26*'Hiring plan'!$K$22*(1+Salary_Raise)^(AB$5-1)</f>
        <v>0</v>
      </c>
      <c r="AC56" s="37" t="n">
        <f aca="false">AC26*'Hiring plan'!$K$22*(1+Salary_Raise)^(AC$5-1)</f>
        <v>0</v>
      </c>
      <c r="AD56" s="37" t="n">
        <f aca="false">AD26*'Hiring plan'!$K$22*(1+Salary_Raise)^(AD$5-1)</f>
        <v>0</v>
      </c>
      <c r="AE56" s="37" t="n">
        <f aca="false">AE26*'Hiring plan'!$K$22*(1+Salary_Raise)^(AE$5-1)</f>
        <v>0</v>
      </c>
      <c r="AF56" s="37" t="n">
        <f aca="false">AF26*'Hiring plan'!$K$22*(1+Salary_Raise)^(AF$5-1)</f>
        <v>0</v>
      </c>
      <c r="AG56" s="37" t="n">
        <f aca="false">AG26*'Hiring plan'!$K$22*(1+Salary_Raise)^(AG$5-1)</f>
        <v>0</v>
      </c>
      <c r="AH56" s="37" t="n">
        <f aca="false">AH26*'Hiring plan'!$K$22*(1+Salary_Raise)^(AH$5-1)</f>
        <v>0</v>
      </c>
      <c r="AI56" s="37" t="n">
        <f aca="false">AI26*'Hiring plan'!$K$22*(1+Salary_Raise)^(AI$5-1)</f>
        <v>0</v>
      </c>
      <c r="AJ56" s="37" t="n">
        <f aca="false">AJ26*'Hiring plan'!$K$22*(1+Salary_Raise)^(AJ$5-1)</f>
        <v>0</v>
      </c>
      <c r="AK56" s="37" t="n">
        <f aca="false">AK26*'Hiring plan'!$K$22*(1+Salary_Raise)^(AK$5-1)</f>
        <v>0</v>
      </c>
      <c r="AL56" s="37" t="n">
        <f aca="false">AL26*'Hiring plan'!$K$22*(1+Salary_Raise)^(AL$5-1)</f>
        <v>0</v>
      </c>
      <c r="AM56" s="37" t="n">
        <f aca="false">AM26*'Hiring plan'!$K$22*(1+Salary_Raise)^(AM$5-1)</f>
        <v>0</v>
      </c>
      <c r="AN56" s="37" t="n">
        <f aca="false">AN26*'Hiring plan'!$K$22*(1+Salary_Raise)^(AN$5-1)</f>
        <v>0</v>
      </c>
      <c r="AO56" s="37" t="n">
        <f aca="false">AO26*'Hiring plan'!$K$22*(1+Salary_Raise)^(AO$5-1)</f>
        <v>0</v>
      </c>
      <c r="AP56" s="37" t="n">
        <f aca="false">AP26*'Hiring plan'!$K$22*(1+Salary_Raise)^(AP$5-1)</f>
        <v>0</v>
      </c>
      <c r="AQ56" s="37" t="n">
        <f aca="false">AQ26*'Hiring plan'!$K$22*(1+Salary_Raise)^(AQ$5-1)</f>
        <v>0</v>
      </c>
      <c r="AR56" s="37" t="n">
        <f aca="false">AR26*'Hiring plan'!$K$22*(1+Salary_Raise)^(AR$5-1)</f>
        <v>0</v>
      </c>
      <c r="AS56" s="37" t="n">
        <f aca="false">AS26*'Hiring plan'!$K$22*(1+Salary_Raise)^(AS$5-1)</f>
        <v>0</v>
      </c>
      <c r="AT56" s="37" t="n">
        <f aca="false">AT26*'Hiring plan'!$K$22*(1+Salary_Raise)^(AT$5-1)</f>
        <v>0</v>
      </c>
      <c r="AU56" s="37" t="n">
        <f aca="false">AU26*'Hiring plan'!$K$22*(1+Salary_Raise)^(AU$5-1)</f>
        <v>0</v>
      </c>
      <c r="AV56" s="37" t="n">
        <f aca="false">AV26*'Hiring plan'!$K$22*(1+Salary_Raise)^(AV$5-1)</f>
        <v>0</v>
      </c>
      <c r="AW56" s="37" t="n">
        <f aca="false">AW26*'Hiring plan'!$K$22*(1+Salary_Raise)^(AW$5-1)</f>
        <v>0</v>
      </c>
      <c r="AX56" s="37" t="n">
        <f aca="false">AX26*'Hiring plan'!$K$22*(1+Salary_Raise)^(AX$5-1)</f>
        <v>0</v>
      </c>
      <c r="AY56" s="37" t="n">
        <f aca="false">AY26*'Hiring plan'!$K$22*(1+Salary_Raise)^(AY$5-1)</f>
        <v>0</v>
      </c>
      <c r="AZ56" s="37" t="n">
        <f aca="false">AZ26*'Hiring plan'!$K$22*(1+Salary_Raise)^(AZ$5-1)</f>
        <v>0</v>
      </c>
      <c r="BA56" s="37" t="n">
        <f aca="false">BA26*'Hiring plan'!$K$22*(1+Salary_Raise)^(BA$5-1)</f>
        <v>0</v>
      </c>
      <c r="BB56" s="37" t="n">
        <f aca="false">BB26*'Hiring plan'!$K$22*(1+Salary_Raise)^(BB$5-1)</f>
        <v>0</v>
      </c>
      <c r="BC56" s="37" t="n">
        <f aca="false">BC26*'Hiring plan'!$K$22*(1+Salary_Raise)^(BC$5-1)</f>
        <v>0</v>
      </c>
      <c r="BD56" s="37" t="n">
        <f aca="false">BD26*'Hiring plan'!$K$22*(1+Salary_Raise)^(BD$5-1)</f>
        <v>0</v>
      </c>
      <c r="BE56" s="37" t="n">
        <f aca="false">BE26*'Hiring plan'!$K$22*(1+Salary_Raise)^(BE$5-1)</f>
        <v>0</v>
      </c>
      <c r="BF56" s="37" t="n">
        <f aca="false">BF26*'Hiring plan'!$K$22*(1+Salary_Raise)^(BF$5-1)</f>
        <v>0</v>
      </c>
      <c r="BG56" s="37" t="n">
        <f aca="false">BG26*'Hiring plan'!$K$22*(1+Salary_Raise)^(BG$5-1)</f>
        <v>0</v>
      </c>
      <c r="BH56" s="37" t="n">
        <f aca="false">BH26*'Hiring plan'!$K$22*(1+Salary_Raise)^(BH$5-1)</f>
        <v>0</v>
      </c>
      <c r="BI56" s="37" t="n">
        <f aca="false">BI26*'Hiring plan'!$K$22*(1+Salary_Raise)^(BI$5-1)</f>
        <v>0</v>
      </c>
      <c r="BJ56" s="37" t="n">
        <f aca="false">BJ26*'Hiring plan'!$K$22*(1+Salary_Raise)^(BJ$5-1)</f>
        <v>0</v>
      </c>
      <c r="BK56" s="37" t="n">
        <f aca="false">BK26*'Hiring plan'!$K$22*(1+Salary_Raise)^(BK$5-1)</f>
        <v>0</v>
      </c>
      <c r="BL56" s="37" t="n">
        <f aca="false">BL26*'Hiring plan'!$K$22*(1+Salary_Raise)^(BL$5-1)</f>
        <v>0</v>
      </c>
    </row>
    <row r="57" customFormat="false" ht="15" hidden="false" customHeight="false" outlineLevel="0" collapsed="false">
      <c r="A57" s="12" t="str">
        <f aca="false">A27</f>
        <v>(spare line 19)</v>
      </c>
      <c r="B57" s="14" t="s">
        <v>71</v>
      </c>
      <c r="D57" s="55" t="n">
        <f aca="false">SUM(E57:BL57)</f>
        <v>0</v>
      </c>
      <c r="E57" s="37" t="n">
        <f aca="false">E27*'Hiring plan'!$K$23*(1+Salary_Raise)^(E$5-1)</f>
        <v>0</v>
      </c>
      <c r="F57" s="37" t="n">
        <f aca="false">F27*'Hiring plan'!$K$23*(1+Salary_Raise)^(F$5-1)</f>
        <v>0</v>
      </c>
      <c r="G57" s="37" t="n">
        <f aca="false">G27*'Hiring plan'!$K$23*(1+Salary_Raise)^(G$5-1)</f>
        <v>0</v>
      </c>
      <c r="H57" s="37" t="n">
        <f aca="false">H27*'Hiring plan'!$K$23*(1+Salary_Raise)^(H$5-1)</f>
        <v>0</v>
      </c>
      <c r="I57" s="37" t="n">
        <f aca="false">I27*'Hiring plan'!$K$23*(1+Salary_Raise)^(I$5-1)</f>
        <v>0</v>
      </c>
      <c r="J57" s="37" t="n">
        <f aca="false">J27*'Hiring plan'!$K$23*(1+Salary_Raise)^(J$5-1)</f>
        <v>0</v>
      </c>
      <c r="K57" s="37" t="n">
        <f aca="false">K27*'Hiring plan'!$K$23*(1+Salary_Raise)^(K$5-1)</f>
        <v>0</v>
      </c>
      <c r="L57" s="37" t="n">
        <f aca="false">L27*'Hiring plan'!$K$23*(1+Salary_Raise)^(L$5-1)</f>
        <v>0</v>
      </c>
      <c r="M57" s="37" t="n">
        <f aca="false">M27*'Hiring plan'!$K$23*(1+Salary_Raise)^(M$5-1)</f>
        <v>0</v>
      </c>
      <c r="N57" s="37" t="n">
        <f aca="false">N27*'Hiring plan'!$K$23*(1+Salary_Raise)^(N$5-1)</f>
        <v>0</v>
      </c>
      <c r="O57" s="37" t="n">
        <f aca="false">O27*'Hiring plan'!$K$23*(1+Salary_Raise)^(O$5-1)</f>
        <v>0</v>
      </c>
      <c r="P57" s="37" t="n">
        <f aca="false">P27*'Hiring plan'!$K$23*(1+Salary_Raise)^(P$5-1)</f>
        <v>0</v>
      </c>
      <c r="Q57" s="37" t="n">
        <f aca="false">Q27*'Hiring plan'!$K$23*(1+Salary_Raise)^(Q$5-1)</f>
        <v>0</v>
      </c>
      <c r="R57" s="37" t="n">
        <f aca="false">R27*'Hiring plan'!$K$23*(1+Salary_Raise)^(R$5-1)</f>
        <v>0</v>
      </c>
      <c r="S57" s="37" t="n">
        <f aca="false">S27*'Hiring plan'!$K$23*(1+Salary_Raise)^(S$5-1)</f>
        <v>0</v>
      </c>
      <c r="T57" s="37" t="n">
        <f aca="false">T27*'Hiring plan'!$K$23*(1+Salary_Raise)^(T$5-1)</f>
        <v>0</v>
      </c>
      <c r="U57" s="37" t="n">
        <f aca="false">U27*'Hiring plan'!$K$23*(1+Salary_Raise)^(U$5-1)</f>
        <v>0</v>
      </c>
      <c r="V57" s="37" t="n">
        <f aca="false">V27*'Hiring plan'!$K$23*(1+Salary_Raise)^(V$5-1)</f>
        <v>0</v>
      </c>
      <c r="W57" s="37" t="n">
        <f aca="false">W27*'Hiring plan'!$K$23*(1+Salary_Raise)^(W$5-1)</f>
        <v>0</v>
      </c>
      <c r="X57" s="37" t="n">
        <f aca="false">X27*'Hiring plan'!$K$23*(1+Salary_Raise)^(X$5-1)</f>
        <v>0</v>
      </c>
      <c r="Y57" s="37" t="n">
        <f aca="false">Y27*'Hiring plan'!$K$23*(1+Salary_Raise)^(Y$5-1)</f>
        <v>0</v>
      </c>
      <c r="Z57" s="37" t="n">
        <f aca="false">Z27*'Hiring plan'!$K$23*(1+Salary_Raise)^(Z$5-1)</f>
        <v>0</v>
      </c>
      <c r="AA57" s="37" t="n">
        <f aca="false">AA27*'Hiring plan'!$K$23*(1+Salary_Raise)^(AA$5-1)</f>
        <v>0</v>
      </c>
      <c r="AB57" s="37" t="n">
        <f aca="false">AB27*'Hiring plan'!$K$23*(1+Salary_Raise)^(AB$5-1)</f>
        <v>0</v>
      </c>
      <c r="AC57" s="37" t="n">
        <f aca="false">AC27*'Hiring plan'!$K$23*(1+Salary_Raise)^(AC$5-1)</f>
        <v>0</v>
      </c>
      <c r="AD57" s="37" t="n">
        <f aca="false">AD27*'Hiring plan'!$K$23*(1+Salary_Raise)^(AD$5-1)</f>
        <v>0</v>
      </c>
      <c r="AE57" s="37" t="n">
        <f aca="false">AE27*'Hiring plan'!$K$23*(1+Salary_Raise)^(AE$5-1)</f>
        <v>0</v>
      </c>
      <c r="AF57" s="37" t="n">
        <f aca="false">AF27*'Hiring plan'!$K$23*(1+Salary_Raise)^(AF$5-1)</f>
        <v>0</v>
      </c>
      <c r="AG57" s="37" t="n">
        <f aca="false">AG27*'Hiring plan'!$K$23*(1+Salary_Raise)^(AG$5-1)</f>
        <v>0</v>
      </c>
      <c r="AH57" s="37" t="n">
        <f aca="false">AH27*'Hiring plan'!$K$23*(1+Salary_Raise)^(AH$5-1)</f>
        <v>0</v>
      </c>
      <c r="AI57" s="37" t="n">
        <f aca="false">AI27*'Hiring plan'!$K$23*(1+Salary_Raise)^(AI$5-1)</f>
        <v>0</v>
      </c>
      <c r="AJ57" s="37" t="n">
        <f aca="false">AJ27*'Hiring plan'!$K$23*(1+Salary_Raise)^(AJ$5-1)</f>
        <v>0</v>
      </c>
      <c r="AK57" s="37" t="n">
        <f aca="false">AK27*'Hiring plan'!$K$23*(1+Salary_Raise)^(AK$5-1)</f>
        <v>0</v>
      </c>
      <c r="AL57" s="37" t="n">
        <f aca="false">AL27*'Hiring plan'!$K$23*(1+Salary_Raise)^(AL$5-1)</f>
        <v>0</v>
      </c>
      <c r="AM57" s="37" t="n">
        <f aca="false">AM27*'Hiring plan'!$K$23*(1+Salary_Raise)^(AM$5-1)</f>
        <v>0</v>
      </c>
      <c r="AN57" s="37" t="n">
        <f aca="false">AN27*'Hiring plan'!$K$23*(1+Salary_Raise)^(AN$5-1)</f>
        <v>0</v>
      </c>
      <c r="AO57" s="37" t="n">
        <f aca="false">AO27*'Hiring plan'!$K$23*(1+Salary_Raise)^(AO$5-1)</f>
        <v>0</v>
      </c>
      <c r="AP57" s="37" t="n">
        <f aca="false">AP27*'Hiring plan'!$K$23*(1+Salary_Raise)^(AP$5-1)</f>
        <v>0</v>
      </c>
      <c r="AQ57" s="37" t="n">
        <f aca="false">AQ27*'Hiring plan'!$K$23*(1+Salary_Raise)^(AQ$5-1)</f>
        <v>0</v>
      </c>
      <c r="AR57" s="37" t="n">
        <f aca="false">AR27*'Hiring plan'!$K$23*(1+Salary_Raise)^(AR$5-1)</f>
        <v>0</v>
      </c>
      <c r="AS57" s="37" t="n">
        <f aca="false">AS27*'Hiring plan'!$K$23*(1+Salary_Raise)^(AS$5-1)</f>
        <v>0</v>
      </c>
      <c r="AT57" s="37" t="n">
        <f aca="false">AT27*'Hiring plan'!$K$23*(1+Salary_Raise)^(AT$5-1)</f>
        <v>0</v>
      </c>
      <c r="AU57" s="37" t="n">
        <f aca="false">AU27*'Hiring plan'!$K$23*(1+Salary_Raise)^(AU$5-1)</f>
        <v>0</v>
      </c>
      <c r="AV57" s="37" t="n">
        <f aca="false">AV27*'Hiring plan'!$K$23*(1+Salary_Raise)^(AV$5-1)</f>
        <v>0</v>
      </c>
      <c r="AW57" s="37" t="n">
        <f aca="false">AW27*'Hiring plan'!$K$23*(1+Salary_Raise)^(AW$5-1)</f>
        <v>0</v>
      </c>
      <c r="AX57" s="37" t="n">
        <f aca="false">AX27*'Hiring plan'!$K$23*(1+Salary_Raise)^(AX$5-1)</f>
        <v>0</v>
      </c>
      <c r="AY57" s="37" t="n">
        <f aca="false">AY27*'Hiring plan'!$K$23*(1+Salary_Raise)^(AY$5-1)</f>
        <v>0</v>
      </c>
      <c r="AZ57" s="37" t="n">
        <f aca="false">AZ27*'Hiring plan'!$K$23*(1+Salary_Raise)^(AZ$5-1)</f>
        <v>0</v>
      </c>
      <c r="BA57" s="37" t="n">
        <f aca="false">BA27*'Hiring plan'!$K$23*(1+Salary_Raise)^(BA$5-1)</f>
        <v>0</v>
      </c>
      <c r="BB57" s="37" t="n">
        <f aca="false">BB27*'Hiring plan'!$K$23*(1+Salary_Raise)^(BB$5-1)</f>
        <v>0</v>
      </c>
      <c r="BC57" s="37" t="n">
        <f aca="false">BC27*'Hiring plan'!$K$23*(1+Salary_Raise)^(BC$5-1)</f>
        <v>0</v>
      </c>
      <c r="BD57" s="37" t="n">
        <f aca="false">BD27*'Hiring plan'!$K$23*(1+Salary_Raise)^(BD$5-1)</f>
        <v>0</v>
      </c>
      <c r="BE57" s="37" t="n">
        <f aca="false">BE27*'Hiring plan'!$K$23*(1+Salary_Raise)^(BE$5-1)</f>
        <v>0</v>
      </c>
      <c r="BF57" s="37" t="n">
        <f aca="false">BF27*'Hiring plan'!$K$23*(1+Salary_Raise)^(BF$5-1)</f>
        <v>0</v>
      </c>
      <c r="BG57" s="37" t="n">
        <f aca="false">BG27*'Hiring plan'!$K$23*(1+Salary_Raise)^(BG$5-1)</f>
        <v>0</v>
      </c>
      <c r="BH57" s="37" t="n">
        <f aca="false">BH27*'Hiring plan'!$K$23*(1+Salary_Raise)^(BH$5-1)</f>
        <v>0</v>
      </c>
      <c r="BI57" s="37" t="n">
        <f aca="false">BI27*'Hiring plan'!$K$23*(1+Salary_Raise)^(BI$5-1)</f>
        <v>0</v>
      </c>
      <c r="BJ57" s="37" t="n">
        <f aca="false">BJ27*'Hiring plan'!$K$23*(1+Salary_Raise)^(BJ$5-1)</f>
        <v>0</v>
      </c>
      <c r="BK57" s="37" t="n">
        <f aca="false">BK27*'Hiring plan'!$K$23*(1+Salary_Raise)^(BK$5-1)</f>
        <v>0</v>
      </c>
      <c r="BL57" s="37" t="n">
        <f aca="false">BL27*'Hiring plan'!$K$23*(1+Salary_Raise)^(BL$5-1)</f>
        <v>0</v>
      </c>
    </row>
    <row r="58" customFormat="false" ht="15" hidden="false" customHeight="false" outlineLevel="0" collapsed="false">
      <c r="A58" s="12" t="str">
        <f aca="false">A28</f>
        <v>(spare line 20)</v>
      </c>
      <c r="B58" s="14" t="s">
        <v>71</v>
      </c>
      <c r="D58" s="55" t="n">
        <f aca="false">SUM(E58:BL58)</f>
        <v>0</v>
      </c>
      <c r="E58" s="37" t="n">
        <f aca="false">E28*'Hiring plan'!$K$24*(1+Salary_Raise)^(E$5-1)</f>
        <v>0</v>
      </c>
      <c r="F58" s="37" t="n">
        <f aca="false">F28*'Hiring plan'!$K$24*(1+Salary_Raise)^(F$5-1)</f>
        <v>0</v>
      </c>
      <c r="G58" s="37" t="n">
        <f aca="false">G28*'Hiring plan'!$K$24*(1+Salary_Raise)^(G$5-1)</f>
        <v>0</v>
      </c>
      <c r="H58" s="37" t="n">
        <f aca="false">H28*'Hiring plan'!$K$24*(1+Salary_Raise)^(H$5-1)</f>
        <v>0</v>
      </c>
      <c r="I58" s="37" t="n">
        <f aca="false">I28*'Hiring plan'!$K$24*(1+Salary_Raise)^(I$5-1)</f>
        <v>0</v>
      </c>
      <c r="J58" s="37" t="n">
        <f aca="false">J28*'Hiring plan'!$K$24*(1+Salary_Raise)^(J$5-1)</f>
        <v>0</v>
      </c>
      <c r="K58" s="37" t="n">
        <f aca="false">K28*'Hiring plan'!$K$24*(1+Salary_Raise)^(K$5-1)</f>
        <v>0</v>
      </c>
      <c r="L58" s="37" t="n">
        <f aca="false">L28*'Hiring plan'!$K$24*(1+Salary_Raise)^(L$5-1)</f>
        <v>0</v>
      </c>
      <c r="M58" s="37" t="n">
        <f aca="false">M28*'Hiring plan'!$K$24*(1+Salary_Raise)^(M$5-1)</f>
        <v>0</v>
      </c>
      <c r="N58" s="37" t="n">
        <f aca="false">N28*'Hiring plan'!$K$24*(1+Salary_Raise)^(N$5-1)</f>
        <v>0</v>
      </c>
      <c r="O58" s="37" t="n">
        <f aca="false">O28*'Hiring plan'!$K$24*(1+Salary_Raise)^(O$5-1)</f>
        <v>0</v>
      </c>
      <c r="P58" s="37" t="n">
        <f aca="false">P28*'Hiring plan'!$K$24*(1+Salary_Raise)^(P$5-1)</f>
        <v>0</v>
      </c>
      <c r="Q58" s="37" t="n">
        <f aca="false">Q28*'Hiring plan'!$K$24*(1+Salary_Raise)^(Q$5-1)</f>
        <v>0</v>
      </c>
      <c r="R58" s="37" t="n">
        <f aca="false">R28*'Hiring plan'!$K$24*(1+Salary_Raise)^(R$5-1)</f>
        <v>0</v>
      </c>
      <c r="S58" s="37" t="n">
        <f aca="false">S28*'Hiring plan'!$K$24*(1+Salary_Raise)^(S$5-1)</f>
        <v>0</v>
      </c>
      <c r="T58" s="37" t="n">
        <f aca="false">T28*'Hiring plan'!$K$24*(1+Salary_Raise)^(T$5-1)</f>
        <v>0</v>
      </c>
      <c r="U58" s="37" t="n">
        <f aca="false">U28*'Hiring plan'!$K$24*(1+Salary_Raise)^(U$5-1)</f>
        <v>0</v>
      </c>
      <c r="V58" s="37" t="n">
        <f aca="false">V28*'Hiring plan'!$K$24*(1+Salary_Raise)^(V$5-1)</f>
        <v>0</v>
      </c>
      <c r="W58" s="37" t="n">
        <f aca="false">W28*'Hiring plan'!$K$24*(1+Salary_Raise)^(W$5-1)</f>
        <v>0</v>
      </c>
      <c r="X58" s="37" t="n">
        <f aca="false">X28*'Hiring plan'!$K$24*(1+Salary_Raise)^(X$5-1)</f>
        <v>0</v>
      </c>
      <c r="Y58" s="37" t="n">
        <f aca="false">Y28*'Hiring plan'!$K$24*(1+Salary_Raise)^(Y$5-1)</f>
        <v>0</v>
      </c>
      <c r="Z58" s="37" t="n">
        <f aca="false">Z28*'Hiring plan'!$K$24*(1+Salary_Raise)^(Z$5-1)</f>
        <v>0</v>
      </c>
      <c r="AA58" s="37" t="n">
        <f aca="false">AA28*'Hiring plan'!$K$24*(1+Salary_Raise)^(AA$5-1)</f>
        <v>0</v>
      </c>
      <c r="AB58" s="37" t="n">
        <f aca="false">AB28*'Hiring plan'!$K$24*(1+Salary_Raise)^(AB$5-1)</f>
        <v>0</v>
      </c>
      <c r="AC58" s="37" t="n">
        <f aca="false">AC28*'Hiring plan'!$K$24*(1+Salary_Raise)^(AC$5-1)</f>
        <v>0</v>
      </c>
      <c r="AD58" s="37" t="n">
        <f aca="false">AD28*'Hiring plan'!$K$24*(1+Salary_Raise)^(AD$5-1)</f>
        <v>0</v>
      </c>
      <c r="AE58" s="37" t="n">
        <f aca="false">AE28*'Hiring plan'!$K$24*(1+Salary_Raise)^(AE$5-1)</f>
        <v>0</v>
      </c>
      <c r="AF58" s="37" t="n">
        <f aca="false">AF28*'Hiring plan'!$K$24*(1+Salary_Raise)^(AF$5-1)</f>
        <v>0</v>
      </c>
      <c r="AG58" s="37" t="n">
        <f aca="false">AG28*'Hiring plan'!$K$24*(1+Salary_Raise)^(AG$5-1)</f>
        <v>0</v>
      </c>
      <c r="AH58" s="37" t="n">
        <f aca="false">AH28*'Hiring plan'!$K$24*(1+Salary_Raise)^(AH$5-1)</f>
        <v>0</v>
      </c>
      <c r="AI58" s="37" t="n">
        <f aca="false">AI28*'Hiring plan'!$K$24*(1+Salary_Raise)^(AI$5-1)</f>
        <v>0</v>
      </c>
      <c r="AJ58" s="37" t="n">
        <f aca="false">AJ28*'Hiring plan'!$K$24*(1+Salary_Raise)^(AJ$5-1)</f>
        <v>0</v>
      </c>
      <c r="AK58" s="37" t="n">
        <f aca="false">AK28*'Hiring plan'!$K$24*(1+Salary_Raise)^(AK$5-1)</f>
        <v>0</v>
      </c>
      <c r="AL58" s="37" t="n">
        <f aca="false">AL28*'Hiring plan'!$K$24*(1+Salary_Raise)^(AL$5-1)</f>
        <v>0</v>
      </c>
      <c r="AM58" s="37" t="n">
        <f aca="false">AM28*'Hiring plan'!$K$24*(1+Salary_Raise)^(AM$5-1)</f>
        <v>0</v>
      </c>
      <c r="AN58" s="37" t="n">
        <f aca="false">AN28*'Hiring plan'!$K$24*(1+Salary_Raise)^(AN$5-1)</f>
        <v>0</v>
      </c>
      <c r="AO58" s="37" t="n">
        <f aca="false">AO28*'Hiring plan'!$K$24*(1+Salary_Raise)^(AO$5-1)</f>
        <v>0</v>
      </c>
      <c r="AP58" s="37" t="n">
        <f aca="false">AP28*'Hiring plan'!$K$24*(1+Salary_Raise)^(AP$5-1)</f>
        <v>0</v>
      </c>
      <c r="AQ58" s="37" t="n">
        <f aca="false">AQ28*'Hiring plan'!$K$24*(1+Salary_Raise)^(AQ$5-1)</f>
        <v>0</v>
      </c>
      <c r="AR58" s="37" t="n">
        <f aca="false">AR28*'Hiring plan'!$K$24*(1+Salary_Raise)^(AR$5-1)</f>
        <v>0</v>
      </c>
      <c r="AS58" s="37" t="n">
        <f aca="false">AS28*'Hiring plan'!$K$24*(1+Salary_Raise)^(AS$5-1)</f>
        <v>0</v>
      </c>
      <c r="AT58" s="37" t="n">
        <f aca="false">AT28*'Hiring plan'!$K$24*(1+Salary_Raise)^(AT$5-1)</f>
        <v>0</v>
      </c>
      <c r="AU58" s="37" t="n">
        <f aca="false">AU28*'Hiring plan'!$K$24*(1+Salary_Raise)^(AU$5-1)</f>
        <v>0</v>
      </c>
      <c r="AV58" s="37" t="n">
        <f aca="false">AV28*'Hiring plan'!$K$24*(1+Salary_Raise)^(AV$5-1)</f>
        <v>0</v>
      </c>
      <c r="AW58" s="37" t="n">
        <f aca="false">AW28*'Hiring plan'!$K$24*(1+Salary_Raise)^(AW$5-1)</f>
        <v>0</v>
      </c>
      <c r="AX58" s="37" t="n">
        <f aca="false">AX28*'Hiring plan'!$K$24*(1+Salary_Raise)^(AX$5-1)</f>
        <v>0</v>
      </c>
      <c r="AY58" s="37" t="n">
        <f aca="false">AY28*'Hiring plan'!$K$24*(1+Salary_Raise)^(AY$5-1)</f>
        <v>0</v>
      </c>
      <c r="AZ58" s="37" t="n">
        <f aca="false">AZ28*'Hiring plan'!$K$24*(1+Salary_Raise)^(AZ$5-1)</f>
        <v>0</v>
      </c>
      <c r="BA58" s="37" t="n">
        <f aca="false">BA28*'Hiring plan'!$K$24*(1+Salary_Raise)^(BA$5-1)</f>
        <v>0</v>
      </c>
      <c r="BB58" s="37" t="n">
        <f aca="false">BB28*'Hiring plan'!$K$24*(1+Salary_Raise)^(BB$5-1)</f>
        <v>0</v>
      </c>
      <c r="BC58" s="37" t="n">
        <f aca="false">BC28*'Hiring plan'!$K$24*(1+Salary_Raise)^(BC$5-1)</f>
        <v>0</v>
      </c>
      <c r="BD58" s="37" t="n">
        <f aca="false">BD28*'Hiring plan'!$K$24*(1+Salary_Raise)^(BD$5-1)</f>
        <v>0</v>
      </c>
      <c r="BE58" s="37" t="n">
        <f aca="false">BE28*'Hiring plan'!$K$24*(1+Salary_Raise)^(BE$5-1)</f>
        <v>0</v>
      </c>
      <c r="BF58" s="37" t="n">
        <f aca="false">BF28*'Hiring plan'!$K$24*(1+Salary_Raise)^(BF$5-1)</f>
        <v>0</v>
      </c>
      <c r="BG58" s="37" t="n">
        <f aca="false">BG28*'Hiring plan'!$K$24*(1+Salary_Raise)^(BG$5-1)</f>
        <v>0</v>
      </c>
      <c r="BH58" s="37" t="n">
        <f aca="false">BH28*'Hiring plan'!$K$24*(1+Salary_Raise)^(BH$5-1)</f>
        <v>0</v>
      </c>
      <c r="BI58" s="37" t="n">
        <f aca="false">BI28*'Hiring plan'!$K$24*(1+Salary_Raise)^(BI$5-1)</f>
        <v>0</v>
      </c>
      <c r="BJ58" s="37" t="n">
        <f aca="false">BJ28*'Hiring plan'!$K$24*(1+Salary_Raise)^(BJ$5-1)</f>
        <v>0</v>
      </c>
      <c r="BK58" s="37" t="n">
        <f aca="false">BK28*'Hiring plan'!$K$24*(1+Salary_Raise)^(BK$5-1)</f>
        <v>0</v>
      </c>
      <c r="BL58" s="37" t="n">
        <f aca="false">BL28*'Hiring plan'!$K$24*(1+Salary_Raise)^(BL$5-1)</f>
        <v>0</v>
      </c>
    </row>
    <row r="59" customFormat="false" ht="15" hidden="false" customHeight="false" outlineLevel="0" collapsed="false">
      <c r="A59" s="12" t="str">
        <f aca="false">A29</f>
        <v>(spare line 21)</v>
      </c>
      <c r="B59" s="14" t="s">
        <v>71</v>
      </c>
      <c r="D59" s="55" t="n">
        <f aca="false">SUM(E59:BL59)</f>
        <v>0</v>
      </c>
      <c r="E59" s="37" t="n">
        <f aca="false">E29*'Hiring plan'!$K$25*(1+Salary_Raise)^(E$5-1)</f>
        <v>0</v>
      </c>
      <c r="F59" s="37" t="n">
        <f aca="false">F29*'Hiring plan'!$K$25*(1+Salary_Raise)^(F$5-1)</f>
        <v>0</v>
      </c>
      <c r="G59" s="37" t="n">
        <f aca="false">G29*'Hiring plan'!$K$25*(1+Salary_Raise)^(G$5-1)</f>
        <v>0</v>
      </c>
      <c r="H59" s="37" t="n">
        <f aca="false">H29*'Hiring plan'!$K$25*(1+Salary_Raise)^(H$5-1)</f>
        <v>0</v>
      </c>
      <c r="I59" s="37" t="n">
        <f aca="false">I29*'Hiring plan'!$K$25*(1+Salary_Raise)^(I$5-1)</f>
        <v>0</v>
      </c>
      <c r="J59" s="37" t="n">
        <f aca="false">J29*'Hiring plan'!$K$25*(1+Salary_Raise)^(J$5-1)</f>
        <v>0</v>
      </c>
      <c r="K59" s="37" t="n">
        <f aca="false">K29*'Hiring plan'!$K$25*(1+Salary_Raise)^(K$5-1)</f>
        <v>0</v>
      </c>
      <c r="L59" s="37" t="n">
        <f aca="false">L29*'Hiring plan'!$K$25*(1+Salary_Raise)^(L$5-1)</f>
        <v>0</v>
      </c>
      <c r="M59" s="37" t="n">
        <f aca="false">M29*'Hiring plan'!$K$25*(1+Salary_Raise)^(M$5-1)</f>
        <v>0</v>
      </c>
      <c r="N59" s="37" t="n">
        <f aca="false">N29*'Hiring plan'!$K$25*(1+Salary_Raise)^(N$5-1)</f>
        <v>0</v>
      </c>
      <c r="O59" s="37" t="n">
        <f aca="false">O29*'Hiring plan'!$K$25*(1+Salary_Raise)^(O$5-1)</f>
        <v>0</v>
      </c>
      <c r="P59" s="37" t="n">
        <f aca="false">P29*'Hiring plan'!$K$25*(1+Salary_Raise)^(P$5-1)</f>
        <v>0</v>
      </c>
      <c r="Q59" s="37" t="n">
        <f aca="false">Q29*'Hiring plan'!$K$25*(1+Salary_Raise)^(Q$5-1)</f>
        <v>0</v>
      </c>
      <c r="R59" s="37" t="n">
        <f aca="false">R29*'Hiring plan'!$K$25*(1+Salary_Raise)^(R$5-1)</f>
        <v>0</v>
      </c>
      <c r="S59" s="37" t="n">
        <f aca="false">S29*'Hiring plan'!$K$25*(1+Salary_Raise)^(S$5-1)</f>
        <v>0</v>
      </c>
      <c r="T59" s="37" t="n">
        <f aca="false">T29*'Hiring plan'!$K$25*(1+Salary_Raise)^(T$5-1)</f>
        <v>0</v>
      </c>
      <c r="U59" s="37" t="n">
        <f aca="false">U29*'Hiring plan'!$K$25*(1+Salary_Raise)^(U$5-1)</f>
        <v>0</v>
      </c>
      <c r="V59" s="37" t="n">
        <f aca="false">V29*'Hiring plan'!$K$25*(1+Salary_Raise)^(V$5-1)</f>
        <v>0</v>
      </c>
      <c r="W59" s="37" t="n">
        <f aca="false">W29*'Hiring plan'!$K$25*(1+Salary_Raise)^(W$5-1)</f>
        <v>0</v>
      </c>
      <c r="X59" s="37" t="n">
        <f aca="false">X29*'Hiring plan'!$K$25*(1+Salary_Raise)^(X$5-1)</f>
        <v>0</v>
      </c>
      <c r="Y59" s="37" t="n">
        <f aca="false">Y29*'Hiring plan'!$K$25*(1+Salary_Raise)^(Y$5-1)</f>
        <v>0</v>
      </c>
      <c r="Z59" s="37" t="n">
        <f aca="false">Z29*'Hiring plan'!$K$25*(1+Salary_Raise)^(Z$5-1)</f>
        <v>0</v>
      </c>
      <c r="AA59" s="37" t="n">
        <f aca="false">AA29*'Hiring plan'!$K$25*(1+Salary_Raise)^(AA$5-1)</f>
        <v>0</v>
      </c>
      <c r="AB59" s="37" t="n">
        <f aca="false">AB29*'Hiring plan'!$K$25*(1+Salary_Raise)^(AB$5-1)</f>
        <v>0</v>
      </c>
      <c r="AC59" s="37" t="n">
        <f aca="false">AC29*'Hiring plan'!$K$25*(1+Salary_Raise)^(AC$5-1)</f>
        <v>0</v>
      </c>
      <c r="AD59" s="37" t="n">
        <f aca="false">AD29*'Hiring plan'!$K$25*(1+Salary_Raise)^(AD$5-1)</f>
        <v>0</v>
      </c>
      <c r="AE59" s="37" t="n">
        <f aca="false">AE29*'Hiring plan'!$K$25*(1+Salary_Raise)^(AE$5-1)</f>
        <v>0</v>
      </c>
      <c r="AF59" s="37" t="n">
        <f aca="false">AF29*'Hiring plan'!$K$25*(1+Salary_Raise)^(AF$5-1)</f>
        <v>0</v>
      </c>
      <c r="AG59" s="37" t="n">
        <f aca="false">AG29*'Hiring plan'!$K$25*(1+Salary_Raise)^(AG$5-1)</f>
        <v>0</v>
      </c>
      <c r="AH59" s="37" t="n">
        <f aca="false">AH29*'Hiring plan'!$K$25*(1+Salary_Raise)^(AH$5-1)</f>
        <v>0</v>
      </c>
      <c r="AI59" s="37" t="n">
        <f aca="false">AI29*'Hiring plan'!$K$25*(1+Salary_Raise)^(AI$5-1)</f>
        <v>0</v>
      </c>
      <c r="AJ59" s="37" t="n">
        <f aca="false">AJ29*'Hiring plan'!$K$25*(1+Salary_Raise)^(AJ$5-1)</f>
        <v>0</v>
      </c>
      <c r="AK59" s="37" t="n">
        <f aca="false">AK29*'Hiring plan'!$K$25*(1+Salary_Raise)^(AK$5-1)</f>
        <v>0</v>
      </c>
      <c r="AL59" s="37" t="n">
        <f aca="false">AL29*'Hiring plan'!$K$25*(1+Salary_Raise)^(AL$5-1)</f>
        <v>0</v>
      </c>
      <c r="AM59" s="37" t="n">
        <f aca="false">AM29*'Hiring plan'!$K$25*(1+Salary_Raise)^(AM$5-1)</f>
        <v>0</v>
      </c>
      <c r="AN59" s="37" t="n">
        <f aca="false">AN29*'Hiring plan'!$K$25*(1+Salary_Raise)^(AN$5-1)</f>
        <v>0</v>
      </c>
      <c r="AO59" s="37" t="n">
        <f aca="false">AO29*'Hiring plan'!$K$25*(1+Salary_Raise)^(AO$5-1)</f>
        <v>0</v>
      </c>
      <c r="AP59" s="37" t="n">
        <f aca="false">AP29*'Hiring plan'!$K$25*(1+Salary_Raise)^(AP$5-1)</f>
        <v>0</v>
      </c>
      <c r="AQ59" s="37" t="n">
        <f aca="false">AQ29*'Hiring plan'!$K$25*(1+Salary_Raise)^(AQ$5-1)</f>
        <v>0</v>
      </c>
      <c r="AR59" s="37" t="n">
        <f aca="false">AR29*'Hiring plan'!$K$25*(1+Salary_Raise)^(AR$5-1)</f>
        <v>0</v>
      </c>
      <c r="AS59" s="37" t="n">
        <f aca="false">AS29*'Hiring plan'!$K$25*(1+Salary_Raise)^(AS$5-1)</f>
        <v>0</v>
      </c>
      <c r="AT59" s="37" t="n">
        <f aca="false">AT29*'Hiring plan'!$K$25*(1+Salary_Raise)^(AT$5-1)</f>
        <v>0</v>
      </c>
      <c r="AU59" s="37" t="n">
        <f aca="false">AU29*'Hiring plan'!$K$25*(1+Salary_Raise)^(AU$5-1)</f>
        <v>0</v>
      </c>
      <c r="AV59" s="37" t="n">
        <f aca="false">AV29*'Hiring plan'!$K$25*(1+Salary_Raise)^(AV$5-1)</f>
        <v>0</v>
      </c>
      <c r="AW59" s="37" t="n">
        <f aca="false">AW29*'Hiring plan'!$K$25*(1+Salary_Raise)^(AW$5-1)</f>
        <v>0</v>
      </c>
      <c r="AX59" s="37" t="n">
        <f aca="false">AX29*'Hiring plan'!$K$25*(1+Salary_Raise)^(AX$5-1)</f>
        <v>0</v>
      </c>
      <c r="AY59" s="37" t="n">
        <f aca="false">AY29*'Hiring plan'!$K$25*(1+Salary_Raise)^(AY$5-1)</f>
        <v>0</v>
      </c>
      <c r="AZ59" s="37" t="n">
        <f aca="false">AZ29*'Hiring plan'!$K$25*(1+Salary_Raise)^(AZ$5-1)</f>
        <v>0</v>
      </c>
      <c r="BA59" s="37" t="n">
        <f aca="false">BA29*'Hiring plan'!$K$25*(1+Salary_Raise)^(BA$5-1)</f>
        <v>0</v>
      </c>
      <c r="BB59" s="37" t="n">
        <f aca="false">BB29*'Hiring plan'!$K$25*(1+Salary_Raise)^(BB$5-1)</f>
        <v>0</v>
      </c>
      <c r="BC59" s="37" t="n">
        <f aca="false">BC29*'Hiring plan'!$K$25*(1+Salary_Raise)^(BC$5-1)</f>
        <v>0</v>
      </c>
      <c r="BD59" s="37" t="n">
        <f aca="false">BD29*'Hiring plan'!$K$25*(1+Salary_Raise)^(BD$5-1)</f>
        <v>0</v>
      </c>
      <c r="BE59" s="37" t="n">
        <f aca="false">BE29*'Hiring plan'!$K$25*(1+Salary_Raise)^(BE$5-1)</f>
        <v>0</v>
      </c>
      <c r="BF59" s="37" t="n">
        <f aca="false">BF29*'Hiring plan'!$K$25*(1+Salary_Raise)^(BF$5-1)</f>
        <v>0</v>
      </c>
      <c r="BG59" s="37" t="n">
        <f aca="false">BG29*'Hiring plan'!$K$25*(1+Salary_Raise)^(BG$5-1)</f>
        <v>0</v>
      </c>
      <c r="BH59" s="37" t="n">
        <f aca="false">BH29*'Hiring plan'!$K$25*(1+Salary_Raise)^(BH$5-1)</f>
        <v>0</v>
      </c>
      <c r="BI59" s="37" t="n">
        <f aca="false">BI29*'Hiring plan'!$K$25*(1+Salary_Raise)^(BI$5-1)</f>
        <v>0</v>
      </c>
      <c r="BJ59" s="37" t="n">
        <f aca="false">BJ29*'Hiring plan'!$K$25*(1+Salary_Raise)^(BJ$5-1)</f>
        <v>0</v>
      </c>
      <c r="BK59" s="37" t="n">
        <f aca="false">BK29*'Hiring plan'!$K$25*(1+Salary_Raise)^(BK$5-1)</f>
        <v>0</v>
      </c>
      <c r="BL59" s="37" t="n">
        <f aca="false">BL29*'Hiring plan'!$K$25*(1+Salary_Raise)^(BL$5-1)</f>
        <v>0</v>
      </c>
    </row>
    <row r="60" customFormat="false" ht="15" hidden="false" customHeight="false" outlineLevel="0" collapsed="false">
      <c r="A60" s="12" t="str">
        <f aca="false">A30</f>
        <v>(spare line 22)</v>
      </c>
      <c r="B60" s="14" t="s">
        <v>71</v>
      </c>
      <c r="D60" s="55" t="n">
        <f aca="false">SUM(E60:BL60)</f>
        <v>0</v>
      </c>
      <c r="E60" s="37" t="n">
        <f aca="false">E30*'Hiring plan'!$K$26*(1+Salary_Raise)^(E$5-1)</f>
        <v>0</v>
      </c>
      <c r="F60" s="37" t="n">
        <f aca="false">F30*'Hiring plan'!$K$26*(1+Salary_Raise)^(F$5-1)</f>
        <v>0</v>
      </c>
      <c r="G60" s="37" t="n">
        <f aca="false">G30*'Hiring plan'!$K$26*(1+Salary_Raise)^(G$5-1)</f>
        <v>0</v>
      </c>
      <c r="H60" s="37" t="n">
        <f aca="false">H30*'Hiring plan'!$K$26*(1+Salary_Raise)^(H$5-1)</f>
        <v>0</v>
      </c>
      <c r="I60" s="37" t="n">
        <f aca="false">I30*'Hiring plan'!$K$26*(1+Salary_Raise)^(I$5-1)</f>
        <v>0</v>
      </c>
      <c r="J60" s="37" t="n">
        <f aca="false">J30*'Hiring plan'!$K$26*(1+Salary_Raise)^(J$5-1)</f>
        <v>0</v>
      </c>
      <c r="K60" s="37" t="n">
        <f aca="false">K30*'Hiring plan'!$K$26*(1+Salary_Raise)^(K$5-1)</f>
        <v>0</v>
      </c>
      <c r="L60" s="37" t="n">
        <f aca="false">L30*'Hiring plan'!$K$26*(1+Salary_Raise)^(L$5-1)</f>
        <v>0</v>
      </c>
      <c r="M60" s="37" t="n">
        <f aca="false">M30*'Hiring plan'!$K$26*(1+Salary_Raise)^(M$5-1)</f>
        <v>0</v>
      </c>
      <c r="N60" s="37" t="n">
        <f aca="false">N30*'Hiring plan'!$K$26*(1+Salary_Raise)^(N$5-1)</f>
        <v>0</v>
      </c>
      <c r="O60" s="37" t="n">
        <f aca="false">O30*'Hiring plan'!$K$26*(1+Salary_Raise)^(O$5-1)</f>
        <v>0</v>
      </c>
      <c r="P60" s="37" t="n">
        <f aca="false">P30*'Hiring plan'!$K$26*(1+Salary_Raise)^(P$5-1)</f>
        <v>0</v>
      </c>
      <c r="Q60" s="37" t="n">
        <f aca="false">Q30*'Hiring plan'!$K$26*(1+Salary_Raise)^(Q$5-1)</f>
        <v>0</v>
      </c>
      <c r="R60" s="37" t="n">
        <f aca="false">R30*'Hiring plan'!$K$26*(1+Salary_Raise)^(R$5-1)</f>
        <v>0</v>
      </c>
      <c r="S60" s="37" t="n">
        <f aca="false">S30*'Hiring plan'!$K$26*(1+Salary_Raise)^(S$5-1)</f>
        <v>0</v>
      </c>
      <c r="T60" s="37" t="n">
        <f aca="false">T30*'Hiring plan'!$K$26*(1+Salary_Raise)^(T$5-1)</f>
        <v>0</v>
      </c>
      <c r="U60" s="37" t="n">
        <f aca="false">U30*'Hiring plan'!$K$26*(1+Salary_Raise)^(U$5-1)</f>
        <v>0</v>
      </c>
      <c r="V60" s="37" t="n">
        <f aca="false">V30*'Hiring plan'!$K$26*(1+Salary_Raise)^(V$5-1)</f>
        <v>0</v>
      </c>
      <c r="W60" s="37" t="n">
        <f aca="false">W30*'Hiring plan'!$K$26*(1+Salary_Raise)^(W$5-1)</f>
        <v>0</v>
      </c>
      <c r="X60" s="37" t="n">
        <f aca="false">X30*'Hiring plan'!$K$26*(1+Salary_Raise)^(X$5-1)</f>
        <v>0</v>
      </c>
      <c r="Y60" s="37" t="n">
        <f aca="false">Y30*'Hiring plan'!$K$26*(1+Salary_Raise)^(Y$5-1)</f>
        <v>0</v>
      </c>
      <c r="Z60" s="37" t="n">
        <f aca="false">Z30*'Hiring plan'!$K$26*(1+Salary_Raise)^(Z$5-1)</f>
        <v>0</v>
      </c>
      <c r="AA60" s="37" t="n">
        <f aca="false">AA30*'Hiring plan'!$K$26*(1+Salary_Raise)^(AA$5-1)</f>
        <v>0</v>
      </c>
      <c r="AB60" s="37" t="n">
        <f aca="false">AB30*'Hiring plan'!$K$26*(1+Salary_Raise)^(AB$5-1)</f>
        <v>0</v>
      </c>
      <c r="AC60" s="37" t="n">
        <f aca="false">AC30*'Hiring plan'!$K$26*(1+Salary_Raise)^(AC$5-1)</f>
        <v>0</v>
      </c>
      <c r="AD60" s="37" t="n">
        <f aca="false">AD30*'Hiring plan'!$K$26*(1+Salary_Raise)^(AD$5-1)</f>
        <v>0</v>
      </c>
      <c r="AE60" s="37" t="n">
        <f aca="false">AE30*'Hiring plan'!$K$26*(1+Salary_Raise)^(AE$5-1)</f>
        <v>0</v>
      </c>
      <c r="AF60" s="37" t="n">
        <f aca="false">AF30*'Hiring plan'!$K$26*(1+Salary_Raise)^(AF$5-1)</f>
        <v>0</v>
      </c>
      <c r="AG60" s="37" t="n">
        <f aca="false">AG30*'Hiring plan'!$K$26*(1+Salary_Raise)^(AG$5-1)</f>
        <v>0</v>
      </c>
      <c r="AH60" s="37" t="n">
        <f aca="false">AH30*'Hiring plan'!$K$26*(1+Salary_Raise)^(AH$5-1)</f>
        <v>0</v>
      </c>
      <c r="AI60" s="37" t="n">
        <f aca="false">AI30*'Hiring plan'!$K$26*(1+Salary_Raise)^(AI$5-1)</f>
        <v>0</v>
      </c>
      <c r="AJ60" s="37" t="n">
        <f aca="false">AJ30*'Hiring plan'!$K$26*(1+Salary_Raise)^(AJ$5-1)</f>
        <v>0</v>
      </c>
      <c r="AK60" s="37" t="n">
        <f aca="false">AK30*'Hiring plan'!$K$26*(1+Salary_Raise)^(AK$5-1)</f>
        <v>0</v>
      </c>
      <c r="AL60" s="37" t="n">
        <f aca="false">AL30*'Hiring plan'!$K$26*(1+Salary_Raise)^(AL$5-1)</f>
        <v>0</v>
      </c>
      <c r="AM60" s="37" t="n">
        <f aca="false">AM30*'Hiring plan'!$K$26*(1+Salary_Raise)^(AM$5-1)</f>
        <v>0</v>
      </c>
      <c r="AN60" s="37" t="n">
        <f aca="false">AN30*'Hiring plan'!$K$26*(1+Salary_Raise)^(AN$5-1)</f>
        <v>0</v>
      </c>
      <c r="AO60" s="37" t="n">
        <f aca="false">AO30*'Hiring plan'!$K$26*(1+Salary_Raise)^(AO$5-1)</f>
        <v>0</v>
      </c>
      <c r="AP60" s="37" t="n">
        <f aca="false">AP30*'Hiring plan'!$K$26*(1+Salary_Raise)^(AP$5-1)</f>
        <v>0</v>
      </c>
      <c r="AQ60" s="37" t="n">
        <f aca="false">AQ30*'Hiring plan'!$K$26*(1+Salary_Raise)^(AQ$5-1)</f>
        <v>0</v>
      </c>
      <c r="AR60" s="37" t="n">
        <f aca="false">AR30*'Hiring plan'!$K$26*(1+Salary_Raise)^(AR$5-1)</f>
        <v>0</v>
      </c>
      <c r="AS60" s="37" t="n">
        <f aca="false">AS30*'Hiring plan'!$K$26*(1+Salary_Raise)^(AS$5-1)</f>
        <v>0</v>
      </c>
      <c r="AT60" s="37" t="n">
        <f aca="false">AT30*'Hiring plan'!$K$26*(1+Salary_Raise)^(AT$5-1)</f>
        <v>0</v>
      </c>
      <c r="AU60" s="37" t="n">
        <f aca="false">AU30*'Hiring plan'!$K$26*(1+Salary_Raise)^(AU$5-1)</f>
        <v>0</v>
      </c>
      <c r="AV60" s="37" t="n">
        <f aca="false">AV30*'Hiring plan'!$K$26*(1+Salary_Raise)^(AV$5-1)</f>
        <v>0</v>
      </c>
      <c r="AW60" s="37" t="n">
        <f aca="false">AW30*'Hiring plan'!$K$26*(1+Salary_Raise)^(AW$5-1)</f>
        <v>0</v>
      </c>
      <c r="AX60" s="37" t="n">
        <f aca="false">AX30*'Hiring plan'!$K$26*(1+Salary_Raise)^(AX$5-1)</f>
        <v>0</v>
      </c>
      <c r="AY60" s="37" t="n">
        <f aca="false">AY30*'Hiring plan'!$K$26*(1+Salary_Raise)^(AY$5-1)</f>
        <v>0</v>
      </c>
      <c r="AZ60" s="37" t="n">
        <f aca="false">AZ30*'Hiring plan'!$K$26*(1+Salary_Raise)^(AZ$5-1)</f>
        <v>0</v>
      </c>
      <c r="BA60" s="37" t="n">
        <f aca="false">BA30*'Hiring plan'!$K$26*(1+Salary_Raise)^(BA$5-1)</f>
        <v>0</v>
      </c>
      <c r="BB60" s="37" t="n">
        <f aca="false">BB30*'Hiring plan'!$K$26*(1+Salary_Raise)^(BB$5-1)</f>
        <v>0</v>
      </c>
      <c r="BC60" s="37" t="n">
        <f aca="false">BC30*'Hiring plan'!$K$26*(1+Salary_Raise)^(BC$5-1)</f>
        <v>0</v>
      </c>
      <c r="BD60" s="37" t="n">
        <f aca="false">BD30*'Hiring plan'!$K$26*(1+Salary_Raise)^(BD$5-1)</f>
        <v>0</v>
      </c>
      <c r="BE60" s="37" t="n">
        <f aca="false">BE30*'Hiring plan'!$K$26*(1+Salary_Raise)^(BE$5-1)</f>
        <v>0</v>
      </c>
      <c r="BF60" s="37" t="n">
        <f aca="false">BF30*'Hiring plan'!$K$26*(1+Salary_Raise)^(BF$5-1)</f>
        <v>0</v>
      </c>
      <c r="BG60" s="37" t="n">
        <f aca="false">BG30*'Hiring plan'!$K$26*(1+Salary_Raise)^(BG$5-1)</f>
        <v>0</v>
      </c>
      <c r="BH60" s="37" t="n">
        <f aca="false">BH30*'Hiring plan'!$K$26*(1+Salary_Raise)^(BH$5-1)</f>
        <v>0</v>
      </c>
      <c r="BI60" s="37" t="n">
        <f aca="false">BI30*'Hiring plan'!$K$26*(1+Salary_Raise)^(BI$5-1)</f>
        <v>0</v>
      </c>
      <c r="BJ60" s="37" t="n">
        <f aca="false">BJ30*'Hiring plan'!$K$26*(1+Salary_Raise)^(BJ$5-1)</f>
        <v>0</v>
      </c>
      <c r="BK60" s="37" t="n">
        <f aca="false">BK30*'Hiring plan'!$K$26*(1+Salary_Raise)^(BK$5-1)</f>
        <v>0</v>
      </c>
      <c r="BL60" s="37" t="n">
        <f aca="false">BL30*'Hiring plan'!$K$26*(1+Salary_Raise)^(BL$5-1)</f>
        <v>0</v>
      </c>
    </row>
    <row r="61" customFormat="false" ht="15" hidden="false" customHeight="false" outlineLevel="0" collapsed="false">
      <c r="A61" s="12" t="str">
        <f aca="false">A31</f>
        <v>(spare line 23)</v>
      </c>
      <c r="B61" s="14" t="s">
        <v>71</v>
      </c>
      <c r="D61" s="55" t="n">
        <f aca="false">SUM(E61:BL61)</f>
        <v>0</v>
      </c>
      <c r="E61" s="37" t="n">
        <f aca="false">E31*'Hiring plan'!$K$27*(1+Salary_Raise)^(E$5-1)</f>
        <v>0</v>
      </c>
      <c r="F61" s="37" t="n">
        <f aca="false">F31*'Hiring plan'!$K$27*(1+Salary_Raise)^(F$5-1)</f>
        <v>0</v>
      </c>
      <c r="G61" s="37" t="n">
        <f aca="false">G31*'Hiring plan'!$K$27*(1+Salary_Raise)^(G$5-1)</f>
        <v>0</v>
      </c>
      <c r="H61" s="37" t="n">
        <f aca="false">H31*'Hiring plan'!$K$27*(1+Salary_Raise)^(H$5-1)</f>
        <v>0</v>
      </c>
      <c r="I61" s="37" t="n">
        <f aca="false">I31*'Hiring plan'!$K$27*(1+Salary_Raise)^(I$5-1)</f>
        <v>0</v>
      </c>
      <c r="J61" s="37" t="n">
        <f aca="false">J31*'Hiring plan'!$K$27*(1+Salary_Raise)^(J$5-1)</f>
        <v>0</v>
      </c>
      <c r="K61" s="37" t="n">
        <f aca="false">K31*'Hiring plan'!$K$27*(1+Salary_Raise)^(K$5-1)</f>
        <v>0</v>
      </c>
      <c r="L61" s="37" t="n">
        <f aca="false">L31*'Hiring plan'!$K$27*(1+Salary_Raise)^(L$5-1)</f>
        <v>0</v>
      </c>
      <c r="M61" s="37" t="n">
        <f aca="false">M31*'Hiring plan'!$K$27*(1+Salary_Raise)^(M$5-1)</f>
        <v>0</v>
      </c>
      <c r="N61" s="37" t="n">
        <f aca="false">N31*'Hiring plan'!$K$27*(1+Salary_Raise)^(N$5-1)</f>
        <v>0</v>
      </c>
      <c r="O61" s="37" t="n">
        <f aca="false">O31*'Hiring plan'!$K$27*(1+Salary_Raise)^(O$5-1)</f>
        <v>0</v>
      </c>
      <c r="P61" s="37" t="n">
        <f aca="false">P31*'Hiring plan'!$K$27*(1+Salary_Raise)^(P$5-1)</f>
        <v>0</v>
      </c>
      <c r="Q61" s="37" t="n">
        <f aca="false">Q31*'Hiring plan'!$K$27*(1+Salary_Raise)^(Q$5-1)</f>
        <v>0</v>
      </c>
      <c r="R61" s="37" t="n">
        <f aca="false">R31*'Hiring plan'!$K$27*(1+Salary_Raise)^(R$5-1)</f>
        <v>0</v>
      </c>
      <c r="S61" s="37" t="n">
        <f aca="false">S31*'Hiring plan'!$K$27*(1+Salary_Raise)^(S$5-1)</f>
        <v>0</v>
      </c>
      <c r="T61" s="37" t="n">
        <f aca="false">T31*'Hiring plan'!$K$27*(1+Salary_Raise)^(T$5-1)</f>
        <v>0</v>
      </c>
      <c r="U61" s="37" t="n">
        <f aca="false">U31*'Hiring plan'!$K$27*(1+Salary_Raise)^(U$5-1)</f>
        <v>0</v>
      </c>
      <c r="V61" s="37" t="n">
        <f aca="false">V31*'Hiring plan'!$K$27*(1+Salary_Raise)^(V$5-1)</f>
        <v>0</v>
      </c>
      <c r="W61" s="37" t="n">
        <f aca="false">W31*'Hiring plan'!$K$27*(1+Salary_Raise)^(W$5-1)</f>
        <v>0</v>
      </c>
      <c r="X61" s="37" t="n">
        <f aca="false">X31*'Hiring plan'!$K$27*(1+Salary_Raise)^(X$5-1)</f>
        <v>0</v>
      </c>
      <c r="Y61" s="37" t="n">
        <f aca="false">Y31*'Hiring plan'!$K$27*(1+Salary_Raise)^(Y$5-1)</f>
        <v>0</v>
      </c>
      <c r="Z61" s="37" t="n">
        <f aca="false">Z31*'Hiring plan'!$K$27*(1+Salary_Raise)^(Z$5-1)</f>
        <v>0</v>
      </c>
      <c r="AA61" s="37" t="n">
        <f aca="false">AA31*'Hiring plan'!$K$27*(1+Salary_Raise)^(AA$5-1)</f>
        <v>0</v>
      </c>
      <c r="AB61" s="37" t="n">
        <f aca="false">AB31*'Hiring plan'!$K$27*(1+Salary_Raise)^(AB$5-1)</f>
        <v>0</v>
      </c>
      <c r="AC61" s="37" t="n">
        <f aca="false">AC31*'Hiring plan'!$K$27*(1+Salary_Raise)^(AC$5-1)</f>
        <v>0</v>
      </c>
      <c r="AD61" s="37" t="n">
        <f aca="false">AD31*'Hiring plan'!$K$27*(1+Salary_Raise)^(AD$5-1)</f>
        <v>0</v>
      </c>
      <c r="AE61" s="37" t="n">
        <f aca="false">AE31*'Hiring plan'!$K$27*(1+Salary_Raise)^(AE$5-1)</f>
        <v>0</v>
      </c>
      <c r="AF61" s="37" t="n">
        <f aca="false">AF31*'Hiring plan'!$K$27*(1+Salary_Raise)^(AF$5-1)</f>
        <v>0</v>
      </c>
      <c r="AG61" s="37" t="n">
        <f aca="false">AG31*'Hiring plan'!$K$27*(1+Salary_Raise)^(AG$5-1)</f>
        <v>0</v>
      </c>
      <c r="AH61" s="37" t="n">
        <f aca="false">AH31*'Hiring plan'!$K$27*(1+Salary_Raise)^(AH$5-1)</f>
        <v>0</v>
      </c>
      <c r="AI61" s="37" t="n">
        <f aca="false">AI31*'Hiring plan'!$K$27*(1+Salary_Raise)^(AI$5-1)</f>
        <v>0</v>
      </c>
      <c r="AJ61" s="37" t="n">
        <f aca="false">AJ31*'Hiring plan'!$K$27*(1+Salary_Raise)^(AJ$5-1)</f>
        <v>0</v>
      </c>
      <c r="AK61" s="37" t="n">
        <f aca="false">AK31*'Hiring plan'!$K$27*(1+Salary_Raise)^(AK$5-1)</f>
        <v>0</v>
      </c>
      <c r="AL61" s="37" t="n">
        <f aca="false">AL31*'Hiring plan'!$K$27*(1+Salary_Raise)^(AL$5-1)</f>
        <v>0</v>
      </c>
      <c r="AM61" s="37" t="n">
        <f aca="false">AM31*'Hiring plan'!$K$27*(1+Salary_Raise)^(AM$5-1)</f>
        <v>0</v>
      </c>
      <c r="AN61" s="37" t="n">
        <f aca="false">AN31*'Hiring plan'!$K$27*(1+Salary_Raise)^(AN$5-1)</f>
        <v>0</v>
      </c>
      <c r="AO61" s="37" t="n">
        <f aca="false">AO31*'Hiring plan'!$K$27*(1+Salary_Raise)^(AO$5-1)</f>
        <v>0</v>
      </c>
      <c r="AP61" s="37" t="n">
        <f aca="false">AP31*'Hiring plan'!$K$27*(1+Salary_Raise)^(AP$5-1)</f>
        <v>0</v>
      </c>
      <c r="AQ61" s="37" t="n">
        <f aca="false">AQ31*'Hiring plan'!$K$27*(1+Salary_Raise)^(AQ$5-1)</f>
        <v>0</v>
      </c>
      <c r="AR61" s="37" t="n">
        <f aca="false">AR31*'Hiring plan'!$K$27*(1+Salary_Raise)^(AR$5-1)</f>
        <v>0</v>
      </c>
      <c r="AS61" s="37" t="n">
        <f aca="false">AS31*'Hiring plan'!$K$27*(1+Salary_Raise)^(AS$5-1)</f>
        <v>0</v>
      </c>
      <c r="AT61" s="37" t="n">
        <f aca="false">AT31*'Hiring plan'!$K$27*(1+Salary_Raise)^(AT$5-1)</f>
        <v>0</v>
      </c>
      <c r="AU61" s="37" t="n">
        <f aca="false">AU31*'Hiring plan'!$K$27*(1+Salary_Raise)^(AU$5-1)</f>
        <v>0</v>
      </c>
      <c r="AV61" s="37" t="n">
        <f aca="false">AV31*'Hiring plan'!$K$27*(1+Salary_Raise)^(AV$5-1)</f>
        <v>0</v>
      </c>
      <c r="AW61" s="37" t="n">
        <f aca="false">AW31*'Hiring plan'!$K$27*(1+Salary_Raise)^(AW$5-1)</f>
        <v>0</v>
      </c>
      <c r="AX61" s="37" t="n">
        <f aca="false">AX31*'Hiring plan'!$K$27*(1+Salary_Raise)^(AX$5-1)</f>
        <v>0</v>
      </c>
      <c r="AY61" s="37" t="n">
        <f aca="false">AY31*'Hiring plan'!$K$27*(1+Salary_Raise)^(AY$5-1)</f>
        <v>0</v>
      </c>
      <c r="AZ61" s="37" t="n">
        <f aca="false">AZ31*'Hiring plan'!$K$27*(1+Salary_Raise)^(AZ$5-1)</f>
        <v>0</v>
      </c>
      <c r="BA61" s="37" t="n">
        <f aca="false">BA31*'Hiring plan'!$K$27*(1+Salary_Raise)^(BA$5-1)</f>
        <v>0</v>
      </c>
      <c r="BB61" s="37" t="n">
        <f aca="false">BB31*'Hiring plan'!$K$27*(1+Salary_Raise)^(BB$5-1)</f>
        <v>0</v>
      </c>
      <c r="BC61" s="37" t="n">
        <f aca="false">BC31*'Hiring plan'!$K$27*(1+Salary_Raise)^(BC$5-1)</f>
        <v>0</v>
      </c>
      <c r="BD61" s="37" t="n">
        <f aca="false">BD31*'Hiring plan'!$K$27*(1+Salary_Raise)^(BD$5-1)</f>
        <v>0</v>
      </c>
      <c r="BE61" s="37" t="n">
        <f aca="false">BE31*'Hiring plan'!$K$27*(1+Salary_Raise)^(BE$5-1)</f>
        <v>0</v>
      </c>
      <c r="BF61" s="37" t="n">
        <f aca="false">BF31*'Hiring plan'!$K$27*(1+Salary_Raise)^(BF$5-1)</f>
        <v>0</v>
      </c>
      <c r="BG61" s="37" t="n">
        <f aca="false">BG31*'Hiring plan'!$K$27*(1+Salary_Raise)^(BG$5-1)</f>
        <v>0</v>
      </c>
      <c r="BH61" s="37" t="n">
        <f aca="false">BH31*'Hiring plan'!$K$27*(1+Salary_Raise)^(BH$5-1)</f>
        <v>0</v>
      </c>
      <c r="BI61" s="37" t="n">
        <f aca="false">BI31*'Hiring plan'!$K$27*(1+Salary_Raise)^(BI$5-1)</f>
        <v>0</v>
      </c>
      <c r="BJ61" s="37" t="n">
        <f aca="false">BJ31*'Hiring plan'!$K$27*(1+Salary_Raise)^(BJ$5-1)</f>
        <v>0</v>
      </c>
      <c r="BK61" s="37" t="n">
        <f aca="false">BK31*'Hiring plan'!$K$27*(1+Salary_Raise)^(BK$5-1)</f>
        <v>0</v>
      </c>
      <c r="BL61" s="37" t="n">
        <f aca="false">BL31*'Hiring plan'!$K$27*(1+Salary_Raise)^(BL$5-1)</f>
        <v>0</v>
      </c>
    </row>
    <row r="62" customFormat="false" ht="15" hidden="false" customHeight="false" outlineLevel="0" collapsed="false">
      <c r="A62" s="12" t="str">
        <f aca="false">A32</f>
        <v>(spare line 24)</v>
      </c>
      <c r="B62" s="14" t="s">
        <v>71</v>
      </c>
      <c r="D62" s="55" t="n">
        <f aca="false">SUM(E62:BL62)</f>
        <v>0</v>
      </c>
      <c r="E62" s="37" t="n">
        <f aca="false">E32*'Hiring plan'!$K$28*(1+Salary_Raise)^(E$5-1)</f>
        <v>0</v>
      </c>
      <c r="F62" s="37" t="n">
        <f aca="false">F32*'Hiring plan'!$K$28*(1+Salary_Raise)^(F$5-1)</f>
        <v>0</v>
      </c>
      <c r="G62" s="37" t="n">
        <f aca="false">G32*'Hiring plan'!$K$28*(1+Salary_Raise)^(G$5-1)</f>
        <v>0</v>
      </c>
      <c r="H62" s="37" t="n">
        <f aca="false">H32*'Hiring plan'!$K$28*(1+Salary_Raise)^(H$5-1)</f>
        <v>0</v>
      </c>
      <c r="I62" s="37" t="n">
        <f aca="false">I32*'Hiring plan'!$K$28*(1+Salary_Raise)^(I$5-1)</f>
        <v>0</v>
      </c>
      <c r="J62" s="37" t="n">
        <f aca="false">J32*'Hiring plan'!$K$28*(1+Salary_Raise)^(J$5-1)</f>
        <v>0</v>
      </c>
      <c r="K62" s="37" t="n">
        <f aca="false">K32*'Hiring plan'!$K$28*(1+Salary_Raise)^(K$5-1)</f>
        <v>0</v>
      </c>
      <c r="L62" s="37" t="n">
        <f aca="false">L32*'Hiring plan'!$K$28*(1+Salary_Raise)^(L$5-1)</f>
        <v>0</v>
      </c>
      <c r="M62" s="37" t="n">
        <f aca="false">M32*'Hiring plan'!$K$28*(1+Salary_Raise)^(M$5-1)</f>
        <v>0</v>
      </c>
      <c r="N62" s="37" t="n">
        <f aca="false">N32*'Hiring plan'!$K$28*(1+Salary_Raise)^(N$5-1)</f>
        <v>0</v>
      </c>
      <c r="O62" s="37" t="n">
        <f aca="false">O32*'Hiring plan'!$K$28*(1+Salary_Raise)^(O$5-1)</f>
        <v>0</v>
      </c>
      <c r="P62" s="37" t="n">
        <f aca="false">P32*'Hiring plan'!$K$28*(1+Salary_Raise)^(P$5-1)</f>
        <v>0</v>
      </c>
      <c r="Q62" s="37" t="n">
        <f aca="false">Q32*'Hiring plan'!$K$28*(1+Salary_Raise)^(Q$5-1)</f>
        <v>0</v>
      </c>
      <c r="R62" s="37" t="n">
        <f aca="false">R32*'Hiring plan'!$K$28*(1+Salary_Raise)^(R$5-1)</f>
        <v>0</v>
      </c>
      <c r="S62" s="37" t="n">
        <f aca="false">S32*'Hiring plan'!$K$28*(1+Salary_Raise)^(S$5-1)</f>
        <v>0</v>
      </c>
      <c r="T62" s="37" t="n">
        <f aca="false">T32*'Hiring plan'!$K$28*(1+Salary_Raise)^(T$5-1)</f>
        <v>0</v>
      </c>
      <c r="U62" s="37" t="n">
        <f aca="false">U32*'Hiring plan'!$K$28*(1+Salary_Raise)^(U$5-1)</f>
        <v>0</v>
      </c>
      <c r="V62" s="37" t="n">
        <f aca="false">V32*'Hiring plan'!$K$28*(1+Salary_Raise)^(V$5-1)</f>
        <v>0</v>
      </c>
      <c r="W62" s="37" t="n">
        <f aca="false">W32*'Hiring plan'!$K$28*(1+Salary_Raise)^(W$5-1)</f>
        <v>0</v>
      </c>
      <c r="X62" s="37" t="n">
        <f aca="false">X32*'Hiring plan'!$K$28*(1+Salary_Raise)^(X$5-1)</f>
        <v>0</v>
      </c>
      <c r="Y62" s="37" t="n">
        <f aca="false">Y32*'Hiring plan'!$K$28*(1+Salary_Raise)^(Y$5-1)</f>
        <v>0</v>
      </c>
      <c r="Z62" s="37" t="n">
        <f aca="false">Z32*'Hiring plan'!$K$28*(1+Salary_Raise)^(Z$5-1)</f>
        <v>0</v>
      </c>
      <c r="AA62" s="37" t="n">
        <f aca="false">AA32*'Hiring plan'!$K$28*(1+Salary_Raise)^(AA$5-1)</f>
        <v>0</v>
      </c>
      <c r="AB62" s="37" t="n">
        <f aca="false">AB32*'Hiring plan'!$K$28*(1+Salary_Raise)^(AB$5-1)</f>
        <v>0</v>
      </c>
      <c r="AC62" s="37" t="n">
        <f aca="false">AC32*'Hiring plan'!$K$28*(1+Salary_Raise)^(AC$5-1)</f>
        <v>0</v>
      </c>
      <c r="AD62" s="37" t="n">
        <f aca="false">AD32*'Hiring plan'!$K$28*(1+Salary_Raise)^(AD$5-1)</f>
        <v>0</v>
      </c>
      <c r="AE62" s="37" t="n">
        <f aca="false">AE32*'Hiring plan'!$K$28*(1+Salary_Raise)^(AE$5-1)</f>
        <v>0</v>
      </c>
      <c r="AF62" s="37" t="n">
        <f aca="false">AF32*'Hiring plan'!$K$28*(1+Salary_Raise)^(AF$5-1)</f>
        <v>0</v>
      </c>
      <c r="AG62" s="37" t="n">
        <f aca="false">AG32*'Hiring plan'!$K$28*(1+Salary_Raise)^(AG$5-1)</f>
        <v>0</v>
      </c>
      <c r="AH62" s="37" t="n">
        <f aca="false">AH32*'Hiring plan'!$K$28*(1+Salary_Raise)^(AH$5-1)</f>
        <v>0</v>
      </c>
      <c r="AI62" s="37" t="n">
        <f aca="false">AI32*'Hiring plan'!$K$28*(1+Salary_Raise)^(AI$5-1)</f>
        <v>0</v>
      </c>
      <c r="AJ62" s="37" t="n">
        <f aca="false">AJ32*'Hiring plan'!$K$28*(1+Salary_Raise)^(AJ$5-1)</f>
        <v>0</v>
      </c>
      <c r="AK62" s="37" t="n">
        <f aca="false">AK32*'Hiring plan'!$K$28*(1+Salary_Raise)^(AK$5-1)</f>
        <v>0</v>
      </c>
      <c r="AL62" s="37" t="n">
        <f aca="false">AL32*'Hiring plan'!$K$28*(1+Salary_Raise)^(AL$5-1)</f>
        <v>0</v>
      </c>
      <c r="AM62" s="37" t="n">
        <f aca="false">AM32*'Hiring plan'!$K$28*(1+Salary_Raise)^(AM$5-1)</f>
        <v>0</v>
      </c>
      <c r="AN62" s="37" t="n">
        <f aca="false">AN32*'Hiring plan'!$K$28*(1+Salary_Raise)^(AN$5-1)</f>
        <v>0</v>
      </c>
      <c r="AO62" s="37" t="n">
        <f aca="false">AO32*'Hiring plan'!$K$28*(1+Salary_Raise)^(AO$5-1)</f>
        <v>0</v>
      </c>
      <c r="AP62" s="37" t="n">
        <f aca="false">AP32*'Hiring plan'!$K$28*(1+Salary_Raise)^(AP$5-1)</f>
        <v>0</v>
      </c>
      <c r="AQ62" s="37" t="n">
        <f aca="false">AQ32*'Hiring plan'!$K$28*(1+Salary_Raise)^(AQ$5-1)</f>
        <v>0</v>
      </c>
      <c r="AR62" s="37" t="n">
        <f aca="false">AR32*'Hiring plan'!$K$28*(1+Salary_Raise)^(AR$5-1)</f>
        <v>0</v>
      </c>
      <c r="AS62" s="37" t="n">
        <f aca="false">AS32*'Hiring plan'!$K$28*(1+Salary_Raise)^(AS$5-1)</f>
        <v>0</v>
      </c>
      <c r="AT62" s="37" t="n">
        <f aca="false">AT32*'Hiring plan'!$K$28*(1+Salary_Raise)^(AT$5-1)</f>
        <v>0</v>
      </c>
      <c r="AU62" s="37" t="n">
        <f aca="false">AU32*'Hiring plan'!$K$28*(1+Salary_Raise)^(AU$5-1)</f>
        <v>0</v>
      </c>
      <c r="AV62" s="37" t="n">
        <f aca="false">AV32*'Hiring plan'!$K$28*(1+Salary_Raise)^(AV$5-1)</f>
        <v>0</v>
      </c>
      <c r="AW62" s="37" t="n">
        <f aca="false">AW32*'Hiring plan'!$K$28*(1+Salary_Raise)^(AW$5-1)</f>
        <v>0</v>
      </c>
      <c r="AX62" s="37" t="n">
        <f aca="false">AX32*'Hiring plan'!$K$28*(1+Salary_Raise)^(AX$5-1)</f>
        <v>0</v>
      </c>
      <c r="AY62" s="37" t="n">
        <f aca="false">AY32*'Hiring plan'!$K$28*(1+Salary_Raise)^(AY$5-1)</f>
        <v>0</v>
      </c>
      <c r="AZ62" s="37" t="n">
        <f aca="false">AZ32*'Hiring plan'!$K$28*(1+Salary_Raise)^(AZ$5-1)</f>
        <v>0</v>
      </c>
      <c r="BA62" s="37" t="n">
        <f aca="false">BA32*'Hiring plan'!$K$28*(1+Salary_Raise)^(BA$5-1)</f>
        <v>0</v>
      </c>
      <c r="BB62" s="37" t="n">
        <f aca="false">BB32*'Hiring plan'!$K$28*(1+Salary_Raise)^(BB$5-1)</f>
        <v>0</v>
      </c>
      <c r="BC62" s="37" t="n">
        <f aca="false">BC32*'Hiring plan'!$K$28*(1+Salary_Raise)^(BC$5-1)</f>
        <v>0</v>
      </c>
      <c r="BD62" s="37" t="n">
        <f aca="false">BD32*'Hiring plan'!$K$28*(1+Salary_Raise)^(BD$5-1)</f>
        <v>0</v>
      </c>
      <c r="BE62" s="37" t="n">
        <f aca="false">BE32*'Hiring plan'!$K$28*(1+Salary_Raise)^(BE$5-1)</f>
        <v>0</v>
      </c>
      <c r="BF62" s="37" t="n">
        <f aca="false">BF32*'Hiring plan'!$K$28*(1+Salary_Raise)^(BF$5-1)</f>
        <v>0</v>
      </c>
      <c r="BG62" s="37" t="n">
        <f aca="false">BG32*'Hiring plan'!$K$28*(1+Salary_Raise)^(BG$5-1)</f>
        <v>0</v>
      </c>
      <c r="BH62" s="37" t="n">
        <f aca="false">BH32*'Hiring plan'!$K$28*(1+Salary_Raise)^(BH$5-1)</f>
        <v>0</v>
      </c>
      <c r="BI62" s="37" t="n">
        <f aca="false">BI32*'Hiring plan'!$K$28*(1+Salary_Raise)^(BI$5-1)</f>
        <v>0</v>
      </c>
      <c r="BJ62" s="37" t="n">
        <f aca="false">BJ32*'Hiring plan'!$K$28*(1+Salary_Raise)^(BJ$5-1)</f>
        <v>0</v>
      </c>
      <c r="BK62" s="37" t="n">
        <f aca="false">BK32*'Hiring plan'!$K$28*(1+Salary_Raise)^(BK$5-1)</f>
        <v>0</v>
      </c>
      <c r="BL62" s="37" t="n">
        <f aca="false">BL32*'Hiring plan'!$K$28*(1+Salary_Raise)^(BL$5-1)</f>
        <v>0</v>
      </c>
    </row>
    <row r="63" customFormat="false" ht="15" hidden="false" customHeight="false" outlineLevel="0" collapsed="false">
      <c r="A63" s="12" t="str">
        <f aca="false">A33</f>
        <v>(spare line 25)</v>
      </c>
      <c r="B63" s="14" t="s">
        <v>71</v>
      </c>
      <c r="D63" s="55" t="n">
        <f aca="false">SUM(E63:BL63)</f>
        <v>0</v>
      </c>
      <c r="E63" s="37" t="n">
        <f aca="false">E33*'Hiring plan'!$K$29*(1+Salary_Raise)^(E$5-1)</f>
        <v>0</v>
      </c>
      <c r="F63" s="37" t="n">
        <f aca="false">F33*'Hiring plan'!$K$29*(1+Salary_Raise)^(F$5-1)</f>
        <v>0</v>
      </c>
      <c r="G63" s="37" t="n">
        <f aca="false">G33*'Hiring plan'!$K$29*(1+Salary_Raise)^(G$5-1)</f>
        <v>0</v>
      </c>
      <c r="H63" s="37" t="n">
        <f aca="false">H33*'Hiring plan'!$K$29*(1+Salary_Raise)^(H$5-1)</f>
        <v>0</v>
      </c>
      <c r="I63" s="37" t="n">
        <f aca="false">I33*'Hiring plan'!$K$29*(1+Salary_Raise)^(I$5-1)</f>
        <v>0</v>
      </c>
      <c r="J63" s="37" t="n">
        <f aca="false">J33*'Hiring plan'!$K$29*(1+Salary_Raise)^(J$5-1)</f>
        <v>0</v>
      </c>
      <c r="K63" s="37" t="n">
        <f aca="false">K33*'Hiring plan'!$K$29*(1+Salary_Raise)^(K$5-1)</f>
        <v>0</v>
      </c>
      <c r="L63" s="37" t="n">
        <f aca="false">L33*'Hiring plan'!$K$29*(1+Salary_Raise)^(L$5-1)</f>
        <v>0</v>
      </c>
      <c r="M63" s="37" t="n">
        <f aca="false">M33*'Hiring plan'!$K$29*(1+Salary_Raise)^(M$5-1)</f>
        <v>0</v>
      </c>
      <c r="N63" s="37" t="n">
        <f aca="false">N33*'Hiring plan'!$K$29*(1+Salary_Raise)^(N$5-1)</f>
        <v>0</v>
      </c>
      <c r="O63" s="37" t="n">
        <f aca="false">O33*'Hiring plan'!$K$29*(1+Salary_Raise)^(O$5-1)</f>
        <v>0</v>
      </c>
      <c r="P63" s="37" t="n">
        <f aca="false">P33*'Hiring plan'!$K$29*(1+Salary_Raise)^(P$5-1)</f>
        <v>0</v>
      </c>
      <c r="Q63" s="37" t="n">
        <f aca="false">Q33*'Hiring plan'!$K$29*(1+Salary_Raise)^(Q$5-1)</f>
        <v>0</v>
      </c>
      <c r="R63" s="37" t="n">
        <f aca="false">R33*'Hiring plan'!$K$29*(1+Salary_Raise)^(R$5-1)</f>
        <v>0</v>
      </c>
      <c r="S63" s="37" t="n">
        <f aca="false">S33*'Hiring plan'!$K$29*(1+Salary_Raise)^(S$5-1)</f>
        <v>0</v>
      </c>
      <c r="T63" s="37" t="n">
        <f aca="false">T33*'Hiring plan'!$K$29*(1+Salary_Raise)^(T$5-1)</f>
        <v>0</v>
      </c>
      <c r="U63" s="37" t="n">
        <f aca="false">U33*'Hiring plan'!$K$29*(1+Salary_Raise)^(U$5-1)</f>
        <v>0</v>
      </c>
      <c r="V63" s="37" t="n">
        <f aca="false">V33*'Hiring plan'!$K$29*(1+Salary_Raise)^(V$5-1)</f>
        <v>0</v>
      </c>
      <c r="W63" s="37" t="n">
        <f aca="false">W33*'Hiring plan'!$K$29*(1+Salary_Raise)^(W$5-1)</f>
        <v>0</v>
      </c>
      <c r="X63" s="37" t="n">
        <f aca="false">X33*'Hiring plan'!$K$29*(1+Salary_Raise)^(X$5-1)</f>
        <v>0</v>
      </c>
      <c r="Y63" s="37" t="n">
        <f aca="false">Y33*'Hiring plan'!$K$29*(1+Salary_Raise)^(Y$5-1)</f>
        <v>0</v>
      </c>
      <c r="Z63" s="37" t="n">
        <f aca="false">Z33*'Hiring plan'!$K$29*(1+Salary_Raise)^(Z$5-1)</f>
        <v>0</v>
      </c>
      <c r="AA63" s="37" t="n">
        <f aca="false">AA33*'Hiring plan'!$K$29*(1+Salary_Raise)^(AA$5-1)</f>
        <v>0</v>
      </c>
      <c r="AB63" s="37" t="n">
        <f aca="false">AB33*'Hiring plan'!$K$29*(1+Salary_Raise)^(AB$5-1)</f>
        <v>0</v>
      </c>
      <c r="AC63" s="37" t="n">
        <f aca="false">AC33*'Hiring plan'!$K$29*(1+Salary_Raise)^(AC$5-1)</f>
        <v>0</v>
      </c>
      <c r="AD63" s="37" t="n">
        <f aca="false">AD33*'Hiring plan'!$K$29*(1+Salary_Raise)^(AD$5-1)</f>
        <v>0</v>
      </c>
      <c r="AE63" s="37" t="n">
        <f aca="false">AE33*'Hiring plan'!$K$29*(1+Salary_Raise)^(AE$5-1)</f>
        <v>0</v>
      </c>
      <c r="AF63" s="37" t="n">
        <f aca="false">AF33*'Hiring plan'!$K$29*(1+Salary_Raise)^(AF$5-1)</f>
        <v>0</v>
      </c>
      <c r="AG63" s="37" t="n">
        <f aca="false">AG33*'Hiring plan'!$K$29*(1+Salary_Raise)^(AG$5-1)</f>
        <v>0</v>
      </c>
      <c r="AH63" s="37" t="n">
        <f aca="false">AH33*'Hiring plan'!$K$29*(1+Salary_Raise)^(AH$5-1)</f>
        <v>0</v>
      </c>
      <c r="AI63" s="37" t="n">
        <f aca="false">AI33*'Hiring plan'!$K$29*(1+Salary_Raise)^(AI$5-1)</f>
        <v>0</v>
      </c>
      <c r="AJ63" s="37" t="n">
        <f aca="false">AJ33*'Hiring plan'!$K$29*(1+Salary_Raise)^(AJ$5-1)</f>
        <v>0</v>
      </c>
      <c r="AK63" s="37" t="n">
        <f aca="false">AK33*'Hiring plan'!$K$29*(1+Salary_Raise)^(AK$5-1)</f>
        <v>0</v>
      </c>
      <c r="AL63" s="37" t="n">
        <f aca="false">AL33*'Hiring plan'!$K$29*(1+Salary_Raise)^(AL$5-1)</f>
        <v>0</v>
      </c>
      <c r="AM63" s="37" t="n">
        <f aca="false">AM33*'Hiring plan'!$K$29*(1+Salary_Raise)^(AM$5-1)</f>
        <v>0</v>
      </c>
      <c r="AN63" s="37" t="n">
        <f aca="false">AN33*'Hiring plan'!$K$29*(1+Salary_Raise)^(AN$5-1)</f>
        <v>0</v>
      </c>
      <c r="AO63" s="37" t="n">
        <f aca="false">AO33*'Hiring plan'!$K$29*(1+Salary_Raise)^(AO$5-1)</f>
        <v>0</v>
      </c>
      <c r="AP63" s="37" t="n">
        <f aca="false">AP33*'Hiring plan'!$K$29*(1+Salary_Raise)^(AP$5-1)</f>
        <v>0</v>
      </c>
      <c r="AQ63" s="37" t="n">
        <f aca="false">AQ33*'Hiring plan'!$K$29*(1+Salary_Raise)^(AQ$5-1)</f>
        <v>0</v>
      </c>
      <c r="AR63" s="37" t="n">
        <f aca="false">AR33*'Hiring plan'!$K$29*(1+Salary_Raise)^(AR$5-1)</f>
        <v>0</v>
      </c>
      <c r="AS63" s="37" t="n">
        <f aca="false">AS33*'Hiring plan'!$K$29*(1+Salary_Raise)^(AS$5-1)</f>
        <v>0</v>
      </c>
      <c r="AT63" s="37" t="n">
        <f aca="false">AT33*'Hiring plan'!$K$29*(1+Salary_Raise)^(AT$5-1)</f>
        <v>0</v>
      </c>
      <c r="AU63" s="37" t="n">
        <f aca="false">AU33*'Hiring plan'!$K$29*(1+Salary_Raise)^(AU$5-1)</f>
        <v>0</v>
      </c>
      <c r="AV63" s="37" t="n">
        <f aca="false">AV33*'Hiring plan'!$K$29*(1+Salary_Raise)^(AV$5-1)</f>
        <v>0</v>
      </c>
      <c r="AW63" s="37" t="n">
        <f aca="false">AW33*'Hiring plan'!$K$29*(1+Salary_Raise)^(AW$5-1)</f>
        <v>0</v>
      </c>
      <c r="AX63" s="37" t="n">
        <f aca="false">AX33*'Hiring plan'!$K$29*(1+Salary_Raise)^(AX$5-1)</f>
        <v>0</v>
      </c>
      <c r="AY63" s="37" t="n">
        <f aca="false">AY33*'Hiring plan'!$K$29*(1+Salary_Raise)^(AY$5-1)</f>
        <v>0</v>
      </c>
      <c r="AZ63" s="37" t="n">
        <f aca="false">AZ33*'Hiring plan'!$K$29*(1+Salary_Raise)^(AZ$5-1)</f>
        <v>0</v>
      </c>
      <c r="BA63" s="37" t="n">
        <f aca="false">BA33*'Hiring plan'!$K$29*(1+Salary_Raise)^(BA$5-1)</f>
        <v>0</v>
      </c>
      <c r="BB63" s="37" t="n">
        <f aca="false">BB33*'Hiring plan'!$K$29*(1+Salary_Raise)^(BB$5-1)</f>
        <v>0</v>
      </c>
      <c r="BC63" s="37" t="n">
        <f aca="false">BC33*'Hiring plan'!$K$29*(1+Salary_Raise)^(BC$5-1)</f>
        <v>0</v>
      </c>
      <c r="BD63" s="37" t="n">
        <f aca="false">BD33*'Hiring plan'!$K$29*(1+Salary_Raise)^(BD$5-1)</f>
        <v>0</v>
      </c>
      <c r="BE63" s="37" t="n">
        <f aca="false">BE33*'Hiring plan'!$K$29*(1+Salary_Raise)^(BE$5-1)</f>
        <v>0</v>
      </c>
      <c r="BF63" s="37" t="n">
        <f aca="false">BF33*'Hiring plan'!$K$29*(1+Salary_Raise)^(BF$5-1)</f>
        <v>0</v>
      </c>
      <c r="BG63" s="37" t="n">
        <f aca="false">BG33*'Hiring plan'!$K$29*(1+Salary_Raise)^(BG$5-1)</f>
        <v>0</v>
      </c>
      <c r="BH63" s="37" t="n">
        <f aca="false">BH33*'Hiring plan'!$K$29*(1+Salary_Raise)^(BH$5-1)</f>
        <v>0</v>
      </c>
      <c r="BI63" s="37" t="n">
        <f aca="false">BI33*'Hiring plan'!$K$29*(1+Salary_Raise)^(BI$5-1)</f>
        <v>0</v>
      </c>
      <c r="BJ63" s="37" t="n">
        <f aca="false">BJ33*'Hiring plan'!$K$29*(1+Salary_Raise)^(BJ$5-1)</f>
        <v>0</v>
      </c>
      <c r="BK63" s="37" t="n">
        <f aca="false">BK33*'Hiring plan'!$K$29*(1+Salary_Raise)^(BK$5-1)</f>
        <v>0</v>
      </c>
      <c r="BL63" s="37" t="n">
        <f aca="false">BL33*'Hiring plan'!$K$29*(1+Salary_Raise)^(BL$5-1)</f>
        <v>0</v>
      </c>
    </row>
    <row r="64" customFormat="false" ht="15" hidden="false" customHeight="false" outlineLevel="0" collapsed="false">
      <c r="A64" s="12" t="str">
        <f aca="false">A34</f>
        <v>(spare line 26)</v>
      </c>
      <c r="B64" s="14" t="s">
        <v>71</v>
      </c>
      <c r="D64" s="55" t="n">
        <f aca="false">SUM(E64:BL64)</f>
        <v>0</v>
      </c>
      <c r="E64" s="37" t="n">
        <f aca="false">E34*'Hiring plan'!$K$30*(1+Salary_Raise)^(E$5-1)</f>
        <v>0</v>
      </c>
      <c r="F64" s="37" t="n">
        <f aca="false">F34*'Hiring plan'!$K$30*(1+Salary_Raise)^(F$5-1)</f>
        <v>0</v>
      </c>
      <c r="G64" s="37" t="n">
        <f aca="false">G34*'Hiring plan'!$K$30*(1+Salary_Raise)^(G$5-1)</f>
        <v>0</v>
      </c>
      <c r="H64" s="37" t="n">
        <f aca="false">H34*'Hiring plan'!$K$30*(1+Salary_Raise)^(H$5-1)</f>
        <v>0</v>
      </c>
      <c r="I64" s="37" t="n">
        <f aca="false">I34*'Hiring plan'!$K$30*(1+Salary_Raise)^(I$5-1)</f>
        <v>0</v>
      </c>
      <c r="J64" s="37" t="n">
        <f aca="false">J34*'Hiring plan'!$K$30*(1+Salary_Raise)^(J$5-1)</f>
        <v>0</v>
      </c>
      <c r="K64" s="37" t="n">
        <f aca="false">K34*'Hiring plan'!$K$30*(1+Salary_Raise)^(K$5-1)</f>
        <v>0</v>
      </c>
      <c r="L64" s="37" t="n">
        <f aca="false">L34*'Hiring plan'!$K$30*(1+Salary_Raise)^(L$5-1)</f>
        <v>0</v>
      </c>
      <c r="M64" s="37" t="n">
        <f aca="false">M34*'Hiring plan'!$K$30*(1+Salary_Raise)^(M$5-1)</f>
        <v>0</v>
      </c>
      <c r="N64" s="37" t="n">
        <f aca="false">N34*'Hiring plan'!$K$30*(1+Salary_Raise)^(N$5-1)</f>
        <v>0</v>
      </c>
      <c r="O64" s="37" t="n">
        <f aca="false">O34*'Hiring plan'!$K$30*(1+Salary_Raise)^(O$5-1)</f>
        <v>0</v>
      </c>
      <c r="P64" s="37" t="n">
        <f aca="false">P34*'Hiring plan'!$K$30*(1+Salary_Raise)^(P$5-1)</f>
        <v>0</v>
      </c>
      <c r="Q64" s="37" t="n">
        <f aca="false">Q34*'Hiring plan'!$K$30*(1+Salary_Raise)^(Q$5-1)</f>
        <v>0</v>
      </c>
      <c r="R64" s="37" t="n">
        <f aca="false">R34*'Hiring plan'!$K$30*(1+Salary_Raise)^(R$5-1)</f>
        <v>0</v>
      </c>
      <c r="S64" s="37" t="n">
        <f aca="false">S34*'Hiring plan'!$K$30*(1+Salary_Raise)^(S$5-1)</f>
        <v>0</v>
      </c>
      <c r="T64" s="37" t="n">
        <f aca="false">T34*'Hiring plan'!$K$30*(1+Salary_Raise)^(T$5-1)</f>
        <v>0</v>
      </c>
      <c r="U64" s="37" t="n">
        <f aca="false">U34*'Hiring plan'!$K$30*(1+Salary_Raise)^(U$5-1)</f>
        <v>0</v>
      </c>
      <c r="V64" s="37" t="n">
        <f aca="false">V34*'Hiring plan'!$K$30*(1+Salary_Raise)^(V$5-1)</f>
        <v>0</v>
      </c>
      <c r="W64" s="37" t="n">
        <f aca="false">W34*'Hiring plan'!$K$30*(1+Salary_Raise)^(W$5-1)</f>
        <v>0</v>
      </c>
      <c r="X64" s="37" t="n">
        <f aca="false">X34*'Hiring plan'!$K$30*(1+Salary_Raise)^(X$5-1)</f>
        <v>0</v>
      </c>
      <c r="Y64" s="37" t="n">
        <f aca="false">Y34*'Hiring plan'!$K$30*(1+Salary_Raise)^(Y$5-1)</f>
        <v>0</v>
      </c>
      <c r="Z64" s="37" t="n">
        <f aca="false">Z34*'Hiring plan'!$K$30*(1+Salary_Raise)^(Z$5-1)</f>
        <v>0</v>
      </c>
      <c r="AA64" s="37" t="n">
        <f aca="false">AA34*'Hiring plan'!$K$30*(1+Salary_Raise)^(AA$5-1)</f>
        <v>0</v>
      </c>
      <c r="AB64" s="37" t="n">
        <f aca="false">AB34*'Hiring plan'!$K$30*(1+Salary_Raise)^(AB$5-1)</f>
        <v>0</v>
      </c>
      <c r="AC64" s="37" t="n">
        <f aca="false">AC34*'Hiring plan'!$K$30*(1+Salary_Raise)^(AC$5-1)</f>
        <v>0</v>
      </c>
      <c r="AD64" s="37" t="n">
        <f aca="false">AD34*'Hiring plan'!$K$30*(1+Salary_Raise)^(AD$5-1)</f>
        <v>0</v>
      </c>
      <c r="AE64" s="37" t="n">
        <f aca="false">AE34*'Hiring plan'!$K$30*(1+Salary_Raise)^(AE$5-1)</f>
        <v>0</v>
      </c>
      <c r="AF64" s="37" t="n">
        <f aca="false">AF34*'Hiring plan'!$K$30*(1+Salary_Raise)^(AF$5-1)</f>
        <v>0</v>
      </c>
      <c r="AG64" s="37" t="n">
        <f aca="false">AG34*'Hiring plan'!$K$30*(1+Salary_Raise)^(AG$5-1)</f>
        <v>0</v>
      </c>
      <c r="AH64" s="37" t="n">
        <f aca="false">AH34*'Hiring plan'!$K$30*(1+Salary_Raise)^(AH$5-1)</f>
        <v>0</v>
      </c>
      <c r="AI64" s="37" t="n">
        <f aca="false">AI34*'Hiring plan'!$K$30*(1+Salary_Raise)^(AI$5-1)</f>
        <v>0</v>
      </c>
      <c r="AJ64" s="37" t="n">
        <f aca="false">AJ34*'Hiring plan'!$K$30*(1+Salary_Raise)^(AJ$5-1)</f>
        <v>0</v>
      </c>
      <c r="AK64" s="37" t="n">
        <f aca="false">AK34*'Hiring plan'!$K$30*(1+Salary_Raise)^(AK$5-1)</f>
        <v>0</v>
      </c>
      <c r="AL64" s="37" t="n">
        <f aca="false">AL34*'Hiring plan'!$K$30*(1+Salary_Raise)^(AL$5-1)</f>
        <v>0</v>
      </c>
      <c r="AM64" s="37" t="n">
        <f aca="false">AM34*'Hiring plan'!$K$30*(1+Salary_Raise)^(AM$5-1)</f>
        <v>0</v>
      </c>
      <c r="AN64" s="37" t="n">
        <f aca="false">AN34*'Hiring plan'!$K$30*(1+Salary_Raise)^(AN$5-1)</f>
        <v>0</v>
      </c>
      <c r="AO64" s="37" t="n">
        <f aca="false">AO34*'Hiring plan'!$K$30*(1+Salary_Raise)^(AO$5-1)</f>
        <v>0</v>
      </c>
      <c r="AP64" s="37" t="n">
        <f aca="false">AP34*'Hiring plan'!$K$30*(1+Salary_Raise)^(AP$5-1)</f>
        <v>0</v>
      </c>
      <c r="AQ64" s="37" t="n">
        <f aca="false">AQ34*'Hiring plan'!$K$30*(1+Salary_Raise)^(AQ$5-1)</f>
        <v>0</v>
      </c>
      <c r="AR64" s="37" t="n">
        <f aca="false">AR34*'Hiring plan'!$K$30*(1+Salary_Raise)^(AR$5-1)</f>
        <v>0</v>
      </c>
      <c r="AS64" s="37" t="n">
        <f aca="false">AS34*'Hiring plan'!$K$30*(1+Salary_Raise)^(AS$5-1)</f>
        <v>0</v>
      </c>
      <c r="AT64" s="37" t="n">
        <f aca="false">AT34*'Hiring plan'!$K$30*(1+Salary_Raise)^(AT$5-1)</f>
        <v>0</v>
      </c>
      <c r="AU64" s="37" t="n">
        <f aca="false">AU34*'Hiring plan'!$K$30*(1+Salary_Raise)^(AU$5-1)</f>
        <v>0</v>
      </c>
      <c r="AV64" s="37" t="n">
        <f aca="false">AV34*'Hiring plan'!$K$30*(1+Salary_Raise)^(AV$5-1)</f>
        <v>0</v>
      </c>
      <c r="AW64" s="37" t="n">
        <f aca="false">AW34*'Hiring plan'!$K$30*(1+Salary_Raise)^(AW$5-1)</f>
        <v>0</v>
      </c>
      <c r="AX64" s="37" t="n">
        <f aca="false">AX34*'Hiring plan'!$K$30*(1+Salary_Raise)^(AX$5-1)</f>
        <v>0</v>
      </c>
      <c r="AY64" s="37" t="n">
        <f aca="false">AY34*'Hiring plan'!$K$30*(1+Salary_Raise)^(AY$5-1)</f>
        <v>0</v>
      </c>
      <c r="AZ64" s="37" t="n">
        <f aca="false">AZ34*'Hiring plan'!$K$30*(1+Salary_Raise)^(AZ$5-1)</f>
        <v>0</v>
      </c>
      <c r="BA64" s="37" t="n">
        <f aca="false">BA34*'Hiring plan'!$K$30*(1+Salary_Raise)^(BA$5-1)</f>
        <v>0</v>
      </c>
      <c r="BB64" s="37" t="n">
        <f aca="false">BB34*'Hiring plan'!$K$30*(1+Salary_Raise)^(BB$5-1)</f>
        <v>0</v>
      </c>
      <c r="BC64" s="37" t="n">
        <f aca="false">BC34*'Hiring plan'!$K$30*(1+Salary_Raise)^(BC$5-1)</f>
        <v>0</v>
      </c>
      <c r="BD64" s="37" t="n">
        <f aca="false">BD34*'Hiring plan'!$K$30*(1+Salary_Raise)^(BD$5-1)</f>
        <v>0</v>
      </c>
      <c r="BE64" s="37" t="n">
        <f aca="false">BE34*'Hiring plan'!$K$30*(1+Salary_Raise)^(BE$5-1)</f>
        <v>0</v>
      </c>
      <c r="BF64" s="37" t="n">
        <f aca="false">BF34*'Hiring plan'!$K$30*(1+Salary_Raise)^(BF$5-1)</f>
        <v>0</v>
      </c>
      <c r="BG64" s="37" t="n">
        <f aca="false">BG34*'Hiring plan'!$K$30*(1+Salary_Raise)^(BG$5-1)</f>
        <v>0</v>
      </c>
      <c r="BH64" s="37" t="n">
        <f aca="false">BH34*'Hiring plan'!$K$30*(1+Salary_Raise)^(BH$5-1)</f>
        <v>0</v>
      </c>
      <c r="BI64" s="37" t="n">
        <f aca="false">BI34*'Hiring plan'!$K$30*(1+Salary_Raise)^(BI$5-1)</f>
        <v>0</v>
      </c>
      <c r="BJ64" s="37" t="n">
        <f aca="false">BJ34*'Hiring plan'!$K$30*(1+Salary_Raise)^(BJ$5-1)</f>
        <v>0</v>
      </c>
      <c r="BK64" s="37" t="n">
        <f aca="false">BK34*'Hiring plan'!$K$30*(1+Salary_Raise)^(BK$5-1)</f>
        <v>0</v>
      </c>
      <c r="BL64" s="37" t="n">
        <f aca="false">BL34*'Hiring plan'!$K$30*(1+Salary_Raise)^(BL$5-1)</f>
        <v>0</v>
      </c>
    </row>
    <row r="65" customFormat="false" ht="15" hidden="false" customHeight="false" outlineLevel="0" collapsed="false">
      <c r="A65" s="12" t="str">
        <f aca="false">A35</f>
        <v>(spare line 27)</v>
      </c>
      <c r="B65" s="14" t="s">
        <v>71</v>
      </c>
      <c r="D65" s="55" t="n">
        <f aca="false">SUM(E65:BL65)</f>
        <v>0</v>
      </c>
      <c r="E65" s="37" t="n">
        <f aca="false">E35*'Hiring plan'!$K$31*(1+Salary_Raise)^(E$5-1)</f>
        <v>0</v>
      </c>
      <c r="F65" s="37" t="n">
        <f aca="false">F35*'Hiring plan'!$K$31*(1+Salary_Raise)^(F$5-1)</f>
        <v>0</v>
      </c>
      <c r="G65" s="37" t="n">
        <f aca="false">G35*'Hiring plan'!$K$31*(1+Salary_Raise)^(G$5-1)</f>
        <v>0</v>
      </c>
      <c r="H65" s="37" t="n">
        <f aca="false">H35*'Hiring plan'!$K$31*(1+Salary_Raise)^(H$5-1)</f>
        <v>0</v>
      </c>
      <c r="I65" s="37" t="n">
        <f aca="false">I35*'Hiring plan'!$K$31*(1+Salary_Raise)^(I$5-1)</f>
        <v>0</v>
      </c>
      <c r="J65" s="37" t="n">
        <f aca="false">J35*'Hiring plan'!$K$31*(1+Salary_Raise)^(J$5-1)</f>
        <v>0</v>
      </c>
      <c r="K65" s="37" t="n">
        <f aca="false">K35*'Hiring plan'!$K$31*(1+Salary_Raise)^(K$5-1)</f>
        <v>0</v>
      </c>
      <c r="L65" s="37" t="n">
        <f aca="false">L35*'Hiring plan'!$K$31*(1+Salary_Raise)^(L$5-1)</f>
        <v>0</v>
      </c>
      <c r="M65" s="37" t="n">
        <f aca="false">M35*'Hiring plan'!$K$31*(1+Salary_Raise)^(M$5-1)</f>
        <v>0</v>
      </c>
      <c r="N65" s="37" t="n">
        <f aca="false">N35*'Hiring plan'!$K$31*(1+Salary_Raise)^(N$5-1)</f>
        <v>0</v>
      </c>
      <c r="O65" s="37" t="n">
        <f aca="false">O35*'Hiring plan'!$K$31*(1+Salary_Raise)^(O$5-1)</f>
        <v>0</v>
      </c>
      <c r="P65" s="37" t="n">
        <f aca="false">P35*'Hiring plan'!$K$31*(1+Salary_Raise)^(P$5-1)</f>
        <v>0</v>
      </c>
      <c r="Q65" s="37" t="n">
        <f aca="false">Q35*'Hiring plan'!$K$31*(1+Salary_Raise)^(Q$5-1)</f>
        <v>0</v>
      </c>
      <c r="R65" s="37" t="n">
        <f aca="false">R35*'Hiring plan'!$K$31*(1+Salary_Raise)^(R$5-1)</f>
        <v>0</v>
      </c>
      <c r="S65" s="37" t="n">
        <f aca="false">S35*'Hiring plan'!$K$31*(1+Salary_Raise)^(S$5-1)</f>
        <v>0</v>
      </c>
      <c r="T65" s="37" t="n">
        <f aca="false">T35*'Hiring plan'!$K$31*(1+Salary_Raise)^(T$5-1)</f>
        <v>0</v>
      </c>
      <c r="U65" s="37" t="n">
        <f aca="false">U35*'Hiring plan'!$K$31*(1+Salary_Raise)^(U$5-1)</f>
        <v>0</v>
      </c>
      <c r="V65" s="37" t="n">
        <f aca="false">V35*'Hiring plan'!$K$31*(1+Salary_Raise)^(V$5-1)</f>
        <v>0</v>
      </c>
      <c r="W65" s="37" t="n">
        <f aca="false">W35*'Hiring plan'!$K$31*(1+Salary_Raise)^(W$5-1)</f>
        <v>0</v>
      </c>
      <c r="X65" s="37" t="n">
        <f aca="false">X35*'Hiring plan'!$K$31*(1+Salary_Raise)^(X$5-1)</f>
        <v>0</v>
      </c>
      <c r="Y65" s="37" t="n">
        <f aca="false">Y35*'Hiring plan'!$K$31*(1+Salary_Raise)^(Y$5-1)</f>
        <v>0</v>
      </c>
      <c r="Z65" s="37" t="n">
        <f aca="false">Z35*'Hiring plan'!$K$31*(1+Salary_Raise)^(Z$5-1)</f>
        <v>0</v>
      </c>
      <c r="AA65" s="37" t="n">
        <f aca="false">AA35*'Hiring plan'!$K$31*(1+Salary_Raise)^(AA$5-1)</f>
        <v>0</v>
      </c>
      <c r="AB65" s="37" t="n">
        <f aca="false">AB35*'Hiring plan'!$K$31*(1+Salary_Raise)^(AB$5-1)</f>
        <v>0</v>
      </c>
      <c r="AC65" s="37" t="n">
        <f aca="false">AC35*'Hiring plan'!$K$31*(1+Salary_Raise)^(AC$5-1)</f>
        <v>0</v>
      </c>
      <c r="AD65" s="37" t="n">
        <f aca="false">AD35*'Hiring plan'!$K$31*(1+Salary_Raise)^(AD$5-1)</f>
        <v>0</v>
      </c>
      <c r="AE65" s="37" t="n">
        <f aca="false">AE35*'Hiring plan'!$K$31*(1+Salary_Raise)^(AE$5-1)</f>
        <v>0</v>
      </c>
      <c r="AF65" s="37" t="n">
        <f aca="false">AF35*'Hiring plan'!$K$31*(1+Salary_Raise)^(AF$5-1)</f>
        <v>0</v>
      </c>
      <c r="AG65" s="37" t="n">
        <f aca="false">AG35*'Hiring plan'!$K$31*(1+Salary_Raise)^(AG$5-1)</f>
        <v>0</v>
      </c>
      <c r="AH65" s="37" t="n">
        <f aca="false">AH35*'Hiring plan'!$K$31*(1+Salary_Raise)^(AH$5-1)</f>
        <v>0</v>
      </c>
      <c r="AI65" s="37" t="n">
        <f aca="false">AI35*'Hiring plan'!$K$31*(1+Salary_Raise)^(AI$5-1)</f>
        <v>0</v>
      </c>
      <c r="AJ65" s="37" t="n">
        <f aca="false">AJ35*'Hiring plan'!$K$31*(1+Salary_Raise)^(AJ$5-1)</f>
        <v>0</v>
      </c>
      <c r="AK65" s="37" t="n">
        <f aca="false">AK35*'Hiring plan'!$K$31*(1+Salary_Raise)^(AK$5-1)</f>
        <v>0</v>
      </c>
      <c r="AL65" s="37" t="n">
        <f aca="false">AL35*'Hiring plan'!$K$31*(1+Salary_Raise)^(AL$5-1)</f>
        <v>0</v>
      </c>
      <c r="AM65" s="37" t="n">
        <f aca="false">AM35*'Hiring plan'!$K$31*(1+Salary_Raise)^(AM$5-1)</f>
        <v>0</v>
      </c>
      <c r="AN65" s="37" t="n">
        <f aca="false">AN35*'Hiring plan'!$K$31*(1+Salary_Raise)^(AN$5-1)</f>
        <v>0</v>
      </c>
      <c r="AO65" s="37" t="n">
        <f aca="false">AO35*'Hiring plan'!$K$31*(1+Salary_Raise)^(AO$5-1)</f>
        <v>0</v>
      </c>
      <c r="AP65" s="37" t="n">
        <f aca="false">AP35*'Hiring plan'!$K$31*(1+Salary_Raise)^(AP$5-1)</f>
        <v>0</v>
      </c>
      <c r="AQ65" s="37" t="n">
        <f aca="false">AQ35*'Hiring plan'!$K$31*(1+Salary_Raise)^(AQ$5-1)</f>
        <v>0</v>
      </c>
      <c r="AR65" s="37" t="n">
        <f aca="false">AR35*'Hiring plan'!$K$31*(1+Salary_Raise)^(AR$5-1)</f>
        <v>0</v>
      </c>
      <c r="AS65" s="37" t="n">
        <f aca="false">AS35*'Hiring plan'!$K$31*(1+Salary_Raise)^(AS$5-1)</f>
        <v>0</v>
      </c>
      <c r="AT65" s="37" t="n">
        <f aca="false">AT35*'Hiring plan'!$K$31*(1+Salary_Raise)^(AT$5-1)</f>
        <v>0</v>
      </c>
      <c r="AU65" s="37" t="n">
        <f aca="false">AU35*'Hiring plan'!$K$31*(1+Salary_Raise)^(AU$5-1)</f>
        <v>0</v>
      </c>
      <c r="AV65" s="37" t="n">
        <f aca="false">AV35*'Hiring plan'!$K$31*(1+Salary_Raise)^(AV$5-1)</f>
        <v>0</v>
      </c>
      <c r="AW65" s="37" t="n">
        <f aca="false">AW35*'Hiring plan'!$K$31*(1+Salary_Raise)^(AW$5-1)</f>
        <v>0</v>
      </c>
      <c r="AX65" s="37" t="n">
        <f aca="false">AX35*'Hiring plan'!$K$31*(1+Salary_Raise)^(AX$5-1)</f>
        <v>0</v>
      </c>
      <c r="AY65" s="37" t="n">
        <f aca="false">AY35*'Hiring plan'!$K$31*(1+Salary_Raise)^(AY$5-1)</f>
        <v>0</v>
      </c>
      <c r="AZ65" s="37" t="n">
        <f aca="false">AZ35*'Hiring plan'!$K$31*(1+Salary_Raise)^(AZ$5-1)</f>
        <v>0</v>
      </c>
      <c r="BA65" s="37" t="n">
        <f aca="false">BA35*'Hiring plan'!$K$31*(1+Salary_Raise)^(BA$5-1)</f>
        <v>0</v>
      </c>
      <c r="BB65" s="37" t="n">
        <f aca="false">BB35*'Hiring plan'!$K$31*(1+Salary_Raise)^(BB$5-1)</f>
        <v>0</v>
      </c>
      <c r="BC65" s="37" t="n">
        <f aca="false">BC35*'Hiring plan'!$K$31*(1+Salary_Raise)^(BC$5-1)</f>
        <v>0</v>
      </c>
      <c r="BD65" s="37" t="n">
        <f aca="false">BD35*'Hiring plan'!$K$31*(1+Salary_Raise)^(BD$5-1)</f>
        <v>0</v>
      </c>
      <c r="BE65" s="37" t="n">
        <f aca="false">BE35*'Hiring plan'!$K$31*(1+Salary_Raise)^(BE$5-1)</f>
        <v>0</v>
      </c>
      <c r="BF65" s="37" t="n">
        <f aca="false">BF35*'Hiring plan'!$K$31*(1+Salary_Raise)^(BF$5-1)</f>
        <v>0</v>
      </c>
      <c r="BG65" s="37" t="n">
        <f aca="false">BG35*'Hiring plan'!$K$31*(1+Salary_Raise)^(BG$5-1)</f>
        <v>0</v>
      </c>
      <c r="BH65" s="37" t="n">
        <f aca="false">BH35*'Hiring plan'!$K$31*(1+Salary_Raise)^(BH$5-1)</f>
        <v>0</v>
      </c>
      <c r="BI65" s="37" t="n">
        <f aca="false">BI35*'Hiring plan'!$K$31*(1+Salary_Raise)^(BI$5-1)</f>
        <v>0</v>
      </c>
      <c r="BJ65" s="37" t="n">
        <f aca="false">BJ35*'Hiring plan'!$K$31*(1+Salary_Raise)^(BJ$5-1)</f>
        <v>0</v>
      </c>
      <c r="BK65" s="37" t="n">
        <f aca="false">BK35*'Hiring plan'!$K$31*(1+Salary_Raise)^(BK$5-1)</f>
        <v>0</v>
      </c>
      <c r="BL65" s="37" t="n">
        <f aca="false">BL35*'Hiring plan'!$K$31*(1+Salary_Raise)^(BL$5-1)</f>
        <v>0</v>
      </c>
    </row>
    <row r="66" customFormat="false" ht="15" hidden="false" customHeight="false" outlineLevel="0" collapsed="false">
      <c r="A66" s="12" t="str">
        <f aca="false">A36</f>
        <v>(spare line 28)</v>
      </c>
      <c r="B66" s="14" t="s">
        <v>71</v>
      </c>
      <c r="D66" s="55" t="n">
        <f aca="false">SUM(E66:BL66)</f>
        <v>0</v>
      </c>
      <c r="E66" s="37" t="n">
        <f aca="false">E36*'Hiring plan'!$K$32*(1+Salary_Raise)^(E$5-1)</f>
        <v>0</v>
      </c>
      <c r="F66" s="37" t="n">
        <f aca="false">F36*'Hiring plan'!$K$32*(1+Salary_Raise)^(F$5-1)</f>
        <v>0</v>
      </c>
      <c r="G66" s="37" t="n">
        <f aca="false">G36*'Hiring plan'!$K$32*(1+Salary_Raise)^(G$5-1)</f>
        <v>0</v>
      </c>
      <c r="H66" s="37" t="n">
        <f aca="false">H36*'Hiring plan'!$K$32*(1+Salary_Raise)^(H$5-1)</f>
        <v>0</v>
      </c>
      <c r="I66" s="37" t="n">
        <f aca="false">I36*'Hiring plan'!$K$32*(1+Salary_Raise)^(I$5-1)</f>
        <v>0</v>
      </c>
      <c r="J66" s="37" t="n">
        <f aca="false">J36*'Hiring plan'!$K$32*(1+Salary_Raise)^(J$5-1)</f>
        <v>0</v>
      </c>
      <c r="K66" s="37" t="n">
        <f aca="false">K36*'Hiring plan'!$K$32*(1+Salary_Raise)^(K$5-1)</f>
        <v>0</v>
      </c>
      <c r="L66" s="37" t="n">
        <f aca="false">L36*'Hiring plan'!$K$32*(1+Salary_Raise)^(L$5-1)</f>
        <v>0</v>
      </c>
      <c r="M66" s="37" t="n">
        <f aca="false">M36*'Hiring plan'!$K$32*(1+Salary_Raise)^(M$5-1)</f>
        <v>0</v>
      </c>
      <c r="N66" s="37" t="n">
        <f aca="false">N36*'Hiring plan'!$K$32*(1+Salary_Raise)^(N$5-1)</f>
        <v>0</v>
      </c>
      <c r="O66" s="37" t="n">
        <f aca="false">O36*'Hiring plan'!$K$32*(1+Salary_Raise)^(O$5-1)</f>
        <v>0</v>
      </c>
      <c r="P66" s="37" t="n">
        <f aca="false">P36*'Hiring plan'!$K$32*(1+Salary_Raise)^(P$5-1)</f>
        <v>0</v>
      </c>
      <c r="Q66" s="37" t="n">
        <f aca="false">Q36*'Hiring plan'!$K$32*(1+Salary_Raise)^(Q$5-1)</f>
        <v>0</v>
      </c>
      <c r="R66" s="37" t="n">
        <f aca="false">R36*'Hiring plan'!$K$32*(1+Salary_Raise)^(R$5-1)</f>
        <v>0</v>
      </c>
      <c r="S66" s="37" t="n">
        <f aca="false">S36*'Hiring plan'!$K$32*(1+Salary_Raise)^(S$5-1)</f>
        <v>0</v>
      </c>
      <c r="T66" s="37" t="n">
        <f aca="false">T36*'Hiring plan'!$K$32*(1+Salary_Raise)^(T$5-1)</f>
        <v>0</v>
      </c>
      <c r="U66" s="37" t="n">
        <f aca="false">U36*'Hiring plan'!$K$32*(1+Salary_Raise)^(U$5-1)</f>
        <v>0</v>
      </c>
      <c r="V66" s="37" t="n">
        <f aca="false">V36*'Hiring plan'!$K$32*(1+Salary_Raise)^(V$5-1)</f>
        <v>0</v>
      </c>
      <c r="W66" s="37" t="n">
        <f aca="false">W36*'Hiring plan'!$K$32*(1+Salary_Raise)^(W$5-1)</f>
        <v>0</v>
      </c>
      <c r="X66" s="37" t="n">
        <f aca="false">X36*'Hiring plan'!$K$32*(1+Salary_Raise)^(X$5-1)</f>
        <v>0</v>
      </c>
      <c r="Y66" s="37" t="n">
        <f aca="false">Y36*'Hiring plan'!$K$32*(1+Salary_Raise)^(Y$5-1)</f>
        <v>0</v>
      </c>
      <c r="Z66" s="37" t="n">
        <f aca="false">Z36*'Hiring plan'!$K$32*(1+Salary_Raise)^(Z$5-1)</f>
        <v>0</v>
      </c>
      <c r="AA66" s="37" t="n">
        <f aca="false">AA36*'Hiring plan'!$K$32*(1+Salary_Raise)^(AA$5-1)</f>
        <v>0</v>
      </c>
      <c r="AB66" s="37" t="n">
        <f aca="false">AB36*'Hiring plan'!$K$32*(1+Salary_Raise)^(AB$5-1)</f>
        <v>0</v>
      </c>
      <c r="AC66" s="37" t="n">
        <f aca="false">AC36*'Hiring plan'!$K$32*(1+Salary_Raise)^(AC$5-1)</f>
        <v>0</v>
      </c>
      <c r="AD66" s="37" t="n">
        <f aca="false">AD36*'Hiring plan'!$K$32*(1+Salary_Raise)^(AD$5-1)</f>
        <v>0</v>
      </c>
      <c r="AE66" s="37" t="n">
        <f aca="false">AE36*'Hiring plan'!$K$32*(1+Salary_Raise)^(AE$5-1)</f>
        <v>0</v>
      </c>
      <c r="AF66" s="37" t="n">
        <f aca="false">AF36*'Hiring plan'!$K$32*(1+Salary_Raise)^(AF$5-1)</f>
        <v>0</v>
      </c>
      <c r="AG66" s="37" t="n">
        <f aca="false">AG36*'Hiring plan'!$K$32*(1+Salary_Raise)^(AG$5-1)</f>
        <v>0</v>
      </c>
      <c r="AH66" s="37" t="n">
        <f aca="false">AH36*'Hiring plan'!$K$32*(1+Salary_Raise)^(AH$5-1)</f>
        <v>0</v>
      </c>
      <c r="AI66" s="37" t="n">
        <f aca="false">AI36*'Hiring plan'!$K$32*(1+Salary_Raise)^(AI$5-1)</f>
        <v>0</v>
      </c>
      <c r="AJ66" s="37" t="n">
        <f aca="false">AJ36*'Hiring plan'!$K$32*(1+Salary_Raise)^(AJ$5-1)</f>
        <v>0</v>
      </c>
      <c r="AK66" s="37" t="n">
        <f aca="false">AK36*'Hiring plan'!$K$32*(1+Salary_Raise)^(AK$5-1)</f>
        <v>0</v>
      </c>
      <c r="AL66" s="37" t="n">
        <f aca="false">AL36*'Hiring plan'!$K$32*(1+Salary_Raise)^(AL$5-1)</f>
        <v>0</v>
      </c>
      <c r="AM66" s="37" t="n">
        <f aca="false">AM36*'Hiring plan'!$K$32*(1+Salary_Raise)^(AM$5-1)</f>
        <v>0</v>
      </c>
      <c r="AN66" s="37" t="n">
        <f aca="false">AN36*'Hiring plan'!$K$32*(1+Salary_Raise)^(AN$5-1)</f>
        <v>0</v>
      </c>
      <c r="AO66" s="37" t="n">
        <f aca="false">AO36*'Hiring plan'!$K$32*(1+Salary_Raise)^(AO$5-1)</f>
        <v>0</v>
      </c>
      <c r="AP66" s="37" t="n">
        <f aca="false">AP36*'Hiring plan'!$K$32*(1+Salary_Raise)^(AP$5-1)</f>
        <v>0</v>
      </c>
      <c r="AQ66" s="37" t="n">
        <f aca="false">AQ36*'Hiring plan'!$K$32*(1+Salary_Raise)^(AQ$5-1)</f>
        <v>0</v>
      </c>
      <c r="AR66" s="37" t="n">
        <f aca="false">AR36*'Hiring plan'!$K$32*(1+Salary_Raise)^(AR$5-1)</f>
        <v>0</v>
      </c>
      <c r="AS66" s="37" t="n">
        <f aca="false">AS36*'Hiring plan'!$K$32*(1+Salary_Raise)^(AS$5-1)</f>
        <v>0</v>
      </c>
      <c r="AT66" s="37" t="n">
        <f aca="false">AT36*'Hiring plan'!$K$32*(1+Salary_Raise)^(AT$5-1)</f>
        <v>0</v>
      </c>
      <c r="AU66" s="37" t="n">
        <f aca="false">AU36*'Hiring plan'!$K$32*(1+Salary_Raise)^(AU$5-1)</f>
        <v>0</v>
      </c>
      <c r="AV66" s="37" t="n">
        <f aca="false">AV36*'Hiring plan'!$K$32*(1+Salary_Raise)^(AV$5-1)</f>
        <v>0</v>
      </c>
      <c r="AW66" s="37" t="n">
        <f aca="false">AW36*'Hiring plan'!$K$32*(1+Salary_Raise)^(AW$5-1)</f>
        <v>0</v>
      </c>
      <c r="AX66" s="37" t="n">
        <f aca="false">AX36*'Hiring plan'!$K$32*(1+Salary_Raise)^(AX$5-1)</f>
        <v>0</v>
      </c>
      <c r="AY66" s="37" t="n">
        <f aca="false">AY36*'Hiring plan'!$K$32*(1+Salary_Raise)^(AY$5-1)</f>
        <v>0</v>
      </c>
      <c r="AZ66" s="37" t="n">
        <f aca="false">AZ36*'Hiring plan'!$K$32*(1+Salary_Raise)^(AZ$5-1)</f>
        <v>0</v>
      </c>
      <c r="BA66" s="37" t="n">
        <f aca="false">BA36*'Hiring plan'!$K$32*(1+Salary_Raise)^(BA$5-1)</f>
        <v>0</v>
      </c>
      <c r="BB66" s="37" t="n">
        <f aca="false">BB36*'Hiring plan'!$K$32*(1+Salary_Raise)^(BB$5-1)</f>
        <v>0</v>
      </c>
      <c r="BC66" s="37" t="n">
        <f aca="false">BC36*'Hiring plan'!$K$32*(1+Salary_Raise)^(BC$5-1)</f>
        <v>0</v>
      </c>
      <c r="BD66" s="37" t="n">
        <f aca="false">BD36*'Hiring plan'!$K$32*(1+Salary_Raise)^(BD$5-1)</f>
        <v>0</v>
      </c>
      <c r="BE66" s="37" t="n">
        <f aca="false">BE36*'Hiring plan'!$K$32*(1+Salary_Raise)^(BE$5-1)</f>
        <v>0</v>
      </c>
      <c r="BF66" s="37" t="n">
        <f aca="false">BF36*'Hiring plan'!$K$32*(1+Salary_Raise)^(BF$5-1)</f>
        <v>0</v>
      </c>
      <c r="BG66" s="37" t="n">
        <f aca="false">BG36*'Hiring plan'!$K$32*(1+Salary_Raise)^(BG$5-1)</f>
        <v>0</v>
      </c>
      <c r="BH66" s="37" t="n">
        <f aca="false">BH36*'Hiring plan'!$K$32*(1+Salary_Raise)^(BH$5-1)</f>
        <v>0</v>
      </c>
      <c r="BI66" s="37" t="n">
        <f aca="false">BI36*'Hiring plan'!$K$32*(1+Salary_Raise)^(BI$5-1)</f>
        <v>0</v>
      </c>
      <c r="BJ66" s="37" t="n">
        <f aca="false">BJ36*'Hiring plan'!$K$32*(1+Salary_Raise)^(BJ$5-1)</f>
        <v>0</v>
      </c>
      <c r="BK66" s="37" t="n">
        <f aca="false">BK36*'Hiring plan'!$K$32*(1+Salary_Raise)^(BK$5-1)</f>
        <v>0</v>
      </c>
      <c r="BL66" s="37" t="n">
        <f aca="false">BL36*'Hiring plan'!$K$32*(1+Salary_Raise)^(BL$5-1)</f>
        <v>0</v>
      </c>
    </row>
    <row r="68" customFormat="false" ht="15" hidden="false" customHeight="false" outlineLevel="0" collapsed="false">
      <c r="A68" s="10" t="s">
        <v>685</v>
      </c>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c r="BC68" s="11"/>
      <c r="BD68" s="11"/>
      <c r="BE68" s="11"/>
      <c r="BF68" s="11"/>
      <c r="BG68" s="11"/>
      <c r="BH68" s="11"/>
      <c r="BI68" s="11"/>
      <c r="BJ68" s="11"/>
      <c r="BK68" s="11"/>
      <c r="BL68" s="11"/>
    </row>
    <row r="69" customFormat="false" ht="15" hidden="false" customHeight="false" outlineLevel="0" collapsed="false">
      <c r="A69" s="12" t="s">
        <v>686</v>
      </c>
      <c r="B69" s="14" t="s">
        <v>86</v>
      </c>
      <c r="D69" s="55" t="n">
        <f aca="false">MAX(E69:BL69)</f>
        <v>33</v>
      </c>
      <c r="E69" s="37" t="n">
        <f aca="false">IF(E$3&gt;=Support_Start,MAX(Support_Min,ROUNDUP('Clients &amp; revenue'!E17/Clients_per_Support+'Clients &amp; revenue'!E32/EmpAcc_per_Support,0)),0)</f>
        <v>0</v>
      </c>
      <c r="F69" s="37" t="n">
        <f aca="false">IF(F$3&gt;=Support_Start,MAX(Support_Min,ROUNDUP('Clients &amp; revenue'!F17/Clients_per_Support+'Clients &amp; revenue'!F32/EmpAcc_per_Support,0)),0)</f>
        <v>0</v>
      </c>
      <c r="G69" s="37" t="n">
        <f aca="false">IF(G$3&gt;=Support_Start,MAX(Support_Min,ROUNDUP('Clients &amp; revenue'!G17/Clients_per_Support+'Clients &amp; revenue'!G32/EmpAcc_per_Support,0)),0)</f>
        <v>0</v>
      </c>
      <c r="H69" s="37" t="n">
        <f aca="false">IF(H$3&gt;=Support_Start,MAX(Support_Min,ROUNDUP('Clients &amp; revenue'!H17/Clients_per_Support+'Clients &amp; revenue'!H32/EmpAcc_per_Support,0)),0)</f>
        <v>2</v>
      </c>
      <c r="I69" s="37" t="n">
        <f aca="false">IF(I$3&gt;=Support_Start,MAX(Support_Min,ROUNDUP('Clients &amp; revenue'!I17/Clients_per_Support+'Clients &amp; revenue'!I32/EmpAcc_per_Support,0)),0)</f>
        <v>2</v>
      </c>
      <c r="J69" s="37" t="n">
        <f aca="false">IF(J$3&gt;=Support_Start,MAX(Support_Min,ROUNDUP('Clients &amp; revenue'!J17/Clients_per_Support+'Clients &amp; revenue'!J32/EmpAcc_per_Support,0)),0)</f>
        <v>2</v>
      </c>
      <c r="K69" s="37" t="n">
        <f aca="false">IF(K$3&gt;=Support_Start,MAX(Support_Min,ROUNDUP('Clients &amp; revenue'!K17/Clients_per_Support+'Clients &amp; revenue'!K32/EmpAcc_per_Support,0)),0)</f>
        <v>2</v>
      </c>
      <c r="L69" s="37" t="n">
        <f aca="false">IF(L$3&gt;=Support_Start,MAX(Support_Min,ROUNDUP('Clients &amp; revenue'!L17/Clients_per_Support+'Clients &amp; revenue'!L32/EmpAcc_per_Support,0)),0)</f>
        <v>2</v>
      </c>
      <c r="M69" s="37" t="n">
        <f aca="false">IF(M$3&gt;=Support_Start,MAX(Support_Min,ROUNDUP('Clients &amp; revenue'!M17/Clients_per_Support+'Clients &amp; revenue'!M32/EmpAcc_per_Support,0)),0)</f>
        <v>2</v>
      </c>
      <c r="N69" s="37" t="n">
        <f aca="false">IF(N$3&gt;=Support_Start,MAX(Support_Min,ROUNDUP('Clients &amp; revenue'!N17/Clients_per_Support+'Clients &amp; revenue'!N32/EmpAcc_per_Support,0)),0)</f>
        <v>2</v>
      </c>
      <c r="O69" s="37" t="n">
        <f aca="false">IF(O$3&gt;=Support_Start,MAX(Support_Min,ROUNDUP('Clients &amp; revenue'!O17/Clients_per_Support+'Clients &amp; revenue'!O32/EmpAcc_per_Support,0)),0)</f>
        <v>2</v>
      </c>
      <c r="P69" s="37" t="n">
        <f aca="false">IF(P$3&gt;=Support_Start,MAX(Support_Min,ROUNDUP('Clients &amp; revenue'!P17/Clients_per_Support+'Clients &amp; revenue'!P32/EmpAcc_per_Support,0)),0)</f>
        <v>2</v>
      </c>
      <c r="Q69" s="37" t="n">
        <f aca="false">IF(Q$3&gt;=Support_Start,MAX(Support_Min,ROUNDUP('Clients &amp; revenue'!Q17/Clients_per_Support+'Clients &amp; revenue'!Q32/EmpAcc_per_Support,0)),0)</f>
        <v>2</v>
      </c>
      <c r="R69" s="37" t="n">
        <f aca="false">IF(R$3&gt;=Support_Start,MAX(Support_Min,ROUNDUP('Clients &amp; revenue'!R17/Clients_per_Support+'Clients &amp; revenue'!R32/EmpAcc_per_Support,0)),0)</f>
        <v>2</v>
      </c>
      <c r="S69" s="37" t="n">
        <f aca="false">IF(S$3&gt;=Support_Start,MAX(Support_Min,ROUNDUP('Clients &amp; revenue'!S17/Clients_per_Support+'Clients &amp; revenue'!S32/EmpAcc_per_Support,0)),0)</f>
        <v>2</v>
      </c>
      <c r="T69" s="37" t="n">
        <f aca="false">IF(T$3&gt;=Support_Start,MAX(Support_Min,ROUNDUP('Clients &amp; revenue'!T17/Clients_per_Support+'Clients &amp; revenue'!T32/EmpAcc_per_Support,0)),0)</f>
        <v>2</v>
      </c>
      <c r="U69" s="37" t="n">
        <f aca="false">IF(U$3&gt;=Support_Start,MAX(Support_Min,ROUNDUP('Clients &amp; revenue'!U17/Clients_per_Support+'Clients &amp; revenue'!U32/EmpAcc_per_Support,0)),0)</f>
        <v>2</v>
      </c>
      <c r="V69" s="37" t="n">
        <f aca="false">IF(V$3&gt;=Support_Start,MAX(Support_Min,ROUNDUP('Clients &amp; revenue'!V17/Clients_per_Support+'Clients &amp; revenue'!V32/EmpAcc_per_Support,0)),0)</f>
        <v>2</v>
      </c>
      <c r="W69" s="37" t="n">
        <f aca="false">IF(W$3&gt;=Support_Start,MAX(Support_Min,ROUNDUP('Clients &amp; revenue'!W17/Clients_per_Support+'Clients &amp; revenue'!W32/EmpAcc_per_Support,0)),0)</f>
        <v>3</v>
      </c>
      <c r="X69" s="37" t="n">
        <f aca="false">IF(X$3&gt;=Support_Start,MAX(Support_Min,ROUNDUP('Clients &amp; revenue'!X17/Clients_per_Support+'Clients &amp; revenue'!X32/EmpAcc_per_Support,0)),0)</f>
        <v>3</v>
      </c>
      <c r="Y69" s="37" t="n">
        <f aca="false">IF(Y$3&gt;=Support_Start,MAX(Support_Min,ROUNDUP('Clients &amp; revenue'!Y17/Clients_per_Support+'Clients &amp; revenue'!Y32/EmpAcc_per_Support,0)),0)</f>
        <v>3</v>
      </c>
      <c r="Z69" s="37" t="n">
        <f aca="false">IF(Z$3&gt;=Support_Start,MAX(Support_Min,ROUNDUP('Clients &amp; revenue'!Z17/Clients_per_Support+'Clients &amp; revenue'!Z32/EmpAcc_per_Support,0)),0)</f>
        <v>3</v>
      </c>
      <c r="AA69" s="37" t="n">
        <f aca="false">IF(AA$3&gt;=Support_Start,MAX(Support_Min,ROUNDUP('Clients &amp; revenue'!AA17/Clients_per_Support+'Clients &amp; revenue'!AA32/EmpAcc_per_Support,0)),0)</f>
        <v>4</v>
      </c>
      <c r="AB69" s="37" t="n">
        <f aca="false">IF(AB$3&gt;=Support_Start,MAX(Support_Min,ROUNDUP('Clients &amp; revenue'!AB17/Clients_per_Support+'Clients &amp; revenue'!AB32/EmpAcc_per_Support,0)),0)</f>
        <v>4</v>
      </c>
      <c r="AC69" s="37" t="n">
        <f aca="false">IF(AC$3&gt;=Support_Start,MAX(Support_Min,ROUNDUP('Clients &amp; revenue'!AC17/Clients_per_Support+'Clients &amp; revenue'!AC32/EmpAcc_per_Support,0)),0)</f>
        <v>4</v>
      </c>
      <c r="AD69" s="37" t="n">
        <f aca="false">IF(AD$3&gt;=Support_Start,MAX(Support_Min,ROUNDUP('Clients &amp; revenue'!AD17/Clients_per_Support+'Clients &amp; revenue'!AD32/EmpAcc_per_Support,0)),0)</f>
        <v>4</v>
      </c>
      <c r="AE69" s="37" t="n">
        <f aca="false">IF(AE$3&gt;=Support_Start,MAX(Support_Min,ROUNDUP('Clients &amp; revenue'!AE17/Clients_per_Support+'Clients &amp; revenue'!AE32/EmpAcc_per_Support,0)),0)</f>
        <v>5</v>
      </c>
      <c r="AF69" s="37" t="n">
        <f aca="false">IF(AF$3&gt;=Support_Start,MAX(Support_Min,ROUNDUP('Clients &amp; revenue'!AF17/Clients_per_Support+'Clients &amp; revenue'!AF32/EmpAcc_per_Support,0)),0)</f>
        <v>5</v>
      </c>
      <c r="AG69" s="37" t="n">
        <f aca="false">IF(AG$3&gt;=Support_Start,MAX(Support_Min,ROUNDUP('Clients &amp; revenue'!AG17/Clients_per_Support+'Clients &amp; revenue'!AG32/EmpAcc_per_Support,0)),0)</f>
        <v>8</v>
      </c>
      <c r="AH69" s="37" t="n">
        <f aca="false">IF(AH$3&gt;=Support_Start,MAX(Support_Min,ROUNDUP('Clients &amp; revenue'!AH17/Clients_per_Support+'Clients &amp; revenue'!AH32/EmpAcc_per_Support,0)),0)</f>
        <v>8</v>
      </c>
      <c r="AI69" s="37" t="n">
        <f aca="false">IF(AI$3&gt;=Support_Start,MAX(Support_Min,ROUNDUP('Clients &amp; revenue'!AI17/Clients_per_Support+'Clients &amp; revenue'!AI32/EmpAcc_per_Support,0)),0)</f>
        <v>9</v>
      </c>
      <c r="AJ69" s="37" t="n">
        <f aca="false">IF(AJ$3&gt;=Support_Start,MAX(Support_Min,ROUNDUP('Clients &amp; revenue'!AJ17/Clients_per_Support+'Clients &amp; revenue'!AJ32/EmpAcc_per_Support,0)),0)</f>
        <v>10</v>
      </c>
      <c r="AK69" s="37" t="n">
        <f aca="false">IF(AK$3&gt;=Support_Start,MAX(Support_Min,ROUNDUP('Clients &amp; revenue'!AK17/Clients_per_Support+'Clients &amp; revenue'!AK32/EmpAcc_per_Support,0)),0)</f>
        <v>10</v>
      </c>
      <c r="AL69" s="37" t="n">
        <f aca="false">IF(AL$3&gt;=Support_Start,MAX(Support_Min,ROUNDUP('Clients &amp; revenue'!AL17/Clients_per_Support+'Clients &amp; revenue'!AL32/EmpAcc_per_Support,0)),0)</f>
        <v>11</v>
      </c>
      <c r="AM69" s="37" t="n">
        <f aca="false">IF(AM$3&gt;=Support_Start,MAX(Support_Min,ROUNDUP('Clients &amp; revenue'!AM17/Clients_per_Support+'Clients &amp; revenue'!AM32/EmpAcc_per_Support,0)),0)</f>
        <v>11</v>
      </c>
      <c r="AN69" s="37" t="n">
        <f aca="false">IF(AN$3&gt;=Support_Start,MAX(Support_Min,ROUNDUP('Clients &amp; revenue'!AN17/Clients_per_Support+'Clients &amp; revenue'!AN32/EmpAcc_per_Support,0)),0)</f>
        <v>12</v>
      </c>
      <c r="AO69" s="37" t="n">
        <f aca="false">IF(AO$3&gt;=Support_Start,MAX(Support_Min,ROUNDUP('Clients &amp; revenue'!AO17/Clients_per_Support+'Clients &amp; revenue'!AO32/EmpAcc_per_Support,0)),0)</f>
        <v>13</v>
      </c>
      <c r="AP69" s="37" t="n">
        <f aca="false">IF(AP$3&gt;=Support_Start,MAX(Support_Min,ROUNDUP('Clients &amp; revenue'!AP17/Clients_per_Support+'Clients &amp; revenue'!AP32/EmpAcc_per_Support,0)),0)</f>
        <v>13</v>
      </c>
      <c r="AQ69" s="37" t="n">
        <f aca="false">IF(AQ$3&gt;=Support_Start,MAX(Support_Min,ROUNDUP('Clients &amp; revenue'!AQ17/Clients_per_Support+'Clients &amp; revenue'!AQ32/EmpAcc_per_Support,0)),0)</f>
        <v>14</v>
      </c>
      <c r="AR69" s="37" t="n">
        <f aca="false">IF(AR$3&gt;=Support_Start,MAX(Support_Min,ROUNDUP('Clients &amp; revenue'!AR17/Clients_per_Support+'Clients &amp; revenue'!AR32/EmpAcc_per_Support,0)),0)</f>
        <v>15</v>
      </c>
      <c r="AS69" s="37" t="n">
        <f aca="false">IF(AS$3&gt;=Support_Start,MAX(Support_Min,ROUNDUP('Clients &amp; revenue'!AS17/Clients_per_Support+'Clients &amp; revenue'!AS32/EmpAcc_per_Support,0)),0)</f>
        <v>16</v>
      </c>
      <c r="AT69" s="37" t="n">
        <f aca="false">IF(AT$3&gt;=Support_Start,MAX(Support_Min,ROUNDUP('Clients &amp; revenue'!AT17/Clients_per_Support+'Clients &amp; revenue'!AT32/EmpAcc_per_Support,0)),0)</f>
        <v>16</v>
      </c>
      <c r="AU69" s="37" t="n">
        <f aca="false">IF(AU$3&gt;=Support_Start,MAX(Support_Min,ROUNDUP('Clients &amp; revenue'!AU17/Clients_per_Support+'Clients &amp; revenue'!AU32/EmpAcc_per_Support,0)),0)</f>
        <v>17</v>
      </c>
      <c r="AV69" s="37" t="n">
        <f aca="false">IF(AV$3&gt;=Support_Start,MAX(Support_Min,ROUNDUP('Clients &amp; revenue'!AV17/Clients_per_Support+'Clients &amp; revenue'!AV32/EmpAcc_per_Support,0)),0)</f>
        <v>18</v>
      </c>
      <c r="AW69" s="37" t="n">
        <f aca="false">IF(AW$3&gt;=Support_Start,MAX(Support_Min,ROUNDUP('Clients &amp; revenue'!AW17/Clients_per_Support+'Clients &amp; revenue'!AW32/EmpAcc_per_Support,0)),0)</f>
        <v>19</v>
      </c>
      <c r="AX69" s="37" t="n">
        <f aca="false">IF(AX$3&gt;=Support_Start,MAX(Support_Min,ROUNDUP('Clients &amp; revenue'!AX17/Clients_per_Support+'Clients &amp; revenue'!AX32/EmpAcc_per_Support,0)),0)</f>
        <v>20</v>
      </c>
      <c r="AY69" s="37" t="n">
        <f aca="false">IF(AY$3&gt;=Support_Start,MAX(Support_Min,ROUNDUP('Clients &amp; revenue'!AY17/Clients_per_Support+'Clients &amp; revenue'!AY32/EmpAcc_per_Support,0)),0)</f>
        <v>20</v>
      </c>
      <c r="AZ69" s="37" t="n">
        <f aca="false">IF(AZ$3&gt;=Support_Start,MAX(Support_Min,ROUNDUP('Clients &amp; revenue'!AZ17/Clients_per_Support+'Clients &amp; revenue'!AZ32/EmpAcc_per_Support,0)),0)</f>
        <v>21</v>
      </c>
      <c r="BA69" s="37" t="n">
        <f aca="false">IF(BA$3&gt;=Support_Start,MAX(Support_Min,ROUNDUP('Clients &amp; revenue'!BA17/Clients_per_Support+'Clients &amp; revenue'!BA32/EmpAcc_per_Support,0)),0)</f>
        <v>22</v>
      </c>
      <c r="BB69" s="37" t="n">
        <f aca="false">IF(BB$3&gt;=Support_Start,MAX(Support_Min,ROUNDUP('Clients &amp; revenue'!BB17/Clients_per_Support+'Clients &amp; revenue'!BB32/EmpAcc_per_Support,0)),0)</f>
        <v>23</v>
      </c>
      <c r="BC69" s="37" t="n">
        <f aca="false">IF(BC$3&gt;=Support_Start,MAX(Support_Min,ROUNDUP('Clients &amp; revenue'!BC17/Clients_per_Support+'Clients &amp; revenue'!BC32/EmpAcc_per_Support,0)),0)</f>
        <v>24</v>
      </c>
      <c r="BD69" s="37" t="n">
        <f aca="false">IF(BD$3&gt;=Support_Start,MAX(Support_Min,ROUNDUP('Clients &amp; revenue'!BD17/Clients_per_Support+'Clients &amp; revenue'!BD32/EmpAcc_per_Support,0)),0)</f>
        <v>25</v>
      </c>
      <c r="BE69" s="37" t="n">
        <f aca="false">IF(BE$3&gt;=Support_Start,MAX(Support_Min,ROUNDUP('Clients &amp; revenue'!BE17/Clients_per_Support+'Clients &amp; revenue'!BE32/EmpAcc_per_Support,0)),0)</f>
        <v>26</v>
      </c>
      <c r="BF69" s="37" t="n">
        <f aca="false">IF(BF$3&gt;=Support_Start,MAX(Support_Min,ROUNDUP('Clients &amp; revenue'!BF17/Clients_per_Support+'Clients &amp; revenue'!BF32/EmpAcc_per_Support,0)),0)</f>
        <v>27</v>
      </c>
      <c r="BG69" s="37" t="n">
        <f aca="false">IF(BG$3&gt;=Support_Start,MAX(Support_Min,ROUNDUP('Clients &amp; revenue'!BG17/Clients_per_Support+'Clients &amp; revenue'!BG32/EmpAcc_per_Support,0)),0)</f>
        <v>28</v>
      </c>
      <c r="BH69" s="37" t="n">
        <f aca="false">IF(BH$3&gt;=Support_Start,MAX(Support_Min,ROUNDUP('Clients &amp; revenue'!BH17/Clients_per_Support+'Clients &amp; revenue'!BH32/EmpAcc_per_Support,0)),0)</f>
        <v>29</v>
      </c>
      <c r="BI69" s="37" t="n">
        <f aca="false">IF(BI$3&gt;=Support_Start,MAX(Support_Min,ROUNDUP('Clients &amp; revenue'!BI17/Clients_per_Support+'Clients &amp; revenue'!BI32/EmpAcc_per_Support,0)),0)</f>
        <v>30</v>
      </c>
      <c r="BJ69" s="37" t="n">
        <f aca="false">IF(BJ$3&gt;=Support_Start,MAX(Support_Min,ROUNDUP('Clients &amp; revenue'!BJ17/Clients_per_Support+'Clients &amp; revenue'!BJ32/EmpAcc_per_Support,0)),0)</f>
        <v>31</v>
      </c>
      <c r="BK69" s="37" t="n">
        <f aca="false">IF(BK$3&gt;=Support_Start,MAX(Support_Min,ROUNDUP('Clients &amp; revenue'!BK17/Clients_per_Support+'Clients &amp; revenue'!BK32/EmpAcc_per_Support,0)),0)</f>
        <v>32</v>
      </c>
      <c r="BL69" s="37" t="n">
        <f aca="false">IF(BL$3&gt;=Support_Start,MAX(Support_Min,ROUNDUP('Clients &amp; revenue'!BL17/Clients_per_Support+'Clients &amp; revenue'!BL32/EmpAcc_per_Support,0)),0)</f>
        <v>33</v>
      </c>
    </row>
    <row r="70" customFormat="false" ht="15" hidden="false" customHeight="false" outlineLevel="0" collapsed="false">
      <c r="A70" s="12" t="s">
        <v>687</v>
      </c>
      <c r="B70" s="14" t="s">
        <v>86</v>
      </c>
      <c r="D70" s="55" t="n">
        <f aca="false">MAX(E70:BL70)</f>
        <v>7</v>
      </c>
      <c r="E70" s="37" t="n">
        <f aca="false">Devs_Min+ROUNDDOWN('Clients &amp; revenue'!E17/Clients_per_Dev,0)</f>
        <v>2</v>
      </c>
      <c r="F70" s="37" t="n">
        <f aca="false">Devs_Min+ROUNDDOWN('Clients &amp; revenue'!F17/Clients_per_Dev,0)</f>
        <v>2</v>
      </c>
      <c r="G70" s="37" t="n">
        <f aca="false">Devs_Min+ROUNDDOWN('Clients &amp; revenue'!G17/Clients_per_Dev,0)</f>
        <v>2</v>
      </c>
      <c r="H70" s="37" t="n">
        <f aca="false">Devs_Min+ROUNDDOWN('Clients &amp; revenue'!H17/Clients_per_Dev,0)</f>
        <v>2</v>
      </c>
      <c r="I70" s="37" t="n">
        <f aca="false">Devs_Min+ROUNDDOWN('Clients &amp; revenue'!I17/Clients_per_Dev,0)</f>
        <v>2</v>
      </c>
      <c r="J70" s="37" t="n">
        <f aca="false">Devs_Min+ROUNDDOWN('Clients &amp; revenue'!J17/Clients_per_Dev,0)</f>
        <v>2</v>
      </c>
      <c r="K70" s="37" t="n">
        <f aca="false">Devs_Min+ROUNDDOWN('Clients &amp; revenue'!K17/Clients_per_Dev,0)</f>
        <v>2</v>
      </c>
      <c r="L70" s="37" t="n">
        <f aca="false">Devs_Min+ROUNDDOWN('Clients &amp; revenue'!L17/Clients_per_Dev,0)</f>
        <v>2</v>
      </c>
      <c r="M70" s="37" t="n">
        <f aca="false">Devs_Min+ROUNDDOWN('Clients &amp; revenue'!M17/Clients_per_Dev,0)</f>
        <v>2</v>
      </c>
      <c r="N70" s="37" t="n">
        <f aca="false">Devs_Min+ROUNDDOWN('Clients &amp; revenue'!N17/Clients_per_Dev,0)</f>
        <v>2</v>
      </c>
      <c r="O70" s="37" t="n">
        <f aca="false">Devs_Min+ROUNDDOWN('Clients &amp; revenue'!O17/Clients_per_Dev,0)</f>
        <v>2</v>
      </c>
      <c r="P70" s="37" t="n">
        <f aca="false">Devs_Min+ROUNDDOWN('Clients &amp; revenue'!P17/Clients_per_Dev,0)</f>
        <v>2</v>
      </c>
      <c r="Q70" s="37" t="n">
        <f aca="false">Devs_Min+ROUNDDOWN('Clients &amp; revenue'!Q17/Clients_per_Dev,0)</f>
        <v>2</v>
      </c>
      <c r="R70" s="37" t="n">
        <f aca="false">Devs_Min+ROUNDDOWN('Clients &amp; revenue'!R17/Clients_per_Dev,0)</f>
        <v>2</v>
      </c>
      <c r="S70" s="37" t="n">
        <f aca="false">Devs_Min+ROUNDDOWN('Clients &amp; revenue'!S17/Clients_per_Dev,0)</f>
        <v>2</v>
      </c>
      <c r="T70" s="37" t="n">
        <f aca="false">Devs_Min+ROUNDDOWN('Clients &amp; revenue'!T17/Clients_per_Dev,0)</f>
        <v>2</v>
      </c>
      <c r="U70" s="37" t="n">
        <f aca="false">Devs_Min+ROUNDDOWN('Clients &amp; revenue'!U17/Clients_per_Dev,0)</f>
        <v>2</v>
      </c>
      <c r="V70" s="37" t="n">
        <f aca="false">Devs_Min+ROUNDDOWN('Clients &amp; revenue'!V17/Clients_per_Dev,0)</f>
        <v>2</v>
      </c>
      <c r="W70" s="37" t="n">
        <f aca="false">Devs_Min+ROUNDDOWN('Clients &amp; revenue'!W17/Clients_per_Dev,0)</f>
        <v>2</v>
      </c>
      <c r="X70" s="37" t="n">
        <f aca="false">Devs_Min+ROUNDDOWN('Clients &amp; revenue'!X17/Clients_per_Dev,0)</f>
        <v>2</v>
      </c>
      <c r="Y70" s="37" t="n">
        <f aca="false">Devs_Min+ROUNDDOWN('Clients &amp; revenue'!Y17/Clients_per_Dev,0)</f>
        <v>2</v>
      </c>
      <c r="Z70" s="37" t="n">
        <f aca="false">Devs_Min+ROUNDDOWN('Clients &amp; revenue'!Z17/Clients_per_Dev,0)</f>
        <v>2</v>
      </c>
      <c r="AA70" s="37" t="n">
        <f aca="false">Devs_Min+ROUNDDOWN('Clients &amp; revenue'!AA17/Clients_per_Dev,0)</f>
        <v>2</v>
      </c>
      <c r="AB70" s="37" t="n">
        <f aca="false">Devs_Min+ROUNDDOWN('Clients &amp; revenue'!AB17/Clients_per_Dev,0)</f>
        <v>2</v>
      </c>
      <c r="AC70" s="37" t="n">
        <f aca="false">Devs_Min+ROUNDDOWN('Clients &amp; revenue'!AC17/Clients_per_Dev,0)</f>
        <v>2</v>
      </c>
      <c r="AD70" s="37" t="n">
        <f aca="false">Devs_Min+ROUNDDOWN('Clients &amp; revenue'!AD17/Clients_per_Dev,0)</f>
        <v>2</v>
      </c>
      <c r="AE70" s="37" t="n">
        <f aca="false">Devs_Min+ROUNDDOWN('Clients &amp; revenue'!AE17/Clients_per_Dev,0)</f>
        <v>3</v>
      </c>
      <c r="AF70" s="37" t="n">
        <f aca="false">Devs_Min+ROUNDDOWN('Clients &amp; revenue'!AF17/Clients_per_Dev,0)</f>
        <v>3</v>
      </c>
      <c r="AG70" s="37" t="n">
        <f aca="false">Devs_Min+ROUNDDOWN('Clients &amp; revenue'!AG17/Clients_per_Dev,0)</f>
        <v>3</v>
      </c>
      <c r="AH70" s="37" t="n">
        <f aca="false">Devs_Min+ROUNDDOWN('Clients &amp; revenue'!AH17/Clients_per_Dev,0)</f>
        <v>3</v>
      </c>
      <c r="AI70" s="37" t="n">
        <f aca="false">Devs_Min+ROUNDDOWN('Clients &amp; revenue'!AI17/Clients_per_Dev,0)</f>
        <v>3</v>
      </c>
      <c r="AJ70" s="37" t="n">
        <f aca="false">Devs_Min+ROUNDDOWN('Clients &amp; revenue'!AJ17/Clients_per_Dev,0)</f>
        <v>3</v>
      </c>
      <c r="AK70" s="37" t="n">
        <f aca="false">Devs_Min+ROUNDDOWN('Clients &amp; revenue'!AK17/Clients_per_Dev,0)</f>
        <v>3</v>
      </c>
      <c r="AL70" s="37" t="n">
        <f aca="false">Devs_Min+ROUNDDOWN('Clients &amp; revenue'!AL17/Clients_per_Dev,0)</f>
        <v>3</v>
      </c>
      <c r="AM70" s="37" t="n">
        <f aca="false">Devs_Min+ROUNDDOWN('Clients &amp; revenue'!AM17/Clients_per_Dev,0)</f>
        <v>3</v>
      </c>
      <c r="AN70" s="37" t="n">
        <f aca="false">Devs_Min+ROUNDDOWN('Clients &amp; revenue'!AN17/Clients_per_Dev,0)</f>
        <v>3</v>
      </c>
      <c r="AO70" s="37" t="n">
        <f aca="false">Devs_Min+ROUNDDOWN('Clients &amp; revenue'!AO17/Clients_per_Dev,0)</f>
        <v>4</v>
      </c>
      <c r="AP70" s="37" t="n">
        <f aca="false">Devs_Min+ROUNDDOWN('Clients &amp; revenue'!AP17/Clients_per_Dev,0)</f>
        <v>4</v>
      </c>
      <c r="AQ70" s="37" t="n">
        <f aca="false">Devs_Min+ROUNDDOWN('Clients &amp; revenue'!AQ17/Clients_per_Dev,0)</f>
        <v>4</v>
      </c>
      <c r="AR70" s="37" t="n">
        <f aca="false">Devs_Min+ROUNDDOWN('Clients &amp; revenue'!AR17/Clients_per_Dev,0)</f>
        <v>4</v>
      </c>
      <c r="AS70" s="37" t="n">
        <f aca="false">Devs_Min+ROUNDDOWN('Clients &amp; revenue'!AS17/Clients_per_Dev,0)</f>
        <v>4</v>
      </c>
      <c r="AT70" s="37" t="n">
        <f aca="false">Devs_Min+ROUNDDOWN('Clients &amp; revenue'!AT17/Clients_per_Dev,0)</f>
        <v>4</v>
      </c>
      <c r="AU70" s="37" t="n">
        <f aca="false">Devs_Min+ROUNDDOWN('Clients &amp; revenue'!AU17/Clients_per_Dev,0)</f>
        <v>4</v>
      </c>
      <c r="AV70" s="37" t="n">
        <f aca="false">Devs_Min+ROUNDDOWN('Clients &amp; revenue'!AV17/Clients_per_Dev,0)</f>
        <v>4</v>
      </c>
      <c r="AW70" s="37" t="n">
        <f aca="false">Devs_Min+ROUNDDOWN('Clients &amp; revenue'!AW17/Clients_per_Dev,0)</f>
        <v>5</v>
      </c>
      <c r="AX70" s="37" t="n">
        <f aca="false">Devs_Min+ROUNDDOWN('Clients &amp; revenue'!AX17/Clients_per_Dev,0)</f>
        <v>5</v>
      </c>
      <c r="AY70" s="37" t="n">
        <f aca="false">Devs_Min+ROUNDDOWN('Clients &amp; revenue'!AY17/Clients_per_Dev,0)</f>
        <v>5</v>
      </c>
      <c r="AZ70" s="37" t="n">
        <f aca="false">Devs_Min+ROUNDDOWN('Clients &amp; revenue'!AZ17/Clients_per_Dev,0)</f>
        <v>5</v>
      </c>
      <c r="BA70" s="37" t="n">
        <f aca="false">Devs_Min+ROUNDDOWN('Clients &amp; revenue'!BA17/Clients_per_Dev,0)</f>
        <v>5</v>
      </c>
      <c r="BB70" s="37" t="n">
        <f aca="false">Devs_Min+ROUNDDOWN('Clients &amp; revenue'!BB17/Clients_per_Dev,0)</f>
        <v>5</v>
      </c>
      <c r="BC70" s="37" t="n">
        <f aca="false">Devs_Min+ROUNDDOWN('Clients &amp; revenue'!BC17/Clients_per_Dev,0)</f>
        <v>5</v>
      </c>
      <c r="BD70" s="37" t="n">
        <f aca="false">Devs_Min+ROUNDDOWN('Clients &amp; revenue'!BD17/Clients_per_Dev,0)</f>
        <v>6</v>
      </c>
      <c r="BE70" s="37" t="n">
        <f aca="false">Devs_Min+ROUNDDOWN('Clients &amp; revenue'!BE17/Clients_per_Dev,0)</f>
        <v>6</v>
      </c>
      <c r="BF70" s="37" t="n">
        <f aca="false">Devs_Min+ROUNDDOWN('Clients &amp; revenue'!BF17/Clients_per_Dev,0)</f>
        <v>6</v>
      </c>
      <c r="BG70" s="37" t="n">
        <f aca="false">Devs_Min+ROUNDDOWN('Clients &amp; revenue'!BG17/Clients_per_Dev,0)</f>
        <v>6</v>
      </c>
      <c r="BH70" s="37" t="n">
        <f aca="false">Devs_Min+ROUNDDOWN('Clients &amp; revenue'!BH17/Clients_per_Dev,0)</f>
        <v>6</v>
      </c>
      <c r="BI70" s="37" t="n">
        <f aca="false">Devs_Min+ROUNDDOWN('Clients &amp; revenue'!BI17/Clients_per_Dev,0)</f>
        <v>6</v>
      </c>
      <c r="BJ70" s="37" t="n">
        <f aca="false">Devs_Min+ROUNDDOWN('Clients &amp; revenue'!BJ17/Clients_per_Dev,0)</f>
        <v>7</v>
      </c>
      <c r="BK70" s="37" t="n">
        <f aca="false">Devs_Min+ROUNDDOWN('Clients &amp; revenue'!BK17/Clients_per_Dev,0)</f>
        <v>7</v>
      </c>
      <c r="BL70" s="37" t="n">
        <f aca="false">Devs_Min+ROUNDDOWN('Clients &amp; revenue'!BL17/Clients_per_Dev,0)</f>
        <v>7</v>
      </c>
    </row>
    <row r="71" customFormat="false" ht="15" hidden="false" customHeight="false" outlineLevel="0" collapsed="false">
      <c r="A71" s="12" t="s">
        <v>688</v>
      </c>
      <c r="B71" s="14" t="s">
        <v>86</v>
      </c>
      <c r="D71" s="55" t="n">
        <f aca="false">MAX(E71:BL71)</f>
        <v>19</v>
      </c>
      <c r="E71" s="37" t="n">
        <f aca="false">IF(E$3&gt;=Reps_Start,MAX(Reps_Min_SN,ROUNDUP(0/Clients_per_Rep,0)),0)</f>
        <v>0</v>
      </c>
      <c r="F71" s="37" t="n">
        <f aca="false">IF(F$3&gt;=Reps_Start,MAX(Reps_Min_SN,ROUNDUP('Clients &amp; revenue'!E19/Clients_per_Rep,0)),0)</f>
        <v>0</v>
      </c>
      <c r="G71" s="37" t="n">
        <f aca="false">IF(G$3&gt;=Reps_Start,MAX(Reps_Min_SN,ROUNDUP('Clients &amp; revenue'!F19/Clients_per_Rep,0)),0)</f>
        <v>0</v>
      </c>
      <c r="H71" s="37" t="n">
        <f aca="false">IF(H$3&gt;=Reps_Start,MAX(Reps_Min_SN,ROUNDUP('Clients &amp; revenue'!G19/Clients_per_Rep,0)),0)</f>
        <v>2</v>
      </c>
      <c r="I71" s="37" t="n">
        <f aca="false">IF(I$3&gt;=Reps_Start,MAX(Reps_Min_SN,ROUNDUP('Clients &amp; revenue'!H19/Clients_per_Rep,0)),0)</f>
        <v>2</v>
      </c>
      <c r="J71" s="37" t="n">
        <f aca="false">IF(J$3&gt;=Reps_Start,MAX(Reps_Min_SN,ROUNDUP('Clients &amp; revenue'!I19/Clients_per_Rep,0)),0)</f>
        <v>2</v>
      </c>
      <c r="K71" s="37" t="n">
        <f aca="false">IF(K$3&gt;=Reps_Start,MAX(Reps_Min_SN,ROUNDUP('Clients &amp; revenue'!J19/Clients_per_Rep,0)),0)</f>
        <v>2</v>
      </c>
      <c r="L71" s="37" t="n">
        <f aca="false">IF(L$3&gt;=Reps_Start,MAX(Reps_Min_SN,ROUNDUP('Clients &amp; revenue'!K19/Clients_per_Rep,0)),0)</f>
        <v>2</v>
      </c>
      <c r="M71" s="37" t="n">
        <f aca="false">IF(M$3&gt;=Reps_Start,MAX(Reps_Min_SN,ROUNDUP('Clients &amp; revenue'!L19/Clients_per_Rep,0)),0)</f>
        <v>2</v>
      </c>
      <c r="N71" s="37" t="n">
        <f aca="false">IF(N$3&gt;=Reps_Start,MAX(Reps_Min_SN,ROUNDUP('Clients &amp; revenue'!M19/Clients_per_Rep,0)),0)</f>
        <v>2</v>
      </c>
      <c r="O71" s="37" t="n">
        <f aca="false">IF(O$3&gt;=Reps_Start,MAX(Reps_Min_SN,ROUNDUP('Clients &amp; revenue'!N19/Clients_per_Rep,0)),0)</f>
        <v>2</v>
      </c>
      <c r="P71" s="37" t="n">
        <f aca="false">IF(P$3&gt;=Reps_Start,MAX(Reps_Min_SN,ROUNDUP('Clients &amp; revenue'!O19/Clients_per_Rep,0)),0)</f>
        <v>2</v>
      </c>
      <c r="Q71" s="37" t="n">
        <f aca="false">IF(Q$3&gt;=Reps_Start,MAX(Reps_Min_SN,ROUNDUP('Clients &amp; revenue'!P19/Clients_per_Rep,0)),0)</f>
        <v>2</v>
      </c>
      <c r="R71" s="37" t="n">
        <f aca="false">IF(R$3&gt;=Reps_Start,MAX(Reps_Min_SN,ROUNDUP('Clients &amp; revenue'!Q19/Clients_per_Rep,0)),0)</f>
        <v>2</v>
      </c>
      <c r="S71" s="37" t="n">
        <f aca="false">IF(S$3&gt;=Reps_Start,MAX(Reps_Min_SN,ROUNDUP('Clients &amp; revenue'!R19/Clients_per_Rep,0)),0)</f>
        <v>2</v>
      </c>
      <c r="T71" s="37" t="n">
        <f aca="false">IF(T$3&gt;=Reps_Start,MAX(Reps_Min_SN,ROUNDUP('Clients &amp; revenue'!S19/Clients_per_Rep,0)),0)</f>
        <v>2</v>
      </c>
      <c r="U71" s="37" t="n">
        <f aca="false">IF(U$3&gt;=Reps_Start,MAX(Reps_Min_SN,ROUNDUP('Clients &amp; revenue'!T19/Clients_per_Rep,0)),0)</f>
        <v>2</v>
      </c>
      <c r="V71" s="37" t="n">
        <f aca="false">IF(V$3&gt;=Reps_Start,MAX(Reps_Min_SN,ROUNDUP('Clients &amp; revenue'!U19/Clients_per_Rep,0)),0)</f>
        <v>3</v>
      </c>
      <c r="W71" s="37" t="n">
        <f aca="false">IF(W$3&gt;=Reps_Start,MAX(Reps_Min_SN,ROUNDUP('Clients &amp; revenue'!V19/Clients_per_Rep,0)),0)</f>
        <v>3</v>
      </c>
      <c r="X71" s="37" t="n">
        <f aca="false">IF(X$3&gt;=Reps_Start,MAX(Reps_Min_SN,ROUNDUP('Clients &amp; revenue'!W19/Clients_per_Rep,0)),0)</f>
        <v>3</v>
      </c>
      <c r="Y71" s="37" t="n">
        <f aca="false">IF(Y$3&gt;=Reps_Start,MAX(Reps_Min_SN,ROUNDUP('Clients &amp; revenue'!X19/Clients_per_Rep,0)),0)</f>
        <v>3</v>
      </c>
      <c r="Z71" s="37" t="n">
        <f aca="false">IF(Z$3&gt;=Reps_Start,MAX(Reps_Min_SN,ROUNDUP('Clients &amp; revenue'!Y19/Clients_per_Rep,0)),0)</f>
        <v>3</v>
      </c>
      <c r="AA71" s="37" t="n">
        <f aca="false">IF(AA$3&gt;=Reps_Start,MAX(Reps_Min_SN,ROUNDUP('Clients &amp; revenue'!Z19/Clients_per_Rep,0)),0)</f>
        <v>4</v>
      </c>
      <c r="AB71" s="37" t="n">
        <f aca="false">IF(AB$3&gt;=Reps_Start,MAX(Reps_Min_SN,ROUNDUP('Clients &amp; revenue'!AA19/Clients_per_Rep,0)),0)</f>
        <v>4</v>
      </c>
      <c r="AC71" s="37" t="n">
        <f aca="false">IF(AC$3&gt;=Reps_Start,MAX(Reps_Min_SN,ROUNDUP('Clients &amp; revenue'!AB19/Clients_per_Rep,0)),0)</f>
        <v>4</v>
      </c>
      <c r="AD71" s="37" t="n">
        <f aca="false">IF(AD$3&gt;=Reps_Start,MAX(Reps_Min_SN,ROUNDUP('Clients &amp; revenue'!AC19/Clients_per_Rep,0)),0)</f>
        <v>4</v>
      </c>
      <c r="AE71" s="37" t="n">
        <f aca="false">IF(AE$3&gt;=Reps_Start,MAX(Reps_Min_SN,ROUNDUP('Clients &amp; revenue'!AD19/Clients_per_Rep,0)),0)</f>
        <v>5</v>
      </c>
      <c r="AF71" s="37" t="n">
        <f aca="false">IF(AF$3&gt;=Reps_Start,MAX(Reps_Min_SN,ROUNDUP('Clients &amp; revenue'!AE19/Clients_per_Rep,0)),0)</f>
        <v>5</v>
      </c>
      <c r="AG71" s="37" t="n">
        <f aca="false">IF(AG$3&gt;=Reps_Start,MAX(Reps_Min_SN,ROUNDUP('Clients &amp; revenue'!AF19/Clients_per_Rep,0)),0)</f>
        <v>5</v>
      </c>
      <c r="AH71" s="37" t="n">
        <f aca="false">IF(AH$3&gt;=Reps_Start,MAX(Reps_Min_SN,ROUNDUP('Clients &amp; revenue'!AG19/Clients_per_Rep,0)),0)</f>
        <v>5</v>
      </c>
      <c r="AI71" s="37" t="n">
        <f aca="false">IF(AI$3&gt;=Reps_Start,MAX(Reps_Min_SN,ROUNDUP('Clients &amp; revenue'!AH19/Clients_per_Rep,0)),0)</f>
        <v>6</v>
      </c>
      <c r="AJ71" s="37" t="n">
        <f aca="false">IF(AJ$3&gt;=Reps_Start,MAX(Reps_Min_SN,ROUNDUP('Clients &amp; revenue'!AI19/Clients_per_Rep,0)),0)</f>
        <v>6</v>
      </c>
      <c r="AK71" s="37" t="n">
        <f aca="false">IF(AK$3&gt;=Reps_Start,MAX(Reps_Min_SN,ROUNDUP('Clients &amp; revenue'!AJ19/Clients_per_Rep,0)),0)</f>
        <v>6</v>
      </c>
      <c r="AL71" s="37" t="n">
        <f aca="false">IF(AL$3&gt;=Reps_Start,MAX(Reps_Min_SN,ROUNDUP('Clients &amp; revenue'!AK19/Clients_per_Rep,0)),0)</f>
        <v>7</v>
      </c>
      <c r="AM71" s="37" t="n">
        <f aca="false">IF(AM$3&gt;=Reps_Start,MAX(Reps_Min_SN,ROUNDUP('Clients &amp; revenue'!AL19/Clients_per_Rep,0)),0)</f>
        <v>7</v>
      </c>
      <c r="AN71" s="37" t="n">
        <f aca="false">IF(AN$3&gt;=Reps_Start,MAX(Reps_Min_SN,ROUNDUP('Clients &amp; revenue'!AM19/Clients_per_Rep,0)),0)</f>
        <v>7</v>
      </c>
      <c r="AO71" s="37" t="n">
        <f aca="false">IF(AO$3&gt;=Reps_Start,MAX(Reps_Min_SN,ROUNDUP('Clients &amp; revenue'!AN19/Clients_per_Rep,0)),0)</f>
        <v>8</v>
      </c>
      <c r="AP71" s="37" t="n">
        <f aca="false">IF(AP$3&gt;=Reps_Start,MAX(Reps_Min_SN,ROUNDUP('Clients &amp; revenue'!AO19/Clients_per_Rep,0)),0)</f>
        <v>8</v>
      </c>
      <c r="AQ71" s="37" t="n">
        <f aca="false">IF(AQ$3&gt;=Reps_Start,MAX(Reps_Min_SN,ROUNDUP('Clients &amp; revenue'!AP19/Clients_per_Rep,0)),0)</f>
        <v>9</v>
      </c>
      <c r="AR71" s="37" t="n">
        <f aca="false">IF(AR$3&gt;=Reps_Start,MAX(Reps_Min_SN,ROUNDUP('Clients &amp; revenue'!AQ19/Clients_per_Rep,0)),0)</f>
        <v>9</v>
      </c>
      <c r="AS71" s="37" t="n">
        <f aca="false">IF(AS$3&gt;=Reps_Start,MAX(Reps_Min_SN,ROUNDUP('Clients &amp; revenue'!AR19/Clients_per_Rep,0)),0)</f>
        <v>10</v>
      </c>
      <c r="AT71" s="37" t="n">
        <f aca="false">IF(AT$3&gt;=Reps_Start,MAX(Reps_Min_SN,ROUNDUP('Clients &amp; revenue'!AS19/Clients_per_Rep,0)),0)</f>
        <v>10</v>
      </c>
      <c r="AU71" s="37" t="n">
        <f aca="false">IF(AU$3&gt;=Reps_Start,MAX(Reps_Min_SN,ROUNDUP('Clients &amp; revenue'!AT19/Clients_per_Rep,0)),0)</f>
        <v>10</v>
      </c>
      <c r="AV71" s="37" t="n">
        <f aca="false">IF(AV$3&gt;=Reps_Start,MAX(Reps_Min_SN,ROUNDUP('Clients &amp; revenue'!AU19/Clients_per_Rep,0)),0)</f>
        <v>11</v>
      </c>
      <c r="AW71" s="37" t="n">
        <f aca="false">IF(AW$3&gt;=Reps_Start,MAX(Reps_Min_SN,ROUNDUP('Clients &amp; revenue'!AV19/Clients_per_Rep,0)),0)</f>
        <v>11</v>
      </c>
      <c r="AX71" s="37" t="n">
        <f aca="false">IF(AX$3&gt;=Reps_Start,MAX(Reps_Min_SN,ROUNDUP('Clients &amp; revenue'!AW19/Clients_per_Rep,0)),0)</f>
        <v>12</v>
      </c>
      <c r="AY71" s="37" t="n">
        <f aca="false">IF(AY$3&gt;=Reps_Start,MAX(Reps_Min_SN,ROUNDUP('Clients &amp; revenue'!AX19/Clients_per_Rep,0)),0)</f>
        <v>12</v>
      </c>
      <c r="AZ71" s="37" t="n">
        <f aca="false">IF(AZ$3&gt;=Reps_Start,MAX(Reps_Min_SN,ROUNDUP('Clients &amp; revenue'!AY19/Clients_per_Rep,0)),0)</f>
        <v>13</v>
      </c>
      <c r="BA71" s="37" t="n">
        <f aca="false">IF(BA$3&gt;=Reps_Start,MAX(Reps_Min_SN,ROUNDUP('Clients &amp; revenue'!AZ19/Clients_per_Rep,0)),0)</f>
        <v>13</v>
      </c>
      <c r="BB71" s="37" t="n">
        <f aca="false">IF(BB$3&gt;=Reps_Start,MAX(Reps_Min_SN,ROUNDUP('Clients &amp; revenue'!BA19/Clients_per_Rep,0)),0)</f>
        <v>14</v>
      </c>
      <c r="BC71" s="37" t="n">
        <f aca="false">IF(BC$3&gt;=Reps_Start,MAX(Reps_Min_SN,ROUNDUP('Clients &amp; revenue'!BB19/Clients_per_Rep,0)),0)</f>
        <v>14</v>
      </c>
      <c r="BD71" s="37" t="n">
        <f aca="false">IF(BD$3&gt;=Reps_Start,MAX(Reps_Min_SN,ROUNDUP('Clients &amp; revenue'!BC19/Clients_per_Rep,0)),0)</f>
        <v>15</v>
      </c>
      <c r="BE71" s="37" t="n">
        <f aca="false">IF(BE$3&gt;=Reps_Start,MAX(Reps_Min_SN,ROUNDUP('Clients &amp; revenue'!BD19/Clients_per_Rep,0)),0)</f>
        <v>15</v>
      </c>
      <c r="BF71" s="37" t="n">
        <f aca="false">IF(BF$3&gt;=Reps_Start,MAX(Reps_Min_SN,ROUNDUP('Clients &amp; revenue'!BE19/Clients_per_Rep,0)),0)</f>
        <v>16</v>
      </c>
      <c r="BG71" s="37" t="n">
        <f aca="false">IF(BG$3&gt;=Reps_Start,MAX(Reps_Min_SN,ROUNDUP('Clients &amp; revenue'!BF19/Clients_per_Rep,0)),0)</f>
        <v>16</v>
      </c>
      <c r="BH71" s="37" t="n">
        <f aca="false">IF(BH$3&gt;=Reps_Start,MAX(Reps_Min_SN,ROUNDUP('Clients &amp; revenue'!BG19/Clients_per_Rep,0)),0)</f>
        <v>17</v>
      </c>
      <c r="BI71" s="37" t="n">
        <f aca="false">IF(BI$3&gt;=Reps_Start,MAX(Reps_Min_SN,ROUNDUP('Clients &amp; revenue'!BH19/Clients_per_Rep,0)),0)</f>
        <v>17</v>
      </c>
      <c r="BJ71" s="37" t="n">
        <f aca="false">IF(BJ$3&gt;=Reps_Start,MAX(Reps_Min_SN,ROUNDUP('Clients &amp; revenue'!BI19/Clients_per_Rep,0)),0)</f>
        <v>18</v>
      </c>
      <c r="BK71" s="37" t="n">
        <f aca="false">IF(BK$3&gt;=Reps_Start,MAX(Reps_Min_SN,ROUNDUP('Clients &amp; revenue'!BJ19/Clients_per_Rep,0)),0)</f>
        <v>19</v>
      </c>
      <c r="BL71" s="37" t="n">
        <f aca="false">IF(BL$3&gt;=Reps_Start,MAX(Reps_Min_SN,ROUNDUP('Clients &amp; revenue'!BK19/Clients_per_Rep,0)),0)</f>
        <v>19</v>
      </c>
    </row>
    <row r="72" customFormat="false" ht="15" hidden="false" customHeight="false" outlineLevel="0" collapsed="false">
      <c r="A72" s="12" t="s">
        <v>689</v>
      </c>
      <c r="B72" s="14" t="s">
        <v>86</v>
      </c>
      <c r="D72" s="55" t="n">
        <f aca="false">MAX(E72:BL72)</f>
        <v>8</v>
      </c>
      <c r="E72" s="37" t="n">
        <f aca="false">IF(E$3&gt;=CI_Office_Start,MAX(Reps_Min_CI,ROUNDUP(0/Clients_per_Rep,0)),0)</f>
        <v>0</v>
      </c>
      <c r="F72" s="37" t="n">
        <f aca="false">IF(F$3&gt;=CI_Office_Start,MAX(Reps_Min_CI,ROUNDUP('Clients &amp; revenue'!E20/Clients_per_Rep,0)),0)</f>
        <v>0</v>
      </c>
      <c r="G72" s="37" t="n">
        <f aca="false">IF(G$3&gt;=CI_Office_Start,MAX(Reps_Min_CI,ROUNDUP('Clients &amp; revenue'!F20/Clients_per_Rep,0)),0)</f>
        <v>0</v>
      </c>
      <c r="H72" s="37" t="n">
        <f aca="false">IF(H$3&gt;=CI_Office_Start,MAX(Reps_Min_CI,ROUNDUP('Clients &amp; revenue'!G20/Clients_per_Rep,0)),0)</f>
        <v>0</v>
      </c>
      <c r="I72" s="37" t="n">
        <f aca="false">IF(I$3&gt;=CI_Office_Start,MAX(Reps_Min_CI,ROUNDUP('Clients &amp; revenue'!H20/Clients_per_Rep,0)),0)</f>
        <v>0</v>
      </c>
      <c r="J72" s="37" t="n">
        <f aca="false">IF(J$3&gt;=CI_Office_Start,MAX(Reps_Min_CI,ROUNDUP('Clients &amp; revenue'!I20/Clients_per_Rep,0)),0)</f>
        <v>0</v>
      </c>
      <c r="K72" s="37" t="n">
        <f aca="false">IF(K$3&gt;=CI_Office_Start,MAX(Reps_Min_CI,ROUNDUP('Clients &amp; revenue'!J20/Clients_per_Rep,0)),0)</f>
        <v>0</v>
      </c>
      <c r="L72" s="37" t="n">
        <f aca="false">IF(L$3&gt;=CI_Office_Start,MAX(Reps_Min_CI,ROUNDUP('Clients &amp; revenue'!K20/Clients_per_Rep,0)),0)</f>
        <v>0</v>
      </c>
      <c r="M72" s="37" t="n">
        <f aca="false">IF(M$3&gt;=CI_Office_Start,MAX(Reps_Min_CI,ROUNDUP('Clients &amp; revenue'!L20/Clients_per_Rep,0)),0)</f>
        <v>0</v>
      </c>
      <c r="N72" s="37" t="n">
        <f aca="false">IF(N$3&gt;=CI_Office_Start,MAX(Reps_Min_CI,ROUNDUP('Clients &amp; revenue'!M20/Clients_per_Rep,0)),0)</f>
        <v>0</v>
      </c>
      <c r="O72" s="37" t="n">
        <f aca="false">IF(O$3&gt;=CI_Office_Start,MAX(Reps_Min_CI,ROUNDUP('Clients &amp; revenue'!N20/Clients_per_Rep,0)),0)</f>
        <v>0</v>
      </c>
      <c r="P72" s="37" t="n">
        <f aca="false">IF(P$3&gt;=CI_Office_Start,MAX(Reps_Min_CI,ROUNDUP('Clients &amp; revenue'!O20/Clients_per_Rep,0)),0)</f>
        <v>0</v>
      </c>
      <c r="Q72" s="37" t="n">
        <f aca="false">IF(Q$3&gt;=CI_Office_Start,MAX(Reps_Min_CI,ROUNDUP('Clients &amp; revenue'!P20/Clients_per_Rep,0)),0)</f>
        <v>0</v>
      </c>
      <c r="R72" s="37" t="n">
        <f aca="false">IF(R$3&gt;=CI_Office_Start,MAX(Reps_Min_CI,ROUNDUP('Clients &amp; revenue'!Q20/Clients_per_Rep,0)),0)</f>
        <v>0</v>
      </c>
      <c r="S72" s="37" t="n">
        <f aca="false">IF(S$3&gt;=CI_Office_Start,MAX(Reps_Min_CI,ROUNDUP('Clients &amp; revenue'!R20/Clients_per_Rep,0)),0)</f>
        <v>0</v>
      </c>
      <c r="T72" s="37" t="n">
        <f aca="false">IF(T$3&gt;=CI_Office_Start,MAX(Reps_Min_CI,ROUNDUP('Clients &amp; revenue'!S20/Clients_per_Rep,0)),0)</f>
        <v>0</v>
      </c>
      <c r="U72" s="37" t="n">
        <f aca="false">IF(U$3&gt;=CI_Office_Start,MAX(Reps_Min_CI,ROUNDUP('Clients &amp; revenue'!T20/Clients_per_Rep,0)),0)</f>
        <v>0</v>
      </c>
      <c r="V72" s="37" t="n">
        <f aca="false">IF(V$3&gt;=CI_Office_Start,MAX(Reps_Min_CI,ROUNDUP('Clients &amp; revenue'!U20/Clients_per_Rep,0)),0)</f>
        <v>2</v>
      </c>
      <c r="W72" s="37" t="n">
        <f aca="false">IF(W$3&gt;=CI_Office_Start,MAX(Reps_Min_CI,ROUNDUP('Clients &amp; revenue'!V20/Clients_per_Rep,0)),0)</f>
        <v>2</v>
      </c>
      <c r="X72" s="37" t="n">
        <f aca="false">IF(X$3&gt;=CI_Office_Start,MAX(Reps_Min_CI,ROUNDUP('Clients &amp; revenue'!W20/Clients_per_Rep,0)),0)</f>
        <v>2</v>
      </c>
      <c r="Y72" s="37" t="n">
        <f aca="false">IF(Y$3&gt;=CI_Office_Start,MAX(Reps_Min_CI,ROUNDUP('Clients &amp; revenue'!X20/Clients_per_Rep,0)),0)</f>
        <v>2</v>
      </c>
      <c r="Z72" s="37" t="n">
        <f aca="false">IF(Z$3&gt;=CI_Office_Start,MAX(Reps_Min_CI,ROUNDUP('Clients &amp; revenue'!Y20/Clients_per_Rep,0)),0)</f>
        <v>2</v>
      </c>
      <c r="AA72" s="37" t="n">
        <f aca="false">IF(AA$3&gt;=CI_Office_Start,MAX(Reps_Min_CI,ROUNDUP('Clients &amp; revenue'!Z20/Clients_per_Rep,0)),0)</f>
        <v>2</v>
      </c>
      <c r="AB72" s="37" t="n">
        <f aca="false">IF(AB$3&gt;=CI_Office_Start,MAX(Reps_Min_CI,ROUNDUP('Clients &amp; revenue'!AA20/Clients_per_Rep,0)),0)</f>
        <v>2</v>
      </c>
      <c r="AC72" s="37" t="n">
        <f aca="false">IF(AC$3&gt;=CI_Office_Start,MAX(Reps_Min_CI,ROUNDUP('Clients &amp; revenue'!AB20/Clients_per_Rep,0)),0)</f>
        <v>2</v>
      </c>
      <c r="AD72" s="37" t="n">
        <f aca="false">IF(AD$3&gt;=CI_Office_Start,MAX(Reps_Min_CI,ROUNDUP('Clients &amp; revenue'!AC20/Clients_per_Rep,0)),0)</f>
        <v>2</v>
      </c>
      <c r="AE72" s="37" t="n">
        <f aca="false">IF(AE$3&gt;=CI_Office_Start,MAX(Reps_Min_CI,ROUNDUP('Clients &amp; revenue'!AD20/Clients_per_Rep,0)),0)</f>
        <v>2</v>
      </c>
      <c r="AF72" s="37" t="n">
        <f aca="false">IF(AF$3&gt;=CI_Office_Start,MAX(Reps_Min_CI,ROUNDUP('Clients &amp; revenue'!AE20/Clients_per_Rep,0)),0)</f>
        <v>2</v>
      </c>
      <c r="AG72" s="37" t="n">
        <f aca="false">IF(AG$3&gt;=CI_Office_Start,MAX(Reps_Min_CI,ROUNDUP('Clients &amp; revenue'!AF20/Clients_per_Rep,0)),0)</f>
        <v>2</v>
      </c>
      <c r="AH72" s="37" t="n">
        <f aca="false">IF(AH$3&gt;=CI_Office_Start,MAX(Reps_Min_CI,ROUNDUP('Clients &amp; revenue'!AG20/Clients_per_Rep,0)),0)</f>
        <v>2</v>
      </c>
      <c r="AI72" s="37" t="n">
        <f aca="false">IF(AI$3&gt;=CI_Office_Start,MAX(Reps_Min_CI,ROUNDUP('Clients &amp; revenue'!AH20/Clients_per_Rep,0)),0)</f>
        <v>2</v>
      </c>
      <c r="AJ72" s="37" t="n">
        <f aca="false">IF(AJ$3&gt;=CI_Office_Start,MAX(Reps_Min_CI,ROUNDUP('Clients &amp; revenue'!AI20/Clients_per_Rep,0)),0)</f>
        <v>2</v>
      </c>
      <c r="AK72" s="37" t="n">
        <f aca="false">IF(AK$3&gt;=CI_Office_Start,MAX(Reps_Min_CI,ROUNDUP('Clients &amp; revenue'!AJ20/Clients_per_Rep,0)),0)</f>
        <v>2</v>
      </c>
      <c r="AL72" s="37" t="n">
        <f aca="false">IF(AL$3&gt;=CI_Office_Start,MAX(Reps_Min_CI,ROUNDUP('Clients &amp; revenue'!AK20/Clients_per_Rep,0)),0)</f>
        <v>2</v>
      </c>
      <c r="AM72" s="37" t="n">
        <f aca="false">IF(AM$3&gt;=CI_Office_Start,MAX(Reps_Min_CI,ROUNDUP('Clients &amp; revenue'!AL20/Clients_per_Rep,0)),0)</f>
        <v>3</v>
      </c>
      <c r="AN72" s="37" t="n">
        <f aca="false">IF(AN$3&gt;=CI_Office_Start,MAX(Reps_Min_CI,ROUNDUP('Clients &amp; revenue'!AM20/Clients_per_Rep,0)),0)</f>
        <v>3</v>
      </c>
      <c r="AO72" s="37" t="n">
        <f aca="false">IF(AO$3&gt;=CI_Office_Start,MAX(Reps_Min_CI,ROUNDUP('Clients &amp; revenue'!AN20/Clients_per_Rep,0)),0)</f>
        <v>3</v>
      </c>
      <c r="AP72" s="37" t="n">
        <f aca="false">IF(AP$3&gt;=CI_Office_Start,MAX(Reps_Min_CI,ROUNDUP('Clients &amp; revenue'!AO20/Clients_per_Rep,0)),0)</f>
        <v>3</v>
      </c>
      <c r="AQ72" s="37" t="n">
        <f aca="false">IF(AQ$3&gt;=CI_Office_Start,MAX(Reps_Min_CI,ROUNDUP('Clients &amp; revenue'!AP20/Clients_per_Rep,0)),0)</f>
        <v>3</v>
      </c>
      <c r="AR72" s="37" t="n">
        <f aca="false">IF(AR$3&gt;=CI_Office_Start,MAX(Reps_Min_CI,ROUNDUP('Clients &amp; revenue'!AQ20/Clients_per_Rep,0)),0)</f>
        <v>3</v>
      </c>
      <c r="AS72" s="37" t="n">
        <f aca="false">IF(AS$3&gt;=CI_Office_Start,MAX(Reps_Min_CI,ROUNDUP('Clients &amp; revenue'!AR20/Clients_per_Rep,0)),0)</f>
        <v>4</v>
      </c>
      <c r="AT72" s="37" t="n">
        <f aca="false">IF(AT$3&gt;=CI_Office_Start,MAX(Reps_Min_CI,ROUNDUP('Clients &amp; revenue'!AS20/Clients_per_Rep,0)),0)</f>
        <v>4</v>
      </c>
      <c r="AU72" s="37" t="n">
        <f aca="false">IF(AU$3&gt;=CI_Office_Start,MAX(Reps_Min_CI,ROUNDUP('Clients &amp; revenue'!AT20/Clients_per_Rep,0)),0)</f>
        <v>4</v>
      </c>
      <c r="AV72" s="37" t="n">
        <f aca="false">IF(AV$3&gt;=CI_Office_Start,MAX(Reps_Min_CI,ROUNDUP('Clients &amp; revenue'!AU20/Clients_per_Rep,0)),0)</f>
        <v>4</v>
      </c>
      <c r="AW72" s="37" t="n">
        <f aca="false">IF(AW$3&gt;=CI_Office_Start,MAX(Reps_Min_CI,ROUNDUP('Clients &amp; revenue'!AV20/Clients_per_Rep,0)),0)</f>
        <v>4</v>
      </c>
      <c r="AX72" s="37" t="n">
        <f aca="false">IF(AX$3&gt;=CI_Office_Start,MAX(Reps_Min_CI,ROUNDUP('Clients &amp; revenue'!AW20/Clients_per_Rep,0)),0)</f>
        <v>5</v>
      </c>
      <c r="AY72" s="37" t="n">
        <f aca="false">IF(AY$3&gt;=CI_Office_Start,MAX(Reps_Min_CI,ROUNDUP('Clients &amp; revenue'!AX20/Clients_per_Rep,0)),0)</f>
        <v>5</v>
      </c>
      <c r="AZ72" s="37" t="n">
        <f aca="false">IF(AZ$3&gt;=CI_Office_Start,MAX(Reps_Min_CI,ROUNDUP('Clients &amp; revenue'!AY20/Clients_per_Rep,0)),0)</f>
        <v>5</v>
      </c>
      <c r="BA72" s="37" t="n">
        <f aca="false">IF(BA$3&gt;=CI_Office_Start,MAX(Reps_Min_CI,ROUNDUP('Clients &amp; revenue'!AZ20/Clients_per_Rep,0)),0)</f>
        <v>5</v>
      </c>
      <c r="BB72" s="37" t="n">
        <f aca="false">IF(BB$3&gt;=CI_Office_Start,MAX(Reps_Min_CI,ROUNDUP('Clients &amp; revenue'!BA20/Clients_per_Rep,0)),0)</f>
        <v>5</v>
      </c>
      <c r="BC72" s="37" t="n">
        <f aca="false">IF(BC$3&gt;=CI_Office_Start,MAX(Reps_Min_CI,ROUNDUP('Clients &amp; revenue'!BB20/Clients_per_Rep,0)),0)</f>
        <v>6</v>
      </c>
      <c r="BD72" s="37" t="n">
        <f aca="false">IF(BD$3&gt;=CI_Office_Start,MAX(Reps_Min_CI,ROUNDUP('Clients &amp; revenue'!BC20/Clients_per_Rep,0)),0)</f>
        <v>6</v>
      </c>
      <c r="BE72" s="37" t="n">
        <f aca="false">IF(BE$3&gt;=CI_Office_Start,MAX(Reps_Min_CI,ROUNDUP('Clients &amp; revenue'!BD20/Clients_per_Rep,0)),0)</f>
        <v>6</v>
      </c>
      <c r="BF72" s="37" t="n">
        <f aca="false">IF(BF$3&gt;=CI_Office_Start,MAX(Reps_Min_CI,ROUNDUP('Clients &amp; revenue'!BE20/Clients_per_Rep,0)),0)</f>
        <v>7</v>
      </c>
      <c r="BG72" s="37" t="n">
        <f aca="false">IF(BG$3&gt;=CI_Office_Start,MAX(Reps_Min_CI,ROUNDUP('Clients &amp; revenue'!BF20/Clients_per_Rep,0)),0)</f>
        <v>7</v>
      </c>
      <c r="BH72" s="37" t="n">
        <f aca="false">IF(BH$3&gt;=CI_Office_Start,MAX(Reps_Min_CI,ROUNDUP('Clients &amp; revenue'!BG20/Clients_per_Rep,0)),0)</f>
        <v>7</v>
      </c>
      <c r="BI72" s="37" t="n">
        <f aca="false">IF(BI$3&gt;=CI_Office_Start,MAX(Reps_Min_CI,ROUNDUP('Clients &amp; revenue'!BH20/Clients_per_Rep,0)),0)</f>
        <v>7</v>
      </c>
      <c r="BJ72" s="37" t="n">
        <f aca="false">IF(BJ$3&gt;=CI_Office_Start,MAX(Reps_Min_CI,ROUNDUP('Clients &amp; revenue'!BI20/Clients_per_Rep,0)),0)</f>
        <v>8</v>
      </c>
      <c r="BK72" s="37" t="n">
        <f aca="false">IF(BK$3&gt;=CI_Office_Start,MAX(Reps_Min_CI,ROUNDUP('Clients &amp; revenue'!BJ20/Clients_per_Rep,0)),0)</f>
        <v>8</v>
      </c>
      <c r="BL72" s="37" t="n">
        <f aca="false">IF(BL$3&gt;=CI_Office_Start,MAX(Reps_Min_CI,ROUNDUP('Clients &amp; revenue'!BK20/Clients_per_Rep,0)),0)</f>
        <v>8</v>
      </c>
    </row>
    <row r="73" customFormat="false" ht="15" hidden="false" customHeight="false" outlineLevel="0" collapsed="false">
      <c r="A73" s="12" t="s">
        <v>690</v>
      </c>
      <c r="B73" s="14" t="s">
        <v>86</v>
      </c>
      <c r="D73" s="55" t="n">
        <f aca="false">MAX(E73:BL73)</f>
        <v>9</v>
      </c>
      <c r="E73" s="37" t="n">
        <f aca="false">IF(E$3&gt;=MIN(Start_Factoring,Start_Bridge,Start_Line,Start_Term)-Credit_Lead_Months,MAX(1,ROUNDUP(0/Book_per_Credit,0)),0)</f>
        <v>0</v>
      </c>
      <c r="F73" s="37" t="n">
        <f aca="false">IF(F$3&gt;=MIN(Start_Factoring,Start_Bridge,Start_Line,Start_Term)-Credit_Lead_Months,MAX(1,ROUNDUP(Credit!E25/Book_per_Credit,0)),0)</f>
        <v>0</v>
      </c>
      <c r="G73" s="37" t="n">
        <f aca="false">IF(G$3&gt;=MIN(Start_Factoring,Start_Bridge,Start_Line,Start_Term)-Credit_Lead_Months,MAX(1,ROUNDUP(Credit!F25/Book_per_Credit,0)),0)</f>
        <v>0</v>
      </c>
      <c r="H73" s="37" t="n">
        <f aca="false">IF(H$3&gt;=MIN(Start_Factoring,Start_Bridge,Start_Line,Start_Term)-Credit_Lead_Months,MAX(1,ROUNDUP(Credit!G25/Book_per_Credit,0)),0)</f>
        <v>0</v>
      </c>
      <c r="I73" s="37" t="n">
        <f aca="false">IF(I$3&gt;=MIN(Start_Factoring,Start_Bridge,Start_Line,Start_Term)-Credit_Lead_Months,MAX(1,ROUNDUP(Credit!H25/Book_per_Credit,0)),0)</f>
        <v>0</v>
      </c>
      <c r="J73" s="37" t="n">
        <f aca="false">IF(J$3&gt;=MIN(Start_Factoring,Start_Bridge,Start_Line,Start_Term)-Credit_Lead_Months,MAX(1,ROUNDUP(Credit!I25/Book_per_Credit,0)),0)</f>
        <v>0</v>
      </c>
      <c r="K73" s="37" t="n">
        <f aca="false">IF(K$3&gt;=MIN(Start_Factoring,Start_Bridge,Start_Line,Start_Term)-Credit_Lead_Months,MAX(1,ROUNDUP(Credit!J25/Book_per_Credit,0)),0)</f>
        <v>0</v>
      </c>
      <c r="L73" s="37" t="n">
        <f aca="false">IF(L$3&gt;=MIN(Start_Factoring,Start_Bridge,Start_Line,Start_Term)-Credit_Lead_Months,MAX(1,ROUNDUP(Credit!K25/Book_per_Credit,0)),0)</f>
        <v>0</v>
      </c>
      <c r="M73" s="37" t="n">
        <f aca="false">IF(M$3&gt;=MIN(Start_Factoring,Start_Bridge,Start_Line,Start_Term)-Credit_Lead_Months,MAX(1,ROUNDUP(Credit!L25/Book_per_Credit,0)),0)</f>
        <v>0</v>
      </c>
      <c r="N73" s="37" t="n">
        <f aca="false">IF(N$3&gt;=MIN(Start_Factoring,Start_Bridge,Start_Line,Start_Term)-Credit_Lead_Months,MAX(1,ROUNDUP(Credit!M25/Book_per_Credit,0)),0)</f>
        <v>0</v>
      </c>
      <c r="O73" s="37" t="n">
        <f aca="false">IF(O$3&gt;=MIN(Start_Factoring,Start_Bridge,Start_Line,Start_Term)-Credit_Lead_Months,MAX(1,ROUNDUP(Credit!N25/Book_per_Credit,0)),0)</f>
        <v>0</v>
      </c>
      <c r="P73" s="37" t="n">
        <f aca="false">IF(P$3&gt;=MIN(Start_Factoring,Start_Bridge,Start_Line,Start_Term)-Credit_Lead_Months,MAX(1,ROUNDUP(Credit!O25/Book_per_Credit,0)),0)</f>
        <v>0</v>
      </c>
      <c r="Q73" s="37" t="n">
        <f aca="false">IF(Q$3&gt;=MIN(Start_Factoring,Start_Bridge,Start_Line,Start_Term)-Credit_Lead_Months,MAX(1,ROUNDUP(Credit!P25/Book_per_Credit,0)),0)</f>
        <v>0</v>
      </c>
      <c r="R73" s="37" t="n">
        <f aca="false">IF(R$3&gt;=MIN(Start_Factoring,Start_Bridge,Start_Line,Start_Term)-Credit_Lead_Months,MAX(1,ROUNDUP(Credit!Q25/Book_per_Credit,0)),0)</f>
        <v>0</v>
      </c>
      <c r="S73" s="37" t="n">
        <f aca="false">IF(S$3&gt;=MIN(Start_Factoring,Start_Bridge,Start_Line,Start_Term)-Credit_Lead_Months,MAX(1,ROUNDUP(Credit!R25/Book_per_Credit,0)),0)</f>
        <v>0</v>
      </c>
      <c r="T73" s="37" t="n">
        <f aca="false">IF(T$3&gt;=MIN(Start_Factoring,Start_Bridge,Start_Line,Start_Term)-Credit_Lead_Months,MAX(1,ROUNDUP(Credit!S25/Book_per_Credit,0)),0)</f>
        <v>1</v>
      </c>
      <c r="U73" s="37" t="n">
        <f aca="false">IF(U$3&gt;=MIN(Start_Factoring,Start_Bridge,Start_Line,Start_Term)-Credit_Lead_Months,MAX(1,ROUNDUP(Credit!T25/Book_per_Credit,0)),0)</f>
        <v>1</v>
      </c>
      <c r="V73" s="37" t="n">
        <f aca="false">IF(V$3&gt;=MIN(Start_Factoring,Start_Bridge,Start_Line,Start_Term)-Credit_Lead_Months,MAX(1,ROUNDUP(Credit!U25/Book_per_Credit,0)),0)</f>
        <v>1</v>
      </c>
      <c r="W73" s="37" t="n">
        <f aca="false">IF(W$3&gt;=MIN(Start_Factoring,Start_Bridge,Start_Line,Start_Term)-Credit_Lead_Months,MAX(1,ROUNDUP(Credit!V25/Book_per_Credit,0)),0)</f>
        <v>1</v>
      </c>
      <c r="X73" s="37" t="n">
        <f aca="false">IF(X$3&gt;=MIN(Start_Factoring,Start_Bridge,Start_Line,Start_Term)-Credit_Lead_Months,MAX(1,ROUNDUP(Credit!W25/Book_per_Credit,0)),0)</f>
        <v>1</v>
      </c>
      <c r="Y73" s="37" t="n">
        <f aca="false">IF(Y$3&gt;=MIN(Start_Factoring,Start_Bridge,Start_Line,Start_Term)-Credit_Lead_Months,MAX(1,ROUNDUP(Credit!X25/Book_per_Credit,0)),0)</f>
        <v>1</v>
      </c>
      <c r="Z73" s="37" t="n">
        <f aca="false">IF(Z$3&gt;=MIN(Start_Factoring,Start_Bridge,Start_Line,Start_Term)-Credit_Lead_Months,MAX(1,ROUNDUP(Credit!Y25/Book_per_Credit,0)),0)</f>
        <v>1</v>
      </c>
      <c r="AA73" s="37" t="n">
        <f aca="false">IF(AA$3&gt;=MIN(Start_Factoring,Start_Bridge,Start_Line,Start_Term)-Credit_Lead_Months,MAX(1,ROUNDUP(Credit!Z25/Book_per_Credit,0)),0)</f>
        <v>1</v>
      </c>
      <c r="AB73" s="37" t="n">
        <f aca="false">IF(AB$3&gt;=MIN(Start_Factoring,Start_Bridge,Start_Line,Start_Term)-Credit_Lead_Months,MAX(1,ROUNDUP(Credit!AA25/Book_per_Credit,0)),0)</f>
        <v>1</v>
      </c>
      <c r="AC73" s="37" t="n">
        <f aca="false">IF(AC$3&gt;=MIN(Start_Factoring,Start_Bridge,Start_Line,Start_Term)-Credit_Lead_Months,MAX(1,ROUNDUP(Credit!AB25/Book_per_Credit,0)),0)</f>
        <v>1</v>
      </c>
      <c r="AD73" s="37" t="n">
        <f aca="false">IF(AD$3&gt;=MIN(Start_Factoring,Start_Bridge,Start_Line,Start_Term)-Credit_Lead_Months,MAX(1,ROUNDUP(Credit!AC25/Book_per_Credit,0)),0)</f>
        <v>1</v>
      </c>
      <c r="AE73" s="37" t="n">
        <f aca="false">IF(AE$3&gt;=MIN(Start_Factoring,Start_Bridge,Start_Line,Start_Term)-Credit_Lead_Months,MAX(1,ROUNDUP(Credit!AD25/Book_per_Credit,0)),0)</f>
        <v>1</v>
      </c>
      <c r="AF73" s="37" t="n">
        <f aca="false">IF(AF$3&gt;=MIN(Start_Factoring,Start_Bridge,Start_Line,Start_Term)-Credit_Lead_Months,MAX(1,ROUNDUP(Credit!AE25/Book_per_Credit,0)),0)</f>
        <v>2</v>
      </c>
      <c r="AG73" s="37" t="n">
        <f aca="false">IF(AG$3&gt;=MIN(Start_Factoring,Start_Bridge,Start_Line,Start_Term)-Credit_Lead_Months,MAX(1,ROUNDUP(Credit!AF25/Book_per_Credit,0)),0)</f>
        <v>2</v>
      </c>
      <c r="AH73" s="37" t="n">
        <f aca="false">IF(AH$3&gt;=MIN(Start_Factoring,Start_Bridge,Start_Line,Start_Term)-Credit_Lead_Months,MAX(1,ROUNDUP(Credit!AG25/Book_per_Credit,0)),0)</f>
        <v>2</v>
      </c>
      <c r="AI73" s="37" t="n">
        <f aca="false">IF(AI$3&gt;=MIN(Start_Factoring,Start_Bridge,Start_Line,Start_Term)-Credit_Lead_Months,MAX(1,ROUNDUP(Credit!AH25/Book_per_Credit,0)),0)</f>
        <v>2</v>
      </c>
      <c r="AJ73" s="37" t="n">
        <f aca="false">IF(AJ$3&gt;=MIN(Start_Factoring,Start_Bridge,Start_Line,Start_Term)-Credit_Lead_Months,MAX(1,ROUNDUP(Credit!AI25/Book_per_Credit,0)),0)</f>
        <v>2</v>
      </c>
      <c r="AK73" s="37" t="n">
        <f aca="false">IF(AK$3&gt;=MIN(Start_Factoring,Start_Bridge,Start_Line,Start_Term)-Credit_Lead_Months,MAX(1,ROUNDUP(Credit!AJ25/Book_per_Credit,0)),0)</f>
        <v>3</v>
      </c>
      <c r="AL73" s="37" t="n">
        <f aca="false">IF(AL$3&gt;=MIN(Start_Factoring,Start_Bridge,Start_Line,Start_Term)-Credit_Lead_Months,MAX(1,ROUNDUP(Credit!AK25/Book_per_Credit,0)),0)</f>
        <v>3</v>
      </c>
      <c r="AM73" s="37" t="n">
        <f aca="false">IF(AM$3&gt;=MIN(Start_Factoring,Start_Bridge,Start_Line,Start_Term)-Credit_Lead_Months,MAX(1,ROUNDUP(Credit!AL25/Book_per_Credit,0)),0)</f>
        <v>3</v>
      </c>
      <c r="AN73" s="37" t="n">
        <f aca="false">IF(AN$3&gt;=MIN(Start_Factoring,Start_Bridge,Start_Line,Start_Term)-Credit_Lead_Months,MAX(1,ROUNDUP(Credit!AM25/Book_per_Credit,0)),0)</f>
        <v>3</v>
      </c>
      <c r="AO73" s="37" t="n">
        <f aca="false">IF(AO$3&gt;=MIN(Start_Factoring,Start_Bridge,Start_Line,Start_Term)-Credit_Lead_Months,MAX(1,ROUNDUP(Credit!AN25/Book_per_Credit,0)),0)</f>
        <v>4</v>
      </c>
      <c r="AP73" s="37" t="n">
        <f aca="false">IF(AP$3&gt;=MIN(Start_Factoring,Start_Bridge,Start_Line,Start_Term)-Credit_Lead_Months,MAX(1,ROUNDUP(Credit!AO25/Book_per_Credit,0)),0)</f>
        <v>4</v>
      </c>
      <c r="AQ73" s="37" t="n">
        <f aca="false">IF(AQ$3&gt;=MIN(Start_Factoring,Start_Bridge,Start_Line,Start_Term)-Credit_Lead_Months,MAX(1,ROUNDUP(Credit!AP25/Book_per_Credit,0)),0)</f>
        <v>4</v>
      </c>
      <c r="AR73" s="37" t="n">
        <f aca="false">IF(AR$3&gt;=MIN(Start_Factoring,Start_Bridge,Start_Line,Start_Term)-Credit_Lead_Months,MAX(1,ROUNDUP(Credit!AQ25/Book_per_Credit,0)),0)</f>
        <v>4</v>
      </c>
      <c r="AS73" s="37" t="n">
        <f aca="false">IF(AS$3&gt;=MIN(Start_Factoring,Start_Bridge,Start_Line,Start_Term)-Credit_Lead_Months,MAX(1,ROUNDUP(Credit!AR25/Book_per_Credit,0)),0)</f>
        <v>5</v>
      </c>
      <c r="AT73" s="37" t="n">
        <f aca="false">IF(AT$3&gt;=MIN(Start_Factoring,Start_Bridge,Start_Line,Start_Term)-Credit_Lead_Months,MAX(1,ROUNDUP(Credit!AS25/Book_per_Credit,0)),0)</f>
        <v>5</v>
      </c>
      <c r="AU73" s="37" t="n">
        <f aca="false">IF(AU$3&gt;=MIN(Start_Factoring,Start_Bridge,Start_Line,Start_Term)-Credit_Lead_Months,MAX(1,ROUNDUP(Credit!AT25/Book_per_Credit,0)),0)</f>
        <v>5</v>
      </c>
      <c r="AV73" s="37" t="n">
        <f aca="false">IF(AV$3&gt;=MIN(Start_Factoring,Start_Bridge,Start_Line,Start_Term)-Credit_Lead_Months,MAX(1,ROUNDUP(Credit!AU25/Book_per_Credit,0)),0)</f>
        <v>5</v>
      </c>
      <c r="AW73" s="37" t="n">
        <f aca="false">IF(AW$3&gt;=MIN(Start_Factoring,Start_Bridge,Start_Line,Start_Term)-Credit_Lead_Months,MAX(1,ROUNDUP(Credit!AV25/Book_per_Credit,0)),0)</f>
        <v>5</v>
      </c>
      <c r="AX73" s="37" t="n">
        <f aca="false">IF(AX$3&gt;=MIN(Start_Factoring,Start_Bridge,Start_Line,Start_Term)-Credit_Lead_Months,MAX(1,ROUNDUP(Credit!AW25/Book_per_Credit,0)),0)</f>
        <v>6</v>
      </c>
      <c r="AY73" s="37" t="n">
        <f aca="false">IF(AY$3&gt;=MIN(Start_Factoring,Start_Bridge,Start_Line,Start_Term)-Credit_Lead_Months,MAX(1,ROUNDUP(Credit!AX25/Book_per_Credit,0)),0)</f>
        <v>6</v>
      </c>
      <c r="AZ73" s="37" t="n">
        <f aca="false">IF(AZ$3&gt;=MIN(Start_Factoring,Start_Bridge,Start_Line,Start_Term)-Credit_Lead_Months,MAX(1,ROUNDUP(Credit!AY25/Book_per_Credit,0)),0)</f>
        <v>6</v>
      </c>
      <c r="BA73" s="37" t="n">
        <f aca="false">IF(BA$3&gt;=MIN(Start_Factoring,Start_Bridge,Start_Line,Start_Term)-Credit_Lead_Months,MAX(1,ROUNDUP(Credit!AZ25/Book_per_Credit,0)),0)</f>
        <v>6</v>
      </c>
      <c r="BB73" s="37" t="n">
        <f aca="false">IF(BB$3&gt;=MIN(Start_Factoring,Start_Bridge,Start_Line,Start_Term)-Credit_Lead_Months,MAX(1,ROUNDUP(Credit!BA25/Book_per_Credit,0)),0)</f>
        <v>7</v>
      </c>
      <c r="BC73" s="37" t="n">
        <f aca="false">IF(BC$3&gt;=MIN(Start_Factoring,Start_Bridge,Start_Line,Start_Term)-Credit_Lead_Months,MAX(1,ROUNDUP(Credit!BB25/Book_per_Credit,0)),0)</f>
        <v>7</v>
      </c>
      <c r="BD73" s="37" t="n">
        <f aca="false">IF(BD$3&gt;=MIN(Start_Factoring,Start_Bridge,Start_Line,Start_Term)-Credit_Lead_Months,MAX(1,ROUNDUP(Credit!BC25/Book_per_Credit,0)),0)</f>
        <v>7</v>
      </c>
      <c r="BE73" s="37" t="n">
        <f aca="false">IF(BE$3&gt;=MIN(Start_Factoring,Start_Bridge,Start_Line,Start_Term)-Credit_Lead_Months,MAX(1,ROUNDUP(Credit!BD25/Book_per_Credit,0)),0)</f>
        <v>7</v>
      </c>
      <c r="BF73" s="37" t="n">
        <f aca="false">IF(BF$3&gt;=MIN(Start_Factoring,Start_Bridge,Start_Line,Start_Term)-Credit_Lead_Months,MAX(1,ROUNDUP(Credit!BE25/Book_per_Credit,0)),0)</f>
        <v>8</v>
      </c>
      <c r="BG73" s="37" t="n">
        <f aca="false">IF(BG$3&gt;=MIN(Start_Factoring,Start_Bridge,Start_Line,Start_Term)-Credit_Lead_Months,MAX(1,ROUNDUP(Credit!BF25/Book_per_Credit,0)),0)</f>
        <v>8</v>
      </c>
      <c r="BH73" s="37" t="n">
        <f aca="false">IF(BH$3&gt;=MIN(Start_Factoring,Start_Bridge,Start_Line,Start_Term)-Credit_Lead_Months,MAX(1,ROUNDUP(Credit!BG25/Book_per_Credit,0)),0)</f>
        <v>8</v>
      </c>
      <c r="BI73" s="37" t="n">
        <f aca="false">IF(BI$3&gt;=MIN(Start_Factoring,Start_Bridge,Start_Line,Start_Term)-Credit_Lead_Months,MAX(1,ROUNDUP(Credit!BH25/Book_per_Credit,0)),0)</f>
        <v>8</v>
      </c>
      <c r="BJ73" s="37" t="n">
        <f aca="false">IF(BJ$3&gt;=MIN(Start_Factoring,Start_Bridge,Start_Line,Start_Term)-Credit_Lead_Months,MAX(1,ROUNDUP(Credit!BI25/Book_per_Credit,0)),0)</f>
        <v>9</v>
      </c>
      <c r="BK73" s="37" t="n">
        <f aca="false">IF(BK$3&gt;=MIN(Start_Factoring,Start_Bridge,Start_Line,Start_Term)-Credit_Lead_Months,MAX(1,ROUNDUP(Credit!BJ25/Book_per_Credit,0)),0)</f>
        <v>9</v>
      </c>
      <c r="BL73" s="37" t="n">
        <f aca="false">IF(BL$3&gt;=MIN(Start_Factoring,Start_Bridge,Start_Line,Start_Term)-Credit_Lead_Months,MAX(1,ROUNDUP(Credit!BK25/Book_per_Credit,0)),0)</f>
        <v>9</v>
      </c>
    </row>
    <row r="74" customFormat="false" ht="15" hidden="false" customHeight="false" outlineLevel="0" collapsed="false">
      <c r="A74" s="12" t="s">
        <v>691</v>
      </c>
      <c r="B74" s="14" t="s">
        <v>71</v>
      </c>
      <c r="D74" s="55" t="n">
        <f aca="false">SUM(E74:BL74)</f>
        <v>257887439.0625</v>
      </c>
      <c r="E74" s="37" t="n">
        <f aca="false">E69*Salary_Support*(1+Employer_Charges)*(1+Salary_Raise)^(E$5-1)</f>
        <v>0</v>
      </c>
      <c r="F74" s="37" t="n">
        <f aca="false">F69*Salary_Support*(1+Employer_Charges)*(1+Salary_Raise)^(F$5-1)</f>
        <v>0</v>
      </c>
      <c r="G74" s="37" t="n">
        <f aca="false">G69*Salary_Support*(1+Employer_Charges)*(1+Salary_Raise)^(G$5-1)</f>
        <v>0</v>
      </c>
      <c r="H74" s="37" t="n">
        <f aca="false">H69*Salary_Support*(1+Employer_Charges)*(1+Salary_Raise)^(H$5-1)</f>
        <v>650000</v>
      </c>
      <c r="I74" s="37" t="n">
        <f aca="false">I69*Salary_Support*(1+Employer_Charges)*(1+Salary_Raise)^(I$5-1)</f>
        <v>650000</v>
      </c>
      <c r="J74" s="37" t="n">
        <f aca="false">J69*Salary_Support*(1+Employer_Charges)*(1+Salary_Raise)^(J$5-1)</f>
        <v>650000</v>
      </c>
      <c r="K74" s="37" t="n">
        <f aca="false">K69*Salary_Support*(1+Employer_Charges)*(1+Salary_Raise)^(K$5-1)</f>
        <v>650000</v>
      </c>
      <c r="L74" s="37" t="n">
        <f aca="false">L69*Salary_Support*(1+Employer_Charges)*(1+Salary_Raise)^(L$5-1)</f>
        <v>650000</v>
      </c>
      <c r="M74" s="37" t="n">
        <f aca="false">M69*Salary_Support*(1+Employer_Charges)*(1+Salary_Raise)^(M$5-1)</f>
        <v>650000</v>
      </c>
      <c r="N74" s="37" t="n">
        <f aca="false">N69*Salary_Support*(1+Employer_Charges)*(1+Salary_Raise)^(N$5-1)</f>
        <v>650000</v>
      </c>
      <c r="O74" s="37" t="n">
        <f aca="false">O69*Salary_Support*(1+Employer_Charges)*(1+Salary_Raise)^(O$5-1)</f>
        <v>650000</v>
      </c>
      <c r="P74" s="37" t="n">
        <f aca="false">P69*Salary_Support*(1+Employer_Charges)*(1+Salary_Raise)^(P$5-1)</f>
        <v>650000</v>
      </c>
      <c r="Q74" s="37" t="n">
        <f aca="false">Q69*Salary_Support*(1+Employer_Charges)*(1+Salary_Raise)^(Q$5-1)</f>
        <v>682500</v>
      </c>
      <c r="R74" s="37" t="n">
        <f aca="false">R69*Salary_Support*(1+Employer_Charges)*(1+Salary_Raise)^(R$5-1)</f>
        <v>682500</v>
      </c>
      <c r="S74" s="37" t="n">
        <f aca="false">S69*Salary_Support*(1+Employer_Charges)*(1+Salary_Raise)^(S$5-1)</f>
        <v>682500</v>
      </c>
      <c r="T74" s="37" t="n">
        <f aca="false">T69*Salary_Support*(1+Employer_Charges)*(1+Salary_Raise)^(T$5-1)</f>
        <v>682500</v>
      </c>
      <c r="U74" s="37" t="n">
        <f aca="false">U69*Salary_Support*(1+Employer_Charges)*(1+Salary_Raise)^(U$5-1)</f>
        <v>682500</v>
      </c>
      <c r="V74" s="37" t="n">
        <f aca="false">V69*Salary_Support*(1+Employer_Charges)*(1+Salary_Raise)^(V$5-1)</f>
        <v>682500</v>
      </c>
      <c r="W74" s="37" t="n">
        <f aca="false">W69*Salary_Support*(1+Employer_Charges)*(1+Salary_Raise)^(W$5-1)</f>
        <v>1023750</v>
      </c>
      <c r="X74" s="37" t="n">
        <f aca="false">X69*Salary_Support*(1+Employer_Charges)*(1+Salary_Raise)^(X$5-1)</f>
        <v>1023750</v>
      </c>
      <c r="Y74" s="37" t="n">
        <f aca="false">Y69*Salary_Support*(1+Employer_Charges)*(1+Salary_Raise)^(Y$5-1)</f>
        <v>1023750</v>
      </c>
      <c r="Z74" s="37" t="n">
        <f aca="false">Z69*Salary_Support*(1+Employer_Charges)*(1+Salary_Raise)^(Z$5-1)</f>
        <v>1023750</v>
      </c>
      <c r="AA74" s="37" t="n">
        <f aca="false">AA69*Salary_Support*(1+Employer_Charges)*(1+Salary_Raise)^(AA$5-1)</f>
        <v>1365000</v>
      </c>
      <c r="AB74" s="37" t="n">
        <f aca="false">AB69*Salary_Support*(1+Employer_Charges)*(1+Salary_Raise)^(AB$5-1)</f>
        <v>1365000</v>
      </c>
      <c r="AC74" s="37" t="n">
        <f aca="false">AC69*Salary_Support*(1+Employer_Charges)*(1+Salary_Raise)^(AC$5-1)</f>
        <v>1433250</v>
      </c>
      <c r="AD74" s="37" t="n">
        <f aca="false">AD69*Salary_Support*(1+Employer_Charges)*(1+Salary_Raise)^(AD$5-1)</f>
        <v>1433250</v>
      </c>
      <c r="AE74" s="37" t="n">
        <f aca="false">AE69*Salary_Support*(1+Employer_Charges)*(1+Salary_Raise)^(AE$5-1)</f>
        <v>1791562.5</v>
      </c>
      <c r="AF74" s="37" t="n">
        <f aca="false">AF69*Salary_Support*(1+Employer_Charges)*(1+Salary_Raise)^(AF$5-1)</f>
        <v>1791562.5</v>
      </c>
      <c r="AG74" s="37" t="n">
        <f aca="false">AG69*Salary_Support*(1+Employer_Charges)*(1+Salary_Raise)^(AG$5-1)</f>
        <v>2866500</v>
      </c>
      <c r="AH74" s="37" t="n">
        <f aca="false">AH69*Salary_Support*(1+Employer_Charges)*(1+Salary_Raise)^(AH$5-1)</f>
        <v>2866500</v>
      </c>
      <c r="AI74" s="37" t="n">
        <f aca="false">AI69*Salary_Support*(1+Employer_Charges)*(1+Salary_Raise)^(AI$5-1)</f>
        <v>3224812.5</v>
      </c>
      <c r="AJ74" s="37" t="n">
        <f aca="false">AJ69*Salary_Support*(1+Employer_Charges)*(1+Salary_Raise)^(AJ$5-1)</f>
        <v>3583125</v>
      </c>
      <c r="AK74" s="37" t="n">
        <f aca="false">AK69*Salary_Support*(1+Employer_Charges)*(1+Salary_Raise)^(AK$5-1)</f>
        <v>3583125</v>
      </c>
      <c r="AL74" s="37" t="n">
        <f aca="false">AL69*Salary_Support*(1+Employer_Charges)*(1+Salary_Raise)^(AL$5-1)</f>
        <v>3941437.5</v>
      </c>
      <c r="AM74" s="37" t="n">
        <f aca="false">AM69*Salary_Support*(1+Employer_Charges)*(1+Salary_Raise)^(AM$5-1)</f>
        <v>3941437.5</v>
      </c>
      <c r="AN74" s="37" t="n">
        <f aca="false">AN69*Salary_Support*(1+Employer_Charges)*(1+Salary_Raise)^(AN$5-1)</f>
        <v>4299750</v>
      </c>
      <c r="AO74" s="37" t="n">
        <f aca="false">AO69*Salary_Support*(1+Employer_Charges)*(1+Salary_Raise)^(AO$5-1)</f>
        <v>4890965.625</v>
      </c>
      <c r="AP74" s="37" t="n">
        <f aca="false">AP69*Salary_Support*(1+Employer_Charges)*(1+Salary_Raise)^(AP$5-1)</f>
        <v>4890965.625</v>
      </c>
      <c r="AQ74" s="37" t="n">
        <f aca="false">AQ69*Salary_Support*(1+Employer_Charges)*(1+Salary_Raise)^(AQ$5-1)</f>
        <v>5267193.75</v>
      </c>
      <c r="AR74" s="37" t="n">
        <f aca="false">AR69*Salary_Support*(1+Employer_Charges)*(1+Salary_Raise)^(AR$5-1)</f>
        <v>5643421.875</v>
      </c>
      <c r="AS74" s="37" t="n">
        <f aca="false">AS69*Salary_Support*(1+Employer_Charges)*(1+Salary_Raise)^(AS$5-1)</f>
        <v>6019650</v>
      </c>
      <c r="AT74" s="37" t="n">
        <f aca="false">AT69*Salary_Support*(1+Employer_Charges)*(1+Salary_Raise)^(AT$5-1)</f>
        <v>6019650</v>
      </c>
      <c r="AU74" s="37" t="n">
        <f aca="false">AU69*Salary_Support*(1+Employer_Charges)*(1+Salary_Raise)^(AU$5-1)</f>
        <v>6395878.125</v>
      </c>
      <c r="AV74" s="37" t="n">
        <f aca="false">AV69*Salary_Support*(1+Employer_Charges)*(1+Salary_Raise)^(AV$5-1)</f>
        <v>6772106.25</v>
      </c>
      <c r="AW74" s="37" t="n">
        <f aca="false">AW69*Salary_Support*(1+Employer_Charges)*(1+Salary_Raise)^(AW$5-1)</f>
        <v>7148334.375</v>
      </c>
      <c r="AX74" s="37" t="n">
        <f aca="false">AX69*Salary_Support*(1+Employer_Charges)*(1+Salary_Raise)^(AX$5-1)</f>
        <v>7524562.5</v>
      </c>
      <c r="AY74" s="37" t="n">
        <f aca="false">AY69*Salary_Support*(1+Employer_Charges)*(1+Salary_Raise)^(AY$5-1)</f>
        <v>7524562.5</v>
      </c>
      <c r="AZ74" s="37" t="n">
        <f aca="false">AZ69*Salary_Support*(1+Employer_Charges)*(1+Salary_Raise)^(AZ$5-1)</f>
        <v>7900790.625</v>
      </c>
      <c r="BA74" s="37" t="n">
        <f aca="false">BA69*Salary_Support*(1+Employer_Charges)*(1+Salary_Raise)^(BA$5-1)</f>
        <v>8690869.6875</v>
      </c>
      <c r="BB74" s="37" t="n">
        <f aca="false">BB69*Salary_Support*(1+Employer_Charges)*(1+Salary_Raise)^(BB$5-1)</f>
        <v>9085909.21875</v>
      </c>
      <c r="BC74" s="37" t="n">
        <f aca="false">BC69*Salary_Support*(1+Employer_Charges)*(1+Salary_Raise)^(BC$5-1)</f>
        <v>9480948.75</v>
      </c>
      <c r="BD74" s="37" t="n">
        <f aca="false">BD69*Salary_Support*(1+Employer_Charges)*(1+Salary_Raise)^(BD$5-1)</f>
        <v>9875988.28125</v>
      </c>
      <c r="BE74" s="37" t="n">
        <f aca="false">BE69*Salary_Support*(1+Employer_Charges)*(1+Salary_Raise)^(BE$5-1)</f>
        <v>10271027.8125</v>
      </c>
      <c r="BF74" s="37" t="n">
        <f aca="false">BF69*Salary_Support*(1+Employer_Charges)*(1+Salary_Raise)^(BF$5-1)</f>
        <v>10666067.34375</v>
      </c>
      <c r="BG74" s="37" t="n">
        <f aca="false">BG69*Salary_Support*(1+Employer_Charges)*(1+Salary_Raise)^(BG$5-1)</f>
        <v>11061106.875</v>
      </c>
      <c r="BH74" s="37" t="n">
        <f aca="false">BH69*Salary_Support*(1+Employer_Charges)*(1+Salary_Raise)^(BH$5-1)</f>
        <v>11456146.40625</v>
      </c>
      <c r="BI74" s="37" t="n">
        <f aca="false">BI69*Salary_Support*(1+Employer_Charges)*(1+Salary_Raise)^(BI$5-1)</f>
        <v>11851185.9375</v>
      </c>
      <c r="BJ74" s="37" t="n">
        <f aca="false">BJ69*Salary_Support*(1+Employer_Charges)*(1+Salary_Raise)^(BJ$5-1)</f>
        <v>12246225.46875</v>
      </c>
      <c r="BK74" s="37" t="n">
        <f aca="false">BK69*Salary_Support*(1+Employer_Charges)*(1+Salary_Raise)^(BK$5-1)</f>
        <v>12641265</v>
      </c>
      <c r="BL74" s="37" t="n">
        <f aca="false">BL69*Salary_Support*(1+Employer_Charges)*(1+Salary_Raise)^(BL$5-1)</f>
        <v>13036304.53125</v>
      </c>
    </row>
    <row r="75" customFormat="false" ht="15" hidden="false" customHeight="false" outlineLevel="0" collapsed="false">
      <c r="A75" s="12" t="s">
        <v>692</v>
      </c>
      <c r="B75" s="14" t="s">
        <v>71</v>
      </c>
      <c r="D75" s="55" t="n">
        <f aca="false">SUM(E75:BL75)</f>
        <v>365660802</v>
      </c>
      <c r="E75" s="37" t="n">
        <f aca="false">E70*Salary_Dev*(1+Employer_Charges)*(1+Salary_Raise)^(E$5-1)</f>
        <v>3120000</v>
      </c>
      <c r="F75" s="37" t="n">
        <f aca="false">F70*Salary_Dev*(1+Employer_Charges)*(1+Salary_Raise)^(F$5-1)</f>
        <v>3120000</v>
      </c>
      <c r="G75" s="37" t="n">
        <f aca="false">G70*Salary_Dev*(1+Employer_Charges)*(1+Salary_Raise)^(G$5-1)</f>
        <v>3120000</v>
      </c>
      <c r="H75" s="37" t="n">
        <f aca="false">H70*Salary_Dev*(1+Employer_Charges)*(1+Salary_Raise)^(H$5-1)</f>
        <v>3120000</v>
      </c>
      <c r="I75" s="37" t="n">
        <f aca="false">I70*Salary_Dev*(1+Employer_Charges)*(1+Salary_Raise)^(I$5-1)</f>
        <v>3120000</v>
      </c>
      <c r="J75" s="37" t="n">
        <f aca="false">J70*Salary_Dev*(1+Employer_Charges)*(1+Salary_Raise)^(J$5-1)</f>
        <v>3120000</v>
      </c>
      <c r="K75" s="37" t="n">
        <f aca="false">K70*Salary_Dev*(1+Employer_Charges)*(1+Salary_Raise)^(K$5-1)</f>
        <v>3120000</v>
      </c>
      <c r="L75" s="37" t="n">
        <f aca="false">L70*Salary_Dev*(1+Employer_Charges)*(1+Salary_Raise)^(L$5-1)</f>
        <v>3120000</v>
      </c>
      <c r="M75" s="37" t="n">
        <f aca="false">M70*Salary_Dev*(1+Employer_Charges)*(1+Salary_Raise)^(M$5-1)</f>
        <v>3120000</v>
      </c>
      <c r="N75" s="37" t="n">
        <f aca="false">N70*Salary_Dev*(1+Employer_Charges)*(1+Salary_Raise)^(N$5-1)</f>
        <v>3120000</v>
      </c>
      <c r="O75" s="37" t="n">
        <f aca="false">O70*Salary_Dev*(1+Employer_Charges)*(1+Salary_Raise)^(O$5-1)</f>
        <v>3120000</v>
      </c>
      <c r="P75" s="37" t="n">
        <f aca="false">P70*Salary_Dev*(1+Employer_Charges)*(1+Salary_Raise)^(P$5-1)</f>
        <v>3120000</v>
      </c>
      <c r="Q75" s="37" t="n">
        <f aca="false">Q70*Salary_Dev*(1+Employer_Charges)*(1+Salary_Raise)^(Q$5-1)</f>
        <v>3276000</v>
      </c>
      <c r="R75" s="37" t="n">
        <f aca="false">R70*Salary_Dev*(1+Employer_Charges)*(1+Salary_Raise)^(R$5-1)</f>
        <v>3276000</v>
      </c>
      <c r="S75" s="37" t="n">
        <f aca="false">S70*Salary_Dev*(1+Employer_Charges)*(1+Salary_Raise)^(S$5-1)</f>
        <v>3276000</v>
      </c>
      <c r="T75" s="37" t="n">
        <f aca="false">T70*Salary_Dev*(1+Employer_Charges)*(1+Salary_Raise)^(T$5-1)</f>
        <v>3276000</v>
      </c>
      <c r="U75" s="37" t="n">
        <f aca="false">U70*Salary_Dev*(1+Employer_Charges)*(1+Salary_Raise)^(U$5-1)</f>
        <v>3276000</v>
      </c>
      <c r="V75" s="37" t="n">
        <f aca="false">V70*Salary_Dev*(1+Employer_Charges)*(1+Salary_Raise)^(V$5-1)</f>
        <v>3276000</v>
      </c>
      <c r="W75" s="37" t="n">
        <f aca="false">W70*Salary_Dev*(1+Employer_Charges)*(1+Salary_Raise)^(W$5-1)</f>
        <v>3276000</v>
      </c>
      <c r="X75" s="37" t="n">
        <f aca="false">X70*Salary_Dev*(1+Employer_Charges)*(1+Salary_Raise)^(X$5-1)</f>
        <v>3276000</v>
      </c>
      <c r="Y75" s="37" t="n">
        <f aca="false">Y70*Salary_Dev*(1+Employer_Charges)*(1+Salary_Raise)^(Y$5-1)</f>
        <v>3276000</v>
      </c>
      <c r="Z75" s="37" t="n">
        <f aca="false">Z70*Salary_Dev*(1+Employer_Charges)*(1+Salary_Raise)^(Z$5-1)</f>
        <v>3276000</v>
      </c>
      <c r="AA75" s="37" t="n">
        <f aca="false">AA70*Salary_Dev*(1+Employer_Charges)*(1+Salary_Raise)^(AA$5-1)</f>
        <v>3276000</v>
      </c>
      <c r="AB75" s="37" t="n">
        <f aca="false">AB70*Salary_Dev*(1+Employer_Charges)*(1+Salary_Raise)^(AB$5-1)</f>
        <v>3276000</v>
      </c>
      <c r="AC75" s="37" t="n">
        <f aca="false">AC70*Salary_Dev*(1+Employer_Charges)*(1+Salary_Raise)^(AC$5-1)</f>
        <v>3439800</v>
      </c>
      <c r="AD75" s="37" t="n">
        <f aca="false">AD70*Salary_Dev*(1+Employer_Charges)*(1+Salary_Raise)^(AD$5-1)</f>
        <v>3439800</v>
      </c>
      <c r="AE75" s="37" t="n">
        <f aca="false">AE70*Salary_Dev*(1+Employer_Charges)*(1+Salary_Raise)^(AE$5-1)</f>
        <v>5159700</v>
      </c>
      <c r="AF75" s="37" t="n">
        <f aca="false">AF70*Salary_Dev*(1+Employer_Charges)*(1+Salary_Raise)^(AF$5-1)</f>
        <v>5159700</v>
      </c>
      <c r="AG75" s="37" t="n">
        <f aca="false">AG70*Salary_Dev*(1+Employer_Charges)*(1+Salary_Raise)^(AG$5-1)</f>
        <v>5159700</v>
      </c>
      <c r="AH75" s="37" t="n">
        <f aca="false">AH70*Salary_Dev*(1+Employer_Charges)*(1+Salary_Raise)^(AH$5-1)</f>
        <v>5159700</v>
      </c>
      <c r="AI75" s="37" t="n">
        <f aca="false">AI70*Salary_Dev*(1+Employer_Charges)*(1+Salary_Raise)^(AI$5-1)</f>
        <v>5159700</v>
      </c>
      <c r="AJ75" s="37" t="n">
        <f aca="false">AJ70*Salary_Dev*(1+Employer_Charges)*(1+Salary_Raise)^(AJ$5-1)</f>
        <v>5159700</v>
      </c>
      <c r="AK75" s="37" t="n">
        <f aca="false">AK70*Salary_Dev*(1+Employer_Charges)*(1+Salary_Raise)^(AK$5-1)</f>
        <v>5159700</v>
      </c>
      <c r="AL75" s="37" t="n">
        <f aca="false">AL70*Salary_Dev*(1+Employer_Charges)*(1+Salary_Raise)^(AL$5-1)</f>
        <v>5159700</v>
      </c>
      <c r="AM75" s="37" t="n">
        <f aca="false">AM70*Salary_Dev*(1+Employer_Charges)*(1+Salary_Raise)^(AM$5-1)</f>
        <v>5159700</v>
      </c>
      <c r="AN75" s="37" t="n">
        <f aca="false">AN70*Salary_Dev*(1+Employer_Charges)*(1+Salary_Raise)^(AN$5-1)</f>
        <v>5159700</v>
      </c>
      <c r="AO75" s="37" t="n">
        <f aca="false">AO70*Salary_Dev*(1+Employer_Charges)*(1+Salary_Raise)^(AO$5-1)</f>
        <v>7223580</v>
      </c>
      <c r="AP75" s="37" t="n">
        <f aca="false">AP70*Salary_Dev*(1+Employer_Charges)*(1+Salary_Raise)^(AP$5-1)</f>
        <v>7223580</v>
      </c>
      <c r="AQ75" s="37" t="n">
        <f aca="false">AQ70*Salary_Dev*(1+Employer_Charges)*(1+Salary_Raise)^(AQ$5-1)</f>
        <v>7223580</v>
      </c>
      <c r="AR75" s="37" t="n">
        <f aca="false">AR70*Salary_Dev*(1+Employer_Charges)*(1+Salary_Raise)^(AR$5-1)</f>
        <v>7223580</v>
      </c>
      <c r="AS75" s="37" t="n">
        <f aca="false">AS70*Salary_Dev*(1+Employer_Charges)*(1+Salary_Raise)^(AS$5-1)</f>
        <v>7223580</v>
      </c>
      <c r="AT75" s="37" t="n">
        <f aca="false">AT70*Salary_Dev*(1+Employer_Charges)*(1+Salary_Raise)^(AT$5-1)</f>
        <v>7223580</v>
      </c>
      <c r="AU75" s="37" t="n">
        <f aca="false">AU70*Salary_Dev*(1+Employer_Charges)*(1+Salary_Raise)^(AU$5-1)</f>
        <v>7223580</v>
      </c>
      <c r="AV75" s="37" t="n">
        <f aca="false">AV70*Salary_Dev*(1+Employer_Charges)*(1+Salary_Raise)^(AV$5-1)</f>
        <v>7223580</v>
      </c>
      <c r="AW75" s="37" t="n">
        <f aca="false">AW70*Salary_Dev*(1+Employer_Charges)*(1+Salary_Raise)^(AW$5-1)</f>
        <v>9029475</v>
      </c>
      <c r="AX75" s="37" t="n">
        <f aca="false">AX70*Salary_Dev*(1+Employer_Charges)*(1+Salary_Raise)^(AX$5-1)</f>
        <v>9029475</v>
      </c>
      <c r="AY75" s="37" t="n">
        <f aca="false">AY70*Salary_Dev*(1+Employer_Charges)*(1+Salary_Raise)^(AY$5-1)</f>
        <v>9029475</v>
      </c>
      <c r="AZ75" s="37" t="n">
        <f aca="false">AZ70*Salary_Dev*(1+Employer_Charges)*(1+Salary_Raise)^(AZ$5-1)</f>
        <v>9029475</v>
      </c>
      <c r="BA75" s="37" t="n">
        <f aca="false">BA70*Salary_Dev*(1+Employer_Charges)*(1+Salary_Raise)^(BA$5-1)</f>
        <v>9480948.75</v>
      </c>
      <c r="BB75" s="37" t="n">
        <f aca="false">BB70*Salary_Dev*(1+Employer_Charges)*(1+Salary_Raise)^(BB$5-1)</f>
        <v>9480948.75</v>
      </c>
      <c r="BC75" s="37" t="n">
        <f aca="false">BC70*Salary_Dev*(1+Employer_Charges)*(1+Salary_Raise)^(BC$5-1)</f>
        <v>9480948.75</v>
      </c>
      <c r="BD75" s="37" t="n">
        <f aca="false">BD70*Salary_Dev*(1+Employer_Charges)*(1+Salary_Raise)^(BD$5-1)</f>
        <v>11377138.5</v>
      </c>
      <c r="BE75" s="37" t="n">
        <f aca="false">BE70*Salary_Dev*(1+Employer_Charges)*(1+Salary_Raise)^(BE$5-1)</f>
        <v>11377138.5</v>
      </c>
      <c r="BF75" s="37" t="n">
        <f aca="false">BF70*Salary_Dev*(1+Employer_Charges)*(1+Salary_Raise)^(BF$5-1)</f>
        <v>11377138.5</v>
      </c>
      <c r="BG75" s="37" t="n">
        <f aca="false">BG70*Salary_Dev*(1+Employer_Charges)*(1+Salary_Raise)^(BG$5-1)</f>
        <v>11377138.5</v>
      </c>
      <c r="BH75" s="37" t="n">
        <f aca="false">BH70*Salary_Dev*(1+Employer_Charges)*(1+Salary_Raise)^(BH$5-1)</f>
        <v>11377138.5</v>
      </c>
      <c r="BI75" s="37" t="n">
        <f aca="false">BI70*Salary_Dev*(1+Employer_Charges)*(1+Salary_Raise)^(BI$5-1)</f>
        <v>11377138.5</v>
      </c>
      <c r="BJ75" s="37" t="n">
        <f aca="false">BJ70*Salary_Dev*(1+Employer_Charges)*(1+Salary_Raise)^(BJ$5-1)</f>
        <v>13273328.25</v>
      </c>
      <c r="BK75" s="37" t="n">
        <f aca="false">BK70*Salary_Dev*(1+Employer_Charges)*(1+Salary_Raise)^(BK$5-1)</f>
        <v>13273328.25</v>
      </c>
      <c r="BL75" s="37" t="n">
        <f aca="false">BL70*Salary_Dev*(1+Employer_Charges)*(1+Salary_Raise)^(BL$5-1)</f>
        <v>13273328.25</v>
      </c>
    </row>
    <row r="76" customFormat="false" ht="15" hidden="false" customHeight="false" outlineLevel="0" collapsed="false">
      <c r="A76" s="12" t="s">
        <v>693</v>
      </c>
      <c r="B76" s="14" t="s">
        <v>71</v>
      </c>
      <c r="D76" s="55" t="n">
        <f aca="false">SUM(E76:BL76)</f>
        <v>261819002.25</v>
      </c>
      <c r="E76" s="37" t="n">
        <f aca="false">E71*Salary_Rep_SN*(1+Employer_Charges)*(1+Salary_Raise)^(E$5-1)</f>
        <v>0</v>
      </c>
      <c r="F76" s="37" t="n">
        <f aca="false">F71*Salary_Rep_SN*(1+Employer_Charges)*(1+Salary_Raise)^(F$5-1)</f>
        <v>0</v>
      </c>
      <c r="G76" s="37" t="n">
        <f aca="false">G71*Salary_Rep_SN*(1+Employer_Charges)*(1+Salary_Raise)^(G$5-1)</f>
        <v>0</v>
      </c>
      <c r="H76" s="37" t="n">
        <f aca="false">H71*Salary_Rep_SN*(1+Employer_Charges)*(1+Salary_Raise)^(H$5-1)</f>
        <v>1040000</v>
      </c>
      <c r="I76" s="37" t="n">
        <f aca="false">I71*Salary_Rep_SN*(1+Employer_Charges)*(1+Salary_Raise)^(I$5-1)</f>
        <v>1040000</v>
      </c>
      <c r="J76" s="37" t="n">
        <f aca="false">J71*Salary_Rep_SN*(1+Employer_Charges)*(1+Salary_Raise)^(J$5-1)</f>
        <v>1040000</v>
      </c>
      <c r="K76" s="37" t="n">
        <f aca="false">K71*Salary_Rep_SN*(1+Employer_Charges)*(1+Salary_Raise)^(K$5-1)</f>
        <v>1040000</v>
      </c>
      <c r="L76" s="37" t="n">
        <f aca="false">L71*Salary_Rep_SN*(1+Employer_Charges)*(1+Salary_Raise)^(L$5-1)</f>
        <v>1040000</v>
      </c>
      <c r="M76" s="37" t="n">
        <f aca="false">M71*Salary_Rep_SN*(1+Employer_Charges)*(1+Salary_Raise)^(M$5-1)</f>
        <v>1040000</v>
      </c>
      <c r="N76" s="37" t="n">
        <f aca="false">N71*Salary_Rep_SN*(1+Employer_Charges)*(1+Salary_Raise)^(N$5-1)</f>
        <v>1040000</v>
      </c>
      <c r="O76" s="37" t="n">
        <f aca="false">O71*Salary_Rep_SN*(1+Employer_Charges)*(1+Salary_Raise)^(O$5-1)</f>
        <v>1040000</v>
      </c>
      <c r="P76" s="37" t="n">
        <f aca="false">P71*Salary_Rep_SN*(1+Employer_Charges)*(1+Salary_Raise)^(P$5-1)</f>
        <v>1040000</v>
      </c>
      <c r="Q76" s="37" t="n">
        <f aca="false">Q71*Salary_Rep_SN*(1+Employer_Charges)*(1+Salary_Raise)^(Q$5-1)</f>
        <v>1092000</v>
      </c>
      <c r="R76" s="37" t="n">
        <f aca="false">R71*Salary_Rep_SN*(1+Employer_Charges)*(1+Salary_Raise)^(R$5-1)</f>
        <v>1092000</v>
      </c>
      <c r="S76" s="37" t="n">
        <f aca="false">S71*Salary_Rep_SN*(1+Employer_Charges)*(1+Salary_Raise)^(S$5-1)</f>
        <v>1092000</v>
      </c>
      <c r="T76" s="37" t="n">
        <f aca="false">T71*Salary_Rep_SN*(1+Employer_Charges)*(1+Salary_Raise)^(T$5-1)</f>
        <v>1092000</v>
      </c>
      <c r="U76" s="37" t="n">
        <f aca="false">U71*Salary_Rep_SN*(1+Employer_Charges)*(1+Salary_Raise)^(U$5-1)</f>
        <v>1092000</v>
      </c>
      <c r="V76" s="37" t="n">
        <f aca="false">V71*Salary_Rep_SN*(1+Employer_Charges)*(1+Salary_Raise)^(V$5-1)</f>
        <v>1638000</v>
      </c>
      <c r="W76" s="37" t="n">
        <f aca="false">W71*Salary_Rep_SN*(1+Employer_Charges)*(1+Salary_Raise)^(W$5-1)</f>
        <v>1638000</v>
      </c>
      <c r="X76" s="37" t="n">
        <f aca="false">X71*Salary_Rep_SN*(1+Employer_Charges)*(1+Salary_Raise)^(X$5-1)</f>
        <v>1638000</v>
      </c>
      <c r="Y76" s="37" t="n">
        <f aca="false">Y71*Salary_Rep_SN*(1+Employer_Charges)*(1+Salary_Raise)^(Y$5-1)</f>
        <v>1638000</v>
      </c>
      <c r="Z76" s="37" t="n">
        <f aca="false">Z71*Salary_Rep_SN*(1+Employer_Charges)*(1+Salary_Raise)^(Z$5-1)</f>
        <v>1638000</v>
      </c>
      <c r="AA76" s="37" t="n">
        <f aca="false">AA71*Salary_Rep_SN*(1+Employer_Charges)*(1+Salary_Raise)^(AA$5-1)</f>
        <v>2184000</v>
      </c>
      <c r="AB76" s="37" t="n">
        <f aca="false">AB71*Salary_Rep_SN*(1+Employer_Charges)*(1+Salary_Raise)^(AB$5-1)</f>
        <v>2184000</v>
      </c>
      <c r="AC76" s="37" t="n">
        <f aca="false">AC71*Salary_Rep_SN*(1+Employer_Charges)*(1+Salary_Raise)^(AC$5-1)</f>
        <v>2293200</v>
      </c>
      <c r="AD76" s="37" t="n">
        <f aca="false">AD71*Salary_Rep_SN*(1+Employer_Charges)*(1+Salary_Raise)^(AD$5-1)</f>
        <v>2293200</v>
      </c>
      <c r="AE76" s="37" t="n">
        <f aca="false">AE71*Salary_Rep_SN*(1+Employer_Charges)*(1+Salary_Raise)^(AE$5-1)</f>
        <v>2866500</v>
      </c>
      <c r="AF76" s="37" t="n">
        <f aca="false">AF71*Salary_Rep_SN*(1+Employer_Charges)*(1+Salary_Raise)^(AF$5-1)</f>
        <v>2866500</v>
      </c>
      <c r="AG76" s="37" t="n">
        <f aca="false">AG71*Salary_Rep_SN*(1+Employer_Charges)*(1+Salary_Raise)^(AG$5-1)</f>
        <v>2866500</v>
      </c>
      <c r="AH76" s="37" t="n">
        <f aca="false">AH71*Salary_Rep_SN*(1+Employer_Charges)*(1+Salary_Raise)^(AH$5-1)</f>
        <v>2866500</v>
      </c>
      <c r="AI76" s="37" t="n">
        <f aca="false">AI71*Salary_Rep_SN*(1+Employer_Charges)*(1+Salary_Raise)^(AI$5-1)</f>
        <v>3439800</v>
      </c>
      <c r="AJ76" s="37" t="n">
        <f aca="false">AJ71*Salary_Rep_SN*(1+Employer_Charges)*(1+Salary_Raise)^(AJ$5-1)</f>
        <v>3439800</v>
      </c>
      <c r="AK76" s="37" t="n">
        <f aca="false">AK71*Salary_Rep_SN*(1+Employer_Charges)*(1+Salary_Raise)^(AK$5-1)</f>
        <v>3439800</v>
      </c>
      <c r="AL76" s="37" t="n">
        <f aca="false">AL71*Salary_Rep_SN*(1+Employer_Charges)*(1+Salary_Raise)^(AL$5-1)</f>
        <v>4013100</v>
      </c>
      <c r="AM76" s="37" t="n">
        <f aca="false">AM71*Salary_Rep_SN*(1+Employer_Charges)*(1+Salary_Raise)^(AM$5-1)</f>
        <v>4013100</v>
      </c>
      <c r="AN76" s="37" t="n">
        <f aca="false">AN71*Salary_Rep_SN*(1+Employer_Charges)*(1+Salary_Raise)^(AN$5-1)</f>
        <v>4013100</v>
      </c>
      <c r="AO76" s="37" t="n">
        <f aca="false">AO71*Salary_Rep_SN*(1+Employer_Charges)*(1+Salary_Raise)^(AO$5-1)</f>
        <v>4815720</v>
      </c>
      <c r="AP76" s="37" t="n">
        <f aca="false">AP71*Salary_Rep_SN*(1+Employer_Charges)*(1+Salary_Raise)^(AP$5-1)</f>
        <v>4815720</v>
      </c>
      <c r="AQ76" s="37" t="n">
        <f aca="false">AQ71*Salary_Rep_SN*(1+Employer_Charges)*(1+Salary_Raise)^(AQ$5-1)</f>
        <v>5417685</v>
      </c>
      <c r="AR76" s="37" t="n">
        <f aca="false">AR71*Salary_Rep_SN*(1+Employer_Charges)*(1+Salary_Raise)^(AR$5-1)</f>
        <v>5417685</v>
      </c>
      <c r="AS76" s="37" t="n">
        <f aca="false">AS71*Salary_Rep_SN*(1+Employer_Charges)*(1+Salary_Raise)^(AS$5-1)</f>
        <v>6019650</v>
      </c>
      <c r="AT76" s="37" t="n">
        <f aca="false">AT71*Salary_Rep_SN*(1+Employer_Charges)*(1+Salary_Raise)^(AT$5-1)</f>
        <v>6019650</v>
      </c>
      <c r="AU76" s="37" t="n">
        <f aca="false">AU71*Salary_Rep_SN*(1+Employer_Charges)*(1+Salary_Raise)^(AU$5-1)</f>
        <v>6019650</v>
      </c>
      <c r="AV76" s="37" t="n">
        <f aca="false">AV71*Salary_Rep_SN*(1+Employer_Charges)*(1+Salary_Raise)^(AV$5-1)</f>
        <v>6621615</v>
      </c>
      <c r="AW76" s="37" t="n">
        <f aca="false">AW71*Salary_Rep_SN*(1+Employer_Charges)*(1+Salary_Raise)^(AW$5-1)</f>
        <v>6621615</v>
      </c>
      <c r="AX76" s="37" t="n">
        <f aca="false">AX71*Salary_Rep_SN*(1+Employer_Charges)*(1+Salary_Raise)^(AX$5-1)</f>
        <v>7223580</v>
      </c>
      <c r="AY76" s="37" t="n">
        <f aca="false">AY71*Salary_Rep_SN*(1+Employer_Charges)*(1+Salary_Raise)^(AY$5-1)</f>
        <v>7223580</v>
      </c>
      <c r="AZ76" s="37" t="n">
        <f aca="false">AZ71*Salary_Rep_SN*(1+Employer_Charges)*(1+Salary_Raise)^(AZ$5-1)</f>
        <v>7825545</v>
      </c>
      <c r="BA76" s="37" t="n">
        <f aca="false">BA71*Salary_Rep_SN*(1+Employer_Charges)*(1+Salary_Raise)^(BA$5-1)</f>
        <v>8216822.25</v>
      </c>
      <c r="BB76" s="37" t="n">
        <f aca="false">BB71*Salary_Rep_SN*(1+Employer_Charges)*(1+Salary_Raise)^(BB$5-1)</f>
        <v>8848885.5</v>
      </c>
      <c r="BC76" s="37" t="n">
        <f aca="false">BC71*Salary_Rep_SN*(1+Employer_Charges)*(1+Salary_Raise)^(BC$5-1)</f>
        <v>8848885.5</v>
      </c>
      <c r="BD76" s="37" t="n">
        <f aca="false">BD71*Salary_Rep_SN*(1+Employer_Charges)*(1+Salary_Raise)^(BD$5-1)</f>
        <v>9480948.75</v>
      </c>
      <c r="BE76" s="37" t="n">
        <f aca="false">BE71*Salary_Rep_SN*(1+Employer_Charges)*(1+Salary_Raise)^(BE$5-1)</f>
        <v>9480948.75</v>
      </c>
      <c r="BF76" s="37" t="n">
        <f aca="false">BF71*Salary_Rep_SN*(1+Employer_Charges)*(1+Salary_Raise)^(BF$5-1)</f>
        <v>10113012</v>
      </c>
      <c r="BG76" s="37" t="n">
        <f aca="false">BG71*Salary_Rep_SN*(1+Employer_Charges)*(1+Salary_Raise)^(BG$5-1)</f>
        <v>10113012</v>
      </c>
      <c r="BH76" s="37" t="n">
        <f aca="false">BH71*Salary_Rep_SN*(1+Employer_Charges)*(1+Salary_Raise)^(BH$5-1)</f>
        <v>10745075.25</v>
      </c>
      <c r="BI76" s="37" t="n">
        <f aca="false">BI71*Salary_Rep_SN*(1+Employer_Charges)*(1+Salary_Raise)^(BI$5-1)</f>
        <v>10745075.25</v>
      </c>
      <c r="BJ76" s="37" t="n">
        <f aca="false">BJ71*Salary_Rep_SN*(1+Employer_Charges)*(1+Salary_Raise)^(BJ$5-1)</f>
        <v>11377138.5</v>
      </c>
      <c r="BK76" s="37" t="n">
        <f aca="false">BK71*Salary_Rep_SN*(1+Employer_Charges)*(1+Salary_Raise)^(BK$5-1)</f>
        <v>12009201.75</v>
      </c>
      <c r="BL76" s="37" t="n">
        <f aca="false">BL71*Salary_Rep_SN*(1+Employer_Charges)*(1+Salary_Raise)^(BL$5-1)</f>
        <v>12009201.75</v>
      </c>
    </row>
    <row r="77" customFormat="false" ht="15" hidden="false" customHeight="false" outlineLevel="0" collapsed="false">
      <c r="A77" s="12" t="s">
        <v>694</v>
      </c>
      <c r="B77" s="14" t="s">
        <v>71</v>
      </c>
      <c r="D77" s="55" t="n">
        <f aca="false">SUM(E77:BL77)</f>
        <v>114083116.875</v>
      </c>
      <c r="E77" s="37" t="n">
        <f aca="false">E72*Salary_Rep_CI*(1+Employer_Charges)*(1+Salary_Raise)^(E$5-1)</f>
        <v>0</v>
      </c>
      <c r="F77" s="37" t="n">
        <f aca="false">F72*Salary_Rep_CI*(1+Employer_Charges)*(1+Salary_Raise)^(F$5-1)</f>
        <v>0</v>
      </c>
      <c r="G77" s="37" t="n">
        <f aca="false">G72*Salary_Rep_CI*(1+Employer_Charges)*(1+Salary_Raise)^(G$5-1)</f>
        <v>0</v>
      </c>
      <c r="H77" s="37" t="n">
        <f aca="false">H72*Salary_Rep_CI*(1+Employer_Charges)*(1+Salary_Raise)^(H$5-1)</f>
        <v>0</v>
      </c>
      <c r="I77" s="37" t="n">
        <f aca="false">I72*Salary_Rep_CI*(1+Employer_Charges)*(1+Salary_Raise)^(I$5-1)</f>
        <v>0</v>
      </c>
      <c r="J77" s="37" t="n">
        <f aca="false">J72*Salary_Rep_CI*(1+Employer_Charges)*(1+Salary_Raise)^(J$5-1)</f>
        <v>0</v>
      </c>
      <c r="K77" s="37" t="n">
        <f aca="false">K72*Salary_Rep_CI*(1+Employer_Charges)*(1+Salary_Raise)^(K$5-1)</f>
        <v>0</v>
      </c>
      <c r="L77" s="37" t="n">
        <f aca="false">L72*Salary_Rep_CI*(1+Employer_Charges)*(1+Salary_Raise)^(L$5-1)</f>
        <v>0</v>
      </c>
      <c r="M77" s="37" t="n">
        <f aca="false">M72*Salary_Rep_CI*(1+Employer_Charges)*(1+Salary_Raise)^(M$5-1)</f>
        <v>0</v>
      </c>
      <c r="N77" s="37" t="n">
        <f aca="false">N72*Salary_Rep_CI*(1+Employer_Charges)*(1+Salary_Raise)^(N$5-1)</f>
        <v>0</v>
      </c>
      <c r="O77" s="37" t="n">
        <f aca="false">O72*Salary_Rep_CI*(1+Employer_Charges)*(1+Salary_Raise)^(O$5-1)</f>
        <v>0</v>
      </c>
      <c r="P77" s="37" t="n">
        <f aca="false">P72*Salary_Rep_CI*(1+Employer_Charges)*(1+Salary_Raise)^(P$5-1)</f>
        <v>0</v>
      </c>
      <c r="Q77" s="37" t="n">
        <f aca="false">Q72*Salary_Rep_CI*(1+Employer_Charges)*(1+Salary_Raise)^(Q$5-1)</f>
        <v>0</v>
      </c>
      <c r="R77" s="37" t="n">
        <f aca="false">R72*Salary_Rep_CI*(1+Employer_Charges)*(1+Salary_Raise)^(R$5-1)</f>
        <v>0</v>
      </c>
      <c r="S77" s="37" t="n">
        <f aca="false">S72*Salary_Rep_CI*(1+Employer_Charges)*(1+Salary_Raise)^(S$5-1)</f>
        <v>0</v>
      </c>
      <c r="T77" s="37" t="n">
        <f aca="false">T72*Salary_Rep_CI*(1+Employer_Charges)*(1+Salary_Raise)^(T$5-1)</f>
        <v>0</v>
      </c>
      <c r="U77" s="37" t="n">
        <f aca="false">U72*Salary_Rep_CI*(1+Employer_Charges)*(1+Salary_Raise)^(U$5-1)</f>
        <v>0</v>
      </c>
      <c r="V77" s="37" t="n">
        <f aca="false">V72*Salary_Rep_CI*(1+Employer_Charges)*(1+Salary_Raise)^(V$5-1)</f>
        <v>1228500</v>
      </c>
      <c r="W77" s="37" t="n">
        <f aca="false">W72*Salary_Rep_CI*(1+Employer_Charges)*(1+Salary_Raise)^(W$5-1)</f>
        <v>1228500</v>
      </c>
      <c r="X77" s="37" t="n">
        <f aca="false">X72*Salary_Rep_CI*(1+Employer_Charges)*(1+Salary_Raise)^(X$5-1)</f>
        <v>1228500</v>
      </c>
      <c r="Y77" s="37" t="n">
        <f aca="false">Y72*Salary_Rep_CI*(1+Employer_Charges)*(1+Salary_Raise)^(Y$5-1)</f>
        <v>1228500</v>
      </c>
      <c r="Z77" s="37" t="n">
        <f aca="false">Z72*Salary_Rep_CI*(1+Employer_Charges)*(1+Salary_Raise)^(Z$5-1)</f>
        <v>1228500</v>
      </c>
      <c r="AA77" s="37" t="n">
        <f aca="false">AA72*Salary_Rep_CI*(1+Employer_Charges)*(1+Salary_Raise)^(AA$5-1)</f>
        <v>1228500</v>
      </c>
      <c r="AB77" s="37" t="n">
        <f aca="false">AB72*Salary_Rep_CI*(1+Employer_Charges)*(1+Salary_Raise)^(AB$5-1)</f>
        <v>1228500</v>
      </c>
      <c r="AC77" s="37" t="n">
        <f aca="false">AC72*Salary_Rep_CI*(1+Employer_Charges)*(1+Salary_Raise)^(AC$5-1)</f>
        <v>1289925</v>
      </c>
      <c r="AD77" s="37" t="n">
        <f aca="false">AD72*Salary_Rep_CI*(1+Employer_Charges)*(1+Salary_Raise)^(AD$5-1)</f>
        <v>1289925</v>
      </c>
      <c r="AE77" s="37" t="n">
        <f aca="false">AE72*Salary_Rep_CI*(1+Employer_Charges)*(1+Salary_Raise)^(AE$5-1)</f>
        <v>1289925</v>
      </c>
      <c r="AF77" s="37" t="n">
        <f aca="false">AF72*Salary_Rep_CI*(1+Employer_Charges)*(1+Salary_Raise)^(AF$5-1)</f>
        <v>1289925</v>
      </c>
      <c r="AG77" s="37" t="n">
        <f aca="false">AG72*Salary_Rep_CI*(1+Employer_Charges)*(1+Salary_Raise)^(AG$5-1)</f>
        <v>1289925</v>
      </c>
      <c r="AH77" s="37" t="n">
        <f aca="false">AH72*Salary_Rep_CI*(1+Employer_Charges)*(1+Salary_Raise)^(AH$5-1)</f>
        <v>1289925</v>
      </c>
      <c r="AI77" s="37" t="n">
        <f aca="false">AI72*Salary_Rep_CI*(1+Employer_Charges)*(1+Salary_Raise)^(AI$5-1)</f>
        <v>1289925</v>
      </c>
      <c r="AJ77" s="37" t="n">
        <f aca="false">AJ72*Salary_Rep_CI*(1+Employer_Charges)*(1+Salary_Raise)^(AJ$5-1)</f>
        <v>1289925</v>
      </c>
      <c r="AK77" s="37" t="n">
        <f aca="false">AK72*Salary_Rep_CI*(1+Employer_Charges)*(1+Salary_Raise)^(AK$5-1)</f>
        <v>1289925</v>
      </c>
      <c r="AL77" s="37" t="n">
        <f aca="false">AL72*Salary_Rep_CI*(1+Employer_Charges)*(1+Salary_Raise)^(AL$5-1)</f>
        <v>1289925</v>
      </c>
      <c r="AM77" s="37" t="n">
        <f aca="false">AM72*Salary_Rep_CI*(1+Employer_Charges)*(1+Salary_Raise)^(AM$5-1)</f>
        <v>1934887.5</v>
      </c>
      <c r="AN77" s="37" t="n">
        <f aca="false">AN72*Salary_Rep_CI*(1+Employer_Charges)*(1+Salary_Raise)^(AN$5-1)</f>
        <v>1934887.5</v>
      </c>
      <c r="AO77" s="37" t="n">
        <f aca="false">AO72*Salary_Rep_CI*(1+Employer_Charges)*(1+Salary_Raise)^(AO$5-1)</f>
        <v>2031631.875</v>
      </c>
      <c r="AP77" s="37" t="n">
        <f aca="false">AP72*Salary_Rep_CI*(1+Employer_Charges)*(1+Salary_Raise)^(AP$5-1)</f>
        <v>2031631.875</v>
      </c>
      <c r="AQ77" s="37" t="n">
        <f aca="false">AQ72*Salary_Rep_CI*(1+Employer_Charges)*(1+Salary_Raise)^(AQ$5-1)</f>
        <v>2031631.875</v>
      </c>
      <c r="AR77" s="37" t="n">
        <f aca="false">AR72*Salary_Rep_CI*(1+Employer_Charges)*(1+Salary_Raise)^(AR$5-1)</f>
        <v>2031631.875</v>
      </c>
      <c r="AS77" s="37" t="n">
        <f aca="false">AS72*Salary_Rep_CI*(1+Employer_Charges)*(1+Salary_Raise)^(AS$5-1)</f>
        <v>2708842.5</v>
      </c>
      <c r="AT77" s="37" t="n">
        <f aca="false">AT72*Salary_Rep_CI*(1+Employer_Charges)*(1+Salary_Raise)^(AT$5-1)</f>
        <v>2708842.5</v>
      </c>
      <c r="AU77" s="37" t="n">
        <f aca="false">AU72*Salary_Rep_CI*(1+Employer_Charges)*(1+Salary_Raise)^(AU$5-1)</f>
        <v>2708842.5</v>
      </c>
      <c r="AV77" s="37" t="n">
        <f aca="false">AV72*Salary_Rep_CI*(1+Employer_Charges)*(1+Salary_Raise)^(AV$5-1)</f>
        <v>2708842.5</v>
      </c>
      <c r="AW77" s="37" t="n">
        <f aca="false">AW72*Salary_Rep_CI*(1+Employer_Charges)*(1+Salary_Raise)^(AW$5-1)</f>
        <v>2708842.5</v>
      </c>
      <c r="AX77" s="37" t="n">
        <f aca="false">AX72*Salary_Rep_CI*(1+Employer_Charges)*(1+Salary_Raise)^(AX$5-1)</f>
        <v>3386053.125</v>
      </c>
      <c r="AY77" s="37" t="n">
        <f aca="false">AY72*Salary_Rep_CI*(1+Employer_Charges)*(1+Salary_Raise)^(AY$5-1)</f>
        <v>3386053.125</v>
      </c>
      <c r="AZ77" s="37" t="n">
        <f aca="false">AZ72*Salary_Rep_CI*(1+Employer_Charges)*(1+Salary_Raise)^(AZ$5-1)</f>
        <v>3386053.125</v>
      </c>
      <c r="BA77" s="37" t="n">
        <f aca="false">BA72*Salary_Rep_CI*(1+Employer_Charges)*(1+Salary_Raise)^(BA$5-1)</f>
        <v>3555355.78125</v>
      </c>
      <c r="BB77" s="37" t="n">
        <f aca="false">BB72*Salary_Rep_CI*(1+Employer_Charges)*(1+Salary_Raise)^(BB$5-1)</f>
        <v>3555355.78125</v>
      </c>
      <c r="BC77" s="37" t="n">
        <f aca="false">BC72*Salary_Rep_CI*(1+Employer_Charges)*(1+Salary_Raise)^(BC$5-1)</f>
        <v>4266426.9375</v>
      </c>
      <c r="BD77" s="37" t="n">
        <f aca="false">BD72*Salary_Rep_CI*(1+Employer_Charges)*(1+Salary_Raise)^(BD$5-1)</f>
        <v>4266426.9375</v>
      </c>
      <c r="BE77" s="37" t="n">
        <f aca="false">BE72*Salary_Rep_CI*(1+Employer_Charges)*(1+Salary_Raise)^(BE$5-1)</f>
        <v>4266426.9375</v>
      </c>
      <c r="BF77" s="37" t="n">
        <f aca="false">BF72*Salary_Rep_CI*(1+Employer_Charges)*(1+Salary_Raise)^(BF$5-1)</f>
        <v>4977498.09375</v>
      </c>
      <c r="BG77" s="37" t="n">
        <f aca="false">BG72*Salary_Rep_CI*(1+Employer_Charges)*(1+Salary_Raise)^(BG$5-1)</f>
        <v>4977498.09375</v>
      </c>
      <c r="BH77" s="37" t="n">
        <f aca="false">BH72*Salary_Rep_CI*(1+Employer_Charges)*(1+Salary_Raise)^(BH$5-1)</f>
        <v>4977498.09375</v>
      </c>
      <c r="BI77" s="37" t="n">
        <f aca="false">BI72*Salary_Rep_CI*(1+Employer_Charges)*(1+Salary_Raise)^(BI$5-1)</f>
        <v>4977498.09375</v>
      </c>
      <c r="BJ77" s="37" t="n">
        <f aca="false">BJ72*Salary_Rep_CI*(1+Employer_Charges)*(1+Salary_Raise)^(BJ$5-1)</f>
        <v>5688569.25</v>
      </c>
      <c r="BK77" s="37" t="n">
        <f aca="false">BK72*Salary_Rep_CI*(1+Employer_Charges)*(1+Salary_Raise)^(BK$5-1)</f>
        <v>5688569.25</v>
      </c>
      <c r="BL77" s="37" t="n">
        <f aca="false">BL72*Salary_Rep_CI*(1+Employer_Charges)*(1+Salary_Raise)^(BL$5-1)</f>
        <v>5688569.25</v>
      </c>
    </row>
    <row r="78" customFormat="false" ht="15" hidden="false" customHeight="false" outlineLevel="0" collapsed="false">
      <c r="A78" s="12" t="s">
        <v>695</v>
      </c>
      <c r="B78" s="14" t="s">
        <v>71</v>
      </c>
      <c r="D78" s="55" t="n">
        <f aca="false">SUM(E78:BL78)</f>
        <v>170316475.875</v>
      </c>
      <c r="E78" s="37" t="n">
        <f aca="false">E73*Salary_Credit*(1+Employer_Charges)*(1+Salary_Raise)^(E$5-1)</f>
        <v>0</v>
      </c>
      <c r="F78" s="37" t="n">
        <f aca="false">F73*Salary_Credit*(1+Employer_Charges)*(1+Salary_Raise)^(F$5-1)</f>
        <v>0</v>
      </c>
      <c r="G78" s="37" t="n">
        <f aca="false">G73*Salary_Credit*(1+Employer_Charges)*(1+Salary_Raise)^(G$5-1)</f>
        <v>0</v>
      </c>
      <c r="H78" s="37" t="n">
        <f aca="false">H73*Salary_Credit*(1+Employer_Charges)*(1+Salary_Raise)^(H$5-1)</f>
        <v>0</v>
      </c>
      <c r="I78" s="37" t="n">
        <f aca="false">I73*Salary_Credit*(1+Employer_Charges)*(1+Salary_Raise)^(I$5-1)</f>
        <v>0</v>
      </c>
      <c r="J78" s="37" t="n">
        <f aca="false">J73*Salary_Credit*(1+Employer_Charges)*(1+Salary_Raise)^(J$5-1)</f>
        <v>0</v>
      </c>
      <c r="K78" s="37" t="n">
        <f aca="false">K73*Salary_Credit*(1+Employer_Charges)*(1+Salary_Raise)^(K$5-1)</f>
        <v>0</v>
      </c>
      <c r="L78" s="37" t="n">
        <f aca="false">L73*Salary_Credit*(1+Employer_Charges)*(1+Salary_Raise)^(L$5-1)</f>
        <v>0</v>
      </c>
      <c r="M78" s="37" t="n">
        <f aca="false">M73*Salary_Credit*(1+Employer_Charges)*(1+Salary_Raise)^(M$5-1)</f>
        <v>0</v>
      </c>
      <c r="N78" s="37" t="n">
        <f aca="false">N73*Salary_Credit*(1+Employer_Charges)*(1+Salary_Raise)^(N$5-1)</f>
        <v>0</v>
      </c>
      <c r="O78" s="37" t="n">
        <f aca="false">O73*Salary_Credit*(1+Employer_Charges)*(1+Salary_Raise)^(O$5-1)</f>
        <v>0</v>
      </c>
      <c r="P78" s="37" t="n">
        <f aca="false">P73*Salary_Credit*(1+Employer_Charges)*(1+Salary_Raise)^(P$5-1)</f>
        <v>0</v>
      </c>
      <c r="Q78" s="37" t="n">
        <f aca="false">Q73*Salary_Credit*(1+Employer_Charges)*(1+Salary_Raise)^(Q$5-1)</f>
        <v>0</v>
      </c>
      <c r="R78" s="37" t="n">
        <f aca="false">R73*Salary_Credit*(1+Employer_Charges)*(1+Salary_Raise)^(R$5-1)</f>
        <v>0</v>
      </c>
      <c r="S78" s="37" t="n">
        <f aca="false">S73*Salary_Credit*(1+Employer_Charges)*(1+Salary_Raise)^(S$5-1)</f>
        <v>0</v>
      </c>
      <c r="T78" s="37" t="n">
        <f aca="false">T73*Salary_Credit*(1+Employer_Charges)*(1+Salary_Raise)^(T$5-1)</f>
        <v>819000</v>
      </c>
      <c r="U78" s="37" t="n">
        <f aca="false">U73*Salary_Credit*(1+Employer_Charges)*(1+Salary_Raise)^(U$5-1)</f>
        <v>819000</v>
      </c>
      <c r="V78" s="37" t="n">
        <f aca="false">V73*Salary_Credit*(1+Employer_Charges)*(1+Salary_Raise)^(V$5-1)</f>
        <v>819000</v>
      </c>
      <c r="W78" s="37" t="n">
        <f aca="false">W73*Salary_Credit*(1+Employer_Charges)*(1+Salary_Raise)^(W$5-1)</f>
        <v>819000</v>
      </c>
      <c r="X78" s="37" t="n">
        <f aca="false">X73*Salary_Credit*(1+Employer_Charges)*(1+Salary_Raise)^(X$5-1)</f>
        <v>819000</v>
      </c>
      <c r="Y78" s="37" t="n">
        <f aca="false">Y73*Salary_Credit*(1+Employer_Charges)*(1+Salary_Raise)^(Y$5-1)</f>
        <v>819000</v>
      </c>
      <c r="Z78" s="37" t="n">
        <f aca="false">Z73*Salary_Credit*(1+Employer_Charges)*(1+Salary_Raise)^(Z$5-1)</f>
        <v>819000</v>
      </c>
      <c r="AA78" s="37" t="n">
        <f aca="false">AA73*Salary_Credit*(1+Employer_Charges)*(1+Salary_Raise)^(AA$5-1)</f>
        <v>819000</v>
      </c>
      <c r="AB78" s="37" t="n">
        <f aca="false">AB73*Salary_Credit*(1+Employer_Charges)*(1+Salary_Raise)^(AB$5-1)</f>
        <v>819000</v>
      </c>
      <c r="AC78" s="37" t="n">
        <f aca="false">AC73*Salary_Credit*(1+Employer_Charges)*(1+Salary_Raise)^(AC$5-1)</f>
        <v>859950</v>
      </c>
      <c r="AD78" s="37" t="n">
        <f aca="false">AD73*Salary_Credit*(1+Employer_Charges)*(1+Salary_Raise)^(AD$5-1)</f>
        <v>859950</v>
      </c>
      <c r="AE78" s="37" t="n">
        <f aca="false">AE73*Salary_Credit*(1+Employer_Charges)*(1+Salary_Raise)^(AE$5-1)</f>
        <v>859950</v>
      </c>
      <c r="AF78" s="37" t="n">
        <f aca="false">AF73*Salary_Credit*(1+Employer_Charges)*(1+Salary_Raise)^(AF$5-1)</f>
        <v>1719900</v>
      </c>
      <c r="AG78" s="37" t="n">
        <f aca="false">AG73*Salary_Credit*(1+Employer_Charges)*(1+Salary_Raise)^(AG$5-1)</f>
        <v>1719900</v>
      </c>
      <c r="AH78" s="37" t="n">
        <f aca="false">AH73*Salary_Credit*(1+Employer_Charges)*(1+Salary_Raise)^(AH$5-1)</f>
        <v>1719900</v>
      </c>
      <c r="AI78" s="37" t="n">
        <f aca="false">AI73*Salary_Credit*(1+Employer_Charges)*(1+Salary_Raise)^(AI$5-1)</f>
        <v>1719900</v>
      </c>
      <c r="AJ78" s="37" t="n">
        <f aca="false">AJ73*Salary_Credit*(1+Employer_Charges)*(1+Salary_Raise)^(AJ$5-1)</f>
        <v>1719900</v>
      </c>
      <c r="AK78" s="37" t="n">
        <f aca="false">AK73*Salary_Credit*(1+Employer_Charges)*(1+Salary_Raise)^(AK$5-1)</f>
        <v>2579850</v>
      </c>
      <c r="AL78" s="37" t="n">
        <f aca="false">AL73*Salary_Credit*(1+Employer_Charges)*(1+Salary_Raise)^(AL$5-1)</f>
        <v>2579850</v>
      </c>
      <c r="AM78" s="37" t="n">
        <f aca="false">AM73*Salary_Credit*(1+Employer_Charges)*(1+Salary_Raise)^(AM$5-1)</f>
        <v>2579850</v>
      </c>
      <c r="AN78" s="37" t="n">
        <f aca="false">AN73*Salary_Credit*(1+Employer_Charges)*(1+Salary_Raise)^(AN$5-1)</f>
        <v>2579850</v>
      </c>
      <c r="AO78" s="37" t="n">
        <f aca="false">AO73*Salary_Credit*(1+Employer_Charges)*(1+Salary_Raise)^(AO$5-1)</f>
        <v>3611790</v>
      </c>
      <c r="AP78" s="37" t="n">
        <f aca="false">AP73*Salary_Credit*(1+Employer_Charges)*(1+Salary_Raise)^(AP$5-1)</f>
        <v>3611790</v>
      </c>
      <c r="AQ78" s="37" t="n">
        <f aca="false">AQ73*Salary_Credit*(1+Employer_Charges)*(1+Salary_Raise)^(AQ$5-1)</f>
        <v>3611790</v>
      </c>
      <c r="AR78" s="37" t="n">
        <f aca="false">AR73*Salary_Credit*(1+Employer_Charges)*(1+Salary_Raise)^(AR$5-1)</f>
        <v>3611790</v>
      </c>
      <c r="AS78" s="37" t="n">
        <f aca="false">AS73*Salary_Credit*(1+Employer_Charges)*(1+Salary_Raise)^(AS$5-1)</f>
        <v>4514737.5</v>
      </c>
      <c r="AT78" s="37" t="n">
        <f aca="false">AT73*Salary_Credit*(1+Employer_Charges)*(1+Salary_Raise)^(AT$5-1)</f>
        <v>4514737.5</v>
      </c>
      <c r="AU78" s="37" t="n">
        <f aca="false">AU73*Salary_Credit*(1+Employer_Charges)*(1+Salary_Raise)^(AU$5-1)</f>
        <v>4514737.5</v>
      </c>
      <c r="AV78" s="37" t="n">
        <f aca="false">AV73*Salary_Credit*(1+Employer_Charges)*(1+Salary_Raise)^(AV$5-1)</f>
        <v>4514737.5</v>
      </c>
      <c r="AW78" s="37" t="n">
        <f aca="false">AW73*Salary_Credit*(1+Employer_Charges)*(1+Salary_Raise)^(AW$5-1)</f>
        <v>4514737.5</v>
      </c>
      <c r="AX78" s="37" t="n">
        <f aca="false">AX73*Salary_Credit*(1+Employer_Charges)*(1+Salary_Raise)^(AX$5-1)</f>
        <v>5417685</v>
      </c>
      <c r="AY78" s="37" t="n">
        <f aca="false">AY73*Salary_Credit*(1+Employer_Charges)*(1+Salary_Raise)^(AY$5-1)</f>
        <v>5417685</v>
      </c>
      <c r="AZ78" s="37" t="n">
        <f aca="false">AZ73*Salary_Credit*(1+Employer_Charges)*(1+Salary_Raise)^(AZ$5-1)</f>
        <v>5417685</v>
      </c>
      <c r="BA78" s="37" t="n">
        <f aca="false">BA73*Salary_Credit*(1+Employer_Charges)*(1+Salary_Raise)^(BA$5-1)</f>
        <v>5688569.25</v>
      </c>
      <c r="BB78" s="37" t="n">
        <f aca="false">BB73*Salary_Credit*(1+Employer_Charges)*(1+Salary_Raise)^(BB$5-1)</f>
        <v>6636664.125</v>
      </c>
      <c r="BC78" s="37" t="n">
        <f aca="false">BC73*Salary_Credit*(1+Employer_Charges)*(1+Salary_Raise)^(BC$5-1)</f>
        <v>6636664.125</v>
      </c>
      <c r="BD78" s="37" t="n">
        <f aca="false">BD73*Salary_Credit*(1+Employer_Charges)*(1+Salary_Raise)^(BD$5-1)</f>
        <v>6636664.125</v>
      </c>
      <c r="BE78" s="37" t="n">
        <f aca="false">BE73*Salary_Credit*(1+Employer_Charges)*(1+Salary_Raise)^(BE$5-1)</f>
        <v>6636664.125</v>
      </c>
      <c r="BF78" s="37" t="n">
        <f aca="false">BF73*Salary_Credit*(1+Employer_Charges)*(1+Salary_Raise)^(BF$5-1)</f>
        <v>7584759</v>
      </c>
      <c r="BG78" s="37" t="n">
        <f aca="false">BG73*Salary_Credit*(1+Employer_Charges)*(1+Salary_Raise)^(BG$5-1)</f>
        <v>7584759</v>
      </c>
      <c r="BH78" s="37" t="n">
        <f aca="false">BH73*Salary_Credit*(1+Employer_Charges)*(1+Salary_Raise)^(BH$5-1)</f>
        <v>7584759</v>
      </c>
      <c r="BI78" s="37" t="n">
        <f aca="false">BI73*Salary_Credit*(1+Employer_Charges)*(1+Salary_Raise)^(BI$5-1)</f>
        <v>7584759</v>
      </c>
      <c r="BJ78" s="37" t="n">
        <f aca="false">BJ73*Salary_Credit*(1+Employer_Charges)*(1+Salary_Raise)^(BJ$5-1)</f>
        <v>8532853.875</v>
      </c>
      <c r="BK78" s="37" t="n">
        <f aca="false">BK73*Salary_Credit*(1+Employer_Charges)*(1+Salary_Raise)^(BK$5-1)</f>
        <v>8532853.875</v>
      </c>
      <c r="BL78" s="37" t="n">
        <f aca="false">BL73*Salary_Credit*(1+Employer_Charges)*(1+Salary_Raise)^(BL$5-1)</f>
        <v>8532853.875</v>
      </c>
    </row>
    <row r="79" customFormat="false" ht="15" hidden="false" customHeight="false" outlineLevel="0" collapsed="false">
      <c r="A79" s="12" t="s">
        <v>696</v>
      </c>
      <c r="B79" s="14" t="s">
        <v>86</v>
      </c>
      <c r="D79" s="55" t="n">
        <f aca="false">SUM(E79:BL79)</f>
        <v>76</v>
      </c>
      <c r="E79" s="37" t="n">
        <f aca="false">E69+E70+E71+E72+E73</f>
        <v>2</v>
      </c>
      <c r="F79" s="37" t="n">
        <f aca="false">MAX(0,F69-E69)+MAX(0,F70-E70)+MAX(0,F71-E71)+MAX(0,F72-E72)+MAX(0,F73-E73)</f>
        <v>0</v>
      </c>
      <c r="G79" s="37" t="n">
        <f aca="false">MAX(0,G69-F69)+MAX(0,G70-F70)+MAX(0,G71-F71)+MAX(0,G72-F72)+MAX(0,G73-F73)</f>
        <v>0</v>
      </c>
      <c r="H79" s="37" t="n">
        <f aca="false">MAX(0,H69-G69)+MAX(0,H70-G70)+MAX(0,H71-G71)+MAX(0,H72-G72)+MAX(0,H73-G73)</f>
        <v>4</v>
      </c>
      <c r="I79" s="37" t="n">
        <f aca="false">MAX(0,I69-H69)+MAX(0,I70-H70)+MAX(0,I71-H71)+MAX(0,I72-H72)+MAX(0,I73-H73)</f>
        <v>0</v>
      </c>
      <c r="J79" s="37" t="n">
        <f aca="false">MAX(0,J69-I69)+MAX(0,J70-I70)+MAX(0,J71-I71)+MAX(0,J72-I72)+MAX(0,J73-I73)</f>
        <v>0</v>
      </c>
      <c r="K79" s="37" t="n">
        <f aca="false">MAX(0,K69-J69)+MAX(0,K70-J70)+MAX(0,K71-J71)+MAX(0,K72-J72)+MAX(0,K73-J73)</f>
        <v>0</v>
      </c>
      <c r="L79" s="37" t="n">
        <f aca="false">MAX(0,L69-K69)+MAX(0,L70-K70)+MAX(0,L71-K71)+MAX(0,L72-K72)+MAX(0,L73-K73)</f>
        <v>0</v>
      </c>
      <c r="M79" s="37" t="n">
        <f aca="false">MAX(0,M69-L69)+MAX(0,M70-L70)+MAX(0,M71-L71)+MAX(0,M72-L72)+MAX(0,M73-L73)</f>
        <v>0</v>
      </c>
      <c r="N79" s="37" t="n">
        <f aca="false">MAX(0,N69-M69)+MAX(0,N70-M70)+MAX(0,N71-M71)+MAX(0,N72-M72)+MAX(0,N73-M73)</f>
        <v>0</v>
      </c>
      <c r="O79" s="37" t="n">
        <f aca="false">MAX(0,O69-N69)+MAX(0,O70-N70)+MAX(0,O71-N71)+MAX(0,O72-N72)+MAX(0,O73-N73)</f>
        <v>0</v>
      </c>
      <c r="P79" s="37" t="n">
        <f aca="false">MAX(0,P69-O69)+MAX(0,P70-O70)+MAX(0,P71-O71)+MAX(0,P72-O72)+MAX(0,P73-O73)</f>
        <v>0</v>
      </c>
      <c r="Q79" s="37" t="n">
        <f aca="false">MAX(0,Q69-P69)+MAX(0,Q70-P70)+MAX(0,Q71-P71)+MAX(0,Q72-P72)+MAX(0,Q73-P73)</f>
        <v>0</v>
      </c>
      <c r="R79" s="37" t="n">
        <f aca="false">MAX(0,R69-Q69)+MAX(0,R70-Q70)+MAX(0,R71-Q71)+MAX(0,R72-Q72)+MAX(0,R73-Q73)</f>
        <v>0</v>
      </c>
      <c r="S79" s="37" t="n">
        <f aca="false">MAX(0,S69-R69)+MAX(0,S70-R70)+MAX(0,S71-R71)+MAX(0,S72-R72)+MAX(0,S73-R73)</f>
        <v>0</v>
      </c>
      <c r="T79" s="37" t="n">
        <f aca="false">MAX(0,T69-S69)+MAX(0,T70-S70)+MAX(0,T71-S71)+MAX(0,T72-S72)+MAX(0,T73-S73)</f>
        <v>1</v>
      </c>
      <c r="U79" s="37" t="n">
        <f aca="false">MAX(0,U69-T69)+MAX(0,U70-T70)+MAX(0,U71-T71)+MAX(0,U72-T72)+MAX(0,U73-T73)</f>
        <v>0</v>
      </c>
      <c r="V79" s="37" t="n">
        <f aca="false">MAX(0,V69-U69)+MAX(0,V70-U70)+MAX(0,V71-U71)+MAX(0,V72-U72)+MAX(0,V73-U73)</f>
        <v>3</v>
      </c>
      <c r="W79" s="37" t="n">
        <f aca="false">MAX(0,W69-V69)+MAX(0,W70-V70)+MAX(0,W71-V71)+MAX(0,W72-V72)+MAX(0,W73-V73)</f>
        <v>1</v>
      </c>
      <c r="X79" s="37" t="n">
        <f aca="false">MAX(0,X69-W69)+MAX(0,X70-W70)+MAX(0,X71-W71)+MAX(0,X72-W72)+MAX(0,X73-W73)</f>
        <v>0</v>
      </c>
      <c r="Y79" s="37" t="n">
        <f aca="false">MAX(0,Y69-X69)+MAX(0,Y70-X70)+MAX(0,Y71-X71)+MAX(0,Y72-X72)+MAX(0,Y73-X73)</f>
        <v>0</v>
      </c>
      <c r="Z79" s="37" t="n">
        <f aca="false">MAX(0,Z69-Y69)+MAX(0,Z70-Y70)+MAX(0,Z71-Y71)+MAX(0,Z72-Y72)+MAX(0,Z73-Y73)</f>
        <v>0</v>
      </c>
      <c r="AA79" s="37" t="n">
        <f aca="false">MAX(0,AA69-Z69)+MAX(0,AA70-Z70)+MAX(0,AA71-Z71)+MAX(0,AA72-Z72)+MAX(0,AA73-Z73)</f>
        <v>2</v>
      </c>
      <c r="AB79" s="37" t="n">
        <f aca="false">MAX(0,AB69-AA69)+MAX(0,AB70-AA70)+MAX(0,AB71-AA71)+MAX(0,AB72-AA72)+MAX(0,AB73-AA73)</f>
        <v>0</v>
      </c>
      <c r="AC79" s="37" t="n">
        <f aca="false">MAX(0,AC69-AB69)+MAX(0,AC70-AB70)+MAX(0,AC71-AB71)+MAX(0,AC72-AB72)+MAX(0,AC73-AB73)</f>
        <v>0</v>
      </c>
      <c r="AD79" s="37" t="n">
        <f aca="false">MAX(0,AD69-AC69)+MAX(0,AD70-AC70)+MAX(0,AD71-AC71)+MAX(0,AD72-AC72)+MAX(0,AD73-AC73)</f>
        <v>0</v>
      </c>
      <c r="AE79" s="37" t="n">
        <f aca="false">MAX(0,AE69-AD69)+MAX(0,AE70-AD70)+MAX(0,AE71-AD71)+MAX(0,AE72-AD72)+MAX(0,AE73-AD73)</f>
        <v>3</v>
      </c>
      <c r="AF79" s="37" t="n">
        <f aca="false">MAX(0,AF69-AE69)+MAX(0,AF70-AE70)+MAX(0,AF71-AE71)+MAX(0,AF72-AE72)+MAX(0,AF73-AE73)</f>
        <v>1</v>
      </c>
      <c r="AG79" s="37" t="n">
        <f aca="false">MAX(0,AG69-AF69)+MAX(0,AG70-AF70)+MAX(0,AG71-AF71)+MAX(0,AG72-AF72)+MAX(0,AG73-AF73)</f>
        <v>3</v>
      </c>
      <c r="AH79" s="37" t="n">
        <f aca="false">MAX(0,AH69-AG69)+MAX(0,AH70-AG70)+MAX(0,AH71-AG71)+MAX(0,AH72-AG72)+MAX(0,AH73-AG73)</f>
        <v>0</v>
      </c>
      <c r="AI79" s="37" t="n">
        <f aca="false">MAX(0,AI69-AH69)+MAX(0,AI70-AH70)+MAX(0,AI71-AH71)+MAX(0,AI72-AH72)+MAX(0,AI73-AH73)</f>
        <v>2</v>
      </c>
      <c r="AJ79" s="37" t="n">
        <f aca="false">MAX(0,AJ69-AI69)+MAX(0,AJ70-AI70)+MAX(0,AJ71-AI71)+MAX(0,AJ72-AI72)+MAX(0,AJ73-AI73)</f>
        <v>1</v>
      </c>
      <c r="AK79" s="37" t="n">
        <f aca="false">MAX(0,AK69-AJ69)+MAX(0,AK70-AJ70)+MAX(0,AK71-AJ71)+MAX(0,AK72-AJ72)+MAX(0,AK73-AJ73)</f>
        <v>1</v>
      </c>
      <c r="AL79" s="37" t="n">
        <f aca="false">MAX(0,AL69-AK69)+MAX(0,AL70-AK70)+MAX(0,AL71-AK71)+MAX(0,AL72-AK72)+MAX(0,AL73-AK73)</f>
        <v>2</v>
      </c>
      <c r="AM79" s="37" t="n">
        <f aca="false">MAX(0,AM69-AL69)+MAX(0,AM70-AL70)+MAX(0,AM71-AL71)+MAX(0,AM72-AL72)+MAX(0,AM73-AL73)</f>
        <v>1</v>
      </c>
      <c r="AN79" s="37" t="n">
        <f aca="false">MAX(0,AN69-AM69)+MAX(0,AN70-AM70)+MAX(0,AN71-AM71)+MAX(0,AN72-AM72)+MAX(0,AN73-AM73)</f>
        <v>1</v>
      </c>
      <c r="AO79" s="37" t="n">
        <f aca="false">MAX(0,AO69-AN69)+MAX(0,AO70-AN70)+MAX(0,AO71-AN71)+MAX(0,AO72-AN72)+MAX(0,AO73-AN73)</f>
        <v>4</v>
      </c>
      <c r="AP79" s="37" t="n">
        <f aca="false">MAX(0,AP69-AO69)+MAX(0,AP70-AO70)+MAX(0,AP71-AO71)+MAX(0,AP72-AO72)+MAX(0,AP73-AO73)</f>
        <v>0</v>
      </c>
      <c r="AQ79" s="37" t="n">
        <f aca="false">MAX(0,AQ69-AP69)+MAX(0,AQ70-AP70)+MAX(0,AQ71-AP71)+MAX(0,AQ72-AP72)+MAX(0,AQ73-AP73)</f>
        <v>2</v>
      </c>
      <c r="AR79" s="37" t="n">
        <f aca="false">MAX(0,AR69-AQ69)+MAX(0,AR70-AQ70)+MAX(0,AR71-AQ71)+MAX(0,AR72-AQ72)+MAX(0,AR73-AQ73)</f>
        <v>1</v>
      </c>
      <c r="AS79" s="37" t="n">
        <f aca="false">MAX(0,AS69-AR69)+MAX(0,AS70-AR70)+MAX(0,AS71-AR71)+MAX(0,AS72-AR72)+MAX(0,AS73-AR73)</f>
        <v>4</v>
      </c>
      <c r="AT79" s="37" t="n">
        <f aca="false">MAX(0,AT69-AS69)+MAX(0,AT70-AS70)+MAX(0,AT71-AS71)+MAX(0,AT72-AS72)+MAX(0,AT73-AS73)</f>
        <v>0</v>
      </c>
      <c r="AU79" s="37" t="n">
        <f aca="false">MAX(0,AU69-AT69)+MAX(0,AU70-AT70)+MAX(0,AU71-AT71)+MAX(0,AU72-AT72)+MAX(0,AU73-AT73)</f>
        <v>1</v>
      </c>
      <c r="AV79" s="37" t="n">
        <f aca="false">MAX(0,AV69-AU69)+MAX(0,AV70-AU70)+MAX(0,AV71-AU71)+MAX(0,AV72-AU72)+MAX(0,AV73-AU73)</f>
        <v>2</v>
      </c>
      <c r="AW79" s="37" t="n">
        <f aca="false">MAX(0,AW69-AV69)+MAX(0,AW70-AV70)+MAX(0,AW71-AV71)+MAX(0,AW72-AV72)+MAX(0,AW73-AV73)</f>
        <v>2</v>
      </c>
      <c r="AX79" s="37" t="n">
        <f aca="false">MAX(0,AX69-AW69)+MAX(0,AX70-AW70)+MAX(0,AX71-AW71)+MAX(0,AX72-AW72)+MAX(0,AX73-AW73)</f>
        <v>4</v>
      </c>
      <c r="AY79" s="37" t="n">
        <f aca="false">MAX(0,AY69-AX69)+MAX(0,AY70-AX70)+MAX(0,AY71-AX71)+MAX(0,AY72-AX72)+MAX(0,AY73-AX73)</f>
        <v>0</v>
      </c>
      <c r="AZ79" s="37" t="n">
        <f aca="false">MAX(0,AZ69-AY69)+MAX(0,AZ70-AY70)+MAX(0,AZ71-AY71)+MAX(0,AZ72-AY72)+MAX(0,AZ73-AY73)</f>
        <v>2</v>
      </c>
      <c r="BA79" s="37" t="n">
        <f aca="false">MAX(0,BA69-AZ69)+MAX(0,BA70-AZ70)+MAX(0,BA71-AZ71)+MAX(0,BA72-AZ72)+MAX(0,BA73-AZ73)</f>
        <v>1</v>
      </c>
      <c r="BB79" s="37" t="n">
        <f aca="false">MAX(0,BB69-BA69)+MAX(0,BB70-BA70)+MAX(0,BB71-BA71)+MAX(0,BB72-BA72)+MAX(0,BB73-BA73)</f>
        <v>3</v>
      </c>
      <c r="BC79" s="37" t="n">
        <f aca="false">MAX(0,BC69-BB69)+MAX(0,BC70-BB70)+MAX(0,BC71-BB71)+MAX(0,BC72-BB72)+MAX(0,BC73-BB73)</f>
        <v>2</v>
      </c>
      <c r="BD79" s="37" t="n">
        <f aca="false">MAX(0,BD69-BC69)+MAX(0,BD70-BC70)+MAX(0,BD71-BC71)+MAX(0,BD72-BC72)+MAX(0,BD73-BC73)</f>
        <v>3</v>
      </c>
      <c r="BE79" s="37" t="n">
        <f aca="false">MAX(0,BE69-BD69)+MAX(0,BE70-BD70)+MAX(0,BE71-BD71)+MAX(0,BE72-BD72)+MAX(0,BE73-BD73)</f>
        <v>1</v>
      </c>
      <c r="BF79" s="37" t="n">
        <f aca="false">MAX(0,BF69-BE69)+MAX(0,BF70-BE70)+MAX(0,BF71-BE71)+MAX(0,BF72-BE72)+MAX(0,BF73-BE73)</f>
        <v>4</v>
      </c>
      <c r="BG79" s="37" t="n">
        <f aca="false">MAX(0,BG69-BF69)+MAX(0,BG70-BF70)+MAX(0,BG71-BF71)+MAX(0,BG72-BF72)+MAX(0,BG73-BF73)</f>
        <v>1</v>
      </c>
      <c r="BH79" s="37" t="n">
        <f aca="false">MAX(0,BH69-BG69)+MAX(0,BH70-BG70)+MAX(0,BH71-BG71)+MAX(0,BH72-BG72)+MAX(0,BH73-BG73)</f>
        <v>2</v>
      </c>
      <c r="BI79" s="37" t="n">
        <f aca="false">MAX(0,BI69-BH69)+MAX(0,BI70-BH70)+MAX(0,BI71-BH71)+MAX(0,BI72-BH72)+MAX(0,BI73-BH73)</f>
        <v>1</v>
      </c>
      <c r="BJ79" s="37" t="n">
        <f aca="false">MAX(0,BJ69-BI69)+MAX(0,BJ70-BI70)+MAX(0,BJ71-BI71)+MAX(0,BJ72-BI72)+MAX(0,BJ73-BI73)</f>
        <v>5</v>
      </c>
      <c r="BK79" s="37" t="n">
        <f aca="false">MAX(0,BK69-BJ69)+MAX(0,BK70-BJ70)+MAX(0,BK71-BJ71)+MAX(0,BK72-BJ72)+MAX(0,BK73-BJ73)</f>
        <v>2</v>
      </c>
      <c r="BL79" s="37" t="n">
        <f aca="false">MAX(0,BL69-BK69)+MAX(0,BL70-BK70)+MAX(0,BL71-BK71)+MAX(0,BL72-BK72)+MAX(0,BL73-BK73)</f>
        <v>1</v>
      </c>
    </row>
    <row r="81" customFormat="false" ht="15" hidden="false" customHeight="false" outlineLevel="0" collapsed="false">
      <c r="A81" s="10" t="s">
        <v>697</v>
      </c>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c r="BC81" s="11"/>
      <c r="BD81" s="11"/>
      <c r="BE81" s="11"/>
      <c r="BF81" s="11"/>
      <c r="BG81" s="11"/>
      <c r="BH81" s="11"/>
      <c r="BI81" s="11"/>
      <c r="BJ81" s="11"/>
      <c r="BK81" s="11"/>
      <c r="BL81" s="11"/>
    </row>
    <row r="82" customFormat="false" ht="15" hidden="false" customHeight="false" outlineLevel="0" collapsed="false">
      <c r="A82" s="8" t="s">
        <v>698</v>
      </c>
      <c r="B82" s="14" t="s">
        <v>86</v>
      </c>
      <c r="D82" s="55" t="n">
        <f aca="false">BL82</f>
        <v>84</v>
      </c>
      <c r="E82" s="16" t="n">
        <f aca="false">SUM(E9:E36)+E69+E70+E71+E72+E73</f>
        <v>5</v>
      </c>
      <c r="F82" s="16" t="n">
        <f aca="false">SUM(F9:F36)+F69+F70+F71+F72+F73</f>
        <v>5</v>
      </c>
      <c r="G82" s="16" t="n">
        <f aca="false">SUM(G9:G36)+G69+G70+G71+G72+G73</f>
        <v>5</v>
      </c>
      <c r="H82" s="16" t="n">
        <f aca="false">SUM(H9:H36)+H69+H70+H71+H72+H73</f>
        <v>10</v>
      </c>
      <c r="I82" s="16" t="n">
        <f aca="false">SUM(I9:I36)+I69+I70+I71+I72+I73</f>
        <v>11</v>
      </c>
      <c r="J82" s="16" t="n">
        <f aca="false">SUM(J9:J36)+J69+J70+J71+J72+J73</f>
        <v>11</v>
      </c>
      <c r="K82" s="16" t="n">
        <f aca="false">SUM(K9:K36)+K69+K70+K71+K72+K73</f>
        <v>11</v>
      </c>
      <c r="L82" s="16" t="n">
        <f aca="false">SUM(L9:L36)+L69+L70+L71+L72+L73</f>
        <v>11</v>
      </c>
      <c r="M82" s="16" t="n">
        <f aca="false">SUM(M9:M36)+M69+M70+M71+M72+M73</f>
        <v>11</v>
      </c>
      <c r="N82" s="16" t="n">
        <f aca="false">SUM(N9:N36)+N69+N70+N71+N72+N73</f>
        <v>11</v>
      </c>
      <c r="O82" s="16" t="n">
        <f aca="false">SUM(O9:O36)+O69+O70+O71+O72+O73</f>
        <v>11</v>
      </c>
      <c r="P82" s="16" t="n">
        <f aca="false">SUM(P9:P36)+P69+P70+P71+P72+P73</f>
        <v>11</v>
      </c>
      <c r="Q82" s="16" t="n">
        <f aca="false">SUM(Q9:Q36)+Q69+Q70+Q71+Q72+Q73</f>
        <v>12</v>
      </c>
      <c r="R82" s="16" t="n">
        <f aca="false">SUM(R9:R36)+R69+R70+R71+R72+R73</f>
        <v>12</v>
      </c>
      <c r="S82" s="16" t="n">
        <f aca="false">SUM(S9:S36)+S69+S70+S71+S72+S73</f>
        <v>12</v>
      </c>
      <c r="T82" s="16" t="n">
        <f aca="false">SUM(T9:T36)+T69+T70+T71+T72+T73</f>
        <v>13</v>
      </c>
      <c r="U82" s="16" t="n">
        <f aca="false">SUM(U9:U36)+U69+U70+U71+U72+U73</f>
        <v>13</v>
      </c>
      <c r="V82" s="16" t="n">
        <f aca="false">SUM(V9:V36)+V69+V70+V71+V72+V73</f>
        <v>17</v>
      </c>
      <c r="W82" s="16" t="n">
        <f aca="false">SUM(W9:W36)+W69+W70+W71+W72+W73</f>
        <v>18</v>
      </c>
      <c r="X82" s="16" t="n">
        <f aca="false">SUM(X9:X36)+X69+X70+X71+X72+X73</f>
        <v>18</v>
      </c>
      <c r="Y82" s="16" t="n">
        <f aca="false">SUM(Y9:Y36)+Y69+Y70+Y71+Y72+Y73</f>
        <v>18</v>
      </c>
      <c r="Z82" s="16" t="n">
        <f aca="false">SUM(Z9:Z36)+Z69+Z70+Z71+Z72+Z73</f>
        <v>18</v>
      </c>
      <c r="AA82" s="16" t="n">
        <f aca="false">SUM(AA9:AA36)+AA69+AA70+AA71+AA72+AA73</f>
        <v>20</v>
      </c>
      <c r="AB82" s="16" t="n">
        <f aca="false">SUM(AB9:AB36)+AB69+AB70+AB71+AB72+AB73</f>
        <v>21</v>
      </c>
      <c r="AC82" s="16" t="n">
        <f aca="false">SUM(AC9:AC36)+AC69+AC70+AC71+AC72+AC73</f>
        <v>21</v>
      </c>
      <c r="AD82" s="16" t="n">
        <f aca="false">SUM(AD9:AD36)+AD69+AD70+AD71+AD72+AD73</f>
        <v>21</v>
      </c>
      <c r="AE82" s="16" t="n">
        <f aca="false">SUM(AE9:AE36)+AE69+AE70+AE71+AE72+AE73</f>
        <v>24</v>
      </c>
      <c r="AF82" s="16" t="n">
        <f aca="false">SUM(AF9:AF36)+AF69+AF70+AF71+AF72+AF73</f>
        <v>25</v>
      </c>
      <c r="AG82" s="16" t="n">
        <f aca="false">SUM(AG9:AG36)+AG69+AG70+AG71+AG72+AG73</f>
        <v>28</v>
      </c>
      <c r="AH82" s="16" t="n">
        <f aca="false">SUM(AH9:AH36)+AH69+AH70+AH71+AH72+AH73</f>
        <v>28</v>
      </c>
      <c r="AI82" s="16" t="n">
        <f aca="false">SUM(AI9:AI36)+AI69+AI70+AI71+AI72+AI73</f>
        <v>30</v>
      </c>
      <c r="AJ82" s="16" t="n">
        <f aca="false">SUM(AJ9:AJ36)+AJ69+AJ70+AJ71+AJ72+AJ73</f>
        <v>31</v>
      </c>
      <c r="AK82" s="16" t="n">
        <f aca="false">SUM(AK9:AK36)+AK69+AK70+AK71+AK72+AK73</f>
        <v>32</v>
      </c>
      <c r="AL82" s="16" t="n">
        <f aca="false">SUM(AL9:AL36)+AL69+AL70+AL71+AL72+AL73</f>
        <v>34</v>
      </c>
      <c r="AM82" s="16" t="n">
        <f aca="false">SUM(AM9:AM36)+AM69+AM70+AM71+AM72+AM73</f>
        <v>35</v>
      </c>
      <c r="AN82" s="16" t="n">
        <f aca="false">SUM(AN9:AN36)+AN69+AN70+AN71+AN72+AN73</f>
        <v>36</v>
      </c>
      <c r="AO82" s="16" t="n">
        <f aca="false">SUM(AO9:AO36)+AO69+AO70+AO71+AO72+AO73</f>
        <v>40</v>
      </c>
      <c r="AP82" s="16" t="n">
        <f aca="false">SUM(AP9:AP36)+AP69+AP70+AP71+AP72+AP73</f>
        <v>40</v>
      </c>
      <c r="AQ82" s="16" t="n">
        <f aca="false">SUM(AQ9:AQ36)+AQ69+AQ70+AQ71+AQ72+AQ73</f>
        <v>42</v>
      </c>
      <c r="AR82" s="16" t="n">
        <f aca="false">SUM(AR9:AR36)+AR69+AR70+AR71+AR72+AR73</f>
        <v>43</v>
      </c>
      <c r="AS82" s="16" t="n">
        <f aca="false">SUM(AS9:AS36)+AS69+AS70+AS71+AS72+AS73</f>
        <v>47</v>
      </c>
      <c r="AT82" s="16" t="n">
        <f aca="false">SUM(AT9:AT36)+AT69+AT70+AT71+AT72+AT73</f>
        <v>47</v>
      </c>
      <c r="AU82" s="16" t="n">
        <f aca="false">SUM(AU9:AU36)+AU69+AU70+AU71+AU72+AU73</f>
        <v>48</v>
      </c>
      <c r="AV82" s="16" t="n">
        <f aca="false">SUM(AV9:AV36)+AV69+AV70+AV71+AV72+AV73</f>
        <v>50</v>
      </c>
      <c r="AW82" s="16" t="n">
        <f aca="false">SUM(AW9:AW36)+AW69+AW70+AW71+AW72+AW73</f>
        <v>52</v>
      </c>
      <c r="AX82" s="16" t="n">
        <f aca="false">SUM(AX9:AX36)+AX69+AX70+AX71+AX72+AX73</f>
        <v>56</v>
      </c>
      <c r="AY82" s="16" t="n">
        <f aca="false">SUM(AY9:AY36)+AY69+AY70+AY71+AY72+AY73</f>
        <v>56</v>
      </c>
      <c r="AZ82" s="16" t="n">
        <f aca="false">SUM(AZ9:AZ36)+AZ69+AZ70+AZ71+AZ72+AZ73</f>
        <v>58</v>
      </c>
      <c r="BA82" s="16" t="n">
        <f aca="false">SUM(BA9:BA36)+BA69+BA70+BA71+BA72+BA73</f>
        <v>59</v>
      </c>
      <c r="BB82" s="16" t="n">
        <f aca="false">SUM(BB9:BB36)+BB69+BB70+BB71+BB72+BB73</f>
        <v>62</v>
      </c>
      <c r="BC82" s="16" t="n">
        <f aca="false">SUM(BC9:BC36)+BC69+BC70+BC71+BC72+BC73</f>
        <v>64</v>
      </c>
      <c r="BD82" s="16" t="n">
        <f aca="false">SUM(BD9:BD36)+BD69+BD70+BD71+BD72+BD73</f>
        <v>67</v>
      </c>
      <c r="BE82" s="16" t="n">
        <f aca="false">SUM(BE9:BE36)+BE69+BE70+BE71+BE72+BE73</f>
        <v>68</v>
      </c>
      <c r="BF82" s="16" t="n">
        <f aca="false">SUM(BF9:BF36)+BF69+BF70+BF71+BF72+BF73</f>
        <v>72</v>
      </c>
      <c r="BG82" s="16" t="n">
        <f aca="false">SUM(BG9:BG36)+BG69+BG70+BG71+BG72+BG73</f>
        <v>73</v>
      </c>
      <c r="BH82" s="16" t="n">
        <f aca="false">SUM(BH9:BH36)+BH69+BH70+BH71+BH72+BH73</f>
        <v>75</v>
      </c>
      <c r="BI82" s="16" t="n">
        <f aca="false">SUM(BI9:BI36)+BI69+BI70+BI71+BI72+BI73</f>
        <v>76</v>
      </c>
      <c r="BJ82" s="16" t="n">
        <f aca="false">SUM(BJ9:BJ36)+BJ69+BJ70+BJ71+BJ72+BJ73</f>
        <v>81</v>
      </c>
      <c r="BK82" s="16" t="n">
        <f aca="false">SUM(BK9:BK36)+BK69+BK70+BK71+BK72+BK73</f>
        <v>83</v>
      </c>
      <c r="BL82" s="16" t="n">
        <f aca="false">SUM(BL9:BL36)+BL69+BL70+BL71+BL72+BL73</f>
        <v>84</v>
      </c>
    </row>
    <row r="83" customFormat="false" ht="15" hidden="false" customHeight="false" outlineLevel="0" collapsed="false">
      <c r="A83" s="12" t="s">
        <v>699</v>
      </c>
      <c r="B83" s="14" t="s">
        <v>86</v>
      </c>
      <c r="D83" s="55" t="n">
        <f aca="false">BL83</f>
        <v>75</v>
      </c>
      <c r="E83" s="37" t="n">
        <f aca="false">SUMIF('Hiring plan'!$D$5:$D$32,"SN",E9:E36)+E69+E70+E71+E73</f>
        <v>5</v>
      </c>
      <c r="F83" s="37" t="n">
        <f aca="false">SUMIF('Hiring plan'!$D$5:$D$32,"SN",F9:F36)+F69+F70+F71+F73</f>
        <v>5</v>
      </c>
      <c r="G83" s="37" t="n">
        <f aca="false">SUMIF('Hiring plan'!$D$5:$D$32,"SN",G9:G36)+G69+G70+G71+G73</f>
        <v>5</v>
      </c>
      <c r="H83" s="37" t="n">
        <f aca="false">SUMIF('Hiring plan'!$D$5:$D$32,"SN",H9:H36)+H69+H70+H71+H73</f>
        <v>10</v>
      </c>
      <c r="I83" s="37" t="n">
        <f aca="false">SUMIF('Hiring plan'!$D$5:$D$32,"SN",I9:I36)+I69+I70+I71+I73</f>
        <v>11</v>
      </c>
      <c r="J83" s="37" t="n">
        <f aca="false">SUMIF('Hiring plan'!$D$5:$D$32,"SN",J9:J36)+J69+J70+J71+J73</f>
        <v>11</v>
      </c>
      <c r="K83" s="37" t="n">
        <f aca="false">SUMIF('Hiring plan'!$D$5:$D$32,"SN",K9:K36)+K69+K70+K71+K73</f>
        <v>11</v>
      </c>
      <c r="L83" s="37" t="n">
        <f aca="false">SUMIF('Hiring plan'!$D$5:$D$32,"SN",L9:L36)+L69+L70+L71+L73</f>
        <v>11</v>
      </c>
      <c r="M83" s="37" t="n">
        <f aca="false">SUMIF('Hiring plan'!$D$5:$D$32,"SN",M9:M36)+M69+M70+M71+M73</f>
        <v>11</v>
      </c>
      <c r="N83" s="37" t="n">
        <f aca="false">SUMIF('Hiring plan'!$D$5:$D$32,"SN",N9:N36)+N69+N70+N71+N73</f>
        <v>11</v>
      </c>
      <c r="O83" s="37" t="n">
        <f aca="false">SUMIF('Hiring plan'!$D$5:$D$32,"SN",O9:O36)+O69+O70+O71+O73</f>
        <v>11</v>
      </c>
      <c r="P83" s="37" t="n">
        <f aca="false">SUMIF('Hiring plan'!$D$5:$D$32,"SN",P9:P36)+P69+P70+P71+P73</f>
        <v>11</v>
      </c>
      <c r="Q83" s="37" t="n">
        <f aca="false">SUMIF('Hiring plan'!$D$5:$D$32,"SN",Q9:Q36)+Q69+Q70+Q71+Q73</f>
        <v>12</v>
      </c>
      <c r="R83" s="37" t="n">
        <f aca="false">SUMIF('Hiring plan'!$D$5:$D$32,"SN",R9:R36)+R69+R70+R71+R73</f>
        <v>12</v>
      </c>
      <c r="S83" s="37" t="n">
        <f aca="false">SUMIF('Hiring plan'!$D$5:$D$32,"SN",S9:S36)+S69+S70+S71+S73</f>
        <v>12</v>
      </c>
      <c r="T83" s="37" t="n">
        <f aca="false">SUMIF('Hiring plan'!$D$5:$D$32,"SN",T9:T36)+T69+T70+T71+T73</f>
        <v>13</v>
      </c>
      <c r="U83" s="37" t="n">
        <f aca="false">SUMIF('Hiring plan'!$D$5:$D$32,"SN",U9:U36)+U69+U70+U71+U73</f>
        <v>13</v>
      </c>
      <c r="V83" s="37" t="n">
        <f aca="false">SUMIF('Hiring plan'!$D$5:$D$32,"SN",V9:V36)+V69+V70+V71+V73</f>
        <v>14</v>
      </c>
      <c r="W83" s="37" t="n">
        <f aca="false">SUMIF('Hiring plan'!$D$5:$D$32,"SN",W9:W36)+W69+W70+W71+W73</f>
        <v>15</v>
      </c>
      <c r="X83" s="37" t="n">
        <f aca="false">SUMIF('Hiring plan'!$D$5:$D$32,"SN",X9:X36)+X69+X70+X71+X73</f>
        <v>15</v>
      </c>
      <c r="Y83" s="37" t="n">
        <f aca="false">SUMIF('Hiring plan'!$D$5:$D$32,"SN",Y9:Y36)+Y69+Y70+Y71+Y73</f>
        <v>15</v>
      </c>
      <c r="Z83" s="37" t="n">
        <f aca="false">SUMIF('Hiring plan'!$D$5:$D$32,"SN",Z9:Z36)+Z69+Z70+Z71+Z73</f>
        <v>15</v>
      </c>
      <c r="AA83" s="37" t="n">
        <f aca="false">SUMIF('Hiring plan'!$D$5:$D$32,"SN",AA9:AA36)+AA69+AA70+AA71+AA73</f>
        <v>17</v>
      </c>
      <c r="AB83" s="37" t="n">
        <f aca="false">SUMIF('Hiring plan'!$D$5:$D$32,"SN",AB9:AB36)+AB69+AB70+AB71+AB73</f>
        <v>18</v>
      </c>
      <c r="AC83" s="37" t="n">
        <f aca="false">SUMIF('Hiring plan'!$D$5:$D$32,"SN",AC9:AC36)+AC69+AC70+AC71+AC73</f>
        <v>18</v>
      </c>
      <c r="AD83" s="37" t="n">
        <f aca="false">SUMIF('Hiring plan'!$D$5:$D$32,"SN",AD9:AD36)+AD69+AD70+AD71+AD73</f>
        <v>18</v>
      </c>
      <c r="AE83" s="37" t="n">
        <f aca="false">SUMIF('Hiring plan'!$D$5:$D$32,"SN",AE9:AE36)+AE69+AE70+AE71+AE73</f>
        <v>21</v>
      </c>
      <c r="AF83" s="37" t="n">
        <f aca="false">SUMIF('Hiring plan'!$D$5:$D$32,"SN",AF9:AF36)+AF69+AF70+AF71+AF73</f>
        <v>22</v>
      </c>
      <c r="AG83" s="37" t="n">
        <f aca="false">SUMIF('Hiring plan'!$D$5:$D$32,"SN",AG9:AG36)+AG69+AG70+AG71+AG73</f>
        <v>25</v>
      </c>
      <c r="AH83" s="37" t="n">
        <f aca="false">SUMIF('Hiring plan'!$D$5:$D$32,"SN",AH9:AH36)+AH69+AH70+AH71+AH73</f>
        <v>25</v>
      </c>
      <c r="AI83" s="37" t="n">
        <f aca="false">SUMIF('Hiring plan'!$D$5:$D$32,"SN",AI9:AI36)+AI69+AI70+AI71+AI73</f>
        <v>27</v>
      </c>
      <c r="AJ83" s="37" t="n">
        <f aca="false">SUMIF('Hiring plan'!$D$5:$D$32,"SN",AJ9:AJ36)+AJ69+AJ70+AJ71+AJ73</f>
        <v>28</v>
      </c>
      <c r="AK83" s="37" t="n">
        <f aca="false">SUMIF('Hiring plan'!$D$5:$D$32,"SN",AK9:AK36)+AK69+AK70+AK71+AK73</f>
        <v>29</v>
      </c>
      <c r="AL83" s="37" t="n">
        <f aca="false">SUMIF('Hiring plan'!$D$5:$D$32,"SN",AL9:AL36)+AL69+AL70+AL71+AL73</f>
        <v>31</v>
      </c>
      <c r="AM83" s="37" t="n">
        <f aca="false">SUMIF('Hiring plan'!$D$5:$D$32,"SN",AM9:AM36)+AM69+AM70+AM71+AM73</f>
        <v>31</v>
      </c>
      <c r="AN83" s="37" t="n">
        <f aca="false">SUMIF('Hiring plan'!$D$5:$D$32,"SN",AN9:AN36)+AN69+AN70+AN71+AN73</f>
        <v>32</v>
      </c>
      <c r="AO83" s="37" t="n">
        <f aca="false">SUMIF('Hiring plan'!$D$5:$D$32,"SN",AO9:AO36)+AO69+AO70+AO71+AO73</f>
        <v>36</v>
      </c>
      <c r="AP83" s="37" t="n">
        <f aca="false">SUMIF('Hiring plan'!$D$5:$D$32,"SN",AP9:AP36)+AP69+AP70+AP71+AP73</f>
        <v>36</v>
      </c>
      <c r="AQ83" s="37" t="n">
        <f aca="false">SUMIF('Hiring plan'!$D$5:$D$32,"SN",AQ9:AQ36)+AQ69+AQ70+AQ71+AQ73</f>
        <v>38</v>
      </c>
      <c r="AR83" s="37" t="n">
        <f aca="false">SUMIF('Hiring plan'!$D$5:$D$32,"SN",AR9:AR36)+AR69+AR70+AR71+AR73</f>
        <v>39</v>
      </c>
      <c r="AS83" s="37" t="n">
        <f aca="false">SUMIF('Hiring plan'!$D$5:$D$32,"SN",AS9:AS36)+AS69+AS70+AS71+AS73</f>
        <v>42</v>
      </c>
      <c r="AT83" s="37" t="n">
        <f aca="false">SUMIF('Hiring plan'!$D$5:$D$32,"SN",AT9:AT36)+AT69+AT70+AT71+AT73</f>
        <v>42</v>
      </c>
      <c r="AU83" s="37" t="n">
        <f aca="false">SUMIF('Hiring plan'!$D$5:$D$32,"SN",AU9:AU36)+AU69+AU70+AU71+AU73</f>
        <v>43</v>
      </c>
      <c r="AV83" s="37" t="n">
        <f aca="false">SUMIF('Hiring plan'!$D$5:$D$32,"SN",AV9:AV36)+AV69+AV70+AV71+AV73</f>
        <v>45</v>
      </c>
      <c r="AW83" s="37" t="n">
        <f aca="false">SUMIF('Hiring plan'!$D$5:$D$32,"SN",AW9:AW36)+AW69+AW70+AW71+AW73</f>
        <v>47</v>
      </c>
      <c r="AX83" s="37" t="n">
        <f aca="false">SUMIF('Hiring plan'!$D$5:$D$32,"SN",AX9:AX36)+AX69+AX70+AX71+AX73</f>
        <v>50</v>
      </c>
      <c r="AY83" s="37" t="n">
        <f aca="false">SUMIF('Hiring plan'!$D$5:$D$32,"SN",AY9:AY36)+AY69+AY70+AY71+AY73</f>
        <v>50</v>
      </c>
      <c r="AZ83" s="37" t="n">
        <f aca="false">SUMIF('Hiring plan'!$D$5:$D$32,"SN",AZ9:AZ36)+AZ69+AZ70+AZ71+AZ73</f>
        <v>52</v>
      </c>
      <c r="BA83" s="37" t="n">
        <f aca="false">SUMIF('Hiring plan'!$D$5:$D$32,"SN",BA9:BA36)+BA69+BA70+BA71+BA73</f>
        <v>53</v>
      </c>
      <c r="BB83" s="37" t="n">
        <f aca="false">SUMIF('Hiring plan'!$D$5:$D$32,"SN",BB9:BB36)+BB69+BB70+BB71+BB73</f>
        <v>56</v>
      </c>
      <c r="BC83" s="37" t="n">
        <f aca="false">SUMIF('Hiring plan'!$D$5:$D$32,"SN",BC9:BC36)+BC69+BC70+BC71+BC73</f>
        <v>57</v>
      </c>
      <c r="BD83" s="37" t="n">
        <f aca="false">SUMIF('Hiring plan'!$D$5:$D$32,"SN",BD9:BD36)+BD69+BD70+BD71+BD73</f>
        <v>60</v>
      </c>
      <c r="BE83" s="37" t="n">
        <f aca="false">SUMIF('Hiring plan'!$D$5:$D$32,"SN",BE9:BE36)+BE69+BE70+BE71+BE73</f>
        <v>61</v>
      </c>
      <c r="BF83" s="37" t="n">
        <f aca="false">SUMIF('Hiring plan'!$D$5:$D$32,"SN",BF9:BF36)+BF69+BF70+BF71+BF73</f>
        <v>64</v>
      </c>
      <c r="BG83" s="37" t="n">
        <f aca="false">SUMIF('Hiring plan'!$D$5:$D$32,"SN",BG9:BG36)+BG69+BG70+BG71+BG73</f>
        <v>65</v>
      </c>
      <c r="BH83" s="37" t="n">
        <f aca="false">SUMIF('Hiring plan'!$D$5:$D$32,"SN",BH9:BH36)+BH69+BH70+BH71+BH73</f>
        <v>67</v>
      </c>
      <c r="BI83" s="37" t="n">
        <f aca="false">SUMIF('Hiring plan'!$D$5:$D$32,"SN",BI9:BI36)+BI69+BI70+BI71+BI73</f>
        <v>68</v>
      </c>
      <c r="BJ83" s="37" t="n">
        <f aca="false">SUMIF('Hiring plan'!$D$5:$D$32,"SN",BJ9:BJ36)+BJ69+BJ70+BJ71+BJ73</f>
        <v>72</v>
      </c>
      <c r="BK83" s="37" t="n">
        <f aca="false">SUMIF('Hiring plan'!$D$5:$D$32,"SN",BK9:BK36)+BK69+BK70+BK71+BK73</f>
        <v>74</v>
      </c>
      <c r="BL83" s="37" t="n">
        <f aca="false">SUMIF('Hiring plan'!$D$5:$D$32,"SN",BL9:BL36)+BL69+BL70+BL71+BL73</f>
        <v>75</v>
      </c>
    </row>
    <row r="84" customFormat="false" ht="15" hidden="false" customHeight="false" outlineLevel="0" collapsed="false">
      <c r="A84" s="12" t="s">
        <v>700</v>
      </c>
      <c r="B84" s="14" t="s">
        <v>86</v>
      </c>
      <c r="D84" s="55" t="n">
        <f aca="false">BL84</f>
        <v>9</v>
      </c>
      <c r="E84" s="37" t="n">
        <f aca="false">SUMIF('Hiring plan'!$D$5:$D$32,"CI",E9:E36)+E72</f>
        <v>0</v>
      </c>
      <c r="F84" s="37" t="n">
        <f aca="false">SUMIF('Hiring plan'!$D$5:$D$32,"CI",F9:F36)+F72</f>
        <v>0</v>
      </c>
      <c r="G84" s="37" t="n">
        <f aca="false">SUMIF('Hiring plan'!$D$5:$D$32,"CI",G9:G36)+G72</f>
        <v>0</v>
      </c>
      <c r="H84" s="37" t="n">
        <f aca="false">SUMIF('Hiring plan'!$D$5:$D$32,"CI",H9:H36)+H72</f>
        <v>0</v>
      </c>
      <c r="I84" s="37" t="n">
        <f aca="false">SUMIF('Hiring plan'!$D$5:$D$32,"CI",I9:I36)+I72</f>
        <v>0</v>
      </c>
      <c r="J84" s="37" t="n">
        <f aca="false">SUMIF('Hiring plan'!$D$5:$D$32,"CI",J9:J36)+J72</f>
        <v>0</v>
      </c>
      <c r="K84" s="37" t="n">
        <f aca="false">SUMIF('Hiring plan'!$D$5:$D$32,"CI",K9:K36)+K72</f>
        <v>0</v>
      </c>
      <c r="L84" s="37" t="n">
        <f aca="false">SUMIF('Hiring plan'!$D$5:$D$32,"CI",L9:L36)+L72</f>
        <v>0</v>
      </c>
      <c r="M84" s="37" t="n">
        <f aca="false">SUMIF('Hiring plan'!$D$5:$D$32,"CI",M9:M36)+M72</f>
        <v>0</v>
      </c>
      <c r="N84" s="37" t="n">
        <f aca="false">SUMIF('Hiring plan'!$D$5:$D$32,"CI",N9:N36)+N72</f>
        <v>0</v>
      </c>
      <c r="O84" s="37" t="n">
        <f aca="false">SUMIF('Hiring plan'!$D$5:$D$32,"CI",O9:O36)+O72</f>
        <v>0</v>
      </c>
      <c r="P84" s="37" t="n">
        <f aca="false">SUMIF('Hiring plan'!$D$5:$D$32,"CI",P9:P36)+P72</f>
        <v>0</v>
      </c>
      <c r="Q84" s="37" t="n">
        <f aca="false">SUMIF('Hiring plan'!$D$5:$D$32,"CI",Q9:Q36)+Q72</f>
        <v>0</v>
      </c>
      <c r="R84" s="37" t="n">
        <f aca="false">SUMIF('Hiring plan'!$D$5:$D$32,"CI",R9:R36)+R72</f>
        <v>0</v>
      </c>
      <c r="S84" s="37" t="n">
        <f aca="false">SUMIF('Hiring plan'!$D$5:$D$32,"CI",S9:S36)+S72</f>
        <v>0</v>
      </c>
      <c r="T84" s="37" t="n">
        <f aca="false">SUMIF('Hiring plan'!$D$5:$D$32,"CI",T9:T36)+T72</f>
        <v>0</v>
      </c>
      <c r="U84" s="37" t="n">
        <f aca="false">SUMIF('Hiring plan'!$D$5:$D$32,"CI",U9:U36)+U72</f>
        <v>0</v>
      </c>
      <c r="V84" s="37" t="n">
        <f aca="false">SUMIF('Hiring plan'!$D$5:$D$32,"CI",V9:V36)+V72</f>
        <v>3</v>
      </c>
      <c r="W84" s="37" t="n">
        <f aca="false">SUMIF('Hiring plan'!$D$5:$D$32,"CI",W9:W36)+W72</f>
        <v>3</v>
      </c>
      <c r="X84" s="37" t="n">
        <f aca="false">SUMIF('Hiring plan'!$D$5:$D$32,"CI",X9:X36)+X72</f>
        <v>3</v>
      </c>
      <c r="Y84" s="37" t="n">
        <f aca="false">SUMIF('Hiring plan'!$D$5:$D$32,"CI",Y9:Y36)+Y72</f>
        <v>3</v>
      </c>
      <c r="Z84" s="37" t="n">
        <f aca="false">SUMIF('Hiring plan'!$D$5:$D$32,"CI",Z9:Z36)+Z72</f>
        <v>3</v>
      </c>
      <c r="AA84" s="37" t="n">
        <f aca="false">SUMIF('Hiring plan'!$D$5:$D$32,"CI",AA9:AA36)+AA72</f>
        <v>3</v>
      </c>
      <c r="AB84" s="37" t="n">
        <f aca="false">SUMIF('Hiring plan'!$D$5:$D$32,"CI",AB9:AB36)+AB72</f>
        <v>3</v>
      </c>
      <c r="AC84" s="37" t="n">
        <f aca="false">SUMIF('Hiring plan'!$D$5:$D$32,"CI",AC9:AC36)+AC72</f>
        <v>3</v>
      </c>
      <c r="AD84" s="37" t="n">
        <f aca="false">SUMIF('Hiring plan'!$D$5:$D$32,"CI",AD9:AD36)+AD72</f>
        <v>3</v>
      </c>
      <c r="AE84" s="37" t="n">
        <f aca="false">SUMIF('Hiring plan'!$D$5:$D$32,"CI",AE9:AE36)+AE72</f>
        <v>3</v>
      </c>
      <c r="AF84" s="37" t="n">
        <f aca="false">SUMIF('Hiring plan'!$D$5:$D$32,"CI",AF9:AF36)+AF72</f>
        <v>3</v>
      </c>
      <c r="AG84" s="37" t="n">
        <f aca="false">SUMIF('Hiring plan'!$D$5:$D$32,"CI",AG9:AG36)+AG72</f>
        <v>3</v>
      </c>
      <c r="AH84" s="37" t="n">
        <f aca="false">SUMIF('Hiring plan'!$D$5:$D$32,"CI",AH9:AH36)+AH72</f>
        <v>3</v>
      </c>
      <c r="AI84" s="37" t="n">
        <f aca="false">SUMIF('Hiring plan'!$D$5:$D$32,"CI",AI9:AI36)+AI72</f>
        <v>3</v>
      </c>
      <c r="AJ84" s="37" t="n">
        <f aca="false">SUMIF('Hiring plan'!$D$5:$D$32,"CI",AJ9:AJ36)+AJ72</f>
        <v>3</v>
      </c>
      <c r="AK84" s="37" t="n">
        <f aca="false">SUMIF('Hiring plan'!$D$5:$D$32,"CI",AK9:AK36)+AK72</f>
        <v>3</v>
      </c>
      <c r="AL84" s="37" t="n">
        <f aca="false">SUMIF('Hiring plan'!$D$5:$D$32,"CI",AL9:AL36)+AL72</f>
        <v>3</v>
      </c>
      <c r="AM84" s="37" t="n">
        <f aca="false">SUMIF('Hiring plan'!$D$5:$D$32,"CI",AM9:AM36)+AM72</f>
        <v>4</v>
      </c>
      <c r="AN84" s="37" t="n">
        <f aca="false">SUMIF('Hiring plan'!$D$5:$D$32,"CI",AN9:AN36)+AN72</f>
        <v>4</v>
      </c>
      <c r="AO84" s="37" t="n">
        <f aca="false">SUMIF('Hiring plan'!$D$5:$D$32,"CI",AO9:AO36)+AO72</f>
        <v>4</v>
      </c>
      <c r="AP84" s="37" t="n">
        <f aca="false">SUMIF('Hiring plan'!$D$5:$D$32,"CI",AP9:AP36)+AP72</f>
        <v>4</v>
      </c>
      <c r="AQ84" s="37" t="n">
        <f aca="false">SUMIF('Hiring plan'!$D$5:$D$32,"CI",AQ9:AQ36)+AQ72</f>
        <v>4</v>
      </c>
      <c r="AR84" s="37" t="n">
        <f aca="false">SUMIF('Hiring plan'!$D$5:$D$32,"CI",AR9:AR36)+AR72</f>
        <v>4</v>
      </c>
      <c r="AS84" s="37" t="n">
        <f aca="false">SUMIF('Hiring plan'!$D$5:$D$32,"CI",AS9:AS36)+AS72</f>
        <v>5</v>
      </c>
      <c r="AT84" s="37" t="n">
        <f aca="false">SUMIF('Hiring plan'!$D$5:$D$32,"CI",AT9:AT36)+AT72</f>
        <v>5</v>
      </c>
      <c r="AU84" s="37" t="n">
        <f aca="false">SUMIF('Hiring plan'!$D$5:$D$32,"CI",AU9:AU36)+AU72</f>
        <v>5</v>
      </c>
      <c r="AV84" s="37" t="n">
        <f aca="false">SUMIF('Hiring plan'!$D$5:$D$32,"CI",AV9:AV36)+AV72</f>
        <v>5</v>
      </c>
      <c r="AW84" s="37" t="n">
        <f aca="false">SUMIF('Hiring plan'!$D$5:$D$32,"CI",AW9:AW36)+AW72</f>
        <v>5</v>
      </c>
      <c r="AX84" s="37" t="n">
        <f aca="false">SUMIF('Hiring plan'!$D$5:$D$32,"CI",AX9:AX36)+AX72</f>
        <v>6</v>
      </c>
      <c r="AY84" s="37" t="n">
        <f aca="false">SUMIF('Hiring plan'!$D$5:$D$32,"CI",AY9:AY36)+AY72</f>
        <v>6</v>
      </c>
      <c r="AZ84" s="37" t="n">
        <f aca="false">SUMIF('Hiring plan'!$D$5:$D$32,"CI",AZ9:AZ36)+AZ72</f>
        <v>6</v>
      </c>
      <c r="BA84" s="37" t="n">
        <f aca="false">SUMIF('Hiring plan'!$D$5:$D$32,"CI",BA9:BA36)+BA72</f>
        <v>6</v>
      </c>
      <c r="BB84" s="37" t="n">
        <f aca="false">SUMIF('Hiring plan'!$D$5:$D$32,"CI",BB9:BB36)+BB72</f>
        <v>6</v>
      </c>
      <c r="BC84" s="37" t="n">
        <f aca="false">SUMIF('Hiring plan'!$D$5:$D$32,"CI",BC9:BC36)+BC72</f>
        <v>7</v>
      </c>
      <c r="BD84" s="37" t="n">
        <f aca="false">SUMIF('Hiring plan'!$D$5:$D$32,"CI",BD9:BD36)+BD72</f>
        <v>7</v>
      </c>
      <c r="BE84" s="37" t="n">
        <f aca="false">SUMIF('Hiring plan'!$D$5:$D$32,"CI",BE9:BE36)+BE72</f>
        <v>7</v>
      </c>
      <c r="BF84" s="37" t="n">
        <f aca="false">SUMIF('Hiring plan'!$D$5:$D$32,"CI",BF9:BF36)+BF72</f>
        <v>8</v>
      </c>
      <c r="BG84" s="37" t="n">
        <f aca="false">SUMIF('Hiring plan'!$D$5:$D$32,"CI",BG9:BG36)+BG72</f>
        <v>8</v>
      </c>
      <c r="BH84" s="37" t="n">
        <f aca="false">SUMIF('Hiring plan'!$D$5:$D$32,"CI",BH9:BH36)+BH72</f>
        <v>8</v>
      </c>
      <c r="BI84" s="37" t="n">
        <f aca="false">SUMIF('Hiring plan'!$D$5:$D$32,"CI",BI9:BI36)+BI72</f>
        <v>8</v>
      </c>
      <c r="BJ84" s="37" t="n">
        <f aca="false">SUMIF('Hiring plan'!$D$5:$D$32,"CI",BJ9:BJ36)+BJ72</f>
        <v>9</v>
      </c>
      <c r="BK84" s="37" t="n">
        <f aca="false">SUMIF('Hiring plan'!$D$5:$D$32,"CI",BK9:BK36)+BK72</f>
        <v>9</v>
      </c>
      <c r="BL84" s="37" t="n">
        <f aca="false">SUMIF('Hiring plan'!$D$5:$D$32,"CI",BL9:BL36)+BL72</f>
        <v>9</v>
      </c>
    </row>
    <row r="85" customFormat="false" ht="15" hidden="false" customHeight="false" outlineLevel="0" collapsed="false">
      <c r="A85" s="12" t="s">
        <v>701</v>
      </c>
      <c r="B85" s="14" t="s">
        <v>86</v>
      </c>
      <c r="D85" s="55" t="n">
        <f aca="false">BL85</f>
        <v>8</v>
      </c>
      <c r="E85" s="37" t="n">
        <f aca="false">SUMIF('Hiring plan'!$B$5:$B$32,"Engineering &amp; product",E9:E36)+E70</f>
        <v>3</v>
      </c>
      <c r="F85" s="37" t="n">
        <f aca="false">SUMIF('Hiring plan'!$B$5:$B$32,"Engineering &amp; product",F9:F36)+F70</f>
        <v>3</v>
      </c>
      <c r="G85" s="37" t="n">
        <f aca="false">SUMIF('Hiring plan'!$B$5:$B$32,"Engineering &amp; product",G9:G36)+G70</f>
        <v>3</v>
      </c>
      <c r="H85" s="37" t="n">
        <f aca="false">SUMIF('Hiring plan'!$B$5:$B$32,"Engineering &amp; product",H9:H36)+H70</f>
        <v>3</v>
      </c>
      <c r="I85" s="37" t="n">
        <f aca="false">SUMIF('Hiring plan'!$B$5:$B$32,"Engineering &amp; product",I9:I36)+I70</f>
        <v>3</v>
      </c>
      <c r="J85" s="37" t="n">
        <f aca="false">SUMIF('Hiring plan'!$B$5:$B$32,"Engineering &amp; product",J9:J36)+J70</f>
        <v>3</v>
      </c>
      <c r="K85" s="37" t="n">
        <f aca="false">SUMIF('Hiring plan'!$B$5:$B$32,"Engineering &amp; product",K9:K36)+K70</f>
        <v>3</v>
      </c>
      <c r="L85" s="37" t="n">
        <f aca="false">SUMIF('Hiring plan'!$B$5:$B$32,"Engineering &amp; product",L9:L36)+L70</f>
        <v>3</v>
      </c>
      <c r="M85" s="37" t="n">
        <f aca="false">SUMIF('Hiring plan'!$B$5:$B$32,"Engineering &amp; product",M9:M36)+M70</f>
        <v>3</v>
      </c>
      <c r="N85" s="37" t="n">
        <f aca="false">SUMIF('Hiring plan'!$B$5:$B$32,"Engineering &amp; product",N9:N36)+N70</f>
        <v>3</v>
      </c>
      <c r="O85" s="37" t="n">
        <f aca="false">SUMIF('Hiring plan'!$B$5:$B$32,"Engineering &amp; product",O9:O36)+O70</f>
        <v>3</v>
      </c>
      <c r="P85" s="37" t="n">
        <f aca="false">SUMIF('Hiring plan'!$B$5:$B$32,"Engineering &amp; product",P9:P36)+P70</f>
        <v>3</v>
      </c>
      <c r="Q85" s="37" t="n">
        <f aca="false">SUMIF('Hiring plan'!$B$5:$B$32,"Engineering &amp; product",Q9:Q36)+Q70</f>
        <v>3</v>
      </c>
      <c r="R85" s="37" t="n">
        <f aca="false">SUMIF('Hiring plan'!$B$5:$B$32,"Engineering &amp; product",R9:R36)+R70</f>
        <v>3</v>
      </c>
      <c r="S85" s="37" t="n">
        <f aca="false">SUMIF('Hiring plan'!$B$5:$B$32,"Engineering &amp; product",S9:S36)+S70</f>
        <v>3</v>
      </c>
      <c r="T85" s="37" t="n">
        <f aca="false">SUMIF('Hiring plan'!$B$5:$B$32,"Engineering &amp; product",T9:T36)+T70</f>
        <v>3</v>
      </c>
      <c r="U85" s="37" t="n">
        <f aca="false">SUMIF('Hiring plan'!$B$5:$B$32,"Engineering &amp; product",U9:U36)+U70</f>
        <v>3</v>
      </c>
      <c r="V85" s="37" t="n">
        <f aca="false">SUMIF('Hiring plan'!$B$5:$B$32,"Engineering &amp; product",V9:V36)+V70</f>
        <v>3</v>
      </c>
      <c r="W85" s="37" t="n">
        <f aca="false">SUMIF('Hiring plan'!$B$5:$B$32,"Engineering &amp; product",W9:W36)+W70</f>
        <v>3</v>
      </c>
      <c r="X85" s="37" t="n">
        <f aca="false">SUMIF('Hiring plan'!$B$5:$B$32,"Engineering &amp; product",X9:X36)+X70</f>
        <v>3</v>
      </c>
      <c r="Y85" s="37" t="n">
        <f aca="false">SUMIF('Hiring plan'!$B$5:$B$32,"Engineering &amp; product",Y9:Y36)+Y70</f>
        <v>3</v>
      </c>
      <c r="Z85" s="37" t="n">
        <f aca="false">SUMIF('Hiring plan'!$B$5:$B$32,"Engineering &amp; product",Z9:Z36)+Z70</f>
        <v>3</v>
      </c>
      <c r="AA85" s="37" t="n">
        <f aca="false">SUMIF('Hiring plan'!$B$5:$B$32,"Engineering &amp; product",AA9:AA36)+AA70</f>
        <v>3</v>
      </c>
      <c r="AB85" s="37" t="n">
        <f aca="false">SUMIF('Hiring plan'!$B$5:$B$32,"Engineering &amp; product",AB9:AB36)+AB70</f>
        <v>3</v>
      </c>
      <c r="AC85" s="37" t="n">
        <f aca="false">SUMIF('Hiring plan'!$B$5:$B$32,"Engineering &amp; product",AC9:AC36)+AC70</f>
        <v>3</v>
      </c>
      <c r="AD85" s="37" t="n">
        <f aca="false">SUMIF('Hiring plan'!$B$5:$B$32,"Engineering &amp; product",AD9:AD36)+AD70</f>
        <v>3</v>
      </c>
      <c r="AE85" s="37" t="n">
        <f aca="false">SUMIF('Hiring plan'!$B$5:$B$32,"Engineering &amp; product",AE9:AE36)+AE70</f>
        <v>4</v>
      </c>
      <c r="AF85" s="37" t="n">
        <f aca="false">SUMIF('Hiring plan'!$B$5:$B$32,"Engineering &amp; product",AF9:AF36)+AF70</f>
        <v>4</v>
      </c>
      <c r="AG85" s="37" t="n">
        <f aca="false">SUMIF('Hiring plan'!$B$5:$B$32,"Engineering &amp; product",AG9:AG36)+AG70</f>
        <v>4</v>
      </c>
      <c r="AH85" s="37" t="n">
        <f aca="false">SUMIF('Hiring plan'!$B$5:$B$32,"Engineering &amp; product",AH9:AH36)+AH70</f>
        <v>4</v>
      </c>
      <c r="AI85" s="37" t="n">
        <f aca="false">SUMIF('Hiring plan'!$B$5:$B$32,"Engineering &amp; product",AI9:AI36)+AI70</f>
        <v>4</v>
      </c>
      <c r="AJ85" s="37" t="n">
        <f aca="false">SUMIF('Hiring plan'!$B$5:$B$32,"Engineering &amp; product",AJ9:AJ36)+AJ70</f>
        <v>4</v>
      </c>
      <c r="AK85" s="37" t="n">
        <f aca="false">SUMIF('Hiring plan'!$B$5:$B$32,"Engineering &amp; product",AK9:AK36)+AK70</f>
        <v>4</v>
      </c>
      <c r="AL85" s="37" t="n">
        <f aca="false">SUMIF('Hiring plan'!$B$5:$B$32,"Engineering &amp; product",AL9:AL36)+AL70</f>
        <v>4</v>
      </c>
      <c r="AM85" s="37" t="n">
        <f aca="false">SUMIF('Hiring plan'!$B$5:$B$32,"Engineering &amp; product",AM9:AM36)+AM70</f>
        <v>4</v>
      </c>
      <c r="AN85" s="37" t="n">
        <f aca="false">SUMIF('Hiring plan'!$B$5:$B$32,"Engineering &amp; product",AN9:AN36)+AN70</f>
        <v>4</v>
      </c>
      <c r="AO85" s="37" t="n">
        <f aca="false">SUMIF('Hiring plan'!$B$5:$B$32,"Engineering &amp; product",AO9:AO36)+AO70</f>
        <v>5</v>
      </c>
      <c r="AP85" s="37" t="n">
        <f aca="false">SUMIF('Hiring plan'!$B$5:$B$32,"Engineering &amp; product",AP9:AP36)+AP70</f>
        <v>5</v>
      </c>
      <c r="AQ85" s="37" t="n">
        <f aca="false">SUMIF('Hiring plan'!$B$5:$B$32,"Engineering &amp; product",AQ9:AQ36)+AQ70</f>
        <v>5</v>
      </c>
      <c r="AR85" s="37" t="n">
        <f aca="false">SUMIF('Hiring plan'!$B$5:$B$32,"Engineering &amp; product",AR9:AR36)+AR70</f>
        <v>5</v>
      </c>
      <c r="AS85" s="37" t="n">
        <f aca="false">SUMIF('Hiring plan'!$B$5:$B$32,"Engineering &amp; product",AS9:AS36)+AS70</f>
        <v>5</v>
      </c>
      <c r="AT85" s="37" t="n">
        <f aca="false">SUMIF('Hiring plan'!$B$5:$B$32,"Engineering &amp; product",AT9:AT36)+AT70</f>
        <v>5</v>
      </c>
      <c r="AU85" s="37" t="n">
        <f aca="false">SUMIF('Hiring plan'!$B$5:$B$32,"Engineering &amp; product",AU9:AU36)+AU70</f>
        <v>5</v>
      </c>
      <c r="AV85" s="37" t="n">
        <f aca="false">SUMIF('Hiring plan'!$B$5:$B$32,"Engineering &amp; product",AV9:AV36)+AV70</f>
        <v>5</v>
      </c>
      <c r="AW85" s="37" t="n">
        <f aca="false">SUMIF('Hiring plan'!$B$5:$B$32,"Engineering &amp; product",AW9:AW36)+AW70</f>
        <v>6</v>
      </c>
      <c r="AX85" s="37" t="n">
        <f aca="false">SUMIF('Hiring plan'!$B$5:$B$32,"Engineering &amp; product",AX9:AX36)+AX70</f>
        <v>6</v>
      </c>
      <c r="AY85" s="37" t="n">
        <f aca="false">SUMIF('Hiring plan'!$B$5:$B$32,"Engineering &amp; product",AY9:AY36)+AY70</f>
        <v>6</v>
      </c>
      <c r="AZ85" s="37" t="n">
        <f aca="false">SUMIF('Hiring plan'!$B$5:$B$32,"Engineering &amp; product",AZ9:AZ36)+AZ70</f>
        <v>6</v>
      </c>
      <c r="BA85" s="37" t="n">
        <f aca="false">SUMIF('Hiring plan'!$B$5:$B$32,"Engineering &amp; product",BA9:BA36)+BA70</f>
        <v>6</v>
      </c>
      <c r="BB85" s="37" t="n">
        <f aca="false">SUMIF('Hiring plan'!$B$5:$B$32,"Engineering &amp; product",BB9:BB36)+BB70</f>
        <v>6</v>
      </c>
      <c r="BC85" s="37" t="n">
        <f aca="false">SUMIF('Hiring plan'!$B$5:$B$32,"Engineering &amp; product",BC9:BC36)+BC70</f>
        <v>6</v>
      </c>
      <c r="BD85" s="37" t="n">
        <f aca="false">SUMIF('Hiring plan'!$B$5:$B$32,"Engineering &amp; product",BD9:BD36)+BD70</f>
        <v>7</v>
      </c>
      <c r="BE85" s="37" t="n">
        <f aca="false">SUMIF('Hiring plan'!$B$5:$B$32,"Engineering &amp; product",BE9:BE36)+BE70</f>
        <v>7</v>
      </c>
      <c r="BF85" s="37" t="n">
        <f aca="false">SUMIF('Hiring plan'!$B$5:$B$32,"Engineering &amp; product",BF9:BF36)+BF70</f>
        <v>7</v>
      </c>
      <c r="BG85" s="37" t="n">
        <f aca="false">SUMIF('Hiring plan'!$B$5:$B$32,"Engineering &amp; product",BG9:BG36)+BG70</f>
        <v>7</v>
      </c>
      <c r="BH85" s="37" t="n">
        <f aca="false">SUMIF('Hiring plan'!$B$5:$B$32,"Engineering &amp; product",BH9:BH36)+BH70</f>
        <v>7</v>
      </c>
      <c r="BI85" s="37" t="n">
        <f aca="false">SUMIF('Hiring plan'!$B$5:$B$32,"Engineering &amp; product",BI9:BI36)+BI70</f>
        <v>7</v>
      </c>
      <c r="BJ85" s="37" t="n">
        <f aca="false">SUMIF('Hiring plan'!$B$5:$B$32,"Engineering &amp; product",BJ9:BJ36)+BJ70</f>
        <v>8</v>
      </c>
      <c r="BK85" s="37" t="n">
        <f aca="false">SUMIF('Hiring plan'!$B$5:$B$32,"Engineering &amp; product",BK9:BK36)+BK70</f>
        <v>8</v>
      </c>
      <c r="BL85" s="37" t="n">
        <f aca="false">SUMIF('Hiring plan'!$B$5:$B$32,"Engineering &amp; product",BL9:BL36)+BL70</f>
        <v>8</v>
      </c>
    </row>
    <row r="86" customFormat="false" ht="15" hidden="false" customHeight="false" outlineLevel="0" collapsed="false">
      <c r="A86" s="12" t="s">
        <v>702</v>
      </c>
      <c r="B86" s="14" t="s">
        <v>86</v>
      </c>
      <c r="D86" s="55" t="n">
        <f aca="false">BL86</f>
        <v>20</v>
      </c>
      <c r="E86" s="37" t="n">
        <f aca="false">SUMIFS(E9:E36,'Hiring plan'!$E$5:$E$32,"Sales rep",'Hiring plan'!$D$5:$D$32,"SN")+E71</f>
        <v>1</v>
      </c>
      <c r="F86" s="37" t="n">
        <f aca="false">SUMIFS(F9:F36,'Hiring plan'!$E$5:$E$32,"Sales rep",'Hiring plan'!$D$5:$D$32,"SN")+F71</f>
        <v>1</v>
      </c>
      <c r="G86" s="37" t="n">
        <f aca="false">SUMIFS(G9:G36,'Hiring plan'!$E$5:$E$32,"Sales rep",'Hiring plan'!$D$5:$D$32,"SN")+G71</f>
        <v>1</v>
      </c>
      <c r="H86" s="37" t="n">
        <f aca="false">SUMIFS(H9:H36,'Hiring plan'!$E$5:$E$32,"Sales rep",'Hiring plan'!$D$5:$D$32,"SN")+H71</f>
        <v>3</v>
      </c>
      <c r="I86" s="37" t="n">
        <f aca="false">SUMIFS(I9:I36,'Hiring plan'!$E$5:$E$32,"Sales rep",'Hiring plan'!$D$5:$D$32,"SN")+I71</f>
        <v>3</v>
      </c>
      <c r="J86" s="37" t="n">
        <f aca="false">SUMIFS(J9:J36,'Hiring plan'!$E$5:$E$32,"Sales rep",'Hiring plan'!$D$5:$D$32,"SN")+J71</f>
        <v>3</v>
      </c>
      <c r="K86" s="37" t="n">
        <f aca="false">SUMIFS(K9:K36,'Hiring plan'!$E$5:$E$32,"Sales rep",'Hiring plan'!$D$5:$D$32,"SN")+K71</f>
        <v>3</v>
      </c>
      <c r="L86" s="37" t="n">
        <f aca="false">SUMIFS(L9:L36,'Hiring plan'!$E$5:$E$32,"Sales rep",'Hiring plan'!$D$5:$D$32,"SN")+L71</f>
        <v>3</v>
      </c>
      <c r="M86" s="37" t="n">
        <f aca="false">SUMIFS(M9:M36,'Hiring plan'!$E$5:$E$32,"Sales rep",'Hiring plan'!$D$5:$D$32,"SN")+M71</f>
        <v>3</v>
      </c>
      <c r="N86" s="37" t="n">
        <f aca="false">SUMIFS(N9:N36,'Hiring plan'!$E$5:$E$32,"Sales rep",'Hiring plan'!$D$5:$D$32,"SN")+N71</f>
        <v>3</v>
      </c>
      <c r="O86" s="37" t="n">
        <f aca="false">SUMIFS(O9:O36,'Hiring plan'!$E$5:$E$32,"Sales rep",'Hiring plan'!$D$5:$D$32,"SN")+O71</f>
        <v>3</v>
      </c>
      <c r="P86" s="37" t="n">
        <f aca="false">SUMIFS(P9:P36,'Hiring plan'!$E$5:$E$32,"Sales rep",'Hiring plan'!$D$5:$D$32,"SN")+P71</f>
        <v>3</v>
      </c>
      <c r="Q86" s="37" t="n">
        <f aca="false">SUMIFS(Q9:Q36,'Hiring plan'!$E$5:$E$32,"Sales rep",'Hiring plan'!$D$5:$D$32,"SN")+Q71</f>
        <v>3</v>
      </c>
      <c r="R86" s="37" t="n">
        <f aca="false">SUMIFS(R9:R36,'Hiring plan'!$E$5:$E$32,"Sales rep",'Hiring plan'!$D$5:$D$32,"SN")+R71</f>
        <v>3</v>
      </c>
      <c r="S86" s="37" t="n">
        <f aca="false">SUMIFS(S9:S36,'Hiring plan'!$E$5:$E$32,"Sales rep",'Hiring plan'!$D$5:$D$32,"SN")+S71</f>
        <v>3</v>
      </c>
      <c r="T86" s="37" t="n">
        <f aca="false">SUMIFS(T9:T36,'Hiring plan'!$E$5:$E$32,"Sales rep",'Hiring plan'!$D$5:$D$32,"SN")+T71</f>
        <v>3</v>
      </c>
      <c r="U86" s="37" t="n">
        <f aca="false">SUMIFS(U9:U36,'Hiring plan'!$E$5:$E$32,"Sales rep",'Hiring plan'!$D$5:$D$32,"SN")+U71</f>
        <v>3</v>
      </c>
      <c r="V86" s="37" t="n">
        <f aca="false">SUMIFS(V9:V36,'Hiring plan'!$E$5:$E$32,"Sales rep",'Hiring plan'!$D$5:$D$32,"SN")+V71</f>
        <v>4</v>
      </c>
      <c r="W86" s="37" t="n">
        <f aca="false">SUMIFS(W9:W36,'Hiring plan'!$E$5:$E$32,"Sales rep",'Hiring plan'!$D$5:$D$32,"SN")+W71</f>
        <v>4</v>
      </c>
      <c r="X86" s="37" t="n">
        <f aca="false">SUMIFS(X9:X36,'Hiring plan'!$E$5:$E$32,"Sales rep",'Hiring plan'!$D$5:$D$32,"SN")+X71</f>
        <v>4</v>
      </c>
      <c r="Y86" s="37" t="n">
        <f aca="false">SUMIFS(Y9:Y36,'Hiring plan'!$E$5:$E$32,"Sales rep",'Hiring plan'!$D$5:$D$32,"SN")+Y71</f>
        <v>4</v>
      </c>
      <c r="Z86" s="37" t="n">
        <f aca="false">SUMIFS(Z9:Z36,'Hiring plan'!$E$5:$E$32,"Sales rep",'Hiring plan'!$D$5:$D$32,"SN")+Z71</f>
        <v>4</v>
      </c>
      <c r="AA86" s="37" t="n">
        <f aca="false">SUMIFS(AA9:AA36,'Hiring plan'!$E$5:$E$32,"Sales rep",'Hiring plan'!$D$5:$D$32,"SN")+AA71</f>
        <v>5</v>
      </c>
      <c r="AB86" s="37" t="n">
        <f aca="false">SUMIFS(AB9:AB36,'Hiring plan'!$E$5:$E$32,"Sales rep",'Hiring plan'!$D$5:$D$32,"SN")+AB71</f>
        <v>5</v>
      </c>
      <c r="AC86" s="37" t="n">
        <f aca="false">SUMIFS(AC9:AC36,'Hiring plan'!$E$5:$E$32,"Sales rep",'Hiring plan'!$D$5:$D$32,"SN")+AC71</f>
        <v>5</v>
      </c>
      <c r="AD86" s="37" t="n">
        <f aca="false">SUMIFS(AD9:AD36,'Hiring plan'!$E$5:$E$32,"Sales rep",'Hiring plan'!$D$5:$D$32,"SN")+AD71</f>
        <v>5</v>
      </c>
      <c r="AE86" s="37" t="n">
        <f aca="false">SUMIFS(AE9:AE36,'Hiring plan'!$E$5:$E$32,"Sales rep",'Hiring plan'!$D$5:$D$32,"SN")+AE71</f>
        <v>6</v>
      </c>
      <c r="AF86" s="37" t="n">
        <f aca="false">SUMIFS(AF9:AF36,'Hiring plan'!$E$5:$E$32,"Sales rep",'Hiring plan'!$D$5:$D$32,"SN")+AF71</f>
        <v>6</v>
      </c>
      <c r="AG86" s="37" t="n">
        <f aca="false">SUMIFS(AG9:AG36,'Hiring plan'!$E$5:$E$32,"Sales rep",'Hiring plan'!$D$5:$D$32,"SN")+AG71</f>
        <v>6</v>
      </c>
      <c r="AH86" s="37" t="n">
        <f aca="false">SUMIFS(AH9:AH36,'Hiring plan'!$E$5:$E$32,"Sales rep",'Hiring plan'!$D$5:$D$32,"SN")+AH71</f>
        <v>6</v>
      </c>
      <c r="AI86" s="37" t="n">
        <f aca="false">SUMIFS(AI9:AI36,'Hiring plan'!$E$5:$E$32,"Sales rep",'Hiring plan'!$D$5:$D$32,"SN")+AI71</f>
        <v>7</v>
      </c>
      <c r="AJ86" s="37" t="n">
        <f aca="false">SUMIFS(AJ9:AJ36,'Hiring plan'!$E$5:$E$32,"Sales rep",'Hiring plan'!$D$5:$D$32,"SN")+AJ71</f>
        <v>7</v>
      </c>
      <c r="AK86" s="37" t="n">
        <f aca="false">SUMIFS(AK9:AK36,'Hiring plan'!$E$5:$E$32,"Sales rep",'Hiring plan'!$D$5:$D$32,"SN")+AK71</f>
        <v>7</v>
      </c>
      <c r="AL86" s="37" t="n">
        <f aca="false">SUMIFS(AL9:AL36,'Hiring plan'!$E$5:$E$32,"Sales rep",'Hiring plan'!$D$5:$D$32,"SN")+AL71</f>
        <v>8</v>
      </c>
      <c r="AM86" s="37" t="n">
        <f aca="false">SUMIFS(AM9:AM36,'Hiring plan'!$E$5:$E$32,"Sales rep",'Hiring plan'!$D$5:$D$32,"SN")+AM71</f>
        <v>8</v>
      </c>
      <c r="AN86" s="37" t="n">
        <f aca="false">SUMIFS(AN9:AN36,'Hiring plan'!$E$5:$E$32,"Sales rep",'Hiring plan'!$D$5:$D$32,"SN")+AN71</f>
        <v>8</v>
      </c>
      <c r="AO86" s="37" t="n">
        <f aca="false">SUMIFS(AO9:AO36,'Hiring plan'!$E$5:$E$32,"Sales rep",'Hiring plan'!$D$5:$D$32,"SN")+AO71</f>
        <v>9</v>
      </c>
      <c r="AP86" s="37" t="n">
        <f aca="false">SUMIFS(AP9:AP36,'Hiring plan'!$E$5:$E$32,"Sales rep",'Hiring plan'!$D$5:$D$32,"SN")+AP71</f>
        <v>9</v>
      </c>
      <c r="AQ86" s="37" t="n">
        <f aca="false">SUMIFS(AQ9:AQ36,'Hiring plan'!$E$5:$E$32,"Sales rep",'Hiring plan'!$D$5:$D$32,"SN")+AQ71</f>
        <v>10</v>
      </c>
      <c r="AR86" s="37" t="n">
        <f aca="false">SUMIFS(AR9:AR36,'Hiring plan'!$E$5:$E$32,"Sales rep",'Hiring plan'!$D$5:$D$32,"SN")+AR71</f>
        <v>10</v>
      </c>
      <c r="AS86" s="37" t="n">
        <f aca="false">SUMIFS(AS9:AS36,'Hiring plan'!$E$5:$E$32,"Sales rep",'Hiring plan'!$D$5:$D$32,"SN")+AS71</f>
        <v>11</v>
      </c>
      <c r="AT86" s="37" t="n">
        <f aca="false">SUMIFS(AT9:AT36,'Hiring plan'!$E$5:$E$32,"Sales rep",'Hiring plan'!$D$5:$D$32,"SN")+AT71</f>
        <v>11</v>
      </c>
      <c r="AU86" s="37" t="n">
        <f aca="false">SUMIFS(AU9:AU36,'Hiring plan'!$E$5:$E$32,"Sales rep",'Hiring plan'!$D$5:$D$32,"SN")+AU71</f>
        <v>11</v>
      </c>
      <c r="AV86" s="37" t="n">
        <f aca="false">SUMIFS(AV9:AV36,'Hiring plan'!$E$5:$E$32,"Sales rep",'Hiring plan'!$D$5:$D$32,"SN")+AV71</f>
        <v>12</v>
      </c>
      <c r="AW86" s="37" t="n">
        <f aca="false">SUMIFS(AW9:AW36,'Hiring plan'!$E$5:$E$32,"Sales rep",'Hiring plan'!$D$5:$D$32,"SN")+AW71</f>
        <v>12</v>
      </c>
      <c r="AX86" s="37" t="n">
        <f aca="false">SUMIFS(AX9:AX36,'Hiring plan'!$E$5:$E$32,"Sales rep",'Hiring plan'!$D$5:$D$32,"SN")+AX71</f>
        <v>13</v>
      </c>
      <c r="AY86" s="37" t="n">
        <f aca="false">SUMIFS(AY9:AY36,'Hiring plan'!$E$5:$E$32,"Sales rep",'Hiring plan'!$D$5:$D$32,"SN")+AY71</f>
        <v>13</v>
      </c>
      <c r="AZ86" s="37" t="n">
        <f aca="false">SUMIFS(AZ9:AZ36,'Hiring plan'!$E$5:$E$32,"Sales rep",'Hiring plan'!$D$5:$D$32,"SN")+AZ71</f>
        <v>14</v>
      </c>
      <c r="BA86" s="37" t="n">
        <f aca="false">SUMIFS(BA9:BA36,'Hiring plan'!$E$5:$E$32,"Sales rep",'Hiring plan'!$D$5:$D$32,"SN")+BA71</f>
        <v>14</v>
      </c>
      <c r="BB86" s="37" t="n">
        <f aca="false">SUMIFS(BB9:BB36,'Hiring plan'!$E$5:$E$32,"Sales rep",'Hiring plan'!$D$5:$D$32,"SN")+BB71</f>
        <v>15</v>
      </c>
      <c r="BC86" s="37" t="n">
        <f aca="false">SUMIFS(BC9:BC36,'Hiring plan'!$E$5:$E$32,"Sales rep",'Hiring plan'!$D$5:$D$32,"SN")+BC71</f>
        <v>15</v>
      </c>
      <c r="BD86" s="37" t="n">
        <f aca="false">SUMIFS(BD9:BD36,'Hiring plan'!$E$5:$E$32,"Sales rep",'Hiring plan'!$D$5:$D$32,"SN")+BD71</f>
        <v>16</v>
      </c>
      <c r="BE86" s="37" t="n">
        <f aca="false">SUMIFS(BE9:BE36,'Hiring plan'!$E$5:$E$32,"Sales rep",'Hiring plan'!$D$5:$D$32,"SN")+BE71</f>
        <v>16</v>
      </c>
      <c r="BF86" s="37" t="n">
        <f aca="false">SUMIFS(BF9:BF36,'Hiring plan'!$E$5:$E$32,"Sales rep",'Hiring plan'!$D$5:$D$32,"SN")+BF71</f>
        <v>17</v>
      </c>
      <c r="BG86" s="37" t="n">
        <f aca="false">SUMIFS(BG9:BG36,'Hiring plan'!$E$5:$E$32,"Sales rep",'Hiring plan'!$D$5:$D$32,"SN")+BG71</f>
        <v>17</v>
      </c>
      <c r="BH86" s="37" t="n">
        <f aca="false">SUMIFS(BH9:BH36,'Hiring plan'!$E$5:$E$32,"Sales rep",'Hiring plan'!$D$5:$D$32,"SN")+BH71</f>
        <v>18</v>
      </c>
      <c r="BI86" s="37" t="n">
        <f aca="false">SUMIFS(BI9:BI36,'Hiring plan'!$E$5:$E$32,"Sales rep",'Hiring plan'!$D$5:$D$32,"SN")+BI71</f>
        <v>18</v>
      </c>
      <c r="BJ86" s="37" t="n">
        <f aca="false">SUMIFS(BJ9:BJ36,'Hiring plan'!$E$5:$E$32,"Sales rep",'Hiring plan'!$D$5:$D$32,"SN")+BJ71</f>
        <v>19</v>
      </c>
      <c r="BK86" s="37" t="n">
        <f aca="false">SUMIFS(BK9:BK36,'Hiring plan'!$E$5:$E$32,"Sales rep",'Hiring plan'!$D$5:$D$32,"SN")+BK71</f>
        <v>20</v>
      </c>
      <c r="BL86" s="37" t="n">
        <f aca="false">SUMIFS(BL9:BL36,'Hiring plan'!$E$5:$E$32,"Sales rep",'Hiring plan'!$D$5:$D$32,"SN")+BL71</f>
        <v>20</v>
      </c>
    </row>
    <row r="87" customFormat="false" ht="15" hidden="false" customHeight="false" outlineLevel="0" collapsed="false">
      <c r="A87" s="12" t="s">
        <v>703</v>
      </c>
      <c r="B87" s="14" t="s">
        <v>86</v>
      </c>
      <c r="D87" s="55" t="n">
        <f aca="false">BL87</f>
        <v>8</v>
      </c>
      <c r="E87" s="37" t="n">
        <f aca="false">SUMIFS(E9:E36,'Hiring plan'!$E$5:$E$32,"Sales rep",'Hiring plan'!$D$5:$D$32,"CI")+E72</f>
        <v>0</v>
      </c>
      <c r="F87" s="37" t="n">
        <f aca="false">SUMIFS(F9:F36,'Hiring plan'!$E$5:$E$32,"Sales rep",'Hiring plan'!$D$5:$D$32,"CI")+F72</f>
        <v>0</v>
      </c>
      <c r="G87" s="37" t="n">
        <f aca="false">SUMIFS(G9:G36,'Hiring plan'!$E$5:$E$32,"Sales rep",'Hiring plan'!$D$5:$D$32,"CI")+G72</f>
        <v>0</v>
      </c>
      <c r="H87" s="37" t="n">
        <f aca="false">SUMIFS(H9:H36,'Hiring plan'!$E$5:$E$32,"Sales rep",'Hiring plan'!$D$5:$D$32,"CI")+H72</f>
        <v>0</v>
      </c>
      <c r="I87" s="37" t="n">
        <f aca="false">SUMIFS(I9:I36,'Hiring plan'!$E$5:$E$32,"Sales rep",'Hiring plan'!$D$5:$D$32,"CI")+I72</f>
        <v>0</v>
      </c>
      <c r="J87" s="37" t="n">
        <f aca="false">SUMIFS(J9:J36,'Hiring plan'!$E$5:$E$32,"Sales rep",'Hiring plan'!$D$5:$D$32,"CI")+J72</f>
        <v>0</v>
      </c>
      <c r="K87" s="37" t="n">
        <f aca="false">SUMIFS(K9:K36,'Hiring plan'!$E$5:$E$32,"Sales rep",'Hiring plan'!$D$5:$D$32,"CI")+K72</f>
        <v>0</v>
      </c>
      <c r="L87" s="37" t="n">
        <f aca="false">SUMIFS(L9:L36,'Hiring plan'!$E$5:$E$32,"Sales rep",'Hiring plan'!$D$5:$D$32,"CI")+L72</f>
        <v>0</v>
      </c>
      <c r="M87" s="37" t="n">
        <f aca="false">SUMIFS(M9:M36,'Hiring plan'!$E$5:$E$32,"Sales rep",'Hiring plan'!$D$5:$D$32,"CI")+M72</f>
        <v>0</v>
      </c>
      <c r="N87" s="37" t="n">
        <f aca="false">SUMIFS(N9:N36,'Hiring plan'!$E$5:$E$32,"Sales rep",'Hiring plan'!$D$5:$D$32,"CI")+N72</f>
        <v>0</v>
      </c>
      <c r="O87" s="37" t="n">
        <f aca="false">SUMIFS(O9:O36,'Hiring plan'!$E$5:$E$32,"Sales rep",'Hiring plan'!$D$5:$D$32,"CI")+O72</f>
        <v>0</v>
      </c>
      <c r="P87" s="37" t="n">
        <f aca="false">SUMIFS(P9:P36,'Hiring plan'!$E$5:$E$32,"Sales rep",'Hiring plan'!$D$5:$D$32,"CI")+P72</f>
        <v>0</v>
      </c>
      <c r="Q87" s="37" t="n">
        <f aca="false">SUMIFS(Q9:Q36,'Hiring plan'!$E$5:$E$32,"Sales rep",'Hiring plan'!$D$5:$D$32,"CI")+Q72</f>
        <v>0</v>
      </c>
      <c r="R87" s="37" t="n">
        <f aca="false">SUMIFS(R9:R36,'Hiring plan'!$E$5:$E$32,"Sales rep",'Hiring plan'!$D$5:$D$32,"CI")+R72</f>
        <v>0</v>
      </c>
      <c r="S87" s="37" t="n">
        <f aca="false">SUMIFS(S9:S36,'Hiring plan'!$E$5:$E$32,"Sales rep",'Hiring plan'!$D$5:$D$32,"CI")+S72</f>
        <v>0</v>
      </c>
      <c r="T87" s="37" t="n">
        <f aca="false">SUMIFS(T9:T36,'Hiring plan'!$E$5:$E$32,"Sales rep",'Hiring plan'!$D$5:$D$32,"CI")+T72</f>
        <v>0</v>
      </c>
      <c r="U87" s="37" t="n">
        <f aca="false">SUMIFS(U9:U36,'Hiring plan'!$E$5:$E$32,"Sales rep",'Hiring plan'!$D$5:$D$32,"CI")+U72</f>
        <v>0</v>
      </c>
      <c r="V87" s="37" t="n">
        <f aca="false">SUMIFS(V9:V36,'Hiring plan'!$E$5:$E$32,"Sales rep",'Hiring plan'!$D$5:$D$32,"CI")+V72</f>
        <v>2</v>
      </c>
      <c r="W87" s="37" t="n">
        <f aca="false">SUMIFS(W9:W36,'Hiring plan'!$E$5:$E$32,"Sales rep",'Hiring plan'!$D$5:$D$32,"CI")+W72</f>
        <v>2</v>
      </c>
      <c r="X87" s="37" t="n">
        <f aca="false">SUMIFS(X9:X36,'Hiring plan'!$E$5:$E$32,"Sales rep",'Hiring plan'!$D$5:$D$32,"CI")+X72</f>
        <v>2</v>
      </c>
      <c r="Y87" s="37" t="n">
        <f aca="false">SUMIFS(Y9:Y36,'Hiring plan'!$E$5:$E$32,"Sales rep",'Hiring plan'!$D$5:$D$32,"CI")+Y72</f>
        <v>2</v>
      </c>
      <c r="Z87" s="37" t="n">
        <f aca="false">SUMIFS(Z9:Z36,'Hiring plan'!$E$5:$E$32,"Sales rep",'Hiring plan'!$D$5:$D$32,"CI")+Z72</f>
        <v>2</v>
      </c>
      <c r="AA87" s="37" t="n">
        <f aca="false">SUMIFS(AA9:AA36,'Hiring plan'!$E$5:$E$32,"Sales rep",'Hiring plan'!$D$5:$D$32,"CI")+AA72</f>
        <v>2</v>
      </c>
      <c r="AB87" s="37" t="n">
        <f aca="false">SUMIFS(AB9:AB36,'Hiring plan'!$E$5:$E$32,"Sales rep",'Hiring plan'!$D$5:$D$32,"CI")+AB72</f>
        <v>2</v>
      </c>
      <c r="AC87" s="37" t="n">
        <f aca="false">SUMIFS(AC9:AC36,'Hiring plan'!$E$5:$E$32,"Sales rep",'Hiring plan'!$D$5:$D$32,"CI")+AC72</f>
        <v>2</v>
      </c>
      <c r="AD87" s="37" t="n">
        <f aca="false">SUMIFS(AD9:AD36,'Hiring plan'!$E$5:$E$32,"Sales rep",'Hiring plan'!$D$5:$D$32,"CI")+AD72</f>
        <v>2</v>
      </c>
      <c r="AE87" s="37" t="n">
        <f aca="false">SUMIFS(AE9:AE36,'Hiring plan'!$E$5:$E$32,"Sales rep",'Hiring plan'!$D$5:$D$32,"CI")+AE72</f>
        <v>2</v>
      </c>
      <c r="AF87" s="37" t="n">
        <f aca="false">SUMIFS(AF9:AF36,'Hiring plan'!$E$5:$E$32,"Sales rep",'Hiring plan'!$D$5:$D$32,"CI")+AF72</f>
        <v>2</v>
      </c>
      <c r="AG87" s="37" t="n">
        <f aca="false">SUMIFS(AG9:AG36,'Hiring plan'!$E$5:$E$32,"Sales rep",'Hiring plan'!$D$5:$D$32,"CI")+AG72</f>
        <v>2</v>
      </c>
      <c r="AH87" s="37" t="n">
        <f aca="false">SUMIFS(AH9:AH36,'Hiring plan'!$E$5:$E$32,"Sales rep",'Hiring plan'!$D$5:$D$32,"CI")+AH72</f>
        <v>2</v>
      </c>
      <c r="AI87" s="37" t="n">
        <f aca="false">SUMIFS(AI9:AI36,'Hiring plan'!$E$5:$E$32,"Sales rep",'Hiring plan'!$D$5:$D$32,"CI")+AI72</f>
        <v>2</v>
      </c>
      <c r="AJ87" s="37" t="n">
        <f aca="false">SUMIFS(AJ9:AJ36,'Hiring plan'!$E$5:$E$32,"Sales rep",'Hiring plan'!$D$5:$D$32,"CI")+AJ72</f>
        <v>2</v>
      </c>
      <c r="AK87" s="37" t="n">
        <f aca="false">SUMIFS(AK9:AK36,'Hiring plan'!$E$5:$E$32,"Sales rep",'Hiring plan'!$D$5:$D$32,"CI")+AK72</f>
        <v>2</v>
      </c>
      <c r="AL87" s="37" t="n">
        <f aca="false">SUMIFS(AL9:AL36,'Hiring plan'!$E$5:$E$32,"Sales rep",'Hiring plan'!$D$5:$D$32,"CI")+AL72</f>
        <v>2</v>
      </c>
      <c r="AM87" s="37" t="n">
        <f aca="false">SUMIFS(AM9:AM36,'Hiring plan'!$E$5:$E$32,"Sales rep",'Hiring plan'!$D$5:$D$32,"CI")+AM72</f>
        <v>3</v>
      </c>
      <c r="AN87" s="37" t="n">
        <f aca="false">SUMIFS(AN9:AN36,'Hiring plan'!$E$5:$E$32,"Sales rep",'Hiring plan'!$D$5:$D$32,"CI")+AN72</f>
        <v>3</v>
      </c>
      <c r="AO87" s="37" t="n">
        <f aca="false">SUMIFS(AO9:AO36,'Hiring plan'!$E$5:$E$32,"Sales rep",'Hiring plan'!$D$5:$D$32,"CI")+AO72</f>
        <v>3</v>
      </c>
      <c r="AP87" s="37" t="n">
        <f aca="false">SUMIFS(AP9:AP36,'Hiring plan'!$E$5:$E$32,"Sales rep",'Hiring plan'!$D$5:$D$32,"CI")+AP72</f>
        <v>3</v>
      </c>
      <c r="AQ87" s="37" t="n">
        <f aca="false">SUMIFS(AQ9:AQ36,'Hiring plan'!$E$5:$E$32,"Sales rep",'Hiring plan'!$D$5:$D$32,"CI")+AQ72</f>
        <v>3</v>
      </c>
      <c r="AR87" s="37" t="n">
        <f aca="false">SUMIFS(AR9:AR36,'Hiring plan'!$E$5:$E$32,"Sales rep",'Hiring plan'!$D$5:$D$32,"CI")+AR72</f>
        <v>3</v>
      </c>
      <c r="AS87" s="37" t="n">
        <f aca="false">SUMIFS(AS9:AS36,'Hiring plan'!$E$5:$E$32,"Sales rep",'Hiring plan'!$D$5:$D$32,"CI")+AS72</f>
        <v>4</v>
      </c>
      <c r="AT87" s="37" t="n">
        <f aca="false">SUMIFS(AT9:AT36,'Hiring plan'!$E$5:$E$32,"Sales rep",'Hiring plan'!$D$5:$D$32,"CI")+AT72</f>
        <v>4</v>
      </c>
      <c r="AU87" s="37" t="n">
        <f aca="false">SUMIFS(AU9:AU36,'Hiring plan'!$E$5:$E$32,"Sales rep",'Hiring plan'!$D$5:$D$32,"CI")+AU72</f>
        <v>4</v>
      </c>
      <c r="AV87" s="37" t="n">
        <f aca="false">SUMIFS(AV9:AV36,'Hiring plan'!$E$5:$E$32,"Sales rep",'Hiring plan'!$D$5:$D$32,"CI")+AV72</f>
        <v>4</v>
      </c>
      <c r="AW87" s="37" t="n">
        <f aca="false">SUMIFS(AW9:AW36,'Hiring plan'!$E$5:$E$32,"Sales rep",'Hiring plan'!$D$5:$D$32,"CI")+AW72</f>
        <v>4</v>
      </c>
      <c r="AX87" s="37" t="n">
        <f aca="false">SUMIFS(AX9:AX36,'Hiring plan'!$E$5:$E$32,"Sales rep",'Hiring plan'!$D$5:$D$32,"CI")+AX72</f>
        <v>5</v>
      </c>
      <c r="AY87" s="37" t="n">
        <f aca="false">SUMIFS(AY9:AY36,'Hiring plan'!$E$5:$E$32,"Sales rep",'Hiring plan'!$D$5:$D$32,"CI")+AY72</f>
        <v>5</v>
      </c>
      <c r="AZ87" s="37" t="n">
        <f aca="false">SUMIFS(AZ9:AZ36,'Hiring plan'!$E$5:$E$32,"Sales rep",'Hiring plan'!$D$5:$D$32,"CI")+AZ72</f>
        <v>5</v>
      </c>
      <c r="BA87" s="37" t="n">
        <f aca="false">SUMIFS(BA9:BA36,'Hiring plan'!$E$5:$E$32,"Sales rep",'Hiring plan'!$D$5:$D$32,"CI")+BA72</f>
        <v>5</v>
      </c>
      <c r="BB87" s="37" t="n">
        <f aca="false">SUMIFS(BB9:BB36,'Hiring plan'!$E$5:$E$32,"Sales rep",'Hiring plan'!$D$5:$D$32,"CI")+BB72</f>
        <v>5</v>
      </c>
      <c r="BC87" s="37" t="n">
        <f aca="false">SUMIFS(BC9:BC36,'Hiring plan'!$E$5:$E$32,"Sales rep",'Hiring plan'!$D$5:$D$32,"CI")+BC72</f>
        <v>6</v>
      </c>
      <c r="BD87" s="37" t="n">
        <f aca="false">SUMIFS(BD9:BD36,'Hiring plan'!$E$5:$E$32,"Sales rep",'Hiring plan'!$D$5:$D$32,"CI")+BD72</f>
        <v>6</v>
      </c>
      <c r="BE87" s="37" t="n">
        <f aca="false">SUMIFS(BE9:BE36,'Hiring plan'!$E$5:$E$32,"Sales rep",'Hiring plan'!$D$5:$D$32,"CI")+BE72</f>
        <v>6</v>
      </c>
      <c r="BF87" s="37" t="n">
        <f aca="false">SUMIFS(BF9:BF36,'Hiring plan'!$E$5:$E$32,"Sales rep",'Hiring plan'!$D$5:$D$32,"CI")+BF72</f>
        <v>7</v>
      </c>
      <c r="BG87" s="37" t="n">
        <f aca="false">SUMIFS(BG9:BG36,'Hiring plan'!$E$5:$E$32,"Sales rep",'Hiring plan'!$D$5:$D$32,"CI")+BG72</f>
        <v>7</v>
      </c>
      <c r="BH87" s="37" t="n">
        <f aca="false">SUMIFS(BH9:BH36,'Hiring plan'!$E$5:$E$32,"Sales rep",'Hiring plan'!$D$5:$D$32,"CI")+BH72</f>
        <v>7</v>
      </c>
      <c r="BI87" s="37" t="n">
        <f aca="false">SUMIFS(BI9:BI36,'Hiring plan'!$E$5:$E$32,"Sales rep",'Hiring plan'!$D$5:$D$32,"CI")+BI72</f>
        <v>7</v>
      </c>
      <c r="BJ87" s="37" t="n">
        <f aca="false">SUMIFS(BJ9:BJ36,'Hiring plan'!$E$5:$E$32,"Sales rep",'Hiring plan'!$D$5:$D$32,"CI")+BJ72</f>
        <v>8</v>
      </c>
      <c r="BK87" s="37" t="n">
        <f aca="false">SUMIFS(BK9:BK36,'Hiring plan'!$E$5:$E$32,"Sales rep",'Hiring plan'!$D$5:$D$32,"CI")+BK72</f>
        <v>8</v>
      </c>
      <c r="BL87" s="37" t="n">
        <f aca="false">SUMIFS(BL9:BL36,'Hiring plan'!$E$5:$E$32,"Sales rep",'Hiring plan'!$D$5:$D$32,"CI")+BL72</f>
        <v>8</v>
      </c>
    </row>
    <row r="88" customFormat="false" ht="15" hidden="false" customHeight="false" outlineLevel="0" collapsed="false">
      <c r="A88" s="12" t="s">
        <v>704</v>
      </c>
      <c r="B88" s="14" t="s">
        <v>86</v>
      </c>
      <c r="D88" s="55" t="n">
        <f aca="false">SUM(E88:BL88)</f>
        <v>84</v>
      </c>
      <c r="E88" s="37" t="n">
        <f aca="false">SUMPRODUCT(--('Hiring plan'!$G$5:$G$32=E$3),'Hiring plan'!$F$5:$F$32)+E79</f>
        <v>5</v>
      </c>
      <c r="F88" s="37" t="n">
        <f aca="false">SUMPRODUCT(--('Hiring plan'!$G$5:$G$32=F$3),'Hiring plan'!$F$5:$F$32)+F79</f>
        <v>0</v>
      </c>
      <c r="G88" s="37" t="n">
        <f aca="false">SUMPRODUCT(--('Hiring plan'!$G$5:$G$32=G$3),'Hiring plan'!$F$5:$F$32)+G79</f>
        <v>0</v>
      </c>
      <c r="H88" s="37" t="n">
        <f aca="false">SUMPRODUCT(--('Hiring plan'!$G$5:$G$32=H$3),'Hiring plan'!$F$5:$F$32)+H79</f>
        <v>5</v>
      </c>
      <c r="I88" s="37" t="n">
        <f aca="false">SUMPRODUCT(--('Hiring plan'!$G$5:$G$32=I$3),'Hiring plan'!$F$5:$F$32)+I79</f>
        <v>1</v>
      </c>
      <c r="J88" s="37" t="n">
        <f aca="false">SUMPRODUCT(--('Hiring plan'!$G$5:$G$32=J$3),'Hiring plan'!$F$5:$F$32)+J79</f>
        <v>0</v>
      </c>
      <c r="K88" s="37" t="n">
        <f aca="false">SUMPRODUCT(--('Hiring plan'!$G$5:$G$32=K$3),'Hiring plan'!$F$5:$F$32)+K79</f>
        <v>0</v>
      </c>
      <c r="L88" s="37" t="n">
        <f aca="false">SUMPRODUCT(--('Hiring plan'!$G$5:$G$32=L$3),'Hiring plan'!$F$5:$F$32)+L79</f>
        <v>0</v>
      </c>
      <c r="M88" s="37" t="n">
        <f aca="false">SUMPRODUCT(--('Hiring plan'!$G$5:$G$32=M$3),'Hiring plan'!$F$5:$F$32)+M79</f>
        <v>0</v>
      </c>
      <c r="N88" s="37" t="n">
        <f aca="false">SUMPRODUCT(--('Hiring plan'!$G$5:$G$32=N$3),'Hiring plan'!$F$5:$F$32)+N79</f>
        <v>0</v>
      </c>
      <c r="O88" s="37" t="n">
        <f aca="false">SUMPRODUCT(--('Hiring plan'!$G$5:$G$32=O$3),'Hiring plan'!$F$5:$F$32)+O79</f>
        <v>0</v>
      </c>
      <c r="P88" s="37" t="n">
        <f aca="false">SUMPRODUCT(--('Hiring plan'!$G$5:$G$32=P$3),'Hiring plan'!$F$5:$F$32)+P79</f>
        <v>0</v>
      </c>
      <c r="Q88" s="37" t="n">
        <f aca="false">SUMPRODUCT(--('Hiring plan'!$G$5:$G$32=Q$3),'Hiring plan'!$F$5:$F$32)+Q79</f>
        <v>1</v>
      </c>
      <c r="R88" s="37" t="n">
        <f aca="false">SUMPRODUCT(--('Hiring plan'!$G$5:$G$32=R$3),'Hiring plan'!$F$5:$F$32)+R79</f>
        <v>0</v>
      </c>
      <c r="S88" s="37" t="n">
        <f aca="false">SUMPRODUCT(--('Hiring plan'!$G$5:$G$32=S$3),'Hiring plan'!$F$5:$F$32)+S79</f>
        <v>0</v>
      </c>
      <c r="T88" s="37" t="n">
        <f aca="false">SUMPRODUCT(--('Hiring plan'!$G$5:$G$32=T$3),'Hiring plan'!$F$5:$F$32)+T79</f>
        <v>1</v>
      </c>
      <c r="U88" s="37" t="n">
        <f aca="false">SUMPRODUCT(--('Hiring plan'!$G$5:$G$32=U$3),'Hiring plan'!$F$5:$F$32)+U79</f>
        <v>0</v>
      </c>
      <c r="V88" s="37" t="n">
        <f aca="false">SUMPRODUCT(--('Hiring plan'!$G$5:$G$32=V$3),'Hiring plan'!$F$5:$F$32)+V79</f>
        <v>4</v>
      </c>
      <c r="W88" s="37" t="n">
        <f aca="false">SUMPRODUCT(--('Hiring plan'!$G$5:$G$32=W$3),'Hiring plan'!$F$5:$F$32)+W79</f>
        <v>1</v>
      </c>
      <c r="X88" s="37" t="n">
        <f aca="false">SUMPRODUCT(--('Hiring plan'!$G$5:$G$32=X$3),'Hiring plan'!$F$5:$F$32)+X79</f>
        <v>0</v>
      </c>
      <c r="Y88" s="37" t="n">
        <f aca="false">SUMPRODUCT(--('Hiring plan'!$G$5:$G$32=Y$3),'Hiring plan'!$F$5:$F$32)+Y79</f>
        <v>0</v>
      </c>
      <c r="Z88" s="37" t="n">
        <f aca="false">SUMPRODUCT(--('Hiring plan'!$G$5:$G$32=Z$3),'Hiring plan'!$F$5:$F$32)+Z79</f>
        <v>0</v>
      </c>
      <c r="AA88" s="37" t="n">
        <f aca="false">SUMPRODUCT(--('Hiring plan'!$G$5:$G$32=AA$3),'Hiring plan'!$F$5:$F$32)+AA79</f>
        <v>2</v>
      </c>
      <c r="AB88" s="37" t="n">
        <f aca="false">SUMPRODUCT(--('Hiring plan'!$G$5:$G$32=AB$3),'Hiring plan'!$F$5:$F$32)+AB79</f>
        <v>1</v>
      </c>
      <c r="AC88" s="37" t="n">
        <f aca="false">SUMPRODUCT(--('Hiring plan'!$G$5:$G$32=AC$3),'Hiring plan'!$F$5:$F$32)+AC79</f>
        <v>0</v>
      </c>
      <c r="AD88" s="37" t="n">
        <f aca="false">SUMPRODUCT(--('Hiring plan'!$G$5:$G$32=AD$3),'Hiring plan'!$F$5:$F$32)+AD79</f>
        <v>0</v>
      </c>
      <c r="AE88" s="37" t="n">
        <f aca="false">SUMPRODUCT(--('Hiring plan'!$G$5:$G$32=AE$3),'Hiring plan'!$F$5:$F$32)+AE79</f>
        <v>3</v>
      </c>
      <c r="AF88" s="37" t="n">
        <f aca="false">SUMPRODUCT(--('Hiring plan'!$G$5:$G$32=AF$3),'Hiring plan'!$F$5:$F$32)+AF79</f>
        <v>1</v>
      </c>
      <c r="AG88" s="37" t="n">
        <f aca="false">SUMPRODUCT(--('Hiring plan'!$G$5:$G$32=AG$3),'Hiring plan'!$F$5:$F$32)+AG79</f>
        <v>3</v>
      </c>
      <c r="AH88" s="37" t="n">
        <f aca="false">SUMPRODUCT(--('Hiring plan'!$G$5:$G$32=AH$3),'Hiring plan'!$F$5:$F$32)+AH79</f>
        <v>0</v>
      </c>
      <c r="AI88" s="37" t="n">
        <f aca="false">SUMPRODUCT(--('Hiring plan'!$G$5:$G$32=AI$3),'Hiring plan'!$F$5:$F$32)+AI79</f>
        <v>2</v>
      </c>
      <c r="AJ88" s="37" t="n">
        <f aca="false">SUMPRODUCT(--('Hiring plan'!$G$5:$G$32=AJ$3),'Hiring plan'!$F$5:$F$32)+AJ79</f>
        <v>1</v>
      </c>
      <c r="AK88" s="37" t="n">
        <f aca="false">SUMPRODUCT(--('Hiring plan'!$G$5:$G$32=AK$3),'Hiring plan'!$F$5:$F$32)+AK79</f>
        <v>1</v>
      </c>
      <c r="AL88" s="37" t="n">
        <f aca="false">SUMPRODUCT(--('Hiring plan'!$G$5:$G$32=AL$3),'Hiring plan'!$F$5:$F$32)+AL79</f>
        <v>2</v>
      </c>
      <c r="AM88" s="37" t="n">
        <f aca="false">SUMPRODUCT(--('Hiring plan'!$G$5:$G$32=AM$3),'Hiring plan'!$F$5:$F$32)+AM79</f>
        <v>1</v>
      </c>
      <c r="AN88" s="37" t="n">
        <f aca="false">SUMPRODUCT(--('Hiring plan'!$G$5:$G$32=AN$3),'Hiring plan'!$F$5:$F$32)+AN79</f>
        <v>1</v>
      </c>
      <c r="AO88" s="37" t="n">
        <f aca="false">SUMPRODUCT(--('Hiring plan'!$G$5:$G$32=AO$3),'Hiring plan'!$F$5:$F$32)+AO79</f>
        <v>4</v>
      </c>
      <c r="AP88" s="37" t="n">
        <f aca="false">SUMPRODUCT(--('Hiring plan'!$G$5:$G$32=AP$3),'Hiring plan'!$F$5:$F$32)+AP79</f>
        <v>0</v>
      </c>
      <c r="AQ88" s="37" t="n">
        <f aca="false">SUMPRODUCT(--('Hiring plan'!$G$5:$G$32=AQ$3),'Hiring plan'!$F$5:$F$32)+AQ79</f>
        <v>2</v>
      </c>
      <c r="AR88" s="37" t="n">
        <f aca="false">SUMPRODUCT(--('Hiring plan'!$G$5:$G$32=AR$3),'Hiring plan'!$F$5:$F$32)+AR79</f>
        <v>1</v>
      </c>
      <c r="AS88" s="37" t="n">
        <f aca="false">SUMPRODUCT(--('Hiring plan'!$G$5:$G$32=AS$3),'Hiring plan'!$F$5:$F$32)+AS79</f>
        <v>4</v>
      </c>
      <c r="AT88" s="37" t="n">
        <f aca="false">SUMPRODUCT(--('Hiring plan'!$G$5:$G$32=AT$3),'Hiring plan'!$F$5:$F$32)+AT79</f>
        <v>0</v>
      </c>
      <c r="AU88" s="37" t="n">
        <f aca="false">SUMPRODUCT(--('Hiring plan'!$G$5:$G$32=AU$3),'Hiring plan'!$F$5:$F$32)+AU79</f>
        <v>1</v>
      </c>
      <c r="AV88" s="37" t="n">
        <f aca="false">SUMPRODUCT(--('Hiring plan'!$G$5:$G$32=AV$3),'Hiring plan'!$F$5:$F$32)+AV79</f>
        <v>2</v>
      </c>
      <c r="AW88" s="37" t="n">
        <f aca="false">SUMPRODUCT(--('Hiring plan'!$G$5:$G$32=AW$3),'Hiring plan'!$F$5:$F$32)+AW79</f>
        <v>2</v>
      </c>
      <c r="AX88" s="37" t="n">
        <f aca="false">SUMPRODUCT(--('Hiring plan'!$G$5:$G$32=AX$3),'Hiring plan'!$F$5:$F$32)+AX79</f>
        <v>4</v>
      </c>
      <c r="AY88" s="37" t="n">
        <f aca="false">SUMPRODUCT(--('Hiring plan'!$G$5:$G$32=AY$3),'Hiring plan'!$F$5:$F$32)+AY79</f>
        <v>0</v>
      </c>
      <c r="AZ88" s="37" t="n">
        <f aca="false">SUMPRODUCT(--('Hiring plan'!$G$5:$G$32=AZ$3),'Hiring plan'!$F$5:$F$32)+AZ79</f>
        <v>2</v>
      </c>
      <c r="BA88" s="37" t="n">
        <f aca="false">SUMPRODUCT(--('Hiring plan'!$G$5:$G$32=BA$3),'Hiring plan'!$F$5:$F$32)+BA79</f>
        <v>1</v>
      </c>
      <c r="BB88" s="37" t="n">
        <f aca="false">SUMPRODUCT(--('Hiring plan'!$G$5:$G$32=BB$3),'Hiring plan'!$F$5:$F$32)+BB79</f>
        <v>3</v>
      </c>
      <c r="BC88" s="37" t="n">
        <f aca="false">SUMPRODUCT(--('Hiring plan'!$G$5:$G$32=BC$3),'Hiring plan'!$F$5:$F$32)+BC79</f>
        <v>2</v>
      </c>
      <c r="BD88" s="37" t="n">
        <f aca="false">SUMPRODUCT(--('Hiring plan'!$G$5:$G$32=BD$3),'Hiring plan'!$F$5:$F$32)+BD79</f>
        <v>3</v>
      </c>
      <c r="BE88" s="37" t="n">
        <f aca="false">SUMPRODUCT(--('Hiring plan'!$G$5:$G$32=BE$3),'Hiring plan'!$F$5:$F$32)+BE79</f>
        <v>1</v>
      </c>
      <c r="BF88" s="37" t="n">
        <f aca="false">SUMPRODUCT(--('Hiring plan'!$G$5:$G$32=BF$3),'Hiring plan'!$F$5:$F$32)+BF79</f>
        <v>4</v>
      </c>
      <c r="BG88" s="37" t="n">
        <f aca="false">SUMPRODUCT(--('Hiring plan'!$G$5:$G$32=BG$3),'Hiring plan'!$F$5:$F$32)+BG79</f>
        <v>1</v>
      </c>
      <c r="BH88" s="37" t="n">
        <f aca="false">SUMPRODUCT(--('Hiring plan'!$G$5:$G$32=BH$3),'Hiring plan'!$F$5:$F$32)+BH79</f>
        <v>2</v>
      </c>
      <c r="BI88" s="37" t="n">
        <f aca="false">SUMPRODUCT(--('Hiring plan'!$G$5:$G$32=BI$3),'Hiring plan'!$F$5:$F$32)+BI79</f>
        <v>1</v>
      </c>
      <c r="BJ88" s="37" t="n">
        <f aca="false">SUMPRODUCT(--('Hiring plan'!$G$5:$G$32=BJ$3),'Hiring plan'!$F$5:$F$32)+BJ79</f>
        <v>5</v>
      </c>
      <c r="BK88" s="37" t="n">
        <f aca="false">SUMPRODUCT(--('Hiring plan'!$G$5:$G$32=BK$3),'Hiring plan'!$F$5:$F$32)+BK79</f>
        <v>2</v>
      </c>
      <c r="BL88" s="37" t="n">
        <f aca="false">SUMPRODUCT(--('Hiring plan'!$G$5:$G$32=BL$3),'Hiring plan'!$F$5:$F$32)+BL79</f>
        <v>1</v>
      </c>
    </row>
    <row r="89" customFormat="false" ht="15" hidden="false" customHeight="false" outlineLevel="0" collapsed="false">
      <c r="A89" s="12" t="s">
        <v>705</v>
      </c>
      <c r="B89" s="14" t="s">
        <v>86</v>
      </c>
      <c r="D89" s="55" t="n">
        <f aca="false">SUM(E89:BL89)</f>
        <v>8</v>
      </c>
      <c r="E89" s="37" t="n">
        <f aca="false">SUMPRODUCT(--('Hiring plan'!$G$5:$G$32=E$3),--('Hiring plan'!$B$5:$B$32="Engineering &amp; product"),'Hiring plan'!$F$5:$F$32)+E70</f>
        <v>3</v>
      </c>
      <c r="F89" s="37" t="n">
        <f aca="false">SUMPRODUCT(--('Hiring plan'!$G$5:$G$32=F$3),--('Hiring plan'!$B$5:$B$32="Engineering &amp; product"),'Hiring plan'!$F$5:$F$32)+MAX(0,F70-E70)</f>
        <v>0</v>
      </c>
      <c r="G89" s="37" t="n">
        <f aca="false">SUMPRODUCT(--('Hiring plan'!$G$5:$G$32=G$3),--('Hiring plan'!$B$5:$B$32="Engineering &amp; product"),'Hiring plan'!$F$5:$F$32)+MAX(0,G70-F70)</f>
        <v>0</v>
      </c>
      <c r="H89" s="37" t="n">
        <f aca="false">SUMPRODUCT(--('Hiring plan'!$G$5:$G$32=H$3),--('Hiring plan'!$B$5:$B$32="Engineering &amp; product"),'Hiring plan'!$F$5:$F$32)+MAX(0,H70-G70)</f>
        <v>0</v>
      </c>
      <c r="I89" s="37" t="n">
        <f aca="false">SUMPRODUCT(--('Hiring plan'!$G$5:$G$32=I$3),--('Hiring plan'!$B$5:$B$32="Engineering &amp; product"),'Hiring plan'!$F$5:$F$32)+MAX(0,I70-H70)</f>
        <v>0</v>
      </c>
      <c r="J89" s="37" t="n">
        <f aca="false">SUMPRODUCT(--('Hiring plan'!$G$5:$G$32=J$3),--('Hiring plan'!$B$5:$B$32="Engineering &amp; product"),'Hiring plan'!$F$5:$F$32)+MAX(0,J70-I70)</f>
        <v>0</v>
      </c>
      <c r="K89" s="37" t="n">
        <f aca="false">SUMPRODUCT(--('Hiring plan'!$G$5:$G$32=K$3),--('Hiring plan'!$B$5:$B$32="Engineering &amp; product"),'Hiring plan'!$F$5:$F$32)+MAX(0,K70-J70)</f>
        <v>0</v>
      </c>
      <c r="L89" s="37" t="n">
        <f aca="false">SUMPRODUCT(--('Hiring plan'!$G$5:$G$32=L$3),--('Hiring plan'!$B$5:$B$32="Engineering &amp; product"),'Hiring plan'!$F$5:$F$32)+MAX(0,L70-K70)</f>
        <v>0</v>
      </c>
      <c r="M89" s="37" t="n">
        <f aca="false">SUMPRODUCT(--('Hiring plan'!$G$5:$G$32=M$3),--('Hiring plan'!$B$5:$B$32="Engineering &amp; product"),'Hiring plan'!$F$5:$F$32)+MAX(0,M70-L70)</f>
        <v>0</v>
      </c>
      <c r="N89" s="37" t="n">
        <f aca="false">SUMPRODUCT(--('Hiring plan'!$G$5:$G$32=N$3),--('Hiring plan'!$B$5:$B$32="Engineering &amp; product"),'Hiring plan'!$F$5:$F$32)+MAX(0,N70-M70)</f>
        <v>0</v>
      </c>
      <c r="O89" s="37" t="n">
        <f aca="false">SUMPRODUCT(--('Hiring plan'!$G$5:$G$32=O$3),--('Hiring plan'!$B$5:$B$32="Engineering &amp; product"),'Hiring plan'!$F$5:$F$32)+MAX(0,O70-N70)</f>
        <v>0</v>
      </c>
      <c r="P89" s="37" t="n">
        <f aca="false">SUMPRODUCT(--('Hiring plan'!$G$5:$G$32=P$3),--('Hiring plan'!$B$5:$B$32="Engineering &amp; product"),'Hiring plan'!$F$5:$F$32)+MAX(0,P70-O70)</f>
        <v>0</v>
      </c>
      <c r="Q89" s="37" t="n">
        <f aca="false">SUMPRODUCT(--('Hiring plan'!$G$5:$G$32=Q$3),--('Hiring plan'!$B$5:$B$32="Engineering &amp; product"),'Hiring plan'!$F$5:$F$32)+MAX(0,Q70-P70)</f>
        <v>0</v>
      </c>
      <c r="R89" s="37" t="n">
        <f aca="false">SUMPRODUCT(--('Hiring plan'!$G$5:$G$32=R$3),--('Hiring plan'!$B$5:$B$32="Engineering &amp; product"),'Hiring plan'!$F$5:$F$32)+MAX(0,R70-Q70)</f>
        <v>0</v>
      </c>
      <c r="S89" s="37" t="n">
        <f aca="false">SUMPRODUCT(--('Hiring plan'!$G$5:$G$32=S$3),--('Hiring plan'!$B$5:$B$32="Engineering &amp; product"),'Hiring plan'!$F$5:$F$32)+MAX(0,S70-R70)</f>
        <v>0</v>
      </c>
      <c r="T89" s="37" t="n">
        <f aca="false">SUMPRODUCT(--('Hiring plan'!$G$5:$G$32=T$3),--('Hiring plan'!$B$5:$B$32="Engineering &amp; product"),'Hiring plan'!$F$5:$F$32)+MAX(0,T70-S70)</f>
        <v>0</v>
      </c>
      <c r="U89" s="37" t="n">
        <f aca="false">SUMPRODUCT(--('Hiring plan'!$G$5:$G$32=U$3),--('Hiring plan'!$B$5:$B$32="Engineering &amp; product"),'Hiring plan'!$F$5:$F$32)+MAX(0,U70-T70)</f>
        <v>0</v>
      </c>
      <c r="V89" s="37" t="n">
        <f aca="false">SUMPRODUCT(--('Hiring plan'!$G$5:$G$32=V$3),--('Hiring plan'!$B$5:$B$32="Engineering &amp; product"),'Hiring plan'!$F$5:$F$32)+MAX(0,V70-U70)</f>
        <v>0</v>
      </c>
      <c r="W89" s="37" t="n">
        <f aca="false">SUMPRODUCT(--('Hiring plan'!$G$5:$G$32=W$3),--('Hiring plan'!$B$5:$B$32="Engineering &amp; product"),'Hiring plan'!$F$5:$F$32)+MAX(0,W70-V70)</f>
        <v>0</v>
      </c>
      <c r="X89" s="37" t="n">
        <f aca="false">SUMPRODUCT(--('Hiring plan'!$G$5:$G$32=X$3),--('Hiring plan'!$B$5:$B$32="Engineering &amp; product"),'Hiring plan'!$F$5:$F$32)+MAX(0,X70-W70)</f>
        <v>0</v>
      </c>
      <c r="Y89" s="37" t="n">
        <f aca="false">SUMPRODUCT(--('Hiring plan'!$G$5:$G$32=Y$3),--('Hiring plan'!$B$5:$B$32="Engineering &amp; product"),'Hiring plan'!$F$5:$F$32)+MAX(0,Y70-X70)</f>
        <v>0</v>
      </c>
      <c r="Z89" s="37" t="n">
        <f aca="false">SUMPRODUCT(--('Hiring plan'!$G$5:$G$32=Z$3),--('Hiring plan'!$B$5:$B$32="Engineering &amp; product"),'Hiring plan'!$F$5:$F$32)+MAX(0,Z70-Y70)</f>
        <v>0</v>
      </c>
      <c r="AA89" s="37" t="n">
        <f aca="false">SUMPRODUCT(--('Hiring plan'!$G$5:$G$32=AA$3),--('Hiring plan'!$B$5:$B$32="Engineering &amp; product"),'Hiring plan'!$F$5:$F$32)+MAX(0,AA70-Z70)</f>
        <v>0</v>
      </c>
      <c r="AB89" s="37" t="n">
        <f aca="false">SUMPRODUCT(--('Hiring plan'!$G$5:$G$32=AB$3),--('Hiring plan'!$B$5:$B$32="Engineering &amp; product"),'Hiring plan'!$F$5:$F$32)+MAX(0,AB70-AA70)</f>
        <v>0</v>
      </c>
      <c r="AC89" s="37" t="n">
        <f aca="false">SUMPRODUCT(--('Hiring plan'!$G$5:$G$32=AC$3),--('Hiring plan'!$B$5:$B$32="Engineering &amp; product"),'Hiring plan'!$F$5:$F$32)+MAX(0,AC70-AB70)</f>
        <v>0</v>
      </c>
      <c r="AD89" s="37" t="n">
        <f aca="false">SUMPRODUCT(--('Hiring plan'!$G$5:$G$32=AD$3),--('Hiring plan'!$B$5:$B$32="Engineering &amp; product"),'Hiring plan'!$F$5:$F$32)+MAX(0,AD70-AC70)</f>
        <v>0</v>
      </c>
      <c r="AE89" s="37" t="n">
        <f aca="false">SUMPRODUCT(--('Hiring plan'!$G$5:$G$32=AE$3),--('Hiring plan'!$B$5:$B$32="Engineering &amp; product"),'Hiring plan'!$F$5:$F$32)+MAX(0,AE70-AD70)</f>
        <v>1</v>
      </c>
      <c r="AF89" s="37" t="n">
        <f aca="false">SUMPRODUCT(--('Hiring plan'!$G$5:$G$32=AF$3),--('Hiring plan'!$B$5:$B$32="Engineering &amp; product"),'Hiring plan'!$F$5:$F$32)+MAX(0,AF70-AE70)</f>
        <v>0</v>
      </c>
      <c r="AG89" s="37" t="n">
        <f aca="false">SUMPRODUCT(--('Hiring plan'!$G$5:$G$32=AG$3),--('Hiring plan'!$B$5:$B$32="Engineering &amp; product"),'Hiring plan'!$F$5:$F$32)+MAX(0,AG70-AF70)</f>
        <v>0</v>
      </c>
      <c r="AH89" s="37" t="n">
        <f aca="false">SUMPRODUCT(--('Hiring plan'!$G$5:$G$32=AH$3),--('Hiring plan'!$B$5:$B$32="Engineering &amp; product"),'Hiring plan'!$F$5:$F$32)+MAX(0,AH70-AG70)</f>
        <v>0</v>
      </c>
      <c r="AI89" s="37" t="n">
        <f aca="false">SUMPRODUCT(--('Hiring plan'!$G$5:$G$32=AI$3),--('Hiring plan'!$B$5:$B$32="Engineering &amp; product"),'Hiring plan'!$F$5:$F$32)+MAX(0,AI70-AH70)</f>
        <v>0</v>
      </c>
      <c r="AJ89" s="37" t="n">
        <f aca="false">SUMPRODUCT(--('Hiring plan'!$G$5:$G$32=AJ$3),--('Hiring plan'!$B$5:$B$32="Engineering &amp; product"),'Hiring plan'!$F$5:$F$32)+MAX(0,AJ70-AI70)</f>
        <v>0</v>
      </c>
      <c r="AK89" s="37" t="n">
        <f aca="false">SUMPRODUCT(--('Hiring plan'!$G$5:$G$32=AK$3),--('Hiring plan'!$B$5:$B$32="Engineering &amp; product"),'Hiring plan'!$F$5:$F$32)+MAX(0,AK70-AJ70)</f>
        <v>0</v>
      </c>
      <c r="AL89" s="37" t="n">
        <f aca="false">SUMPRODUCT(--('Hiring plan'!$G$5:$G$32=AL$3),--('Hiring plan'!$B$5:$B$32="Engineering &amp; product"),'Hiring plan'!$F$5:$F$32)+MAX(0,AL70-AK70)</f>
        <v>0</v>
      </c>
      <c r="AM89" s="37" t="n">
        <f aca="false">SUMPRODUCT(--('Hiring plan'!$G$5:$G$32=AM$3),--('Hiring plan'!$B$5:$B$32="Engineering &amp; product"),'Hiring plan'!$F$5:$F$32)+MAX(0,AM70-AL70)</f>
        <v>0</v>
      </c>
      <c r="AN89" s="37" t="n">
        <f aca="false">SUMPRODUCT(--('Hiring plan'!$G$5:$G$32=AN$3),--('Hiring plan'!$B$5:$B$32="Engineering &amp; product"),'Hiring plan'!$F$5:$F$32)+MAX(0,AN70-AM70)</f>
        <v>0</v>
      </c>
      <c r="AO89" s="37" t="n">
        <f aca="false">SUMPRODUCT(--('Hiring plan'!$G$5:$G$32=AO$3),--('Hiring plan'!$B$5:$B$32="Engineering &amp; product"),'Hiring plan'!$F$5:$F$32)+MAX(0,AO70-AN70)</f>
        <v>1</v>
      </c>
      <c r="AP89" s="37" t="n">
        <f aca="false">SUMPRODUCT(--('Hiring plan'!$G$5:$G$32=AP$3),--('Hiring plan'!$B$5:$B$32="Engineering &amp; product"),'Hiring plan'!$F$5:$F$32)+MAX(0,AP70-AO70)</f>
        <v>0</v>
      </c>
      <c r="AQ89" s="37" t="n">
        <f aca="false">SUMPRODUCT(--('Hiring plan'!$G$5:$G$32=AQ$3),--('Hiring plan'!$B$5:$B$32="Engineering &amp; product"),'Hiring plan'!$F$5:$F$32)+MAX(0,AQ70-AP70)</f>
        <v>0</v>
      </c>
      <c r="AR89" s="37" t="n">
        <f aca="false">SUMPRODUCT(--('Hiring plan'!$G$5:$G$32=AR$3),--('Hiring plan'!$B$5:$B$32="Engineering &amp; product"),'Hiring plan'!$F$5:$F$32)+MAX(0,AR70-AQ70)</f>
        <v>0</v>
      </c>
      <c r="AS89" s="37" t="n">
        <f aca="false">SUMPRODUCT(--('Hiring plan'!$G$5:$G$32=AS$3),--('Hiring plan'!$B$5:$B$32="Engineering &amp; product"),'Hiring plan'!$F$5:$F$32)+MAX(0,AS70-AR70)</f>
        <v>0</v>
      </c>
      <c r="AT89" s="37" t="n">
        <f aca="false">SUMPRODUCT(--('Hiring plan'!$G$5:$G$32=AT$3),--('Hiring plan'!$B$5:$B$32="Engineering &amp; product"),'Hiring plan'!$F$5:$F$32)+MAX(0,AT70-AS70)</f>
        <v>0</v>
      </c>
      <c r="AU89" s="37" t="n">
        <f aca="false">SUMPRODUCT(--('Hiring plan'!$G$5:$G$32=AU$3),--('Hiring plan'!$B$5:$B$32="Engineering &amp; product"),'Hiring plan'!$F$5:$F$32)+MAX(0,AU70-AT70)</f>
        <v>0</v>
      </c>
      <c r="AV89" s="37" t="n">
        <f aca="false">SUMPRODUCT(--('Hiring plan'!$G$5:$G$32=AV$3),--('Hiring plan'!$B$5:$B$32="Engineering &amp; product"),'Hiring plan'!$F$5:$F$32)+MAX(0,AV70-AU70)</f>
        <v>0</v>
      </c>
      <c r="AW89" s="37" t="n">
        <f aca="false">SUMPRODUCT(--('Hiring plan'!$G$5:$G$32=AW$3),--('Hiring plan'!$B$5:$B$32="Engineering &amp; product"),'Hiring plan'!$F$5:$F$32)+MAX(0,AW70-AV70)</f>
        <v>1</v>
      </c>
      <c r="AX89" s="37" t="n">
        <f aca="false">SUMPRODUCT(--('Hiring plan'!$G$5:$G$32=AX$3),--('Hiring plan'!$B$5:$B$32="Engineering &amp; product"),'Hiring plan'!$F$5:$F$32)+MAX(0,AX70-AW70)</f>
        <v>0</v>
      </c>
      <c r="AY89" s="37" t="n">
        <f aca="false">SUMPRODUCT(--('Hiring plan'!$G$5:$G$32=AY$3),--('Hiring plan'!$B$5:$B$32="Engineering &amp; product"),'Hiring plan'!$F$5:$F$32)+MAX(0,AY70-AX70)</f>
        <v>0</v>
      </c>
      <c r="AZ89" s="37" t="n">
        <f aca="false">SUMPRODUCT(--('Hiring plan'!$G$5:$G$32=AZ$3),--('Hiring plan'!$B$5:$B$32="Engineering &amp; product"),'Hiring plan'!$F$5:$F$32)+MAX(0,AZ70-AY70)</f>
        <v>0</v>
      </c>
      <c r="BA89" s="37" t="n">
        <f aca="false">SUMPRODUCT(--('Hiring plan'!$G$5:$G$32=BA$3),--('Hiring plan'!$B$5:$B$32="Engineering &amp; product"),'Hiring plan'!$F$5:$F$32)+MAX(0,BA70-AZ70)</f>
        <v>0</v>
      </c>
      <c r="BB89" s="37" t="n">
        <f aca="false">SUMPRODUCT(--('Hiring plan'!$G$5:$G$32=BB$3),--('Hiring plan'!$B$5:$B$32="Engineering &amp; product"),'Hiring plan'!$F$5:$F$32)+MAX(0,BB70-BA70)</f>
        <v>0</v>
      </c>
      <c r="BC89" s="37" t="n">
        <f aca="false">SUMPRODUCT(--('Hiring plan'!$G$5:$G$32=BC$3),--('Hiring plan'!$B$5:$B$32="Engineering &amp; product"),'Hiring plan'!$F$5:$F$32)+MAX(0,BC70-BB70)</f>
        <v>0</v>
      </c>
      <c r="BD89" s="37" t="n">
        <f aca="false">SUMPRODUCT(--('Hiring plan'!$G$5:$G$32=BD$3),--('Hiring plan'!$B$5:$B$32="Engineering &amp; product"),'Hiring plan'!$F$5:$F$32)+MAX(0,BD70-BC70)</f>
        <v>1</v>
      </c>
      <c r="BE89" s="37" t="n">
        <f aca="false">SUMPRODUCT(--('Hiring plan'!$G$5:$G$32=BE$3),--('Hiring plan'!$B$5:$B$32="Engineering &amp; product"),'Hiring plan'!$F$5:$F$32)+MAX(0,BE70-BD70)</f>
        <v>0</v>
      </c>
      <c r="BF89" s="37" t="n">
        <f aca="false">SUMPRODUCT(--('Hiring plan'!$G$5:$G$32=BF$3),--('Hiring plan'!$B$5:$B$32="Engineering &amp; product"),'Hiring plan'!$F$5:$F$32)+MAX(0,BF70-BE70)</f>
        <v>0</v>
      </c>
      <c r="BG89" s="37" t="n">
        <f aca="false">SUMPRODUCT(--('Hiring plan'!$G$5:$G$32=BG$3),--('Hiring plan'!$B$5:$B$32="Engineering &amp; product"),'Hiring plan'!$F$5:$F$32)+MAX(0,BG70-BF70)</f>
        <v>0</v>
      </c>
      <c r="BH89" s="37" t="n">
        <f aca="false">SUMPRODUCT(--('Hiring plan'!$G$5:$G$32=BH$3),--('Hiring plan'!$B$5:$B$32="Engineering &amp; product"),'Hiring plan'!$F$5:$F$32)+MAX(0,BH70-BG70)</f>
        <v>0</v>
      </c>
      <c r="BI89" s="37" t="n">
        <f aca="false">SUMPRODUCT(--('Hiring plan'!$G$5:$G$32=BI$3),--('Hiring plan'!$B$5:$B$32="Engineering &amp; product"),'Hiring plan'!$F$5:$F$32)+MAX(0,BI70-BH70)</f>
        <v>0</v>
      </c>
      <c r="BJ89" s="37" t="n">
        <f aca="false">SUMPRODUCT(--('Hiring plan'!$G$5:$G$32=BJ$3),--('Hiring plan'!$B$5:$B$32="Engineering &amp; product"),'Hiring plan'!$F$5:$F$32)+MAX(0,BJ70-BI70)</f>
        <v>1</v>
      </c>
      <c r="BK89" s="37" t="n">
        <f aca="false">SUMPRODUCT(--('Hiring plan'!$G$5:$G$32=BK$3),--('Hiring plan'!$B$5:$B$32="Engineering &amp; product"),'Hiring plan'!$F$5:$F$32)+MAX(0,BK70-BJ70)</f>
        <v>0</v>
      </c>
      <c r="BL89" s="37" t="n">
        <f aca="false">SUMPRODUCT(--('Hiring plan'!$G$5:$G$32=BL$3),--('Hiring plan'!$B$5:$B$32="Engineering &amp; product"),'Hiring plan'!$F$5:$F$32)+MAX(0,BL70-BK70)</f>
        <v>0</v>
      </c>
    </row>
    <row r="90" customFormat="false" ht="15" hidden="false" customHeight="false" outlineLevel="0" collapsed="false">
      <c r="A90" s="12" t="s">
        <v>706</v>
      </c>
      <c r="B90" s="14" t="s">
        <v>71</v>
      </c>
      <c r="D90" s="55" t="n">
        <f aca="false">SUM(E90:BL90)</f>
        <v>355069191.75</v>
      </c>
      <c r="E90" s="37" t="n">
        <f aca="false">SUMIF('Hiring plan'!$B$5:$B$32,"Leadership",E39:E66)+0</f>
        <v>0</v>
      </c>
      <c r="F90" s="37" t="n">
        <f aca="false">SUMIF('Hiring plan'!$B$5:$B$32,"Leadership",F39:F66)+0</f>
        <v>0</v>
      </c>
      <c r="G90" s="37" t="n">
        <f aca="false">SUMIF('Hiring plan'!$B$5:$B$32,"Leadership",G39:G66)+0</f>
        <v>0</v>
      </c>
      <c r="H90" s="37" t="n">
        <f aca="false">SUMIF('Hiring plan'!$B$5:$B$32,"Leadership",H39:H66)+0</f>
        <v>0</v>
      </c>
      <c r="I90" s="37" t="n">
        <f aca="false">SUMIF('Hiring plan'!$B$5:$B$32,"Leadership",I39:I66)+0</f>
        <v>0</v>
      </c>
      <c r="J90" s="37" t="n">
        <f aca="false">SUMIF('Hiring plan'!$B$5:$B$32,"Leadership",J39:J66)+0</f>
        <v>0</v>
      </c>
      <c r="K90" s="37" t="n">
        <f aca="false">SUMIF('Hiring plan'!$B$5:$B$32,"Leadership",K39:K66)+0</f>
        <v>0</v>
      </c>
      <c r="L90" s="37" t="n">
        <f aca="false">SUMIF('Hiring plan'!$B$5:$B$32,"Leadership",L39:L66)+0</f>
        <v>0</v>
      </c>
      <c r="M90" s="37" t="n">
        <f aca="false">SUMIF('Hiring plan'!$B$5:$B$32,"Leadership",M39:M66)+0</f>
        <v>0</v>
      </c>
      <c r="N90" s="37" t="n">
        <f aca="false">SUMIF('Hiring plan'!$B$5:$B$32,"Leadership",N39:N66)+0</f>
        <v>0</v>
      </c>
      <c r="O90" s="37" t="n">
        <f aca="false">SUMIF('Hiring plan'!$B$5:$B$32,"Leadership",O39:O66)+0</f>
        <v>0</v>
      </c>
      <c r="P90" s="37" t="n">
        <f aca="false">SUMIF('Hiring plan'!$B$5:$B$32,"Leadership",P39:P66)+0</f>
        <v>0</v>
      </c>
      <c r="Q90" s="37" t="n">
        <f aca="false">SUMIF('Hiring plan'!$B$5:$B$32,"Leadership",Q39:Q66)+0</f>
        <v>3412500</v>
      </c>
      <c r="R90" s="37" t="n">
        <f aca="false">SUMIF('Hiring plan'!$B$5:$B$32,"Leadership",R39:R66)+0</f>
        <v>3412500</v>
      </c>
      <c r="S90" s="37" t="n">
        <f aca="false">SUMIF('Hiring plan'!$B$5:$B$32,"Leadership",S39:S66)+0</f>
        <v>3412500</v>
      </c>
      <c r="T90" s="37" t="n">
        <f aca="false">SUMIF('Hiring plan'!$B$5:$B$32,"Leadership",T39:T66)+0</f>
        <v>3412500</v>
      </c>
      <c r="U90" s="37" t="n">
        <f aca="false">SUMIF('Hiring plan'!$B$5:$B$32,"Leadership",U39:U66)+0</f>
        <v>3412500</v>
      </c>
      <c r="V90" s="37" t="n">
        <f aca="false">SUMIF('Hiring plan'!$B$5:$B$32,"Leadership",V39:V66)+0</f>
        <v>7234500</v>
      </c>
      <c r="W90" s="37" t="n">
        <f aca="false">SUMIF('Hiring plan'!$B$5:$B$32,"Leadership",W39:W66)+0</f>
        <v>7234500</v>
      </c>
      <c r="X90" s="37" t="n">
        <f aca="false">SUMIF('Hiring plan'!$B$5:$B$32,"Leadership",X39:X66)+0</f>
        <v>7234500</v>
      </c>
      <c r="Y90" s="37" t="n">
        <f aca="false">SUMIF('Hiring plan'!$B$5:$B$32,"Leadership",Y39:Y66)+0</f>
        <v>7234500</v>
      </c>
      <c r="Z90" s="37" t="n">
        <f aca="false">SUMIF('Hiring plan'!$B$5:$B$32,"Leadership",Z39:Z66)+0</f>
        <v>7234500</v>
      </c>
      <c r="AA90" s="37" t="n">
        <f aca="false">SUMIF('Hiring plan'!$B$5:$B$32,"Leadership",AA39:AA66)+0</f>
        <v>7234500</v>
      </c>
      <c r="AB90" s="37" t="n">
        <f aca="false">SUMIF('Hiring plan'!$B$5:$B$32,"Leadership",AB39:AB66)+0</f>
        <v>7234500</v>
      </c>
      <c r="AC90" s="37" t="n">
        <f aca="false">SUMIF('Hiring plan'!$B$5:$B$32,"Leadership",AC39:AC66)+0</f>
        <v>7596225</v>
      </c>
      <c r="AD90" s="37" t="n">
        <f aca="false">SUMIF('Hiring plan'!$B$5:$B$32,"Leadership",AD39:AD66)+0</f>
        <v>7596225</v>
      </c>
      <c r="AE90" s="37" t="n">
        <f aca="false">SUMIF('Hiring plan'!$B$5:$B$32,"Leadership",AE39:AE66)+0</f>
        <v>7596225</v>
      </c>
      <c r="AF90" s="37" t="n">
        <f aca="false">SUMIF('Hiring plan'!$B$5:$B$32,"Leadership",AF39:AF66)+0</f>
        <v>7596225</v>
      </c>
      <c r="AG90" s="37" t="n">
        <f aca="false">SUMIF('Hiring plan'!$B$5:$B$32,"Leadership",AG39:AG66)+0</f>
        <v>7596225</v>
      </c>
      <c r="AH90" s="37" t="n">
        <f aca="false">SUMIF('Hiring plan'!$B$5:$B$32,"Leadership",AH39:AH66)+0</f>
        <v>7596225</v>
      </c>
      <c r="AI90" s="37" t="n">
        <f aca="false">SUMIF('Hiring plan'!$B$5:$B$32,"Leadership",AI39:AI66)+0</f>
        <v>7596225</v>
      </c>
      <c r="AJ90" s="37" t="n">
        <f aca="false">SUMIF('Hiring plan'!$B$5:$B$32,"Leadership",AJ39:AJ66)+0</f>
        <v>7596225</v>
      </c>
      <c r="AK90" s="37" t="n">
        <f aca="false">SUMIF('Hiring plan'!$B$5:$B$32,"Leadership",AK39:AK66)+0</f>
        <v>7596225</v>
      </c>
      <c r="AL90" s="37" t="n">
        <f aca="false">SUMIF('Hiring plan'!$B$5:$B$32,"Leadership",AL39:AL66)+0</f>
        <v>7596225</v>
      </c>
      <c r="AM90" s="37" t="n">
        <f aca="false">SUMIF('Hiring plan'!$B$5:$B$32,"Leadership",AM39:AM66)+0</f>
        <v>7596225</v>
      </c>
      <c r="AN90" s="37" t="n">
        <f aca="false">SUMIF('Hiring plan'!$B$5:$B$32,"Leadership",AN39:AN66)+0</f>
        <v>7596225</v>
      </c>
      <c r="AO90" s="37" t="n">
        <f aca="false">SUMIF('Hiring plan'!$B$5:$B$32,"Leadership",AO39:AO66)+0</f>
        <v>7976036.25</v>
      </c>
      <c r="AP90" s="37" t="n">
        <f aca="false">SUMIF('Hiring plan'!$B$5:$B$32,"Leadership",AP39:AP66)+0</f>
        <v>7976036.25</v>
      </c>
      <c r="AQ90" s="37" t="n">
        <f aca="false">SUMIF('Hiring plan'!$B$5:$B$32,"Leadership",AQ39:AQ66)+0</f>
        <v>7976036.25</v>
      </c>
      <c r="AR90" s="37" t="n">
        <f aca="false">SUMIF('Hiring plan'!$B$5:$B$32,"Leadership",AR39:AR66)+0</f>
        <v>7976036.25</v>
      </c>
      <c r="AS90" s="37" t="n">
        <f aca="false">SUMIF('Hiring plan'!$B$5:$B$32,"Leadership",AS39:AS66)+0</f>
        <v>7976036.25</v>
      </c>
      <c r="AT90" s="37" t="n">
        <f aca="false">SUMIF('Hiring plan'!$B$5:$B$32,"Leadership",AT39:AT66)+0</f>
        <v>7976036.25</v>
      </c>
      <c r="AU90" s="37" t="n">
        <f aca="false">SUMIF('Hiring plan'!$B$5:$B$32,"Leadership",AU39:AU66)+0</f>
        <v>7976036.25</v>
      </c>
      <c r="AV90" s="37" t="n">
        <f aca="false">SUMIF('Hiring plan'!$B$5:$B$32,"Leadership",AV39:AV66)+0</f>
        <v>7976036.25</v>
      </c>
      <c r="AW90" s="37" t="n">
        <f aca="false">SUMIF('Hiring plan'!$B$5:$B$32,"Leadership",AW39:AW66)+0</f>
        <v>7976036.25</v>
      </c>
      <c r="AX90" s="37" t="n">
        <f aca="false">SUMIF('Hiring plan'!$B$5:$B$32,"Leadership",AX39:AX66)+0</f>
        <v>7976036.25</v>
      </c>
      <c r="AY90" s="37" t="n">
        <f aca="false">SUMIF('Hiring plan'!$B$5:$B$32,"Leadership",AY39:AY66)+0</f>
        <v>7976036.25</v>
      </c>
      <c r="AZ90" s="37" t="n">
        <f aca="false">SUMIF('Hiring plan'!$B$5:$B$32,"Leadership",AZ39:AZ66)+0</f>
        <v>7976036.25</v>
      </c>
      <c r="BA90" s="37" t="n">
        <f aca="false">SUMIF('Hiring plan'!$B$5:$B$32,"Leadership",BA39:BA66)+0</f>
        <v>8374838.0625</v>
      </c>
      <c r="BB90" s="37" t="n">
        <f aca="false">SUMIF('Hiring plan'!$B$5:$B$32,"Leadership",BB39:BB66)+0</f>
        <v>8374838.0625</v>
      </c>
      <c r="BC90" s="37" t="n">
        <f aca="false">SUMIF('Hiring plan'!$B$5:$B$32,"Leadership",BC39:BC66)+0</f>
        <v>8374838.0625</v>
      </c>
      <c r="BD90" s="37" t="n">
        <f aca="false">SUMIF('Hiring plan'!$B$5:$B$32,"Leadership",BD39:BD66)+0</f>
        <v>8374838.0625</v>
      </c>
      <c r="BE90" s="37" t="n">
        <f aca="false">SUMIF('Hiring plan'!$B$5:$B$32,"Leadership",BE39:BE66)+0</f>
        <v>8374838.0625</v>
      </c>
      <c r="BF90" s="37" t="n">
        <f aca="false">SUMIF('Hiring plan'!$B$5:$B$32,"Leadership",BF39:BF66)+0</f>
        <v>8374838.0625</v>
      </c>
      <c r="BG90" s="37" t="n">
        <f aca="false">SUMIF('Hiring plan'!$B$5:$B$32,"Leadership",BG39:BG66)+0</f>
        <v>8374838.0625</v>
      </c>
      <c r="BH90" s="37" t="n">
        <f aca="false">SUMIF('Hiring plan'!$B$5:$B$32,"Leadership",BH39:BH66)+0</f>
        <v>8374838.0625</v>
      </c>
      <c r="BI90" s="37" t="n">
        <f aca="false">SUMIF('Hiring plan'!$B$5:$B$32,"Leadership",BI39:BI66)+0</f>
        <v>8374838.0625</v>
      </c>
      <c r="BJ90" s="37" t="n">
        <f aca="false">SUMIF('Hiring plan'!$B$5:$B$32,"Leadership",BJ39:BJ66)+0</f>
        <v>8374838.0625</v>
      </c>
      <c r="BK90" s="37" t="n">
        <f aca="false">SUMIF('Hiring plan'!$B$5:$B$32,"Leadership",BK39:BK66)+0</f>
        <v>8374838.0625</v>
      </c>
      <c r="BL90" s="37" t="n">
        <f aca="false">SUMIF('Hiring plan'!$B$5:$B$32,"Leadership",BL39:BL66)+0</f>
        <v>8374838.0625</v>
      </c>
    </row>
    <row r="91" customFormat="false" ht="15" hidden="false" customHeight="false" outlineLevel="0" collapsed="false">
      <c r="A91" s="12" t="s">
        <v>707</v>
      </c>
      <c r="B91" s="14" t="s">
        <v>71</v>
      </c>
      <c r="D91" s="55" t="n">
        <f aca="false">SUM(E91:BL91)</f>
        <v>581160420.75</v>
      </c>
      <c r="E91" s="37" t="n">
        <f aca="false">SUMIF('Hiring plan'!$B$5:$B$32,"Engineering &amp; product",E39:E66)+E75</f>
        <v>6370000</v>
      </c>
      <c r="F91" s="37" t="n">
        <f aca="false">SUMIF('Hiring plan'!$B$5:$B$32,"Engineering &amp; product",F39:F66)+F75</f>
        <v>6370000</v>
      </c>
      <c r="G91" s="37" t="n">
        <f aca="false">SUMIF('Hiring plan'!$B$5:$B$32,"Engineering &amp; product",G39:G66)+G75</f>
        <v>6370000</v>
      </c>
      <c r="H91" s="37" t="n">
        <f aca="false">SUMIF('Hiring plan'!$B$5:$B$32,"Engineering &amp; product",H39:H66)+H75</f>
        <v>6370000</v>
      </c>
      <c r="I91" s="37" t="n">
        <f aca="false">SUMIF('Hiring plan'!$B$5:$B$32,"Engineering &amp; product",I39:I66)+I75</f>
        <v>6370000</v>
      </c>
      <c r="J91" s="37" t="n">
        <f aca="false">SUMIF('Hiring plan'!$B$5:$B$32,"Engineering &amp; product",J39:J66)+J75</f>
        <v>6370000</v>
      </c>
      <c r="K91" s="37" t="n">
        <f aca="false">SUMIF('Hiring plan'!$B$5:$B$32,"Engineering &amp; product",K39:K66)+K75</f>
        <v>6370000</v>
      </c>
      <c r="L91" s="37" t="n">
        <f aca="false">SUMIF('Hiring plan'!$B$5:$B$32,"Engineering &amp; product",L39:L66)+L75</f>
        <v>6370000</v>
      </c>
      <c r="M91" s="37" t="n">
        <f aca="false">SUMIF('Hiring plan'!$B$5:$B$32,"Engineering &amp; product",M39:M66)+M75</f>
        <v>6370000</v>
      </c>
      <c r="N91" s="37" t="n">
        <f aca="false">SUMIF('Hiring plan'!$B$5:$B$32,"Engineering &amp; product",N39:N66)+N75</f>
        <v>6370000</v>
      </c>
      <c r="O91" s="37" t="n">
        <f aca="false">SUMIF('Hiring plan'!$B$5:$B$32,"Engineering &amp; product",O39:O66)+O75</f>
        <v>6370000</v>
      </c>
      <c r="P91" s="37" t="n">
        <f aca="false">SUMIF('Hiring plan'!$B$5:$B$32,"Engineering &amp; product",P39:P66)+P75</f>
        <v>6370000</v>
      </c>
      <c r="Q91" s="37" t="n">
        <f aca="false">SUMIF('Hiring plan'!$B$5:$B$32,"Engineering &amp; product",Q39:Q66)+Q75</f>
        <v>6688500</v>
      </c>
      <c r="R91" s="37" t="n">
        <f aca="false">SUMIF('Hiring plan'!$B$5:$B$32,"Engineering &amp; product",R39:R66)+R75</f>
        <v>6688500</v>
      </c>
      <c r="S91" s="37" t="n">
        <f aca="false">SUMIF('Hiring plan'!$B$5:$B$32,"Engineering &amp; product",S39:S66)+S75</f>
        <v>6688500</v>
      </c>
      <c r="T91" s="37" t="n">
        <f aca="false">SUMIF('Hiring plan'!$B$5:$B$32,"Engineering &amp; product",T39:T66)+T75</f>
        <v>6688500</v>
      </c>
      <c r="U91" s="37" t="n">
        <f aca="false">SUMIF('Hiring plan'!$B$5:$B$32,"Engineering &amp; product",U39:U66)+U75</f>
        <v>6688500</v>
      </c>
      <c r="V91" s="37" t="n">
        <f aca="false">SUMIF('Hiring plan'!$B$5:$B$32,"Engineering &amp; product",V39:V66)+V75</f>
        <v>6688500</v>
      </c>
      <c r="W91" s="37" t="n">
        <f aca="false">SUMIF('Hiring plan'!$B$5:$B$32,"Engineering &amp; product",W39:W66)+W75</f>
        <v>6688500</v>
      </c>
      <c r="X91" s="37" t="n">
        <f aca="false">SUMIF('Hiring plan'!$B$5:$B$32,"Engineering &amp; product",X39:X66)+X75</f>
        <v>6688500</v>
      </c>
      <c r="Y91" s="37" t="n">
        <f aca="false">SUMIF('Hiring plan'!$B$5:$B$32,"Engineering &amp; product",Y39:Y66)+Y75</f>
        <v>6688500</v>
      </c>
      <c r="Z91" s="37" t="n">
        <f aca="false">SUMIF('Hiring plan'!$B$5:$B$32,"Engineering &amp; product",Z39:Z66)+Z75</f>
        <v>6688500</v>
      </c>
      <c r="AA91" s="37" t="n">
        <f aca="false">SUMIF('Hiring plan'!$B$5:$B$32,"Engineering &amp; product",AA39:AA66)+AA75</f>
        <v>6688500</v>
      </c>
      <c r="AB91" s="37" t="n">
        <f aca="false">SUMIF('Hiring plan'!$B$5:$B$32,"Engineering &amp; product",AB39:AB66)+AB75</f>
        <v>6688500</v>
      </c>
      <c r="AC91" s="37" t="n">
        <f aca="false">SUMIF('Hiring plan'!$B$5:$B$32,"Engineering &amp; product",AC39:AC66)+AC75</f>
        <v>7022925</v>
      </c>
      <c r="AD91" s="37" t="n">
        <f aca="false">SUMIF('Hiring plan'!$B$5:$B$32,"Engineering &amp; product",AD39:AD66)+AD75</f>
        <v>7022925</v>
      </c>
      <c r="AE91" s="37" t="n">
        <f aca="false">SUMIF('Hiring plan'!$B$5:$B$32,"Engineering &amp; product",AE39:AE66)+AE75</f>
        <v>8742825</v>
      </c>
      <c r="AF91" s="37" t="n">
        <f aca="false">SUMIF('Hiring plan'!$B$5:$B$32,"Engineering &amp; product",AF39:AF66)+AF75</f>
        <v>8742825</v>
      </c>
      <c r="AG91" s="37" t="n">
        <f aca="false">SUMIF('Hiring plan'!$B$5:$B$32,"Engineering &amp; product",AG39:AG66)+AG75</f>
        <v>8742825</v>
      </c>
      <c r="AH91" s="37" t="n">
        <f aca="false">SUMIF('Hiring plan'!$B$5:$B$32,"Engineering &amp; product",AH39:AH66)+AH75</f>
        <v>8742825</v>
      </c>
      <c r="AI91" s="37" t="n">
        <f aca="false">SUMIF('Hiring plan'!$B$5:$B$32,"Engineering &amp; product",AI39:AI66)+AI75</f>
        <v>8742825</v>
      </c>
      <c r="AJ91" s="37" t="n">
        <f aca="false">SUMIF('Hiring plan'!$B$5:$B$32,"Engineering &amp; product",AJ39:AJ66)+AJ75</f>
        <v>8742825</v>
      </c>
      <c r="AK91" s="37" t="n">
        <f aca="false">SUMIF('Hiring plan'!$B$5:$B$32,"Engineering &amp; product",AK39:AK66)+AK75</f>
        <v>8742825</v>
      </c>
      <c r="AL91" s="37" t="n">
        <f aca="false">SUMIF('Hiring plan'!$B$5:$B$32,"Engineering &amp; product",AL39:AL66)+AL75</f>
        <v>8742825</v>
      </c>
      <c r="AM91" s="37" t="n">
        <f aca="false">SUMIF('Hiring plan'!$B$5:$B$32,"Engineering &amp; product",AM39:AM66)+AM75</f>
        <v>8742825</v>
      </c>
      <c r="AN91" s="37" t="n">
        <f aca="false">SUMIF('Hiring plan'!$B$5:$B$32,"Engineering &amp; product",AN39:AN66)+AN75</f>
        <v>8742825</v>
      </c>
      <c r="AO91" s="37" t="n">
        <f aca="false">SUMIF('Hiring plan'!$B$5:$B$32,"Engineering &amp; product",AO39:AO66)+AO75</f>
        <v>10985861.25</v>
      </c>
      <c r="AP91" s="37" t="n">
        <f aca="false">SUMIF('Hiring plan'!$B$5:$B$32,"Engineering &amp; product",AP39:AP66)+AP75</f>
        <v>10985861.25</v>
      </c>
      <c r="AQ91" s="37" t="n">
        <f aca="false">SUMIF('Hiring plan'!$B$5:$B$32,"Engineering &amp; product",AQ39:AQ66)+AQ75</f>
        <v>10985861.25</v>
      </c>
      <c r="AR91" s="37" t="n">
        <f aca="false">SUMIF('Hiring plan'!$B$5:$B$32,"Engineering &amp; product",AR39:AR66)+AR75</f>
        <v>10985861.25</v>
      </c>
      <c r="AS91" s="37" t="n">
        <f aca="false">SUMIF('Hiring plan'!$B$5:$B$32,"Engineering &amp; product",AS39:AS66)+AS75</f>
        <v>10985861.25</v>
      </c>
      <c r="AT91" s="37" t="n">
        <f aca="false">SUMIF('Hiring plan'!$B$5:$B$32,"Engineering &amp; product",AT39:AT66)+AT75</f>
        <v>10985861.25</v>
      </c>
      <c r="AU91" s="37" t="n">
        <f aca="false">SUMIF('Hiring plan'!$B$5:$B$32,"Engineering &amp; product",AU39:AU66)+AU75</f>
        <v>10985861.25</v>
      </c>
      <c r="AV91" s="37" t="n">
        <f aca="false">SUMIF('Hiring plan'!$B$5:$B$32,"Engineering &amp; product",AV39:AV66)+AV75</f>
        <v>10985861.25</v>
      </c>
      <c r="AW91" s="37" t="n">
        <f aca="false">SUMIF('Hiring plan'!$B$5:$B$32,"Engineering &amp; product",AW39:AW66)+AW75</f>
        <v>12791756.25</v>
      </c>
      <c r="AX91" s="37" t="n">
        <f aca="false">SUMIF('Hiring plan'!$B$5:$B$32,"Engineering &amp; product",AX39:AX66)+AX75</f>
        <v>12791756.25</v>
      </c>
      <c r="AY91" s="37" t="n">
        <f aca="false">SUMIF('Hiring plan'!$B$5:$B$32,"Engineering &amp; product",AY39:AY66)+AY75</f>
        <v>12791756.25</v>
      </c>
      <c r="AZ91" s="37" t="n">
        <f aca="false">SUMIF('Hiring plan'!$B$5:$B$32,"Engineering &amp; product",AZ39:AZ66)+AZ75</f>
        <v>12791756.25</v>
      </c>
      <c r="BA91" s="37" t="n">
        <f aca="false">SUMIF('Hiring plan'!$B$5:$B$32,"Engineering &amp; product",BA39:BA66)+BA75</f>
        <v>13431344.0625</v>
      </c>
      <c r="BB91" s="37" t="n">
        <f aca="false">SUMIF('Hiring plan'!$B$5:$B$32,"Engineering &amp; product",BB39:BB66)+BB75</f>
        <v>13431344.0625</v>
      </c>
      <c r="BC91" s="37" t="n">
        <f aca="false">SUMIF('Hiring plan'!$B$5:$B$32,"Engineering &amp; product",BC39:BC66)+BC75</f>
        <v>13431344.0625</v>
      </c>
      <c r="BD91" s="37" t="n">
        <f aca="false">SUMIF('Hiring plan'!$B$5:$B$32,"Engineering &amp; product",BD39:BD66)+BD75</f>
        <v>15327533.8125</v>
      </c>
      <c r="BE91" s="37" t="n">
        <f aca="false">SUMIF('Hiring plan'!$B$5:$B$32,"Engineering &amp; product",BE39:BE66)+BE75</f>
        <v>15327533.8125</v>
      </c>
      <c r="BF91" s="37" t="n">
        <f aca="false">SUMIF('Hiring plan'!$B$5:$B$32,"Engineering &amp; product",BF39:BF66)+BF75</f>
        <v>15327533.8125</v>
      </c>
      <c r="BG91" s="37" t="n">
        <f aca="false">SUMIF('Hiring plan'!$B$5:$B$32,"Engineering &amp; product",BG39:BG66)+BG75</f>
        <v>15327533.8125</v>
      </c>
      <c r="BH91" s="37" t="n">
        <f aca="false">SUMIF('Hiring plan'!$B$5:$B$32,"Engineering &amp; product",BH39:BH66)+BH75</f>
        <v>15327533.8125</v>
      </c>
      <c r="BI91" s="37" t="n">
        <f aca="false">SUMIF('Hiring plan'!$B$5:$B$32,"Engineering &amp; product",BI39:BI66)+BI75</f>
        <v>15327533.8125</v>
      </c>
      <c r="BJ91" s="37" t="n">
        <f aca="false">SUMIF('Hiring plan'!$B$5:$B$32,"Engineering &amp; product",BJ39:BJ66)+BJ75</f>
        <v>17223723.5625</v>
      </c>
      <c r="BK91" s="37" t="n">
        <f aca="false">SUMIF('Hiring plan'!$B$5:$B$32,"Engineering &amp; product",BK39:BK66)+BK75</f>
        <v>17223723.5625</v>
      </c>
      <c r="BL91" s="37" t="n">
        <f aca="false">SUMIF('Hiring plan'!$B$5:$B$32,"Engineering &amp; product",BL39:BL66)+BL75</f>
        <v>17223723.5625</v>
      </c>
    </row>
    <row r="92" customFormat="false" ht="15" hidden="false" customHeight="false" outlineLevel="0" collapsed="false">
      <c r="A92" s="12" t="s">
        <v>708</v>
      </c>
      <c r="B92" s="14" t="s">
        <v>71</v>
      </c>
      <c r="D92" s="55" t="n">
        <f aca="false">SUM(E92:BL92)</f>
        <v>83377271.25</v>
      </c>
      <c r="E92" s="37" t="n">
        <f aca="false">SUMIF('Hiring plan'!$B$5:$B$32,"Compliance &amp; risk",E39:E66)+0</f>
        <v>0</v>
      </c>
      <c r="F92" s="37" t="n">
        <f aca="false">SUMIF('Hiring plan'!$B$5:$B$32,"Compliance &amp; risk",F39:F66)+0</f>
        <v>0</v>
      </c>
      <c r="G92" s="37" t="n">
        <f aca="false">SUMIF('Hiring plan'!$B$5:$B$32,"Compliance &amp; risk",G39:G66)+0</f>
        <v>0</v>
      </c>
      <c r="H92" s="37" t="n">
        <f aca="false">SUMIF('Hiring plan'!$B$5:$B$32,"Compliance &amp; risk",H39:H66)+0</f>
        <v>0</v>
      </c>
      <c r="I92" s="37" t="n">
        <f aca="false">SUMIF('Hiring plan'!$B$5:$B$32,"Compliance &amp; risk",I39:I66)+0</f>
        <v>0</v>
      </c>
      <c r="J92" s="37" t="n">
        <f aca="false">SUMIF('Hiring plan'!$B$5:$B$32,"Compliance &amp; risk",J39:J66)+0</f>
        <v>0</v>
      </c>
      <c r="K92" s="37" t="n">
        <f aca="false">SUMIF('Hiring plan'!$B$5:$B$32,"Compliance &amp; risk",K39:K66)+0</f>
        <v>0</v>
      </c>
      <c r="L92" s="37" t="n">
        <f aca="false">SUMIF('Hiring plan'!$B$5:$B$32,"Compliance &amp; risk",L39:L66)+0</f>
        <v>0</v>
      </c>
      <c r="M92" s="37" t="n">
        <f aca="false">SUMIF('Hiring plan'!$B$5:$B$32,"Compliance &amp; risk",M39:M66)+0</f>
        <v>0</v>
      </c>
      <c r="N92" s="37" t="n">
        <f aca="false">SUMIF('Hiring plan'!$B$5:$B$32,"Compliance &amp; risk",N39:N66)+0</f>
        <v>0</v>
      </c>
      <c r="O92" s="37" t="n">
        <f aca="false">SUMIF('Hiring plan'!$B$5:$B$32,"Compliance &amp; risk",O39:O66)+0</f>
        <v>0</v>
      </c>
      <c r="P92" s="37" t="n">
        <f aca="false">SUMIF('Hiring plan'!$B$5:$B$32,"Compliance &amp; risk",P39:P66)+0</f>
        <v>0</v>
      </c>
      <c r="Q92" s="37" t="n">
        <f aca="false">SUMIF('Hiring plan'!$B$5:$B$32,"Compliance &amp; risk",Q39:Q66)+0</f>
        <v>0</v>
      </c>
      <c r="R92" s="37" t="n">
        <f aca="false">SUMIF('Hiring plan'!$B$5:$B$32,"Compliance &amp; risk",R39:R66)+0</f>
        <v>0</v>
      </c>
      <c r="S92" s="37" t="n">
        <f aca="false">SUMIF('Hiring plan'!$B$5:$B$32,"Compliance &amp; risk",S39:S66)+0</f>
        <v>0</v>
      </c>
      <c r="T92" s="37" t="n">
        <f aca="false">SUMIF('Hiring plan'!$B$5:$B$32,"Compliance &amp; risk",T39:T66)+0</f>
        <v>0</v>
      </c>
      <c r="U92" s="37" t="n">
        <f aca="false">SUMIF('Hiring plan'!$B$5:$B$32,"Compliance &amp; risk",U39:U66)+0</f>
        <v>0</v>
      </c>
      <c r="V92" s="37" t="n">
        <f aca="false">SUMIF('Hiring plan'!$B$5:$B$32,"Compliance &amp; risk",V39:V66)+0</f>
        <v>0</v>
      </c>
      <c r="W92" s="37" t="n">
        <f aca="false">SUMIF('Hiring plan'!$B$5:$B$32,"Compliance &amp; risk",W39:W66)+0</f>
        <v>0</v>
      </c>
      <c r="X92" s="37" t="n">
        <f aca="false">SUMIF('Hiring plan'!$B$5:$B$32,"Compliance &amp; risk",X39:X66)+0</f>
        <v>0</v>
      </c>
      <c r="Y92" s="37" t="n">
        <f aca="false">SUMIF('Hiring plan'!$B$5:$B$32,"Compliance &amp; risk",Y39:Y66)+0</f>
        <v>0</v>
      </c>
      <c r="Z92" s="37" t="n">
        <f aca="false">SUMIF('Hiring plan'!$B$5:$B$32,"Compliance &amp; risk",Z39:Z66)+0</f>
        <v>0</v>
      </c>
      <c r="AA92" s="37" t="n">
        <f aca="false">SUMIF('Hiring plan'!$B$5:$B$32,"Compliance &amp; risk",AA39:AA66)+0</f>
        <v>0</v>
      </c>
      <c r="AB92" s="37" t="n">
        <f aca="false">SUMIF('Hiring plan'!$B$5:$B$32,"Compliance &amp; risk",AB39:AB66)+0</f>
        <v>2047500</v>
      </c>
      <c r="AC92" s="37" t="n">
        <f aca="false">SUMIF('Hiring plan'!$B$5:$B$32,"Compliance &amp; risk",AC39:AC66)+0</f>
        <v>2149875</v>
      </c>
      <c r="AD92" s="37" t="n">
        <f aca="false">SUMIF('Hiring plan'!$B$5:$B$32,"Compliance &amp; risk",AD39:AD66)+0</f>
        <v>2149875</v>
      </c>
      <c r="AE92" s="37" t="n">
        <f aca="false">SUMIF('Hiring plan'!$B$5:$B$32,"Compliance &amp; risk",AE39:AE66)+0</f>
        <v>2149875</v>
      </c>
      <c r="AF92" s="37" t="n">
        <f aca="false">SUMIF('Hiring plan'!$B$5:$B$32,"Compliance &amp; risk",AF39:AF66)+0</f>
        <v>2149875</v>
      </c>
      <c r="AG92" s="37" t="n">
        <f aca="false">SUMIF('Hiring plan'!$B$5:$B$32,"Compliance &amp; risk",AG39:AG66)+0</f>
        <v>2149875</v>
      </c>
      <c r="AH92" s="37" t="n">
        <f aca="false">SUMIF('Hiring plan'!$B$5:$B$32,"Compliance &amp; risk",AH39:AH66)+0</f>
        <v>2149875</v>
      </c>
      <c r="AI92" s="37" t="n">
        <f aca="false">SUMIF('Hiring plan'!$B$5:$B$32,"Compliance &amp; risk",AI39:AI66)+0</f>
        <v>2149875</v>
      </c>
      <c r="AJ92" s="37" t="n">
        <f aca="false">SUMIF('Hiring plan'!$B$5:$B$32,"Compliance &amp; risk",AJ39:AJ66)+0</f>
        <v>2149875</v>
      </c>
      <c r="AK92" s="37" t="n">
        <f aca="false">SUMIF('Hiring plan'!$B$5:$B$32,"Compliance &amp; risk",AK39:AK66)+0</f>
        <v>2149875</v>
      </c>
      <c r="AL92" s="37" t="n">
        <f aca="false">SUMIF('Hiring plan'!$B$5:$B$32,"Compliance &amp; risk",AL39:AL66)+0</f>
        <v>2149875</v>
      </c>
      <c r="AM92" s="37" t="n">
        <f aca="false">SUMIF('Hiring plan'!$B$5:$B$32,"Compliance &amp; risk",AM39:AM66)+0</f>
        <v>2149875</v>
      </c>
      <c r="AN92" s="37" t="n">
        <f aca="false">SUMIF('Hiring plan'!$B$5:$B$32,"Compliance &amp; risk",AN39:AN66)+0</f>
        <v>2149875</v>
      </c>
      <c r="AO92" s="37" t="n">
        <f aca="false">SUMIF('Hiring plan'!$B$5:$B$32,"Compliance &amp; risk",AO39:AO66)+0</f>
        <v>2257368.75</v>
      </c>
      <c r="AP92" s="37" t="n">
        <f aca="false">SUMIF('Hiring plan'!$B$5:$B$32,"Compliance &amp; risk",AP39:AP66)+0</f>
        <v>2257368.75</v>
      </c>
      <c r="AQ92" s="37" t="n">
        <f aca="false">SUMIF('Hiring plan'!$B$5:$B$32,"Compliance &amp; risk",AQ39:AQ66)+0</f>
        <v>2257368.75</v>
      </c>
      <c r="AR92" s="37" t="n">
        <f aca="false">SUMIF('Hiring plan'!$B$5:$B$32,"Compliance &amp; risk",AR39:AR66)+0</f>
        <v>2257368.75</v>
      </c>
      <c r="AS92" s="37" t="n">
        <f aca="false">SUMIF('Hiring plan'!$B$5:$B$32,"Compliance &amp; risk",AS39:AS66)+0</f>
        <v>2257368.75</v>
      </c>
      <c r="AT92" s="37" t="n">
        <f aca="false">SUMIF('Hiring plan'!$B$5:$B$32,"Compliance &amp; risk",AT39:AT66)+0</f>
        <v>2257368.75</v>
      </c>
      <c r="AU92" s="37" t="n">
        <f aca="false">SUMIF('Hiring plan'!$B$5:$B$32,"Compliance &amp; risk",AU39:AU66)+0</f>
        <v>2257368.75</v>
      </c>
      <c r="AV92" s="37" t="n">
        <f aca="false">SUMIF('Hiring plan'!$B$5:$B$32,"Compliance &amp; risk",AV39:AV66)+0</f>
        <v>2257368.75</v>
      </c>
      <c r="AW92" s="37" t="n">
        <f aca="false">SUMIF('Hiring plan'!$B$5:$B$32,"Compliance &amp; risk",AW39:AW66)+0</f>
        <v>2257368.75</v>
      </c>
      <c r="AX92" s="37" t="n">
        <f aca="false">SUMIF('Hiring plan'!$B$5:$B$32,"Compliance &amp; risk",AX39:AX66)+0</f>
        <v>2257368.75</v>
      </c>
      <c r="AY92" s="37" t="n">
        <f aca="false">SUMIF('Hiring plan'!$B$5:$B$32,"Compliance &amp; risk",AY39:AY66)+0</f>
        <v>2257368.75</v>
      </c>
      <c r="AZ92" s="37" t="n">
        <f aca="false">SUMIF('Hiring plan'!$B$5:$B$32,"Compliance &amp; risk",AZ39:AZ66)+0</f>
        <v>2257368.75</v>
      </c>
      <c r="BA92" s="37" t="n">
        <f aca="false">SUMIF('Hiring plan'!$B$5:$B$32,"Compliance &amp; risk",BA39:BA66)+0</f>
        <v>2370237.1875</v>
      </c>
      <c r="BB92" s="37" t="n">
        <f aca="false">SUMIF('Hiring plan'!$B$5:$B$32,"Compliance &amp; risk",BB39:BB66)+0</f>
        <v>2370237.1875</v>
      </c>
      <c r="BC92" s="37" t="n">
        <f aca="false">SUMIF('Hiring plan'!$B$5:$B$32,"Compliance &amp; risk",BC39:BC66)+0</f>
        <v>2370237.1875</v>
      </c>
      <c r="BD92" s="37" t="n">
        <f aca="false">SUMIF('Hiring plan'!$B$5:$B$32,"Compliance &amp; risk",BD39:BD66)+0</f>
        <v>2370237.1875</v>
      </c>
      <c r="BE92" s="37" t="n">
        <f aca="false">SUMIF('Hiring plan'!$B$5:$B$32,"Compliance &amp; risk",BE39:BE66)+0</f>
        <v>2370237.1875</v>
      </c>
      <c r="BF92" s="37" t="n">
        <f aca="false">SUMIF('Hiring plan'!$B$5:$B$32,"Compliance &amp; risk",BF39:BF66)+0</f>
        <v>2370237.1875</v>
      </c>
      <c r="BG92" s="37" t="n">
        <f aca="false">SUMIF('Hiring plan'!$B$5:$B$32,"Compliance &amp; risk",BG39:BG66)+0</f>
        <v>2370237.1875</v>
      </c>
      <c r="BH92" s="37" t="n">
        <f aca="false">SUMIF('Hiring plan'!$B$5:$B$32,"Compliance &amp; risk",BH39:BH66)+0</f>
        <v>2370237.1875</v>
      </c>
      <c r="BI92" s="37" t="n">
        <f aca="false">SUMIF('Hiring plan'!$B$5:$B$32,"Compliance &amp; risk",BI39:BI66)+0</f>
        <v>2370237.1875</v>
      </c>
      <c r="BJ92" s="37" t="n">
        <f aca="false">SUMIF('Hiring plan'!$B$5:$B$32,"Compliance &amp; risk",BJ39:BJ66)+0</f>
        <v>2370237.1875</v>
      </c>
      <c r="BK92" s="37" t="n">
        <f aca="false">SUMIF('Hiring plan'!$B$5:$B$32,"Compliance &amp; risk",BK39:BK66)+0</f>
        <v>2370237.1875</v>
      </c>
      <c r="BL92" s="37" t="n">
        <f aca="false">SUMIF('Hiring plan'!$B$5:$B$32,"Compliance &amp; risk",BL39:BL66)+0</f>
        <v>2370237.1875</v>
      </c>
    </row>
    <row r="93" customFormat="false" ht="15" hidden="false" customHeight="false" outlineLevel="0" collapsed="false">
      <c r="A93" s="12" t="s">
        <v>709</v>
      </c>
      <c r="B93" s="14" t="s">
        <v>71</v>
      </c>
      <c r="D93" s="55" t="n">
        <f aca="false">SUM(E93:BL93)</f>
        <v>170316475.875</v>
      </c>
      <c r="E93" s="37" t="n">
        <f aca="false">SUMIF('Hiring plan'!$B$5:$B$32,"Credit",E39:E66)+E78</f>
        <v>0</v>
      </c>
      <c r="F93" s="37" t="n">
        <f aca="false">SUMIF('Hiring plan'!$B$5:$B$32,"Credit",F39:F66)+F78</f>
        <v>0</v>
      </c>
      <c r="G93" s="37" t="n">
        <f aca="false">SUMIF('Hiring plan'!$B$5:$B$32,"Credit",G39:G66)+G78</f>
        <v>0</v>
      </c>
      <c r="H93" s="37" t="n">
        <f aca="false">SUMIF('Hiring plan'!$B$5:$B$32,"Credit",H39:H66)+H78</f>
        <v>0</v>
      </c>
      <c r="I93" s="37" t="n">
        <f aca="false">SUMIF('Hiring plan'!$B$5:$B$32,"Credit",I39:I66)+I78</f>
        <v>0</v>
      </c>
      <c r="J93" s="37" t="n">
        <f aca="false">SUMIF('Hiring plan'!$B$5:$B$32,"Credit",J39:J66)+J78</f>
        <v>0</v>
      </c>
      <c r="K93" s="37" t="n">
        <f aca="false">SUMIF('Hiring plan'!$B$5:$B$32,"Credit",K39:K66)+K78</f>
        <v>0</v>
      </c>
      <c r="L93" s="37" t="n">
        <f aca="false">SUMIF('Hiring plan'!$B$5:$B$32,"Credit",L39:L66)+L78</f>
        <v>0</v>
      </c>
      <c r="M93" s="37" t="n">
        <f aca="false">SUMIF('Hiring plan'!$B$5:$B$32,"Credit",M39:M66)+M78</f>
        <v>0</v>
      </c>
      <c r="N93" s="37" t="n">
        <f aca="false">SUMIF('Hiring plan'!$B$5:$B$32,"Credit",N39:N66)+N78</f>
        <v>0</v>
      </c>
      <c r="O93" s="37" t="n">
        <f aca="false">SUMIF('Hiring plan'!$B$5:$B$32,"Credit",O39:O66)+O78</f>
        <v>0</v>
      </c>
      <c r="P93" s="37" t="n">
        <f aca="false">SUMIF('Hiring plan'!$B$5:$B$32,"Credit",P39:P66)+P78</f>
        <v>0</v>
      </c>
      <c r="Q93" s="37" t="n">
        <f aca="false">SUMIF('Hiring plan'!$B$5:$B$32,"Credit",Q39:Q66)+Q78</f>
        <v>0</v>
      </c>
      <c r="R93" s="37" t="n">
        <f aca="false">SUMIF('Hiring plan'!$B$5:$B$32,"Credit",R39:R66)+R78</f>
        <v>0</v>
      </c>
      <c r="S93" s="37" t="n">
        <f aca="false">SUMIF('Hiring plan'!$B$5:$B$32,"Credit",S39:S66)+S78</f>
        <v>0</v>
      </c>
      <c r="T93" s="37" t="n">
        <f aca="false">SUMIF('Hiring plan'!$B$5:$B$32,"Credit",T39:T66)+T78</f>
        <v>819000</v>
      </c>
      <c r="U93" s="37" t="n">
        <f aca="false">SUMIF('Hiring plan'!$B$5:$B$32,"Credit",U39:U66)+U78</f>
        <v>819000</v>
      </c>
      <c r="V93" s="37" t="n">
        <f aca="false">SUMIF('Hiring plan'!$B$5:$B$32,"Credit",V39:V66)+V78</f>
        <v>819000</v>
      </c>
      <c r="W93" s="37" t="n">
        <f aca="false">SUMIF('Hiring plan'!$B$5:$B$32,"Credit",W39:W66)+W78</f>
        <v>819000</v>
      </c>
      <c r="X93" s="37" t="n">
        <f aca="false">SUMIF('Hiring plan'!$B$5:$B$32,"Credit",X39:X66)+X78</f>
        <v>819000</v>
      </c>
      <c r="Y93" s="37" t="n">
        <f aca="false">SUMIF('Hiring plan'!$B$5:$B$32,"Credit",Y39:Y66)+Y78</f>
        <v>819000</v>
      </c>
      <c r="Z93" s="37" t="n">
        <f aca="false">SUMIF('Hiring plan'!$B$5:$B$32,"Credit",Z39:Z66)+Z78</f>
        <v>819000</v>
      </c>
      <c r="AA93" s="37" t="n">
        <f aca="false">SUMIF('Hiring plan'!$B$5:$B$32,"Credit",AA39:AA66)+AA78</f>
        <v>819000</v>
      </c>
      <c r="AB93" s="37" t="n">
        <f aca="false">SUMIF('Hiring plan'!$B$5:$B$32,"Credit",AB39:AB66)+AB78</f>
        <v>819000</v>
      </c>
      <c r="AC93" s="37" t="n">
        <f aca="false">SUMIF('Hiring plan'!$B$5:$B$32,"Credit",AC39:AC66)+AC78</f>
        <v>859950</v>
      </c>
      <c r="AD93" s="37" t="n">
        <f aca="false">SUMIF('Hiring plan'!$B$5:$B$32,"Credit",AD39:AD66)+AD78</f>
        <v>859950</v>
      </c>
      <c r="AE93" s="37" t="n">
        <f aca="false">SUMIF('Hiring plan'!$B$5:$B$32,"Credit",AE39:AE66)+AE78</f>
        <v>859950</v>
      </c>
      <c r="AF93" s="37" t="n">
        <f aca="false">SUMIF('Hiring plan'!$B$5:$B$32,"Credit",AF39:AF66)+AF78</f>
        <v>1719900</v>
      </c>
      <c r="AG93" s="37" t="n">
        <f aca="false">SUMIF('Hiring plan'!$B$5:$B$32,"Credit",AG39:AG66)+AG78</f>
        <v>1719900</v>
      </c>
      <c r="AH93" s="37" t="n">
        <f aca="false">SUMIF('Hiring plan'!$B$5:$B$32,"Credit",AH39:AH66)+AH78</f>
        <v>1719900</v>
      </c>
      <c r="AI93" s="37" t="n">
        <f aca="false">SUMIF('Hiring plan'!$B$5:$B$32,"Credit",AI39:AI66)+AI78</f>
        <v>1719900</v>
      </c>
      <c r="AJ93" s="37" t="n">
        <f aca="false">SUMIF('Hiring plan'!$B$5:$B$32,"Credit",AJ39:AJ66)+AJ78</f>
        <v>1719900</v>
      </c>
      <c r="AK93" s="37" t="n">
        <f aca="false">SUMIF('Hiring plan'!$B$5:$B$32,"Credit",AK39:AK66)+AK78</f>
        <v>2579850</v>
      </c>
      <c r="AL93" s="37" t="n">
        <f aca="false">SUMIF('Hiring plan'!$B$5:$B$32,"Credit",AL39:AL66)+AL78</f>
        <v>2579850</v>
      </c>
      <c r="AM93" s="37" t="n">
        <f aca="false">SUMIF('Hiring plan'!$B$5:$B$32,"Credit",AM39:AM66)+AM78</f>
        <v>2579850</v>
      </c>
      <c r="AN93" s="37" t="n">
        <f aca="false">SUMIF('Hiring plan'!$B$5:$B$32,"Credit",AN39:AN66)+AN78</f>
        <v>2579850</v>
      </c>
      <c r="AO93" s="37" t="n">
        <f aca="false">SUMIF('Hiring plan'!$B$5:$B$32,"Credit",AO39:AO66)+AO78</f>
        <v>3611790</v>
      </c>
      <c r="AP93" s="37" t="n">
        <f aca="false">SUMIF('Hiring plan'!$B$5:$B$32,"Credit",AP39:AP66)+AP78</f>
        <v>3611790</v>
      </c>
      <c r="AQ93" s="37" t="n">
        <f aca="false">SUMIF('Hiring plan'!$B$5:$B$32,"Credit",AQ39:AQ66)+AQ78</f>
        <v>3611790</v>
      </c>
      <c r="AR93" s="37" t="n">
        <f aca="false">SUMIF('Hiring plan'!$B$5:$B$32,"Credit",AR39:AR66)+AR78</f>
        <v>3611790</v>
      </c>
      <c r="AS93" s="37" t="n">
        <f aca="false">SUMIF('Hiring plan'!$B$5:$B$32,"Credit",AS39:AS66)+AS78</f>
        <v>4514737.5</v>
      </c>
      <c r="AT93" s="37" t="n">
        <f aca="false">SUMIF('Hiring plan'!$B$5:$B$32,"Credit",AT39:AT66)+AT78</f>
        <v>4514737.5</v>
      </c>
      <c r="AU93" s="37" t="n">
        <f aca="false">SUMIF('Hiring plan'!$B$5:$B$32,"Credit",AU39:AU66)+AU78</f>
        <v>4514737.5</v>
      </c>
      <c r="AV93" s="37" t="n">
        <f aca="false">SUMIF('Hiring plan'!$B$5:$B$32,"Credit",AV39:AV66)+AV78</f>
        <v>4514737.5</v>
      </c>
      <c r="AW93" s="37" t="n">
        <f aca="false">SUMIF('Hiring plan'!$B$5:$B$32,"Credit",AW39:AW66)+AW78</f>
        <v>4514737.5</v>
      </c>
      <c r="AX93" s="37" t="n">
        <f aca="false">SUMIF('Hiring plan'!$B$5:$B$32,"Credit",AX39:AX66)+AX78</f>
        <v>5417685</v>
      </c>
      <c r="AY93" s="37" t="n">
        <f aca="false">SUMIF('Hiring plan'!$B$5:$B$32,"Credit",AY39:AY66)+AY78</f>
        <v>5417685</v>
      </c>
      <c r="AZ93" s="37" t="n">
        <f aca="false">SUMIF('Hiring plan'!$B$5:$B$32,"Credit",AZ39:AZ66)+AZ78</f>
        <v>5417685</v>
      </c>
      <c r="BA93" s="37" t="n">
        <f aca="false">SUMIF('Hiring plan'!$B$5:$B$32,"Credit",BA39:BA66)+BA78</f>
        <v>5688569.25</v>
      </c>
      <c r="BB93" s="37" t="n">
        <f aca="false">SUMIF('Hiring plan'!$B$5:$B$32,"Credit",BB39:BB66)+BB78</f>
        <v>6636664.125</v>
      </c>
      <c r="BC93" s="37" t="n">
        <f aca="false">SUMIF('Hiring plan'!$B$5:$B$32,"Credit",BC39:BC66)+BC78</f>
        <v>6636664.125</v>
      </c>
      <c r="BD93" s="37" t="n">
        <f aca="false">SUMIF('Hiring plan'!$B$5:$B$32,"Credit",BD39:BD66)+BD78</f>
        <v>6636664.125</v>
      </c>
      <c r="BE93" s="37" t="n">
        <f aca="false">SUMIF('Hiring plan'!$B$5:$B$32,"Credit",BE39:BE66)+BE78</f>
        <v>6636664.125</v>
      </c>
      <c r="BF93" s="37" t="n">
        <f aca="false">SUMIF('Hiring plan'!$B$5:$B$32,"Credit",BF39:BF66)+BF78</f>
        <v>7584759</v>
      </c>
      <c r="BG93" s="37" t="n">
        <f aca="false">SUMIF('Hiring plan'!$B$5:$B$32,"Credit",BG39:BG66)+BG78</f>
        <v>7584759</v>
      </c>
      <c r="BH93" s="37" t="n">
        <f aca="false">SUMIF('Hiring plan'!$B$5:$B$32,"Credit",BH39:BH66)+BH78</f>
        <v>7584759</v>
      </c>
      <c r="BI93" s="37" t="n">
        <f aca="false">SUMIF('Hiring plan'!$B$5:$B$32,"Credit",BI39:BI66)+BI78</f>
        <v>7584759</v>
      </c>
      <c r="BJ93" s="37" t="n">
        <f aca="false">SUMIF('Hiring plan'!$B$5:$B$32,"Credit",BJ39:BJ66)+BJ78</f>
        <v>8532853.875</v>
      </c>
      <c r="BK93" s="37" t="n">
        <f aca="false">SUMIF('Hiring plan'!$B$5:$B$32,"Credit",BK39:BK66)+BK78</f>
        <v>8532853.875</v>
      </c>
      <c r="BL93" s="37" t="n">
        <f aca="false">SUMIF('Hiring plan'!$B$5:$B$32,"Credit",BL39:BL66)+BL78</f>
        <v>8532853.875</v>
      </c>
    </row>
    <row r="94" customFormat="false" ht="15" hidden="false" customHeight="false" outlineLevel="0" collapsed="false">
      <c r="A94" s="12" t="s">
        <v>710</v>
      </c>
      <c r="B94" s="14" t="s">
        <v>71</v>
      </c>
      <c r="D94" s="55" t="n">
        <f aca="false">SUM(E94:BL94)</f>
        <v>257887439.0625</v>
      </c>
      <c r="E94" s="37" t="n">
        <f aca="false">SUMIF('Hiring plan'!$B$5:$B$32,"Operations &amp; support",E39:E66)+E74</f>
        <v>0</v>
      </c>
      <c r="F94" s="37" t="n">
        <f aca="false">SUMIF('Hiring plan'!$B$5:$B$32,"Operations &amp; support",F39:F66)+F74</f>
        <v>0</v>
      </c>
      <c r="G94" s="37" t="n">
        <f aca="false">SUMIF('Hiring plan'!$B$5:$B$32,"Operations &amp; support",G39:G66)+G74</f>
        <v>0</v>
      </c>
      <c r="H94" s="37" t="n">
        <f aca="false">SUMIF('Hiring plan'!$B$5:$B$32,"Operations &amp; support",H39:H66)+H74</f>
        <v>650000</v>
      </c>
      <c r="I94" s="37" t="n">
        <f aca="false">SUMIF('Hiring plan'!$B$5:$B$32,"Operations &amp; support",I39:I66)+I74</f>
        <v>650000</v>
      </c>
      <c r="J94" s="37" t="n">
        <f aca="false">SUMIF('Hiring plan'!$B$5:$B$32,"Operations &amp; support",J39:J66)+J74</f>
        <v>650000</v>
      </c>
      <c r="K94" s="37" t="n">
        <f aca="false">SUMIF('Hiring plan'!$B$5:$B$32,"Operations &amp; support",K39:K66)+K74</f>
        <v>650000</v>
      </c>
      <c r="L94" s="37" t="n">
        <f aca="false">SUMIF('Hiring plan'!$B$5:$B$32,"Operations &amp; support",L39:L66)+L74</f>
        <v>650000</v>
      </c>
      <c r="M94" s="37" t="n">
        <f aca="false">SUMIF('Hiring plan'!$B$5:$B$32,"Operations &amp; support",M39:M66)+M74</f>
        <v>650000</v>
      </c>
      <c r="N94" s="37" t="n">
        <f aca="false">SUMIF('Hiring plan'!$B$5:$B$32,"Operations &amp; support",N39:N66)+N74</f>
        <v>650000</v>
      </c>
      <c r="O94" s="37" t="n">
        <f aca="false">SUMIF('Hiring plan'!$B$5:$B$32,"Operations &amp; support",O39:O66)+O74</f>
        <v>650000</v>
      </c>
      <c r="P94" s="37" t="n">
        <f aca="false">SUMIF('Hiring plan'!$B$5:$B$32,"Operations &amp; support",P39:P66)+P74</f>
        <v>650000</v>
      </c>
      <c r="Q94" s="37" t="n">
        <f aca="false">SUMIF('Hiring plan'!$B$5:$B$32,"Operations &amp; support",Q39:Q66)+Q74</f>
        <v>682500</v>
      </c>
      <c r="R94" s="37" t="n">
        <f aca="false">SUMIF('Hiring plan'!$B$5:$B$32,"Operations &amp; support",R39:R66)+R74</f>
        <v>682500</v>
      </c>
      <c r="S94" s="37" t="n">
        <f aca="false">SUMIF('Hiring plan'!$B$5:$B$32,"Operations &amp; support",S39:S66)+S74</f>
        <v>682500</v>
      </c>
      <c r="T94" s="37" t="n">
        <f aca="false">SUMIF('Hiring plan'!$B$5:$B$32,"Operations &amp; support",T39:T66)+T74</f>
        <v>682500</v>
      </c>
      <c r="U94" s="37" t="n">
        <f aca="false">SUMIF('Hiring plan'!$B$5:$B$32,"Operations &amp; support",U39:U66)+U74</f>
        <v>682500</v>
      </c>
      <c r="V94" s="37" t="n">
        <f aca="false">SUMIF('Hiring plan'!$B$5:$B$32,"Operations &amp; support",V39:V66)+V74</f>
        <v>682500</v>
      </c>
      <c r="W94" s="37" t="n">
        <f aca="false">SUMIF('Hiring plan'!$B$5:$B$32,"Operations &amp; support",W39:W66)+W74</f>
        <v>1023750</v>
      </c>
      <c r="X94" s="37" t="n">
        <f aca="false">SUMIF('Hiring plan'!$B$5:$B$32,"Operations &amp; support",X39:X66)+X74</f>
        <v>1023750</v>
      </c>
      <c r="Y94" s="37" t="n">
        <f aca="false">SUMIF('Hiring plan'!$B$5:$B$32,"Operations &amp; support",Y39:Y66)+Y74</f>
        <v>1023750</v>
      </c>
      <c r="Z94" s="37" t="n">
        <f aca="false">SUMIF('Hiring plan'!$B$5:$B$32,"Operations &amp; support",Z39:Z66)+Z74</f>
        <v>1023750</v>
      </c>
      <c r="AA94" s="37" t="n">
        <f aca="false">SUMIF('Hiring plan'!$B$5:$B$32,"Operations &amp; support",AA39:AA66)+AA74</f>
        <v>1365000</v>
      </c>
      <c r="AB94" s="37" t="n">
        <f aca="false">SUMIF('Hiring plan'!$B$5:$B$32,"Operations &amp; support",AB39:AB66)+AB74</f>
        <v>1365000</v>
      </c>
      <c r="AC94" s="37" t="n">
        <f aca="false">SUMIF('Hiring plan'!$B$5:$B$32,"Operations &amp; support",AC39:AC66)+AC74</f>
        <v>1433250</v>
      </c>
      <c r="AD94" s="37" t="n">
        <f aca="false">SUMIF('Hiring plan'!$B$5:$B$32,"Operations &amp; support",AD39:AD66)+AD74</f>
        <v>1433250</v>
      </c>
      <c r="AE94" s="37" t="n">
        <f aca="false">SUMIF('Hiring plan'!$B$5:$B$32,"Operations &amp; support",AE39:AE66)+AE74</f>
        <v>1791562.5</v>
      </c>
      <c r="AF94" s="37" t="n">
        <f aca="false">SUMIF('Hiring plan'!$B$5:$B$32,"Operations &amp; support",AF39:AF66)+AF74</f>
        <v>1791562.5</v>
      </c>
      <c r="AG94" s="37" t="n">
        <f aca="false">SUMIF('Hiring plan'!$B$5:$B$32,"Operations &amp; support",AG39:AG66)+AG74</f>
        <v>2866500</v>
      </c>
      <c r="AH94" s="37" t="n">
        <f aca="false">SUMIF('Hiring plan'!$B$5:$B$32,"Operations &amp; support",AH39:AH66)+AH74</f>
        <v>2866500</v>
      </c>
      <c r="AI94" s="37" t="n">
        <f aca="false">SUMIF('Hiring plan'!$B$5:$B$32,"Operations &amp; support",AI39:AI66)+AI74</f>
        <v>3224812.5</v>
      </c>
      <c r="AJ94" s="37" t="n">
        <f aca="false">SUMIF('Hiring plan'!$B$5:$B$32,"Operations &amp; support",AJ39:AJ66)+AJ74</f>
        <v>3583125</v>
      </c>
      <c r="AK94" s="37" t="n">
        <f aca="false">SUMIF('Hiring plan'!$B$5:$B$32,"Operations &amp; support",AK39:AK66)+AK74</f>
        <v>3583125</v>
      </c>
      <c r="AL94" s="37" t="n">
        <f aca="false">SUMIF('Hiring plan'!$B$5:$B$32,"Operations &amp; support",AL39:AL66)+AL74</f>
        <v>3941437.5</v>
      </c>
      <c r="AM94" s="37" t="n">
        <f aca="false">SUMIF('Hiring plan'!$B$5:$B$32,"Operations &amp; support",AM39:AM66)+AM74</f>
        <v>3941437.5</v>
      </c>
      <c r="AN94" s="37" t="n">
        <f aca="false">SUMIF('Hiring plan'!$B$5:$B$32,"Operations &amp; support",AN39:AN66)+AN74</f>
        <v>4299750</v>
      </c>
      <c r="AO94" s="37" t="n">
        <f aca="false">SUMIF('Hiring plan'!$B$5:$B$32,"Operations &amp; support",AO39:AO66)+AO74</f>
        <v>4890965.625</v>
      </c>
      <c r="AP94" s="37" t="n">
        <f aca="false">SUMIF('Hiring plan'!$B$5:$B$32,"Operations &amp; support",AP39:AP66)+AP74</f>
        <v>4890965.625</v>
      </c>
      <c r="AQ94" s="37" t="n">
        <f aca="false">SUMIF('Hiring plan'!$B$5:$B$32,"Operations &amp; support",AQ39:AQ66)+AQ74</f>
        <v>5267193.75</v>
      </c>
      <c r="AR94" s="37" t="n">
        <f aca="false">SUMIF('Hiring plan'!$B$5:$B$32,"Operations &amp; support",AR39:AR66)+AR74</f>
        <v>5643421.875</v>
      </c>
      <c r="AS94" s="37" t="n">
        <f aca="false">SUMIF('Hiring plan'!$B$5:$B$32,"Operations &amp; support",AS39:AS66)+AS74</f>
        <v>6019650</v>
      </c>
      <c r="AT94" s="37" t="n">
        <f aca="false">SUMIF('Hiring plan'!$B$5:$B$32,"Operations &amp; support",AT39:AT66)+AT74</f>
        <v>6019650</v>
      </c>
      <c r="AU94" s="37" t="n">
        <f aca="false">SUMIF('Hiring plan'!$B$5:$B$32,"Operations &amp; support",AU39:AU66)+AU74</f>
        <v>6395878.125</v>
      </c>
      <c r="AV94" s="37" t="n">
        <f aca="false">SUMIF('Hiring plan'!$B$5:$B$32,"Operations &amp; support",AV39:AV66)+AV74</f>
        <v>6772106.25</v>
      </c>
      <c r="AW94" s="37" t="n">
        <f aca="false">SUMIF('Hiring plan'!$B$5:$B$32,"Operations &amp; support",AW39:AW66)+AW74</f>
        <v>7148334.375</v>
      </c>
      <c r="AX94" s="37" t="n">
        <f aca="false">SUMIF('Hiring plan'!$B$5:$B$32,"Operations &amp; support",AX39:AX66)+AX74</f>
        <v>7524562.5</v>
      </c>
      <c r="AY94" s="37" t="n">
        <f aca="false">SUMIF('Hiring plan'!$B$5:$B$32,"Operations &amp; support",AY39:AY66)+AY74</f>
        <v>7524562.5</v>
      </c>
      <c r="AZ94" s="37" t="n">
        <f aca="false">SUMIF('Hiring plan'!$B$5:$B$32,"Operations &amp; support",AZ39:AZ66)+AZ74</f>
        <v>7900790.625</v>
      </c>
      <c r="BA94" s="37" t="n">
        <f aca="false">SUMIF('Hiring plan'!$B$5:$B$32,"Operations &amp; support",BA39:BA66)+BA74</f>
        <v>8690869.6875</v>
      </c>
      <c r="BB94" s="37" t="n">
        <f aca="false">SUMIF('Hiring plan'!$B$5:$B$32,"Operations &amp; support",BB39:BB66)+BB74</f>
        <v>9085909.21875</v>
      </c>
      <c r="BC94" s="37" t="n">
        <f aca="false">SUMIF('Hiring plan'!$B$5:$B$32,"Operations &amp; support",BC39:BC66)+BC74</f>
        <v>9480948.75</v>
      </c>
      <c r="BD94" s="37" t="n">
        <f aca="false">SUMIF('Hiring plan'!$B$5:$B$32,"Operations &amp; support",BD39:BD66)+BD74</f>
        <v>9875988.28125</v>
      </c>
      <c r="BE94" s="37" t="n">
        <f aca="false">SUMIF('Hiring plan'!$B$5:$B$32,"Operations &amp; support",BE39:BE66)+BE74</f>
        <v>10271027.8125</v>
      </c>
      <c r="BF94" s="37" t="n">
        <f aca="false">SUMIF('Hiring plan'!$B$5:$B$32,"Operations &amp; support",BF39:BF66)+BF74</f>
        <v>10666067.34375</v>
      </c>
      <c r="BG94" s="37" t="n">
        <f aca="false">SUMIF('Hiring plan'!$B$5:$B$32,"Operations &amp; support",BG39:BG66)+BG74</f>
        <v>11061106.875</v>
      </c>
      <c r="BH94" s="37" t="n">
        <f aca="false">SUMIF('Hiring plan'!$B$5:$B$32,"Operations &amp; support",BH39:BH66)+BH74</f>
        <v>11456146.40625</v>
      </c>
      <c r="BI94" s="37" t="n">
        <f aca="false">SUMIF('Hiring plan'!$B$5:$B$32,"Operations &amp; support",BI39:BI66)+BI74</f>
        <v>11851185.9375</v>
      </c>
      <c r="BJ94" s="37" t="n">
        <f aca="false">SUMIF('Hiring plan'!$B$5:$B$32,"Operations &amp; support",BJ39:BJ66)+BJ74</f>
        <v>12246225.46875</v>
      </c>
      <c r="BK94" s="37" t="n">
        <f aca="false">SUMIF('Hiring plan'!$B$5:$B$32,"Operations &amp; support",BK39:BK66)+BK74</f>
        <v>12641265</v>
      </c>
      <c r="BL94" s="37" t="n">
        <f aca="false">SUMIF('Hiring plan'!$B$5:$B$32,"Operations &amp; support",BL39:BL66)+BL74</f>
        <v>13036304.53125</v>
      </c>
    </row>
    <row r="95" customFormat="false" ht="15" hidden="false" customHeight="false" outlineLevel="0" collapsed="false">
      <c r="A95" s="12" t="s">
        <v>711</v>
      </c>
      <c r="B95" s="14" t="s">
        <v>71</v>
      </c>
      <c r="D95" s="55" t="n">
        <f aca="false">SUM(E95:BL95)</f>
        <v>479341936.125</v>
      </c>
      <c r="E95" s="37" t="n">
        <f aca="false">SUMIF('Hiring plan'!$B$5:$B$32,"Sales &amp; partnerships",E39:E66)+E76+E77</f>
        <v>1560000</v>
      </c>
      <c r="F95" s="37" t="n">
        <f aca="false">SUMIF('Hiring plan'!$B$5:$B$32,"Sales &amp; partnerships",F39:F66)+F76+F77</f>
        <v>1560000</v>
      </c>
      <c r="G95" s="37" t="n">
        <f aca="false">SUMIF('Hiring plan'!$B$5:$B$32,"Sales &amp; partnerships",G39:G66)+G76+G77</f>
        <v>1560000</v>
      </c>
      <c r="H95" s="37" t="n">
        <f aca="false">SUMIF('Hiring plan'!$B$5:$B$32,"Sales &amp; partnerships",H39:H66)+H76+H77</f>
        <v>2600000</v>
      </c>
      <c r="I95" s="37" t="n">
        <f aca="false">SUMIF('Hiring plan'!$B$5:$B$32,"Sales &amp; partnerships",I39:I66)+I76+I77</f>
        <v>2600000</v>
      </c>
      <c r="J95" s="37" t="n">
        <f aca="false">SUMIF('Hiring plan'!$B$5:$B$32,"Sales &amp; partnerships",J39:J66)+J76+J77</f>
        <v>2600000</v>
      </c>
      <c r="K95" s="37" t="n">
        <f aca="false">SUMIF('Hiring plan'!$B$5:$B$32,"Sales &amp; partnerships",K39:K66)+K76+K77</f>
        <v>2600000</v>
      </c>
      <c r="L95" s="37" t="n">
        <f aca="false">SUMIF('Hiring plan'!$B$5:$B$32,"Sales &amp; partnerships",L39:L66)+L76+L77</f>
        <v>2600000</v>
      </c>
      <c r="M95" s="37" t="n">
        <f aca="false">SUMIF('Hiring plan'!$B$5:$B$32,"Sales &amp; partnerships",M39:M66)+M76+M77</f>
        <v>2600000</v>
      </c>
      <c r="N95" s="37" t="n">
        <f aca="false">SUMIF('Hiring plan'!$B$5:$B$32,"Sales &amp; partnerships",N39:N66)+N76+N77</f>
        <v>2600000</v>
      </c>
      <c r="O95" s="37" t="n">
        <f aca="false">SUMIF('Hiring plan'!$B$5:$B$32,"Sales &amp; partnerships",O39:O66)+O76+O77</f>
        <v>2600000</v>
      </c>
      <c r="P95" s="37" t="n">
        <f aca="false">SUMIF('Hiring plan'!$B$5:$B$32,"Sales &amp; partnerships",P39:P66)+P76+P77</f>
        <v>2600000</v>
      </c>
      <c r="Q95" s="37" t="n">
        <f aca="false">SUMIF('Hiring plan'!$B$5:$B$32,"Sales &amp; partnerships",Q39:Q66)+Q76+Q77</f>
        <v>2730000</v>
      </c>
      <c r="R95" s="37" t="n">
        <f aca="false">SUMIF('Hiring plan'!$B$5:$B$32,"Sales &amp; partnerships",R39:R66)+R76+R77</f>
        <v>2730000</v>
      </c>
      <c r="S95" s="37" t="n">
        <f aca="false">SUMIF('Hiring plan'!$B$5:$B$32,"Sales &amp; partnerships",S39:S66)+S76+S77</f>
        <v>2730000</v>
      </c>
      <c r="T95" s="37" t="n">
        <f aca="false">SUMIF('Hiring plan'!$B$5:$B$32,"Sales &amp; partnerships",T39:T66)+T76+T77</f>
        <v>2730000</v>
      </c>
      <c r="U95" s="37" t="n">
        <f aca="false">SUMIF('Hiring plan'!$B$5:$B$32,"Sales &amp; partnerships",U39:U66)+U76+U77</f>
        <v>2730000</v>
      </c>
      <c r="V95" s="37" t="n">
        <f aca="false">SUMIF('Hiring plan'!$B$5:$B$32,"Sales &amp; partnerships",V39:V66)+V76+V77</f>
        <v>4504500</v>
      </c>
      <c r="W95" s="37" t="n">
        <f aca="false">SUMIF('Hiring plan'!$B$5:$B$32,"Sales &amp; partnerships",W39:W66)+W76+W77</f>
        <v>4504500</v>
      </c>
      <c r="X95" s="37" t="n">
        <f aca="false">SUMIF('Hiring plan'!$B$5:$B$32,"Sales &amp; partnerships",X39:X66)+X76+X77</f>
        <v>4504500</v>
      </c>
      <c r="Y95" s="37" t="n">
        <f aca="false">SUMIF('Hiring plan'!$B$5:$B$32,"Sales &amp; partnerships",Y39:Y66)+Y76+Y77</f>
        <v>4504500</v>
      </c>
      <c r="Z95" s="37" t="n">
        <f aca="false">SUMIF('Hiring plan'!$B$5:$B$32,"Sales &amp; partnerships",Z39:Z66)+Z76+Z77</f>
        <v>4504500</v>
      </c>
      <c r="AA95" s="37" t="n">
        <f aca="false">SUMIF('Hiring plan'!$B$5:$B$32,"Sales &amp; partnerships",AA39:AA66)+AA76+AA77</f>
        <v>5050500</v>
      </c>
      <c r="AB95" s="37" t="n">
        <f aca="false">SUMIF('Hiring plan'!$B$5:$B$32,"Sales &amp; partnerships",AB39:AB66)+AB76+AB77</f>
        <v>5050500</v>
      </c>
      <c r="AC95" s="37" t="n">
        <f aca="false">SUMIF('Hiring plan'!$B$5:$B$32,"Sales &amp; partnerships",AC39:AC66)+AC76+AC77</f>
        <v>5303025</v>
      </c>
      <c r="AD95" s="37" t="n">
        <f aca="false">SUMIF('Hiring plan'!$B$5:$B$32,"Sales &amp; partnerships",AD39:AD66)+AD76+AD77</f>
        <v>5303025</v>
      </c>
      <c r="AE95" s="37" t="n">
        <f aca="false">SUMIF('Hiring plan'!$B$5:$B$32,"Sales &amp; partnerships",AE39:AE66)+AE76+AE77</f>
        <v>5876325</v>
      </c>
      <c r="AF95" s="37" t="n">
        <f aca="false">SUMIF('Hiring plan'!$B$5:$B$32,"Sales &amp; partnerships",AF39:AF66)+AF76+AF77</f>
        <v>5876325</v>
      </c>
      <c r="AG95" s="37" t="n">
        <f aca="false">SUMIF('Hiring plan'!$B$5:$B$32,"Sales &amp; partnerships",AG39:AG66)+AG76+AG77</f>
        <v>5876325</v>
      </c>
      <c r="AH95" s="37" t="n">
        <f aca="false">SUMIF('Hiring plan'!$B$5:$B$32,"Sales &amp; partnerships",AH39:AH66)+AH76+AH77</f>
        <v>5876325</v>
      </c>
      <c r="AI95" s="37" t="n">
        <f aca="false">SUMIF('Hiring plan'!$B$5:$B$32,"Sales &amp; partnerships",AI39:AI66)+AI76+AI77</f>
        <v>6449625</v>
      </c>
      <c r="AJ95" s="37" t="n">
        <f aca="false">SUMIF('Hiring plan'!$B$5:$B$32,"Sales &amp; partnerships",AJ39:AJ66)+AJ76+AJ77</f>
        <v>6449625</v>
      </c>
      <c r="AK95" s="37" t="n">
        <f aca="false">SUMIF('Hiring plan'!$B$5:$B$32,"Sales &amp; partnerships",AK39:AK66)+AK76+AK77</f>
        <v>6449625</v>
      </c>
      <c r="AL95" s="37" t="n">
        <f aca="false">SUMIF('Hiring plan'!$B$5:$B$32,"Sales &amp; partnerships",AL39:AL66)+AL76+AL77</f>
        <v>7022925</v>
      </c>
      <c r="AM95" s="37" t="n">
        <f aca="false">SUMIF('Hiring plan'!$B$5:$B$32,"Sales &amp; partnerships",AM39:AM66)+AM76+AM77</f>
        <v>7667887.5</v>
      </c>
      <c r="AN95" s="37" t="n">
        <f aca="false">SUMIF('Hiring plan'!$B$5:$B$32,"Sales &amp; partnerships",AN39:AN66)+AN76+AN77</f>
        <v>7667887.5</v>
      </c>
      <c r="AO95" s="37" t="n">
        <f aca="false">SUMIF('Hiring plan'!$B$5:$B$32,"Sales &amp; partnerships",AO39:AO66)+AO76+AO77</f>
        <v>8653246.875</v>
      </c>
      <c r="AP95" s="37" t="n">
        <f aca="false">SUMIF('Hiring plan'!$B$5:$B$32,"Sales &amp; partnerships",AP39:AP66)+AP76+AP77</f>
        <v>8653246.875</v>
      </c>
      <c r="AQ95" s="37" t="n">
        <f aca="false">SUMIF('Hiring plan'!$B$5:$B$32,"Sales &amp; partnerships",AQ39:AQ66)+AQ76+AQ77</f>
        <v>9255211.875</v>
      </c>
      <c r="AR95" s="37" t="n">
        <f aca="false">SUMIF('Hiring plan'!$B$5:$B$32,"Sales &amp; partnerships",AR39:AR66)+AR76+AR77</f>
        <v>9255211.875</v>
      </c>
      <c r="AS95" s="37" t="n">
        <f aca="false">SUMIF('Hiring plan'!$B$5:$B$32,"Sales &amp; partnerships",AS39:AS66)+AS76+AS77</f>
        <v>10534387.5</v>
      </c>
      <c r="AT95" s="37" t="n">
        <f aca="false">SUMIF('Hiring plan'!$B$5:$B$32,"Sales &amp; partnerships",AT39:AT66)+AT76+AT77</f>
        <v>10534387.5</v>
      </c>
      <c r="AU95" s="37" t="n">
        <f aca="false">SUMIF('Hiring plan'!$B$5:$B$32,"Sales &amp; partnerships",AU39:AU66)+AU76+AU77</f>
        <v>10534387.5</v>
      </c>
      <c r="AV95" s="37" t="n">
        <f aca="false">SUMIF('Hiring plan'!$B$5:$B$32,"Sales &amp; partnerships",AV39:AV66)+AV76+AV77</f>
        <v>11136352.5</v>
      </c>
      <c r="AW95" s="37" t="n">
        <f aca="false">SUMIF('Hiring plan'!$B$5:$B$32,"Sales &amp; partnerships",AW39:AW66)+AW76+AW77</f>
        <v>11136352.5</v>
      </c>
      <c r="AX95" s="37" t="n">
        <f aca="false">SUMIF('Hiring plan'!$B$5:$B$32,"Sales &amp; partnerships",AX39:AX66)+AX76+AX77</f>
        <v>12415528.125</v>
      </c>
      <c r="AY95" s="37" t="n">
        <f aca="false">SUMIF('Hiring plan'!$B$5:$B$32,"Sales &amp; partnerships",AY39:AY66)+AY76+AY77</f>
        <v>12415528.125</v>
      </c>
      <c r="AZ95" s="37" t="n">
        <f aca="false">SUMIF('Hiring plan'!$B$5:$B$32,"Sales &amp; partnerships",AZ39:AZ66)+AZ76+AZ77</f>
        <v>13017493.125</v>
      </c>
      <c r="BA95" s="37" t="n">
        <f aca="false">SUMIF('Hiring plan'!$B$5:$B$32,"Sales &amp; partnerships",BA39:BA66)+BA76+BA77</f>
        <v>13668367.78125</v>
      </c>
      <c r="BB95" s="37" t="n">
        <f aca="false">SUMIF('Hiring plan'!$B$5:$B$32,"Sales &amp; partnerships",BB39:BB66)+BB76+BB77</f>
        <v>14300431.03125</v>
      </c>
      <c r="BC95" s="37" t="n">
        <f aca="false">SUMIF('Hiring plan'!$B$5:$B$32,"Sales &amp; partnerships",BC39:BC66)+BC76+BC77</f>
        <v>15011502.1875</v>
      </c>
      <c r="BD95" s="37" t="n">
        <f aca="false">SUMIF('Hiring plan'!$B$5:$B$32,"Sales &amp; partnerships",BD39:BD66)+BD76+BD77</f>
        <v>15643565.4375</v>
      </c>
      <c r="BE95" s="37" t="n">
        <f aca="false">SUMIF('Hiring plan'!$B$5:$B$32,"Sales &amp; partnerships",BE39:BE66)+BE76+BE77</f>
        <v>15643565.4375</v>
      </c>
      <c r="BF95" s="37" t="n">
        <f aca="false">SUMIF('Hiring plan'!$B$5:$B$32,"Sales &amp; partnerships",BF39:BF66)+BF76+BF77</f>
        <v>16986699.84375</v>
      </c>
      <c r="BG95" s="37" t="n">
        <f aca="false">SUMIF('Hiring plan'!$B$5:$B$32,"Sales &amp; partnerships",BG39:BG66)+BG76+BG77</f>
        <v>16986699.84375</v>
      </c>
      <c r="BH95" s="37" t="n">
        <f aca="false">SUMIF('Hiring plan'!$B$5:$B$32,"Sales &amp; partnerships",BH39:BH66)+BH76+BH77</f>
        <v>17618763.09375</v>
      </c>
      <c r="BI95" s="37" t="n">
        <f aca="false">SUMIF('Hiring plan'!$B$5:$B$32,"Sales &amp; partnerships",BI39:BI66)+BI76+BI77</f>
        <v>17618763.09375</v>
      </c>
      <c r="BJ95" s="37" t="n">
        <f aca="false">SUMIF('Hiring plan'!$B$5:$B$32,"Sales &amp; partnerships",BJ39:BJ66)+BJ76+BJ77</f>
        <v>18961897.5</v>
      </c>
      <c r="BK95" s="37" t="n">
        <f aca="false">SUMIF('Hiring plan'!$B$5:$B$32,"Sales &amp; partnerships",BK39:BK66)+BK76+BK77</f>
        <v>19593960.75</v>
      </c>
      <c r="BL95" s="37" t="n">
        <f aca="false">SUMIF('Hiring plan'!$B$5:$B$32,"Sales &amp; partnerships",BL39:BL66)+BL76+BL77</f>
        <v>19593960.75</v>
      </c>
    </row>
    <row r="96" customFormat="false" ht="15" hidden="false" customHeight="false" outlineLevel="0" collapsed="false">
      <c r="A96" s="12" t="s">
        <v>712</v>
      </c>
      <c r="B96" s="14" t="s">
        <v>71</v>
      </c>
      <c r="D96" s="55" t="n">
        <f aca="false">SUM(E96:BL96)</f>
        <v>106469801.75</v>
      </c>
      <c r="E96" s="37" t="n">
        <f aca="false">SUMIF('Hiring plan'!$B$5:$B$32,"Marketing",E39:E66)+0</f>
        <v>0</v>
      </c>
      <c r="F96" s="37" t="n">
        <f aca="false">SUMIF('Hiring plan'!$B$5:$B$32,"Marketing",F39:F66)+0</f>
        <v>0</v>
      </c>
      <c r="G96" s="37" t="n">
        <f aca="false">SUMIF('Hiring plan'!$B$5:$B$32,"Marketing",G39:G66)+0</f>
        <v>0</v>
      </c>
      <c r="H96" s="37" t="n">
        <f aca="false">SUMIF('Hiring plan'!$B$5:$B$32,"Marketing",H39:H66)+0</f>
        <v>1170000</v>
      </c>
      <c r="I96" s="37" t="n">
        <f aca="false">SUMIF('Hiring plan'!$B$5:$B$32,"Marketing",I39:I66)+0</f>
        <v>1690000</v>
      </c>
      <c r="J96" s="37" t="n">
        <f aca="false">SUMIF('Hiring plan'!$B$5:$B$32,"Marketing",J39:J66)+0</f>
        <v>1690000</v>
      </c>
      <c r="K96" s="37" t="n">
        <f aca="false">SUMIF('Hiring plan'!$B$5:$B$32,"Marketing",K39:K66)+0</f>
        <v>1690000</v>
      </c>
      <c r="L96" s="37" t="n">
        <f aca="false">SUMIF('Hiring plan'!$B$5:$B$32,"Marketing",L39:L66)+0</f>
        <v>1690000</v>
      </c>
      <c r="M96" s="37" t="n">
        <f aca="false">SUMIF('Hiring plan'!$B$5:$B$32,"Marketing",M39:M66)+0</f>
        <v>1690000</v>
      </c>
      <c r="N96" s="37" t="n">
        <f aca="false">SUMIF('Hiring plan'!$B$5:$B$32,"Marketing",N39:N66)+0</f>
        <v>1690000</v>
      </c>
      <c r="O96" s="37" t="n">
        <f aca="false">SUMIF('Hiring plan'!$B$5:$B$32,"Marketing",O39:O66)+0</f>
        <v>1690000</v>
      </c>
      <c r="P96" s="37" t="n">
        <f aca="false">SUMIF('Hiring plan'!$B$5:$B$32,"Marketing",P39:P66)+0</f>
        <v>1690000</v>
      </c>
      <c r="Q96" s="37" t="n">
        <f aca="false">SUMIF('Hiring plan'!$B$5:$B$32,"Marketing",Q39:Q66)+0</f>
        <v>1774500</v>
      </c>
      <c r="R96" s="37" t="n">
        <f aca="false">SUMIF('Hiring plan'!$B$5:$B$32,"Marketing",R39:R66)+0</f>
        <v>1774500</v>
      </c>
      <c r="S96" s="37" t="n">
        <f aca="false">SUMIF('Hiring plan'!$B$5:$B$32,"Marketing",S39:S66)+0</f>
        <v>1774500</v>
      </c>
      <c r="T96" s="37" t="n">
        <f aca="false">SUMIF('Hiring plan'!$B$5:$B$32,"Marketing",T39:T66)+0</f>
        <v>1774500</v>
      </c>
      <c r="U96" s="37" t="n">
        <f aca="false">SUMIF('Hiring plan'!$B$5:$B$32,"Marketing",U39:U66)+0</f>
        <v>1774500</v>
      </c>
      <c r="V96" s="37" t="n">
        <f aca="false">SUMIF('Hiring plan'!$B$5:$B$32,"Marketing",V39:V66)+0</f>
        <v>1774500</v>
      </c>
      <c r="W96" s="37" t="n">
        <f aca="false">SUMIF('Hiring plan'!$B$5:$B$32,"Marketing",W39:W66)+0</f>
        <v>1774500</v>
      </c>
      <c r="X96" s="37" t="n">
        <f aca="false">SUMIF('Hiring plan'!$B$5:$B$32,"Marketing",X39:X66)+0</f>
        <v>1774500</v>
      </c>
      <c r="Y96" s="37" t="n">
        <f aca="false">SUMIF('Hiring plan'!$B$5:$B$32,"Marketing",Y39:Y66)+0</f>
        <v>1774500</v>
      </c>
      <c r="Z96" s="37" t="n">
        <f aca="false">SUMIF('Hiring plan'!$B$5:$B$32,"Marketing",Z39:Z66)+0</f>
        <v>1774500</v>
      </c>
      <c r="AA96" s="37" t="n">
        <f aca="false">SUMIF('Hiring plan'!$B$5:$B$32,"Marketing",AA39:AA66)+0</f>
        <v>1774500</v>
      </c>
      <c r="AB96" s="37" t="n">
        <f aca="false">SUMIF('Hiring plan'!$B$5:$B$32,"Marketing",AB39:AB66)+0</f>
        <v>1774500</v>
      </c>
      <c r="AC96" s="37" t="n">
        <f aca="false">SUMIF('Hiring plan'!$B$5:$B$32,"Marketing",AC39:AC66)+0</f>
        <v>1863225</v>
      </c>
      <c r="AD96" s="37" t="n">
        <f aca="false">SUMIF('Hiring plan'!$B$5:$B$32,"Marketing",AD39:AD66)+0</f>
        <v>1863225</v>
      </c>
      <c r="AE96" s="37" t="n">
        <f aca="false">SUMIF('Hiring plan'!$B$5:$B$32,"Marketing",AE39:AE66)+0</f>
        <v>1863225</v>
      </c>
      <c r="AF96" s="37" t="n">
        <f aca="false">SUMIF('Hiring plan'!$B$5:$B$32,"Marketing",AF39:AF66)+0</f>
        <v>1863225</v>
      </c>
      <c r="AG96" s="37" t="n">
        <f aca="false">SUMIF('Hiring plan'!$B$5:$B$32,"Marketing",AG39:AG66)+0</f>
        <v>1863225</v>
      </c>
      <c r="AH96" s="37" t="n">
        <f aca="false">SUMIF('Hiring plan'!$B$5:$B$32,"Marketing",AH39:AH66)+0</f>
        <v>1863225</v>
      </c>
      <c r="AI96" s="37" t="n">
        <f aca="false">SUMIF('Hiring plan'!$B$5:$B$32,"Marketing",AI39:AI66)+0</f>
        <v>1863225</v>
      </c>
      <c r="AJ96" s="37" t="n">
        <f aca="false">SUMIF('Hiring plan'!$B$5:$B$32,"Marketing",AJ39:AJ66)+0</f>
        <v>1863225</v>
      </c>
      <c r="AK96" s="37" t="n">
        <f aca="false">SUMIF('Hiring plan'!$B$5:$B$32,"Marketing",AK39:AK66)+0</f>
        <v>1863225</v>
      </c>
      <c r="AL96" s="37" t="n">
        <f aca="false">SUMIF('Hiring plan'!$B$5:$B$32,"Marketing",AL39:AL66)+0</f>
        <v>1863225</v>
      </c>
      <c r="AM96" s="37" t="n">
        <f aca="false">SUMIF('Hiring plan'!$B$5:$B$32,"Marketing",AM39:AM66)+0</f>
        <v>1863225</v>
      </c>
      <c r="AN96" s="37" t="n">
        <f aca="false">SUMIF('Hiring plan'!$B$5:$B$32,"Marketing",AN39:AN66)+0</f>
        <v>1863225</v>
      </c>
      <c r="AO96" s="37" t="n">
        <f aca="false">SUMIF('Hiring plan'!$B$5:$B$32,"Marketing",AO39:AO66)+0</f>
        <v>1956386.25</v>
      </c>
      <c r="AP96" s="37" t="n">
        <f aca="false">SUMIF('Hiring plan'!$B$5:$B$32,"Marketing",AP39:AP66)+0</f>
        <v>1956386.25</v>
      </c>
      <c r="AQ96" s="37" t="n">
        <f aca="false">SUMIF('Hiring plan'!$B$5:$B$32,"Marketing",AQ39:AQ66)+0</f>
        <v>1956386.25</v>
      </c>
      <c r="AR96" s="37" t="n">
        <f aca="false">SUMIF('Hiring plan'!$B$5:$B$32,"Marketing",AR39:AR66)+0</f>
        <v>1956386.25</v>
      </c>
      <c r="AS96" s="37" t="n">
        <f aca="false">SUMIF('Hiring plan'!$B$5:$B$32,"Marketing",AS39:AS66)+0</f>
        <v>1956386.25</v>
      </c>
      <c r="AT96" s="37" t="n">
        <f aca="false">SUMIF('Hiring plan'!$B$5:$B$32,"Marketing",AT39:AT66)+0</f>
        <v>1956386.25</v>
      </c>
      <c r="AU96" s="37" t="n">
        <f aca="false">SUMIF('Hiring plan'!$B$5:$B$32,"Marketing",AU39:AU66)+0</f>
        <v>1956386.25</v>
      </c>
      <c r="AV96" s="37" t="n">
        <f aca="false">SUMIF('Hiring plan'!$B$5:$B$32,"Marketing",AV39:AV66)+0</f>
        <v>1956386.25</v>
      </c>
      <c r="AW96" s="37" t="n">
        <f aca="false">SUMIF('Hiring plan'!$B$5:$B$32,"Marketing",AW39:AW66)+0</f>
        <v>1956386.25</v>
      </c>
      <c r="AX96" s="37" t="n">
        <f aca="false">SUMIF('Hiring plan'!$B$5:$B$32,"Marketing",AX39:AX66)+0</f>
        <v>1956386.25</v>
      </c>
      <c r="AY96" s="37" t="n">
        <f aca="false">SUMIF('Hiring plan'!$B$5:$B$32,"Marketing",AY39:AY66)+0</f>
        <v>1956386.25</v>
      </c>
      <c r="AZ96" s="37" t="n">
        <f aca="false">SUMIF('Hiring plan'!$B$5:$B$32,"Marketing",AZ39:AZ66)+0</f>
        <v>1956386.25</v>
      </c>
      <c r="BA96" s="37" t="n">
        <f aca="false">SUMIF('Hiring plan'!$B$5:$B$32,"Marketing",BA39:BA66)+0</f>
        <v>2054205.5625</v>
      </c>
      <c r="BB96" s="37" t="n">
        <f aca="false">SUMIF('Hiring plan'!$B$5:$B$32,"Marketing",BB39:BB66)+0</f>
        <v>2054205.5625</v>
      </c>
      <c r="BC96" s="37" t="n">
        <f aca="false">SUMIF('Hiring plan'!$B$5:$B$32,"Marketing",BC39:BC66)+0</f>
        <v>2054205.5625</v>
      </c>
      <c r="BD96" s="37" t="n">
        <f aca="false">SUMIF('Hiring plan'!$B$5:$B$32,"Marketing",BD39:BD66)+0</f>
        <v>2054205.5625</v>
      </c>
      <c r="BE96" s="37" t="n">
        <f aca="false">SUMIF('Hiring plan'!$B$5:$B$32,"Marketing",BE39:BE66)+0</f>
        <v>2054205.5625</v>
      </c>
      <c r="BF96" s="37" t="n">
        <f aca="false">SUMIF('Hiring plan'!$B$5:$B$32,"Marketing",BF39:BF66)+0</f>
        <v>2054205.5625</v>
      </c>
      <c r="BG96" s="37" t="n">
        <f aca="false">SUMIF('Hiring plan'!$B$5:$B$32,"Marketing",BG39:BG66)+0</f>
        <v>2054205.5625</v>
      </c>
      <c r="BH96" s="37" t="n">
        <f aca="false">SUMIF('Hiring plan'!$B$5:$B$32,"Marketing",BH39:BH66)+0</f>
        <v>2054205.5625</v>
      </c>
      <c r="BI96" s="37" t="n">
        <f aca="false">SUMIF('Hiring plan'!$B$5:$B$32,"Marketing",BI39:BI66)+0</f>
        <v>2054205.5625</v>
      </c>
      <c r="BJ96" s="37" t="n">
        <f aca="false">SUMIF('Hiring plan'!$B$5:$B$32,"Marketing",BJ39:BJ66)+0</f>
        <v>2054205.5625</v>
      </c>
      <c r="BK96" s="37" t="n">
        <f aca="false">SUMIF('Hiring plan'!$B$5:$B$32,"Marketing",BK39:BK66)+0</f>
        <v>2054205.5625</v>
      </c>
      <c r="BL96" s="37" t="n">
        <f aca="false">SUMIF('Hiring plan'!$B$5:$B$32,"Marketing",BL39:BL66)+0</f>
        <v>2054205.5625</v>
      </c>
    </row>
    <row r="97" customFormat="false" ht="15" hidden="false" customHeight="false" outlineLevel="0" collapsed="false">
      <c r="A97" s="12" t="s">
        <v>713</v>
      </c>
      <c r="B97" s="14" t="s">
        <v>71</v>
      </c>
      <c r="D97" s="55" t="n">
        <f aca="false">SUM(E97:BL97)</f>
        <v>129299771.25</v>
      </c>
      <c r="E97" s="37" t="n">
        <f aca="false">SUMIF('Hiring plan'!$B$5:$B$32,"Finance &amp; admin",E39:E66)+0</f>
        <v>1950000</v>
      </c>
      <c r="F97" s="37" t="n">
        <f aca="false">SUMIF('Hiring plan'!$B$5:$B$32,"Finance &amp; admin",F39:F66)+0</f>
        <v>1950000</v>
      </c>
      <c r="G97" s="37" t="n">
        <f aca="false">SUMIF('Hiring plan'!$B$5:$B$32,"Finance &amp; admin",G39:G66)+0</f>
        <v>1950000</v>
      </c>
      <c r="H97" s="37" t="n">
        <f aca="false">SUMIF('Hiring plan'!$B$5:$B$32,"Finance &amp; admin",H39:H66)+0</f>
        <v>1950000</v>
      </c>
      <c r="I97" s="37" t="n">
        <f aca="false">SUMIF('Hiring plan'!$B$5:$B$32,"Finance &amp; admin",I39:I66)+0</f>
        <v>1950000</v>
      </c>
      <c r="J97" s="37" t="n">
        <f aca="false">SUMIF('Hiring plan'!$B$5:$B$32,"Finance &amp; admin",J39:J66)+0</f>
        <v>1950000</v>
      </c>
      <c r="K97" s="37" t="n">
        <f aca="false">SUMIF('Hiring plan'!$B$5:$B$32,"Finance &amp; admin",K39:K66)+0</f>
        <v>1950000</v>
      </c>
      <c r="L97" s="37" t="n">
        <f aca="false">SUMIF('Hiring plan'!$B$5:$B$32,"Finance &amp; admin",L39:L66)+0</f>
        <v>1950000</v>
      </c>
      <c r="M97" s="37" t="n">
        <f aca="false">SUMIF('Hiring plan'!$B$5:$B$32,"Finance &amp; admin",M39:M66)+0</f>
        <v>1950000</v>
      </c>
      <c r="N97" s="37" t="n">
        <f aca="false">SUMIF('Hiring plan'!$B$5:$B$32,"Finance &amp; admin",N39:N66)+0</f>
        <v>1950000</v>
      </c>
      <c r="O97" s="37" t="n">
        <f aca="false">SUMIF('Hiring plan'!$B$5:$B$32,"Finance &amp; admin",O39:O66)+0</f>
        <v>1950000</v>
      </c>
      <c r="P97" s="37" t="n">
        <f aca="false">SUMIF('Hiring plan'!$B$5:$B$32,"Finance &amp; admin",P39:P66)+0</f>
        <v>1950000</v>
      </c>
      <c r="Q97" s="37" t="n">
        <f aca="false">SUMIF('Hiring plan'!$B$5:$B$32,"Finance &amp; admin",Q39:Q66)+0</f>
        <v>2047500</v>
      </c>
      <c r="R97" s="37" t="n">
        <f aca="false">SUMIF('Hiring plan'!$B$5:$B$32,"Finance &amp; admin",R39:R66)+0</f>
        <v>2047500</v>
      </c>
      <c r="S97" s="37" t="n">
        <f aca="false">SUMIF('Hiring plan'!$B$5:$B$32,"Finance &amp; admin",S39:S66)+0</f>
        <v>2047500</v>
      </c>
      <c r="T97" s="37" t="n">
        <f aca="false">SUMIF('Hiring plan'!$B$5:$B$32,"Finance &amp; admin",T39:T66)+0</f>
        <v>2047500</v>
      </c>
      <c r="U97" s="37" t="n">
        <f aca="false">SUMIF('Hiring plan'!$B$5:$B$32,"Finance &amp; admin",U39:U66)+0</f>
        <v>2047500</v>
      </c>
      <c r="V97" s="37" t="n">
        <f aca="false">SUMIF('Hiring plan'!$B$5:$B$32,"Finance &amp; admin",V39:V66)+0</f>
        <v>2047500</v>
      </c>
      <c r="W97" s="37" t="n">
        <f aca="false">SUMIF('Hiring plan'!$B$5:$B$32,"Finance &amp; admin",W39:W66)+0</f>
        <v>2047500</v>
      </c>
      <c r="X97" s="37" t="n">
        <f aca="false">SUMIF('Hiring plan'!$B$5:$B$32,"Finance &amp; admin",X39:X66)+0</f>
        <v>2047500</v>
      </c>
      <c r="Y97" s="37" t="n">
        <f aca="false">SUMIF('Hiring plan'!$B$5:$B$32,"Finance &amp; admin",Y39:Y66)+0</f>
        <v>2047500</v>
      </c>
      <c r="Z97" s="37" t="n">
        <f aca="false">SUMIF('Hiring plan'!$B$5:$B$32,"Finance &amp; admin",Z39:Z66)+0</f>
        <v>2047500</v>
      </c>
      <c r="AA97" s="37" t="n">
        <f aca="false">SUMIF('Hiring plan'!$B$5:$B$32,"Finance &amp; admin",AA39:AA66)+0</f>
        <v>2047500</v>
      </c>
      <c r="AB97" s="37" t="n">
        <f aca="false">SUMIF('Hiring plan'!$B$5:$B$32,"Finance &amp; admin",AB39:AB66)+0</f>
        <v>2047500</v>
      </c>
      <c r="AC97" s="37" t="n">
        <f aca="false">SUMIF('Hiring plan'!$B$5:$B$32,"Finance &amp; admin",AC39:AC66)+0</f>
        <v>2149875</v>
      </c>
      <c r="AD97" s="37" t="n">
        <f aca="false">SUMIF('Hiring plan'!$B$5:$B$32,"Finance &amp; admin",AD39:AD66)+0</f>
        <v>2149875</v>
      </c>
      <c r="AE97" s="37" t="n">
        <f aca="false">SUMIF('Hiring plan'!$B$5:$B$32,"Finance &amp; admin",AE39:AE66)+0</f>
        <v>2149875</v>
      </c>
      <c r="AF97" s="37" t="n">
        <f aca="false">SUMIF('Hiring plan'!$B$5:$B$32,"Finance &amp; admin",AF39:AF66)+0</f>
        <v>2149875</v>
      </c>
      <c r="AG97" s="37" t="n">
        <f aca="false">SUMIF('Hiring plan'!$B$5:$B$32,"Finance &amp; admin",AG39:AG66)+0</f>
        <v>2149875</v>
      </c>
      <c r="AH97" s="37" t="n">
        <f aca="false">SUMIF('Hiring plan'!$B$5:$B$32,"Finance &amp; admin",AH39:AH66)+0</f>
        <v>2149875</v>
      </c>
      <c r="AI97" s="37" t="n">
        <f aca="false">SUMIF('Hiring plan'!$B$5:$B$32,"Finance &amp; admin",AI39:AI66)+0</f>
        <v>2149875</v>
      </c>
      <c r="AJ97" s="37" t="n">
        <f aca="false">SUMIF('Hiring plan'!$B$5:$B$32,"Finance &amp; admin",AJ39:AJ66)+0</f>
        <v>2149875</v>
      </c>
      <c r="AK97" s="37" t="n">
        <f aca="false">SUMIF('Hiring plan'!$B$5:$B$32,"Finance &amp; admin",AK39:AK66)+0</f>
        <v>2149875</v>
      </c>
      <c r="AL97" s="37" t="n">
        <f aca="false">SUMIF('Hiring plan'!$B$5:$B$32,"Finance &amp; admin",AL39:AL66)+0</f>
        <v>2149875</v>
      </c>
      <c r="AM97" s="37" t="n">
        <f aca="false">SUMIF('Hiring plan'!$B$5:$B$32,"Finance &amp; admin",AM39:AM66)+0</f>
        <v>2149875</v>
      </c>
      <c r="AN97" s="37" t="n">
        <f aca="false">SUMIF('Hiring plan'!$B$5:$B$32,"Finance &amp; admin",AN39:AN66)+0</f>
        <v>2149875</v>
      </c>
      <c r="AO97" s="37" t="n">
        <f aca="false">SUMIF('Hiring plan'!$B$5:$B$32,"Finance &amp; admin",AO39:AO66)+0</f>
        <v>2257368.75</v>
      </c>
      <c r="AP97" s="37" t="n">
        <f aca="false">SUMIF('Hiring plan'!$B$5:$B$32,"Finance &amp; admin",AP39:AP66)+0</f>
        <v>2257368.75</v>
      </c>
      <c r="AQ97" s="37" t="n">
        <f aca="false">SUMIF('Hiring plan'!$B$5:$B$32,"Finance &amp; admin",AQ39:AQ66)+0</f>
        <v>2257368.75</v>
      </c>
      <c r="AR97" s="37" t="n">
        <f aca="false">SUMIF('Hiring plan'!$B$5:$B$32,"Finance &amp; admin",AR39:AR66)+0</f>
        <v>2257368.75</v>
      </c>
      <c r="AS97" s="37" t="n">
        <f aca="false">SUMIF('Hiring plan'!$B$5:$B$32,"Finance &amp; admin",AS39:AS66)+0</f>
        <v>2257368.75</v>
      </c>
      <c r="AT97" s="37" t="n">
        <f aca="false">SUMIF('Hiring plan'!$B$5:$B$32,"Finance &amp; admin",AT39:AT66)+0</f>
        <v>2257368.75</v>
      </c>
      <c r="AU97" s="37" t="n">
        <f aca="false">SUMIF('Hiring plan'!$B$5:$B$32,"Finance &amp; admin",AU39:AU66)+0</f>
        <v>2257368.75</v>
      </c>
      <c r="AV97" s="37" t="n">
        <f aca="false">SUMIF('Hiring plan'!$B$5:$B$32,"Finance &amp; admin",AV39:AV66)+0</f>
        <v>2257368.75</v>
      </c>
      <c r="AW97" s="37" t="n">
        <f aca="false">SUMIF('Hiring plan'!$B$5:$B$32,"Finance &amp; admin",AW39:AW66)+0</f>
        <v>2257368.75</v>
      </c>
      <c r="AX97" s="37" t="n">
        <f aca="false">SUMIF('Hiring plan'!$B$5:$B$32,"Finance &amp; admin",AX39:AX66)+0</f>
        <v>2257368.75</v>
      </c>
      <c r="AY97" s="37" t="n">
        <f aca="false">SUMIF('Hiring plan'!$B$5:$B$32,"Finance &amp; admin",AY39:AY66)+0</f>
        <v>2257368.75</v>
      </c>
      <c r="AZ97" s="37" t="n">
        <f aca="false">SUMIF('Hiring plan'!$B$5:$B$32,"Finance &amp; admin",AZ39:AZ66)+0</f>
        <v>2257368.75</v>
      </c>
      <c r="BA97" s="37" t="n">
        <f aca="false">SUMIF('Hiring plan'!$B$5:$B$32,"Finance &amp; admin",BA39:BA66)+0</f>
        <v>2370237.1875</v>
      </c>
      <c r="BB97" s="37" t="n">
        <f aca="false">SUMIF('Hiring plan'!$B$5:$B$32,"Finance &amp; admin",BB39:BB66)+0</f>
        <v>2370237.1875</v>
      </c>
      <c r="BC97" s="37" t="n">
        <f aca="false">SUMIF('Hiring plan'!$B$5:$B$32,"Finance &amp; admin",BC39:BC66)+0</f>
        <v>2370237.1875</v>
      </c>
      <c r="BD97" s="37" t="n">
        <f aca="false">SUMIF('Hiring plan'!$B$5:$B$32,"Finance &amp; admin",BD39:BD66)+0</f>
        <v>2370237.1875</v>
      </c>
      <c r="BE97" s="37" t="n">
        <f aca="false">SUMIF('Hiring plan'!$B$5:$B$32,"Finance &amp; admin",BE39:BE66)+0</f>
        <v>2370237.1875</v>
      </c>
      <c r="BF97" s="37" t="n">
        <f aca="false">SUMIF('Hiring plan'!$B$5:$B$32,"Finance &amp; admin",BF39:BF66)+0</f>
        <v>2370237.1875</v>
      </c>
      <c r="BG97" s="37" t="n">
        <f aca="false">SUMIF('Hiring plan'!$B$5:$B$32,"Finance &amp; admin",BG39:BG66)+0</f>
        <v>2370237.1875</v>
      </c>
      <c r="BH97" s="37" t="n">
        <f aca="false">SUMIF('Hiring plan'!$B$5:$B$32,"Finance &amp; admin",BH39:BH66)+0</f>
        <v>2370237.1875</v>
      </c>
      <c r="BI97" s="37" t="n">
        <f aca="false">SUMIF('Hiring plan'!$B$5:$B$32,"Finance &amp; admin",BI39:BI66)+0</f>
        <v>2370237.1875</v>
      </c>
      <c r="BJ97" s="37" t="n">
        <f aca="false">SUMIF('Hiring plan'!$B$5:$B$32,"Finance &amp; admin",BJ39:BJ66)+0</f>
        <v>2370237.1875</v>
      </c>
      <c r="BK97" s="37" t="n">
        <f aca="false">SUMIF('Hiring plan'!$B$5:$B$32,"Finance &amp; admin",BK39:BK66)+0</f>
        <v>2370237.1875</v>
      </c>
      <c r="BL97" s="37" t="n">
        <f aca="false">SUMIF('Hiring plan'!$B$5:$B$32,"Finance &amp; admin",BL39:BL66)+0</f>
        <v>2370237.1875</v>
      </c>
    </row>
    <row r="98" customFormat="false" ht="15" hidden="false" customHeight="false" outlineLevel="0" collapsed="false">
      <c r="A98" s="8" t="s">
        <v>714</v>
      </c>
      <c r="B98" s="14" t="s">
        <v>71</v>
      </c>
      <c r="D98" s="55" t="n">
        <f aca="false">SUM(E98:BL98)</f>
        <v>2162922307.8125</v>
      </c>
      <c r="E98" s="16" t="n">
        <f aca="false">SUM(E39:E66)+E74+E75+E76+E77+E78</f>
        <v>9880000</v>
      </c>
      <c r="F98" s="16" t="n">
        <f aca="false">SUM(F39:F66)+F74+F75+F76+F77+F78</f>
        <v>9880000</v>
      </c>
      <c r="G98" s="16" t="n">
        <f aca="false">SUM(G39:G66)+G74+G75+G76+G77+G78</f>
        <v>9880000</v>
      </c>
      <c r="H98" s="16" t="n">
        <f aca="false">SUM(H39:H66)+H74+H75+H76+H77+H78</f>
        <v>12740000</v>
      </c>
      <c r="I98" s="16" t="n">
        <f aca="false">SUM(I39:I66)+I74+I75+I76+I77+I78</f>
        <v>13260000</v>
      </c>
      <c r="J98" s="16" t="n">
        <f aca="false">SUM(J39:J66)+J74+J75+J76+J77+J78</f>
        <v>13260000</v>
      </c>
      <c r="K98" s="16" t="n">
        <f aca="false">SUM(K39:K66)+K74+K75+K76+K77+K78</f>
        <v>13260000</v>
      </c>
      <c r="L98" s="16" t="n">
        <f aca="false">SUM(L39:L66)+L74+L75+L76+L77+L78</f>
        <v>13260000</v>
      </c>
      <c r="M98" s="16" t="n">
        <f aca="false">SUM(M39:M66)+M74+M75+M76+M77+M78</f>
        <v>13260000</v>
      </c>
      <c r="N98" s="16" t="n">
        <f aca="false">SUM(N39:N66)+N74+N75+N76+N77+N78</f>
        <v>13260000</v>
      </c>
      <c r="O98" s="16" t="n">
        <f aca="false">SUM(O39:O66)+O74+O75+O76+O77+O78</f>
        <v>13260000</v>
      </c>
      <c r="P98" s="16" t="n">
        <f aca="false">SUM(P39:P66)+P74+P75+P76+P77+P78</f>
        <v>13260000</v>
      </c>
      <c r="Q98" s="16" t="n">
        <f aca="false">SUM(Q39:Q66)+Q74+Q75+Q76+Q77+Q78</f>
        <v>17335500</v>
      </c>
      <c r="R98" s="16" t="n">
        <f aca="false">SUM(R39:R66)+R74+R75+R76+R77+R78</f>
        <v>17335500</v>
      </c>
      <c r="S98" s="16" t="n">
        <f aca="false">SUM(S39:S66)+S74+S75+S76+S77+S78</f>
        <v>17335500</v>
      </c>
      <c r="T98" s="16" t="n">
        <f aca="false">SUM(T39:T66)+T74+T75+T76+T77+T78</f>
        <v>18154500</v>
      </c>
      <c r="U98" s="16" t="n">
        <f aca="false">SUM(U39:U66)+U74+U75+U76+U77+U78</f>
        <v>18154500</v>
      </c>
      <c r="V98" s="16" t="n">
        <f aca="false">SUM(V39:V66)+V74+V75+V76+V77+V78</f>
        <v>23751000</v>
      </c>
      <c r="W98" s="16" t="n">
        <f aca="false">SUM(W39:W66)+W74+W75+W76+W77+W78</f>
        <v>24092250</v>
      </c>
      <c r="X98" s="16" t="n">
        <f aca="false">SUM(X39:X66)+X74+X75+X76+X77+X78</f>
        <v>24092250</v>
      </c>
      <c r="Y98" s="16" t="n">
        <f aca="false">SUM(Y39:Y66)+Y74+Y75+Y76+Y77+Y78</f>
        <v>24092250</v>
      </c>
      <c r="Z98" s="16" t="n">
        <f aca="false">SUM(Z39:Z66)+Z74+Z75+Z76+Z77+Z78</f>
        <v>24092250</v>
      </c>
      <c r="AA98" s="16" t="n">
        <f aca="false">SUM(AA39:AA66)+AA74+AA75+AA76+AA77+AA78</f>
        <v>24979500</v>
      </c>
      <c r="AB98" s="16" t="n">
        <f aca="false">SUM(AB39:AB66)+AB74+AB75+AB76+AB77+AB78</f>
        <v>27027000</v>
      </c>
      <c r="AC98" s="16" t="n">
        <f aca="false">SUM(AC39:AC66)+AC74+AC75+AC76+AC77+AC78</f>
        <v>28378350</v>
      </c>
      <c r="AD98" s="16" t="n">
        <f aca="false">SUM(AD39:AD66)+AD74+AD75+AD76+AD77+AD78</f>
        <v>28378350</v>
      </c>
      <c r="AE98" s="16" t="n">
        <f aca="false">SUM(AE39:AE66)+AE74+AE75+AE76+AE77+AE78</f>
        <v>31029862.5</v>
      </c>
      <c r="AF98" s="16" t="n">
        <f aca="false">SUM(AF39:AF66)+AF74+AF75+AF76+AF77+AF78</f>
        <v>31889812.5</v>
      </c>
      <c r="AG98" s="16" t="n">
        <f aca="false">SUM(AG39:AG66)+AG74+AG75+AG76+AG77+AG78</f>
        <v>32964750</v>
      </c>
      <c r="AH98" s="16" t="n">
        <f aca="false">SUM(AH39:AH66)+AH74+AH75+AH76+AH77+AH78</f>
        <v>32964750</v>
      </c>
      <c r="AI98" s="16" t="n">
        <f aca="false">SUM(AI39:AI66)+AI74+AI75+AI76+AI77+AI78</f>
        <v>33896362.5</v>
      </c>
      <c r="AJ98" s="16" t="n">
        <f aca="false">SUM(AJ39:AJ66)+AJ74+AJ75+AJ76+AJ77+AJ78</f>
        <v>34254675</v>
      </c>
      <c r="AK98" s="16" t="n">
        <f aca="false">SUM(AK39:AK66)+AK74+AK75+AK76+AK77+AK78</f>
        <v>35114625</v>
      </c>
      <c r="AL98" s="16" t="n">
        <f aca="false">SUM(AL39:AL66)+AL74+AL75+AL76+AL77+AL78</f>
        <v>36046237.5</v>
      </c>
      <c r="AM98" s="16" t="n">
        <f aca="false">SUM(AM39:AM66)+AM74+AM75+AM76+AM77+AM78</f>
        <v>36691200</v>
      </c>
      <c r="AN98" s="16" t="n">
        <f aca="false">SUM(AN39:AN66)+AN74+AN75+AN76+AN77+AN78</f>
        <v>37049512.5</v>
      </c>
      <c r="AO98" s="16" t="n">
        <f aca="false">SUM(AO39:AO66)+AO74+AO75+AO76+AO77+AO78</f>
        <v>42589023.75</v>
      </c>
      <c r="AP98" s="16" t="n">
        <f aca="false">SUM(AP39:AP66)+AP74+AP75+AP76+AP77+AP78</f>
        <v>42589023.75</v>
      </c>
      <c r="AQ98" s="16" t="n">
        <f aca="false">SUM(AQ39:AQ66)+AQ74+AQ75+AQ76+AQ77+AQ78</f>
        <v>43567216.875</v>
      </c>
      <c r="AR98" s="16" t="n">
        <f aca="false">SUM(AR39:AR66)+AR74+AR75+AR76+AR77+AR78</f>
        <v>43943445</v>
      </c>
      <c r="AS98" s="16" t="n">
        <f aca="false">SUM(AS39:AS66)+AS74+AS75+AS76+AS77+AS78</f>
        <v>46501796.25</v>
      </c>
      <c r="AT98" s="16" t="n">
        <f aca="false">SUM(AT39:AT66)+AT74+AT75+AT76+AT77+AT78</f>
        <v>46501796.25</v>
      </c>
      <c r="AU98" s="16" t="n">
        <f aca="false">SUM(AU39:AU66)+AU74+AU75+AU76+AU77+AU78</f>
        <v>46878024.375</v>
      </c>
      <c r="AV98" s="16" t="n">
        <f aca="false">SUM(AV39:AV66)+AV74+AV75+AV76+AV77+AV78</f>
        <v>47856217.5</v>
      </c>
      <c r="AW98" s="16" t="n">
        <f aca="false">SUM(AW39:AW66)+AW74+AW75+AW76+AW77+AW78</f>
        <v>50038340.625</v>
      </c>
      <c r="AX98" s="16" t="n">
        <f aca="false">SUM(AX39:AX66)+AX74+AX75+AX76+AX77+AX78</f>
        <v>52596691.875</v>
      </c>
      <c r="AY98" s="16" t="n">
        <f aca="false">SUM(AY39:AY66)+AY74+AY75+AY76+AY77+AY78</f>
        <v>52596691.875</v>
      </c>
      <c r="AZ98" s="16" t="n">
        <f aca="false">SUM(AZ39:AZ66)+AZ74+AZ75+AZ76+AZ77+AZ78</f>
        <v>53574885</v>
      </c>
      <c r="BA98" s="16" t="n">
        <f aca="false">SUM(BA39:BA66)+BA74+BA75+BA76+BA77+BA78</f>
        <v>56648668.78125</v>
      </c>
      <c r="BB98" s="16" t="n">
        <f aca="false">SUM(BB39:BB66)+BB74+BB75+BB76+BB77+BB78</f>
        <v>58623866.4375</v>
      </c>
      <c r="BC98" s="16" t="n">
        <f aca="false">SUM(BC39:BC66)+BC74+BC75+BC76+BC77+BC78</f>
        <v>59729977.125</v>
      </c>
      <c r="BD98" s="16" t="n">
        <f aca="false">SUM(BD39:BD66)+BD74+BD75+BD76+BD77+BD78</f>
        <v>62653269.65625</v>
      </c>
      <c r="BE98" s="16" t="n">
        <f aca="false">SUM(BE39:BE66)+BE74+BE75+BE76+BE77+BE78</f>
        <v>63048309.1875</v>
      </c>
      <c r="BF98" s="16" t="n">
        <f aca="false">SUM(BF39:BF66)+BF74+BF75+BF76+BF77+BF78</f>
        <v>65734578</v>
      </c>
      <c r="BG98" s="16" t="n">
        <f aca="false">SUM(BG39:BG66)+BG74+BG75+BG76+BG77+BG78</f>
        <v>66129617.53125</v>
      </c>
      <c r="BH98" s="16" t="n">
        <f aca="false">SUM(BH39:BH66)+BH74+BH75+BH76+BH77+BH78</f>
        <v>67156720.3125</v>
      </c>
      <c r="BI98" s="16" t="n">
        <f aca="false">SUM(BI39:BI66)+BI74+BI75+BI76+BI77+BI78</f>
        <v>67551759.84375</v>
      </c>
      <c r="BJ98" s="16" t="n">
        <f aca="false">SUM(BJ39:BJ66)+BJ74+BJ75+BJ76+BJ77+BJ78</f>
        <v>72134218.40625</v>
      </c>
      <c r="BK98" s="16" t="n">
        <f aca="false">SUM(BK39:BK66)+BK74+BK75+BK76+BK77+BK78</f>
        <v>73161321.1875</v>
      </c>
      <c r="BL98" s="16" t="n">
        <f aca="false">SUM(BL39:BL66)+BL74+BL75+BL76+BL77+BL78</f>
        <v>73556360.71875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L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8"/>
    <col collapsed="false" customWidth="true" hidden="false" outlineLevel="0" max="3" min="3" style="0" width="3"/>
    <col collapsed="false" customWidth="true" hidden="false" outlineLevel="0" max="4" min="4" style="0" width="14"/>
    <col collapsed="false" customWidth="true" hidden="false" outlineLevel="0" max="64" min="5" style="0" width="11"/>
  </cols>
  <sheetData>
    <row r="1" customFormat="false" ht="17.35" hidden="false" customHeight="false" outlineLevel="0" collapsed="false">
      <c r="A1" s="7" t="s">
        <v>715</v>
      </c>
    </row>
    <row r="2" customFormat="false" ht="15" hidden="false" customHeight="false" outlineLevel="0" collapsed="false">
      <c r="A2" s="2" t="s">
        <v>716</v>
      </c>
    </row>
    <row r="3" customFormat="false" ht="15" hidden="false" customHeight="false" outlineLevel="0" collapsed="false">
      <c r="A3" s="8" t="s">
        <v>680</v>
      </c>
      <c r="D3" s="8" t="s">
        <v>681</v>
      </c>
      <c r="E3" s="20" t="n">
        <f aca="false">Staff!E3</f>
        <v>1</v>
      </c>
      <c r="F3" s="20" t="n">
        <f aca="false">Staff!F3</f>
        <v>2</v>
      </c>
      <c r="G3" s="20" t="n">
        <f aca="false">Staff!G3</f>
        <v>3</v>
      </c>
      <c r="H3" s="20" t="n">
        <f aca="false">Staff!H3</f>
        <v>4</v>
      </c>
      <c r="I3" s="20" t="n">
        <f aca="false">Staff!I3</f>
        <v>5</v>
      </c>
      <c r="J3" s="20" t="n">
        <f aca="false">Staff!J3</f>
        <v>6</v>
      </c>
      <c r="K3" s="20" t="n">
        <f aca="false">Staff!K3</f>
        <v>7</v>
      </c>
      <c r="L3" s="20" t="n">
        <f aca="false">Staff!L3</f>
        <v>8</v>
      </c>
      <c r="M3" s="20" t="n">
        <f aca="false">Staff!M3</f>
        <v>9</v>
      </c>
      <c r="N3" s="20" t="n">
        <f aca="false">Staff!N3</f>
        <v>10</v>
      </c>
      <c r="O3" s="20" t="n">
        <f aca="false">Staff!O3</f>
        <v>11</v>
      </c>
      <c r="P3" s="20" t="n">
        <f aca="false">Staff!P3</f>
        <v>12</v>
      </c>
      <c r="Q3" s="20" t="n">
        <f aca="false">Staff!Q3</f>
        <v>13</v>
      </c>
      <c r="R3" s="20" t="n">
        <f aca="false">Staff!R3</f>
        <v>14</v>
      </c>
      <c r="S3" s="20" t="n">
        <f aca="false">Staff!S3</f>
        <v>15</v>
      </c>
      <c r="T3" s="20" t="n">
        <f aca="false">Staff!T3</f>
        <v>16</v>
      </c>
      <c r="U3" s="20" t="n">
        <f aca="false">Staff!U3</f>
        <v>17</v>
      </c>
      <c r="V3" s="20" t="n">
        <f aca="false">Staff!V3</f>
        <v>18</v>
      </c>
      <c r="W3" s="20" t="n">
        <f aca="false">Staff!W3</f>
        <v>19</v>
      </c>
      <c r="X3" s="20" t="n">
        <f aca="false">Staff!X3</f>
        <v>20</v>
      </c>
      <c r="Y3" s="20" t="n">
        <f aca="false">Staff!Y3</f>
        <v>21</v>
      </c>
      <c r="Z3" s="20" t="n">
        <f aca="false">Staff!Z3</f>
        <v>22</v>
      </c>
      <c r="AA3" s="20" t="n">
        <f aca="false">Staff!AA3</f>
        <v>23</v>
      </c>
      <c r="AB3" s="20" t="n">
        <f aca="false">Staff!AB3</f>
        <v>24</v>
      </c>
      <c r="AC3" s="20" t="n">
        <f aca="false">Staff!AC3</f>
        <v>25</v>
      </c>
      <c r="AD3" s="20" t="n">
        <f aca="false">Staff!AD3</f>
        <v>26</v>
      </c>
      <c r="AE3" s="20" t="n">
        <f aca="false">Staff!AE3</f>
        <v>27</v>
      </c>
      <c r="AF3" s="20" t="n">
        <f aca="false">Staff!AF3</f>
        <v>28</v>
      </c>
      <c r="AG3" s="20" t="n">
        <f aca="false">Staff!AG3</f>
        <v>29</v>
      </c>
      <c r="AH3" s="20" t="n">
        <f aca="false">Staff!AH3</f>
        <v>30</v>
      </c>
      <c r="AI3" s="20" t="n">
        <f aca="false">Staff!AI3</f>
        <v>31</v>
      </c>
      <c r="AJ3" s="20" t="n">
        <f aca="false">Staff!AJ3</f>
        <v>32</v>
      </c>
      <c r="AK3" s="20" t="n">
        <f aca="false">Staff!AK3</f>
        <v>33</v>
      </c>
      <c r="AL3" s="20" t="n">
        <f aca="false">Staff!AL3</f>
        <v>34</v>
      </c>
      <c r="AM3" s="20" t="n">
        <f aca="false">Staff!AM3</f>
        <v>35</v>
      </c>
      <c r="AN3" s="20" t="n">
        <f aca="false">Staff!AN3</f>
        <v>36</v>
      </c>
      <c r="AO3" s="20" t="n">
        <f aca="false">Staff!AO3</f>
        <v>37</v>
      </c>
      <c r="AP3" s="20" t="n">
        <f aca="false">Staff!AP3</f>
        <v>38</v>
      </c>
      <c r="AQ3" s="20" t="n">
        <f aca="false">Staff!AQ3</f>
        <v>39</v>
      </c>
      <c r="AR3" s="20" t="n">
        <f aca="false">Staff!AR3</f>
        <v>40</v>
      </c>
      <c r="AS3" s="20" t="n">
        <f aca="false">Staff!AS3</f>
        <v>41</v>
      </c>
      <c r="AT3" s="20" t="n">
        <f aca="false">Staff!AT3</f>
        <v>42</v>
      </c>
      <c r="AU3" s="20" t="n">
        <f aca="false">Staff!AU3</f>
        <v>43</v>
      </c>
      <c r="AV3" s="20" t="n">
        <f aca="false">Staff!AV3</f>
        <v>44</v>
      </c>
      <c r="AW3" s="20" t="n">
        <f aca="false">Staff!AW3</f>
        <v>45</v>
      </c>
      <c r="AX3" s="20" t="n">
        <f aca="false">Staff!AX3</f>
        <v>46</v>
      </c>
      <c r="AY3" s="20" t="n">
        <f aca="false">Staff!AY3</f>
        <v>47</v>
      </c>
      <c r="AZ3" s="20" t="n">
        <f aca="false">Staff!AZ3</f>
        <v>48</v>
      </c>
      <c r="BA3" s="20" t="n">
        <f aca="false">Staff!BA3</f>
        <v>49</v>
      </c>
      <c r="BB3" s="20" t="n">
        <f aca="false">Staff!BB3</f>
        <v>50</v>
      </c>
      <c r="BC3" s="20" t="n">
        <f aca="false">Staff!BC3</f>
        <v>51</v>
      </c>
      <c r="BD3" s="20" t="n">
        <f aca="false">Staff!BD3</f>
        <v>52</v>
      </c>
      <c r="BE3" s="20" t="n">
        <f aca="false">Staff!BE3</f>
        <v>53</v>
      </c>
      <c r="BF3" s="20" t="n">
        <f aca="false">Staff!BF3</f>
        <v>54</v>
      </c>
      <c r="BG3" s="20" t="n">
        <f aca="false">Staff!BG3</f>
        <v>55</v>
      </c>
      <c r="BH3" s="20" t="n">
        <f aca="false">Staff!BH3</f>
        <v>56</v>
      </c>
      <c r="BI3" s="20" t="n">
        <f aca="false">Staff!BI3</f>
        <v>57</v>
      </c>
      <c r="BJ3" s="20" t="n">
        <f aca="false">Staff!BJ3</f>
        <v>58</v>
      </c>
      <c r="BK3" s="20" t="n">
        <f aca="false">Staff!BK3</f>
        <v>59</v>
      </c>
      <c r="BL3" s="20" t="n">
        <f aca="false">Staff!BL3</f>
        <v>60</v>
      </c>
    </row>
    <row r="4" customFormat="false" ht="15" hidden="false" customHeight="false" outlineLevel="0" collapsed="false">
      <c r="A4" s="8" t="s">
        <v>682</v>
      </c>
      <c r="E4" s="53" t="n">
        <f aca="false">Staff!E4</f>
        <v>46388</v>
      </c>
      <c r="F4" s="53" t="n">
        <f aca="false">Staff!F4</f>
        <v>46419</v>
      </c>
      <c r="G4" s="53" t="n">
        <f aca="false">Staff!G4</f>
        <v>46447</v>
      </c>
      <c r="H4" s="53" t="n">
        <f aca="false">Staff!H4</f>
        <v>46478</v>
      </c>
      <c r="I4" s="53" t="n">
        <f aca="false">Staff!I4</f>
        <v>46508</v>
      </c>
      <c r="J4" s="53" t="n">
        <f aca="false">Staff!J4</f>
        <v>46539</v>
      </c>
      <c r="K4" s="53" t="n">
        <f aca="false">Staff!K4</f>
        <v>46569</v>
      </c>
      <c r="L4" s="53" t="n">
        <f aca="false">Staff!L4</f>
        <v>46600</v>
      </c>
      <c r="M4" s="53" t="n">
        <f aca="false">Staff!M4</f>
        <v>46631</v>
      </c>
      <c r="N4" s="53" t="n">
        <f aca="false">Staff!N4</f>
        <v>46661</v>
      </c>
      <c r="O4" s="53" t="n">
        <f aca="false">Staff!O4</f>
        <v>46692</v>
      </c>
      <c r="P4" s="53" t="n">
        <f aca="false">Staff!P4</f>
        <v>46722</v>
      </c>
      <c r="Q4" s="53" t="n">
        <f aca="false">Staff!Q4</f>
        <v>46753</v>
      </c>
      <c r="R4" s="53" t="n">
        <f aca="false">Staff!R4</f>
        <v>46784</v>
      </c>
      <c r="S4" s="53" t="n">
        <f aca="false">Staff!S4</f>
        <v>46813</v>
      </c>
      <c r="T4" s="53" t="n">
        <f aca="false">Staff!T4</f>
        <v>46844</v>
      </c>
      <c r="U4" s="53" t="n">
        <f aca="false">Staff!U4</f>
        <v>46874</v>
      </c>
      <c r="V4" s="53" t="n">
        <f aca="false">Staff!V4</f>
        <v>46905</v>
      </c>
      <c r="W4" s="53" t="n">
        <f aca="false">Staff!W4</f>
        <v>46935</v>
      </c>
      <c r="X4" s="53" t="n">
        <f aca="false">Staff!X4</f>
        <v>46966</v>
      </c>
      <c r="Y4" s="53" t="n">
        <f aca="false">Staff!Y4</f>
        <v>46997</v>
      </c>
      <c r="Z4" s="53" t="n">
        <f aca="false">Staff!Z4</f>
        <v>47027</v>
      </c>
      <c r="AA4" s="53" t="n">
        <f aca="false">Staff!AA4</f>
        <v>47058</v>
      </c>
      <c r="AB4" s="53" t="n">
        <f aca="false">Staff!AB4</f>
        <v>47088</v>
      </c>
      <c r="AC4" s="53" t="n">
        <f aca="false">Staff!AC4</f>
        <v>47119</v>
      </c>
      <c r="AD4" s="53" t="n">
        <f aca="false">Staff!AD4</f>
        <v>47150</v>
      </c>
      <c r="AE4" s="53" t="n">
        <f aca="false">Staff!AE4</f>
        <v>47178</v>
      </c>
      <c r="AF4" s="53" t="n">
        <f aca="false">Staff!AF4</f>
        <v>47209</v>
      </c>
      <c r="AG4" s="53" t="n">
        <f aca="false">Staff!AG4</f>
        <v>47239</v>
      </c>
      <c r="AH4" s="53" t="n">
        <f aca="false">Staff!AH4</f>
        <v>47270</v>
      </c>
      <c r="AI4" s="53" t="n">
        <f aca="false">Staff!AI4</f>
        <v>47300</v>
      </c>
      <c r="AJ4" s="53" t="n">
        <f aca="false">Staff!AJ4</f>
        <v>47331</v>
      </c>
      <c r="AK4" s="53" t="n">
        <f aca="false">Staff!AK4</f>
        <v>47362</v>
      </c>
      <c r="AL4" s="53" t="n">
        <f aca="false">Staff!AL4</f>
        <v>47392</v>
      </c>
      <c r="AM4" s="53" t="n">
        <f aca="false">Staff!AM4</f>
        <v>47423</v>
      </c>
      <c r="AN4" s="53" t="n">
        <f aca="false">Staff!AN4</f>
        <v>47453</v>
      </c>
      <c r="AO4" s="53" t="n">
        <f aca="false">Staff!AO4</f>
        <v>47484</v>
      </c>
      <c r="AP4" s="53" t="n">
        <f aca="false">Staff!AP4</f>
        <v>47515</v>
      </c>
      <c r="AQ4" s="53" t="n">
        <f aca="false">Staff!AQ4</f>
        <v>47543</v>
      </c>
      <c r="AR4" s="53" t="n">
        <f aca="false">Staff!AR4</f>
        <v>47574</v>
      </c>
      <c r="AS4" s="53" t="n">
        <f aca="false">Staff!AS4</f>
        <v>47604</v>
      </c>
      <c r="AT4" s="53" t="n">
        <f aca="false">Staff!AT4</f>
        <v>47635</v>
      </c>
      <c r="AU4" s="53" t="n">
        <f aca="false">Staff!AU4</f>
        <v>47665</v>
      </c>
      <c r="AV4" s="53" t="n">
        <f aca="false">Staff!AV4</f>
        <v>47696</v>
      </c>
      <c r="AW4" s="53" t="n">
        <f aca="false">Staff!AW4</f>
        <v>47727</v>
      </c>
      <c r="AX4" s="53" t="n">
        <f aca="false">Staff!AX4</f>
        <v>47757</v>
      </c>
      <c r="AY4" s="53" t="n">
        <f aca="false">Staff!AY4</f>
        <v>47788</v>
      </c>
      <c r="AZ4" s="53" t="n">
        <f aca="false">Staff!AZ4</f>
        <v>47818</v>
      </c>
      <c r="BA4" s="53" t="n">
        <f aca="false">Staff!BA4</f>
        <v>47849</v>
      </c>
      <c r="BB4" s="53" t="n">
        <f aca="false">Staff!BB4</f>
        <v>47880</v>
      </c>
      <c r="BC4" s="53" t="n">
        <f aca="false">Staff!BC4</f>
        <v>47908</v>
      </c>
      <c r="BD4" s="53" t="n">
        <f aca="false">Staff!BD4</f>
        <v>47939</v>
      </c>
      <c r="BE4" s="53" t="n">
        <f aca="false">Staff!BE4</f>
        <v>47969</v>
      </c>
      <c r="BF4" s="53" t="n">
        <f aca="false">Staff!BF4</f>
        <v>48000</v>
      </c>
      <c r="BG4" s="53" t="n">
        <f aca="false">Staff!BG4</f>
        <v>48030</v>
      </c>
      <c r="BH4" s="53" t="n">
        <f aca="false">Staff!BH4</f>
        <v>48061</v>
      </c>
      <c r="BI4" s="53" t="n">
        <f aca="false">Staff!BI4</f>
        <v>48092</v>
      </c>
      <c r="BJ4" s="53" t="n">
        <f aca="false">Staff!BJ4</f>
        <v>48122</v>
      </c>
      <c r="BK4" s="53" t="n">
        <f aca="false">Staff!BK4</f>
        <v>48153</v>
      </c>
      <c r="BL4" s="53" t="n">
        <f aca="false">Staff!BL4</f>
        <v>48183</v>
      </c>
    </row>
    <row r="5" customFormat="false" ht="15" hidden="false" customHeight="false" outlineLevel="0" collapsed="false">
      <c r="A5" s="8" t="s">
        <v>81</v>
      </c>
      <c r="E5" s="54" t="n">
        <f aca="false">Staff!E5</f>
        <v>1</v>
      </c>
      <c r="F5" s="54" t="n">
        <f aca="false">Staff!F5</f>
        <v>1</v>
      </c>
      <c r="G5" s="54" t="n">
        <f aca="false">Staff!G5</f>
        <v>1</v>
      </c>
      <c r="H5" s="54" t="n">
        <f aca="false">Staff!H5</f>
        <v>1</v>
      </c>
      <c r="I5" s="54" t="n">
        <f aca="false">Staff!I5</f>
        <v>1</v>
      </c>
      <c r="J5" s="54" t="n">
        <f aca="false">Staff!J5</f>
        <v>1</v>
      </c>
      <c r="K5" s="54" t="n">
        <f aca="false">Staff!K5</f>
        <v>1</v>
      </c>
      <c r="L5" s="54" t="n">
        <f aca="false">Staff!L5</f>
        <v>1</v>
      </c>
      <c r="M5" s="54" t="n">
        <f aca="false">Staff!M5</f>
        <v>1</v>
      </c>
      <c r="N5" s="54" t="n">
        <f aca="false">Staff!N5</f>
        <v>1</v>
      </c>
      <c r="O5" s="54" t="n">
        <f aca="false">Staff!O5</f>
        <v>1</v>
      </c>
      <c r="P5" s="54" t="n">
        <f aca="false">Staff!P5</f>
        <v>1</v>
      </c>
      <c r="Q5" s="54" t="n">
        <f aca="false">Staff!Q5</f>
        <v>2</v>
      </c>
      <c r="R5" s="54" t="n">
        <f aca="false">Staff!R5</f>
        <v>2</v>
      </c>
      <c r="S5" s="54" t="n">
        <f aca="false">Staff!S5</f>
        <v>2</v>
      </c>
      <c r="T5" s="54" t="n">
        <f aca="false">Staff!T5</f>
        <v>2</v>
      </c>
      <c r="U5" s="54" t="n">
        <f aca="false">Staff!U5</f>
        <v>2</v>
      </c>
      <c r="V5" s="54" t="n">
        <f aca="false">Staff!V5</f>
        <v>2</v>
      </c>
      <c r="W5" s="54" t="n">
        <f aca="false">Staff!W5</f>
        <v>2</v>
      </c>
      <c r="X5" s="54" t="n">
        <f aca="false">Staff!X5</f>
        <v>2</v>
      </c>
      <c r="Y5" s="54" t="n">
        <f aca="false">Staff!Y5</f>
        <v>2</v>
      </c>
      <c r="Z5" s="54" t="n">
        <f aca="false">Staff!Z5</f>
        <v>2</v>
      </c>
      <c r="AA5" s="54" t="n">
        <f aca="false">Staff!AA5</f>
        <v>2</v>
      </c>
      <c r="AB5" s="54" t="n">
        <f aca="false">Staff!AB5</f>
        <v>2</v>
      </c>
      <c r="AC5" s="54" t="n">
        <f aca="false">Staff!AC5</f>
        <v>3</v>
      </c>
      <c r="AD5" s="54" t="n">
        <f aca="false">Staff!AD5</f>
        <v>3</v>
      </c>
      <c r="AE5" s="54" t="n">
        <f aca="false">Staff!AE5</f>
        <v>3</v>
      </c>
      <c r="AF5" s="54" t="n">
        <f aca="false">Staff!AF5</f>
        <v>3</v>
      </c>
      <c r="AG5" s="54" t="n">
        <f aca="false">Staff!AG5</f>
        <v>3</v>
      </c>
      <c r="AH5" s="54" t="n">
        <f aca="false">Staff!AH5</f>
        <v>3</v>
      </c>
      <c r="AI5" s="54" t="n">
        <f aca="false">Staff!AI5</f>
        <v>3</v>
      </c>
      <c r="AJ5" s="54" t="n">
        <f aca="false">Staff!AJ5</f>
        <v>3</v>
      </c>
      <c r="AK5" s="54" t="n">
        <f aca="false">Staff!AK5</f>
        <v>3</v>
      </c>
      <c r="AL5" s="54" t="n">
        <f aca="false">Staff!AL5</f>
        <v>3</v>
      </c>
      <c r="AM5" s="54" t="n">
        <f aca="false">Staff!AM5</f>
        <v>3</v>
      </c>
      <c r="AN5" s="54" t="n">
        <f aca="false">Staff!AN5</f>
        <v>3</v>
      </c>
      <c r="AO5" s="54" t="n">
        <f aca="false">Staff!AO5</f>
        <v>4</v>
      </c>
      <c r="AP5" s="54" t="n">
        <f aca="false">Staff!AP5</f>
        <v>4</v>
      </c>
      <c r="AQ5" s="54" t="n">
        <f aca="false">Staff!AQ5</f>
        <v>4</v>
      </c>
      <c r="AR5" s="54" t="n">
        <f aca="false">Staff!AR5</f>
        <v>4</v>
      </c>
      <c r="AS5" s="54" t="n">
        <f aca="false">Staff!AS5</f>
        <v>4</v>
      </c>
      <c r="AT5" s="54" t="n">
        <f aca="false">Staff!AT5</f>
        <v>4</v>
      </c>
      <c r="AU5" s="54" t="n">
        <f aca="false">Staff!AU5</f>
        <v>4</v>
      </c>
      <c r="AV5" s="54" t="n">
        <f aca="false">Staff!AV5</f>
        <v>4</v>
      </c>
      <c r="AW5" s="54" t="n">
        <f aca="false">Staff!AW5</f>
        <v>4</v>
      </c>
      <c r="AX5" s="54" t="n">
        <f aca="false">Staff!AX5</f>
        <v>4</v>
      </c>
      <c r="AY5" s="54" t="n">
        <f aca="false">Staff!AY5</f>
        <v>4</v>
      </c>
      <c r="AZ5" s="54" t="n">
        <f aca="false">Staff!AZ5</f>
        <v>4</v>
      </c>
      <c r="BA5" s="54" t="n">
        <f aca="false">Staff!BA5</f>
        <v>5</v>
      </c>
      <c r="BB5" s="54" t="n">
        <f aca="false">Staff!BB5</f>
        <v>5</v>
      </c>
      <c r="BC5" s="54" t="n">
        <f aca="false">Staff!BC5</f>
        <v>5</v>
      </c>
      <c r="BD5" s="54" t="n">
        <f aca="false">Staff!BD5</f>
        <v>5</v>
      </c>
      <c r="BE5" s="54" t="n">
        <f aca="false">Staff!BE5</f>
        <v>5</v>
      </c>
      <c r="BF5" s="54" t="n">
        <f aca="false">Staff!BF5</f>
        <v>5</v>
      </c>
      <c r="BG5" s="54" t="n">
        <f aca="false">Staff!BG5</f>
        <v>5</v>
      </c>
      <c r="BH5" s="54" t="n">
        <f aca="false">Staff!BH5</f>
        <v>5</v>
      </c>
      <c r="BI5" s="54" t="n">
        <f aca="false">Staff!BI5</f>
        <v>5</v>
      </c>
      <c r="BJ5" s="54" t="n">
        <f aca="false">Staff!BJ5</f>
        <v>5</v>
      </c>
      <c r="BK5" s="54" t="n">
        <f aca="false">Staff!BK5</f>
        <v>5</v>
      </c>
      <c r="BL5" s="54" t="n">
        <f aca="false">Staff!BL5</f>
        <v>5</v>
      </c>
    </row>
    <row r="8" customFormat="false" ht="15" hidden="false" customHeight="false" outlineLevel="0" collapsed="false">
      <c r="A8" s="10" t="s">
        <v>683</v>
      </c>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row>
    <row r="10" customFormat="false" ht="15" hidden="false" customHeight="false" outlineLevel="0" collapsed="false">
      <c r="A10" s="10" t="s">
        <v>684</v>
      </c>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row>
    <row r="11" customFormat="false" ht="15" hidden="false" customHeight="false" outlineLevel="0" collapsed="false">
      <c r="A11" s="12" t="str">
        <f aca="false">Staff!A39</f>
        <v>CEO (full salary from year 2) · SN</v>
      </c>
      <c r="B11" s="14" t="s">
        <v>73</v>
      </c>
      <c r="D11" s="55" t="n">
        <f aca="false">Staff!D39/FX_EUR</f>
        <v>269071.934212151</v>
      </c>
      <c r="E11" s="37" t="n">
        <f aca="false">Staff!E39/FX_EUR</f>
        <v>0</v>
      </c>
      <c r="F11" s="37" t="n">
        <f aca="false">Staff!F39/FX_EUR</f>
        <v>0</v>
      </c>
      <c r="G11" s="37" t="n">
        <f aca="false">Staff!G39/FX_EUR</f>
        <v>0</v>
      </c>
      <c r="H11" s="37" t="n">
        <f aca="false">Staff!H39/FX_EUR</f>
        <v>0</v>
      </c>
      <c r="I11" s="37" t="n">
        <f aca="false">Staff!I39/FX_EUR</f>
        <v>0</v>
      </c>
      <c r="J11" s="37" t="n">
        <f aca="false">Staff!J39/FX_EUR</f>
        <v>0</v>
      </c>
      <c r="K11" s="37" t="n">
        <f aca="false">Staff!K39/FX_EUR</f>
        <v>0</v>
      </c>
      <c r="L11" s="37" t="n">
        <f aca="false">Staff!L39/FX_EUR</f>
        <v>0</v>
      </c>
      <c r="M11" s="37" t="n">
        <f aca="false">Staff!M39/FX_EUR</f>
        <v>0</v>
      </c>
      <c r="N11" s="37" t="n">
        <f aca="false">Staff!N39/FX_EUR</f>
        <v>0</v>
      </c>
      <c r="O11" s="37" t="n">
        <f aca="false">Staff!O39/FX_EUR</f>
        <v>0</v>
      </c>
      <c r="P11" s="37" t="n">
        <f aca="false">Staff!P39/FX_EUR</f>
        <v>0</v>
      </c>
      <c r="Q11" s="37" t="n">
        <f aca="false">Staff!Q39/FX_EUR</f>
        <v>5202.32271322663</v>
      </c>
      <c r="R11" s="37" t="n">
        <f aca="false">Staff!R39/FX_EUR</f>
        <v>5202.32271322663</v>
      </c>
      <c r="S11" s="37" t="n">
        <f aca="false">Staff!S39/FX_EUR</f>
        <v>5202.32271322663</v>
      </c>
      <c r="T11" s="37" t="n">
        <f aca="false">Staff!T39/FX_EUR</f>
        <v>5202.32271322663</v>
      </c>
      <c r="U11" s="37" t="n">
        <f aca="false">Staff!U39/FX_EUR</f>
        <v>5202.32271322663</v>
      </c>
      <c r="V11" s="37" t="n">
        <f aca="false">Staff!V39/FX_EUR</f>
        <v>5202.32271322663</v>
      </c>
      <c r="W11" s="37" t="n">
        <f aca="false">Staff!W39/FX_EUR</f>
        <v>5202.32271322663</v>
      </c>
      <c r="X11" s="37" t="n">
        <f aca="false">Staff!X39/FX_EUR</f>
        <v>5202.32271322663</v>
      </c>
      <c r="Y11" s="37" t="n">
        <f aca="false">Staff!Y39/FX_EUR</f>
        <v>5202.32271322663</v>
      </c>
      <c r="Z11" s="37" t="n">
        <f aca="false">Staff!Z39/FX_EUR</f>
        <v>5202.32271322663</v>
      </c>
      <c r="AA11" s="37" t="n">
        <f aca="false">Staff!AA39/FX_EUR</f>
        <v>5202.32271322663</v>
      </c>
      <c r="AB11" s="37" t="n">
        <f aca="false">Staff!AB39/FX_EUR</f>
        <v>5202.32271322663</v>
      </c>
      <c r="AC11" s="37" t="n">
        <f aca="false">Staff!AC39/FX_EUR</f>
        <v>5462.43884888796</v>
      </c>
      <c r="AD11" s="37" t="n">
        <f aca="false">Staff!AD39/FX_EUR</f>
        <v>5462.43884888796</v>
      </c>
      <c r="AE11" s="37" t="n">
        <f aca="false">Staff!AE39/FX_EUR</f>
        <v>5462.43884888796</v>
      </c>
      <c r="AF11" s="37" t="n">
        <f aca="false">Staff!AF39/FX_EUR</f>
        <v>5462.43884888796</v>
      </c>
      <c r="AG11" s="37" t="n">
        <f aca="false">Staff!AG39/FX_EUR</f>
        <v>5462.43884888796</v>
      </c>
      <c r="AH11" s="37" t="n">
        <f aca="false">Staff!AH39/FX_EUR</f>
        <v>5462.43884888796</v>
      </c>
      <c r="AI11" s="37" t="n">
        <f aca="false">Staff!AI39/FX_EUR</f>
        <v>5462.43884888796</v>
      </c>
      <c r="AJ11" s="37" t="n">
        <f aca="false">Staff!AJ39/FX_EUR</f>
        <v>5462.43884888796</v>
      </c>
      <c r="AK11" s="37" t="n">
        <f aca="false">Staff!AK39/FX_EUR</f>
        <v>5462.43884888796</v>
      </c>
      <c r="AL11" s="37" t="n">
        <f aca="false">Staff!AL39/FX_EUR</f>
        <v>5462.43884888796</v>
      </c>
      <c r="AM11" s="37" t="n">
        <f aca="false">Staff!AM39/FX_EUR</f>
        <v>5462.43884888796</v>
      </c>
      <c r="AN11" s="37" t="n">
        <f aca="false">Staff!AN39/FX_EUR</f>
        <v>5462.43884888796</v>
      </c>
      <c r="AO11" s="37" t="n">
        <f aca="false">Staff!AO39/FX_EUR</f>
        <v>5735.56079133236</v>
      </c>
      <c r="AP11" s="37" t="n">
        <f aca="false">Staff!AP39/FX_EUR</f>
        <v>5735.56079133236</v>
      </c>
      <c r="AQ11" s="37" t="n">
        <f aca="false">Staff!AQ39/FX_EUR</f>
        <v>5735.56079133236</v>
      </c>
      <c r="AR11" s="37" t="n">
        <f aca="false">Staff!AR39/FX_EUR</f>
        <v>5735.56079133236</v>
      </c>
      <c r="AS11" s="37" t="n">
        <f aca="false">Staff!AS39/FX_EUR</f>
        <v>5735.56079133236</v>
      </c>
      <c r="AT11" s="37" t="n">
        <f aca="false">Staff!AT39/FX_EUR</f>
        <v>5735.56079133236</v>
      </c>
      <c r="AU11" s="37" t="n">
        <f aca="false">Staff!AU39/FX_EUR</f>
        <v>5735.56079133236</v>
      </c>
      <c r="AV11" s="37" t="n">
        <f aca="false">Staff!AV39/FX_EUR</f>
        <v>5735.56079133236</v>
      </c>
      <c r="AW11" s="37" t="n">
        <f aca="false">Staff!AW39/FX_EUR</f>
        <v>5735.56079133236</v>
      </c>
      <c r="AX11" s="37" t="n">
        <f aca="false">Staff!AX39/FX_EUR</f>
        <v>5735.56079133236</v>
      </c>
      <c r="AY11" s="37" t="n">
        <f aca="false">Staff!AY39/FX_EUR</f>
        <v>5735.56079133236</v>
      </c>
      <c r="AZ11" s="37" t="n">
        <f aca="false">Staff!AZ39/FX_EUR</f>
        <v>5735.56079133236</v>
      </c>
      <c r="BA11" s="37" t="n">
        <f aca="false">Staff!BA39/FX_EUR</f>
        <v>6022.33883089898</v>
      </c>
      <c r="BB11" s="37" t="n">
        <f aca="false">Staff!BB39/FX_EUR</f>
        <v>6022.33883089898</v>
      </c>
      <c r="BC11" s="37" t="n">
        <f aca="false">Staff!BC39/FX_EUR</f>
        <v>6022.33883089898</v>
      </c>
      <c r="BD11" s="37" t="n">
        <f aca="false">Staff!BD39/FX_EUR</f>
        <v>6022.33883089898</v>
      </c>
      <c r="BE11" s="37" t="n">
        <f aca="false">Staff!BE39/FX_EUR</f>
        <v>6022.33883089898</v>
      </c>
      <c r="BF11" s="37" t="n">
        <f aca="false">Staff!BF39/FX_EUR</f>
        <v>6022.33883089898</v>
      </c>
      <c r="BG11" s="37" t="n">
        <f aca="false">Staff!BG39/FX_EUR</f>
        <v>6022.33883089898</v>
      </c>
      <c r="BH11" s="37" t="n">
        <f aca="false">Staff!BH39/FX_EUR</f>
        <v>6022.33883089898</v>
      </c>
      <c r="BI11" s="37" t="n">
        <f aca="false">Staff!BI39/FX_EUR</f>
        <v>6022.33883089898</v>
      </c>
      <c r="BJ11" s="37" t="n">
        <f aca="false">Staff!BJ39/FX_EUR</f>
        <v>6022.33883089898</v>
      </c>
      <c r="BK11" s="37" t="n">
        <f aca="false">Staff!BK39/FX_EUR</f>
        <v>6022.33883089898</v>
      </c>
      <c r="BL11" s="37" t="n">
        <f aca="false">Staff!BL39/FX_EUR</f>
        <v>6022.33883089898</v>
      </c>
    </row>
    <row r="12" customFormat="false" ht="15" hidden="false" customHeight="false" outlineLevel="0" collapsed="false">
      <c r="A12" s="12" t="str">
        <f aca="false">Staff!A40</f>
        <v>CTO (also codes) · SN</v>
      </c>
      <c r="B12" s="14" t="s">
        <v>73</v>
      </c>
      <c r="D12" s="55" t="n">
        <f aca="false">Staff!D40/FX_EUR</f>
        <v>328527.050934741</v>
      </c>
      <c r="E12" s="37" t="n">
        <f aca="false">Staff!E40/FX_EUR</f>
        <v>4954.59306021584</v>
      </c>
      <c r="F12" s="37" t="n">
        <f aca="false">Staff!F40/FX_EUR</f>
        <v>4954.59306021584</v>
      </c>
      <c r="G12" s="37" t="n">
        <f aca="false">Staff!G40/FX_EUR</f>
        <v>4954.59306021584</v>
      </c>
      <c r="H12" s="37" t="n">
        <f aca="false">Staff!H40/FX_EUR</f>
        <v>4954.59306021584</v>
      </c>
      <c r="I12" s="37" t="n">
        <f aca="false">Staff!I40/FX_EUR</f>
        <v>4954.59306021584</v>
      </c>
      <c r="J12" s="37" t="n">
        <f aca="false">Staff!J40/FX_EUR</f>
        <v>4954.59306021584</v>
      </c>
      <c r="K12" s="37" t="n">
        <f aca="false">Staff!K40/FX_EUR</f>
        <v>4954.59306021584</v>
      </c>
      <c r="L12" s="37" t="n">
        <f aca="false">Staff!L40/FX_EUR</f>
        <v>4954.59306021584</v>
      </c>
      <c r="M12" s="37" t="n">
        <f aca="false">Staff!M40/FX_EUR</f>
        <v>4954.59306021584</v>
      </c>
      <c r="N12" s="37" t="n">
        <f aca="false">Staff!N40/FX_EUR</f>
        <v>4954.59306021584</v>
      </c>
      <c r="O12" s="37" t="n">
        <f aca="false">Staff!O40/FX_EUR</f>
        <v>4954.59306021584</v>
      </c>
      <c r="P12" s="37" t="n">
        <f aca="false">Staff!P40/FX_EUR</f>
        <v>4954.59306021584</v>
      </c>
      <c r="Q12" s="37" t="n">
        <f aca="false">Staff!Q40/FX_EUR</f>
        <v>5202.32271322663</v>
      </c>
      <c r="R12" s="37" t="n">
        <f aca="false">Staff!R40/FX_EUR</f>
        <v>5202.32271322663</v>
      </c>
      <c r="S12" s="37" t="n">
        <f aca="false">Staff!S40/FX_EUR</f>
        <v>5202.32271322663</v>
      </c>
      <c r="T12" s="37" t="n">
        <f aca="false">Staff!T40/FX_EUR</f>
        <v>5202.32271322663</v>
      </c>
      <c r="U12" s="37" t="n">
        <f aca="false">Staff!U40/FX_EUR</f>
        <v>5202.32271322663</v>
      </c>
      <c r="V12" s="37" t="n">
        <f aca="false">Staff!V40/FX_EUR</f>
        <v>5202.32271322663</v>
      </c>
      <c r="W12" s="37" t="n">
        <f aca="false">Staff!W40/FX_EUR</f>
        <v>5202.32271322663</v>
      </c>
      <c r="X12" s="37" t="n">
        <f aca="false">Staff!X40/FX_EUR</f>
        <v>5202.32271322663</v>
      </c>
      <c r="Y12" s="37" t="n">
        <f aca="false">Staff!Y40/FX_EUR</f>
        <v>5202.32271322663</v>
      </c>
      <c r="Z12" s="37" t="n">
        <f aca="false">Staff!Z40/FX_EUR</f>
        <v>5202.32271322663</v>
      </c>
      <c r="AA12" s="37" t="n">
        <f aca="false">Staff!AA40/FX_EUR</f>
        <v>5202.32271322663</v>
      </c>
      <c r="AB12" s="37" t="n">
        <f aca="false">Staff!AB40/FX_EUR</f>
        <v>5202.32271322663</v>
      </c>
      <c r="AC12" s="37" t="n">
        <f aca="false">Staff!AC40/FX_EUR</f>
        <v>5462.43884888796</v>
      </c>
      <c r="AD12" s="37" t="n">
        <f aca="false">Staff!AD40/FX_EUR</f>
        <v>5462.43884888796</v>
      </c>
      <c r="AE12" s="37" t="n">
        <f aca="false">Staff!AE40/FX_EUR</f>
        <v>5462.43884888796</v>
      </c>
      <c r="AF12" s="37" t="n">
        <f aca="false">Staff!AF40/FX_EUR</f>
        <v>5462.43884888796</v>
      </c>
      <c r="AG12" s="37" t="n">
        <f aca="false">Staff!AG40/FX_EUR</f>
        <v>5462.43884888796</v>
      </c>
      <c r="AH12" s="37" t="n">
        <f aca="false">Staff!AH40/FX_EUR</f>
        <v>5462.43884888796</v>
      </c>
      <c r="AI12" s="37" t="n">
        <f aca="false">Staff!AI40/FX_EUR</f>
        <v>5462.43884888796</v>
      </c>
      <c r="AJ12" s="37" t="n">
        <f aca="false">Staff!AJ40/FX_EUR</f>
        <v>5462.43884888796</v>
      </c>
      <c r="AK12" s="37" t="n">
        <f aca="false">Staff!AK40/FX_EUR</f>
        <v>5462.43884888796</v>
      </c>
      <c r="AL12" s="37" t="n">
        <f aca="false">Staff!AL40/FX_EUR</f>
        <v>5462.43884888796</v>
      </c>
      <c r="AM12" s="37" t="n">
        <f aca="false">Staff!AM40/FX_EUR</f>
        <v>5462.43884888796</v>
      </c>
      <c r="AN12" s="37" t="n">
        <f aca="false">Staff!AN40/FX_EUR</f>
        <v>5462.43884888796</v>
      </c>
      <c r="AO12" s="37" t="n">
        <f aca="false">Staff!AO40/FX_EUR</f>
        <v>5735.56079133236</v>
      </c>
      <c r="AP12" s="37" t="n">
        <f aca="false">Staff!AP40/FX_EUR</f>
        <v>5735.56079133236</v>
      </c>
      <c r="AQ12" s="37" t="n">
        <f aca="false">Staff!AQ40/FX_EUR</f>
        <v>5735.56079133236</v>
      </c>
      <c r="AR12" s="37" t="n">
        <f aca="false">Staff!AR40/FX_EUR</f>
        <v>5735.56079133236</v>
      </c>
      <c r="AS12" s="37" t="n">
        <f aca="false">Staff!AS40/FX_EUR</f>
        <v>5735.56079133236</v>
      </c>
      <c r="AT12" s="37" t="n">
        <f aca="false">Staff!AT40/FX_EUR</f>
        <v>5735.56079133236</v>
      </c>
      <c r="AU12" s="37" t="n">
        <f aca="false">Staff!AU40/FX_EUR</f>
        <v>5735.56079133236</v>
      </c>
      <c r="AV12" s="37" t="n">
        <f aca="false">Staff!AV40/FX_EUR</f>
        <v>5735.56079133236</v>
      </c>
      <c r="AW12" s="37" t="n">
        <f aca="false">Staff!AW40/FX_EUR</f>
        <v>5735.56079133236</v>
      </c>
      <c r="AX12" s="37" t="n">
        <f aca="false">Staff!AX40/FX_EUR</f>
        <v>5735.56079133236</v>
      </c>
      <c r="AY12" s="37" t="n">
        <f aca="false">Staff!AY40/FX_EUR</f>
        <v>5735.56079133236</v>
      </c>
      <c r="AZ12" s="37" t="n">
        <f aca="false">Staff!AZ40/FX_EUR</f>
        <v>5735.56079133236</v>
      </c>
      <c r="BA12" s="37" t="n">
        <f aca="false">Staff!BA40/FX_EUR</f>
        <v>6022.33883089898</v>
      </c>
      <c r="BB12" s="37" t="n">
        <f aca="false">Staff!BB40/FX_EUR</f>
        <v>6022.33883089898</v>
      </c>
      <c r="BC12" s="37" t="n">
        <f aca="false">Staff!BC40/FX_EUR</f>
        <v>6022.33883089898</v>
      </c>
      <c r="BD12" s="37" t="n">
        <f aca="false">Staff!BD40/FX_EUR</f>
        <v>6022.33883089898</v>
      </c>
      <c r="BE12" s="37" t="n">
        <f aca="false">Staff!BE40/FX_EUR</f>
        <v>6022.33883089898</v>
      </c>
      <c r="BF12" s="37" t="n">
        <f aca="false">Staff!BF40/FX_EUR</f>
        <v>6022.33883089898</v>
      </c>
      <c r="BG12" s="37" t="n">
        <f aca="false">Staff!BG40/FX_EUR</f>
        <v>6022.33883089898</v>
      </c>
      <c r="BH12" s="37" t="n">
        <f aca="false">Staff!BH40/FX_EUR</f>
        <v>6022.33883089898</v>
      </c>
      <c r="BI12" s="37" t="n">
        <f aca="false">Staff!BI40/FX_EUR</f>
        <v>6022.33883089898</v>
      </c>
      <c r="BJ12" s="37" t="n">
        <f aca="false">Staff!BJ40/FX_EUR</f>
        <v>6022.33883089898</v>
      </c>
      <c r="BK12" s="37" t="n">
        <f aca="false">Staff!BK40/FX_EUR</f>
        <v>6022.33883089898</v>
      </c>
      <c r="BL12" s="37" t="n">
        <f aca="false">Staff!BL40/FX_EUR</f>
        <v>6022.33883089898</v>
      </c>
    </row>
    <row r="13" customFormat="false" ht="15" hidden="false" customHeight="false" outlineLevel="0" collapsed="false">
      <c r="A13" s="12" t="str">
        <f aca="false">Staff!A41</f>
        <v>Financial expert (finance, partners, credit lead) · SN</v>
      </c>
      <c r="B13" s="14" t="s">
        <v>73</v>
      </c>
      <c r="D13" s="55" t="n">
        <f aca="false">Staff!D41/FX_EUR</f>
        <v>197116.230560845</v>
      </c>
      <c r="E13" s="37" t="n">
        <f aca="false">Staff!E41/FX_EUR</f>
        <v>2972.7558361295</v>
      </c>
      <c r="F13" s="37" t="n">
        <f aca="false">Staff!F41/FX_EUR</f>
        <v>2972.7558361295</v>
      </c>
      <c r="G13" s="37" t="n">
        <f aca="false">Staff!G41/FX_EUR</f>
        <v>2972.7558361295</v>
      </c>
      <c r="H13" s="37" t="n">
        <f aca="false">Staff!H41/FX_EUR</f>
        <v>2972.7558361295</v>
      </c>
      <c r="I13" s="37" t="n">
        <f aca="false">Staff!I41/FX_EUR</f>
        <v>2972.7558361295</v>
      </c>
      <c r="J13" s="37" t="n">
        <f aca="false">Staff!J41/FX_EUR</f>
        <v>2972.7558361295</v>
      </c>
      <c r="K13" s="37" t="n">
        <f aca="false">Staff!K41/FX_EUR</f>
        <v>2972.7558361295</v>
      </c>
      <c r="L13" s="37" t="n">
        <f aca="false">Staff!L41/FX_EUR</f>
        <v>2972.7558361295</v>
      </c>
      <c r="M13" s="37" t="n">
        <f aca="false">Staff!M41/FX_EUR</f>
        <v>2972.7558361295</v>
      </c>
      <c r="N13" s="37" t="n">
        <f aca="false">Staff!N41/FX_EUR</f>
        <v>2972.7558361295</v>
      </c>
      <c r="O13" s="37" t="n">
        <f aca="false">Staff!O41/FX_EUR</f>
        <v>2972.7558361295</v>
      </c>
      <c r="P13" s="37" t="n">
        <f aca="false">Staff!P41/FX_EUR</f>
        <v>2972.7558361295</v>
      </c>
      <c r="Q13" s="37" t="n">
        <f aca="false">Staff!Q41/FX_EUR</f>
        <v>3121.39362793598</v>
      </c>
      <c r="R13" s="37" t="n">
        <f aca="false">Staff!R41/FX_EUR</f>
        <v>3121.39362793598</v>
      </c>
      <c r="S13" s="37" t="n">
        <f aca="false">Staff!S41/FX_EUR</f>
        <v>3121.39362793598</v>
      </c>
      <c r="T13" s="37" t="n">
        <f aca="false">Staff!T41/FX_EUR</f>
        <v>3121.39362793598</v>
      </c>
      <c r="U13" s="37" t="n">
        <f aca="false">Staff!U41/FX_EUR</f>
        <v>3121.39362793598</v>
      </c>
      <c r="V13" s="37" t="n">
        <f aca="false">Staff!V41/FX_EUR</f>
        <v>3121.39362793598</v>
      </c>
      <c r="W13" s="37" t="n">
        <f aca="false">Staff!W41/FX_EUR</f>
        <v>3121.39362793598</v>
      </c>
      <c r="X13" s="37" t="n">
        <f aca="false">Staff!X41/FX_EUR</f>
        <v>3121.39362793598</v>
      </c>
      <c r="Y13" s="37" t="n">
        <f aca="false">Staff!Y41/FX_EUR</f>
        <v>3121.39362793598</v>
      </c>
      <c r="Z13" s="37" t="n">
        <f aca="false">Staff!Z41/FX_EUR</f>
        <v>3121.39362793598</v>
      </c>
      <c r="AA13" s="37" t="n">
        <f aca="false">Staff!AA41/FX_EUR</f>
        <v>3121.39362793598</v>
      </c>
      <c r="AB13" s="37" t="n">
        <f aca="false">Staff!AB41/FX_EUR</f>
        <v>3121.39362793598</v>
      </c>
      <c r="AC13" s="37" t="n">
        <f aca="false">Staff!AC41/FX_EUR</f>
        <v>3277.46330933278</v>
      </c>
      <c r="AD13" s="37" t="n">
        <f aca="false">Staff!AD41/FX_EUR</f>
        <v>3277.46330933278</v>
      </c>
      <c r="AE13" s="37" t="n">
        <f aca="false">Staff!AE41/FX_EUR</f>
        <v>3277.46330933278</v>
      </c>
      <c r="AF13" s="37" t="n">
        <f aca="false">Staff!AF41/FX_EUR</f>
        <v>3277.46330933278</v>
      </c>
      <c r="AG13" s="37" t="n">
        <f aca="false">Staff!AG41/FX_EUR</f>
        <v>3277.46330933278</v>
      </c>
      <c r="AH13" s="37" t="n">
        <f aca="false">Staff!AH41/FX_EUR</f>
        <v>3277.46330933278</v>
      </c>
      <c r="AI13" s="37" t="n">
        <f aca="false">Staff!AI41/FX_EUR</f>
        <v>3277.46330933278</v>
      </c>
      <c r="AJ13" s="37" t="n">
        <f aca="false">Staff!AJ41/FX_EUR</f>
        <v>3277.46330933278</v>
      </c>
      <c r="AK13" s="37" t="n">
        <f aca="false">Staff!AK41/FX_EUR</f>
        <v>3277.46330933278</v>
      </c>
      <c r="AL13" s="37" t="n">
        <f aca="false">Staff!AL41/FX_EUR</f>
        <v>3277.46330933278</v>
      </c>
      <c r="AM13" s="37" t="n">
        <f aca="false">Staff!AM41/FX_EUR</f>
        <v>3277.46330933278</v>
      </c>
      <c r="AN13" s="37" t="n">
        <f aca="false">Staff!AN41/FX_EUR</f>
        <v>3277.46330933278</v>
      </c>
      <c r="AO13" s="37" t="n">
        <f aca="false">Staff!AO41/FX_EUR</f>
        <v>3441.33647479942</v>
      </c>
      <c r="AP13" s="37" t="n">
        <f aca="false">Staff!AP41/FX_EUR</f>
        <v>3441.33647479942</v>
      </c>
      <c r="AQ13" s="37" t="n">
        <f aca="false">Staff!AQ41/FX_EUR</f>
        <v>3441.33647479942</v>
      </c>
      <c r="AR13" s="37" t="n">
        <f aca="false">Staff!AR41/FX_EUR</f>
        <v>3441.33647479942</v>
      </c>
      <c r="AS13" s="37" t="n">
        <f aca="false">Staff!AS41/FX_EUR</f>
        <v>3441.33647479942</v>
      </c>
      <c r="AT13" s="37" t="n">
        <f aca="false">Staff!AT41/FX_EUR</f>
        <v>3441.33647479942</v>
      </c>
      <c r="AU13" s="37" t="n">
        <f aca="false">Staff!AU41/FX_EUR</f>
        <v>3441.33647479942</v>
      </c>
      <c r="AV13" s="37" t="n">
        <f aca="false">Staff!AV41/FX_EUR</f>
        <v>3441.33647479942</v>
      </c>
      <c r="AW13" s="37" t="n">
        <f aca="false">Staff!AW41/FX_EUR</f>
        <v>3441.33647479942</v>
      </c>
      <c r="AX13" s="37" t="n">
        <f aca="false">Staff!AX41/FX_EUR</f>
        <v>3441.33647479942</v>
      </c>
      <c r="AY13" s="37" t="n">
        <f aca="false">Staff!AY41/FX_EUR</f>
        <v>3441.33647479942</v>
      </c>
      <c r="AZ13" s="37" t="n">
        <f aca="false">Staff!AZ41/FX_EUR</f>
        <v>3441.33647479942</v>
      </c>
      <c r="BA13" s="37" t="n">
        <f aca="false">Staff!BA41/FX_EUR</f>
        <v>3613.40329853939</v>
      </c>
      <c r="BB13" s="37" t="n">
        <f aca="false">Staff!BB41/FX_EUR</f>
        <v>3613.40329853939</v>
      </c>
      <c r="BC13" s="37" t="n">
        <f aca="false">Staff!BC41/FX_EUR</f>
        <v>3613.40329853939</v>
      </c>
      <c r="BD13" s="37" t="n">
        <f aca="false">Staff!BD41/FX_EUR</f>
        <v>3613.40329853939</v>
      </c>
      <c r="BE13" s="37" t="n">
        <f aca="false">Staff!BE41/FX_EUR</f>
        <v>3613.40329853939</v>
      </c>
      <c r="BF13" s="37" t="n">
        <f aca="false">Staff!BF41/FX_EUR</f>
        <v>3613.40329853939</v>
      </c>
      <c r="BG13" s="37" t="n">
        <f aca="false">Staff!BG41/FX_EUR</f>
        <v>3613.40329853939</v>
      </c>
      <c r="BH13" s="37" t="n">
        <f aca="false">Staff!BH41/FX_EUR</f>
        <v>3613.40329853939</v>
      </c>
      <c r="BI13" s="37" t="n">
        <f aca="false">Staff!BI41/FX_EUR</f>
        <v>3613.40329853939</v>
      </c>
      <c r="BJ13" s="37" t="n">
        <f aca="false">Staff!BJ41/FX_EUR</f>
        <v>3613.40329853939</v>
      </c>
      <c r="BK13" s="37" t="n">
        <f aca="false">Staff!BK41/FX_EUR</f>
        <v>3613.40329853939</v>
      </c>
      <c r="BL13" s="37" t="n">
        <f aca="false">Staff!BL41/FX_EUR</f>
        <v>3613.40329853939</v>
      </c>
    </row>
    <row r="14" customFormat="false" ht="15" hidden="false" customHeight="false" outlineLevel="0" collapsed="false">
      <c r="A14" s="12" t="str">
        <f aca="false">Staff!A42</f>
        <v>Sales lead (also sells; incl. bonus) · SN</v>
      </c>
      <c r="B14" s="14" t="s">
        <v>73</v>
      </c>
      <c r="D14" s="55" t="n">
        <f aca="false">Staff!D42/FX_EUR</f>
        <v>157692.984448676</v>
      </c>
      <c r="E14" s="37" t="n">
        <f aca="false">Staff!E42/FX_EUR</f>
        <v>2378.2046689036</v>
      </c>
      <c r="F14" s="37" t="n">
        <f aca="false">Staff!F42/FX_EUR</f>
        <v>2378.2046689036</v>
      </c>
      <c r="G14" s="37" t="n">
        <f aca="false">Staff!G42/FX_EUR</f>
        <v>2378.2046689036</v>
      </c>
      <c r="H14" s="37" t="n">
        <f aca="false">Staff!H42/FX_EUR</f>
        <v>2378.2046689036</v>
      </c>
      <c r="I14" s="37" t="n">
        <f aca="false">Staff!I42/FX_EUR</f>
        <v>2378.2046689036</v>
      </c>
      <c r="J14" s="37" t="n">
        <f aca="false">Staff!J42/FX_EUR</f>
        <v>2378.2046689036</v>
      </c>
      <c r="K14" s="37" t="n">
        <f aca="false">Staff!K42/FX_EUR</f>
        <v>2378.2046689036</v>
      </c>
      <c r="L14" s="37" t="n">
        <f aca="false">Staff!L42/FX_EUR</f>
        <v>2378.2046689036</v>
      </c>
      <c r="M14" s="37" t="n">
        <f aca="false">Staff!M42/FX_EUR</f>
        <v>2378.2046689036</v>
      </c>
      <c r="N14" s="37" t="n">
        <f aca="false">Staff!N42/FX_EUR</f>
        <v>2378.2046689036</v>
      </c>
      <c r="O14" s="37" t="n">
        <f aca="false">Staff!O42/FX_EUR</f>
        <v>2378.2046689036</v>
      </c>
      <c r="P14" s="37" t="n">
        <f aca="false">Staff!P42/FX_EUR</f>
        <v>2378.2046689036</v>
      </c>
      <c r="Q14" s="37" t="n">
        <f aca="false">Staff!Q42/FX_EUR</f>
        <v>2497.11490234878</v>
      </c>
      <c r="R14" s="37" t="n">
        <f aca="false">Staff!R42/FX_EUR</f>
        <v>2497.11490234878</v>
      </c>
      <c r="S14" s="37" t="n">
        <f aca="false">Staff!S42/FX_EUR</f>
        <v>2497.11490234878</v>
      </c>
      <c r="T14" s="37" t="n">
        <f aca="false">Staff!T42/FX_EUR</f>
        <v>2497.11490234878</v>
      </c>
      <c r="U14" s="37" t="n">
        <f aca="false">Staff!U42/FX_EUR</f>
        <v>2497.11490234878</v>
      </c>
      <c r="V14" s="37" t="n">
        <f aca="false">Staff!V42/FX_EUR</f>
        <v>2497.11490234878</v>
      </c>
      <c r="W14" s="37" t="n">
        <f aca="false">Staff!W42/FX_EUR</f>
        <v>2497.11490234878</v>
      </c>
      <c r="X14" s="37" t="n">
        <f aca="false">Staff!X42/FX_EUR</f>
        <v>2497.11490234878</v>
      </c>
      <c r="Y14" s="37" t="n">
        <f aca="false">Staff!Y42/FX_EUR</f>
        <v>2497.11490234878</v>
      </c>
      <c r="Z14" s="37" t="n">
        <f aca="false">Staff!Z42/FX_EUR</f>
        <v>2497.11490234878</v>
      </c>
      <c r="AA14" s="37" t="n">
        <f aca="false">Staff!AA42/FX_EUR</f>
        <v>2497.11490234878</v>
      </c>
      <c r="AB14" s="37" t="n">
        <f aca="false">Staff!AB42/FX_EUR</f>
        <v>2497.11490234878</v>
      </c>
      <c r="AC14" s="37" t="n">
        <f aca="false">Staff!AC42/FX_EUR</f>
        <v>2621.97064746622</v>
      </c>
      <c r="AD14" s="37" t="n">
        <f aca="false">Staff!AD42/FX_EUR</f>
        <v>2621.97064746622</v>
      </c>
      <c r="AE14" s="37" t="n">
        <f aca="false">Staff!AE42/FX_EUR</f>
        <v>2621.97064746622</v>
      </c>
      <c r="AF14" s="37" t="n">
        <f aca="false">Staff!AF42/FX_EUR</f>
        <v>2621.97064746622</v>
      </c>
      <c r="AG14" s="37" t="n">
        <f aca="false">Staff!AG42/FX_EUR</f>
        <v>2621.97064746622</v>
      </c>
      <c r="AH14" s="37" t="n">
        <f aca="false">Staff!AH42/FX_EUR</f>
        <v>2621.97064746622</v>
      </c>
      <c r="AI14" s="37" t="n">
        <f aca="false">Staff!AI42/FX_EUR</f>
        <v>2621.97064746622</v>
      </c>
      <c r="AJ14" s="37" t="n">
        <f aca="false">Staff!AJ42/FX_EUR</f>
        <v>2621.97064746622</v>
      </c>
      <c r="AK14" s="37" t="n">
        <f aca="false">Staff!AK42/FX_EUR</f>
        <v>2621.97064746622</v>
      </c>
      <c r="AL14" s="37" t="n">
        <f aca="false">Staff!AL42/FX_EUR</f>
        <v>2621.97064746622</v>
      </c>
      <c r="AM14" s="37" t="n">
        <f aca="false">Staff!AM42/FX_EUR</f>
        <v>2621.97064746622</v>
      </c>
      <c r="AN14" s="37" t="n">
        <f aca="false">Staff!AN42/FX_EUR</f>
        <v>2621.97064746622</v>
      </c>
      <c r="AO14" s="37" t="n">
        <f aca="false">Staff!AO42/FX_EUR</f>
        <v>2753.06917983953</v>
      </c>
      <c r="AP14" s="37" t="n">
        <f aca="false">Staff!AP42/FX_EUR</f>
        <v>2753.06917983953</v>
      </c>
      <c r="AQ14" s="37" t="n">
        <f aca="false">Staff!AQ42/FX_EUR</f>
        <v>2753.06917983953</v>
      </c>
      <c r="AR14" s="37" t="n">
        <f aca="false">Staff!AR42/FX_EUR</f>
        <v>2753.06917983953</v>
      </c>
      <c r="AS14" s="37" t="n">
        <f aca="false">Staff!AS42/FX_EUR</f>
        <v>2753.06917983953</v>
      </c>
      <c r="AT14" s="37" t="n">
        <f aca="false">Staff!AT42/FX_EUR</f>
        <v>2753.06917983953</v>
      </c>
      <c r="AU14" s="37" t="n">
        <f aca="false">Staff!AU42/FX_EUR</f>
        <v>2753.06917983953</v>
      </c>
      <c r="AV14" s="37" t="n">
        <f aca="false">Staff!AV42/FX_EUR</f>
        <v>2753.06917983953</v>
      </c>
      <c r="AW14" s="37" t="n">
        <f aca="false">Staff!AW42/FX_EUR</f>
        <v>2753.06917983953</v>
      </c>
      <c r="AX14" s="37" t="n">
        <f aca="false">Staff!AX42/FX_EUR</f>
        <v>2753.06917983953</v>
      </c>
      <c r="AY14" s="37" t="n">
        <f aca="false">Staff!AY42/FX_EUR</f>
        <v>2753.06917983953</v>
      </c>
      <c r="AZ14" s="37" t="n">
        <f aca="false">Staff!AZ42/FX_EUR</f>
        <v>2753.06917983953</v>
      </c>
      <c r="BA14" s="37" t="n">
        <f aca="false">Staff!BA42/FX_EUR</f>
        <v>2890.72263883151</v>
      </c>
      <c r="BB14" s="37" t="n">
        <f aca="false">Staff!BB42/FX_EUR</f>
        <v>2890.72263883151</v>
      </c>
      <c r="BC14" s="37" t="n">
        <f aca="false">Staff!BC42/FX_EUR</f>
        <v>2890.72263883151</v>
      </c>
      <c r="BD14" s="37" t="n">
        <f aca="false">Staff!BD42/FX_EUR</f>
        <v>2890.72263883151</v>
      </c>
      <c r="BE14" s="37" t="n">
        <f aca="false">Staff!BE42/FX_EUR</f>
        <v>2890.72263883151</v>
      </c>
      <c r="BF14" s="37" t="n">
        <f aca="false">Staff!BF42/FX_EUR</f>
        <v>2890.72263883151</v>
      </c>
      <c r="BG14" s="37" t="n">
        <f aca="false">Staff!BG42/FX_EUR</f>
        <v>2890.72263883151</v>
      </c>
      <c r="BH14" s="37" t="n">
        <f aca="false">Staff!BH42/FX_EUR</f>
        <v>2890.72263883151</v>
      </c>
      <c r="BI14" s="37" t="n">
        <f aca="false">Staff!BI42/FX_EUR</f>
        <v>2890.72263883151</v>
      </c>
      <c r="BJ14" s="37" t="n">
        <f aca="false">Staff!BJ42/FX_EUR</f>
        <v>2890.72263883151</v>
      </c>
      <c r="BK14" s="37" t="n">
        <f aca="false">Staff!BK42/FX_EUR</f>
        <v>2890.72263883151</v>
      </c>
      <c r="BL14" s="37" t="n">
        <f aca="false">Staff!BL42/FX_EUR</f>
        <v>2890.72263883151</v>
      </c>
    </row>
    <row r="15" customFormat="false" ht="15" hidden="false" customHeight="false" outlineLevel="0" collapsed="false">
      <c r="A15" s="12" t="str">
        <f aca="false">Staff!A43</f>
        <v>Marketing manager (senior) · SN</v>
      </c>
      <c r="B15" s="14" t="s">
        <v>73</v>
      </c>
      <c r="D15" s="55" t="n">
        <f aca="false">Staff!D43/FX_EUR</f>
        <v>112918.777831474</v>
      </c>
      <c r="E15" s="37" t="n">
        <f aca="false">Staff!E43/FX_EUR</f>
        <v>0</v>
      </c>
      <c r="F15" s="37" t="n">
        <f aca="false">Staff!F43/FX_EUR</f>
        <v>0</v>
      </c>
      <c r="G15" s="37" t="n">
        <f aca="false">Staff!G43/FX_EUR</f>
        <v>0</v>
      </c>
      <c r="H15" s="37" t="n">
        <f aca="false">Staff!H43/FX_EUR</f>
        <v>1783.6535016777</v>
      </c>
      <c r="I15" s="37" t="n">
        <f aca="false">Staff!I43/FX_EUR</f>
        <v>1783.6535016777</v>
      </c>
      <c r="J15" s="37" t="n">
        <f aca="false">Staff!J43/FX_EUR</f>
        <v>1783.6535016777</v>
      </c>
      <c r="K15" s="37" t="n">
        <f aca="false">Staff!K43/FX_EUR</f>
        <v>1783.6535016777</v>
      </c>
      <c r="L15" s="37" t="n">
        <f aca="false">Staff!L43/FX_EUR</f>
        <v>1783.6535016777</v>
      </c>
      <c r="M15" s="37" t="n">
        <f aca="false">Staff!M43/FX_EUR</f>
        <v>1783.6535016777</v>
      </c>
      <c r="N15" s="37" t="n">
        <f aca="false">Staff!N43/FX_EUR</f>
        <v>1783.6535016777</v>
      </c>
      <c r="O15" s="37" t="n">
        <f aca="false">Staff!O43/FX_EUR</f>
        <v>1783.6535016777</v>
      </c>
      <c r="P15" s="37" t="n">
        <f aca="false">Staff!P43/FX_EUR</f>
        <v>1783.6535016777</v>
      </c>
      <c r="Q15" s="37" t="n">
        <f aca="false">Staff!Q43/FX_EUR</f>
        <v>1872.83617676159</v>
      </c>
      <c r="R15" s="37" t="n">
        <f aca="false">Staff!R43/FX_EUR</f>
        <v>1872.83617676159</v>
      </c>
      <c r="S15" s="37" t="n">
        <f aca="false">Staff!S43/FX_EUR</f>
        <v>1872.83617676159</v>
      </c>
      <c r="T15" s="37" t="n">
        <f aca="false">Staff!T43/FX_EUR</f>
        <v>1872.83617676159</v>
      </c>
      <c r="U15" s="37" t="n">
        <f aca="false">Staff!U43/FX_EUR</f>
        <v>1872.83617676159</v>
      </c>
      <c r="V15" s="37" t="n">
        <f aca="false">Staff!V43/FX_EUR</f>
        <v>1872.83617676159</v>
      </c>
      <c r="W15" s="37" t="n">
        <f aca="false">Staff!W43/FX_EUR</f>
        <v>1872.83617676159</v>
      </c>
      <c r="X15" s="37" t="n">
        <f aca="false">Staff!X43/FX_EUR</f>
        <v>1872.83617676159</v>
      </c>
      <c r="Y15" s="37" t="n">
        <f aca="false">Staff!Y43/FX_EUR</f>
        <v>1872.83617676159</v>
      </c>
      <c r="Z15" s="37" t="n">
        <f aca="false">Staff!Z43/FX_EUR</f>
        <v>1872.83617676159</v>
      </c>
      <c r="AA15" s="37" t="n">
        <f aca="false">Staff!AA43/FX_EUR</f>
        <v>1872.83617676159</v>
      </c>
      <c r="AB15" s="37" t="n">
        <f aca="false">Staff!AB43/FX_EUR</f>
        <v>1872.83617676159</v>
      </c>
      <c r="AC15" s="37" t="n">
        <f aca="false">Staff!AC43/FX_EUR</f>
        <v>1966.47798559967</v>
      </c>
      <c r="AD15" s="37" t="n">
        <f aca="false">Staff!AD43/FX_EUR</f>
        <v>1966.47798559967</v>
      </c>
      <c r="AE15" s="37" t="n">
        <f aca="false">Staff!AE43/FX_EUR</f>
        <v>1966.47798559967</v>
      </c>
      <c r="AF15" s="37" t="n">
        <f aca="false">Staff!AF43/FX_EUR</f>
        <v>1966.47798559967</v>
      </c>
      <c r="AG15" s="37" t="n">
        <f aca="false">Staff!AG43/FX_EUR</f>
        <v>1966.47798559967</v>
      </c>
      <c r="AH15" s="37" t="n">
        <f aca="false">Staff!AH43/FX_EUR</f>
        <v>1966.47798559967</v>
      </c>
      <c r="AI15" s="37" t="n">
        <f aca="false">Staff!AI43/FX_EUR</f>
        <v>1966.47798559967</v>
      </c>
      <c r="AJ15" s="37" t="n">
        <f aca="false">Staff!AJ43/FX_EUR</f>
        <v>1966.47798559967</v>
      </c>
      <c r="AK15" s="37" t="n">
        <f aca="false">Staff!AK43/FX_EUR</f>
        <v>1966.47798559967</v>
      </c>
      <c r="AL15" s="37" t="n">
        <f aca="false">Staff!AL43/FX_EUR</f>
        <v>1966.47798559967</v>
      </c>
      <c r="AM15" s="37" t="n">
        <f aca="false">Staff!AM43/FX_EUR</f>
        <v>1966.47798559967</v>
      </c>
      <c r="AN15" s="37" t="n">
        <f aca="false">Staff!AN43/FX_EUR</f>
        <v>1966.47798559967</v>
      </c>
      <c r="AO15" s="37" t="n">
        <f aca="false">Staff!AO43/FX_EUR</f>
        <v>2064.80188487965</v>
      </c>
      <c r="AP15" s="37" t="n">
        <f aca="false">Staff!AP43/FX_EUR</f>
        <v>2064.80188487965</v>
      </c>
      <c r="AQ15" s="37" t="n">
        <f aca="false">Staff!AQ43/FX_EUR</f>
        <v>2064.80188487965</v>
      </c>
      <c r="AR15" s="37" t="n">
        <f aca="false">Staff!AR43/FX_EUR</f>
        <v>2064.80188487965</v>
      </c>
      <c r="AS15" s="37" t="n">
        <f aca="false">Staff!AS43/FX_EUR</f>
        <v>2064.80188487965</v>
      </c>
      <c r="AT15" s="37" t="n">
        <f aca="false">Staff!AT43/FX_EUR</f>
        <v>2064.80188487965</v>
      </c>
      <c r="AU15" s="37" t="n">
        <f aca="false">Staff!AU43/FX_EUR</f>
        <v>2064.80188487965</v>
      </c>
      <c r="AV15" s="37" t="n">
        <f aca="false">Staff!AV43/FX_EUR</f>
        <v>2064.80188487965</v>
      </c>
      <c r="AW15" s="37" t="n">
        <f aca="false">Staff!AW43/FX_EUR</f>
        <v>2064.80188487965</v>
      </c>
      <c r="AX15" s="37" t="n">
        <f aca="false">Staff!AX43/FX_EUR</f>
        <v>2064.80188487965</v>
      </c>
      <c r="AY15" s="37" t="n">
        <f aca="false">Staff!AY43/FX_EUR</f>
        <v>2064.80188487965</v>
      </c>
      <c r="AZ15" s="37" t="n">
        <f aca="false">Staff!AZ43/FX_EUR</f>
        <v>2064.80188487965</v>
      </c>
      <c r="BA15" s="37" t="n">
        <f aca="false">Staff!BA43/FX_EUR</f>
        <v>2168.04197912363</v>
      </c>
      <c r="BB15" s="37" t="n">
        <f aca="false">Staff!BB43/FX_EUR</f>
        <v>2168.04197912363</v>
      </c>
      <c r="BC15" s="37" t="n">
        <f aca="false">Staff!BC43/FX_EUR</f>
        <v>2168.04197912363</v>
      </c>
      <c r="BD15" s="37" t="n">
        <f aca="false">Staff!BD43/FX_EUR</f>
        <v>2168.04197912363</v>
      </c>
      <c r="BE15" s="37" t="n">
        <f aca="false">Staff!BE43/FX_EUR</f>
        <v>2168.04197912363</v>
      </c>
      <c r="BF15" s="37" t="n">
        <f aca="false">Staff!BF43/FX_EUR</f>
        <v>2168.04197912363</v>
      </c>
      <c r="BG15" s="37" t="n">
        <f aca="false">Staff!BG43/FX_EUR</f>
        <v>2168.04197912363</v>
      </c>
      <c r="BH15" s="37" t="n">
        <f aca="false">Staff!BH43/FX_EUR</f>
        <v>2168.04197912363</v>
      </c>
      <c r="BI15" s="37" t="n">
        <f aca="false">Staff!BI43/FX_EUR</f>
        <v>2168.04197912363</v>
      </c>
      <c r="BJ15" s="37" t="n">
        <f aca="false">Staff!BJ43/FX_EUR</f>
        <v>2168.04197912363</v>
      </c>
      <c r="BK15" s="37" t="n">
        <f aca="false">Staff!BK43/FX_EUR</f>
        <v>2168.04197912363</v>
      </c>
      <c r="BL15" s="37" t="n">
        <f aca="false">Staff!BL43/FX_EUR</f>
        <v>2168.04197912363</v>
      </c>
    </row>
    <row r="16" customFormat="false" ht="15" hidden="false" customHeight="false" outlineLevel="0" collapsed="false">
      <c r="A16" s="12" t="str">
        <f aca="false">Staff!A44</f>
        <v>Marketing officer (junior) · SN</v>
      </c>
      <c r="B16" s="14" t="s">
        <v>73</v>
      </c>
      <c r="D16" s="55" t="n">
        <f aca="false">Staff!D44/FX_EUR</f>
        <v>49393.3885910205</v>
      </c>
      <c r="E16" s="37" t="n">
        <f aca="false">Staff!E44/FX_EUR</f>
        <v>0</v>
      </c>
      <c r="F16" s="37" t="n">
        <f aca="false">Staff!F44/FX_EUR</f>
        <v>0</v>
      </c>
      <c r="G16" s="37" t="n">
        <f aca="false">Staff!G44/FX_EUR</f>
        <v>0</v>
      </c>
      <c r="H16" s="37" t="n">
        <f aca="false">Staff!H44/FX_EUR</f>
        <v>0</v>
      </c>
      <c r="I16" s="37" t="n">
        <f aca="false">Staff!I44/FX_EUR</f>
        <v>792.734889634534</v>
      </c>
      <c r="J16" s="37" t="n">
        <f aca="false">Staff!J44/FX_EUR</f>
        <v>792.734889634534</v>
      </c>
      <c r="K16" s="37" t="n">
        <f aca="false">Staff!K44/FX_EUR</f>
        <v>792.734889634534</v>
      </c>
      <c r="L16" s="37" t="n">
        <f aca="false">Staff!L44/FX_EUR</f>
        <v>792.734889634534</v>
      </c>
      <c r="M16" s="37" t="n">
        <f aca="false">Staff!M44/FX_EUR</f>
        <v>792.734889634534</v>
      </c>
      <c r="N16" s="37" t="n">
        <f aca="false">Staff!N44/FX_EUR</f>
        <v>792.734889634534</v>
      </c>
      <c r="O16" s="37" t="n">
        <f aca="false">Staff!O44/FX_EUR</f>
        <v>792.734889634534</v>
      </c>
      <c r="P16" s="37" t="n">
        <f aca="false">Staff!P44/FX_EUR</f>
        <v>792.734889634534</v>
      </c>
      <c r="Q16" s="37" t="n">
        <f aca="false">Staff!Q44/FX_EUR</f>
        <v>832.371634116261</v>
      </c>
      <c r="R16" s="37" t="n">
        <f aca="false">Staff!R44/FX_EUR</f>
        <v>832.371634116261</v>
      </c>
      <c r="S16" s="37" t="n">
        <f aca="false">Staff!S44/FX_EUR</f>
        <v>832.371634116261</v>
      </c>
      <c r="T16" s="37" t="n">
        <f aca="false">Staff!T44/FX_EUR</f>
        <v>832.371634116261</v>
      </c>
      <c r="U16" s="37" t="n">
        <f aca="false">Staff!U44/FX_EUR</f>
        <v>832.371634116261</v>
      </c>
      <c r="V16" s="37" t="n">
        <f aca="false">Staff!V44/FX_EUR</f>
        <v>832.371634116261</v>
      </c>
      <c r="W16" s="37" t="n">
        <f aca="false">Staff!W44/FX_EUR</f>
        <v>832.371634116261</v>
      </c>
      <c r="X16" s="37" t="n">
        <f aca="false">Staff!X44/FX_EUR</f>
        <v>832.371634116261</v>
      </c>
      <c r="Y16" s="37" t="n">
        <f aca="false">Staff!Y44/FX_EUR</f>
        <v>832.371634116261</v>
      </c>
      <c r="Z16" s="37" t="n">
        <f aca="false">Staff!Z44/FX_EUR</f>
        <v>832.371634116261</v>
      </c>
      <c r="AA16" s="37" t="n">
        <f aca="false">Staff!AA44/FX_EUR</f>
        <v>832.371634116261</v>
      </c>
      <c r="AB16" s="37" t="n">
        <f aca="false">Staff!AB44/FX_EUR</f>
        <v>832.371634116261</v>
      </c>
      <c r="AC16" s="37" t="n">
        <f aca="false">Staff!AC44/FX_EUR</f>
        <v>873.990215822074</v>
      </c>
      <c r="AD16" s="37" t="n">
        <f aca="false">Staff!AD44/FX_EUR</f>
        <v>873.990215822074</v>
      </c>
      <c r="AE16" s="37" t="n">
        <f aca="false">Staff!AE44/FX_EUR</f>
        <v>873.990215822074</v>
      </c>
      <c r="AF16" s="37" t="n">
        <f aca="false">Staff!AF44/FX_EUR</f>
        <v>873.990215822074</v>
      </c>
      <c r="AG16" s="37" t="n">
        <f aca="false">Staff!AG44/FX_EUR</f>
        <v>873.990215822074</v>
      </c>
      <c r="AH16" s="37" t="n">
        <f aca="false">Staff!AH44/FX_EUR</f>
        <v>873.990215822074</v>
      </c>
      <c r="AI16" s="37" t="n">
        <f aca="false">Staff!AI44/FX_EUR</f>
        <v>873.990215822074</v>
      </c>
      <c r="AJ16" s="37" t="n">
        <f aca="false">Staff!AJ44/FX_EUR</f>
        <v>873.990215822074</v>
      </c>
      <c r="AK16" s="37" t="n">
        <f aca="false">Staff!AK44/FX_EUR</f>
        <v>873.990215822074</v>
      </c>
      <c r="AL16" s="37" t="n">
        <f aca="false">Staff!AL44/FX_EUR</f>
        <v>873.990215822074</v>
      </c>
      <c r="AM16" s="37" t="n">
        <f aca="false">Staff!AM44/FX_EUR</f>
        <v>873.990215822074</v>
      </c>
      <c r="AN16" s="37" t="n">
        <f aca="false">Staff!AN44/FX_EUR</f>
        <v>873.990215822074</v>
      </c>
      <c r="AO16" s="37" t="n">
        <f aca="false">Staff!AO44/FX_EUR</f>
        <v>917.689726613178</v>
      </c>
      <c r="AP16" s="37" t="n">
        <f aca="false">Staff!AP44/FX_EUR</f>
        <v>917.689726613178</v>
      </c>
      <c r="AQ16" s="37" t="n">
        <f aca="false">Staff!AQ44/FX_EUR</f>
        <v>917.689726613178</v>
      </c>
      <c r="AR16" s="37" t="n">
        <f aca="false">Staff!AR44/FX_EUR</f>
        <v>917.689726613178</v>
      </c>
      <c r="AS16" s="37" t="n">
        <f aca="false">Staff!AS44/FX_EUR</f>
        <v>917.689726613178</v>
      </c>
      <c r="AT16" s="37" t="n">
        <f aca="false">Staff!AT44/FX_EUR</f>
        <v>917.689726613178</v>
      </c>
      <c r="AU16" s="37" t="n">
        <f aca="false">Staff!AU44/FX_EUR</f>
        <v>917.689726613178</v>
      </c>
      <c r="AV16" s="37" t="n">
        <f aca="false">Staff!AV44/FX_EUR</f>
        <v>917.689726613178</v>
      </c>
      <c r="AW16" s="37" t="n">
        <f aca="false">Staff!AW44/FX_EUR</f>
        <v>917.689726613178</v>
      </c>
      <c r="AX16" s="37" t="n">
        <f aca="false">Staff!AX44/FX_EUR</f>
        <v>917.689726613178</v>
      </c>
      <c r="AY16" s="37" t="n">
        <f aca="false">Staff!AY44/FX_EUR</f>
        <v>917.689726613178</v>
      </c>
      <c r="AZ16" s="37" t="n">
        <f aca="false">Staff!AZ44/FX_EUR</f>
        <v>917.689726613178</v>
      </c>
      <c r="BA16" s="37" t="n">
        <f aca="false">Staff!BA44/FX_EUR</f>
        <v>963.574212943836</v>
      </c>
      <c r="BB16" s="37" t="n">
        <f aca="false">Staff!BB44/FX_EUR</f>
        <v>963.574212943836</v>
      </c>
      <c r="BC16" s="37" t="n">
        <f aca="false">Staff!BC44/FX_EUR</f>
        <v>963.574212943836</v>
      </c>
      <c r="BD16" s="37" t="n">
        <f aca="false">Staff!BD44/FX_EUR</f>
        <v>963.574212943836</v>
      </c>
      <c r="BE16" s="37" t="n">
        <f aca="false">Staff!BE44/FX_EUR</f>
        <v>963.574212943836</v>
      </c>
      <c r="BF16" s="37" t="n">
        <f aca="false">Staff!BF44/FX_EUR</f>
        <v>963.574212943836</v>
      </c>
      <c r="BG16" s="37" t="n">
        <f aca="false">Staff!BG44/FX_EUR</f>
        <v>963.574212943836</v>
      </c>
      <c r="BH16" s="37" t="n">
        <f aca="false">Staff!BH44/FX_EUR</f>
        <v>963.574212943836</v>
      </c>
      <c r="BI16" s="37" t="n">
        <f aca="false">Staff!BI44/FX_EUR</f>
        <v>963.574212943836</v>
      </c>
      <c r="BJ16" s="37" t="n">
        <f aca="false">Staff!BJ44/FX_EUR</f>
        <v>963.574212943836</v>
      </c>
      <c r="BK16" s="37" t="n">
        <f aca="false">Staff!BK44/FX_EUR</f>
        <v>963.574212943836</v>
      </c>
      <c r="BL16" s="37" t="n">
        <f aca="false">Staff!BL44/FX_EUR</f>
        <v>963.574212943836</v>
      </c>
    </row>
    <row r="17" customFormat="false" ht="15" hidden="false" customHeight="false" outlineLevel="0" collapsed="false">
      <c r="A17" s="12" t="str">
        <f aca="false">Staff!A45</f>
        <v>Country manager, Abidjan · CI</v>
      </c>
      <c r="B17" s="14" t="s">
        <v>73</v>
      </c>
      <c r="D17" s="55" t="n">
        <f aca="false">Staff!D45/FX_EUR</f>
        <v>272227.55912354</v>
      </c>
      <c r="E17" s="37" t="n">
        <f aca="false">Staff!E45/FX_EUR</f>
        <v>0</v>
      </c>
      <c r="F17" s="37" t="n">
        <f aca="false">Staff!F45/FX_EUR</f>
        <v>0</v>
      </c>
      <c r="G17" s="37" t="n">
        <f aca="false">Staff!G45/FX_EUR</f>
        <v>0</v>
      </c>
      <c r="H17" s="37" t="n">
        <f aca="false">Staff!H45/FX_EUR</f>
        <v>0</v>
      </c>
      <c r="I17" s="37" t="n">
        <f aca="false">Staff!I45/FX_EUR</f>
        <v>0</v>
      </c>
      <c r="J17" s="37" t="n">
        <f aca="false">Staff!J45/FX_EUR</f>
        <v>0</v>
      </c>
      <c r="K17" s="37" t="n">
        <f aca="false">Staff!K45/FX_EUR</f>
        <v>0</v>
      </c>
      <c r="L17" s="37" t="n">
        <f aca="false">Staff!L45/FX_EUR</f>
        <v>0</v>
      </c>
      <c r="M17" s="37" t="n">
        <f aca="false">Staff!M45/FX_EUR</f>
        <v>0</v>
      </c>
      <c r="N17" s="37" t="n">
        <f aca="false">Staff!N45/FX_EUR</f>
        <v>0</v>
      </c>
      <c r="O17" s="37" t="n">
        <f aca="false">Staff!O45/FX_EUR</f>
        <v>0</v>
      </c>
      <c r="P17" s="37" t="n">
        <f aca="false">Staff!P45/FX_EUR</f>
        <v>0</v>
      </c>
      <c r="Q17" s="37" t="n">
        <f aca="false">Staff!Q45/FX_EUR</f>
        <v>0</v>
      </c>
      <c r="R17" s="37" t="n">
        <f aca="false">Staff!R45/FX_EUR</f>
        <v>0</v>
      </c>
      <c r="S17" s="37" t="n">
        <f aca="false">Staff!S45/FX_EUR</f>
        <v>0</v>
      </c>
      <c r="T17" s="37" t="n">
        <f aca="false">Staff!T45/FX_EUR</f>
        <v>0</v>
      </c>
      <c r="U17" s="37" t="n">
        <f aca="false">Staff!U45/FX_EUR</f>
        <v>0</v>
      </c>
      <c r="V17" s="37" t="n">
        <f aca="false">Staff!V45/FX_EUR</f>
        <v>5826.60143881383</v>
      </c>
      <c r="W17" s="37" t="n">
        <f aca="false">Staff!W45/FX_EUR</f>
        <v>5826.60143881383</v>
      </c>
      <c r="X17" s="37" t="n">
        <f aca="false">Staff!X45/FX_EUR</f>
        <v>5826.60143881383</v>
      </c>
      <c r="Y17" s="37" t="n">
        <f aca="false">Staff!Y45/FX_EUR</f>
        <v>5826.60143881383</v>
      </c>
      <c r="Z17" s="37" t="n">
        <f aca="false">Staff!Z45/FX_EUR</f>
        <v>5826.60143881383</v>
      </c>
      <c r="AA17" s="37" t="n">
        <f aca="false">Staff!AA45/FX_EUR</f>
        <v>5826.60143881383</v>
      </c>
      <c r="AB17" s="37" t="n">
        <f aca="false">Staff!AB45/FX_EUR</f>
        <v>5826.60143881383</v>
      </c>
      <c r="AC17" s="37" t="n">
        <f aca="false">Staff!AC45/FX_EUR</f>
        <v>6117.93151075452</v>
      </c>
      <c r="AD17" s="37" t="n">
        <f aca="false">Staff!AD45/FX_EUR</f>
        <v>6117.93151075452</v>
      </c>
      <c r="AE17" s="37" t="n">
        <f aca="false">Staff!AE45/FX_EUR</f>
        <v>6117.93151075452</v>
      </c>
      <c r="AF17" s="37" t="n">
        <f aca="false">Staff!AF45/FX_EUR</f>
        <v>6117.93151075452</v>
      </c>
      <c r="AG17" s="37" t="n">
        <f aca="false">Staff!AG45/FX_EUR</f>
        <v>6117.93151075452</v>
      </c>
      <c r="AH17" s="37" t="n">
        <f aca="false">Staff!AH45/FX_EUR</f>
        <v>6117.93151075452</v>
      </c>
      <c r="AI17" s="37" t="n">
        <f aca="false">Staff!AI45/FX_EUR</f>
        <v>6117.93151075452</v>
      </c>
      <c r="AJ17" s="37" t="n">
        <f aca="false">Staff!AJ45/FX_EUR</f>
        <v>6117.93151075452</v>
      </c>
      <c r="AK17" s="37" t="n">
        <f aca="false">Staff!AK45/FX_EUR</f>
        <v>6117.93151075452</v>
      </c>
      <c r="AL17" s="37" t="n">
        <f aca="false">Staff!AL45/FX_EUR</f>
        <v>6117.93151075452</v>
      </c>
      <c r="AM17" s="37" t="n">
        <f aca="false">Staff!AM45/FX_EUR</f>
        <v>6117.93151075452</v>
      </c>
      <c r="AN17" s="37" t="n">
        <f aca="false">Staff!AN45/FX_EUR</f>
        <v>6117.93151075452</v>
      </c>
      <c r="AO17" s="37" t="n">
        <f aca="false">Staff!AO45/FX_EUR</f>
        <v>6423.82808629224</v>
      </c>
      <c r="AP17" s="37" t="n">
        <f aca="false">Staff!AP45/FX_EUR</f>
        <v>6423.82808629224</v>
      </c>
      <c r="AQ17" s="37" t="n">
        <f aca="false">Staff!AQ45/FX_EUR</f>
        <v>6423.82808629224</v>
      </c>
      <c r="AR17" s="37" t="n">
        <f aca="false">Staff!AR45/FX_EUR</f>
        <v>6423.82808629224</v>
      </c>
      <c r="AS17" s="37" t="n">
        <f aca="false">Staff!AS45/FX_EUR</f>
        <v>6423.82808629224</v>
      </c>
      <c r="AT17" s="37" t="n">
        <f aca="false">Staff!AT45/FX_EUR</f>
        <v>6423.82808629224</v>
      </c>
      <c r="AU17" s="37" t="n">
        <f aca="false">Staff!AU45/FX_EUR</f>
        <v>6423.82808629224</v>
      </c>
      <c r="AV17" s="37" t="n">
        <f aca="false">Staff!AV45/FX_EUR</f>
        <v>6423.82808629224</v>
      </c>
      <c r="AW17" s="37" t="n">
        <f aca="false">Staff!AW45/FX_EUR</f>
        <v>6423.82808629224</v>
      </c>
      <c r="AX17" s="37" t="n">
        <f aca="false">Staff!AX45/FX_EUR</f>
        <v>6423.82808629224</v>
      </c>
      <c r="AY17" s="37" t="n">
        <f aca="false">Staff!AY45/FX_EUR</f>
        <v>6423.82808629224</v>
      </c>
      <c r="AZ17" s="37" t="n">
        <f aca="false">Staff!AZ45/FX_EUR</f>
        <v>6423.82808629224</v>
      </c>
      <c r="BA17" s="37" t="n">
        <f aca="false">Staff!BA45/FX_EUR</f>
        <v>6745.01949060686</v>
      </c>
      <c r="BB17" s="37" t="n">
        <f aca="false">Staff!BB45/FX_EUR</f>
        <v>6745.01949060686</v>
      </c>
      <c r="BC17" s="37" t="n">
        <f aca="false">Staff!BC45/FX_EUR</f>
        <v>6745.01949060686</v>
      </c>
      <c r="BD17" s="37" t="n">
        <f aca="false">Staff!BD45/FX_EUR</f>
        <v>6745.01949060686</v>
      </c>
      <c r="BE17" s="37" t="n">
        <f aca="false">Staff!BE45/FX_EUR</f>
        <v>6745.01949060686</v>
      </c>
      <c r="BF17" s="37" t="n">
        <f aca="false">Staff!BF45/FX_EUR</f>
        <v>6745.01949060686</v>
      </c>
      <c r="BG17" s="37" t="n">
        <f aca="false">Staff!BG45/FX_EUR</f>
        <v>6745.01949060686</v>
      </c>
      <c r="BH17" s="37" t="n">
        <f aca="false">Staff!BH45/FX_EUR</f>
        <v>6745.01949060686</v>
      </c>
      <c r="BI17" s="37" t="n">
        <f aca="false">Staff!BI45/FX_EUR</f>
        <v>6745.01949060686</v>
      </c>
      <c r="BJ17" s="37" t="n">
        <f aca="false">Staff!BJ45/FX_EUR</f>
        <v>6745.01949060686</v>
      </c>
      <c r="BK17" s="37" t="n">
        <f aca="false">Staff!BK45/FX_EUR</f>
        <v>6745.01949060686</v>
      </c>
      <c r="BL17" s="37" t="n">
        <f aca="false">Staff!BL45/FX_EUR</f>
        <v>6745.01949060686</v>
      </c>
    </row>
    <row r="18" customFormat="false" ht="15" hidden="false" customHeight="false" outlineLevel="0" collapsed="false">
      <c r="A18" s="12" t="str">
        <f aca="false">Staff!A46</f>
        <v>Compliance officer (AML/CFT) · SN</v>
      </c>
      <c r="B18" s="14" t="s">
        <v>73</v>
      </c>
      <c r="D18" s="55" t="n">
        <f aca="false">Staff!D46/FX_EUR</f>
        <v>127107.830619995</v>
      </c>
      <c r="E18" s="37" t="n">
        <f aca="false">Staff!E46/FX_EUR</f>
        <v>0</v>
      </c>
      <c r="F18" s="37" t="n">
        <f aca="false">Staff!F46/FX_EUR</f>
        <v>0</v>
      </c>
      <c r="G18" s="37" t="n">
        <f aca="false">Staff!G46/FX_EUR</f>
        <v>0</v>
      </c>
      <c r="H18" s="37" t="n">
        <f aca="false">Staff!H46/FX_EUR</f>
        <v>0</v>
      </c>
      <c r="I18" s="37" t="n">
        <f aca="false">Staff!I46/FX_EUR</f>
        <v>0</v>
      </c>
      <c r="J18" s="37" t="n">
        <f aca="false">Staff!J46/FX_EUR</f>
        <v>0</v>
      </c>
      <c r="K18" s="37" t="n">
        <f aca="false">Staff!K46/FX_EUR</f>
        <v>0</v>
      </c>
      <c r="L18" s="37" t="n">
        <f aca="false">Staff!L46/FX_EUR</f>
        <v>0</v>
      </c>
      <c r="M18" s="37" t="n">
        <f aca="false">Staff!M46/FX_EUR</f>
        <v>0</v>
      </c>
      <c r="N18" s="37" t="n">
        <f aca="false">Staff!N46/FX_EUR</f>
        <v>0</v>
      </c>
      <c r="O18" s="37" t="n">
        <f aca="false">Staff!O46/FX_EUR</f>
        <v>0</v>
      </c>
      <c r="P18" s="37" t="n">
        <f aca="false">Staff!P46/FX_EUR</f>
        <v>0</v>
      </c>
      <c r="Q18" s="37" t="n">
        <f aca="false">Staff!Q46/FX_EUR</f>
        <v>0</v>
      </c>
      <c r="R18" s="37" t="n">
        <f aca="false">Staff!R46/FX_EUR</f>
        <v>0</v>
      </c>
      <c r="S18" s="37" t="n">
        <f aca="false">Staff!S46/FX_EUR</f>
        <v>0</v>
      </c>
      <c r="T18" s="37" t="n">
        <f aca="false">Staff!T46/FX_EUR</f>
        <v>0</v>
      </c>
      <c r="U18" s="37" t="n">
        <f aca="false">Staff!U46/FX_EUR</f>
        <v>0</v>
      </c>
      <c r="V18" s="37" t="n">
        <f aca="false">Staff!V46/FX_EUR</f>
        <v>0</v>
      </c>
      <c r="W18" s="37" t="n">
        <f aca="false">Staff!W46/FX_EUR</f>
        <v>0</v>
      </c>
      <c r="X18" s="37" t="n">
        <f aca="false">Staff!X46/FX_EUR</f>
        <v>0</v>
      </c>
      <c r="Y18" s="37" t="n">
        <f aca="false">Staff!Y46/FX_EUR</f>
        <v>0</v>
      </c>
      <c r="Z18" s="37" t="n">
        <f aca="false">Staff!Z46/FX_EUR</f>
        <v>0</v>
      </c>
      <c r="AA18" s="37" t="n">
        <f aca="false">Staff!AA46/FX_EUR</f>
        <v>0</v>
      </c>
      <c r="AB18" s="37" t="n">
        <f aca="false">Staff!AB46/FX_EUR</f>
        <v>3121.39362793598</v>
      </c>
      <c r="AC18" s="37" t="n">
        <f aca="false">Staff!AC46/FX_EUR</f>
        <v>3277.46330933278</v>
      </c>
      <c r="AD18" s="37" t="n">
        <f aca="false">Staff!AD46/FX_EUR</f>
        <v>3277.46330933278</v>
      </c>
      <c r="AE18" s="37" t="n">
        <f aca="false">Staff!AE46/FX_EUR</f>
        <v>3277.46330933278</v>
      </c>
      <c r="AF18" s="37" t="n">
        <f aca="false">Staff!AF46/FX_EUR</f>
        <v>3277.46330933278</v>
      </c>
      <c r="AG18" s="37" t="n">
        <f aca="false">Staff!AG46/FX_EUR</f>
        <v>3277.46330933278</v>
      </c>
      <c r="AH18" s="37" t="n">
        <f aca="false">Staff!AH46/FX_EUR</f>
        <v>3277.46330933278</v>
      </c>
      <c r="AI18" s="37" t="n">
        <f aca="false">Staff!AI46/FX_EUR</f>
        <v>3277.46330933278</v>
      </c>
      <c r="AJ18" s="37" t="n">
        <f aca="false">Staff!AJ46/FX_EUR</f>
        <v>3277.46330933278</v>
      </c>
      <c r="AK18" s="37" t="n">
        <f aca="false">Staff!AK46/FX_EUR</f>
        <v>3277.46330933278</v>
      </c>
      <c r="AL18" s="37" t="n">
        <f aca="false">Staff!AL46/FX_EUR</f>
        <v>3277.46330933278</v>
      </c>
      <c r="AM18" s="37" t="n">
        <f aca="false">Staff!AM46/FX_EUR</f>
        <v>3277.46330933278</v>
      </c>
      <c r="AN18" s="37" t="n">
        <f aca="false">Staff!AN46/FX_EUR</f>
        <v>3277.46330933278</v>
      </c>
      <c r="AO18" s="37" t="n">
        <f aca="false">Staff!AO46/FX_EUR</f>
        <v>3441.33647479942</v>
      </c>
      <c r="AP18" s="37" t="n">
        <f aca="false">Staff!AP46/FX_EUR</f>
        <v>3441.33647479942</v>
      </c>
      <c r="AQ18" s="37" t="n">
        <f aca="false">Staff!AQ46/FX_EUR</f>
        <v>3441.33647479942</v>
      </c>
      <c r="AR18" s="37" t="n">
        <f aca="false">Staff!AR46/FX_EUR</f>
        <v>3441.33647479942</v>
      </c>
      <c r="AS18" s="37" t="n">
        <f aca="false">Staff!AS46/FX_EUR</f>
        <v>3441.33647479942</v>
      </c>
      <c r="AT18" s="37" t="n">
        <f aca="false">Staff!AT46/FX_EUR</f>
        <v>3441.33647479942</v>
      </c>
      <c r="AU18" s="37" t="n">
        <f aca="false">Staff!AU46/FX_EUR</f>
        <v>3441.33647479942</v>
      </c>
      <c r="AV18" s="37" t="n">
        <f aca="false">Staff!AV46/FX_EUR</f>
        <v>3441.33647479942</v>
      </c>
      <c r="AW18" s="37" t="n">
        <f aca="false">Staff!AW46/FX_EUR</f>
        <v>3441.33647479942</v>
      </c>
      <c r="AX18" s="37" t="n">
        <f aca="false">Staff!AX46/FX_EUR</f>
        <v>3441.33647479942</v>
      </c>
      <c r="AY18" s="37" t="n">
        <f aca="false">Staff!AY46/FX_EUR</f>
        <v>3441.33647479942</v>
      </c>
      <c r="AZ18" s="37" t="n">
        <f aca="false">Staff!AZ46/FX_EUR</f>
        <v>3441.33647479942</v>
      </c>
      <c r="BA18" s="37" t="n">
        <f aca="false">Staff!BA46/FX_EUR</f>
        <v>3613.40329853939</v>
      </c>
      <c r="BB18" s="37" t="n">
        <f aca="false">Staff!BB46/FX_EUR</f>
        <v>3613.40329853939</v>
      </c>
      <c r="BC18" s="37" t="n">
        <f aca="false">Staff!BC46/FX_EUR</f>
        <v>3613.40329853939</v>
      </c>
      <c r="BD18" s="37" t="n">
        <f aca="false">Staff!BD46/FX_EUR</f>
        <v>3613.40329853939</v>
      </c>
      <c r="BE18" s="37" t="n">
        <f aca="false">Staff!BE46/FX_EUR</f>
        <v>3613.40329853939</v>
      </c>
      <c r="BF18" s="37" t="n">
        <f aca="false">Staff!BF46/FX_EUR</f>
        <v>3613.40329853939</v>
      </c>
      <c r="BG18" s="37" t="n">
        <f aca="false">Staff!BG46/FX_EUR</f>
        <v>3613.40329853939</v>
      </c>
      <c r="BH18" s="37" t="n">
        <f aca="false">Staff!BH46/FX_EUR</f>
        <v>3613.40329853939</v>
      </c>
      <c r="BI18" s="37" t="n">
        <f aca="false">Staff!BI46/FX_EUR</f>
        <v>3613.40329853939</v>
      </c>
      <c r="BJ18" s="37" t="n">
        <f aca="false">Staff!BJ46/FX_EUR</f>
        <v>3613.40329853939</v>
      </c>
      <c r="BK18" s="37" t="n">
        <f aca="false">Staff!BK46/FX_EUR</f>
        <v>3613.40329853939</v>
      </c>
      <c r="BL18" s="37" t="n">
        <f aca="false">Staff!BL46/FX_EUR</f>
        <v>3613.40329853939</v>
      </c>
    </row>
    <row r="19" customFormat="false" ht="15" hidden="false" customHeight="false" outlineLevel="0" collapsed="false">
      <c r="A19" s="12" t="str">
        <f aca="false">Staff!A47</f>
        <v>(spare line 9)</v>
      </c>
      <c r="B19" s="14" t="s">
        <v>73</v>
      </c>
      <c r="D19" s="55" t="n">
        <f aca="false">Staff!D47/FX_EUR</f>
        <v>0</v>
      </c>
      <c r="E19" s="37" t="n">
        <f aca="false">Staff!E47/FX_EUR</f>
        <v>0</v>
      </c>
      <c r="F19" s="37" t="n">
        <f aca="false">Staff!F47/FX_EUR</f>
        <v>0</v>
      </c>
      <c r="G19" s="37" t="n">
        <f aca="false">Staff!G47/FX_EUR</f>
        <v>0</v>
      </c>
      <c r="H19" s="37" t="n">
        <f aca="false">Staff!H47/FX_EUR</f>
        <v>0</v>
      </c>
      <c r="I19" s="37" t="n">
        <f aca="false">Staff!I47/FX_EUR</f>
        <v>0</v>
      </c>
      <c r="J19" s="37" t="n">
        <f aca="false">Staff!J47/FX_EUR</f>
        <v>0</v>
      </c>
      <c r="K19" s="37" t="n">
        <f aca="false">Staff!K47/FX_EUR</f>
        <v>0</v>
      </c>
      <c r="L19" s="37" t="n">
        <f aca="false">Staff!L47/FX_EUR</f>
        <v>0</v>
      </c>
      <c r="M19" s="37" t="n">
        <f aca="false">Staff!M47/FX_EUR</f>
        <v>0</v>
      </c>
      <c r="N19" s="37" t="n">
        <f aca="false">Staff!N47/FX_EUR</f>
        <v>0</v>
      </c>
      <c r="O19" s="37" t="n">
        <f aca="false">Staff!O47/FX_EUR</f>
        <v>0</v>
      </c>
      <c r="P19" s="37" t="n">
        <f aca="false">Staff!P47/FX_EUR</f>
        <v>0</v>
      </c>
      <c r="Q19" s="37" t="n">
        <f aca="false">Staff!Q47/FX_EUR</f>
        <v>0</v>
      </c>
      <c r="R19" s="37" t="n">
        <f aca="false">Staff!R47/FX_EUR</f>
        <v>0</v>
      </c>
      <c r="S19" s="37" t="n">
        <f aca="false">Staff!S47/FX_EUR</f>
        <v>0</v>
      </c>
      <c r="T19" s="37" t="n">
        <f aca="false">Staff!T47/FX_EUR</f>
        <v>0</v>
      </c>
      <c r="U19" s="37" t="n">
        <f aca="false">Staff!U47/FX_EUR</f>
        <v>0</v>
      </c>
      <c r="V19" s="37" t="n">
        <f aca="false">Staff!V47/FX_EUR</f>
        <v>0</v>
      </c>
      <c r="W19" s="37" t="n">
        <f aca="false">Staff!W47/FX_EUR</f>
        <v>0</v>
      </c>
      <c r="X19" s="37" t="n">
        <f aca="false">Staff!X47/FX_EUR</f>
        <v>0</v>
      </c>
      <c r="Y19" s="37" t="n">
        <f aca="false">Staff!Y47/FX_EUR</f>
        <v>0</v>
      </c>
      <c r="Z19" s="37" t="n">
        <f aca="false">Staff!Z47/FX_EUR</f>
        <v>0</v>
      </c>
      <c r="AA19" s="37" t="n">
        <f aca="false">Staff!AA47/FX_EUR</f>
        <v>0</v>
      </c>
      <c r="AB19" s="37" t="n">
        <f aca="false">Staff!AB47/FX_EUR</f>
        <v>0</v>
      </c>
      <c r="AC19" s="37" t="n">
        <f aca="false">Staff!AC47/FX_EUR</f>
        <v>0</v>
      </c>
      <c r="AD19" s="37" t="n">
        <f aca="false">Staff!AD47/FX_EUR</f>
        <v>0</v>
      </c>
      <c r="AE19" s="37" t="n">
        <f aca="false">Staff!AE47/FX_EUR</f>
        <v>0</v>
      </c>
      <c r="AF19" s="37" t="n">
        <f aca="false">Staff!AF47/FX_EUR</f>
        <v>0</v>
      </c>
      <c r="AG19" s="37" t="n">
        <f aca="false">Staff!AG47/FX_EUR</f>
        <v>0</v>
      </c>
      <c r="AH19" s="37" t="n">
        <f aca="false">Staff!AH47/FX_EUR</f>
        <v>0</v>
      </c>
      <c r="AI19" s="37" t="n">
        <f aca="false">Staff!AI47/FX_EUR</f>
        <v>0</v>
      </c>
      <c r="AJ19" s="37" t="n">
        <f aca="false">Staff!AJ47/FX_EUR</f>
        <v>0</v>
      </c>
      <c r="AK19" s="37" t="n">
        <f aca="false">Staff!AK47/FX_EUR</f>
        <v>0</v>
      </c>
      <c r="AL19" s="37" t="n">
        <f aca="false">Staff!AL47/FX_EUR</f>
        <v>0</v>
      </c>
      <c r="AM19" s="37" t="n">
        <f aca="false">Staff!AM47/FX_EUR</f>
        <v>0</v>
      </c>
      <c r="AN19" s="37" t="n">
        <f aca="false">Staff!AN47/FX_EUR</f>
        <v>0</v>
      </c>
      <c r="AO19" s="37" t="n">
        <f aca="false">Staff!AO47/FX_EUR</f>
        <v>0</v>
      </c>
      <c r="AP19" s="37" t="n">
        <f aca="false">Staff!AP47/FX_EUR</f>
        <v>0</v>
      </c>
      <c r="AQ19" s="37" t="n">
        <f aca="false">Staff!AQ47/FX_EUR</f>
        <v>0</v>
      </c>
      <c r="AR19" s="37" t="n">
        <f aca="false">Staff!AR47/FX_EUR</f>
        <v>0</v>
      </c>
      <c r="AS19" s="37" t="n">
        <f aca="false">Staff!AS47/FX_EUR</f>
        <v>0</v>
      </c>
      <c r="AT19" s="37" t="n">
        <f aca="false">Staff!AT47/FX_EUR</f>
        <v>0</v>
      </c>
      <c r="AU19" s="37" t="n">
        <f aca="false">Staff!AU47/FX_EUR</f>
        <v>0</v>
      </c>
      <c r="AV19" s="37" t="n">
        <f aca="false">Staff!AV47/FX_EUR</f>
        <v>0</v>
      </c>
      <c r="AW19" s="37" t="n">
        <f aca="false">Staff!AW47/FX_EUR</f>
        <v>0</v>
      </c>
      <c r="AX19" s="37" t="n">
        <f aca="false">Staff!AX47/FX_EUR</f>
        <v>0</v>
      </c>
      <c r="AY19" s="37" t="n">
        <f aca="false">Staff!AY47/FX_EUR</f>
        <v>0</v>
      </c>
      <c r="AZ19" s="37" t="n">
        <f aca="false">Staff!AZ47/FX_EUR</f>
        <v>0</v>
      </c>
      <c r="BA19" s="37" t="n">
        <f aca="false">Staff!BA47/FX_EUR</f>
        <v>0</v>
      </c>
      <c r="BB19" s="37" t="n">
        <f aca="false">Staff!BB47/FX_EUR</f>
        <v>0</v>
      </c>
      <c r="BC19" s="37" t="n">
        <f aca="false">Staff!BC47/FX_EUR</f>
        <v>0</v>
      </c>
      <c r="BD19" s="37" t="n">
        <f aca="false">Staff!BD47/FX_EUR</f>
        <v>0</v>
      </c>
      <c r="BE19" s="37" t="n">
        <f aca="false">Staff!BE47/FX_EUR</f>
        <v>0</v>
      </c>
      <c r="BF19" s="37" t="n">
        <f aca="false">Staff!BF47/FX_EUR</f>
        <v>0</v>
      </c>
      <c r="BG19" s="37" t="n">
        <f aca="false">Staff!BG47/FX_EUR</f>
        <v>0</v>
      </c>
      <c r="BH19" s="37" t="n">
        <f aca="false">Staff!BH47/FX_EUR</f>
        <v>0</v>
      </c>
      <c r="BI19" s="37" t="n">
        <f aca="false">Staff!BI47/FX_EUR</f>
        <v>0</v>
      </c>
      <c r="BJ19" s="37" t="n">
        <f aca="false">Staff!BJ47/FX_EUR</f>
        <v>0</v>
      </c>
      <c r="BK19" s="37" t="n">
        <f aca="false">Staff!BK47/FX_EUR</f>
        <v>0</v>
      </c>
      <c r="BL19" s="37" t="n">
        <f aca="false">Staff!BL47/FX_EUR</f>
        <v>0</v>
      </c>
    </row>
    <row r="20" customFormat="false" ht="15" hidden="false" customHeight="false" outlineLevel="0" collapsed="false">
      <c r="A20" s="12" t="str">
        <f aca="false">Staff!A48</f>
        <v>(spare line 10)</v>
      </c>
      <c r="B20" s="14" t="s">
        <v>73</v>
      </c>
      <c r="D20" s="55" t="n">
        <f aca="false">Staff!D48/FX_EUR</f>
        <v>0</v>
      </c>
      <c r="E20" s="37" t="n">
        <f aca="false">Staff!E48/FX_EUR</f>
        <v>0</v>
      </c>
      <c r="F20" s="37" t="n">
        <f aca="false">Staff!F48/FX_EUR</f>
        <v>0</v>
      </c>
      <c r="G20" s="37" t="n">
        <f aca="false">Staff!G48/FX_EUR</f>
        <v>0</v>
      </c>
      <c r="H20" s="37" t="n">
        <f aca="false">Staff!H48/FX_EUR</f>
        <v>0</v>
      </c>
      <c r="I20" s="37" t="n">
        <f aca="false">Staff!I48/FX_EUR</f>
        <v>0</v>
      </c>
      <c r="J20" s="37" t="n">
        <f aca="false">Staff!J48/FX_EUR</f>
        <v>0</v>
      </c>
      <c r="K20" s="37" t="n">
        <f aca="false">Staff!K48/FX_EUR</f>
        <v>0</v>
      </c>
      <c r="L20" s="37" t="n">
        <f aca="false">Staff!L48/FX_EUR</f>
        <v>0</v>
      </c>
      <c r="M20" s="37" t="n">
        <f aca="false">Staff!M48/FX_EUR</f>
        <v>0</v>
      </c>
      <c r="N20" s="37" t="n">
        <f aca="false">Staff!N48/FX_EUR</f>
        <v>0</v>
      </c>
      <c r="O20" s="37" t="n">
        <f aca="false">Staff!O48/FX_EUR</f>
        <v>0</v>
      </c>
      <c r="P20" s="37" t="n">
        <f aca="false">Staff!P48/FX_EUR</f>
        <v>0</v>
      </c>
      <c r="Q20" s="37" t="n">
        <f aca="false">Staff!Q48/FX_EUR</f>
        <v>0</v>
      </c>
      <c r="R20" s="37" t="n">
        <f aca="false">Staff!R48/FX_EUR</f>
        <v>0</v>
      </c>
      <c r="S20" s="37" t="n">
        <f aca="false">Staff!S48/FX_EUR</f>
        <v>0</v>
      </c>
      <c r="T20" s="37" t="n">
        <f aca="false">Staff!T48/FX_EUR</f>
        <v>0</v>
      </c>
      <c r="U20" s="37" t="n">
        <f aca="false">Staff!U48/FX_EUR</f>
        <v>0</v>
      </c>
      <c r="V20" s="37" t="n">
        <f aca="false">Staff!V48/FX_EUR</f>
        <v>0</v>
      </c>
      <c r="W20" s="37" t="n">
        <f aca="false">Staff!W48/FX_EUR</f>
        <v>0</v>
      </c>
      <c r="X20" s="37" t="n">
        <f aca="false">Staff!X48/FX_EUR</f>
        <v>0</v>
      </c>
      <c r="Y20" s="37" t="n">
        <f aca="false">Staff!Y48/FX_EUR</f>
        <v>0</v>
      </c>
      <c r="Z20" s="37" t="n">
        <f aca="false">Staff!Z48/FX_EUR</f>
        <v>0</v>
      </c>
      <c r="AA20" s="37" t="n">
        <f aca="false">Staff!AA48/FX_EUR</f>
        <v>0</v>
      </c>
      <c r="AB20" s="37" t="n">
        <f aca="false">Staff!AB48/FX_EUR</f>
        <v>0</v>
      </c>
      <c r="AC20" s="37" t="n">
        <f aca="false">Staff!AC48/FX_EUR</f>
        <v>0</v>
      </c>
      <c r="AD20" s="37" t="n">
        <f aca="false">Staff!AD48/FX_EUR</f>
        <v>0</v>
      </c>
      <c r="AE20" s="37" t="n">
        <f aca="false">Staff!AE48/FX_EUR</f>
        <v>0</v>
      </c>
      <c r="AF20" s="37" t="n">
        <f aca="false">Staff!AF48/FX_EUR</f>
        <v>0</v>
      </c>
      <c r="AG20" s="37" t="n">
        <f aca="false">Staff!AG48/FX_EUR</f>
        <v>0</v>
      </c>
      <c r="AH20" s="37" t="n">
        <f aca="false">Staff!AH48/FX_EUR</f>
        <v>0</v>
      </c>
      <c r="AI20" s="37" t="n">
        <f aca="false">Staff!AI48/FX_EUR</f>
        <v>0</v>
      </c>
      <c r="AJ20" s="37" t="n">
        <f aca="false">Staff!AJ48/FX_EUR</f>
        <v>0</v>
      </c>
      <c r="AK20" s="37" t="n">
        <f aca="false">Staff!AK48/FX_EUR</f>
        <v>0</v>
      </c>
      <c r="AL20" s="37" t="n">
        <f aca="false">Staff!AL48/FX_EUR</f>
        <v>0</v>
      </c>
      <c r="AM20" s="37" t="n">
        <f aca="false">Staff!AM48/FX_EUR</f>
        <v>0</v>
      </c>
      <c r="AN20" s="37" t="n">
        <f aca="false">Staff!AN48/FX_EUR</f>
        <v>0</v>
      </c>
      <c r="AO20" s="37" t="n">
        <f aca="false">Staff!AO48/FX_EUR</f>
        <v>0</v>
      </c>
      <c r="AP20" s="37" t="n">
        <f aca="false">Staff!AP48/FX_EUR</f>
        <v>0</v>
      </c>
      <c r="AQ20" s="37" t="n">
        <f aca="false">Staff!AQ48/FX_EUR</f>
        <v>0</v>
      </c>
      <c r="AR20" s="37" t="n">
        <f aca="false">Staff!AR48/FX_EUR</f>
        <v>0</v>
      </c>
      <c r="AS20" s="37" t="n">
        <f aca="false">Staff!AS48/FX_EUR</f>
        <v>0</v>
      </c>
      <c r="AT20" s="37" t="n">
        <f aca="false">Staff!AT48/FX_EUR</f>
        <v>0</v>
      </c>
      <c r="AU20" s="37" t="n">
        <f aca="false">Staff!AU48/FX_EUR</f>
        <v>0</v>
      </c>
      <c r="AV20" s="37" t="n">
        <f aca="false">Staff!AV48/FX_EUR</f>
        <v>0</v>
      </c>
      <c r="AW20" s="37" t="n">
        <f aca="false">Staff!AW48/FX_EUR</f>
        <v>0</v>
      </c>
      <c r="AX20" s="37" t="n">
        <f aca="false">Staff!AX48/FX_EUR</f>
        <v>0</v>
      </c>
      <c r="AY20" s="37" t="n">
        <f aca="false">Staff!AY48/FX_EUR</f>
        <v>0</v>
      </c>
      <c r="AZ20" s="37" t="n">
        <f aca="false">Staff!AZ48/FX_EUR</f>
        <v>0</v>
      </c>
      <c r="BA20" s="37" t="n">
        <f aca="false">Staff!BA48/FX_EUR</f>
        <v>0</v>
      </c>
      <c r="BB20" s="37" t="n">
        <f aca="false">Staff!BB48/FX_EUR</f>
        <v>0</v>
      </c>
      <c r="BC20" s="37" t="n">
        <f aca="false">Staff!BC48/FX_EUR</f>
        <v>0</v>
      </c>
      <c r="BD20" s="37" t="n">
        <f aca="false">Staff!BD48/FX_EUR</f>
        <v>0</v>
      </c>
      <c r="BE20" s="37" t="n">
        <f aca="false">Staff!BE48/FX_EUR</f>
        <v>0</v>
      </c>
      <c r="BF20" s="37" t="n">
        <f aca="false">Staff!BF48/FX_EUR</f>
        <v>0</v>
      </c>
      <c r="BG20" s="37" t="n">
        <f aca="false">Staff!BG48/FX_EUR</f>
        <v>0</v>
      </c>
      <c r="BH20" s="37" t="n">
        <f aca="false">Staff!BH48/FX_EUR</f>
        <v>0</v>
      </c>
      <c r="BI20" s="37" t="n">
        <f aca="false">Staff!BI48/FX_EUR</f>
        <v>0</v>
      </c>
      <c r="BJ20" s="37" t="n">
        <f aca="false">Staff!BJ48/FX_EUR</f>
        <v>0</v>
      </c>
      <c r="BK20" s="37" t="n">
        <f aca="false">Staff!BK48/FX_EUR</f>
        <v>0</v>
      </c>
      <c r="BL20" s="37" t="n">
        <f aca="false">Staff!BL48/FX_EUR</f>
        <v>0</v>
      </c>
    </row>
    <row r="21" customFormat="false" ht="15" hidden="false" customHeight="false" outlineLevel="0" collapsed="false">
      <c r="A21" s="12" t="str">
        <f aca="false">Staff!A49</f>
        <v>(spare line 11)</v>
      </c>
      <c r="B21" s="14" t="s">
        <v>73</v>
      </c>
      <c r="D21" s="55" t="n">
        <f aca="false">Staff!D49/FX_EUR</f>
        <v>0</v>
      </c>
      <c r="E21" s="37" t="n">
        <f aca="false">Staff!E49/FX_EUR</f>
        <v>0</v>
      </c>
      <c r="F21" s="37" t="n">
        <f aca="false">Staff!F49/FX_EUR</f>
        <v>0</v>
      </c>
      <c r="G21" s="37" t="n">
        <f aca="false">Staff!G49/FX_EUR</f>
        <v>0</v>
      </c>
      <c r="H21" s="37" t="n">
        <f aca="false">Staff!H49/FX_EUR</f>
        <v>0</v>
      </c>
      <c r="I21" s="37" t="n">
        <f aca="false">Staff!I49/FX_EUR</f>
        <v>0</v>
      </c>
      <c r="J21" s="37" t="n">
        <f aca="false">Staff!J49/FX_EUR</f>
        <v>0</v>
      </c>
      <c r="K21" s="37" t="n">
        <f aca="false">Staff!K49/FX_EUR</f>
        <v>0</v>
      </c>
      <c r="L21" s="37" t="n">
        <f aca="false">Staff!L49/FX_EUR</f>
        <v>0</v>
      </c>
      <c r="M21" s="37" t="n">
        <f aca="false">Staff!M49/FX_EUR</f>
        <v>0</v>
      </c>
      <c r="N21" s="37" t="n">
        <f aca="false">Staff!N49/FX_EUR</f>
        <v>0</v>
      </c>
      <c r="O21" s="37" t="n">
        <f aca="false">Staff!O49/FX_EUR</f>
        <v>0</v>
      </c>
      <c r="P21" s="37" t="n">
        <f aca="false">Staff!P49/FX_EUR</f>
        <v>0</v>
      </c>
      <c r="Q21" s="37" t="n">
        <f aca="false">Staff!Q49/FX_EUR</f>
        <v>0</v>
      </c>
      <c r="R21" s="37" t="n">
        <f aca="false">Staff!R49/FX_EUR</f>
        <v>0</v>
      </c>
      <c r="S21" s="37" t="n">
        <f aca="false">Staff!S49/FX_EUR</f>
        <v>0</v>
      </c>
      <c r="T21" s="37" t="n">
        <f aca="false">Staff!T49/FX_EUR</f>
        <v>0</v>
      </c>
      <c r="U21" s="37" t="n">
        <f aca="false">Staff!U49/FX_EUR</f>
        <v>0</v>
      </c>
      <c r="V21" s="37" t="n">
        <f aca="false">Staff!V49/FX_EUR</f>
        <v>0</v>
      </c>
      <c r="W21" s="37" t="n">
        <f aca="false">Staff!W49/FX_EUR</f>
        <v>0</v>
      </c>
      <c r="X21" s="37" t="n">
        <f aca="false">Staff!X49/FX_EUR</f>
        <v>0</v>
      </c>
      <c r="Y21" s="37" t="n">
        <f aca="false">Staff!Y49/FX_EUR</f>
        <v>0</v>
      </c>
      <c r="Z21" s="37" t="n">
        <f aca="false">Staff!Z49/FX_EUR</f>
        <v>0</v>
      </c>
      <c r="AA21" s="37" t="n">
        <f aca="false">Staff!AA49/FX_EUR</f>
        <v>0</v>
      </c>
      <c r="AB21" s="37" t="n">
        <f aca="false">Staff!AB49/FX_EUR</f>
        <v>0</v>
      </c>
      <c r="AC21" s="37" t="n">
        <f aca="false">Staff!AC49/FX_EUR</f>
        <v>0</v>
      </c>
      <c r="AD21" s="37" t="n">
        <f aca="false">Staff!AD49/FX_EUR</f>
        <v>0</v>
      </c>
      <c r="AE21" s="37" t="n">
        <f aca="false">Staff!AE49/FX_EUR</f>
        <v>0</v>
      </c>
      <c r="AF21" s="37" t="n">
        <f aca="false">Staff!AF49/FX_EUR</f>
        <v>0</v>
      </c>
      <c r="AG21" s="37" t="n">
        <f aca="false">Staff!AG49/FX_EUR</f>
        <v>0</v>
      </c>
      <c r="AH21" s="37" t="n">
        <f aca="false">Staff!AH49/FX_EUR</f>
        <v>0</v>
      </c>
      <c r="AI21" s="37" t="n">
        <f aca="false">Staff!AI49/FX_EUR</f>
        <v>0</v>
      </c>
      <c r="AJ21" s="37" t="n">
        <f aca="false">Staff!AJ49/FX_EUR</f>
        <v>0</v>
      </c>
      <c r="AK21" s="37" t="n">
        <f aca="false">Staff!AK49/FX_EUR</f>
        <v>0</v>
      </c>
      <c r="AL21" s="37" t="n">
        <f aca="false">Staff!AL49/FX_EUR</f>
        <v>0</v>
      </c>
      <c r="AM21" s="37" t="n">
        <f aca="false">Staff!AM49/FX_EUR</f>
        <v>0</v>
      </c>
      <c r="AN21" s="37" t="n">
        <f aca="false">Staff!AN49/FX_EUR</f>
        <v>0</v>
      </c>
      <c r="AO21" s="37" t="n">
        <f aca="false">Staff!AO49/FX_EUR</f>
        <v>0</v>
      </c>
      <c r="AP21" s="37" t="n">
        <f aca="false">Staff!AP49/FX_EUR</f>
        <v>0</v>
      </c>
      <c r="AQ21" s="37" t="n">
        <f aca="false">Staff!AQ49/FX_EUR</f>
        <v>0</v>
      </c>
      <c r="AR21" s="37" t="n">
        <f aca="false">Staff!AR49/FX_EUR</f>
        <v>0</v>
      </c>
      <c r="AS21" s="37" t="n">
        <f aca="false">Staff!AS49/FX_EUR</f>
        <v>0</v>
      </c>
      <c r="AT21" s="37" t="n">
        <f aca="false">Staff!AT49/FX_EUR</f>
        <v>0</v>
      </c>
      <c r="AU21" s="37" t="n">
        <f aca="false">Staff!AU49/FX_EUR</f>
        <v>0</v>
      </c>
      <c r="AV21" s="37" t="n">
        <f aca="false">Staff!AV49/FX_EUR</f>
        <v>0</v>
      </c>
      <c r="AW21" s="37" t="n">
        <f aca="false">Staff!AW49/FX_EUR</f>
        <v>0</v>
      </c>
      <c r="AX21" s="37" t="n">
        <f aca="false">Staff!AX49/FX_EUR</f>
        <v>0</v>
      </c>
      <c r="AY21" s="37" t="n">
        <f aca="false">Staff!AY49/FX_EUR</f>
        <v>0</v>
      </c>
      <c r="AZ21" s="37" t="n">
        <f aca="false">Staff!AZ49/FX_EUR</f>
        <v>0</v>
      </c>
      <c r="BA21" s="37" t="n">
        <f aca="false">Staff!BA49/FX_EUR</f>
        <v>0</v>
      </c>
      <c r="BB21" s="37" t="n">
        <f aca="false">Staff!BB49/FX_EUR</f>
        <v>0</v>
      </c>
      <c r="BC21" s="37" t="n">
        <f aca="false">Staff!BC49/FX_EUR</f>
        <v>0</v>
      </c>
      <c r="BD21" s="37" t="n">
        <f aca="false">Staff!BD49/FX_EUR</f>
        <v>0</v>
      </c>
      <c r="BE21" s="37" t="n">
        <f aca="false">Staff!BE49/FX_EUR</f>
        <v>0</v>
      </c>
      <c r="BF21" s="37" t="n">
        <f aca="false">Staff!BF49/FX_EUR</f>
        <v>0</v>
      </c>
      <c r="BG21" s="37" t="n">
        <f aca="false">Staff!BG49/FX_EUR</f>
        <v>0</v>
      </c>
      <c r="BH21" s="37" t="n">
        <f aca="false">Staff!BH49/FX_EUR</f>
        <v>0</v>
      </c>
      <c r="BI21" s="37" t="n">
        <f aca="false">Staff!BI49/FX_EUR</f>
        <v>0</v>
      </c>
      <c r="BJ21" s="37" t="n">
        <f aca="false">Staff!BJ49/FX_EUR</f>
        <v>0</v>
      </c>
      <c r="BK21" s="37" t="n">
        <f aca="false">Staff!BK49/FX_EUR</f>
        <v>0</v>
      </c>
      <c r="BL21" s="37" t="n">
        <f aca="false">Staff!BL49/FX_EUR</f>
        <v>0</v>
      </c>
    </row>
    <row r="22" customFormat="false" ht="15" hidden="false" customHeight="false" outlineLevel="0" collapsed="false">
      <c r="A22" s="12" t="str">
        <f aca="false">Staff!A50</f>
        <v>(spare line 12)</v>
      </c>
      <c r="B22" s="14" t="s">
        <v>73</v>
      </c>
      <c r="D22" s="55" t="n">
        <f aca="false">Staff!D50/FX_EUR</f>
        <v>0</v>
      </c>
      <c r="E22" s="37" t="n">
        <f aca="false">Staff!E50/FX_EUR</f>
        <v>0</v>
      </c>
      <c r="F22" s="37" t="n">
        <f aca="false">Staff!F50/FX_EUR</f>
        <v>0</v>
      </c>
      <c r="G22" s="37" t="n">
        <f aca="false">Staff!G50/FX_EUR</f>
        <v>0</v>
      </c>
      <c r="H22" s="37" t="n">
        <f aca="false">Staff!H50/FX_EUR</f>
        <v>0</v>
      </c>
      <c r="I22" s="37" t="n">
        <f aca="false">Staff!I50/FX_EUR</f>
        <v>0</v>
      </c>
      <c r="J22" s="37" t="n">
        <f aca="false">Staff!J50/FX_EUR</f>
        <v>0</v>
      </c>
      <c r="K22" s="37" t="n">
        <f aca="false">Staff!K50/FX_EUR</f>
        <v>0</v>
      </c>
      <c r="L22" s="37" t="n">
        <f aca="false">Staff!L50/FX_EUR</f>
        <v>0</v>
      </c>
      <c r="M22" s="37" t="n">
        <f aca="false">Staff!M50/FX_EUR</f>
        <v>0</v>
      </c>
      <c r="N22" s="37" t="n">
        <f aca="false">Staff!N50/FX_EUR</f>
        <v>0</v>
      </c>
      <c r="O22" s="37" t="n">
        <f aca="false">Staff!O50/FX_EUR</f>
        <v>0</v>
      </c>
      <c r="P22" s="37" t="n">
        <f aca="false">Staff!P50/FX_EUR</f>
        <v>0</v>
      </c>
      <c r="Q22" s="37" t="n">
        <f aca="false">Staff!Q50/FX_EUR</f>
        <v>0</v>
      </c>
      <c r="R22" s="37" t="n">
        <f aca="false">Staff!R50/FX_EUR</f>
        <v>0</v>
      </c>
      <c r="S22" s="37" t="n">
        <f aca="false">Staff!S50/FX_EUR</f>
        <v>0</v>
      </c>
      <c r="T22" s="37" t="n">
        <f aca="false">Staff!T50/FX_EUR</f>
        <v>0</v>
      </c>
      <c r="U22" s="37" t="n">
        <f aca="false">Staff!U50/FX_EUR</f>
        <v>0</v>
      </c>
      <c r="V22" s="37" t="n">
        <f aca="false">Staff!V50/FX_EUR</f>
        <v>0</v>
      </c>
      <c r="W22" s="37" t="n">
        <f aca="false">Staff!W50/FX_EUR</f>
        <v>0</v>
      </c>
      <c r="X22" s="37" t="n">
        <f aca="false">Staff!X50/FX_EUR</f>
        <v>0</v>
      </c>
      <c r="Y22" s="37" t="n">
        <f aca="false">Staff!Y50/FX_EUR</f>
        <v>0</v>
      </c>
      <c r="Z22" s="37" t="n">
        <f aca="false">Staff!Z50/FX_EUR</f>
        <v>0</v>
      </c>
      <c r="AA22" s="37" t="n">
        <f aca="false">Staff!AA50/FX_EUR</f>
        <v>0</v>
      </c>
      <c r="AB22" s="37" t="n">
        <f aca="false">Staff!AB50/FX_EUR</f>
        <v>0</v>
      </c>
      <c r="AC22" s="37" t="n">
        <f aca="false">Staff!AC50/FX_EUR</f>
        <v>0</v>
      </c>
      <c r="AD22" s="37" t="n">
        <f aca="false">Staff!AD50/FX_EUR</f>
        <v>0</v>
      </c>
      <c r="AE22" s="37" t="n">
        <f aca="false">Staff!AE50/FX_EUR</f>
        <v>0</v>
      </c>
      <c r="AF22" s="37" t="n">
        <f aca="false">Staff!AF50/FX_EUR</f>
        <v>0</v>
      </c>
      <c r="AG22" s="37" t="n">
        <f aca="false">Staff!AG50/FX_EUR</f>
        <v>0</v>
      </c>
      <c r="AH22" s="37" t="n">
        <f aca="false">Staff!AH50/FX_EUR</f>
        <v>0</v>
      </c>
      <c r="AI22" s="37" t="n">
        <f aca="false">Staff!AI50/FX_EUR</f>
        <v>0</v>
      </c>
      <c r="AJ22" s="37" t="n">
        <f aca="false">Staff!AJ50/FX_EUR</f>
        <v>0</v>
      </c>
      <c r="AK22" s="37" t="n">
        <f aca="false">Staff!AK50/FX_EUR</f>
        <v>0</v>
      </c>
      <c r="AL22" s="37" t="n">
        <f aca="false">Staff!AL50/FX_EUR</f>
        <v>0</v>
      </c>
      <c r="AM22" s="37" t="n">
        <f aca="false">Staff!AM50/FX_EUR</f>
        <v>0</v>
      </c>
      <c r="AN22" s="37" t="n">
        <f aca="false">Staff!AN50/FX_EUR</f>
        <v>0</v>
      </c>
      <c r="AO22" s="37" t="n">
        <f aca="false">Staff!AO50/FX_EUR</f>
        <v>0</v>
      </c>
      <c r="AP22" s="37" t="n">
        <f aca="false">Staff!AP50/FX_EUR</f>
        <v>0</v>
      </c>
      <c r="AQ22" s="37" t="n">
        <f aca="false">Staff!AQ50/FX_EUR</f>
        <v>0</v>
      </c>
      <c r="AR22" s="37" t="n">
        <f aca="false">Staff!AR50/FX_EUR</f>
        <v>0</v>
      </c>
      <c r="AS22" s="37" t="n">
        <f aca="false">Staff!AS50/FX_EUR</f>
        <v>0</v>
      </c>
      <c r="AT22" s="37" t="n">
        <f aca="false">Staff!AT50/FX_EUR</f>
        <v>0</v>
      </c>
      <c r="AU22" s="37" t="n">
        <f aca="false">Staff!AU50/FX_EUR</f>
        <v>0</v>
      </c>
      <c r="AV22" s="37" t="n">
        <f aca="false">Staff!AV50/FX_EUR</f>
        <v>0</v>
      </c>
      <c r="AW22" s="37" t="n">
        <f aca="false">Staff!AW50/FX_EUR</f>
        <v>0</v>
      </c>
      <c r="AX22" s="37" t="n">
        <f aca="false">Staff!AX50/FX_EUR</f>
        <v>0</v>
      </c>
      <c r="AY22" s="37" t="n">
        <f aca="false">Staff!AY50/FX_EUR</f>
        <v>0</v>
      </c>
      <c r="AZ22" s="37" t="n">
        <f aca="false">Staff!AZ50/FX_EUR</f>
        <v>0</v>
      </c>
      <c r="BA22" s="37" t="n">
        <f aca="false">Staff!BA50/FX_EUR</f>
        <v>0</v>
      </c>
      <c r="BB22" s="37" t="n">
        <f aca="false">Staff!BB50/FX_EUR</f>
        <v>0</v>
      </c>
      <c r="BC22" s="37" t="n">
        <f aca="false">Staff!BC50/FX_EUR</f>
        <v>0</v>
      </c>
      <c r="BD22" s="37" t="n">
        <f aca="false">Staff!BD50/FX_EUR</f>
        <v>0</v>
      </c>
      <c r="BE22" s="37" t="n">
        <f aca="false">Staff!BE50/FX_EUR</f>
        <v>0</v>
      </c>
      <c r="BF22" s="37" t="n">
        <f aca="false">Staff!BF50/FX_EUR</f>
        <v>0</v>
      </c>
      <c r="BG22" s="37" t="n">
        <f aca="false">Staff!BG50/FX_EUR</f>
        <v>0</v>
      </c>
      <c r="BH22" s="37" t="n">
        <f aca="false">Staff!BH50/FX_EUR</f>
        <v>0</v>
      </c>
      <c r="BI22" s="37" t="n">
        <f aca="false">Staff!BI50/FX_EUR</f>
        <v>0</v>
      </c>
      <c r="BJ22" s="37" t="n">
        <f aca="false">Staff!BJ50/FX_EUR</f>
        <v>0</v>
      </c>
      <c r="BK22" s="37" t="n">
        <f aca="false">Staff!BK50/FX_EUR</f>
        <v>0</v>
      </c>
      <c r="BL22" s="37" t="n">
        <f aca="false">Staff!BL50/FX_EUR</f>
        <v>0</v>
      </c>
    </row>
    <row r="23" customFormat="false" ht="15" hidden="false" customHeight="false" outlineLevel="0" collapsed="false">
      <c r="A23" s="12" t="str">
        <f aca="false">Staff!A51</f>
        <v>(spare line 13)</v>
      </c>
      <c r="B23" s="14" t="s">
        <v>73</v>
      </c>
      <c r="D23" s="55" t="n">
        <f aca="false">Staff!D51/FX_EUR</f>
        <v>0</v>
      </c>
      <c r="E23" s="37" t="n">
        <f aca="false">Staff!E51/FX_EUR</f>
        <v>0</v>
      </c>
      <c r="F23" s="37" t="n">
        <f aca="false">Staff!F51/FX_EUR</f>
        <v>0</v>
      </c>
      <c r="G23" s="37" t="n">
        <f aca="false">Staff!G51/FX_EUR</f>
        <v>0</v>
      </c>
      <c r="H23" s="37" t="n">
        <f aca="false">Staff!H51/FX_EUR</f>
        <v>0</v>
      </c>
      <c r="I23" s="37" t="n">
        <f aca="false">Staff!I51/FX_EUR</f>
        <v>0</v>
      </c>
      <c r="J23" s="37" t="n">
        <f aca="false">Staff!J51/FX_EUR</f>
        <v>0</v>
      </c>
      <c r="K23" s="37" t="n">
        <f aca="false">Staff!K51/FX_EUR</f>
        <v>0</v>
      </c>
      <c r="L23" s="37" t="n">
        <f aca="false">Staff!L51/FX_EUR</f>
        <v>0</v>
      </c>
      <c r="M23" s="37" t="n">
        <f aca="false">Staff!M51/FX_EUR</f>
        <v>0</v>
      </c>
      <c r="N23" s="37" t="n">
        <f aca="false">Staff!N51/FX_EUR</f>
        <v>0</v>
      </c>
      <c r="O23" s="37" t="n">
        <f aca="false">Staff!O51/FX_EUR</f>
        <v>0</v>
      </c>
      <c r="P23" s="37" t="n">
        <f aca="false">Staff!P51/FX_EUR</f>
        <v>0</v>
      </c>
      <c r="Q23" s="37" t="n">
        <f aca="false">Staff!Q51/FX_EUR</f>
        <v>0</v>
      </c>
      <c r="R23" s="37" t="n">
        <f aca="false">Staff!R51/FX_EUR</f>
        <v>0</v>
      </c>
      <c r="S23" s="37" t="n">
        <f aca="false">Staff!S51/FX_EUR</f>
        <v>0</v>
      </c>
      <c r="T23" s="37" t="n">
        <f aca="false">Staff!T51/FX_EUR</f>
        <v>0</v>
      </c>
      <c r="U23" s="37" t="n">
        <f aca="false">Staff!U51/FX_EUR</f>
        <v>0</v>
      </c>
      <c r="V23" s="37" t="n">
        <f aca="false">Staff!V51/FX_EUR</f>
        <v>0</v>
      </c>
      <c r="W23" s="37" t="n">
        <f aca="false">Staff!W51/FX_EUR</f>
        <v>0</v>
      </c>
      <c r="X23" s="37" t="n">
        <f aca="false">Staff!X51/FX_EUR</f>
        <v>0</v>
      </c>
      <c r="Y23" s="37" t="n">
        <f aca="false">Staff!Y51/FX_EUR</f>
        <v>0</v>
      </c>
      <c r="Z23" s="37" t="n">
        <f aca="false">Staff!Z51/FX_EUR</f>
        <v>0</v>
      </c>
      <c r="AA23" s="37" t="n">
        <f aca="false">Staff!AA51/FX_EUR</f>
        <v>0</v>
      </c>
      <c r="AB23" s="37" t="n">
        <f aca="false">Staff!AB51/FX_EUR</f>
        <v>0</v>
      </c>
      <c r="AC23" s="37" t="n">
        <f aca="false">Staff!AC51/FX_EUR</f>
        <v>0</v>
      </c>
      <c r="AD23" s="37" t="n">
        <f aca="false">Staff!AD51/FX_EUR</f>
        <v>0</v>
      </c>
      <c r="AE23" s="37" t="n">
        <f aca="false">Staff!AE51/FX_EUR</f>
        <v>0</v>
      </c>
      <c r="AF23" s="37" t="n">
        <f aca="false">Staff!AF51/FX_EUR</f>
        <v>0</v>
      </c>
      <c r="AG23" s="37" t="n">
        <f aca="false">Staff!AG51/FX_EUR</f>
        <v>0</v>
      </c>
      <c r="AH23" s="37" t="n">
        <f aca="false">Staff!AH51/FX_EUR</f>
        <v>0</v>
      </c>
      <c r="AI23" s="37" t="n">
        <f aca="false">Staff!AI51/FX_EUR</f>
        <v>0</v>
      </c>
      <c r="AJ23" s="37" t="n">
        <f aca="false">Staff!AJ51/FX_EUR</f>
        <v>0</v>
      </c>
      <c r="AK23" s="37" t="n">
        <f aca="false">Staff!AK51/FX_EUR</f>
        <v>0</v>
      </c>
      <c r="AL23" s="37" t="n">
        <f aca="false">Staff!AL51/FX_EUR</f>
        <v>0</v>
      </c>
      <c r="AM23" s="37" t="n">
        <f aca="false">Staff!AM51/FX_EUR</f>
        <v>0</v>
      </c>
      <c r="AN23" s="37" t="n">
        <f aca="false">Staff!AN51/FX_EUR</f>
        <v>0</v>
      </c>
      <c r="AO23" s="37" t="n">
        <f aca="false">Staff!AO51/FX_EUR</f>
        <v>0</v>
      </c>
      <c r="AP23" s="37" t="n">
        <f aca="false">Staff!AP51/FX_EUR</f>
        <v>0</v>
      </c>
      <c r="AQ23" s="37" t="n">
        <f aca="false">Staff!AQ51/FX_EUR</f>
        <v>0</v>
      </c>
      <c r="AR23" s="37" t="n">
        <f aca="false">Staff!AR51/FX_EUR</f>
        <v>0</v>
      </c>
      <c r="AS23" s="37" t="n">
        <f aca="false">Staff!AS51/FX_EUR</f>
        <v>0</v>
      </c>
      <c r="AT23" s="37" t="n">
        <f aca="false">Staff!AT51/FX_EUR</f>
        <v>0</v>
      </c>
      <c r="AU23" s="37" t="n">
        <f aca="false">Staff!AU51/FX_EUR</f>
        <v>0</v>
      </c>
      <c r="AV23" s="37" t="n">
        <f aca="false">Staff!AV51/FX_EUR</f>
        <v>0</v>
      </c>
      <c r="AW23" s="37" t="n">
        <f aca="false">Staff!AW51/FX_EUR</f>
        <v>0</v>
      </c>
      <c r="AX23" s="37" t="n">
        <f aca="false">Staff!AX51/FX_EUR</f>
        <v>0</v>
      </c>
      <c r="AY23" s="37" t="n">
        <f aca="false">Staff!AY51/FX_EUR</f>
        <v>0</v>
      </c>
      <c r="AZ23" s="37" t="n">
        <f aca="false">Staff!AZ51/FX_EUR</f>
        <v>0</v>
      </c>
      <c r="BA23" s="37" t="n">
        <f aca="false">Staff!BA51/FX_EUR</f>
        <v>0</v>
      </c>
      <c r="BB23" s="37" t="n">
        <f aca="false">Staff!BB51/FX_EUR</f>
        <v>0</v>
      </c>
      <c r="BC23" s="37" t="n">
        <f aca="false">Staff!BC51/FX_EUR</f>
        <v>0</v>
      </c>
      <c r="BD23" s="37" t="n">
        <f aca="false">Staff!BD51/FX_EUR</f>
        <v>0</v>
      </c>
      <c r="BE23" s="37" t="n">
        <f aca="false">Staff!BE51/FX_EUR</f>
        <v>0</v>
      </c>
      <c r="BF23" s="37" t="n">
        <f aca="false">Staff!BF51/FX_EUR</f>
        <v>0</v>
      </c>
      <c r="BG23" s="37" t="n">
        <f aca="false">Staff!BG51/FX_EUR</f>
        <v>0</v>
      </c>
      <c r="BH23" s="37" t="n">
        <f aca="false">Staff!BH51/FX_EUR</f>
        <v>0</v>
      </c>
      <c r="BI23" s="37" t="n">
        <f aca="false">Staff!BI51/FX_EUR</f>
        <v>0</v>
      </c>
      <c r="BJ23" s="37" t="n">
        <f aca="false">Staff!BJ51/FX_EUR</f>
        <v>0</v>
      </c>
      <c r="BK23" s="37" t="n">
        <f aca="false">Staff!BK51/FX_EUR</f>
        <v>0</v>
      </c>
      <c r="BL23" s="37" t="n">
        <f aca="false">Staff!BL51/FX_EUR</f>
        <v>0</v>
      </c>
    </row>
    <row r="24" customFormat="false" ht="15" hidden="false" customHeight="false" outlineLevel="0" collapsed="false">
      <c r="A24" s="12" t="str">
        <f aca="false">Staff!A52</f>
        <v>(spare line 14)</v>
      </c>
      <c r="B24" s="14" t="s">
        <v>73</v>
      </c>
      <c r="D24" s="55" t="n">
        <f aca="false">Staff!D52/FX_EUR</f>
        <v>0</v>
      </c>
      <c r="E24" s="37" t="n">
        <f aca="false">Staff!E52/FX_EUR</f>
        <v>0</v>
      </c>
      <c r="F24" s="37" t="n">
        <f aca="false">Staff!F52/FX_EUR</f>
        <v>0</v>
      </c>
      <c r="G24" s="37" t="n">
        <f aca="false">Staff!G52/FX_EUR</f>
        <v>0</v>
      </c>
      <c r="H24" s="37" t="n">
        <f aca="false">Staff!H52/FX_EUR</f>
        <v>0</v>
      </c>
      <c r="I24" s="37" t="n">
        <f aca="false">Staff!I52/FX_EUR</f>
        <v>0</v>
      </c>
      <c r="J24" s="37" t="n">
        <f aca="false">Staff!J52/FX_EUR</f>
        <v>0</v>
      </c>
      <c r="K24" s="37" t="n">
        <f aca="false">Staff!K52/FX_EUR</f>
        <v>0</v>
      </c>
      <c r="L24" s="37" t="n">
        <f aca="false">Staff!L52/FX_EUR</f>
        <v>0</v>
      </c>
      <c r="M24" s="37" t="n">
        <f aca="false">Staff!M52/FX_EUR</f>
        <v>0</v>
      </c>
      <c r="N24" s="37" t="n">
        <f aca="false">Staff!N52/FX_EUR</f>
        <v>0</v>
      </c>
      <c r="O24" s="37" t="n">
        <f aca="false">Staff!O52/FX_EUR</f>
        <v>0</v>
      </c>
      <c r="P24" s="37" t="n">
        <f aca="false">Staff!P52/FX_EUR</f>
        <v>0</v>
      </c>
      <c r="Q24" s="37" t="n">
        <f aca="false">Staff!Q52/FX_EUR</f>
        <v>0</v>
      </c>
      <c r="R24" s="37" t="n">
        <f aca="false">Staff!R52/FX_EUR</f>
        <v>0</v>
      </c>
      <c r="S24" s="37" t="n">
        <f aca="false">Staff!S52/FX_EUR</f>
        <v>0</v>
      </c>
      <c r="T24" s="37" t="n">
        <f aca="false">Staff!T52/FX_EUR</f>
        <v>0</v>
      </c>
      <c r="U24" s="37" t="n">
        <f aca="false">Staff!U52/FX_EUR</f>
        <v>0</v>
      </c>
      <c r="V24" s="37" t="n">
        <f aca="false">Staff!V52/FX_EUR</f>
        <v>0</v>
      </c>
      <c r="W24" s="37" t="n">
        <f aca="false">Staff!W52/FX_EUR</f>
        <v>0</v>
      </c>
      <c r="X24" s="37" t="n">
        <f aca="false">Staff!X52/FX_EUR</f>
        <v>0</v>
      </c>
      <c r="Y24" s="37" t="n">
        <f aca="false">Staff!Y52/FX_EUR</f>
        <v>0</v>
      </c>
      <c r="Z24" s="37" t="n">
        <f aca="false">Staff!Z52/FX_EUR</f>
        <v>0</v>
      </c>
      <c r="AA24" s="37" t="n">
        <f aca="false">Staff!AA52/FX_EUR</f>
        <v>0</v>
      </c>
      <c r="AB24" s="37" t="n">
        <f aca="false">Staff!AB52/FX_EUR</f>
        <v>0</v>
      </c>
      <c r="AC24" s="37" t="n">
        <f aca="false">Staff!AC52/FX_EUR</f>
        <v>0</v>
      </c>
      <c r="AD24" s="37" t="n">
        <f aca="false">Staff!AD52/FX_EUR</f>
        <v>0</v>
      </c>
      <c r="AE24" s="37" t="n">
        <f aca="false">Staff!AE52/FX_EUR</f>
        <v>0</v>
      </c>
      <c r="AF24" s="37" t="n">
        <f aca="false">Staff!AF52/FX_EUR</f>
        <v>0</v>
      </c>
      <c r="AG24" s="37" t="n">
        <f aca="false">Staff!AG52/FX_EUR</f>
        <v>0</v>
      </c>
      <c r="AH24" s="37" t="n">
        <f aca="false">Staff!AH52/FX_EUR</f>
        <v>0</v>
      </c>
      <c r="AI24" s="37" t="n">
        <f aca="false">Staff!AI52/FX_EUR</f>
        <v>0</v>
      </c>
      <c r="AJ24" s="37" t="n">
        <f aca="false">Staff!AJ52/FX_EUR</f>
        <v>0</v>
      </c>
      <c r="AK24" s="37" t="n">
        <f aca="false">Staff!AK52/FX_EUR</f>
        <v>0</v>
      </c>
      <c r="AL24" s="37" t="n">
        <f aca="false">Staff!AL52/FX_EUR</f>
        <v>0</v>
      </c>
      <c r="AM24" s="37" t="n">
        <f aca="false">Staff!AM52/FX_EUR</f>
        <v>0</v>
      </c>
      <c r="AN24" s="37" t="n">
        <f aca="false">Staff!AN52/FX_EUR</f>
        <v>0</v>
      </c>
      <c r="AO24" s="37" t="n">
        <f aca="false">Staff!AO52/FX_EUR</f>
        <v>0</v>
      </c>
      <c r="AP24" s="37" t="n">
        <f aca="false">Staff!AP52/FX_EUR</f>
        <v>0</v>
      </c>
      <c r="AQ24" s="37" t="n">
        <f aca="false">Staff!AQ52/FX_EUR</f>
        <v>0</v>
      </c>
      <c r="AR24" s="37" t="n">
        <f aca="false">Staff!AR52/FX_EUR</f>
        <v>0</v>
      </c>
      <c r="AS24" s="37" t="n">
        <f aca="false">Staff!AS52/FX_EUR</f>
        <v>0</v>
      </c>
      <c r="AT24" s="37" t="n">
        <f aca="false">Staff!AT52/FX_EUR</f>
        <v>0</v>
      </c>
      <c r="AU24" s="37" t="n">
        <f aca="false">Staff!AU52/FX_EUR</f>
        <v>0</v>
      </c>
      <c r="AV24" s="37" t="n">
        <f aca="false">Staff!AV52/FX_EUR</f>
        <v>0</v>
      </c>
      <c r="AW24" s="37" t="n">
        <f aca="false">Staff!AW52/FX_EUR</f>
        <v>0</v>
      </c>
      <c r="AX24" s="37" t="n">
        <f aca="false">Staff!AX52/FX_EUR</f>
        <v>0</v>
      </c>
      <c r="AY24" s="37" t="n">
        <f aca="false">Staff!AY52/FX_EUR</f>
        <v>0</v>
      </c>
      <c r="AZ24" s="37" t="n">
        <f aca="false">Staff!AZ52/FX_EUR</f>
        <v>0</v>
      </c>
      <c r="BA24" s="37" t="n">
        <f aca="false">Staff!BA52/FX_EUR</f>
        <v>0</v>
      </c>
      <c r="BB24" s="37" t="n">
        <f aca="false">Staff!BB52/FX_EUR</f>
        <v>0</v>
      </c>
      <c r="BC24" s="37" t="n">
        <f aca="false">Staff!BC52/FX_EUR</f>
        <v>0</v>
      </c>
      <c r="BD24" s="37" t="n">
        <f aca="false">Staff!BD52/FX_EUR</f>
        <v>0</v>
      </c>
      <c r="BE24" s="37" t="n">
        <f aca="false">Staff!BE52/FX_EUR</f>
        <v>0</v>
      </c>
      <c r="BF24" s="37" t="n">
        <f aca="false">Staff!BF52/FX_EUR</f>
        <v>0</v>
      </c>
      <c r="BG24" s="37" t="n">
        <f aca="false">Staff!BG52/FX_EUR</f>
        <v>0</v>
      </c>
      <c r="BH24" s="37" t="n">
        <f aca="false">Staff!BH52/FX_EUR</f>
        <v>0</v>
      </c>
      <c r="BI24" s="37" t="n">
        <f aca="false">Staff!BI52/FX_EUR</f>
        <v>0</v>
      </c>
      <c r="BJ24" s="37" t="n">
        <f aca="false">Staff!BJ52/FX_EUR</f>
        <v>0</v>
      </c>
      <c r="BK24" s="37" t="n">
        <f aca="false">Staff!BK52/FX_EUR</f>
        <v>0</v>
      </c>
      <c r="BL24" s="37" t="n">
        <f aca="false">Staff!BL52/FX_EUR</f>
        <v>0</v>
      </c>
    </row>
    <row r="25" customFormat="false" ht="15" hidden="false" customHeight="false" outlineLevel="0" collapsed="false">
      <c r="A25" s="12" t="str">
        <f aca="false">Staff!A53</f>
        <v>(spare line 15)</v>
      </c>
      <c r="B25" s="14" t="s">
        <v>73</v>
      </c>
      <c r="D25" s="55" t="n">
        <f aca="false">Staff!D53/FX_EUR</f>
        <v>0</v>
      </c>
      <c r="E25" s="37" t="n">
        <f aca="false">Staff!E53/FX_EUR</f>
        <v>0</v>
      </c>
      <c r="F25" s="37" t="n">
        <f aca="false">Staff!F53/FX_EUR</f>
        <v>0</v>
      </c>
      <c r="G25" s="37" t="n">
        <f aca="false">Staff!G53/FX_EUR</f>
        <v>0</v>
      </c>
      <c r="H25" s="37" t="n">
        <f aca="false">Staff!H53/FX_EUR</f>
        <v>0</v>
      </c>
      <c r="I25" s="37" t="n">
        <f aca="false">Staff!I53/FX_EUR</f>
        <v>0</v>
      </c>
      <c r="J25" s="37" t="n">
        <f aca="false">Staff!J53/FX_EUR</f>
        <v>0</v>
      </c>
      <c r="K25" s="37" t="n">
        <f aca="false">Staff!K53/FX_EUR</f>
        <v>0</v>
      </c>
      <c r="L25" s="37" t="n">
        <f aca="false">Staff!L53/FX_EUR</f>
        <v>0</v>
      </c>
      <c r="M25" s="37" t="n">
        <f aca="false">Staff!M53/FX_EUR</f>
        <v>0</v>
      </c>
      <c r="N25" s="37" t="n">
        <f aca="false">Staff!N53/FX_EUR</f>
        <v>0</v>
      </c>
      <c r="O25" s="37" t="n">
        <f aca="false">Staff!O53/FX_EUR</f>
        <v>0</v>
      </c>
      <c r="P25" s="37" t="n">
        <f aca="false">Staff!P53/FX_EUR</f>
        <v>0</v>
      </c>
      <c r="Q25" s="37" t="n">
        <f aca="false">Staff!Q53/FX_EUR</f>
        <v>0</v>
      </c>
      <c r="R25" s="37" t="n">
        <f aca="false">Staff!R53/FX_EUR</f>
        <v>0</v>
      </c>
      <c r="S25" s="37" t="n">
        <f aca="false">Staff!S53/FX_EUR</f>
        <v>0</v>
      </c>
      <c r="T25" s="37" t="n">
        <f aca="false">Staff!T53/FX_EUR</f>
        <v>0</v>
      </c>
      <c r="U25" s="37" t="n">
        <f aca="false">Staff!U53/FX_EUR</f>
        <v>0</v>
      </c>
      <c r="V25" s="37" t="n">
        <f aca="false">Staff!V53/FX_EUR</f>
        <v>0</v>
      </c>
      <c r="W25" s="37" t="n">
        <f aca="false">Staff!W53/FX_EUR</f>
        <v>0</v>
      </c>
      <c r="X25" s="37" t="n">
        <f aca="false">Staff!X53/FX_EUR</f>
        <v>0</v>
      </c>
      <c r="Y25" s="37" t="n">
        <f aca="false">Staff!Y53/FX_EUR</f>
        <v>0</v>
      </c>
      <c r="Z25" s="37" t="n">
        <f aca="false">Staff!Z53/FX_EUR</f>
        <v>0</v>
      </c>
      <c r="AA25" s="37" t="n">
        <f aca="false">Staff!AA53/FX_EUR</f>
        <v>0</v>
      </c>
      <c r="AB25" s="37" t="n">
        <f aca="false">Staff!AB53/FX_EUR</f>
        <v>0</v>
      </c>
      <c r="AC25" s="37" t="n">
        <f aca="false">Staff!AC53/FX_EUR</f>
        <v>0</v>
      </c>
      <c r="AD25" s="37" t="n">
        <f aca="false">Staff!AD53/FX_EUR</f>
        <v>0</v>
      </c>
      <c r="AE25" s="37" t="n">
        <f aca="false">Staff!AE53/FX_EUR</f>
        <v>0</v>
      </c>
      <c r="AF25" s="37" t="n">
        <f aca="false">Staff!AF53/FX_EUR</f>
        <v>0</v>
      </c>
      <c r="AG25" s="37" t="n">
        <f aca="false">Staff!AG53/FX_EUR</f>
        <v>0</v>
      </c>
      <c r="AH25" s="37" t="n">
        <f aca="false">Staff!AH53/FX_EUR</f>
        <v>0</v>
      </c>
      <c r="AI25" s="37" t="n">
        <f aca="false">Staff!AI53/FX_EUR</f>
        <v>0</v>
      </c>
      <c r="AJ25" s="37" t="n">
        <f aca="false">Staff!AJ53/FX_EUR</f>
        <v>0</v>
      </c>
      <c r="AK25" s="37" t="n">
        <f aca="false">Staff!AK53/FX_EUR</f>
        <v>0</v>
      </c>
      <c r="AL25" s="37" t="n">
        <f aca="false">Staff!AL53/FX_EUR</f>
        <v>0</v>
      </c>
      <c r="AM25" s="37" t="n">
        <f aca="false">Staff!AM53/FX_EUR</f>
        <v>0</v>
      </c>
      <c r="AN25" s="37" t="n">
        <f aca="false">Staff!AN53/FX_EUR</f>
        <v>0</v>
      </c>
      <c r="AO25" s="37" t="n">
        <f aca="false">Staff!AO53/FX_EUR</f>
        <v>0</v>
      </c>
      <c r="AP25" s="37" t="n">
        <f aca="false">Staff!AP53/FX_EUR</f>
        <v>0</v>
      </c>
      <c r="AQ25" s="37" t="n">
        <f aca="false">Staff!AQ53/FX_EUR</f>
        <v>0</v>
      </c>
      <c r="AR25" s="37" t="n">
        <f aca="false">Staff!AR53/FX_EUR</f>
        <v>0</v>
      </c>
      <c r="AS25" s="37" t="n">
        <f aca="false">Staff!AS53/FX_EUR</f>
        <v>0</v>
      </c>
      <c r="AT25" s="37" t="n">
        <f aca="false">Staff!AT53/FX_EUR</f>
        <v>0</v>
      </c>
      <c r="AU25" s="37" t="n">
        <f aca="false">Staff!AU53/FX_EUR</f>
        <v>0</v>
      </c>
      <c r="AV25" s="37" t="n">
        <f aca="false">Staff!AV53/FX_EUR</f>
        <v>0</v>
      </c>
      <c r="AW25" s="37" t="n">
        <f aca="false">Staff!AW53/FX_EUR</f>
        <v>0</v>
      </c>
      <c r="AX25" s="37" t="n">
        <f aca="false">Staff!AX53/FX_EUR</f>
        <v>0</v>
      </c>
      <c r="AY25" s="37" t="n">
        <f aca="false">Staff!AY53/FX_EUR</f>
        <v>0</v>
      </c>
      <c r="AZ25" s="37" t="n">
        <f aca="false">Staff!AZ53/FX_EUR</f>
        <v>0</v>
      </c>
      <c r="BA25" s="37" t="n">
        <f aca="false">Staff!BA53/FX_EUR</f>
        <v>0</v>
      </c>
      <c r="BB25" s="37" t="n">
        <f aca="false">Staff!BB53/FX_EUR</f>
        <v>0</v>
      </c>
      <c r="BC25" s="37" t="n">
        <f aca="false">Staff!BC53/FX_EUR</f>
        <v>0</v>
      </c>
      <c r="BD25" s="37" t="n">
        <f aca="false">Staff!BD53/FX_EUR</f>
        <v>0</v>
      </c>
      <c r="BE25" s="37" t="n">
        <f aca="false">Staff!BE53/FX_EUR</f>
        <v>0</v>
      </c>
      <c r="BF25" s="37" t="n">
        <f aca="false">Staff!BF53/FX_EUR</f>
        <v>0</v>
      </c>
      <c r="BG25" s="37" t="n">
        <f aca="false">Staff!BG53/FX_EUR</f>
        <v>0</v>
      </c>
      <c r="BH25" s="37" t="n">
        <f aca="false">Staff!BH53/FX_EUR</f>
        <v>0</v>
      </c>
      <c r="BI25" s="37" t="n">
        <f aca="false">Staff!BI53/FX_EUR</f>
        <v>0</v>
      </c>
      <c r="BJ25" s="37" t="n">
        <f aca="false">Staff!BJ53/FX_EUR</f>
        <v>0</v>
      </c>
      <c r="BK25" s="37" t="n">
        <f aca="false">Staff!BK53/FX_EUR</f>
        <v>0</v>
      </c>
      <c r="BL25" s="37" t="n">
        <f aca="false">Staff!BL53/FX_EUR</f>
        <v>0</v>
      </c>
    </row>
    <row r="26" customFormat="false" ht="15" hidden="false" customHeight="false" outlineLevel="0" collapsed="false">
      <c r="A26" s="12" t="str">
        <f aca="false">Staff!A54</f>
        <v>(spare line 16)</v>
      </c>
      <c r="B26" s="14" t="s">
        <v>73</v>
      </c>
      <c r="D26" s="55" t="n">
        <f aca="false">Staff!D54/FX_EUR</f>
        <v>0</v>
      </c>
      <c r="E26" s="37" t="n">
        <f aca="false">Staff!E54/FX_EUR</f>
        <v>0</v>
      </c>
      <c r="F26" s="37" t="n">
        <f aca="false">Staff!F54/FX_EUR</f>
        <v>0</v>
      </c>
      <c r="G26" s="37" t="n">
        <f aca="false">Staff!G54/FX_EUR</f>
        <v>0</v>
      </c>
      <c r="H26" s="37" t="n">
        <f aca="false">Staff!H54/FX_EUR</f>
        <v>0</v>
      </c>
      <c r="I26" s="37" t="n">
        <f aca="false">Staff!I54/FX_EUR</f>
        <v>0</v>
      </c>
      <c r="J26" s="37" t="n">
        <f aca="false">Staff!J54/FX_EUR</f>
        <v>0</v>
      </c>
      <c r="K26" s="37" t="n">
        <f aca="false">Staff!K54/FX_EUR</f>
        <v>0</v>
      </c>
      <c r="L26" s="37" t="n">
        <f aca="false">Staff!L54/FX_EUR</f>
        <v>0</v>
      </c>
      <c r="M26" s="37" t="n">
        <f aca="false">Staff!M54/FX_EUR</f>
        <v>0</v>
      </c>
      <c r="N26" s="37" t="n">
        <f aca="false">Staff!N54/FX_EUR</f>
        <v>0</v>
      </c>
      <c r="O26" s="37" t="n">
        <f aca="false">Staff!O54/FX_EUR</f>
        <v>0</v>
      </c>
      <c r="P26" s="37" t="n">
        <f aca="false">Staff!P54/FX_EUR</f>
        <v>0</v>
      </c>
      <c r="Q26" s="37" t="n">
        <f aca="false">Staff!Q54/FX_EUR</f>
        <v>0</v>
      </c>
      <c r="R26" s="37" t="n">
        <f aca="false">Staff!R54/FX_EUR</f>
        <v>0</v>
      </c>
      <c r="S26" s="37" t="n">
        <f aca="false">Staff!S54/FX_EUR</f>
        <v>0</v>
      </c>
      <c r="T26" s="37" t="n">
        <f aca="false">Staff!T54/FX_EUR</f>
        <v>0</v>
      </c>
      <c r="U26" s="37" t="n">
        <f aca="false">Staff!U54/FX_EUR</f>
        <v>0</v>
      </c>
      <c r="V26" s="37" t="n">
        <f aca="false">Staff!V54/FX_EUR</f>
        <v>0</v>
      </c>
      <c r="W26" s="37" t="n">
        <f aca="false">Staff!W54/FX_EUR</f>
        <v>0</v>
      </c>
      <c r="X26" s="37" t="n">
        <f aca="false">Staff!X54/FX_EUR</f>
        <v>0</v>
      </c>
      <c r="Y26" s="37" t="n">
        <f aca="false">Staff!Y54/FX_EUR</f>
        <v>0</v>
      </c>
      <c r="Z26" s="37" t="n">
        <f aca="false">Staff!Z54/FX_EUR</f>
        <v>0</v>
      </c>
      <c r="AA26" s="37" t="n">
        <f aca="false">Staff!AA54/FX_EUR</f>
        <v>0</v>
      </c>
      <c r="AB26" s="37" t="n">
        <f aca="false">Staff!AB54/FX_EUR</f>
        <v>0</v>
      </c>
      <c r="AC26" s="37" t="n">
        <f aca="false">Staff!AC54/FX_EUR</f>
        <v>0</v>
      </c>
      <c r="AD26" s="37" t="n">
        <f aca="false">Staff!AD54/FX_EUR</f>
        <v>0</v>
      </c>
      <c r="AE26" s="37" t="n">
        <f aca="false">Staff!AE54/FX_EUR</f>
        <v>0</v>
      </c>
      <c r="AF26" s="37" t="n">
        <f aca="false">Staff!AF54/FX_EUR</f>
        <v>0</v>
      </c>
      <c r="AG26" s="37" t="n">
        <f aca="false">Staff!AG54/FX_EUR</f>
        <v>0</v>
      </c>
      <c r="AH26" s="37" t="n">
        <f aca="false">Staff!AH54/FX_EUR</f>
        <v>0</v>
      </c>
      <c r="AI26" s="37" t="n">
        <f aca="false">Staff!AI54/FX_EUR</f>
        <v>0</v>
      </c>
      <c r="AJ26" s="37" t="n">
        <f aca="false">Staff!AJ54/FX_EUR</f>
        <v>0</v>
      </c>
      <c r="AK26" s="37" t="n">
        <f aca="false">Staff!AK54/FX_EUR</f>
        <v>0</v>
      </c>
      <c r="AL26" s="37" t="n">
        <f aca="false">Staff!AL54/FX_EUR</f>
        <v>0</v>
      </c>
      <c r="AM26" s="37" t="n">
        <f aca="false">Staff!AM54/FX_EUR</f>
        <v>0</v>
      </c>
      <c r="AN26" s="37" t="n">
        <f aca="false">Staff!AN54/FX_EUR</f>
        <v>0</v>
      </c>
      <c r="AO26" s="37" t="n">
        <f aca="false">Staff!AO54/FX_EUR</f>
        <v>0</v>
      </c>
      <c r="AP26" s="37" t="n">
        <f aca="false">Staff!AP54/FX_EUR</f>
        <v>0</v>
      </c>
      <c r="AQ26" s="37" t="n">
        <f aca="false">Staff!AQ54/FX_EUR</f>
        <v>0</v>
      </c>
      <c r="AR26" s="37" t="n">
        <f aca="false">Staff!AR54/FX_EUR</f>
        <v>0</v>
      </c>
      <c r="AS26" s="37" t="n">
        <f aca="false">Staff!AS54/FX_EUR</f>
        <v>0</v>
      </c>
      <c r="AT26" s="37" t="n">
        <f aca="false">Staff!AT54/FX_EUR</f>
        <v>0</v>
      </c>
      <c r="AU26" s="37" t="n">
        <f aca="false">Staff!AU54/FX_EUR</f>
        <v>0</v>
      </c>
      <c r="AV26" s="37" t="n">
        <f aca="false">Staff!AV54/FX_EUR</f>
        <v>0</v>
      </c>
      <c r="AW26" s="37" t="n">
        <f aca="false">Staff!AW54/FX_EUR</f>
        <v>0</v>
      </c>
      <c r="AX26" s="37" t="n">
        <f aca="false">Staff!AX54/FX_EUR</f>
        <v>0</v>
      </c>
      <c r="AY26" s="37" t="n">
        <f aca="false">Staff!AY54/FX_EUR</f>
        <v>0</v>
      </c>
      <c r="AZ26" s="37" t="n">
        <f aca="false">Staff!AZ54/FX_EUR</f>
        <v>0</v>
      </c>
      <c r="BA26" s="37" t="n">
        <f aca="false">Staff!BA54/FX_EUR</f>
        <v>0</v>
      </c>
      <c r="BB26" s="37" t="n">
        <f aca="false">Staff!BB54/FX_EUR</f>
        <v>0</v>
      </c>
      <c r="BC26" s="37" t="n">
        <f aca="false">Staff!BC54/FX_EUR</f>
        <v>0</v>
      </c>
      <c r="BD26" s="37" t="n">
        <f aca="false">Staff!BD54/FX_EUR</f>
        <v>0</v>
      </c>
      <c r="BE26" s="37" t="n">
        <f aca="false">Staff!BE54/FX_EUR</f>
        <v>0</v>
      </c>
      <c r="BF26" s="37" t="n">
        <f aca="false">Staff!BF54/FX_EUR</f>
        <v>0</v>
      </c>
      <c r="BG26" s="37" t="n">
        <f aca="false">Staff!BG54/FX_EUR</f>
        <v>0</v>
      </c>
      <c r="BH26" s="37" t="n">
        <f aca="false">Staff!BH54/FX_EUR</f>
        <v>0</v>
      </c>
      <c r="BI26" s="37" t="n">
        <f aca="false">Staff!BI54/FX_EUR</f>
        <v>0</v>
      </c>
      <c r="BJ26" s="37" t="n">
        <f aca="false">Staff!BJ54/FX_EUR</f>
        <v>0</v>
      </c>
      <c r="BK26" s="37" t="n">
        <f aca="false">Staff!BK54/FX_EUR</f>
        <v>0</v>
      </c>
      <c r="BL26" s="37" t="n">
        <f aca="false">Staff!BL54/FX_EUR</f>
        <v>0</v>
      </c>
    </row>
    <row r="27" customFormat="false" ht="15" hidden="false" customHeight="false" outlineLevel="0" collapsed="false">
      <c r="A27" s="12" t="str">
        <f aca="false">Staff!A55</f>
        <v>(spare line 17)</v>
      </c>
      <c r="B27" s="14" t="s">
        <v>73</v>
      </c>
      <c r="D27" s="55" t="n">
        <f aca="false">Staff!D55/FX_EUR</f>
        <v>0</v>
      </c>
      <c r="E27" s="37" t="n">
        <f aca="false">Staff!E55/FX_EUR</f>
        <v>0</v>
      </c>
      <c r="F27" s="37" t="n">
        <f aca="false">Staff!F55/FX_EUR</f>
        <v>0</v>
      </c>
      <c r="G27" s="37" t="n">
        <f aca="false">Staff!G55/FX_EUR</f>
        <v>0</v>
      </c>
      <c r="H27" s="37" t="n">
        <f aca="false">Staff!H55/FX_EUR</f>
        <v>0</v>
      </c>
      <c r="I27" s="37" t="n">
        <f aca="false">Staff!I55/FX_EUR</f>
        <v>0</v>
      </c>
      <c r="J27" s="37" t="n">
        <f aca="false">Staff!J55/FX_EUR</f>
        <v>0</v>
      </c>
      <c r="K27" s="37" t="n">
        <f aca="false">Staff!K55/FX_EUR</f>
        <v>0</v>
      </c>
      <c r="L27" s="37" t="n">
        <f aca="false">Staff!L55/FX_EUR</f>
        <v>0</v>
      </c>
      <c r="M27" s="37" t="n">
        <f aca="false">Staff!M55/FX_EUR</f>
        <v>0</v>
      </c>
      <c r="N27" s="37" t="n">
        <f aca="false">Staff!N55/FX_EUR</f>
        <v>0</v>
      </c>
      <c r="O27" s="37" t="n">
        <f aca="false">Staff!O55/FX_EUR</f>
        <v>0</v>
      </c>
      <c r="P27" s="37" t="n">
        <f aca="false">Staff!P55/FX_EUR</f>
        <v>0</v>
      </c>
      <c r="Q27" s="37" t="n">
        <f aca="false">Staff!Q55/FX_EUR</f>
        <v>0</v>
      </c>
      <c r="R27" s="37" t="n">
        <f aca="false">Staff!R55/FX_EUR</f>
        <v>0</v>
      </c>
      <c r="S27" s="37" t="n">
        <f aca="false">Staff!S55/FX_EUR</f>
        <v>0</v>
      </c>
      <c r="T27" s="37" t="n">
        <f aca="false">Staff!T55/FX_EUR</f>
        <v>0</v>
      </c>
      <c r="U27" s="37" t="n">
        <f aca="false">Staff!U55/FX_EUR</f>
        <v>0</v>
      </c>
      <c r="V27" s="37" t="n">
        <f aca="false">Staff!V55/FX_EUR</f>
        <v>0</v>
      </c>
      <c r="W27" s="37" t="n">
        <f aca="false">Staff!W55/FX_EUR</f>
        <v>0</v>
      </c>
      <c r="X27" s="37" t="n">
        <f aca="false">Staff!X55/FX_EUR</f>
        <v>0</v>
      </c>
      <c r="Y27" s="37" t="n">
        <f aca="false">Staff!Y55/FX_EUR</f>
        <v>0</v>
      </c>
      <c r="Z27" s="37" t="n">
        <f aca="false">Staff!Z55/FX_EUR</f>
        <v>0</v>
      </c>
      <c r="AA27" s="37" t="n">
        <f aca="false">Staff!AA55/FX_EUR</f>
        <v>0</v>
      </c>
      <c r="AB27" s="37" t="n">
        <f aca="false">Staff!AB55/FX_EUR</f>
        <v>0</v>
      </c>
      <c r="AC27" s="37" t="n">
        <f aca="false">Staff!AC55/FX_EUR</f>
        <v>0</v>
      </c>
      <c r="AD27" s="37" t="n">
        <f aca="false">Staff!AD55/FX_EUR</f>
        <v>0</v>
      </c>
      <c r="AE27" s="37" t="n">
        <f aca="false">Staff!AE55/FX_EUR</f>
        <v>0</v>
      </c>
      <c r="AF27" s="37" t="n">
        <f aca="false">Staff!AF55/FX_EUR</f>
        <v>0</v>
      </c>
      <c r="AG27" s="37" t="n">
        <f aca="false">Staff!AG55/FX_EUR</f>
        <v>0</v>
      </c>
      <c r="AH27" s="37" t="n">
        <f aca="false">Staff!AH55/FX_EUR</f>
        <v>0</v>
      </c>
      <c r="AI27" s="37" t="n">
        <f aca="false">Staff!AI55/FX_EUR</f>
        <v>0</v>
      </c>
      <c r="AJ27" s="37" t="n">
        <f aca="false">Staff!AJ55/FX_EUR</f>
        <v>0</v>
      </c>
      <c r="AK27" s="37" t="n">
        <f aca="false">Staff!AK55/FX_EUR</f>
        <v>0</v>
      </c>
      <c r="AL27" s="37" t="n">
        <f aca="false">Staff!AL55/FX_EUR</f>
        <v>0</v>
      </c>
      <c r="AM27" s="37" t="n">
        <f aca="false">Staff!AM55/FX_EUR</f>
        <v>0</v>
      </c>
      <c r="AN27" s="37" t="n">
        <f aca="false">Staff!AN55/FX_EUR</f>
        <v>0</v>
      </c>
      <c r="AO27" s="37" t="n">
        <f aca="false">Staff!AO55/FX_EUR</f>
        <v>0</v>
      </c>
      <c r="AP27" s="37" t="n">
        <f aca="false">Staff!AP55/FX_EUR</f>
        <v>0</v>
      </c>
      <c r="AQ27" s="37" t="n">
        <f aca="false">Staff!AQ55/FX_EUR</f>
        <v>0</v>
      </c>
      <c r="AR27" s="37" t="n">
        <f aca="false">Staff!AR55/FX_EUR</f>
        <v>0</v>
      </c>
      <c r="AS27" s="37" t="n">
        <f aca="false">Staff!AS55/FX_EUR</f>
        <v>0</v>
      </c>
      <c r="AT27" s="37" t="n">
        <f aca="false">Staff!AT55/FX_EUR</f>
        <v>0</v>
      </c>
      <c r="AU27" s="37" t="n">
        <f aca="false">Staff!AU55/FX_EUR</f>
        <v>0</v>
      </c>
      <c r="AV27" s="37" t="n">
        <f aca="false">Staff!AV55/FX_EUR</f>
        <v>0</v>
      </c>
      <c r="AW27" s="37" t="n">
        <f aca="false">Staff!AW55/FX_EUR</f>
        <v>0</v>
      </c>
      <c r="AX27" s="37" t="n">
        <f aca="false">Staff!AX55/FX_EUR</f>
        <v>0</v>
      </c>
      <c r="AY27" s="37" t="n">
        <f aca="false">Staff!AY55/FX_EUR</f>
        <v>0</v>
      </c>
      <c r="AZ27" s="37" t="n">
        <f aca="false">Staff!AZ55/FX_EUR</f>
        <v>0</v>
      </c>
      <c r="BA27" s="37" t="n">
        <f aca="false">Staff!BA55/FX_EUR</f>
        <v>0</v>
      </c>
      <c r="BB27" s="37" t="n">
        <f aca="false">Staff!BB55/FX_EUR</f>
        <v>0</v>
      </c>
      <c r="BC27" s="37" t="n">
        <f aca="false">Staff!BC55/FX_EUR</f>
        <v>0</v>
      </c>
      <c r="BD27" s="37" t="n">
        <f aca="false">Staff!BD55/FX_EUR</f>
        <v>0</v>
      </c>
      <c r="BE27" s="37" t="n">
        <f aca="false">Staff!BE55/FX_EUR</f>
        <v>0</v>
      </c>
      <c r="BF27" s="37" t="n">
        <f aca="false">Staff!BF55/FX_EUR</f>
        <v>0</v>
      </c>
      <c r="BG27" s="37" t="n">
        <f aca="false">Staff!BG55/FX_EUR</f>
        <v>0</v>
      </c>
      <c r="BH27" s="37" t="n">
        <f aca="false">Staff!BH55/FX_EUR</f>
        <v>0</v>
      </c>
      <c r="BI27" s="37" t="n">
        <f aca="false">Staff!BI55/FX_EUR</f>
        <v>0</v>
      </c>
      <c r="BJ27" s="37" t="n">
        <f aca="false">Staff!BJ55/FX_EUR</f>
        <v>0</v>
      </c>
      <c r="BK27" s="37" t="n">
        <f aca="false">Staff!BK55/FX_EUR</f>
        <v>0</v>
      </c>
      <c r="BL27" s="37" t="n">
        <f aca="false">Staff!BL55/FX_EUR</f>
        <v>0</v>
      </c>
    </row>
    <row r="28" customFormat="false" ht="15" hidden="false" customHeight="false" outlineLevel="0" collapsed="false">
      <c r="A28" s="12" t="str">
        <f aca="false">Staff!A56</f>
        <v>(spare line 18)</v>
      </c>
      <c r="B28" s="14" t="s">
        <v>73</v>
      </c>
      <c r="D28" s="55" t="n">
        <f aca="false">Staff!D56/FX_EUR</f>
        <v>0</v>
      </c>
      <c r="E28" s="37" t="n">
        <f aca="false">Staff!E56/FX_EUR</f>
        <v>0</v>
      </c>
      <c r="F28" s="37" t="n">
        <f aca="false">Staff!F56/FX_EUR</f>
        <v>0</v>
      </c>
      <c r="G28" s="37" t="n">
        <f aca="false">Staff!G56/FX_EUR</f>
        <v>0</v>
      </c>
      <c r="H28" s="37" t="n">
        <f aca="false">Staff!H56/FX_EUR</f>
        <v>0</v>
      </c>
      <c r="I28" s="37" t="n">
        <f aca="false">Staff!I56/FX_EUR</f>
        <v>0</v>
      </c>
      <c r="J28" s="37" t="n">
        <f aca="false">Staff!J56/FX_EUR</f>
        <v>0</v>
      </c>
      <c r="K28" s="37" t="n">
        <f aca="false">Staff!K56/FX_EUR</f>
        <v>0</v>
      </c>
      <c r="L28" s="37" t="n">
        <f aca="false">Staff!L56/FX_EUR</f>
        <v>0</v>
      </c>
      <c r="M28" s="37" t="n">
        <f aca="false">Staff!M56/FX_EUR</f>
        <v>0</v>
      </c>
      <c r="N28" s="37" t="n">
        <f aca="false">Staff!N56/FX_EUR</f>
        <v>0</v>
      </c>
      <c r="O28" s="37" t="n">
        <f aca="false">Staff!O56/FX_EUR</f>
        <v>0</v>
      </c>
      <c r="P28" s="37" t="n">
        <f aca="false">Staff!P56/FX_EUR</f>
        <v>0</v>
      </c>
      <c r="Q28" s="37" t="n">
        <f aca="false">Staff!Q56/FX_EUR</f>
        <v>0</v>
      </c>
      <c r="R28" s="37" t="n">
        <f aca="false">Staff!R56/FX_EUR</f>
        <v>0</v>
      </c>
      <c r="S28" s="37" t="n">
        <f aca="false">Staff!S56/FX_EUR</f>
        <v>0</v>
      </c>
      <c r="T28" s="37" t="n">
        <f aca="false">Staff!T56/FX_EUR</f>
        <v>0</v>
      </c>
      <c r="U28" s="37" t="n">
        <f aca="false">Staff!U56/FX_EUR</f>
        <v>0</v>
      </c>
      <c r="V28" s="37" t="n">
        <f aca="false">Staff!V56/FX_EUR</f>
        <v>0</v>
      </c>
      <c r="W28" s="37" t="n">
        <f aca="false">Staff!W56/FX_EUR</f>
        <v>0</v>
      </c>
      <c r="X28" s="37" t="n">
        <f aca="false">Staff!X56/FX_EUR</f>
        <v>0</v>
      </c>
      <c r="Y28" s="37" t="n">
        <f aca="false">Staff!Y56/FX_EUR</f>
        <v>0</v>
      </c>
      <c r="Z28" s="37" t="n">
        <f aca="false">Staff!Z56/FX_EUR</f>
        <v>0</v>
      </c>
      <c r="AA28" s="37" t="n">
        <f aca="false">Staff!AA56/FX_EUR</f>
        <v>0</v>
      </c>
      <c r="AB28" s="37" t="n">
        <f aca="false">Staff!AB56/FX_EUR</f>
        <v>0</v>
      </c>
      <c r="AC28" s="37" t="n">
        <f aca="false">Staff!AC56/FX_EUR</f>
        <v>0</v>
      </c>
      <c r="AD28" s="37" t="n">
        <f aca="false">Staff!AD56/FX_EUR</f>
        <v>0</v>
      </c>
      <c r="AE28" s="37" t="n">
        <f aca="false">Staff!AE56/FX_EUR</f>
        <v>0</v>
      </c>
      <c r="AF28" s="37" t="n">
        <f aca="false">Staff!AF56/FX_EUR</f>
        <v>0</v>
      </c>
      <c r="AG28" s="37" t="n">
        <f aca="false">Staff!AG56/FX_EUR</f>
        <v>0</v>
      </c>
      <c r="AH28" s="37" t="n">
        <f aca="false">Staff!AH56/FX_EUR</f>
        <v>0</v>
      </c>
      <c r="AI28" s="37" t="n">
        <f aca="false">Staff!AI56/FX_EUR</f>
        <v>0</v>
      </c>
      <c r="AJ28" s="37" t="n">
        <f aca="false">Staff!AJ56/FX_EUR</f>
        <v>0</v>
      </c>
      <c r="AK28" s="37" t="n">
        <f aca="false">Staff!AK56/FX_EUR</f>
        <v>0</v>
      </c>
      <c r="AL28" s="37" t="n">
        <f aca="false">Staff!AL56/FX_EUR</f>
        <v>0</v>
      </c>
      <c r="AM28" s="37" t="n">
        <f aca="false">Staff!AM56/FX_EUR</f>
        <v>0</v>
      </c>
      <c r="AN28" s="37" t="n">
        <f aca="false">Staff!AN56/FX_EUR</f>
        <v>0</v>
      </c>
      <c r="AO28" s="37" t="n">
        <f aca="false">Staff!AO56/FX_EUR</f>
        <v>0</v>
      </c>
      <c r="AP28" s="37" t="n">
        <f aca="false">Staff!AP56/FX_EUR</f>
        <v>0</v>
      </c>
      <c r="AQ28" s="37" t="n">
        <f aca="false">Staff!AQ56/FX_EUR</f>
        <v>0</v>
      </c>
      <c r="AR28" s="37" t="n">
        <f aca="false">Staff!AR56/FX_EUR</f>
        <v>0</v>
      </c>
      <c r="AS28" s="37" t="n">
        <f aca="false">Staff!AS56/FX_EUR</f>
        <v>0</v>
      </c>
      <c r="AT28" s="37" t="n">
        <f aca="false">Staff!AT56/FX_EUR</f>
        <v>0</v>
      </c>
      <c r="AU28" s="37" t="n">
        <f aca="false">Staff!AU56/FX_EUR</f>
        <v>0</v>
      </c>
      <c r="AV28" s="37" t="n">
        <f aca="false">Staff!AV56/FX_EUR</f>
        <v>0</v>
      </c>
      <c r="AW28" s="37" t="n">
        <f aca="false">Staff!AW56/FX_EUR</f>
        <v>0</v>
      </c>
      <c r="AX28" s="37" t="n">
        <f aca="false">Staff!AX56/FX_EUR</f>
        <v>0</v>
      </c>
      <c r="AY28" s="37" t="n">
        <f aca="false">Staff!AY56/FX_EUR</f>
        <v>0</v>
      </c>
      <c r="AZ28" s="37" t="n">
        <f aca="false">Staff!AZ56/FX_EUR</f>
        <v>0</v>
      </c>
      <c r="BA28" s="37" t="n">
        <f aca="false">Staff!BA56/FX_EUR</f>
        <v>0</v>
      </c>
      <c r="BB28" s="37" t="n">
        <f aca="false">Staff!BB56/FX_EUR</f>
        <v>0</v>
      </c>
      <c r="BC28" s="37" t="n">
        <f aca="false">Staff!BC56/FX_EUR</f>
        <v>0</v>
      </c>
      <c r="BD28" s="37" t="n">
        <f aca="false">Staff!BD56/FX_EUR</f>
        <v>0</v>
      </c>
      <c r="BE28" s="37" t="n">
        <f aca="false">Staff!BE56/FX_EUR</f>
        <v>0</v>
      </c>
      <c r="BF28" s="37" t="n">
        <f aca="false">Staff!BF56/FX_EUR</f>
        <v>0</v>
      </c>
      <c r="BG28" s="37" t="n">
        <f aca="false">Staff!BG56/FX_EUR</f>
        <v>0</v>
      </c>
      <c r="BH28" s="37" t="n">
        <f aca="false">Staff!BH56/FX_EUR</f>
        <v>0</v>
      </c>
      <c r="BI28" s="37" t="n">
        <f aca="false">Staff!BI56/FX_EUR</f>
        <v>0</v>
      </c>
      <c r="BJ28" s="37" t="n">
        <f aca="false">Staff!BJ56/FX_EUR</f>
        <v>0</v>
      </c>
      <c r="BK28" s="37" t="n">
        <f aca="false">Staff!BK56/FX_EUR</f>
        <v>0</v>
      </c>
      <c r="BL28" s="37" t="n">
        <f aca="false">Staff!BL56/FX_EUR</f>
        <v>0</v>
      </c>
    </row>
    <row r="29" customFormat="false" ht="15" hidden="false" customHeight="false" outlineLevel="0" collapsed="false">
      <c r="A29" s="12" t="str">
        <f aca="false">Staff!A57</f>
        <v>(spare line 19)</v>
      </c>
      <c r="B29" s="14" t="s">
        <v>73</v>
      </c>
      <c r="D29" s="55" t="n">
        <f aca="false">Staff!D57/FX_EUR</f>
        <v>0</v>
      </c>
      <c r="E29" s="37" t="n">
        <f aca="false">Staff!E57/FX_EUR</f>
        <v>0</v>
      </c>
      <c r="F29" s="37" t="n">
        <f aca="false">Staff!F57/FX_EUR</f>
        <v>0</v>
      </c>
      <c r="G29" s="37" t="n">
        <f aca="false">Staff!G57/FX_EUR</f>
        <v>0</v>
      </c>
      <c r="H29" s="37" t="n">
        <f aca="false">Staff!H57/FX_EUR</f>
        <v>0</v>
      </c>
      <c r="I29" s="37" t="n">
        <f aca="false">Staff!I57/FX_EUR</f>
        <v>0</v>
      </c>
      <c r="J29" s="37" t="n">
        <f aca="false">Staff!J57/FX_EUR</f>
        <v>0</v>
      </c>
      <c r="K29" s="37" t="n">
        <f aca="false">Staff!K57/FX_EUR</f>
        <v>0</v>
      </c>
      <c r="L29" s="37" t="n">
        <f aca="false">Staff!L57/FX_EUR</f>
        <v>0</v>
      </c>
      <c r="M29" s="37" t="n">
        <f aca="false">Staff!M57/FX_EUR</f>
        <v>0</v>
      </c>
      <c r="N29" s="37" t="n">
        <f aca="false">Staff!N57/FX_EUR</f>
        <v>0</v>
      </c>
      <c r="O29" s="37" t="n">
        <f aca="false">Staff!O57/FX_EUR</f>
        <v>0</v>
      </c>
      <c r="P29" s="37" t="n">
        <f aca="false">Staff!P57/FX_EUR</f>
        <v>0</v>
      </c>
      <c r="Q29" s="37" t="n">
        <f aca="false">Staff!Q57/FX_EUR</f>
        <v>0</v>
      </c>
      <c r="R29" s="37" t="n">
        <f aca="false">Staff!R57/FX_EUR</f>
        <v>0</v>
      </c>
      <c r="S29" s="37" t="n">
        <f aca="false">Staff!S57/FX_EUR</f>
        <v>0</v>
      </c>
      <c r="T29" s="37" t="n">
        <f aca="false">Staff!T57/FX_EUR</f>
        <v>0</v>
      </c>
      <c r="U29" s="37" t="n">
        <f aca="false">Staff!U57/FX_EUR</f>
        <v>0</v>
      </c>
      <c r="V29" s="37" t="n">
        <f aca="false">Staff!V57/FX_EUR</f>
        <v>0</v>
      </c>
      <c r="W29" s="37" t="n">
        <f aca="false">Staff!W57/FX_EUR</f>
        <v>0</v>
      </c>
      <c r="X29" s="37" t="n">
        <f aca="false">Staff!X57/FX_EUR</f>
        <v>0</v>
      </c>
      <c r="Y29" s="37" t="n">
        <f aca="false">Staff!Y57/FX_EUR</f>
        <v>0</v>
      </c>
      <c r="Z29" s="37" t="n">
        <f aca="false">Staff!Z57/FX_EUR</f>
        <v>0</v>
      </c>
      <c r="AA29" s="37" t="n">
        <f aca="false">Staff!AA57/FX_EUR</f>
        <v>0</v>
      </c>
      <c r="AB29" s="37" t="n">
        <f aca="false">Staff!AB57/FX_EUR</f>
        <v>0</v>
      </c>
      <c r="AC29" s="37" t="n">
        <f aca="false">Staff!AC57/FX_EUR</f>
        <v>0</v>
      </c>
      <c r="AD29" s="37" t="n">
        <f aca="false">Staff!AD57/FX_EUR</f>
        <v>0</v>
      </c>
      <c r="AE29" s="37" t="n">
        <f aca="false">Staff!AE57/FX_EUR</f>
        <v>0</v>
      </c>
      <c r="AF29" s="37" t="n">
        <f aca="false">Staff!AF57/FX_EUR</f>
        <v>0</v>
      </c>
      <c r="AG29" s="37" t="n">
        <f aca="false">Staff!AG57/FX_EUR</f>
        <v>0</v>
      </c>
      <c r="AH29" s="37" t="n">
        <f aca="false">Staff!AH57/FX_EUR</f>
        <v>0</v>
      </c>
      <c r="AI29" s="37" t="n">
        <f aca="false">Staff!AI57/FX_EUR</f>
        <v>0</v>
      </c>
      <c r="AJ29" s="37" t="n">
        <f aca="false">Staff!AJ57/FX_EUR</f>
        <v>0</v>
      </c>
      <c r="AK29" s="37" t="n">
        <f aca="false">Staff!AK57/FX_EUR</f>
        <v>0</v>
      </c>
      <c r="AL29" s="37" t="n">
        <f aca="false">Staff!AL57/FX_EUR</f>
        <v>0</v>
      </c>
      <c r="AM29" s="37" t="n">
        <f aca="false">Staff!AM57/FX_EUR</f>
        <v>0</v>
      </c>
      <c r="AN29" s="37" t="n">
        <f aca="false">Staff!AN57/FX_EUR</f>
        <v>0</v>
      </c>
      <c r="AO29" s="37" t="n">
        <f aca="false">Staff!AO57/FX_EUR</f>
        <v>0</v>
      </c>
      <c r="AP29" s="37" t="n">
        <f aca="false">Staff!AP57/FX_EUR</f>
        <v>0</v>
      </c>
      <c r="AQ29" s="37" t="n">
        <f aca="false">Staff!AQ57/FX_EUR</f>
        <v>0</v>
      </c>
      <c r="AR29" s="37" t="n">
        <f aca="false">Staff!AR57/FX_EUR</f>
        <v>0</v>
      </c>
      <c r="AS29" s="37" t="n">
        <f aca="false">Staff!AS57/FX_EUR</f>
        <v>0</v>
      </c>
      <c r="AT29" s="37" t="n">
        <f aca="false">Staff!AT57/FX_EUR</f>
        <v>0</v>
      </c>
      <c r="AU29" s="37" t="n">
        <f aca="false">Staff!AU57/FX_EUR</f>
        <v>0</v>
      </c>
      <c r="AV29" s="37" t="n">
        <f aca="false">Staff!AV57/FX_EUR</f>
        <v>0</v>
      </c>
      <c r="AW29" s="37" t="n">
        <f aca="false">Staff!AW57/FX_EUR</f>
        <v>0</v>
      </c>
      <c r="AX29" s="37" t="n">
        <f aca="false">Staff!AX57/FX_EUR</f>
        <v>0</v>
      </c>
      <c r="AY29" s="37" t="n">
        <f aca="false">Staff!AY57/FX_EUR</f>
        <v>0</v>
      </c>
      <c r="AZ29" s="37" t="n">
        <f aca="false">Staff!AZ57/FX_EUR</f>
        <v>0</v>
      </c>
      <c r="BA29" s="37" t="n">
        <f aca="false">Staff!BA57/FX_EUR</f>
        <v>0</v>
      </c>
      <c r="BB29" s="37" t="n">
        <f aca="false">Staff!BB57/FX_EUR</f>
        <v>0</v>
      </c>
      <c r="BC29" s="37" t="n">
        <f aca="false">Staff!BC57/FX_EUR</f>
        <v>0</v>
      </c>
      <c r="BD29" s="37" t="n">
        <f aca="false">Staff!BD57/FX_EUR</f>
        <v>0</v>
      </c>
      <c r="BE29" s="37" t="n">
        <f aca="false">Staff!BE57/FX_EUR</f>
        <v>0</v>
      </c>
      <c r="BF29" s="37" t="n">
        <f aca="false">Staff!BF57/FX_EUR</f>
        <v>0</v>
      </c>
      <c r="BG29" s="37" t="n">
        <f aca="false">Staff!BG57/FX_EUR</f>
        <v>0</v>
      </c>
      <c r="BH29" s="37" t="n">
        <f aca="false">Staff!BH57/FX_EUR</f>
        <v>0</v>
      </c>
      <c r="BI29" s="37" t="n">
        <f aca="false">Staff!BI57/FX_EUR</f>
        <v>0</v>
      </c>
      <c r="BJ29" s="37" t="n">
        <f aca="false">Staff!BJ57/FX_EUR</f>
        <v>0</v>
      </c>
      <c r="BK29" s="37" t="n">
        <f aca="false">Staff!BK57/FX_EUR</f>
        <v>0</v>
      </c>
      <c r="BL29" s="37" t="n">
        <f aca="false">Staff!BL57/FX_EUR</f>
        <v>0</v>
      </c>
    </row>
    <row r="30" customFormat="false" ht="15" hidden="false" customHeight="false" outlineLevel="0" collapsed="false">
      <c r="A30" s="12" t="str">
        <f aca="false">Staff!A58</f>
        <v>(spare line 20)</v>
      </c>
      <c r="B30" s="14" t="s">
        <v>73</v>
      </c>
      <c r="D30" s="55" t="n">
        <f aca="false">Staff!D58/FX_EUR</f>
        <v>0</v>
      </c>
      <c r="E30" s="37" t="n">
        <f aca="false">Staff!E58/FX_EUR</f>
        <v>0</v>
      </c>
      <c r="F30" s="37" t="n">
        <f aca="false">Staff!F58/FX_EUR</f>
        <v>0</v>
      </c>
      <c r="G30" s="37" t="n">
        <f aca="false">Staff!G58/FX_EUR</f>
        <v>0</v>
      </c>
      <c r="H30" s="37" t="n">
        <f aca="false">Staff!H58/FX_EUR</f>
        <v>0</v>
      </c>
      <c r="I30" s="37" t="n">
        <f aca="false">Staff!I58/FX_EUR</f>
        <v>0</v>
      </c>
      <c r="J30" s="37" t="n">
        <f aca="false">Staff!J58/FX_EUR</f>
        <v>0</v>
      </c>
      <c r="K30" s="37" t="n">
        <f aca="false">Staff!K58/FX_EUR</f>
        <v>0</v>
      </c>
      <c r="L30" s="37" t="n">
        <f aca="false">Staff!L58/FX_EUR</f>
        <v>0</v>
      </c>
      <c r="M30" s="37" t="n">
        <f aca="false">Staff!M58/FX_EUR</f>
        <v>0</v>
      </c>
      <c r="N30" s="37" t="n">
        <f aca="false">Staff!N58/FX_EUR</f>
        <v>0</v>
      </c>
      <c r="O30" s="37" t="n">
        <f aca="false">Staff!O58/FX_EUR</f>
        <v>0</v>
      </c>
      <c r="P30" s="37" t="n">
        <f aca="false">Staff!P58/FX_EUR</f>
        <v>0</v>
      </c>
      <c r="Q30" s="37" t="n">
        <f aca="false">Staff!Q58/FX_EUR</f>
        <v>0</v>
      </c>
      <c r="R30" s="37" t="n">
        <f aca="false">Staff!R58/FX_EUR</f>
        <v>0</v>
      </c>
      <c r="S30" s="37" t="n">
        <f aca="false">Staff!S58/FX_EUR</f>
        <v>0</v>
      </c>
      <c r="T30" s="37" t="n">
        <f aca="false">Staff!T58/FX_EUR</f>
        <v>0</v>
      </c>
      <c r="U30" s="37" t="n">
        <f aca="false">Staff!U58/FX_EUR</f>
        <v>0</v>
      </c>
      <c r="V30" s="37" t="n">
        <f aca="false">Staff!V58/FX_EUR</f>
        <v>0</v>
      </c>
      <c r="W30" s="37" t="n">
        <f aca="false">Staff!W58/FX_EUR</f>
        <v>0</v>
      </c>
      <c r="X30" s="37" t="n">
        <f aca="false">Staff!X58/FX_EUR</f>
        <v>0</v>
      </c>
      <c r="Y30" s="37" t="n">
        <f aca="false">Staff!Y58/FX_EUR</f>
        <v>0</v>
      </c>
      <c r="Z30" s="37" t="n">
        <f aca="false">Staff!Z58/FX_EUR</f>
        <v>0</v>
      </c>
      <c r="AA30" s="37" t="n">
        <f aca="false">Staff!AA58/FX_EUR</f>
        <v>0</v>
      </c>
      <c r="AB30" s="37" t="n">
        <f aca="false">Staff!AB58/FX_EUR</f>
        <v>0</v>
      </c>
      <c r="AC30" s="37" t="n">
        <f aca="false">Staff!AC58/FX_EUR</f>
        <v>0</v>
      </c>
      <c r="AD30" s="37" t="n">
        <f aca="false">Staff!AD58/FX_EUR</f>
        <v>0</v>
      </c>
      <c r="AE30" s="37" t="n">
        <f aca="false">Staff!AE58/FX_EUR</f>
        <v>0</v>
      </c>
      <c r="AF30" s="37" t="n">
        <f aca="false">Staff!AF58/FX_EUR</f>
        <v>0</v>
      </c>
      <c r="AG30" s="37" t="n">
        <f aca="false">Staff!AG58/FX_EUR</f>
        <v>0</v>
      </c>
      <c r="AH30" s="37" t="n">
        <f aca="false">Staff!AH58/FX_EUR</f>
        <v>0</v>
      </c>
      <c r="AI30" s="37" t="n">
        <f aca="false">Staff!AI58/FX_EUR</f>
        <v>0</v>
      </c>
      <c r="AJ30" s="37" t="n">
        <f aca="false">Staff!AJ58/FX_EUR</f>
        <v>0</v>
      </c>
      <c r="AK30" s="37" t="n">
        <f aca="false">Staff!AK58/FX_EUR</f>
        <v>0</v>
      </c>
      <c r="AL30" s="37" t="n">
        <f aca="false">Staff!AL58/FX_EUR</f>
        <v>0</v>
      </c>
      <c r="AM30" s="37" t="n">
        <f aca="false">Staff!AM58/FX_EUR</f>
        <v>0</v>
      </c>
      <c r="AN30" s="37" t="n">
        <f aca="false">Staff!AN58/FX_EUR</f>
        <v>0</v>
      </c>
      <c r="AO30" s="37" t="n">
        <f aca="false">Staff!AO58/FX_EUR</f>
        <v>0</v>
      </c>
      <c r="AP30" s="37" t="n">
        <f aca="false">Staff!AP58/FX_EUR</f>
        <v>0</v>
      </c>
      <c r="AQ30" s="37" t="n">
        <f aca="false">Staff!AQ58/FX_EUR</f>
        <v>0</v>
      </c>
      <c r="AR30" s="37" t="n">
        <f aca="false">Staff!AR58/FX_EUR</f>
        <v>0</v>
      </c>
      <c r="AS30" s="37" t="n">
        <f aca="false">Staff!AS58/FX_EUR</f>
        <v>0</v>
      </c>
      <c r="AT30" s="37" t="n">
        <f aca="false">Staff!AT58/FX_EUR</f>
        <v>0</v>
      </c>
      <c r="AU30" s="37" t="n">
        <f aca="false">Staff!AU58/FX_EUR</f>
        <v>0</v>
      </c>
      <c r="AV30" s="37" t="n">
        <f aca="false">Staff!AV58/FX_EUR</f>
        <v>0</v>
      </c>
      <c r="AW30" s="37" t="n">
        <f aca="false">Staff!AW58/FX_EUR</f>
        <v>0</v>
      </c>
      <c r="AX30" s="37" t="n">
        <f aca="false">Staff!AX58/FX_EUR</f>
        <v>0</v>
      </c>
      <c r="AY30" s="37" t="n">
        <f aca="false">Staff!AY58/FX_EUR</f>
        <v>0</v>
      </c>
      <c r="AZ30" s="37" t="n">
        <f aca="false">Staff!AZ58/FX_EUR</f>
        <v>0</v>
      </c>
      <c r="BA30" s="37" t="n">
        <f aca="false">Staff!BA58/FX_EUR</f>
        <v>0</v>
      </c>
      <c r="BB30" s="37" t="n">
        <f aca="false">Staff!BB58/FX_EUR</f>
        <v>0</v>
      </c>
      <c r="BC30" s="37" t="n">
        <f aca="false">Staff!BC58/FX_EUR</f>
        <v>0</v>
      </c>
      <c r="BD30" s="37" t="n">
        <f aca="false">Staff!BD58/FX_EUR</f>
        <v>0</v>
      </c>
      <c r="BE30" s="37" t="n">
        <f aca="false">Staff!BE58/FX_EUR</f>
        <v>0</v>
      </c>
      <c r="BF30" s="37" t="n">
        <f aca="false">Staff!BF58/FX_EUR</f>
        <v>0</v>
      </c>
      <c r="BG30" s="37" t="n">
        <f aca="false">Staff!BG58/FX_EUR</f>
        <v>0</v>
      </c>
      <c r="BH30" s="37" t="n">
        <f aca="false">Staff!BH58/FX_EUR</f>
        <v>0</v>
      </c>
      <c r="BI30" s="37" t="n">
        <f aca="false">Staff!BI58/FX_EUR</f>
        <v>0</v>
      </c>
      <c r="BJ30" s="37" t="n">
        <f aca="false">Staff!BJ58/FX_EUR</f>
        <v>0</v>
      </c>
      <c r="BK30" s="37" t="n">
        <f aca="false">Staff!BK58/FX_EUR</f>
        <v>0</v>
      </c>
      <c r="BL30" s="37" t="n">
        <f aca="false">Staff!BL58/FX_EUR</f>
        <v>0</v>
      </c>
    </row>
    <row r="31" customFormat="false" ht="15" hidden="false" customHeight="false" outlineLevel="0" collapsed="false">
      <c r="A31" s="12" t="str">
        <f aca="false">Staff!A59</f>
        <v>(spare line 21)</v>
      </c>
      <c r="B31" s="14" t="s">
        <v>73</v>
      </c>
      <c r="D31" s="55" t="n">
        <f aca="false">Staff!D59/FX_EUR</f>
        <v>0</v>
      </c>
      <c r="E31" s="37" t="n">
        <f aca="false">Staff!E59/FX_EUR</f>
        <v>0</v>
      </c>
      <c r="F31" s="37" t="n">
        <f aca="false">Staff!F59/FX_EUR</f>
        <v>0</v>
      </c>
      <c r="G31" s="37" t="n">
        <f aca="false">Staff!G59/FX_EUR</f>
        <v>0</v>
      </c>
      <c r="H31" s="37" t="n">
        <f aca="false">Staff!H59/FX_EUR</f>
        <v>0</v>
      </c>
      <c r="I31" s="37" t="n">
        <f aca="false">Staff!I59/FX_EUR</f>
        <v>0</v>
      </c>
      <c r="J31" s="37" t="n">
        <f aca="false">Staff!J59/FX_EUR</f>
        <v>0</v>
      </c>
      <c r="K31" s="37" t="n">
        <f aca="false">Staff!K59/FX_EUR</f>
        <v>0</v>
      </c>
      <c r="L31" s="37" t="n">
        <f aca="false">Staff!L59/FX_EUR</f>
        <v>0</v>
      </c>
      <c r="M31" s="37" t="n">
        <f aca="false">Staff!M59/FX_EUR</f>
        <v>0</v>
      </c>
      <c r="N31" s="37" t="n">
        <f aca="false">Staff!N59/FX_EUR</f>
        <v>0</v>
      </c>
      <c r="O31" s="37" t="n">
        <f aca="false">Staff!O59/FX_EUR</f>
        <v>0</v>
      </c>
      <c r="P31" s="37" t="n">
        <f aca="false">Staff!P59/FX_EUR</f>
        <v>0</v>
      </c>
      <c r="Q31" s="37" t="n">
        <f aca="false">Staff!Q59/FX_EUR</f>
        <v>0</v>
      </c>
      <c r="R31" s="37" t="n">
        <f aca="false">Staff!R59/FX_EUR</f>
        <v>0</v>
      </c>
      <c r="S31" s="37" t="n">
        <f aca="false">Staff!S59/FX_EUR</f>
        <v>0</v>
      </c>
      <c r="T31" s="37" t="n">
        <f aca="false">Staff!T59/FX_EUR</f>
        <v>0</v>
      </c>
      <c r="U31" s="37" t="n">
        <f aca="false">Staff!U59/FX_EUR</f>
        <v>0</v>
      </c>
      <c r="V31" s="37" t="n">
        <f aca="false">Staff!V59/FX_EUR</f>
        <v>0</v>
      </c>
      <c r="W31" s="37" t="n">
        <f aca="false">Staff!W59/FX_EUR</f>
        <v>0</v>
      </c>
      <c r="X31" s="37" t="n">
        <f aca="false">Staff!X59/FX_EUR</f>
        <v>0</v>
      </c>
      <c r="Y31" s="37" t="n">
        <f aca="false">Staff!Y59/FX_EUR</f>
        <v>0</v>
      </c>
      <c r="Z31" s="37" t="n">
        <f aca="false">Staff!Z59/FX_EUR</f>
        <v>0</v>
      </c>
      <c r="AA31" s="37" t="n">
        <f aca="false">Staff!AA59/FX_EUR</f>
        <v>0</v>
      </c>
      <c r="AB31" s="37" t="n">
        <f aca="false">Staff!AB59/FX_EUR</f>
        <v>0</v>
      </c>
      <c r="AC31" s="37" t="n">
        <f aca="false">Staff!AC59/FX_EUR</f>
        <v>0</v>
      </c>
      <c r="AD31" s="37" t="n">
        <f aca="false">Staff!AD59/FX_EUR</f>
        <v>0</v>
      </c>
      <c r="AE31" s="37" t="n">
        <f aca="false">Staff!AE59/FX_EUR</f>
        <v>0</v>
      </c>
      <c r="AF31" s="37" t="n">
        <f aca="false">Staff!AF59/FX_EUR</f>
        <v>0</v>
      </c>
      <c r="AG31" s="37" t="n">
        <f aca="false">Staff!AG59/FX_EUR</f>
        <v>0</v>
      </c>
      <c r="AH31" s="37" t="n">
        <f aca="false">Staff!AH59/FX_EUR</f>
        <v>0</v>
      </c>
      <c r="AI31" s="37" t="n">
        <f aca="false">Staff!AI59/FX_EUR</f>
        <v>0</v>
      </c>
      <c r="AJ31" s="37" t="n">
        <f aca="false">Staff!AJ59/FX_EUR</f>
        <v>0</v>
      </c>
      <c r="AK31" s="37" t="n">
        <f aca="false">Staff!AK59/FX_EUR</f>
        <v>0</v>
      </c>
      <c r="AL31" s="37" t="n">
        <f aca="false">Staff!AL59/FX_EUR</f>
        <v>0</v>
      </c>
      <c r="AM31" s="37" t="n">
        <f aca="false">Staff!AM59/FX_EUR</f>
        <v>0</v>
      </c>
      <c r="AN31" s="37" t="n">
        <f aca="false">Staff!AN59/FX_EUR</f>
        <v>0</v>
      </c>
      <c r="AO31" s="37" t="n">
        <f aca="false">Staff!AO59/FX_EUR</f>
        <v>0</v>
      </c>
      <c r="AP31" s="37" t="n">
        <f aca="false">Staff!AP59/FX_EUR</f>
        <v>0</v>
      </c>
      <c r="AQ31" s="37" t="n">
        <f aca="false">Staff!AQ59/FX_EUR</f>
        <v>0</v>
      </c>
      <c r="AR31" s="37" t="n">
        <f aca="false">Staff!AR59/FX_EUR</f>
        <v>0</v>
      </c>
      <c r="AS31" s="37" t="n">
        <f aca="false">Staff!AS59/FX_EUR</f>
        <v>0</v>
      </c>
      <c r="AT31" s="37" t="n">
        <f aca="false">Staff!AT59/FX_EUR</f>
        <v>0</v>
      </c>
      <c r="AU31" s="37" t="n">
        <f aca="false">Staff!AU59/FX_EUR</f>
        <v>0</v>
      </c>
      <c r="AV31" s="37" t="n">
        <f aca="false">Staff!AV59/FX_EUR</f>
        <v>0</v>
      </c>
      <c r="AW31" s="37" t="n">
        <f aca="false">Staff!AW59/FX_EUR</f>
        <v>0</v>
      </c>
      <c r="AX31" s="37" t="n">
        <f aca="false">Staff!AX59/FX_EUR</f>
        <v>0</v>
      </c>
      <c r="AY31" s="37" t="n">
        <f aca="false">Staff!AY59/FX_EUR</f>
        <v>0</v>
      </c>
      <c r="AZ31" s="37" t="n">
        <f aca="false">Staff!AZ59/FX_EUR</f>
        <v>0</v>
      </c>
      <c r="BA31" s="37" t="n">
        <f aca="false">Staff!BA59/FX_EUR</f>
        <v>0</v>
      </c>
      <c r="BB31" s="37" t="n">
        <f aca="false">Staff!BB59/FX_EUR</f>
        <v>0</v>
      </c>
      <c r="BC31" s="37" t="n">
        <f aca="false">Staff!BC59/FX_EUR</f>
        <v>0</v>
      </c>
      <c r="BD31" s="37" t="n">
        <f aca="false">Staff!BD59/FX_EUR</f>
        <v>0</v>
      </c>
      <c r="BE31" s="37" t="n">
        <f aca="false">Staff!BE59/FX_EUR</f>
        <v>0</v>
      </c>
      <c r="BF31" s="37" t="n">
        <f aca="false">Staff!BF59/FX_EUR</f>
        <v>0</v>
      </c>
      <c r="BG31" s="37" t="n">
        <f aca="false">Staff!BG59/FX_EUR</f>
        <v>0</v>
      </c>
      <c r="BH31" s="37" t="n">
        <f aca="false">Staff!BH59/FX_EUR</f>
        <v>0</v>
      </c>
      <c r="BI31" s="37" t="n">
        <f aca="false">Staff!BI59/FX_EUR</f>
        <v>0</v>
      </c>
      <c r="BJ31" s="37" t="n">
        <f aca="false">Staff!BJ59/FX_EUR</f>
        <v>0</v>
      </c>
      <c r="BK31" s="37" t="n">
        <f aca="false">Staff!BK59/FX_EUR</f>
        <v>0</v>
      </c>
      <c r="BL31" s="37" t="n">
        <f aca="false">Staff!BL59/FX_EUR</f>
        <v>0</v>
      </c>
    </row>
    <row r="32" customFormat="false" ht="15" hidden="false" customHeight="false" outlineLevel="0" collapsed="false">
      <c r="A32" s="12" t="str">
        <f aca="false">Staff!A60</f>
        <v>(spare line 22)</v>
      </c>
      <c r="B32" s="14" t="s">
        <v>73</v>
      </c>
      <c r="D32" s="55" t="n">
        <f aca="false">Staff!D60/FX_EUR</f>
        <v>0</v>
      </c>
      <c r="E32" s="37" t="n">
        <f aca="false">Staff!E60/FX_EUR</f>
        <v>0</v>
      </c>
      <c r="F32" s="37" t="n">
        <f aca="false">Staff!F60/FX_EUR</f>
        <v>0</v>
      </c>
      <c r="G32" s="37" t="n">
        <f aca="false">Staff!G60/FX_EUR</f>
        <v>0</v>
      </c>
      <c r="H32" s="37" t="n">
        <f aca="false">Staff!H60/FX_EUR</f>
        <v>0</v>
      </c>
      <c r="I32" s="37" t="n">
        <f aca="false">Staff!I60/FX_EUR</f>
        <v>0</v>
      </c>
      <c r="J32" s="37" t="n">
        <f aca="false">Staff!J60/FX_EUR</f>
        <v>0</v>
      </c>
      <c r="K32" s="37" t="n">
        <f aca="false">Staff!K60/FX_EUR</f>
        <v>0</v>
      </c>
      <c r="L32" s="37" t="n">
        <f aca="false">Staff!L60/FX_EUR</f>
        <v>0</v>
      </c>
      <c r="M32" s="37" t="n">
        <f aca="false">Staff!M60/FX_EUR</f>
        <v>0</v>
      </c>
      <c r="N32" s="37" t="n">
        <f aca="false">Staff!N60/FX_EUR</f>
        <v>0</v>
      </c>
      <c r="O32" s="37" t="n">
        <f aca="false">Staff!O60/FX_EUR</f>
        <v>0</v>
      </c>
      <c r="P32" s="37" t="n">
        <f aca="false">Staff!P60/FX_EUR</f>
        <v>0</v>
      </c>
      <c r="Q32" s="37" t="n">
        <f aca="false">Staff!Q60/FX_EUR</f>
        <v>0</v>
      </c>
      <c r="R32" s="37" t="n">
        <f aca="false">Staff!R60/FX_EUR</f>
        <v>0</v>
      </c>
      <c r="S32" s="37" t="n">
        <f aca="false">Staff!S60/FX_EUR</f>
        <v>0</v>
      </c>
      <c r="T32" s="37" t="n">
        <f aca="false">Staff!T60/FX_EUR</f>
        <v>0</v>
      </c>
      <c r="U32" s="37" t="n">
        <f aca="false">Staff!U60/FX_EUR</f>
        <v>0</v>
      </c>
      <c r="V32" s="37" t="n">
        <f aca="false">Staff!V60/FX_EUR</f>
        <v>0</v>
      </c>
      <c r="W32" s="37" t="n">
        <f aca="false">Staff!W60/FX_EUR</f>
        <v>0</v>
      </c>
      <c r="X32" s="37" t="n">
        <f aca="false">Staff!X60/FX_EUR</f>
        <v>0</v>
      </c>
      <c r="Y32" s="37" t="n">
        <f aca="false">Staff!Y60/FX_EUR</f>
        <v>0</v>
      </c>
      <c r="Z32" s="37" t="n">
        <f aca="false">Staff!Z60/FX_EUR</f>
        <v>0</v>
      </c>
      <c r="AA32" s="37" t="n">
        <f aca="false">Staff!AA60/FX_EUR</f>
        <v>0</v>
      </c>
      <c r="AB32" s="37" t="n">
        <f aca="false">Staff!AB60/FX_EUR</f>
        <v>0</v>
      </c>
      <c r="AC32" s="37" t="n">
        <f aca="false">Staff!AC60/FX_EUR</f>
        <v>0</v>
      </c>
      <c r="AD32" s="37" t="n">
        <f aca="false">Staff!AD60/FX_EUR</f>
        <v>0</v>
      </c>
      <c r="AE32" s="37" t="n">
        <f aca="false">Staff!AE60/FX_EUR</f>
        <v>0</v>
      </c>
      <c r="AF32" s="37" t="n">
        <f aca="false">Staff!AF60/FX_EUR</f>
        <v>0</v>
      </c>
      <c r="AG32" s="37" t="n">
        <f aca="false">Staff!AG60/FX_EUR</f>
        <v>0</v>
      </c>
      <c r="AH32" s="37" t="n">
        <f aca="false">Staff!AH60/FX_EUR</f>
        <v>0</v>
      </c>
      <c r="AI32" s="37" t="n">
        <f aca="false">Staff!AI60/FX_EUR</f>
        <v>0</v>
      </c>
      <c r="AJ32" s="37" t="n">
        <f aca="false">Staff!AJ60/FX_EUR</f>
        <v>0</v>
      </c>
      <c r="AK32" s="37" t="n">
        <f aca="false">Staff!AK60/FX_EUR</f>
        <v>0</v>
      </c>
      <c r="AL32" s="37" t="n">
        <f aca="false">Staff!AL60/FX_EUR</f>
        <v>0</v>
      </c>
      <c r="AM32" s="37" t="n">
        <f aca="false">Staff!AM60/FX_EUR</f>
        <v>0</v>
      </c>
      <c r="AN32" s="37" t="n">
        <f aca="false">Staff!AN60/FX_EUR</f>
        <v>0</v>
      </c>
      <c r="AO32" s="37" t="n">
        <f aca="false">Staff!AO60/FX_EUR</f>
        <v>0</v>
      </c>
      <c r="AP32" s="37" t="n">
        <f aca="false">Staff!AP60/FX_EUR</f>
        <v>0</v>
      </c>
      <c r="AQ32" s="37" t="n">
        <f aca="false">Staff!AQ60/FX_EUR</f>
        <v>0</v>
      </c>
      <c r="AR32" s="37" t="n">
        <f aca="false">Staff!AR60/FX_EUR</f>
        <v>0</v>
      </c>
      <c r="AS32" s="37" t="n">
        <f aca="false">Staff!AS60/FX_EUR</f>
        <v>0</v>
      </c>
      <c r="AT32" s="37" t="n">
        <f aca="false">Staff!AT60/FX_EUR</f>
        <v>0</v>
      </c>
      <c r="AU32" s="37" t="n">
        <f aca="false">Staff!AU60/FX_EUR</f>
        <v>0</v>
      </c>
      <c r="AV32" s="37" t="n">
        <f aca="false">Staff!AV60/FX_EUR</f>
        <v>0</v>
      </c>
      <c r="AW32" s="37" t="n">
        <f aca="false">Staff!AW60/FX_EUR</f>
        <v>0</v>
      </c>
      <c r="AX32" s="37" t="n">
        <f aca="false">Staff!AX60/FX_EUR</f>
        <v>0</v>
      </c>
      <c r="AY32" s="37" t="n">
        <f aca="false">Staff!AY60/FX_EUR</f>
        <v>0</v>
      </c>
      <c r="AZ32" s="37" t="n">
        <f aca="false">Staff!AZ60/FX_EUR</f>
        <v>0</v>
      </c>
      <c r="BA32" s="37" t="n">
        <f aca="false">Staff!BA60/FX_EUR</f>
        <v>0</v>
      </c>
      <c r="BB32" s="37" t="n">
        <f aca="false">Staff!BB60/FX_EUR</f>
        <v>0</v>
      </c>
      <c r="BC32" s="37" t="n">
        <f aca="false">Staff!BC60/FX_EUR</f>
        <v>0</v>
      </c>
      <c r="BD32" s="37" t="n">
        <f aca="false">Staff!BD60/FX_EUR</f>
        <v>0</v>
      </c>
      <c r="BE32" s="37" t="n">
        <f aca="false">Staff!BE60/FX_EUR</f>
        <v>0</v>
      </c>
      <c r="BF32" s="37" t="n">
        <f aca="false">Staff!BF60/FX_EUR</f>
        <v>0</v>
      </c>
      <c r="BG32" s="37" t="n">
        <f aca="false">Staff!BG60/FX_EUR</f>
        <v>0</v>
      </c>
      <c r="BH32" s="37" t="n">
        <f aca="false">Staff!BH60/FX_EUR</f>
        <v>0</v>
      </c>
      <c r="BI32" s="37" t="n">
        <f aca="false">Staff!BI60/FX_EUR</f>
        <v>0</v>
      </c>
      <c r="BJ32" s="37" t="n">
        <f aca="false">Staff!BJ60/FX_EUR</f>
        <v>0</v>
      </c>
      <c r="BK32" s="37" t="n">
        <f aca="false">Staff!BK60/FX_EUR</f>
        <v>0</v>
      </c>
      <c r="BL32" s="37" t="n">
        <f aca="false">Staff!BL60/FX_EUR</f>
        <v>0</v>
      </c>
    </row>
    <row r="33" customFormat="false" ht="15" hidden="false" customHeight="false" outlineLevel="0" collapsed="false">
      <c r="A33" s="12" t="str">
        <f aca="false">Staff!A61</f>
        <v>(spare line 23)</v>
      </c>
      <c r="B33" s="14" t="s">
        <v>73</v>
      </c>
      <c r="D33" s="55" t="n">
        <f aca="false">Staff!D61/FX_EUR</f>
        <v>0</v>
      </c>
      <c r="E33" s="37" t="n">
        <f aca="false">Staff!E61/FX_EUR</f>
        <v>0</v>
      </c>
      <c r="F33" s="37" t="n">
        <f aca="false">Staff!F61/FX_EUR</f>
        <v>0</v>
      </c>
      <c r="G33" s="37" t="n">
        <f aca="false">Staff!G61/FX_EUR</f>
        <v>0</v>
      </c>
      <c r="H33" s="37" t="n">
        <f aca="false">Staff!H61/FX_EUR</f>
        <v>0</v>
      </c>
      <c r="I33" s="37" t="n">
        <f aca="false">Staff!I61/FX_EUR</f>
        <v>0</v>
      </c>
      <c r="J33" s="37" t="n">
        <f aca="false">Staff!J61/FX_EUR</f>
        <v>0</v>
      </c>
      <c r="K33" s="37" t="n">
        <f aca="false">Staff!K61/FX_EUR</f>
        <v>0</v>
      </c>
      <c r="L33" s="37" t="n">
        <f aca="false">Staff!L61/FX_EUR</f>
        <v>0</v>
      </c>
      <c r="M33" s="37" t="n">
        <f aca="false">Staff!M61/FX_EUR</f>
        <v>0</v>
      </c>
      <c r="N33" s="37" t="n">
        <f aca="false">Staff!N61/FX_EUR</f>
        <v>0</v>
      </c>
      <c r="O33" s="37" t="n">
        <f aca="false">Staff!O61/FX_EUR</f>
        <v>0</v>
      </c>
      <c r="P33" s="37" t="n">
        <f aca="false">Staff!P61/FX_EUR</f>
        <v>0</v>
      </c>
      <c r="Q33" s="37" t="n">
        <f aca="false">Staff!Q61/FX_EUR</f>
        <v>0</v>
      </c>
      <c r="R33" s="37" t="n">
        <f aca="false">Staff!R61/FX_EUR</f>
        <v>0</v>
      </c>
      <c r="S33" s="37" t="n">
        <f aca="false">Staff!S61/FX_EUR</f>
        <v>0</v>
      </c>
      <c r="T33" s="37" t="n">
        <f aca="false">Staff!T61/FX_EUR</f>
        <v>0</v>
      </c>
      <c r="U33" s="37" t="n">
        <f aca="false">Staff!U61/FX_EUR</f>
        <v>0</v>
      </c>
      <c r="V33" s="37" t="n">
        <f aca="false">Staff!V61/FX_EUR</f>
        <v>0</v>
      </c>
      <c r="W33" s="37" t="n">
        <f aca="false">Staff!W61/FX_EUR</f>
        <v>0</v>
      </c>
      <c r="X33" s="37" t="n">
        <f aca="false">Staff!X61/FX_EUR</f>
        <v>0</v>
      </c>
      <c r="Y33" s="37" t="n">
        <f aca="false">Staff!Y61/FX_EUR</f>
        <v>0</v>
      </c>
      <c r="Z33" s="37" t="n">
        <f aca="false">Staff!Z61/FX_EUR</f>
        <v>0</v>
      </c>
      <c r="AA33" s="37" t="n">
        <f aca="false">Staff!AA61/FX_EUR</f>
        <v>0</v>
      </c>
      <c r="AB33" s="37" t="n">
        <f aca="false">Staff!AB61/FX_EUR</f>
        <v>0</v>
      </c>
      <c r="AC33" s="37" t="n">
        <f aca="false">Staff!AC61/FX_EUR</f>
        <v>0</v>
      </c>
      <c r="AD33" s="37" t="n">
        <f aca="false">Staff!AD61/FX_EUR</f>
        <v>0</v>
      </c>
      <c r="AE33" s="37" t="n">
        <f aca="false">Staff!AE61/FX_EUR</f>
        <v>0</v>
      </c>
      <c r="AF33" s="37" t="n">
        <f aca="false">Staff!AF61/FX_EUR</f>
        <v>0</v>
      </c>
      <c r="AG33" s="37" t="n">
        <f aca="false">Staff!AG61/FX_EUR</f>
        <v>0</v>
      </c>
      <c r="AH33" s="37" t="n">
        <f aca="false">Staff!AH61/FX_EUR</f>
        <v>0</v>
      </c>
      <c r="AI33" s="37" t="n">
        <f aca="false">Staff!AI61/FX_EUR</f>
        <v>0</v>
      </c>
      <c r="AJ33" s="37" t="n">
        <f aca="false">Staff!AJ61/FX_EUR</f>
        <v>0</v>
      </c>
      <c r="AK33" s="37" t="n">
        <f aca="false">Staff!AK61/FX_EUR</f>
        <v>0</v>
      </c>
      <c r="AL33" s="37" t="n">
        <f aca="false">Staff!AL61/FX_EUR</f>
        <v>0</v>
      </c>
      <c r="AM33" s="37" t="n">
        <f aca="false">Staff!AM61/FX_EUR</f>
        <v>0</v>
      </c>
      <c r="AN33" s="37" t="n">
        <f aca="false">Staff!AN61/FX_EUR</f>
        <v>0</v>
      </c>
      <c r="AO33" s="37" t="n">
        <f aca="false">Staff!AO61/FX_EUR</f>
        <v>0</v>
      </c>
      <c r="AP33" s="37" t="n">
        <f aca="false">Staff!AP61/FX_EUR</f>
        <v>0</v>
      </c>
      <c r="AQ33" s="37" t="n">
        <f aca="false">Staff!AQ61/FX_EUR</f>
        <v>0</v>
      </c>
      <c r="AR33" s="37" t="n">
        <f aca="false">Staff!AR61/FX_EUR</f>
        <v>0</v>
      </c>
      <c r="AS33" s="37" t="n">
        <f aca="false">Staff!AS61/FX_EUR</f>
        <v>0</v>
      </c>
      <c r="AT33" s="37" t="n">
        <f aca="false">Staff!AT61/FX_EUR</f>
        <v>0</v>
      </c>
      <c r="AU33" s="37" t="n">
        <f aca="false">Staff!AU61/FX_EUR</f>
        <v>0</v>
      </c>
      <c r="AV33" s="37" t="n">
        <f aca="false">Staff!AV61/FX_EUR</f>
        <v>0</v>
      </c>
      <c r="AW33" s="37" t="n">
        <f aca="false">Staff!AW61/FX_EUR</f>
        <v>0</v>
      </c>
      <c r="AX33" s="37" t="n">
        <f aca="false">Staff!AX61/FX_EUR</f>
        <v>0</v>
      </c>
      <c r="AY33" s="37" t="n">
        <f aca="false">Staff!AY61/FX_EUR</f>
        <v>0</v>
      </c>
      <c r="AZ33" s="37" t="n">
        <f aca="false">Staff!AZ61/FX_EUR</f>
        <v>0</v>
      </c>
      <c r="BA33" s="37" t="n">
        <f aca="false">Staff!BA61/FX_EUR</f>
        <v>0</v>
      </c>
      <c r="BB33" s="37" t="n">
        <f aca="false">Staff!BB61/FX_EUR</f>
        <v>0</v>
      </c>
      <c r="BC33" s="37" t="n">
        <f aca="false">Staff!BC61/FX_EUR</f>
        <v>0</v>
      </c>
      <c r="BD33" s="37" t="n">
        <f aca="false">Staff!BD61/FX_EUR</f>
        <v>0</v>
      </c>
      <c r="BE33" s="37" t="n">
        <f aca="false">Staff!BE61/FX_EUR</f>
        <v>0</v>
      </c>
      <c r="BF33" s="37" t="n">
        <f aca="false">Staff!BF61/FX_EUR</f>
        <v>0</v>
      </c>
      <c r="BG33" s="37" t="n">
        <f aca="false">Staff!BG61/FX_EUR</f>
        <v>0</v>
      </c>
      <c r="BH33" s="37" t="n">
        <f aca="false">Staff!BH61/FX_EUR</f>
        <v>0</v>
      </c>
      <c r="BI33" s="37" t="n">
        <f aca="false">Staff!BI61/FX_EUR</f>
        <v>0</v>
      </c>
      <c r="BJ33" s="37" t="n">
        <f aca="false">Staff!BJ61/FX_EUR</f>
        <v>0</v>
      </c>
      <c r="BK33" s="37" t="n">
        <f aca="false">Staff!BK61/FX_EUR</f>
        <v>0</v>
      </c>
      <c r="BL33" s="37" t="n">
        <f aca="false">Staff!BL61/FX_EUR</f>
        <v>0</v>
      </c>
    </row>
    <row r="34" customFormat="false" ht="15" hidden="false" customHeight="false" outlineLevel="0" collapsed="false">
      <c r="A34" s="12" t="str">
        <f aca="false">Staff!A62</f>
        <v>(spare line 24)</v>
      </c>
      <c r="B34" s="14" t="s">
        <v>73</v>
      </c>
      <c r="D34" s="55" t="n">
        <f aca="false">Staff!D62/FX_EUR</f>
        <v>0</v>
      </c>
      <c r="E34" s="37" t="n">
        <f aca="false">Staff!E62/FX_EUR</f>
        <v>0</v>
      </c>
      <c r="F34" s="37" t="n">
        <f aca="false">Staff!F62/FX_EUR</f>
        <v>0</v>
      </c>
      <c r="G34" s="37" t="n">
        <f aca="false">Staff!G62/FX_EUR</f>
        <v>0</v>
      </c>
      <c r="H34" s="37" t="n">
        <f aca="false">Staff!H62/FX_EUR</f>
        <v>0</v>
      </c>
      <c r="I34" s="37" t="n">
        <f aca="false">Staff!I62/FX_EUR</f>
        <v>0</v>
      </c>
      <c r="J34" s="37" t="n">
        <f aca="false">Staff!J62/FX_EUR</f>
        <v>0</v>
      </c>
      <c r="K34" s="37" t="n">
        <f aca="false">Staff!K62/FX_EUR</f>
        <v>0</v>
      </c>
      <c r="L34" s="37" t="n">
        <f aca="false">Staff!L62/FX_EUR</f>
        <v>0</v>
      </c>
      <c r="M34" s="37" t="n">
        <f aca="false">Staff!M62/FX_EUR</f>
        <v>0</v>
      </c>
      <c r="N34" s="37" t="n">
        <f aca="false">Staff!N62/FX_EUR</f>
        <v>0</v>
      </c>
      <c r="O34" s="37" t="n">
        <f aca="false">Staff!O62/FX_EUR</f>
        <v>0</v>
      </c>
      <c r="P34" s="37" t="n">
        <f aca="false">Staff!P62/FX_EUR</f>
        <v>0</v>
      </c>
      <c r="Q34" s="37" t="n">
        <f aca="false">Staff!Q62/FX_EUR</f>
        <v>0</v>
      </c>
      <c r="R34" s="37" t="n">
        <f aca="false">Staff!R62/FX_EUR</f>
        <v>0</v>
      </c>
      <c r="S34" s="37" t="n">
        <f aca="false">Staff!S62/FX_EUR</f>
        <v>0</v>
      </c>
      <c r="T34" s="37" t="n">
        <f aca="false">Staff!T62/FX_EUR</f>
        <v>0</v>
      </c>
      <c r="U34" s="37" t="n">
        <f aca="false">Staff!U62/FX_EUR</f>
        <v>0</v>
      </c>
      <c r="V34" s="37" t="n">
        <f aca="false">Staff!V62/FX_EUR</f>
        <v>0</v>
      </c>
      <c r="W34" s="37" t="n">
        <f aca="false">Staff!W62/FX_EUR</f>
        <v>0</v>
      </c>
      <c r="X34" s="37" t="n">
        <f aca="false">Staff!X62/FX_EUR</f>
        <v>0</v>
      </c>
      <c r="Y34" s="37" t="n">
        <f aca="false">Staff!Y62/FX_EUR</f>
        <v>0</v>
      </c>
      <c r="Z34" s="37" t="n">
        <f aca="false">Staff!Z62/FX_EUR</f>
        <v>0</v>
      </c>
      <c r="AA34" s="37" t="n">
        <f aca="false">Staff!AA62/FX_EUR</f>
        <v>0</v>
      </c>
      <c r="AB34" s="37" t="n">
        <f aca="false">Staff!AB62/FX_EUR</f>
        <v>0</v>
      </c>
      <c r="AC34" s="37" t="n">
        <f aca="false">Staff!AC62/FX_EUR</f>
        <v>0</v>
      </c>
      <c r="AD34" s="37" t="n">
        <f aca="false">Staff!AD62/FX_EUR</f>
        <v>0</v>
      </c>
      <c r="AE34" s="37" t="n">
        <f aca="false">Staff!AE62/FX_EUR</f>
        <v>0</v>
      </c>
      <c r="AF34" s="37" t="n">
        <f aca="false">Staff!AF62/FX_EUR</f>
        <v>0</v>
      </c>
      <c r="AG34" s="37" t="n">
        <f aca="false">Staff!AG62/FX_EUR</f>
        <v>0</v>
      </c>
      <c r="AH34" s="37" t="n">
        <f aca="false">Staff!AH62/FX_EUR</f>
        <v>0</v>
      </c>
      <c r="AI34" s="37" t="n">
        <f aca="false">Staff!AI62/FX_EUR</f>
        <v>0</v>
      </c>
      <c r="AJ34" s="37" t="n">
        <f aca="false">Staff!AJ62/FX_EUR</f>
        <v>0</v>
      </c>
      <c r="AK34" s="37" t="n">
        <f aca="false">Staff!AK62/FX_EUR</f>
        <v>0</v>
      </c>
      <c r="AL34" s="37" t="n">
        <f aca="false">Staff!AL62/FX_EUR</f>
        <v>0</v>
      </c>
      <c r="AM34" s="37" t="n">
        <f aca="false">Staff!AM62/FX_EUR</f>
        <v>0</v>
      </c>
      <c r="AN34" s="37" t="n">
        <f aca="false">Staff!AN62/FX_EUR</f>
        <v>0</v>
      </c>
      <c r="AO34" s="37" t="n">
        <f aca="false">Staff!AO62/FX_EUR</f>
        <v>0</v>
      </c>
      <c r="AP34" s="37" t="n">
        <f aca="false">Staff!AP62/FX_EUR</f>
        <v>0</v>
      </c>
      <c r="AQ34" s="37" t="n">
        <f aca="false">Staff!AQ62/FX_EUR</f>
        <v>0</v>
      </c>
      <c r="AR34" s="37" t="n">
        <f aca="false">Staff!AR62/FX_EUR</f>
        <v>0</v>
      </c>
      <c r="AS34" s="37" t="n">
        <f aca="false">Staff!AS62/FX_EUR</f>
        <v>0</v>
      </c>
      <c r="AT34" s="37" t="n">
        <f aca="false">Staff!AT62/FX_EUR</f>
        <v>0</v>
      </c>
      <c r="AU34" s="37" t="n">
        <f aca="false">Staff!AU62/FX_EUR</f>
        <v>0</v>
      </c>
      <c r="AV34" s="37" t="n">
        <f aca="false">Staff!AV62/FX_EUR</f>
        <v>0</v>
      </c>
      <c r="AW34" s="37" t="n">
        <f aca="false">Staff!AW62/FX_EUR</f>
        <v>0</v>
      </c>
      <c r="AX34" s="37" t="n">
        <f aca="false">Staff!AX62/FX_EUR</f>
        <v>0</v>
      </c>
      <c r="AY34" s="37" t="n">
        <f aca="false">Staff!AY62/FX_EUR</f>
        <v>0</v>
      </c>
      <c r="AZ34" s="37" t="n">
        <f aca="false">Staff!AZ62/FX_EUR</f>
        <v>0</v>
      </c>
      <c r="BA34" s="37" t="n">
        <f aca="false">Staff!BA62/FX_EUR</f>
        <v>0</v>
      </c>
      <c r="BB34" s="37" t="n">
        <f aca="false">Staff!BB62/FX_EUR</f>
        <v>0</v>
      </c>
      <c r="BC34" s="37" t="n">
        <f aca="false">Staff!BC62/FX_EUR</f>
        <v>0</v>
      </c>
      <c r="BD34" s="37" t="n">
        <f aca="false">Staff!BD62/FX_EUR</f>
        <v>0</v>
      </c>
      <c r="BE34" s="37" t="n">
        <f aca="false">Staff!BE62/FX_EUR</f>
        <v>0</v>
      </c>
      <c r="BF34" s="37" t="n">
        <f aca="false">Staff!BF62/FX_EUR</f>
        <v>0</v>
      </c>
      <c r="BG34" s="37" t="n">
        <f aca="false">Staff!BG62/FX_EUR</f>
        <v>0</v>
      </c>
      <c r="BH34" s="37" t="n">
        <f aca="false">Staff!BH62/FX_EUR</f>
        <v>0</v>
      </c>
      <c r="BI34" s="37" t="n">
        <f aca="false">Staff!BI62/FX_EUR</f>
        <v>0</v>
      </c>
      <c r="BJ34" s="37" t="n">
        <f aca="false">Staff!BJ62/FX_EUR</f>
        <v>0</v>
      </c>
      <c r="BK34" s="37" t="n">
        <f aca="false">Staff!BK62/FX_EUR</f>
        <v>0</v>
      </c>
      <c r="BL34" s="37" t="n">
        <f aca="false">Staff!BL62/FX_EUR</f>
        <v>0</v>
      </c>
    </row>
    <row r="35" customFormat="false" ht="15" hidden="false" customHeight="false" outlineLevel="0" collapsed="false">
      <c r="A35" s="12" t="str">
        <f aca="false">Staff!A63</f>
        <v>(spare line 25)</v>
      </c>
      <c r="B35" s="14" t="s">
        <v>73</v>
      </c>
      <c r="D35" s="55" t="n">
        <f aca="false">Staff!D63/FX_EUR</f>
        <v>0</v>
      </c>
      <c r="E35" s="37" t="n">
        <f aca="false">Staff!E63/FX_EUR</f>
        <v>0</v>
      </c>
      <c r="F35" s="37" t="n">
        <f aca="false">Staff!F63/FX_EUR</f>
        <v>0</v>
      </c>
      <c r="G35" s="37" t="n">
        <f aca="false">Staff!G63/FX_EUR</f>
        <v>0</v>
      </c>
      <c r="H35" s="37" t="n">
        <f aca="false">Staff!H63/FX_EUR</f>
        <v>0</v>
      </c>
      <c r="I35" s="37" t="n">
        <f aca="false">Staff!I63/FX_EUR</f>
        <v>0</v>
      </c>
      <c r="J35" s="37" t="n">
        <f aca="false">Staff!J63/FX_EUR</f>
        <v>0</v>
      </c>
      <c r="K35" s="37" t="n">
        <f aca="false">Staff!K63/FX_EUR</f>
        <v>0</v>
      </c>
      <c r="L35" s="37" t="n">
        <f aca="false">Staff!L63/FX_EUR</f>
        <v>0</v>
      </c>
      <c r="M35" s="37" t="n">
        <f aca="false">Staff!M63/FX_EUR</f>
        <v>0</v>
      </c>
      <c r="N35" s="37" t="n">
        <f aca="false">Staff!N63/FX_EUR</f>
        <v>0</v>
      </c>
      <c r="O35" s="37" t="n">
        <f aca="false">Staff!O63/FX_EUR</f>
        <v>0</v>
      </c>
      <c r="P35" s="37" t="n">
        <f aca="false">Staff!P63/FX_EUR</f>
        <v>0</v>
      </c>
      <c r="Q35" s="37" t="n">
        <f aca="false">Staff!Q63/FX_EUR</f>
        <v>0</v>
      </c>
      <c r="R35" s="37" t="n">
        <f aca="false">Staff!R63/FX_EUR</f>
        <v>0</v>
      </c>
      <c r="S35" s="37" t="n">
        <f aca="false">Staff!S63/FX_EUR</f>
        <v>0</v>
      </c>
      <c r="T35" s="37" t="n">
        <f aca="false">Staff!T63/FX_EUR</f>
        <v>0</v>
      </c>
      <c r="U35" s="37" t="n">
        <f aca="false">Staff!U63/FX_EUR</f>
        <v>0</v>
      </c>
      <c r="V35" s="37" t="n">
        <f aca="false">Staff!V63/FX_EUR</f>
        <v>0</v>
      </c>
      <c r="W35" s="37" t="n">
        <f aca="false">Staff!W63/FX_EUR</f>
        <v>0</v>
      </c>
      <c r="X35" s="37" t="n">
        <f aca="false">Staff!X63/FX_EUR</f>
        <v>0</v>
      </c>
      <c r="Y35" s="37" t="n">
        <f aca="false">Staff!Y63/FX_EUR</f>
        <v>0</v>
      </c>
      <c r="Z35" s="37" t="n">
        <f aca="false">Staff!Z63/FX_EUR</f>
        <v>0</v>
      </c>
      <c r="AA35" s="37" t="n">
        <f aca="false">Staff!AA63/FX_EUR</f>
        <v>0</v>
      </c>
      <c r="AB35" s="37" t="n">
        <f aca="false">Staff!AB63/FX_EUR</f>
        <v>0</v>
      </c>
      <c r="AC35" s="37" t="n">
        <f aca="false">Staff!AC63/FX_EUR</f>
        <v>0</v>
      </c>
      <c r="AD35" s="37" t="n">
        <f aca="false">Staff!AD63/FX_EUR</f>
        <v>0</v>
      </c>
      <c r="AE35" s="37" t="n">
        <f aca="false">Staff!AE63/FX_EUR</f>
        <v>0</v>
      </c>
      <c r="AF35" s="37" t="n">
        <f aca="false">Staff!AF63/FX_EUR</f>
        <v>0</v>
      </c>
      <c r="AG35" s="37" t="n">
        <f aca="false">Staff!AG63/FX_EUR</f>
        <v>0</v>
      </c>
      <c r="AH35" s="37" t="n">
        <f aca="false">Staff!AH63/FX_EUR</f>
        <v>0</v>
      </c>
      <c r="AI35" s="37" t="n">
        <f aca="false">Staff!AI63/FX_EUR</f>
        <v>0</v>
      </c>
      <c r="AJ35" s="37" t="n">
        <f aca="false">Staff!AJ63/FX_EUR</f>
        <v>0</v>
      </c>
      <c r="AK35" s="37" t="n">
        <f aca="false">Staff!AK63/FX_EUR</f>
        <v>0</v>
      </c>
      <c r="AL35" s="37" t="n">
        <f aca="false">Staff!AL63/FX_EUR</f>
        <v>0</v>
      </c>
      <c r="AM35" s="37" t="n">
        <f aca="false">Staff!AM63/FX_EUR</f>
        <v>0</v>
      </c>
      <c r="AN35" s="37" t="n">
        <f aca="false">Staff!AN63/FX_EUR</f>
        <v>0</v>
      </c>
      <c r="AO35" s="37" t="n">
        <f aca="false">Staff!AO63/FX_EUR</f>
        <v>0</v>
      </c>
      <c r="AP35" s="37" t="n">
        <f aca="false">Staff!AP63/FX_EUR</f>
        <v>0</v>
      </c>
      <c r="AQ35" s="37" t="n">
        <f aca="false">Staff!AQ63/FX_EUR</f>
        <v>0</v>
      </c>
      <c r="AR35" s="37" t="n">
        <f aca="false">Staff!AR63/FX_EUR</f>
        <v>0</v>
      </c>
      <c r="AS35" s="37" t="n">
        <f aca="false">Staff!AS63/FX_EUR</f>
        <v>0</v>
      </c>
      <c r="AT35" s="37" t="n">
        <f aca="false">Staff!AT63/FX_EUR</f>
        <v>0</v>
      </c>
      <c r="AU35" s="37" t="n">
        <f aca="false">Staff!AU63/FX_EUR</f>
        <v>0</v>
      </c>
      <c r="AV35" s="37" t="n">
        <f aca="false">Staff!AV63/FX_EUR</f>
        <v>0</v>
      </c>
      <c r="AW35" s="37" t="n">
        <f aca="false">Staff!AW63/FX_EUR</f>
        <v>0</v>
      </c>
      <c r="AX35" s="37" t="n">
        <f aca="false">Staff!AX63/FX_EUR</f>
        <v>0</v>
      </c>
      <c r="AY35" s="37" t="n">
        <f aca="false">Staff!AY63/FX_EUR</f>
        <v>0</v>
      </c>
      <c r="AZ35" s="37" t="n">
        <f aca="false">Staff!AZ63/FX_EUR</f>
        <v>0</v>
      </c>
      <c r="BA35" s="37" t="n">
        <f aca="false">Staff!BA63/FX_EUR</f>
        <v>0</v>
      </c>
      <c r="BB35" s="37" t="n">
        <f aca="false">Staff!BB63/FX_EUR</f>
        <v>0</v>
      </c>
      <c r="BC35" s="37" t="n">
        <f aca="false">Staff!BC63/FX_EUR</f>
        <v>0</v>
      </c>
      <c r="BD35" s="37" t="n">
        <f aca="false">Staff!BD63/FX_EUR</f>
        <v>0</v>
      </c>
      <c r="BE35" s="37" t="n">
        <f aca="false">Staff!BE63/FX_EUR</f>
        <v>0</v>
      </c>
      <c r="BF35" s="37" t="n">
        <f aca="false">Staff!BF63/FX_EUR</f>
        <v>0</v>
      </c>
      <c r="BG35" s="37" t="n">
        <f aca="false">Staff!BG63/FX_EUR</f>
        <v>0</v>
      </c>
      <c r="BH35" s="37" t="n">
        <f aca="false">Staff!BH63/FX_EUR</f>
        <v>0</v>
      </c>
      <c r="BI35" s="37" t="n">
        <f aca="false">Staff!BI63/FX_EUR</f>
        <v>0</v>
      </c>
      <c r="BJ35" s="37" t="n">
        <f aca="false">Staff!BJ63/FX_EUR</f>
        <v>0</v>
      </c>
      <c r="BK35" s="37" t="n">
        <f aca="false">Staff!BK63/FX_EUR</f>
        <v>0</v>
      </c>
      <c r="BL35" s="37" t="n">
        <f aca="false">Staff!BL63/FX_EUR</f>
        <v>0</v>
      </c>
    </row>
    <row r="36" customFormat="false" ht="15" hidden="false" customHeight="false" outlineLevel="0" collapsed="false">
      <c r="A36" s="12" t="str">
        <f aca="false">Staff!A64</f>
        <v>(spare line 26)</v>
      </c>
      <c r="B36" s="14" t="s">
        <v>73</v>
      </c>
      <c r="D36" s="55" t="n">
        <f aca="false">Staff!D64/FX_EUR</f>
        <v>0</v>
      </c>
      <c r="E36" s="37" t="n">
        <f aca="false">Staff!E64/FX_EUR</f>
        <v>0</v>
      </c>
      <c r="F36" s="37" t="n">
        <f aca="false">Staff!F64/FX_EUR</f>
        <v>0</v>
      </c>
      <c r="G36" s="37" t="n">
        <f aca="false">Staff!G64/FX_EUR</f>
        <v>0</v>
      </c>
      <c r="H36" s="37" t="n">
        <f aca="false">Staff!H64/FX_EUR</f>
        <v>0</v>
      </c>
      <c r="I36" s="37" t="n">
        <f aca="false">Staff!I64/FX_EUR</f>
        <v>0</v>
      </c>
      <c r="J36" s="37" t="n">
        <f aca="false">Staff!J64/FX_EUR</f>
        <v>0</v>
      </c>
      <c r="K36" s="37" t="n">
        <f aca="false">Staff!K64/FX_EUR</f>
        <v>0</v>
      </c>
      <c r="L36" s="37" t="n">
        <f aca="false">Staff!L64/FX_EUR</f>
        <v>0</v>
      </c>
      <c r="M36" s="37" t="n">
        <f aca="false">Staff!M64/FX_EUR</f>
        <v>0</v>
      </c>
      <c r="N36" s="37" t="n">
        <f aca="false">Staff!N64/FX_EUR</f>
        <v>0</v>
      </c>
      <c r="O36" s="37" t="n">
        <f aca="false">Staff!O64/FX_EUR</f>
        <v>0</v>
      </c>
      <c r="P36" s="37" t="n">
        <f aca="false">Staff!P64/FX_EUR</f>
        <v>0</v>
      </c>
      <c r="Q36" s="37" t="n">
        <f aca="false">Staff!Q64/FX_EUR</f>
        <v>0</v>
      </c>
      <c r="R36" s="37" t="n">
        <f aca="false">Staff!R64/FX_EUR</f>
        <v>0</v>
      </c>
      <c r="S36" s="37" t="n">
        <f aca="false">Staff!S64/FX_EUR</f>
        <v>0</v>
      </c>
      <c r="T36" s="37" t="n">
        <f aca="false">Staff!T64/FX_EUR</f>
        <v>0</v>
      </c>
      <c r="U36" s="37" t="n">
        <f aca="false">Staff!U64/FX_EUR</f>
        <v>0</v>
      </c>
      <c r="V36" s="37" t="n">
        <f aca="false">Staff!V64/FX_EUR</f>
        <v>0</v>
      </c>
      <c r="W36" s="37" t="n">
        <f aca="false">Staff!W64/FX_EUR</f>
        <v>0</v>
      </c>
      <c r="X36" s="37" t="n">
        <f aca="false">Staff!X64/FX_EUR</f>
        <v>0</v>
      </c>
      <c r="Y36" s="37" t="n">
        <f aca="false">Staff!Y64/FX_EUR</f>
        <v>0</v>
      </c>
      <c r="Z36" s="37" t="n">
        <f aca="false">Staff!Z64/FX_EUR</f>
        <v>0</v>
      </c>
      <c r="AA36" s="37" t="n">
        <f aca="false">Staff!AA64/FX_EUR</f>
        <v>0</v>
      </c>
      <c r="AB36" s="37" t="n">
        <f aca="false">Staff!AB64/FX_EUR</f>
        <v>0</v>
      </c>
      <c r="AC36" s="37" t="n">
        <f aca="false">Staff!AC64/FX_EUR</f>
        <v>0</v>
      </c>
      <c r="AD36" s="37" t="n">
        <f aca="false">Staff!AD64/FX_EUR</f>
        <v>0</v>
      </c>
      <c r="AE36" s="37" t="n">
        <f aca="false">Staff!AE64/FX_EUR</f>
        <v>0</v>
      </c>
      <c r="AF36" s="37" t="n">
        <f aca="false">Staff!AF64/FX_EUR</f>
        <v>0</v>
      </c>
      <c r="AG36" s="37" t="n">
        <f aca="false">Staff!AG64/FX_EUR</f>
        <v>0</v>
      </c>
      <c r="AH36" s="37" t="n">
        <f aca="false">Staff!AH64/FX_EUR</f>
        <v>0</v>
      </c>
      <c r="AI36" s="37" t="n">
        <f aca="false">Staff!AI64/FX_EUR</f>
        <v>0</v>
      </c>
      <c r="AJ36" s="37" t="n">
        <f aca="false">Staff!AJ64/FX_EUR</f>
        <v>0</v>
      </c>
      <c r="AK36" s="37" t="n">
        <f aca="false">Staff!AK64/FX_EUR</f>
        <v>0</v>
      </c>
      <c r="AL36" s="37" t="n">
        <f aca="false">Staff!AL64/FX_EUR</f>
        <v>0</v>
      </c>
      <c r="AM36" s="37" t="n">
        <f aca="false">Staff!AM64/FX_EUR</f>
        <v>0</v>
      </c>
      <c r="AN36" s="37" t="n">
        <f aca="false">Staff!AN64/FX_EUR</f>
        <v>0</v>
      </c>
      <c r="AO36" s="37" t="n">
        <f aca="false">Staff!AO64/FX_EUR</f>
        <v>0</v>
      </c>
      <c r="AP36" s="37" t="n">
        <f aca="false">Staff!AP64/FX_EUR</f>
        <v>0</v>
      </c>
      <c r="AQ36" s="37" t="n">
        <f aca="false">Staff!AQ64/FX_EUR</f>
        <v>0</v>
      </c>
      <c r="AR36" s="37" t="n">
        <f aca="false">Staff!AR64/FX_EUR</f>
        <v>0</v>
      </c>
      <c r="AS36" s="37" t="n">
        <f aca="false">Staff!AS64/FX_EUR</f>
        <v>0</v>
      </c>
      <c r="AT36" s="37" t="n">
        <f aca="false">Staff!AT64/FX_EUR</f>
        <v>0</v>
      </c>
      <c r="AU36" s="37" t="n">
        <f aca="false">Staff!AU64/FX_EUR</f>
        <v>0</v>
      </c>
      <c r="AV36" s="37" t="n">
        <f aca="false">Staff!AV64/FX_EUR</f>
        <v>0</v>
      </c>
      <c r="AW36" s="37" t="n">
        <f aca="false">Staff!AW64/FX_EUR</f>
        <v>0</v>
      </c>
      <c r="AX36" s="37" t="n">
        <f aca="false">Staff!AX64/FX_EUR</f>
        <v>0</v>
      </c>
      <c r="AY36" s="37" t="n">
        <f aca="false">Staff!AY64/FX_EUR</f>
        <v>0</v>
      </c>
      <c r="AZ36" s="37" t="n">
        <f aca="false">Staff!AZ64/FX_EUR</f>
        <v>0</v>
      </c>
      <c r="BA36" s="37" t="n">
        <f aca="false">Staff!BA64/FX_EUR</f>
        <v>0</v>
      </c>
      <c r="BB36" s="37" t="n">
        <f aca="false">Staff!BB64/FX_EUR</f>
        <v>0</v>
      </c>
      <c r="BC36" s="37" t="n">
        <f aca="false">Staff!BC64/FX_EUR</f>
        <v>0</v>
      </c>
      <c r="BD36" s="37" t="n">
        <f aca="false">Staff!BD64/FX_EUR</f>
        <v>0</v>
      </c>
      <c r="BE36" s="37" t="n">
        <f aca="false">Staff!BE64/FX_EUR</f>
        <v>0</v>
      </c>
      <c r="BF36" s="37" t="n">
        <f aca="false">Staff!BF64/FX_EUR</f>
        <v>0</v>
      </c>
      <c r="BG36" s="37" t="n">
        <f aca="false">Staff!BG64/FX_EUR</f>
        <v>0</v>
      </c>
      <c r="BH36" s="37" t="n">
        <f aca="false">Staff!BH64/FX_EUR</f>
        <v>0</v>
      </c>
      <c r="BI36" s="37" t="n">
        <f aca="false">Staff!BI64/FX_EUR</f>
        <v>0</v>
      </c>
      <c r="BJ36" s="37" t="n">
        <f aca="false">Staff!BJ64/FX_EUR</f>
        <v>0</v>
      </c>
      <c r="BK36" s="37" t="n">
        <f aca="false">Staff!BK64/FX_EUR</f>
        <v>0</v>
      </c>
      <c r="BL36" s="37" t="n">
        <f aca="false">Staff!BL64/FX_EUR</f>
        <v>0</v>
      </c>
    </row>
    <row r="37" customFormat="false" ht="15" hidden="false" customHeight="false" outlineLevel="0" collapsed="false">
      <c r="A37" s="12" t="str">
        <f aca="false">Staff!A65</f>
        <v>(spare line 27)</v>
      </c>
      <c r="B37" s="14" t="s">
        <v>73</v>
      </c>
      <c r="D37" s="55" t="n">
        <f aca="false">Staff!D65/FX_EUR</f>
        <v>0</v>
      </c>
      <c r="E37" s="37" t="n">
        <f aca="false">Staff!E65/FX_EUR</f>
        <v>0</v>
      </c>
      <c r="F37" s="37" t="n">
        <f aca="false">Staff!F65/FX_EUR</f>
        <v>0</v>
      </c>
      <c r="G37" s="37" t="n">
        <f aca="false">Staff!G65/FX_EUR</f>
        <v>0</v>
      </c>
      <c r="H37" s="37" t="n">
        <f aca="false">Staff!H65/FX_EUR</f>
        <v>0</v>
      </c>
      <c r="I37" s="37" t="n">
        <f aca="false">Staff!I65/FX_EUR</f>
        <v>0</v>
      </c>
      <c r="J37" s="37" t="n">
        <f aca="false">Staff!J65/FX_EUR</f>
        <v>0</v>
      </c>
      <c r="K37" s="37" t="n">
        <f aca="false">Staff!K65/FX_EUR</f>
        <v>0</v>
      </c>
      <c r="L37" s="37" t="n">
        <f aca="false">Staff!L65/FX_EUR</f>
        <v>0</v>
      </c>
      <c r="M37" s="37" t="n">
        <f aca="false">Staff!M65/FX_EUR</f>
        <v>0</v>
      </c>
      <c r="N37" s="37" t="n">
        <f aca="false">Staff!N65/FX_EUR</f>
        <v>0</v>
      </c>
      <c r="O37" s="37" t="n">
        <f aca="false">Staff!O65/FX_EUR</f>
        <v>0</v>
      </c>
      <c r="P37" s="37" t="n">
        <f aca="false">Staff!P65/FX_EUR</f>
        <v>0</v>
      </c>
      <c r="Q37" s="37" t="n">
        <f aca="false">Staff!Q65/FX_EUR</f>
        <v>0</v>
      </c>
      <c r="R37" s="37" t="n">
        <f aca="false">Staff!R65/FX_EUR</f>
        <v>0</v>
      </c>
      <c r="S37" s="37" t="n">
        <f aca="false">Staff!S65/FX_EUR</f>
        <v>0</v>
      </c>
      <c r="T37" s="37" t="n">
        <f aca="false">Staff!T65/FX_EUR</f>
        <v>0</v>
      </c>
      <c r="U37" s="37" t="n">
        <f aca="false">Staff!U65/FX_EUR</f>
        <v>0</v>
      </c>
      <c r="V37" s="37" t="n">
        <f aca="false">Staff!V65/FX_EUR</f>
        <v>0</v>
      </c>
      <c r="W37" s="37" t="n">
        <f aca="false">Staff!W65/FX_EUR</f>
        <v>0</v>
      </c>
      <c r="X37" s="37" t="n">
        <f aca="false">Staff!X65/FX_EUR</f>
        <v>0</v>
      </c>
      <c r="Y37" s="37" t="n">
        <f aca="false">Staff!Y65/FX_EUR</f>
        <v>0</v>
      </c>
      <c r="Z37" s="37" t="n">
        <f aca="false">Staff!Z65/FX_EUR</f>
        <v>0</v>
      </c>
      <c r="AA37" s="37" t="n">
        <f aca="false">Staff!AA65/FX_EUR</f>
        <v>0</v>
      </c>
      <c r="AB37" s="37" t="n">
        <f aca="false">Staff!AB65/FX_EUR</f>
        <v>0</v>
      </c>
      <c r="AC37" s="37" t="n">
        <f aca="false">Staff!AC65/FX_EUR</f>
        <v>0</v>
      </c>
      <c r="AD37" s="37" t="n">
        <f aca="false">Staff!AD65/FX_EUR</f>
        <v>0</v>
      </c>
      <c r="AE37" s="37" t="n">
        <f aca="false">Staff!AE65/FX_EUR</f>
        <v>0</v>
      </c>
      <c r="AF37" s="37" t="n">
        <f aca="false">Staff!AF65/FX_EUR</f>
        <v>0</v>
      </c>
      <c r="AG37" s="37" t="n">
        <f aca="false">Staff!AG65/FX_EUR</f>
        <v>0</v>
      </c>
      <c r="AH37" s="37" t="n">
        <f aca="false">Staff!AH65/FX_EUR</f>
        <v>0</v>
      </c>
      <c r="AI37" s="37" t="n">
        <f aca="false">Staff!AI65/FX_EUR</f>
        <v>0</v>
      </c>
      <c r="AJ37" s="37" t="n">
        <f aca="false">Staff!AJ65/FX_EUR</f>
        <v>0</v>
      </c>
      <c r="AK37" s="37" t="n">
        <f aca="false">Staff!AK65/FX_EUR</f>
        <v>0</v>
      </c>
      <c r="AL37" s="37" t="n">
        <f aca="false">Staff!AL65/FX_EUR</f>
        <v>0</v>
      </c>
      <c r="AM37" s="37" t="n">
        <f aca="false">Staff!AM65/FX_EUR</f>
        <v>0</v>
      </c>
      <c r="AN37" s="37" t="n">
        <f aca="false">Staff!AN65/FX_EUR</f>
        <v>0</v>
      </c>
      <c r="AO37" s="37" t="n">
        <f aca="false">Staff!AO65/FX_EUR</f>
        <v>0</v>
      </c>
      <c r="AP37" s="37" t="n">
        <f aca="false">Staff!AP65/FX_EUR</f>
        <v>0</v>
      </c>
      <c r="AQ37" s="37" t="n">
        <f aca="false">Staff!AQ65/FX_EUR</f>
        <v>0</v>
      </c>
      <c r="AR37" s="37" t="n">
        <f aca="false">Staff!AR65/FX_EUR</f>
        <v>0</v>
      </c>
      <c r="AS37" s="37" t="n">
        <f aca="false">Staff!AS65/FX_EUR</f>
        <v>0</v>
      </c>
      <c r="AT37" s="37" t="n">
        <f aca="false">Staff!AT65/FX_EUR</f>
        <v>0</v>
      </c>
      <c r="AU37" s="37" t="n">
        <f aca="false">Staff!AU65/FX_EUR</f>
        <v>0</v>
      </c>
      <c r="AV37" s="37" t="n">
        <f aca="false">Staff!AV65/FX_EUR</f>
        <v>0</v>
      </c>
      <c r="AW37" s="37" t="n">
        <f aca="false">Staff!AW65/FX_EUR</f>
        <v>0</v>
      </c>
      <c r="AX37" s="37" t="n">
        <f aca="false">Staff!AX65/FX_EUR</f>
        <v>0</v>
      </c>
      <c r="AY37" s="37" t="n">
        <f aca="false">Staff!AY65/FX_EUR</f>
        <v>0</v>
      </c>
      <c r="AZ37" s="37" t="n">
        <f aca="false">Staff!AZ65/FX_EUR</f>
        <v>0</v>
      </c>
      <c r="BA37" s="37" t="n">
        <f aca="false">Staff!BA65/FX_EUR</f>
        <v>0</v>
      </c>
      <c r="BB37" s="37" t="n">
        <f aca="false">Staff!BB65/FX_EUR</f>
        <v>0</v>
      </c>
      <c r="BC37" s="37" t="n">
        <f aca="false">Staff!BC65/FX_EUR</f>
        <v>0</v>
      </c>
      <c r="BD37" s="37" t="n">
        <f aca="false">Staff!BD65/FX_EUR</f>
        <v>0</v>
      </c>
      <c r="BE37" s="37" t="n">
        <f aca="false">Staff!BE65/FX_EUR</f>
        <v>0</v>
      </c>
      <c r="BF37" s="37" t="n">
        <f aca="false">Staff!BF65/FX_EUR</f>
        <v>0</v>
      </c>
      <c r="BG37" s="37" t="n">
        <f aca="false">Staff!BG65/FX_EUR</f>
        <v>0</v>
      </c>
      <c r="BH37" s="37" t="n">
        <f aca="false">Staff!BH65/FX_EUR</f>
        <v>0</v>
      </c>
      <c r="BI37" s="37" t="n">
        <f aca="false">Staff!BI65/FX_EUR</f>
        <v>0</v>
      </c>
      <c r="BJ37" s="37" t="n">
        <f aca="false">Staff!BJ65/FX_EUR</f>
        <v>0</v>
      </c>
      <c r="BK37" s="37" t="n">
        <f aca="false">Staff!BK65/FX_EUR</f>
        <v>0</v>
      </c>
      <c r="BL37" s="37" t="n">
        <f aca="false">Staff!BL65/FX_EUR</f>
        <v>0</v>
      </c>
    </row>
    <row r="38" customFormat="false" ht="15" hidden="false" customHeight="false" outlineLevel="0" collapsed="false">
      <c r="A38" s="12" t="str">
        <f aca="false">Staff!A66</f>
        <v>(spare line 28)</v>
      </c>
      <c r="B38" s="14" t="s">
        <v>73</v>
      </c>
      <c r="D38" s="55" t="n">
        <f aca="false">Staff!D66/FX_EUR</f>
        <v>0</v>
      </c>
      <c r="E38" s="37" t="n">
        <f aca="false">Staff!E66/FX_EUR</f>
        <v>0</v>
      </c>
      <c r="F38" s="37" t="n">
        <f aca="false">Staff!F66/FX_EUR</f>
        <v>0</v>
      </c>
      <c r="G38" s="37" t="n">
        <f aca="false">Staff!G66/FX_EUR</f>
        <v>0</v>
      </c>
      <c r="H38" s="37" t="n">
        <f aca="false">Staff!H66/FX_EUR</f>
        <v>0</v>
      </c>
      <c r="I38" s="37" t="n">
        <f aca="false">Staff!I66/FX_EUR</f>
        <v>0</v>
      </c>
      <c r="J38" s="37" t="n">
        <f aca="false">Staff!J66/FX_EUR</f>
        <v>0</v>
      </c>
      <c r="K38" s="37" t="n">
        <f aca="false">Staff!K66/FX_EUR</f>
        <v>0</v>
      </c>
      <c r="L38" s="37" t="n">
        <f aca="false">Staff!L66/FX_EUR</f>
        <v>0</v>
      </c>
      <c r="M38" s="37" t="n">
        <f aca="false">Staff!M66/FX_EUR</f>
        <v>0</v>
      </c>
      <c r="N38" s="37" t="n">
        <f aca="false">Staff!N66/FX_EUR</f>
        <v>0</v>
      </c>
      <c r="O38" s="37" t="n">
        <f aca="false">Staff!O66/FX_EUR</f>
        <v>0</v>
      </c>
      <c r="P38" s="37" t="n">
        <f aca="false">Staff!P66/FX_EUR</f>
        <v>0</v>
      </c>
      <c r="Q38" s="37" t="n">
        <f aca="false">Staff!Q66/FX_EUR</f>
        <v>0</v>
      </c>
      <c r="R38" s="37" t="n">
        <f aca="false">Staff!R66/FX_EUR</f>
        <v>0</v>
      </c>
      <c r="S38" s="37" t="n">
        <f aca="false">Staff!S66/FX_EUR</f>
        <v>0</v>
      </c>
      <c r="T38" s="37" t="n">
        <f aca="false">Staff!T66/FX_EUR</f>
        <v>0</v>
      </c>
      <c r="U38" s="37" t="n">
        <f aca="false">Staff!U66/FX_EUR</f>
        <v>0</v>
      </c>
      <c r="V38" s="37" t="n">
        <f aca="false">Staff!V66/FX_EUR</f>
        <v>0</v>
      </c>
      <c r="W38" s="37" t="n">
        <f aca="false">Staff!W66/FX_EUR</f>
        <v>0</v>
      </c>
      <c r="X38" s="37" t="n">
        <f aca="false">Staff!X66/FX_EUR</f>
        <v>0</v>
      </c>
      <c r="Y38" s="37" t="n">
        <f aca="false">Staff!Y66/FX_EUR</f>
        <v>0</v>
      </c>
      <c r="Z38" s="37" t="n">
        <f aca="false">Staff!Z66/FX_EUR</f>
        <v>0</v>
      </c>
      <c r="AA38" s="37" t="n">
        <f aca="false">Staff!AA66/FX_EUR</f>
        <v>0</v>
      </c>
      <c r="AB38" s="37" t="n">
        <f aca="false">Staff!AB66/FX_EUR</f>
        <v>0</v>
      </c>
      <c r="AC38" s="37" t="n">
        <f aca="false">Staff!AC66/FX_EUR</f>
        <v>0</v>
      </c>
      <c r="AD38" s="37" t="n">
        <f aca="false">Staff!AD66/FX_EUR</f>
        <v>0</v>
      </c>
      <c r="AE38" s="37" t="n">
        <f aca="false">Staff!AE66/FX_EUR</f>
        <v>0</v>
      </c>
      <c r="AF38" s="37" t="n">
        <f aca="false">Staff!AF66/FX_EUR</f>
        <v>0</v>
      </c>
      <c r="AG38" s="37" t="n">
        <f aca="false">Staff!AG66/FX_EUR</f>
        <v>0</v>
      </c>
      <c r="AH38" s="37" t="n">
        <f aca="false">Staff!AH66/FX_EUR</f>
        <v>0</v>
      </c>
      <c r="AI38" s="37" t="n">
        <f aca="false">Staff!AI66/FX_EUR</f>
        <v>0</v>
      </c>
      <c r="AJ38" s="37" t="n">
        <f aca="false">Staff!AJ66/FX_EUR</f>
        <v>0</v>
      </c>
      <c r="AK38" s="37" t="n">
        <f aca="false">Staff!AK66/FX_EUR</f>
        <v>0</v>
      </c>
      <c r="AL38" s="37" t="n">
        <f aca="false">Staff!AL66/FX_EUR</f>
        <v>0</v>
      </c>
      <c r="AM38" s="37" t="n">
        <f aca="false">Staff!AM66/FX_EUR</f>
        <v>0</v>
      </c>
      <c r="AN38" s="37" t="n">
        <f aca="false">Staff!AN66/FX_EUR</f>
        <v>0</v>
      </c>
      <c r="AO38" s="37" t="n">
        <f aca="false">Staff!AO66/FX_EUR</f>
        <v>0</v>
      </c>
      <c r="AP38" s="37" t="n">
        <f aca="false">Staff!AP66/FX_EUR</f>
        <v>0</v>
      </c>
      <c r="AQ38" s="37" t="n">
        <f aca="false">Staff!AQ66/FX_EUR</f>
        <v>0</v>
      </c>
      <c r="AR38" s="37" t="n">
        <f aca="false">Staff!AR66/FX_EUR</f>
        <v>0</v>
      </c>
      <c r="AS38" s="37" t="n">
        <f aca="false">Staff!AS66/FX_EUR</f>
        <v>0</v>
      </c>
      <c r="AT38" s="37" t="n">
        <f aca="false">Staff!AT66/FX_EUR</f>
        <v>0</v>
      </c>
      <c r="AU38" s="37" t="n">
        <f aca="false">Staff!AU66/FX_EUR</f>
        <v>0</v>
      </c>
      <c r="AV38" s="37" t="n">
        <f aca="false">Staff!AV66/FX_EUR</f>
        <v>0</v>
      </c>
      <c r="AW38" s="37" t="n">
        <f aca="false">Staff!AW66/FX_EUR</f>
        <v>0</v>
      </c>
      <c r="AX38" s="37" t="n">
        <f aca="false">Staff!AX66/FX_EUR</f>
        <v>0</v>
      </c>
      <c r="AY38" s="37" t="n">
        <f aca="false">Staff!AY66/FX_EUR</f>
        <v>0</v>
      </c>
      <c r="AZ38" s="37" t="n">
        <f aca="false">Staff!AZ66/FX_EUR</f>
        <v>0</v>
      </c>
      <c r="BA38" s="37" t="n">
        <f aca="false">Staff!BA66/FX_EUR</f>
        <v>0</v>
      </c>
      <c r="BB38" s="37" t="n">
        <f aca="false">Staff!BB66/FX_EUR</f>
        <v>0</v>
      </c>
      <c r="BC38" s="37" t="n">
        <f aca="false">Staff!BC66/FX_EUR</f>
        <v>0</v>
      </c>
      <c r="BD38" s="37" t="n">
        <f aca="false">Staff!BD66/FX_EUR</f>
        <v>0</v>
      </c>
      <c r="BE38" s="37" t="n">
        <f aca="false">Staff!BE66/FX_EUR</f>
        <v>0</v>
      </c>
      <c r="BF38" s="37" t="n">
        <f aca="false">Staff!BF66/FX_EUR</f>
        <v>0</v>
      </c>
      <c r="BG38" s="37" t="n">
        <f aca="false">Staff!BG66/FX_EUR</f>
        <v>0</v>
      </c>
      <c r="BH38" s="37" t="n">
        <f aca="false">Staff!BH66/FX_EUR</f>
        <v>0</v>
      </c>
      <c r="BI38" s="37" t="n">
        <f aca="false">Staff!BI66/FX_EUR</f>
        <v>0</v>
      </c>
      <c r="BJ38" s="37" t="n">
        <f aca="false">Staff!BJ66/FX_EUR</f>
        <v>0</v>
      </c>
      <c r="BK38" s="37" t="n">
        <f aca="false">Staff!BK66/FX_EUR</f>
        <v>0</v>
      </c>
      <c r="BL38" s="37" t="n">
        <f aca="false">Staff!BL66/FX_EUR</f>
        <v>0</v>
      </c>
    </row>
    <row r="40" customFormat="false" ht="15" hidden="false" customHeight="false" outlineLevel="0" collapsed="false">
      <c r="A40" s="10" t="s">
        <v>685</v>
      </c>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c r="BK40" s="11"/>
      <c r="BL40" s="11"/>
    </row>
    <row r="41" customFormat="false" ht="15" hidden="false" customHeight="false" outlineLevel="0" collapsed="false">
      <c r="A41" s="12" t="s">
        <v>691</v>
      </c>
      <c r="B41" s="14" t="s">
        <v>73</v>
      </c>
      <c r="D41" s="55" t="n">
        <f aca="false">Staff!D74/FX_EUR</f>
        <v>393146.866429507</v>
      </c>
      <c r="E41" s="37" t="n">
        <f aca="false">Staff!E74/FX_EUR</f>
        <v>0</v>
      </c>
      <c r="F41" s="37" t="n">
        <f aca="false">Staff!F74/FX_EUR</f>
        <v>0</v>
      </c>
      <c r="G41" s="37" t="n">
        <f aca="false">Staff!G74/FX_EUR</f>
        <v>0</v>
      </c>
      <c r="H41" s="37" t="n">
        <f aca="false">Staff!H74/FX_EUR</f>
        <v>990.918612043168</v>
      </c>
      <c r="I41" s="37" t="n">
        <f aca="false">Staff!I74/FX_EUR</f>
        <v>990.918612043168</v>
      </c>
      <c r="J41" s="37" t="n">
        <f aca="false">Staff!J74/FX_EUR</f>
        <v>990.918612043168</v>
      </c>
      <c r="K41" s="37" t="n">
        <f aca="false">Staff!K74/FX_EUR</f>
        <v>990.918612043168</v>
      </c>
      <c r="L41" s="37" t="n">
        <f aca="false">Staff!L74/FX_EUR</f>
        <v>990.918612043168</v>
      </c>
      <c r="M41" s="37" t="n">
        <f aca="false">Staff!M74/FX_EUR</f>
        <v>990.918612043168</v>
      </c>
      <c r="N41" s="37" t="n">
        <f aca="false">Staff!N74/FX_EUR</f>
        <v>990.918612043168</v>
      </c>
      <c r="O41" s="37" t="n">
        <f aca="false">Staff!O74/FX_EUR</f>
        <v>990.918612043168</v>
      </c>
      <c r="P41" s="37" t="n">
        <f aca="false">Staff!P74/FX_EUR</f>
        <v>990.918612043168</v>
      </c>
      <c r="Q41" s="37" t="n">
        <f aca="false">Staff!Q74/FX_EUR</f>
        <v>1040.46454264533</v>
      </c>
      <c r="R41" s="37" t="n">
        <f aca="false">Staff!R74/FX_EUR</f>
        <v>1040.46454264533</v>
      </c>
      <c r="S41" s="37" t="n">
        <f aca="false">Staff!S74/FX_EUR</f>
        <v>1040.46454264533</v>
      </c>
      <c r="T41" s="37" t="n">
        <f aca="false">Staff!T74/FX_EUR</f>
        <v>1040.46454264533</v>
      </c>
      <c r="U41" s="37" t="n">
        <f aca="false">Staff!U74/FX_EUR</f>
        <v>1040.46454264533</v>
      </c>
      <c r="V41" s="37" t="n">
        <f aca="false">Staff!V74/FX_EUR</f>
        <v>1040.46454264533</v>
      </c>
      <c r="W41" s="37" t="n">
        <f aca="false">Staff!W74/FX_EUR</f>
        <v>1560.69681396799</v>
      </c>
      <c r="X41" s="37" t="n">
        <f aca="false">Staff!X74/FX_EUR</f>
        <v>1560.69681396799</v>
      </c>
      <c r="Y41" s="37" t="n">
        <f aca="false">Staff!Y74/FX_EUR</f>
        <v>1560.69681396799</v>
      </c>
      <c r="Z41" s="37" t="n">
        <f aca="false">Staff!Z74/FX_EUR</f>
        <v>1560.69681396799</v>
      </c>
      <c r="AA41" s="37" t="n">
        <f aca="false">Staff!AA74/FX_EUR</f>
        <v>2080.92908529065</v>
      </c>
      <c r="AB41" s="37" t="n">
        <f aca="false">Staff!AB74/FX_EUR</f>
        <v>2080.92908529065</v>
      </c>
      <c r="AC41" s="37" t="n">
        <f aca="false">Staff!AC74/FX_EUR</f>
        <v>2184.97553955518</v>
      </c>
      <c r="AD41" s="37" t="n">
        <f aca="false">Staff!AD74/FX_EUR</f>
        <v>2184.97553955518</v>
      </c>
      <c r="AE41" s="37" t="n">
        <f aca="false">Staff!AE74/FX_EUR</f>
        <v>2731.21942444398</v>
      </c>
      <c r="AF41" s="37" t="n">
        <f aca="false">Staff!AF74/FX_EUR</f>
        <v>2731.21942444398</v>
      </c>
      <c r="AG41" s="37" t="n">
        <f aca="false">Staff!AG74/FX_EUR</f>
        <v>4369.95107911037</v>
      </c>
      <c r="AH41" s="37" t="n">
        <f aca="false">Staff!AH74/FX_EUR</f>
        <v>4369.95107911037</v>
      </c>
      <c r="AI41" s="37" t="n">
        <f aca="false">Staff!AI74/FX_EUR</f>
        <v>4916.19496399916</v>
      </c>
      <c r="AJ41" s="37" t="n">
        <f aca="false">Staff!AJ74/FX_EUR</f>
        <v>5462.43884888796</v>
      </c>
      <c r="AK41" s="37" t="n">
        <f aca="false">Staff!AK74/FX_EUR</f>
        <v>5462.43884888796</v>
      </c>
      <c r="AL41" s="37" t="n">
        <f aca="false">Staff!AL74/FX_EUR</f>
        <v>6008.68273377676</v>
      </c>
      <c r="AM41" s="37" t="n">
        <f aca="false">Staff!AM74/FX_EUR</f>
        <v>6008.68273377676</v>
      </c>
      <c r="AN41" s="37" t="n">
        <f aca="false">Staff!AN74/FX_EUR</f>
        <v>6554.92661866555</v>
      </c>
      <c r="AO41" s="37" t="n">
        <f aca="false">Staff!AO74/FX_EUR</f>
        <v>7456.22902873207</v>
      </c>
      <c r="AP41" s="37" t="n">
        <f aca="false">Staff!AP74/FX_EUR</f>
        <v>7456.22902873207</v>
      </c>
      <c r="AQ41" s="37" t="n">
        <f aca="false">Staff!AQ74/FX_EUR</f>
        <v>8029.7851078653</v>
      </c>
      <c r="AR41" s="37" t="n">
        <f aca="false">Staff!AR74/FX_EUR</f>
        <v>8603.34118699854</v>
      </c>
      <c r="AS41" s="37" t="n">
        <f aca="false">Staff!AS74/FX_EUR</f>
        <v>9176.89726613178</v>
      </c>
      <c r="AT41" s="37" t="n">
        <f aca="false">Staff!AT74/FX_EUR</f>
        <v>9176.89726613178</v>
      </c>
      <c r="AU41" s="37" t="n">
        <f aca="false">Staff!AU74/FX_EUR</f>
        <v>9750.45334526501</v>
      </c>
      <c r="AV41" s="37" t="n">
        <f aca="false">Staff!AV74/FX_EUR</f>
        <v>10324.0094243982</v>
      </c>
      <c r="AW41" s="37" t="n">
        <f aca="false">Staff!AW74/FX_EUR</f>
        <v>10897.5655035315</v>
      </c>
      <c r="AX41" s="37" t="n">
        <f aca="false">Staff!AX74/FX_EUR</f>
        <v>11471.1215826647</v>
      </c>
      <c r="AY41" s="37" t="n">
        <f aca="false">Staff!AY74/FX_EUR</f>
        <v>11471.1215826647</v>
      </c>
      <c r="AZ41" s="37" t="n">
        <f aca="false">Staff!AZ74/FX_EUR</f>
        <v>12044.677661798</v>
      </c>
      <c r="BA41" s="37" t="n">
        <f aca="false">Staff!BA74/FX_EUR</f>
        <v>13249.1454279778</v>
      </c>
      <c r="BB41" s="37" t="n">
        <f aca="false">Staff!BB74/FX_EUR</f>
        <v>13851.3793110676</v>
      </c>
      <c r="BC41" s="37" t="n">
        <f aca="false">Staff!BC74/FX_EUR</f>
        <v>14453.6131941575</v>
      </c>
      <c r="BD41" s="37" t="n">
        <f aca="false">Staff!BD74/FX_EUR</f>
        <v>15055.8470772474</v>
      </c>
      <c r="BE41" s="37" t="n">
        <f aca="false">Staff!BE74/FX_EUR</f>
        <v>15658.0809603373</v>
      </c>
      <c r="BF41" s="37" t="n">
        <f aca="false">Staff!BF74/FX_EUR</f>
        <v>16260.3148434272</v>
      </c>
      <c r="BG41" s="37" t="n">
        <f aca="false">Staff!BG74/FX_EUR</f>
        <v>16862.5487265171</v>
      </c>
      <c r="BH41" s="37" t="n">
        <f aca="false">Staff!BH74/FX_EUR</f>
        <v>17464.782609607</v>
      </c>
      <c r="BI41" s="37" t="n">
        <f aca="false">Staff!BI74/FX_EUR</f>
        <v>18067.0164926969</v>
      </c>
      <c r="BJ41" s="37" t="n">
        <f aca="false">Staff!BJ74/FX_EUR</f>
        <v>18669.2503757868</v>
      </c>
      <c r="BK41" s="37" t="n">
        <f aca="false">Staff!BK74/FX_EUR</f>
        <v>19271.4842588767</v>
      </c>
      <c r="BL41" s="37" t="n">
        <f aca="false">Staff!BL74/FX_EUR</f>
        <v>19873.7181419666</v>
      </c>
    </row>
    <row r="42" customFormat="false" ht="15" hidden="false" customHeight="false" outlineLevel="0" collapsed="false">
      <c r="A42" s="12" t="s">
        <v>692</v>
      </c>
      <c r="B42" s="14" t="s">
        <v>73</v>
      </c>
      <c r="D42" s="55" t="n">
        <f aca="false">Staff!D75/FX_EUR</f>
        <v>557446.299071433</v>
      </c>
      <c r="E42" s="37" t="n">
        <f aca="false">Staff!E75/FX_EUR</f>
        <v>4756.4093378072</v>
      </c>
      <c r="F42" s="37" t="n">
        <f aca="false">Staff!F75/FX_EUR</f>
        <v>4756.4093378072</v>
      </c>
      <c r="G42" s="37" t="n">
        <f aca="false">Staff!G75/FX_EUR</f>
        <v>4756.4093378072</v>
      </c>
      <c r="H42" s="37" t="n">
        <f aca="false">Staff!H75/FX_EUR</f>
        <v>4756.4093378072</v>
      </c>
      <c r="I42" s="37" t="n">
        <f aca="false">Staff!I75/FX_EUR</f>
        <v>4756.4093378072</v>
      </c>
      <c r="J42" s="37" t="n">
        <f aca="false">Staff!J75/FX_EUR</f>
        <v>4756.4093378072</v>
      </c>
      <c r="K42" s="37" t="n">
        <f aca="false">Staff!K75/FX_EUR</f>
        <v>4756.4093378072</v>
      </c>
      <c r="L42" s="37" t="n">
        <f aca="false">Staff!L75/FX_EUR</f>
        <v>4756.4093378072</v>
      </c>
      <c r="M42" s="37" t="n">
        <f aca="false">Staff!M75/FX_EUR</f>
        <v>4756.4093378072</v>
      </c>
      <c r="N42" s="37" t="n">
        <f aca="false">Staff!N75/FX_EUR</f>
        <v>4756.4093378072</v>
      </c>
      <c r="O42" s="37" t="n">
        <f aca="false">Staff!O75/FX_EUR</f>
        <v>4756.4093378072</v>
      </c>
      <c r="P42" s="37" t="n">
        <f aca="false">Staff!P75/FX_EUR</f>
        <v>4756.4093378072</v>
      </c>
      <c r="Q42" s="37" t="n">
        <f aca="false">Staff!Q75/FX_EUR</f>
        <v>4994.22980469756</v>
      </c>
      <c r="R42" s="37" t="n">
        <f aca="false">Staff!R75/FX_EUR</f>
        <v>4994.22980469756</v>
      </c>
      <c r="S42" s="37" t="n">
        <f aca="false">Staff!S75/FX_EUR</f>
        <v>4994.22980469756</v>
      </c>
      <c r="T42" s="37" t="n">
        <f aca="false">Staff!T75/FX_EUR</f>
        <v>4994.22980469756</v>
      </c>
      <c r="U42" s="37" t="n">
        <f aca="false">Staff!U75/FX_EUR</f>
        <v>4994.22980469756</v>
      </c>
      <c r="V42" s="37" t="n">
        <f aca="false">Staff!V75/FX_EUR</f>
        <v>4994.22980469756</v>
      </c>
      <c r="W42" s="37" t="n">
        <f aca="false">Staff!W75/FX_EUR</f>
        <v>4994.22980469756</v>
      </c>
      <c r="X42" s="37" t="n">
        <f aca="false">Staff!X75/FX_EUR</f>
        <v>4994.22980469756</v>
      </c>
      <c r="Y42" s="37" t="n">
        <f aca="false">Staff!Y75/FX_EUR</f>
        <v>4994.22980469756</v>
      </c>
      <c r="Z42" s="37" t="n">
        <f aca="false">Staff!Z75/FX_EUR</f>
        <v>4994.22980469756</v>
      </c>
      <c r="AA42" s="37" t="n">
        <f aca="false">Staff!AA75/FX_EUR</f>
        <v>4994.22980469756</v>
      </c>
      <c r="AB42" s="37" t="n">
        <f aca="false">Staff!AB75/FX_EUR</f>
        <v>4994.22980469756</v>
      </c>
      <c r="AC42" s="37" t="n">
        <f aca="false">Staff!AC75/FX_EUR</f>
        <v>5243.94129493244</v>
      </c>
      <c r="AD42" s="37" t="n">
        <f aca="false">Staff!AD75/FX_EUR</f>
        <v>5243.94129493244</v>
      </c>
      <c r="AE42" s="37" t="n">
        <f aca="false">Staff!AE75/FX_EUR</f>
        <v>7865.91194239866</v>
      </c>
      <c r="AF42" s="37" t="n">
        <f aca="false">Staff!AF75/FX_EUR</f>
        <v>7865.91194239866</v>
      </c>
      <c r="AG42" s="37" t="n">
        <f aca="false">Staff!AG75/FX_EUR</f>
        <v>7865.91194239866</v>
      </c>
      <c r="AH42" s="37" t="n">
        <f aca="false">Staff!AH75/FX_EUR</f>
        <v>7865.91194239866</v>
      </c>
      <c r="AI42" s="37" t="n">
        <f aca="false">Staff!AI75/FX_EUR</f>
        <v>7865.91194239866</v>
      </c>
      <c r="AJ42" s="37" t="n">
        <f aca="false">Staff!AJ75/FX_EUR</f>
        <v>7865.91194239866</v>
      </c>
      <c r="AK42" s="37" t="n">
        <f aca="false">Staff!AK75/FX_EUR</f>
        <v>7865.91194239866</v>
      </c>
      <c r="AL42" s="37" t="n">
        <f aca="false">Staff!AL75/FX_EUR</f>
        <v>7865.91194239866</v>
      </c>
      <c r="AM42" s="37" t="n">
        <f aca="false">Staff!AM75/FX_EUR</f>
        <v>7865.91194239866</v>
      </c>
      <c r="AN42" s="37" t="n">
        <f aca="false">Staff!AN75/FX_EUR</f>
        <v>7865.91194239866</v>
      </c>
      <c r="AO42" s="37" t="n">
        <f aca="false">Staff!AO75/FX_EUR</f>
        <v>11012.2767193581</v>
      </c>
      <c r="AP42" s="37" t="n">
        <f aca="false">Staff!AP75/FX_EUR</f>
        <v>11012.2767193581</v>
      </c>
      <c r="AQ42" s="37" t="n">
        <f aca="false">Staff!AQ75/FX_EUR</f>
        <v>11012.2767193581</v>
      </c>
      <c r="AR42" s="37" t="n">
        <f aca="false">Staff!AR75/FX_EUR</f>
        <v>11012.2767193581</v>
      </c>
      <c r="AS42" s="37" t="n">
        <f aca="false">Staff!AS75/FX_EUR</f>
        <v>11012.2767193581</v>
      </c>
      <c r="AT42" s="37" t="n">
        <f aca="false">Staff!AT75/FX_EUR</f>
        <v>11012.2767193581</v>
      </c>
      <c r="AU42" s="37" t="n">
        <f aca="false">Staff!AU75/FX_EUR</f>
        <v>11012.2767193581</v>
      </c>
      <c r="AV42" s="37" t="n">
        <f aca="false">Staff!AV75/FX_EUR</f>
        <v>11012.2767193581</v>
      </c>
      <c r="AW42" s="37" t="n">
        <f aca="false">Staff!AW75/FX_EUR</f>
        <v>13765.3458991977</v>
      </c>
      <c r="AX42" s="37" t="n">
        <f aca="false">Staff!AX75/FX_EUR</f>
        <v>13765.3458991977</v>
      </c>
      <c r="AY42" s="37" t="n">
        <f aca="false">Staff!AY75/FX_EUR</f>
        <v>13765.3458991977</v>
      </c>
      <c r="AZ42" s="37" t="n">
        <f aca="false">Staff!AZ75/FX_EUR</f>
        <v>13765.3458991977</v>
      </c>
      <c r="BA42" s="37" t="n">
        <f aca="false">Staff!BA75/FX_EUR</f>
        <v>14453.6131941575</v>
      </c>
      <c r="BB42" s="37" t="n">
        <f aca="false">Staff!BB75/FX_EUR</f>
        <v>14453.6131941575</v>
      </c>
      <c r="BC42" s="37" t="n">
        <f aca="false">Staff!BC75/FX_EUR</f>
        <v>14453.6131941575</v>
      </c>
      <c r="BD42" s="37" t="n">
        <f aca="false">Staff!BD75/FX_EUR</f>
        <v>17344.3358329891</v>
      </c>
      <c r="BE42" s="37" t="n">
        <f aca="false">Staff!BE75/FX_EUR</f>
        <v>17344.3358329891</v>
      </c>
      <c r="BF42" s="37" t="n">
        <f aca="false">Staff!BF75/FX_EUR</f>
        <v>17344.3358329891</v>
      </c>
      <c r="BG42" s="37" t="n">
        <f aca="false">Staff!BG75/FX_EUR</f>
        <v>17344.3358329891</v>
      </c>
      <c r="BH42" s="37" t="n">
        <f aca="false">Staff!BH75/FX_EUR</f>
        <v>17344.3358329891</v>
      </c>
      <c r="BI42" s="37" t="n">
        <f aca="false">Staff!BI75/FX_EUR</f>
        <v>17344.3358329891</v>
      </c>
      <c r="BJ42" s="37" t="n">
        <f aca="false">Staff!BJ75/FX_EUR</f>
        <v>20235.0584718206</v>
      </c>
      <c r="BK42" s="37" t="n">
        <f aca="false">Staff!BK75/FX_EUR</f>
        <v>20235.0584718206</v>
      </c>
      <c r="BL42" s="37" t="n">
        <f aca="false">Staff!BL75/FX_EUR</f>
        <v>20235.0584718206</v>
      </c>
    </row>
    <row r="43" customFormat="false" ht="15" hidden="false" customHeight="false" outlineLevel="0" collapsed="false">
      <c r="A43" s="12" t="s">
        <v>693</v>
      </c>
      <c r="B43" s="14" t="s">
        <v>73</v>
      </c>
      <c r="D43" s="55" t="n">
        <f aca="false">Staff!D76/FX_EUR</f>
        <v>399140.495870918</v>
      </c>
      <c r="E43" s="37" t="n">
        <f aca="false">Staff!E76/FX_EUR</f>
        <v>0</v>
      </c>
      <c r="F43" s="37" t="n">
        <f aca="false">Staff!F76/FX_EUR</f>
        <v>0</v>
      </c>
      <c r="G43" s="37" t="n">
        <f aca="false">Staff!G76/FX_EUR</f>
        <v>0</v>
      </c>
      <c r="H43" s="37" t="n">
        <f aca="false">Staff!H76/FX_EUR</f>
        <v>1585.46977926907</v>
      </c>
      <c r="I43" s="37" t="n">
        <f aca="false">Staff!I76/FX_EUR</f>
        <v>1585.46977926907</v>
      </c>
      <c r="J43" s="37" t="n">
        <f aca="false">Staff!J76/FX_EUR</f>
        <v>1585.46977926907</v>
      </c>
      <c r="K43" s="37" t="n">
        <f aca="false">Staff!K76/FX_EUR</f>
        <v>1585.46977926907</v>
      </c>
      <c r="L43" s="37" t="n">
        <f aca="false">Staff!L76/FX_EUR</f>
        <v>1585.46977926907</v>
      </c>
      <c r="M43" s="37" t="n">
        <f aca="false">Staff!M76/FX_EUR</f>
        <v>1585.46977926907</v>
      </c>
      <c r="N43" s="37" t="n">
        <f aca="false">Staff!N76/FX_EUR</f>
        <v>1585.46977926907</v>
      </c>
      <c r="O43" s="37" t="n">
        <f aca="false">Staff!O76/FX_EUR</f>
        <v>1585.46977926907</v>
      </c>
      <c r="P43" s="37" t="n">
        <f aca="false">Staff!P76/FX_EUR</f>
        <v>1585.46977926907</v>
      </c>
      <c r="Q43" s="37" t="n">
        <f aca="false">Staff!Q76/FX_EUR</f>
        <v>1664.74326823252</v>
      </c>
      <c r="R43" s="37" t="n">
        <f aca="false">Staff!R76/FX_EUR</f>
        <v>1664.74326823252</v>
      </c>
      <c r="S43" s="37" t="n">
        <f aca="false">Staff!S76/FX_EUR</f>
        <v>1664.74326823252</v>
      </c>
      <c r="T43" s="37" t="n">
        <f aca="false">Staff!T76/FX_EUR</f>
        <v>1664.74326823252</v>
      </c>
      <c r="U43" s="37" t="n">
        <f aca="false">Staff!U76/FX_EUR</f>
        <v>1664.74326823252</v>
      </c>
      <c r="V43" s="37" t="n">
        <f aca="false">Staff!V76/FX_EUR</f>
        <v>2497.11490234878</v>
      </c>
      <c r="W43" s="37" t="n">
        <f aca="false">Staff!W76/FX_EUR</f>
        <v>2497.11490234878</v>
      </c>
      <c r="X43" s="37" t="n">
        <f aca="false">Staff!X76/FX_EUR</f>
        <v>2497.11490234878</v>
      </c>
      <c r="Y43" s="37" t="n">
        <f aca="false">Staff!Y76/FX_EUR</f>
        <v>2497.11490234878</v>
      </c>
      <c r="Z43" s="37" t="n">
        <f aca="false">Staff!Z76/FX_EUR</f>
        <v>2497.11490234878</v>
      </c>
      <c r="AA43" s="37" t="n">
        <f aca="false">Staff!AA76/FX_EUR</f>
        <v>3329.48653646504</v>
      </c>
      <c r="AB43" s="37" t="n">
        <f aca="false">Staff!AB76/FX_EUR</f>
        <v>3329.48653646504</v>
      </c>
      <c r="AC43" s="37" t="n">
        <f aca="false">Staff!AC76/FX_EUR</f>
        <v>3495.9608632883</v>
      </c>
      <c r="AD43" s="37" t="n">
        <f aca="false">Staff!AD76/FX_EUR</f>
        <v>3495.9608632883</v>
      </c>
      <c r="AE43" s="37" t="n">
        <f aca="false">Staff!AE76/FX_EUR</f>
        <v>4369.95107911037</v>
      </c>
      <c r="AF43" s="37" t="n">
        <f aca="false">Staff!AF76/FX_EUR</f>
        <v>4369.95107911037</v>
      </c>
      <c r="AG43" s="37" t="n">
        <f aca="false">Staff!AG76/FX_EUR</f>
        <v>4369.95107911037</v>
      </c>
      <c r="AH43" s="37" t="n">
        <f aca="false">Staff!AH76/FX_EUR</f>
        <v>4369.95107911037</v>
      </c>
      <c r="AI43" s="37" t="n">
        <f aca="false">Staff!AI76/FX_EUR</f>
        <v>5243.94129493244</v>
      </c>
      <c r="AJ43" s="37" t="n">
        <f aca="false">Staff!AJ76/FX_EUR</f>
        <v>5243.94129493244</v>
      </c>
      <c r="AK43" s="37" t="n">
        <f aca="false">Staff!AK76/FX_EUR</f>
        <v>5243.94129493244</v>
      </c>
      <c r="AL43" s="37" t="n">
        <f aca="false">Staff!AL76/FX_EUR</f>
        <v>6117.93151075452</v>
      </c>
      <c r="AM43" s="37" t="n">
        <f aca="false">Staff!AM76/FX_EUR</f>
        <v>6117.93151075452</v>
      </c>
      <c r="AN43" s="37" t="n">
        <f aca="false">Staff!AN76/FX_EUR</f>
        <v>6117.93151075452</v>
      </c>
      <c r="AO43" s="37" t="n">
        <f aca="false">Staff!AO76/FX_EUR</f>
        <v>7341.51781290542</v>
      </c>
      <c r="AP43" s="37" t="n">
        <f aca="false">Staff!AP76/FX_EUR</f>
        <v>7341.51781290542</v>
      </c>
      <c r="AQ43" s="37" t="n">
        <f aca="false">Staff!AQ76/FX_EUR</f>
        <v>8259.2075395186</v>
      </c>
      <c r="AR43" s="37" t="n">
        <f aca="false">Staff!AR76/FX_EUR</f>
        <v>8259.2075395186</v>
      </c>
      <c r="AS43" s="37" t="n">
        <f aca="false">Staff!AS76/FX_EUR</f>
        <v>9176.89726613178</v>
      </c>
      <c r="AT43" s="37" t="n">
        <f aca="false">Staff!AT76/FX_EUR</f>
        <v>9176.89726613178</v>
      </c>
      <c r="AU43" s="37" t="n">
        <f aca="false">Staff!AU76/FX_EUR</f>
        <v>9176.89726613178</v>
      </c>
      <c r="AV43" s="37" t="n">
        <f aca="false">Staff!AV76/FX_EUR</f>
        <v>10094.586992745</v>
      </c>
      <c r="AW43" s="37" t="n">
        <f aca="false">Staff!AW76/FX_EUR</f>
        <v>10094.586992745</v>
      </c>
      <c r="AX43" s="37" t="n">
        <f aca="false">Staff!AX76/FX_EUR</f>
        <v>11012.2767193581</v>
      </c>
      <c r="AY43" s="37" t="n">
        <f aca="false">Staff!AY76/FX_EUR</f>
        <v>11012.2767193581</v>
      </c>
      <c r="AZ43" s="37" t="n">
        <f aca="false">Staff!AZ76/FX_EUR</f>
        <v>11929.9664459713</v>
      </c>
      <c r="BA43" s="37" t="n">
        <f aca="false">Staff!BA76/FX_EUR</f>
        <v>12526.4647682699</v>
      </c>
      <c r="BB43" s="37" t="n">
        <f aca="false">Staff!BB76/FX_EUR</f>
        <v>13490.0389812137</v>
      </c>
      <c r="BC43" s="37" t="n">
        <f aca="false">Staff!BC76/FX_EUR</f>
        <v>13490.0389812137</v>
      </c>
      <c r="BD43" s="37" t="n">
        <f aca="false">Staff!BD76/FX_EUR</f>
        <v>14453.6131941575</v>
      </c>
      <c r="BE43" s="37" t="n">
        <f aca="false">Staff!BE76/FX_EUR</f>
        <v>14453.6131941575</v>
      </c>
      <c r="BF43" s="37" t="n">
        <f aca="false">Staff!BF76/FX_EUR</f>
        <v>15417.1874071014</v>
      </c>
      <c r="BG43" s="37" t="n">
        <f aca="false">Staff!BG76/FX_EUR</f>
        <v>15417.1874071014</v>
      </c>
      <c r="BH43" s="37" t="n">
        <f aca="false">Staff!BH76/FX_EUR</f>
        <v>16380.7616200452</v>
      </c>
      <c r="BI43" s="37" t="n">
        <f aca="false">Staff!BI76/FX_EUR</f>
        <v>16380.7616200452</v>
      </c>
      <c r="BJ43" s="37" t="n">
        <f aca="false">Staff!BJ76/FX_EUR</f>
        <v>17344.3358329891</v>
      </c>
      <c r="BK43" s="37" t="n">
        <f aca="false">Staff!BK76/FX_EUR</f>
        <v>18307.9100459329</v>
      </c>
      <c r="BL43" s="37" t="n">
        <f aca="false">Staff!BL76/FX_EUR</f>
        <v>18307.9100459329</v>
      </c>
    </row>
    <row r="44" customFormat="false" ht="15" hidden="false" customHeight="false" outlineLevel="0" collapsed="false">
      <c r="A44" s="12" t="s">
        <v>694</v>
      </c>
      <c r="B44" s="14" t="s">
        <v>73</v>
      </c>
      <c r="D44" s="55" t="n">
        <f aca="false">Staff!D77/FX_EUR</f>
        <v>173918.590509744</v>
      </c>
      <c r="E44" s="37" t="n">
        <f aca="false">Staff!E77/FX_EUR</f>
        <v>0</v>
      </c>
      <c r="F44" s="37" t="n">
        <f aca="false">Staff!F77/FX_EUR</f>
        <v>0</v>
      </c>
      <c r="G44" s="37" t="n">
        <f aca="false">Staff!G77/FX_EUR</f>
        <v>0</v>
      </c>
      <c r="H44" s="37" t="n">
        <f aca="false">Staff!H77/FX_EUR</f>
        <v>0</v>
      </c>
      <c r="I44" s="37" t="n">
        <f aca="false">Staff!I77/FX_EUR</f>
        <v>0</v>
      </c>
      <c r="J44" s="37" t="n">
        <f aca="false">Staff!J77/FX_EUR</f>
        <v>0</v>
      </c>
      <c r="K44" s="37" t="n">
        <f aca="false">Staff!K77/FX_EUR</f>
        <v>0</v>
      </c>
      <c r="L44" s="37" t="n">
        <f aca="false">Staff!L77/FX_EUR</f>
        <v>0</v>
      </c>
      <c r="M44" s="37" t="n">
        <f aca="false">Staff!M77/FX_EUR</f>
        <v>0</v>
      </c>
      <c r="N44" s="37" t="n">
        <f aca="false">Staff!N77/FX_EUR</f>
        <v>0</v>
      </c>
      <c r="O44" s="37" t="n">
        <f aca="false">Staff!O77/FX_EUR</f>
        <v>0</v>
      </c>
      <c r="P44" s="37" t="n">
        <f aca="false">Staff!P77/FX_EUR</f>
        <v>0</v>
      </c>
      <c r="Q44" s="37" t="n">
        <f aca="false">Staff!Q77/FX_EUR</f>
        <v>0</v>
      </c>
      <c r="R44" s="37" t="n">
        <f aca="false">Staff!R77/FX_EUR</f>
        <v>0</v>
      </c>
      <c r="S44" s="37" t="n">
        <f aca="false">Staff!S77/FX_EUR</f>
        <v>0</v>
      </c>
      <c r="T44" s="37" t="n">
        <f aca="false">Staff!T77/FX_EUR</f>
        <v>0</v>
      </c>
      <c r="U44" s="37" t="n">
        <f aca="false">Staff!U77/FX_EUR</f>
        <v>0</v>
      </c>
      <c r="V44" s="37" t="n">
        <f aca="false">Staff!V77/FX_EUR</f>
        <v>1872.83617676159</v>
      </c>
      <c r="W44" s="37" t="n">
        <f aca="false">Staff!W77/FX_EUR</f>
        <v>1872.83617676159</v>
      </c>
      <c r="X44" s="37" t="n">
        <f aca="false">Staff!X77/FX_EUR</f>
        <v>1872.83617676159</v>
      </c>
      <c r="Y44" s="37" t="n">
        <f aca="false">Staff!Y77/FX_EUR</f>
        <v>1872.83617676159</v>
      </c>
      <c r="Z44" s="37" t="n">
        <f aca="false">Staff!Z77/FX_EUR</f>
        <v>1872.83617676159</v>
      </c>
      <c r="AA44" s="37" t="n">
        <f aca="false">Staff!AA77/FX_EUR</f>
        <v>1872.83617676159</v>
      </c>
      <c r="AB44" s="37" t="n">
        <f aca="false">Staff!AB77/FX_EUR</f>
        <v>1872.83617676159</v>
      </c>
      <c r="AC44" s="37" t="n">
        <f aca="false">Staff!AC77/FX_EUR</f>
        <v>1966.47798559967</v>
      </c>
      <c r="AD44" s="37" t="n">
        <f aca="false">Staff!AD77/FX_EUR</f>
        <v>1966.47798559967</v>
      </c>
      <c r="AE44" s="37" t="n">
        <f aca="false">Staff!AE77/FX_EUR</f>
        <v>1966.47798559967</v>
      </c>
      <c r="AF44" s="37" t="n">
        <f aca="false">Staff!AF77/FX_EUR</f>
        <v>1966.47798559967</v>
      </c>
      <c r="AG44" s="37" t="n">
        <f aca="false">Staff!AG77/FX_EUR</f>
        <v>1966.47798559967</v>
      </c>
      <c r="AH44" s="37" t="n">
        <f aca="false">Staff!AH77/FX_EUR</f>
        <v>1966.47798559967</v>
      </c>
      <c r="AI44" s="37" t="n">
        <f aca="false">Staff!AI77/FX_EUR</f>
        <v>1966.47798559967</v>
      </c>
      <c r="AJ44" s="37" t="n">
        <f aca="false">Staff!AJ77/FX_EUR</f>
        <v>1966.47798559967</v>
      </c>
      <c r="AK44" s="37" t="n">
        <f aca="false">Staff!AK77/FX_EUR</f>
        <v>1966.47798559967</v>
      </c>
      <c r="AL44" s="37" t="n">
        <f aca="false">Staff!AL77/FX_EUR</f>
        <v>1966.47798559967</v>
      </c>
      <c r="AM44" s="37" t="n">
        <f aca="false">Staff!AM77/FX_EUR</f>
        <v>2949.7169783995</v>
      </c>
      <c r="AN44" s="37" t="n">
        <f aca="false">Staff!AN77/FX_EUR</f>
        <v>2949.7169783995</v>
      </c>
      <c r="AO44" s="37" t="n">
        <f aca="false">Staff!AO77/FX_EUR</f>
        <v>3097.20282731947</v>
      </c>
      <c r="AP44" s="37" t="n">
        <f aca="false">Staff!AP77/FX_EUR</f>
        <v>3097.20282731947</v>
      </c>
      <c r="AQ44" s="37" t="n">
        <f aca="false">Staff!AQ77/FX_EUR</f>
        <v>3097.20282731947</v>
      </c>
      <c r="AR44" s="37" t="n">
        <f aca="false">Staff!AR77/FX_EUR</f>
        <v>3097.20282731947</v>
      </c>
      <c r="AS44" s="37" t="n">
        <f aca="false">Staff!AS77/FX_EUR</f>
        <v>4129.6037697593</v>
      </c>
      <c r="AT44" s="37" t="n">
        <f aca="false">Staff!AT77/FX_EUR</f>
        <v>4129.6037697593</v>
      </c>
      <c r="AU44" s="37" t="n">
        <f aca="false">Staff!AU77/FX_EUR</f>
        <v>4129.6037697593</v>
      </c>
      <c r="AV44" s="37" t="n">
        <f aca="false">Staff!AV77/FX_EUR</f>
        <v>4129.6037697593</v>
      </c>
      <c r="AW44" s="37" t="n">
        <f aca="false">Staff!AW77/FX_EUR</f>
        <v>4129.6037697593</v>
      </c>
      <c r="AX44" s="37" t="n">
        <f aca="false">Staff!AX77/FX_EUR</f>
        <v>5162.00471219912</v>
      </c>
      <c r="AY44" s="37" t="n">
        <f aca="false">Staff!AY77/FX_EUR</f>
        <v>5162.00471219912</v>
      </c>
      <c r="AZ44" s="37" t="n">
        <f aca="false">Staff!AZ77/FX_EUR</f>
        <v>5162.00471219912</v>
      </c>
      <c r="BA44" s="37" t="n">
        <f aca="false">Staff!BA77/FX_EUR</f>
        <v>5420.10494780908</v>
      </c>
      <c r="BB44" s="37" t="n">
        <f aca="false">Staff!BB77/FX_EUR</f>
        <v>5420.10494780908</v>
      </c>
      <c r="BC44" s="37" t="n">
        <f aca="false">Staff!BC77/FX_EUR</f>
        <v>6504.1259373709</v>
      </c>
      <c r="BD44" s="37" t="n">
        <f aca="false">Staff!BD77/FX_EUR</f>
        <v>6504.1259373709</v>
      </c>
      <c r="BE44" s="37" t="n">
        <f aca="false">Staff!BE77/FX_EUR</f>
        <v>6504.1259373709</v>
      </c>
      <c r="BF44" s="37" t="n">
        <f aca="false">Staff!BF77/FX_EUR</f>
        <v>7588.14692693271</v>
      </c>
      <c r="BG44" s="37" t="n">
        <f aca="false">Staff!BG77/FX_EUR</f>
        <v>7588.14692693271</v>
      </c>
      <c r="BH44" s="37" t="n">
        <f aca="false">Staff!BH77/FX_EUR</f>
        <v>7588.14692693271</v>
      </c>
      <c r="BI44" s="37" t="n">
        <f aca="false">Staff!BI77/FX_EUR</f>
        <v>7588.14692693271</v>
      </c>
      <c r="BJ44" s="37" t="n">
        <f aca="false">Staff!BJ77/FX_EUR</f>
        <v>8672.16791649453</v>
      </c>
      <c r="BK44" s="37" t="n">
        <f aca="false">Staff!BK77/FX_EUR</f>
        <v>8672.16791649453</v>
      </c>
      <c r="BL44" s="37" t="n">
        <f aca="false">Staff!BL77/FX_EUR</f>
        <v>8672.16791649453</v>
      </c>
    </row>
    <row r="45" customFormat="false" ht="15" hidden="false" customHeight="false" outlineLevel="0" collapsed="false">
      <c r="A45" s="12" t="s">
        <v>695</v>
      </c>
      <c r="B45" s="14" t="s">
        <v>73</v>
      </c>
      <c r="D45" s="55" t="n">
        <f aca="false">Staff!D78/FX_EUR</f>
        <v>259645.793664829</v>
      </c>
      <c r="E45" s="37" t="n">
        <f aca="false">Staff!E78/FX_EUR</f>
        <v>0</v>
      </c>
      <c r="F45" s="37" t="n">
        <f aca="false">Staff!F78/FX_EUR</f>
        <v>0</v>
      </c>
      <c r="G45" s="37" t="n">
        <f aca="false">Staff!G78/FX_EUR</f>
        <v>0</v>
      </c>
      <c r="H45" s="37" t="n">
        <f aca="false">Staff!H78/FX_EUR</f>
        <v>0</v>
      </c>
      <c r="I45" s="37" t="n">
        <f aca="false">Staff!I78/FX_EUR</f>
        <v>0</v>
      </c>
      <c r="J45" s="37" t="n">
        <f aca="false">Staff!J78/FX_EUR</f>
        <v>0</v>
      </c>
      <c r="K45" s="37" t="n">
        <f aca="false">Staff!K78/FX_EUR</f>
        <v>0</v>
      </c>
      <c r="L45" s="37" t="n">
        <f aca="false">Staff!L78/FX_EUR</f>
        <v>0</v>
      </c>
      <c r="M45" s="37" t="n">
        <f aca="false">Staff!M78/FX_EUR</f>
        <v>0</v>
      </c>
      <c r="N45" s="37" t="n">
        <f aca="false">Staff!N78/FX_EUR</f>
        <v>0</v>
      </c>
      <c r="O45" s="37" t="n">
        <f aca="false">Staff!O78/FX_EUR</f>
        <v>0</v>
      </c>
      <c r="P45" s="37" t="n">
        <f aca="false">Staff!P78/FX_EUR</f>
        <v>0</v>
      </c>
      <c r="Q45" s="37" t="n">
        <f aca="false">Staff!Q78/FX_EUR</f>
        <v>0</v>
      </c>
      <c r="R45" s="37" t="n">
        <f aca="false">Staff!R78/FX_EUR</f>
        <v>0</v>
      </c>
      <c r="S45" s="37" t="n">
        <f aca="false">Staff!S78/FX_EUR</f>
        <v>0</v>
      </c>
      <c r="T45" s="37" t="n">
        <f aca="false">Staff!T78/FX_EUR</f>
        <v>1248.55745117439</v>
      </c>
      <c r="U45" s="37" t="n">
        <f aca="false">Staff!U78/FX_EUR</f>
        <v>1248.55745117439</v>
      </c>
      <c r="V45" s="37" t="n">
        <f aca="false">Staff!V78/FX_EUR</f>
        <v>1248.55745117439</v>
      </c>
      <c r="W45" s="37" t="n">
        <f aca="false">Staff!W78/FX_EUR</f>
        <v>1248.55745117439</v>
      </c>
      <c r="X45" s="37" t="n">
        <f aca="false">Staff!X78/FX_EUR</f>
        <v>1248.55745117439</v>
      </c>
      <c r="Y45" s="37" t="n">
        <f aca="false">Staff!Y78/FX_EUR</f>
        <v>1248.55745117439</v>
      </c>
      <c r="Z45" s="37" t="n">
        <f aca="false">Staff!Z78/FX_EUR</f>
        <v>1248.55745117439</v>
      </c>
      <c r="AA45" s="37" t="n">
        <f aca="false">Staff!AA78/FX_EUR</f>
        <v>1248.55745117439</v>
      </c>
      <c r="AB45" s="37" t="n">
        <f aca="false">Staff!AB78/FX_EUR</f>
        <v>1248.55745117439</v>
      </c>
      <c r="AC45" s="37" t="n">
        <f aca="false">Staff!AC78/FX_EUR</f>
        <v>1310.98532373311</v>
      </c>
      <c r="AD45" s="37" t="n">
        <f aca="false">Staff!AD78/FX_EUR</f>
        <v>1310.98532373311</v>
      </c>
      <c r="AE45" s="37" t="n">
        <f aca="false">Staff!AE78/FX_EUR</f>
        <v>1310.98532373311</v>
      </c>
      <c r="AF45" s="37" t="n">
        <f aca="false">Staff!AF78/FX_EUR</f>
        <v>2621.97064746622</v>
      </c>
      <c r="AG45" s="37" t="n">
        <f aca="false">Staff!AG78/FX_EUR</f>
        <v>2621.97064746622</v>
      </c>
      <c r="AH45" s="37" t="n">
        <f aca="false">Staff!AH78/FX_EUR</f>
        <v>2621.97064746622</v>
      </c>
      <c r="AI45" s="37" t="n">
        <f aca="false">Staff!AI78/FX_EUR</f>
        <v>2621.97064746622</v>
      </c>
      <c r="AJ45" s="37" t="n">
        <f aca="false">Staff!AJ78/FX_EUR</f>
        <v>2621.97064746622</v>
      </c>
      <c r="AK45" s="37" t="n">
        <f aca="false">Staff!AK78/FX_EUR</f>
        <v>3932.95597119933</v>
      </c>
      <c r="AL45" s="37" t="n">
        <f aca="false">Staff!AL78/FX_EUR</f>
        <v>3932.95597119933</v>
      </c>
      <c r="AM45" s="37" t="n">
        <f aca="false">Staff!AM78/FX_EUR</f>
        <v>3932.95597119933</v>
      </c>
      <c r="AN45" s="37" t="n">
        <f aca="false">Staff!AN78/FX_EUR</f>
        <v>3932.95597119933</v>
      </c>
      <c r="AO45" s="37" t="n">
        <f aca="false">Staff!AO78/FX_EUR</f>
        <v>5506.13835967907</v>
      </c>
      <c r="AP45" s="37" t="n">
        <f aca="false">Staff!AP78/FX_EUR</f>
        <v>5506.13835967907</v>
      </c>
      <c r="AQ45" s="37" t="n">
        <f aca="false">Staff!AQ78/FX_EUR</f>
        <v>5506.13835967907</v>
      </c>
      <c r="AR45" s="37" t="n">
        <f aca="false">Staff!AR78/FX_EUR</f>
        <v>5506.13835967907</v>
      </c>
      <c r="AS45" s="37" t="n">
        <f aca="false">Staff!AS78/FX_EUR</f>
        <v>6882.67294959883</v>
      </c>
      <c r="AT45" s="37" t="n">
        <f aca="false">Staff!AT78/FX_EUR</f>
        <v>6882.67294959883</v>
      </c>
      <c r="AU45" s="37" t="n">
        <f aca="false">Staff!AU78/FX_EUR</f>
        <v>6882.67294959883</v>
      </c>
      <c r="AV45" s="37" t="n">
        <f aca="false">Staff!AV78/FX_EUR</f>
        <v>6882.67294959883</v>
      </c>
      <c r="AW45" s="37" t="n">
        <f aca="false">Staff!AW78/FX_EUR</f>
        <v>6882.67294959883</v>
      </c>
      <c r="AX45" s="37" t="n">
        <f aca="false">Staff!AX78/FX_EUR</f>
        <v>8259.2075395186</v>
      </c>
      <c r="AY45" s="37" t="n">
        <f aca="false">Staff!AY78/FX_EUR</f>
        <v>8259.2075395186</v>
      </c>
      <c r="AZ45" s="37" t="n">
        <f aca="false">Staff!AZ78/FX_EUR</f>
        <v>8259.2075395186</v>
      </c>
      <c r="BA45" s="37" t="n">
        <f aca="false">Staff!BA78/FX_EUR</f>
        <v>8672.16791649453</v>
      </c>
      <c r="BB45" s="37" t="n">
        <f aca="false">Staff!BB78/FX_EUR</f>
        <v>10117.5292359103</v>
      </c>
      <c r="BC45" s="37" t="n">
        <f aca="false">Staff!BC78/FX_EUR</f>
        <v>10117.5292359103</v>
      </c>
      <c r="BD45" s="37" t="n">
        <f aca="false">Staff!BD78/FX_EUR</f>
        <v>10117.5292359103</v>
      </c>
      <c r="BE45" s="37" t="n">
        <f aca="false">Staff!BE78/FX_EUR</f>
        <v>10117.5292359103</v>
      </c>
      <c r="BF45" s="37" t="n">
        <f aca="false">Staff!BF78/FX_EUR</f>
        <v>11562.890555326</v>
      </c>
      <c r="BG45" s="37" t="n">
        <f aca="false">Staff!BG78/FX_EUR</f>
        <v>11562.890555326</v>
      </c>
      <c r="BH45" s="37" t="n">
        <f aca="false">Staff!BH78/FX_EUR</f>
        <v>11562.890555326</v>
      </c>
      <c r="BI45" s="37" t="n">
        <f aca="false">Staff!BI78/FX_EUR</f>
        <v>11562.890555326</v>
      </c>
      <c r="BJ45" s="37" t="n">
        <f aca="false">Staff!BJ78/FX_EUR</f>
        <v>13008.2518747418</v>
      </c>
      <c r="BK45" s="37" t="n">
        <f aca="false">Staff!BK78/FX_EUR</f>
        <v>13008.2518747418</v>
      </c>
      <c r="BL45" s="37" t="n">
        <f aca="false">Staff!BL78/FX_EUR</f>
        <v>13008.2518747418</v>
      </c>
    </row>
    <row r="47" customFormat="false" ht="15" hidden="false" customHeight="false" outlineLevel="0" collapsed="false">
      <c r="A47" s="10" t="s">
        <v>697</v>
      </c>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1"/>
      <c r="BF47" s="11"/>
      <c r="BG47" s="11"/>
      <c r="BH47" s="11"/>
      <c r="BI47" s="11"/>
      <c r="BJ47" s="11"/>
      <c r="BK47" s="11"/>
      <c r="BL47" s="11"/>
    </row>
    <row r="48" customFormat="false" ht="15" hidden="false" customHeight="false" outlineLevel="0" collapsed="false">
      <c r="A48" s="12" t="s">
        <v>706</v>
      </c>
      <c r="B48" s="14" t="s">
        <v>73</v>
      </c>
      <c r="D48" s="55" t="n">
        <f aca="false">Staff!D90/FX_EUR</f>
        <v>541299.493335691</v>
      </c>
      <c r="E48" s="37" t="n">
        <f aca="false">Staff!E90/FX_EUR</f>
        <v>0</v>
      </c>
      <c r="F48" s="37" t="n">
        <f aca="false">Staff!F90/FX_EUR</f>
        <v>0</v>
      </c>
      <c r="G48" s="37" t="n">
        <f aca="false">Staff!G90/FX_EUR</f>
        <v>0</v>
      </c>
      <c r="H48" s="37" t="n">
        <f aca="false">Staff!H90/FX_EUR</f>
        <v>0</v>
      </c>
      <c r="I48" s="37" t="n">
        <f aca="false">Staff!I90/FX_EUR</f>
        <v>0</v>
      </c>
      <c r="J48" s="37" t="n">
        <f aca="false">Staff!J90/FX_EUR</f>
        <v>0</v>
      </c>
      <c r="K48" s="37" t="n">
        <f aca="false">Staff!K90/FX_EUR</f>
        <v>0</v>
      </c>
      <c r="L48" s="37" t="n">
        <f aca="false">Staff!L90/FX_EUR</f>
        <v>0</v>
      </c>
      <c r="M48" s="37" t="n">
        <f aca="false">Staff!M90/FX_EUR</f>
        <v>0</v>
      </c>
      <c r="N48" s="37" t="n">
        <f aca="false">Staff!N90/FX_EUR</f>
        <v>0</v>
      </c>
      <c r="O48" s="37" t="n">
        <f aca="false">Staff!O90/FX_EUR</f>
        <v>0</v>
      </c>
      <c r="P48" s="37" t="n">
        <f aca="false">Staff!P90/FX_EUR</f>
        <v>0</v>
      </c>
      <c r="Q48" s="37" t="n">
        <f aca="false">Staff!Q90/FX_EUR</f>
        <v>5202.32271322663</v>
      </c>
      <c r="R48" s="37" t="n">
        <f aca="false">Staff!R90/FX_EUR</f>
        <v>5202.32271322663</v>
      </c>
      <c r="S48" s="37" t="n">
        <f aca="false">Staff!S90/FX_EUR</f>
        <v>5202.32271322663</v>
      </c>
      <c r="T48" s="37" t="n">
        <f aca="false">Staff!T90/FX_EUR</f>
        <v>5202.32271322663</v>
      </c>
      <c r="U48" s="37" t="n">
        <f aca="false">Staff!U90/FX_EUR</f>
        <v>5202.32271322663</v>
      </c>
      <c r="V48" s="37" t="n">
        <f aca="false">Staff!V90/FX_EUR</f>
        <v>11028.9241520405</v>
      </c>
      <c r="W48" s="37" t="n">
        <f aca="false">Staff!W90/FX_EUR</f>
        <v>11028.9241520405</v>
      </c>
      <c r="X48" s="37" t="n">
        <f aca="false">Staff!X90/FX_EUR</f>
        <v>11028.9241520405</v>
      </c>
      <c r="Y48" s="37" t="n">
        <f aca="false">Staff!Y90/FX_EUR</f>
        <v>11028.9241520405</v>
      </c>
      <c r="Z48" s="37" t="n">
        <f aca="false">Staff!Z90/FX_EUR</f>
        <v>11028.9241520405</v>
      </c>
      <c r="AA48" s="37" t="n">
        <f aca="false">Staff!AA90/FX_EUR</f>
        <v>11028.9241520405</v>
      </c>
      <c r="AB48" s="37" t="n">
        <f aca="false">Staff!AB90/FX_EUR</f>
        <v>11028.9241520405</v>
      </c>
      <c r="AC48" s="37" t="n">
        <f aca="false">Staff!AC90/FX_EUR</f>
        <v>11580.3703596425</v>
      </c>
      <c r="AD48" s="37" t="n">
        <f aca="false">Staff!AD90/FX_EUR</f>
        <v>11580.3703596425</v>
      </c>
      <c r="AE48" s="37" t="n">
        <f aca="false">Staff!AE90/FX_EUR</f>
        <v>11580.3703596425</v>
      </c>
      <c r="AF48" s="37" t="n">
        <f aca="false">Staff!AF90/FX_EUR</f>
        <v>11580.3703596425</v>
      </c>
      <c r="AG48" s="37" t="n">
        <f aca="false">Staff!AG90/FX_EUR</f>
        <v>11580.3703596425</v>
      </c>
      <c r="AH48" s="37" t="n">
        <f aca="false">Staff!AH90/FX_EUR</f>
        <v>11580.3703596425</v>
      </c>
      <c r="AI48" s="37" t="n">
        <f aca="false">Staff!AI90/FX_EUR</f>
        <v>11580.3703596425</v>
      </c>
      <c r="AJ48" s="37" t="n">
        <f aca="false">Staff!AJ90/FX_EUR</f>
        <v>11580.3703596425</v>
      </c>
      <c r="AK48" s="37" t="n">
        <f aca="false">Staff!AK90/FX_EUR</f>
        <v>11580.3703596425</v>
      </c>
      <c r="AL48" s="37" t="n">
        <f aca="false">Staff!AL90/FX_EUR</f>
        <v>11580.3703596425</v>
      </c>
      <c r="AM48" s="37" t="n">
        <f aca="false">Staff!AM90/FX_EUR</f>
        <v>11580.3703596425</v>
      </c>
      <c r="AN48" s="37" t="n">
        <f aca="false">Staff!AN90/FX_EUR</f>
        <v>11580.3703596425</v>
      </c>
      <c r="AO48" s="37" t="n">
        <f aca="false">Staff!AO90/FX_EUR</f>
        <v>12159.3888776246</v>
      </c>
      <c r="AP48" s="37" t="n">
        <f aca="false">Staff!AP90/FX_EUR</f>
        <v>12159.3888776246</v>
      </c>
      <c r="AQ48" s="37" t="n">
        <f aca="false">Staff!AQ90/FX_EUR</f>
        <v>12159.3888776246</v>
      </c>
      <c r="AR48" s="37" t="n">
        <f aca="false">Staff!AR90/FX_EUR</f>
        <v>12159.3888776246</v>
      </c>
      <c r="AS48" s="37" t="n">
        <f aca="false">Staff!AS90/FX_EUR</f>
        <v>12159.3888776246</v>
      </c>
      <c r="AT48" s="37" t="n">
        <f aca="false">Staff!AT90/FX_EUR</f>
        <v>12159.3888776246</v>
      </c>
      <c r="AU48" s="37" t="n">
        <f aca="false">Staff!AU90/FX_EUR</f>
        <v>12159.3888776246</v>
      </c>
      <c r="AV48" s="37" t="n">
        <f aca="false">Staff!AV90/FX_EUR</f>
        <v>12159.3888776246</v>
      </c>
      <c r="AW48" s="37" t="n">
        <f aca="false">Staff!AW90/FX_EUR</f>
        <v>12159.3888776246</v>
      </c>
      <c r="AX48" s="37" t="n">
        <f aca="false">Staff!AX90/FX_EUR</f>
        <v>12159.3888776246</v>
      </c>
      <c r="AY48" s="37" t="n">
        <f aca="false">Staff!AY90/FX_EUR</f>
        <v>12159.3888776246</v>
      </c>
      <c r="AZ48" s="37" t="n">
        <f aca="false">Staff!AZ90/FX_EUR</f>
        <v>12159.3888776246</v>
      </c>
      <c r="BA48" s="37" t="n">
        <f aca="false">Staff!BA90/FX_EUR</f>
        <v>12767.3583215058</v>
      </c>
      <c r="BB48" s="37" t="n">
        <f aca="false">Staff!BB90/FX_EUR</f>
        <v>12767.3583215058</v>
      </c>
      <c r="BC48" s="37" t="n">
        <f aca="false">Staff!BC90/FX_EUR</f>
        <v>12767.3583215058</v>
      </c>
      <c r="BD48" s="37" t="n">
        <f aca="false">Staff!BD90/FX_EUR</f>
        <v>12767.3583215058</v>
      </c>
      <c r="BE48" s="37" t="n">
        <f aca="false">Staff!BE90/FX_EUR</f>
        <v>12767.3583215058</v>
      </c>
      <c r="BF48" s="37" t="n">
        <f aca="false">Staff!BF90/FX_EUR</f>
        <v>12767.3583215058</v>
      </c>
      <c r="BG48" s="37" t="n">
        <f aca="false">Staff!BG90/FX_EUR</f>
        <v>12767.3583215058</v>
      </c>
      <c r="BH48" s="37" t="n">
        <f aca="false">Staff!BH90/FX_EUR</f>
        <v>12767.3583215058</v>
      </c>
      <c r="BI48" s="37" t="n">
        <f aca="false">Staff!BI90/FX_EUR</f>
        <v>12767.3583215058</v>
      </c>
      <c r="BJ48" s="37" t="n">
        <f aca="false">Staff!BJ90/FX_EUR</f>
        <v>12767.3583215058</v>
      </c>
      <c r="BK48" s="37" t="n">
        <f aca="false">Staff!BK90/FX_EUR</f>
        <v>12767.3583215058</v>
      </c>
      <c r="BL48" s="37" t="n">
        <f aca="false">Staff!BL90/FX_EUR</f>
        <v>12767.3583215058</v>
      </c>
    </row>
    <row r="49" customFormat="false" ht="15" hidden="false" customHeight="false" outlineLevel="0" collapsed="false">
      <c r="A49" s="12" t="s">
        <v>707</v>
      </c>
      <c r="B49" s="14" t="s">
        <v>73</v>
      </c>
      <c r="D49" s="55" t="n">
        <f aca="false">Staff!D91/FX_EUR</f>
        <v>885973.350006174</v>
      </c>
      <c r="E49" s="37" t="n">
        <f aca="false">Staff!E91/FX_EUR</f>
        <v>9711.00239802304</v>
      </c>
      <c r="F49" s="37" t="n">
        <f aca="false">Staff!F91/FX_EUR</f>
        <v>9711.00239802304</v>
      </c>
      <c r="G49" s="37" t="n">
        <f aca="false">Staff!G91/FX_EUR</f>
        <v>9711.00239802304</v>
      </c>
      <c r="H49" s="37" t="n">
        <f aca="false">Staff!H91/FX_EUR</f>
        <v>9711.00239802304</v>
      </c>
      <c r="I49" s="37" t="n">
        <f aca="false">Staff!I91/FX_EUR</f>
        <v>9711.00239802304</v>
      </c>
      <c r="J49" s="37" t="n">
        <f aca="false">Staff!J91/FX_EUR</f>
        <v>9711.00239802304</v>
      </c>
      <c r="K49" s="37" t="n">
        <f aca="false">Staff!K91/FX_EUR</f>
        <v>9711.00239802304</v>
      </c>
      <c r="L49" s="37" t="n">
        <f aca="false">Staff!L91/FX_EUR</f>
        <v>9711.00239802304</v>
      </c>
      <c r="M49" s="37" t="n">
        <f aca="false">Staff!M91/FX_EUR</f>
        <v>9711.00239802304</v>
      </c>
      <c r="N49" s="37" t="n">
        <f aca="false">Staff!N91/FX_EUR</f>
        <v>9711.00239802304</v>
      </c>
      <c r="O49" s="37" t="n">
        <f aca="false">Staff!O91/FX_EUR</f>
        <v>9711.00239802304</v>
      </c>
      <c r="P49" s="37" t="n">
        <f aca="false">Staff!P91/FX_EUR</f>
        <v>9711.00239802304</v>
      </c>
      <c r="Q49" s="37" t="n">
        <f aca="false">Staff!Q91/FX_EUR</f>
        <v>10196.5525179242</v>
      </c>
      <c r="R49" s="37" t="n">
        <f aca="false">Staff!R91/FX_EUR</f>
        <v>10196.5525179242</v>
      </c>
      <c r="S49" s="37" t="n">
        <f aca="false">Staff!S91/FX_EUR</f>
        <v>10196.5525179242</v>
      </c>
      <c r="T49" s="37" t="n">
        <f aca="false">Staff!T91/FX_EUR</f>
        <v>10196.5525179242</v>
      </c>
      <c r="U49" s="37" t="n">
        <f aca="false">Staff!U91/FX_EUR</f>
        <v>10196.5525179242</v>
      </c>
      <c r="V49" s="37" t="n">
        <f aca="false">Staff!V91/FX_EUR</f>
        <v>10196.5525179242</v>
      </c>
      <c r="W49" s="37" t="n">
        <f aca="false">Staff!W91/FX_EUR</f>
        <v>10196.5525179242</v>
      </c>
      <c r="X49" s="37" t="n">
        <f aca="false">Staff!X91/FX_EUR</f>
        <v>10196.5525179242</v>
      </c>
      <c r="Y49" s="37" t="n">
        <f aca="false">Staff!Y91/FX_EUR</f>
        <v>10196.5525179242</v>
      </c>
      <c r="Z49" s="37" t="n">
        <f aca="false">Staff!Z91/FX_EUR</f>
        <v>10196.5525179242</v>
      </c>
      <c r="AA49" s="37" t="n">
        <f aca="false">Staff!AA91/FX_EUR</f>
        <v>10196.5525179242</v>
      </c>
      <c r="AB49" s="37" t="n">
        <f aca="false">Staff!AB91/FX_EUR</f>
        <v>10196.5525179242</v>
      </c>
      <c r="AC49" s="37" t="n">
        <f aca="false">Staff!AC91/FX_EUR</f>
        <v>10706.3801438204</v>
      </c>
      <c r="AD49" s="37" t="n">
        <f aca="false">Staff!AD91/FX_EUR</f>
        <v>10706.3801438204</v>
      </c>
      <c r="AE49" s="37" t="n">
        <f aca="false">Staff!AE91/FX_EUR</f>
        <v>13328.3507912866</v>
      </c>
      <c r="AF49" s="37" t="n">
        <f aca="false">Staff!AF91/FX_EUR</f>
        <v>13328.3507912866</v>
      </c>
      <c r="AG49" s="37" t="n">
        <f aca="false">Staff!AG91/FX_EUR</f>
        <v>13328.3507912866</v>
      </c>
      <c r="AH49" s="37" t="n">
        <f aca="false">Staff!AH91/FX_EUR</f>
        <v>13328.3507912866</v>
      </c>
      <c r="AI49" s="37" t="n">
        <f aca="false">Staff!AI91/FX_EUR</f>
        <v>13328.3507912866</v>
      </c>
      <c r="AJ49" s="37" t="n">
        <f aca="false">Staff!AJ91/FX_EUR</f>
        <v>13328.3507912866</v>
      </c>
      <c r="AK49" s="37" t="n">
        <f aca="false">Staff!AK91/FX_EUR</f>
        <v>13328.3507912866</v>
      </c>
      <c r="AL49" s="37" t="n">
        <f aca="false">Staff!AL91/FX_EUR</f>
        <v>13328.3507912866</v>
      </c>
      <c r="AM49" s="37" t="n">
        <f aca="false">Staff!AM91/FX_EUR</f>
        <v>13328.3507912866</v>
      </c>
      <c r="AN49" s="37" t="n">
        <f aca="false">Staff!AN91/FX_EUR</f>
        <v>13328.3507912866</v>
      </c>
      <c r="AO49" s="37" t="n">
        <f aca="false">Staff!AO91/FX_EUR</f>
        <v>16747.8375106905</v>
      </c>
      <c r="AP49" s="37" t="n">
        <f aca="false">Staff!AP91/FX_EUR</f>
        <v>16747.8375106905</v>
      </c>
      <c r="AQ49" s="37" t="n">
        <f aca="false">Staff!AQ91/FX_EUR</f>
        <v>16747.8375106905</v>
      </c>
      <c r="AR49" s="37" t="n">
        <f aca="false">Staff!AR91/FX_EUR</f>
        <v>16747.8375106905</v>
      </c>
      <c r="AS49" s="37" t="n">
        <f aca="false">Staff!AS91/FX_EUR</f>
        <v>16747.8375106905</v>
      </c>
      <c r="AT49" s="37" t="n">
        <f aca="false">Staff!AT91/FX_EUR</f>
        <v>16747.8375106905</v>
      </c>
      <c r="AU49" s="37" t="n">
        <f aca="false">Staff!AU91/FX_EUR</f>
        <v>16747.8375106905</v>
      </c>
      <c r="AV49" s="37" t="n">
        <f aca="false">Staff!AV91/FX_EUR</f>
        <v>16747.8375106905</v>
      </c>
      <c r="AW49" s="37" t="n">
        <f aca="false">Staff!AW91/FX_EUR</f>
        <v>19500.90669053</v>
      </c>
      <c r="AX49" s="37" t="n">
        <f aca="false">Staff!AX91/FX_EUR</f>
        <v>19500.90669053</v>
      </c>
      <c r="AY49" s="37" t="n">
        <f aca="false">Staff!AY91/FX_EUR</f>
        <v>19500.90669053</v>
      </c>
      <c r="AZ49" s="37" t="n">
        <f aca="false">Staff!AZ91/FX_EUR</f>
        <v>19500.90669053</v>
      </c>
      <c r="BA49" s="37" t="n">
        <f aca="false">Staff!BA91/FX_EUR</f>
        <v>20475.9520250565</v>
      </c>
      <c r="BB49" s="37" t="n">
        <f aca="false">Staff!BB91/FX_EUR</f>
        <v>20475.9520250565</v>
      </c>
      <c r="BC49" s="37" t="n">
        <f aca="false">Staff!BC91/FX_EUR</f>
        <v>20475.9520250565</v>
      </c>
      <c r="BD49" s="37" t="n">
        <f aca="false">Staff!BD91/FX_EUR</f>
        <v>23366.674663888</v>
      </c>
      <c r="BE49" s="37" t="n">
        <f aca="false">Staff!BE91/FX_EUR</f>
        <v>23366.674663888</v>
      </c>
      <c r="BF49" s="37" t="n">
        <f aca="false">Staff!BF91/FX_EUR</f>
        <v>23366.674663888</v>
      </c>
      <c r="BG49" s="37" t="n">
        <f aca="false">Staff!BG91/FX_EUR</f>
        <v>23366.674663888</v>
      </c>
      <c r="BH49" s="37" t="n">
        <f aca="false">Staff!BH91/FX_EUR</f>
        <v>23366.674663888</v>
      </c>
      <c r="BI49" s="37" t="n">
        <f aca="false">Staff!BI91/FX_EUR</f>
        <v>23366.674663888</v>
      </c>
      <c r="BJ49" s="37" t="n">
        <f aca="false">Staff!BJ91/FX_EUR</f>
        <v>26257.3973027195</v>
      </c>
      <c r="BK49" s="37" t="n">
        <f aca="false">Staff!BK91/FX_EUR</f>
        <v>26257.3973027195</v>
      </c>
      <c r="BL49" s="37" t="n">
        <f aca="false">Staff!BL91/FX_EUR</f>
        <v>26257.3973027195</v>
      </c>
    </row>
    <row r="50" customFormat="false" ht="15" hidden="false" customHeight="false" outlineLevel="0" collapsed="false">
      <c r="A50" s="12" t="s">
        <v>708</v>
      </c>
      <c r="B50" s="14" t="s">
        <v>73</v>
      </c>
      <c r="D50" s="55" t="n">
        <f aca="false">Staff!D92/FX_EUR</f>
        <v>127107.830619995</v>
      </c>
      <c r="E50" s="37" t="n">
        <f aca="false">Staff!E92/FX_EUR</f>
        <v>0</v>
      </c>
      <c r="F50" s="37" t="n">
        <f aca="false">Staff!F92/FX_EUR</f>
        <v>0</v>
      </c>
      <c r="G50" s="37" t="n">
        <f aca="false">Staff!G92/FX_EUR</f>
        <v>0</v>
      </c>
      <c r="H50" s="37" t="n">
        <f aca="false">Staff!H92/FX_EUR</f>
        <v>0</v>
      </c>
      <c r="I50" s="37" t="n">
        <f aca="false">Staff!I92/FX_EUR</f>
        <v>0</v>
      </c>
      <c r="J50" s="37" t="n">
        <f aca="false">Staff!J92/FX_EUR</f>
        <v>0</v>
      </c>
      <c r="K50" s="37" t="n">
        <f aca="false">Staff!K92/FX_EUR</f>
        <v>0</v>
      </c>
      <c r="L50" s="37" t="n">
        <f aca="false">Staff!L92/FX_EUR</f>
        <v>0</v>
      </c>
      <c r="M50" s="37" t="n">
        <f aca="false">Staff!M92/FX_EUR</f>
        <v>0</v>
      </c>
      <c r="N50" s="37" t="n">
        <f aca="false">Staff!N92/FX_EUR</f>
        <v>0</v>
      </c>
      <c r="O50" s="37" t="n">
        <f aca="false">Staff!O92/FX_EUR</f>
        <v>0</v>
      </c>
      <c r="P50" s="37" t="n">
        <f aca="false">Staff!P92/FX_EUR</f>
        <v>0</v>
      </c>
      <c r="Q50" s="37" t="n">
        <f aca="false">Staff!Q92/FX_EUR</f>
        <v>0</v>
      </c>
      <c r="R50" s="37" t="n">
        <f aca="false">Staff!R92/FX_EUR</f>
        <v>0</v>
      </c>
      <c r="S50" s="37" t="n">
        <f aca="false">Staff!S92/FX_EUR</f>
        <v>0</v>
      </c>
      <c r="T50" s="37" t="n">
        <f aca="false">Staff!T92/FX_EUR</f>
        <v>0</v>
      </c>
      <c r="U50" s="37" t="n">
        <f aca="false">Staff!U92/FX_EUR</f>
        <v>0</v>
      </c>
      <c r="V50" s="37" t="n">
        <f aca="false">Staff!V92/FX_EUR</f>
        <v>0</v>
      </c>
      <c r="W50" s="37" t="n">
        <f aca="false">Staff!W92/FX_EUR</f>
        <v>0</v>
      </c>
      <c r="X50" s="37" t="n">
        <f aca="false">Staff!X92/FX_EUR</f>
        <v>0</v>
      </c>
      <c r="Y50" s="37" t="n">
        <f aca="false">Staff!Y92/FX_EUR</f>
        <v>0</v>
      </c>
      <c r="Z50" s="37" t="n">
        <f aca="false">Staff!Z92/FX_EUR</f>
        <v>0</v>
      </c>
      <c r="AA50" s="37" t="n">
        <f aca="false">Staff!AA92/FX_EUR</f>
        <v>0</v>
      </c>
      <c r="AB50" s="37" t="n">
        <f aca="false">Staff!AB92/FX_EUR</f>
        <v>3121.39362793598</v>
      </c>
      <c r="AC50" s="37" t="n">
        <f aca="false">Staff!AC92/FX_EUR</f>
        <v>3277.46330933278</v>
      </c>
      <c r="AD50" s="37" t="n">
        <f aca="false">Staff!AD92/FX_EUR</f>
        <v>3277.46330933278</v>
      </c>
      <c r="AE50" s="37" t="n">
        <f aca="false">Staff!AE92/FX_EUR</f>
        <v>3277.46330933278</v>
      </c>
      <c r="AF50" s="37" t="n">
        <f aca="false">Staff!AF92/FX_EUR</f>
        <v>3277.46330933278</v>
      </c>
      <c r="AG50" s="37" t="n">
        <f aca="false">Staff!AG92/FX_EUR</f>
        <v>3277.46330933278</v>
      </c>
      <c r="AH50" s="37" t="n">
        <f aca="false">Staff!AH92/FX_EUR</f>
        <v>3277.46330933278</v>
      </c>
      <c r="AI50" s="37" t="n">
        <f aca="false">Staff!AI92/FX_EUR</f>
        <v>3277.46330933278</v>
      </c>
      <c r="AJ50" s="37" t="n">
        <f aca="false">Staff!AJ92/FX_EUR</f>
        <v>3277.46330933278</v>
      </c>
      <c r="AK50" s="37" t="n">
        <f aca="false">Staff!AK92/FX_EUR</f>
        <v>3277.46330933278</v>
      </c>
      <c r="AL50" s="37" t="n">
        <f aca="false">Staff!AL92/FX_EUR</f>
        <v>3277.46330933278</v>
      </c>
      <c r="AM50" s="37" t="n">
        <f aca="false">Staff!AM92/FX_EUR</f>
        <v>3277.46330933278</v>
      </c>
      <c r="AN50" s="37" t="n">
        <f aca="false">Staff!AN92/FX_EUR</f>
        <v>3277.46330933278</v>
      </c>
      <c r="AO50" s="37" t="n">
        <f aca="false">Staff!AO92/FX_EUR</f>
        <v>3441.33647479942</v>
      </c>
      <c r="AP50" s="37" t="n">
        <f aca="false">Staff!AP92/FX_EUR</f>
        <v>3441.33647479942</v>
      </c>
      <c r="AQ50" s="37" t="n">
        <f aca="false">Staff!AQ92/FX_EUR</f>
        <v>3441.33647479942</v>
      </c>
      <c r="AR50" s="37" t="n">
        <f aca="false">Staff!AR92/FX_EUR</f>
        <v>3441.33647479942</v>
      </c>
      <c r="AS50" s="37" t="n">
        <f aca="false">Staff!AS92/FX_EUR</f>
        <v>3441.33647479942</v>
      </c>
      <c r="AT50" s="37" t="n">
        <f aca="false">Staff!AT92/FX_EUR</f>
        <v>3441.33647479942</v>
      </c>
      <c r="AU50" s="37" t="n">
        <f aca="false">Staff!AU92/FX_EUR</f>
        <v>3441.33647479942</v>
      </c>
      <c r="AV50" s="37" t="n">
        <f aca="false">Staff!AV92/FX_EUR</f>
        <v>3441.33647479942</v>
      </c>
      <c r="AW50" s="37" t="n">
        <f aca="false">Staff!AW92/FX_EUR</f>
        <v>3441.33647479942</v>
      </c>
      <c r="AX50" s="37" t="n">
        <f aca="false">Staff!AX92/FX_EUR</f>
        <v>3441.33647479942</v>
      </c>
      <c r="AY50" s="37" t="n">
        <f aca="false">Staff!AY92/FX_EUR</f>
        <v>3441.33647479942</v>
      </c>
      <c r="AZ50" s="37" t="n">
        <f aca="false">Staff!AZ92/FX_EUR</f>
        <v>3441.33647479942</v>
      </c>
      <c r="BA50" s="37" t="n">
        <f aca="false">Staff!BA92/FX_EUR</f>
        <v>3613.40329853939</v>
      </c>
      <c r="BB50" s="37" t="n">
        <f aca="false">Staff!BB92/FX_EUR</f>
        <v>3613.40329853939</v>
      </c>
      <c r="BC50" s="37" t="n">
        <f aca="false">Staff!BC92/FX_EUR</f>
        <v>3613.40329853939</v>
      </c>
      <c r="BD50" s="37" t="n">
        <f aca="false">Staff!BD92/FX_EUR</f>
        <v>3613.40329853939</v>
      </c>
      <c r="BE50" s="37" t="n">
        <f aca="false">Staff!BE92/FX_EUR</f>
        <v>3613.40329853939</v>
      </c>
      <c r="BF50" s="37" t="n">
        <f aca="false">Staff!BF92/FX_EUR</f>
        <v>3613.40329853939</v>
      </c>
      <c r="BG50" s="37" t="n">
        <f aca="false">Staff!BG92/FX_EUR</f>
        <v>3613.40329853939</v>
      </c>
      <c r="BH50" s="37" t="n">
        <f aca="false">Staff!BH92/FX_EUR</f>
        <v>3613.40329853939</v>
      </c>
      <c r="BI50" s="37" t="n">
        <f aca="false">Staff!BI92/FX_EUR</f>
        <v>3613.40329853939</v>
      </c>
      <c r="BJ50" s="37" t="n">
        <f aca="false">Staff!BJ92/FX_EUR</f>
        <v>3613.40329853939</v>
      </c>
      <c r="BK50" s="37" t="n">
        <f aca="false">Staff!BK92/FX_EUR</f>
        <v>3613.40329853939</v>
      </c>
      <c r="BL50" s="37" t="n">
        <f aca="false">Staff!BL92/FX_EUR</f>
        <v>3613.40329853939</v>
      </c>
    </row>
    <row r="51" customFormat="false" ht="15" hidden="false" customHeight="false" outlineLevel="0" collapsed="false">
      <c r="A51" s="12" t="s">
        <v>709</v>
      </c>
      <c r="B51" s="14" t="s">
        <v>73</v>
      </c>
      <c r="D51" s="55" t="n">
        <f aca="false">Staff!D93/FX_EUR</f>
        <v>259645.793664829</v>
      </c>
      <c r="E51" s="37" t="n">
        <f aca="false">Staff!E93/FX_EUR</f>
        <v>0</v>
      </c>
      <c r="F51" s="37" t="n">
        <f aca="false">Staff!F93/FX_EUR</f>
        <v>0</v>
      </c>
      <c r="G51" s="37" t="n">
        <f aca="false">Staff!G93/FX_EUR</f>
        <v>0</v>
      </c>
      <c r="H51" s="37" t="n">
        <f aca="false">Staff!H93/FX_EUR</f>
        <v>0</v>
      </c>
      <c r="I51" s="37" t="n">
        <f aca="false">Staff!I93/FX_EUR</f>
        <v>0</v>
      </c>
      <c r="J51" s="37" t="n">
        <f aca="false">Staff!J93/FX_EUR</f>
        <v>0</v>
      </c>
      <c r="K51" s="37" t="n">
        <f aca="false">Staff!K93/FX_EUR</f>
        <v>0</v>
      </c>
      <c r="L51" s="37" t="n">
        <f aca="false">Staff!L93/FX_EUR</f>
        <v>0</v>
      </c>
      <c r="M51" s="37" t="n">
        <f aca="false">Staff!M93/FX_EUR</f>
        <v>0</v>
      </c>
      <c r="N51" s="37" t="n">
        <f aca="false">Staff!N93/FX_EUR</f>
        <v>0</v>
      </c>
      <c r="O51" s="37" t="n">
        <f aca="false">Staff!O93/FX_EUR</f>
        <v>0</v>
      </c>
      <c r="P51" s="37" t="n">
        <f aca="false">Staff!P93/FX_EUR</f>
        <v>0</v>
      </c>
      <c r="Q51" s="37" t="n">
        <f aca="false">Staff!Q93/FX_EUR</f>
        <v>0</v>
      </c>
      <c r="R51" s="37" t="n">
        <f aca="false">Staff!R93/FX_EUR</f>
        <v>0</v>
      </c>
      <c r="S51" s="37" t="n">
        <f aca="false">Staff!S93/FX_EUR</f>
        <v>0</v>
      </c>
      <c r="T51" s="37" t="n">
        <f aca="false">Staff!T93/FX_EUR</f>
        <v>1248.55745117439</v>
      </c>
      <c r="U51" s="37" t="n">
        <f aca="false">Staff!U93/FX_EUR</f>
        <v>1248.55745117439</v>
      </c>
      <c r="V51" s="37" t="n">
        <f aca="false">Staff!V93/FX_EUR</f>
        <v>1248.55745117439</v>
      </c>
      <c r="W51" s="37" t="n">
        <f aca="false">Staff!W93/FX_EUR</f>
        <v>1248.55745117439</v>
      </c>
      <c r="X51" s="37" t="n">
        <f aca="false">Staff!X93/FX_EUR</f>
        <v>1248.55745117439</v>
      </c>
      <c r="Y51" s="37" t="n">
        <f aca="false">Staff!Y93/FX_EUR</f>
        <v>1248.55745117439</v>
      </c>
      <c r="Z51" s="37" t="n">
        <f aca="false">Staff!Z93/FX_EUR</f>
        <v>1248.55745117439</v>
      </c>
      <c r="AA51" s="37" t="n">
        <f aca="false">Staff!AA93/FX_EUR</f>
        <v>1248.55745117439</v>
      </c>
      <c r="AB51" s="37" t="n">
        <f aca="false">Staff!AB93/FX_EUR</f>
        <v>1248.55745117439</v>
      </c>
      <c r="AC51" s="37" t="n">
        <f aca="false">Staff!AC93/FX_EUR</f>
        <v>1310.98532373311</v>
      </c>
      <c r="AD51" s="37" t="n">
        <f aca="false">Staff!AD93/FX_EUR</f>
        <v>1310.98532373311</v>
      </c>
      <c r="AE51" s="37" t="n">
        <f aca="false">Staff!AE93/FX_EUR</f>
        <v>1310.98532373311</v>
      </c>
      <c r="AF51" s="37" t="n">
        <f aca="false">Staff!AF93/FX_EUR</f>
        <v>2621.97064746622</v>
      </c>
      <c r="AG51" s="37" t="n">
        <f aca="false">Staff!AG93/FX_EUR</f>
        <v>2621.97064746622</v>
      </c>
      <c r="AH51" s="37" t="n">
        <f aca="false">Staff!AH93/FX_EUR</f>
        <v>2621.97064746622</v>
      </c>
      <c r="AI51" s="37" t="n">
        <f aca="false">Staff!AI93/FX_EUR</f>
        <v>2621.97064746622</v>
      </c>
      <c r="AJ51" s="37" t="n">
        <f aca="false">Staff!AJ93/FX_EUR</f>
        <v>2621.97064746622</v>
      </c>
      <c r="AK51" s="37" t="n">
        <f aca="false">Staff!AK93/FX_EUR</f>
        <v>3932.95597119933</v>
      </c>
      <c r="AL51" s="37" t="n">
        <f aca="false">Staff!AL93/FX_EUR</f>
        <v>3932.95597119933</v>
      </c>
      <c r="AM51" s="37" t="n">
        <f aca="false">Staff!AM93/FX_EUR</f>
        <v>3932.95597119933</v>
      </c>
      <c r="AN51" s="37" t="n">
        <f aca="false">Staff!AN93/FX_EUR</f>
        <v>3932.95597119933</v>
      </c>
      <c r="AO51" s="37" t="n">
        <f aca="false">Staff!AO93/FX_EUR</f>
        <v>5506.13835967907</v>
      </c>
      <c r="AP51" s="37" t="n">
        <f aca="false">Staff!AP93/FX_EUR</f>
        <v>5506.13835967907</v>
      </c>
      <c r="AQ51" s="37" t="n">
        <f aca="false">Staff!AQ93/FX_EUR</f>
        <v>5506.13835967907</v>
      </c>
      <c r="AR51" s="37" t="n">
        <f aca="false">Staff!AR93/FX_EUR</f>
        <v>5506.13835967907</v>
      </c>
      <c r="AS51" s="37" t="n">
        <f aca="false">Staff!AS93/FX_EUR</f>
        <v>6882.67294959883</v>
      </c>
      <c r="AT51" s="37" t="n">
        <f aca="false">Staff!AT93/FX_EUR</f>
        <v>6882.67294959883</v>
      </c>
      <c r="AU51" s="37" t="n">
        <f aca="false">Staff!AU93/FX_EUR</f>
        <v>6882.67294959883</v>
      </c>
      <c r="AV51" s="37" t="n">
        <f aca="false">Staff!AV93/FX_EUR</f>
        <v>6882.67294959883</v>
      </c>
      <c r="AW51" s="37" t="n">
        <f aca="false">Staff!AW93/FX_EUR</f>
        <v>6882.67294959883</v>
      </c>
      <c r="AX51" s="37" t="n">
        <f aca="false">Staff!AX93/FX_EUR</f>
        <v>8259.2075395186</v>
      </c>
      <c r="AY51" s="37" t="n">
        <f aca="false">Staff!AY93/FX_EUR</f>
        <v>8259.2075395186</v>
      </c>
      <c r="AZ51" s="37" t="n">
        <f aca="false">Staff!AZ93/FX_EUR</f>
        <v>8259.2075395186</v>
      </c>
      <c r="BA51" s="37" t="n">
        <f aca="false">Staff!BA93/FX_EUR</f>
        <v>8672.16791649453</v>
      </c>
      <c r="BB51" s="37" t="n">
        <f aca="false">Staff!BB93/FX_EUR</f>
        <v>10117.5292359103</v>
      </c>
      <c r="BC51" s="37" t="n">
        <f aca="false">Staff!BC93/FX_EUR</f>
        <v>10117.5292359103</v>
      </c>
      <c r="BD51" s="37" t="n">
        <f aca="false">Staff!BD93/FX_EUR</f>
        <v>10117.5292359103</v>
      </c>
      <c r="BE51" s="37" t="n">
        <f aca="false">Staff!BE93/FX_EUR</f>
        <v>10117.5292359103</v>
      </c>
      <c r="BF51" s="37" t="n">
        <f aca="false">Staff!BF93/FX_EUR</f>
        <v>11562.890555326</v>
      </c>
      <c r="BG51" s="37" t="n">
        <f aca="false">Staff!BG93/FX_EUR</f>
        <v>11562.890555326</v>
      </c>
      <c r="BH51" s="37" t="n">
        <f aca="false">Staff!BH93/FX_EUR</f>
        <v>11562.890555326</v>
      </c>
      <c r="BI51" s="37" t="n">
        <f aca="false">Staff!BI93/FX_EUR</f>
        <v>11562.890555326</v>
      </c>
      <c r="BJ51" s="37" t="n">
        <f aca="false">Staff!BJ93/FX_EUR</f>
        <v>13008.2518747418</v>
      </c>
      <c r="BK51" s="37" t="n">
        <f aca="false">Staff!BK93/FX_EUR</f>
        <v>13008.2518747418</v>
      </c>
      <c r="BL51" s="37" t="n">
        <f aca="false">Staff!BL93/FX_EUR</f>
        <v>13008.2518747418</v>
      </c>
    </row>
    <row r="52" customFormat="false" ht="15" hidden="false" customHeight="false" outlineLevel="0" collapsed="false">
      <c r="A52" s="12" t="s">
        <v>710</v>
      </c>
      <c r="B52" s="14" t="s">
        <v>73</v>
      </c>
      <c r="D52" s="55" t="n">
        <f aca="false">Staff!D94/FX_EUR</f>
        <v>393146.866429507</v>
      </c>
      <c r="E52" s="37" t="n">
        <f aca="false">Staff!E94/FX_EUR</f>
        <v>0</v>
      </c>
      <c r="F52" s="37" t="n">
        <f aca="false">Staff!F94/FX_EUR</f>
        <v>0</v>
      </c>
      <c r="G52" s="37" t="n">
        <f aca="false">Staff!G94/FX_EUR</f>
        <v>0</v>
      </c>
      <c r="H52" s="37" t="n">
        <f aca="false">Staff!H94/FX_EUR</f>
        <v>990.918612043168</v>
      </c>
      <c r="I52" s="37" t="n">
        <f aca="false">Staff!I94/FX_EUR</f>
        <v>990.918612043168</v>
      </c>
      <c r="J52" s="37" t="n">
        <f aca="false">Staff!J94/FX_EUR</f>
        <v>990.918612043168</v>
      </c>
      <c r="K52" s="37" t="n">
        <f aca="false">Staff!K94/FX_EUR</f>
        <v>990.918612043168</v>
      </c>
      <c r="L52" s="37" t="n">
        <f aca="false">Staff!L94/FX_EUR</f>
        <v>990.918612043168</v>
      </c>
      <c r="M52" s="37" t="n">
        <f aca="false">Staff!M94/FX_EUR</f>
        <v>990.918612043168</v>
      </c>
      <c r="N52" s="37" t="n">
        <f aca="false">Staff!N94/FX_EUR</f>
        <v>990.918612043168</v>
      </c>
      <c r="O52" s="37" t="n">
        <f aca="false">Staff!O94/FX_EUR</f>
        <v>990.918612043168</v>
      </c>
      <c r="P52" s="37" t="n">
        <f aca="false">Staff!P94/FX_EUR</f>
        <v>990.918612043168</v>
      </c>
      <c r="Q52" s="37" t="n">
        <f aca="false">Staff!Q94/FX_EUR</f>
        <v>1040.46454264533</v>
      </c>
      <c r="R52" s="37" t="n">
        <f aca="false">Staff!R94/FX_EUR</f>
        <v>1040.46454264533</v>
      </c>
      <c r="S52" s="37" t="n">
        <f aca="false">Staff!S94/FX_EUR</f>
        <v>1040.46454264533</v>
      </c>
      <c r="T52" s="37" t="n">
        <f aca="false">Staff!T94/FX_EUR</f>
        <v>1040.46454264533</v>
      </c>
      <c r="U52" s="37" t="n">
        <f aca="false">Staff!U94/FX_EUR</f>
        <v>1040.46454264533</v>
      </c>
      <c r="V52" s="37" t="n">
        <f aca="false">Staff!V94/FX_EUR</f>
        <v>1040.46454264533</v>
      </c>
      <c r="W52" s="37" t="n">
        <f aca="false">Staff!W94/FX_EUR</f>
        <v>1560.69681396799</v>
      </c>
      <c r="X52" s="37" t="n">
        <f aca="false">Staff!X94/FX_EUR</f>
        <v>1560.69681396799</v>
      </c>
      <c r="Y52" s="37" t="n">
        <f aca="false">Staff!Y94/FX_EUR</f>
        <v>1560.69681396799</v>
      </c>
      <c r="Z52" s="37" t="n">
        <f aca="false">Staff!Z94/FX_EUR</f>
        <v>1560.69681396799</v>
      </c>
      <c r="AA52" s="37" t="n">
        <f aca="false">Staff!AA94/FX_EUR</f>
        <v>2080.92908529065</v>
      </c>
      <c r="AB52" s="37" t="n">
        <f aca="false">Staff!AB94/FX_EUR</f>
        <v>2080.92908529065</v>
      </c>
      <c r="AC52" s="37" t="n">
        <f aca="false">Staff!AC94/FX_EUR</f>
        <v>2184.97553955518</v>
      </c>
      <c r="AD52" s="37" t="n">
        <f aca="false">Staff!AD94/FX_EUR</f>
        <v>2184.97553955518</v>
      </c>
      <c r="AE52" s="37" t="n">
        <f aca="false">Staff!AE94/FX_EUR</f>
        <v>2731.21942444398</v>
      </c>
      <c r="AF52" s="37" t="n">
        <f aca="false">Staff!AF94/FX_EUR</f>
        <v>2731.21942444398</v>
      </c>
      <c r="AG52" s="37" t="n">
        <f aca="false">Staff!AG94/FX_EUR</f>
        <v>4369.95107911037</v>
      </c>
      <c r="AH52" s="37" t="n">
        <f aca="false">Staff!AH94/FX_EUR</f>
        <v>4369.95107911037</v>
      </c>
      <c r="AI52" s="37" t="n">
        <f aca="false">Staff!AI94/FX_EUR</f>
        <v>4916.19496399916</v>
      </c>
      <c r="AJ52" s="37" t="n">
        <f aca="false">Staff!AJ94/FX_EUR</f>
        <v>5462.43884888796</v>
      </c>
      <c r="AK52" s="37" t="n">
        <f aca="false">Staff!AK94/FX_EUR</f>
        <v>5462.43884888796</v>
      </c>
      <c r="AL52" s="37" t="n">
        <f aca="false">Staff!AL94/FX_EUR</f>
        <v>6008.68273377676</v>
      </c>
      <c r="AM52" s="37" t="n">
        <f aca="false">Staff!AM94/FX_EUR</f>
        <v>6008.68273377676</v>
      </c>
      <c r="AN52" s="37" t="n">
        <f aca="false">Staff!AN94/FX_EUR</f>
        <v>6554.92661866555</v>
      </c>
      <c r="AO52" s="37" t="n">
        <f aca="false">Staff!AO94/FX_EUR</f>
        <v>7456.22902873207</v>
      </c>
      <c r="AP52" s="37" t="n">
        <f aca="false">Staff!AP94/FX_EUR</f>
        <v>7456.22902873207</v>
      </c>
      <c r="AQ52" s="37" t="n">
        <f aca="false">Staff!AQ94/FX_EUR</f>
        <v>8029.7851078653</v>
      </c>
      <c r="AR52" s="37" t="n">
        <f aca="false">Staff!AR94/FX_EUR</f>
        <v>8603.34118699854</v>
      </c>
      <c r="AS52" s="37" t="n">
        <f aca="false">Staff!AS94/FX_EUR</f>
        <v>9176.89726613178</v>
      </c>
      <c r="AT52" s="37" t="n">
        <f aca="false">Staff!AT94/FX_EUR</f>
        <v>9176.89726613178</v>
      </c>
      <c r="AU52" s="37" t="n">
        <f aca="false">Staff!AU94/FX_EUR</f>
        <v>9750.45334526501</v>
      </c>
      <c r="AV52" s="37" t="n">
        <f aca="false">Staff!AV94/FX_EUR</f>
        <v>10324.0094243982</v>
      </c>
      <c r="AW52" s="37" t="n">
        <f aca="false">Staff!AW94/FX_EUR</f>
        <v>10897.5655035315</v>
      </c>
      <c r="AX52" s="37" t="n">
        <f aca="false">Staff!AX94/FX_EUR</f>
        <v>11471.1215826647</v>
      </c>
      <c r="AY52" s="37" t="n">
        <f aca="false">Staff!AY94/FX_EUR</f>
        <v>11471.1215826647</v>
      </c>
      <c r="AZ52" s="37" t="n">
        <f aca="false">Staff!AZ94/FX_EUR</f>
        <v>12044.677661798</v>
      </c>
      <c r="BA52" s="37" t="n">
        <f aca="false">Staff!BA94/FX_EUR</f>
        <v>13249.1454279778</v>
      </c>
      <c r="BB52" s="37" t="n">
        <f aca="false">Staff!BB94/FX_EUR</f>
        <v>13851.3793110676</v>
      </c>
      <c r="BC52" s="37" t="n">
        <f aca="false">Staff!BC94/FX_EUR</f>
        <v>14453.6131941575</v>
      </c>
      <c r="BD52" s="37" t="n">
        <f aca="false">Staff!BD94/FX_EUR</f>
        <v>15055.8470772474</v>
      </c>
      <c r="BE52" s="37" t="n">
        <f aca="false">Staff!BE94/FX_EUR</f>
        <v>15658.0809603373</v>
      </c>
      <c r="BF52" s="37" t="n">
        <f aca="false">Staff!BF94/FX_EUR</f>
        <v>16260.3148434272</v>
      </c>
      <c r="BG52" s="37" t="n">
        <f aca="false">Staff!BG94/FX_EUR</f>
        <v>16862.5487265171</v>
      </c>
      <c r="BH52" s="37" t="n">
        <f aca="false">Staff!BH94/FX_EUR</f>
        <v>17464.782609607</v>
      </c>
      <c r="BI52" s="37" t="n">
        <f aca="false">Staff!BI94/FX_EUR</f>
        <v>18067.0164926969</v>
      </c>
      <c r="BJ52" s="37" t="n">
        <f aca="false">Staff!BJ94/FX_EUR</f>
        <v>18669.2503757868</v>
      </c>
      <c r="BK52" s="37" t="n">
        <f aca="false">Staff!BK94/FX_EUR</f>
        <v>19271.4842588767</v>
      </c>
      <c r="BL52" s="37" t="n">
        <f aca="false">Staff!BL94/FX_EUR</f>
        <v>19873.7181419666</v>
      </c>
    </row>
    <row r="53" customFormat="false" ht="15" hidden="false" customHeight="false" outlineLevel="0" collapsed="false">
      <c r="A53" s="12" t="s">
        <v>711</v>
      </c>
      <c r="B53" s="14" t="s">
        <v>73</v>
      </c>
      <c r="D53" s="55" t="n">
        <f aca="false">Staff!D95/FX_EUR</f>
        <v>730752.070829338</v>
      </c>
      <c r="E53" s="37" t="n">
        <f aca="false">Staff!E95/FX_EUR</f>
        <v>2378.2046689036</v>
      </c>
      <c r="F53" s="37" t="n">
        <f aca="false">Staff!F95/FX_EUR</f>
        <v>2378.2046689036</v>
      </c>
      <c r="G53" s="37" t="n">
        <f aca="false">Staff!G95/FX_EUR</f>
        <v>2378.2046689036</v>
      </c>
      <c r="H53" s="37" t="n">
        <f aca="false">Staff!H95/FX_EUR</f>
        <v>3963.67444817267</v>
      </c>
      <c r="I53" s="37" t="n">
        <f aca="false">Staff!I95/FX_EUR</f>
        <v>3963.67444817267</v>
      </c>
      <c r="J53" s="37" t="n">
        <f aca="false">Staff!J95/FX_EUR</f>
        <v>3963.67444817267</v>
      </c>
      <c r="K53" s="37" t="n">
        <f aca="false">Staff!K95/FX_EUR</f>
        <v>3963.67444817267</v>
      </c>
      <c r="L53" s="37" t="n">
        <f aca="false">Staff!L95/FX_EUR</f>
        <v>3963.67444817267</v>
      </c>
      <c r="M53" s="37" t="n">
        <f aca="false">Staff!M95/FX_EUR</f>
        <v>3963.67444817267</v>
      </c>
      <c r="N53" s="37" t="n">
        <f aca="false">Staff!N95/FX_EUR</f>
        <v>3963.67444817267</v>
      </c>
      <c r="O53" s="37" t="n">
        <f aca="false">Staff!O95/FX_EUR</f>
        <v>3963.67444817267</v>
      </c>
      <c r="P53" s="37" t="n">
        <f aca="false">Staff!P95/FX_EUR</f>
        <v>3963.67444817267</v>
      </c>
      <c r="Q53" s="37" t="n">
        <f aca="false">Staff!Q95/FX_EUR</f>
        <v>4161.8581705813</v>
      </c>
      <c r="R53" s="37" t="n">
        <f aca="false">Staff!R95/FX_EUR</f>
        <v>4161.8581705813</v>
      </c>
      <c r="S53" s="37" t="n">
        <f aca="false">Staff!S95/FX_EUR</f>
        <v>4161.8581705813</v>
      </c>
      <c r="T53" s="37" t="n">
        <f aca="false">Staff!T95/FX_EUR</f>
        <v>4161.8581705813</v>
      </c>
      <c r="U53" s="37" t="n">
        <f aca="false">Staff!U95/FX_EUR</f>
        <v>4161.8581705813</v>
      </c>
      <c r="V53" s="37" t="n">
        <f aca="false">Staff!V95/FX_EUR</f>
        <v>6867.06598145915</v>
      </c>
      <c r="W53" s="37" t="n">
        <f aca="false">Staff!W95/FX_EUR</f>
        <v>6867.06598145915</v>
      </c>
      <c r="X53" s="37" t="n">
        <f aca="false">Staff!X95/FX_EUR</f>
        <v>6867.06598145915</v>
      </c>
      <c r="Y53" s="37" t="n">
        <f aca="false">Staff!Y95/FX_EUR</f>
        <v>6867.06598145915</v>
      </c>
      <c r="Z53" s="37" t="n">
        <f aca="false">Staff!Z95/FX_EUR</f>
        <v>6867.06598145915</v>
      </c>
      <c r="AA53" s="37" t="n">
        <f aca="false">Staff!AA95/FX_EUR</f>
        <v>7699.43761557541</v>
      </c>
      <c r="AB53" s="37" t="n">
        <f aca="false">Staff!AB95/FX_EUR</f>
        <v>7699.43761557541</v>
      </c>
      <c r="AC53" s="37" t="n">
        <f aca="false">Staff!AC95/FX_EUR</f>
        <v>8084.40949635418</v>
      </c>
      <c r="AD53" s="37" t="n">
        <f aca="false">Staff!AD95/FX_EUR</f>
        <v>8084.40949635418</v>
      </c>
      <c r="AE53" s="37" t="n">
        <f aca="false">Staff!AE95/FX_EUR</f>
        <v>8958.39971217626</v>
      </c>
      <c r="AF53" s="37" t="n">
        <f aca="false">Staff!AF95/FX_EUR</f>
        <v>8958.39971217626</v>
      </c>
      <c r="AG53" s="37" t="n">
        <f aca="false">Staff!AG95/FX_EUR</f>
        <v>8958.39971217626</v>
      </c>
      <c r="AH53" s="37" t="n">
        <f aca="false">Staff!AH95/FX_EUR</f>
        <v>8958.39971217626</v>
      </c>
      <c r="AI53" s="37" t="n">
        <f aca="false">Staff!AI95/FX_EUR</f>
        <v>9832.38992799833</v>
      </c>
      <c r="AJ53" s="37" t="n">
        <f aca="false">Staff!AJ95/FX_EUR</f>
        <v>9832.38992799833</v>
      </c>
      <c r="AK53" s="37" t="n">
        <f aca="false">Staff!AK95/FX_EUR</f>
        <v>9832.38992799833</v>
      </c>
      <c r="AL53" s="37" t="n">
        <f aca="false">Staff!AL95/FX_EUR</f>
        <v>10706.3801438204</v>
      </c>
      <c r="AM53" s="37" t="n">
        <f aca="false">Staff!AM95/FX_EUR</f>
        <v>11689.6191366202</v>
      </c>
      <c r="AN53" s="37" t="n">
        <f aca="false">Staff!AN95/FX_EUR</f>
        <v>11689.6191366202</v>
      </c>
      <c r="AO53" s="37" t="n">
        <f aca="false">Staff!AO95/FX_EUR</f>
        <v>13191.7898200644</v>
      </c>
      <c r="AP53" s="37" t="n">
        <f aca="false">Staff!AP95/FX_EUR</f>
        <v>13191.7898200644</v>
      </c>
      <c r="AQ53" s="37" t="n">
        <f aca="false">Staff!AQ95/FX_EUR</f>
        <v>14109.4795466776</v>
      </c>
      <c r="AR53" s="37" t="n">
        <f aca="false">Staff!AR95/FX_EUR</f>
        <v>14109.4795466776</v>
      </c>
      <c r="AS53" s="37" t="n">
        <f aca="false">Staff!AS95/FX_EUR</f>
        <v>16059.5702157306</v>
      </c>
      <c r="AT53" s="37" t="n">
        <f aca="false">Staff!AT95/FX_EUR</f>
        <v>16059.5702157306</v>
      </c>
      <c r="AU53" s="37" t="n">
        <f aca="false">Staff!AU95/FX_EUR</f>
        <v>16059.5702157306</v>
      </c>
      <c r="AV53" s="37" t="n">
        <f aca="false">Staff!AV95/FX_EUR</f>
        <v>16977.2599423438</v>
      </c>
      <c r="AW53" s="37" t="n">
        <f aca="false">Staff!AW95/FX_EUR</f>
        <v>16977.2599423438</v>
      </c>
      <c r="AX53" s="37" t="n">
        <f aca="false">Staff!AX95/FX_EUR</f>
        <v>18927.3506113968</v>
      </c>
      <c r="AY53" s="37" t="n">
        <f aca="false">Staff!AY95/FX_EUR</f>
        <v>18927.3506113968</v>
      </c>
      <c r="AZ53" s="37" t="n">
        <f aca="false">Staff!AZ95/FX_EUR</f>
        <v>19845.04033801</v>
      </c>
      <c r="BA53" s="37" t="n">
        <f aca="false">Staff!BA95/FX_EUR</f>
        <v>20837.2923549105</v>
      </c>
      <c r="BB53" s="37" t="n">
        <f aca="false">Staff!BB95/FX_EUR</f>
        <v>21800.8665678543</v>
      </c>
      <c r="BC53" s="37" t="n">
        <f aca="false">Staff!BC95/FX_EUR</f>
        <v>22884.8875574161</v>
      </c>
      <c r="BD53" s="37" t="n">
        <f aca="false">Staff!BD95/FX_EUR</f>
        <v>23848.46177036</v>
      </c>
      <c r="BE53" s="37" t="n">
        <f aca="false">Staff!BE95/FX_EUR</f>
        <v>23848.46177036</v>
      </c>
      <c r="BF53" s="37" t="n">
        <f aca="false">Staff!BF95/FX_EUR</f>
        <v>25896.0569728656</v>
      </c>
      <c r="BG53" s="37" t="n">
        <f aca="false">Staff!BG95/FX_EUR</f>
        <v>25896.0569728656</v>
      </c>
      <c r="BH53" s="37" t="n">
        <f aca="false">Staff!BH95/FX_EUR</f>
        <v>26859.6311858094</v>
      </c>
      <c r="BI53" s="37" t="n">
        <f aca="false">Staff!BI95/FX_EUR</f>
        <v>26859.6311858094</v>
      </c>
      <c r="BJ53" s="37" t="n">
        <f aca="false">Staff!BJ95/FX_EUR</f>
        <v>28907.2263883151</v>
      </c>
      <c r="BK53" s="37" t="n">
        <f aca="false">Staff!BK95/FX_EUR</f>
        <v>29870.8006012589</v>
      </c>
      <c r="BL53" s="37" t="n">
        <f aca="false">Staff!BL95/FX_EUR</f>
        <v>29870.8006012589</v>
      </c>
    </row>
    <row r="54" customFormat="false" ht="15" hidden="false" customHeight="false" outlineLevel="0" collapsed="false">
      <c r="A54" s="12" t="s">
        <v>712</v>
      </c>
      <c r="B54" s="14" t="s">
        <v>73</v>
      </c>
      <c r="D54" s="55" t="n">
        <f aca="false">Staff!D96/FX_EUR</f>
        <v>162312.166422494</v>
      </c>
      <c r="E54" s="37" t="n">
        <f aca="false">Staff!E96/FX_EUR</f>
        <v>0</v>
      </c>
      <c r="F54" s="37" t="n">
        <f aca="false">Staff!F96/FX_EUR</f>
        <v>0</v>
      </c>
      <c r="G54" s="37" t="n">
        <f aca="false">Staff!G96/FX_EUR</f>
        <v>0</v>
      </c>
      <c r="H54" s="37" t="n">
        <f aca="false">Staff!H96/FX_EUR</f>
        <v>1783.6535016777</v>
      </c>
      <c r="I54" s="37" t="n">
        <f aca="false">Staff!I96/FX_EUR</f>
        <v>2576.38839131224</v>
      </c>
      <c r="J54" s="37" t="n">
        <f aca="false">Staff!J96/FX_EUR</f>
        <v>2576.38839131224</v>
      </c>
      <c r="K54" s="37" t="n">
        <f aca="false">Staff!K96/FX_EUR</f>
        <v>2576.38839131224</v>
      </c>
      <c r="L54" s="37" t="n">
        <f aca="false">Staff!L96/FX_EUR</f>
        <v>2576.38839131224</v>
      </c>
      <c r="M54" s="37" t="n">
        <f aca="false">Staff!M96/FX_EUR</f>
        <v>2576.38839131224</v>
      </c>
      <c r="N54" s="37" t="n">
        <f aca="false">Staff!N96/FX_EUR</f>
        <v>2576.38839131224</v>
      </c>
      <c r="O54" s="37" t="n">
        <f aca="false">Staff!O96/FX_EUR</f>
        <v>2576.38839131224</v>
      </c>
      <c r="P54" s="37" t="n">
        <f aca="false">Staff!P96/FX_EUR</f>
        <v>2576.38839131224</v>
      </c>
      <c r="Q54" s="37" t="n">
        <f aca="false">Staff!Q96/FX_EUR</f>
        <v>2705.20781087785</v>
      </c>
      <c r="R54" s="37" t="n">
        <f aca="false">Staff!R96/FX_EUR</f>
        <v>2705.20781087785</v>
      </c>
      <c r="S54" s="37" t="n">
        <f aca="false">Staff!S96/FX_EUR</f>
        <v>2705.20781087785</v>
      </c>
      <c r="T54" s="37" t="n">
        <f aca="false">Staff!T96/FX_EUR</f>
        <v>2705.20781087785</v>
      </c>
      <c r="U54" s="37" t="n">
        <f aca="false">Staff!U96/FX_EUR</f>
        <v>2705.20781087785</v>
      </c>
      <c r="V54" s="37" t="n">
        <f aca="false">Staff!V96/FX_EUR</f>
        <v>2705.20781087785</v>
      </c>
      <c r="W54" s="37" t="n">
        <f aca="false">Staff!W96/FX_EUR</f>
        <v>2705.20781087785</v>
      </c>
      <c r="X54" s="37" t="n">
        <f aca="false">Staff!X96/FX_EUR</f>
        <v>2705.20781087785</v>
      </c>
      <c r="Y54" s="37" t="n">
        <f aca="false">Staff!Y96/FX_EUR</f>
        <v>2705.20781087785</v>
      </c>
      <c r="Z54" s="37" t="n">
        <f aca="false">Staff!Z96/FX_EUR</f>
        <v>2705.20781087785</v>
      </c>
      <c r="AA54" s="37" t="n">
        <f aca="false">Staff!AA96/FX_EUR</f>
        <v>2705.20781087785</v>
      </c>
      <c r="AB54" s="37" t="n">
        <f aca="false">Staff!AB96/FX_EUR</f>
        <v>2705.20781087785</v>
      </c>
      <c r="AC54" s="37" t="n">
        <f aca="false">Staff!AC96/FX_EUR</f>
        <v>2840.46820142174</v>
      </c>
      <c r="AD54" s="37" t="n">
        <f aca="false">Staff!AD96/FX_EUR</f>
        <v>2840.46820142174</v>
      </c>
      <c r="AE54" s="37" t="n">
        <f aca="false">Staff!AE96/FX_EUR</f>
        <v>2840.46820142174</v>
      </c>
      <c r="AF54" s="37" t="n">
        <f aca="false">Staff!AF96/FX_EUR</f>
        <v>2840.46820142174</v>
      </c>
      <c r="AG54" s="37" t="n">
        <f aca="false">Staff!AG96/FX_EUR</f>
        <v>2840.46820142174</v>
      </c>
      <c r="AH54" s="37" t="n">
        <f aca="false">Staff!AH96/FX_EUR</f>
        <v>2840.46820142174</v>
      </c>
      <c r="AI54" s="37" t="n">
        <f aca="false">Staff!AI96/FX_EUR</f>
        <v>2840.46820142174</v>
      </c>
      <c r="AJ54" s="37" t="n">
        <f aca="false">Staff!AJ96/FX_EUR</f>
        <v>2840.46820142174</v>
      </c>
      <c r="AK54" s="37" t="n">
        <f aca="false">Staff!AK96/FX_EUR</f>
        <v>2840.46820142174</v>
      </c>
      <c r="AL54" s="37" t="n">
        <f aca="false">Staff!AL96/FX_EUR</f>
        <v>2840.46820142174</v>
      </c>
      <c r="AM54" s="37" t="n">
        <f aca="false">Staff!AM96/FX_EUR</f>
        <v>2840.46820142174</v>
      </c>
      <c r="AN54" s="37" t="n">
        <f aca="false">Staff!AN96/FX_EUR</f>
        <v>2840.46820142174</v>
      </c>
      <c r="AO54" s="37" t="n">
        <f aca="false">Staff!AO96/FX_EUR</f>
        <v>2982.49161149283</v>
      </c>
      <c r="AP54" s="37" t="n">
        <f aca="false">Staff!AP96/FX_EUR</f>
        <v>2982.49161149283</v>
      </c>
      <c r="AQ54" s="37" t="n">
        <f aca="false">Staff!AQ96/FX_EUR</f>
        <v>2982.49161149283</v>
      </c>
      <c r="AR54" s="37" t="n">
        <f aca="false">Staff!AR96/FX_EUR</f>
        <v>2982.49161149283</v>
      </c>
      <c r="AS54" s="37" t="n">
        <f aca="false">Staff!AS96/FX_EUR</f>
        <v>2982.49161149283</v>
      </c>
      <c r="AT54" s="37" t="n">
        <f aca="false">Staff!AT96/FX_EUR</f>
        <v>2982.49161149283</v>
      </c>
      <c r="AU54" s="37" t="n">
        <f aca="false">Staff!AU96/FX_EUR</f>
        <v>2982.49161149283</v>
      </c>
      <c r="AV54" s="37" t="n">
        <f aca="false">Staff!AV96/FX_EUR</f>
        <v>2982.49161149283</v>
      </c>
      <c r="AW54" s="37" t="n">
        <f aca="false">Staff!AW96/FX_EUR</f>
        <v>2982.49161149283</v>
      </c>
      <c r="AX54" s="37" t="n">
        <f aca="false">Staff!AX96/FX_EUR</f>
        <v>2982.49161149283</v>
      </c>
      <c r="AY54" s="37" t="n">
        <f aca="false">Staff!AY96/FX_EUR</f>
        <v>2982.49161149283</v>
      </c>
      <c r="AZ54" s="37" t="n">
        <f aca="false">Staff!AZ96/FX_EUR</f>
        <v>2982.49161149283</v>
      </c>
      <c r="BA54" s="37" t="n">
        <f aca="false">Staff!BA96/FX_EUR</f>
        <v>3131.61619206747</v>
      </c>
      <c r="BB54" s="37" t="n">
        <f aca="false">Staff!BB96/FX_EUR</f>
        <v>3131.61619206747</v>
      </c>
      <c r="BC54" s="37" t="n">
        <f aca="false">Staff!BC96/FX_EUR</f>
        <v>3131.61619206747</v>
      </c>
      <c r="BD54" s="37" t="n">
        <f aca="false">Staff!BD96/FX_EUR</f>
        <v>3131.61619206747</v>
      </c>
      <c r="BE54" s="37" t="n">
        <f aca="false">Staff!BE96/FX_EUR</f>
        <v>3131.61619206747</v>
      </c>
      <c r="BF54" s="37" t="n">
        <f aca="false">Staff!BF96/FX_EUR</f>
        <v>3131.61619206747</v>
      </c>
      <c r="BG54" s="37" t="n">
        <f aca="false">Staff!BG96/FX_EUR</f>
        <v>3131.61619206747</v>
      </c>
      <c r="BH54" s="37" t="n">
        <f aca="false">Staff!BH96/FX_EUR</f>
        <v>3131.61619206747</v>
      </c>
      <c r="BI54" s="37" t="n">
        <f aca="false">Staff!BI96/FX_EUR</f>
        <v>3131.61619206747</v>
      </c>
      <c r="BJ54" s="37" t="n">
        <f aca="false">Staff!BJ96/FX_EUR</f>
        <v>3131.61619206747</v>
      </c>
      <c r="BK54" s="37" t="n">
        <f aca="false">Staff!BK96/FX_EUR</f>
        <v>3131.61619206747</v>
      </c>
      <c r="BL54" s="37" t="n">
        <f aca="false">Staff!BL96/FX_EUR</f>
        <v>3131.61619206747</v>
      </c>
    </row>
    <row r="55" customFormat="false" ht="15" hidden="false" customHeight="false" outlineLevel="0" collapsed="false">
      <c r="A55" s="12" t="s">
        <v>713</v>
      </c>
      <c r="B55" s="14" t="s">
        <v>73</v>
      </c>
      <c r="D55" s="55" t="n">
        <f aca="false">Staff!D97/FX_EUR</f>
        <v>197116.230560845</v>
      </c>
      <c r="E55" s="37" t="n">
        <f aca="false">Staff!E97/FX_EUR</f>
        <v>2972.7558361295</v>
      </c>
      <c r="F55" s="37" t="n">
        <f aca="false">Staff!F97/FX_EUR</f>
        <v>2972.7558361295</v>
      </c>
      <c r="G55" s="37" t="n">
        <f aca="false">Staff!G97/FX_EUR</f>
        <v>2972.7558361295</v>
      </c>
      <c r="H55" s="37" t="n">
        <f aca="false">Staff!H97/FX_EUR</f>
        <v>2972.7558361295</v>
      </c>
      <c r="I55" s="37" t="n">
        <f aca="false">Staff!I97/FX_EUR</f>
        <v>2972.7558361295</v>
      </c>
      <c r="J55" s="37" t="n">
        <f aca="false">Staff!J97/FX_EUR</f>
        <v>2972.7558361295</v>
      </c>
      <c r="K55" s="37" t="n">
        <f aca="false">Staff!K97/FX_EUR</f>
        <v>2972.7558361295</v>
      </c>
      <c r="L55" s="37" t="n">
        <f aca="false">Staff!L97/FX_EUR</f>
        <v>2972.7558361295</v>
      </c>
      <c r="M55" s="37" t="n">
        <f aca="false">Staff!M97/FX_EUR</f>
        <v>2972.7558361295</v>
      </c>
      <c r="N55" s="37" t="n">
        <f aca="false">Staff!N97/FX_EUR</f>
        <v>2972.7558361295</v>
      </c>
      <c r="O55" s="37" t="n">
        <f aca="false">Staff!O97/FX_EUR</f>
        <v>2972.7558361295</v>
      </c>
      <c r="P55" s="37" t="n">
        <f aca="false">Staff!P97/FX_EUR</f>
        <v>2972.7558361295</v>
      </c>
      <c r="Q55" s="37" t="n">
        <f aca="false">Staff!Q97/FX_EUR</f>
        <v>3121.39362793598</v>
      </c>
      <c r="R55" s="37" t="n">
        <f aca="false">Staff!R97/FX_EUR</f>
        <v>3121.39362793598</v>
      </c>
      <c r="S55" s="37" t="n">
        <f aca="false">Staff!S97/FX_EUR</f>
        <v>3121.39362793598</v>
      </c>
      <c r="T55" s="37" t="n">
        <f aca="false">Staff!T97/FX_EUR</f>
        <v>3121.39362793598</v>
      </c>
      <c r="U55" s="37" t="n">
        <f aca="false">Staff!U97/FX_EUR</f>
        <v>3121.39362793598</v>
      </c>
      <c r="V55" s="37" t="n">
        <f aca="false">Staff!V97/FX_EUR</f>
        <v>3121.39362793598</v>
      </c>
      <c r="W55" s="37" t="n">
        <f aca="false">Staff!W97/FX_EUR</f>
        <v>3121.39362793598</v>
      </c>
      <c r="X55" s="37" t="n">
        <f aca="false">Staff!X97/FX_EUR</f>
        <v>3121.39362793598</v>
      </c>
      <c r="Y55" s="37" t="n">
        <f aca="false">Staff!Y97/FX_EUR</f>
        <v>3121.39362793598</v>
      </c>
      <c r="Z55" s="37" t="n">
        <f aca="false">Staff!Z97/FX_EUR</f>
        <v>3121.39362793598</v>
      </c>
      <c r="AA55" s="37" t="n">
        <f aca="false">Staff!AA97/FX_EUR</f>
        <v>3121.39362793598</v>
      </c>
      <c r="AB55" s="37" t="n">
        <f aca="false">Staff!AB97/FX_EUR</f>
        <v>3121.39362793598</v>
      </c>
      <c r="AC55" s="37" t="n">
        <f aca="false">Staff!AC97/FX_EUR</f>
        <v>3277.46330933278</v>
      </c>
      <c r="AD55" s="37" t="n">
        <f aca="false">Staff!AD97/FX_EUR</f>
        <v>3277.46330933278</v>
      </c>
      <c r="AE55" s="37" t="n">
        <f aca="false">Staff!AE97/FX_EUR</f>
        <v>3277.46330933278</v>
      </c>
      <c r="AF55" s="37" t="n">
        <f aca="false">Staff!AF97/FX_EUR</f>
        <v>3277.46330933278</v>
      </c>
      <c r="AG55" s="37" t="n">
        <f aca="false">Staff!AG97/FX_EUR</f>
        <v>3277.46330933278</v>
      </c>
      <c r="AH55" s="37" t="n">
        <f aca="false">Staff!AH97/FX_EUR</f>
        <v>3277.46330933278</v>
      </c>
      <c r="AI55" s="37" t="n">
        <f aca="false">Staff!AI97/FX_EUR</f>
        <v>3277.46330933278</v>
      </c>
      <c r="AJ55" s="37" t="n">
        <f aca="false">Staff!AJ97/FX_EUR</f>
        <v>3277.46330933278</v>
      </c>
      <c r="AK55" s="37" t="n">
        <f aca="false">Staff!AK97/FX_EUR</f>
        <v>3277.46330933278</v>
      </c>
      <c r="AL55" s="37" t="n">
        <f aca="false">Staff!AL97/FX_EUR</f>
        <v>3277.46330933278</v>
      </c>
      <c r="AM55" s="37" t="n">
        <f aca="false">Staff!AM97/FX_EUR</f>
        <v>3277.46330933278</v>
      </c>
      <c r="AN55" s="37" t="n">
        <f aca="false">Staff!AN97/FX_EUR</f>
        <v>3277.46330933278</v>
      </c>
      <c r="AO55" s="37" t="n">
        <f aca="false">Staff!AO97/FX_EUR</f>
        <v>3441.33647479942</v>
      </c>
      <c r="AP55" s="37" t="n">
        <f aca="false">Staff!AP97/FX_EUR</f>
        <v>3441.33647479942</v>
      </c>
      <c r="AQ55" s="37" t="n">
        <f aca="false">Staff!AQ97/FX_EUR</f>
        <v>3441.33647479942</v>
      </c>
      <c r="AR55" s="37" t="n">
        <f aca="false">Staff!AR97/FX_EUR</f>
        <v>3441.33647479942</v>
      </c>
      <c r="AS55" s="37" t="n">
        <f aca="false">Staff!AS97/FX_EUR</f>
        <v>3441.33647479942</v>
      </c>
      <c r="AT55" s="37" t="n">
        <f aca="false">Staff!AT97/FX_EUR</f>
        <v>3441.33647479942</v>
      </c>
      <c r="AU55" s="37" t="n">
        <f aca="false">Staff!AU97/FX_EUR</f>
        <v>3441.33647479942</v>
      </c>
      <c r="AV55" s="37" t="n">
        <f aca="false">Staff!AV97/FX_EUR</f>
        <v>3441.33647479942</v>
      </c>
      <c r="AW55" s="37" t="n">
        <f aca="false">Staff!AW97/FX_EUR</f>
        <v>3441.33647479942</v>
      </c>
      <c r="AX55" s="37" t="n">
        <f aca="false">Staff!AX97/FX_EUR</f>
        <v>3441.33647479942</v>
      </c>
      <c r="AY55" s="37" t="n">
        <f aca="false">Staff!AY97/FX_EUR</f>
        <v>3441.33647479942</v>
      </c>
      <c r="AZ55" s="37" t="n">
        <f aca="false">Staff!AZ97/FX_EUR</f>
        <v>3441.33647479942</v>
      </c>
      <c r="BA55" s="37" t="n">
        <f aca="false">Staff!BA97/FX_EUR</f>
        <v>3613.40329853939</v>
      </c>
      <c r="BB55" s="37" t="n">
        <f aca="false">Staff!BB97/FX_EUR</f>
        <v>3613.40329853939</v>
      </c>
      <c r="BC55" s="37" t="n">
        <f aca="false">Staff!BC97/FX_EUR</f>
        <v>3613.40329853939</v>
      </c>
      <c r="BD55" s="37" t="n">
        <f aca="false">Staff!BD97/FX_EUR</f>
        <v>3613.40329853939</v>
      </c>
      <c r="BE55" s="37" t="n">
        <f aca="false">Staff!BE97/FX_EUR</f>
        <v>3613.40329853939</v>
      </c>
      <c r="BF55" s="37" t="n">
        <f aca="false">Staff!BF97/FX_EUR</f>
        <v>3613.40329853939</v>
      </c>
      <c r="BG55" s="37" t="n">
        <f aca="false">Staff!BG97/FX_EUR</f>
        <v>3613.40329853939</v>
      </c>
      <c r="BH55" s="37" t="n">
        <f aca="false">Staff!BH97/FX_EUR</f>
        <v>3613.40329853939</v>
      </c>
      <c r="BI55" s="37" t="n">
        <f aca="false">Staff!BI97/FX_EUR</f>
        <v>3613.40329853939</v>
      </c>
      <c r="BJ55" s="37" t="n">
        <f aca="false">Staff!BJ97/FX_EUR</f>
        <v>3613.40329853939</v>
      </c>
      <c r="BK55" s="37" t="n">
        <f aca="false">Staff!BK97/FX_EUR</f>
        <v>3613.40329853939</v>
      </c>
      <c r="BL55" s="37" t="n">
        <f aca="false">Staff!BL97/FX_EUR</f>
        <v>3613.40329853939</v>
      </c>
    </row>
    <row r="56" customFormat="false" ht="15" hidden="false" customHeight="false" outlineLevel="0" collapsed="false">
      <c r="A56" s="8" t="s">
        <v>714</v>
      </c>
      <c r="B56" s="14" t="s">
        <v>73</v>
      </c>
      <c r="D56" s="55" t="n">
        <f aca="false">Staff!D98/FX_EUR</f>
        <v>3297353.80186887</v>
      </c>
      <c r="E56" s="16" t="n">
        <f aca="false">Staff!E98/FX_EUR</f>
        <v>15061.9629030561</v>
      </c>
      <c r="F56" s="16" t="n">
        <f aca="false">Staff!F98/FX_EUR</f>
        <v>15061.9629030561</v>
      </c>
      <c r="G56" s="16" t="n">
        <f aca="false">Staff!G98/FX_EUR</f>
        <v>15061.9629030561</v>
      </c>
      <c r="H56" s="16" t="n">
        <f aca="false">Staff!H98/FX_EUR</f>
        <v>19422.0047960461</v>
      </c>
      <c r="I56" s="16" t="n">
        <f aca="false">Staff!I98/FX_EUR</f>
        <v>20214.7396856806</v>
      </c>
      <c r="J56" s="16" t="n">
        <f aca="false">Staff!J98/FX_EUR</f>
        <v>20214.7396856806</v>
      </c>
      <c r="K56" s="16" t="n">
        <f aca="false">Staff!K98/FX_EUR</f>
        <v>20214.7396856806</v>
      </c>
      <c r="L56" s="16" t="n">
        <f aca="false">Staff!L98/FX_EUR</f>
        <v>20214.7396856806</v>
      </c>
      <c r="M56" s="16" t="n">
        <f aca="false">Staff!M98/FX_EUR</f>
        <v>20214.7396856806</v>
      </c>
      <c r="N56" s="16" t="n">
        <f aca="false">Staff!N98/FX_EUR</f>
        <v>20214.7396856806</v>
      </c>
      <c r="O56" s="16" t="n">
        <f aca="false">Staff!O98/FX_EUR</f>
        <v>20214.7396856806</v>
      </c>
      <c r="P56" s="16" t="n">
        <f aca="false">Staff!P98/FX_EUR</f>
        <v>20214.7396856806</v>
      </c>
      <c r="Q56" s="16" t="n">
        <f aca="false">Staff!Q98/FX_EUR</f>
        <v>26427.7993831913</v>
      </c>
      <c r="R56" s="16" t="n">
        <f aca="false">Staff!R98/FX_EUR</f>
        <v>26427.7993831913</v>
      </c>
      <c r="S56" s="16" t="n">
        <f aca="false">Staff!S98/FX_EUR</f>
        <v>26427.7993831913</v>
      </c>
      <c r="T56" s="16" t="n">
        <f aca="false">Staff!T98/FX_EUR</f>
        <v>27676.3568343657</v>
      </c>
      <c r="U56" s="16" t="n">
        <f aca="false">Staff!U98/FX_EUR</f>
        <v>27676.3568343657</v>
      </c>
      <c r="V56" s="16" t="n">
        <f aca="false">Staff!V98/FX_EUR</f>
        <v>36208.1660840573</v>
      </c>
      <c r="W56" s="16" t="n">
        <f aca="false">Staff!W98/FX_EUR</f>
        <v>36728.39835538</v>
      </c>
      <c r="X56" s="16" t="n">
        <f aca="false">Staff!X98/FX_EUR</f>
        <v>36728.39835538</v>
      </c>
      <c r="Y56" s="16" t="n">
        <f aca="false">Staff!Y98/FX_EUR</f>
        <v>36728.39835538</v>
      </c>
      <c r="Z56" s="16" t="n">
        <f aca="false">Staff!Z98/FX_EUR</f>
        <v>36728.39835538</v>
      </c>
      <c r="AA56" s="16" t="n">
        <f aca="false">Staff!AA98/FX_EUR</f>
        <v>38081.0022608189</v>
      </c>
      <c r="AB56" s="16" t="n">
        <f aca="false">Staff!AB98/FX_EUR</f>
        <v>41202.3958887549</v>
      </c>
      <c r="AC56" s="16" t="n">
        <f aca="false">Staff!AC98/FX_EUR</f>
        <v>43262.5156831927</v>
      </c>
      <c r="AD56" s="16" t="n">
        <f aca="false">Staff!AD98/FX_EUR</f>
        <v>43262.5156831927</v>
      </c>
      <c r="AE56" s="16" t="n">
        <f aca="false">Staff!AE98/FX_EUR</f>
        <v>47304.7204313697</v>
      </c>
      <c r="AF56" s="16" t="n">
        <f aca="false">Staff!AF98/FX_EUR</f>
        <v>48615.7057551029</v>
      </c>
      <c r="AG56" s="16" t="n">
        <f aca="false">Staff!AG98/FX_EUR</f>
        <v>50254.4374097692</v>
      </c>
      <c r="AH56" s="16" t="n">
        <f aca="false">Staff!AH98/FX_EUR</f>
        <v>50254.4374097692</v>
      </c>
      <c r="AI56" s="16" t="n">
        <f aca="false">Staff!AI98/FX_EUR</f>
        <v>51674.6715104801</v>
      </c>
      <c r="AJ56" s="16" t="n">
        <f aca="false">Staff!AJ98/FX_EUR</f>
        <v>52220.9153953689</v>
      </c>
      <c r="AK56" s="16" t="n">
        <f aca="false">Staff!AK98/FX_EUR</f>
        <v>53531.900719102</v>
      </c>
      <c r="AL56" s="16" t="n">
        <f aca="false">Staff!AL98/FX_EUR</f>
        <v>54952.1348198129</v>
      </c>
      <c r="AM56" s="16" t="n">
        <f aca="false">Staff!AM98/FX_EUR</f>
        <v>55935.3738126127</v>
      </c>
      <c r="AN56" s="16" t="n">
        <f aca="false">Staff!AN98/FX_EUR</f>
        <v>56481.6176975015</v>
      </c>
      <c r="AO56" s="16" t="n">
        <f aca="false">Staff!AO98/FX_EUR</f>
        <v>64926.5481578823</v>
      </c>
      <c r="AP56" s="16" t="n">
        <f aca="false">Staff!AP98/FX_EUR</f>
        <v>64926.5481578823</v>
      </c>
      <c r="AQ56" s="16" t="n">
        <f aca="false">Staff!AQ98/FX_EUR</f>
        <v>66417.7939636287</v>
      </c>
      <c r="AR56" s="16" t="n">
        <f aca="false">Staff!AR98/FX_EUR</f>
        <v>66991.350042762</v>
      </c>
      <c r="AS56" s="16" t="n">
        <f aca="false">Staff!AS98/FX_EUR</f>
        <v>70891.531380868</v>
      </c>
      <c r="AT56" s="16" t="n">
        <f aca="false">Staff!AT98/FX_EUR</f>
        <v>70891.531380868</v>
      </c>
      <c r="AU56" s="16" t="n">
        <f aca="false">Staff!AU98/FX_EUR</f>
        <v>71465.0874600012</v>
      </c>
      <c r="AV56" s="16" t="n">
        <f aca="false">Staff!AV98/FX_EUR</f>
        <v>72956.3332657476</v>
      </c>
      <c r="AW56" s="16" t="n">
        <f aca="false">Staff!AW98/FX_EUR</f>
        <v>76282.9585247204</v>
      </c>
      <c r="AX56" s="16" t="n">
        <f aca="false">Staff!AX98/FX_EUR</f>
        <v>80183.1398628264</v>
      </c>
      <c r="AY56" s="16" t="n">
        <f aca="false">Staff!AY98/FX_EUR</f>
        <v>80183.1398628264</v>
      </c>
      <c r="AZ56" s="16" t="n">
        <f aca="false">Staff!AZ98/FX_EUR</f>
        <v>81674.3856685728</v>
      </c>
      <c r="BA56" s="16" t="n">
        <f aca="false">Staff!BA98/FX_EUR</f>
        <v>86360.3388350913</v>
      </c>
      <c r="BB56" s="16" t="n">
        <f aca="false">Staff!BB98/FX_EUR</f>
        <v>89371.5082505408</v>
      </c>
      <c r="BC56" s="16" t="n">
        <f aca="false">Staff!BC98/FX_EUR</f>
        <v>91057.7631231925</v>
      </c>
      <c r="BD56" s="16" t="n">
        <f aca="false">Staff!BD98/FX_EUR</f>
        <v>95514.2938580578</v>
      </c>
      <c r="BE56" s="16" t="n">
        <f aca="false">Staff!BE98/FX_EUR</f>
        <v>96116.5277411477</v>
      </c>
      <c r="BF56" s="16" t="n">
        <f aca="false">Staff!BF98/FX_EUR</f>
        <v>100211.718146159</v>
      </c>
      <c r="BG56" s="16" t="n">
        <f aca="false">Staff!BG98/FX_EUR</f>
        <v>100813.952029249</v>
      </c>
      <c r="BH56" s="16" t="n">
        <f aca="false">Staff!BH98/FX_EUR</f>
        <v>102379.760125283</v>
      </c>
      <c r="BI56" s="16" t="n">
        <f aca="false">Staff!BI98/FX_EUR</f>
        <v>102981.994008373</v>
      </c>
      <c r="BJ56" s="16" t="n">
        <f aca="false">Staff!BJ98/FX_EUR</f>
        <v>109967.907052215</v>
      </c>
      <c r="BK56" s="16" t="n">
        <f aca="false">Staff!BK98/FX_EUR</f>
        <v>111533.715148249</v>
      </c>
      <c r="BL56" s="16" t="n">
        <f aca="false">Staff!BL98/FX_EUR</f>
        <v>112135.949031339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L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16"/>
    <col collapsed="false" customWidth="true" hidden="false" outlineLevel="0" max="3" min="3" style="0" width="3"/>
    <col collapsed="false" customWidth="true" hidden="false" outlineLevel="0" max="4" min="4" style="0" width="16"/>
    <col collapsed="false" customWidth="true" hidden="false" outlineLevel="0" max="64" min="5" style="0" width="12"/>
  </cols>
  <sheetData>
    <row r="1" customFormat="false" ht="17.35" hidden="false" customHeight="false" outlineLevel="0" collapsed="false">
      <c r="A1" s="7" t="s">
        <v>22</v>
      </c>
    </row>
    <row r="2" customFormat="false" ht="15" hidden="false" customHeight="false" outlineLevel="0" collapsed="false">
      <c r="A2" s="2" t="s">
        <v>717</v>
      </c>
    </row>
    <row r="3" customFormat="false" ht="15" hidden="false" customHeight="false" outlineLevel="0" collapsed="false">
      <c r="A3" s="8" t="s">
        <v>680</v>
      </c>
      <c r="D3" s="8" t="s">
        <v>681</v>
      </c>
      <c r="E3" s="20" t="n">
        <v>1</v>
      </c>
      <c r="F3" s="20" t="n">
        <f aca="false">E3+1</f>
        <v>2</v>
      </c>
      <c r="G3" s="20" t="n">
        <f aca="false">F3+1</f>
        <v>3</v>
      </c>
      <c r="H3" s="20" t="n">
        <f aca="false">G3+1</f>
        <v>4</v>
      </c>
      <c r="I3" s="20" t="n">
        <f aca="false">H3+1</f>
        <v>5</v>
      </c>
      <c r="J3" s="20" t="n">
        <f aca="false">I3+1</f>
        <v>6</v>
      </c>
      <c r="K3" s="20" t="n">
        <f aca="false">J3+1</f>
        <v>7</v>
      </c>
      <c r="L3" s="20" t="n">
        <f aca="false">K3+1</f>
        <v>8</v>
      </c>
      <c r="M3" s="20" t="n">
        <f aca="false">L3+1</f>
        <v>9</v>
      </c>
      <c r="N3" s="20" t="n">
        <f aca="false">M3+1</f>
        <v>10</v>
      </c>
      <c r="O3" s="20" t="n">
        <f aca="false">N3+1</f>
        <v>11</v>
      </c>
      <c r="P3" s="20" t="n">
        <f aca="false">O3+1</f>
        <v>12</v>
      </c>
      <c r="Q3" s="20" t="n">
        <f aca="false">P3+1</f>
        <v>13</v>
      </c>
      <c r="R3" s="20" t="n">
        <f aca="false">Q3+1</f>
        <v>14</v>
      </c>
      <c r="S3" s="20" t="n">
        <f aca="false">R3+1</f>
        <v>15</v>
      </c>
      <c r="T3" s="20" t="n">
        <f aca="false">S3+1</f>
        <v>16</v>
      </c>
      <c r="U3" s="20" t="n">
        <f aca="false">T3+1</f>
        <v>17</v>
      </c>
      <c r="V3" s="20" t="n">
        <f aca="false">U3+1</f>
        <v>18</v>
      </c>
      <c r="W3" s="20" t="n">
        <f aca="false">V3+1</f>
        <v>19</v>
      </c>
      <c r="X3" s="20" t="n">
        <f aca="false">W3+1</f>
        <v>20</v>
      </c>
      <c r="Y3" s="20" t="n">
        <f aca="false">X3+1</f>
        <v>21</v>
      </c>
      <c r="Z3" s="20" t="n">
        <f aca="false">Y3+1</f>
        <v>22</v>
      </c>
      <c r="AA3" s="20" t="n">
        <f aca="false">Z3+1</f>
        <v>23</v>
      </c>
      <c r="AB3" s="20" t="n">
        <f aca="false">AA3+1</f>
        <v>24</v>
      </c>
      <c r="AC3" s="20" t="n">
        <f aca="false">AB3+1</f>
        <v>25</v>
      </c>
      <c r="AD3" s="20" t="n">
        <f aca="false">AC3+1</f>
        <v>26</v>
      </c>
      <c r="AE3" s="20" t="n">
        <f aca="false">AD3+1</f>
        <v>27</v>
      </c>
      <c r="AF3" s="20" t="n">
        <f aca="false">AE3+1</f>
        <v>28</v>
      </c>
      <c r="AG3" s="20" t="n">
        <f aca="false">AF3+1</f>
        <v>29</v>
      </c>
      <c r="AH3" s="20" t="n">
        <f aca="false">AG3+1</f>
        <v>30</v>
      </c>
      <c r="AI3" s="20" t="n">
        <f aca="false">AH3+1</f>
        <v>31</v>
      </c>
      <c r="AJ3" s="20" t="n">
        <f aca="false">AI3+1</f>
        <v>32</v>
      </c>
      <c r="AK3" s="20" t="n">
        <f aca="false">AJ3+1</f>
        <v>33</v>
      </c>
      <c r="AL3" s="20" t="n">
        <f aca="false">AK3+1</f>
        <v>34</v>
      </c>
      <c r="AM3" s="20" t="n">
        <f aca="false">AL3+1</f>
        <v>35</v>
      </c>
      <c r="AN3" s="20" t="n">
        <f aca="false">AM3+1</f>
        <v>36</v>
      </c>
      <c r="AO3" s="20" t="n">
        <f aca="false">AN3+1</f>
        <v>37</v>
      </c>
      <c r="AP3" s="20" t="n">
        <f aca="false">AO3+1</f>
        <v>38</v>
      </c>
      <c r="AQ3" s="20" t="n">
        <f aca="false">AP3+1</f>
        <v>39</v>
      </c>
      <c r="AR3" s="20" t="n">
        <f aca="false">AQ3+1</f>
        <v>40</v>
      </c>
      <c r="AS3" s="20" t="n">
        <f aca="false">AR3+1</f>
        <v>41</v>
      </c>
      <c r="AT3" s="20" t="n">
        <f aca="false">AS3+1</f>
        <v>42</v>
      </c>
      <c r="AU3" s="20" t="n">
        <f aca="false">AT3+1</f>
        <v>43</v>
      </c>
      <c r="AV3" s="20" t="n">
        <f aca="false">AU3+1</f>
        <v>44</v>
      </c>
      <c r="AW3" s="20" t="n">
        <f aca="false">AV3+1</f>
        <v>45</v>
      </c>
      <c r="AX3" s="20" t="n">
        <f aca="false">AW3+1</f>
        <v>46</v>
      </c>
      <c r="AY3" s="20" t="n">
        <f aca="false">AX3+1</f>
        <v>47</v>
      </c>
      <c r="AZ3" s="20" t="n">
        <f aca="false">AY3+1</f>
        <v>48</v>
      </c>
      <c r="BA3" s="20" t="n">
        <f aca="false">AZ3+1</f>
        <v>49</v>
      </c>
      <c r="BB3" s="20" t="n">
        <f aca="false">BA3+1</f>
        <v>50</v>
      </c>
      <c r="BC3" s="20" t="n">
        <f aca="false">BB3+1</f>
        <v>51</v>
      </c>
      <c r="BD3" s="20" t="n">
        <f aca="false">BC3+1</f>
        <v>52</v>
      </c>
      <c r="BE3" s="20" t="n">
        <f aca="false">BD3+1</f>
        <v>53</v>
      </c>
      <c r="BF3" s="20" t="n">
        <f aca="false">BE3+1</f>
        <v>54</v>
      </c>
      <c r="BG3" s="20" t="n">
        <f aca="false">BF3+1</f>
        <v>55</v>
      </c>
      <c r="BH3" s="20" t="n">
        <f aca="false">BG3+1</f>
        <v>56</v>
      </c>
      <c r="BI3" s="20" t="n">
        <f aca="false">BH3+1</f>
        <v>57</v>
      </c>
      <c r="BJ3" s="20" t="n">
        <f aca="false">BI3+1</f>
        <v>58</v>
      </c>
      <c r="BK3" s="20" t="n">
        <f aca="false">BJ3+1</f>
        <v>59</v>
      </c>
      <c r="BL3" s="20" t="n">
        <f aca="false">BK3+1</f>
        <v>60</v>
      </c>
    </row>
    <row r="4" customFormat="false" ht="15" hidden="false" customHeight="false" outlineLevel="0" collapsed="false">
      <c r="A4" s="8" t="s">
        <v>682</v>
      </c>
      <c r="E4" s="53" t="n">
        <f aca="false">DATE(YEAR(Start_Date),MONTH(Start_Date)+E3-1,1)</f>
        <v>46388</v>
      </c>
      <c r="F4" s="53" t="n">
        <f aca="false">DATE(YEAR(Start_Date),MONTH(Start_Date)+F3-1,1)</f>
        <v>46419</v>
      </c>
      <c r="G4" s="53" t="n">
        <f aca="false">DATE(YEAR(Start_Date),MONTH(Start_Date)+G3-1,1)</f>
        <v>46447</v>
      </c>
      <c r="H4" s="53" t="n">
        <f aca="false">DATE(YEAR(Start_Date),MONTH(Start_Date)+H3-1,1)</f>
        <v>46478</v>
      </c>
      <c r="I4" s="53" t="n">
        <f aca="false">DATE(YEAR(Start_Date),MONTH(Start_Date)+I3-1,1)</f>
        <v>46508</v>
      </c>
      <c r="J4" s="53" t="n">
        <f aca="false">DATE(YEAR(Start_Date),MONTH(Start_Date)+J3-1,1)</f>
        <v>46539</v>
      </c>
      <c r="K4" s="53" t="n">
        <f aca="false">DATE(YEAR(Start_Date),MONTH(Start_Date)+K3-1,1)</f>
        <v>46569</v>
      </c>
      <c r="L4" s="53" t="n">
        <f aca="false">DATE(YEAR(Start_Date),MONTH(Start_Date)+L3-1,1)</f>
        <v>46600</v>
      </c>
      <c r="M4" s="53" t="n">
        <f aca="false">DATE(YEAR(Start_Date),MONTH(Start_Date)+M3-1,1)</f>
        <v>46631</v>
      </c>
      <c r="N4" s="53" t="n">
        <f aca="false">DATE(YEAR(Start_Date),MONTH(Start_Date)+N3-1,1)</f>
        <v>46661</v>
      </c>
      <c r="O4" s="53" t="n">
        <f aca="false">DATE(YEAR(Start_Date),MONTH(Start_Date)+O3-1,1)</f>
        <v>46692</v>
      </c>
      <c r="P4" s="53" t="n">
        <f aca="false">DATE(YEAR(Start_Date),MONTH(Start_Date)+P3-1,1)</f>
        <v>46722</v>
      </c>
      <c r="Q4" s="53" t="n">
        <f aca="false">DATE(YEAR(Start_Date),MONTH(Start_Date)+Q3-1,1)</f>
        <v>46753</v>
      </c>
      <c r="R4" s="53" t="n">
        <f aca="false">DATE(YEAR(Start_Date),MONTH(Start_Date)+R3-1,1)</f>
        <v>46784</v>
      </c>
      <c r="S4" s="53" t="n">
        <f aca="false">DATE(YEAR(Start_Date),MONTH(Start_Date)+S3-1,1)</f>
        <v>46813</v>
      </c>
      <c r="T4" s="53" t="n">
        <f aca="false">DATE(YEAR(Start_Date),MONTH(Start_Date)+T3-1,1)</f>
        <v>46844</v>
      </c>
      <c r="U4" s="53" t="n">
        <f aca="false">DATE(YEAR(Start_Date),MONTH(Start_Date)+U3-1,1)</f>
        <v>46874</v>
      </c>
      <c r="V4" s="53" t="n">
        <f aca="false">DATE(YEAR(Start_Date),MONTH(Start_Date)+V3-1,1)</f>
        <v>46905</v>
      </c>
      <c r="W4" s="53" t="n">
        <f aca="false">DATE(YEAR(Start_Date),MONTH(Start_Date)+W3-1,1)</f>
        <v>46935</v>
      </c>
      <c r="X4" s="53" t="n">
        <f aca="false">DATE(YEAR(Start_Date),MONTH(Start_Date)+X3-1,1)</f>
        <v>46966</v>
      </c>
      <c r="Y4" s="53" t="n">
        <f aca="false">DATE(YEAR(Start_Date),MONTH(Start_Date)+Y3-1,1)</f>
        <v>46997</v>
      </c>
      <c r="Z4" s="53" t="n">
        <f aca="false">DATE(YEAR(Start_Date),MONTH(Start_Date)+Z3-1,1)</f>
        <v>47027</v>
      </c>
      <c r="AA4" s="53" t="n">
        <f aca="false">DATE(YEAR(Start_Date),MONTH(Start_Date)+AA3-1,1)</f>
        <v>47058</v>
      </c>
      <c r="AB4" s="53" t="n">
        <f aca="false">DATE(YEAR(Start_Date),MONTH(Start_Date)+AB3-1,1)</f>
        <v>47088</v>
      </c>
      <c r="AC4" s="53" t="n">
        <f aca="false">DATE(YEAR(Start_Date),MONTH(Start_Date)+AC3-1,1)</f>
        <v>47119</v>
      </c>
      <c r="AD4" s="53" t="n">
        <f aca="false">DATE(YEAR(Start_Date),MONTH(Start_Date)+AD3-1,1)</f>
        <v>47150</v>
      </c>
      <c r="AE4" s="53" t="n">
        <f aca="false">DATE(YEAR(Start_Date),MONTH(Start_Date)+AE3-1,1)</f>
        <v>47178</v>
      </c>
      <c r="AF4" s="53" t="n">
        <f aca="false">DATE(YEAR(Start_Date),MONTH(Start_Date)+AF3-1,1)</f>
        <v>47209</v>
      </c>
      <c r="AG4" s="53" t="n">
        <f aca="false">DATE(YEAR(Start_Date),MONTH(Start_Date)+AG3-1,1)</f>
        <v>47239</v>
      </c>
      <c r="AH4" s="53" t="n">
        <f aca="false">DATE(YEAR(Start_Date),MONTH(Start_Date)+AH3-1,1)</f>
        <v>47270</v>
      </c>
      <c r="AI4" s="53" t="n">
        <f aca="false">DATE(YEAR(Start_Date),MONTH(Start_Date)+AI3-1,1)</f>
        <v>47300</v>
      </c>
      <c r="AJ4" s="53" t="n">
        <f aca="false">DATE(YEAR(Start_Date),MONTH(Start_Date)+AJ3-1,1)</f>
        <v>47331</v>
      </c>
      <c r="AK4" s="53" t="n">
        <f aca="false">DATE(YEAR(Start_Date),MONTH(Start_Date)+AK3-1,1)</f>
        <v>47362</v>
      </c>
      <c r="AL4" s="53" t="n">
        <f aca="false">DATE(YEAR(Start_Date),MONTH(Start_Date)+AL3-1,1)</f>
        <v>47392</v>
      </c>
      <c r="AM4" s="53" t="n">
        <f aca="false">DATE(YEAR(Start_Date),MONTH(Start_Date)+AM3-1,1)</f>
        <v>47423</v>
      </c>
      <c r="AN4" s="53" t="n">
        <f aca="false">DATE(YEAR(Start_Date),MONTH(Start_Date)+AN3-1,1)</f>
        <v>47453</v>
      </c>
      <c r="AO4" s="53" t="n">
        <f aca="false">DATE(YEAR(Start_Date),MONTH(Start_Date)+AO3-1,1)</f>
        <v>47484</v>
      </c>
      <c r="AP4" s="53" t="n">
        <f aca="false">DATE(YEAR(Start_Date),MONTH(Start_Date)+AP3-1,1)</f>
        <v>47515</v>
      </c>
      <c r="AQ4" s="53" t="n">
        <f aca="false">DATE(YEAR(Start_Date),MONTH(Start_Date)+AQ3-1,1)</f>
        <v>47543</v>
      </c>
      <c r="AR4" s="53" t="n">
        <f aca="false">DATE(YEAR(Start_Date),MONTH(Start_Date)+AR3-1,1)</f>
        <v>47574</v>
      </c>
      <c r="AS4" s="53" t="n">
        <f aca="false">DATE(YEAR(Start_Date),MONTH(Start_Date)+AS3-1,1)</f>
        <v>47604</v>
      </c>
      <c r="AT4" s="53" t="n">
        <f aca="false">DATE(YEAR(Start_Date),MONTH(Start_Date)+AT3-1,1)</f>
        <v>47635</v>
      </c>
      <c r="AU4" s="53" t="n">
        <f aca="false">DATE(YEAR(Start_Date),MONTH(Start_Date)+AU3-1,1)</f>
        <v>47665</v>
      </c>
      <c r="AV4" s="53" t="n">
        <f aca="false">DATE(YEAR(Start_Date),MONTH(Start_Date)+AV3-1,1)</f>
        <v>47696</v>
      </c>
      <c r="AW4" s="53" t="n">
        <f aca="false">DATE(YEAR(Start_Date),MONTH(Start_Date)+AW3-1,1)</f>
        <v>47727</v>
      </c>
      <c r="AX4" s="53" t="n">
        <f aca="false">DATE(YEAR(Start_Date),MONTH(Start_Date)+AX3-1,1)</f>
        <v>47757</v>
      </c>
      <c r="AY4" s="53" t="n">
        <f aca="false">DATE(YEAR(Start_Date),MONTH(Start_Date)+AY3-1,1)</f>
        <v>47788</v>
      </c>
      <c r="AZ4" s="53" t="n">
        <f aca="false">DATE(YEAR(Start_Date),MONTH(Start_Date)+AZ3-1,1)</f>
        <v>47818</v>
      </c>
      <c r="BA4" s="53" t="n">
        <f aca="false">DATE(YEAR(Start_Date),MONTH(Start_Date)+BA3-1,1)</f>
        <v>47849</v>
      </c>
      <c r="BB4" s="53" t="n">
        <f aca="false">DATE(YEAR(Start_Date),MONTH(Start_Date)+BB3-1,1)</f>
        <v>47880</v>
      </c>
      <c r="BC4" s="53" t="n">
        <f aca="false">DATE(YEAR(Start_Date),MONTH(Start_Date)+BC3-1,1)</f>
        <v>47908</v>
      </c>
      <c r="BD4" s="53" t="n">
        <f aca="false">DATE(YEAR(Start_Date),MONTH(Start_Date)+BD3-1,1)</f>
        <v>47939</v>
      </c>
      <c r="BE4" s="53" t="n">
        <f aca="false">DATE(YEAR(Start_Date),MONTH(Start_Date)+BE3-1,1)</f>
        <v>47969</v>
      </c>
      <c r="BF4" s="53" t="n">
        <f aca="false">DATE(YEAR(Start_Date),MONTH(Start_Date)+BF3-1,1)</f>
        <v>48000</v>
      </c>
      <c r="BG4" s="53" t="n">
        <f aca="false">DATE(YEAR(Start_Date),MONTH(Start_Date)+BG3-1,1)</f>
        <v>48030</v>
      </c>
      <c r="BH4" s="53" t="n">
        <f aca="false">DATE(YEAR(Start_Date),MONTH(Start_Date)+BH3-1,1)</f>
        <v>48061</v>
      </c>
      <c r="BI4" s="53" t="n">
        <f aca="false">DATE(YEAR(Start_Date),MONTH(Start_Date)+BI3-1,1)</f>
        <v>48092</v>
      </c>
      <c r="BJ4" s="53" t="n">
        <f aca="false">DATE(YEAR(Start_Date),MONTH(Start_Date)+BJ3-1,1)</f>
        <v>48122</v>
      </c>
      <c r="BK4" s="53" t="n">
        <f aca="false">DATE(YEAR(Start_Date),MONTH(Start_Date)+BK3-1,1)</f>
        <v>48153</v>
      </c>
      <c r="BL4" s="53" t="n">
        <f aca="false">DATE(YEAR(Start_Date),MONTH(Start_Date)+BL3-1,1)</f>
        <v>48183</v>
      </c>
    </row>
    <row r="5" customFormat="false" ht="15" hidden="false" customHeight="false" outlineLevel="0" collapsed="false">
      <c r="A5" s="8" t="s">
        <v>81</v>
      </c>
      <c r="E5" s="54" t="n">
        <f aca="false">INT((E3-1)/12)+1</f>
        <v>1</v>
      </c>
      <c r="F5" s="54" t="n">
        <f aca="false">INT((F3-1)/12)+1</f>
        <v>1</v>
      </c>
      <c r="G5" s="54" t="n">
        <f aca="false">INT((G3-1)/12)+1</f>
        <v>1</v>
      </c>
      <c r="H5" s="54" t="n">
        <f aca="false">INT((H3-1)/12)+1</f>
        <v>1</v>
      </c>
      <c r="I5" s="54" t="n">
        <f aca="false">INT((I3-1)/12)+1</f>
        <v>1</v>
      </c>
      <c r="J5" s="54" t="n">
        <f aca="false">INT((J3-1)/12)+1</f>
        <v>1</v>
      </c>
      <c r="K5" s="54" t="n">
        <f aca="false">INT((K3-1)/12)+1</f>
        <v>1</v>
      </c>
      <c r="L5" s="54" t="n">
        <f aca="false">INT((L3-1)/12)+1</f>
        <v>1</v>
      </c>
      <c r="M5" s="54" t="n">
        <f aca="false">INT((M3-1)/12)+1</f>
        <v>1</v>
      </c>
      <c r="N5" s="54" t="n">
        <f aca="false">INT((N3-1)/12)+1</f>
        <v>1</v>
      </c>
      <c r="O5" s="54" t="n">
        <f aca="false">INT((O3-1)/12)+1</f>
        <v>1</v>
      </c>
      <c r="P5" s="54" t="n">
        <f aca="false">INT((P3-1)/12)+1</f>
        <v>1</v>
      </c>
      <c r="Q5" s="54" t="n">
        <f aca="false">INT((Q3-1)/12)+1</f>
        <v>2</v>
      </c>
      <c r="R5" s="54" t="n">
        <f aca="false">INT((R3-1)/12)+1</f>
        <v>2</v>
      </c>
      <c r="S5" s="54" t="n">
        <f aca="false">INT((S3-1)/12)+1</f>
        <v>2</v>
      </c>
      <c r="T5" s="54" t="n">
        <f aca="false">INT((T3-1)/12)+1</f>
        <v>2</v>
      </c>
      <c r="U5" s="54" t="n">
        <f aca="false">INT((U3-1)/12)+1</f>
        <v>2</v>
      </c>
      <c r="V5" s="54" t="n">
        <f aca="false">INT((V3-1)/12)+1</f>
        <v>2</v>
      </c>
      <c r="W5" s="54" t="n">
        <f aca="false">INT((W3-1)/12)+1</f>
        <v>2</v>
      </c>
      <c r="X5" s="54" t="n">
        <f aca="false">INT((X3-1)/12)+1</f>
        <v>2</v>
      </c>
      <c r="Y5" s="54" t="n">
        <f aca="false">INT((Y3-1)/12)+1</f>
        <v>2</v>
      </c>
      <c r="Z5" s="54" t="n">
        <f aca="false">INT((Z3-1)/12)+1</f>
        <v>2</v>
      </c>
      <c r="AA5" s="54" t="n">
        <f aca="false">INT((AA3-1)/12)+1</f>
        <v>2</v>
      </c>
      <c r="AB5" s="54" t="n">
        <f aca="false">INT((AB3-1)/12)+1</f>
        <v>2</v>
      </c>
      <c r="AC5" s="54" t="n">
        <f aca="false">INT((AC3-1)/12)+1</f>
        <v>3</v>
      </c>
      <c r="AD5" s="54" t="n">
        <f aca="false">INT((AD3-1)/12)+1</f>
        <v>3</v>
      </c>
      <c r="AE5" s="54" t="n">
        <f aca="false">INT((AE3-1)/12)+1</f>
        <v>3</v>
      </c>
      <c r="AF5" s="54" t="n">
        <f aca="false">INT((AF3-1)/12)+1</f>
        <v>3</v>
      </c>
      <c r="AG5" s="54" t="n">
        <f aca="false">INT((AG3-1)/12)+1</f>
        <v>3</v>
      </c>
      <c r="AH5" s="54" t="n">
        <f aca="false">INT((AH3-1)/12)+1</f>
        <v>3</v>
      </c>
      <c r="AI5" s="54" t="n">
        <f aca="false">INT((AI3-1)/12)+1</f>
        <v>3</v>
      </c>
      <c r="AJ5" s="54" t="n">
        <f aca="false">INT((AJ3-1)/12)+1</f>
        <v>3</v>
      </c>
      <c r="AK5" s="54" t="n">
        <f aca="false">INT((AK3-1)/12)+1</f>
        <v>3</v>
      </c>
      <c r="AL5" s="54" t="n">
        <f aca="false">INT((AL3-1)/12)+1</f>
        <v>3</v>
      </c>
      <c r="AM5" s="54" t="n">
        <f aca="false">INT((AM3-1)/12)+1</f>
        <v>3</v>
      </c>
      <c r="AN5" s="54" t="n">
        <f aca="false">INT((AN3-1)/12)+1</f>
        <v>3</v>
      </c>
      <c r="AO5" s="54" t="n">
        <f aca="false">INT((AO3-1)/12)+1</f>
        <v>4</v>
      </c>
      <c r="AP5" s="54" t="n">
        <f aca="false">INT((AP3-1)/12)+1</f>
        <v>4</v>
      </c>
      <c r="AQ5" s="54" t="n">
        <f aca="false">INT((AQ3-1)/12)+1</f>
        <v>4</v>
      </c>
      <c r="AR5" s="54" t="n">
        <f aca="false">INT((AR3-1)/12)+1</f>
        <v>4</v>
      </c>
      <c r="AS5" s="54" t="n">
        <f aca="false">INT((AS3-1)/12)+1</f>
        <v>4</v>
      </c>
      <c r="AT5" s="54" t="n">
        <f aca="false">INT((AT3-1)/12)+1</f>
        <v>4</v>
      </c>
      <c r="AU5" s="54" t="n">
        <f aca="false">INT((AU3-1)/12)+1</f>
        <v>4</v>
      </c>
      <c r="AV5" s="54" t="n">
        <f aca="false">INT((AV3-1)/12)+1</f>
        <v>4</v>
      </c>
      <c r="AW5" s="54" t="n">
        <f aca="false">INT((AW3-1)/12)+1</f>
        <v>4</v>
      </c>
      <c r="AX5" s="54" t="n">
        <f aca="false">INT((AX3-1)/12)+1</f>
        <v>4</v>
      </c>
      <c r="AY5" s="54" t="n">
        <f aca="false">INT((AY3-1)/12)+1</f>
        <v>4</v>
      </c>
      <c r="AZ5" s="54" t="n">
        <f aca="false">INT((AZ3-1)/12)+1</f>
        <v>4</v>
      </c>
      <c r="BA5" s="54" t="n">
        <f aca="false">INT((BA3-1)/12)+1</f>
        <v>5</v>
      </c>
      <c r="BB5" s="54" t="n">
        <f aca="false">INT((BB3-1)/12)+1</f>
        <v>5</v>
      </c>
      <c r="BC5" s="54" t="n">
        <f aca="false">INT((BC3-1)/12)+1</f>
        <v>5</v>
      </c>
      <c r="BD5" s="54" t="n">
        <f aca="false">INT((BD3-1)/12)+1</f>
        <v>5</v>
      </c>
      <c r="BE5" s="54" t="n">
        <f aca="false">INT((BE3-1)/12)+1</f>
        <v>5</v>
      </c>
      <c r="BF5" s="54" t="n">
        <f aca="false">INT((BF3-1)/12)+1</f>
        <v>5</v>
      </c>
      <c r="BG5" s="54" t="n">
        <f aca="false">INT((BG3-1)/12)+1</f>
        <v>5</v>
      </c>
      <c r="BH5" s="54" t="n">
        <f aca="false">INT((BH3-1)/12)+1</f>
        <v>5</v>
      </c>
      <c r="BI5" s="54" t="n">
        <f aca="false">INT((BI3-1)/12)+1</f>
        <v>5</v>
      </c>
      <c r="BJ5" s="54" t="n">
        <f aca="false">INT((BJ3-1)/12)+1</f>
        <v>5</v>
      </c>
      <c r="BK5" s="54" t="n">
        <f aca="false">INT((BK3-1)/12)+1</f>
        <v>5</v>
      </c>
      <c r="BL5" s="54" t="n">
        <f aca="false">INT((BL3-1)/12)+1</f>
        <v>5</v>
      </c>
    </row>
    <row r="8" customFormat="false" ht="15" hidden="false" customHeight="false" outlineLevel="0" collapsed="false">
      <c r="A8" s="10" t="s">
        <v>718</v>
      </c>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row>
    <row r="9" customFormat="false" ht="15" hidden="false" customHeight="false" outlineLevel="0" collapsed="false">
      <c r="A9" s="12" t="s">
        <v>719</v>
      </c>
      <c r="B9" s="14" t="s">
        <v>387</v>
      </c>
      <c r="E9" s="56" t="n">
        <f aca="false">IF(E$3&gt;=Launch_SN,1,0)</f>
        <v>0</v>
      </c>
      <c r="F9" s="56" t="n">
        <f aca="false">IF(F$3&gt;=Launch_SN,1,0)</f>
        <v>0</v>
      </c>
      <c r="G9" s="56" t="n">
        <f aca="false">IF(G$3&gt;=Launch_SN,1,0)</f>
        <v>0</v>
      </c>
      <c r="H9" s="56" t="n">
        <f aca="false">IF(H$3&gt;=Launch_SN,1,0)</f>
        <v>0</v>
      </c>
      <c r="I9" s="56" t="n">
        <f aca="false">IF(I$3&gt;=Launch_SN,1,0)</f>
        <v>1</v>
      </c>
      <c r="J9" s="56" t="n">
        <f aca="false">IF(J$3&gt;=Launch_SN,1,0)</f>
        <v>1</v>
      </c>
      <c r="K9" s="56" t="n">
        <f aca="false">IF(K$3&gt;=Launch_SN,1,0)</f>
        <v>1</v>
      </c>
      <c r="L9" s="56" t="n">
        <f aca="false">IF(L$3&gt;=Launch_SN,1,0)</f>
        <v>1</v>
      </c>
      <c r="M9" s="56" t="n">
        <f aca="false">IF(M$3&gt;=Launch_SN,1,0)</f>
        <v>1</v>
      </c>
      <c r="N9" s="56" t="n">
        <f aca="false">IF(N$3&gt;=Launch_SN,1,0)</f>
        <v>1</v>
      </c>
      <c r="O9" s="56" t="n">
        <f aca="false">IF(O$3&gt;=Launch_SN,1,0)</f>
        <v>1</v>
      </c>
      <c r="P9" s="56" t="n">
        <f aca="false">IF(P$3&gt;=Launch_SN,1,0)</f>
        <v>1</v>
      </c>
      <c r="Q9" s="56" t="n">
        <f aca="false">IF(Q$3&gt;=Launch_SN,1,0)</f>
        <v>1</v>
      </c>
      <c r="R9" s="56" t="n">
        <f aca="false">IF(R$3&gt;=Launch_SN,1,0)</f>
        <v>1</v>
      </c>
      <c r="S9" s="56" t="n">
        <f aca="false">IF(S$3&gt;=Launch_SN,1,0)</f>
        <v>1</v>
      </c>
      <c r="T9" s="56" t="n">
        <f aca="false">IF(T$3&gt;=Launch_SN,1,0)</f>
        <v>1</v>
      </c>
      <c r="U9" s="56" t="n">
        <f aca="false">IF(U$3&gt;=Launch_SN,1,0)</f>
        <v>1</v>
      </c>
      <c r="V9" s="56" t="n">
        <f aca="false">IF(V$3&gt;=Launch_SN,1,0)</f>
        <v>1</v>
      </c>
      <c r="W9" s="56" t="n">
        <f aca="false">IF(W$3&gt;=Launch_SN,1,0)</f>
        <v>1</v>
      </c>
      <c r="X9" s="56" t="n">
        <f aca="false">IF(X$3&gt;=Launch_SN,1,0)</f>
        <v>1</v>
      </c>
      <c r="Y9" s="56" t="n">
        <f aca="false">IF(Y$3&gt;=Launch_SN,1,0)</f>
        <v>1</v>
      </c>
      <c r="Z9" s="56" t="n">
        <f aca="false">IF(Z$3&gt;=Launch_SN,1,0)</f>
        <v>1</v>
      </c>
      <c r="AA9" s="56" t="n">
        <f aca="false">IF(AA$3&gt;=Launch_SN,1,0)</f>
        <v>1</v>
      </c>
      <c r="AB9" s="56" t="n">
        <f aca="false">IF(AB$3&gt;=Launch_SN,1,0)</f>
        <v>1</v>
      </c>
      <c r="AC9" s="56" t="n">
        <f aca="false">IF(AC$3&gt;=Launch_SN,1,0)</f>
        <v>1</v>
      </c>
      <c r="AD9" s="56" t="n">
        <f aca="false">IF(AD$3&gt;=Launch_SN,1,0)</f>
        <v>1</v>
      </c>
      <c r="AE9" s="56" t="n">
        <f aca="false">IF(AE$3&gt;=Launch_SN,1,0)</f>
        <v>1</v>
      </c>
      <c r="AF9" s="56" t="n">
        <f aca="false">IF(AF$3&gt;=Launch_SN,1,0)</f>
        <v>1</v>
      </c>
      <c r="AG9" s="56" t="n">
        <f aca="false">IF(AG$3&gt;=Launch_SN,1,0)</f>
        <v>1</v>
      </c>
      <c r="AH9" s="56" t="n">
        <f aca="false">IF(AH$3&gt;=Launch_SN,1,0)</f>
        <v>1</v>
      </c>
      <c r="AI9" s="56" t="n">
        <f aca="false">IF(AI$3&gt;=Launch_SN,1,0)</f>
        <v>1</v>
      </c>
      <c r="AJ9" s="56" t="n">
        <f aca="false">IF(AJ$3&gt;=Launch_SN,1,0)</f>
        <v>1</v>
      </c>
      <c r="AK9" s="56" t="n">
        <f aca="false">IF(AK$3&gt;=Launch_SN,1,0)</f>
        <v>1</v>
      </c>
      <c r="AL9" s="56" t="n">
        <f aca="false">IF(AL$3&gt;=Launch_SN,1,0)</f>
        <v>1</v>
      </c>
      <c r="AM9" s="56" t="n">
        <f aca="false">IF(AM$3&gt;=Launch_SN,1,0)</f>
        <v>1</v>
      </c>
      <c r="AN9" s="56" t="n">
        <f aca="false">IF(AN$3&gt;=Launch_SN,1,0)</f>
        <v>1</v>
      </c>
      <c r="AO9" s="56" t="n">
        <f aca="false">IF(AO$3&gt;=Launch_SN,1,0)</f>
        <v>1</v>
      </c>
      <c r="AP9" s="56" t="n">
        <f aca="false">IF(AP$3&gt;=Launch_SN,1,0)</f>
        <v>1</v>
      </c>
      <c r="AQ9" s="56" t="n">
        <f aca="false">IF(AQ$3&gt;=Launch_SN,1,0)</f>
        <v>1</v>
      </c>
      <c r="AR9" s="56" t="n">
        <f aca="false">IF(AR$3&gt;=Launch_SN,1,0)</f>
        <v>1</v>
      </c>
      <c r="AS9" s="56" t="n">
        <f aca="false">IF(AS$3&gt;=Launch_SN,1,0)</f>
        <v>1</v>
      </c>
      <c r="AT9" s="56" t="n">
        <f aca="false">IF(AT$3&gt;=Launch_SN,1,0)</f>
        <v>1</v>
      </c>
      <c r="AU9" s="56" t="n">
        <f aca="false">IF(AU$3&gt;=Launch_SN,1,0)</f>
        <v>1</v>
      </c>
      <c r="AV9" s="56" t="n">
        <f aca="false">IF(AV$3&gt;=Launch_SN,1,0)</f>
        <v>1</v>
      </c>
      <c r="AW9" s="56" t="n">
        <f aca="false">IF(AW$3&gt;=Launch_SN,1,0)</f>
        <v>1</v>
      </c>
      <c r="AX9" s="56" t="n">
        <f aca="false">IF(AX$3&gt;=Launch_SN,1,0)</f>
        <v>1</v>
      </c>
      <c r="AY9" s="56" t="n">
        <f aca="false">IF(AY$3&gt;=Launch_SN,1,0)</f>
        <v>1</v>
      </c>
      <c r="AZ9" s="56" t="n">
        <f aca="false">IF(AZ$3&gt;=Launch_SN,1,0)</f>
        <v>1</v>
      </c>
      <c r="BA9" s="56" t="n">
        <f aca="false">IF(BA$3&gt;=Launch_SN,1,0)</f>
        <v>1</v>
      </c>
      <c r="BB9" s="56" t="n">
        <f aca="false">IF(BB$3&gt;=Launch_SN,1,0)</f>
        <v>1</v>
      </c>
      <c r="BC9" s="56" t="n">
        <f aca="false">IF(BC$3&gt;=Launch_SN,1,0)</f>
        <v>1</v>
      </c>
      <c r="BD9" s="56" t="n">
        <f aca="false">IF(BD$3&gt;=Launch_SN,1,0)</f>
        <v>1</v>
      </c>
      <c r="BE9" s="56" t="n">
        <f aca="false">IF(BE$3&gt;=Launch_SN,1,0)</f>
        <v>1</v>
      </c>
      <c r="BF9" s="56" t="n">
        <f aca="false">IF(BF$3&gt;=Launch_SN,1,0)</f>
        <v>1</v>
      </c>
      <c r="BG9" s="56" t="n">
        <f aca="false">IF(BG$3&gt;=Launch_SN,1,0)</f>
        <v>1</v>
      </c>
      <c r="BH9" s="56" t="n">
        <f aca="false">IF(BH$3&gt;=Launch_SN,1,0)</f>
        <v>1</v>
      </c>
      <c r="BI9" s="56" t="n">
        <f aca="false">IF(BI$3&gt;=Launch_SN,1,0)</f>
        <v>1</v>
      </c>
      <c r="BJ9" s="56" t="n">
        <f aca="false">IF(BJ$3&gt;=Launch_SN,1,0)</f>
        <v>1</v>
      </c>
      <c r="BK9" s="56" t="n">
        <f aca="false">IF(BK$3&gt;=Launch_SN,1,0)</f>
        <v>1</v>
      </c>
      <c r="BL9" s="56" t="n">
        <f aca="false">IF(BL$3&gt;=Launch_SN,1,0)</f>
        <v>1</v>
      </c>
    </row>
    <row r="10" customFormat="false" ht="15" hidden="false" customHeight="false" outlineLevel="0" collapsed="false">
      <c r="A10" s="12" t="s">
        <v>720</v>
      </c>
      <c r="B10" s="14" t="s">
        <v>387</v>
      </c>
      <c r="E10" s="56" t="n">
        <f aca="false">IF(E$3&gt;=Launch_CI,1,0)</f>
        <v>0</v>
      </c>
      <c r="F10" s="56" t="n">
        <f aca="false">IF(F$3&gt;=Launch_CI,1,0)</f>
        <v>0</v>
      </c>
      <c r="G10" s="56" t="n">
        <f aca="false">IF(G$3&gt;=Launch_CI,1,0)</f>
        <v>0</v>
      </c>
      <c r="H10" s="56" t="n">
        <f aca="false">IF(H$3&gt;=Launch_CI,1,0)</f>
        <v>0</v>
      </c>
      <c r="I10" s="56" t="n">
        <f aca="false">IF(I$3&gt;=Launch_CI,1,0)</f>
        <v>0</v>
      </c>
      <c r="J10" s="56" t="n">
        <f aca="false">IF(J$3&gt;=Launch_CI,1,0)</f>
        <v>0</v>
      </c>
      <c r="K10" s="56" t="n">
        <f aca="false">IF(K$3&gt;=Launch_CI,1,0)</f>
        <v>0</v>
      </c>
      <c r="L10" s="56" t="n">
        <f aca="false">IF(L$3&gt;=Launch_CI,1,0)</f>
        <v>0</v>
      </c>
      <c r="M10" s="56" t="n">
        <f aca="false">IF(M$3&gt;=Launch_CI,1,0)</f>
        <v>0</v>
      </c>
      <c r="N10" s="56" t="n">
        <f aca="false">IF(N$3&gt;=Launch_CI,1,0)</f>
        <v>0</v>
      </c>
      <c r="O10" s="56" t="n">
        <f aca="false">IF(O$3&gt;=Launch_CI,1,0)</f>
        <v>0</v>
      </c>
      <c r="P10" s="56" t="n">
        <f aca="false">IF(P$3&gt;=Launch_CI,1,0)</f>
        <v>0</v>
      </c>
      <c r="Q10" s="56" t="n">
        <f aca="false">IF(Q$3&gt;=Launch_CI,1,0)</f>
        <v>0</v>
      </c>
      <c r="R10" s="56" t="n">
        <f aca="false">IF(R$3&gt;=Launch_CI,1,0)</f>
        <v>0</v>
      </c>
      <c r="S10" s="56" t="n">
        <f aca="false">IF(S$3&gt;=Launch_CI,1,0)</f>
        <v>0</v>
      </c>
      <c r="T10" s="56" t="n">
        <f aca="false">IF(T$3&gt;=Launch_CI,1,0)</f>
        <v>0</v>
      </c>
      <c r="U10" s="56" t="n">
        <f aca="false">IF(U$3&gt;=Launch_CI,1,0)</f>
        <v>0</v>
      </c>
      <c r="V10" s="56" t="n">
        <f aca="false">IF(V$3&gt;=Launch_CI,1,0)</f>
        <v>0</v>
      </c>
      <c r="W10" s="56" t="n">
        <f aca="false">IF(W$3&gt;=Launch_CI,1,0)</f>
        <v>1</v>
      </c>
      <c r="X10" s="56" t="n">
        <f aca="false">IF(X$3&gt;=Launch_CI,1,0)</f>
        <v>1</v>
      </c>
      <c r="Y10" s="56" t="n">
        <f aca="false">IF(Y$3&gt;=Launch_CI,1,0)</f>
        <v>1</v>
      </c>
      <c r="Z10" s="56" t="n">
        <f aca="false">IF(Z$3&gt;=Launch_CI,1,0)</f>
        <v>1</v>
      </c>
      <c r="AA10" s="56" t="n">
        <f aca="false">IF(AA$3&gt;=Launch_CI,1,0)</f>
        <v>1</v>
      </c>
      <c r="AB10" s="56" t="n">
        <f aca="false">IF(AB$3&gt;=Launch_CI,1,0)</f>
        <v>1</v>
      </c>
      <c r="AC10" s="56" t="n">
        <f aca="false">IF(AC$3&gt;=Launch_CI,1,0)</f>
        <v>1</v>
      </c>
      <c r="AD10" s="56" t="n">
        <f aca="false">IF(AD$3&gt;=Launch_CI,1,0)</f>
        <v>1</v>
      </c>
      <c r="AE10" s="56" t="n">
        <f aca="false">IF(AE$3&gt;=Launch_CI,1,0)</f>
        <v>1</v>
      </c>
      <c r="AF10" s="56" t="n">
        <f aca="false">IF(AF$3&gt;=Launch_CI,1,0)</f>
        <v>1</v>
      </c>
      <c r="AG10" s="56" t="n">
        <f aca="false">IF(AG$3&gt;=Launch_CI,1,0)</f>
        <v>1</v>
      </c>
      <c r="AH10" s="56" t="n">
        <f aca="false">IF(AH$3&gt;=Launch_CI,1,0)</f>
        <v>1</v>
      </c>
      <c r="AI10" s="56" t="n">
        <f aca="false">IF(AI$3&gt;=Launch_CI,1,0)</f>
        <v>1</v>
      </c>
      <c r="AJ10" s="56" t="n">
        <f aca="false">IF(AJ$3&gt;=Launch_CI,1,0)</f>
        <v>1</v>
      </c>
      <c r="AK10" s="56" t="n">
        <f aca="false">IF(AK$3&gt;=Launch_CI,1,0)</f>
        <v>1</v>
      </c>
      <c r="AL10" s="56" t="n">
        <f aca="false">IF(AL$3&gt;=Launch_CI,1,0)</f>
        <v>1</v>
      </c>
      <c r="AM10" s="56" t="n">
        <f aca="false">IF(AM$3&gt;=Launch_CI,1,0)</f>
        <v>1</v>
      </c>
      <c r="AN10" s="56" t="n">
        <f aca="false">IF(AN$3&gt;=Launch_CI,1,0)</f>
        <v>1</v>
      </c>
      <c r="AO10" s="56" t="n">
        <f aca="false">IF(AO$3&gt;=Launch_CI,1,0)</f>
        <v>1</v>
      </c>
      <c r="AP10" s="56" t="n">
        <f aca="false">IF(AP$3&gt;=Launch_CI,1,0)</f>
        <v>1</v>
      </c>
      <c r="AQ10" s="56" t="n">
        <f aca="false">IF(AQ$3&gt;=Launch_CI,1,0)</f>
        <v>1</v>
      </c>
      <c r="AR10" s="56" t="n">
        <f aca="false">IF(AR$3&gt;=Launch_CI,1,0)</f>
        <v>1</v>
      </c>
      <c r="AS10" s="56" t="n">
        <f aca="false">IF(AS$3&gt;=Launch_CI,1,0)</f>
        <v>1</v>
      </c>
      <c r="AT10" s="56" t="n">
        <f aca="false">IF(AT$3&gt;=Launch_CI,1,0)</f>
        <v>1</v>
      </c>
      <c r="AU10" s="56" t="n">
        <f aca="false">IF(AU$3&gt;=Launch_CI,1,0)</f>
        <v>1</v>
      </c>
      <c r="AV10" s="56" t="n">
        <f aca="false">IF(AV$3&gt;=Launch_CI,1,0)</f>
        <v>1</v>
      </c>
      <c r="AW10" s="56" t="n">
        <f aca="false">IF(AW$3&gt;=Launch_CI,1,0)</f>
        <v>1</v>
      </c>
      <c r="AX10" s="56" t="n">
        <f aca="false">IF(AX$3&gt;=Launch_CI,1,0)</f>
        <v>1</v>
      </c>
      <c r="AY10" s="56" t="n">
        <f aca="false">IF(AY$3&gt;=Launch_CI,1,0)</f>
        <v>1</v>
      </c>
      <c r="AZ10" s="56" t="n">
        <f aca="false">IF(AZ$3&gt;=Launch_CI,1,0)</f>
        <v>1</v>
      </c>
      <c r="BA10" s="56" t="n">
        <f aca="false">IF(BA$3&gt;=Launch_CI,1,0)</f>
        <v>1</v>
      </c>
      <c r="BB10" s="56" t="n">
        <f aca="false">IF(BB$3&gt;=Launch_CI,1,0)</f>
        <v>1</v>
      </c>
      <c r="BC10" s="56" t="n">
        <f aca="false">IF(BC$3&gt;=Launch_CI,1,0)</f>
        <v>1</v>
      </c>
      <c r="BD10" s="56" t="n">
        <f aca="false">IF(BD$3&gt;=Launch_CI,1,0)</f>
        <v>1</v>
      </c>
      <c r="BE10" s="56" t="n">
        <f aca="false">IF(BE$3&gt;=Launch_CI,1,0)</f>
        <v>1</v>
      </c>
      <c r="BF10" s="56" t="n">
        <f aca="false">IF(BF$3&gt;=Launch_CI,1,0)</f>
        <v>1</v>
      </c>
      <c r="BG10" s="56" t="n">
        <f aca="false">IF(BG$3&gt;=Launch_CI,1,0)</f>
        <v>1</v>
      </c>
      <c r="BH10" s="56" t="n">
        <f aca="false">IF(BH$3&gt;=Launch_CI,1,0)</f>
        <v>1</v>
      </c>
      <c r="BI10" s="56" t="n">
        <f aca="false">IF(BI$3&gt;=Launch_CI,1,0)</f>
        <v>1</v>
      </c>
      <c r="BJ10" s="56" t="n">
        <f aca="false">IF(BJ$3&gt;=Launch_CI,1,0)</f>
        <v>1</v>
      </c>
      <c r="BK10" s="56" t="n">
        <f aca="false">IF(BK$3&gt;=Launch_CI,1,0)</f>
        <v>1</v>
      </c>
      <c r="BL10" s="56" t="n">
        <f aca="false">IF(BL$3&gt;=Launch_CI,1,0)</f>
        <v>1</v>
      </c>
    </row>
    <row r="12" customFormat="false" ht="15" hidden="false" customHeight="false" outlineLevel="0" collapsed="false">
      <c r="A12" s="10" t="s">
        <v>721</v>
      </c>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row>
    <row r="13" customFormat="false" ht="15" hidden="false" customHeight="false" outlineLevel="0" collapsed="false">
      <c r="A13" s="12" t="s">
        <v>702</v>
      </c>
      <c r="B13" s="14" t="s">
        <v>86</v>
      </c>
      <c r="D13" s="55" t="n">
        <f aca="false">BL13</f>
        <v>20</v>
      </c>
      <c r="E13" s="23" t="n">
        <f aca="false">Staff!E86</f>
        <v>1</v>
      </c>
      <c r="F13" s="23" t="n">
        <f aca="false">Staff!F86</f>
        <v>1</v>
      </c>
      <c r="G13" s="23" t="n">
        <f aca="false">Staff!G86</f>
        <v>1</v>
      </c>
      <c r="H13" s="23" t="n">
        <f aca="false">Staff!H86</f>
        <v>3</v>
      </c>
      <c r="I13" s="23" t="n">
        <f aca="false">Staff!I86</f>
        <v>3</v>
      </c>
      <c r="J13" s="23" t="n">
        <f aca="false">Staff!J86</f>
        <v>3</v>
      </c>
      <c r="K13" s="23" t="n">
        <f aca="false">Staff!K86</f>
        <v>3</v>
      </c>
      <c r="L13" s="23" t="n">
        <f aca="false">Staff!L86</f>
        <v>3</v>
      </c>
      <c r="M13" s="23" t="n">
        <f aca="false">Staff!M86</f>
        <v>3</v>
      </c>
      <c r="N13" s="23" t="n">
        <f aca="false">Staff!N86</f>
        <v>3</v>
      </c>
      <c r="O13" s="23" t="n">
        <f aca="false">Staff!O86</f>
        <v>3</v>
      </c>
      <c r="P13" s="23" t="n">
        <f aca="false">Staff!P86</f>
        <v>3</v>
      </c>
      <c r="Q13" s="23" t="n">
        <f aca="false">Staff!Q86</f>
        <v>3</v>
      </c>
      <c r="R13" s="23" t="n">
        <f aca="false">Staff!R86</f>
        <v>3</v>
      </c>
      <c r="S13" s="23" t="n">
        <f aca="false">Staff!S86</f>
        <v>3</v>
      </c>
      <c r="T13" s="23" t="n">
        <f aca="false">Staff!T86</f>
        <v>3</v>
      </c>
      <c r="U13" s="23" t="n">
        <f aca="false">Staff!U86</f>
        <v>3</v>
      </c>
      <c r="V13" s="23" t="n">
        <f aca="false">Staff!V86</f>
        <v>4</v>
      </c>
      <c r="W13" s="23" t="n">
        <f aca="false">Staff!W86</f>
        <v>4</v>
      </c>
      <c r="X13" s="23" t="n">
        <f aca="false">Staff!X86</f>
        <v>4</v>
      </c>
      <c r="Y13" s="23" t="n">
        <f aca="false">Staff!Y86</f>
        <v>4</v>
      </c>
      <c r="Z13" s="23" t="n">
        <f aca="false">Staff!Z86</f>
        <v>4</v>
      </c>
      <c r="AA13" s="23" t="n">
        <f aca="false">Staff!AA86</f>
        <v>5</v>
      </c>
      <c r="AB13" s="23" t="n">
        <f aca="false">Staff!AB86</f>
        <v>5</v>
      </c>
      <c r="AC13" s="23" t="n">
        <f aca="false">Staff!AC86</f>
        <v>5</v>
      </c>
      <c r="AD13" s="23" t="n">
        <f aca="false">Staff!AD86</f>
        <v>5</v>
      </c>
      <c r="AE13" s="23" t="n">
        <f aca="false">Staff!AE86</f>
        <v>6</v>
      </c>
      <c r="AF13" s="23" t="n">
        <f aca="false">Staff!AF86</f>
        <v>6</v>
      </c>
      <c r="AG13" s="23" t="n">
        <f aca="false">Staff!AG86</f>
        <v>6</v>
      </c>
      <c r="AH13" s="23" t="n">
        <f aca="false">Staff!AH86</f>
        <v>6</v>
      </c>
      <c r="AI13" s="23" t="n">
        <f aca="false">Staff!AI86</f>
        <v>7</v>
      </c>
      <c r="AJ13" s="23" t="n">
        <f aca="false">Staff!AJ86</f>
        <v>7</v>
      </c>
      <c r="AK13" s="23" t="n">
        <f aca="false">Staff!AK86</f>
        <v>7</v>
      </c>
      <c r="AL13" s="23" t="n">
        <f aca="false">Staff!AL86</f>
        <v>8</v>
      </c>
      <c r="AM13" s="23" t="n">
        <f aca="false">Staff!AM86</f>
        <v>8</v>
      </c>
      <c r="AN13" s="23" t="n">
        <f aca="false">Staff!AN86</f>
        <v>8</v>
      </c>
      <c r="AO13" s="23" t="n">
        <f aca="false">Staff!AO86</f>
        <v>9</v>
      </c>
      <c r="AP13" s="23" t="n">
        <f aca="false">Staff!AP86</f>
        <v>9</v>
      </c>
      <c r="AQ13" s="23" t="n">
        <f aca="false">Staff!AQ86</f>
        <v>10</v>
      </c>
      <c r="AR13" s="23" t="n">
        <f aca="false">Staff!AR86</f>
        <v>10</v>
      </c>
      <c r="AS13" s="23" t="n">
        <f aca="false">Staff!AS86</f>
        <v>11</v>
      </c>
      <c r="AT13" s="23" t="n">
        <f aca="false">Staff!AT86</f>
        <v>11</v>
      </c>
      <c r="AU13" s="23" t="n">
        <f aca="false">Staff!AU86</f>
        <v>11</v>
      </c>
      <c r="AV13" s="23" t="n">
        <f aca="false">Staff!AV86</f>
        <v>12</v>
      </c>
      <c r="AW13" s="23" t="n">
        <f aca="false">Staff!AW86</f>
        <v>12</v>
      </c>
      <c r="AX13" s="23" t="n">
        <f aca="false">Staff!AX86</f>
        <v>13</v>
      </c>
      <c r="AY13" s="23" t="n">
        <f aca="false">Staff!AY86</f>
        <v>13</v>
      </c>
      <c r="AZ13" s="23" t="n">
        <f aca="false">Staff!AZ86</f>
        <v>14</v>
      </c>
      <c r="BA13" s="23" t="n">
        <f aca="false">Staff!BA86</f>
        <v>14</v>
      </c>
      <c r="BB13" s="23" t="n">
        <f aca="false">Staff!BB86</f>
        <v>15</v>
      </c>
      <c r="BC13" s="23" t="n">
        <f aca="false">Staff!BC86</f>
        <v>15</v>
      </c>
      <c r="BD13" s="23" t="n">
        <f aca="false">Staff!BD86</f>
        <v>16</v>
      </c>
      <c r="BE13" s="23" t="n">
        <f aca="false">Staff!BE86</f>
        <v>16</v>
      </c>
      <c r="BF13" s="23" t="n">
        <f aca="false">Staff!BF86</f>
        <v>17</v>
      </c>
      <c r="BG13" s="23" t="n">
        <f aca="false">Staff!BG86</f>
        <v>17</v>
      </c>
      <c r="BH13" s="23" t="n">
        <f aca="false">Staff!BH86</f>
        <v>18</v>
      </c>
      <c r="BI13" s="23" t="n">
        <f aca="false">Staff!BI86</f>
        <v>18</v>
      </c>
      <c r="BJ13" s="23" t="n">
        <f aca="false">Staff!BJ86</f>
        <v>19</v>
      </c>
      <c r="BK13" s="23" t="n">
        <f aca="false">Staff!BK86</f>
        <v>20</v>
      </c>
      <c r="BL13" s="23" t="n">
        <f aca="false">Staff!BL86</f>
        <v>20</v>
      </c>
    </row>
    <row r="14" customFormat="false" ht="15" hidden="false" customHeight="false" outlineLevel="0" collapsed="false">
      <c r="A14" s="12" t="s">
        <v>703</v>
      </c>
      <c r="B14" s="14" t="s">
        <v>86</v>
      </c>
      <c r="D14" s="55" t="n">
        <f aca="false">BL14</f>
        <v>8</v>
      </c>
      <c r="E14" s="23" t="n">
        <f aca="false">Staff!E87</f>
        <v>0</v>
      </c>
      <c r="F14" s="23" t="n">
        <f aca="false">Staff!F87</f>
        <v>0</v>
      </c>
      <c r="G14" s="23" t="n">
        <f aca="false">Staff!G87</f>
        <v>0</v>
      </c>
      <c r="H14" s="23" t="n">
        <f aca="false">Staff!H87</f>
        <v>0</v>
      </c>
      <c r="I14" s="23" t="n">
        <f aca="false">Staff!I87</f>
        <v>0</v>
      </c>
      <c r="J14" s="23" t="n">
        <f aca="false">Staff!J87</f>
        <v>0</v>
      </c>
      <c r="K14" s="23" t="n">
        <f aca="false">Staff!K87</f>
        <v>0</v>
      </c>
      <c r="L14" s="23" t="n">
        <f aca="false">Staff!L87</f>
        <v>0</v>
      </c>
      <c r="M14" s="23" t="n">
        <f aca="false">Staff!M87</f>
        <v>0</v>
      </c>
      <c r="N14" s="23" t="n">
        <f aca="false">Staff!N87</f>
        <v>0</v>
      </c>
      <c r="O14" s="23" t="n">
        <f aca="false">Staff!O87</f>
        <v>0</v>
      </c>
      <c r="P14" s="23" t="n">
        <f aca="false">Staff!P87</f>
        <v>0</v>
      </c>
      <c r="Q14" s="23" t="n">
        <f aca="false">Staff!Q87</f>
        <v>0</v>
      </c>
      <c r="R14" s="23" t="n">
        <f aca="false">Staff!R87</f>
        <v>0</v>
      </c>
      <c r="S14" s="23" t="n">
        <f aca="false">Staff!S87</f>
        <v>0</v>
      </c>
      <c r="T14" s="23" t="n">
        <f aca="false">Staff!T87</f>
        <v>0</v>
      </c>
      <c r="U14" s="23" t="n">
        <f aca="false">Staff!U87</f>
        <v>0</v>
      </c>
      <c r="V14" s="23" t="n">
        <f aca="false">Staff!V87</f>
        <v>2</v>
      </c>
      <c r="W14" s="23" t="n">
        <f aca="false">Staff!W87</f>
        <v>2</v>
      </c>
      <c r="X14" s="23" t="n">
        <f aca="false">Staff!X87</f>
        <v>2</v>
      </c>
      <c r="Y14" s="23" t="n">
        <f aca="false">Staff!Y87</f>
        <v>2</v>
      </c>
      <c r="Z14" s="23" t="n">
        <f aca="false">Staff!Z87</f>
        <v>2</v>
      </c>
      <c r="AA14" s="23" t="n">
        <f aca="false">Staff!AA87</f>
        <v>2</v>
      </c>
      <c r="AB14" s="23" t="n">
        <f aca="false">Staff!AB87</f>
        <v>2</v>
      </c>
      <c r="AC14" s="23" t="n">
        <f aca="false">Staff!AC87</f>
        <v>2</v>
      </c>
      <c r="AD14" s="23" t="n">
        <f aca="false">Staff!AD87</f>
        <v>2</v>
      </c>
      <c r="AE14" s="23" t="n">
        <f aca="false">Staff!AE87</f>
        <v>2</v>
      </c>
      <c r="AF14" s="23" t="n">
        <f aca="false">Staff!AF87</f>
        <v>2</v>
      </c>
      <c r="AG14" s="23" t="n">
        <f aca="false">Staff!AG87</f>
        <v>2</v>
      </c>
      <c r="AH14" s="23" t="n">
        <f aca="false">Staff!AH87</f>
        <v>2</v>
      </c>
      <c r="AI14" s="23" t="n">
        <f aca="false">Staff!AI87</f>
        <v>2</v>
      </c>
      <c r="AJ14" s="23" t="n">
        <f aca="false">Staff!AJ87</f>
        <v>2</v>
      </c>
      <c r="AK14" s="23" t="n">
        <f aca="false">Staff!AK87</f>
        <v>2</v>
      </c>
      <c r="AL14" s="23" t="n">
        <f aca="false">Staff!AL87</f>
        <v>2</v>
      </c>
      <c r="AM14" s="23" t="n">
        <f aca="false">Staff!AM87</f>
        <v>3</v>
      </c>
      <c r="AN14" s="23" t="n">
        <f aca="false">Staff!AN87</f>
        <v>3</v>
      </c>
      <c r="AO14" s="23" t="n">
        <f aca="false">Staff!AO87</f>
        <v>3</v>
      </c>
      <c r="AP14" s="23" t="n">
        <f aca="false">Staff!AP87</f>
        <v>3</v>
      </c>
      <c r="AQ14" s="23" t="n">
        <f aca="false">Staff!AQ87</f>
        <v>3</v>
      </c>
      <c r="AR14" s="23" t="n">
        <f aca="false">Staff!AR87</f>
        <v>3</v>
      </c>
      <c r="AS14" s="23" t="n">
        <f aca="false">Staff!AS87</f>
        <v>4</v>
      </c>
      <c r="AT14" s="23" t="n">
        <f aca="false">Staff!AT87</f>
        <v>4</v>
      </c>
      <c r="AU14" s="23" t="n">
        <f aca="false">Staff!AU87</f>
        <v>4</v>
      </c>
      <c r="AV14" s="23" t="n">
        <f aca="false">Staff!AV87</f>
        <v>4</v>
      </c>
      <c r="AW14" s="23" t="n">
        <f aca="false">Staff!AW87</f>
        <v>4</v>
      </c>
      <c r="AX14" s="23" t="n">
        <f aca="false">Staff!AX87</f>
        <v>5</v>
      </c>
      <c r="AY14" s="23" t="n">
        <f aca="false">Staff!AY87</f>
        <v>5</v>
      </c>
      <c r="AZ14" s="23" t="n">
        <f aca="false">Staff!AZ87</f>
        <v>5</v>
      </c>
      <c r="BA14" s="23" t="n">
        <f aca="false">Staff!BA87</f>
        <v>5</v>
      </c>
      <c r="BB14" s="23" t="n">
        <f aca="false">Staff!BB87</f>
        <v>5</v>
      </c>
      <c r="BC14" s="23" t="n">
        <f aca="false">Staff!BC87</f>
        <v>6</v>
      </c>
      <c r="BD14" s="23" t="n">
        <f aca="false">Staff!BD87</f>
        <v>6</v>
      </c>
      <c r="BE14" s="23" t="n">
        <f aca="false">Staff!BE87</f>
        <v>6</v>
      </c>
      <c r="BF14" s="23" t="n">
        <f aca="false">Staff!BF87</f>
        <v>7</v>
      </c>
      <c r="BG14" s="23" t="n">
        <f aca="false">Staff!BG87</f>
        <v>7</v>
      </c>
      <c r="BH14" s="23" t="n">
        <f aca="false">Staff!BH87</f>
        <v>7</v>
      </c>
      <c r="BI14" s="23" t="n">
        <f aca="false">Staff!BI87</f>
        <v>7</v>
      </c>
      <c r="BJ14" s="23" t="n">
        <f aca="false">Staff!BJ87</f>
        <v>8</v>
      </c>
      <c r="BK14" s="23" t="n">
        <f aca="false">Staff!BK87</f>
        <v>8</v>
      </c>
      <c r="BL14" s="23" t="n">
        <f aca="false">Staff!BL87</f>
        <v>8</v>
      </c>
    </row>
    <row r="15" customFormat="false" ht="15" hidden="false" customHeight="false" outlineLevel="0" collapsed="false">
      <c r="A15" s="12" t="s">
        <v>722</v>
      </c>
      <c r="B15" s="14" t="s">
        <v>86</v>
      </c>
      <c r="E15" s="37" t="n">
        <f aca="false">0</f>
        <v>0</v>
      </c>
      <c r="F15" s="37" t="n">
        <f aca="false">E13*F9</f>
        <v>0</v>
      </c>
      <c r="G15" s="37" t="n">
        <f aca="false">F13*G9</f>
        <v>0</v>
      </c>
      <c r="H15" s="37" t="n">
        <f aca="false">G13*H9</f>
        <v>0</v>
      </c>
      <c r="I15" s="37" t="n">
        <f aca="false">H13*I9</f>
        <v>3</v>
      </c>
      <c r="J15" s="37" t="n">
        <f aca="false">I13*J9</f>
        <v>3</v>
      </c>
      <c r="K15" s="37" t="n">
        <f aca="false">J13*K9</f>
        <v>3</v>
      </c>
      <c r="L15" s="37" t="n">
        <f aca="false">K13*L9</f>
        <v>3</v>
      </c>
      <c r="M15" s="37" t="n">
        <f aca="false">L13*M9</f>
        <v>3</v>
      </c>
      <c r="N15" s="37" t="n">
        <f aca="false">M13*N9</f>
        <v>3</v>
      </c>
      <c r="O15" s="37" t="n">
        <f aca="false">N13*O9</f>
        <v>3</v>
      </c>
      <c r="P15" s="37" t="n">
        <f aca="false">O13*P9</f>
        <v>3</v>
      </c>
      <c r="Q15" s="37" t="n">
        <f aca="false">P13*Q9</f>
        <v>3</v>
      </c>
      <c r="R15" s="37" t="n">
        <f aca="false">Q13*R9</f>
        <v>3</v>
      </c>
      <c r="S15" s="37" t="n">
        <f aca="false">R13*S9</f>
        <v>3</v>
      </c>
      <c r="T15" s="37" t="n">
        <f aca="false">S13*T9</f>
        <v>3</v>
      </c>
      <c r="U15" s="37" t="n">
        <f aca="false">T13*U9</f>
        <v>3</v>
      </c>
      <c r="V15" s="37" t="n">
        <f aca="false">U13*V9</f>
        <v>3</v>
      </c>
      <c r="W15" s="37" t="n">
        <f aca="false">V13*W9</f>
        <v>4</v>
      </c>
      <c r="X15" s="37" t="n">
        <f aca="false">W13*X9</f>
        <v>4</v>
      </c>
      <c r="Y15" s="37" t="n">
        <f aca="false">X13*Y9</f>
        <v>4</v>
      </c>
      <c r="Z15" s="37" t="n">
        <f aca="false">Y13*Z9</f>
        <v>4</v>
      </c>
      <c r="AA15" s="37" t="n">
        <f aca="false">Z13*AA9</f>
        <v>4</v>
      </c>
      <c r="AB15" s="37" t="n">
        <f aca="false">AA13*AB9</f>
        <v>5</v>
      </c>
      <c r="AC15" s="37" t="n">
        <f aca="false">AB13*AC9</f>
        <v>5</v>
      </c>
      <c r="AD15" s="37" t="n">
        <f aca="false">AC13*AD9</f>
        <v>5</v>
      </c>
      <c r="AE15" s="37" t="n">
        <f aca="false">AD13*AE9</f>
        <v>5</v>
      </c>
      <c r="AF15" s="37" t="n">
        <f aca="false">AE13*AF9</f>
        <v>6</v>
      </c>
      <c r="AG15" s="37" t="n">
        <f aca="false">AF13*AG9</f>
        <v>6</v>
      </c>
      <c r="AH15" s="37" t="n">
        <f aca="false">AG13*AH9</f>
        <v>6</v>
      </c>
      <c r="AI15" s="37" t="n">
        <f aca="false">AH13*AI9</f>
        <v>6</v>
      </c>
      <c r="AJ15" s="37" t="n">
        <f aca="false">AI13*AJ9</f>
        <v>7</v>
      </c>
      <c r="AK15" s="37" t="n">
        <f aca="false">AJ13*AK9</f>
        <v>7</v>
      </c>
      <c r="AL15" s="37" t="n">
        <f aca="false">AK13*AL9</f>
        <v>7</v>
      </c>
      <c r="AM15" s="37" t="n">
        <f aca="false">AL13*AM9</f>
        <v>8</v>
      </c>
      <c r="AN15" s="37" t="n">
        <f aca="false">AM13*AN9</f>
        <v>8</v>
      </c>
      <c r="AO15" s="37" t="n">
        <f aca="false">AN13*AO9</f>
        <v>8</v>
      </c>
      <c r="AP15" s="37" t="n">
        <f aca="false">AO13*AP9</f>
        <v>9</v>
      </c>
      <c r="AQ15" s="37" t="n">
        <f aca="false">AP13*AQ9</f>
        <v>9</v>
      </c>
      <c r="AR15" s="37" t="n">
        <f aca="false">AQ13*AR9</f>
        <v>10</v>
      </c>
      <c r="AS15" s="37" t="n">
        <f aca="false">AR13*AS9</f>
        <v>10</v>
      </c>
      <c r="AT15" s="37" t="n">
        <f aca="false">AS13*AT9</f>
        <v>11</v>
      </c>
      <c r="AU15" s="37" t="n">
        <f aca="false">AT13*AU9</f>
        <v>11</v>
      </c>
      <c r="AV15" s="37" t="n">
        <f aca="false">AU13*AV9</f>
        <v>11</v>
      </c>
      <c r="AW15" s="37" t="n">
        <f aca="false">AV13*AW9</f>
        <v>12</v>
      </c>
      <c r="AX15" s="37" t="n">
        <f aca="false">AW13*AX9</f>
        <v>12</v>
      </c>
      <c r="AY15" s="37" t="n">
        <f aca="false">AX13*AY9</f>
        <v>13</v>
      </c>
      <c r="AZ15" s="37" t="n">
        <f aca="false">AY13*AZ9</f>
        <v>13</v>
      </c>
      <c r="BA15" s="37" t="n">
        <f aca="false">AZ13*BA9</f>
        <v>14</v>
      </c>
      <c r="BB15" s="37" t="n">
        <f aca="false">BA13*BB9</f>
        <v>14</v>
      </c>
      <c r="BC15" s="37" t="n">
        <f aca="false">BB13*BC9</f>
        <v>15</v>
      </c>
      <c r="BD15" s="37" t="n">
        <f aca="false">BC13*BD9</f>
        <v>15</v>
      </c>
      <c r="BE15" s="37" t="n">
        <f aca="false">BD13*BE9</f>
        <v>16</v>
      </c>
      <c r="BF15" s="37" t="n">
        <f aca="false">BE13*BF9</f>
        <v>16</v>
      </c>
      <c r="BG15" s="37" t="n">
        <f aca="false">BF13*BG9</f>
        <v>17</v>
      </c>
      <c r="BH15" s="37" t="n">
        <f aca="false">BG13*BH9</f>
        <v>17</v>
      </c>
      <c r="BI15" s="37" t="n">
        <f aca="false">BH13*BI9</f>
        <v>18</v>
      </c>
      <c r="BJ15" s="37" t="n">
        <f aca="false">BI13*BJ9</f>
        <v>18</v>
      </c>
      <c r="BK15" s="37" t="n">
        <f aca="false">BJ13*BK9</f>
        <v>19</v>
      </c>
      <c r="BL15" s="37" t="n">
        <f aca="false">BK13*BL9</f>
        <v>20</v>
      </c>
    </row>
    <row r="16" customFormat="false" ht="15" hidden="false" customHeight="false" outlineLevel="0" collapsed="false">
      <c r="A16" s="12" t="s">
        <v>723</v>
      </c>
      <c r="B16" s="14" t="s">
        <v>86</v>
      </c>
      <c r="E16" s="37" t="n">
        <f aca="false">0</f>
        <v>0</v>
      </c>
      <c r="F16" s="37" t="n">
        <f aca="false">E14*F10</f>
        <v>0</v>
      </c>
      <c r="G16" s="37" t="n">
        <f aca="false">F14*G10</f>
        <v>0</v>
      </c>
      <c r="H16" s="37" t="n">
        <f aca="false">G14*H10</f>
        <v>0</v>
      </c>
      <c r="I16" s="37" t="n">
        <f aca="false">H14*I10</f>
        <v>0</v>
      </c>
      <c r="J16" s="37" t="n">
        <f aca="false">I14*J10</f>
        <v>0</v>
      </c>
      <c r="K16" s="37" t="n">
        <f aca="false">J14*K10</f>
        <v>0</v>
      </c>
      <c r="L16" s="37" t="n">
        <f aca="false">K14*L10</f>
        <v>0</v>
      </c>
      <c r="M16" s="37" t="n">
        <f aca="false">L14*M10</f>
        <v>0</v>
      </c>
      <c r="N16" s="37" t="n">
        <f aca="false">M14*N10</f>
        <v>0</v>
      </c>
      <c r="O16" s="37" t="n">
        <f aca="false">N14*O10</f>
        <v>0</v>
      </c>
      <c r="P16" s="37" t="n">
        <f aca="false">O14*P10</f>
        <v>0</v>
      </c>
      <c r="Q16" s="37" t="n">
        <f aca="false">P14*Q10</f>
        <v>0</v>
      </c>
      <c r="R16" s="37" t="n">
        <f aca="false">Q14*R10</f>
        <v>0</v>
      </c>
      <c r="S16" s="37" t="n">
        <f aca="false">R14*S10</f>
        <v>0</v>
      </c>
      <c r="T16" s="37" t="n">
        <f aca="false">S14*T10</f>
        <v>0</v>
      </c>
      <c r="U16" s="37" t="n">
        <f aca="false">T14*U10</f>
        <v>0</v>
      </c>
      <c r="V16" s="37" t="n">
        <f aca="false">U14*V10</f>
        <v>0</v>
      </c>
      <c r="W16" s="37" t="n">
        <f aca="false">V14*W10</f>
        <v>2</v>
      </c>
      <c r="X16" s="37" t="n">
        <f aca="false">W14*X10</f>
        <v>2</v>
      </c>
      <c r="Y16" s="37" t="n">
        <f aca="false">X14*Y10</f>
        <v>2</v>
      </c>
      <c r="Z16" s="37" t="n">
        <f aca="false">Y14*Z10</f>
        <v>2</v>
      </c>
      <c r="AA16" s="37" t="n">
        <f aca="false">Z14*AA10</f>
        <v>2</v>
      </c>
      <c r="AB16" s="37" t="n">
        <f aca="false">AA14*AB10</f>
        <v>2</v>
      </c>
      <c r="AC16" s="37" t="n">
        <f aca="false">AB14*AC10</f>
        <v>2</v>
      </c>
      <c r="AD16" s="37" t="n">
        <f aca="false">AC14*AD10</f>
        <v>2</v>
      </c>
      <c r="AE16" s="37" t="n">
        <f aca="false">AD14*AE10</f>
        <v>2</v>
      </c>
      <c r="AF16" s="37" t="n">
        <f aca="false">AE14*AF10</f>
        <v>2</v>
      </c>
      <c r="AG16" s="37" t="n">
        <f aca="false">AF14*AG10</f>
        <v>2</v>
      </c>
      <c r="AH16" s="37" t="n">
        <f aca="false">AG14*AH10</f>
        <v>2</v>
      </c>
      <c r="AI16" s="37" t="n">
        <f aca="false">AH14*AI10</f>
        <v>2</v>
      </c>
      <c r="AJ16" s="37" t="n">
        <f aca="false">AI14*AJ10</f>
        <v>2</v>
      </c>
      <c r="AK16" s="37" t="n">
        <f aca="false">AJ14*AK10</f>
        <v>2</v>
      </c>
      <c r="AL16" s="37" t="n">
        <f aca="false">AK14*AL10</f>
        <v>2</v>
      </c>
      <c r="AM16" s="37" t="n">
        <f aca="false">AL14*AM10</f>
        <v>2</v>
      </c>
      <c r="AN16" s="37" t="n">
        <f aca="false">AM14*AN10</f>
        <v>3</v>
      </c>
      <c r="AO16" s="37" t="n">
        <f aca="false">AN14*AO10</f>
        <v>3</v>
      </c>
      <c r="AP16" s="37" t="n">
        <f aca="false">AO14*AP10</f>
        <v>3</v>
      </c>
      <c r="AQ16" s="37" t="n">
        <f aca="false">AP14*AQ10</f>
        <v>3</v>
      </c>
      <c r="AR16" s="37" t="n">
        <f aca="false">AQ14*AR10</f>
        <v>3</v>
      </c>
      <c r="AS16" s="37" t="n">
        <f aca="false">AR14*AS10</f>
        <v>3</v>
      </c>
      <c r="AT16" s="37" t="n">
        <f aca="false">AS14*AT10</f>
        <v>4</v>
      </c>
      <c r="AU16" s="37" t="n">
        <f aca="false">AT14*AU10</f>
        <v>4</v>
      </c>
      <c r="AV16" s="37" t="n">
        <f aca="false">AU14*AV10</f>
        <v>4</v>
      </c>
      <c r="AW16" s="37" t="n">
        <f aca="false">AV14*AW10</f>
        <v>4</v>
      </c>
      <c r="AX16" s="37" t="n">
        <f aca="false">AW14*AX10</f>
        <v>4</v>
      </c>
      <c r="AY16" s="37" t="n">
        <f aca="false">AX14*AY10</f>
        <v>5</v>
      </c>
      <c r="AZ16" s="37" t="n">
        <f aca="false">AY14*AZ10</f>
        <v>5</v>
      </c>
      <c r="BA16" s="37" t="n">
        <f aca="false">AZ14*BA10</f>
        <v>5</v>
      </c>
      <c r="BB16" s="37" t="n">
        <f aca="false">BA14*BB10</f>
        <v>5</v>
      </c>
      <c r="BC16" s="37" t="n">
        <f aca="false">BB14*BC10</f>
        <v>5</v>
      </c>
      <c r="BD16" s="37" t="n">
        <f aca="false">BC14*BD10</f>
        <v>6</v>
      </c>
      <c r="BE16" s="37" t="n">
        <f aca="false">BD14*BE10</f>
        <v>6</v>
      </c>
      <c r="BF16" s="37" t="n">
        <f aca="false">BE14*BF10</f>
        <v>6</v>
      </c>
      <c r="BG16" s="37" t="n">
        <f aca="false">BF14*BG10</f>
        <v>7</v>
      </c>
      <c r="BH16" s="37" t="n">
        <f aca="false">BG14*BH10</f>
        <v>7</v>
      </c>
      <c r="BI16" s="37" t="n">
        <f aca="false">BH14*BI10</f>
        <v>7</v>
      </c>
      <c r="BJ16" s="37" t="n">
        <f aca="false">BI14*BJ10</f>
        <v>7</v>
      </c>
      <c r="BK16" s="37" t="n">
        <f aca="false">BJ14*BK10</f>
        <v>8</v>
      </c>
      <c r="BL16" s="37" t="n">
        <f aca="false">BK14*BL10</f>
        <v>8</v>
      </c>
    </row>
    <row r="17" customFormat="false" ht="15" hidden="false" customHeight="false" outlineLevel="0" collapsed="false">
      <c r="A17" s="12" t="s">
        <v>724</v>
      </c>
      <c r="B17" s="14" t="s">
        <v>83</v>
      </c>
      <c r="D17" s="57" t="n">
        <f aca="false">SUM(E17:BL17)</f>
        <v>4710</v>
      </c>
      <c r="E17" s="34" t="n">
        <f aca="false">E15*Rep_Productivity</f>
        <v>0</v>
      </c>
      <c r="F17" s="34" t="n">
        <f aca="false">F15*Rep_Productivity</f>
        <v>0</v>
      </c>
      <c r="G17" s="34" t="n">
        <f aca="false">G15*Rep_Productivity</f>
        <v>0</v>
      </c>
      <c r="H17" s="34" t="n">
        <f aca="false">H15*Rep_Productivity</f>
        <v>0</v>
      </c>
      <c r="I17" s="34" t="n">
        <f aca="false">I15*Rep_Productivity</f>
        <v>30</v>
      </c>
      <c r="J17" s="34" t="n">
        <f aca="false">J15*Rep_Productivity</f>
        <v>30</v>
      </c>
      <c r="K17" s="34" t="n">
        <f aca="false">K15*Rep_Productivity</f>
        <v>30</v>
      </c>
      <c r="L17" s="34" t="n">
        <f aca="false">L15*Rep_Productivity</f>
        <v>30</v>
      </c>
      <c r="M17" s="34" t="n">
        <f aca="false">M15*Rep_Productivity</f>
        <v>30</v>
      </c>
      <c r="N17" s="34" t="n">
        <f aca="false">N15*Rep_Productivity</f>
        <v>30</v>
      </c>
      <c r="O17" s="34" t="n">
        <f aca="false">O15*Rep_Productivity</f>
        <v>30</v>
      </c>
      <c r="P17" s="34" t="n">
        <f aca="false">P15*Rep_Productivity</f>
        <v>30</v>
      </c>
      <c r="Q17" s="34" t="n">
        <f aca="false">Q15*Rep_Productivity</f>
        <v>30</v>
      </c>
      <c r="R17" s="34" t="n">
        <f aca="false">R15*Rep_Productivity</f>
        <v>30</v>
      </c>
      <c r="S17" s="34" t="n">
        <f aca="false">S15*Rep_Productivity</f>
        <v>30</v>
      </c>
      <c r="T17" s="34" t="n">
        <f aca="false">T15*Rep_Productivity</f>
        <v>30</v>
      </c>
      <c r="U17" s="34" t="n">
        <f aca="false">U15*Rep_Productivity</f>
        <v>30</v>
      </c>
      <c r="V17" s="34" t="n">
        <f aca="false">V15*Rep_Productivity</f>
        <v>30</v>
      </c>
      <c r="W17" s="34" t="n">
        <f aca="false">W15*Rep_Productivity</f>
        <v>40</v>
      </c>
      <c r="X17" s="34" t="n">
        <f aca="false">X15*Rep_Productivity</f>
        <v>40</v>
      </c>
      <c r="Y17" s="34" t="n">
        <f aca="false">Y15*Rep_Productivity</f>
        <v>40</v>
      </c>
      <c r="Z17" s="34" t="n">
        <f aca="false">Z15*Rep_Productivity</f>
        <v>40</v>
      </c>
      <c r="AA17" s="34" t="n">
        <f aca="false">AA15*Rep_Productivity</f>
        <v>40</v>
      </c>
      <c r="AB17" s="34" t="n">
        <f aca="false">AB15*Rep_Productivity</f>
        <v>50</v>
      </c>
      <c r="AC17" s="34" t="n">
        <f aca="false">AC15*Rep_Productivity</f>
        <v>50</v>
      </c>
      <c r="AD17" s="34" t="n">
        <f aca="false">AD15*Rep_Productivity</f>
        <v>50</v>
      </c>
      <c r="AE17" s="34" t="n">
        <f aca="false">AE15*Rep_Productivity</f>
        <v>50</v>
      </c>
      <c r="AF17" s="34" t="n">
        <f aca="false">AF15*Rep_Productivity</f>
        <v>60</v>
      </c>
      <c r="AG17" s="34" t="n">
        <f aca="false">AG15*Rep_Productivity</f>
        <v>60</v>
      </c>
      <c r="AH17" s="34" t="n">
        <f aca="false">AH15*Rep_Productivity</f>
        <v>60</v>
      </c>
      <c r="AI17" s="34" t="n">
        <f aca="false">AI15*Rep_Productivity</f>
        <v>60</v>
      </c>
      <c r="AJ17" s="34" t="n">
        <f aca="false">AJ15*Rep_Productivity</f>
        <v>70</v>
      </c>
      <c r="AK17" s="34" t="n">
        <f aca="false">AK15*Rep_Productivity</f>
        <v>70</v>
      </c>
      <c r="AL17" s="34" t="n">
        <f aca="false">AL15*Rep_Productivity</f>
        <v>70</v>
      </c>
      <c r="AM17" s="34" t="n">
        <f aca="false">AM15*Rep_Productivity</f>
        <v>80</v>
      </c>
      <c r="AN17" s="34" t="n">
        <f aca="false">AN15*Rep_Productivity</f>
        <v>80</v>
      </c>
      <c r="AO17" s="34" t="n">
        <f aca="false">AO15*Rep_Productivity</f>
        <v>80</v>
      </c>
      <c r="AP17" s="34" t="n">
        <f aca="false">AP15*Rep_Productivity</f>
        <v>90</v>
      </c>
      <c r="AQ17" s="34" t="n">
        <f aca="false">AQ15*Rep_Productivity</f>
        <v>90</v>
      </c>
      <c r="AR17" s="34" t="n">
        <f aca="false">AR15*Rep_Productivity</f>
        <v>100</v>
      </c>
      <c r="AS17" s="34" t="n">
        <f aca="false">AS15*Rep_Productivity</f>
        <v>100</v>
      </c>
      <c r="AT17" s="34" t="n">
        <f aca="false">AT15*Rep_Productivity</f>
        <v>110</v>
      </c>
      <c r="AU17" s="34" t="n">
        <f aca="false">AU15*Rep_Productivity</f>
        <v>110</v>
      </c>
      <c r="AV17" s="34" t="n">
        <f aca="false">AV15*Rep_Productivity</f>
        <v>110</v>
      </c>
      <c r="AW17" s="34" t="n">
        <f aca="false">AW15*Rep_Productivity</f>
        <v>120</v>
      </c>
      <c r="AX17" s="34" t="n">
        <f aca="false">AX15*Rep_Productivity</f>
        <v>120</v>
      </c>
      <c r="AY17" s="34" t="n">
        <f aca="false">AY15*Rep_Productivity</f>
        <v>130</v>
      </c>
      <c r="AZ17" s="34" t="n">
        <f aca="false">AZ15*Rep_Productivity</f>
        <v>130</v>
      </c>
      <c r="BA17" s="34" t="n">
        <f aca="false">BA15*Rep_Productivity</f>
        <v>140</v>
      </c>
      <c r="BB17" s="34" t="n">
        <f aca="false">BB15*Rep_Productivity</f>
        <v>140</v>
      </c>
      <c r="BC17" s="34" t="n">
        <f aca="false">BC15*Rep_Productivity</f>
        <v>150</v>
      </c>
      <c r="BD17" s="34" t="n">
        <f aca="false">BD15*Rep_Productivity</f>
        <v>150</v>
      </c>
      <c r="BE17" s="34" t="n">
        <f aca="false">BE15*Rep_Productivity</f>
        <v>160</v>
      </c>
      <c r="BF17" s="34" t="n">
        <f aca="false">BF15*Rep_Productivity</f>
        <v>160</v>
      </c>
      <c r="BG17" s="34" t="n">
        <f aca="false">BG15*Rep_Productivity</f>
        <v>170</v>
      </c>
      <c r="BH17" s="34" t="n">
        <f aca="false">BH15*Rep_Productivity</f>
        <v>170</v>
      </c>
      <c r="BI17" s="34" t="n">
        <f aca="false">BI15*Rep_Productivity</f>
        <v>180</v>
      </c>
      <c r="BJ17" s="34" t="n">
        <f aca="false">BJ15*Rep_Productivity</f>
        <v>180</v>
      </c>
      <c r="BK17" s="34" t="n">
        <f aca="false">BK15*Rep_Productivity</f>
        <v>190</v>
      </c>
      <c r="BL17" s="34" t="n">
        <f aca="false">BL15*Rep_Productivity</f>
        <v>200</v>
      </c>
    </row>
    <row r="18" customFormat="false" ht="15" hidden="false" customHeight="false" outlineLevel="0" collapsed="false">
      <c r="A18" s="12" t="s">
        <v>725</v>
      </c>
      <c r="B18" s="14" t="s">
        <v>83</v>
      </c>
      <c r="D18" s="57" t="n">
        <f aca="false">SUM(E18:BL18)</f>
        <v>1431</v>
      </c>
      <c r="E18" s="34" t="n">
        <f aca="false">E16*Rep_Productivity*CI_Productivity</f>
        <v>0</v>
      </c>
      <c r="F18" s="34" t="n">
        <f aca="false">F16*Rep_Productivity*CI_Productivity</f>
        <v>0</v>
      </c>
      <c r="G18" s="34" t="n">
        <f aca="false">G16*Rep_Productivity*CI_Productivity</f>
        <v>0</v>
      </c>
      <c r="H18" s="34" t="n">
        <f aca="false">H16*Rep_Productivity*CI_Productivity</f>
        <v>0</v>
      </c>
      <c r="I18" s="34" t="n">
        <f aca="false">I16*Rep_Productivity*CI_Productivity</f>
        <v>0</v>
      </c>
      <c r="J18" s="34" t="n">
        <f aca="false">J16*Rep_Productivity*CI_Productivity</f>
        <v>0</v>
      </c>
      <c r="K18" s="34" t="n">
        <f aca="false">K16*Rep_Productivity*CI_Productivity</f>
        <v>0</v>
      </c>
      <c r="L18" s="34" t="n">
        <f aca="false">L16*Rep_Productivity*CI_Productivity</f>
        <v>0</v>
      </c>
      <c r="M18" s="34" t="n">
        <f aca="false">M16*Rep_Productivity*CI_Productivity</f>
        <v>0</v>
      </c>
      <c r="N18" s="34" t="n">
        <f aca="false">N16*Rep_Productivity*CI_Productivity</f>
        <v>0</v>
      </c>
      <c r="O18" s="34" t="n">
        <f aca="false">O16*Rep_Productivity*CI_Productivity</f>
        <v>0</v>
      </c>
      <c r="P18" s="34" t="n">
        <f aca="false">P16*Rep_Productivity*CI_Productivity</f>
        <v>0</v>
      </c>
      <c r="Q18" s="34" t="n">
        <f aca="false">Q16*Rep_Productivity*CI_Productivity</f>
        <v>0</v>
      </c>
      <c r="R18" s="34" t="n">
        <f aca="false">R16*Rep_Productivity*CI_Productivity</f>
        <v>0</v>
      </c>
      <c r="S18" s="34" t="n">
        <f aca="false">S16*Rep_Productivity*CI_Productivity</f>
        <v>0</v>
      </c>
      <c r="T18" s="34" t="n">
        <f aca="false">T16*Rep_Productivity*CI_Productivity</f>
        <v>0</v>
      </c>
      <c r="U18" s="34" t="n">
        <f aca="false">U16*Rep_Productivity*CI_Productivity</f>
        <v>0</v>
      </c>
      <c r="V18" s="34" t="n">
        <f aca="false">V16*Rep_Productivity*CI_Productivity</f>
        <v>0</v>
      </c>
      <c r="W18" s="34" t="n">
        <f aca="false">W16*Rep_Productivity*CI_Productivity</f>
        <v>18</v>
      </c>
      <c r="X18" s="34" t="n">
        <f aca="false">X16*Rep_Productivity*CI_Productivity</f>
        <v>18</v>
      </c>
      <c r="Y18" s="34" t="n">
        <f aca="false">Y16*Rep_Productivity*CI_Productivity</f>
        <v>18</v>
      </c>
      <c r="Z18" s="34" t="n">
        <f aca="false">Z16*Rep_Productivity*CI_Productivity</f>
        <v>18</v>
      </c>
      <c r="AA18" s="34" t="n">
        <f aca="false">AA16*Rep_Productivity*CI_Productivity</f>
        <v>18</v>
      </c>
      <c r="AB18" s="34" t="n">
        <f aca="false">AB16*Rep_Productivity*CI_Productivity</f>
        <v>18</v>
      </c>
      <c r="AC18" s="34" t="n">
        <f aca="false">AC16*Rep_Productivity*CI_Productivity</f>
        <v>18</v>
      </c>
      <c r="AD18" s="34" t="n">
        <f aca="false">AD16*Rep_Productivity*CI_Productivity</f>
        <v>18</v>
      </c>
      <c r="AE18" s="34" t="n">
        <f aca="false">AE16*Rep_Productivity*CI_Productivity</f>
        <v>18</v>
      </c>
      <c r="AF18" s="34" t="n">
        <f aca="false">AF16*Rep_Productivity*CI_Productivity</f>
        <v>18</v>
      </c>
      <c r="AG18" s="34" t="n">
        <f aca="false">AG16*Rep_Productivity*CI_Productivity</f>
        <v>18</v>
      </c>
      <c r="AH18" s="34" t="n">
        <f aca="false">AH16*Rep_Productivity*CI_Productivity</f>
        <v>18</v>
      </c>
      <c r="AI18" s="34" t="n">
        <f aca="false">AI16*Rep_Productivity*CI_Productivity</f>
        <v>18</v>
      </c>
      <c r="AJ18" s="34" t="n">
        <f aca="false">AJ16*Rep_Productivity*CI_Productivity</f>
        <v>18</v>
      </c>
      <c r="AK18" s="34" t="n">
        <f aca="false">AK16*Rep_Productivity*CI_Productivity</f>
        <v>18</v>
      </c>
      <c r="AL18" s="34" t="n">
        <f aca="false">AL16*Rep_Productivity*CI_Productivity</f>
        <v>18</v>
      </c>
      <c r="AM18" s="34" t="n">
        <f aca="false">AM16*Rep_Productivity*CI_Productivity</f>
        <v>18</v>
      </c>
      <c r="AN18" s="34" t="n">
        <f aca="false">AN16*Rep_Productivity*CI_Productivity</f>
        <v>27</v>
      </c>
      <c r="AO18" s="34" t="n">
        <f aca="false">AO16*Rep_Productivity*CI_Productivity</f>
        <v>27</v>
      </c>
      <c r="AP18" s="34" t="n">
        <f aca="false">AP16*Rep_Productivity*CI_Productivity</f>
        <v>27</v>
      </c>
      <c r="AQ18" s="34" t="n">
        <f aca="false">AQ16*Rep_Productivity*CI_Productivity</f>
        <v>27</v>
      </c>
      <c r="AR18" s="34" t="n">
        <f aca="false">AR16*Rep_Productivity*CI_Productivity</f>
        <v>27</v>
      </c>
      <c r="AS18" s="34" t="n">
        <f aca="false">AS16*Rep_Productivity*CI_Productivity</f>
        <v>27</v>
      </c>
      <c r="AT18" s="34" t="n">
        <f aca="false">AT16*Rep_Productivity*CI_Productivity</f>
        <v>36</v>
      </c>
      <c r="AU18" s="34" t="n">
        <f aca="false">AU16*Rep_Productivity*CI_Productivity</f>
        <v>36</v>
      </c>
      <c r="AV18" s="34" t="n">
        <f aca="false">AV16*Rep_Productivity*CI_Productivity</f>
        <v>36</v>
      </c>
      <c r="AW18" s="34" t="n">
        <f aca="false">AW16*Rep_Productivity*CI_Productivity</f>
        <v>36</v>
      </c>
      <c r="AX18" s="34" t="n">
        <f aca="false">AX16*Rep_Productivity*CI_Productivity</f>
        <v>36</v>
      </c>
      <c r="AY18" s="34" t="n">
        <f aca="false">AY16*Rep_Productivity*CI_Productivity</f>
        <v>45</v>
      </c>
      <c r="AZ18" s="34" t="n">
        <f aca="false">AZ16*Rep_Productivity*CI_Productivity</f>
        <v>45</v>
      </c>
      <c r="BA18" s="34" t="n">
        <f aca="false">BA16*Rep_Productivity*CI_Productivity</f>
        <v>45</v>
      </c>
      <c r="BB18" s="34" t="n">
        <f aca="false">BB16*Rep_Productivity*CI_Productivity</f>
        <v>45</v>
      </c>
      <c r="BC18" s="34" t="n">
        <f aca="false">BC16*Rep_Productivity*CI_Productivity</f>
        <v>45</v>
      </c>
      <c r="BD18" s="34" t="n">
        <f aca="false">BD16*Rep_Productivity*CI_Productivity</f>
        <v>54</v>
      </c>
      <c r="BE18" s="34" t="n">
        <f aca="false">BE16*Rep_Productivity*CI_Productivity</f>
        <v>54</v>
      </c>
      <c r="BF18" s="34" t="n">
        <f aca="false">BF16*Rep_Productivity*CI_Productivity</f>
        <v>54</v>
      </c>
      <c r="BG18" s="34" t="n">
        <f aca="false">BG16*Rep_Productivity*CI_Productivity</f>
        <v>63</v>
      </c>
      <c r="BH18" s="34" t="n">
        <f aca="false">BH16*Rep_Productivity*CI_Productivity</f>
        <v>63</v>
      </c>
      <c r="BI18" s="34" t="n">
        <f aca="false">BI16*Rep_Productivity*CI_Productivity</f>
        <v>63</v>
      </c>
      <c r="BJ18" s="34" t="n">
        <f aca="false">BJ16*Rep_Productivity*CI_Productivity</f>
        <v>63</v>
      </c>
      <c r="BK18" s="34" t="n">
        <f aca="false">BK16*Rep_Productivity*CI_Productivity</f>
        <v>72</v>
      </c>
      <c r="BL18" s="34" t="n">
        <f aca="false">BL16*Rep_Productivity*CI_Productivity</f>
        <v>72</v>
      </c>
    </row>
    <row r="20" customFormat="false" ht="15" hidden="false" customHeight="false" outlineLevel="0" collapsed="false">
      <c r="A20" s="10" t="s">
        <v>726</v>
      </c>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row>
    <row r="21" customFormat="false" ht="15" hidden="false" customHeight="false" outlineLevel="0" collapsed="false">
      <c r="A21" s="12" t="s">
        <v>727</v>
      </c>
      <c r="B21" s="14" t="s">
        <v>83</v>
      </c>
      <c r="D21" s="57" t="n">
        <f aca="false">SUM(E21:BL21)</f>
        <v>2791.20866664185</v>
      </c>
      <c r="E21" s="34" t="n">
        <f aca="false">E9*MIN(Partner_Cap_SN,Partner_Base_SN*(1+Partner_Growth)^MAX(0,E$3-Launch_SN))</f>
        <v>0</v>
      </c>
      <c r="F21" s="34" t="n">
        <f aca="false">F9*MIN(Partner_Cap_SN,Partner_Base_SN*(1+Partner_Growth)^MAX(0,F$3-Launch_SN))</f>
        <v>0</v>
      </c>
      <c r="G21" s="34" t="n">
        <f aca="false">G9*MIN(Partner_Cap_SN,Partner_Base_SN*(1+Partner_Growth)^MAX(0,G$3-Launch_SN))</f>
        <v>0</v>
      </c>
      <c r="H21" s="34" t="n">
        <f aca="false">H9*MIN(Partner_Cap_SN,Partner_Base_SN*(1+Partner_Growth)^MAX(0,H$3-Launch_SN))</f>
        <v>0</v>
      </c>
      <c r="I21" s="34" t="n">
        <f aca="false">I9*MIN(Partner_Cap_SN,Partner_Base_SN*(1+Partner_Growth)^MAX(0,I$3-Launch_SN))</f>
        <v>10</v>
      </c>
      <c r="J21" s="34" t="n">
        <f aca="false">J9*MIN(Partner_Cap_SN,Partner_Base_SN*(1+Partner_Growth)^MAX(0,J$3-Launch_SN))</f>
        <v>10.6</v>
      </c>
      <c r="K21" s="34" t="n">
        <f aca="false">K9*MIN(Partner_Cap_SN,Partner_Base_SN*(1+Partner_Growth)^MAX(0,K$3-Launch_SN))</f>
        <v>11.236</v>
      </c>
      <c r="L21" s="34" t="n">
        <f aca="false">L9*MIN(Partner_Cap_SN,Partner_Base_SN*(1+Partner_Growth)^MAX(0,L$3-Launch_SN))</f>
        <v>11.91016</v>
      </c>
      <c r="M21" s="34" t="n">
        <f aca="false">M9*MIN(Partner_Cap_SN,Partner_Base_SN*(1+Partner_Growth)^MAX(0,M$3-Launch_SN))</f>
        <v>12.6247696</v>
      </c>
      <c r="N21" s="34" t="n">
        <f aca="false">N9*MIN(Partner_Cap_SN,Partner_Base_SN*(1+Partner_Growth)^MAX(0,N$3-Launch_SN))</f>
        <v>13.382255776</v>
      </c>
      <c r="O21" s="34" t="n">
        <f aca="false">O9*MIN(Partner_Cap_SN,Partner_Base_SN*(1+Partner_Growth)^MAX(0,O$3-Launch_SN))</f>
        <v>14.18519112256</v>
      </c>
      <c r="P21" s="34" t="n">
        <f aca="false">P9*MIN(Partner_Cap_SN,Partner_Base_SN*(1+Partner_Growth)^MAX(0,P$3-Launch_SN))</f>
        <v>15.0363025899136</v>
      </c>
      <c r="Q21" s="34" t="n">
        <f aca="false">Q9*MIN(Partner_Cap_SN,Partner_Base_SN*(1+Partner_Growth)^MAX(0,Q$3-Launch_SN))</f>
        <v>15.9384807453084</v>
      </c>
      <c r="R21" s="34" t="n">
        <f aca="false">R9*MIN(Partner_Cap_SN,Partner_Base_SN*(1+Partner_Growth)^MAX(0,R$3-Launch_SN))</f>
        <v>16.8947895900269</v>
      </c>
      <c r="S21" s="34" t="n">
        <f aca="false">S9*MIN(Partner_Cap_SN,Partner_Base_SN*(1+Partner_Growth)^MAX(0,S$3-Launch_SN))</f>
        <v>17.9084769654285</v>
      </c>
      <c r="T21" s="34" t="n">
        <f aca="false">T9*MIN(Partner_Cap_SN,Partner_Base_SN*(1+Partner_Growth)^MAX(0,T$3-Launch_SN))</f>
        <v>18.9829855833543</v>
      </c>
      <c r="U21" s="34" t="n">
        <f aca="false">U9*MIN(Partner_Cap_SN,Partner_Base_SN*(1+Partner_Growth)^MAX(0,U$3-Launch_SN))</f>
        <v>20.1219647183555</v>
      </c>
      <c r="V21" s="34" t="n">
        <f aca="false">V9*MIN(Partner_Cap_SN,Partner_Base_SN*(1+Partner_Growth)^MAX(0,V$3-Launch_SN))</f>
        <v>21.3292826014568</v>
      </c>
      <c r="W21" s="34" t="n">
        <f aca="false">W9*MIN(Partner_Cap_SN,Partner_Base_SN*(1+Partner_Growth)^MAX(0,W$3-Launch_SN))</f>
        <v>22.6090395575443</v>
      </c>
      <c r="X21" s="34" t="n">
        <f aca="false">X9*MIN(Partner_Cap_SN,Partner_Base_SN*(1+Partner_Growth)^MAX(0,X$3-Launch_SN))</f>
        <v>23.9655819309969</v>
      </c>
      <c r="Y21" s="34" t="n">
        <f aca="false">Y9*MIN(Partner_Cap_SN,Partner_Base_SN*(1+Partner_Growth)^MAX(0,Y$3-Launch_SN))</f>
        <v>25.4035168468567</v>
      </c>
      <c r="Z21" s="34" t="n">
        <f aca="false">Z9*MIN(Partner_Cap_SN,Partner_Base_SN*(1+Partner_Growth)^MAX(0,Z$3-Launch_SN))</f>
        <v>26.9277278576681</v>
      </c>
      <c r="AA21" s="34" t="n">
        <f aca="false">AA9*MIN(Partner_Cap_SN,Partner_Base_SN*(1+Partner_Growth)^MAX(0,AA$3-Launch_SN))</f>
        <v>28.5433915291282</v>
      </c>
      <c r="AB21" s="34" t="n">
        <f aca="false">AB9*MIN(Partner_Cap_SN,Partner_Base_SN*(1+Partner_Growth)^MAX(0,AB$3-Launch_SN))</f>
        <v>30.2559950208759</v>
      </c>
      <c r="AC21" s="34" t="n">
        <f aca="false">AC9*MIN(Partner_Cap_SN,Partner_Base_SN*(1+Partner_Growth)^MAX(0,AC$3-Launch_SN))</f>
        <v>32.0713547221285</v>
      </c>
      <c r="AD21" s="34" t="n">
        <f aca="false">AD9*MIN(Partner_Cap_SN,Partner_Base_SN*(1+Partner_Growth)^MAX(0,AD$3-Launch_SN))</f>
        <v>33.9956360054562</v>
      </c>
      <c r="AE21" s="34" t="n">
        <f aca="false">AE9*MIN(Partner_Cap_SN,Partner_Base_SN*(1+Partner_Growth)^MAX(0,AE$3-Launch_SN))</f>
        <v>36.0353741657836</v>
      </c>
      <c r="AF21" s="34" t="n">
        <f aca="false">AF9*MIN(Partner_Cap_SN,Partner_Base_SN*(1+Partner_Growth)^MAX(0,AF$3-Launch_SN))</f>
        <v>38.1974966157306</v>
      </c>
      <c r="AG21" s="34" t="n">
        <f aca="false">AG9*MIN(Partner_Cap_SN,Partner_Base_SN*(1+Partner_Growth)^MAX(0,AG$3-Launch_SN))</f>
        <v>40.4893464126744</v>
      </c>
      <c r="AH21" s="34" t="n">
        <f aca="false">AH9*MIN(Partner_Cap_SN,Partner_Base_SN*(1+Partner_Growth)^MAX(0,AH$3-Launch_SN))</f>
        <v>42.9187071974349</v>
      </c>
      <c r="AI21" s="34" t="n">
        <f aca="false">AI9*MIN(Partner_Cap_SN,Partner_Base_SN*(1+Partner_Growth)^MAX(0,AI$3-Launch_SN))</f>
        <v>45.493829629281</v>
      </c>
      <c r="AJ21" s="34" t="n">
        <f aca="false">AJ9*MIN(Partner_Cap_SN,Partner_Base_SN*(1+Partner_Growth)^MAX(0,AJ$3-Launch_SN))</f>
        <v>48.2234594070378</v>
      </c>
      <c r="AK21" s="34" t="n">
        <f aca="false">AK9*MIN(Partner_Cap_SN,Partner_Base_SN*(1+Partner_Growth)^MAX(0,AK$3-Launch_SN))</f>
        <v>51.1168669714601</v>
      </c>
      <c r="AL21" s="34" t="n">
        <f aca="false">AL9*MIN(Partner_Cap_SN,Partner_Base_SN*(1+Partner_Growth)^MAX(0,AL$3-Launch_SN))</f>
        <v>54.1838789897477</v>
      </c>
      <c r="AM21" s="34" t="n">
        <f aca="false">AM9*MIN(Partner_Cap_SN,Partner_Base_SN*(1+Partner_Growth)^MAX(0,AM$3-Launch_SN))</f>
        <v>57.4349117291326</v>
      </c>
      <c r="AN21" s="34" t="n">
        <f aca="false">AN9*MIN(Partner_Cap_SN,Partner_Base_SN*(1+Partner_Growth)^MAX(0,AN$3-Launch_SN))</f>
        <v>60.8810064328806</v>
      </c>
      <c r="AO21" s="34" t="n">
        <f aca="false">AO9*MIN(Partner_Cap_SN,Partner_Base_SN*(1+Partner_Growth)^MAX(0,AO$3-Launch_SN))</f>
        <v>64.5338668188534</v>
      </c>
      <c r="AP21" s="34" t="n">
        <f aca="false">AP9*MIN(Partner_Cap_SN,Partner_Base_SN*(1+Partner_Growth)^MAX(0,AP$3-Launch_SN))</f>
        <v>68.4058988279846</v>
      </c>
      <c r="AQ21" s="34" t="n">
        <f aca="false">AQ9*MIN(Partner_Cap_SN,Partner_Base_SN*(1+Partner_Growth)^MAX(0,AQ$3-Launch_SN))</f>
        <v>72.5102527576637</v>
      </c>
      <c r="AR21" s="34" t="n">
        <f aca="false">AR9*MIN(Partner_Cap_SN,Partner_Base_SN*(1+Partner_Growth)^MAX(0,AR$3-Launch_SN))</f>
        <v>76.8608679231235</v>
      </c>
      <c r="AS21" s="34" t="n">
        <f aca="false">AS9*MIN(Partner_Cap_SN,Partner_Base_SN*(1+Partner_Growth)^MAX(0,AS$3-Launch_SN))</f>
        <v>80</v>
      </c>
      <c r="AT21" s="34" t="n">
        <f aca="false">AT9*MIN(Partner_Cap_SN,Partner_Base_SN*(1+Partner_Growth)^MAX(0,AT$3-Launch_SN))</f>
        <v>80</v>
      </c>
      <c r="AU21" s="34" t="n">
        <f aca="false">AU9*MIN(Partner_Cap_SN,Partner_Base_SN*(1+Partner_Growth)^MAX(0,AU$3-Launch_SN))</f>
        <v>80</v>
      </c>
      <c r="AV21" s="34" t="n">
        <f aca="false">AV9*MIN(Partner_Cap_SN,Partner_Base_SN*(1+Partner_Growth)^MAX(0,AV$3-Launch_SN))</f>
        <v>80</v>
      </c>
      <c r="AW21" s="34" t="n">
        <f aca="false">AW9*MIN(Partner_Cap_SN,Partner_Base_SN*(1+Partner_Growth)^MAX(0,AW$3-Launch_SN))</f>
        <v>80</v>
      </c>
      <c r="AX21" s="34" t="n">
        <f aca="false">AX9*MIN(Partner_Cap_SN,Partner_Base_SN*(1+Partner_Growth)^MAX(0,AX$3-Launch_SN))</f>
        <v>80</v>
      </c>
      <c r="AY21" s="34" t="n">
        <f aca="false">AY9*MIN(Partner_Cap_SN,Partner_Base_SN*(1+Partner_Growth)^MAX(0,AY$3-Launch_SN))</f>
        <v>80</v>
      </c>
      <c r="AZ21" s="34" t="n">
        <f aca="false">AZ9*MIN(Partner_Cap_SN,Partner_Base_SN*(1+Partner_Growth)^MAX(0,AZ$3-Launch_SN))</f>
        <v>80</v>
      </c>
      <c r="BA21" s="34" t="n">
        <f aca="false">BA9*MIN(Partner_Cap_SN,Partner_Base_SN*(1+Partner_Growth)^MAX(0,BA$3-Launch_SN))</f>
        <v>80</v>
      </c>
      <c r="BB21" s="34" t="n">
        <f aca="false">BB9*MIN(Partner_Cap_SN,Partner_Base_SN*(1+Partner_Growth)^MAX(0,BB$3-Launch_SN))</f>
        <v>80</v>
      </c>
      <c r="BC21" s="34" t="n">
        <f aca="false">BC9*MIN(Partner_Cap_SN,Partner_Base_SN*(1+Partner_Growth)^MAX(0,BC$3-Launch_SN))</f>
        <v>80</v>
      </c>
      <c r="BD21" s="34" t="n">
        <f aca="false">BD9*MIN(Partner_Cap_SN,Partner_Base_SN*(1+Partner_Growth)^MAX(0,BD$3-Launch_SN))</f>
        <v>80</v>
      </c>
      <c r="BE21" s="34" t="n">
        <f aca="false">BE9*MIN(Partner_Cap_SN,Partner_Base_SN*(1+Partner_Growth)^MAX(0,BE$3-Launch_SN))</f>
        <v>80</v>
      </c>
      <c r="BF21" s="34" t="n">
        <f aca="false">BF9*MIN(Partner_Cap_SN,Partner_Base_SN*(1+Partner_Growth)^MAX(0,BF$3-Launch_SN))</f>
        <v>80</v>
      </c>
      <c r="BG21" s="34" t="n">
        <f aca="false">BG9*MIN(Partner_Cap_SN,Partner_Base_SN*(1+Partner_Growth)^MAX(0,BG$3-Launch_SN))</f>
        <v>80</v>
      </c>
      <c r="BH21" s="34" t="n">
        <f aca="false">BH9*MIN(Partner_Cap_SN,Partner_Base_SN*(1+Partner_Growth)^MAX(0,BH$3-Launch_SN))</f>
        <v>80</v>
      </c>
      <c r="BI21" s="34" t="n">
        <f aca="false">BI9*MIN(Partner_Cap_SN,Partner_Base_SN*(1+Partner_Growth)^MAX(0,BI$3-Launch_SN))</f>
        <v>80</v>
      </c>
      <c r="BJ21" s="34" t="n">
        <f aca="false">BJ9*MIN(Partner_Cap_SN,Partner_Base_SN*(1+Partner_Growth)^MAX(0,BJ$3-Launch_SN))</f>
        <v>80</v>
      </c>
      <c r="BK21" s="34" t="n">
        <f aca="false">BK9*MIN(Partner_Cap_SN,Partner_Base_SN*(1+Partner_Growth)^MAX(0,BK$3-Launch_SN))</f>
        <v>80</v>
      </c>
      <c r="BL21" s="34" t="n">
        <f aca="false">BL9*MIN(Partner_Cap_SN,Partner_Base_SN*(1+Partner_Growth)^MAX(0,BL$3-Launch_SN))</f>
        <v>80</v>
      </c>
    </row>
    <row r="22" customFormat="false" ht="15" hidden="false" customHeight="false" outlineLevel="0" collapsed="false">
      <c r="A22" s="12" t="s">
        <v>728</v>
      </c>
      <c r="B22" s="14" t="s">
        <v>83</v>
      </c>
      <c r="D22" s="57" t="n">
        <f aca="false">SUM(E22:BL22)</f>
        <v>1048.57179371259</v>
      </c>
      <c r="E22" s="34" t="n">
        <f aca="false">E10*MIN(Partner_Cap_CI,Partner_Base_CI*(1+Partner_Growth)^MAX(0,E$3-Launch_CI))</f>
        <v>0</v>
      </c>
      <c r="F22" s="34" t="n">
        <f aca="false">F10*MIN(Partner_Cap_CI,Partner_Base_CI*(1+Partner_Growth)^MAX(0,F$3-Launch_CI))</f>
        <v>0</v>
      </c>
      <c r="G22" s="34" t="n">
        <f aca="false">G10*MIN(Partner_Cap_CI,Partner_Base_CI*(1+Partner_Growth)^MAX(0,G$3-Launch_CI))</f>
        <v>0</v>
      </c>
      <c r="H22" s="34" t="n">
        <f aca="false">H10*MIN(Partner_Cap_CI,Partner_Base_CI*(1+Partner_Growth)^MAX(0,H$3-Launch_CI))</f>
        <v>0</v>
      </c>
      <c r="I22" s="34" t="n">
        <f aca="false">I10*MIN(Partner_Cap_CI,Partner_Base_CI*(1+Partner_Growth)^MAX(0,I$3-Launch_CI))</f>
        <v>0</v>
      </c>
      <c r="J22" s="34" t="n">
        <f aca="false">J10*MIN(Partner_Cap_CI,Partner_Base_CI*(1+Partner_Growth)^MAX(0,J$3-Launch_CI))</f>
        <v>0</v>
      </c>
      <c r="K22" s="34" t="n">
        <f aca="false">K10*MIN(Partner_Cap_CI,Partner_Base_CI*(1+Partner_Growth)^MAX(0,K$3-Launch_CI))</f>
        <v>0</v>
      </c>
      <c r="L22" s="34" t="n">
        <f aca="false">L10*MIN(Partner_Cap_CI,Partner_Base_CI*(1+Partner_Growth)^MAX(0,L$3-Launch_CI))</f>
        <v>0</v>
      </c>
      <c r="M22" s="34" t="n">
        <f aca="false">M10*MIN(Partner_Cap_CI,Partner_Base_CI*(1+Partner_Growth)^MAX(0,M$3-Launch_CI))</f>
        <v>0</v>
      </c>
      <c r="N22" s="34" t="n">
        <f aca="false">N10*MIN(Partner_Cap_CI,Partner_Base_CI*(1+Partner_Growth)^MAX(0,N$3-Launch_CI))</f>
        <v>0</v>
      </c>
      <c r="O22" s="34" t="n">
        <f aca="false">O10*MIN(Partner_Cap_CI,Partner_Base_CI*(1+Partner_Growth)^MAX(0,O$3-Launch_CI))</f>
        <v>0</v>
      </c>
      <c r="P22" s="34" t="n">
        <f aca="false">P10*MIN(Partner_Cap_CI,Partner_Base_CI*(1+Partner_Growth)^MAX(0,P$3-Launch_CI))</f>
        <v>0</v>
      </c>
      <c r="Q22" s="34" t="n">
        <f aca="false">Q10*MIN(Partner_Cap_CI,Partner_Base_CI*(1+Partner_Growth)^MAX(0,Q$3-Launch_CI))</f>
        <v>0</v>
      </c>
      <c r="R22" s="34" t="n">
        <f aca="false">R10*MIN(Partner_Cap_CI,Partner_Base_CI*(1+Partner_Growth)^MAX(0,R$3-Launch_CI))</f>
        <v>0</v>
      </c>
      <c r="S22" s="34" t="n">
        <f aca="false">S10*MIN(Partner_Cap_CI,Partner_Base_CI*(1+Partner_Growth)^MAX(0,S$3-Launch_CI))</f>
        <v>0</v>
      </c>
      <c r="T22" s="34" t="n">
        <f aca="false">T10*MIN(Partner_Cap_CI,Partner_Base_CI*(1+Partner_Growth)^MAX(0,T$3-Launch_CI))</f>
        <v>0</v>
      </c>
      <c r="U22" s="34" t="n">
        <f aca="false">U10*MIN(Partner_Cap_CI,Partner_Base_CI*(1+Partner_Growth)^MAX(0,U$3-Launch_CI))</f>
        <v>0</v>
      </c>
      <c r="V22" s="34" t="n">
        <f aca="false">V10*MIN(Partner_Cap_CI,Partner_Base_CI*(1+Partner_Growth)^MAX(0,V$3-Launch_CI))</f>
        <v>0</v>
      </c>
      <c r="W22" s="34" t="n">
        <f aca="false">W10*MIN(Partner_Cap_CI,Partner_Base_CI*(1+Partner_Growth)^MAX(0,W$3-Launch_CI))</f>
        <v>6</v>
      </c>
      <c r="X22" s="34" t="n">
        <f aca="false">X10*MIN(Partner_Cap_CI,Partner_Base_CI*(1+Partner_Growth)^MAX(0,X$3-Launch_CI))</f>
        <v>6.36</v>
      </c>
      <c r="Y22" s="34" t="n">
        <f aca="false">Y10*MIN(Partner_Cap_CI,Partner_Base_CI*(1+Partner_Growth)^MAX(0,Y$3-Launch_CI))</f>
        <v>6.7416</v>
      </c>
      <c r="Z22" s="34" t="n">
        <f aca="false">Z10*MIN(Partner_Cap_CI,Partner_Base_CI*(1+Partner_Growth)^MAX(0,Z$3-Launch_CI))</f>
        <v>7.146096</v>
      </c>
      <c r="AA22" s="34" t="n">
        <f aca="false">AA10*MIN(Partner_Cap_CI,Partner_Base_CI*(1+Partner_Growth)^MAX(0,AA$3-Launch_CI))</f>
        <v>7.57486176</v>
      </c>
      <c r="AB22" s="34" t="n">
        <f aca="false">AB10*MIN(Partner_Cap_CI,Partner_Base_CI*(1+Partner_Growth)^MAX(0,AB$3-Launch_CI))</f>
        <v>8.0293534656</v>
      </c>
      <c r="AC22" s="34" t="n">
        <f aca="false">AC10*MIN(Partner_Cap_CI,Partner_Base_CI*(1+Partner_Growth)^MAX(0,AC$3-Launch_CI))</f>
        <v>8.511114673536</v>
      </c>
      <c r="AD22" s="34" t="n">
        <f aca="false">AD10*MIN(Partner_Cap_CI,Partner_Base_CI*(1+Partner_Growth)^MAX(0,AD$3-Launch_CI))</f>
        <v>9.02178155394816</v>
      </c>
      <c r="AE22" s="34" t="n">
        <f aca="false">AE10*MIN(Partner_Cap_CI,Partner_Base_CI*(1+Partner_Growth)^MAX(0,AE$3-Launch_CI))</f>
        <v>9.56308844718505</v>
      </c>
      <c r="AF22" s="34" t="n">
        <f aca="false">AF10*MIN(Partner_Cap_CI,Partner_Base_CI*(1+Partner_Growth)^MAX(0,AF$3-Launch_CI))</f>
        <v>10.1368737540162</v>
      </c>
      <c r="AG22" s="34" t="n">
        <f aca="false">AG10*MIN(Partner_Cap_CI,Partner_Base_CI*(1+Partner_Growth)^MAX(0,AG$3-Launch_CI))</f>
        <v>10.7450861792571</v>
      </c>
      <c r="AH22" s="34" t="n">
        <f aca="false">AH10*MIN(Partner_Cap_CI,Partner_Base_CI*(1+Partner_Growth)^MAX(0,AH$3-Launch_CI))</f>
        <v>11.3897913500126</v>
      </c>
      <c r="AI22" s="34" t="n">
        <f aca="false">AI10*MIN(Partner_Cap_CI,Partner_Base_CI*(1+Partner_Growth)^MAX(0,AI$3-Launch_CI))</f>
        <v>12.0731788310133</v>
      </c>
      <c r="AJ22" s="34" t="n">
        <f aca="false">AJ10*MIN(Partner_Cap_CI,Partner_Base_CI*(1+Partner_Growth)^MAX(0,AJ$3-Launch_CI))</f>
        <v>12.7975695608741</v>
      </c>
      <c r="AK22" s="34" t="n">
        <f aca="false">AK10*MIN(Partner_Cap_CI,Partner_Base_CI*(1+Partner_Growth)^MAX(0,AK$3-Launch_CI))</f>
        <v>13.5654237345266</v>
      </c>
      <c r="AL22" s="34" t="n">
        <f aca="false">AL10*MIN(Partner_Cap_CI,Partner_Base_CI*(1+Partner_Growth)^MAX(0,AL$3-Launch_CI))</f>
        <v>14.3793491585982</v>
      </c>
      <c r="AM22" s="34" t="n">
        <f aca="false">AM10*MIN(Partner_Cap_CI,Partner_Base_CI*(1+Partner_Growth)^MAX(0,AM$3-Launch_CI))</f>
        <v>15.242110108114</v>
      </c>
      <c r="AN22" s="34" t="n">
        <f aca="false">AN10*MIN(Partner_Cap_CI,Partner_Base_CI*(1+Partner_Growth)^MAX(0,AN$3-Launch_CI))</f>
        <v>16.1566367146009</v>
      </c>
      <c r="AO22" s="34" t="n">
        <f aca="false">AO10*MIN(Partner_Cap_CI,Partner_Base_CI*(1+Partner_Growth)^MAX(0,AO$3-Launch_CI))</f>
        <v>17.1260349174769</v>
      </c>
      <c r="AP22" s="34" t="n">
        <f aca="false">AP10*MIN(Partner_Cap_CI,Partner_Base_CI*(1+Partner_Growth)^MAX(0,AP$3-Launch_CI))</f>
        <v>18.1535970125256</v>
      </c>
      <c r="AQ22" s="34" t="n">
        <f aca="false">AQ10*MIN(Partner_Cap_CI,Partner_Base_CI*(1+Partner_Growth)^MAX(0,AQ$3-Launch_CI))</f>
        <v>19.2428128332771</v>
      </c>
      <c r="AR22" s="34" t="n">
        <f aca="false">AR10*MIN(Partner_Cap_CI,Partner_Base_CI*(1+Partner_Growth)^MAX(0,AR$3-Launch_CI))</f>
        <v>20.3973816032737</v>
      </c>
      <c r="AS22" s="34" t="n">
        <f aca="false">AS10*MIN(Partner_Cap_CI,Partner_Base_CI*(1+Partner_Growth)^MAX(0,AS$3-Launch_CI))</f>
        <v>21.6212244994701</v>
      </c>
      <c r="AT22" s="34" t="n">
        <f aca="false">AT10*MIN(Partner_Cap_CI,Partner_Base_CI*(1+Partner_Growth)^MAX(0,AT$3-Launch_CI))</f>
        <v>22.9184979694384</v>
      </c>
      <c r="AU22" s="34" t="n">
        <f aca="false">AU10*MIN(Partner_Cap_CI,Partner_Base_CI*(1+Partner_Growth)^MAX(0,AU$3-Launch_CI))</f>
        <v>24.2936078476047</v>
      </c>
      <c r="AV22" s="34" t="n">
        <f aca="false">AV10*MIN(Partner_Cap_CI,Partner_Base_CI*(1+Partner_Growth)^MAX(0,AV$3-Launch_CI))</f>
        <v>25.7512243184609</v>
      </c>
      <c r="AW22" s="34" t="n">
        <f aca="false">AW10*MIN(Partner_Cap_CI,Partner_Base_CI*(1+Partner_Growth)^MAX(0,AW$3-Launch_CI))</f>
        <v>27.2962977775686</v>
      </c>
      <c r="AX22" s="34" t="n">
        <f aca="false">AX10*MIN(Partner_Cap_CI,Partner_Base_CI*(1+Partner_Growth)^MAX(0,AX$3-Launch_CI))</f>
        <v>28.9340756442227</v>
      </c>
      <c r="AY22" s="34" t="n">
        <f aca="false">AY10*MIN(Partner_Cap_CI,Partner_Base_CI*(1+Partner_Growth)^MAX(0,AY$3-Launch_CI))</f>
        <v>30.6701201828761</v>
      </c>
      <c r="AZ22" s="34" t="n">
        <f aca="false">AZ10*MIN(Partner_Cap_CI,Partner_Base_CI*(1+Partner_Growth)^MAX(0,AZ$3-Launch_CI))</f>
        <v>32.5103273938486</v>
      </c>
      <c r="BA22" s="34" t="n">
        <f aca="false">BA10*MIN(Partner_Cap_CI,Partner_Base_CI*(1+Partner_Growth)^MAX(0,BA$3-Launch_CI))</f>
        <v>34.4609470374796</v>
      </c>
      <c r="BB22" s="34" t="n">
        <f aca="false">BB10*MIN(Partner_Cap_CI,Partner_Base_CI*(1+Partner_Growth)^MAX(0,BB$3-Launch_CI))</f>
        <v>36.5286038597283</v>
      </c>
      <c r="BC22" s="34" t="n">
        <f aca="false">BC10*MIN(Partner_Cap_CI,Partner_Base_CI*(1+Partner_Growth)^MAX(0,BC$3-Launch_CI))</f>
        <v>38.720320091312</v>
      </c>
      <c r="BD22" s="34" t="n">
        <f aca="false">BD10*MIN(Partner_Cap_CI,Partner_Base_CI*(1+Partner_Growth)^MAX(0,BD$3-Launch_CI))</f>
        <v>41.0435392967908</v>
      </c>
      <c r="BE22" s="34" t="n">
        <f aca="false">BE10*MIN(Partner_Cap_CI,Partner_Base_CI*(1+Partner_Growth)^MAX(0,BE$3-Launch_CI))</f>
        <v>43.5061516545982</v>
      </c>
      <c r="BF22" s="34" t="n">
        <f aca="false">BF10*MIN(Partner_Cap_CI,Partner_Base_CI*(1+Partner_Growth)^MAX(0,BF$3-Launch_CI))</f>
        <v>46.1165207538741</v>
      </c>
      <c r="BG22" s="34" t="n">
        <f aca="false">BG10*MIN(Partner_Cap_CI,Partner_Base_CI*(1+Partner_Growth)^MAX(0,BG$3-Launch_CI))</f>
        <v>48.8835119991065</v>
      </c>
      <c r="BH22" s="34" t="n">
        <f aca="false">BH10*MIN(Partner_Cap_CI,Partner_Base_CI*(1+Partner_Growth)^MAX(0,BH$3-Launch_CI))</f>
        <v>51.8165227190529</v>
      </c>
      <c r="BI22" s="34" t="n">
        <f aca="false">BI10*MIN(Partner_Cap_CI,Partner_Base_CI*(1+Partner_Growth)^MAX(0,BI$3-Launch_CI))</f>
        <v>54.9255140821961</v>
      </c>
      <c r="BJ22" s="34" t="n">
        <f aca="false">BJ10*MIN(Partner_Cap_CI,Partner_Base_CI*(1+Partner_Growth)^MAX(0,BJ$3-Launch_CI))</f>
        <v>58.2210449271279</v>
      </c>
      <c r="BK22" s="34" t="n">
        <f aca="false">BK10*MIN(Partner_Cap_CI,Partner_Base_CI*(1+Partner_Growth)^MAX(0,BK$3-Launch_CI))</f>
        <v>60</v>
      </c>
      <c r="BL22" s="34" t="n">
        <f aca="false">BL10*MIN(Partner_Cap_CI,Partner_Base_CI*(1+Partner_Growth)^MAX(0,BL$3-Launch_CI))</f>
        <v>60</v>
      </c>
    </row>
    <row r="24" customFormat="false" ht="15" hidden="false" customHeight="false" outlineLevel="0" collapsed="false">
      <c r="A24" s="10" t="s">
        <v>729</v>
      </c>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1"/>
      <c r="BL24" s="11"/>
    </row>
    <row r="25" customFormat="false" ht="15" hidden="false" customHeight="false" outlineLevel="0" collapsed="false">
      <c r="A25" s="12" t="s">
        <v>474</v>
      </c>
      <c r="B25" s="14" t="s">
        <v>71</v>
      </c>
      <c r="D25" s="55" t="n">
        <f aca="false">SUM(E25:BL25)</f>
        <v>207280000</v>
      </c>
      <c r="E25" s="37" t="n">
        <f aca="false">E9*INDEX(Digital_SN,1,E$5)</f>
        <v>0</v>
      </c>
      <c r="F25" s="37" t="n">
        <f aca="false">F9*INDEX(Digital_SN,1,F$5)</f>
        <v>0</v>
      </c>
      <c r="G25" s="37" t="n">
        <f aca="false">G9*INDEX(Digital_SN,1,G$5)</f>
        <v>0</v>
      </c>
      <c r="H25" s="37" t="n">
        <f aca="false">H9*INDEX(Digital_SN,1,H$5)</f>
        <v>0</v>
      </c>
      <c r="I25" s="37" t="n">
        <f aca="false">I9*INDEX(Digital_SN,1,I$5)</f>
        <v>1310000</v>
      </c>
      <c r="J25" s="37" t="n">
        <f aca="false">J9*INDEX(Digital_SN,1,J$5)</f>
        <v>1310000</v>
      </c>
      <c r="K25" s="37" t="n">
        <f aca="false">K9*INDEX(Digital_SN,1,K$5)</f>
        <v>1310000</v>
      </c>
      <c r="L25" s="37" t="n">
        <f aca="false">L9*INDEX(Digital_SN,1,L$5)</f>
        <v>1310000</v>
      </c>
      <c r="M25" s="37" t="n">
        <f aca="false">M9*INDEX(Digital_SN,1,M$5)</f>
        <v>1310000</v>
      </c>
      <c r="N25" s="37" t="n">
        <f aca="false">N9*INDEX(Digital_SN,1,N$5)</f>
        <v>1310000</v>
      </c>
      <c r="O25" s="37" t="n">
        <f aca="false">O9*INDEX(Digital_SN,1,O$5)</f>
        <v>1310000</v>
      </c>
      <c r="P25" s="37" t="n">
        <f aca="false">P9*INDEX(Digital_SN,1,P$5)</f>
        <v>1310000</v>
      </c>
      <c r="Q25" s="37" t="n">
        <f aca="false">Q9*INDEX(Digital_SN,1,Q$5)</f>
        <v>2620000</v>
      </c>
      <c r="R25" s="37" t="n">
        <f aca="false">R9*INDEX(Digital_SN,1,R$5)</f>
        <v>2620000</v>
      </c>
      <c r="S25" s="37" t="n">
        <f aca="false">S9*INDEX(Digital_SN,1,S$5)</f>
        <v>2620000</v>
      </c>
      <c r="T25" s="37" t="n">
        <f aca="false">T9*INDEX(Digital_SN,1,T$5)</f>
        <v>2620000</v>
      </c>
      <c r="U25" s="37" t="n">
        <f aca="false">U9*INDEX(Digital_SN,1,U$5)</f>
        <v>2620000</v>
      </c>
      <c r="V25" s="37" t="n">
        <f aca="false">V9*INDEX(Digital_SN,1,V$5)</f>
        <v>2620000</v>
      </c>
      <c r="W25" s="37" t="n">
        <f aca="false">W9*INDEX(Digital_SN,1,W$5)</f>
        <v>2620000</v>
      </c>
      <c r="X25" s="37" t="n">
        <f aca="false">X9*INDEX(Digital_SN,1,X$5)</f>
        <v>2620000</v>
      </c>
      <c r="Y25" s="37" t="n">
        <f aca="false">Y9*INDEX(Digital_SN,1,Y$5)</f>
        <v>2620000</v>
      </c>
      <c r="Z25" s="37" t="n">
        <f aca="false">Z9*INDEX(Digital_SN,1,Z$5)</f>
        <v>2620000</v>
      </c>
      <c r="AA25" s="37" t="n">
        <f aca="false">AA9*INDEX(Digital_SN,1,AA$5)</f>
        <v>2620000</v>
      </c>
      <c r="AB25" s="37" t="n">
        <f aca="false">AB9*INDEX(Digital_SN,1,AB$5)</f>
        <v>2620000</v>
      </c>
      <c r="AC25" s="37" t="n">
        <f aca="false">AC9*INDEX(Digital_SN,1,AC$5)</f>
        <v>3940000</v>
      </c>
      <c r="AD25" s="37" t="n">
        <f aca="false">AD9*INDEX(Digital_SN,1,AD$5)</f>
        <v>3940000</v>
      </c>
      <c r="AE25" s="37" t="n">
        <f aca="false">AE9*INDEX(Digital_SN,1,AE$5)</f>
        <v>3940000</v>
      </c>
      <c r="AF25" s="37" t="n">
        <f aca="false">AF9*INDEX(Digital_SN,1,AF$5)</f>
        <v>3940000</v>
      </c>
      <c r="AG25" s="37" t="n">
        <f aca="false">AG9*INDEX(Digital_SN,1,AG$5)</f>
        <v>3940000</v>
      </c>
      <c r="AH25" s="37" t="n">
        <f aca="false">AH9*INDEX(Digital_SN,1,AH$5)</f>
        <v>3940000</v>
      </c>
      <c r="AI25" s="37" t="n">
        <f aca="false">AI9*INDEX(Digital_SN,1,AI$5)</f>
        <v>3940000</v>
      </c>
      <c r="AJ25" s="37" t="n">
        <f aca="false">AJ9*INDEX(Digital_SN,1,AJ$5)</f>
        <v>3940000</v>
      </c>
      <c r="AK25" s="37" t="n">
        <f aca="false">AK9*INDEX(Digital_SN,1,AK$5)</f>
        <v>3940000</v>
      </c>
      <c r="AL25" s="37" t="n">
        <f aca="false">AL9*INDEX(Digital_SN,1,AL$5)</f>
        <v>3940000</v>
      </c>
      <c r="AM25" s="37" t="n">
        <f aca="false">AM9*INDEX(Digital_SN,1,AM$5)</f>
        <v>3940000</v>
      </c>
      <c r="AN25" s="37" t="n">
        <f aca="false">AN9*INDEX(Digital_SN,1,AN$5)</f>
        <v>3940000</v>
      </c>
      <c r="AO25" s="37" t="n">
        <f aca="false">AO9*INDEX(Digital_SN,1,AO$5)</f>
        <v>4590000</v>
      </c>
      <c r="AP25" s="37" t="n">
        <f aca="false">AP9*INDEX(Digital_SN,1,AP$5)</f>
        <v>4590000</v>
      </c>
      <c r="AQ25" s="37" t="n">
        <f aca="false">AQ9*INDEX(Digital_SN,1,AQ$5)</f>
        <v>4590000</v>
      </c>
      <c r="AR25" s="37" t="n">
        <f aca="false">AR9*INDEX(Digital_SN,1,AR$5)</f>
        <v>4590000</v>
      </c>
      <c r="AS25" s="37" t="n">
        <f aca="false">AS9*INDEX(Digital_SN,1,AS$5)</f>
        <v>4590000</v>
      </c>
      <c r="AT25" s="37" t="n">
        <f aca="false">AT9*INDEX(Digital_SN,1,AT$5)</f>
        <v>4590000</v>
      </c>
      <c r="AU25" s="37" t="n">
        <f aca="false">AU9*INDEX(Digital_SN,1,AU$5)</f>
        <v>4590000</v>
      </c>
      <c r="AV25" s="37" t="n">
        <f aca="false">AV9*INDEX(Digital_SN,1,AV$5)</f>
        <v>4590000</v>
      </c>
      <c r="AW25" s="37" t="n">
        <f aca="false">AW9*INDEX(Digital_SN,1,AW$5)</f>
        <v>4590000</v>
      </c>
      <c r="AX25" s="37" t="n">
        <f aca="false">AX9*INDEX(Digital_SN,1,AX$5)</f>
        <v>4590000</v>
      </c>
      <c r="AY25" s="37" t="n">
        <f aca="false">AY9*INDEX(Digital_SN,1,AY$5)</f>
        <v>4590000</v>
      </c>
      <c r="AZ25" s="37" t="n">
        <f aca="false">AZ9*INDEX(Digital_SN,1,AZ$5)</f>
        <v>4590000</v>
      </c>
      <c r="BA25" s="37" t="n">
        <f aca="false">BA9*INDEX(Digital_SN,1,BA$5)</f>
        <v>5250000</v>
      </c>
      <c r="BB25" s="37" t="n">
        <f aca="false">BB9*INDEX(Digital_SN,1,BB$5)</f>
        <v>5250000</v>
      </c>
      <c r="BC25" s="37" t="n">
        <f aca="false">BC9*INDEX(Digital_SN,1,BC$5)</f>
        <v>5250000</v>
      </c>
      <c r="BD25" s="37" t="n">
        <f aca="false">BD9*INDEX(Digital_SN,1,BD$5)</f>
        <v>5250000</v>
      </c>
      <c r="BE25" s="37" t="n">
        <f aca="false">BE9*INDEX(Digital_SN,1,BE$5)</f>
        <v>5250000</v>
      </c>
      <c r="BF25" s="37" t="n">
        <f aca="false">BF9*INDEX(Digital_SN,1,BF$5)</f>
        <v>5250000</v>
      </c>
      <c r="BG25" s="37" t="n">
        <f aca="false">BG9*INDEX(Digital_SN,1,BG$5)</f>
        <v>5250000</v>
      </c>
      <c r="BH25" s="37" t="n">
        <f aca="false">BH9*INDEX(Digital_SN,1,BH$5)</f>
        <v>5250000</v>
      </c>
      <c r="BI25" s="37" t="n">
        <f aca="false">BI9*INDEX(Digital_SN,1,BI$5)</f>
        <v>5250000</v>
      </c>
      <c r="BJ25" s="37" t="n">
        <f aca="false">BJ9*INDEX(Digital_SN,1,BJ$5)</f>
        <v>5250000</v>
      </c>
      <c r="BK25" s="37" t="n">
        <f aca="false">BK9*INDEX(Digital_SN,1,BK$5)</f>
        <v>5250000</v>
      </c>
      <c r="BL25" s="37" t="n">
        <f aca="false">BL9*INDEX(Digital_SN,1,BL$5)</f>
        <v>5250000</v>
      </c>
    </row>
    <row r="26" customFormat="false" ht="15" hidden="false" customHeight="false" outlineLevel="0" collapsed="false">
      <c r="A26" s="12" t="s">
        <v>476</v>
      </c>
      <c r="B26" s="14" t="s">
        <v>71</v>
      </c>
      <c r="D26" s="55" t="n">
        <f aca="false">SUM(E26:BL26)</f>
        <v>125940000</v>
      </c>
      <c r="E26" s="37" t="n">
        <f aca="false">E10*INDEX(Digital_CI,1,E$5)</f>
        <v>0</v>
      </c>
      <c r="F26" s="37" t="n">
        <f aca="false">F10*INDEX(Digital_CI,1,F$5)</f>
        <v>0</v>
      </c>
      <c r="G26" s="37" t="n">
        <f aca="false">G10*INDEX(Digital_CI,1,G$5)</f>
        <v>0</v>
      </c>
      <c r="H26" s="37" t="n">
        <f aca="false">H10*INDEX(Digital_CI,1,H$5)</f>
        <v>0</v>
      </c>
      <c r="I26" s="37" t="n">
        <f aca="false">I10*INDEX(Digital_CI,1,I$5)</f>
        <v>0</v>
      </c>
      <c r="J26" s="37" t="n">
        <f aca="false">J10*INDEX(Digital_CI,1,J$5)</f>
        <v>0</v>
      </c>
      <c r="K26" s="37" t="n">
        <f aca="false">K10*INDEX(Digital_CI,1,K$5)</f>
        <v>0</v>
      </c>
      <c r="L26" s="37" t="n">
        <f aca="false">L10*INDEX(Digital_CI,1,L$5)</f>
        <v>0</v>
      </c>
      <c r="M26" s="37" t="n">
        <f aca="false">M10*INDEX(Digital_CI,1,M$5)</f>
        <v>0</v>
      </c>
      <c r="N26" s="37" t="n">
        <f aca="false">N10*INDEX(Digital_CI,1,N$5)</f>
        <v>0</v>
      </c>
      <c r="O26" s="37" t="n">
        <f aca="false">O10*INDEX(Digital_CI,1,O$5)</f>
        <v>0</v>
      </c>
      <c r="P26" s="37" t="n">
        <f aca="false">P10*INDEX(Digital_CI,1,P$5)</f>
        <v>0</v>
      </c>
      <c r="Q26" s="37" t="n">
        <f aca="false">Q10*INDEX(Digital_CI,1,Q$5)</f>
        <v>0</v>
      </c>
      <c r="R26" s="37" t="n">
        <f aca="false">R10*INDEX(Digital_CI,1,R$5)</f>
        <v>0</v>
      </c>
      <c r="S26" s="37" t="n">
        <f aca="false">S10*INDEX(Digital_CI,1,S$5)</f>
        <v>0</v>
      </c>
      <c r="T26" s="37" t="n">
        <f aca="false">T10*INDEX(Digital_CI,1,T$5)</f>
        <v>0</v>
      </c>
      <c r="U26" s="37" t="n">
        <f aca="false">U10*INDEX(Digital_CI,1,U$5)</f>
        <v>0</v>
      </c>
      <c r="V26" s="37" t="n">
        <f aca="false">V10*INDEX(Digital_CI,1,V$5)</f>
        <v>0</v>
      </c>
      <c r="W26" s="37" t="n">
        <f aca="false">W10*INDEX(Digital_CI,1,W$5)</f>
        <v>1310000</v>
      </c>
      <c r="X26" s="37" t="n">
        <f aca="false">X10*INDEX(Digital_CI,1,X$5)</f>
        <v>1310000</v>
      </c>
      <c r="Y26" s="37" t="n">
        <f aca="false">Y10*INDEX(Digital_CI,1,Y$5)</f>
        <v>1310000</v>
      </c>
      <c r="Z26" s="37" t="n">
        <f aca="false">Z10*INDEX(Digital_CI,1,Z$5)</f>
        <v>1310000</v>
      </c>
      <c r="AA26" s="37" t="n">
        <f aca="false">AA10*INDEX(Digital_CI,1,AA$5)</f>
        <v>1310000</v>
      </c>
      <c r="AB26" s="37" t="n">
        <f aca="false">AB10*INDEX(Digital_CI,1,AB$5)</f>
        <v>1310000</v>
      </c>
      <c r="AC26" s="37" t="n">
        <f aca="false">AC10*INDEX(Digital_CI,1,AC$5)</f>
        <v>2620000</v>
      </c>
      <c r="AD26" s="37" t="n">
        <f aca="false">AD10*INDEX(Digital_CI,1,AD$5)</f>
        <v>2620000</v>
      </c>
      <c r="AE26" s="37" t="n">
        <f aca="false">AE10*INDEX(Digital_CI,1,AE$5)</f>
        <v>2620000</v>
      </c>
      <c r="AF26" s="37" t="n">
        <f aca="false">AF10*INDEX(Digital_CI,1,AF$5)</f>
        <v>2620000</v>
      </c>
      <c r="AG26" s="37" t="n">
        <f aca="false">AG10*INDEX(Digital_CI,1,AG$5)</f>
        <v>2620000</v>
      </c>
      <c r="AH26" s="37" t="n">
        <f aca="false">AH10*INDEX(Digital_CI,1,AH$5)</f>
        <v>2620000</v>
      </c>
      <c r="AI26" s="37" t="n">
        <f aca="false">AI10*INDEX(Digital_CI,1,AI$5)</f>
        <v>2620000</v>
      </c>
      <c r="AJ26" s="37" t="n">
        <f aca="false">AJ10*INDEX(Digital_CI,1,AJ$5)</f>
        <v>2620000</v>
      </c>
      <c r="AK26" s="37" t="n">
        <f aca="false">AK10*INDEX(Digital_CI,1,AK$5)</f>
        <v>2620000</v>
      </c>
      <c r="AL26" s="37" t="n">
        <f aca="false">AL10*INDEX(Digital_CI,1,AL$5)</f>
        <v>2620000</v>
      </c>
      <c r="AM26" s="37" t="n">
        <f aca="false">AM10*INDEX(Digital_CI,1,AM$5)</f>
        <v>2620000</v>
      </c>
      <c r="AN26" s="37" t="n">
        <f aca="false">AN10*INDEX(Digital_CI,1,AN$5)</f>
        <v>2620000</v>
      </c>
      <c r="AO26" s="37" t="n">
        <f aca="false">AO10*INDEX(Digital_CI,1,AO$5)</f>
        <v>3280000</v>
      </c>
      <c r="AP26" s="37" t="n">
        <f aca="false">AP10*INDEX(Digital_CI,1,AP$5)</f>
        <v>3280000</v>
      </c>
      <c r="AQ26" s="37" t="n">
        <f aca="false">AQ10*INDEX(Digital_CI,1,AQ$5)</f>
        <v>3280000</v>
      </c>
      <c r="AR26" s="37" t="n">
        <f aca="false">AR10*INDEX(Digital_CI,1,AR$5)</f>
        <v>3280000</v>
      </c>
      <c r="AS26" s="37" t="n">
        <f aca="false">AS10*INDEX(Digital_CI,1,AS$5)</f>
        <v>3280000</v>
      </c>
      <c r="AT26" s="37" t="n">
        <f aca="false">AT10*INDEX(Digital_CI,1,AT$5)</f>
        <v>3280000</v>
      </c>
      <c r="AU26" s="37" t="n">
        <f aca="false">AU10*INDEX(Digital_CI,1,AU$5)</f>
        <v>3280000</v>
      </c>
      <c r="AV26" s="37" t="n">
        <f aca="false">AV10*INDEX(Digital_CI,1,AV$5)</f>
        <v>3280000</v>
      </c>
      <c r="AW26" s="37" t="n">
        <f aca="false">AW10*INDEX(Digital_CI,1,AW$5)</f>
        <v>3280000</v>
      </c>
      <c r="AX26" s="37" t="n">
        <f aca="false">AX10*INDEX(Digital_CI,1,AX$5)</f>
        <v>3280000</v>
      </c>
      <c r="AY26" s="37" t="n">
        <f aca="false">AY10*INDEX(Digital_CI,1,AY$5)</f>
        <v>3280000</v>
      </c>
      <c r="AZ26" s="37" t="n">
        <f aca="false">AZ10*INDEX(Digital_CI,1,AZ$5)</f>
        <v>3280000</v>
      </c>
      <c r="BA26" s="37" t="n">
        <f aca="false">BA10*INDEX(Digital_CI,1,BA$5)</f>
        <v>3940000</v>
      </c>
      <c r="BB26" s="37" t="n">
        <f aca="false">BB10*INDEX(Digital_CI,1,BB$5)</f>
        <v>3940000</v>
      </c>
      <c r="BC26" s="37" t="n">
        <f aca="false">BC10*INDEX(Digital_CI,1,BC$5)</f>
        <v>3940000</v>
      </c>
      <c r="BD26" s="37" t="n">
        <f aca="false">BD10*INDEX(Digital_CI,1,BD$5)</f>
        <v>3940000</v>
      </c>
      <c r="BE26" s="37" t="n">
        <f aca="false">BE10*INDEX(Digital_CI,1,BE$5)</f>
        <v>3940000</v>
      </c>
      <c r="BF26" s="37" t="n">
        <f aca="false">BF10*INDEX(Digital_CI,1,BF$5)</f>
        <v>3940000</v>
      </c>
      <c r="BG26" s="37" t="n">
        <f aca="false">BG10*INDEX(Digital_CI,1,BG$5)</f>
        <v>3940000</v>
      </c>
      <c r="BH26" s="37" t="n">
        <f aca="false">BH10*INDEX(Digital_CI,1,BH$5)</f>
        <v>3940000</v>
      </c>
      <c r="BI26" s="37" t="n">
        <f aca="false">BI10*INDEX(Digital_CI,1,BI$5)</f>
        <v>3940000</v>
      </c>
      <c r="BJ26" s="37" t="n">
        <f aca="false">BJ10*INDEX(Digital_CI,1,BJ$5)</f>
        <v>3940000</v>
      </c>
      <c r="BK26" s="37" t="n">
        <f aca="false">BK10*INDEX(Digital_CI,1,BK$5)</f>
        <v>3940000</v>
      </c>
      <c r="BL26" s="37" t="n">
        <f aca="false">BL10*INDEX(Digital_CI,1,BL$5)</f>
        <v>3940000</v>
      </c>
    </row>
    <row r="27" customFormat="false" ht="15" hidden="false" customHeight="false" outlineLevel="0" collapsed="false">
      <c r="A27" s="12" t="s">
        <v>730</v>
      </c>
      <c r="B27" s="14" t="s">
        <v>83</v>
      </c>
      <c r="D27" s="57" t="n">
        <f aca="false">SUM(E27:BL27)</f>
        <v>2763.73333333333</v>
      </c>
      <c r="E27" s="34" t="n">
        <f aca="false">E25/CAC_Digital</f>
        <v>0</v>
      </c>
      <c r="F27" s="34" t="n">
        <f aca="false">F25/CAC_Digital</f>
        <v>0</v>
      </c>
      <c r="G27" s="34" t="n">
        <f aca="false">G25/CAC_Digital</f>
        <v>0</v>
      </c>
      <c r="H27" s="34" t="n">
        <f aca="false">H25/CAC_Digital</f>
        <v>0</v>
      </c>
      <c r="I27" s="34" t="n">
        <f aca="false">I25/CAC_Digital</f>
        <v>17.4666666666667</v>
      </c>
      <c r="J27" s="34" t="n">
        <f aca="false">J25/CAC_Digital</f>
        <v>17.4666666666667</v>
      </c>
      <c r="K27" s="34" t="n">
        <f aca="false">K25/CAC_Digital</f>
        <v>17.4666666666667</v>
      </c>
      <c r="L27" s="34" t="n">
        <f aca="false">L25/CAC_Digital</f>
        <v>17.4666666666667</v>
      </c>
      <c r="M27" s="34" t="n">
        <f aca="false">M25/CAC_Digital</f>
        <v>17.4666666666667</v>
      </c>
      <c r="N27" s="34" t="n">
        <f aca="false">N25/CAC_Digital</f>
        <v>17.4666666666667</v>
      </c>
      <c r="O27" s="34" t="n">
        <f aca="false">O25/CAC_Digital</f>
        <v>17.4666666666667</v>
      </c>
      <c r="P27" s="34" t="n">
        <f aca="false">P25/CAC_Digital</f>
        <v>17.4666666666667</v>
      </c>
      <c r="Q27" s="34" t="n">
        <f aca="false">Q25/CAC_Digital</f>
        <v>34.9333333333333</v>
      </c>
      <c r="R27" s="34" t="n">
        <f aca="false">R25/CAC_Digital</f>
        <v>34.9333333333333</v>
      </c>
      <c r="S27" s="34" t="n">
        <f aca="false">S25/CAC_Digital</f>
        <v>34.9333333333333</v>
      </c>
      <c r="T27" s="34" t="n">
        <f aca="false">T25/CAC_Digital</f>
        <v>34.9333333333333</v>
      </c>
      <c r="U27" s="34" t="n">
        <f aca="false">U25/CAC_Digital</f>
        <v>34.9333333333333</v>
      </c>
      <c r="V27" s="34" t="n">
        <f aca="false">V25/CAC_Digital</f>
        <v>34.9333333333333</v>
      </c>
      <c r="W27" s="34" t="n">
        <f aca="false">W25/CAC_Digital</f>
        <v>34.9333333333333</v>
      </c>
      <c r="X27" s="34" t="n">
        <f aca="false">X25/CAC_Digital</f>
        <v>34.9333333333333</v>
      </c>
      <c r="Y27" s="34" t="n">
        <f aca="false">Y25/CAC_Digital</f>
        <v>34.9333333333333</v>
      </c>
      <c r="Z27" s="34" t="n">
        <f aca="false">Z25/CAC_Digital</f>
        <v>34.9333333333333</v>
      </c>
      <c r="AA27" s="34" t="n">
        <f aca="false">AA25/CAC_Digital</f>
        <v>34.9333333333333</v>
      </c>
      <c r="AB27" s="34" t="n">
        <f aca="false">AB25/CAC_Digital</f>
        <v>34.9333333333333</v>
      </c>
      <c r="AC27" s="34" t="n">
        <f aca="false">AC25/CAC_Digital</f>
        <v>52.5333333333333</v>
      </c>
      <c r="AD27" s="34" t="n">
        <f aca="false">AD25/CAC_Digital</f>
        <v>52.5333333333333</v>
      </c>
      <c r="AE27" s="34" t="n">
        <f aca="false">AE25/CAC_Digital</f>
        <v>52.5333333333333</v>
      </c>
      <c r="AF27" s="34" t="n">
        <f aca="false">AF25/CAC_Digital</f>
        <v>52.5333333333333</v>
      </c>
      <c r="AG27" s="34" t="n">
        <f aca="false">AG25/CAC_Digital</f>
        <v>52.5333333333333</v>
      </c>
      <c r="AH27" s="34" t="n">
        <f aca="false">AH25/CAC_Digital</f>
        <v>52.5333333333333</v>
      </c>
      <c r="AI27" s="34" t="n">
        <f aca="false">AI25/CAC_Digital</f>
        <v>52.5333333333333</v>
      </c>
      <c r="AJ27" s="34" t="n">
        <f aca="false">AJ25/CAC_Digital</f>
        <v>52.5333333333333</v>
      </c>
      <c r="AK27" s="34" t="n">
        <f aca="false">AK25/CAC_Digital</f>
        <v>52.5333333333333</v>
      </c>
      <c r="AL27" s="34" t="n">
        <f aca="false">AL25/CAC_Digital</f>
        <v>52.5333333333333</v>
      </c>
      <c r="AM27" s="34" t="n">
        <f aca="false">AM25/CAC_Digital</f>
        <v>52.5333333333333</v>
      </c>
      <c r="AN27" s="34" t="n">
        <f aca="false">AN25/CAC_Digital</f>
        <v>52.5333333333333</v>
      </c>
      <c r="AO27" s="34" t="n">
        <f aca="false">AO25/CAC_Digital</f>
        <v>61.2</v>
      </c>
      <c r="AP27" s="34" t="n">
        <f aca="false">AP25/CAC_Digital</f>
        <v>61.2</v>
      </c>
      <c r="AQ27" s="34" t="n">
        <f aca="false">AQ25/CAC_Digital</f>
        <v>61.2</v>
      </c>
      <c r="AR27" s="34" t="n">
        <f aca="false">AR25/CAC_Digital</f>
        <v>61.2</v>
      </c>
      <c r="AS27" s="34" t="n">
        <f aca="false">AS25/CAC_Digital</f>
        <v>61.2</v>
      </c>
      <c r="AT27" s="34" t="n">
        <f aca="false">AT25/CAC_Digital</f>
        <v>61.2</v>
      </c>
      <c r="AU27" s="34" t="n">
        <f aca="false">AU25/CAC_Digital</f>
        <v>61.2</v>
      </c>
      <c r="AV27" s="34" t="n">
        <f aca="false">AV25/CAC_Digital</f>
        <v>61.2</v>
      </c>
      <c r="AW27" s="34" t="n">
        <f aca="false">AW25/CAC_Digital</f>
        <v>61.2</v>
      </c>
      <c r="AX27" s="34" t="n">
        <f aca="false">AX25/CAC_Digital</f>
        <v>61.2</v>
      </c>
      <c r="AY27" s="34" t="n">
        <f aca="false">AY25/CAC_Digital</f>
        <v>61.2</v>
      </c>
      <c r="AZ27" s="34" t="n">
        <f aca="false">AZ25/CAC_Digital</f>
        <v>61.2</v>
      </c>
      <c r="BA27" s="34" t="n">
        <f aca="false">BA25/CAC_Digital</f>
        <v>70</v>
      </c>
      <c r="BB27" s="34" t="n">
        <f aca="false">BB25/CAC_Digital</f>
        <v>70</v>
      </c>
      <c r="BC27" s="34" t="n">
        <f aca="false">BC25/CAC_Digital</f>
        <v>70</v>
      </c>
      <c r="BD27" s="34" t="n">
        <f aca="false">BD25/CAC_Digital</f>
        <v>70</v>
      </c>
      <c r="BE27" s="34" t="n">
        <f aca="false">BE25/CAC_Digital</f>
        <v>70</v>
      </c>
      <c r="BF27" s="34" t="n">
        <f aca="false">BF25/CAC_Digital</f>
        <v>70</v>
      </c>
      <c r="BG27" s="34" t="n">
        <f aca="false">BG25/CAC_Digital</f>
        <v>70</v>
      </c>
      <c r="BH27" s="34" t="n">
        <f aca="false">BH25/CAC_Digital</f>
        <v>70</v>
      </c>
      <c r="BI27" s="34" t="n">
        <f aca="false">BI25/CAC_Digital</f>
        <v>70</v>
      </c>
      <c r="BJ27" s="34" t="n">
        <f aca="false">BJ25/CAC_Digital</f>
        <v>70</v>
      </c>
      <c r="BK27" s="34" t="n">
        <f aca="false">BK25/CAC_Digital</f>
        <v>70</v>
      </c>
      <c r="BL27" s="34" t="n">
        <f aca="false">BL25/CAC_Digital</f>
        <v>70</v>
      </c>
    </row>
    <row r="28" customFormat="false" ht="15" hidden="false" customHeight="false" outlineLevel="0" collapsed="false">
      <c r="A28" s="12" t="s">
        <v>731</v>
      </c>
      <c r="B28" s="14" t="s">
        <v>83</v>
      </c>
      <c r="D28" s="57" t="n">
        <f aca="false">SUM(E28:BL28)</f>
        <v>1679.2</v>
      </c>
      <c r="E28" s="34" t="n">
        <f aca="false">E26/CAC_Digital</f>
        <v>0</v>
      </c>
      <c r="F28" s="34" t="n">
        <f aca="false">F26/CAC_Digital</f>
        <v>0</v>
      </c>
      <c r="G28" s="34" t="n">
        <f aca="false">G26/CAC_Digital</f>
        <v>0</v>
      </c>
      <c r="H28" s="34" t="n">
        <f aca="false">H26/CAC_Digital</f>
        <v>0</v>
      </c>
      <c r="I28" s="34" t="n">
        <f aca="false">I26/CAC_Digital</f>
        <v>0</v>
      </c>
      <c r="J28" s="34" t="n">
        <f aca="false">J26/CAC_Digital</f>
        <v>0</v>
      </c>
      <c r="K28" s="34" t="n">
        <f aca="false">K26/CAC_Digital</f>
        <v>0</v>
      </c>
      <c r="L28" s="34" t="n">
        <f aca="false">L26/CAC_Digital</f>
        <v>0</v>
      </c>
      <c r="M28" s="34" t="n">
        <f aca="false">M26/CAC_Digital</f>
        <v>0</v>
      </c>
      <c r="N28" s="34" t="n">
        <f aca="false">N26/CAC_Digital</f>
        <v>0</v>
      </c>
      <c r="O28" s="34" t="n">
        <f aca="false">O26/CAC_Digital</f>
        <v>0</v>
      </c>
      <c r="P28" s="34" t="n">
        <f aca="false">P26/CAC_Digital</f>
        <v>0</v>
      </c>
      <c r="Q28" s="34" t="n">
        <f aca="false">Q26/CAC_Digital</f>
        <v>0</v>
      </c>
      <c r="R28" s="34" t="n">
        <f aca="false">R26/CAC_Digital</f>
        <v>0</v>
      </c>
      <c r="S28" s="34" t="n">
        <f aca="false">S26/CAC_Digital</f>
        <v>0</v>
      </c>
      <c r="T28" s="34" t="n">
        <f aca="false">T26/CAC_Digital</f>
        <v>0</v>
      </c>
      <c r="U28" s="34" t="n">
        <f aca="false">U26/CAC_Digital</f>
        <v>0</v>
      </c>
      <c r="V28" s="34" t="n">
        <f aca="false">V26/CAC_Digital</f>
        <v>0</v>
      </c>
      <c r="W28" s="34" t="n">
        <f aca="false">W26/CAC_Digital</f>
        <v>17.4666666666667</v>
      </c>
      <c r="X28" s="34" t="n">
        <f aca="false">X26/CAC_Digital</f>
        <v>17.4666666666667</v>
      </c>
      <c r="Y28" s="34" t="n">
        <f aca="false">Y26/CAC_Digital</f>
        <v>17.4666666666667</v>
      </c>
      <c r="Z28" s="34" t="n">
        <f aca="false">Z26/CAC_Digital</f>
        <v>17.4666666666667</v>
      </c>
      <c r="AA28" s="34" t="n">
        <f aca="false">AA26/CAC_Digital</f>
        <v>17.4666666666667</v>
      </c>
      <c r="AB28" s="34" t="n">
        <f aca="false">AB26/CAC_Digital</f>
        <v>17.4666666666667</v>
      </c>
      <c r="AC28" s="34" t="n">
        <f aca="false">AC26/CAC_Digital</f>
        <v>34.9333333333333</v>
      </c>
      <c r="AD28" s="34" t="n">
        <f aca="false">AD26/CAC_Digital</f>
        <v>34.9333333333333</v>
      </c>
      <c r="AE28" s="34" t="n">
        <f aca="false">AE26/CAC_Digital</f>
        <v>34.9333333333333</v>
      </c>
      <c r="AF28" s="34" t="n">
        <f aca="false">AF26/CAC_Digital</f>
        <v>34.9333333333333</v>
      </c>
      <c r="AG28" s="34" t="n">
        <f aca="false">AG26/CAC_Digital</f>
        <v>34.9333333333333</v>
      </c>
      <c r="AH28" s="34" t="n">
        <f aca="false">AH26/CAC_Digital</f>
        <v>34.9333333333333</v>
      </c>
      <c r="AI28" s="34" t="n">
        <f aca="false">AI26/CAC_Digital</f>
        <v>34.9333333333333</v>
      </c>
      <c r="AJ28" s="34" t="n">
        <f aca="false">AJ26/CAC_Digital</f>
        <v>34.9333333333333</v>
      </c>
      <c r="AK28" s="34" t="n">
        <f aca="false">AK26/CAC_Digital</f>
        <v>34.9333333333333</v>
      </c>
      <c r="AL28" s="34" t="n">
        <f aca="false">AL26/CAC_Digital</f>
        <v>34.9333333333333</v>
      </c>
      <c r="AM28" s="34" t="n">
        <f aca="false">AM26/CAC_Digital</f>
        <v>34.9333333333333</v>
      </c>
      <c r="AN28" s="34" t="n">
        <f aca="false">AN26/CAC_Digital</f>
        <v>34.9333333333333</v>
      </c>
      <c r="AO28" s="34" t="n">
        <f aca="false">AO26/CAC_Digital</f>
        <v>43.7333333333333</v>
      </c>
      <c r="AP28" s="34" t="n">
        <f aca="false">AP26/CAC_Digital</f>
        <v>43.7333333333333</v>
      </c>
      <c r="AQ28" s="34" t="n">
        <f aca="false">AQ26/CAC_Digital</f>
        <v>43.7333333333333</v>
      </c>
      <c r="AR28" s="34" t="n">
        <f aca="false">AR26/CAC_Digital</f>
        <v>43.7333333333333</v>
      </c>
      <c r="AS28" s="34" t="n">
        <f aca="false">AS26/CAC_Digital</f>
        <v>43.7333333333333</v>
      </c>
      <c r="AT28" s="34" t="n">
        <f aca="false">AT26/CAC_Digital</f>
        <v>43.7333333333333</v>
      </c>
      <c r="AU28" s="34" t="n">
        <f aca="false">AU26/CAC_Digital</f>
        <v>43.7333333333333</v>
      </c>
      <c r="AV28" s="34" t="n">
        <f aca="false">AV26/CAC_Digital</f>
        <v>43.7333333333333</v>
      </c>
      <c r="AW28" s="34" t="n">
        <f aca="false">AW26/CAC_Digital</f>
        <v>43.7333333333333</v>
      </c>
      <c r="AX28" s="34" t="n">
        <f aca="false">AX26/CAC_Digital</f>
        <v>43.7333333333333</v>
      </c>
      <c r="AY28" s="34" t="n">
        <f aca="false">AY26/CAC_Digital</f>
        <v>43.7333333333333</v>
      </c>
      <c r="AZ28" s="34" t="n">
        <f aca="false">AZ26/CAC_Digital</f>
        <v>43.7333333333333</v>
      </c>
      <c r="BA28" s="34" t="n">
        <f aca="false">BA26/CAC_Digital</f>
        <v>52.5333333333333</v>
      </c>
      <c r="BB28" s="34" t="n">
        <f aca="false">BB26/CAC_Digital</f>
        <v>52.5333333333333</v>
      </c>
      <c r="BC28" s="34" t="n">
        <f aca="false">BC26/CAC_Digital</f>
        <v>52.5333333333333</v>
      </c>
      <c r="BD28" s="34" t="n">
        <f aca="false">BD26/CAC_Digital</f>
        <v>52.5333333333333</v>
      </c>
      <c r="BE28" s="34" t="n">
        <f aca="false">BE26/CAC_Digital</f>
        <v>52.5333333333333</v>
      </c>
      <c r="BF28" s="34" t="n">
        <f aca="false">BF26/CAC_Digital</f>
        <v>52.5333333333333</v>
      </c>
      <c r="BG28" s="34" t="n">
        <f aca="false">BG26/CAC_Digital</f>
        <v>52.5333333333333</v>
      </c>
      <c r="BH28" s="34" t="n">
        <f aca="false">BH26/CAC_Digital</f>
        <v>52.5333333333333</v>
      </c>
      <c r="BI28" s="34" t="n">
        <f aca="false">BI26/CAC_Digital</f>
        <v>52.5333333333333</v>
      </c>
      <c r="BJ28" s="34" t="n">
        <f aca="false">BJ26/CAC_Digital</f>
        <v>52.5333333333333</v>
      </c>
      <c r="BK28" s="34" t="n">
        <f aca="false">BK26/CAC_Digital</f>
        <v>52.5333333333333</v>
      </c>
      <c r="BL28" s="34" t="n">
        <f aca="false">BL26/CAC_Digital</f>
        <v>52.5333333333333</v>
      </c>
    </row>
    <row r="30" customFormat="false" ht="15" hidden="false" customHeight="false" outlineLevel="0" collapsed="false">
      <c r="A30" s="10" t="s">
        <v>732</v>
      </c>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row>
    <row r="31" customFormat="false" ht="15" hidden="false" customHeight="false" outlineLevel="0" collapsed="false">
      <c r="A31" s="12" t="s">
        <v>733</v>
      </c>
      <c r="B31" s="14" t="s">
        <v>83</v>
      </c>
      <c r="D31" s="57" t="n">
        <f aca="false">SUM(E31:BL31)</f>
        <v>10264.9419999752</v>
      </c>
      <c r="E31" s="34" t="n">
        <f aca="false">E17+E21+E27</f>
        <v>0</v>
      </c>
      <c r="F31" s="34" t="n">
        <f aca="false">F17+F21+F27</f>
        <v>0</v>
      </c>
      <c r="G31" s="34" t="n">
        <f aca="false">G17+G21+G27</f>
        <v>0</v>
      </c>
      <c r="H31" s="34" t="n">
        <f aca="false">H17+H21+H27</f>
        <v>0</v>
      </c>
      <c r="I31" s="34" t="n">
        <f aca="false">I17+I21+I27</f>
        <v>57.4666666666667</v>
      </c>
      <c r="J31" s="34" t="n">
        <f aca="false">J17+J21+J27</f>
        <v>58.0666666666667</v>
      </c>
      <c r="K31" s="34" t="n">
        <f aca="false">K17+K21+K27</f>
        <v>58.7026666666667</v>
      </c>
      <c r="L31" s="34" t="n">
        <f aca="false">L17+L21+L27</f>
        <v>59.3768266666667</v>
      </c>
      <c r="M31" s="34" t="n">
        <f aca="false">M17+M21+M27</f>
        <v>60.0914362666667</v>
      </c>
      <c r="N31" s="34" t="n">
        <f aca="false">N17+N21+N27</f>
        <v>60.8489224426667</v>
      </c>
      <c r="O31" s="34" t="n">
        <f aca="false">O17+O21+O27</f>
        <v>61.6518577892267</v>
      </c>
      <c r="P31" s="34" t="n">
        <f aca="false">P17+P21+P27</f>
        <v>62.5029692565803</v>
      </c>
      <c r="Q31" s="34" t="n">
        <f aca="false">Q17+Q21+Q27</f>
        <v>80.8718140786418</v>
      </c>
      <c r="R31" s="34" t="n">
        <f aca="false">R17+R21+R27</f>
        <v>81.8281229233603</v>
      </c>
      <c r="S31" s="34" t="n">
        <f aca="false">S17+S21+S27</f>
        <v>82.8418102987619</v>
      </c>
      <c r="T31" s="34" t="n">
        <f aca="false">T17+T21+T27</f>
        <v>83.9163189166876</v>
      </c>
      <c r="U31" s="34" t="n">
        <f aca="false">U17+U21+U27</f>
        <v>85.0552980516889</v>
      </c>
      <c r="V31" s="34" t="n">
        <f aca="false">V17+V21+V27</f>
        <v>86.2626159347902</v>
      </c>
      <c r="W31" s="34" t="n">
        <f aca="false">W17+W21+W27</f>
        <v>97.5423728908776</v>
      </c>
      <c r="X31" s="34" t="n">
        <f aca="false">X17+X21+X27</f>
        <v>98.8989152643302</v>
      </c>
      <c r="Y31" s="34" t="n">
        <f aca="false">Y17+Y21+Y27</f>
        <v>100.33685018019</v>
      </c>
      <c r="Z31" s="34" t="n">
        <f aca="false">Z17+Z21+Z27</f>
        <v>101.861061191001</v>
      </c>
      <c r="AA31" s="34" t="n">
        <f aca="false">AA17+AA21+AA27</f>
        <v>103.476724862462</v>
      </c>
      <c r="AB31" s="34" t="n">
        <f aca="false">AB17+AB21+AB27</f>
        <v>115.189328354209</v>
      </c>
      <c r="AC31" s="34" t="n">
        <f aca="false">AC17+AC21+AC27</f>
        <v>134.604688055462</v>
      </c>
      <c r="AD31" s="34" t="n">
        <f aca="false">AD17+AD21+AD27</f>
        <v>136.52896933879</v>
      </c>
      <c r="AE31" s="34" t="n">
        <f aca="false">AE17+AE21+AE27</f>
        <v>138.568707499117</v>
      </c>
      <c r="AF31" s="34" t="n">
        <f aca="false">AF17+AF21+AF27</f>
        <v>150.730829949064</v>
      </c>
      <c r="AG31" s="34" t="n">
        <f aca="false">AG17+AG21+AG27</f>
        <v>153.022679746008</v>
      </c>
      <c r="AH31" s="34" t="n">
        <f aca="false">AH17+AH21+AH27</f>
        <v>155.452040530768</v>
      </c>
      <c r="AI31" s="34" t="n">
        <f aca="false">AI17+AI21+AI27</f>
        <v>158.027162962614</v>
      </c>
      <c r="AJ31" s="34" t="n">
        <f aca="false">AJ17+AJ21+AJ27</f>
        <v>170.756792740371</v>
      </c>
      <c r="AK31" s="34" t="n">
        <f aca="false">AK17+AK21+AK27</f>
        <v>173.650200304793</v>
      </c>
      <c r="AL31" s="34" t="n">
        <f aca="false">AL17+AL21+AL27</f>
        <v>176.717212323081</v>
      </c>
      <c r="AM31" s="34" t="n">
        <f aca="false">AM17+AM21+AM27</f>
        <v>189.968245062466</v>
      </c>
      <c r="AN31" s="34" t="n">
        <f aca="false">AN17+AN21+AN27</f>
        <v>193.414339766214</v>
      </c>
      <c r="AO31" s="34" t="n">
        <f aca="false">AO17+AO21+AO27</f>
        <v>205.733866818853</v>
      </c>
      <c r="AP31" s="34" t="n">
        <f aca="false">AP17+AP21+AP27</f>
        <v>219.605898827985</v>
      </c>
      <c r="AQ31" s="34" t="n">
        <f aca="false">AQ17+AQ21+AQ27</f>
        <v>223.710252757664</v>
      </c>
      <c r="AR31" s="34" t="n">
        <f aca="false">AR17+AR21+AR27</f>
        <v>238.060867923124</v>
      </c>
      <c r="AS31" s="34" t="n">
        <f aca="false">AS17+AS21+AS27</f>
        <v>241.2</v>
      </c>
      <c r="AT31" s="34" t="n">
        <f aca="false">AT17+AT21+AT27</f>
        <v>251.2</v>
      </c>
      <c r="AU31" s="34" t="n">
        <f aca="false">AU17+AU21+AU27</f>
        <v>251.2</v>
      </c>
      <c r="AV31" s="34" t="n">
        <f aca="false">AV17+AV21+AV27</f>
        <v>251.2</v>
      </c>
      <c r="AW31" s="34" t="n">
        <f aca="false">AW17+AW21+AW27</f>
        <v>261.2</v>
      </c>
      <c r="AX31" s="34" t="n">
        <f aca="false">AX17+AX21+AX27</f>
        <v>261.2</v>
      </c>
      <c r="AY31" s="34" t="n">
        <f aca="false">AY17+AY21+AY27</f>
        <v>271.2</v>
      </c>
      <c r="AZ31" s="34" t="n">
        <f aca="false">AZ17+AZ21+AZ27</f>
        <v>271.2</v>
      </c>
      <c r="BA31" s="34" t="n">
        <f aca="false">BA17+BA21+BA27</f>
        <v>290</v>
      </c>
      <c r="BB31" s="34" t="n">
        <f aca="false">BB17+BB21+BB27</f>
        <v>290</v>
      </c>
      <c r="BC31" s="34" t="n">
        <f aca="false">BC17+BC21+BC27</f>
        <v>300</v>
      </c>
      <c r="BD31" s="34" t="n">
        <f aca="false">BD17+BD21+BD27</f>
        <v>300</v>
      </c>
      <c r="BE31" s="34" t="n">
        <f aca="false">BE17+BE21+BE27</f>
        <v>310</v>
      </c>
      <c r="BF31" s="34" t="n">
        <f aca="false">BF17+BF21+BF27</f>
        <v>310</v>
      </c>
      <c r="BG31" s="34" t="n">
        <f aca="false">BG17+BG21+BG27</f>
        <v>320</v>
      </c>
      <c r="BH31" s="34" t="n">
        <f aca="false">BH17+BH21+BH27</f>
        <v>320</v>
      </c>
      <c r="BI31" s="34" t="n">
        <f aca="false">BI17+BI21+BI27</f>
        <v>330</v>
      </c>
      <c r="BJ31" s="34" t="n">
        <f aca="false">BJ17+BJ21+BJ27</f>
        <v>330</v>
      </c>
      <c r="BK31" s="34" t="n">
        <f aca="false">BK17+BK21+BK27</f>
        <v>340</v>
      </c>
      <c r="BL31" s="34" t="n">
        <f aca="false">BL17+BL21+BL27</f>
        <v>350</v>
      </c>
    </row>
    <row r="32" customFormat="false" ht="15" hidden="false" customHeight="false" outlineLevel="0" collapsed="false">
      <c r="A32" s="12" t="s">
        <v>734</v>
      </c>
      <c r="B32" s="14" t="s">
        <v>83</v>
      </c>
      <c r="D32" s="57" t="n">
        <f aca="false">SUM(E32:BL32)</f>
        <v>4158.77179371259</v>
      </c>
      <c r="E32" s="34" t="n">
        <f aca="false">E18+E22+E28</f>
        <v>0</v>
      </c>
      <c r="F32" s="34" t="n">
        <f aca="false">F18+F22+F28</f>
        <v>0</v>
      </c>
      <c r="G32" s="34" t="n">
        <f aca="false">G18+G22+G28</f>
        <v>0</v>
      </c>
      <c r="H32" s="34" t="n">
        <f aca="false">H18+H22+H28</f>
        <v>0</v>
      </c>
      <c r="I32" s="34" t="n">
        <f aca="false">I18+I22+I28</f>
        <v>0</v>
      </c>
      <c r="J32" s="34" t="n">
        <f aca="false">J18+J22+J28</f>
        <v>0</v>
      </c>
      <c r="K32" s="34" t="n">
        <f aca="false">K18+K22+K28</f>
        <v>0</v>
      </c>
      <c r="L32" s="34" t="n">
        <f aca="false">L18+L22+L28</f>
        <v>0</v>
      </c>
      <c r="M32" s="34" t="n">
        <f aca="false">M18+M22+M28</f>
        <v>0</v>
      </c>
      <c r="N32" s="34" t="n">
        <f aca="false">N18+N22+N28</f>
        <v>0</v>
      </c>
      <c r="O32" s="34" t="n">
        <f aca="false">O18+O22+O28</f>
        <v>0</v>
      </c>
      <c r="P32" s="34" t="n">
        <f aca="false">P18+P22+P28</f>
        <v>0</v>
      </c>
      <c r="Q32" s="34" t="n">
        <f aca="false">Q18+Q22+Q28</f>
        <v>0</v>
      </c>
      <c r="R32" s="34" t="n">
        <f aca="false">R18+R22+R28</f>
        <v>0</v>
      </c>
      <c r="S32" s="34" t="n">
        <f aca="false">S18+S22+S28</f>
        <v>0</v>
      </c>
      <c r="T32" s="34" t="n">
        <f aca="false">T18+T22+T28</f>
        <v>0</v>
      </c>
      <c r="U32" s="34" t="n">
        <f aca="false">U18+U22+U28</f>
        <v>0</v>
      </c>
      <c r="V32" s="34" t="n">
        <f aca="false">V18+V22+V28</f>
        <v>0</v>
      </c>
      <c r="W32" s="34" t="n">
        <f aca="false">W18+W22+W28</f>
        <v>41.4666666666667</v>
      </c>
      <c r="X32" s="34" t="n">
        <f aca="false">X18+X22+X28</f>
        <v>41.8266666666667</v>
      </c>
      <c r="Y32" s="34" t="n">
        <f aca="false">Y18+Y22+Y28</f>
        <v>42.2082666666667</v>
      </c>
      <c r="Z32" s="34" t="n">
        <f aca="false">Z18+Z22+Z28</f>
        <v>42.6127626666667</v>
      </c>
      <c r="AA32" s="34" t="n">
        <f aca="false">AA18+AA22+AA28</f>
        <v>43.0415284266667</v>
      </c>
      <c r="AB32" s="34" t="n">
        <f aca="false">AB18+AB22+AB28</f>
        <v>43.4960201322667</v>
      </c>
      <c r="AC32" s="34" t="n">
        <f aca="false">AC18+AC22+AC28</f>
        <v>61.4444480068693</v>
      </c>
      <c r="AD32" s="34" t="n">
        <f aca="false">AD18+AD22+AD28</f>
        <v>61.9551148872815</v>
      </c>
      <c r="AE32" s="34" t="n">
        <f aca="false">AE18+AE22+AE28</f>
        <v>62.4964217805184</v>
      </c>
      <c r="AF32" s="34" t="n">
        <f aca="false">AF18+AF22+AF28</f>
        <v>63.0702070873495</v>
      </c>
      <c r="AG32" s="34" t="n">
        <f aca="false">AG18+AG22+AG28</f>
        <v>63.6784195125905</v>
      </c>
      <c r="AH32" s="34" t="n">
        <f aca="false">AH18+AH22+AH28</f>
        <v>64.3231246833459</v>
      </c>
      <c r="AI32" s="34" t="n">
        <f aca="false">AI18+AI22+AI28</f>
        <v>65.0065121643467</v>
      </c>
      <c r="AJ32" s="34" t="n">
        <f aca="false">AJ18+AJ22+AJ28</f>
        <v>65.7309028942075</v>
      </c>
      <c r="AK32" s="34" t="n">
        <f aca="false">AK18+AK22+AK28</f>
        <v>66.4987570678599</v>
      </c>
      <c r="AL32" s="34" t="n">
        <f aca="false">AL18+AL22+AL28</f>
        <v>67.3126824919315</v>
      </c>
      <c r="AM32" s="34" t="n">
        <f aca="false">AM18+AM22+AM28</f>
        <v>68.1754434414474</v>
      </c>
      <c r="AN32" s="34" t="n">
        <f aca="false">AN18+AN22+AN28</f>
        <v>78.0899700479342</v>
      </c>
      <c r="AO32" s="34" t="n">
        <f aca="false">AO18+AO22+AO28</f>
        <v>87.8593682508103</v>
      </c>
      <c r="AP32" s="34" t="n">
        <f aca="false">AP18+AP22+AP28</f>
        <v>88.8869303458589</v>
      </c>
      <c r="AQ32" s="34" t="n">
        <f aca="false">AQ18+AQ22+AQ28</f>
        <v>89.9761461666104</v>
      </c>
      <c r="AR32" s="34" t="n">
        <f aca="false">AR18+AR22+AR28</f>
        <v>91.1307149366071</v>
      </c>
      <c r="AS32" s="34" t="n">
        <f aca="false">AS18+AS22+AS28</f>
        <v>92.3545578328035</v>
      </c>
      <c r="AT32" s="34" t="n">
        <f aca="false">AT18+AT22+AT28</f>
        <v>102.651831302772</v>
      </c>
      <c r="AU32" s="34" t="n">
        <f aca="false">AU18+AU22+AU28</f>
        <v>104.026941180938</v>
      </c>
      <c r="AV32" s="34" t="n">
        <f aca="false">AV18+AV22+AV28</f>
        <v>105.484557651794</v>
      </c>
      <c r="AW32" s="34" t="n">
        <f aca="false">AW18+AW22+AW28</f>
        <v>107.029631110902</v>
      </c>
      <c r="AX32" s="34" t="n">
        <f aca="false">AX18+AX22+AX28</f>
        <v>108.667408977556</v>
      </c>
      <c r="AY32" s="34" t="n">
        <f aca="false">AY18+AY22+AY28</f>
        <v>119.403453516209</v>
      </c>
      <c r="AZ32" s="34" t="n">
        <f aca="false">AZ18+AZ22+AZ28</f>
        <v>121.243660727182</v>
      </c>
      <c r="BA32" s="34" t="n">
        <f aca="false">BA18+BA22+BA28</f>
        <v>131.994280370813</v>
      </c>
      <c r="BB32" s="34" t="n">
        <f aca="false">BB18+BB22+BB28</f>
        <v>134.061937193062</v>
      </c>
      <c r="BC32" s="34" t="n">
        <f aca="false">BC18+BC22+BC28</f>
        <v>136.253653424645</v>
      </c>
      <c r="BD32" s="34" t="n">
        <f aca="false">BD18+BD22+BD28</f>
        <v>147.576872630124</v>
      </c>
      <c r="BE32" s="34" t="n">
        <f aca="false">BE18+BE22+BE28</f>
        <v>150.039484987932</v>
      </c>
      <c r="BF32" s="34" t="n">
        <f aca="false">BF18+BF22+BF28</f>
        <v>152.649854087207</v>
      </c>
      <c r="BG32" s="34" t="n">
        <f aca="false">BG18+BG22+BG28</f>
        <v>164.41684533244</v>
      </c>
      <c r="BH32" s="34" t="n">
        <f aca="false">BH18+BH22+BH28</f>
        <v>167.349856052386</v>
      </c>
      <c r="BI32" s="34" t="n">
        <f aca="false">BI18+BI22+BI28</f>
        <v>170.458847415529</v>
      </c>
      <c r="BJ32" s="34" t="n">
        <f aca="false">BJ18+BJ22+BJ28</f>
        <v>173.754378260461</v>
      </c>
      <c r="BK32" s="34" t="n">
        <f aca="false">BK18+BK22+BK28</f>
        <v>184.533333333333</v>
      </c>
      <c r="BL32" s="34" t="n">
        <f aca="false">BL18+BL22+BL28</f>
        <v>184.533333333333</v>
      </c>
    </row>
    <row r="33" customFormat="false" ht="15" hidden="false" customHeight="false" outlineLevel="0" collapsed="false">
      <c r="A33" s="8" t="s">
        <v>735</v>
      </c>
      <c r="B33" s="14" t="s">
        <v>83</v>
      </c>
      <c r="D33" s="57" t="n">
        <f aca="false">SUM(E33:BL33)</f>
        <v>14423.7137936878</v>
      </c>
      <c r="E33" s="58" t="n">
        <f aca="false">E31+E32</f>
        <v>0</v>
      </c>
      <c r="F33" s="58" t="n">
        <f aca="false">F31+F32</f>
        <v>0</v>
      </c>
      <c r="G33" s="58" t="n">
        <f aca="false">G31+G32</f>
        <v>0</v>
      </c>
      <c r="H33" s="58" t="n">
        <f aca="false">H31+H32</f>
        <v>0</v>
      </c>
      <c r="I33" s="58" t="n">
        <f aca="false">I31+I32</f>
        <v>57.4666666666667</v>
      </c>
      <c r="J33" s="58" t="n">
        <f aca="false">J31+J32</f>
        <v>58.0666666666667</v>
      </c>
      <c r="K33" s="58" t="n">
        <f aca="false">K31+K32</f>
        <v>58.7026666666667</v>
      </c>
      <c r="L33" s="58" t="n">
        <f aca="false">L31+L32</f>
        <v>59.3768266666667</v>
      </c>
      <c r="M33" s="58" t="n">
        <f aca="false">M31+M32</f>
        <v>60.0914362666667</v>
      </c>
      <c r="N33" s="58" t="n">
        <f aca="false">N31+N32</f>
        <v>60.8489224426667</v>
      </c>
      <c r="O33" s="58" t="n">
        <f aca="false">O31+O32</f>
        <v>61.6518577892267</v>
      </c>
      <c r="P33" s="58" t="n">
        <f aca="false">P31+P32</f>
        <v>62.5029692565803</v>
      </c>
      <c r="Q33" s="58" t="n">
        <f aca="false">Q31+Q32</f>
        <v>80.8718140786418</v>
      </c>
      <c r="R33" s="58" t="n">
        <f aca="false">R31+R32</f>
        <v>81.8281229233603</v>
      </c>
      <c r="S33" s="58" t="n">
        <f aca="false">S31+S32</f>
        <v>82.8418102987619</v>
      </c>
      <c r="T33" s="58" t="n">
        <f aca="false">T31+T32</f>
        <v>83.9163189166876</v>
      </c>
      <c r="U33" s="58" t="n">
        <f aca="false">U31+U32</f>
        <v>85.0552980516889</v>
      </c>
      <c r="V33" s="58" t="n">
        <f aca="false">V31+V32</f>
        <v>86.2626159347902</v>
      </c>
      <c r="W33" s="58" t="n">
        <f aca="false">W31+W32</f>
        <v>139.009039557544</v>
      </c>
      <c r="X33" s="58" t="n">
        <f aca="false">X31+X32</f>
        <v>140.725581930997</v>
      </c>
      <c r="Y33" s="58" t="n">
        <f aca="false">Y31+Y32</f>
        <v>142.545116846857</v>
      </c>
      <c r="Z33" s="58" t="n">
        <f aca="false">Z31+Z32</f>
        <v>144.473823857668</v>
      </c>
      <c r="AA33" s="58" t="n">
        <f aca="false">AA31+AA32</f>
        <v>146.518253289128</v>
      </c>
      <c r="AB33" s="58" t="n">
        <f aca="false">AB31+AB32</f>
        <v>158.685348486476</v>
      </c>
      <c r="AC33" s="58" t="n">
        <f aca="false">AC31+AC32</f>
        <v>196.049136062331</v>
      </c>
      <c r="AD33" s="58" t="n">
        <f aca="false">AD31+AD32</f>
        <v>198.484084226071</v>
      </c>
      <c r="AE33" s="58" t="n">
        <f aca="false">AE31+AE32</f>
        <v>201.065129279635</v>
      </c>
      <c r="AF33" s="58" t="n">
        <f aca="false">AF31+AF32</f>
        <v>213.801037036413</v>
      </c>
      <c r="AG33" s="58" t="n">
        <f aca="false">AG31+AG32</f>
        <v>216.701099258598</v>
      </c>
      <c r="AH33" s="58" t="n">
        <f aca="false">AH31+AH32</f>
        <v>219.775165214114</v>
      </c>
      <c r="AI33" s="58" t="n">
        <f aca="false">AI31+AI32</f>
        <v>223.033675126961</v>
      </c>
      <c r="AJ33" s="58" t="n">
        <f aca="false">AJ31+AJ32</f>
        <v>236.487695634579</v>
      </c>
      <c r="AK33" s="58" t="n">
        <f aca="false">AK31+AK32</f>
        <v>240.148957372653</v>
      </c>
      <c r="AL33" s="58" t="n">
        <f aca="false">AL31+AL32</f>
        <v>244.029894815013</v>
      </c>
      <c r="AM33" s="58" t="n">
        <f aca="false">AM31+AM32</f>
        <v>258.143688503913</v>
      </c>
      <c r="AN33" s="58" t="n">
        <f aca="false">AN31+AN32</f>
        <v>271.504309814148</v>
      </c>
      <c r="AO33" s="58" t="n">
        <f aca="false">AO31+AO32</f>
        <v>293.593235069664</v>
      </c>
      <c r="AP33" s="58" t="n">
        <f aca="false">AP31+AP32</f>
        <v>308.492829173843</v>
      </c>
      <c r="AQ33" s="58" t="n">
        <f aca="false">AQ31+AQ32</f>
        <v>313.686398924274</v>
      </c>
      <c r="AR33" s="58" t="n">
        <f aca="false">AR31+AR32</f>
        <v>329.191582859731</v>
      </c>
      <c r="AS33" s="58" t="n">
        <f aca="false">AS31+AS32</f>
        <v>333.554557832803</v>
      </c>
      <c r="AT33" s="58" t="n">
        <f aca="false">AT31+AT32</f>
        <v>353.851831302772</v>
      </c>
      <c r="AU33" s="58" t="n">
        <f aca="false">AU31+AU32</f>
        <v>355.226941180938</v>
      </c>
      <c r="AV33" s="58" t="n">
        <f aca="false">AV31+AV32</f>
        <v>356.684557651794</v>
      </c>
      <c r="AW33" s="58" t="n">
        <f aca="false">AW31+AW32</f>
        <v>368.229631110902</v>
      </c>
      <c r="AX33" s="58" t="n">
        <f aca="false">AX31+AX32</f>
        <v>369.867408977556</v>
      </c>
      <c r="AY33" s="58" t="n">
        <f aca="false">AY31+AY32</f>
        <v>390.603453516209</v>
      </c>
      <c r="AZ33" s="58" t="n">
        <f aca="false">AZ31+AZ32</f>
        <v>392.443660727182</v>
      </c>
      <c r="BA33" s="58" t="n">
        <f aca="false">BA31+BA32</f>
        <v>421.994280370813</v>
      </c>
      <c r="BB33" s="58" t="n">
        <f aca="false">BB31+BB32</f>
        <v>424.061937193062</v>
      </c>
      <c r="BC33" s="58" t="n">
        <f aca="false">BC31+BC32</f>
        <v>436.253653424645</v>
      </c>
      <c r="BD33" s="58" t="n">
        <f aca="false">BD31+BD32</f>
        <v>447.576872630124</v>
      </c>
      <c r="BE33" s="58" t="n">
        <f aca="false">BE31+BE32</f>
        <v>460.039484987932</v>
      </c>
      <c r="BF33" s="58" t="n">
        <f aca="false">BF31+BF32</f>
        <v>462.649854087207</v>
      </c>
      <c r="BG33" s="58" t="n">
        <f aca="false">BG31+BG32</f>
        <v>484.41684533244</v>
      </c>
      <c r="BH33" s="58" t="n">
        <f aca="false">BH31+BH32</f>
        <v>487.349856052386</v>
      </c>
      <c r="BI33" s="58" t="n">
        <f aca="false">BI31+BI32</f>
        <v>500.45884741553</v>
      </c>
      <c r="BJ33" s="58" t="n">
        <f aca="false">BJ31+BJ32</f>
        <v>503.754378260461</v>
      </c>
      <c r="BK33" s="58" t="n">
        <f aca="false">BK31+BK32</f>
        <v>524.533333333333</v>
      </c>
      <c r="BL33" s="58" t="n">
        <f aca="false">BL31+BL32</f>
        <v>534.533333333333</v>
      </c>
    </row>
    <row r="34" customFormat="false" ht="15" hidden="false" customHeight="false" outlineLevel="0" collapsed="false">
      <c r="A34" s="12" t="s">
        <v>736</v>
      </c>
      <c r="B34" s="14" t="s">
        <v>83</v>
      </c>
      <c r="D34" s="57" t="n">
        <f aca="false">SUM(E34:BL34)</f>
        <v>8654.22827621266</v>
      </c>
      <c r="E34" s="34" t="n">
        <f aca="false">E33*Mix_Petite</f>
        <v>0</v>
      </c>
      <c r="F34" s="34" t="n">
        <f aca="false">F33*Mix_Petite</f>
        <v>0</v>
      </c>
      <c r="G34" s="34" t="n">
        <f aca="false">G33*Mix_Petite</f>
        <v>0</v>
      </c>
      <c r="H34" s="34" t="n">
        <f aca="false">H33*Mix_Petite</f>
        <v>0</v>
      </c>
      <c r="I34" s="34" t="n">
        <f aca="false">I33*Mix_Petite</f>
        <v>34.48</v>
      </c>
      <c r="J34" s="34" t="n">
        <f aca="false">J33*Mix_Petite</f>
        <v>34.84</v>
      </c>
      <c r="K34" s="34" t="n">
        <f aca="false">K33*Mix_Petite</f>
        <v>35.2216</v>
      </c>
      <c r="L34" s="34" t="n">
        <f aca="false">L33*Mix_Petite</f>
        <v>35.626096</v>
      </c>
      <c r="M34" s="34" t="n">
        <f aca="false">M33*Mix_Petite</f>
        <v>36.05486176</v>
      </c>
      <c r="N34" s="34" t="n">
        <f aca="false">N33*Mix_Petite</f>
        <v>36.5093534656</v>
      </c>
      <c r="O34" s="34" t="n">
        <f aca="false">O33*Mix_Petite</f>
        <v>36.991114673536</v>
      </c>
      <c r="P34" s="34" t="n">
        <f aca="false">P33*Mix_Petite</f>
        <v>37.5017815539482</v>
      </c>
      <c r="Q34" s="34" t="n">
        <f aca="false">Q33*Mix_Petite</f>
        <v>48.5230884471851</v>
      </c>
      <c r="R34" s="34" t="n">
        <f aca="false">R33*Mix_Petite</f>
        <v>49.0968737540162</v>
      </c>
      <c r="S34" s="34" t="n">
        <f aca="false">S33*Mix_Petite</f>
        <v>49.7050861792571</v>
      </c>
      <c r="T34" s="34" t="n">
        <f aca="false">T33*Mix_Petite</f>
        <v>50.3497913500126</v>
      </c>
      <c r="U34" s="34" t="n">
        <f aca="false">U33*Mix_Petite</f>
        <v>51.0331788310133</v>
      </c>
      <c r="V34" s="34" t="n">
        <f aca="false">V33*Mix_Petite</f>
        <v>51.7575695608741</v>
      </c>
      <c r="W34" s="34" t="n">
        <f aca="false">W33*Mix_Petite</f>
        <v>83.4054237345266</v>
      </c>
      <c r="X34" s="34" t="n">
        <f aca="false">X33*Mix_Petite</f>
        <v>84.4353491585981</v>
      </c>
      <c r="Y34" s="34" t="n">
        <f aca="false">Y33*Mix_Petite</f>
        <v>85.527070108114</v>
      </c>
      <c r="Z34" s="34" t="n">
        <f aca="false">Z33*Mix_Petite</f>
        <v>86.6842943146009</v>
      </c>
      <c r="AA34" s="34" t="n">
        <f aca="false">AA33*Mix_Petite</f>
        <v>87.9109519734769</v>
      </c>
      <c r="AB34" s="34" t="n">
        <f aca="false">AB33*Mix_Petite</f>
        <v>95.2112090918856</v>
      </c>
      <c r="AC34" s="34" t="n">
        <f aca="false">AC33*Mix_Petite</f>
        <v>117.629481637399</v>
      </c>
      <c r="AD34" s="34" t="n">
        <f aca="false">AD33*Mix_Petite</f>
        <v>119.090450535643</v>
      </c>
      <c r="AE34" s="34" t="n">
        <f aca="false">AE33*Mix_Petite</f>
        <v>120.639077567781</v>
      </c>
      <c r="AF34" s="34" t="n">
        <f aca="false">AF33*Mix_Petite</f>
        <v>128.280622221848</v>
      </c>
      <c r="AG34" s="34" t="n">
        <f aca="false">AG33*Mix_Petite</f>
        <v>130.020659555159</v>
      </c>
      <c r="AH34" s="34" t="n">
        <f aca="false">AH33*Mix_Petite</f>
        <v>131.865099128468</v>
      </c>
      <c r="AI34" s="34" t="n">
        <f aca="false">AI33*Mix_Petite</f>
        <v>133.820205076177</v>
      </c>
      <c r="AJ34" s="34" t="n">
        <f aca="false">AJ33*Mix_Petite</f>
        <v>141.892617380747</v>
      </c>
      <c r="AK34" s="34" t="n">
        <f aca="false">AK33*Mix_Petite</f>
        <v>144.089374423592</v>
      </c>
      <c r="AL34" s="34" t="n">
        <f aca="false">AL33*Mix_Petite</f>
        <v>146.417936889008</v>
      </c>
      <c r="AM34" s="34" t="n">
        <f aca="false">AM33*Mix_Petite</f>
        <v>154.886213102348</v>
      </c>
      <c r="AN34" s="34" t="n">
        <f aca="false">AN33*Mix_Petite</f>
        <v>162.902585888489</v>
      </c>
      <c r="AO34" s="34" t="n">
        <f aca="false">AO33*Mix_Petite</f>
        <v>176.155941041798</v>
      </c>
      <c r="AP34" s="34" t="n">
        <f aca="false">AP33*Mix_Petite</f>
        <v>185.095697504306</v>
      </c>
      <c r="AQ34" s="34" t="n">
        <f aca="false">AQ33*Mix_Petite</f>
        <v>188.211839354564</v>
      </c>
      <c r="AR34" s="34" t="n">
        <f aca="false">AR33*Mix_Petite</f>
        <v>197.514949715838</v>
      </c>
      <c r="AS34" s="34" t="n">
        <f aca="false">AS33*Mix_Petite</f>
        <v>200.132734699682</v>
      </c>
      <c r="AT34" s="34" t="n">
        <f aca="false">AT33*Mix_Petite</f>
        <v>212.311098781663</v>
      </c>
      <c r="AU34" s="34" t="n">
        <f aca="false">AU33*Mix_Petite</f>
        <v>213.136164708563</v>
      </c>
      <c r="AV34" s="34" t="n">
        <f aca="false">AV33*Mix_Petite</f>
        <v>214.010734591077</v>
      </c>
      <c r="AW34" s="34" t="n">
        <f aca="false">AW33*Mix_Petite</f>
        <v>220.937778666541</v>
      </c>
      <c r="AX34" s="34" t="n">
        <f aca="false">AX33*Mix_Petite</f>
        <v>221.920445386534</v>
      </c>
      <c r="AY34" s="34" t="n">
        <f aca="false">AY33*Mix_Petite</f>
        <v>234.362072109726</v>
      </c>
      <c r="AZ34" s="34" t="n">
        <f aca="false">AZ33*Mix_Petite</f>
        <v>235.466196436309</v>
      </c>
      <c r="BA34" s="34" t="n">
        <f aca="false">BA33*Mix_Petite</f>
        <v>253.196568222488</v>
      </c>
      <c r="BB34" s="34" t="n">
        <f aca="false">BB33*Mix_Petite</f>
        <v>254.437162315837</v>
      </c>
      <c r="BC34" s="34" t="n">
        <f aca="false">BC33*Mix_Petite</f>
        <v>261.752192054787</v>
      </c>
      <c r="BD34" s="34" t="n">
        <f aca="false">BD33*Mix_Petite</f>
        <v>268.546123578074</v>
      </c>
      <c r="BE34" s="34" t="n">
        <f aca="false">BE33*Mix_Petite</f>
        <v>276.023690992759</v>
      </c>
      <c r="BF34" s="34" t="n">
        <f aca="false">BF33*Mix_Petite</f>
        <v>277.589912452324</v>
      </c>
      <c r="BG34" s="34" t="n">
        <f aca="false">BG33*Mix_Petite</f>
        <v>290.650107199464</v>
      </c>
      <c r="BH34" s="34" t="n">
        <f aca="false">BH33*Mix_Petite</f>
        <v>292.409913631432</v>
      </c>
      <c r="BI34" s="34" t="n">
        <f aca="false">BI33*Mix_Petite</f>
        <v>300.275308449318</v>
      </c>
      <c r="BJ34" s="34" t="n">
        <f aca="false">BJ33*Mix_Petite</f>
        <v>302.252626956277</v>
      </c>
      <c r="BK34" s="34" t="n">
        <f aca="false">BK33*Mix_Petite</f>
        <v>314.72</v>
      </c>
      <c r="BL34" s="34" t="n">
        <f aca="false">BL33*Mix_Petite</f>
        <v>320.72</v>
      </c>
    </row>
    <row r="35" customFormat="false" ht="15" hidden="false" customHeight="false" outlineLevel="0" collapsed="false">
      <c r="A35" s="12" t="s">
        <v>737</v>
      </c>
      <c r="B35" s="14" t="s">
        <v>83</v>
      </c>
      <c r="D35" s="57" t="n">
        <f aca="false">SUM(E35:BL35)</f>
        <v>4327.11413810633</v>
      </c>
      <c r="E35" s="34" t="n">
        <f aca="false">E33*Mix_Moyenne</f>
        <v>0</v>
      </c>
      <c r="F35" s="34" t="n">
        <f aca="false">F33*Mix_Moyenne</f>
        <v>0</v>
      </c>
      <c r="G35" s="34" t="n">
        <f aca="false">G33*Mix_Moyenne</f>
        <v>0</v>
      </c>
      <c r="H35" s="34" t="n">
        <f aca="false">H33*Mix_Moyenne</f>
        <v>0</v>
      </c>
      <c r="I35" s="34" t="n">
        <f aca="false">I33*Mix_Moyenne</f>
        <v>17.24</v>
      </c>
      <c r="J35" s="34" t="n">
        <f aca="false">J33*Mix_Moyenne</f>
        <v>17.42</v>
      </c>
      <c r="K35" s="34" t="n">
        <f aca="false">K33*Mix_Moyenne</f>
        <v>17.6108</v>
      </c>
      <c r="L35" s="34" t="n">
        <f aca="false">L33*Mix_Moyenne</f>
        <v>17.813048</v>
      </c>
      <c r="M35" s="34" t="n">
        <f aca="false">M33*Mix_Moyenne</f>
        <v>18.02743088</v>
      </c>
      <c r="N35" s="34" t="n">
        <f aca="false">N33*Mix_Moyenne</f>
        <v>18.2546767328</v>
      </c>
      <c r="O35" s="34" t="n">
        <f aca="false">O33*Mix_Moyenne</f>
        <v>18.495557336768</v>
      </c>
      <c r="P35" s="34" t="n">
        <f aca="false">P33*Mix_Moyenne</f>
        <v>18.7508907769741</v>
      </c>
      <c r="Q35" s="34" t="n">
        <f aca="false">Q33*Mix_Moyenne</f>
        <v>24.2615442235925</v>
      </c>
      <c r="R35" s="34" t="n">
        <f aca="false">R33*Mix_Moyenne</f>
        <v>24.5484368770081</v>
      </c>
      <c r="S35" s="34" t="n">
        <f aca="false">S33*Mix_Moyenne</f>
        <v>24.8525430896286</v>
      </c>
      <c r="T35" s="34" t="n">
        <f aca="false">T33*Mix_Moyenne</f>
        <v>25.1748956750063</v>
      </c>
      <c r="U35" s="34" t="n">
        <f aca="false">U33*Mix_Moyenne</f>
        <v>25.5165894155067</v>
      </c>
      <c r="V35" s="34" t="n">
        <f aca="false">V33*Mix_Moyenne</f>
        <v>25.8787847804371</v>
      </c>
      <c r="W35" s="34" t="n">
        <f aca="false">W33*Mix_Moyenne</f>
        <v>41.7027118672633</v>
      </c>
      <c r="X35" s="34" t="n">
        <f aca="false">X33*Mix_Moyenne</f>
        <v>42.2176745792991</v>
      </c>
      <c r="Y35" s="34" t="n">
        <f aca="false">Y33*Mix_Moyenne</f>
        <v>42.763535054057</v>
      </c>
      <c r="Z35" s="34" t="n">
        <f aca="false">Z33*Mix_Moyenne</f>
        <v>43.3421471573004</v>
      </c>
      <c r="AA35" s="34" t="n">
        <f aca="false">AA33*Mix_Moyenne</f>
        <v>43.9554759867385</v>
      </c>
      <c r="AB35" s="34" t="n">
        <f aca="false">AB33*Mix_Moyenne</f>
        <v>47.6056045459428</v>
      </c>
      <c r="AC35" s="34" t="n">
        <f aca="false">AC33*Mix_Moyenne</f>
        <v>58.8147408186994</v>
      </c>
      <c r="AD35" s="34" t="n">
        <f aca="false">AD33*Mix_Moyenne</f>
        <v>59.5452252678213</v>
      </c>
      <c r="AE35" s="34" t="n">
        <f aca="false">AE33*Mix_Moyenne</f>
        <v>60.3195387838906</v>
      </c>
      <c r="AF35" s="34" t="n">
        <f aca="false">AF33*Mix_Moyenne</f>
        <v>64.140311110924</v>
      </c>
      <c r="AG35" s="34" t="n">
        <f aca="false">AG33*Mix_Moyenne</f>
        <v>65.0103297775795</v>
      </c>
      <c r="AH35" s="34" t="n">
        <f aca="false">AH33*Mix_Moyenne</f>
        <v>65.9325495642342</v>
      </c>
      <c r="AI35" s="34" t="n">
        <f aca="false">AI33*Mix_Moyenne</f>
        <v>66.9101025380883</v>
      </c>
      <c r="AJ35" s="34" t="n">
        <f aca="false">AJ33*Mix_Moyenne</f>
        <v>70.9463086903736</v>
      </c>
      <c r="AK35" s="34" t="n">
        <f aca="false">AK33*Mix_Moyenne</f>
        <v>72.044687211796</v>
      </c>
      <c r="AL35" s="34" t="n">
        <f aca="false">AL33*Mix_Moyenne</f>
        <v>73.2089684445038</v>
      </c>
      <c r="AM35" s="34" t="n">
        <f aca="false">AM33*Mix_Moyenne</f>
        <v>77.443106551174</v>
      </c>
      <c r="AN35" s="34" t="n">
        <f aca="false">AN33*Mix_Moyenne</f>
        <v>81.4512929442444</v>
      </c>
      <c r="AO35" s="34" t="n">
        <f aca="false">AO33*Mix_Moyenne</f>
        <v>88.0779705208991</v>
      </c>
      <c r="AP35" s="34" t="n">
        <f aca="false">AP33*Mix_Moyenne</f>
        <v>92.547848752153</v>
      </c>
      <c r="AQ35" s="34" t="n">
        <f aca="false">AQ33*Mix_Moyenne</f>
        <v>94.1059196772822</v>
      </c>
      <c r="AR35" s="34" t="n">
        <f aca="false">AR33*Mix_Moyenne</f>
        <v>98.7574748579192</v>
      </c>
      <c r="AS35" s="34" t="n">
        <f aca="false">AS33*Mix_Moyenne</f>
        <v>100.066367349841</v>
      </c>
      <c r="AT35" s="34" t="n">
        <f aca="false">AT33*Mix_Moyenne</f>
        <v>106.155549390832</v>
      </c>
      <c r="AU35" s="34" t="n">
        <f aca="false">AU33*Mix_Moyenne</f>
        <v>106.568082354281</v>
      </c>
      <c r="AV35" s="34" t="n">
        <f aca="false">AV33*Mix_Moyenne</f>
        <v>107.005367295538</v>
      </c>
      <c r="AW35" s="34" t="n">
        <f aca="false">AW33*Mix_Moyenne</f>
        <v>110.468889333271</v>
      </c>
      <c r="AX35" s="34" t="n">
        <f aca="false">AX33*Mix_Moyenne</f>
        <v>110.960222693267</v>
      </c>
      <c r="AY35" s="34" t="n">
        <f aca="false">AY33*Mix_Moyenne</f>
        <v>117.181036054863</v>
      </c>
      <c r="AZ35" s="34" t="n">
        <f aca="false">AZ33*Mix_Moyenne</f>
        <v>117.733098218155</v>
      </c>
      <c r="BA35" s="34" t="n">
        <f aca="false">BA33*Mix_Moyenne</f>
        <v>126.598284111244</v>
      </c>
      <c r="BB35" s="34" t="n">
        <f aca="false">BB33*Mix_Moyenne</f>
        <v>127.218581157918</v>
      </c>
      <c r="BC35" s="34" t="n">
        <f aca="false">BC33*Mix_Moyenne</f>
        <v>130.876096027394</v>
      </c>
      <c r="BD35" s="34" t="n">
        <f aca="false">BD33*Mix_Moyenne</f>
        <v>134.273061789037</v>
      </c>
      <c r="BE35" s="34" t="n">
        <f aca="false">BE33*Mix_Moyenne</f>
        <v>138.011845496379</v>
      </c>
      <c r="BF35" s="34" t="n">
        <f aca="false">BF33*Mix_Moyenne</f>
        <v>138.794956226162</v>
      </c>
      <c r="BG35" s="34" t="n">
        <f aca="false">BG33*Mix_Moyenne</f>
        <v>145.325053599732</v>
      </c>
      <c r="BH35" s="34" t="n">
        <f aca="false">BH33*Mix_Moyenne</f>
        <v>146.204956815716</v>
      </c>
      <c r="BI35" s="34" t="n">
        <f aca="false">BI33*Mix_Moyenne</f>
        <v>150.137654224659</v>
      </c>
      <c r="BJ35" s="34" t="n">
        <f aca="false">BJ33*Mix_Moyenne</f>
        <v>151.126313478138</v>
      </c>
      <c r="BK35" s="34" t="n">
        <f aca="false">BK33*Mix_Moyenne</f>
        <v>157.36</v>
      </c>
      <c r="BL35" s="34" t="n">
        <f aca="false">BL33*Mix_Moyenne</f>
        <v>160.36</v>
      </c>
    </row>
    <row r="36" customFormat="false" ht="15" hidden="false" customHeight="false" outlineLevel="0" collapsed="false">
      <c r="A36" s="12" t="s">
        <v>738</v>
      </c>
      <c r="B36" s="14" t="s">
        <v>83</v>
      </c>
      <c r="D36" s="57" t="n">
        <f aca="false">SUM(E36:BL36)</f>
        <v>1442.37137936878</v>
      </c>
      <c r="E36" s="34" t="n">
        <f aca="false">E33*Mix_Grande</f>
        <v>0</v>
      </c>
      <c r="F36" s="34" t="n">
        <f aca="false">F33*Mix_Grande</f>
        <v>0</v>
      </c>
      <c r="G36" s="34" t="n">
        <f aca="false">G33*Mix_Grande</f>
        <v>0</v>
      </c>
      <c r="H36" s="34" t="n">
        <f aca="false">H33*Mix_Grande</f>
        <v>0</v>
      </c>
      <c r="I36" s="34" t="n">
        <f aca="false">I33*Mix_Grande</f>
        <v>5.74666666666667</v>
      </c>
      <c r="J36" s="34" t="n">
        <f aca="false">J33*Mix_Grande</f>
        <v>5.80666666666667</v>
      </c>
      <c r="K36" s="34" t="n">
        <f aca="false">K33*Mix_Grande</f>
        <v>5.87026666666667</v>
      </c>
      <c r="L36" s="34" t="n">
        <f aca="false">L33*Mix_Grande</f>
        <v>5.93768266666667</v>
      </c>
      <c r="M36" s="34" t="n">
        <f aca="false">M33*Mix_Grande</f>
        <v>6.00914362666667</v>
      </c>
      <c r="N36" s="34" t="n">
        <f aca="false">N33*Mix_Grande</f>
        <v>6.08489224426667</v>
      </c>
      <c r="O36" s="34" t="n">
        <f aca="false">O33*Mix_Grande</f>
        <v>6.16518577892267</v>
      </c>
      <c r="P36" s="34" t="n">
        <f aca="false">P33*Mix_Grande</f>
        <v>6.25029692565803</v>
      </c>
      <c r="Q36" s="34" t="n">
        <f aca="false">Q33*Mix_Grande</f>
        <v>8.08718140786418</v>
      </c>
      <c r="R36" s="34" t="n">
        <f aca="false">R33*Mix_Grande</f>
        <v>8.18281229233603</v>
      </c>
      <c r="S36" s="34" t="n">
        <f aca="false">S33*Mix_Grande</f>
        <v>8.28418102987619</v>
      </c>
      <c r="T36" s="34" t="n">
        <f aca="false">T33*Mix_Grande</f>
        <v>8.39163189166876</v>
      </c>
      <c r="U36" s="34" t="n">
        <f aca="false">U33*Mix_Grande</f>
        <v>8.50552980516889</v>
      </c>
      <c r="V36" s="34" t="n">
        <f aca="false">V33*Mix_Grande</f>
        <v>8.62626159347902</v>
      </c>
      <c r="W36" s="34" t="n">
        <f aca="false">W33*Mix_Grande</f>
        <v>13.9009039557544</v>
      </c>
      <c r="X36" s="34" t="n">
        <f aca="false">X33*Mix_Grande</f>
        <v>14.0725581930997</v>
      </c>
      <c r="Y36" s="34" t="n">
        <f aca="false">Y33*Mix_Grande</f>
        <v>14.2545116846857</v>
      </c>
      <c r="Z36" s="34" t="n">
        <f aca="false">Z33*Mix_Grande</f>
        <v>14.4473823857668</v>
      </c>
      <c r="AA36" s="34" t="n">
        <f aca="false">AA33*Mix_Grande</f>
        <v>14.6518253289128</v>
      </c>
      <c r="AB36" s="34" t="n">
        <f aca="false">AB33*Mix_Grande</f>
        <v>15.8685348486476</v>
      </c>
      <c r="AC36" s="34" t="n">
        <f aca="false">AC33*Mix_Grande</f>
        <v>19.6049136062331</v>
      </c>
      <c r="AD36" s="34" t="n">
        <f aca="false">AD33*Mix_Grande</f>
        <v>19.8484084226071</v>
      </c>
      <c r="AE36" s="34" t="n">
        <f aca="false">AE33*Mix_Grande</f>
        <v>20.1065129279635</v>
      </c>
      <c r="AF36" s="34" t="n">
        <f aca="false">AF33*Mix_Grande</f>
        <v>21.3801037036413</v>
      </c>
      <c r="AG36" s="34" t="n">
        <f aca="false">AG33*Mix_Grande</f>
        <v>21.6701099258598</v>
      </c>
      <c r="AH36" s="34" t="n">
        <f aca="false">AH33*Mix_Grande</f>
        <v>21.9775165214114</v>
      </c>
      <c r="AI36" s="34" t="n">
        <f aca="false">AI33*Mix_Grande</f>
        <v>22.3033675126961</v>
      </c>
      <c r="AJ36" s="34" t="n">
        <f aca="false">AJ33*Mix_Grande</f>
        <v>23.6487695634579</v>
      </c>
      <c r="AK36" s="34" t="n">
        <f aca="false">AK33*Mix_Grande</f>
        <v>24.0148957372653</v>
      </c>
      <c r="AL36" s="34" t="n">
        <f aca="false">AL33*Mix_Grande</f>
        <v>24.4029894815013</v>
      </c>
      <c r="AM36" s="34" t="n">
        <f aca="false">AM33*Mix_Grande</f>
        <v>25.8143688503913</v>
      </c>
      <c r="AN36" s="34" t="n">
        <f aca="false">AN33*Mix_Grande</f>
        <v>27.1504309814148</v>
      </c>
      <c r="AO36" s="34" t="n">
        <f aca="false">AO33*Mix_Grande</f>
        <v>29.3593235069664</v>
      </c>
      <c r="AP36" s="34" t="n">
        <f aca="false">AP33*Mix_Grande</f>
        <v>30.8492829173843</v>
      </c>
      <c r="AQ36" s="34" t="n">
        <f aca="false">AQ33*Mix_Grande</f>
        <v>31.3686398924274</v>
      </c>
      <c r="AR36" s="34" t="n">
        <f aca="false">AR33*Mix_Grande</f>
        <v>32.9191582859731</v>
      </c>
      <c r="AS36" s="34" t="n">
        <f aca="false">AS33*Mix_Grande</f>
        <v>33.3554557832803</v>
      </c>
      <c r="AT36" s="34" t="n">
        <f aca="false">AT33*Mix_Grande</f>
        <v>35.3851831302772</v>
      </c>
      <c r="AU36" s="34" t="n">
        <f aca="false">AU33*Mix_Grande</f>
        <v>35.5226941180938</v>
      </c>
      <c r="AV36" s="34" t="n">
        <f aca="false">AV33*Mix_Grande</f>
        <v>35.6684557651794</v>
      </c>
      <c r="AW36" s="34" t="n">
        <f aca="false">AW33*Mix_Grande</f>
        <v>36.8229631110902</v>
      </c>
      <c r="AX36" s="34" t="n">
        <f aca="false">AX33*Mix_Grande</f>
        <v>36.9867408977556</v>
      </c>
      <c r="AY36" s="34" t="n">
        <f aca="false">AY33*Mix_Grande</f>
        <v>39.0603453516209</v>
      </c>
      <c r="AZ36" s="34" t="n">
        <f aca="false">AZ33*Mix_Grande</f>
        <v>39.2443660727182</v>
      </c>
      <c r="BA36" s="34" t="n">
        <f aca="false">BA33*Mix_Grande</f>
        <v>42.1994280370813</v>
      </c>
      <c r="BB36" s="34" t="n">
        <f aca="false">BB33*Mix_Grande</f>
        <v>42.4061937193062</v>
      </c>
      <c r="BC36" s="34" t="n">
        <f aca="false">BC33*Mix_Grande</f>
        <v>43.6253653424645</v>
      </c>
      <c r="BD36" s="34" t="n">
        <f aca="false">BD33*Mix_Grande</f>
        <v>44.7576872630124</v>
      </c>
      <c r="BE36" s="34" t="n">
        <f aca="false">BE33*Mix_Grande</f>
        <v>46.0039484987932</v>
      </c>
      <c r="BF36" s="34" t="n">
        <f aca="false">BF33*Mix_Grande</f>
        <v>46.2649854087208</v>
      </c>
      <c r="BG36" s="34" t="n">
        <f aca="false">BG33*Mix_Grande</f>
        <v>48.441684533244</v>
      </c>
      <c r="BH36" s="34" t="n">
        <f aca="false">BH33*Mix_Grande</f>
        <v>48.7349856052386</v>
      </c>
      <c r="BI36" s="34" t="n">
        <f aca="false">BI33*Mix_Grande</f>
        <v>50.045884741553</v>
      </c>
      <c r="BJ36" s="34" t="n">
        <f aca="false">BJ33*Mix_Grande</f>
        <v>50.3754378260461</v>
      </c>
      <c r="BK36" s="34" t="n">
        <f aca="false">BK33*Mix_Grande</f>
        <v>52.4533333333333</v>
      </c>
      <c r="BL36" s="34" t="n">
        <f aca="false">BL33*Mix_Grande</f>
        <v>53.4533333333333</v>
      </c>
    </row>
    <row r="37" customFormat="false" ht="15" hidden="false" customHeight="false" outlineLevel="0" collapsed="false">
      <c r="A37" s="12" t="s">
        <v>739</v>
      </c>
      <c r="B37" s="14" t="s">
        <v>83</v>
      </c>
      <c r="D37" s="57" t="n">
        <f aca="false">SUM(E37:BL37)</f>
        <v>3839.78046035444</v>
      </c>
      <c r="E37" s="34" t="n">
        <f aca="false">E21+E22</f>
        <v>0</v>
      </c>
      <c r="F37" s="34" t="n">
        <f aca="false">F21+F22</f>
        <v>0</v>
      </c>
      <c r="G37" s="34" t="n">
        <f aca="false">G21+G22</f>
        <v>0</v>
      </c>
      <c r="H37" s="34" t="n">
        <f aca="false">H21+H22</f>
        <v>0</v>
      </c>
      <c r="I37" s="34" t="n">
        <f aca="false">I21+I22</f>
        <v>10</v>
      </c>
      <c r="J37" s="34" t="n">
        <f aca="false">J21+J22</f>
        <v>10.6</v>
      </c>
      <c r="K37" s="34" t="n">
        <f aca="false">K21+K22</f>
        <v>11.236</v>
      </c>
      <c r="L37" s="34" t="n">
        <f aca="false">L21+L22</f>
        <v>11.91016</v>
      </c>
      <c r="M37" s="34" t="n">
        <f aca="false">M21+M22</f>
        <v>12.6247696</v>
      </c>
      <c r="N37" s="34" t="n">
        <f aca="false">N21+N22</f>
        <v>13.382255776</v>
      </c>
      <c r="O37" s="34" t="n">
        <f aca="false">O21+O22</f>
        <v>14.18519112256</v>
      </c>
      <c r="P37" s="34" t="n">
        <f aca="false">P21+P22</f>
        <v>15.0363025899136</v>
      </c>
      <c r="Q37" s="34" t="n">
        <f aca="false">Q21+Q22</f>
        <v>15.9384807453084</v>
      </c>
      <c r="R37" s="34" t="n">
        <f aca="false">R21+R22</f>
        <v>16.8947895900269</v>
      </c>
      <c r="S37" s="34" t="n">
        <f aca="false">S21+S22</f>
        <v>17.9084769654285</v>
      </c>
      <c r="T37" s="34" t="n">
        <f aca="false">T21+T22</f>
        <v>18.9829855833543</v>
      </c>
      <c r="U37" s="34" t="n">
        <f aca="false">U21+U22</f>
        <v>20.1219647183555</v>
      </c>
      <c r="V37" s="34" t="n">
        <f aca="false">V21+V22</f>
        <v>21.3292826014568</v>
      </c>
      <c r="W37" s="34" t="n">
        <f aca="false">W21+W22</f>
        <v>28.6090395575443</v>
      </c>
      <c r="X37" s="34" t="n">
        <f aca="false">X21+X22</f>
        <v>30.3255819309969</v>
      </c>
      <c r="Y37" s="34" t="n">
        <f aca="false">Y21+Y22</f>
        <v>32.1451168468567</v>
      </c>
      <c r="Z37" s="34" t="n">
        <f aca="false">Z21+Z22</f>
        <v>34.0738238576681</v>
      </c>
      <c r="AA37" s="34" t="n">
        <f aca="false">AA21+AA22</f>
        <v>36.1182532891282</v>
      </c>
      <c r="AB37" s="34" t="n">
        <f aca="false">AB21+AB22</f>
        <v>38.2853484864759</v>
      </c>
      <c r="AC37" s="34" t="n">
        <f aca="false">AC21+AC22</f>
        <v>40.5824693956645</v>
      </c>
      <c r="AD37" s="34" t="n">
        <f aca="false">AD21+AD22</f>
        <v>43.0174175594044</v>
      </c>
      <c r="AE37" s="34" t="n">
        <f aca="false">AE21+AE22</f>
        <v>45.5984626129686</v>
      </c>
      <c r="AF37" s="34" t="n">
        <f aca="false">AF21+AF22</f>
        <v>48.3343703697467</v>
      </c>
      <c r="AG37" s="34" t="n">
        <f aca="false">AG21+AG22</f>
        <v>51.2344325919316</v>
      </c>
      <c r="AH37" s="34" t="n">
        <f aca="false">AH21+AH22</f>
        <v>54.3084985474474</v>
      </c>
      <c r="AI37" s="34" t="n">
        <f aca="false">AI21+AI22</f>
        <v>57.5670084602943</v>
      </c>
      <c r="AJ37" s="34" t="n">
        <f aca="false">AJ21+AJ22</f>
        <v>61.0210289679119</v>
      </c>
      <c r="AK37" s="34" t="n">
        <f aca="false">AK21+AK22</f>
        <v>64.6822907059867</v>
      </c>
      <c r="AL37" s="34" t="n">
        <f aca="false">AL21+AL22</f>
        <v>68.5632281483459</v>
      </c>
      <c r="AM37" s="34" t="n">
        <f aca="false">AM21+AM22</f>
        <v>72.6770218372466</v>
      </c>
      <c r="AN37" s="34" t="n">
        <f aca="false">AN21+AN22</f>
        <v>77.0376431474814</v>
      </c>
      <c r="AO37" s="34" t="n">
        <f aca="false">AO21+AO22</f>
        <v>81.6599017363303</v>
      </c>
      <c r="AP37" s="34" t="n">
        <f aca="false">AP21+AP22</f>
        <v>86.5594958405101</v>
      </c>
      <c r="AQ37" s="34" t="n">
        <f aca="false">AQ21+AQ22</f>
        <v>91.7530655909408</v>
      </c>
      <c r="AR37" s="34" t="n">
        <f aca="false">AR21+AR22</f>
        <v>97.2582495263972</v>
      </c>
      <c r="AS37" s="34" t="n">
        <f aca="false">AS21+AS22</f>
        <v>101.62122449947</v>
      </c>
      <c r="AT37" s="34" t="n">
        <f aca="false">AT21+AT22</f>
        <v>102.918497969438</v>
      </c>
      <c r="AU37" s="34" t="n">
        <f aca="false">AU21+AU22</f>
        <v>104.293607847605</v>
      </c>
      <c r="AV37" s="34" t="n">
        <f aca="false">AV21+AV22</f>
        <v>105.751224318461</v>
      </c>
      <c r="AW37" s="34" t="n">
        <f aca="false">AW21+AW22</f>
        <v>107.296297777569</v>
      </c>
      <c r="AX37" s="34" t="n">
        <f aca="false">AX21+AX22</f>
        <v>108.934075644223</v>
      </c>
      <c r="AY37" s="34" t="n">
        <f aca="false">AY21+AY22</f>
        <v>110.670120182876</v>
      </c>
      <c r="AZ37" s="34" t="n">
        <f aca="false">AZ21+AZ22</f>
        <v>112.510327393849</v>
      </c>
      <c r="BA37" s="34" t="n">
        <f aca="false">BA21+BA22</f>
        <v>114.46094703748</v>
      </c>
      <c r="BB37" s="34" t="n">
        <f aca="false">BB21+BB22</f>
        <v>116.528603859728</v>
      </c>
      <c r="BC37" s="34" t="n">
        <f aca="false">BC21+BC22</f>
        <v>118.720320091312</v>
      </c>
      <c r="BD37" s="34" t="n">
        <f aca="false">BD21+BD22</f>
        <v>121.043539296791</v>
      </c>
      <c r="BE37" s="34" t="n">
        <f aca="false">BE21+BE22</f>
        <v>123.506151654598</v>
      </c>
      <c r="BF37" s="34" t="n">
        <f aca="false">BF21+BF22</f>
        <v>126.116520753874</v>
      </c>
      <c r="BG37" s="34" t="n">
        <f aca="false">BG21+BG22</f>
        <v>128.883511999107</v>
      </c>
      <c r="BH37" s="34" t="n">
        <f aca="false">BH21+BH22</f>
        <v>131.816522719053</v>
      </c>
      <c r="BI37" s="34" t="n">
        <f aca="false">BI21+BI22</f>
        <v>134.925514082196</v>
      </c>
      <c r="BJ37" s="34" t="n">
        <f aca="false">BJ21+BJ22</f>
        <v>138.221044927128</v>
      </c>
      <c r="BK37" s="34" t="n">
        <f aca="false">BK21+BK22</f>
        <v>140</v>
      </c>
      <c r="BL37" s="34" t="n">
        <f aca="false">BL21+BL22</f>
        <v>140</v>
      </c>
    </row>
    <row r="39" customFormat="false" ht="15" hidden="false" customHeight="false" outlineLevel="0" collapsed="false">
      <c r="A39" s="10" t="s">
        <v>740</v>
      </c>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c r="BK39" s="11"/>
      <c r="BL39" s="11"/>
    </row>
    <row r="40" customFormat="false" ht="15" hidden="false" customHeight="false" outlineLevel="0" collapsed="false">
      <c r="A40" s="12" t="s">
        <v>741</v>
      </c>
      <c r="B40" s="14" t="s">
        <v>71</v>
      </c>
      <c r="D40" s="55" t="n">
        <f aca="false">SUM(E40:BL40)</f>
        <v>333220000</v>
      </c>
      <c r="E40" s="37" t="n">
        <f aca="false">E25+E26</f>
        <v>0</v>
      </c>
      <c r="F40" s="37" t="n">
        <f aca="false">F25+F26</f>
        <v>0</v>
      </c>
      <c r="G40" s="37" t="n">
        <f aca="false">G25+G26</f>
        <v>0</v>
      </c>
      <c r="H40" s="37" t="n">
        <f aca="false">H25+H26</f>
        <v>0</v>
      </c>
      <c r="I40" s="37" t="n">
        <f aca="false">I25+I26</f>
        <v>1310000</v>
      </c>
      <c r="J40" s="37" t="n">
        <f aca="false">J25+J26</f>
        <v>1310000</v>
      </c>
      <c r="K40" s="37" t="n">
        <f aca="false">K25+K26</f>
        <v>1310000</v>
      </c>
      <c r="L40" s="37" t="n">
        <f aca="false">L25+L26</f>
        <v>1310000</v>
      </c>
      <c r="M40" s="37" t="n">
        <f aca="false">M25+M26</f>
        <v>1310000</v>
      </c>
      <c r="N40" s="37" t="n">
        <f aca="false">N25+N26</f>
        <v>1310000</v>
      </c>
      <c r="O40" s="37" t="n">
        <f aca="false">O25+O26</f>
        <v>1310000</v>
      </c>
      <c r="P40" s="37" t="n">
        <f aca="false">P25+P26</f>
        <v>1310000</v>
      </c>
      <c r="Q40" s="37" t="n">
        <f aca="false">Q25+Q26</f>
        <v>2620000</v>
      </c>
      <c r="R40" s="37" t="n">
        <f aca="false">R25+R26</f>
        <v>2620000</v>
      </c>
      <c r="S40" s="37" t="n">
        <f aca="false">S25+S26</f>
        <v>2620000</v>
      </c>
      <c r="T40" s="37" t="n">
        <f aca="false">T25+T26</f>
        <v>2620000</v>
      </c>
      <c r="U40" s="37" t="n">
        <f aca="false">U25+U26</f>
        <v>2620000</v>
      </c>
      <c r="V40" s="37" t="n">
        <f aca="false">V25+V26</f>
        <v>2620000</v>
      </c>
      <c r="W40" s="37" t="n">
        <f aca="false">W25+W26</f>
        <v>3930000</v>
      </c>
      <c r="X40" s="37" t="n">
        <f aca="false">X25+X26</f>
        <v>3930000</v>
      </c>
      <c r="Y40" s="37" t="n">
        <f aca="false">Y25+Y26</f>
        <v>3930000</v>
      </c>
      <c r="Z40" s="37" t="n">
        <f aca="false">Z25+Z26</f>
        <v>3930000</v>
      </c>
      <c r="AA40" s="37" t="n">
        <f aca="false">AA25+AA26</f>
        <v>3930000</v>
      </c>
      <c r="AB40" s="37" t="n">
        <f aca="false">AB25+AB26</f>
        <v>3930000</v>
      </c>
      <c r="AC40" s="37" t="n">
        <f aca="false">AC25+AC26</f>
        <v>6560000</v>
      </c>
      <c r="AD40" s="37" t="n">
        <f aca="false">AD25+AD26</f>
        <v>6560000</v>
      </c>
      <c r="AE40" s="37" t="n">
        <f aca="false">AE25+AE26</f>
        <v>6560000</v>
      </c>
      <c r="AF40" s="37" t="n">
        <f aca="false">AF25+AF26</f>
        <v>6560000</v>
      </c>
      <c r="AG40" s="37" t="n">
        <f aca="false">AG25+AG26</f>
        <v>6560000</v>
      </c>
      <c r="AH40" s="37" t="n">
        <f aca="false">AH25+AH26</f>
        <v>6560000</v>
      </c>
      <c r="AI40" s="37" t="n">
        <f aca="false">AI25+AI26</f>
        <v>6560000</v>
      </c>
      <c r="AJ40" s="37" t="n">
        <f aca="false">AJ25+AJ26</f>
        <v>6560000</v>
      </c>
      <c r="AK40" s="37" t="n">
        <f aca="false">AK25+AK26</f>
        <v>6560000</v>
      </c>
      <c r="AL40" s="37" t="n">
        <f aca="false">AL25+AL26</f>
        <v>6560000</v>
      </c>
      <c r="AM40" s="37" t="n">
        <f aca="false">AM25+AM26</f>
        <v>6560000</v>
      </c>
      <c r="AN40" s="37" t="n">
        <f aca="false">AN25+AN26</f>
        <v>6560000</v>
      </c>
      <c r="AO40" s="37" t="n">
        <f aca="false">AO25+AO26</f>
        <v>7870000</v>
      </c>
      <c r="AP40" s="37" t="n">
        <f aca="false">AP25+AP26</f>
        <v>7870000</v>
      </c>
      <c r="AQ40" s="37" t="n">
        <f aca="false">AQ25+AQ26</f>
        <v>7870000</v>
      </c>
      <c r="AR40" s="37" t="n">
        <f aca="false">AR25+AR26</f>
        <v>7870000</v>
      </c>
      <c r="AS40" s="37" t="n">
        <f aca="false">AS25+AS26</f>
        <v>7870000</v>
      </c>
      <c r="AT40" s="37" t="n">
        <f aca="false">AT25+AT26</f>
        <v>7870000</v>
      </c>
      <c r="AU40" s="37" t="n">
        <f aca="false">AU25+AU26</f>
        <v>7870000</v>
      </c>
      <c r="AV40" s="37" t="n">
        <f aca="false">AV25+AV26</f>
        <v>7870000</v>
      </c>
      <c r="AW40" s="37" t="n">
        <f aca="false">AW25+AW26</f>
        <v>7870000</v>
      </c>
      <c r="AX40" s="37" t="n">
        <f aca="false">AX25+AX26</f>
        <v>7870000</v>
      </c>
      <c r="AY40" s="37" t="n">
        <f aca="false">AY25+AY26</f>
        <v>7870000</v>
      </c>
      <c r="AZ40" s="37" t="n">
        <f aca="false">AZ25+AZ26</f>
        <v>7870000</v>
      </c>
      <c r="BA40" s="37" t="n">
        <f aca="false">BA25+BA26</f>
        <v>9190000</v>
      </c>
      <c r="BB40" s="37" t="n">
        <f aca="false">BB25+BB26</f>
        <v>9190000</v>
      </c>
      <c r="BC40" s="37" t="n">
        <f aca="false">BC25+BC26</f>
        <v>9190000</v>
      </c>
      <c r="BD40" s="37" t="n">
        <f aca="false">BD25+BD26</f>
        <v>9190000</v>
      </c>
      <c r="BE40" s="37" t="n">
        <f aca="false">BE25+BE26</f>
        <v>9190000</v>
      </c>
      <c r="BF40" s="37" t="n">
        <f aca="false">BF25+BF26</f>
        <v>9190000</v>
      </c>
      <c r="BG40" s="37" t="n">
        <f aca="false">BG25+BG26</f>
        <v>9190000</v>
      </c>
      <c r="BH40" s="37" t="n">
        <f aca="false">BH25+BH26</f>
        <v>9190000</v>
      </c>
      <c r="BI40" s="37" t="n">
        <f aca="false">BI25+BI26</f>
        <v>9190000</v>
      </c>
      <c r="BJ40" s="37" t="n">
        <f aca="false">BJ25+BJ26</f>
        <v>9190000</v>
      </c>
      <c r="BK40" s="37" t="n">
        <f aca="false">BK25+BK26</f>
        <v>9190000</v>
      </c>
      <c r="BL40" s="37" t="n">
        <f aca="false">BL25+BL26</f>
        <v>9190000</v>
      </c>
    </row>
    <row r="41" customFormat="false" ht="15" hidden="false" customHeight="false" outlineLevel="0" collapsed="false">
      <c r="A41" s="12" t="s">
        <v>477</v>
      </c>
      <c r="B41" s="14" t="s">
        <v>71</v>
      </c>
      <c r="D41" s="55" t="n">
        <f aca="false">SUM(E41:BL41)</f>
        <v>41330000</v>
      </c>
      <c r="E41" s="37" t="n">
        <f aca="false">INDEX(Brand_PR,1,E$5)/12</f>
        <v>1366666.66666667</v>
      </c>
      <c r="F41" s="37" t="n">
        <f aca="false">INDEX(Brand_PR,1,F$5)/12</f>
        <v>1366666.66666667</v>
      </c>
      <c r="G41" s="37" t="n">
        <f aca="false">INDEX(Brand_PR,1,G$5)/12</f>
        <v>1366666.66666667</v>
      </c>
      <c r="H41" s="37" t="n">
        <f aca="false">INDEX(Brand_PR,1,H$5)/12</f>
        <v>1366666.66666667</v>
      </c>
      <c r="I41" s="37" t="n">
        <f aca="false">INDEX(Brand_PR,1,I$5)/12</f>
        <v>1366666.66666667</v>
      </c>
      <c r="J41" s="37" t="n">
        <f aca="false">INDEX(Brand_PR,1,J$5)/12</f>
        <v>1366666.66666667</v>
      </c>
      <c r="K41" s="37" t="n">
        <f aca="false">INDEX(Brand_PR,1,K$5)/12</f>
        <v>1366666.66666667</v>
      </c>
      <c r="L41" s="37" t="n">
        <f aca="false">INDEX(Brand_PR,1,L$5)/12</f>
        <v>1366666.66666667</v>
      </c>
      <c r="M41" s="37" t="n">
        <f aca="false">INDEX(Brand_PR,1,M$5)/12</f>
        <v>1366666.66666667</v>
      </c>
      <c r="N41" s="37" t="n">
        <f aca="false">INDEX(Brand_PR,1,N$5)/12</f>
        <v>1366666.66666667</v>
      </c>
      <c r="O41" s="37" t="n">
        <f aca="false">INDEX(Brand_PR,1,O$5)/12</f>
        <v>1366666.66666667</v>
      </c>
      <c r="P41" s="37" t="n">
        <f aca="false">INDEX(Brand_PR,1,P$5)/12</f>
        <v>1366666.66666667</v>
      </c>
      <c r="Q41" s="37" t="n">
        <f aca="false">INDEX(Brand_PR,1,Q$5)/12</f>
        <v>437500</v>
      </c>
      <c r="R41" s="37" t="n">
        <f aca="false">INDEX(Brand_PR,1,R$5)/12</f>
        <v>437500</v>
      </c>
      <c r="S41" s="37" t="n">
        <f aca="false">INDEX(Brand_PR,1,S$5)/12</f>
        <v>437500</v>
      </c>
      <c r="T41" s="37" t="n">
        <f aca="false">INDEX(Brand_PR,1,T$5)/12</f>
        <v>437500</v>
      </c>
      <c r="U41" s="37" t="n">
        <f aca="false">INDEX(Brand_PR,1,U$5)/12</f>
        <v>437500</v>
      </c>
      <c r="V41" s="37" t="n">
        <f aca="false">INDEX(Brand_PR,1,V$5)/12</f>
        <v>437500</v>
      </c>
      <c r="W41" s="37" t="n">
        <f aca="false">INDEX(Brand_PR,1,W$5)/12</f>
        <v>437500</v>
      </c>
      <c r="X41" s="37" t="n">
        <f aca="false">INDEX(Brand_PR,1,X$5)/12</f>
        <v>437500</v>
      </c>
      <c r="Y41" s="37" t="n">
        <f aca="false">INDEX(Brand_PR,1,Y$5)/12</f>
        <v>437500</v>
      </c>
      <c r="Z41" s="37" t="n">
        <f aca="false">INDEX(Brand_PR,1,Z$5)/12</f>
        <v>437500</v>
      </c>
      <c r="AA41" s="37" t="n">
        <f aca="false">INDEX(Brand_PR,1,AA$5)/12</f>
        <v>437500</v>
      </c>
      <c r="AB41" s="37" t="n">
        <f aca="false">INDEX(Brand_PR,1,AB$5)/12</f>
        <v>437500</v>
      </c>
      <c r="AC41" s="37" t="n">
        <f aca="false">INDEX(Brand_PR,1,AC$5)/12</f>
        <v>546666.666666667</v>
      </c>
      <c r="AD41" s="37" t="n">
        <f aca="false">INDEX(Brand_PR,1,AD$5)/12</f>
        <v>546666.666666667</v>
      </c>
      <c r="AE41" s="37" t="n">
        <f aca="false">INDEX(Brand_PR,1,AE$5)/12</f>
        <v>546666.666666667</v>
      </c>
      <c r="AF41" s="37" t="n">
        <f aca="false">INDEX(Brand_PR,1,AF$5)/12</f>
        <v>546666.666666667</v>
      </c>
      <c r="AG41" s="37" t="n">
        <f aca="false">INDEX(Brand_PR,1,AG$5)/12</f>
        <v>546666.666666667</v>
      </c>
      <c r="AH41" s="37" t="n">
        <f aca="false">INDEX(Brand_PR,1,AH$5)/12</f>
        <v>546666.666666667</v>
      </c>
      <c r="AI41" s="37" t="n">
        <f aca="false">INDEX(Brand_PR,1,AI$5)/12</f>
        <v>546666.666666667</v>
      </c>
      <c r="AJ41" s="37" t="n">
        <f aca="false">INDEX(Brand_PR,1,AJ$5)/12</f>
        <v>546666.666666667</v>
      </c>
      <c r="AK41" s="37" t="n">
        <f aca="false">INDEX(Brand_PR,1,AK$5)/12</f>
        <v>546666.666666667</v>
      </c>
      <c r="AL41" s="37" t="n">
        <f aca="false">INDEX(Brand_PR,1,AL$5)/12</f>
        <v>546666.666666667</v>
      </c>
      <c r="AM41" s="37" t="n">
        <f aca="false">INDEX(Brand_PR,1,AM$5)/12</f>
        <v>546666.666666667</v>
      </c>
      <c r="AN41" s="37" t="n">
        <f aca="false">INDEX(Brand_PR,1,AN$5)/12</f>
        <v>546666.666666667</v>
      </c>
      <c r="AO41" s="37" t="n">
        <f aca="false">INDEX(Brand_PR,1,AO$5)/12</f>
        <v>546666.666666667</v>
      </c>
      <c r="AP41" s="37" t="n">
        <f aca="false">INDEX(Brand_PR,1,AP$5)/12</f>
        <v>546666.666666667</v>
      </c>
      <c r="AQ41" s="37" t="n">
        <f aca="false">INDEX(Brand_PR,1,AQ$5)/12</f>
        <v>546666.666666667</v>
      </c>
      <c r="AR41" s="37" t="n">
        <f aca="false">INDEX(Brand_PR,1,AR$5)/12</f>
        <v>546666.666666667</v>
      </c>
      <c r="AS41" s="37" t="n">
        <f aca="false">INDEX(Brand_PR,1,AS$5)/12</f>
        <v>546666.666666667</v>
      </c>
      <c r="AT41" s="37" t="n">
        <f aca="false">INDEX(Brand_PR,1,AT$5)/12</f>
        <v>546666.666666667</v>
      </c>
      <c r="AU41" s="37" t="n">
        <f aca="false">INDEX(Brand_PR,1,AU$5)/12</f>
        <v>546666.666666667</v>
      </c>
      <c r="AV41" s="37" t="n">
        <f aca="false">INDEX(Brand_PR,1,AV$5)/12</f>
        <v>546666.666666667</v>
      </c>
      <c r="AW41" s="37" t="n">
        <f aca="false">INDEX(Brand_PR,1,AW$5)/12</f>
        <v>546666.666666667</v>
      </c>
      <c r="AX41" s="37" t="n">
        <f aca="false">INDEX(Brand_PR,1,AX$5)/12</f>
        <v>546666.666666667</v>
      </c>
      <c r="AY41" s="37" t="n">
        <f aca="false">INDEX(Brand_PR,1,AY$5)/12</f>
        <v>546666.666666667</v>
      </c>
      <c r="AZ41" s="37" t="n">
        <f aca="false">INDEX(Brand_PR,1,AZ$5)/12</f>
        <v>546666.666666667</v>
      </c>
      <c r="BA41" s="37" t="n">
        <f aca="false">INDEX(Brand_PR,1,BA$5)/12</f>
        <v>546666.666666667</v>
      </c>
      <c r="BB41" s="37" t="n">
        <f aca="false">INDEX(Brand_PR,1,BB$5)/12</f>
        <v>546666.666666667</v>
      </c>
      <c r="BC41" s="37" t="n">
        <f aca="false">INDEX(Brand_PR,1,BC$5)/12</f>
        <v>546666.666666667</v>
      </c>
      <c r="BD41" s="37" t="n">
        <f aca="false">INDEX(Brand_PR,1,BD$5)/12</f>
        <v>546666.666666667</v>
      </c>
      <c r="BE41" s="37" t="n">
        <f aca="false">INDEX(Brand_PR,1,BE$5)/12</f>
        <v>546666.666666667</v>
      </c>
      <c r="BF41" s="37" t="n">
        <f aca="false">INDEX(Brand_PR,1,BF$5)/12</f>
        <v>546666.666666667</v>
      </c>
      <c r="BG41" s="37" t="n">
        <f aca="false">INDEX(Brand_PR,1,BG$5)/12</f>
        <v>546666.666666667</v>
      </c>
      <c r="BH41" s="37" t="n">
        <f aca="false">INDEX(Brand_PR,1,BH$5)/12</f>
        <v>546666.666666667</v>
      </c>
      <c r="BI41" s="37" t="n">
        <f aca="false">INDEX(Brand_PR,1,BI$5)/12</f>
        <v>546666.666666667</v>
      </c>
      <c r="BJ41" s="37" t="n">
        <f aca="false">INDEX(Brand_PR,1,BJ$5)/12</f>
        <v>546666.666666667</v>
      </c>
      <c r="BK41" s="37" t="n">
        <f aca="false">INDEX(Brand_PR,1,BK$5)/12</f>
        <v>546666.666666667</v>
      </c>
      <c r="BL41" s="37" t="n">
        <f aca="false">INDEX(Brand_PR,1,BL$5)/12</f>
        <v>546666.666666667</v>
      </c>
    </row>
    <row r="42" customFormat="false" ht="15" hidden="false" customHeight="false" outlineLevel="0" collapsed="false">
      <c r="A42" s="12" t="s">
        <v>479</v>
      </c>
      <c r="B42" s="14" t="s">
        <v>71</v>
      </c>
      <c r="D42" s="55" t="n">
        <f aca="false">SUM(E42:BL42)</f>
        <v>137740000</v>
      </c>
      <c r="E42" s="37" t="n">
        <f aca="false">INDEX(Events,1,E$5)/12</f>
        <v>820000</v>
      </c>
      <c r="F42" s="37" t="n">
        <f aca="false">INDEX(Events,1,F$5)/12</f>
        <v>820000</v>
      </c>
      <c r="G42" s="37" t="n">
        <f aca="false">INDEX(Events,1,G$5)/12</f>
        <v>820000</v>
      </c>
      <c r="H42" s="37" t="n">
        <f aca="false">INDEX(Events,1,H$5)/12</f>
        <v>820000</v>
      </c>
      <c r="I42" s="37" t="n">
        <f aca="false">INDEX(Events,1,I$5)/12</f>
        <v>820000</v>
      </c>
      <c r="J42" s="37" t="n">
        <f aca="false">INDEX(Events,1,J$5)/12</f>
        <v>820000</v>
      </c>
      <c r="K42" s="37" t="n">
        <f aca="false">INDEX(Events,1,K$5)/12</f>
        <v>820000</v>
      </c>
      <c r="L42" s="37" t="n">
        <f aca="false">INDEX(Events,1,L$5)/12</f>
        <v>820000</v>
      </c>
      <c r="M42" s="37" t="n">
        <f aca="false">INDEX(Events,1,M$5)/12</f>
        <v>820000</v>
      </c>
      <c r="N42" s="37" t="n">
        <f aca="false">INDEX(Events,1,N$5)/12</f>
        <v>820000</v>
      </c>
      <c r="O42" s="37" t="n">
        <f aca="false">INDEX(Events,1,O$5)/12</f>
        <v>820000</v>
      </c>
      <c r="P42" s="37" t="n">
        <f aca="false">INDEX(Events,1,P$5)/12</f>
        <v>820000</v>
      </c>
      <c r="Q42" s="37" t="n">
        <f aca="false">INDEX(Events,1,Q$5)/12</f>
        <v>1641666.66666667</v>
      </c>
      <c r="R42" s="37" t="n">
        <f aca="false">INDEX(Events,1,R$5)/12</f>
        <v>1641666.66666667</v>
      </c>
      <c r="S42" s="37" t="n">
        <f aca="false">INDEX(Events,1,S$5)/12</f>
        <v>1641666.66666667</v>
      </c>
      <c r="T42" s="37" t="n">
        <f aca="false">INDEX(Events,1,T$5)/12</f>
        <v>1641666.66666667</v>
      </c>
      <c r="U42" s="37" t="n">
        <f aca="false">INDEX(Events,1,U$5)/12</f>
        <v>1641666.66666667</v>
      </c>
      <c r="V42" s="37" t="n">
        <f aca="false">INDEX(Events,1,V$5)/12</f>
        <v>1641666.66666667</v>
      </c>
      <c r="W42" s="37" t="n">
        <f aca="false">INDEX(Events,1,W$5)/12</f>
        <v>1641666.66666667</v>
      </c>
      <c r="X42" s="37" t="n">
        <f aca="false">INDEX(Events,1,X$5)/12</f>
        <v>1641666.66666667</v>
      </c>
      <c r="Y42" s="37" t="n">
        <f aca="false">INDEX(Events,1,Y$5)/12</f>
        <v>1641666.66666667</v>
      </c>
      <c r="Z42" s="37" t="n">
        <f aca="false">INDEX(Events,1,Z$5)/12</f>
        <v>1641666.66666667</v>
      </c>
      <c r="AA42" s="37" t="n">
        <f aca="false">INDEX(Events,1,AA$5)/12</f>
        <v>1641666.66666667</v>
      </c>
      <c r="AB42" s="37" t="n">
        <f aca="false">INDEX(Events,1,AB$5)/12</f>
        <v>1641666.66666667</v>
      </c>
      <c r="AC42" s="37" t="n">
        <f aca="false">INDEX(Events,1,AC$5)/12</f>
        <v>2458333.33333333</v>
      </c>
      <c r="AD42" s="37" t="n">
        <f aca="false">INDEX(Events,1,AD$5)/12</f>
        <v>2458333.33333333</v>
      </c>
      <c r="AE42" s="37" t="n">
        <f aca="false">INDEX(Events,1,AE$5)/12</f>
        <v>2458333.33333333</v>
      </c>
      <c r="AF42" s="37" t="n">
        <f aca="false">INDEX(Events,1,AF$5)/12</f>
        <v>2458333.33333333</v>
      </c>
      <c r="AG42" s="37" t="n">
        <f aca="false">INDEX(Events,1,AG$5)/12</f>
        <v>2458333.33333333</v>
      </c>
      <c r="AH42" s="37" t="n">
        <f aca="false">INDEX(Events,1,AH$5)/12</f>
        <v>2458333.33333333</v>
      </c>
      <c r="AI42" s="37" t="n">
        <f aca="false">INDEX(Events,1,AI$5)/12</f>
        <v>2458333.33333333</v>
      </c>
      <c r="AJ42" s="37" t="n">
        <f aca="false">INDEX(Events,1,AJ$5)/12</f>
        <v>2458333.33333333</v>
      </c>
      <c r="AK42" s="37" t="n">
        <f aca="false">INDEX(Events,1,AK$5)/12</f>
        <v>2458333.33333333</v>
      </c>
      <c r="AL42" s="37" t="n">
        <f aca="false">INDEX(Events,1,AL$5)/12</f>
        <v>2458333.33333333</v>
      </c>
      <c r="AM42" s="37" t="n">
        <f aca="false">INDEX(Events,1,AM$5)/12</f>
        <v>2458333.33333333</v>
      </c>
      <c r="AN42" s="37" t="n">
        <f aca="false">INDEX(Events,1,AN$5)/12</f>
        <v>2458333.33333333</v>
      </c>
      <c r="AO42" s="37" t="n">
        <f aca="false">INDEX(Events,1,AO$5)/12</f>
        <v>3008333.33333333</v>
      </c>
      <c r="AP42" s="37" t="n">
        <f aca="false">INDEX(Events,1,AP$5)/12</f>
        <v>3008333.33333333</v>
      </c>
      <c r="AQ42" s="37" t="n">
        <f aca="false">INDEX(Events,1,AQ$5)/12</f>
        <v>3008333.33333333</v>
      </c>
      <c r="AR42" s="37" t="n">
        <f aca="false">INDEX(Events,1,AR$5)/12</f>
        <v>3008333.33333333</v>
      </c>
      <c r="AS42" s="37" t="n">
        <f aca="false">INDEX(Events,1,AS$5)/12</f>
        <v>3008333.33333333</v>
      </c>
      <c r="AT42" s="37" t="n">
        <f aca="false">INDEX(Events,1,AT$5)/12</f>
        <v>3008333.33333333</v>
      </c>
      <c r="AU42" s="37" t="n">
        <f aca="false">INDEX(Events,1,AU$5)/12</f>
        <v>3008333.33333333</v>
      </c>
      <c r="AV42" s="37" t="n">
        <f aca="false">INDEX(Events,1,AV$5)/12</f>
        <v>3008333.33333333</v>
      </c>
      <c r="AW42" s="37" t="n">
        <f aca="false">INDEX(Events,1,AW$5)/12</f>
        <v>3008333.33333333</v>
      </c>
      <c r="AX42" s="37" t="n">
        <f aca="false">INDEX(Events,1,AX$5)/12</f>
        <v>3008333.33333333</v>
      </c>
      <c r="AY42" s="37" t="n">
        <f aca="false">INDEX(Events,1,AY$5)/12</f>
        <v>3008333.33333333</v>
      </c>
      <c r="AZ42" s="37" t="n">
        <f aca="false">INDEX(Events,1,AZ$5)/12</f>
        <v>3008333.33333333</v>
      </c>
      <c r="BA42" s="37" t="n">
        <f aca="false">INDEX(Events,1,BA$5)/12</f>
        <v>3550000</v>
      </c>
      <c r="BB42" s="37" t="n">
        <f aca="false">INDEX(Events,1,BB$5)/12</f>
        <v>3550000</v>
      </c>
      <c r="BC42" s="37" t="n">
        <f aca="false">INDEX(Events,1,BC$5)/12</f>
        <v>3550000</v>
      </c>
      <c r="BD42" s="37" t="n">
        <f aca="false">INDEX(Events,1,BD$5)/12</f>
        <v>3550000</v>
      </c>
      <c r="BE42" s="37" t="n">
        <f aca="false">INDEX(Events,1,BE$5)/12</f>
        <v>3550000</v>
      </c>
      <c r="BF42" s="37" t="n">
        <f aca="false">INDEX(Events,1,BF$5)/12</f>
        <v>3550000</v>
      </c>
      <c r="BG42" s="37" t="n">
        <f aca="false">INDEX(Events,1,BG$5)/12</f>
        <v>3550000</v>
      </c>
      <c r="BH42" s="37" t="n">
        <f aca="false">INDEX(Events,1,BH$5)/12</f>
        <v>3550000</v>
      </c>
      <c r="BI42" s="37" t="n">
        <f aca="false">INDEX(Events,1,BI$5)/12</f>
        <v>3550000</v>
      </c>
      <c r="BJ42" s="37" t="n">
        <f aca="false">INDEX(Events,1,BJ$5)/12</f>
        <v>3550000</v>
      </c>
      <c r="BK42" s="37" t="n">
        <f aca="false">INDEX(Events,1,BK$5)/12</f>
        <v>3550000</v>
      </c>
      <c r="BL42" s="37" t="n">
        <f aca="false">INDEX(Events,1,BL$5)/12</f>
        <v>3550000</v>
      </c>
    </row>
    <row r="43" customFormat="false" ht="15" hidden="false" customHeight="false" outlineLevel="0" collapsed="false">
      <c r="A43" s="12" t="s">
        <v>742</v>
      </c>
      <c r="B43" s="14" t="s">
        <v>71</v>
      </c>
      <c r="D43" s="55" t="n">
        <f aca="false">SUM(E43:BL43)</f>
        <v>95994511.508861</v>
      </c>
      <c r="E43" s="37" t="n">
        <f aca="false">E37*Referral_Fee</f>
        <v>0</v>
      </c>
      <c r="F43" s="37" t="n">
        <f aca="false">F37*Referral_Fee</f>
        <v>0</v>
      </c>
      <c r="G43" s="37" t="n">
        <f aca="false">G37*Referral_Fee</f>
        <v>0</v>
      </c>
      <c r="H43" s="37" t="n">
        <f aca="false">H37*Referral_Fee</f>
        <v>0</v>
      </c>
      <c r="I43" s="37" t="n">
        <f aca="false">I37*Referral_Fee</f>
        <v>250000</v>
      </c>
      <c r="J43" s="37" t="n">
        <f aca="false">J37*Referral_Fee</f>
        <v>265000</v>
      </c>
      <c r="K43" s="37" t="n">
        <f aca="false">K37*Referral_Fee</f>
        <v>280900</v>
      </c>
      <c r="L43" s="37" t="n">
        <f aca="false">L37*Referral_Fee</f>
        <v>297754</v>
      </c>
      <c r="M43" s="37" t="n">
        <f aca="false">M37*Referral_Fee</f>
        <v>315619.24</v>
      </c>
      <c r="N43" s="37" t="n">
        <f aca="false">N37*Referral_Fee</f>
        <v>334556.3944</v>
      </c>
      <c r="O43" s="37" t="n">
        <f aca="false">O37*Referral_Fee</f>
        <v>354629.778064</v>
      </c>
      <c r="P43" s="37" t="n">
        <f aca="false">P37*Referral_Fee</f>
        <v>375907.56474784</v>
      </c>
      <c r="Q43" s="37" t="n">
        <f aca="false">Q37*Referral_Fee</f>
        <v>398462.018632711</v>
      </c>
      <c r="R43" s="37" t="n">
        <f aca="false">R37*Referral_Fee</f>
        <v>422369.739750673</v>
      </c>
      <c r="S43" s="37" t="n">
        <f aca="false">S37*Referral_Fee</f>
        <v>447711.924135714</v>
      </c>
      <c r="T43" s="37" t="n">
        <f aca="false">T37*Referral_Fee</f>
        <v>474574.639583857</v>
      </c>
      <c r="U43" s="37" t="n">
        <f aca="false">U37*Referral_Fee</f>
        <v>503049.117958888</v>
      </c>
      <c r="V43" s="37" t="n">
        <f aca="false">V37*Referral_Fee</f>
        <v>533232.065036421</v>
      </c>
      <c r="W43" s="37" t="n">
        <f aca="false">W37*Referral_Fee</f>
        <v>715225.988938607</v>
      </c>
      <c r="X43" s="37" t="n">
        <f aca="false">X37*Referral_Fee</f>
        <v>758139.548274923</v>
      </c>
      <c r="Y43" s="37" t="n">
        <f aca="false">Y37*Referral_Fee</f>
        <v>803627.921171418</v>
      </c>
      <c r="Z43" s="37" t="n">
        <f aca="false">Z37*Referral_Fee</f>
        <v>851845.596441703</v>
      </c>
      <c r="AA43" s="37" t="n">
        <f aca="false">AA37*Referral_Fee</f>
        <v>902956.332228206</v>
      </c>
      <c r="AB43" s="37" t="n">
        <f aca="false">AB37*Referral_Fee</f>
        <v>957133.712161898</v>
      </c>
      <c r="AC43" s="37" t="n">
        <f aca="false">AC37*Referral_Fee</f>
        <v>1014561.73489161</v>
      </c>
      <c r="AD43" s="37" t="n">
        <f aca="false">AD37*Referral_Fee</f>
        <v>1075435.43898511</v>
      </c>
      <c r="AE43" s="37" t="n">
        <f aca="false">AE37*Referral_Fee</f>
        <v>1139961.56532422</v>
      </c>
      <c r="AF43" s="37" t="n">
        <f aca="false">AF37*Referral_Fee</f>
        <v>1208359.25924367</v>
      </c>
      <c r="AG43" s="37" t="n">
        <f aca="false">AG37*Referral_Fee</f>
        <v>1280860.81479829</v>
      </c>
      <c r="AH43" s="37" t="n">
        <f aca="false">AH37*Referral_Fee</f>
        <v>1357712.46368619</v>
      </c>
      <c r="AI43" s="37" t="n">
        <f aca="false">AI37*Referral_Fee</f>
        <v>1439175.21150736</v>
      </c>
      <c r="AJ43" s="37" t="n">
        <f aca="false">AJ37*Referral_Fee</f>
        <v>1525525.7241978</v>
      </c>
      <c r="AK43" s="37" t="n">
        <f aca="false">AK37*Referral_Fee</f>
        <v>1617057.26764967</v>
      </c>
      <c r="AL43" s="37" t="n">
        <f aca="false">AL37*Referral_Fee</f>
        <v>1714080.70370865</v>
      </c>
      <c r="AM43" s="37" t="n">
        <f aca="false">AM37*Referral_Fee</f>
        <v>1816925.54593117</v>
      </c>
      <c r="AN43" s="37" t="n">
        <f aca="false">AN37*Referral_Fee</f>
        <v>1925941.07868704</v>
      </c>
      <c r="AO43" s="37" t="n">
        <f aca="false">AO37*Referral_Fee</f>
        <v>2041497.54340826</v>
      </c>
      <c r="AP43" s="37" t="n">
        <f aca="false">AP37*Referral_Fee</f>
        <v>2163987.39601275</v>
      </c>
      <c r="AQ43" s="37" t="n">
        <f aca="false">AQ37*Referral_Fee</f>
        <v>2293826.63977352</v>
      </c>
      <c r="AR43" s="37" t="n">
        <f aca="false">AR37*Referral_Fee</f>
        <v>2431456.23815993</v>
      </c>
      <c r="AS43" s="37" t="n">
        <f aca="false">AS37*Referral_Fee</f>
        <v>2540530.61248675</v>
      </c>
      <c r="AT43" s="37" t="n">
        <f aca="false">AT37*Referral_Fee</f>
        <v>2572962.44923596</v>
      </c>
      <c r="AU43" s="37" t="n">
        <f aca="false">AU37*Referral_Fee</f>
        <v>2607340.19619012</v>
      </c>
      <c r="AV43" s="37" t="n">
        <f aca="false">AV37*Referral_Fee</f>
        <v>2643780.60796152</v>
      </c>
      <c r="AW43" s="37" t="n">
        <f aca="false">AW37*Referral_Fee</f>
        <v>2682407.44443921</v>
      </c>
      <c r="AX43" s="37" t="n">
        <f aca="false">AX37*Referral_Fee</f>
        <v>2723351.89110557</v>
      </c>
      <c r="AY43" s="37" t="n">
        <f aca="false">AY37*Referral_Fee</f>
        <v>2766753.0045719</v>
      </c>
      <c r="AZ43" s="37" t="n">
        <f aca="false">AZ37*Referral_Fee</f>
        <v>2812758.18484622</v>
      </c>
      <c r="BA43" s="37" t="n">
        <f aca="false">BA37*Referral_Fee</f>
        <v>2861523.67593699</v>
      </c>
      <c r="BB43" s="37" t="n">
        <f aca="false">BB37*Referral_Fee</f>
        <v>2913215.09649321</v>
      </c>
      <c r="BC43" s="37" t="n">
        <f aca="false">BC37*Referral_Fee</f>
        <v>2968008.0022828</v>
      </c>
      <c r="BD43" s="37" t="n">
        <f aca="false">BD37*Referral_Fee</f>
        <v>3026088.48241977</v>
      </c>
      <c r="BE43" s="37" t="n">
        <f aca="false">BE37*Referral_Fee</f>
        <v>3087653.79136496</v>
      </c>
      <c r="BF43" s="37" t="n">
        <f aca="false">BF37*Referral_Fee</f>
        <v>3152913.01884685</v>
      </c>
      <c r="BG43" s="37" t="n">
        <f aca="false">BG37*Referral_Fee</f>
        <v>3222087.79997766</v>
      </c>
      <c r="BH43" s="37" t="n">
        <f aca="false">BH37*Referral_Fee</f>
        <v>3295413.06797632</v>
      </c>
      <c r="BI43" s="37" t="n">
        <f aca="false">BI37*Referral_Fee</f>
        <v>3373137.8520549</v>
      </c>
      <c r="BJ43" s="37" t="n">
        <f aca="false">BJ37*Referral_Fee</f>
        <v>3455526.1231782</v>
      </c>
      <c r="BK43" s="37" t="n">
        <f aca="false">BK37*Referral_Fee</f>
        <v>3500000</v>
      </c>
      <c r="BL43" s="37" t="n">
        <f aca="false">BL37*Referral_Fee</f>
        <v>3500000</v>
      </c>
    </row>
    <row r="44" customFormat="false" ht="15" hidden="false" customHeight="false" outlineLevel="0" collapsed="false">
      <c r="A44" s="12" t="s">
        <v>743</v>
      </c>
      <c r="B44" s="14" t="s">
        <v>71</v>
      </c>
      <c r="D44" s="55" t="n">
        <f aca="false">SUM(E44:BL44)</f>
        <v>49575000</v>
      </c>
      <c r="E44" s="37" t="n">
        <f aca="false">(E13+E14)*Rep_Transport</f>
        <v>75000</v>
      </c>
      <c r="F44" s="37" t="n">
        <f aca="false">(F13+F14)*Rep_Transport</f>
        <v>75000</v>
      </c>
      <c r="G44" s="37" t="n">
        <f aca="false">(G13+G14)*Rep_Transport</f>
        <v>75000</v>
      </c>
      <c r="H44" s="37" t="n">
        <f aca="false">(H13+H14)*Rep_Transport</f>
        <v>225000</v>
      </c>
      <c r="I44" s="37" t="n">
        <f aca="false">(I13+I14)*Rep_Transport</f>
        <v>225000</v>
      </c>
      <c r="J44" s="37" t="n">
        <f aca="false">(J13+J14)*Rep_Transport</f>
        <v>225000</v>
      </c>
      <c r="K44" s="37" t="n">
        <f aca="false">(K13+K14)*Rep_Transport</f>
        <v>225000</v>
      </c>
      <c r="L44" s="37" t="n">
        <f aca="false">(L13+L14)*Rep_Transport</f>
        <v>225000</v>
      </c>
      <c r="M44" s="37" t="n">
        <f aca="false">(M13+M14)*Rep_Transport</f>
        <v>225000</v>
      </c>
      <c r="N44" s="37" t="n">
        <f aca="false">(N13+N14)*Rep_Transport</f>
        <v>225000</v>
      </c>
      <c r="O44" s="37" t="n">
        <f aca="false">(O13+O14)*Rep_Transport</f>
        <v>225000</v>
      </c>
      <c r="P44" s="37" t="n">
        <f aca="false">(P13+P14)*Rep_Transport</f>
        <v>225000</v>
      </c>
      <c r="Q44" s="37" t="n">
        <f aca="false">(Q13+Q14)*Rep_Transport</f>
        <v>225000</v>
      </c>
      <c r="R44" s="37" t="n">
        <f aca="false">(R13+R14)*Rep_Transport</f>
        <v>225000</v>
      </c>
      <c r="S44" s="37" t="n">
        <f aca="false">(S13+S14)*Rep_Transport</f>
        <v>225000</v>
      </c>
      <c r="T44" s="37" t="n">
        <f aca="false">(T13+T14)*Rep_Transport</f>
        <v>225000</v>
      </c>
      <c r="U44" s="37" t="n">
        <f aca="false">(U13+U14)*Rep_Transport</f>
        <v>225000</v>
      </c>
      <c r="V44" s="37" t="n">
        <f aca="false">(V13+V14)*Rep_Transport</f>
        <v>450000</v>
      </c>
      <c r="W44" s="37" t="n">
        <f aca="false">(W13+W14)*Rep_Transport</f>
        <v>450000</v>
      </c>
      <c r="X44" s="37" t="n">
        <f aca="false">(X13+X14)*Rep_Transport</f>
        <v>450000</v>
      </c>
      <c r="Y44" s="37" t="n">
        <f aca="false">(Y13+Y14)*Rep_Transport</f>
        <v>450000</v>
      </c>
      <c r="Z44" s="37" t="n">
        <f aca="false">(Z13+Z14)*Rep_Transport</f>
        <v>450000</v>
      </c>
      <c r="AA44" s="37" t="n">
        <f aca="false">(AA13+AA14)*Rep_Transport</f>
        <v>525000</v>
      </c>
      <c r="AB44" s="37" t="n">
        <f aca="false">(AB13+AB14)*Rep_Transport</f>
        <v>525000</v>
      </c>
      <c r="AC44" s="37" t="n">
        <f aca="false">(AC13+AC14)*Rep_Transport</f>
        <v>525000</v>
      </c>
      <c r="AD44" s="37" t="n">
        <f aca="false">(AD13+AD14)*Rep_Transport</f>
        <v>525000</v>
      </c>
      <c r="AE44" s="37" t="n">
        <f aca="false">(AE13+AE14)*Rep_Transport</f>
        <v>600000</v>
      </c>
      <c r="AF44" s="37" t="n">
        <f aca="false">(AF13+AF14)*Rep_Transport</f>
        <v>600000</v>
      </c>
      <c r="AG44" s="37" t="n">
        <f aca="false">(AG13+AG14)*Rep_Transport</f>
        <v>600000</v>
      </c>
      <c r="AH44" s="37" t="n">
        <f aca="false">(AH13+AH14)*Rep_Transport</f>
        <v>600000</v>
      </c>
      <c r="AI44" s="37" t="n">
        <f aca="false">(AI13+AI14)*Rep_Transport</f>
        <v>675000</v>
      </c>
      <c r="AJ44" s="37" t="n">
        <f aca="false">(AJ13+AJ14)*Rep_Transport</f>
        <v>675000</v>
      </c>
      <c r="AK44" s="37" t="n">
        <f aca="false">(AK13+AK14)*Rep_Transport</f>
        <v>675000</v>
      </c>
      <c r="AL44" s="37" t="n">
        <f aca="false">(AL13+AL14)*Rep_Transport</f>
        <v>750000</v>
      </c>
      <c r="AM44" s="37" t="n">
        <f aca="false">(AM13+AM14)*Rep_Transport</f>
        <v>825000</v>
      </c>
      <c r="AN44" s="37" t="n">
        <f aca="false">(AN13+AN14)*Rep_Transport</f>
        <v>825000</v>
      </c>
      <c r="AO44" s="37" t="n">
        <f aca="false">(AO13+AO14)*Rep_Transport</f>
        <v>900000</v>
      </c>
      <c r="AP44" s="37" t="n">
        <f aca="false">(AP13+AP14)*Rep_Transport</f>
        <v>900000</v>
      </c>
      <c r="AQ44" s="37" t="n">
        <f aca="false">(AQ13+AQ14)*Rep_Transport</f>
        <v>975000</v>
      </c>
      <c r="AR44" s="37" t="n">
        <f aca="false">(AR13+AR14)*Rep_Transport</f>
        <v>975000</v>
      </c>
      <c r="AS44" s="37" t="n">
        <f aca="false">(AS13+AS14)*Rep_Transport</f>
        <v>1125000</v>
      </c>
      <c r="AT44" s="37" t="n">
        <f aca="false">(AT13+AT14)*Rep_Transport</f>
        <v>1125000</v>
      </c>
      <c r="AU44" s="37" t="n">
        <f aca="false">(AU13+AU14)*Rep_Transport</f>
        <v>1125000</v>
      </c>
      <c r="AV44" s="37" t="n">
        <f aca="false">(AV13+AV14)*Rep_Transport</f>
        <v>1200000</v>
      </c>
      <c r="AW44" s="37" t="n">
        <f aca="false">(AW13+AW14)*Rep_Transport</f>
        <v>1200000</v>
      </c>
      <c r="AX44" s="37" t="n">
        <f aca="false">(AX13+AX14)*Rep_Transport</f>
        <v>1350000</v>
      </c>
      <c r="AY44" s="37" t="n">
        <f aca="false">(AY13+AY14)*Rep_Transport</f>
        <v>1350000</v>
      </c>
      <c r="AZ44" s="37" t="n">
        <f aca="false">(AZ13+AZ14)*Rep_Transport</f>
        <v>1425000</v>
      </c>
      <c r="BA44" s="37" t="n">
        <f aca="false">(BA13+BA14)*Rep_Transport</f>
        <v>1425000</v>
      </c>
      <c r="BB44" s="37" t="n">
        <f aca="false">(BB13+BB14)*Rep_Transport</f>
        <v>1500000</v>
      </c>
      <c r="BC44" s="37" t="n">
        <f aca="false">(BC13+BC14)*Rep_Transport</f>
        <v>1575000</v>
      </c>
      <c r="BD44" s="37" t="n">
        <f aca="false">(BD13+BD14)*Rep_Transport</f>
        <v>1650000</v>
      </c>
      <c r="BE44" s="37" t="n">
        <f aca="false">(BE13+BE14)*Rep_Transport</f>
        <v>1650000</v>
      </c>
      <c r="BF44" s="37" t="n">
        <f aca="false">(BF13+BF14)*Rep_Transport</f>
        <v>1800000</v>
      </c>
      <c r="BG44" s="37" t="n">
        <f aca="false">(BG13+BG14)*Rep_Transport</f>
        <v>1800000</v>
      </c>
      <c r="BH44" s="37" t="n">
        <f aca="false">(BH13+BH14)*Rep_Transport</f>
        <v>1875000</v>
      </c>
      <c r="BI44" s="37" t="n">
        <f aca="false">(BI13+BI14)*Rep_Transport</f>
        <v>1875000</v>
      </c>
      <c r="BJ44" s="37" t="n">
        <f aca="false">(BJ13+BJ14)*Rep_Transport</f>
        <v>2025000</v>
      </c>
      <c r="BK44" s="37" t="n">
        <f aca="false">(BK13+BK14)*Rep_Transport</f>
        <v>2100000</v>
      </c>
      <c r="BL44" s="37" t="n">
        <f aca="false">(BL13+BL14)*Rep_Transport</f>
        <v>2100000</v>
      </c>
    </row>
    <row r="45" customFormat="false" ht="15" hidden="false" customHeight="false" outlineLevel="0" collapsed="false">
      <c r="A45" s="8" t="s">
        <v>744</v>
      </c>
      <c r="B45" s="14" t="s">
        <v>71</v>
      </c>
      <c r="D45" s="55" t="n">
        <f aca="false">SUM(E45:BL45)</f>
        <v>657859511.508861</v>
      </c>
      <c r="E45" s="16" t="n">
        <f aca="false">SUM(E40:E44)</f>
        <v>2261666.66666667</v>
      </c>
      <c r="F45" s="16" t="n">
        <f aca="false">SUM(F40:F44)</f>
        <v>2261666.66666667</v>
      </c>
      <c r="G45" s="16" t="n">
        <f aca="false">SUM(G40:G44)</f>
        <v>2261666.66666667</v>
      </c>
      <c r="H45" s="16" t="n">
        <f aca="false">SUM(H40:H44)</f>
        <v>2411666.66666667</v>
      </c>
      <c r="I45" s="16" t="n">
        <f aca="false">SUM(I40:I44)</f>
        <v>3971666.66666667</v>
      </c>
      <c r="J45" s="16" t="n">
        <f aca="false">SUM(J40:J44)</f>
        <v>3986666.66666667</v>
      </c>
      <c r="K45" s="16" t="n">
        <f aca="false">SUM(K40:K44)</f>
        <v>4002566.66666667</v>
      </c>
      <c r="L45" s="16" t="n">
        <f aca="false">SUM(L40:L44)</f>
        <v>4019420.66666667</v>
      </c>
      <c r="M45" s="16" t="n">
        <f aca="false">SUM(M40:M44)</f>
        <v>4037285.90666667</v>
      </c>
      <c r="N45" s="16" t="n">
        <f aca="false">SUM(N40:N44)</f>
        <v>4056223.06106667</v>
      </c>
      <c r="O45" s="16" t="n">
        <f aca="false">SUM(O40:O44)</f>
        <v>4076296.44473067</v>
      </c>
      <c r="P45" s="16" t="n">
        <f aca="false">SUM(P40:P44)</f>
        <v>4097574.23141451</v>
      </c>
      <c r="Q45" s="16" t="n">
        <f aca="false">SUM(Q40:Q44)</f>
        <v>5322628.68529938</v>
      </c>
      <c r="R45" s="16" t="n">
        <f aca="false">SUM(R40:R44)</f>
        <v>5346536.40641734</v>
      </c>
      <c r="S45" s="16" t="n">
        <f aca="false">SUM(S40:S44)</f>
        <v>5371878.59080238</v>
      </c>
      <c r="T45" s="16" t="n">
        <f aca="false">SUM(T40:T44)</f>
        <v>5398741.30625052</v>
      </c>
      <c r="U45" s="16" t="n">
        <f aca="false">SUM(U40:U44)</f>
        <v>5427215.78462555</v>
      </c>
      <c r="V45" s="16" t="n">
        <f aca="false">SUM(V40:V44)</f>
        <v>5682398.73170309</v>
      </c>
      <c r="W45" s="16" t="n">
        <f aca="false">SUM(W40:W44)</f>
        <v>7174392.65560527</v>
      </c>
      <c r="X45" s="16" t="n">
        <f aca="false">SUM(X40:X44)</f>
        <v>7217306.21494159</v>
      </c>
      <c r="Y45" s="16" t="n">
        <f aca="false">SUM(Y40:Y44)</f>
        <v>7262794.58783809</v>
      </c>
      <c r="Z45" s="16" t="n">
        <f aca="false">SUM(Z40:Z44)</f>
        <v>7311012.26310837</v>
      </c>
      <c r="AA45" s="16" t="n">
        <f aca="false">SUM(AA40:AA44)</f>
        <v>7437122.99889487</v>
      </c>
      <c r="AB45" s="16" t="n">
        <f aca="false">SUM(AB40:AB44)</f>
        <v>7491300.37882857</v>
      </c>
      <c r="AC45" s="16" t="n">
        <f aca="false">SUM(AC40:AC44)</f>
        <v>11104561.7348916</v>
      </c>
      <c r="AD45" s="16" t="n">
        <f aca="false">SUM(AD40:AD44)</f>
        <v>11165435.4389851</v>
      </c>
      <c r="AE45" s="16" t="n">
        <f aca="false">SUM(AE40:AE44)</f>
        <v>11304961.5653242</v>
      </c>
      <c r="AF45" s="16" t="n">
        <f aca="false">SUM(AF40:AF44)</f>
        <v>11373359.2592437</v>
      </c>
      <c r="AG45" s="16" t="n">
        <f aca="false">SUM(AG40:AG44)</f>
        <v>11445860.8147983</v>
      </c>
      <c r="AH45" s="16" t="n">
        <f aca="false">SUM(AH40:AH44)</f>
        <v>11522712.4636862</v>
      </c>
      <c r="AI45" s="16" t="n">
        <f aca="false">SUM(AI40:AI44)</f>
        <v>11679175.2115074</v>
      </c>
      <c r="AJ45" s="16" t="n">
        <f aca="false">SUM(AJ40:AJ44)</f>
        <v>11765525.7241978</v>
      </c>
      <c r="AK45" s="16" t="n">
        <f aca="false">SUM(AK40:AK44)</f>
        <v>11857057.2676497</v>
      </c>
      <c r="AL45" s="16" t="n">
        <f aca="false">SUM(AL40:AL44)</f>
        <v>12029080.7037086</v>
      </c>
      <c r="AM45" s="16" t="n">
        <f aca="false">SUM(AM40:AM44)</f>
        <v>12206925.5459312</v>
      </c>
      <c r="AN45" s="16" t="n">
        <f aca="false">SUM(AN40:AN44)</f>
        <v>12315941.078687</v>
      </c>
      <c r="AO45" s="16" t="n">
        <f aca="false">SUM(AO40:AO44)</f>
        <v>14366497.5434083</v>
      </c>
      <c r="AP45" s="16" t="n">
        <f aca="false">SUM(AP40:AP44)</f>
        <v>14488987.3960128</v>
      </c>
      <c r="AQ45" s="16" t="n">
        <f aca="false">SUM(AQ40:AQ44)</f>
        <v>14693826.6397735</v>
      </c>
      <c r="AR45" s="16" t="n">
        <f aca="false">SUM(AR40:AR44)</f>
        <v>14831456.2381599</v>
      </c>
      <c r="AS45" s="16" t="n">
        <f aca="false">SUM(AS40:AS44)</f>
        <v>15090530.6124868</v>
      </c>
      <c r="AT45" s="16" t="n">
        <f aca="false">SUM(AT40:AT44)</f>
        <v>15122962.449236</v>
      </c>
      <c r="AU45" s="16" t="n">
        <f aca="false">SUM(AU40:AU44)</f>
        <v>15157340.1961901</v>
      </c>
      <c r="AV45" s="16" t="n">
        <f aca="false">SUM(AV40:AV44)</f>
        <v>15268780.6079615</v>
      </c>
      <c r="AW45" s="16" t="n">
        <f aca="false">SUM(AW40:AW44)</f>
        <v>15307407.4444392</v>
      </c>
      <c r="AX45" s="16" t="n">
        <f aca="false">SUM(AX40:AX44)</f>
        <v>15498351.8911056</v>
      </c>
      <c r="AY45" s="16" t="n">
        <f aca="false">SUM(AY40:AY44)</f>
        <v>15541753.0045719</v>
      </c>
      <c r="AZ45" s="16" t="n">
        <f aca="false">SUM(AZ40:AZ44)</f>
        <v>15662758.1848462</v>
      </c>
      <c r="BA45" s="16" t="n">
        <f aca="false">SUM(BA40:BA44)</f>
        <v>17573190.3426037</v>
      </c>
      <c r="BB45" s="16" t="n">
        <f aca="false">SUM(BB40:BB44)</f>
        <v>17699881.7631599</v>
      </c>
      <c r="BC45" s="16" t="n">
        <f aca="false">SUM(BC40:BC44)</f>
        <v>17829674.6689495</v>
      </c>
      <c r="BD45" s="16" t="n">
        <f aca="false">SUM(BD40:BD44)</f>
        <v>17962755.1490864</v>
      </c>
      <c r="BE45" s="16" t="n">
        <f aca="false">SUM(BE40:BE44)</f>
        <v>18024320.4580316</v>
      </c>
      <c r="BF45" s="16" t="n">
        <f aca="false">SUM(BF40:BF44)</f>
        <v>18239579.6855135</v>
      </c>
      <c r="BG45" s="16" t="n">
        <f aca="false">SUM(BG40:BG44)</f>
        <v>18308754.4666443</v>
      </c>
      <c r="BH45" s="16" t="n">
        <f aca="false">SUM(BH40:BH44)</f>
        <v>18457079.734643</v>
      </c>
      <c r="BI45" s="16" t="n">
        <f aca="false">SUM(BI40:BI44)</f>
        <v>18534804.5187216</v>
      </c>
      <c r="BJ45" s="16" t="n">
        <f aca="false">SUM(BJ40:BJ44)</f>
        <v>18767192.7898449</v>
      </c>
      <c r="BK45" s="16" t="n">
        <f aca="false">SUM(BK40:BK44)</f>
        <v>18886666.6666667</v>
      </c>
      <c r="BL45" s="16" t="n">
        <f aca="false">SUM(BL40:BL44)</f>
        <v>18886666.6666667</v>
      </c>
    </row>
    <row r="47" customFormat="false" ht="15" hidden="false" customHeight="false" outlineLevel="0" collapsed="false">
      <c r="A47" s="10" t="s">
        <v>745</v>
      </c>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1"/>
      <c r="BF47" s="11"/>
      <c r="BG47" s="11"/>
      <c r="BH47" s="11"/>
      <c r="BI47" s="11"/>
      <c r="BJ47" s="11"/>
      <c r="BK47" s="11"/>
      <c r="BL47" s="11"/>
    </row>
    <row r="48" customFormat="false" ht="15" hidden="false" customHeight="false" outlineLevel="0" collapsed="false">
      <c r="A48" s="12" t="s">
        <v>746</v>
      </c>
      <c r="B48" s="14" t="s">
        <v>71</v>
      </c>
      <c r="D48" s="55" t="n">
        <f aca="false">SUM(E48:BL48)</f>
        <v>585811737.875</v>
      </c>
      <c r="E48" s="23" t="n">
        <f aca="false">Staff!E95+Staff!E96</f>
        <v>1560000</v>
      </c>
      <c r="F48" s="23" t="n">
        <f aca="false">Staff!F95+Staff!F96</f>
        <v>1560000</v>
      </c>
      <c r="G48" s="23" t="n">
        <f aca="false">Staff!G95+Staff!G96</f>
        <v>1560000</v>
      </c>
      <c r="H48" s="23" t="n">
        <f aca="false">Staff!H95+Staff!H96</f>
        <v>3770000</v>
      </c>
      <c r="I48" s="23" t="n">
        <f aca="false">Staff!I95+Staff!I96</f>
        <v>4290000</v>
      </c>
      <c r="J48" s="23" t="n">
        <f aca="false">Staff!J95+Staff!J96</f>
        <v>4290000</v>
      </c>
      <c r="K48" s="23" t="n">
        <f aca="false">Staff!K95+Staff!K96</f>
        <v>4290000</v>
      </c>
      <c r="L48" s="23" t="n">
        <f aca="false">Staff!L95+Staff!L96</f>
        <v>4290000</v>
      </c>
      <c r="M48" s="23" t="n">
        <f aca="false">Staff!M95+Staff!M96</f>
        <v>4290000</v>
      </c>
      <c r="N48" s="23" t="n">
        <f aca="false">Staff!N95+Staff!N96</f>
        <v>4290000</v>
      </c>
      <c r="O48" s="23" t="n">
        <f aca="false">Staff!O95+Staff!O96</f>
        <v>4290000</v>
      </c>
      <c r="P48" s="23" t="n">
        <f aca="false">Staff!P95+Staff!P96</f>
        <v>4290000</v>
      </c>
      <c r="Q48" s="23" t="n">
        <f aca="false">Staff!Q95+Staff!Q96</f>
        <v>4504500</v>
      </c>
      <c r="R48" s="23" t="n">
        <f aca="false">Staff!R95+Staff!R96</f>
        <v>4504500</v>
      </c>
      <c r="S48" s="23" t="n">
        <f aca="false">Staff!S95+Staff!S96</f>
        <v>4504500</v>
      </c>
      <c r="T48" s="23" t="n">
        <f aca="false">Staff!T95+Staff!T96</f>
        <v>4504500</v>
      </c>
      <c r="U48" s="23" t="n">
        <f aca="false">Staff!U95+Staff!U96</f>
        <v>4504500</v>
      </c>
      <c r="V48" s="23" t="n">
        <f aca="false">Staff!V95+Staff!V96</f>
        <v>6279000</v>
      </c>
      <c r="W48" s="23" t="n">
        <f aca="false">Staff!W95+Staff!W96</f>
        <v>6279000</v>
      </c>
      <c r="X48" s="23" t="n">
        <f aca="false">Staff!X95+Staff!X96</f>
        <v>6279000</v>
      </c>
      <c r="Y48" s="23" t="n">
        <f aca="false">Staff!Y95+Staff!Y96</f>
        <v>6279000</v>
      </c>
      <c r="Z48" s="23" t="n">
        <f aca="false">Staff!Z95+Staff!Z96</f>
        <v>6279000</v>
      </c>
      <c r="AA48" s="23" t="n">
        <f aca="false">Staff!AA95+Staff!AA96</f>
        <v>6825000</v>
      </c>
      <c r="AB48" s="23" t="n">
        <f aca="false">Staff!AB95+Staff!AB96</f>
        <v>6825000</v>
      </c>
      <c r="AC48" s="23" t="n">
        <f aca="false">Staff!AC95+Staff!AC96</f>
        <v>7166250</v>
      </c>
      <c r="AD48" s="23" t="n">
        <f aca="false">Staff!AD95+Staff!AD96</f>
        <v>7166250</v>
      </c>
      <c r="AE48" s="23" t="n">
        <f aca="false">Staff!AE95+Staff!AE96</f>
        <v>7739550</v>
      </c>
      <c r="AF48" s="23" t="n">
        <f aca="false">Staff!AF95+Staff!AF96</f>
        <v>7739550</v>
      </c>
      <c r="AG48" s="23" t="n">
        <f aca="false">Staff!AG95+Staff!AG96</f>
        <v>7739550</v>
      </c>
      <c r="AH48" s="23" t="n">
        <f aca="false">Staff!AH95+Staff!AH96</f>
        <v>7739550</v>
      </c>
      <c r="AI48" s="23" t="n">
        <f aca="false">Staff!AI95+Staff!AI96</f>
        <v>8312850</v>
      </c>
      <c r="AJ48" s="23" t="n">
        <f aca="false">Staff!AJ95+Staff!AJ96</f>
        <v>8312850</v>
      </c>
      <c r="AK48" s="23" t="n">
        <f aca="false">Staff!AK95+Staff!AK96</f>
        <v>8312850</v>
      </c>
      <c r="AL48" s="23" t="n">
        <f aca="false">Staff!AL95+Staff!AL96</f>
        <v>8886150</v>
      </c>
      <c r="AM48" s="23" t="n">
        <f aca="false">Staff!AM95+Staff!AM96</f>
        <v>9531112.5</v>
      </c>
      <c r="AN48" s="23" t="n">
        <f aca="false">Staff!AN95+Staff!AN96</f>
        <v>9531112.5</v>
      </c>
      <c r="AO48" s="23" t="n">
        <f aca="false">Staff!AO95+Staff!AO96</f>
        <v>10609633.125</v>
      </c>
      <c r="AP48" s="23" t="n">
        <f aca="false">Staff!AP95+Staff!AP96</f>
        <v>10609633.125</v>
      </c>
      <c r="AQ48" s="23" t="n">
        <f aca="false">Staff!AQ95+Staff!AQ96</f>
        <v>11211598.125</v>
      </c>
      <c r="AR48" s="23" t="n">
        <f aca="false">Staff!AR95+Staff!AR96</f>
        <v>11211598.125</v>
      </c>
      <c r="AS48" s="23" t="n">
        <f aca="false">Staff!AS95+Staff!AS96</f>
        <v>12490773.75</v>
      </c>
      <c r="AT48" s="23" t="n">
        <f aca="false">Staff!AT95+Staff!AT96</f>
        <v>12490773.75</v>
      </c>
      <c r="AU48" s="23" t="n">
        <f aca="false">Staff!AU95+Staff!AU96</f>
        <v>12490773.75</v>
      </c>
      <c r="AV48" s="23" t="n">
        <f aca="false">Staff!AV95+Staff!AV96</f>
        <v>13092738.75</v>
      </c>
      <c r="AW48" s="23" t="n">
        <f aca="false">Staff!AW95+Staff!AW96</f>
        <v>13092738.75</v>
      </c>
      <c r="AX48" s="23" t="n">
        <f aca="false">Staff!AX95+Staff!AX96</f>
        <v>14371914.375</v>
      </c>
      <c r="AY48" s="23" t="n">
        <f aca="false">Staff!AY95+Staff!AY96</f>
        <v>14371914.375</v>
      </c>
      <c r="AZ48" s="23" t="n">
        <f aca="false">Staff!AZ95+Staff!AZ96</f>
        <v>14973879.375</v>
      </c>
      <c r="BA48" s="23" t="n">
        <f aca="false">Staff!BA95+Staff!BA96</f>
        <v>15722573.34375</v>
      </c>
      <c r="BB48" s="23" t="n">
        <f aca="false">Staff!BB95+Staff!BB96</f>
        <v>16354636.59375</v>
      </c>
      <c r="BC48" s="23" t="n">
        <f aca="false">Staff!BC95+Staff!BC96</f>
        <v>17065707.75</v>
      </c>
      <c r="BD48" s="23" t="n">
        <f aca="false">Staff!BD95+Staff!BD96</f>
        <v>17697771</v>
      </c>
      <c r="BE48" s="23" t="n">
        <f aca="false">Staff!BE95+Staff!BE96</f>
        <v>17697771</v>
      </c>
      <c r="BF48" s="23" t="n">
        <f aca="false">Staff!BF95+Staff!BF96</f>
        <v>19040905.40625</v>
      </c>
      <c r="BG48" s="23" t="n">
        <f aca="false">Staff!BG95+Staff!BG96</f>
        <v>19040905.40625</v>
      </c>
      <c r="BH48" s="23" t="n">
        <f aca="false">Staff!BH95+Staff!BH96</f>
        <v>19672968.65625</v>
      </c>
      <c r="BI48" s="23" t="n">
        <f aca="false">Staff!BI95+Staff!BI96</f>
        <v>19672968.65625</v>
      </c>
      <c r="BJ48" s="23" t="n">
        <f aca="false">Staff!BJ95+Staff!BJ96</f>
        <v>21016103.0625</v>
      </c>
      <c r="BK48" s="23" t="n">
        <f aca="false">Staff!BK95+Staff!BK96</f>
        <v>21648166.3125</v>
      </c>
      <c r="BL48" s="23" t="n">
        <f aca="false">Staff!BL95+Staff!BL96</f>
        <v>21648166.3125</v>
      </c>
    </row>
    <row r="49" customFormat="false" ht="15" hidden="false" customHeight="false" outlineLevel="0" collapsed="false">
      <c r="A49" s="12" t="s">
        <v>747</v>
      </c>
      <c r="B49" s="14" t="s">
        <v>71</v>
      </c>
      <c r="E49" s="37" t="n">
        <f aca="false">IFERROR((E45+E48)/E33,0)</f>
        <v>0</v>
      </c>
      <c r="F49" s="37" t="n">
        <f aca="false">IFERROR((F45+F48)/F33,0)</f>
        <v>0</v>
      </c>
      <c r="G49" s="37" t="n">
        <f aca="false">IFERROR((G45+G48)/G33,0)</f>
        <v>0</v>
      </c>
      <c r="H49" s="37" t="n">
        <f aca="false">IFERROR((H45+H48)/H33,0)</f>
        <v>0</v>
      </c>
      <c r="I49" s="37" t="n">
        <f aca="false">IFERROR((I45+I48)/I33,0)</f>
        <v>143764.501160093</v>
      </c>
      <c r="J49" s="37" t="n">
        <f aca="false">IFERROR((J45+J48)/J33,0)</f>
        <v>142537.313432836</v>
      </c>
      <c r="K49" s="37" t="n">
        <f aca="false">IFERROR((K45+K48)/K33,0)</f>
        <v>141263.883526018</v>
      </c>
      <c r="L49" s="37" t="n">
        <f aca="false">IFERROR((L45+L48)/L33,0)</f>
        <v>139943.832184138</v>
      </c>
      <c r="M49" s="37" t="n">
        <f aca="false">IFERROR((M45+M48)/M33,0)</f>
        <v>138576.915847257</v>
      </c>
      <c r="N49" s="37" t="n">
        <f aca="false">IFERROR((N45+N48)/N33,0)</f>
        <v>137163.037996781</v>
      </c>
      <c r="O49" s="37" t="n">
        <f aca="false">IFERROR((O45+O48)/O33,0)</f>
        <v>135702.260154643</v>
      </c>
      <c r="P49" s="37" t="n">
        <f aca="false">IFERROR((P45+P48)/P33,0)</f>
        <v>134194.812361358</v>
      </c>
      <c r="Q49" s="37" t="n">
        <f aca="false">IFERROR((Q45+Q48)/Q33,0)</f>
        <v>121514.878790072</v>
      </c>
      <c r="R49" s="37" t="n">
        <f aca="false">IFERROR((R45+R48)/R33,0)</f>
        <v>120386.928778065</v>
      </c>
      <c r="S49" s="37" t="n">
        <f aca="false">IFERROR((S45+S48)/S33,0)</f>
        <v>119219.734035073</v>
      </c>
      <c r="T49" s="37" t="n">
        <f aca="false">IFERROR((T45+T48)/T33,0)</f>
        <v>118013.295078905</v>
      </c>
      <c r="U49" s="37" t="n">
        <f aca="false">IFERROR((U45+U48)/U33,0)</f>
        <v>116767.750065257</v>
      </c>
      <c r="V49" s="37" t="n">
        <f aca="false">IFERROR((V45+V48)/V33,0)</f>
        <v>138662.601430326</v>
      </c>
      <c r="W49" s="37" t="n">
        <f aca="false">IFERROR((W45+W48)/W33,0)</f>
        <v>96780.7036033516</v>
      </c>
      <c r="X49" s="37" t="n">
        <f aca="false">IFERROR((X45+X48)/X33,0)</f>
        <v>95905.1370031594</v>
      </c>
      <c r="Y49" s="37" t="n">
        <f aca="false">IFERROR((Y45+Y48)/Y33,0)</f>
        <v>95000.0595417569</v>
      </c>
      <c r="Z49" s="37" t="n">
        <f aca="false">IFERROR((Z45+Z48)/Z33,0)</f>
        <v>94065.5677287043</v>
      </c>
      <c r="AA49" s="37" t="n">
        <f aca="false">IFERROR((AA45+AA48)/AA33,0)</f>
        <v>97340.2472301595</v>
      </c>
      <c r="AB49" s="37" t="n">
        <f aca="false">IFERROR((AB45+AB48)/AB33,0)</f>
        <v>90218.1613827359</v>
      </c>
      <c r="AC49" s="37" t="n">
        <f aca="false">IFERROR((AC45+AC48)/AC33,0)</f>
        <v>93195.0637572953</v>
      </c>
      <c r="AD49" s="37" t="n">
        <f aca="false">IFERROR((AD45+AD48)/AD33,0)</f>
        <v>92358.4654682213</v>
      </c>
      <c r="AE49" s="37" t="n">
        <f aca="false">IFERROR((AE45+AE48)/AE33,0)</f>
        <v>94718.1225981642</v>
      </c>
      <c r="AF49" s="37" t="n">
        <f aca="false">IFERROR((AF45+AF48)/AF33,0)</f>
        <v>89395.7743338189</v>
      </c>
      <c r="AG49" s="37" t="n">
        <f aca="false">IFERROR((AG45+AG48)/AG33,0)</f>
        <v>88533.9801248703</v>
      </c>
      <c r="AH49" s="37" t="n">
        <f aca="false">IFERROR((AH45+AH48)/AH33,0)</f>
        <v>87645.3099007801</v>
      </c>
      <c r="AI49" s="37" t="n">
        <f aca="false">IFERROR((AI45+AI48)/AI33,0)</f>
        <v>89636.8012593927</v>
      </c>
      <c r="AJ49" s="37" t="n">
        <f aca="false">IFERROR((AJ45+AJ48)/AJ33,0)</f>
        <v>84902.4118160589</v>
      </c>
      <c r="AK49" s="37" t="n">
        <f aca="false">IFERROR((AK45+AK48)/AK33,0)</f>
        <v>83989.1519343589</v>
      </c>
      <c r="AL49" s="37" t="n">
        <f aca="false">IFERROR((AL45+AL48)/AL33,0)</f>
        <v>85707.6577423577</v>
      </c>
      <c r="AM49" s="37" t="n">
        <f aca="false">IFERROR((AM45+AM48)/AM33,0)</f>
        <v>84209.0626810023</v>
      </c>
      <c r="AN49" s="37" t="n">
        <f aca="false">IFERROR((AN45+AN48)/AN33,0)</f>
        <v>80466.6916471489</v>
      </c>
      <c r="AO49" s="37" t="n">
        <f aca="false">IFERROR((AO45+AO48)/AO33,0)</f>
        <v>85070.5250837334</v>
      </c>
      <c r="AP49" s="37" t="n">
        <f aca="false">IFERROR((AP45+AP48)/AP33,0)</f>
        <v>81358.8458060043</v>
      </c>
      <c r="AQ49" s="37" t="n">
        <f aca="false">IFERROR((AQ45+AQ48)/AQ33,0)</f>
        <v>82583.831666311</v>
      </c>
      <c r="AR49" s="37" t="n">
        <f aca="false">IFERROR((AR45+AR48)/AR33,0)</f>
        <v>79112.1514618342</v>
      </c>
      <c r="AS49" s="37" t="n">
        <f aca="false">IFERROR((AS45+AS48)/AS33,0)</f>
        <v>82689.0345666093</v>
      </c>
      <c r="AT49" s="37" t="n">
        <f aca="false">IFERROR((AT45+AT48)/AT33,0)</f>
        <v>78037.5675818063</v>
      </c>
      <c r="AU49" s="37" t="n">
        <f aca="false">IFERROR((AU45+AU48)/AU33,0)</f>
        <v>77832.2552176787</v>
      </c>
      <c r="AV49" s="37" t="n">
        <f aca="false">IFERROR((AV45+AV48)/AV33,0)</f>
        <v>79514.2900064904</v>
      </c>
      <c r="AW49" s="37" t="n">
        <f aca="false">IFERROR((AW45+AW48)/AW33,0)</f>
        <v>77126.1837586497</v>
      </c>
      <c r="AX49" s="37" t="n">
        <f aca="false">IFERROR((AX45+AX48)/AX33,0)</f>
        <v>80759.3898274993</v>
      </c>
      <c r="AY49" s="37" t="n">
        <f aca="false">IFERROR((AY45+AY48)/AY33,0)</f>
        <v>76583.2127450213</v>
      </c>
      <c r="AZ49" s="37" t="n">
        <f aca="false">IFERROR((AZ45+AZ48)/AZ33,0)</f>
        <v>78066.3331472288</v>
      </c>
      <c r="BA49" s="37" t="n">
        <f aca="false">IFERROR((BA45+BA48)/BA33,0)</f>
        <v>78900.9833429405</v>
      </c>
      <c r="BB49" s="37" t="n">
        <f aca="false">IFERROR((BB45+BB48)/BB33,0)</f>
        <v>80305.5293816808</v>
      </c>
      <c r="BC49" s="37" t="n">
        <f aca="false">IFERROR((BC45+BC48)/BC33,0)</f>
        <v>79988.7454122536</v>
      </c>
      <c r="BD49" s="37" t="n">
        <f aca="false">IFERROR((BD45+BD48)/BD33,0)</f>
        <v>79674.6398881878</v>
      </c>
      <c r="BE49" s="37" t="n">
        <f aca="false">IFERROR((BE45+BE48)/BE33,0)</f>
        <v>77650.0553185532</v>
      </c>
      <c r="BF49" s="37" t="n">
        <f aca="false">IFERROR((BF45+BF48)/BF33,0)</f>
        <v>80580.3455084119</v>
      </c>
      <c r="BG49" s="37" t="n">
        <f aca="false">IFERROR((BG45+BG48)/BG33,0)</f>
        <v>77102.3143244791</v>
      </c>
      <c r="BH49" s="37" t="n">
        <f aca="false">IFERROR((BH45+BH48)/BH33,0)</f>
        <v>78239.5806982537</v>
      </c>
      <c r="BI49" s="37" t="n">
        <f aca="false">IFERROR((BI45+BI48)/BI33,0)</f>
        <v>76345.4844934488</v>
      </c>
      <c r="BJ49" s="37" t="n">
        <f aca="false">IFERROR((BJ45+BJ48)/BJ33,0)</f>
        <v>78973.5981843424</v>
      </c>
      <c r="BK49" s="37" t="n">
        <f aca="false">IFERROR((BK45+BK48)/BK33,0)</f>
        <v>77277.8971387265</v>
      </c>
      <c r="BL49" s="37" t="n">
        <f aca="false">IFERROR((BL45+BL48)/BL33,0)</f>
        <v>75832.1894097656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L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8"/>
    <col collapsed="false" customWidth="true" hidden="false" outlineLevel="0" max="3" min="3" style="0" width="3"/>
    <col collapsed="false" customWidth="true" hidden="false" outlineLevel="0" max="4" min="4" style="0" width="14"/>
    <col collapsed="false" customWidth="true" hidden="false" outlineLevel="0" max="64" min="5" style="0" width="11"/>
  </cols>
  <sheetData>
    <row r="1" customFormat="false" ht="17.35" hidden="false" customHeight="false" outlineLevel="0" collapsed="false">
      <c r="A1" s="7" t="s">
        <v>748</v>
      </c>
    </row>
    <row r="2" customFormat="false" ht="15" hidden="false" customHeight="false" outlineLevel="0" collapsed="false">
      <c r="A2" s="2" t="s">
        <v>749</v>
      </c>
    </row>
    <row r="3" customFormat="false" ht="15" hidden="false" customHeight="false" outlineLevel="0" collapsed="false">
      <c r="A3" s="8" t="s">
        <v>680</v>
      </c>
      <c r="D3" s="8" t="s">
        <v>681</v>
      </c>
      <c r="E3" s="20" t="n">
        <f aca="false">'Sales &amp; marketing'!E3</f>
        <v>1</v>
      </c>
      <c r="F3" s="20" t="n">
        <f aca="false">'Sales &amp; marketing'!F3</f>
        <v>2</v>
      </c>
      <c r="G3" s="20" t="n">
        <f aca="false">'Sales &amp; marketing'!G3</f>
        <v>3</v>
      </c>
      <c r="H3" s="20" t="n">
        <f aca="false">'Sales &amp; marketing'!H3</f>
        <v>4</v>
      </c>
      <c r="I3" s="20" t="n">
        <f aca="false">'Sales &amp; marketing'!I3</f>
        <v>5</v>
      </c>
      <c r="J3" s="20" t="n">
        <f aca="false">'Sales &amp; marketing'!J3</f>
        <v>6</v>
      </c>
      <c r="K3" s="20" t="n">
        <f aca="false">'Sales &amp; marketing'!K3</f>
        <v>7</v>
      </c>
      <c r="L3" s="20" t="n">
        <f aca="false">'Sales &amp; marketing'!L3</f>
        <v>8</v>
      </c>
      <c r="M3" s="20" t="n">
        <f aca="false">'Sales &amp; marketing'!M3</f>
        <v>9</v>
      </c>
      <c r="N3" s="20" t="n">
        <f aca="false">'Sales &amp; marketing'!N3</f>
        <v>10</v>
      </c>
      <c r="O3" s="20" t="n">
        <f aca="false">'Sales &amp; marketing'!O3</f>
        <v>11</v>
      </c>
      <c r="P3" s="20" t="n">
        <f aca="false">'Sales &amp; marketing'!P3</f>
        <v>12</v>
      </c>
      <c r="Q3" s="20" t="n">
        <f aca="false">'Sales &amp; marketing'!Q3</f>
        <v>13</v>
      </c>
      <c r="R3" s="20" t="n">
        <f aca="false">'Sales &amp; marketing'!R3</f>
        <v>14</v>
      </c>
      <c r="S3" s="20" t="n">
        <f aca="false">'Sales &amp; marketing'!S3</f>
        <v>15</v>
      </c>
      <c r="T3" s="20" t="n">
        <f aca="false">'Sales &amp; marketing'!T3</f>
        <v>16</v>
      </c>
      <c r="U3" s="20" t="n">
        <f aca="false">'Sales &amp; marketing'!U3</f>
        <v>17</v>
      </c>
      <c r="V3" s="20" t="n">
        <f aca="false">'Sales &amp; marketing'!V3</f>
        <v>18</v>
      </c>
      <c r="W3" s="20" t="n">
        <f aca="false">'Sales &amp; marketing'!W3</f>
        <v>19</v>
      </c>
      <c r="X3" s="20" t="n">
        <f aca="false">'Sales &amp; marketing'!X3</f>
        <v>20</v>
      </c>
      <c r="Y3" s="20" t="n">
        <f aca="false">'Sales &amp; marketing'!Y3</f>
        <v>21</v>
      </c>
      <c r="Z3" s="20" t="n">
        <f aca="false">'Sales &amp; marketing'!Z3</f>
        <v>22</v>
      </c>
      <c r="AA3" s="20" t="n">
        <f aca="false">'Sales &amp; marketing'!AA3</f>
        <v>23</v>
      </c>
      <c r="AB3" s="20" t="n">
        <f aca="false">'Sales &amp; marketing'!AB3</f>
        <v>24</v>
      </c>
      <c r="AC3" s="20" t="n">
        <f aca="false">'Sales &amp; marketing'!AC3</f>
        <v>25</v>
      </c>
      <c r="AD3" s="20" t="n">
        <f aca="false">'Sales &amp; marketing'!AD3</f>
        <v>26</v>
      </c>
      <c r="AE3" s="20" t="n">
        <f aca="false">'Sales &amp; marketing'!AE3</f>
        <v>27</v>
      </c>
      <c r="AF3" s="20" t="n">
        <f aca="false">'Sales &amp; marketing'!AF3</f>
        <v>28</v>
      </c>
      <c r="AG3" s="20" t="n">
        <f aca="false">'Sales &amp; marketing'!AG3</f>
        <v>29</v>
      </c>
      <c r="AH3" s="20" t="n">
        <f aca="false">'Sales &amp; marketing'!AH3</f>
        <v>30</v>
      </c>
      <c r="AI3" s="20" t="n">
        <f aca="false">'Sales &amp; marketing'!AI3</f>
        <v>31</v>
      </c>
      <c r="AJ3" s="20" t="n">
        <f aca="false">'Sales &amp; marketing'!AJ3</f>
        <v>32</v>
      </c>
      <c r="AK3" s="20" t="n">
        <f aca="false">'Sales &amp; marketing'!AK3</f>
        <v>33</v>
      </c>
      <c r="AL3" s="20" t="n">
        <f aca="false">'Sales &amp; marketing'!AL3</f>
        <v>34</v>
      </c>
      <c r="AM3" s="20" t="n">
        <f aca="false">'Sales &amp; marketing'!AM3</f>
        <v>35</v>
      </c>
      <c r="AN3" s="20" t="n">
        <f aca="false">'Sales &amp; marketing'!AN3</f>
        <v>36</v>
      </c>
      <c r="AO3" s="20" t="n">
        <f aca="false">'Sales &amp; marketing'!AO3</f>
        <v>37</v>
      </c>
      <c r="AP3" s="20" t="n">
        <f aca="false">'Sales &amp; marketing'!AP3</f>
        <v>38</v>
      </c>
      <c r="AQ3" s="20" t="n">
        <f aca="false">'Sales &amp; marketing'!AQ3</f>
        <v>39</v>
      </c>
      <c r="AR3" s="20" t="n">
        <f aca="false">'Sales &amp; marketing'!AR3</f>
        <v>40</v>
      </c>
      <c r="AS3" s="20" t="n">
        <f aca="false">'Sales &amp; marketing'!AS3</f>
        <v>41</v>
      </c>
      <c r="AT3" s="20" t="n">
        <f aca="false">'Sales &amp; marketing'!AT3</f>
        <v>42</v>
      </c>
      <c r="AU3" s="20" t="n">
        <f aca="false">'Sales &amp; marketing'!AU3</f>
        <v>43</v>
      </c>
      <c r="AV3" s="20" t="n">
        <f aca="false">'Sales &amp; marketing'!AV3</f>
        <v>44</v>
      </c>
      <c r="AW3" s="20" t="n">
        <f aca="false">'Sales &amp; marketing'!AW3</f>
        <v>45</v>
      </c>
      <c r="AX3" s="20" t="n">
        <f aca="false">'Sales &amp; marketing'!AX3</f>
        <v>46</v>
      </c>
      <c r="AY3" s="20" t="n">
        <f aca="false">'Sales &amp; marketing'!AY3</f>
        <v>47</v>
      </c>
      <c r="AZ3" s="20" t="n">
        <f aca="false">'Sales &amp; marketing'!AZ3</f>
        <v>48</v>
      </c>
      <c r="BA3" s="20" t="n">
        <f aca="false">'Sales &amp; marketing'!BA3</f>
        <v>49</v>
      </c>
      <c r="BB3" s="20" t="n">
        <f aca="false">'Sales &amp; marketing'!BB3</f>
        <v>50</v>
      </c>
      <c r="BC3" s="20" t="n">
        <f aca="false">'Sales &amp; marketing'!BC3</f>
        <v>51</v>
      </c>
      <c r="BD3" s="20" t="n">
        <f aca="false">'Sales &amp; marketing'!BD3</f>
        <v>52</v>
      </c>
      <c r="BE3" s="20" t="n">
        <f aca="false">'Sales &amp; marketing'!BE3</f>
        <v>53</v>
      </c>
      <c r="BF3" s="20" t="n">
        <f aca="false">'Sales &amp; marketing'!BF3</f>
        <v>54</v>
      </c>
      <c r="BG3" s="20" t="n">
        <f aca="false">'Sales &amp; marketing'!BG3</f>
        <v>55</v>
      </c>
      <c r="BH3" s="20" t="n">
        <f aca="false">'Sales &amp; marketing'!BH3</f>
        <v>56</v>
      </c>
      <c r="BI3" s="20" t="n">
        <f aca="false">'Sales &amp; marketing'!BI3</f>
        <v>57</v>
      </c>
      <c r="BJ3" s="20" t="n">
        <f aca="false">'Sales &amp; marketing'!BJ3</f>
        <v>58</v>
      </c>
      <c r="BK3" s="20" t="n">
        <f aca="false">'Sales &amp; marketing'!BK3</f>
        <v>59</v>
      </c>
      <c r="BL3" s="20" t="n">
        <f aca="false">'Sales &amp; marketing'!BL3</f>
        <v>60</v>
      </c>
    </row>
    <row r="4" customFormat="false" ht="15" hidden="false" customHeight="false" outlineLevel="0" collapsed="false">
      <c r="A4" s="8" t="s">
        <v>682</v>
      </c>
      <c r="E4" s="53" t="n">
        <f aca="false">'Sales &amp; marketing'!E4</f>
        <v>46388</v>
      </c>
      <c r="F4" s="53" t="n">
        <f aca="false">'Sales &amp; marketing'!F4</f>
        <v>46419</v>
      </c>
      <c r="G4" s="53" t="n">
        <f aca="false">'Sales &amp; marketing'!G4</f>
        <v>46447</v>
      </c>
      <c r="H4" s="53" t="n">
        <f aca="false">'Sales &amp; marketing'!H4</f>
        <v>46478</v>
      </c>
      <c r="I4" s="53" t="n">
        <f aca="false">'Sales &amp; marketing'!I4</f>
        <v>46508</v>
      </c>
      <c r="J4" s="53" t="n">
        <f aca="false">'Sales &amp; marketing'!J4</f>
        <v>46539</v>
      </c>
      <c r="K4" s="53" t="n">
        <f aca="false">'Sales &amp; marketing'!K4</f>
        <v>46569</v>
      </c>
      <c r="L4" s="53" t="n">
        <f aca="false">'Sales &amp; marketing'!L4</f>
        <v>46600</v>
      </c>
      <c r="M4" s="53" t="n">
        <f aca="false">'Sales &amp; marketing'!M4</f>
        <v>46631</v>
      </c>
      <c r="N4" s="53" t="n">
        <f aca="false">'Sales &amp; marketing'!N4</f>
        <v>46661</v>
      </c>
      <c r="O4" s="53" t="n">
        <f aca="false">'Sales &amp; marketing'!O4</f>
        <v>46692</v>
      </c>
      <c r="P4" s="53" t="n">
        <f aca="false">'Sales &amp; marketing'!P4</f>
        <v>46722</v>
      </c>
      <c r="Q4" s="53" t="n">
        <f aca="false">'Sales &amp; marketing'!Q4</f>
        <v>46753</v>
      </c>
      <c r="R4" s="53" t="n">
        <f aca="false">'Sales &amp; marketing'!R4</f>
        <v>46784</v>
      </c>
      <c r="S4" s="53" t="n">
        <f aca="false">'Sales &amp; marketing'!S4</f>
        <v>46813</v>
      </c>
      <c r="T4" s="53" t="n">
        <f aca="false">'Sales &amp; marketing'!T4</f>
        <v>46844</v>
      </c>
      <c r="U4" s="53" t="n">
        <f aca="false">'Sales &amp; marketing'!U4</f>
        <v>46874</v>
      </c>
      <c r="V4" s="53" t="n">
        <f aca="false">'Sales &amp; marketing'!V4</f>
        <v>46905</v>
      </c>
      <c r="W4" s="53" t="n">
        <f aca="false">'Sales &amp; marketing'!W4</f>
        <v>46935</v>
      </c>
      <c r="X4" s="53" t="n">
        <f aca="false">'Sales &amp; marketing'!X4</f>
        <v>46966</v>
      </c>
      <c r="Y4" s="53" t="n">
        <f aca="false">'Sales &amp; marketing'!Y4</f>
        <v>46997</v>
      </c>
      <c r="Z4" s="53" t="n">
        <f aca="false">'Sales &amp; marketing'!Z4</f>
        <v>47027</v>
      </c>
      <c r="AA4" s="53" t="n">
        <f aca="false">'Sales &amp; marketing'!AA4</f>
        <v>47058</v>
      </c>
      <c r="AB4" s="53" t="n">
        <f aca="false">'Sales &amp; marketing'!AB4</f>
        <v>47088</v>
      </c>
      <c r="AC4" s="53" t="n">
        <f aca="false">'Sales &amp; marketing'!AC4</f>
        <v>47119</v>
      </c>
      <c r="AD4" s="53" t="n">
        <f aca="false">'Sales &amp; marketing'!AD4</f>
        <v>47150</v>
      </c>
      <c r="AE4" s="53" t="n">
        <f aca="false">'Sales &amp; marketing'!AE4</f>
        <v>47178</v>
      </c>
      <c r="AF4" s="53" t="n">
        <f aca="false">'Sales &amp; marketing'!AF4</f>
        <v>47209</v>
      </c>
      <c r="AG4" s="53" t="n">
        <f aca="false">'Sales &amp; marketing'!AG4</f>
        <v>47239</v>
      </c>
      <c r="AH4" s="53" t="n">
        <f aca="false">'Sales &amp; marketing'!AH4</f>
        <v>47270</v>
      </c>
      <c r="AI4" s="53" t="n">
        <f aca="false">'Sales &amp; marketing'!AI4</f>
        <v>47300</v>
      </c>
      <c r="AJ4" s="53" t="n">
        <f aca="false">'Sales &amp; marketing'!AJ4</f>
        <v>47331</v>
      </c>
      <c r="AK4" s="53" t="n">
        <f aca="false">'Sales &amp; marketing'!AK4</f>
        <v>47362</v>
      </c>
      <c r="AL4" s="53" t="n">
        <f aca="false">'Sales &amp; marketing'!AL4</f>
        <v>47392</v>
      </c>
      <c r="AM4" s="53" t="n">
        <f aca="false">'Sales &amp; marketing'!AM4</f>
        <v>47423</v>
      </c>
      <c r="AN4" s="53" t="n">
        <f aca="false">'Sales &amp; marketing'!AN4</f>
        <v>47453</v>
      </c>
      <c r="AO4" s="53" t="n">
        <f aca="false">'Sales &amp; marketing'!AO4</f>
        <v>47484</v>
      </c>
      <c r="AP4" s="53" t="n">
        <f aca="false">'Sales &amp; marketing'!AP4</f>
        <v>47515</v>
      </c>
      <c r="AQ4" s="53" t="n">
        <f aca="false">'Sales &amp; marketing'!AQ4</f>
        <v>47543</v>
      </c>
      <c r="AR4" s="53" t="n">
        <f aca="false">'Sales &amp; marketing'!AR4</f>
        <v>47574</v>
      </c>
      <c r="AS4" s="53" t="n">
        <f aca="false">'Sales &amp; marketing'!AS4</f>
        <v>47604</v>
      </c>
      <c r="AT4" s="53" t="n">
        <f aca="false">'Sales &amp; marketing'!AT4</f>
        <v>47635</v>
      </c>
      <c r="AU4" s="53" t="n">
        <f aca="false">'Sales &amp; marketing'!AU4</f>
        <v>47665</v>
      </c>
      <c r="AV4" s="53" t="n">
        <f aca="false">'Sales &amp; marketing'!AV4</f>
        <v>47696</v>
      </c>
      <c r="AW4" s="53" t="n">
        <f aca="false">'Sales &amp; marketing'!AW4</f>
        <v>47727</v>
      </c>
      <c r="AX4" s="53" t="n">
        <f aca="false">'Sales &amp; marketing'!AX4</f>
        <v>47757</v>
      </c>
      <c r="AY4" s="53" t="n">
        <f aca="false">'Sales &amp; marketing'!AY4</f>
        <v>47788</v>
      </c>
      <c r="AZ4" s="53" t="n">
        <f aca="false">'Sales &amp; marketing'!AZ4</f>
        <v>47818</v>
      </c>
      <c r="BA4" s="53" t="n">
        <f aca="false">'Sales &amp; marketing'!BA4</f>
        <v>47849</v>
      </c>
      <c r="BB4" s="53" t="n">
        <f aca="false">'Sales &amp; marketing'!BB4</f>
        <v>47880</v>
      </c>
      <c r="BC4" s="53" t="n">
        <f aca="false">'Sales &amp; marketing'!BC4</f>
        <v>47908</v>
      </c>
      <c r="BD4" s="53" t="n">
        <f aca="false">'Sales &amp; marketing'!BD4</f>
        <v>47939</v>
      </c>
      <c r="BE4" s="53" t="n">
        <f aca="false">'Sales &amp; marketing'!BE4</f>
        <v>47969</v>
      </c>
      <c r="BF4" s="53" t="n">
        <f aca="false">'Sales &amp; marketing'!BF4</f>
        <v>48000</v>
      </c>
      <c r="BG4" s="53" t="n">
        <f aca="false">'Sales &amp; marketing'!BG4</f>
        <v>48030</v>
      </c>
      <c r="BH4" s="53" t="n">
        <f aca="false">'Sales &amp; marketing'!BH4</f>
        <v>48061</v>
      </c>
      <c r="BI4" s="53" t="n">
        <f aca="false">'Sales &amp; marketing'!BI4</f>
        <v>48092</v>
      </c>
      <c r="BJ4" s="53" t="n">
        <f aca="false">'Sales &amp; marketing'!BJ4</f>
        <v>48122</v>
      </c>
      <c r="BK4" s="53" t="n">
        <f aca="false">'Sales &amp; marketing'!BK4</f>
        <v>48153</v>
      </c>
      <c r="BL4" s="53" t="n">
        <f aca="false">'Sales &amp; marketing'!BL4</f>
        <v>48183</v>
      </c>
    </row>
    <row r="5" customFormat="false" ht="15" hidden="false" customHeight="false" outlineLevel="0" collapsed="false">
      <c r="A5" s="8" t="s">
        <v>81</v>
      </c>
      <c r="E5" s="54" t="n">
        <f aca="false">'Sales &amp; marketing'!E5</f>
        <v>1</v>
      </c>
      <c r="F5" s="54" t="n">
        <f aca="false">'Sales &amp; marketing'!F5</f>
        <v>1</v>
      </c>
      <c r="G5" s="54" t="n">
        <f aca="false">'Sales &amp; marketing'!G5</f>
        <v>1</v>
      </c>
      <c r="H5" s="54" t="n">
        <f aca="false">'Sales &amp; marketing'!H5</f>
        <v>1</v>
      </c>
      <c r="I5" s="54" t="n">
        <f aca="false">'Sales &amp; marketing'!I5</f>
        <v>1</v>
      </c>
      <c r="J5" s="54" t="n">
        <f aca="false">'Sales &amp; marketing'!J5</f>
        <v>1</v>
      </c>
      <c r="K5" s="54" t="n">
        <f aca="false">'Sales &amp; marketing'!K5</f>
        <v>1</v>
      </c>
      <c r="L5" s="54" t="n">
        <f aca="false">'Sales &amp; marketing'!L5</f>
        <v>1</v>
      </c>
      <c r="M5" s="54" t="n">
        <f aca="false">'Sales &amp; marketing'!M5</f>
        <v>1</v>
      </c>
      <c r="N5" s="54" t="n">
        <f aca="false">'Sales &amp; marketing'!N5</f>
        <v>1</v>
      </c>
      <c r="O5" s="54" t="n">
        <f aca="false">'Sales &amp; marketing'!O5</f>
        <v>1</v>
      </c>
      <c r="P5" s="54" t="n">
        <f aca="false">'Sales &amp; marketing'!P5</f>
        <v>1</v>
      </c>
      <c r="Q5" s="54" t="n">
        <f aca="false">'Sales &amp; marketing'!Q5</f>
        <v>2</v>
      </c>
      <c r="R5" s="54" t="n">
        <f aca="false">'Sales &amp; marketing'!R5</f>
        <v>2</v>
      </c>
      <c r="S5" s="54" t="n">
        <f aca="false">'Sales &amp; marketing'!S5</f>
        <v>2</v>
      </c>
      <c r="T5" s="54" t="n">
        <f aca="false">'Sales &amp; marketing'!T5</f>
        <v>2</v>
      </c>
      <c r="U5" s="54" t="n">
        <f aca="false">'Sales &amp; marketing'!U5</f>
        <v>2</v>
      </c>
      <c r="V5" s="54" t="n">
        <f aca="false">'Sales &amp; marketing'!V5</f>
        <v>2</v>
      </c>
      <c r="W5" s="54" t="n">
        <f aca="false">'Sales &amp; marketing'!W5</f>
        <v>2</v>
      </c>
      <c r="X5" s="54" t="n">
        <f aca="false">'Sales &amp; marketing'!X5</f>
        <v>2</v>
      </c>
      <c r="Y5" s="54" t="n">
        <f aca="false">'Sales &amp; marketing'!Y5</f>
        <v>2</v>
      </c>
      <c r="Z5" s="54" t="n">
        <f aca="false">'Sales &amp; marketing'!Z5</f>
        <v>2</v>
      </c>
      <c r="AA5" s="54" t="n">
        <f aca="false">'Sales &amp; marketing'!AA5</f>
        <v>2</v>
      </c>
      <c r="AB5" s="54" t="n">
        <f aca="false">'Sales &amp; marketing'!AB5</f>
        <v>2</v>
      </c>
      <c r="AC5" s="54" t="n">
        <f aca="false">'Sales &amp; marketing'!AC5</f>
        <v>3</v>
      </c>
      <c r="AD5" s="54" t="n">
        <f aca="false">'Sales &amp; marketing'!AD5</f>
        <v>3</v>
      </c>
      <c r="AE5" s="54" t="n">
        <f aca="false">'Sales &amp; marketing'!AE5</f>
        <v>3</v>
      </c>
      <c r="AF5" s="54" t="n">
        <f aca="false">'Sales &amp; marketing'!AF5</f>
        <v>3</v>
      </c>
      <c r="AG5" s="54" t="n">
        <f aca="false">'Sales &amp; marketing'!AG5</f>
        <v>3</v>
      </c>
      <c r="AH5" s="54" t="n">
        <f aca="false">'Sales &amp; marketing'!AH5</f>
        <v>3</v>
      </c>
      <c r="AI5" s="54" t="n">
        <f aca="false">'Sales &amp; marketing'!AI5</f>
        <v>3</v>
      </c>
      <c r="AJ5" s="54" t="n">
        <f aca="false">'Sales &amp; marketing'!AJ5</f>
        <v>3</v>
      </c>
      <c r="AK5" s="54" t="n">
        <f aca="false">'Sales &amp; marketing'!AK5</f>
        <v>3</v>
      </c>
      <c r="AL5" s="54" t="n">
        <f aca="false">'Sales &amp; marketing'!AL5</f>
        <v>3</v>
      </c>
      <c r="AM5" s="54" t="n">
        <f aca="false">'Sales &amp; marketing'!AM5</f>
        <v>3</v>
      </c>
      <c r="AN5" s="54" t="n">
        <f aca="false">'Sales &amp; marketing'!AN5</f>
        <v>3</v>
      </c>
      <c r="AO5" s="54" t="n">
        <f aca="false">'Sales &amp; marketing'!AO5</f>
        <v>4</v>
      </c>
      <c r="AP5" s="54" t="n">
        <f aca="false">'Sales &amp; marketing'!AP5</f>
        <v>4</v>
      </c>
      <c r="AQ5" s="54" t="n">
        <f aca="false">'Sales &amp; marketing'!AQ5</f>
        <v>4</v>
      </c>
      <c r="AR5" s="54" t="n">
        <f aca="false">'Sales &amp; marketing'!AR5</f>
        <v>4</v>
      </c>
      <c r="AS5" s="54" t="n">
        <f aca="false">'Sales &amp; marketing'!AS5</f>
        <v>4</v>
      </c>
      <c r="AT5" s="54" t="n">
        <f aca="false">'Sales &amp; marketing'!AT5</f>
        <v>4</v>
      </c>
      <c r="AU5" s="54" t="n">
        <f aca="false">'Sales &amp; marketing'!AU5</f>
        <v>4</v>
      </c>
      <c r="AV5" s="54" t="n">
        <f aca="false">'Sales &amp; marketing'!AV5</f>
        <v>4</v>
      </c>
      <c r="AW5" s="54" t="n">
        <f aca="false">'Sales &amp; marketing'!AW5</f>
        <v>4</v>
      </c>
      <c r="AX5" s="54" t="n">
        <f aca="false">'Sales &amp; marketing'!AX5</f>
        <v>4</v>
      </c>
      <c r="AY5" s="54" t="n">
        <f aca="false">'Sales &amp; marketing'!AY5</f>
        <v>4</v>
      </c>
      <c r="AZ5" s="54" t="n">
        <f aca="false">'Sales &amp; marketing'!AZ5</f>
        <v>4</v>
      </c>
      <c r="BA5" s="54" t="n">
        <f aca="false">'Sales &amp; marketing'!BA5</f>
        <v>5</v>
      </c>
      <c r="BB5" s="54" t="n">
        <f aca="false">'Sales &amp; marketing'!BB5</f>
        <v>5</v>
      </c>
      <c r="BC5" s="54" t="n">
        <f aca="false">'Sales &amp; marketing'!BC5</f>
        <v>5</v>
      </c>
      <c r="BD5" s="54" t="n">
        <f aca="false">'Sales &amp; marketing'!BD5</f>
        <v>5</v>
      </c>
      <c r="BE5" s="54" t="n">
        <f aca="false">'Sales &amp; marketing'!BE5</f>
        <v>5</v>
      </c>
      <c r="BF5" s="54" t="n">
        <f aca="false">'Sales &amp; marketing'!BF5</f>
        <v>5</v>
      </c>
      <c r="BG5" s="54" t="n">
        <f aca="false">'Sales &amp; marketing'!BG5</f>
        <v>5</v>
      </c>
      <c r="BH5" s="54" t="n">
        <f aca="false">'Sales &amp; marketing'!BH5</f>
        <v>5</v>
      </c>
      <c r="BI5" s="54" t="n">
        <f aca="false">'Sales &amp; marketing'!BI5</f>
        <v>5</v>
      </c>
      <c r="BJ5" s="54" t="n">
        <f aca="false">'Sales &amp; marketing'!BJ5</f>
        <v>5</v>
      </c>
      <c r="BK5" s="54" t="n">
        <f aca="false">'Sales &amp; marketing'!BK5</f>
        <v>5</v>
      </c>
      <c r="BL5" s="54" t="n">
        <f aca="false">'Sales &amp; marketing'!BL5</f>
        <v>5</v>
      </c>
    </row>
    <row r="8" customFormat="false" ht="15" hidden="false" customHeight="false" outlineLevel="0" collapsed="false">
      <c r="A8" s="10" t="s">
        <v>718</v>
      </c>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row>
    <row r="10" customFormat="false" ht="15" hidden="false" customHeight="false" outlineLevel="0" collapsed="false">
      <c r="A10" s="10" t="s">
        <v>721</v>
      </c>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row>
    <row r="12" customFormat="false" ht="15" hidden="false" customHeight="false" outlineLevel="0" collapsed="false">
      <c r="A12" s="10" t="s">
        <v>726</v>
      </c>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row>
    <row r="14" customFormat="false" ht="15" hidden="false" customHeight="false" outlineLevel="0" collapsed="false">
      <c r="A14" s="10" t="s">
        <v>729</v>
      </c>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row>
    <row r="15" customFormat="false" ht="15" hidden="false" customHeight="false" outlineLevel="0" collapsed="false">
      <c r="A15" s="12" t="s">
        <v>474</v>
      </c>
      <c r="B15" s="14" t="s">
        <v>73</v>
      </c>
      <c r="D15" s="55" t="n">
        <f aca="false">'Sales &amp; marketing'!D25/FX_EUR</f>
        <v>315996.322929704</v>
      </c>
      <c r="E15" s="37" t="n">
        <f aca="false">'Sales &amp; marketing'!E25/FX_EUR</f>
        <v>0</v>
      </c>
      <c r="F15" s="37" t="n">
        <f aca="false">'Sales &amp; marketing'!F25/FX_EUR</f>
        <v>0</v>
      </c>
      <c r="G15" s="37" t="n">
        <f aca="false">'Sales &amp; marketing'!G25/FX_EUR</f>
        <v>0</v>
      </c>
      <c r="H15" s="37" t="n">
        <f aca="false">'Sales &amp; marketing'!H25/FX_EUR</f>
        <v>0</v>
      </c>
      <c r="I15" s="37" t="n">
        <f aca="false">'Sales &amp; marketing'!I25/FX_EUR</f>
        <v>1997.08212581008</v>
      </c>
      <c r="J15" s="37" t="n">
        <f aca="false">'Sales &amp; marketing'!J25/FX_EUR</f>
        <v>1997.08212581008</v>
      </c>
      <c r="K15" s="37" t="n">
        <f aca="false">'Sales &amp; marketing'!K25/FX_EUR</f>
        <v>1997.08212581008</v>
      </c>
      <c r="L15" s="37" t="n">
        <f aca="false">'Sales &amp; marketing'!L25/FX_EUR</f>
        <v>1997.08212581008</v>
      </c>
      <c r="M15" s="37" t="n">
        <f aca="false">'Sales &amp; marketing'!M25/FX_EUR</f>
        <v>1997.08212581008</v>
      </c>
      <c r="N15" s="37" t="n">
        <f aca="false">'Sales &amp; marketing'!N25/FX_EUR</f>
        <v>1997.08212581008</v>
      </c>
      <c r="O15" s="37" t="n">
        <f aca="false">'Sales &amp; marketing'!O25/FX_EUR</f>
        <v>1997.08212581008</v>
      </c>
      <c r="P15" s="37" t="n">
        <f aca="false">'Sales &amp; marketing'!P25/FX_EUR</f>
        <v>1997.08212581008</v>
      </c>
      <c r="Q15" s="37" t="n">
        <f aca="false">'Sales &amp; marketing'!Q25/FX_EUR</f>
        <v>3994.16425162015</v>
      </c>
      <c r="R15" s="37" t="n">
        <f aca="false">'Sales &amp; marketing'!R25/FX_EUR</f>
        <v>3994.16425162015</v>
      </c>
      <c r="S15" s="37" t="n">
        <f aca="false">'Sales &amp; marketing'!S25/FX_EUR</f>
        <v>3994.16425162015</v>
      </c>
      <c r="T15" s="37" t="n">
        <f aca="false">'Sales &amp; marketing'!T25/FX_EUR</f>
        <v>3994.16425162015</v>
      </c>
      <c r="U15" s="37" t="n">
        <f aca="false">'Sales &amp; marketing'!U25/FX_EUR</f>
        <v>3994.16425162015</v>
      </c>
      <c r="V15" s="37" t="n">
        <f aca="false">'Sales &amp; marketing'!V25/FX_EUR</f>
        <v>3994.16425162015</v>
      </c>
      <c r="W15" s="37" t="n">
        <f aca="false">'Sales &amp; marketing'!W25/FX_EUR</f>
        <v>3994.16425162015</v>
      </c>
      <c r="X15" s="37" t="n">
        <f aca="false">'Sales &amp; marketing'!X25/FX_EUR</f>
        <v>3994.16425162015</v>
      </c>
      <c r="Y15" s="37" t="n">
        <f aca="false">'Sales &amp; marketing'!Y25/FX_EUR</f>
        <v>3994.16425162015</v>
      </c>
      <c r="Z15" s="37" t="n">
        <f aca="false">'Sales &amp; marketing'!Z25/FX_EUR</f>
        <v>3994.16425162015</v>
      </c>
      <c r="AA15" s="37" t="n">
        <f aca="false">'Sales &amp; marketing'!AA25/FX_EUR</f>
        <v>3994.16425162015</v>
      </c>
      <c r="AB15" s="37" t="n">
        <f aca="false">'Sales &amp; marketing'!AB25/FX_EUR</f>
        <v>3994.16425162015</v>
      </c>
      <c r="AC15" s="37" t="n">
        <f aca="false">'Sales &amp; marketing'!AC25/FX_EUR</f>
        <v>6006.49127915397</v>
      </c>
      <c r="AD15" s="37" t="n">
        <f aca="false">'Sales &amp; marketing'!AD25/FX_EUR</f>
        <v>6006.49127915397</v>
      </c>
      <c r="AE15" s="37" t="n">
        <f aca="false">'Sales &amp; marketing'!AE25/FX_EUR</f>
        <v>6006.49127915397</v>
      </c>
      <c r="AF15" s="37" t="n">
        <f aca="false">'Sales &amp; marketing'!AF25/FX_EUR</f>
        <v>6006.49127915397</v>
      </c>
      <c r="AG15" s="37" t="n">
        <f aca="false">'Sales &amp; marketing'!AG25/FX_EUR</f>
        <v>6006.49127915397</v>
      </c>
      <c r="AH15" s="37" t="n">
        <f aca="false">'Sales &amp; marketing'!AH25/FX_EUR</f>
        <v>6006.49127915397</v>
      </c>
      <c r="AI15" s="37" t="n">
        <f aca="false">'Sales &amp; marketing'!AI25/FX_EUR</f>
        <v>6006.49127915397</v>
      </c>
      <c r="AJ15" s="37" t="n">
        <f aca="false">'Sales &amp; marketing'!AJ25/FX_EUR</f>
        <v>6006.49127915397</v>
      </c>
      <c r="AK15" s="37" t="n">
        <f aca="false">'Sales &amp; marketing'!AK25/FX_EUR</f>
        <v>6006.49127915397</v>
      </c>
      <c r="AL15" s="37" t="n">
        <f aca="false">'Sales &amp; marketing'!AL25/FX_EUR</f>
        <v>6006.49127915397</v>
      </c>
      <c r="AM15" s="37" t="n">
        <f aca="false">'Sales &amp; marketing'!AM25/FX_EUR</f>
        <v>6006.49127915397</v>
      </c>
      <c r="AN15" s="37" t="n">
        <f aca="false">'Sales &amp; marketing'!AN25/FX_EUR</f>
        <v>6006.49127915397</v>
      </c>
      <c r="AO15" s="37" t="n">
        <f aca="false">'Sales &amp; marketing'!AO25/FX_EUR</f>
        <v>6997.40989119714</v>
      </c>
      <c r="AP15" s="37" t="n">
        <f aca="false">'Sales &amp; marketing'!AP25/FX_EUR</f>
        <v>6997.40989119714</v>
      </c>
      <c r="AQ15" s="37" t="n">
        <f aca="false">'Sales &amp; marketing'!AQ25/FX_EUR</f>
        <v>6997.40989119714</v>
      </c>
      <c r="AR15" s="37" t="n">
        <f aca="false">'Sales &amp; marketing'!AR25/FX_EUR</f>
        <v>6997.40989119714</v>
      </c>
      <c r="AS15" s="37" t="n">
        <f aca="false">'Sales &amp; marketing'!AS25/FX_EUR</f>
        <v>6997.40989119714</v>
      </c>
      <c r="AT15" s="37" t="n">
        <f aca="false">'Sales &amp; marketing'!AT25/FX_EUR</f>
        <v>6997.40989119714</v>
      </c>
      <c r="AU15" s="37" t="n">
        <f aca="false">'Sales &amp; marketing'!AU25/FX_EUR</f>
        <v>6997.40989119714</v>
      </c>
      <c r="AV15" s="37" t="n">
        <f aca="false">'Sales &amp; marketing'!AV25/FX_EUR</f>
        <v>6997.40989119714</v>
      </c>
      <c r="AW15" s="37" t="n">
        <f aca="false">'Sales &amp; marketing'!AW25/FX_EUR</f>
        <v>6997.40989119714</v>
      </c>
      <c r="AX15" s="37" t="n">
        <f aca="false">'Sales &amp; marketing'!AX25/FX_EUR</f>
        <v>6997.40989119714</v>
      </c>
      <c r="AY15" s="37" t="n">
        <f aca="false">'Sales &amp; marketing'!AY25/FX_EUR</f>
        <v>6997.40989119714</v>
      </c>
      <c r="AZ15" s="37" t="n">
        <f aca="false">'Sales &amp; marketing'!AZ25/FX_EUR</f>
        <v>6997.40989119714</v>
      </c>
      <c r="BA15" s="37" t="n">
        <f aca="false">'Sales &amp; marketing'!BA25/FX_EUR</f>
        <v>8003.57340496405</v>
      </c>
      <c r="BB15" s="37" t="n">
        <f aca="false">'Sales &amp; marketing'!BB25/FX_EUR</f>
        <v>8003.57340496405</v>
      </c>
      <c r="BC15" s="37" t="n">
        <f aca="false">'Sales &amp; marketing'!BC25/FX_EUR</f>
        <v>8003.57340496405</v>
      </c>
      <c r="BD15" s="37" t="n">
        <f aca="false">'Sales &amp; marketing'!BD25/FX_EUR</f>
        <v>8003.57340496405</v>
      </c>
      <c r="BE15" s="37" t="n">
        <f aca="false">'Sales &amp; marketing'!BE25/FX_EUR</f>
        <v>8003.57340496405</v>
      </c>
      <c r="BF15" s="37" t="n">
        <f aca="false">'Sales &amp; marketing'!BF25/FX_EUR</f>
        <v>8003.57340496405</v>
      </c>
      <c r="BG15" s="37" t="n">
        <f aca="false">'Sales &amp; marketing'!BG25/FX_EUR</f>
        <v>8003.57340496405</v>
      </c>
      <c r="BH15" s="37" t="n">
        <f aca="false">'Sales &amp; marketing'!BH25/FX_EUR</f>
        <v>8003.57340496405</v>
      </c>
      <c r="BI15" s="37" t="n">
        <f aca="false">'Sales &amp; marketing'!BI25/FX_EUR</f>
        <v>8003.57340496405</v>
      </c>
      <c r="BJ15" s="37" t="n">
        <f aca="false">'Sales &amp; marketing'!BJ25/FX_EUR</f>
        <v>8003.57340496405</v>
      </c>
      <c r="BK15" s="37" t="n">
        <f aca="false">'Sales &amp; marketing'!BK25/FX_EUR</f>
        <v>8003.57340496405</v>
      </c>
      <c r="BL15" s="37" t="n">
        <f aca="false">'Sales &amp; marketing'!BL25/FX_EUR</f>
        <v>8003.57340496405</v>
      </c>
    </row>
    <row r="16" customFormat="false" ht="15" hidden="false" customHeight="false" outlineLevel="0" collapsed="false">
      <c r="A16" s="12" t="s">
        <v>476</v>
      </c>
      <c r="B16" s="14" t="s">
        <v>73</v>
      </c>
      <c r="D16" s="55" t="n">
        <f aca="false">'Sales &amp; marketing'!D26/FX_EUR</f>
        <v>191994.292308795</v>
      </c>
      <c r="E16" s="37" t="n">
        <f aca="false">'Sales &amp; marketing'!E26/FX_EUR</f>
        <v>0</v>
      </c>
      <c r="F16" s="37" t="n">
        <f aca="false">'Sales &amp; marketing'!F26/FX_EUR</f>
        <v>0</v>
      </c>
      <c r="G16" s="37" t="n">
        <f aca="false">'Sales &amp; marketing'!G26/FX_EUR</f>
        <v>0</v>
      </c>
      <c r="H16" s="37" t="n">
        <f aca="false">'Sales &amp; marketing'!H26/FX_EUR</f>
        <v>0</v>
      </c>
      <c r="I16" s="37" t="n">
        <f aca="false">'Sales &amp; marketing'!I26/FX_EUR</f>
        <v>0</v>
      </c>
      <c r="J16" s="37" t="n">
        <f aca="false">'Sales &amp; marketing'!J26/FX_EUR</f>
        <v>0</v>
      </c>
      <c r="K16" s="37" t="n">
        <f aca="false">'Sales &amp; marketing'!K26/FX_EUR</f>
        <v>0</v>
      </c>
      <c r="L16" s="37" t="n">
        <f aca="false">'Sales &amp; marketing'!L26/FX_EUR</f>
        <v>0</v>
      </c>
      <c r="M16" s="37" t="n">
        <f aca="false">'Sales &amp; marketing'!M26/FX_EUR</f>
        <v>0</v>
      </c>
      <c r="N16" s="37" t="n">
        <f aca="false">'Sales &amp; marketing'!N26/FX_EUR</f>
        <v>0</v>
      </c>
      <c r="O16" s="37" t="n">
        <f aca="false">'Sales &amp; marketing'!O26/FX_EUR</f>
        <v>0</v>
      </c>
      <c r="P16" s="37" t="n">
        <f aca="false">'Sales &amp; marketing'!P26/FX_EUR</f>
        <v>0</v>
      </c>
      <c r="Q16" s="37" t="n">
        <f aca="false">'Sales &amp; marketing'!Q26/FX_EUR</f>
        <v>0</v>
      </c>
      <c r="R16" s="37" t="n">
        <f aca="false">'Sales &amp; marketing'!R26/FX_EUR</f>
        <v>0</v>
      </c>
      <c r="S16" s="37" t="n">
        <f aca="false">'Sales &amp; marketing'!S26/FX_EUR</f>
        <v>0</v>
      </c>
      <c r="T16" s="37" t="n">
        <f aca="false">'Sales &amp; marketing'!T26/FX_EUR</f>
        <v>0</v>
      </c>
      <c r="U16" s="37" t="n">
        <f aca="false">'Sales &amp; marketing'!U26/FX_EUR</f>
        <v>0</v>
      </c>
      <c r="V16" s="37" t="n">
        <f aca="false">'Sales &amp; marketing'!V26/FX_EUR</f>
        <v>0</v>
      </c>
      <c r="W16" s="37" t="n">
        <f aca="false">'Sales &amp; marketing'!W26/FX_EUR</f>
        <v>1997.08212581008</v>
      </c>
      <c r="X16" s="37" t="n">
        <f aca="false">'Sales &amp; marketing'!X26/FX_EUR</f>
        <v>1997.08212581008</v>
      </c>
      <c r="Y16" s="37" t="n">
        <f aca="false">'Sales &amp; marketing'!Y26/FX_EUR</f>
        <v>1997.08212581008</v>
      </c>
      <c r="Z16" s="37" t="n">
        <f aca="false">'Sales &amp; marketing'!Z26/FX_EUR</f>
        <v>1997.08212581008</v>
      </c>
      <c r="AA16" s="37" t="n">
        <f aca="false">'Sales &amp; marketing'!AA26/FX_EUR</f>
        <v>1997.08212581008</v>
      </c>
      <c r="AB16" s="37" t="n">
        <f aca="false">'Sales &amp; marketing'!AB26/FX_EUR</f>
        <v>1997.08212581008</v>
      </c>
      <c r="AC16" s="37" t="n">
        <f aca="false">'Sales &amp; marketing'!AC26/FX_EUR</f>
        <v>3994.16425162015</v>
      </c>
      <c r="AD16" s="37" t="n">
        <f aca="false">'Sales &amp; marketing'!AD26/FX_EUR</f>
        <v>3994.16425162015</v>
      </c>
      <c r="AE16" s="37" t="n">
        <f aca="false">'Sales &amp; marketing'!AE26/FX_EUR</f>
        <v>3994.16425162015</v>
      </c>
      <c r="AF16" s="37" t="n">
        <f aca="false">'Sales &amp; marketing'!AF26/FX_EUR</f>
        <v>3994.16425162015</v>
      </c>
      <c r="AG16" s="37" t="n">
        <f aca="false">'Sales &amp; marketing'!AG26/FX_EUR</f>
        <v>3994.16425162015</v>
      </c>
      <c r="AH16" s="37" t="n">
        <f aca="false">'Sales &amp; marketing'!AH26/FX_EUR</f>
        <v>3994.16425162015</v>
      </c>
      <c r="AI16" s="37" t="n">
        <f aca="false">'Sales &amp; marketing'!AI26/FX_EUR</f>
        <v>3994.16425162015</v>
      </c>
      <c r="AJ16" s="37" t="n">
        <f aca="false">'Sales &amp; marketing'!AJ26/FX_EUR</f>
        <v>3994.16425162015</v>
      </c>
      <c r="AK16" s="37" t="n">
        <f aca="false">'Sales &amp; marketing'!AK26/FX_EUR</f>
        <v>3994.16425162015</v>
      </c>
      <c r="AL16" s="37" t="n">
        <f aca="false">'Sales &amp; marketing'!AL26/FX_EUR</f>
        <v>3994.16425162015</v>
      </c>
      <c r="AM16" s="37" t="n">
        <f aca="false">'Sales &amp; marketing'!AM26/FX_EUR</f>
        <v>3994.16425162015</v>
      </c>
      <c r="AN16" s="37" t="n">
        <f aca="false">'Sales &amp; marketing'!AN26/FX_EUR</f>
        <v>3994.16425162015</v>
      </c>
      <c r="AO16" s="37" t="n">
        <f aca="false">'Sales &amp; marketing'!AO26/FX_EUR</f>
        <v>5000.32776538706</v>
      </c>
      <c r="AP16" s="37" t="n">
        <f aca="false">'Sales &amp; marketing'!AP26/FX_EUR</f>
        <v>5000.32776538706</v>
      </c>
      <c r="AQ16" s="37" t="n">
        <f aca="false">'Sales &amp; marketing'!AQ26/FX_EUR</f>
        <v>5000.32776538706</v>
      </c>
      <c r="AR16" s="37" t="n">
        <f aca="false">'Sales &amp; marketing'!AR26/FX_EUR</f>
        <v>5000.32776538706</v>
      </c>
      <c r="AS16" s="37" t="n">
        <f aca="false">'Sales &amp; marketing'!AS26/FX_EUR</f>
        <v>5000.32776538706</v>
      </c>
      <c r="AT16" s="37" t="n">
        <f aca="false">'Sales &amp; marketing'!AT26/FX_EUR</f>
        <v>5000.32776538706</v>
      </c>
      <c r="AU16" s="37" t="n">
        <f aca="false">'Sales &amp; marketing'!AU26/FX_EUR</f>
        <v>5000.32776538706</v>
      </c>
      <c r="AV16" s="37" t="n">
        <f aca="false">'Sales &amp; marketing'!AV26/FX_EUR</f>
        <v>5000.32776538706</v>
      </c>
      <c r="AW16" s="37" t="n">
        <f aca="false">'Sales &amp; marketing'!AW26/FX_EUR</f>
        <v>5000.32776538706</v>
      </c>
      <c r="AX16" s="37" t="n">
        <f aca="false">'Sales &amp; marketing'!AX26/FX_EUR</f>
        <v>5000.32776538706</v>
      </c>
      <c r="AY16" s="37" t="n">
        <f aca="false">'Sales &amp; marketing'!AY26/FX_EUR</f>
        <v>5000.32776538706</v>
      </c>
      <c r="AZ16" s="37" t="n">
        <f aca="false">'Sales &amp; marketing'!AZ26/FX_EUR</f>
        <v>5000.32776538706</v>
      </c>
      <c r="BA16" s="37" t="n">
        <f aca="false">'Sales &amp; marketing'!BA26/FX_EUR</f>
        <v>6006.49127915397</v>
      </c>
      <c r="BB16" s="37" t="n">
        <f aca="false">'Sales &amp; marketing'!BB26/FX_EUR</f>
        <v>6006.49127915397</v>
      </c>
      <c r="BC16" s="37" t="n">
        <f aca="false">'Sales &amp; marketing'!BC26/FX_EUR</f>
        <v>6006.49127915397</v>
      </c>
      <c r="BD16" s="37" t="n">
        <f aca="false">'Sales &amp; marketing'!BD26/FX_EUR</f>
        <v>6006.49127915397</v>
      </c>
      <c r="BE16" s="37" t="n">
        <f aca="false">'Sales &amp; marketing'!BE26/FX_EUR</f>
        <v>6006.49127915397</v>
      </c>
      <c r="BF16" s="37" t="n">
        <f aca="false">'Sales &amp; marketing'!BF26/FX_EUR</f>
        <v>6006.49127915397</v>
      </c>
      <c r="BG16" s="37" t="n">
        <f aca="false">'Sales &amp; marketing'!BG26/FX_EUR</f>
        <v>6006.49127915397</v>
      </c>
      <c r="BH16" s="37" t="n">
        <f aca="false">'Sales &amp; marketing'!BH26/FX_EUR</f>
        <v>6006.49127915397</v>
      </c>
      <c r="BI16" s="37" t="n">
        <f aca="false">'Sales &amp; marketing'!BI26/FX_EUR</f>
        <v>6006.49127915397</v>
      </c>
      <c r="BJ16" s="37" t="n">
        <f aca="false">'Sales &amp; marketing'!BJ26/FX_EUR</f>
        <v>6006.49127915397</v>
      </c>
      <c r="BK16" s="37" t="n">
        <f aca="false">'Sales &amp; marketing'!BK26/FX_EUR</f>
        <v>6006.49127915397</v>
      </c>
      <c r="BL16" s="37" t="n">
        <f aca="false">'Sales &amp; marketing'!BL26/FX_EUR</f>
        <v>6006.49127915397</v>
      </c>
    </row>
    <row r="18" customFormat="false" ht="15" hidden="false" customHeight="false" outlineLevel="0" collapsed="false">
      <c r="A18" s="10" t="s">
        <v>732</v>
      </c>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row>
    <row r="20" customFormat="false" ht="15" hidden="false" customHeight="false" outlineLevel="0" collapsed="false">
      <c r="A20" s="10" t="s">
        <v>740</v>
      </c>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row>
    <row r="21" customFormat="false" ht="15" hidden="false" customHeight="false" outlineLevel="0" collapsed="false">
      <c r="A21" s="12" t="s">
        <v>741</v>
      </c>
      <c r="B21" s="14" t="s">
        <v>73</v>
      </c>
      <c r="D21" s="55" t="n">
        <f aca="false">'Sales &amp; marketing'!D40/FX_EUR</f>
        <v>507990.615238499</v>
      </c>
      <c r="E21" s="37" t="n">
        <f aca="false">'Sales &amp; marketing'!E40/FX_EUR</f>
        <v>0</v>
      </c>
      <c r="F21" s="37" t="n">
        <f aca="false">'Sales &amp; marketing'!F40/FX_EUR</f>
        <v>0</v>
      </c>
      <c r="G21" s="37" t="n">
        <f aca="false">'Sales &amp; marketing'!G40/FX_EUR</f>
        <v>0</v>
      </c>
      <c r="H21" s="37" t="n">
        <f aca="false">'Sales &amp; marketing'!H40/FX_EUR</f>
        <v>0</v>
      </c>
      <c r="I21" s="37" t="n">
        <f aca="false">'Sales &amp; marketing'!I40/FX_EUR</f>
        <v>1997.08212581008</v>
      </c>
      <c r="J21" s="37" t="n">
        <f aca="false">'Sales &amp; marketing'!J40/FX_EUR</f>
        <v>1997.08212581008</v>
      </c>
      <c r="K21" s="37" t="n">
        <f aca="false">'Sales &amp; marketing'!K40/FX_EUR</f>
        <v>1997.08212581008</v>
      </c>
      <c r="L21" s="37" t="n">
        <f aca="false">'Sales &amp; marketing'!L40/FX_EUR</f>
        <v>1997.08212581008</v>
      </c>
      <c r="M21" s="37" t="n">
        <f aca="false">'Sales &amp; marketing'!M40/FX_EUR</f>
        <v>1997.08212581008</v>
      </c>
      <c r="N21" s="37" t="n">
        <f aca="false">'Sales &amp; marketing'!N40/FX_EUR</f>
        <v>1997.08212581008</v>
      </c>
      <c r="O21" s="37" t="n">
        <f aca="false">'Sales &amp; marketing'!O40/FX_EUR</f>
        <v>1997.08212581008</v>
      </c>
      <c r="P21" s="37" t="n">
        <f aca="false">'Sales &amp; marketing'!P40/FX_EUR</f>
        <v>1997.08212581008</v>
      </c>
      <c r="Q21" s="37" t="n">
        <f aca="false">'Sales &amp; marketing'!Q40/FX_EUR</f>
        <v>3994.16425162015</v>
      </c>
      <c r="R21" s="37" t="n">
        <f aca="false">'Sales &amp; marketing'!R40/FX_EUR</f>
        <v>3994.16425162015</v>
      </c>
      <c r="S21" s="37" t="n">
        <f aca="false">'Sales &amp; marketing'!S40/FX_EUR</f>
        <v>3994.16425162015</v>
      </c>
      <c r="T21" s="37" t="n">
        <f aca="false">'Sales &amp; marketing'!T40/FX_EUR</f>
        <v>3994.16425162015</v>
      </c>
      <c r="U21" s="37" t="n">
        <f aca="false">'Sales &amp; marketing'!U40/FX_EUR</f>
        <v>3994.16425162015</v>
      </c>
      <c r="V21" s="37" t="n">
        <f aca="false">'Sales &amp; marketing'!V40/FX_EUR</f>
        <v>3994.16425162015</v>
      </c>
      <c r="W21" s="37" t="n">
        <f aca="false">'Sales &amp; marketing'!W40/FX_EUR</f>
        <v>5991.24637743023</v>
      </c>
      <c r="X21" s="37" t="n">
        <f aca="false">'Sales &amp; marketing'!X40/FX_EUR</f>
        <v>5991.24637743023</v>
      </c>
      <c r="Y21" s="37" t="n">
        <f aca="false">'Sales &amp; marketing'!Y40/FX_EUR</f>
        <v>5991.24637743023</v>
      </c>
      <c r="Z21" s="37" t="n">
        <f aca="false">'Sales &amp; marketing'!Z40/FX_EUR</f>
        <v>5991.24637743023</v>
      </c>
      <c r="AA21" s="37" t="n">
        <f aca="false">'Sales &amp; marketing'!AA40/FX_EUR</f>
        <v>5991.24637743023</v>
      </c>
      <c r="AB21" s="37" t="n">
        <f aca="false">'Sales &amp; marketing'!AB40/FX_EUR</f>
        <v>5991.24637743023</v>
      </c>
      <c r="AC21" s="37" t="n">
        <f aca="false">'Sales &amp; marketing'!AC40/FX_EUR</f>
        <v>10000.6555307741</v>
      </c>
      <c r="AD21" s="37" t="n">
        <f aca="false">'Sales &amp; marketing'!AD40/FX_EUR</f>
        <v>10000.6555307741</v>
      </c>
      <c r="AE21" s="37" t="n">
        <f aca="false">'Sales &amp; marketing'!AE40/FX_EUR</f>
        <v>10000.6555307741</v>
      </c>
      <c r="AF21" s="37" t="n">
        <f aca="false">'Sales &amp; marketing'!AF40/FX_EUR</f>
        <v>10000.6555307741</v>
      </c>
      <c r="AG21" s="37" t="n">
        <f aca="false">'Sales &amp; marketing'!AG40/FX_EUR</f>
        <v>10000.6555307741</v>
      </c>
      <c r="AH21" s="37" t="n">
        <f aca="false">'Sales &amp; marketing'!AH40/FX_EUR</f>
        <v>10000.6555307741</v>
      </c>
      <c r="AI21" s="37" t="n">
        <f aca="false">'Sales &amp; marketing'!AI40/FX_EUR</f>
        <v>10000.6555307741</v>
      </c>
      <c r="AJ21" s="37" t="n">
        <f aca="false">'Sales &amp; marketing'!AJ40/FX_EUR</f>
        <v>10000.6555307741</v>
      </c>
      <c r="AK21" s="37" t="n">
        <f aca="false">'Sales &amp; marketing'!AK40/FX_EUR</f>
        <v>10000.6555307741</v>
      </c>
      <c r="AL21" s="37" t="n">
        <f aca="false">'Sales &amp; marketing'!AL40/FX_EUR</f>
        <v>10000.6555307741</v>
      </c>
      <c r="AM21" s="37" t="n">
        <f aca="false">'Sales &amp; marketing'!AM40/FX_EUR</f>
        <v>10000.6555307741</v>
      </c>
      <c r="AN21" s="37" t="n">
        <f aca="false">'Sales &amp; marketing'!AN40/FX_EUR</f>
        <v>10000.6555307741</v>
      </c>
      <c r="AO21" s="37" t="n">
        <f aca="false">'Sales &amp; marketing'!AO40/FX_EUR</f>
        <v>11997.7376565842</v>
      </c>
      <c r="AP21" s="37" t="n">
        <f aca="false">'Sales &amp; marketing'!AP40/FX_EUR</f>
        <v>11997.7376565842</v>
      </c>
      <c r="AQ21" s="37" t="n">
        <f aca="false">'Sales &amp; marketing'!AQ40/FX_EUR</f>
        <v>11997.7376565842</v>
      </c>
      <c r="AR21" s="37" t="n">
        <f aca="false">'Sales &amp; marketing'!AR40/FX_EUR</f>
        <v>11997.7376565842</v>
      </c>
      <c r="AS21" s="37" t="n">
        <f aca="false">'Sales &amp; marketing'!AS40/FX_EUR</f>
        <v>11997.7376565842</v>
      </c>
      <c r="AT21" s="37" t="n">
        <f aca="false">'Sales &amp; marketing'!AT40/FX_EUR</f>
        <v>11997.7376565842</v>
      </c>
      <c r="AU21" s="37" t="n">
        <f aca="false">'Sales &amp; marketing'!AU40/FX_EUR</f>
        <v>11997.7376565842</v>
      </c>
      <c r="AV21" s="37" t="n">
        <f aca="false">'Sales &amp; marketing'!AV40/FX_EUR</f>
        <v>11997.7376565842</v>
      </c>
      <c r="AW21" s="37" t="n">
        <f aca="false">'Sales &amp; marketing'!AW40/FX_EUR</f>
        <v>11997.7376565842</v>
      </c>
      <c r="AX21" s="37" t="n">
        <f aca="false">'Sales &amp; marketing'!AX40/FX_EUR</f>
        <v>11997.7376565842</v>
      </c>
      <c r="AY21" s="37" t="n">
        <f aca="false">'Sales &amp; marketing'!AY40/FX_EUR</f>
        <v>11997.7376565842</v>
      </c>
      <c r="AZ21" s="37" t="n">
        <f aca="false">'Sales &amp; marketing'!AZ40/FX_EUR</f>
        <v>11997.7376565842</v>
      </c>
      <c r="BA21" s="37" t="n">
        <f aca="false">'Sales &amp; marketing'!BA40/FX_EUR</f>
        <v>14010.064684118</v>
      </c>
      <c r="BB21" s="37" t="n">
        <f aca="false">'Sales &amp; marketing'!BB40/FX_EUR</f>
        <v>14010.064684118</v>
      </c>
      <c r="BC21" s="37" t="n">
        <f aca="false">'Sales &amp; marketing'!BC40/FX_EUR</f>
        <v>14010.064684118</v>
      </c>
      <c r="BD21" s="37" t="n">
        <f aca="false">'Sales &amp; marketing'!BD40/FX_EUR</f>
        <v>14010.064684118</v>
      </c>
      <c r="BE21" s="37" t="n">
        <f aca="false">'Sales &amp; marketing'!BE40/FX_EUR</f>
        <v>14010.064684118</v>
      </c>
      <c r="BF21" s="37" t="n">
        <f aca="false">'Sales &amp; marketing'!BF40/FX_EUR</f>
        <v>14010.064684118</v>
      </c>
      <c r="BG21" s="37" t="n">
        <f aca="false">'Sales &amp; marketing'!BG40/FX_EUR</f>
        <v>14010.064684118</v>
      </c>
      <c r="BH21" s="37" t="n">
        <f aca="false">'Sales &amp; marketing'!BH40/FX_EUR</f>
        <v>14010.064684118</v>
      </c>
      <c r="BI21" s="37" t="n">
        <f aca="false">'Sales &amp; marketing'!BI40/FX_EUR</f>
        <v>14010.064684118</v>
      </c>
      <c r="BJ21" s="37" t="n">
        <f aca="false">'Sales &amp; marketing'!BJ40/FX_EUR</f>
        <v>14010.064684118</v>
      </c>
      <c r="BK21" s="37" t="n">
        <f aca="false">'Sales &amp; marketing'!BK40/FX_EUR</f>
        <v>14010.064684118</v>
      </c>
      <c r="BL21" s="37" t="n">
        <f aca="false">'Sales &amp; marketing'!BL40/FX_EUR</f>
        <v>14010.064684118</v>
      </c>
    </row>
    <row r="22" customFormat="false" ht="15" hidden="false" customHeight="false" outlineLevel="0" collapsed="false">
      <c r="A22" s="12" t="s">
        <v>477</v>
      </c>
      <c r="B22" s="14" t="s">
        <v>73</v>
      </c>
      <c r="D22" s="55" t="n">
        <f aca="false">'Sales &amp; marketing'!D41/FX_EUR</f>
        <v>63007.1788242217</v>
      </c>
      <c r="E22" s="37" t="n">
        <f aca="false">'Sales &amp; marketing'!E41/FX_EUR</f>
        <v>2083.46990224461</v>
      </c>
      <c r="F22" s="37" t="n">
        <f aca="false">'Sales &amp; marketing'!F41/FX_EUR</f>
        <v>2083.46990224461</v>
      </c>
      <c r="G22" s="37" t="n">
        <f aca="false">'Sales &amp; marketing'!G41/FX_EUR</f>
        <v>2083.46990224461</v>
      </c>
      <c r="H22" s="37" t="n">
        <f aca="false">'Sales &amp; marketing'!H41/FX_EUR</f>
        <v>2083.46990224461</v>
      </c>
      <c r="I22" s="37" t="n">
        <f aca="false">'Sales &amp; marketing'!I41/FX_EUR</f>
        <v>2083.46990224461</v>
      </c>
      <c r="J22" s="37" t="n">
        <f aca="false">'Sales &amp; marketing'!J41/FX_EUR</f>
        <v>2083.46990224461</v>
      </c>
      <c r="K22" s="37" t="n">
        <f aca="false">'Sales &amp; marketing'!K41/FX_EUR</f>
        <v>2083.46990224461</v>
      </c>
      <c r="L22" s="37" t="n">
        <f aca="false">'Sales &amp; marketing'!L41/FX_EUR</f>
        <v>2083.46990224461</v>
      </c>
      <c r="M22" s="37" t="n">
        <f aca="false">'Sales &amp; marketing'!M41/FX_EUR</f>
        <v>2083.46990224461</v>
      </c>
      <c r="N22" s="37" t="n">
        <f aca="false">'Sales &amp; marketing'!N41/FX_EUR</f>
        <v>2083.46990224461</v>
      </c>
      <c r="O22" s="37" t="n">
        <f aca="false">'Sales &amp; marketing'!O41/FX_EUR</f>
        <v>2083.46990224461</v>
      </c>
      <c r="P22" s="37" t="n">
        <f aca="false">'Sales &amp; marketing'!P41/FX_EUR</f>
        <v>2083.46990224461</v>
      </c>
      <c r="Q22" s="37" t="n">
        <f aca="false">'Sales &amp; marketing'!Q41/FX_EUR</f>
        <v>666.96445041367</v>
      </c>
      <c r="R22" s="37" t="n">
        <f aca="false">'Sales &amp; marketing'!R41/FX_EUR</f>
        <v>666.96445041367</v>
      </c>
      <c r="S22" s="37" t="n">
        <f aca="false">'Sales &amp; marketing'!S41/FX_EUR</f>
        <v>666.96445041367</v>
      </c>
      <c r="T22" s="37" t="n">
        <f aca="false">'Sales &amp; marketing'!T41/FX_EUR</f>
        <v>666.96445041367</v>
      </c>
      <c r="U22" s="37" t="n">
        <f aca="false">'Sales &amp; marketing'!U41/FX_EUR</f>
        <v>666.96445041367</v>
      </c>
      <c r="V22" s="37" t="n">
        <f aca="false">'Sales &amp; marketing'!V41/FX_EUR</f>
        <v>666.96445041367</v>
      </c>
      <c r="W22" s="37" t="n">
        <f aca="false">'Sales &amp; marketing'!W41/FX_EUR</f>
        <v>666.96445041367</v>
      </c>
      <c r="X22" s="37" t="n">
        <f aca="false">'Sales &amp; marketing'!X41/FX_EUR</f>
        <v>666.96445041367</v>
      </c>
      <c r="Y22" s="37" t="n">
        <f aca="false">'Sales &amp; marketing'!Y41/FX_EUR</f>
        <v>666.96445041367</v>
      </c>
      <c r="Z22" s="37" t="n">
        <f aca="false">'Sales &amp; marketing'!Z41/FX_EUR</f>
        <v>666.96445041367</v>
      </c>
      <c r="AA22" s="37" t="n">
        <f aca="false">'Sales &amp; marketing'!AA41/FX_EUR</f>
        <v>666.96445041367</v>
      </c>
      <c r="AB22" s="37" t="n">
        <f aca="false">'Sales &amp; marketing'!AB41/FX_EUR</f>
        <v>666.96445041367</v>
      </c>
      <c r="AC22" s="37" t="n">
        <f aca="false">'Sales &amp; marketing'!AC41/FX_EUR</f>
        <v>833.387960897843</v>
      </c>
      <c r="AD22" s="37" t="n">
        <f aca="false">'Sales &amp; marketing'!AD41/FX_EUR</f>
        <v>833.387960897843</v>
      </c>
      <c r="AE22" s="37" t="n">
        <f aca="false">'Sales &amp; marketing'!AE41/FX_EUR</f>
        <v>833.387960897843</v>
      </c>
      <c r="AF22" s="37" t="n">
        <f aca="false">'Sales &amp; marketing'!AF41/FX_EUR</f>
        <v>833.387960897843</v>
      </c>
      <c r="AG22" s="37" t="n">
        <f aca="false">'Sales &amp; marketing'!AG41/FX_EUR</f>
        <v>833.387960897843</v>
      </c>
      <c r="AH22" s="37" t="n">
        <f aca="false">'Sales &amp; marketing'!AH41/FX_EUR</f>
        <v>833.387960897843</v>
      </c>
      <c r="AI22" s="37" t="n">
        <f aca="false">'Sales &amp; marketing'!AI41/FX_EUR</f>
        <v>833.387960897843</v>
      </c>
      <c r="AJ22" s="37" t="n">
        <f aca="false">'Sales &amp; marketing'!AJ41/FX_EUR</f>
        <v>833.387960897843</v>
      </c>
      <c r="AK22" s="37" t="n">
        <f aca="false">'Sales &amp; marketing'!AK41/FX_EUR</f>
        <v>833.387960897843</v>
      </c>
      <c r="AL22" s="37" t="n">
        <f aca="false">'Sales &amp; marketing'!AL41/FX_EUR</f>
        <v>833.387960897843</v>
      </c>
      <c r="AM22" s="37" t="n">
        <f aca="false">'Sales &amp; marketing'!AM41/FX_EUR</f>
        <v>833.387960897843</v>
      </c>
      <c r="AN22" s="37" t="n">
        <f aca="false">'Sales &amp; marketing'!AN41/FX_EUR</f>
        <v>833.387960897843</v>
      </c>
      <c r="AO22" s="37" t="n">
        <f aca="false">'Sales &amp; marketing'!AO41/FX_EUR</f>
        <v>833.387960897843</v>
      </c>
      <c r="AP22" s="37" t="n">
        <f aca="false">'Sales &amp; marketing'!AP41/FX_EUR</f>
        <v>833.387960897843</v>
      </c>
      <c r="AQ22" s="37" t="n">
        <f aca="false">'Sales &amp; marketing'!AQ41/FX_EUR</f>
        <v>833.387960897843</v>
      </c>
      <c r="AR22" s="37" t="n">
        <f aca="false">'Sales &amp; marketing'!AR41/FX_EUR</f>
        <v>833.387960897843</v>
      </c>
      <c r="AS22" s="37" t="n">
        <f aca="false">'Sales &amp; marketing'!AS41/FX_EUR</f>
        <v>833.387960897843</v>
      </c>
      <c r="AT22" s="37" t="n">
        <f aca="false">'Sales &amp; marketing'!AT41/FX_EUR</f>
        <v>833.387960897843</v>
      </c>
      <c r="AU22" s="37" t="n">
        <f aca="false">'Sales &amp; marketing'!AU41/FX_EUR</f>
        <v>833.387960897843</v>
      </c>
      <c r="AV22" s="37" t="n">
        <f aca="false">'Sales &amp; marketing'!AV41/FX_EUR</f>
        <v>833.387960897843</v>
      </c>
      <c r="AW22" s="37" t="n">
        <f aca="false">'Sales &amp; marketing'!AW41/FX_EUR</f>
        <v>833.387960897843</v>
      </c>
      <c r="AX22" s="37" t="n">
        <f aca="false">'Sales &amp; marketing'!AX41/FX_EUR</f>
        <v>833.387960897843</v>
      </c>
      <c r="AY22" s="37" t="n">
        <f aca="false">'Sales &amp; marketing'!AY41/FX_EUR</f>
        <v>833.387960897843</v>
      </c>
      <c r="AZ22" s="37" t="n">
        <f aca="false">'Sales &amp; marketing'!AZ41/FX_EUR</f>
        <v>833.387960897843</v>
      </c>
      <c r="BA22" s="37" t="n">
        <f aca="false">'Sales &amp; marketing'!BA41/FX_EUR</f>
        <v>833.387960897843</v>
      </c>
      <c r="BB22" s="37" t="n">
        <f aca="false">'Sales &amp; marketing'!BB41/FX_EUR</f>
        <v>833.387960897843</v>
      </c>
      <c r="BC22" s="37" t="n">
        <f aca="false">'Sales &amp; marketing'!BC41/FX_EUR</f>
        <v>833.387960897843</v>
      </c>
      <c r="BD22" s="37" t="n">
        <f aca="false">'Sales &amp; marketing'!BD41/FX_EUR</f>
        <v>833.387960897843</v>
      </c>
      <c r="BE22" s="37" t="n">
        <f aca="false">'Sales &amp; marketing'!BE41/FX_EUR</f>
        <v>833.387960897843</v>
      </c>
      <c r="BF22" s="37" t="n">
        <f aca="false">'Sales &amp; marketing'!BF41/FX_EUR</f>
        <v>833.387960897843</v>
      </c>
      <c r="BG22" s="37" t="n">
        <f aca="false">'Sales &amp; marketing'!BG41/FX_EUR</f>
        <v>833.387960897843</v>
      </c>
      <c r="BH22" s="37" t="n">
        <f aca="false">'Sales &amp; marketing'!BH41/FX_EUR</f>
        <v>833.387960897843</v>
      </c>
      <c r="BI22" s="37" t="n">
        <f aca="false">'Sales &amp; marketing'!BI41/FX_EUR</f>
        <v>833.387960897843</v>
      </c>
      <c r="BJ22" s="37" t="n">
        <f aca="false">'Sales &amp; marketing'!BJ41/FX_EUR</f>
        <v>833.387960897843</v>
      </c>
      <c r="BK22" s="37" t="n">
        <f aca="false">'Sales &amp; marketing'!BK41/FX_EUR</f>
        <v>833.387960897843</v>
      </c>
      <c r="BL22" s="37" t="n">
        <f aca="false">'Sales &amp; marketing'!BL41/FX_EUR</f>
        <v>833.387960897843</v>
      </c>
    </row>
    <row r="23" customFormat="false" ht="15" hidden="false" customHeight="false" outlineLevel="0" collapsed="false">
      <c r="A23" s="12" t="s">
        <v>479</v>
      </c>
      <c r="B23" s="14" t="s">
        <v>73</v>
      </c>
      <c r="D23" s="55" t="n">
        <f aca="false">'Sales &amp; marketing'!D42/FX_EUR</f>
        <v>209983.276342809</v>
      </c>
      <c r="E23" s="37" t="n">
        <f aca="false">'Sales &amp; marketing'!E42/FX_EUR</f>
        <v>1250.08194134677</v>
      </c>
      <c r="F23" s="37" t="n">
        <f aca="false">'Sales &amp; marketing'!F42/FX_EUR</f>
        <v>1250.08194134677</v>
      </c>
      <c r="G23" s="37" t="n">
        <f aca="false">'Sales &amp; marketing'!G42/FX_EUR</f>
        <v>1250.08194134677</v>
      </c>
      <c r="H23" s="37" t="n">
        <f aca="false">'Sales &amp; marketing'!H42/FX_EUR</f>
        <v>1250.08194134677</v>
      </c>
      <c r="I23" s="37" t="n">
        <f aca="false">'Sales &amp; marketing'!I42/FX_EUR</f>
        <v>1250.08194134677</v>
      </c>
      <c r="J23" s="37" t="n">
        <f aca="false">'Sales &amp; marketing'!J42/FX_EUR</f>
        <v>1250.08194134677</v>
      </c>
      <c r="K23" s="37" t="n">
        <f aca="false">'Sales &amp; marketing'!K42/FX_EUR</f>
        <v>1250.08194134677</v>
      </c>
      <c r="L23" s="37" t="n">
        <f aca="false">'Sales &amp; marketing'!L42/FX_EUR</f>
        <v>1250.08194134677</v>
      </c>
      <c r="M23" s="37" t="n">
        <f aca="false">'Sales &amp; marketing'!M42/FX_EUR</f>
        <v>1250.08194134677</v>
      </c>
      <c r="N23" s="37" t="n">
        <f aca="false">'Sales &amp; marketing'!N42/FX_EUR</f>
        <v>1250.08194134677</v>
      </c>
      <c r="O23" s="37" t="n">
        <f aca="false">'Sales &amp; marketing'!O42/FX_EUR</f>
        <v>1250.08194134677</v>
      </c>
      <c r="P23" s="37" t="n">
        <f aca="false">'Sales &amp; marketing'!P42/FX_EUR</f>
        <v>1250.08194134677</v>
      </c>
      <c r="Q23" s="37" t="n">
        <f aca="false">'Sales &amp; marketing'!Q42/FX_EUR</f>
        <v>2502.70469964749</v>
      </c>
      <c r="R23" s="37" t="n">
        <f aca="false">'Sales &amp; marketing'!R42/FX_EUR</f>
        <v>2502.70469964749</v>
      </c>
      <c r="S23" s="37" t="n">
        <f aca="false">'Sales &amp; marketing'!S42/FX_EUR</f>
        <v>2502.70469964749</v>
      </c>
      <c r="T23" s="37" t="n">
        <f aca="false">'Sales &amp; marketing'!T42/FX_EUR</f>
        <v>2502.70469964749</v>
      </c>
      <c r="U23" s="37" t="n">
        <f aca="false">'Sales &amp; marketing'!U42/FX_EUR</f>
        <v>2502.70469964749</v>
      </c>
      <c r="V23" s="37" t="n">
        <f aca="false">'Sales &amp; marketing'!V42/FX_EUR</f>
        <v>2502.70469964749</v>
      </c>
      <c r="W23" s="37" t="n">
        <f aca="false">'Sales &amp; marketing'!W42/FX_EUR</f>
        <v>2502.70469964749</v>
      </c>
      <c r="X23" s="37" t="n">
        <f aca="false">'Sales &amp; marketing'!X42/FX_EUR</f>
        <v>2502.70469964749</v>
      </c>
      <c r="Y23" s="37" t="n">
        <f aca="false">'Sales &amp; marketing'!Y42/FX_EUR</f>
        <v>2502.70469964749</v>
      </c>
      <c r="Z23" s="37" t="n">
        <f aca="false">'Sales &amp; marketing'!Z42/FX_EUR</f>
        <v>2502.70469964749</v>
      </c>
      <c r="AA23" s="37" t="n">
        <f aca="false">'Sales &amp; marketing'!AA42/FX_EUR</f>
        <v>2502.70469964749</v>
      </c>
      <c r="AB23" s="37" t="n">
        <f aca="false">'Sales &amp; marketing'!AB42/FX_EUR</f>
        <v>2502.70469964749</v>
      </c>
      <c r="AC23" s="37" t="n">
        <f aca="false">'Sales &amp; marketing'!AC42/FX_EUR</f>
        <v>3747.70500708634</v>
      </c>
      <c r="AD23" s="37" t="n">
        <f aca="false">'Sales &amp; marketing'!AD42/FX_EUR</f>
        <v>3747.70500708634</v>
      </c>
      <c r="AE23" s="37" t="n">
        <f aca="false">'Sales &amp; marketing'!AE42/FX_EUR</f>
        <v>3747.70500708634</v>
      </c>
      <c r="AF23" s="37" t="n">
        <f aca="false">'Sales &amp; marketing'!AF42/FX_EUR</f>
        <v>3747.70500708634</v>
      </c>
      <c r="AG23" s="37" t="n">
        <f aca="false">'Sales &amp; marketing'!AG42/FX_EUR</f>
        <v>3747.70500708634</v>
      </c>
      <c r="AH23" s="37" t="n">
        <f aca="false">'Sales &amp; marketing'!AH42/FX_EUR</f>
        <v>3747.70500708634</v>
      </c>
      <c r="AI23" s="37" t="n">
        <f aca="false">'Sales &amp; marketing'!AI42/FX_EUR</f>
        <v>3747.70500708634</v>
      </c>
      <c r="AJ23" s="37" t="n">
        <f aca="false">'Sales &amp; marketing'!AJ42/FX_EUR</f>
        <v>3747.70500708634</v>
      </c>
      <c r="AK23" s="37" t="n">
        <f aca="false">'Sales &amp; marketing'!AK42/FX_EUR</f>
        <v>3747.70500708634</v>
      </c>
      <c r="AL23" s="37" t="n">
        <f aca="false">'Sales &amp; marketing'!AL42/FX_EUR</f>
        <v>3747.70500708634</v>
      </c>
      <c r="AM23" s="37" t="n">
        <f aca="false">'Sales &amp; marketing'!AM42/FX_EUR</f>
        <v>3747.70500708634</v>
      </c>
      <c r="AN23" s="37" t="n">
        <f aca="false">'Sales &amp; marketing'!AN42/FX_EUR</f>
        <v>3747.70500708634</v>
      </c>
      <c r="AO23" s="37" t="n">
        <f aca="false">'Sales &amp; marketing'!AO42/FX_EUR</f>
        <v>4586.1746018921</v>
      </c>
      <c r="AP23" s="37" t="n">
        <f aca="false">'Sales &amp; marketing'!AP42/FX_EUR</f>
        <v>4586.1746018921</v>
      </c>
      <c r="AQ23" s="37" t="n">
        <f aca="false">'Sales &amp; marketing'!AQ42/FX_EUR</f>
        <v>4586.1746018921</v>
      </c>
      <c r="AR23" s="37" t="n">
        <f aca="false">'Sales &amp; marketing'!AR42/FX_EUR</f>
        <v>4586.1746018921</v>
      </c>
      <c r="AS23" s="37" t="n">
        <f aca="false">'Sales &amp; marketing'!AS42/FX_EUR</f>
        <v>4586.1746018921</v>
      </c>
      <c r="AT23" s="37" t="n">
        <f aca="false">'Sales &amp; marketing'!AT42/FX_EUR</f>
        <v>4586.1746018921</v>
      </c>
      <c r="AU23" s="37" t="n">
        <f aca="false">'Sales &amp; marketing'!AU42/FX_EUR</f>
        <v>4586.1746018921</v>
      </c>
      <c r="AV23" s="37" t="n">
        <f aca="false">'Sales &amp; marketing'!AV42/FX_EUR</f>
        <v>4586.1746018921</v>
      </c>
      <c r="AW23" s="37" t="n">
        <f aca="false">'Sales &amp; marketing'!AW42/FX_EUR</f>
        <v>4586.1746018921</v>
      </c>
      <c r="AX23" s="37" t="n">
        <f aca="false">'Sales &amp; marketing'!AX42/FX_EUR</f>
        <v>4586.1746018921</v>
      </c>
      <c r="AY23" s="37" t="n">
        <f aca="false">'Sales &amp; marketing'!AY42/FX_EUR</f>
        <v>4586.1746018921</v>
      </c>
      <c r="AZ23" s="37" t="n">
        <f aca="false">'Sales &amp; marketing'!AZ42/FX_EUR</f>
        <v>4586.1746018921</v>
      </c>
      <c r="BA23" s="37" t="n">
        <f aca="false">'Sales &amp; marketing'!BA42/FX_EUR</f>
        <v>5411.94011192807</v>
      </c>
      <c r="BB23" s="37" t="n">
        <f aca="false">'Sales &amp; marketing'!BB42/FX_EUR</f>
        <v>5411.94011192807</v>
      </c>
      <c r="BC23" s="37" t="n">
        <f aca="false">'Sales &amp; marketing'!BC42/FX_EUR</f>
        <v>5411.94011192807</v>
      </c>
      <c r="BD23" s="37" t="n">
        <f aca="false">'Sales &amp; marketing'!BD42/FX_EUR</f>
        <v>5411.94011192807</v>
      </c>
      <c r="BE23" s="37" t="n">
        <f aca="false">'Sales &amp; marketing'!BE42/FX_EUR</f>
        <v>5411.94011192807</v>
      </c>
      <c r="BF23" s="37" t="n">
        <f aca="false">'Sales &amp; marketing'!BF42/FX_EUR</f>
        <v>5411.94011192807</v>
      </c>
      <c r="BG23" s="37" t="n">
        <f aca="false">'Sales &amp; marketing'!BG42/FX_EUR</f>
        <v>5411.94011192807</v>
      </c>
      <c r="BH23" s="37" t="n">
        <f aca="false">'Sales &amp; marketing'!BH42/FX_EUR</f>
        <v>5411.94011192807</v>
      </c>
      <c r="BI23" s="37" t="n">
        <f aca="false">'Sales &amp; marketing'!BI42/FX_EUR</f>
        <v>5411.94011192807</v>
      </c>
      <c r="BJ23" s="37" t="n">
        <f aca="false">'Sales &amp; marketing'!BJ42/FX_EUR</f>
        <v>5411.94011192807</v>
      </c>
      <c r="BK23" s="37" t="n">
        <f aca="false">'Sales &amp; marketing'!BK42/FX_EUR</f>
        <v>5411.94011192807</v>
      </c>
      <c r="BL23" s="37" t="n">
        <f aca="false">'Sales &amp; marketing'!BL42/FX_EUR</f>
        <v>5411.94011192807</v>
      </c>
    </row>
    <row r="24" customFormat="false" ht="15" hidden="false" customHeight="false" outlineLevel="0" collapsed="false">
      <c r="A24" s="12" t="s">
        <v>742</v>
      </c>
      <c r="B24" s="14" t="s">
        <v>73</v>
      </c>
      <c r="D24" s="55" t="n">
        <f aca="false">'Sales &amp; marketing'!D43/FX_EUR</f>
        <v>146342.689397111</v>
      </c>
      <c r="E24" s="37" t="n">
        <f aca="false">'Sales &amp; marketing'!E43/FX_EUR</f>
        <v>0</v>
      </c>
      <c r="F24" s="37" t="n">
        <f aca="false">'Sales &amp; marketing'!F43/FX_EUR</f>
        <v>0</v>
      </c>
      <c r="G24" s="37" t="n">
        <f aca="false">'Sales &amp; marketing'!G43/FX_EUR</f>
        <v>0</v>
      </c>
      <c r="H24" s="37" t="n">
        <f aca="false">'Sales &amp; marketing'!H43/FX_EUR</f>
        <v>0</v>
      </c>
      <c r="I24" s="37" t="n">
        <f aca="false">'Sales &amp; marketing'!I43/FX_EUR</f>
        <v>381.122543093526</v>
      </c>
      <c r="J24" s="37" t="n">
        <f aca="false">'Sales &amp; marketing'!J43/FX_EUR</f>
        <v>403.989895679138</v>
      </c>
      <c r="K24" s="37" t="n">
        <f aca="false">'Sales &amp; marketing'!K43/FX_EUR</f>
        <v>428.229289419886</v>
      </c>
      <c r="L24" s="37" t="n">
        <f aca="false">'Sales &amp; marketing'!L43/FX_EUR</f>
        <v>453.923046785079</v>
      </c>
      <c r="M24" s="37" t="n">
        <f aca="false">'Sales &amp; marketing'!M43/FX_EUR</f>
        <v>481.158429592184</v>
      </c>
      <c r="N24" s="37" t="n">
        <f aca="false">'Sales &amp; marketing'!N43/FX_EUR</f>
        <v>510.027935367715</v>
      </c>
      <c r="O24" s="37" t="n">
        <f aca="false">'Sales &amp; marketing'!O43/FX_EUR</f>
        <v>540.629611489778</v>
      </c>
      <c r="P24" s="37" t="n">
        <f aca="false">'Sales &amp; marketing'!P43/FX_EUR</f>
        <v>573.067388179165</v>
      </c>
      <c r="Q24" s="37" t="n">
        <f aca="false">'Sales &amp; marketing'!Q43/FX_EUR</f>
        <v>607.451431469914</v>
      </c>
      <c r="R24" s="37" t="n">
        <f aca="false">'Sales &amp; marketing'!R43/FX_EUR</f>
        <v>643.898517358109</v>
      </c>
      <c r="S24" s="37" t="n">
        <f aca="false">'Sales &amp; marketing'!S43/FX_EUR</f>
        <v>682.532428399596</v>
      </c>
      <c r="T24" s="37" t="n">
        <f aca="false">'Sales &amp; marketing'!T43/FX_EUR</f>
        <v>723.484374103572</v>
      </c>
      <c r="U24" s="37" t="n">
        <f aca="false">'Sales &amp; marketing'!U43/FX_EUR</f>
        <v>766.893436549786</v>
      </c>
      <c r="V24" s="37" t="n">
        <f aca="false">'Sales &amp; marketing'!V43/FX_EUR</f>
        <v>812.907042742773</v>
      </c>
      <c r="W24" s="37" t="n">
        <f aca="false">'Sales &amp; marketing'!W43/FX_EUR</f>
        <v>1090.35499116346</v>
      </c>
      <c r="X24" s="37" t="n">
        <f aca="false">'Sales &amp; marketing'!X43/FX_EUR</f>
        <v>1155.77629063326</v>
      </c>
      <c r="Y24" s="37" t="n">
        <f aca="false">'Sales &amp; marketing'!Y43/FX_EUR</f>
        <v>1225.12286807126</v>
      </c>
      <c r="Z24" s="37" t="n">
        <f aca="false">'Sales &amp; marketing'!Z43/FX_EUR</f>
        <v>1298.63024015553</v>
      </c>
      <c r="AA24" s="37" t="n">
        <f aca="false">'Sales &amp; marketing'!AA43/FX_EUR</f>
        <v>1376.54805456487</v>
      </c>
      <c r="AB24" s="37" t="n">
        <f aca="false">'Sales &amp; marketing'!AB43/FX_EUR</f>
        <v>1459.14093783876</v>
      </c>
      <c r="AC24" s="37" t="n">
        <f aca="false">'Sales &amp; marketing'!AC43/FX_EUR</f>
        <v>1546.68939410908</v>
      </c>
      <c r="AD24" s="37" t="n">
        <f aca="false">'Sales &amp; marketing'!AD43/FX_EUR</f>
        <v>1639.49075775563</v>
      </c>
      <c r="AE24" s="37" t="n">
        <f aca="false">'Sales &amp; marketing'!AE43/FX_EUR</f>
        <v>1737.86020322097</v>
      </c>
      <c r="AF24" s="37" t="n">
        <f aca="false">'Sales &amp; marketing'!AF43/FX_EUR</f>
        <v>1842.13181541422</v>
      </c>
      <c r="AG24" s="37" t="n">
        <f aca="false">'Sales &amp; marketing'!AG43/FX_EUR</f>
        <v>1952.65972433908</v>
      </c>
      <c r="AH24" s="37" t="n">
        <f aca="false">'Sales &amp; marketing'!AH43/FX_EUR</f>
        <v>2069.81930779942</v>
      </c>
      <c r="AI24" s="37" t="n">
        <f aca="false">'Sales &amp; marketing'!AI43/FX_EUR</f>
        <v>2194.00846626739</v>
      </c>
      <c r="AJ24" s="37" t="n">
        <f aca="false">'Sales &amp; marketing'!AJ43/FX_EUR</f>
        <v>2325.64897424343</v>
      </c>
      <c r="AK24" s="37" t="n">
        <f aca="false">'Sales &amp; marketing'!AK43/FX_EUR</f>
        <v>2465.18791269804</v>
      </c>
      <c r="AL24" s="37" t="n">
        <f aca="false">'Sales &amp; marketing'!AL43/FX_EUR</f>
        <v>2613.09918745992</v>
      </c>
      <c r="AM24" s="37" t="n">
        <f aca="false">'Sales &amp; marketing'!AM43/FX_EUR</f>
        <v>2769.88513870752</v>
      </c>
      <c r="AN24" s="37" t="n">
        <f aca="false">'Sales &amp; marketing'!AN43/FX_EUR</f>
        <v>2936.07824702997</v>
      </c>
      <c r="AO24" s="37" t="n">
        <f aca="false">'Sales &amp; marketing'!AO43/FX_EUR</f>
        <v>3112.24294185176</v>
      </c>
      <c r="AP24" s="37" t="n">
        <f aca="false">'Sales &amp; marketing'!AP43/FX_EUR</f>
        <v>3298.97751836287</v>
      </c>
      <c r="AQ24" s="37" t="n">
        <f aca="false">'Sales &amp; marketing'!AQ43/FX_EUR</f>
        <v>3496.91616946464</v>
      </c>
      <c r="AR24" s="37" t="n">
        <f aca="false">'Sales &amp; marketing'!AR43/FX_EUR</f>
        <v>3706.73113963252</v>
      </c>
      <c r="AS24" s="37" t="n">
        <f aca="false">'Sales &amp; marketing'!AS43/FX_EUR</f>
        <v>3873.01395135162</v>
      </c>
      <c r="AT24" s="37" t="n">
        <f aca="false">'Sales &amp; marketing'!AT43/FX_EUR</f>
        <v>3922.45596774782</v>
      </c>
      <c r="AU24" s="37" t="n">
        <f aca="false">'Sales &amp; marketing'!AU43/FX_EUR</f>
        <v>3974.8645051278</v>
      </c>
      <c r="AV24" s="37" t="n">
        <f aca="false">'Sales &amp; marketing'!AV43/FX_EUR</f>
        <v>4030.41755475058</v>
      </c>
      <c r="AW24" s="37" t="n">
        <f aca="false">'Sales &amp; marketing'!AW43/FX_EUR</f>
        <v>4089.30378735072</v>
      </c>
      <c r="AX24" s="37" t="n">
        <f aca="false">'Sales &amp; marketing'!AX43/FX_EUR</f>
        <v>4151.72319390687</v>
      </c>
      <c r="AY24" s="37" t="n">
        <f aca="false">'Sales &amp; marketing'!AY43/FX_EUR</f>
        <v>4217.88776485639</v>
      </c>
      <c r="AZ24" s="37" t="n">
        <f aca="false">'Sales &amp; marketing'!AZ43/FX_EUR</f>
        <v>4288.02221006288</v>
      </c>
      <c r="BA24" s="37" t="n">
        <f aca="false">'Sales &amp; marketing'!BA43/FX_EUR</f>
        <v>4362.36472198176</v>
      </c>
      <c r="BB24" s="37" t="n">
        <f aca="false">'Sales &amp; marketing'!BB43/FX_EUR</f>
        <v>4441.16778461577</v>
      </c>
      <c r="BC24" s="37" t="n">
        <f aca="false">'Sales &amp; marketing'!BC43/FX_EUR</f>
        <v>4524.69903100783</v>
      </c>
      <c r="BD24" s="37" t="n">
        <f aca="false">'Sales &amp; marketing'!BD43/FX_EUR</f>
        <v>4613.2421521834</v>
      </c>
      <c r="BE24" s="37" t="n">
        <f aca="false">'Sales &amp; marketing'!BE43/FX_EUR</f>
        <v>4707.09786062952</v>
      </c>
      <c r="BF24" s="37" t="n">
        <f aca="false">'Sales &amp; marketing'!BF43/FX_EUR</f>
        <v>4806.58491158239</v>
      </c>
      <c r="BG24" s="37" t="n">
        <f aca="false">'Sales &amp; marketing'!BG43/FX_EUR</f>
        <v>4912.04118559245</v>
      </c>
      <c r="BH24" s="37" t="n">
        <f aca="false">'Sales &amp; marketing'!BH43/FX_EUR</f>
        <v>5023.8248360431</v>
      </c>
      <c r="BI24" s="37" t="n">
        <f aca="false">'Sales &amp; marketing'!BI43/FX_EUR</f>
        <v>5142.31550552079</v>
      </c>
      <c r="BJ24" s="37" t="n">
        <f aca="false">'Sales &amp; marketing'!BJ43/FX_EUR</f>
        <v>5267.91561516715</v>
      </c>
      <c r="BK24" s="37" t="n">
        <f aca="false">'Sales &amp; marketing'!BK43/FX_EUR</f>
        <v>5335.71560330936</v>
      </c>
      <c r="BL24" s="37" t="n">
        <f aca="false">'Sales &amp; marketing'!BL43/FX_EUR</f>
        <v>5335.71560330936</v>
      </c>
    </row>
    <row r="25" customFormat="false" ht="15" hidden="false" customHeight="false" outlineLevel="0" collapsed="false">
      <c r="A25" s="12" t="s">
        <v>743</v>
      </c>
      <c r="B25" s="14" t="s">
        <v>73</v>
      </c>
      <c r="D25" s="55" t="n">
        <f aca="false">'Sales &amp; marketing'!D44/FX_EUR</f>
        <v>75576.6002954462</v>
      </c>
      <c r="E25" s="37" t="n">
        <f aca="false">'Sales &amp; marketing'!E44/FX_EUR</f>
        <v>114.336762928058</v>
      </c>
      <c r="F25" s="37" t="n">
        <f aca="false">'Sales &amp; marketing'!F44/FX_EUR</f>
        <v>114.336762928058</v>
      </c>
      <c r="G25" s="37" t="n">
        <f aca="false">'Sales &amp; marketing'!G44/FX_EUR</f>
        <v>114.336762928058</v>
      </c>
      <c r="H25" s="37" t="n">
        <f aca="false">'Sales &amp; marketing'!H44/FX_EUR</f>
        <v>343.010288784173</v>
      </c>
      <c r="I25" s="37" t="n">
        <f aca="false">'Sales &amp; marketing'!I44/FX_EUR</f>
        <v>343.010288784173</v>
      </c>
      <c r="J25" s="37" t="n">
        <f aca="false">'Sales &amp; marketing'!J44/FX_EUR</f>
        <v>343.010288784173</v>
      </c>
      <c r="K25" s="37" t="n">
        <f aca="false">'Sales &amp; marketing'!K44/FX_EUR</f>
        <v>343.010288784173</v>
      </c>
      <c r="L25" s="37" t="n">
        <f aca="false">'Sales &amp; marketing'!L44/FX_EUR</f>
        <v>343.010288784173</v>
      </c>
      <c r="M25" s="37" t="n">
        <f aca="false">'Sales &amp; marketing'!M44/FX_EUR</f>
        <v>343.010288784173</v>
      </c>
      <c r="N25" s="37" t="n">
        <f aca="false">'Sales &amp; marketing'!N44/FX_EUR</f>
        <v>343.010288784173</v>
      </c>
      <c r="O25" s="37" t="n">
        <f aca="false">'Sales &amp; marketing'!O44/FX_EUR</f>
        <v>343.010288784173</v>
      </c>
      <c r="P25" s="37" t="n">
        <f aca="false">'Sales &amp; marketing'!P44/FX_EUR</f>
        <v>343.010288784173</v>
      </c>
      <c r="Q25" s="37" t="n">
        <f aca="false">'Sales &amp; marketing'!Q44/FX_EUR</f>
        <v>343.010288784173</v>
      </c>
      <c r="R25" s="37" t="n">
        <f aca="false">'Sales &amp; marketing'!R44/FX_EUR</f>
        <v>343.010288784173</v>
      </c>
      <c r="S25" s="37" t="n">
        <f aca="false">'Sales &amp; marketing'!S44/FX_EUR</f>
        <v>343.010288784173</v>
      </c>
      <c r="T25" s="37" t="n">
        <f aca="false">'Sales &amp; marketing'!T44/FX_EUR</f>
        <v>343.010288784173</v>
      </c>
      <c r="U25" s="37" t="n">
        <f aca="false">'Sales &amp; marketing'!U44/FX_EUR</f>
        <v>343.010288784173</v>
      </c>
      <c r="V25" s="37" t="n">
        <f aca="false">'Sales &amp; marketing'!V44/FX_EUR</f>
        <v>686.020577568347</v>
      </c>
      <c r="W25" s="37" t="n">
        <f aca="false">'Sales &amp; marketing'!W44/FX_EUR</f>
        <v>686.020577568347</v>
      </c>
      <c r="X25" s="37" t="n">
        <f aca="false">'Sales &amp; marketing'!X44/FX_EUR</f>
        <v>686.020577568347</v>
      </c>
      <c r="Y25" s="37" t="n">
        <f aca="false">'Sales &amp; marketing'!Y44/FX_EUR</f>
        <v>686.020577568347</v>
      </c>
      <c r="Z25" s="37" t="n">
        <f aca="false">'Sales &amp; marketing'!Z44/FX_EUR</f>
        <v>686.020577568347</v>
      </c>
      <c r="AA25" s="37" t="n">
        <f aca="false">'Sales &amp; marketing'!AA44/FX_EUR</f>
        <v>800.357340496405</v>
      </c>
      <c r="AB25" s="37" t="n">
        <f aca="false">'Sales &amp; marketing'!AB44/FX_EUR</f>
        <v>800.357340496405</v>
      </c>
      <c r="AC25" s="37" t="n">
        <f aca="false">'Sales &amp; marketing'!AC44/FX_EUR</f>
        <v>800.357340496405</v>
      </c>
      <c r="AD25" s="37" t="n">
        <f aca="false">'Sales &amp; marketing'!AD44/FX_EUR</f>
        <v>800.357340496405</v>
      </c>
      <c r="AE25" s="37" t="n">
        <f aca="false">'Sales &amp; marketing'!AE44/FX_EUR</f>
        <v>914.694103424462</v>
      </c>
      <c r="AF25" s="37" t="n">
        <f aca="false">'Sales &amp; marketing'!AF44/FX_EUR</f>
        <v>914.694103424462</v>
      </c>
      <c r="AG25" s="37" t="n">
        <f aca="false">'Sales &amp; marketing'!AG44/FX_EUR</f>
        <v>914.694103424462</v>
      </c>
      <c r="AH25" s="37" t="n">
        <f aca="false">'Sales &amp; marketing'!AH44/FX_EUR</f>
        <v>914.694103424462</v>
      </c>
      <c r="AI25" s="37" t="n">
        <f aca="false">'Sales &amp; marketing'!AI44/FX_EUR</f>
        <v>1029.03086635252</v>
      </c>
      <c r="AJ25" s="37" t="n">
        <f aca="false">'Sales &amp; marketing'!AJ44/FX_EUR</f>
        <v>1029.03086635252</v>
      </c>
      <c r="AK25" s="37" t="n">
        <f aca="false">'Sales &amp; marketing'!AK44/FX_EUR</f>
        <v>1029.03086635252</v>
      </c>
      <c r="AL25" s="37" t="n">
        <f aca="false">'Sales &amp; marketing'!AL44/FX_EUR</f>
        <v>1143.36762928058</v>
      </c>
      <c r="AM25" s="37" t="n">
        <f aca="false">'Sales &amp; marketing'!AM44/FX_EUR</f>
        <v>1257.70439220864</v>
      </c>
      <c r="AN25" s="37" t="n">
        <f aca="false">'Sales &amp; marketing'!AN44/FX_EUR</f>
        <v>1257.70439220864</v>
      </c>
      <c r="AO25" s="37" t="n">
        <f aca="false">'Sales &amp; marketing'!AO44/FX_EUR</f>
        <v>1372.04115513669</v>
      </c>
      <c r="AP25" s="37" t="n">
        <f aca="false">'Sales &amp; marketing'!AP44/FX_EUR</f>
        <v>1372.04115513669</v>
      </c>
      <c r="AQ25" s="37" t="n">
        <f aca="false">'Sales &amp; marketing'!AQ44/FX_EUR</f>
        <v>1486.37791806475</v>
      </c>
      <c r="AR25" s="37" t="n">
        <f aca="false">'Sales &amp; marketing'!AR44/FX_EUR</f>
        <v>1486.37791806475</v>
      </c>
      <c r="AS25" s="37" t="n">
        <f aca="false">'Sales &amp; marketing'!AS44/FX_EUR</f>
        <v>1715.05144392087</v>
      </c>
      <c r="AT25" s="37" t="n">
        <f aca="false">'Sales &amp; marketing'!AT44/FX_EUR</f>
        <v>1715.05144392087</v>
      </c>
      <c r="AU25" s="37" t="n">
        <f aca="false">'Sales &amp; marketing'!AU44/FX_EUR</f>
        <v>1715.05144392087</v>
      </c>
      <c r="AV25" s="37" t="n">
        <f aca="false">'Sales &amp; marketing'!AV44/FX_EUR</f>
        <v>1829.38820684892</v>
      </c>
      <c r="AW25" s="37" t="n">
        <f aca="false">'Sales &amp; marketing'!AW44/FX_EUR</f>
        <v>1829.38820684892</v>
      </c>
      <c r="AX25" s="37" t="n">
        <f aca="false">'Sales &amp; marketing'!AX44/FX_EUR</f>
        <v>2058.06173270504</v>
      </c>
      <c r="AY25" s="37" t="n">
        <f aca="false">'Sales &amp; marketing'!AY44/FX_EUR</f>
        <v>2058.06173270504</v>
      </c>
      <c r="AZ25" s="37" t="n">
        <f aca="false">'Sales &amp; marketing'!AZ44/FX_EUR</f>
        <v>2172.3984956331</v>
      </c>
      <c r="BA25" s="37" t="n">
        <f aca="false">'Sales &amp; marketing'!BA44/FX_EUR</f>
        <v>2172.3984956331</v>
      </c>
      <c r="BB25" s="37" t="n">
        <f aca="false">'Sales &amp; marketing'!BB44/FX_EUR</f>
        <v>2286.73525856116</v>
      </c>
      <c r="BC25" s="37" t="n">
        <f aca="false">'Sales &amp; marketing'!BC44/FX_EUR</f>
        <v>2401.07202148921</v>
      </c>
      <c r="BD25" s="37" t="n">
        <f aca="false">'Sales &amp; marketing'!BD44/FX_EUR</f>
        <v>2515.40878441727</v>
      </c>
      <c r="BE25" s="37" t="n">
        <f aca="false">'Sales &amp; marketing'!BE44/FX_EUR</f>
        <v>2515.40878441727</v>
      </c>
      <c r="BF25" s="37" t="n">
        <f aca="false">'Sales &amp; marketing'!BF44/FX_EUR</f>
        <v>2744.08231027339</v>
      </c>
      <c r="BG25" s="37" t="n">
        <f aca="false">'Sales &amp; marketing'!BG44/FX_EUR</f>
        <v>2744.08231027339</v>
      </c>
      <c r="BH25" s="37" t="n">
        <f aca="false">'Sales &amp; marketing'!BH44/FX_EUR</f>
        <v>2858.41907320144</v>
      </c>
      <c r="BI25" s="37" t="n">
        <f aca="false">'Sales &amp; marketing'!BI44/FX_EUR</f>
        <v>2858.41907320144</v>
      </c>
      <c r="BJ25" s="37" t="n">
        <f aca="false">'Sales &amp; marketing'!BJ44/FX_EUR</f>
        <v>3087.09259905756</v>
      </c>
      <c r="BK25" s="37" t="n">
        <f aca="false">'Sales &amp; marketing'!BK44/FX_EUR</f>
        <v>3201.42936198562</v>
      </c>
      <c r="BL25" s="37" t="n">
        <f aca="false">'Sales &amp; marketing'!BL44/FX_EUR</f>
        <v>3201.42936198562</v>
      </c>
    </row>
    <row r="26" customFormat="false" ht="15" hidden="false" customHeight="false" outlineLevel="0" collapsed="false">
      <c r="A26" s="8" t="s">
        <v>744</v>
      </c>
      <c r="B26" s="14" t="s">
        <v>73</v>
      </c>
      <c r="D26" s="55" t="n">
        <f aca="false">'Sales &amp; marketing'!D45/FX_EUR</f>
        <v>1002900.36009809</v>
      </c>
      <c r="E26" s="16" t="n">
        <f aca="false">'Sales &amp; marketing'!E45/FX_EUR</f>
        <v>3447.88860651943</v>
      </c>
      <c r="F26" s="16" t="n">
        <f aca="false">'Sales &amp; marketing'!F45/FX_EUR</f>
        <v>3447.88860651943</v>
      </c>
      <c r="G26" s="16" t="n">
        <f aca="false">'Sales &amp; marketing'!G45/FX_EUR</f>
        <v>3447.88860651943</v>
      </c>
      <c r="H26" s="16" t="n">
        <f aca="false">'Sales &amp; marketing'!H45/FX_EUR</f>
        <v>3676.56213237555</v>
      </c>
      <c r="I26" s="16" t="n">
        <f aca="false">'Sales &amp; marketing'!I45/FX_EUR</f>
        <v>6054.76680127915</v>
      </c>
      <c r="J26" s="16" t="n">
        <f aca="false">'Sales &amp; marketing'!J45/FX_EUR</f>
        <v>6077.63415386476</v>
      </c>
      <c r="K26" s="16" t="n">
        <f aca="false">'Sales &amp; marketing'!K45/FX_EUR</f>
        <v>6101.87354760551</v>
      </c>
      <c r="L26" s="16" t="n">
        <f aca="false">'Sales &amp; marketing'!L45/FX_EUR</f>
        <v>6127.5673049707</v>
      </c>
      <c r="M26" s="16" t="n">
        <f aca="false">'Sales &amp; marketing'!M45/FX_EUR</f>
        <v>6154.80268777781</v>
      </c>
      <c r="N26" s="16" t="n">
        <f aca="false">'Sales &amp; marketing'!N45/FX_EUR</f>
        <v>6183.67219355334</v>
      </c>
      <c r="O26" s="16" t="n">
        <f aca="false">'Sales &amp; marketing'!O45/FX_EUR</f>
        <v>6214.2738696754</v>
      </c>
      <c r="P26" s="16" t="n">
        <f aca="false">'Sales &amp; marketing'!P45/FX_EUR</f>
        <v>6246.71164636479</v>
      </c>
      <c r="Q26" s="16" t="n">
        <f aca="false">'Sales &amp; marketing'!Q45/FX_EUR</f>
        <v>8114.2951219354</v>
      </c>
      <c r="R26" s="16" t="n">
        <f aca="false">'Sales &amp; marketing'!R45/FX_EUR</f>
        <v>8150.74220782359</v>
      </c>
      <c r="S26" s="16" t="n">
        <f aca="false">'Sales &amp; marketing'!S45/FX_EUR</f>
        <v>8189.37611886508</v>
      </c>
      <c r="T26" s="16" t="n">
        <f aca="false">'Sales &amp; marketing'!T45/FX_EUR</f>
        <v>8230.32806456905</v>
      </c>
      <c r="U26" s="16" t="n">
        <f aca="false">'Sales &amp; marketing'!U45/FX_EUR</f>
        <v>8273.73712701527</v>
      </c>
      <c r="V26" s="16" t="n">
        <f aca="false">'Sales &amp; marketing'!V45/FX_EUR</f>
        <v>8662.76102199243</v>
      </c>
      <c r="W26" s="16" t="n">
        <f aca="false">'Sales &amp; marketing'!W45/FX_EUR</f>
        <v>10937.2910962232</v>
      </c>
      <c r="X26" s="16" t="n">
        <f aca="false">'Sales &amp; marketing'!X45/FX_EUR</f>
        <v>11002.712395693</v>
      </c>
      <c r="Y26" s="16" t="n">
        <f aca="false">'Sales &amp; marketing'!Y45/FX_EUR</f>
        <v>11072.058973131</v>
      </c>
      <c r="Z26" s="16" t="n">
        <f aca="false">'Sales &amp; marketing'!Z45/FX_EUR</f>
        <v>11145.5663452153</v>
      </c>
      <c r="AA26" s="16" t="n">
        <f aca="false">'Sales &amp; marketing'!AA45/FX_EUR</f>
        <v>11337.8209225527</v>
      </c>
      <c r="AB26" s="16" t="n">
        <f aca="false">'Sales &amp; marketing'!AB45/FX_EUR</f>
        <v>11420.4138058265</v>
      </c>
      <c r="AC26" s="16" t="n">
        <f aca="false">'Sales &amp; marketing'!AC45/FX_EUR</f>
        <v>16928.7952333638</v>
      </c>
      <c r="AD26" s="16" t="n">
        <f aca="false">'Sales &amp; marketing'!AD45/FX_EUR</f>
        <v>17021.5965970103</v>
      </c>
      <c r="AE26" s="16" t="n">
        <f aca="false">'Sales &amp; marketing'!AE45/FX_EUR</f>
        <v>17234.3028054037</v>
      </c>
      <c r="AF26" s="16" t="n">
        <f aca="false">'Sales &amp; marketing'!AF45/FX_EUR</f>
        <v>17338.574417597</v>
      </c>
      <c r="AG26" s="16" t="n">
        <f aca="false">'Sales &amp; marketing'!AG45/FX_EUR</f>
        <v>17449.1023265218</v>
      </c>
      <c r="AH26" s="16" t="n">
        <f aca="false">'Sales &amp; marketing'!AH45/FX_EUR</f>
        <v>17566.2619099822</v>
      </c>
      <c r="AI26" s="16" t="n">
        <f aca="false">'Sales &amp; marketing'!AI45/FX_EUR</f>
        <v>17804.7878313782</v>
      </c>
      <c r="AJ26" s="16" t="n">
        <f aca="false">'Sales &amp; marketing'!AJ45/FX_EUR</f>
        <v>17936.4283393543</v>
      </c>
      <c r="AK26" s="16" t="n">
        <f aca="false">'Sales &amp; marketing'!AK45/FX_EUR</f>
        <v>18075.9672778089</v>
      </c>
      <c r="AL26" s="16" t="n">
        <f aca="false">'Sales &amp; marketing'!AL45/FX_EUR</f>
        <v>18338.2153154988</v>
      </c>
      <c r="AM26" s="16" t="n">
        <f aca="false">'Sales &amp; marketing'!AM45/FX_EUR</f>
        <v>18609.3380296745</v>
      </c>
      <c r="AN26" s="16" t="n">
        <f aca="false">'Sales &amp; marketing'!AN45/FX_EUR</f>
        <v>18775.5311379969</v>
      </c>
      <c r="AO26" s="16" t="n">
        <f aca="false">'Sales &amp; marketing'!AO45/FX_EUR</f>
        <v>21901.5843163626</v>
      </c>
      <c r="AP26" s="16" t="n">
        <f aca="false">'Sales &amp; marketing'!AP45/FX_EUR</f>
        <v>22088.3188928737</v>
      </c>
      <c r="AQ26" s="16" t="n">
        <f aca="false">'Sales &amp; marketing'!AQ45/FX_EUR</f>
        <v>22400.5943069035</v>
      </c>
      <c r="AR26" s="16" t="n">
        <f aca="false">'Sales &amp; marketing'!AR45/FX_EUR</f>
        <v>22610.4092770714</v>
      </c>
      <c r="AS26" s="16" t="n">
        <f aca="false">'Sales &amp; marketing'!AS45/FX_EUR</f>
        <v>23005.3656146466</v>
      </c>
      <c r="AT26" s="16" t="n">
        <f aca="false">'Sales &amp; marketing'!AT45/FX_EUR</f>
        <v>23054.8076310428</v>
      </c>
      <c r="AU26" s="16" t="n">
        <f aca="false">'Sales &amp; marketing'!AU45/FX_EUR</f>
        <v>23107.2161684228</v>
      </c>
      <c r="AV26" s="16" t="n">
        <f aca="false">'Sales &amp; marketing'!AV45/FX_EUR</f>
        <v>23277.1059809736</v>
      </c>
      <c r="AW26" s="16" t="n">
        <f aca="false">'Sales &amp; marketing'!AW45/FX_EUR</f>
        <v>23335.9922135738</v>
      </c>
      <c r="AX26" s="16" t="n">
        <f aca="false">'Sales &amp; marketing'!AX45/FX_EUR</f>
        <v>23627.085145986</v>
      </c>
      <c r="AY26" s="16" t="n">
        <f aca="false">'Sales &amp; marketing'!AY45/FX_EUR</f>
        <v>23693.2497169356</v>
      </c>
      <c r="AZ26" s="16" t="n">
        <f aca="false">'Sales &amp; marketing'!AZ45/FX_EUR</f>
        <v>23877.7209250701</v>
      </c>
      <c r="BA26" s="16" t="n">
        <f aca="false">'Sales &amp; marketing'!BA45/FX_EUR</f>
        <v>26790.1559745588</v>
      </c>
      <c r="BB26" s="16" t="n">
        <f aca="false">'Sales &amp; marketing'!BB45/FX_EUR</f>
        <v>26983.2958001209</v>
      </c>
      <c r="BC26" s="16" t="n">
        <f aca="false">'Sales &amp; marketing'!BC45/FX_EUR</f>
        <v>27181.163809441</v>
      </c>
      <c r="BD26" s="16" t="n">
        <f aca="false">'Sales &amp; marketing'!BD45/FX_EUR</f>
        <v>27384.0436935446</v>
      </c>
      <c r="BE26" s="16" t="n">
        <f aca="false">'Sales &amp; marketing'!BE45/FX_EUR</f>
        <v>27477.8994019907</v>
      </c>
      <c r="BF26" s="16" t="n">
        <f aca="false">'Sales &amp; marketing'!BF45/FX_EUR</f>
        <v>27806.0599787997</v>
      </c>
      <c r="BG26" s="16" t="n">
        <f aca="false">'Sales &amp; marketing'!BG45/FX_EUR</f>
        <v>27911.5162528098</v>
      </c>
      <c r="BH26" s="16" t="n">
        <f aca="false">'Sales &amp; marketing'!BH45/FX_EUR</f>
        <v>28137.6366661885</v>
      </c>
      <c r="BI26" s="16" t="n">
        <f aca="false">'Sales &amp; marketing'!BI45/FX_EUR</f>
        <v>28256.1273356662</v>
      </c>
      <c r="BJ26" s="16" t="n">
        <f aca="false">'Sales &amp; marketing'!BJ45/FX_EUR</f>
        <v>28610.4009711686</v>
      </c>
      <c r="BK26" s="16" t="n">
        <f aca="false">'Sales &amp; marketing'!BK45/FX_EUR</f>
        <v>28792.5377222389</v>
      </c>
      <c r="BL26" s="16" t="n">
        <f aca="false">'Sales &amp; marketing'!BL45/FX_EUR</f>
        <v>28792.5377222389</v>
      </c>
    </row>
    <row r="28" customFormat="false" ht="15" hidden="false" customHeight="false" outlineLevel="0" collapsed="false">
      <c r="A28" s="10" t="s">
        <v>745</v>
      </c>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c r="BL28" s="11"/>
    </row>
    <row r="29" customFormat="false" ht="15" hidden="false" customHeight="false" outlineLevel="0" collapsed="false">
      <c r="A29" s="12" t="s">
        <v>746</v>
      </c>
      <c r="B29" s="14" t="s">
        <v>73</v>
      </c>
      <c r="D29" s="55" t="n">
        <f aca="false">'Sales &amp; marketing'!D48/FX_EUR</f>
        <v>893064.237251832</v>
      </c>
      <c r="E29" s="37" t="n">
        <f aca="false">'Sales &amp; marketing'!E48/FX_EUR</f>
        <v>2378.2046689036</v>
      </c>
      <c r="F29" s="37" t="n">
        <f aca="false">'Sales &amp; marketing'!F48/FX_EUR</f>
        <v>2378.2046689036</v>
      </c>
      <c r="G29" s="37" t="n">
        <f aca="false">'Sales &amp; marketing'!G48/FX_EUR</f>
        <v>2378.2046689036</v>
      </c>
      <c r="H29" s="37" t="n">
        <f aca="false">'Sales &amp; marketing'!H48/FX_EUR</f>
        <v>5747.32794985037</v>
      </c>
      <c r="I29" s="37" t="n">
        <f aca="false">'Sales &amp; marketing'!I48/FX_EUR</f>
        <v>6540.06283948491</v>
      </c>
      <c r="J29" s="37" t="n">
        <f aca="false">'Sales &amp; marketing'!J48/FX_EUR</f>
        <v>6540.06283948491</v>
      </c>
      <c r="K29" s="37" t="n">
        <f aca="false">'Sales &amp; marketing'!K48/FX_EUR</f>
        <v>6540.06283948491</v>
      </c>
      <c r="L29" s="37" t="n">
        <f aca="false">'Sales &amp; marketing'!L48/FX_EUR</f>
        <v>6540.06283948491</v>
      </c>
      <c r="M29" s="37" t="n">
        <f aca="false">'Sales &amp; marketing'!M48/FX_EUR</f>
        <v>6540.06283948491</v>
      </c>
      <c r="N29" s="37" t="n">
        <f aca="false">'Sales &amp; marketing'!N48/FX_EUR</f>
        <v>6540.06283948491</v>
      </c>
      <c r="O29" s="37" t="n">
        <f aca="false">'Sales &amp; marketing'!O48/FX_EUR</f>
        <v>6540.06283948491</v>
      </c>
      <c r="P29" s="37" t="n">
        <f aca="false">'Sales &amp; marketing'!P48/FX_EUR</f>
        <v>6540.06283948491</v>
      </c>
      <c r="Q29" s="37" t="n">
        <f aca="false">'Sales &amp; marketing'!Q48/FX_EUR</f>
        <v>6867.06598145915</v>
      </c>
      <c r="R29" s="37" t="n">
        <f aca="false">'Sales &amp; marketing'!R48/FX_EUR</f>
        <v>6867.06598145915</v>
      </c>
      <c r="S29" s="37" t="n">
        <f aca="false">'Sales &amp; marketing'!S48/FX_EUR</f>
        <v>6867.06598145915</v>
      </c>
      <c r="T29" s="37" t="n">
        <f aca="false">'Sales &amp; marketing'!T48/FX_EUR</f>
        <v>6867.06598145915</v>
      </c>
      <c r="U29" s="37" t="n">
        <f aca="false">'Sales &amp; marketing'!U48/FX_EUR</f>
        <v>6867.06598145915</v>
      </c>
      <c r="V29" s="37" t="n">
        <f aca="false">'Sales &amp; marketing'!V48/FX_EUR</f>
        <v>9572.273792337</v>
      </c>
      <c r="W29" s="37" t="n">
        <f aca="false">'Sales &amp; marketing'!W48/FX_EUR</f>
        <v>9572.273792337</v>
      </c>
      <c r="X29" s="37" t="n">
        <f aca="false">'Sales &amp; marketing'!X48/FX_EUR</f>
        <v>9572.273792337</v>
      </c>
      <c r="Y29" s="37" t="n">
        <f aca="false">'Sales &amp; marketing'!Y48/FX_EUR</f>
        <v>9572.273792337</v>
      </c>
      <c r="Z29" s="37" t="n">
        <f aca="false">'Sales &amp; marketing'!Z48/FX_EUR</f>
        <v>9572.273792337</v>
      </c>
      <c r="AA29" s="37" t="n">
        <f aca="false">'Sales &amp; marketing'!AA48/FX_EUR</f>
        <v>10404.6454264533</v>
      </c>
      <c r="AB29" s="37" t="n">
        <f aca="false">'Sales &amp; marketing'!AB48/FX_EUR</f>
        <v>10404.6454264533</v>
      </c>
      <c r="AC29" s="37" t="n">
        <f aca="false">'Sales &amp; marketing'!AC48/FX_EUR</f>
        <v>10924.8776977759</v>
      </c>
      <c r="AD29" s="37" t="n">
        <f aca="false">'Sales &amp; marketing'!AD48/FX_EUR</f>
        <v>10924.8776977759</v>
      </c>
      <c r="AE29" s="37" t="n">
        <f aca="false">'Sales &amp; marketing'!AE48/FX_EUR</f>
        <v>11798.867913598</v>
      </c>
      <c r="AF29" s="37" t="n">
        <f aca="false">'Sales &amp; marketing'!AF48/FX_EUR</f>
        <v>11798.867913598</v>
      </c>
      <c r="AG29" s="37" t="n">
        <f aca="false">'Sales &amp; marketing'!AG48/FX_EUR</f>
        <v>11798.867913598</v>
      </c>
      <c r="AH29" s="37" t="n">
        <f aca="false">'Sales &amp; marketing'!AH48/FX_EUR</f>
        <v>11798.867913598</v>
      </c>
      <c r="AI29" s="37" t="n">
        <f aca="false">'Sales &amp; marketing'!AI48/FX_EUR</f>
        <v>12672.8581294201</v>
      </c>
      <c r="AJ29" s="37" t="n">
        <f aca="false">'Sales &amp; marketing'!AJ48/FX_EUR</f>
        <v>12672.8581294201</v>
      </c>
      <c r="AK29" s="37" t="n">
        <f aca="false">'Sales &amp; marketing'!AK48/FX_EUR</f>
        <v>12672.8581294201</v>
      </c>
      <c r="AL29" s="37" t="n">
        <f aca="false">'Sales &amp; marketing'!AL48/FX_EUR</f>
        <v>13546.8483452421</v>
      </c>
      <c r="AM29" s="37" t="n">
        <f aca="false">'Sales &amp; marketing'!AM48/FX_EUR</f>
        <v>14530.087338042</v>
      </c>
      <c r="AN29" s="37" t="n">
        <f aca="false">'Sales &amp; marketing'!AN48/FX_EUR</f>
        <v>14530.087338042</v>
      </c>
      <c r="AO29" s="37" t="n">
        <f aca="false">'Sales &amp; marketing'!AO48/FX_EUR</f>
        <v>16174.2814315573</v>
      </c>
      <c r="AP29" s="37" t="n">
        <f aca="false">'Sales &amp; marketing'!AP48/FX_EUR</f>
        <v>16174.2814315573</v>
      </c>
      <c r="AQ29" s="37" t="n">
        <f aca="false">'Sales &amp; marketing'!AQ48/FX_EUR</f>
        <v>17091.9711581704</v>
      </c>
      <c r="AR29" s="37" t="n">
        <f aca="false">'Sales &amp; marketing'!AR48/FX_EUR</f>
        <v>17091.9711581704</v>
      </c>
      <c r="AS29" s="37" t="n">
        <f aca="false">'Sales &amp; marketing'!AS48/FX_EUR</f>
        <v>19042.0618272234</v>
      </c>
      <c r="AT29" s="37" t="n">
        <f aca="false">'Sales &amp; marketing'!AT48/FX_EUR</f>
        <v>19042.0618272234</v>
      </c>
      <c r="AU29" s="37" t="n">
        <f aca="false">'Sales &amp; marketing'!AU48/FX_EUR</f>
        <v>19042.0618272234</v>
      </c>
      <c r="AV29" s="37" t="n">
        <f aca="false">'Sales &amp; marketing'!AV48/FX_EUR</f>
        <v>19959.7515538366</v>
      </c>
      <c r="AW29" s="37" t="n">
        <f aca="false">'Sales &amp; marketing'!AW48/FX_EUR</f>
        <v>19959.7515538366</v>
      </c>
      <c r="AX29" s="37" t="n">
        <f aca="false">'Sales &amp; marketing'!AX48/FX_EUR</f>
        <v>21909.8422228896</v>
      </c>
      <c r="AY29" s="37" t="n">
        <f aca="false">'Sales &amp; marketing'!AY48/FX_EUR</f>
        <v>21909.8422228896</v>
      </c>
      <c r="AZ29" s="37" t="n">
        <f aca="false">'Sales &amp; marketing'!AZ48/FX_EUR</f>
        <v>22827.5319495028</v>
      </c>
      <c r="BA29" s="37" t="n">
        <f aca="false">'Sales &amp; marketing'!BA48/FX_EUR</f>
        <v>23968.9085469779</v>
      </c>
      <c r="BB29" s="37" t="n">
        <f aca="false">'Sales &amp; marketing'!BB48/FX_EUR</f>
        <v>24932.4827599218</v>
      </c>
      <c r="BC29" s="37" t="n">
        <f aca="false">'Sales &amp; marketing'!BC48/FX_EUR</f>
        <v>26016.5037494836</v>
      </c>
      <c r="BD29" s="37" t="n">
        <f aca="false">'Sales &amp; marketing'!BD48/FX_EUR</f>
        <v>26980.0779624274</v>
      </c>
      <c r="BE29" s="37" t="n">
        <f aca="false">'Sales &amp; marketing'!BE48/FX_EUR</f>
        <v>26980.0779624274</v>
      </c>
      <c r="BF29" s="37" t="n">
        <f aca="false">'Sales &amp; marketing'!BF48/FX_EUR</f>
        <v>29027.6731649331</v>
      </c>
      <c r="BG29" s="37" t="n">
        <f aca="false">'Sales &amp; marketing'!BG48/FX_EUR</f>
        <v>29027.6731649331</v>
      </c>
      <c r="BH29" s="37" t="n">
        <f aca="false">'Sales &amp; marketing'!BH48/FX_EUR</f>
        <v>29991.2473778769</v>
      </c>
      <c r="BI29" s="37" t="n">
        <f aca="false">'Sales &amp; marketing'!BI48/FX_EUR</f>
        <v>29991.2473778769</v>
      </c>
      <c r="BJ29" s="37" t="n">
        <f aca="false">'Sales &amp; marketing'!BJ48/FX_EUR</f>
        <v>32038.8425803826</v>
      </c>
      <c r="BK29" s="37" t="n">
        <f aca="false">'Sales &amp; marketing'!BK48/FX_EUR</f>
        <v>33002.4167933264</v>
      </c>
      <c r="BL29" s="37" t="n">
        <f aca="false">'Sales &amp; marketing'!BL48/FX_EUR</f>
        <v>33002.4167933264</v>
      </c>
    </row>
    <row r="30" customFormat="false" ht="15" hidden="false" customHeight="false" outlineLevel="0" collapsed="false">
      <c r="A30" s="12" t="s">
        <v>747</v>
      </c>
      <c r="B30" s="14" t="s">
        <v>73</v>
      </c>
      <c r="E30" s="37" t="n">
        <f aca="false">'Sales &amp; marketing'!E49/FX_EUR</f>
        <v>0</v>
      </c>
      <c r="F30" s="37" t="n">
        <f aca="false">'Sales &amp; marketing'!F49/FX_EUR</f>
        <v>0</v>
      </c>
      <c r="G30" s="37" t="n">
        <f aca="false">'Sales &amp; marketing'!G49/FX_EUR</f>
        <v>0</v>
      </c>
      <c r="H30" s="37" t="n">
        <f aca="false">'Sales &amp; marketing'!H49/FX_EUR</f>
        <v>0</v>
      </c>
      <c r="I30" s="37" t="n">
        <f aca="false">'Sales &amp; marketing'!I49/FX_EUR</f>
        <v>219.167569154827</v>
      </c>
      <c r="J30" s="37" t="n">
        <f aca="false">'Sales &amp; marketing'!J49/FX_EUR</f>
        <v>217.296733524966</v>
      </c>
      <c r="K30" s="37" t="n">
        <f aca="false">'Sales &amp; marketing'!K49/FX_EUR</f>
        <v>215.355402146815</v>
      </c>
      <c r="L30" s="37" t="n">
        <f aca="false">'Sales &amp; marketing'!L49/FX_EUR</f>
        <v>213.34299684909</v>
      </c>
      <c r="M30" s="37" t="n">
        <f aca="false">'Sales &amp; marketing'!M49/FX_EUR</f>
        <v>211.259146327056</v>
      </c>
      <c r="N30" s="37" t="n">
        <f aca="false">'Sales &amp; marketing'!N49/FX_EUR</f>
        <v>209.103703439068</v>
      </c>
      <c r="O30" s="37" t="n">
        <f aca="false">'Sales &amp; marketing'!O49/FX_EUR</f>
        <v>206.876761974707</v>
      </c>
      <c r="P30" s="37" t="n">
        <f aca="false">'Sales &amp; marketing'!P49/FX_EUR</f>
        <v>204.578672628477</v>
      </c>
      <c r="Q30" s="37" t="n">
        <f aca="false">'Sales &amp; marketing'!Q49/FX_EUR</f>
        <v>185.248238512695</v>
      </c>
      <c r="R30" s="37" t="n">
        <f aca="false">'Sales &amp; marketing'!R49/FX_EUR</f>
        <v>183.528689804462</v>
      </c>
      <c r="S30" s="37" t="n">
        <f aca="false">'Sales &amp; marketing'!S49/FX_EUR</f>
        <v>181.749312889524</v>
      </c>
      <c r="T30" s="37" t="n">
        <f aca="false">'Sales &amp; marketing'!T49/FX_EUR</f>
        <v>179.910108557275</v>
      </c>
      <c r="U30" s="37" t="n">
        <f aca="false">'Sales &amp; marketing'!U49/FX_EUR</f>
        <v>178.01128742472</v>
      </c>
      <c r="V30" s="37" t="n">
        <f aca="false">'Sales &amp; marketing'!V49/FX_EUR</f>
        <v>211.389773156359</v>
      </c>
      <c r="W30" s="37" t="n">
        <f aca="false">'Sales &amp; marketing'!W49/FX_EUR</f>
        <v>147.541231518761</v>
      </c>
      <c r="X30" s="37" t="n">
        <f aca="false">'Sales &amp; marketing'!X49/FX_EUR</f>
        <v>146.206438841509</v>
      </c>
      <c r="Y30" s="37" t="n">
        <f aca="false">'Sales &amp; marketing'!Y49/FX_EUR</f>
        <v>144.826657146363</v>
      </c>
      <c r="Z30" s="37" t="n">
        <f aca="false">'Sales &amp; marketing'!Z49/FX_EUR</f>
        <v>143.4020335612</v>
      </c>
      <c r="AA30" s="37" t="n">
        <f aca="false">'Sales &amp; marketing'!AA49/FX_EUR</f>
        <v>148.394250278844</v>
      </c>
      <c r="AB30" s="37" t="n">
        <f aca="false">'Sales &amp; marketing'!AB49/FX_EUR</f>
        <v>137.536700397642</v>
      </c>
      <c r="AC30" s="37" t="n">
        <f aca="false">'Sales &amp; marketing'!AC49/FX_EUR</f>
        <v>142.074958811775</v>
      </c>
      <c r="AD30" s="37" t="n">
        <f aca="false">'Sales &amp; marketing'!AD49/FX_EUR</f>
        <v>140.799572941856</v>
      </c>
      <c r="AE30" s="37" t="n">
        <f aca="false">'Sales &amp; marketing'!AE49/FX_EUR</f>
        <v>144.396847046627</v>
      </c>
      <c r="AF30" s="37" t="n">
        <f aca="false">'Sales &amp; marketing'!AF49/FX_EUR</f>
        <v>136.28297942368</v>
      </c>
      <c r="AG30" s="37" t="n">
        <f aca="false">'Sales &amp; marketing'!AG49/FX_EUR</f>
        <v>134.969182621529</v>
      </c>
      <c r="AH30" s="37" t="n">
        <f aca="false">'Sales &amp; marketing'!AH49/FX_EUR</f>
        <v>133.614413598422</v>
      </c>
      <c r="AI30" s="37" t="n">
        <f aca="false">'Sales &amp; marketing'!AI49/FX_EUR</f>
        <v>136.650422602995</v>
      </c>
      <c r="AJ30" s="37" t="n">
        <f aca="false">'Sales &amp; marketing'!AJ49/FX_EUR</f>
        <v>129.432892424441</v>
      </c>
      <c r="AK30" s="37" t="n">
        <f aca="false">'Sales &amp; marketing'!AK49/FX_EUR</f>
        <v>128.040636709966</v>
      </c>
      <c r="AL30" s="37" t="n">
        <f aca="false">'Sales &amp; marketing'!AL49/FX_EUR</f>
        <v>130.660481925428</v>
      </c>
      <c r="AM30" s="37" t="n">
        <f aca="false">'Sales &amp; marketing'!AM49/FX_EUR</f>
        <v>128.375888482023</v>
      </c>
      <c r="AN30" s="37" t="n">
        <f aca="false">'Sales &amp; marketing'!AN49/FX_EUR</f>
        <v>122.670680619536</v>
      </c>
      <c r="AO30" s="37" t="n">
        <f aca="false">'Sales &amp; marketing'!AO49/FX_EUR</f>
        <v>129.689179448856</v>
      </c>
      <c r="AP30" s="37" t="n">
        <f aca="false">'Sales &amp; marketing'!AP49/FX_EUR</f>
        <v>124.030760866954</v>
      </c>
      <c r="AQ30" s="37" t="n">
        <f aca="false">'Sales &amp; marketing'!AQ49/FX_EUR</f>
        <v>125.898239772288</v>
      </c>
      <c r="AR30" s="37" t="n">
        <f aca="false">'Sales &amp; marketing'!AR49/FX_EUR</f>
        <v>120.605697418938</v>
      </c>
      <c r="AS30" s="37" t="n">
        <f aca="false">'Sales &amp; marketing'!AS49/FX_EUR</f>
        <v>126.058620559898</v>
      </c>
      <c r="AT30" s="37" t="n">
        <f aca="false">'Sales &amp; marketing'!AT49/FX_EUR</f>
        <v>118.967504854444</v>
      </c>
      <c r="AU30" s="37" t="n">
        <f aca="false">'Sales &amp; marketing'!AU49/FX_EUR</f>
        <v>118.654508173064</v>
      </c>
      <c r="AV30" s="37" t="n">
        <f aca="false">'Sales &amp; marketing'!AV49/FX_EUR</f>
        <v>121.218753678199</v>
      </c>
      <c r="AW30" s="37" t="n">
        <f aca="false">'Sales &amp; marketing'!AW49/FX_EUR</f>
        <v>117.578109172781</v>
      </c>
      <c r="AX30" s="37" t="n">
        <f aca="false">'Sales &amp; marketing'!AX49/FX_EUR</f>
        <v>123.116896118952</v>
      </c>
      <c r="AY30" s="37" t="n">
        <f aca="false">'Sales &amp; marketing'!AY49/FX_EUR</f>
        <v>116.75035519862</v>
      </c>
      <c r="AZ30" s="37" t="n">
        <f aca="false">'Sales &amp; marketing'!AZ49/FX_EUR</f>
        <v>119.011357676233</v>
      </c>
      <c r="BA30" s="37" t="n">
        <f aca="false">'Sales &amp; marketing'!BA49/FX_EUR</f>
        <v>120.283773696966</v>
      </c>
      <c r="BB30" s="37" t="n">
        <f aca="false">'Sales &amp; marketing'!BB49/FX_EUR</f>
        <v>122.424990329672</v>
      </c>
      <c r="BC30" s="37" t="n">
        <f aca="false">'Sales &amp; marketing'!BC49/FX_EUR</f>
        <v>121.942056281515</v>
      </c>
      <c r="BD30" s="37" t="n">
        <f aca="false">'Sales &amp; marketing'!BD49/FX_EUR</f>
        <v>121.463205496988</v>
      </c>
      <c r="BE30" s="37" t="n">
        <f aca="false">'Sales &amp; marketing'!BE49/FX_EUR</f>
        <v>118.37674621744</v>
      </c>
      <c r="BF30" s="37" t="n">
        <f aca="false">'Sales &amp; marketing'!BF49/FX_EUR</f>
        <v>122.843944814084</v>
      </c>
      <c r="BG30" s="37" t="n">
        <f aca="false">'Sales &amp; marketing'!BG49/FX_EUR</f>
        <v>117.541720454967</v>
      </c>
      <c r="BH30" s="37" t="n">
        <f aca="false">'Sales &amp; marketing'!BH49/FX_EUR</f>
        <v>119.275471865158</v>
      </c>
      <c r="BI30" s="37" t="n">
        <f aca="false">'Sales &amp; marketing'!BI49/FX_EUR</f>
        <v>116.387940815402</v>
      </c>
      <c r="BJ30" s="37" t="n">
        <f aca="false">'Sales &amp; marketing'!BJ49/FX_EUR</f>
        <v>120.394474309051</v>
      </c>
      <c r="BK30" s="37" t="n">
        <f aca="false">'Sales &amp; marketing'!BK49/FX_EUR</f>
        <v>117.809394729725</v>
      </c>
      <c r="BL30" s="37" t="n">
        <f aca="false">'Sales &amp; marketing'!BL49/FX_EUR</f>
        <v>115.605427504799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L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16"/>
    <col collapsed="false" customWidth="true" hidden="false" outlineLevel="0" max="3" min="3" style="0" width="3"/>
    <col collapsed="false" customWidth="true" hidden="false" outlineLevel="0" max="4" min="4" style="0" width="16"/>
    <col collapsed="false" customWidth="true" hidden="false" outlineLevel="0" max="64" min="5" style="0" width="12"/>
  </cols>
  <sheetData>
    <row r="1" customFormat="false" ht="17.35" hidden="false" customHeight="false" outlineLevel="0" collapsed="false">
      <c r="A1" s="7" t="s">
        <v>24</v>
      </c>
    </row>
    <row r="2" customFormat="false" ht="15" hidden="false" customHeight="false" outlineLevel="0" collapsed="false">
      <c r="A2" s="2" t="s">
        <v>750</v>
      </c>
    </row>
    <row r="3" customFormat="false" ht="15" hidden="false" customHeight="false" outlineLevel="0" collapsed="false">
      <c r="A3" s="8" t="s">
        <v>680</v>
      </c>
      <c r="D3" s="8" t="s">
        <v>681</v>
      </c>
      <c r="E3" s="20" t="n">
        <v>1</v>
      </c>
      <c r="F3" s="20" t="n">
        <f aca="false">E3+1</f>
        <v>2</v>
      </c>
      <c r="G3" s="20" t="n">
        <f aca="false">F3+1</f>
        <v>3</v>
      </c>
      <c r="H3" s="20" t="n">
        <f aca="false">G3+1</f>
        <v>4</v>
      </c>
      <c r="I3" s="20" t="n">
        <f aca="false">H3+1</f>
        <v>5</v>
      </c>
      <c r="J3" s="20" t="n">
        <f aca="false">I3+1</f>
        <v>6</v>
      </c>
      <c r="K3" s="20" t="n">
        <f aca="false">J3+1</f>
        <v>7</v>
      </c>
      <c r="L3" s="20" t="n">
        <f aca="false">K3+1</f>
        <v>8</v>
      </c>
      <c r="M3" s="20" t="n">
        <f aca="false">L3+1</f>
        <v>9</v>
      </c>
      <c r="N3" s="20" t="n">
        <f aca="false">M3+1</f>
        <v>10</v>
      </c>
      <c r="O3" s="20" t="n">
        <f aca="false">N3+1</f>
        <v>11</v>
      </c>
      <c r="P3" s="20" t="n">
        <f aca="false">O3+1</f>
        <v>12</v>
      </c>
      <c r="Q3" s="20" t="n">
        <f aca="false">P3+1</f>
        <v>13</v>
      </c>
      <c r="R3" s="20" t="n">
        <f aca="false">Q3+1</f>
        <v>14</v>
      </c>
      <c r="S3" s="20" t="n">
        <f aca="false">R3+1</f>
        <v>15</v>
      </c>
      <c r="T3" s="20" t="n">
        <f aca="false">S3+1</f>
        <v>16</v>
      </c>
      <c r="U3" s="20" t="n">
        <f aca="false">T3+1</f>
        <v>17</v>
      </c>
      <c r="V3" s="20" t="n">
        <f aca="false">U3+1</f>
        <v>18</v>
      </c>
      <c r="W3" s="20" t="n">
        <f aca="false">V3+1</f>
        <v>19</v>
      </c>
      <c r="X3" s="20" t="n">
        <f aca="false">W3+1</f>
        <v>20</v>
      </c>
      <c r="Y3" s="20" t="n">
        <f aca="false">X3+1</f>
        <v>21</v>
      </c>
      <c r="Z3" s="20" t="n">
        <f aca="false">Y3+1</f>
        <v>22</v>
      </c>
      <c r="AA3" s="20" t="n">
        <f aca="false">Z3+1</f>
        <v>23</v>
      </c>
      <c r="AB3" s="20" t="n">
        <f aca="false">AA3+1</f>
        <v>24</v>
      </c>
      <c r="AC3" s="20" t="n">
        <f aca="false">AB3+1</f>
        <v>25</v>
      </c>
      <c r="AD3" s="20" t="n">
        <f aca="false">AC3+1</f>
        <v>26</v>
      </c>
      <c r="AE3" s="20" t="n">
        <f aca="false">AD3+1</f>
        <v>27</v>
      </c>
      <c r="AF3" s="20" t="n">
        <f aca="false">AE3+1</f>
        <v>28</v>
      </c>
      <c r="AG3" s="20" t="n">
        <f aca="false">AF3+1</f>
        <v>29</v>
      </c>
      <c r="AH3" s="20" t="n">
        <f aca="false">AG3+1</f>
        <v>30</v>
      </c>
      <c r="AI3" s="20" t="n">
        <f aca="false">AH3+1</f>
        <v>31</v>
      </c>
      <c r="AJ3" s="20" t="n">
        <f aca="false">AI3+1</f>
        <v>32</v>
      </c>
      <c r="AK3" s="20" t="n">
        <f aca="false">AJ3+1</f>
        <v>33</v>
      </c>
      <c r="AL3" s="20" t="n">
        <f aca="false">AK3+1</f>
        <v>34</v>
      </c>
      <c r="AM3" s="20" t="n">
        <f aca="false">AL3+1</f>
        <v>35</v>
      </c>
      <c r="AN3" s="20" t="n">
        <f aca="false">AM3+1</f>
        <v>36</v>
      </c>
      <c r="AO3" s="20" t="n">
        <f aca="false">AN3+1</f>
        <v>37</v>
      </c>
      <c r="AP3" s="20" t="n">
        <f aca="false">AO3+1</f>
        <v>38</v>
      </c>
      <c r="AQ3" s="20" t="n">
        <f aca="false">AP3+1</f>
        <v>39</v>
      </c>
      <c r="AR3" s="20" t="n">
        <f aca="false">AQ3+1</f>
        <v>40</v>
      </c>
      <c r="AS3" s="20" t="n">
        <f aca="false">AR3+1</f>
        <v>41</v>
      </c>
      <c r="AT3" s="20" t="n">
        <f aca="false">AS3+1</f>
        <v>42</v>
      </c>
      <c r="AU3" s="20" t="n">
        <f aca="false">AT3+1</f>
        <v>43</v>
      </c>
      <c r="AV3" s="20" t="n">
        <f aca="false">AU3+1</f>
        <v>44</v>
      </c>
      <c r="AW3" s="20" t="n">
        <f aca="false">AV3+1</f>
        <v>45</v>
      </c>
      <c r="AX3" s="20" t="n">
        <f aca="false">AW3+1</f>
        <v>46</v>
      </c>
      <c r="AY3" s="20" t="n">
        <f aca="false">AX3+1</f>
        <v>47</v>
      </c>
      <c r="AZ3" s="20" t="n">
        <f aca="false">AY3+1</f>
        <v>48</v>
      </c>
      <c r="BA3" s="20" t="n">
        <f aca="false">AZ3+1</f>
        <v>49</v>
      </c>
      <c r="BB3" s="20" t="n">
        <f aca="false">BA3+1</f>
        <v>50</v>
      </c>
      <c r="BC3" s="20" t="n">
        <f aca="false">BB3+1</f>
        <v>51</v>
      </c>
      <c r="BD3" s="20" t="n">
        <f aca="false">BC3+1</f>
        <v>52</v>
      </c>
      <c r="BE3" s="20" t="n">
        <f aca="false">BD3+1</f>
        <v>53</v>
      </c>
      <c r="BF3" s="20" t="n">
        <f aca="false">BE3+1</f>
        <v>54</v>
      </c>
      <c r="BG3" s="20" t="n">
        <f aca="false">BF3+1</f>
        <v>55</v>
      </c>
      <c r="BH3" s="20" t="n">
        <f aca="false">BG3+1</f>
        <v>56</v>
      </c>
      <c r="BI3" s="20" t="n">
        <f aca="false">BH3+1</f>
        <v>57</v>
      </c>
      <c r="BJ3" s="20" t="n">
        <f aca="false">BI3+1</f>
        <v>58</v>
      </c>
      <c r="BK3" s="20" t="n">
        <f aca="false">BJ3+1</f>
        <v>59</v>
      </c>
      <c r="BL3" s="20" t="n">
        <f aca="false">BK3+1</f>
        <v>60</v>
      </c>
    </row>
    <row r="4" customFormat="false" ht="15" hidden="false" customHeight="false" outlineLevel="0" collapsed="false">
      <c r="A4" s="8" t="s">
        <v>682</v>
      </c>
      <c r="E4" s="53" t="n">
        <f aca="false">DATE(YEAR(Start_Date),MONTH(Start_Date)+E3-1,1)</f>
        <v>46388</v>
      </c>
      <c r="F4" s="53" t="n">
        <f aca="false">DATE(YEAR(Start_Date),MONTH(Start_Date)+F3-1,1)</f>
        <v>46419</v>
      </c>
      <c r="G4" s="53" t="n">
        <f aca="false">DATE(YEAR(Start_Date),MONTH(Start_Date)+G3-1,1)</f>
        <v>46447</v>
      </c>
      <c r="H4" s="53" t="n">
        <f aca="false">DATE(YEAR(Start_Date),MONTH(Start_Date)+H3-1,1)</f>
        <v>46478</v>
      </c>
      <c r="I4" s="53" t="n">
        <f aca="false">DATE(YEAR(Start_Date),MONTH(Start_Date)+I3-1,1)</f>
        <v>46508</v>
      </c>
      <c r="J4" s="53" t="n">
        <f aca="false">DATE(YEAR(Start_Date),MONTH(Start_Date)+J3-1,1)</f>
        <v>46539</v>
      </c>
      <c r="K4" s="53" t="n">
        <f aca="false">DATE(YEAR(Start_Date),MONTH(Start_Date)+K3-1,1)</f>
        <v>46569</v>
      </c>
      <c r="L4" s="53" t="n">
        <f aca="false">DATE(YEAR(Start_Date),MONTH(Start_Date)+L3-1,1)</f>
        <v>46600</v>
      </c>
      <c r="M4" s="53" t="n">
        <f aca="false">DATE(YEAR(Start_Date),MONTH(Start_Date)+M3-1,1)</f>
        <v>46631</v>
      </c>
      <c r="N4" s="53" t="n">
        <f aca="false">DATE(YEAR(Start_Date),MONTH(Start_Date)+N3-1,1)</f>
        <v>46661</v>
      </c>
      <c r="O4" s="53" t="n">
        <f aca="false">DATE(YEAR(Start_Date),MONTH(Start_Date)+O3-1,1)</f>
        <v>46692</v>
      </c>
      <c r="P4" s="53" t="n">
        <f aca="false">DATE(YEAR(Start_Date),MONTH(Start_Date)+P3-1,1)</f>
        <v>46722</v>
      </c>
      <c r="Q4" s="53" t="n">
        <f aca="false">DATE(YEAR(Start_Date),MONTH(Start_Date)+Q3-1,1)</f>
        <v>46753</v>
      </c>
      <c r="R4" s="53" t="n">
        <f aca="false">DATE(YEAR(Start_Date),MONTH(Start_Date)+R3-1,1)</f>
        <v>46784</v>
      </c>
      <c r="S4" s="53" t="n">
        <f aca="false">DATE(YEAR(Start_Date),MONTH(Start_Date)+S3-1,1)</f>
        <v>46813</v>
      </c>
      <c r="T4" s="53" t="n">
        <f aca="false">DATE(YEAR(Start_Date),MONTH(Start_Date)+T3-1,1)</f>
        <v>46844</v>
      </c>
      <c r="U4" s="53" t="n">
        <f aca="false">DATE(YEAR(Start_Date),MONTH(Start_Date)+U3-1,1)</f>
        <v>46874</v>
      </c>
      <c r="V4" s="53" t="n">
        <f aca="false">DATE(YEAR(Start_Date),MONTH(Start_Date)+V3-1,1)</f>
        <v>46905</v>
      </c>
      <c r="W4" s="53" t="n">
        <f aca="false">DATE(YEAR(Start_Date),MONTH(Start_Date)+W3-1,1)</f>
        <v>46935</v>
      </c>
      <c r="X4" s="53" t="n">
        <f aca="false">DATE(YEAR(Start_Date),MONTH(Start_Date)+X3-1,1)</f>
        <v>46966</v>
      </c>
      <c r="Y4" s="53" t="n">
        <f aca="false">DATE(YEAR(Start_Date),MONTH(Start_Date)+Y3-1,1)</f>
        <v>46997</v>
      </c>
      <c r="Z4" s="53" t="n">
        <f aca="false">DATE(YEAR(Start_Date),MONTH(Start_Date)+Z3-1,1)</f>
        <v>47027</v>
      </c>
      <c r="AA4" s="53" t="n">
        <f aca="false">DATE(YEAR(Start_Date),MONTH(Start_Date)+AA3-1,1)</f>
        <v>47058</v>
      </c>
      <c r="AB4" s="53" t="n">
        <f aca="false">DATE(YEAR(Start_Date),MONTH(Start_Date)+AB3-1,1)</f>
        <v>47088</v>
      </c>
      <c r="AC4" s="53" t="n">
        <f aca="false">DATE(YEAR(Start_Date),MONTH(Start_Date)+AC3-1,1)</f>
        <v>47119</v>
      </c>
      <c r="AD4" s="53" t="n">
        <f aca="false">DATE(YEAR(Start_Date),MONTH(Start_Date)+AD3-1,1)</f>
        <v>47150</v>
      </c>
      <c r="AE4" s="53" t="n">
        <f aca="false">DATE(YEAR(Start_Date),MONTH(Start_Date)+AE3-1,1)</f>
        <v>47178</v>
      </c>
      <c r="AF4" s="53" t="n">
        <f aca="false">DATE(YEAR(Start_Date),MONTH(Start_Date)+AF3-1,1)</f>
        <v>47209</v>
      </c>
      <c r="AG4" s="53" t="n">
        <f aca="false">DATE(YEAR(Start_Date),MONTH(Start_Date)+AG3-1,1)</f>
        <v>47239</v>
      </c>
      <c r="AH4" s="53" t="n">
        <f aca="false">DATE(YEAR(Start_Date),MONTH(Start_Date)+AH3-1,1)</f>
        <v>47270</v>
      </c>
      <c r="AI4" s="53" t="n">
        <f aca="false">DATE(YEAR(Start_Date),MONTH(Start_Date)+AI3-1,1)</f>
        <v>47300</v>
      </c>
      <c r="AJ4" s="53" t="n">
        <f aca="false">DATE(YEAR(Start_Date),MONTH(Start_Date)+AJ3-1,1)</f>
        <v>47331</v>
      </c>
      <c r="AK4" s="53" t="n">
        <f aca="false">DATE(YEAR(Start_Date),MONTH(Start_Date)+AK3-1,1)</f>
        <v>47362</v>
      </c>
      <c r="AL4" s="53" t="n">
        <f aca="false">DATE(YEAR(Start_Date),MONTH(Start_Date)+AL3-1,1)</f>
        <v>47392</v>
      </c>
      <c r="AM4" s="53" t="n">
        <f aca="false">DATE(YEAR(Start_Date),MONTH(Start_Date)+AM3-1,1)</f>
        <v>47423</v>
      </c>
      <c r="AN4" s="53" t="n">
        <f aca="false">DATE(YEAR(Start_Date),MONTH(Start_Date)+AN3-1,1)</f>
        <v>47453</v>
      </c>
      <c r="AO4" s="53" t="n">
        <f aca="false">DATE(YEAR(Start_Date),MONTH(Start_Date)+AO3-1,1)</f>
        <v>47484</v>
      </c>
      <c r="AP4" s="53" t="n">
        <f aca="false">DATE(YEAR(Start_Date),MONTH(Start_Date)+AP3-1,1)</f>
        <v>47515</v>
      </c>
      <c r="AQ4" s="53" t="n">
        <f aca="false">DATE(YEAR(Start_Date),MONTH(Start_Date)+AQ3-1,1)</f>
        <v>47543</v>
      </c>
      <c r="AR4" s="53" t="n">
        <f aca="false">DATE(YEAR(Start_Date),MONTH(Start_Date)+AR3-1,1)</f>
        <v>47574</v>
      </c>
      <c r="AS4" s="53" t="n">
        <f aca="false">DATE(YEAR(Start_Date),MONTH(Start_Date)+AS3-1,1)</f>
        <v>47604</v>
      </c>
      <c r="AT4" s="53" t="n">
        <f aca="false">DATE(YEAR(Start_Date),MONTH(Start_Date)+AT3-1,1)</f>
        <v>47635</v>
      </c>
      <c r="AU4" s="53" t="n">
        <f aca="false">DATE(YEAR(Start_Date),MONTH(Start_Date)+AU3-1,1)</f>
        <v>47665</v>
      </c>
      <c r="AV4" s="53" t="n">
        <f aca="false">DATE(YEAR(Start_Date),MONTH(Start_Date)+AV3-1,1)</f>
        <v>47696</v>
      </c>
      <c r="AW4" s="53" t="n">
        <f aca="false">DATE(YEAR(Start_Date),MONTH(Start_Date)+AW3-1,1)</f>
        <v>47727</v>
      </c>
      <c r="AX4" s="53" t="n">
        <f aca="false">DATE(YEAR(Start_Date),MONTH(Start_Date)+AX3-1,1)</f>
        <v>47757</v>
      </c>
      <c r="AY4" s="53" t="n">
        <f aca="false">DATE(YEAR(Start_Date),MONTH(Start_Date)+AY3-1,1)</f>
        <v>47788</v>
      </c>
      <c r="AZ4" s="53" t="n">
        <f aca="false">DATE(YEAR(Start_Date),MONTH(Start_Date)+AZ3-1,1)</f>
        <v>47818</v>
      </c>
      <c r="BA4" s="53" t="n">
        <f aca="false">DATE(YEAR(Start_Date),MONTH(Start_Date)+BA3-1,1)</f>
        <v>47849</v>
      </c>
      <c r="BB4" s="53" t="n">
        <f aca="false">DATE(YEAR(Start_Date),MONTH(Start_Date)+BB3-1,1)</f>
        <v>47880</v>
      </c>
      <c r="BC4" s="53" t="n">
        <f aca="false">DATE(YEAR(Start_Date),MONTH(Start_Date)+BC3-1,1)</f>
        <v>47908</v>
      </c>
      <c r="BD4" s="53" t="n">
        <f aca="false">DATE(YEAR(Start_Date),MONTH(Start_Date)+BD3-1,1)</f>
        <v>47939</v>
      </c>
      <c r="BE4" s="53" t="n">
        <f aca="false">DATE(YEAR(Start_Date),MONTH(Start_Date)+BE3-1,1)</f>
        <v>47969</v>
      </c>
      <c r="BF4" s="53" t="n">
        <f aca="false">DATE(YEAR(Start_Date),MONTH(Start_Date)+BF3-1,1)</f>
        <v>48000</v>
      </c>
      <c r="BG4" s="53" t="n">
        <f aca="false">DATE(YEAR(Start_Date),MONTH(Start_Date)+BG3-1,1)</f>
        <v>48030</v>
      </c>
      <c r="BH4" s="53" t="n">
        <f aca="false">DATE(YEAR(Start_Date),MONTH(Start_Date)+BH3-1,1)</f>
        <v>48061</v>
      </c>
      <c r="BI4" s="53" t="n">
        <f aca="false">DATE(YEAR(Start_Date),MONTH(Start_Date)+BI3-1,1)</f>
        <v>48092</v>
      </c>
      <c r="BJ4" s="53" t="n">
        <f aca="false">DATE(YEAR(Start_Date),MONTH(Start_Date)+BJ3-1,1)</f>
        <v>48122</v>
      </c>
      <c r="BK4" s="53" t="n">
        <f aca="false">DATE(YEAR(Start_Date),MONTH(Start_Date)+BK3-1,1)</f>
        <v>48153</v>
      </c>
      <c r="BL4" s="53" t="n">
        <f aca="false">DATE(YEAR(Start_Date),MONTH(Start_Date)+BL3-1,1)</f>
        <v>48183</v>
      </c>
    </row>
    <row r="5" customFormat="false" ht="15" hidden="false" customHeight="false" outlineLevel="0" collapsed="false">
      <c r="A5" s="8" t="s">
        <v>81</v>
      </c>
      <c r="E5" s="54" t="n">
        <f aca="false">INT((E3-1)/12)+1</f>
        <v>1</v>
      </c>
      <c r="F5" s="54" t="n">
        <f aca="false">INT((F3-1)/12)+1</f>
        <v>1</v>
      </c>
      <c r="G5" s="54" t="n">
        <f aca="false">INT((G3-1)/12)+1</f>
        <v>1</v>
      </c>
      <c r="H5" s="54" t="n">
        <f aca="false">INT((H3-1)/12)+1</f>
        <v>1</v>
      </c>
      <c r="I5" s="54" t="n">
        <f aca="false">INT((I3-1)/12)+1</f>
        <v>1</v>
      </c>
      <c r="J5" s="54" t="n">
        <f aca="false">INT((J3-1)/12)+1</f>
        <v>1</v>
      </c>
      <c r="K5" s="54" t="n">
        <f aca="false">INT((K3-1)/12)+1</f>
        <v>1</v>
      </c>
      <c r="L5" s="54" t="n">
        <f aca="false">INT((L3-1)/12)+1</f>
        <v>1</v>
      </c>
      <c r="M5" s="54" t="n">
        <f aca="false">INT((M3-1)/12)+1</f>
        <v>1</v>
      </c>
      <c r="N5" s="54" t="n">
        <f aca="false">INT((N3-1)/12)+1</f>
        <v>1</v>
      </c>
      <c r="O5" s="54" t="n">
        <f aca="false">INT((O3-1)/12)+1</f>
        <v>1</v>
      </c>
      <c r="P5" s="54" t="n">
        <f aca="false">INT((P3-1)/12)+1</f>
        <v>1</v>
      </c>
      <c r="Q5" s="54" t="n">
        <f aca="false">INT((Q3-1)/12)+1</f>
        <v>2</v>
      </c>
      <c r="R5" s="54" t="n">
        <f aca="false">INT((R3-1)/12)+1</f>
        <v>2</v>
      </c>
      <c r="S5" s="54" t="n">
        <f aca="false">INT((S3-1)/12)+1</f>
        <v>2</v>
      </c>
      <c r="T5" s="54" t="n">
        <f aca="false">INT((T3-1)/12)+1</f>
        <v>2</v>
      </c>
      <c r="U5" s="54" t="n">
        <f aca="false">INT((U3-1)/12)+1</f>
        <v>2</v>
      </c>
      <c r="V5" s="54" t="n">
        <f aca="false">INT((V3-1)/12)+1</f>
        <v>2</v>
      </c>
      <c r="W5" s="54" t="n">
        <f aca="false">INT((W3-1)/12)+1</f>
        <v>2</v>
      </c>
      <c r="X5" s="54" t="n">
        <f aca="false">INT((X3-1)/12)+1</f>
        <v>2</v>
      </c>
      <c r="Y5" s="54" t="n">
        <f aca="false">INT((Y3-1)/12)+1</f>
        <v>2</v>
      </c>
      <c r="Z5" s="54" t="n">
        <f aca="false">INT((Z3-1)/12)+1</f>
        <v>2</v>
      </c>
      <c r="AA5" s="54" t="n">
        <f aca="false">INT((AA3-1)/12)+1</f>
        <v>2</v>
      </c>
      <c r="AB5" s="54" t="n">
        <f aca="false">INT((AB3-1)/12)+1</f>
        <v>2</v>
      </c>
      <c r="AC5" s="54" t="n">
        <f aca="false">INT((AC3-1)/12)+1</f>
        <v>3</v>
      </c>
      <c r="AD5" s="54" t="n">
        <f aca="false">INT((AD3-1)/12)+1</f>
        <v>3</v>
      </c>
      <c r="AE5" s="54" t="n">
        <f aca="false">INT((AE3-1)/12)+1</f>
        <v>3</v>
      </c>
      <c r="AF5" s="54" t="n">
        <f aca="false">INT((AF3-1)/12)+1</f>
        <v>3</v>
      </c>
      <c r="AG5" s="54" t="n">
        <f aca="false">INT((AG3-1)/12)+1</f>
        <v>3</v>
      </c>
      <c r="AH5" s="54" t="n">
        <f aca="false">INT((AH3-1)/12)+1</f>
        <v>3</v>
      </c>
      <c r="AI5" s="54" t="n">
        <f aca="false">INT((AI3-1)/12)+1</f>
        <v>3</v>
      </c>
      <c r="AJ5" s="54" t="n">
        <f aca="false">INT((AJ3-1)/12)+1</f>
        <v>3</v>
      </c>
      <c r="AK5" s="54" t="n">
        <f aca="false">INT((AK3-1)/12)+1</f>
        <v>3</v>
      </c>
      <c r="AL5" s="54" t="n">
        <f aca="false">INT((AL3-1)/12)+1</f>
        <v>3</v>
      </c>
      <c r="AM5" s="54" t="n">
        <f aca="false">INT((AM3-1)/12)+1</f>
        <v>3</v>
      </c>
      <c r="AN5" s="54" t="n">
        <f aca="false">INT((AN3-1)/12)+1</f>
        <v>3</v>
      </c>
      <c r="AO5" s="54" t="n">
        <f aca="false">INT((AO3-1)/12)+1</f>
        <v>4</v>
      </c>
      <c r="AP5" s="54" t="n">
        <f aca="false">INT((AP3-1)/12)+1</f>
        <v>4</v>
      </c>
      <c r="AQ5" s="54" t="n">
        <f aca="false">INT((AQ3-1)/12)+1</f>
        <v>4</v>
      </c>
      <c r="AR5" s="54" t="n">
        <f aca="false">INT((AR3-1)/12)+1</f>
        <v>4</v>
      </c>
      <c r="AS5" s="54" t="n">
        <f aca="false">INT((AS3-1)/12)+1</f>
        <v>4</v>
      </c>
      <c r="AT5" s="54" t="n">
        <f aca="false">INT((AT3-1)/12)+1</f>
        <v>4</v>
      </c>
      <c r="AU5" s="54" t="n">
        <f aca="false">INT((AU3-1)/12)+1</f>
        <v>4</v>
      </c>
      <c r="AV5" s="54" t="n">
        <f aca="false">INT((AV3-1)/12)+1</f>
        <v>4</v>
      </c>
      <c r="AW5" s="54" t="n">
        <f aca="false">INT((AW3-1)/12)+1</f>
        <v>4</v>
      </c>
      <c r="AX5" s="54" t="n">
        <f aca="false">INT((AX3-1)/12)+1</f>
        <v>4</v>
      </c>
      <c r="AY5" s="54" t="n">
        <f aca="false">INT((AY3-1)/12)+1</f>
        <v>4</v>
      </c>
      <c r="AZ5" s="54" t="n">
        <f aca="false">INT((AZ3-1)/12)+1</f>
        <v>4</v>
      </c>
      <c r="BA5" s="54" t="n">
        <f aca="false">INT((BA3-1)/12)+1</f>
        <v>5</v>
      </c>
      <c r="BB5" s="54" t="n">
        <f aca="false">INT((BB3-1)/12)+1</f>
        <v>5</v>
      </c>
      <c r="BC5" s="54" t="n">
        <f aca="false">INT((BC3-1)/12)+1</f>
        <v>5</v>
      </c>
      <c r="BD5" s="54" t="n">
        <f aca="false">INT((BD3-1)/12)+1</f>
        <v>5</v>
      </c>
      <c r="BE5" s="54" t="n">
        <f aca="false">INT((BE3-1)/12)+1</f>
        <v>5</v>
      </c>
      <c r="BF5" s="54" t="n">
        <f aca="false">INT((BF3-1)/12)+1</f>
        <v>5</v>
      </c>
      <c r="BG5" s="54" t="n">
        <f aca="false">INT((BG3-1)/12)+1</f>
        <v>5</v>
      </c>
      <c r="BH5" s="54" t="n">
        <f aca="false">INT((BH3-1)/12)+1</f>
        <v>5</v>
      </c>
      <c r="BI5" s="54" t="n">
        <f aca="false">INT((BI3-1)/12)+1</f>
        <v>5</v>
      </c>
      <c r="BJ5" s="54" t="n">
        <f aca="false">INT((BJ3-1)/12)+1</f>
        <v>5</v>
      </c>
      <c r="BK5" s="54" t="n">
        <f aca="false">INT((BK3-1)/12)+1</f>
        <v>5</v>
      </c>
      <c r="BL5" s="54" t="n">
        <f aca="false">INT((BL3-1)/12)+1</f>
        <v>5</v>
      </c>
    </row>
    <row r="8" customFormat="false" ht="15" hidden="false" customHeight="false" outlineLevel="0" collapsed="false">
      <c r="A8" s="10" t="s">
        <v>751</v>
      </c>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row>
    <row r="9" customFormat="false" ht="15" hidden="false" customHeight="false" outlineLevel="0" collapsed="false">
      <c r="A9" s="12" t="s">
        <v>752</v>
      </c>
      <c r="B9" s="14" t="s">
        <v>83</v>
      </c>
      <c r="D9" s="57" t="n">
        <f aca="false">SUM(E9:BL9)</f>
        <v>8654.22827621266</v>
      </c>
      <c r="E9" s="26" t="n">
        <f aca="false">'Sales &amp; marketing'!E34</f>
        <v>0</v>
      </c>
      <c r="F9" s="26" t="n">
        <f aca="false">'Sales &amp; marketing'!F34</f>
        <v>0</v>
      </c>
      <c r="G9" s="26" t="n">
        <f aca="false">'Sales &amp; marketing'!G34</f>
        <v>0</v>
      </c>
      <c r="H9" s="26" t="n">
        <f aca="false">'Sales &amp; marketing'!H34</f>
        <v>0</v>
      </c>
      <c r="I9" s="26" t="n">
        <f aca="false">'Sales &amp; marketing'!I34</f>
        <v>34.48</v>
      </c>
      <c r="J9" s="26" t="n">
        <f aca="false">'Sales &amp; marketing'!J34</f>
        <v>34.84</v>
      </c>
      <c r="K9" s="26" t="n">
        <f aca="false">'Sales &amp; marketing'!K34</f>
        <v>35.2216</v>
      </c>
      <c r="L9" s="26" t="n">
        <f aca="false">'Sales &amp; marketing'!L34</f>
        <v>35.626096</v>
      </c>
      <c r="M9" s="26" t="n">
        <f aca="false">'Sales &amp; marketing'!M34</f>
        <v>36.05486176</v>
      </c>
      <c r="N9" s="26" t="n">
        <f aca="false">'Sales &amp; marketing'!N34</f>
        <v>36.5093534656</v>
      </c>
      <c r="O9" s="26" t="n">
        <f aca="false">'Sales &amp; marketing'!O34</f>
        <v>36.991114673536</v>
      </c>
      <c r="P9" s="26" t="n">
        <f aca="false">'Sales &amp; marketing'!P34</f>
        <v>37.5017815539482</v>
      </c>
      <c r="Q9" s="26" t="n">
        <f aca="false">'Sales &amp; marketing'!Q34</f>
        <v>48.5230884471851</v>
      </c>
      <c r="R9" s="26" t="n">
        <f aca="false">'Sales &amp; marketing'!R34</f>
        <v>49.0968737540162</v>
      </c>
      <c r="S9" s="26" t="n">
        <f aca="false">'Sales &amp; marketing'!S34</f>
        <v>49.7050861792571</v>
      </c>
      <c r="T9" s="26" t="n">
        <f aca="false">'Sales &amp; marketing'!T34</f>
        <v>50.3497913500126</v>
      </c>
      <c r="U9" s="26" t="n">
        <f aca="false">'Sales &amp; marketing'!U34</f>
        <v>51.0331788310133</v>
      </c>
      <c r="V9" s="26" t="n">
        <f aca="false">'Sales &amp; marketing'!V34</f>
        <v>51.7575695608741</v>
      </c>
      <c r="W9" s="26" t="n">
        <f aca="false">'Sales &amp; marketing'!W34</f>
        <v>83.4054237345266</v>
      </c>
      <c r="X9" s="26" t="n">
        <f aca="false">'Sales &amp; marketing'!X34</f>
        <v>84.4353491585981</v>
      </c>
      <c r="Y9" s="26" t="n">
        <f aca="false">'Sales &amp; marketing'!Y34</f>
        <v>85.527070108114</v>
      </c>
      <c r="Z9" s="26" t="n">
        <f aca="false">'Sales &amp; marketing'!Z34</f>
        <v>86.6842943146009</v>
      </c>
      <c r="AA9" s="26" t="n">
        <f aca="false">'Sales &amp; marketing'!AA34</f>
        <v>87.9109519734769</v>
      </c>
      <c r="AB9" s="26" t="n">
        <f aca="false">'Sales &amp; marketing'!AB34</f>
        <v>95.2112090918856</v>
      </c>
      <c r="AC9" s="26" t="n">
        <f aca="false">'Sales &amp; marketing'!AC34</f>
        <v>117.629481637399</v>
      </c>
      <c r="AD9" s="26" t="n">
        <f aca="false">'Sales &amp; marketing'!AD34</f>
        <v>119.090450535643</v>
      </c>
      <c r="AE9" s="26" t="n">
        <f aca="false">'Sales &amp; marketing'!AE34</f>
        <v>120.639077567781</v>
      </c>
      <c r="AF9" s="26" t="n">
        <f aca="false">'Sales &amp; marketing'!AF34</f>
        <v>128.280622221848</v>
      </c>
      <c r="AG9" s="26" t="n">
        <f aca="false">'Sales &amp; marketing'!AG34</f>
        <v>130.020659555159</v>
      </c>
      <c r="AH9" s="26" t="n">
        <f aca="false">'Sales &amp; marketing'!AH34</f>
        <v>131.865099128468</v>
      </c>
      <c r="AI9" s="26" t="n">
        <f aca="false">'Sales &amp; marketing'!AI34</f>
        <v>133.820205076177</v>
      </c>
      <c r="AJ9" s="26" t="n">
        <f aca="false">'Sales &amp; marketing'!AJ34</f>
        <v>141.892617380747</v>
      </c>
      <c r="AK9" s="26" t="n">
        <f aca="false">'Sales &amp; marketing'!AK34</f>
        <v>144.089374423592</v>
      </c>
      <c r="AL9" s="26" t="n">
        <f aca="false">'Sales &amp; marketing'!AL34</f>
        <v>146.417936889008</v>
      </c>
      <c r="AM9" s="26" t="n">
        <f aca="false">'Sales &amp; marketing'!AM34</f>
        <v>154.886213102348</v>
      </c>
      <c r="AN9" s="26" t="n">
        <f aca="false">'Sales &amp; marketing'!AN34</f>
        <v>162.902585888489</v>
      </c>
      <c r="AO9" s="26" t="n">
        <f aca="false">'Sales &amp; marketing'!AO34</f>
        <v>176.155941041798</v>
      </c>
      <c r="AP9" s="26" t="n">
        <f aca="false">'Sales &amp; marketing'!AP34</f>
        <v>185.095697504306</v>
      </c>
      <c r="AQ9" s="26" t="n">
        <f aca="false">'Sales &amp; marketing'!AQ34</f>
        <v>188.211839354564</v>
      </c>
      <c r="AR9" s="26" t="n">
        <f aca="false">'Sales &amp; marketing'!AR34</f>
        <v>197.514949715838</v>
      </c>
      <c r="AS9" s="26" t="n">
        <f aca="false">'Sales &amp; marketing'!AS34</f>
        <v>200.132734699682</v>
      </c>
      <c r="AT9" s="26" t="n">
        <f aca="false">'Sales &amp; marketing'!AT34</f>
        <v>212.311098781663</v>
      </c>
      <c r="AU9" s="26" t="n">
        <f aca="false">'Sales &amp; marketing'!AU34</f>
        <v>213.136164708563</v>
      </c>
      <c r="AV9" s="26" t="n">
        <f aca="false">'Sales &amp; marketing'!AV34</f>
        <v>214.010734591077</v>
      </c>
      <c r="AW9" s="26" t="n">
        <f aca="false">'Sales &amp; marketing'!AW34</f>
        <v>220.937778666541</v>
      </c>
      <c r="AX9" s="26" t="n">
        <f aca="false">'Sales &amp; marketing'!AX34</f>
        <v>221.920445386534</v>
      </c>
      <c r="AY9" s="26" t="n">
        <f aca="false">'Sales &amp; marketing'!AY34</f>
        <v>234.362072109726</v>
      </c>
      <c r="AZ9" s="26" t="n">
        <f aca="false">'Sales &amp; marketing'!AZ34</f>
        <v>235.466196436309</v>
      </c>
      <c r="BA9" s="26" t="n">
        <f aca="false">'Sales &amp; marketing'!BA34</f>
        <v>253.196568222488</v>
      </c>
      <c r="BB9" s="26" t="n">
        <f aca="false">'Sales &amp; marketing'!BB34</f>
        <v>254.437162315837</v>
      </c>
      <c r="BC9" s="26" t="n">
        <f aca="false">'Sales &amp; marketing'!BC34</f>
        <v>261.752192054787</v>
      </c>
      <c r="BD9" s="26" t="n">
        <f aca="false">'Sales &amp; marketing'!BD34</f>
        <v>268.546123578074</v>
      </c>
      <c r="BE9" s="26" t="n">
        <f aca="false">'Sales &amp; marketing'!BE34</f>
        <v>276.023690992759</v>
      </c>
      <c r="BF9" s="26" t="n">
        <f aca="false">'Sales &amp; marketing'!BF34</f>
        <v>277.589912452324</v>
      </c>
      <c r="BG9" s="26" t="n">
        <f aca="false">'Sales &amp; marketing'!BG34</f>
        <v>290.650107199464</v>
      </c>
      <c r="BH9" s="26" t="n">
        <f aca="false">'Sales &amp; marketing'!BH34</f>
        <v>292.409913631432</v>
      </c>
      <c r="BI9" s="26" t="n">
        <f aca="false">'Sales &amp; marketing'!BI34</f>
        <v>300.275308449318</v>
      </c>
      <c r="BJ9" s="26" t="n">
        <f aca="false">'Sales &amp; marketing'!BJ34</f>
        <v>302.252626956277</v>
      </c>
      <c r="BK9" s="26" t="n">
        <f aca="false">'Sales &amp; marketing'!BK34</f>
        <v>314.72</v>
      </c>
      <c r="BL9" s="26" t="n">
        <f aca="false">'Sales &amp; marketing'!BL34</f>
        <v>320.72</v>
      </c>
    </row>
    <row r="10" customFormat="false" ht="15" hidden="false" customHeight="false" outlineLevel="0" collapsed="false">
      <c r="A10" s="12" t="s">
        <v>753</v>
      </c>
      <c r="B10" s="14" t="s">
        <v>83</v>
      </c>
      <c r="D10" s="57" t="n">
        <f aca="false">SUM(E10:BL10)</f>
        <v>4327.11413810633</v>
      </c>
      <c r="E10" s="26" t="n">
        <f aca="false">'Sales &amp; marketing'!E35</f>
        <v>0</v>
      </c>
      <c r="F10" s="26" t="n">
        <f aca="false">'Sales &amp; marketing'!F35</f>
        <v>0</v>
      </c>
      <c r="G10" s="26" t="n">
        <f aca="false">'Sales &amp; marketing'!G35</f>
        <v>0</v>
      </c>
      <c r="H10" s="26" t="n">
        <f aca="false">'Sales &amp; marketing'!H35</f>
        <v>0</v>
      </c>
      <c r="I10" s="26" t="n">
        <f aca="false">'Sales &amp; marketing'!I35</f>
        <v>17.24</v>
      </c>
      <c r="J10" s="26" t="n">
        <f aca="false">'Sales &amp; marketing'!J35</f>
        <v>17.42</v>
      </c>
      <c r="K10" s="26" t="n">
        <f aca="false">'Sales &amp; marketing'!K35</f>
        <v>17.6108</v>
      </c>
      <c r="L10" s="26" t="n">
        <f aca="false">'Sales &amp; marketing'!L35</f>
        <v>17.813048</v>
      </c>
      <c r="M10" s="26" t="n">
        <f aca="false">'Sales &amp; marketing'!M35</f>
        <v>18.02743088</v>
      </c>
      <c r="N10" s="26" t="n">
        <f aca="false">'Sales &amp; marketing'!N35</f>
        <v>18.2546767328</v>
      </c>
      <c r="O10" s="26" t="n">
        <f aca="false">'Sales &amp; marketing'!O35</f>
        <v>18.495557336768</v>
      </c>
      <c r="P10" s="26" t="n">
        <f aca="false">'Sales &amp; marketing'!P35</f>
        <v>18.7508907769741</v>
      </c>
      <c r="Q10" s="26" t="n">
        <f aca="false">'Sales &amp; marketing'!Q35</f>
        <v>24.2615442235925</v>
      </c>
      <c r="R10" s="26" t="n">
        <f aca="false">'Sales &amp; marketing'!R35</f>
        <v>24.5484368770081</v>
      </c>
      <c r="S10" s="26" t="n">
        <f aca="false">'Sales &amp; marketing'!S35</f>
        <v>24.8525430896286</v>
      </c>
      <c r="T10" s="26" t="n">
        <f aca="false">'Sales &amp; marketing'!T35</f>
        <v>25.1748956750063</v>
      </c>
      <c r="U10" s="26" t="n">
        <f aca="false">'Sales &amp; marketing'!U35</f>
        <v>25.5165894155067</v>
      </c>
      <c r="V10" s="26" t="n">
        <f aca="false">'Sales &amp; marketing'!V35</f>
        <v>25.8787847804371</v>
      </c>
      <c r="W10" s="26" t="n">
        <f aca="false">'Sales &amp; marketing'!W35</f>
        <v>41.7027118672633</v>
      </c>
      <c r="X10" s="26" t="n">
        <f aca="false">'Sales &amp; marketing'!X35</f>
        <v>42.2176745792991</v>
      </c>
      <c r="Y10" s="26" t="n">
        <f aca="false">'Sales &amp; marketing'!Y35</f>
        <v>42.763535054057</v>
      </c>
      <c r="Z10" s="26" t="n">
        <f aca="false">'Sales &amp; marketing'!Z35</f>
        <v>43.3421471573004</v>
      </c>
      <c r="AA10" s="26" t="n">
        <f aca="false">'Sales &amp; marketing'!AA35</f>
        <v>43.9554759867385</v>
      </c>
      <c r="AB10" s="26" t="n">
        <f aca="false">'Sales &amp; marketing'!AB35</f>
        <v>47.6056045459428</v>
      </c>
      <c r="AC10" s="26" t="n">
        <f aca="false">'Sales &amp; marketing'!AC35</f>
        <v>58.8147408186994</v>
      </c>
      <c r="AD10" s="26" t="n">
        <f aca="false">'Sales &amp; marketing'!AD35</f>
        <v>59.5452252678213</v>
      </c>
      <c r="AE10" s="26" t="n">
        <f aca="false">'Sales &amp; marketing'!AE35</f>
        <v>60.3195387838906</v>
      </c>
      <c r="AF10" s="26" t="n">
        <f aca="false">'Sales &amp; marketing'!AF35</f>
        <v>64.140311110924</v>
      </c>
      <c r="AG10" s="26" t="n">
        <f aca="false">'Sales &amp; marketing'!AG35</f>
        <v>65.0103297775795</v>
      </c>
      <c r="AH10" s="26" t="n">
        <f aca="false">'Sales &amp; marketing'!AH35</f>
        <v>65.9325495642342</v>
      </c>
      <c r="AI10" s="26" t="n">
        <f aca="false">'Sales &amp; marketing'!AI35</f>
        <v>66.9101025380883</v>
      </c>
      <c r="AJ10" s="26" t="n">
        <f aca="false">'Sales &amp; marketing'!AJ35</f>
        <v>70.9463086903736</v>
      </c>
      <c r="AK10" s="26" t="n">
        <f aca="false">'Sales &amp; marketing'!AK35</f>
        <v>72.044687211796</v>
      </c>
      <c r="AL10" s="26" t="n">
        <f aca="false">'Sales &amp; marketing'!AL35</f>
        <v>73.2089684445038</v>
      </c>
      <c r="AM10" s="26" t="n">
        <f aca="false">'Sales &amp; marketing'!AM35</f>
        <v>77.443106551174</v>
      </c>
      <c r="AN10" s="26" t="n">
        <f aca="false">'Sales &amp; marketing'!AN35</f>
        <v>81.4512929442444</v>
      </c>
      <c r="AO10" s="26" t="n">
        <f aca="false">'Sales &amp; marketing'!AO35</f>
        <v>88.0779705208991</v>
      </c>
      <c r="AP10" s="26" t="n">
        <f aca="false">'Sales &amp; marketing'!AP35</f>
        <v>92.547848752153</v>
      </c>
      <c r="AQ10" s="26" t="n">
        <f aca="false">'Sales &amp; marketing'!AQ35</f>
        <v>94.1059196772822</v>
      </c>
      <c r="AR10" s="26" t="n">
        <f aca="false">'Sales &amp; marketing'!AR35</f>
        <v>98.7574748579192</v>
      </c>
      <c r="AS10" s="26" t="n">
        <f aca="false">'Sales &amp; marketing'!AS35</f>
        <v>100.066367349841</v>
      </c>
      <c r="AT10" s="26" t="n">
        <f aca="false">'Sales &amp; marketing'!AT35</f>
        <v>106.155549390832</v>
      </c>
      <c r="AU10" s="26" t="n">
        <f aca="false">'Sales &amp; marketing'!AU35</f>
        <v>106.568082354281</v>
      </c>
      <c r="AV10" s="26" t="n">
        <f aca="false">'Sales &amp; marketing'!AV35</f>
        <v>107.005367295538</v>
      </c>
      <c r="AW10" s="26" t="n">
        <f aca="false">'Sales &amp; marketing'!AW35</f>
        <v>110.468889333271</v>
      </c>
      <c r="AX10" s="26" t="n">
        <f aca="false">'Sales &amp; marketing'!AX35</f>
        <v>110.960222693267</v>
      </c>
      <c r="AY10" s="26" t="n">
        <f aca="false">'Sales &amp; marketing'!AY35</f>
        <v>117.181036054863</v>
      </c>
      <c r="AZ10" s="26" t="n">
        <f aca="false">'Sales &amp; marketing'!AZ35</f>
        <v>117.733098218155</v>
      </c>
      <c r="BA10" s="26" t="n">
        <f aca="false">'Sales &amp; marketing'!BA35</f>
        <v>126.598284111244</v>
      </c>
      <c r="BB10" s="26" t="n">
        <f aca="false">'Sales &amp; marketing'!BB35</f>
        <v>127.218581157918</v>
      </c>
      <c r="BC10" s="26" t="n">
        <f aca="false">'Sales &amp; marketing'!BC35</f>
        <v>130.876096027394</v>
      </c>
      <c r="BD10" s="26" t="n">
        <f aca="false">'Sales &amp; marketing'!BD35</f>
        <v>134.273061789037</v>
      </c>
      <c r="BE10" s="26" t="n">
        <f aca="false">'Sales &amp; marketing'!BE35</f>
        <v>138.011845496379</v>
      </c>
      <c r="BF10" s="26" t="n">
        <f aca="false">'Sales &amp; marketing'!BF35</f>
        <v>138.794956226162</v>
      </c>
      <c r="BG10" s="26" t="n">
        <f aca="false">'Sales &amp; marketing'!BG35</f>
        <v>145.325053599732</v>
      </c>
      <c r="BH10" s="26" t="n">
        <f aca="false">'Sales &amp; marketing'!BH35</f>
        <v>146.204956815716</v>
      </c>
      <c r="BI10" s="26" t="n">
        <f aca="false">'Sales &amp; marketing'!BI35</f>
        <v>150.137654224659</v>
      </c>
      <c r="BJ10" s="26" t="n">
        <f aca="false">'Sales &amp; marketing'!BJ35</f>
        <v>151.126313478138</v>
      </c>
      <c r="BK10" s="26" t="n">
        <f aca="false">'Sales &amp; marketing'!BK35</f>
        <v>157.36</v>
      </c>
      <c r="BL10" s="26" t="n">
        <f aca="false">'Sales &amp; marketing'!BL35</f>
        <v>160.36</v>
      </c>
    </row>
    <row r="11" customFormat="false" ht="15" hidden="false" customHeight="false" outlineLevel="0" collapsed="false">
      <c r="A11" s="12" t="s">
        <v>754</v>
      </c>
      <c r="B11" s="14" t="s">
        <v>83</v>
      </c>
      <c r="D11" s="57" t="n">
        <f aca="false">SUM(E11:BL11)</f>
        <v>1442.37137936878</v>
      </c>
      <c r="E11" s="26" t="n">
        <f aca="false">'Sales &amp; marketing'!E36</f>
        <v>0</v>
      </c>
      <c r="F11" s="26" t="n">
        <f aca="false">'Sales &amp; marketing'!F36</f>
        <v>0</v>
      </c>
      <c r="G11" s="26" t="n">
        <f aca="false">'Sales &amp; marketing'!G36</f>
        <v>0</v>
      </c>
      <c r="H11" s="26" t="n">
        <f aca="false">'Sales &amp; marketing'!H36</f>
        <v>0</v>
      </c>
      <c r="I11" s="26" t="n">
        <f aca="false">'Sales &amp; marketing'!I36</f>
        <v>5.74666666666667</v>
      </c>
      <c r="J11" s="26" t="n">
        <f aca="false">'Sales &amp; marketing'!J36</f>
        <v>5.80666666666667</v>
      </c>
      <c r="K11" s="26" t="n">
        <f aca="false">'Sales &amp; marketing'!K36</f>
        <v>5.87026666666667</v>
      </c>
      <c r="L11" s="26" t="n">
        <f aca="false">'Sales &amp; marketing'!L36</f>
        <v>5.93768266666667</v>
      </c>
      <c r="M11" s="26" t="n">
        <f aca="false">'Sales &amp; marketing'!M36</f>
        <v>6.00914362666667</v>
      </c>
      <c r="N11" s="26" t="n">
        <f aca="false">'Sales &amp; marketing'!N36</f>
        <v>6.08489224426667</v>
      </c>
      <c r="O11" s="26" t="n">
        <f aca="false">'Sales &amp; marketing'!O36</f>
        <v>6.16518577892267</v>
      </c>
      <c r="P11" s="26" t="n">
        <f aca="false">'Sales &amp; marketing'!P36</f>
        <v>6.25029692565803</v>
      </c>
      <c r="Q11" s="26" t="n">
        <f aca="false">'Sales &amp; marketing'!Q36</f>
        <v>8.08718140786418</v>
      </c>
      <c r="R11" s="26" t="n">
        <f aca="false">'Sales &amp; marketing'!R36</f>
        <v>8.18281229233603</v>
      </c>
      <c r="S11" s="26" t="n">
        <f aca="false">'Sales &amp; marketing'!S36</f>
        <v>8.28418102987619</v>
      </c>
      <c r="T11" s="26" t="n">
        <f aca="false">'Sales &amp; marketing'!T36</f>
        <v>8.39163189166876</v>
      </c>
      <c r="U11" s="26" t="n">
        <f aca="false">'Sales &amp; marketing'!U36</f>
        <v>8.50552980516889</v>
      </c>
      <c r="V11" s="26" t="n">
        <f aca="false">'Sales &amp; marketing'!V36</f>
        <v>8.62626159347902</v>
      </c>
      <c r="W11" s="26" t="n">
        <f aca="false">'Sales &amp; marketing'!W36</f>
        <v>13.9009039557544</v>
      </c>
      <c r="X11" s="26" t="n">
        <f aca="false">'Sales &amp; marketing'!X36</f>
        <v>14.0725581930997</v>
      </c>
      <c r="Y11" s="26" t="n">
        <f aca="false">'Sales &amp; marketing'!Y36</f>
        <v>14.2545116846857</v>
      </c>
      <c r="Z11" s="26" t="n">
        <f aca="false">'Sales &amp; marketing'!Z36</f>
        <v>14.4473823857668</v>
      </c>
      <c r="AA11" s="26" t="n">
        <f aca="false">'Sales &amp; marketing'!AA36</f>
        <v>14.6518253289128</v>
      </c>
      <c r="AB11" s="26" t="n">
        <f aca="false">'Sales &amp; marketing'!AB36</f>
        <v>15.8685348486476</v>
      </c>
      <c r="AC11" s="26" t="n">
        <f aca="false">'Sales &amp; marketing'!AC36</f>
        <v>19.6049136062331</v>
      </c>
      <c r="AD11" s="26" t="n">
        <f aca="false">'Sales &amp; marketing'!AD36</f>
        <v>19.8484084226071</v>
      </c>
      <c r="AE11" s="26" t="n">
        <f aca="false">'Sales &amp; marketing'!AE36</f>
        <v>20.1065129279635</v>
      </c>
      <c r="AF11" s="26" t="n">
        <f aca="false">'Sales &amp; marketing'!AF36</f>
        <v>21.3801037036413</v>
      </c>
      <c r="AG11" s="26" t="n">
        <f aca="false">'Sales &amp; marketing'!AG36</f>
        <v>21.6701099258598</v>
      </c>
      <c r="AH11" s="26" t="n">
        <f aca="false">'Sales &amp; marketing'!AH36</f>
        <v>21.9775165214114</v>
      </c>
      <c r="AI11" s="26" t="n">
        <f aca="false">'Sales &amp; marketing'!AI36</f>
        <v>22.3033675126961</v>
      </c>
      <c r="AJ11" s="26" t="n">
        <f aca="false">'Sales &amp; marketing'!AJ36</f>
        <v>23.6487695634579</v>
      </c>
      <c r="AK11" s="26" t="n">
        <f aca="false">'Sales &amp; marketing'!AK36</f>
        <v>24.0148957372653</v>
      </c>
      <c r="AL11" s="26" t="n">
        <f aca="false">'Sales &amp; marketing'!AL36</f>
        <v>24.4029894815013</v>
      </c>
      <c r="AM11" s="26" t="n">
        <f aca="false">'Sales &amp; marketing'!AM36</f>
        <v>25.8143688503913</v>
      </c>
      <c r="AN11" s="26" t="n">
        <f aca="false">'Sales &amp; marketing'!AN36</f>
        <v>27.1504309814148</v>
      </c>
      <c r="AO11" s="26" t="n">
        <f aca="false">'Sales &amp; marketing'!AO36</f>
        <v>29.3593235069664</v>
      </c>
      <c r="AP11" s="26" t="n">
        <f aca="false">'Sales &amp; marketing'!AP36</f>
        <v>30.8492829173843</v>
      </c>
      <c r="AQ11" s="26" t="n">
        <f aca="false">'Sales &amp; marketing'!AQ36</f>
        <v>31.3686398924274</v>
      </c>
      <c r="AR11" s="26" t="n">
        <f aca="false">'Sales &amp; marketing'!AR36</f>
        <v>32.9191582859731</v>
      </c>
      <c r="AS11" s="26" t="n">
        <f aca="false">'Sales &amp; marketing'!AS36</f>
        <v>33.3554557832803</v>
      </c>
      <c r="AT11" s="26" t="n">
        <f aca="false">'Sales &amp; marketing'!AT36</f>
        <v>35.3851831302772</v>
      </c>
      <c r="AU11" s="26" t="n">
        <f aca="false">'Sales &amp; marketing'!AU36</f>
        <v>35.5226941180938</v>
      </c>
      <c r="AV11" s="26" t="n">
        <f aca="false">'Sales &amp; marketing'!AV36</f>
        <v>35.6684557651794</v>
      </c>
      <c r="AW11" s="26" t="n">
        <f aca="false">'Sales &amp; marketing'!AW36</f>
        <v>36.8229631110902</v>
      </c>
      <c r="AX11" s="26" t="n">
        <f aca="false">'Sales &amp; marketing'!AX36</f>
        <v>36.9867408977556</v>
      </c>
      <c r="AY11" s="26" t="n">
        <f aca="false">'Sales &amp; marketing'!AY36</f>
        <v>39.0603453516209</v>
      </c>
      <c r="AZ11" s="26" t="n">
        <f aca="false">'Sales &amp; marketing'!AZ36</f>
        <v>39.2443660727182</v>
      </c>
      <c r="BA11" s="26" t="n">
        <f aca="false">'Sales &amp; marketing'!BA36</f>
        <v>42.1994280370813</v>
      </c>
      <c r="BB11" s="26" t="n">
        <f aca="false">'Sales &amp; marketing'!BB36</f>
        <v>42.4061937193062</v>
      </c>
      <c r="BC11" s="26" t="n">
        <f aca="false">'Sales &amp; marketing'!BC36</f>
        <v>43.6253653424645</v>
      </c>
      <c r="BD11" s="26" t="n">
        <f aca="false">'Sales &amp; marketing'!BD36</f>
        <v>44.7576872630124</v>
      </c>
      <c r="BE11" s="26" t="n">
        <f aca="false">'Sales &amp; marketing'!BE36</f>
        <v>46.0039484987932</v>
      </c>
      <c r="BF11" s="26" t="n">
        <f aca="false">'Sales &amp; marketing'!BF36</f>
        <v>46.2649854087208</v>
      </c>
      <c r="BG11" s="26" t="n">
        <f aca="false">'Sales &amp; marketing'!BG36</f>
        <v>48.441684533244</v>
      </c>
      <c r="BH11" s="26" t="n">
        <f aca="false">'Sales &amp; marketing'!BH36</f>
        <v>48.7349856052386</v>
      </c>
      <c r="BI11" s="26" t="n">
        <f aca="false">'Sales &amp; marketing'!BI36</f>
        <v>50.045884741553</v>
      </c>
      <c r="BJ11" s="26" t="n">
        <f aca="false">'Sales &amp; marketing'!BJ36</f>
        <v>50.3754378260461</v>
      </c>
      <c r="BK11" s="26" t="n">
        <f aca="false">'Sales &amp; marketing'!BK36</f>
        <v>52.4533333333333</v>
      </c>
      <c r="BL11" s="26" t="n">
        <f aca="false">'Sales &amp; marketing'!BL36</f>
        <v>53.4533333333333</v>
      </c>
    </row>
    <row r="13" customFormat="false" ht="15" hidden="false" customHeight="false" outlineLevel="0" collapsed="false">
      <c r="A13" s="10" t="s">
        <v>755</v>
      </c>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row>
    <row r="14" customFormat="false" ht="15" hidden="false" customHeight="false" outlineLevel="0" collapsed="false">
      <c r="A14" s="12" t="s">
        <v>756</v>
      </c>
      <c r="B14" s="14" t="s">
        <v>83</v>
      </c>
      <c r="D14" s="55" t="n">
        <f aca="false">BL14</f>
        <v>6219.58748645769</v>
      </c>
      <c r="E14" s="37" t="n">
        <f aca="false">E9</f>
        <v>0</v>
      </c>
      <c r="F14" s="37" t="n">
        <f aca="false">E14*(1-Churn_Petite)+F9</f>
        <v>0</v>
      </c>
      <c r="G14" s="37" t="n">
        <f aca="false">F14*(1-Churn_Petite)+G9</f>
        <v>0</v>
      </c>
      <c r="H14" s="37" t="n">
        <f aca="false">G14*(1-Churn_Petite)+H9</f>
        <v>0</v>
      </c>
      <c r="I14" s="37" t="n">
        <f aca="false">H14*(1-Churn_Petite)+I9</f>
        <v>34.48</v>
      </c>
      <c r="J14" s="37" t="n">
        <f aca="false">I14*(1-Churn_Petite)+J9</f>
        <v>68.6304</v>
      </c>
      <c r="K14" s="37" t="n">
        <f aca="false">J14*(1-Churn_Petite)+K9</f>
        <v>102.479392</v>
      </c>
      <c r="L14" s="37" t="n">
        <f aca="false">K14*(1-Churn_Petite)+L9</f>
        <v>136.05590016</v>
      </c>
      <c r="M14" s="37" t="n">
        <f aca="false">L14*(1-Churn_Petite)+M9</f>
        <v>169.3896439168</v>
      </c>
      <c r="N14" s="37" t="n">
        <f aca="false">M14*(1-Churn_Petite)+N9</f>
        <v>202.511204504064</v>
      </c>
      <c r="O14" s="37" t="n">
        <f aca="false">N14*(1-Churn_Petite)+O9</f>
        <v>235.452095087519</v>
      </c>
      <c r="P14" s="37" t="n">
        <f aca="false">O14*(1-Churn_Petite)+P9</f>
        <v>268.244834739717</v>
      </c>
      <c r="Q14" s="37" t="n">
        <f aca="false">P14*(1-Churn_Petite)+Q9</f>
        <v>311.403026492107</v>
      </c>
      <c r="R14" s="37" t="n">
        <f aca="false">Q14*(1-Churn_Petite)+R9</f>
        <v>354.271839716281</v>
      </c>
      <c r="S14" s="37" t="n">
        <f aca="false">R14*(1-Churn_Petite)+S9</f>
        <v>396.891489101213</v>
      </c>
      <c r="T14" s="37" t="n">
        <f aca="false">S14*(1-Churn_Petite)+T9</f>
        <v>439.303450669201</v>
      </c>
      <c r="U14" s="37" t="n">
        <f aca="false">T14*(1-Churn_Petite)+U9</f>
        <v>481.55056048683</v>
      </c>
      <c r="V14" s="37" t="n">
        <f aca="false">U14*(1-Churn_Petite)+V9</f>
        <v>523.677118837968</v>
      </c>
      <c r="W14" s="37" t="n">
        <f aca="false">V14*(1-Churn_Petite)+W9</f>
        <v>596.609000195735</v>
      </c>
      <c r="X14" s="37" t="n">
        <f aca="false">W14*(1-Churn_Petite)+X9</f>
        <v>669.112169350418</v>
      </c>
      <c r="Y14" s="37" t="n">
        <f aca="false">X14*(1-Churn_Petite)+Y9</f>
        <v>741.256996071524</v>
      </c>
      <c r="Z14" s="37" t="n">
        <f aca="false">Y14*(1-Churn_Petite)+Z9</f>
        <v>813.116150464694</v>
      </c>
      <c r="AA14" s="37" t="n">
        <f aca="false">Z14*(1-Churn_Petite)+AA9</f>
        <v>884.764779428877</v>
      </c>
      <c r="AB14" s="37" t="n">
        <f aca="false">AA14*(1-Churn_Petite)+AB9</f>
        <v>962.280692932185</v>
      </c>
      <c r="AC14" s="37" t="n">
        <f aca="false">AB14*(1-Churn_Petite)+AC9</f>
        <v>1060.66456071094</v>
      </c>
      <c r="AD14" s="37" t="n">
        <f aca="false">AC14*(1-Churn_Petite)+AD9</f>
        <v>1158.54172003236</v>
      </c>
      <c r="AE14" s="37" t="n">
        <f aca="false">AD14*(1-Churn_Petite)+AE9</f>
        <v>1256.0099631995</v>
      </c>
      <c r="AF14" s="37" t="n">
        <f aca="false">AE14*(1-Churn_Petite)+AF9</f>
        <v>1359.17038615736</v>
      </c>
      <c r="AG14" s="37" t="n">
        <f aca="false">AF14*(1-Churn_Petite)+AG9</f>
        <v>1462.00763798937</v>
      </c>
      <c r="AH14" s="37" t="n">
        <f aca="false">AG14*(1-Churn_Petite)+AH9</f>
        <v>1564.63258435805</v>
      </c>
      <c r="AI14" s="37" t="n">
        <f aca="false">AH14*(1-Churn_Petite)+AI9</f>
        <v>1667.16013774706</v>
      </c>
      <c r="AJ14" s="37" t="n">
        <f aca="false">AI14*(1-Churn_Petite)+AJ9</f>
        <v>1775.70955237287</v>
      </c>
      <c r="AK14" s="37" t="n">
        <f aca="false">AJ14*(1-Churn_Petite)+AK9</f>
        <v>1884.28473574901</v>
      </c>
      <c r="AL14" s="37" t="n">
        <f aca="false">AK14*(1-Churn_Petite)+AL9</f>
        <v>1993.01697792303</v>
      </c>
      <c r="AM14" s="37" t="n">
        <f aca="false">AL14*(1-Churn_Petite)+AM9</f>
        <v>2108.04285146692</v>
      </c>
      <c r="AN14" s="37" t="n">
        <f aca="false">AM14*(1-Churn_Petite)+AN9</f>
        <v>2228.78458032607</v>
      </c>
      <c r="AO14" s="37" t="n">
        <f aca="false">AN14*(1-Churn_Petite)+AO9</f>
        <v>2360.36482976135</v>
      </c>
      <c r="AP14" s="37" t="n">
        <f aca="false">AO14*(1-Churn_Petite)+AP9</f>
        <v>2498.25323067043</v>
      </c>
      <c r="AQ14" s="37" t="n">
        <f aca="false">AP14*(1-Churn_Petite)+AQ9</f>
        <v>2636.50000541158</v>
      </c>
      <c r="AR14" s="37" t="n">
        <f aca="false">AQ14*(1-Churn_Petite)+AR9</f>
        <v>2781.28495501919</v>
      </c>
      <c r="AS14" s="37" t="n">
        <f aca="false">AR14*(1-Churn_Petite)+AS9</f>
        <v>2925.79199061849</v>
      </c>
      <c r="AT14" s="37" t="n">
        <f aca="false">AS14*(1-Churn_Petite)+AT9</f>
        <v>3079.58724958778</v>
      </c>
      <c r="AU14" s="37" t="n">
        <f aca="false">AT14*(1-Churn_Petite)+AU9</f>
        <v>3231.13166930459</v>
      </c>
      <c r="AV14" s="37" t="n">
        <f aca="false">AU14*(1-Churn_Petite)+AV9</f>
        <v>3380.51977050957</v>
      </c>
      <c r="AW14" s="37" t="n">
        <f aca="false">AV14*(1-Churn_Petite)+AW9</f>
        <v>3533.84715376592</v>
      </c>
      <c r="AX14" s="37" t="n">
        <f aca="false">AW14*(1-Churn_Petite)+AX9</f>
        <v>3685.09065607714</v>
      </c>
      <c r="AY14" s="37" t="n">
        <f aca="false">AX14*(1-Churn_Petite)+AY9</f>
        <v>3845.75091506532</v>
      </c>
      <c r="AZ14" s="37" t="n">
        <f aca="false">AY14*(1-Churn_Petite)+AZ9</f>
        <v>4004.30209320032</v>
      </c>
      <c r="BA14" s="37" t="n">
        <f aca="false">AZ14*(1-Churn_Petite)+BA9</f>
        <v>4177.4126195588</v>
      </c>
      <c r="BB14" s="37" t="n">
        <f aca="false">BA14*(1-Churn_Petite)+BB9</f>
        <v>4348.30152948346</v>
      </c>
      <c r="BC14" s="37" t="n">
        <f aca="false">BB14*(1-Churn_Petite)+BC9</f>
        <v>4523.08769094858</v>
      </c>
      <c r="BD14" s="37" t="n">
        <f aca="false">BC14*(1-Churn_Petite)+BD9</f>
        <v>4701.17206070768</v>
      </c>
      <c r="BE14" s="37" t="n">
        <f aca="false">BD14*(1-Churn_Petite)+BE9</f>
        <v>4883.17231048629</v>
      </c>
      <c r="BF14" s="37" t="n">
        <f aca="false">BE14*(1-Churn_Petite)+BF9</f>
        <v>5063.09877672889</v>
      </c>
      <c r="BG14" s="37" t="n">
        <f aca="false">BF14*(1-Churn_Petite)+BG9</f>
        <v>5252.48690839377</v>
      </c>
      <c r="BH14" s="37" t="n">
        <f aca="false">BG14*(1-Churn_Petite)+BH9</f>
        <v>5439.84708385733</v>
      </c>
      <c r="BI14" s="37" t="n">
        <f aca="false">BH14*(1-Churn_Petite)+BI9</f>
        <v>5631.3254506295</v>
      </c>
      <c r="BJ14" s="37" t="n">
        <f aca="false">BI14*(1-Churn_Petite)+BJ9</f>
        <v>5820.95156857319</v>
      </c>
      <c r="BK14" s="37" t="n">
        <f aca="false">BJ14*(1-Churn_Petite)+BK9</f>
        <v>6019.25253720173</v>
      </c>
      <c r="BL14" s="37" t="n">
        <f aca="false">BK14*(1-Churn_Petite)+BL9</f>
        <v>6219.58748645769</v>
      </c>
    </row>
    <row r="15" customFormat="false" ht="15" hidden="false" customHeight="false" outlineLevel="0" collapsed="false">
      <c r="A15" s="12" t="s">
        <v>757</v>
      </c>
      <c r="B15" s="14" t="s">
        <v>83</v>
      </c>
      <c r="D15" s="55" t="n">
        <f aca="false">BL15</f>
        <v>3494.72635191901</v>
      </c>
      <c r="E15" s="37" t="n">
        <f aca="false">E10</f>
        <v>0</v>
      </c>
      <c r="F15" s="37" t="n">
        <f aca="false">E15*(1-Churn_Moyenne)+F10</f>
        <v>0</v>
      </c>
      <c r="G15" s="37" t="n">
        <f aca="false">F15*(1-Churn_Moyenne)+G10</f>
        <v>0</v>
      </c>
      <c r="H15" s="37" t="n">
        <f aca="false">G15*(1-Churn_Moyenne)+H10</f>
        <v>0</v>
      </c>
      <c r="I15" s="37" t="n">
        <f aca="false">H15*(1-Churn_Moyenne)+I10</f>
        <v>17.24</v>
      </c>
      <c r="J15" s="37" t="n">
        <f aca="false">I15*(1-Churn_Moyenne)+J10</f>
        <v>34.4445</v>
      </c>
      <c r="K15" s="37" t="n">
        <f aca="false">J15*(1-Churn_Moyenne)+K10</f>
        <v>51.62474375</v>
      </c>
      <c r="L15" s="37" t="n">
        <f aca="false">K15*(1-Churn_Moyenne)+L10</f>
        <v>68.792482453125</v>
      </c>
      <c r="M15" s="37" t="n">
        <f aca="false">L15*(1-Churn_Moyenne)+M10</f>
        <v>85.960007302461</v>
      </c>
      <c r="N15" s="37" t="n">
        <f aca="false">M15*(1-Churn_Moyenne)+N10</f>
        <v>103.14018394398</v>
      </c>
      <c r="O15" s="37" t="n">
        <f aca="false">N15*(1-Churn_Moyenne)+O10</f>
        <v>120.346488981448</v>
      </c>
      <c r="P15" s="37" t="n">
        <f aca="false">O15*(1-Churn_Moyenne)+P10</f>
        <v>137.593048646154</v>
      </c>
      <c r="Q15" s="37" t="n">
        <f aca="false">P15*(1-Churn_Moyenne)+Q10</f>
        <v>160.13467976167</v>
      </c>
      <c r="R15" s="37" t="n">
        <f aca="false">Q15*(1-Churn_Moyenne)+R10</f>
        <v>182.681433141657</v>
      </c>
      <c r="S15" s="37" t="n">
        <f aca="false">R15*(1-Churn_Moyenne)+S10</f>
        <v>205.250458317015</v>
      </c>
      <c r="T15" s="37" t="n">
        <f aca="false">S15*(1-Churn_Moyenne)+T10</f>
        <v>227.859723263059</v>
      </c>
      <c r="U15" s="37" t="n">
        <f aca="false">T15*(1-Churn_Moyenne)+U10</f>
        <v>250.528066137777</v>
      </c>
      <c r="V15" s="37" t="n">
        <f aca="false">U15*(1-Churn_Moyenne)+V10</f>
        <v>273.275250091492</v>
      </c>
      <c r="W15" s="37" t="n">
        <f aca="false">V15*(1-Churn_Moyenne)+W10</f>
        <v>311.562021332612</v>
      </c>
      <c r="X15" s="37" t="n">
        <f aca="false">W15*(1-Churn_Moyenne)+X10</f>
        <v>349.885170645253</v>
      </c>
      <c r="Y15" s="37" t="n">
        <f aca="false">X15*(1-Churn_Moyenne)+Y10</f>
        <v>388.275141066244</v>
      </c>
      <c r="Z15" s="37" t="n">
        <f aca="false">Y15*(1-Churn_Moyenne)+Z10</f>
        <v>426.763848960217</v>
      </c>
      <c r="AA15" s="37" t="n">
        <f aca="false">Z15*(1-Churn_Moyenne)+AA10</f>
        <v>465.384776834953</v>
      </c>
      <c r="AB15" s="37" t="n">
        <f aca="false">AA15*(1-Churn_Moyenne)+AB10</f>
        <v>507.173071670458</v>
      </c>
      <c r="AC15" s="37" t="n">
        <f aca="false">AB15*(1-Churn_Moyenne)+AC10</f>
        <v>559.648149093277</v>
      </c>
      <c r="AD15" s="37" t="n">
        <f aca="false">AC15*(1-Churn_Moyenne)+AD10</f>
        <v>612.197772497432</v>
      </c>
      <c r="AE15" s="37" t="n">
        <f aca="false">AD15*(1-Churn_Moyenne)+AE10</f>
        <v>664.864839125105</v>
      </c>
      <c r="AF15" s="37" t="n">
        <f aca="false">AE15*(1-Churn_Moyenne)+AF10</f>
        <v>720.694339746965</v>
      </c>
      <c r="AG15" s="37" t="n">
        <f aca="false">AF15*(1-Churn_Moyenne)+AG10</f>
        <v>776.695990277708</v>
      </c>
      <c r="AH15" s="37" t="n">
        <f aca="false">AG15*(1-Churn_Moyenne)+AH10</f>
        <v>832.919839963471</v>
      </c>
      <c r="AI15" s="37" t="n">
        <f aca="false">AH15*(1-Churn_Moyenne)+AI10</f>
        <v>889.418444502016</v>
      </c>
      <c r="AJ15" s="37" t="n">
        <f aca="false">AI15*(1-Churn_Moyenne)+AJ10</f>
        <v>949.247022636114</v>
      </c>
      <c r="AK15" s="37" t="n">
        <f aca="false">AJ15*(1-Churn_Moyenne)+AK10</f>
        <v>1009.42612206496</v>
      </c>
      <c r="AL15" s="37" t="n">
        <f aca="false">AK15*(1-Churn_Moyenne)+AL10</f>
        <v>1070.01726398365</v>
      </c>
      <c r="AM15" s="37" t="n">
        <f aca="false">AL15*(1-Churn_Moyenne)+AM10</f>
        <v>1134.08515473503</v>
      </c>
      <c r="AN15" s="37" t="n">
        <f aca="false">AM15*(1-Churn_Moyenne)+AN10</f>
        <v>1201.36038324509</v>
      </c>
      <c r="AO15" s="37" t="n">
        <f aca="false">AN15*(1-Churn_Moyenne)+AO10</f>
        <v>1274.42134897542</v>
      </c>
      <c r="AP15" s="37" t="n">
        <f aca="false">AO15*(1-Churn_Moyenne)+AP10</f>
        <v>1351.03893086538</v>
      </c>
      <c r="AQ15" s="37" t="n">
        <f aca="false">AP15*(1-Churn_Moyenne)+AQ10</f>
        <v>1428.25686390685</v>
      </c>
      <c r="AR15" s="37" t="n">
        <f aca="false">AQ15*(1-Churn_Moyenne)+AR10</f>
        <v>1509.16112796593</v>
      </c>
      <c r="AS15" s="37" t="n">
        <f aca="false">AR15*(1-Churn_Moyenne)+AS10</f>
        <v>1590.3629812162</v>
      </c>
      <c r="AT15" s="37" t="n">
        <f aca="false">AS15*(1-Churn_Moyenne)+AT10</f>
        <v>1676.63899334183</v>
      </c>
      <c r="AU15" s="37" t="n">
        <f aca="false">AT15*(1-Churn_Moyenne)+AU10</f>
        <v>1762.24908827934</v>
      </c>
      <c r="AV15" s="37" t="n">
        <f aca="false">AU15*(1-Churn_Moyenne)+AV10</f>
        <v>1847.22634197138</v>
      </c>
      <c r="AW15" s="37" t="n">
        <f aca="false">AV15*(1-Churn_Moyenne)+AW10</f>
        <v>1934.60490203001</v>
      </c>
      <c r="AX15" s="37" t="n">
        <f aca="false">AW15*(1-Churn_Moyenne)+AX10</f>
        <v>2021.3825634479</v>
      </c>
      <c r="AY15" s="37" t="n">
        <f aca="false">AX15*(1-Churn_Moyenne)+AY10</f>
        <v>2113.29631745967</v>
      </c>
      <c r="AZ15" s="37" t="n">
        <f aca="false">AY15*(1-Churn_Moyenne)+AZ10</f>
        <v>2204.61321170958</v>
      </c>
      <c r="BA15" s="37" t="n">
        <f aca="false">AZ15*(1-Churn_Moyenne)+BA10</f>
        <v>2303.65383067445</v>
      </c>
      <c r="BB15" s="37" t="n">
        <f aca="false">BA15*(1-Churn_Moyenne)+BB10</f>
        <v>2402.07673894894</v>
      </c>
      <c r="BC15" s="37" t="n">
        <f aca="false">BB15*(1-Churn_Moyenne)+BC10</f>
        <v>2502.92687573947</v>
      </c>
      <c r="BD15" s="37" t="n">
        <f aca="false">BC15*(1-Churn_Moyenne)+BD10</f>
        <v>2605.91335158176</v>
      </c>
      <c r="BE15" s="37" t="n">
        <f aca="false">BD15*(1-Churn_Moyenne)+BE10</f>
        <v>2711.35128018337</v>
      </c>
      <c r="BF15" s="37" t="n">
        <f aca="false">BE15*(1-Churn_Moyenne)+BF10</f>
        <v>2816.25434540724</v>
      </c>
      <c r="BG15" s="37" t="n">
        <f aca="false">BF15*(1-Churn_Moyenne)+BG10</f>
        <v>2926.37621968938</v>
      </c>
      <c r="BH15" s="37" t="n">
        <f aca="false">BG15*(1-Churn_Moyenne)+BH10</f>
        <v>3036.00147375898</v>
      </c>
      <c r="BI15" s="37" t="n">
        <f aca="false">BH15*(1-Churn_Moyenne)+BI10</f>
        <v>3148.18910956165</v>
      </c>
      <c r="BJ15" s="37" t="n">
        <f aca="false">BI15*(1-Churn_Moyenne)+BJ10</f>
        <v>3259.96305917027</v>
      </c>
      <c r="BK15" s="37" t="n">
        <f aca="false">BJ15*(1-Churn_Moyenne)+BK10</f>
        <v>3376.57352093064</v>
      </c>
      <c r="BL15" s="37" t="n">
        <f aca="false">BK15*(1-Churn_Moyenne)+BL10</f>
        <v>3494.72635191901</v>
      </c>
    </row>
    <row r="16" customFormat="false" ht="15" hidden="false" customHeight="false" outlineLevel="0" collapsed="false">
      <c r="A16" s="12" t="s">
        <v>758</v>
      </c>
      <c r="B16" s="14" t="s">
        <v>83</v>
      </c>
      <c r="D16" s="55" t="n">
        <f aca="false">BL16</f>
        <v>1265.06522380255</v>
      </c>
      <c r="E16" s="37" t="n">
        <f aca="false">E11</f>
        <v>0</v>
      </c>
      <c r="F16" s="37" t="n">
        <f aca="false">E16*(1-Churn_Grande)+F11</f>
        <v>0</v>
      </c>
      <c r="G16" s="37" t="n">
        <f aca="false">F16*(1-Churn_Grande)+G11</f>
        <v>0</v>
      </c>
      <c r="H16" s="37" t="n">
        <f aca="false">G16*(1-Churn_Grande)+H11</f>
        <v>0</v>
      </c>
      <c r="I16" s="37" t="n">
        <f aca="false">H16*(1-Churn_Grande)+I11</f>
        <v>5.74666666666667</v>
      </c>
      <c r="J16" s="37" t="n">
        <f aca="false">I16*(1-Churn_Grande)+J11</f>
        <v>11.5102333333333</v>
      </c>
      <c r="K16" s="37" t="n">
        <f aca="false">J16*(1-Churn_Grande)+K11</f>
        <v>17.29417325</v>
      </c>
      <c r="L16" s="37" t="n">
        <f aca="false">K16*(1-Churn_Grande)+L11</f>
        <v>23.1021496172917</v>
      </c>
      <c r="M16" s="37" t="n">
        <f aca="false">L16*(1-Churn_Grande)+M11</f>
        <v>28.9380271218287</v>
      </c>
      <c r="N16" s="37" t="n">
        <f aca="false">M16*(1-Churn_Grande)+N11</f>
        <v>34.8058841626816</v>
      </c>
      <c r="O16" s="37" t="n">
        <f aca="false">N16*(1-Churn_Grande)+O11</f>
        <v>40.7100258103842</v>
      </c>
      <c r="P16" s="37" t="n">
        <f aca="false">O16*(1-Churn_Grande)+P11</f>
        <v>46.6549975424643</v>
      </c>
      <c r="Q16" s="37" t="n">
        <f aca="false">P16*(1-Churn_Grande)+Q11</f>
        <v>54.39226646876</v>
      </c>
      <c r="R16" s="37" t="n">
        <f aca="false">Q16*(1-Churn_Grande)+R11</f>
        <v>62.1671367625803</v>
      </c>
      <c r="S16" s="37" t="n">
        <f aca="false">R16*(1-Churn_Grande)+S11</f>
        <v>69.9850642667372</v>
      </c>
      <c r="T16" s="37" t="n">
        <f aca="false">S16*(1-Churn_Grande)+T11</f>
        <v>77.8518081764054</v>
      </c>
      <c r="U16" s="37" t="n">
        <f aca="false">T16*(1-Churn_Grande)+U11</f>
        <v>85.7734494202513</v>
      </c>
      <c r="V16" s="37" t="n">
        <f aca="false">U16*(1-Churn_Grande)+V11</f>
        <v>93.7564101430784</v>
      </c>
      <c r="W16" s="37" t="n">
        <f aca="false">V16*(1-Churn_Grande)+W11</f>
        <v>106.95414102276</v>
      </c>
      <c r="X16" s="37" t="n">
        <f aca="false">W16*(1-Churn_Grande)+X11</f>
        <v>120.224543158189</v>
      </c>
      <c r="Y16" s="37" t="n">
        <f aca="false">X16*(1-Churn_Grande)+Y11</f>
        <v>133.577370769188</v>
      </c>
      <c r="Z16" s="37" t="n">
        <f aca="false">Y16*(1-Churn_Grande)+Z11</f>
        <v>147.022922874186</v>
      </c>
      <c r="AA16" s="37" t="n">
        <f aca="false">Z16*(1-Churn_Grande)+AA11</f>
        <v>160.572076281542</v>
      </c>
      <c r="AB16" s="37" t="n">
        <f aca="false">AA16*(1-Churn_Grande)+AB11</f>
        <v>175.236320558078</v>
      </c>
      <c r="AC16" s="37" t="n">
        <f aca="false">AB16*(1-Churn_Grande)+AC11</f>
        <v>193.526961760126</v>
      </c>
      <c r="AD16" s="37" t="n">
        <f aca="false">AC16*(1-Churn_Grande)+AD11</f>
        <v>211.923917969532</v>
      </c>
      <c r="AE16" s="37" t="n">
        <f aca="false">AD16*(1-Churn_Grande)+AE11</f>
        <v>230.441001512724</v>
      </c>
      <c r="AF16" s="37" t="n">
        <f aca="false">AE16*(1-Churn_Grande)+AF11</f>
        <v>250.09279770502</v>
      </c>
      <c r="AG16" s="37" t="n">
        <f aca="false">AF16*(1-Churn_Grande)+AG11</f>
        <v>269.887211648092</v>
      </c>
      <c r="AH16" s="37" t="n">
        <f aca="false">AG16*(1-Churn_Grande)+AH11</f>
        <v>289.840574082143</v>
      </c>
      <c r="AI16" s="37" t="n">
        <f aca="false">AH16*(1-Churn_Grande)+AI11</f>
        <v>309.970137289223</v>
      </c>
      <c r="AJ16" s="37" t="n">
        <f aca="false">AI16*(1-Churn_Grande)+AJ11</f>
        <v>331.294130823012</v>
      </c>
      <c r="AK16" s="37" t="n">
        <f aca="false">AJ16*(1-Churn_Grande)+AK11</f>
        <v>352.824320579105</v>
      </c>
      <c r="AL16" s="37" t="n">
        <f aca="false">AK16*(1-Churn_Grande)+AL11</f>
        <v>374.581127656263</v>
      </c>
      <c r="AM16" s="37" t="n">
        <f aca="false">AL16*(1-Churn_Grande)+AM11</f>
        <v>397.586138049232</v>
      </c>
      <c r="AN16" s="37" t="n">
        <f aca="false">AM16*(1-Churn_Grande)+AN11</f>
        <v>421.754672995277</v>
      </c>
      <c r="AO16" s="37" t="n">
        <f aca="false">AN16*(1-Churn_Grande)+AO11</f>
        <v>447.950836454779</v>
      </c>
      <c r="AP16" s="37" t="n">
        <f aca="false">AO16*(1-Churn_Grande)+AP11</f>
        <v>475.440488098753</v>
      </c>
      <c r="AQ16" s="37" t="n">
        <f aca="false">AP16*(1-Churn_Grande)+AQ11</f>
        <v>503.24332433044</v>
      </c>
      <c r="AR16" s="37" t="n">
        <f aca="false">AQ16*(1-Churn_Grande)+AR11</f>
        <v>532.388157683934</v>
      </c>
      <c r="AS16" s="37" t="n">
        <f aca="false">AR16*(1-Churn_Grande)+AS11</f>
        <v>561.750702284585</v>
      </c>
      <c r="AT16" s="37" t="n">
        <f aca="false">AS16*(1-Churn_Grande)+AT11</f>
        <v>592.922755147728</v>
      </c>
      <c r="AU16" s="37" t="n">
        <f aca="false">AT16*(1-Churn_Grande)+AU11</f>
        <v>623.998528602214</v>
      </c>
      <c r="AV16" s="37" t="n">
        <f aca="false">AU16*(1-Churn_Grande)+AV11</f>
        <v>654.986995402877</v>
      </c>
      <c r="AW16" s="37" t="n">
        <f aca="false">AV16*(1-Churn_Grande)+AW11</f>
        <v>686.897556048445</v>
      </c>
      <c r="AX16" s="37" t="n">
        <f aca="false">AW16*(1-Churn_Grande)+AX11</f>
        <v>718.732565275838</v>
      </c>
      <c r="AY16" s="37" t="n">
        <f aca="false">AX16*(1-Churn_Grande)+AY11</f>
        <v>752.40241638789</v>
      </c>
      <c r="AZ16" s="37" t="n">
        <f aca="false">AY16*(1-Churn_Grande)+AZ11</f>
        <v>786.003764337699</v>
      </c>
      <c r="BA16" s="37" t="n">
        <f aca="false">AZ16*(1-Churn_Grande)+BA11</f>
        <v>822.308164142248</v>
      </c>
      <c r="BB16" s="37" t="n">
        <f aca="false">BA16*(1-Churn_Grande)+BB11</f>
        <v>858.547046630487</v>
      </c>
      <c r="BC16" s="37" t="n">
        <f aca="false">BB16*(1-Churn_Grande)+BC11</f>
        <v>895.733309123223</v>
      </c>
      <c r="BD16" s="37" t="n">
        <f aca="false">BC16*(1-Churn_Grande)+BD11</f>
        <v>933.772996567811</v>
      </c>
      <c r="BE16" s="37" t="n">
        <f aca="false">BD16*(1-Churn_Grande)+BE11</f>
        <v>972.773647592346</v>
      </c>
      <c r="BF16" s="37" t="n">
        <f aca="false">BE16*(1-Churn_Grande)+BF11</f>
        <v>1011.74283064412</v>
      </c>
      <c r="BG16" s="37" t="n">
        <f aca="false">BF16*(1-Churn_Grande)+BG11</f>
        <v>1052.59644394754</v>
      </c>
      <c r="BH16" s="37" t="n">
        <f aca="false">BG16*(1-Churn_Grande)+BH11</f>
        <v>1093.43695622317</v>
      </c>
      <c r="BI16" s="37" t="n">
        <f aca="false">BH16*(1-Churn_Grande)+BI11</f>
        <v>1135.28206379305</v>
      </c>
      <c r="BJ16" s="37" t="n">
        <f aca="false">BI16*(1-Churn_Grande)+BJ11</f>
        <v>1177.14288614065</v>
      </c>
      <c r="BK16" s="37" t="n">
        <f aca="false">BJ16*(1-Churn_Grande)+BK11</f>
        <v>1220.76764782793</v>
      </c>
      <c r="BL16" s="37" t="n">
        <f aca="false">BK16*(1-Churn_Grande)+BL11</f>
        <v>1265.06522380255</v>
      </c>
    </row>
    <row r="17" customFormat="false" ht="15" hidden="false" customHeight="false" outlineLevel="0" collapsed="false">
      <c r="A17" s="8" t="s">
        <v>759</v>
      </c>
      <c r="B17" s="14" t="s">
        <v>83</v>
      </c>
      <c r="D17" s="55" t="n">
        <f aca="false">BL17</f>
        <v>10979.3790621792</v>
      </c>
      <c r="E17" s="16" t="n">
        <f aca="false">E14+E15+E16</f>
        <v>0</v>
      </c>
      <c r="F17" s="16" t="n">
        <f aca="false">F14+F15+F16</f>
        <v>0</v>
      </c>
      <c r="G17" s="16" t="n">
        <f aca="false">G14+G15+G16</f>
        <v>0</v>
      </c>
      <c r="H17" s="16" t="n">
        <f aca="false">H14+H15+H16</f>
        <v>0</v>
      </c>
      <c r="I17" s="16" t="n">
        <f aca="false">I14+I15+I16</f>
        <v>57.4666666666667</v>
      </c>
      <c r="J17" s="16" t="n">
        <f aca="false">J14+J15+J16</f>
        <v>114.585133333333</v>
      </c>
      <c r="K17" s="16" t="n">
        <f aca="false">K14+K15+K16</f>
        <v>171.398309</v>
      </c>
      <c r="L17" s="16" t="n">
        <f aca="false">L14+L15+L16</f>
        <v>227.950532230417</v>
      </c>
      <c r="M17" s="16" t="n">
        <f aca="false">M14+M15+M16</f>
        <v>284.28767834109</v>
      </c>
      <c r="N17" s="16" t="n">
        <f aca="false">N14+N15+N16</f>
        <v>340.457272610726</v>
      </c>
      <c r="O17" s="16" t="n">
        <f aca="false">O14+O15+O16</f>
        <v>396.508609879351</v>
      </c>
      <c r="P17" s="16" t="n">
        <f aca="false">P14+P15+P16</f>
        <v>452.492880928335</v>
      </c>
      <c r="Q17" s="16" t="n">
        <f aca="false">Q14+Q15+Q16</f>
        <v>525.929972722537</v>
      </c>
      <c r="R17" s="16" t="n">
        <f aca="false">R14+R15+R16</f>
        <v>599.120409620519</v>
      </c>
      <c r="S17" s="16" t="n">
        <f aca="false">S14+S15+S16</f>
        <v>672.127011684965</v>
      </c>
      <c r="T17" s="16" t="n">
        <f aca="false">T14+T15+T16</f>
        <v>745.014982108665</v>
      </c>
      <c r="U17" s="16" t="n">
        <f aca="false">U14+U15+U16</f>
        <v>817.852076044859</v>
      </c>
      <c r="V17" s="16" t="n">
        <f aca="false">V14+V15+V16</f>
        <v>890.708779072538</v>
      </c>
      <c r="W17" s="16" t="n">
        <f aca="false">W14+W15+W16</f>
        <v>1015.12516255111</v>
      </c>
      <c r="X17" s="16" t="n">
        <f aca="false">X14+X15+X16</f>
        <v>1139.22188315386</v>
      </c>
      <c r="Y17" s="16" t="n">
        <f aca="false">Y14+Y15+Y16</f>
        <v>1263.10950790696</v>
      </c>
      <c r="Z17" s="16" t="n">
        <f aca="false">Z14+Z15+Z16</f>
        <v>1386.9029222991</v>
      </c>
      <c r="AA17" s="16" t="n">
        <f aca="false">AA14+AA15+AA16</f>
        <v>1510.72163254537</v>
      </c>
      <c r="AB17" s="16" t="n">
        <f aca="false">AB14+AB15+AB16</f>
        <v>1644.69008516072</v>
      </c>
      <c r="AC17" s="16" t="n">
        <f aca="false">AC14+AC15+AC16</f>
        <v>1813.83967156434</v>
      </c>
      <c r="AD17" s="16" t="n">
        <f aca="false">AD14+AD15+AD16</f>
        <v>1982.66341049933</v>
      </c>
      <c r="AE17" s="16" t="n">
        <f aca="false">AE14+AE15+AE16</f>
        <v>2151.31580383733</v>
      </c>
      <c r="AF17" s="16" t="n">
        <f aca="false">AF14+AF15+AF16</f>
        <v>2329.95752360934</v>
      </c>
      <c r="AG17" s="16" t="n">
        <f aca="false">AG14+AG15+AG16</f>
        <v>2508.59083991517</v>
      </c>
      <c r="AH17" s="16" t="n">
        <f aca="false">AH14+AH15+AH16</f>
        <v>2687.39299840366</v>
      </c>
      <c r="AI17" s="16" t="n">
        <f aca="false">AI14+AI15+AI16</f>
        <v>2866.5487195383</v>
      </c>
      <c r="AJ17" s="16" t="n">
        <f aca="false">AJ14+AJ15+AJ16</f>
        <v>3056.250705832</v>
      </c>
      <c r="AK17" s="16" t="n">
        <f aca="false">AK14+AK15+AK16</f>
        <v>3246.53517839307</v>
      </c>
      <c r="AL17" s="16" t="n">
        <f aca="false">AL14+AL15+AL16</f>
        <v>3437.61536956295</v>
      </c>
      <c r="AM17" s="16" t="n">
        <f aca="false">AM14+AM15+AM16</f>
        <v>3639.71414425118</v>
      </c>
      <c r="AN17" s="16" t="n">
        <f aca="false">AN14+AN15+AN16</f>
        <v>3851.89963656643</v>
      </c>
      <c r="AO17" s="16" t="n">
        <f aca="false">AO14+AO15+AO16</f>
        <v>4082.73701519155</v>
      </c>
      <c r="AP17" s="16" t="n">
        <f aca="false">AP14+AP15+AP16</f>
        <v>4324.73264963456</v>
      </c>
      <c r="AQ17" s="16" t="n">
        <f aca="false">AQ14+AQ15+AQ16</f>
        <v>4568.00019364887</v>
      </c>
      <c r="AR17" s="16" t="n">
        <f aca="false">AR14+AR15+AR16</f>
        <v>4822.83424066905</v>
      </c>
      <c r="AS17" s="16" t="n">
        <f aca="false">AS14+AS15+AS16</f>
        <v>5077.90567411927</v>
      </c>
      <c r="AT17" s="16" t="n">
        <f aca="false">AT14+AT15+AT16</f>
        <v>5349.14899807733</v>
      </c>
      <c r="AU17" s="16" t="n">
        <f aca="false">AU14+AU15+AU16</f>
        <v>5617.37928618614</v>
      </c>
      <c r="AV17" s="16" t="n">
        <f aca="false">AV14+AV15+AV16</f>
        <v>5882.73310788383</v>
      </c>
      <c r="AW17" s="16" t="n">
        <f aca="false">AW14+AW15+AW16</f>
        <v>6155.34961184438</v>
      </c>
      <c r="AX17" s="16" t="n">
        <f aca="false">AX14+AX15+AX16</f>
        <v>6425.20578480087</v>
      </c>
      <c r="AY17" s="16" t="n">
        <f aca="false">AY14+AY15+AY16</f>
        <v>6711.44964891287</v>
      </c>
      <c r="AZ17" s="16" t="n">
        <f aca="false">AZ14+AZ15+AZ16</f>
        <v>6994.9190692476</v>
      </c>
      <c r="BA17" s="16" t="n">
        <f aca="false">BA14+BA15+BA16</f>
        <v>7303.3746143755</v>
      </c>
      <c r="BB17" s="16" t="n">
        <f aca="false">BB14+BB15+BB16</f>
        <v>7608.92531506289</v>
      </c>
      <c r="BC17" s="16" t="n">
        <f aca="false">BC14+BC15+BC16</f>
        <v>7921.74787581127</v>
      </c>
      <c r="BD17" s="16" t="n">
        <f aca="false">BD14+BD15+BD16</f>
        <v>8240.85840885726</v>
      </c>
      <c r="BE17" s="16" t="n">
        <f aca="false">BE14+BE15+BE16</f>
        <v>8567.29723826201</v>
      </c>
      <c r="BF17" s="16" t="n">
        <f aca="false">BF14+BF15+BF16</f>
        <v>8891.09595278025</v>
      </c>
      <c r="BG17" s="16" t="n">
        <f aca="false">BG14+BG15+BG16</f>
        <v>9231.45957203069</v>
      </c>
      <c r="BH17" s="16" t="n">
        <f aca="false">BH14+BH15+BH16</f>
        <v>9569.28551383948</v>
      </c>
      <c r="BI17" s="16" t="n">
        <f aca="false">BI14+BI15+BI16</f>
        <v>9914.7966239842</v>
      </c>
      <c r="BJ17" s="16" t="n">
        <f aca="false">BJ14+BJ15+BJ16</f>
        <v>10258.0575138841</v>
      </c>
      <c r="BK17" s="16" t="n">
        <f aca="false">BK14+BK15+BK16</f>
        <v>10616.5937059603</v>
      </c>
      <c r="BL17" s="16" t="n">
        <f aca="false">BL14+BL15+BL16</f>
        <v>10979.3790621792</v>
      </c>
    </row>
    <row r="18" customFormat="false" ht="15" hidden="false" customHeight="false" outlineLevel="0" collapsed="false">
      <c r="A18" s="12" t="s">
        <v>760</v>
      </c>
      <c r="B18" s="14" t="s">
        <v>90</v>
      </c>
      <c r="E18" s="39" t="n">
        <f aca="false">Mix_Petite*Churn_Petite+Mix_Moyenne*Churn_Moyenne+Mix_Grande*Churn_Grande</f>
        <v>0.0165</v>
      </c>
      <c r="F18" s="39" t="n">
        <f aca="false">Mix_Petite*Churn_Petite+Mix_Moyenne*Churn_Moyenne+Mix_Grande*Churn_Grande</f>
        <v>0.0165</v>
      </c>
      <c r="G18" s="39" t="n">
        <f aca="false">Mix_Petite*Churn_Petite+Mix_Moyenne*Churn_Moyenne+Mix_Grande*Churn_Grande</f>
        <v>0.0165</v>
      </c>
      <c r="H18" s="39" t="n">
        <f aca="false">Mix_Petite*Churn_Petite+Mix_Moyenne*Churn_Moyenne+Mix_Grande*Churn_Grande</f>
        <v>0.0165</v>
      </c>
      <c r="I18" s="39" t="n">
        <f aca="false">Mix_Petite*Churn_Petite+Mix_Moyenne*Churn_Moyenne+Mix_Grande*Churn_Grande</f>
        <v>0.0165</v>
      </c>
      <c r="J18" s="39" t="n">
        <f aca="false">Mix_Petite*Churn_Petite+Mix_Moyenne*Churn_Moyenne+Mix_Grande*Churn_Grande</f>
        <v>0.0165</v>
      </c>
      <c r="K18" s="39" t="n">
        <f aca="false">Mix_Petite*Churn_Petite+Mix_Moyenne*Churn_Moyenne+Mix_Grande*Churn_Grande</f>
        <v>0.0165</v>
      </c>
      <c r="L18" s="39" t="n">
        <f aca="false">Mix_Petite*Churn_Petite+Mix_Moyenne*Churn_Moyenne+Mix_Grande*Churn_Grande</f>
        <v>0.0165</v>
      </c>
      <c r="M18" s="39" t="n">
        <f aca="false">Mix_Petite*Churn_Petite+Mix_Moyenne*Churn_Moyenne+Mix_Grande*Churn_Grande</f>
        <v>0.0165</v>
      </c>
      <c r="N18" s="39" t="n">
        <f aca="false">Mix_Petite*Churn_Petite+Mix_Moyenne*Churn_Moyenne+Mix_Grande*Churn_Grande</f>
        <v>0.0165</v>
      </c>
      <c r="O18" s="39" t="n">
        <f aca="false">Mix_Petite*Churn_Petite+Mix_Moyenne*Churn_Moyenne+Mix_Grande*Churn_Grande</f>
        <v>0.0165</v>
      </c>
      <c r="P18" s="39" t="n">
        <f aca="false">Mix_Petite*Churn_Petite+Mix_Moyenne*Churn_Moyenne+Mix_Grande*Churn_Grande</f>
        <v>0.0165</v>
      </c>
      <c r="Q18" s="39" t="n">
        <f aca="false">Mix_Petite*Churn_Petite+Mix_Moyenne*Churn_Moyenne+Mix_Grande*Churn_Grande</f>
        <v>0.0165</v>
      </c>
      <c r="R18" s="39" t="n">
        <f aca="false">Mix_Petite*Churn_Petite+Mix_Moyenne*Churn_Moyenne+Mix_Grande*Churn_Grande</f>
        <v>0.0165</v>
      </c>
      <c r="S18" s="39" t="n">
        <f aca="false">Mix_Petite*Churn_Petite+Mix_Moyenne*Churn_Moyenne+Mix_Grande*Churn_Grande</f>
        <v>0.0165</v>
      </c>
      <c r="T18" s="39" t="n">
        <f aca="false">Mix_Petite*Churn_Petite+Mix_Moyenne*Churn_Moyenne+Mix_Grande*Churn_Grande</f>
        <v>0.0165</v>
      </c>
      <c r="U18" s="39" t="n">
        <f aca="false">Mix_Petite*Churn_Petite+Mix_Moyenne*Churn_Moyenne+Mix_Grande*Churn_Grande</f>
        <v>0.0165</v>
      </c>
      <c r="V18" s="39" t="n">
        <f aca="false">Mix_Petite*Churn_Petite+Mix_Moyenne*Churn_Moyenne+Mix_Grande*Churn_Grande</f>
        <v>0.0165</v>
      </c>
      <c r="W18" s="39" t="n">
        <f aca="false">Mix_Petite*Churn_Petite+Mix_Moyenne*Churn_Moyenne+Mix_Grande*Churn_Grande</f>
        <v>0.0165</v>
      </c>
      <c r="X18" s="39" t="n">
        <f aca="false">Mix_Petite*Churn_Petite+Mix_Moyenne*Churn_Moyenne+Mix_Grande*Churn_Grande</f>
        <v>0.0165</v>
      </c>
      <c r="Y18" s="39" t="n">
        <f aca="false">Mix_Petite*Churn_Petite+Mix_Moyenne*Churn_Moyenne+Mix_Grande*Churn_Grande</f>
        <v>0.0165</v>
      </c>
      <c r="Z18" s="39" t="n">
        <f aca="false">Mix_Petite*Churn_Petite+Mix_Moyenne*Churn_Moyenne+Mix_Grande*Churn_Grande</f>
        <v>0.0165</v>
      </c>
      <c r="AA18" s="39" t="n">
        <f aca="false">Mix_Petite*Churn_Petite+Mix_Moyenne*Churn_Moyenne+Mix_Grande*Churn_Grande</f>
        <v>0.0165</v>
      </c>
      <c r="AB18" s="39" t="n">
        <f aca="false">Mix_Petite*Churn_Petite+Mix_Moyenne*Churn_Moyenne+Mix_Grande*Churn_Grande</f>
        <v>0.0165</v>
      </c>
      <c r="AC18" s="39" t="n">
        <f aca="false">Mix_Petite*Churn_Petite+Mix_Moyenne*Churn_Moyenne+Mix_Grande*Churn_Grande</f>
        <v>0.0165</v>
      </c>
      <c r="AD18" s="39" t="n">
        <f aca="false">Mix_Petite*Churn_Petite+Mix_Moyenne*Churn_Moyenne+Mix_Grande*Churn_Grande</f>
        <v>0.0165</v>
      </c>
      <c r="AE18" s="39" t="n">
        <f aca="false">Mix_Petite*Churn_Petite+Mix_Moyenne*Churn_Moyenne+Mix_Grande*Churn_Grande</f>
        <v>0.0165</v>
      </c>
      <c r="AF18" s="39" t="n">
        <f aca="false">Mix_Petite*Churn_Petite+Mix_Moyenne*Churn_Moyenne+Mix_Grande*Churn_Grande</f>
        <v>0.0165</v>
      </c>
      <c r="AG18" s="39" t="n">
        <f aca="false">Mix_Petite*Churn_Petite+Mix_Moyenne*Churn_Moyenne+Mix_Grande*Churn_Grande</f>
        <v>0.0165</v>
      </c>
      <c r="AH18" s="39" t="n">
        <f aca="false">Mix_Petite*Churn_Petite+Mix_Moyenne*Churn_Moyenne+Mix_Grande*Churn_Grande</f>
        <v>0.0165</v>
      </c>
      <c r="AI18" s="39" t="n">
        <f aca="false">Mix_Petite*Churn_Petite+Mix_Moyenne*Churn_Moyenne+Mix_Grande*Churn_Grande</f>
        <v>0.0165</v>
      </c>
      <c r="AJ18" s="39" t="n">
        <f aca="false">Mix_Petite*Churn_Petite+Mix_Moyenne*Churn_Moyenne+Mix_Grande*Churn_Grande</f>
        <v>0.0165</v>
      </c>
      <c r="AK18" s="39" t="n">
        <f aca="false">Mix_Petite*Churn_Petite+Mix_Moyenne*Churn_Moyenne+Mix_Grande*Churn_Grande</f>
        <v>0.0165</v>
      </c>
      <c r="AL18" s="39" t="n">
        <f aca="false">Mix_Petite*Churn_Petite+Mix_Moyenne*Churn_Moyenne+Mix_Grande*Churn_Grande</f>
        <v>0.0165</v>
      </c>
      <c r="AM18" s="39" t="n">
        <f aca="false">Mix_Petite*Churn_Petite+Mix_Moyenne*Churn_Moyenne+Mix_Grande*Churn_Grande</f>
        <v>0.0165</v>
      </c>
      <c r="AN18" s="39" t="n">
        <f aca="false">Mix_Petite*Churn_Petite+Mix_Moyenne*Churn_Moyenne+Mix_Grande*Churn_Grande</f>
        <v>0.0165</v>
      </c>
      <c r="AO18" s="39" t="n">
        <f aca="false">Mix_Petite*Churn_Petite+Mix_Moyenne*Churn_Moyenne+Mix_Grande*Churn_Grande</f>
        <v>0.0165</v>
      </c>
      <c r="AP18" s="39" t="n">
        <f aca="false">Mix_Petite*Churn_Petite+Mix_Moyenne*Churn_Moyenne+Mix_Grande*Churn_Grande</f>
        <v>0.0165</v>
      </c>
      <c r="AQ18" s="39" t="n">
        <f aca="false">Mix_Petite*Churn_Petite+Mix_Moyenne*Churn_Moyenne+Mix_Grande*Churn_Grande</f>
        <v>0.0165</v>
      </c>
      <c r="AR18" s="39" t="n">
        <f aca="false">Mix_Petite*Churn_Petite+Mix_Moyenne*Churn_Moyenne+Mix_Grande*Churn_Grande</f>
        <v>0.0165</v>
      </c>
      <c r="AS18" s="39" t="n">
        <f aca="false">Mix_Petite*Churn_Petite+Mix_Moyenne*Churn_Moyenne+Mix_Grande*Churn_Grande</f>
        <v>0.0165</v>
      </c>
      <c r="AT18" s="39" t="n">
        <f aca="false">Mix_Petite*Churn_Petite+Mix_Moyenne*Churn_Moyenne+Mix_Grande*Churn_Grande</f>
        <v>0.0165</v>
      </c>
      <c r="AU18" s="39" t="n">
        <f aca="false">Mix_Petite*Churn_Petite+Mix_Moyenne*Churn_Moyenne+Mix_Grande*Churn_Grande</f>
        <v>0.0165</v>
      </c>
      <c r="AV18" s="39" t="n">
        <f aca="false">Mix_Petite*Churn_Petite+Mix_Moyenne*Churn_Moyenne+Mix_Grande*Churn_Grande</f>
        <v>0.0165</v>
      </c>
      <c r="AW18" s="39" t="n">
        <f aca="false">Mix_Petite*Churn_Petite+Mix_Moyenne*Churn_Moyenne+Mix_Grande*Churn_Grande</f>
        <v>0.0165</v>
      </c>
      <c r="AX18" s="39" t="n">
        <f aca="false">Mix_Petite*Churn_Petite+Mix_Moyenne*Churn_Moyenne+Mix_Grande*Churn_Grande</f>
        <v>0.0165</v>
      </c>
      <c r="AY18" s="39" t="n">
        <f aca="false">Mix_Petite*Churn_Petite+Mix_Moyenne*Churn_Moyenne+Mix_Grande*Churn_Grande</f>
        <v>0.0165</v>
      </c>
      <c r="AZ18" s="39" t="n">
        <f aca="false">Mix_Petite*Churn_Petite+Mix_Moyenne*Churn_Moyenne+Mix_Grande*Churn_Grande</f>
        <v>0.0165</v>
      </c>
      <c r="BA18" s="39" t="n">
        <f aca="false">Mix_Petite*Churn_Petite+Mix_Moyenne*Churn_Moyenne+Mix_Grande*Churn_Grande</f>
        <v>0.0165</v>
      </c>
      <c r="BB18" s="39" t="n">
        <f aca="false">Mix_Petite*Churn_Petite+Mix_Moyenne*Churn_Moyenne+Mix_Grande*Churn_Grande</f>
        <v>0.0165</v>
      </c>
      <c r="BC18" s="39" t="n">
        <f aca="false">Mix_Petite*Churn_Petite+Mix_Moyenne*Churn_Moyenne+Mix_Grande*Churn_Grande</f>
        <v>0.0165</v>
      </c>
      <c r="BD18" s="39" t="n">
        <f aca="false">Mix_Petite*Churn_Petite+Mix_Moyenne*Churn_Moyenne+Mix_Grande*Churn_Grande</f>
        <v>0.0165</v>
      </c>
      <c r="BE18" s="39" t="n">
        <f aca="false">Mix_Petite*Churn_Petite+Mix_Moyenne*Churn_Moyenne+Mix_Grande*Churn_Grande</f>
        <v>0.0165</v>
      </c>
      <c r="BF18" s="39" t="n">
        <f aca="false">Mix_Petite*Churn_Petite+Mix_Moyenne*Churn_Moyenne+Mix_Grande*Churn_Grande</f>
        <v>0.0165</v>
      </c>
      <c r="BG18" s="39" t="n">
        <f aca="false">Mix_Petite*Churn_Petite+Mix_Moyenne*Churn_Moyenne+Mix_Grande*Churn_Grande</f>
        <v>0.0165</v>
      </c>
      <c r="BH18" s="39" t="n">
        <f aca="false">Mix_Petite*Churn_Petite+Mix_Moyenne*Churn_Moyenne+Mix_Grande*Churn_Grande</f>
        <v>0.0165</v>
      </c>
      <c r="BI18" s="39" t="n">
        <f aca="false">Mix_Petite*Churn_Petite+Mix_Moyenne*Churn_Moyenne+Mix_Grande*Churn_Grande</f>
        <v>0.0165</v>
      </c>
      <c r="BJ18" s="39" t="n">
        <f aca="false">Mix_Petite*Churn_Petite+Mix_Moyenne*Churn_Moyenne+Mix_Grande*Churn_Grande</f>
        <v>0.0165</v>
      </c>
      <c r="BK18" s="39" t="n">
        <f aca="false">Mix_Petite*Churn_Petite+Mix_Moyenne*Churn_Moyenne+Mix_Grande*Churn_Grande</f>
        <v>0.0165</v>
      </c>
      <c r="BL18" s="39" t="n">
        <f aca="false">Mix_Petite*Churn_Petite+Mix_Moyenne*Churn_Moyenne+Mix_Grande*Churn_Grande</f>
        <v>0.0165</v>
      </c>
    </row>
    <row r="19" customFormat="false" ht="15" hidden="false" customHeight="false" outlineLevel="0" collapsed="false">
      <c r="A19" s="12" t="s">
        <v>761</v>
      </c>
      <c r="B19" s="14" t="s">
        <v>83</v>
      </c>
      <c r="D19" s="55" t="n">
        <f aca="false">BL19</f>
        <v>7652.45809207356</v>
      </c>
      <c r="E19" s="37" t="n">
        <f aca="false">'Sales &amp; marketing'!E31</f>
        <v>0</v>
      </c>
      <c r="F19" s="37" t="n">
        <f aca="false">E19*(1-F18)+'Sales &amp; marketing'!F31</f>
        <v>0</v>
      </c>
      <c r="G19" s="37" t="n">
        <f aca="false">F19*(1-G18)+'Sales &amp; marketing'!G31</f>
        <v>0</v>
      </c>
      <c r="H19" s="37" t="n">
        <f aca="false">G19*(1-H18)+'Sales &amp; marketing'!H31</f>
        <v>0</v>
      </c>
      <c r="I19" s="37" t="n">
        <f aca="false">H19*(1-I18)+'Sales &amp; marketing'!I31</f>
        <v>57.4666666666667</v>
      </c>
      <c r="J19" s="37" t="n">
        <f aca="false">I19*(1-J18)+'Sales &amp; marketing'!J31</f>
        <v>114.585133333333</v>
      </c>
      <c r="K19" s="37" t="n">
        <f aca="false">J19*(1-K18)+'Sales &amp; marketing'!K31</f>
        <v>171.3971453</v>
      </c>
      <c r="L19" s="37" t="n">
        <f aca="false">K19*(1-L18)+'Sales &amp; marketing'!L31</f>
        <v>227.945919069217</v>
      </c>
      <c r="M19" s="37" t="n">
        <f aca="false">L19*(1-M18)+'Sales &amp; marketing'!M31</f>
        <v>284.276247671241</v>
      </c>
      <c r="N19" s="37" t="n">
        <f aca="false">M19*(1-N18)+'Sales &amp; marketing'!N31</f>
        <v>340.434612027333</v>
      </c>
      <c r="O19" s="37" t="n">
        <f aca="false">N19*(1-O18)+'Sales &amp; marketing'!O31</f>
        <v>396.469298718108</v>
      </c>
      <c r="P19" s="37" t="n">
        <f aca="false">O19*(1-P18)+'Sales &amp; marketing'!P31</f>
        <v>452.43052454584</v>
      </c>
      <c r="Q19" s="37" t="n">
        <f aca="false">P19*(1-Q18)+'Sales &amp; marketing'!Q31</f>
        <v>525.837234969475</v>
      </c>
      <c r="R19" s="37" t="n">
        <f aca="false">Q19*(1-R18)+'Sales &amp; marketing'!R31</f>
        <v>598.989043515839</v>
      </c>
      <c r="S19" s="37" t="n">
        <f aca="false">R19*(1-S18)+'Sales &amp; marketing'!S31</f>
        <v>671.94753459659</v>
      </c>
      <c r="T19" s="37" t="n">
        <f aca="false">S19*(1-T18)+'Sales &amp; marketing'!T31</f>
        <v>744.776719192434</v>
      </c>
      <c r="U19" s="37" t="n">
        <f aca="false">T19*(1-U18)+'Sales &amp; marketing'!U31</f>
        <v>817.543201377447</v>
      </c>
      <c r="V19" s="37" t="n">
        <f aca="false">U19*(1-V18)+'Sales &amp; marketing'!V31</f>
        <v>890.31635448951</v>
      </c>
      <c r="W19" s="37" t="n">
        <f aca="false">V19*(1-W18)+'Sales &amp; marketing'!W31</f>
        <v>973.16850753131</v>
      </c>
      <c r="X19" s="37" t="n">
        <f aca="false">W19*(1-X18)+'Sales &amp; marketing'!X31</f>
        <v>1056.01014242137</v>
      </c>
      <c r="Y19" s="37" t="n">
        <f aca="false">X19*(1-Y18)+'Sales &amp; marketing'!Y31</f>
        <v>1138.92282525161</v>
      </c>
      <c r="Z19" s="37" t="n">
        <f aca="false">Y19*(1-Z18)+'Sales &amp; marketing'!Z31</f>
        <v>1221.99165982596</v>
      </c>
      <c r="AA19" s="37" t="n">
        <f aca="false">Z19*(1-AA18)+'Sales &amp; marketing'!AA31</f>
        <v>1305.30552230129</v>
      </c>
      <c r="AB19" s="37" t="n">
        <f aca="false">AA19*(1-AB18)+'Sales &amp; marketing'!AB31</f>
        <v>1398.95730953753</v>
      </c>
      <c r="AC19" s="37" t="n">
        <f aca="false">AB19*(1-AC18)+'Sales &amp; marketing'!AC31</f>
        <v>1510.47920198563</v>
      </c>
      <c r="AD19" s="37" t="n">
        <f aca="false">AC19*(1-AD18)+'Sales &amp; marketing'!AD31</f>
        <v>1622.08526449165</v>
      </c>
      <c r="AE19" s="37" t="n">
        <f aca="false">AD19*(1-AE18)+'Sales &amp; marketing'!AE31</f>
        <v>1733.88956512666</v>
      </c>
      <c r="AF19" s="37" t="n">
        <f aca="false">AE19*(1-AF18)+'Sales &amp; marketing'!AF31</f>
        <v>1856.01121725113</v>
      </c>
      <c r="AG19" s="37" t="n">
        <f aca="false">AF19*(1-AG18)+'Sales &amp; marketing'!AG31</f>
        <v>1978.4097119125</v>
      </c>
      <c r="AH19" s="37" t="n">
        <f aca="false">AG19*(1-AH18)+'Sales &amp; marketing'!AH31</f>
        <v>2101.21799219671</v>
      </c>
      <c r="AI19" s="37" t="n">
        <f aca="false">AH19*(1-AI18)+'Sales &amp; marketing'!AI31</f>
        <v>2224.57505828808</v>
      </c>
      <c r="AJ19" s="37" t="n">
        <f aca="false">AI19*(1-AJ18)+'Sales &amp; marketing'!AJ31</f>
        <v>2358.62636256669</v>
      </c>
      <c r="AK19" s="37" t="n">
        <f aca="false">AJ19*(1-AK18)+'Sales &amp; marketing'!AK31</f>
        <v>2493.35922788914</v>
      </c>
      <c r="AL19" s="37" t="n">
        <f aca="false">AK19*(1-AL18)+'Sales &amp; marketing'!AL31</f>
        <v>2628.93601295205</v>
      </c>
      <c r="AM19" s="37" t="n">
        <f aca="false">AL19*(1-AM18)+'Sales &amp; marketing'!AM31</f>
        <v>2775.5268138008</v>
      </c>
      <c r="AN19" s="37" t="n">
        <f aca="false">AM19*(1-AN18)+'Sales &amp; marketing'!AN31</f>
        <v>2923.14496113931</v>
      </c>
      <c r="AO19" s="37" t="n">
        <f aca="false">AN19*(1-AO18)+'Sales &amp; marketing'!AO31</f>
        <v>3080.64693609936</v>
      </c>
      <c r="AP19" s="37" t="n">
        <f aca="false">AO19*(1-AP18)+'Sales &amp; marketing'!AP31</f>
        <v>3249.42216048171</v>
      </c>
      <c r="AQ19" s="37" t="n">
        <f aca="false">AP19*(1-AQ18)+'Sales &amp; marketing'!AQ31</f>
        <v>3419.51694759142</v>
      </c>
      <c r="AR19" s="37" t="n">
        <f aca="false">AQ19*(1-AR18)+'Sales &amp; marketing'!AR31</f>
        <v>3601.15578587929</v>
      </c>
      <c r="AS19" s="37" t="n">
        <f aca="false">AR19*(1-AS18)+'Sales &amp; marketing'!AS31</f>
        <v>3782.93671541228</v>
      </c>
      <c r="AT19" s="37" t="n">
        <f aca="false">AS19*(1-AT18)+'Sales &amp; marketing'!AT31</f>
        <v>3971.71825960797</v>
      </c>
      <c r="AU19" s="37" t="n">
        <f aca="false">AT19*(1-AU18)+'Sales &amp; marketing'!AU31</f>
        <v>4157.38490832444</v>
      </c>
      <c r="AV19" s="37" t="n">
        <f aca="false">AU19*(1-AV18)+'Sales &amp; marketing'!AV31</f>
        <v>4339.98805733709</v>
      </c>
      <c r="AW19" s="37" t="n">
        <f aca="false">AV19*(1-AW18)+'Sales &amp; marketing'!AW31</f>
        <v>4529.57825439103</v>
      </c>
      <c r="AX19" s="37" t="n">
        <f aca="false">AW19*(1-AX18)+'Sales &amp; marketing'!AX31</f>
        <v>4716.04021319358</v>
      </c>
      <c r="AY19" s="37" t="n">
        <f aca="false">AX19*(1-AY18)+'Sales &amp; marketing'!AY31</f>
        <v>4909.42554967588</v>
      </c>
      <c r="AZ19" s="37" t="n">
        <f aca="false">AY19*(1-AZ18)+'Sales &amp; marketing'!AZ31</f>
        <v>5099.62002810623</v>
      </c>
      <c r="BA19" s="37" t="n">
        <f aca="false">AZ19*(1-BA18)+'Sales &amp; marketing'!BA31</f>
        <v>5305.47629764248</v>
      </c>
      <c r="BB19" s="37" t="n">
        <f aca="false">BA19*(1-BB18)+'Sales &amp; marketing'!BB31</f>
        <v>5507.93593873138</v>
      </c>
      <c r="BC19" s="37" t="n">
        <f aca="false">BB19*(1-BC18)+'Sales &amp; marketing'!BC31</f>
        <v>5717.05499574231</v>
      </c>
      <c r="BD19" s="37" t="n">
        <f aca="false">BC19*(1-BD18)+'Sales &amp; marketing'!BD31</f>
        <v>5922.72358831256</v>
      </c>
      <c r="BE19" s="37" t="n">
        <f aca="false">BD19*(1-BE18)+'Sales &amp; marketing'!BE31</f>
        <v>6134.9986491054</v>
      </c>
      <c r="BF19" s="37" t="n">
        <f aca="false">BE19*(1-BF18)+'Sales &amp; marketing'!BF31</f>
        <v>6343.77117139517</v>
      </c>
      <c r="BG19" s="37" t="n">
        <f aca="false">BF19*(1-BG18)+'Sales &amp; marketing'!BG31</f>
        <v>6559.09894706715</v>
      </c>
      <c r="BH19" s="37" t="n">
        <f aca="false">BG19*(1-BH18)+'Sales &amp; marketing'!BH31</f>
        <v>6770.87381444054</v>
      </c>
      <c r="BI19" s="37" t="n">
        <f aca="false">BH19*(1-BI18)+'Sales &amp; marketing'!BI31</f>
        <v>6989.15439650227</v>
      </c>
      <c r="BJ19" s="37" t="n">
        <f aca="false">BI19*(1-BJ18)+'Sales &amp; marketing'!BJ31</f>
        <v>7203.83334895998</v>
      </c>
      <c r="BK19" s="37" t="n">
        <f aca="false">BJ19*(1-BK18)+'Sales &amp; marketing'!BK31</f>
        <v>7424.97009870214</v>
      </c>
      <c r="BL19" s="37" t="n">
        <f aca="false">BK19*(1-BL18)+'Sales &amp; marketing'!BL31</f>
        <v>7652.45809207356</v>
      </c>
    </row>
    <row r="20" customFormat="false" ht="15" hidden="false" customHeight="false" outlineLevel="0" collapsed="false">
      <c r="A20" s="12" t="s">
        <v>762</v>
      </c>
      <c r="B20" s="14" t="s">
        <v>83</v>
      </c>
      <c r="D20" s="55" t="n">
        <f aca="false">BL20</f>
        <v>3282.54563473381</v>
      </c>
      <c r="E20" s="37" t="n">
        <f aca="false">'Sales &amp; marketing'!E32</f>
        <v>0</v>
      </c>
      <c r="F20" s="37" t="n">
        <f aca="false">E20*(1-F18)+'Sales &amp; marketing'!F32</f>
        <v>0</v>
      </c>
      <c r="G20" s="37" t="n">
        <f aca="false">F20*(1-G18)+'Sales &amp; marketing'!G32</f>
        <v>0</v>
      </c>
      <c r="H20" s="37" t="n">
        <f aca="false">G20*(1-H18)+'Sales &amp; marketing'!H32</f>
        <v>0</v>
      </c>
      <c r="I20" s="37" t="n">
        <f aca="false">H20*(1-I18)+'Sales &amp; marketing'!I32</f>
        <v>0</v>
      </c>
      <c r="J20" s="37" t="n">
        <f aca="false">I20*(1-J18)+'Sales &amp; marketing'!J32</f>
        <v>0</v>
      </c>
      <c r="K20" s="37" t="n">
        <f aca="false">J20*(1-K18)+'Sales &amp; marketing'!K32</f>
        <v>0</v>
      </c>
      <c r="L20" s="37" t="n">
        <f aca="false">K20*(1-L18)+'Sales &amp; marketing'!L32</f>
        <v>0</v>
      </c>
      <c r="M20" s="37" t="n">
        <f aca="false">L20*(1-M18)+'Sales &amp; marketing'!M32</f>
        <v>0</v>
      </c>
      <c r="N20" s="37" t="n">
        <f aca="false">M20*(1-N18)+'Sales &amp; marketing'!N32</f>
        <v>0</v>
      </c>
      <c r="O20" s="37" t="n">
        <f aca="false">N20*(1-O18)+'Sales &amp; marketing'!O32</f>
        <v>0</v>
      </c>
      <c r="P20" s="37" t="n">
        <f aca="false">O20*(1-P18)+'Sales &amp; marketing'!P32</f>
        <v>0</v>
      </c>
      <c r="Q20" s="37" t="n">
        <f aca="false">P20*(1-Q18)+'Sales &amp; marketing'!Q32</f>
        <v>0</v>
      </c>
      <c r="R20" s="37" t="n">
        <f aca="false">Q20*(1-R18)+'Sales &amp; marketing'!R32</f>
        <v>0</v>
      </c>
      <c r="S20" s="37" t="n">
        <f aca="false">R20*(1-S18)+'Sales &amp; marketing'!S32</f>
        <v>0</v>
      </c>
      <c r="T20" s="37" t="n">
        <f aca="false">S20*(1-T18)+'Sales &amp; marketing'!T32</f>
        <v>0</v>
      </c>
      <c r="U20" s="37" t="n">
        <f aca="false">T20*(1-U18)+'Sales &amp; marketing'!U32</f>
        <v>0</v>
      </c>
      <c r="V20" s="37" t="n">
        <f aca="false">U20*(1-V18)+'Sales &amp; marketing'!V32</f>
        <v>0</v>
      </c>
      <c r="W20" s="37" t="n">
        <f aca="false">V20*(1-W18)+'Sales &amp; marketing'!W32</f>
        <v>41.4666666666667</v>
      </c>
      <c r="X20" s="37" t="n">
        <f aca="false">W20*(1-X18)+'Sales &amp; marketing'!X32</f>
        <v>82.6091333333334</v>
      </c>
      <c r="Y20" s="37" t="n">
        <f aca="false">X20*(1-Y18)+'Sales &amp; marketing'!Y32</f>
        <v>123.4543493</v>
      </c>
      <c r="Z20" s="37" t="n">
        <f aca="false">Y20*(1-Z18)+'Sales &amp; marketing'!Z32</f>
        <v>164.030115203217</v>
      </c>
      <c r="AA20" s="37" t="n">
        <f aca="false">Z20*(1-AA18)+'Sales &amp; marketing'!AA32</f>
        <v>204.36514672903</v>
      </c>
      <c r="AB20" s="37" t="n">
        <f aca="false">AA20*(1-AB18)+'Sales &amp; marketing'!AB32</f>
        <v>244.489141940268</v>
      </c>
      <c r="AC20" s="37" t="n">
        <f aca="false">AB20*(1-AC18)+'Sales &amp; marketing'!AC32</f>
        <v>301.899519105123</v>
      </c>
      <c r="AD20" s="37" t="n">
        <f aca="false">AC20*(1-AD18)+'Sales &amp; marketing'!AD32</f>
        <v>358.87329192717</v>
      </c>
      <c r="AE20" s="37" t="n">
        <f aca="false">AD20*(1-AE18)+'Sales &amp; marketing'!AE32</f>
        <v>415.44830439089</v>
      </c>
      <c r="AF20" s="37" t="n">
        <f aca="false">AE20*(1-AF18)+'Sales &amp; marketing'!AF32</f>
        <v>471.66361445579</v>
      </c>
      <c r="AG20" s="37" t="n">
        <f aca="false">AF20*(1-AG18)+'Sales &amp; marketing'!AG32</f>
        <v>527.55958432986</v>
      </c>
      <c r="AH20" s="37" t="n">
        <f aca="false">AG20*(1-AH18)+'Sales &amp; marketing'!AH32</f>
        <v>583.177975871763</v>
      </c>
      <c r="AI20" s="37" t="n">
        <f aca="false">AH20*(1-AI18)+'Sales &amp; marketing'!AI32</f>
        <v>638.562051434226</v>
      </c>
      <c r="AJ20" s="37" t="n">
        <f aca="false">AI20*(1-AJ18)+'Sales &amp; marketing'!AJ32</f>
        <v>693.756680479768</v>
      </c>
      <c r="AK20" s="37" t="n">
        <f aca="false">AJ20*(1-AK18)+'Sales &amp; marketing'!AK32</f>
        <v>748.808452319712</v>
      </c>
      <c r="AL20" s="37" t="n">
        <f aca="false">AK20*(1-AL18)+'Sales &amp; marketing'!AL32</f>
        <v>803.765795348368</v>
      </c>
      <c r="AM20" s="37" t="n">
        <f aca="false">AL20*(1-AM18)+'Sales &amp; marketing'!AM32</f>
        <v>858.679103166568</v>
      </c>
      <c r="AN20" s="37" t="n">
        <f aca="false">AM20*(1-AN18)+'Sales &amp; marketing'!AN32</f>
        <v>922.600868012254</v>
      </c>
      <c r="AO20" s="37" t="n">
        <f aca="false">AN20*(1-AO18)+'Sales &amp; marketing'!AO32</f>
        <v>995.237321940862</v>
      </c>
      <c r="AP20" s="37" t="n">
        <f aca="false">AO20*(1-AP18)+'Sales &amp; marketing'!AP32</f>
        <v>1067.7028364747</v>
      </c>
      <c r="AQ20" s="37" t="n">
        <f aca="false">AP20*(1-AQ18)+'Sales &amp; marketing'!AQ32</f>
        <v>1140.06188583947</v>
      </c>
      <c r="AR20" s="37" t="n">
        <f aca="false">AQ20*(1-AR18)+'Sales &amp; marketing'!AR32</f>
        <v>1212.38157965973</v>
      </c>
      <c r="AS20" s="37" t="n">
        <f aca="false">AR20*(1-AS18)+'Sales &amp; marketing'!AS32</f>
        <v>1284.73184142815</v>
      </c>
      <c r="AT20" s="37" t="n">
        <f aca="false">AS20*(1-AT18)+'Sales &amp; marketing'!AT32</f>
        <v>1366.18559734736</v>
      </c>
      <c r="AU20" s="37" t="n">
        <f aca="false">AT20*(1-AU18)+'Sales &amp; marketing'!AU32</f>
        <v>1447.67047617206</v>
      </c>
      <c r="AV20" s="37" t="n">
        <f aca="false">AU20*(1-AV18)+'Sales &amp; marketing'!AV32</f>
        <v>1529.26847096702</v>
      </c>
      <c r="AW20" s="37" t="n">
        <f aca="false">AV20*(1-AW18)+'Sales &amp; marketing'!AW32</f>
        <v>1611.06517230696</v>
      </c>
      <c r="AX20" s="37" t="n">
        <f aca="false">AW20*(1-AX18)+'Sales &amp; marketing'!AX32</f>
        <v>1693.15000594145</v>
      </c>
      <c r="AY20" s="37" t="n">
        <f aca="false">AX20*(1-AY18)+'Sales &amp; marketing'!AY32</f>
        <v>1784.61648435963</v>
      </c>
      <c r="AZ20" s="37" t="n">
        <f aca="false">AY20*(1-AZ18)+'Sales &amp; marketing'!AZ32</f>
        <v>1876.41397309488</v>
      </c>
      <c r="BA20" s="37" t="n">
        <f aca="false">AZ20*(1-BA18)+'Sales &amp; marketing'!BA32</f>
        <v>1977.44742290963</v>
      </c>
      <c r="BB20" s="37" t="n">
        <f aca="false">BA20*(1-BB18)+'Sales &amp; marketing'!BB32</f>
        <v>2078.88147762468</v>
      </c>
      <c r="BC20" s="37" t="n">
        <f aca="false">BB20*(1-BC18)+'Sales &amp; marketing'!BC32</f>
        <v>2180.83358666852</v>
      </c>
      <c r="BD20" s="37" t="n">
        <f aca="false">BC20*(1-BD18)+'Sales &amp; marketing'!BD32</f>
        <v>2292.42670511861</v>
      </c>
      <c r="BE20" s="37" t="n">
        <f aca="false">BD20*(1-BE18)+'Sales &amp; marketing'!BE32</f>
        <v>2404.64114947209</v>
      </c>
      <c r="BF20" s="37" t="n">
        <f aca="false">BE20*(1-BF18)+'Sales &amp; marketing'!BF32</f>
        <v>2517.614424593</v>
      </c>
      <c r="BG20" s="37" t="n">
        <f aca="false">BF20*(1-BG18)+'Sales &amp; marketing'!BG32</f>
        <v>2640.49063191966</v>
      </c>
      <c r="BH20" s="37" t="n">
        <f aca="false">BG20*(1-BH18)+'Sales &amp; marketing'!BH32</f>
        <v>2764.27239254537</v>
      </c>
      <c r="BI20" s="37" t="n">
        <f aca="false">BH20*(1-BI18)+'Sales &amp; marketing'!BI32</f>
        <v>2889.1207454839</v>
      </c>
      <c r="BJ20" s="37" t="n">
        <f aca="false">BI20*(1-BJ18)+'Sales &amp; marketing'!BJ32</f>
        <v>3015.20463144388</v>
      </c>
      <c r="BK20" s="37" t="n">
        <f aca="false">BJ20*(1-BK18)+'Sales &amp; marketing'!BK32</f>
        <v>3149.98708835839</v>
      </c>
      <c r="BL20" s="37" t="n">
        <f aca="false">BK20*(1-BL18)+'Sales &amp; marketing'!BL32</f>
        <v>3282.54563473381</v>
      </c>
    </row>
    <row r="22" customFormat="false" ht="15" hidden="false" customHeight="false" outlineLevel="0" collapsed="false">
      <c r="A22" s="10" t="s">
        <v>763</v>
      </c>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11"/>
      <c r="BH22" s="11"/>
      <c r="BI22" s="11"/>
      <c r="BJ22" s="11"/>
      <c r="BK22" s="11"/>
      <c r="BL22" s="11"/>
    </row>
    <row r="23" customFormat="false" ht="15" hidden="false" customHeight="false" outlineLevel="0" collapsed="false">
      <c r="A23" s="12" t="s">
        <v>764</v>
      </c>
      <c r="B23" s="14" t="s">
        <v>83</v>
      </c>
      <c r="E23" s="37" t="n">
        <f aca="true">IF(Free_Months&lt;=0,0,SUM(OFFSET(E9,0,1-MIN(Free_Months,E$3),1,MIN(Free_Months,E$3))))</f>
        <v>0</v>
      </c>
      <c r="F23" s="37" t="n">
        <f aca="true">IF(Free_Months&lt;=0,0,SUM(OFFSET(F9,0,1-MIN(Free_Months,F$3),1,MIN(Free_Months,F$3))))</f>
        <v>0</v>
      </c>
      <c r="G23" s="37" t="n">
        <f aca="true">IF(Free_Months&lt;=0,0,SUM(OFFSET(G9,0,1-MIN(Free_Months,G$3),1,MIN(Free_Months,G$3))))</f>
        <v>0</v>
      </c>
      <c r="H23" s="37" t="n">
        <f aca="true">IF(Free_Months&lt;=0,0,SUM(OFFSET(H9,0,1-MIN(Free_Months,H$3),1,MIN(Free_Months,H$3))))</f>
        <v>0</v>
      </c>
      <c r="I23" s="37" t="n">
        <f aca="true">IF(Free_Months&lt;=0,0,SUM(OFFSET(I9,0,1-MIN(Free_Months,I$3),1,MIN(Free_Months,I$3))))</f>
        <v>34.48</v>
      </c>
      <c r="J23" s="37" t="n">
        <f aca="true">IF(Free_Months&lt;=0,0,SUM(OFFSET(J9,0,1-MIN(Free_Months,J$3),1,MIN(Free_Months,J$3))))</f>
        <v>69.32</v>
      </c>
      <c r="K23" s="37" t="n">
        <f aca="true">IF(Free_Months&lt;=0,0,SUM(OFFSET(K9,0,1-MIN(Free_Months,K$3),1,MIN(Free_Months,K$3))))</f>
        <v>104.5416</v>
      </c>
      <c r="L23" s="37" t="n">
        <f aca="true">IF(Free_Months&lt;=0,0,SUM(OFFSET(L9,0,1-MIN(Free_Months,L$3),1,MIN(Free_Months,L$3))))</f>
        <v>105.687696</v>
      </c>
      <c r="M23" s="37" t="n">
        <f aca="true">IF(Free_Months&lt;=0,0,SUM(OFFSET(M9,0,1-MIN(Free_Months,M$3),1,MIN(Free_Months,M$3))))</f>
        <v>106.90255776</v>
      </c>
      <c r="N23" s="37" t="n">
        <f aca="true">IF(Free_Months&lt;=0,0,SUM(OFFSET(N9,0,1-MIN(Free_Months,N$3),1,MIN(Free_Months,N$3))))</f>
        <v>108.1903112256</v>
      </c>
      <c r="O23" s="37" t="n">
        <f aca="true">IF(Free_Months&lt;=0,0,SUM(OFFSET(O9,0,1-MIN(Free_Months,O$3),1,MIN(Free_Months,O$3))))</f>
        <v>109.555329899136</v>
      </c>
      <c r="P23" s="37" t="n">
        <f aca="true">IF(Free_Months&lt;=0,0,SUM(OFFSET(P9,0,1-MIN(Free_Months,P$3),1,MIN(Free_Months,P$3))))</f>
        <v>111.002249693084</v>
      </c>
      <c r="Q23" s="37" t="n">
        <f aca="true">IF(Free_Months&lt;=0,0,SUM(OFFSET(Q9,0,1-MIN(Free_Months,Q$3),1,MIN(Free_Months,Q$3))))</f>
        <v>123.015984674669</v>
      </c>
      <c r="R23" s="37" t="n">
        <f aca="true">IF(Free_Months&lt;=0,0,SUM(OFFSET(R9,0,1-MIN(Free_Months,R$3),1,MIN(Free_Months,R$3))))</f>
        <v>135.121743755149</v>
      </c>
      <c r="S23" s="37" t="n">
        <f aca="true">IF(Free_Months&lt;=0,0,SUM(OFFSET(S9,0,1-MIN(Free_Months,S$3),1,MIN(Free_Months,S$3))))</f>
        <v>147.325048380458</v>
      </c>
      <c r="T23" s="37" t="n">
        <f aca="true">IF(Free_Months&lt;=0,0,SUM(OFFSET(T9,0,1-MIN(Free_Months,T$3),1,MIN(Free_Months,T$3))))</f>
        <v>149.151751283286</v>
      </c>
      <c r="U23" s="37" t="n">
        <f aca="true">IF(Free_Months&lt;=0,0,SUM(OFFSET(U9,0,1-MIN(Free_Months,U$3),1,MIN(Free_Months,U$3))))</f>
        <v>151.088056360283</v>
      </c>
      <c r="V23" s="37" t="n">
        <f aca="true">IF(Free_Months&lt;=0,0,SUM(OFFSET(V9,0,1-MIN(Free_Months,V$3),1,MIN(Free_Months,V$3))))</f>
        <v>153.1405397419</v>
      </c>
      <c r="W23" s="37" t="n">
        <f aca="true">IF(Free_Months&lt;=0,0,SUM(OFFSET(W9,0,1-MIN(Free_Months,W$3),1,MIN(Free_Months,W$3))))</f>
        <v>186.196172126414</v>
      </c>
      <c r="X23" s="37" t="n">
        <f aca="true">IF(Free_Months&lt;=0,0,SUM(OFFSET(X9,0,1-MIN(Free_Months,X$3),1,MIN(Free_Months,X$3))))</f>
        <v>219.598342453999</v>
      </c>
      <c r="Y23" s="37" t="n">
        <f aca="true">IF(Free_Months&lt;=0,0,SUM(OFFSET(Y9,0,1-MIN(Free_Months,Y$3),1,MIN(Free_Months,Y$3))))</f>
        <v>253.367843001239</v>
      </c>
      <c r="Z23" s="37" t="n">
        <f aca="true">IF(Free_Months&lt;=0,0,SUM(OFFSET(Z9,0,1-MIN(Free_Months,Z$3),1,MIN(Free_Months,Z$3))))</f>
        <v>256.646713581313</v>
      </c>
      <c r="AA23" s="37" t="n">
        <f aca="true">IF(Free_Months&lt;=0,0,SUM(OFFSET(AA9,0,1-MIN(Free_Months,AA$3),1,MIN(Free_Months,AA$3))))</f>
        <v>260.122316396192</v>
      </c>
      <c r="AB23" s="37" t="n">
        <f aca="true">IF(Free_Months&lt;=0,0,SUM(OFFSET(AB9,0,1-MIN(Free_Months,AB$3),1,MIN(Free_Months,AB$3))))</f>
        <v>269.806455379963</v>
      </c>
      <c r="AC23" s="37" t="n">
        <f aca="true">IF(Free_Months&lt;=0,0,SUM(OFFSET(AC9,0,1-MIN(Free_Months,AC$3),1,MIN(Free_Months,AC$3))))</f>
        <v>300.751642702761</v>
      </c>
      <c r="AD23" s="37" t="n">
        <f aca="true">IF(Free_Months&lt;=0,0,SUM(OFFSET(AD9,0,1-MIN(Free_Months,AD$3),1,MIN(Free_Months,AD$3))))</f>
        <v>331.931141264927</v>
      </c>
      <c r="AE23" s="37" t="n">
        <f aca="true">IF(Free_Months&lt;=0,0,SUM(OFFSET(AE9,0,1-MIN(Free_Months,AE$3),1,MIN(Free_Months,AE$3))))</f>
        <v>357.359009740822</v>
      </c>
      <c r="AF23" s="37" t="n">
        <f aca="true">IF(Free_Months&lt;=0,0,SUM(OFFSET(AF9,0,1-MIN(Free_Months,AF$3),1,MIN(Free_Months,AF$3))))</f>
        <v>368.010150325272</v>
      </c>
      <c r="AG23" s="37" t="n">
        <f aca="true">IF(Free_Months&lt;=0,0,SUM(OFFSET(AG9,0,1-MIN(Free_Months,AG$3),1,MIN(Free_Months,AG$3))))</f>
        <v>378.940359344788</v>
      </c>
      <c r="AH23" s="37" t="n">
        <f aca="true">IF(Free_Months&lt;=0,0,SUM(OFFSET(AH9,0,1-MIN(Free_Months,AH$3),1,MIN(Free_Months,AH$3))))</f>
        <v>390.166380905475</v>
      </c>
      <c r="AI23" s="37" t="n">
        <f aca="true">IF(Free_Months&lt;=0,0,SUM(OFFSET(AI9,0,1-MIN(Free_Months,AI$3),1,MIN(Free_Months,AI$3))))</f>
        <v>395.705963759804</v>
      </c>
      <c r="AJ23" s="37" t="n">
        <f aca="true">IF(Free_Months&lt;=0,0,SUM(OFFSET(AJ9,0,1-MIN(Free_Months,AJ$3),1,MIN(Free_Months,AJ$3))))</f>
        <v>407.577921585392</v>
      </c>
      <c r="AK23" s="37" t="n">
        <f aca="true">IF(Free_Months&lt;=0,0,SUM(OFFSET(AK9,0,1-MIN(Free_Months,AK$3),1,MIN(Free_Months,AK$3))))</f>
        <v>419.802196880516</v>
      </c>
      <c r="AL23" s="37" t="n">
        <f aca="true">IF(Free_Months&lt;=0,0,SUM(OFFSET(AL9,0,1-MIN(Free_Months,AL$3),1,MIN(Free_Months,AL$3))))</f>
        <v>432.399928693347</v>
      </c>
      <c r="AM23" s="37" t="n">
        <f aca="true">IF(Free_Months&lt;=0,0,SUM(OFFSET(AM9,0,1-MIN(Free_Months,AM$3),1,MIN(Free_Months,AM$3))))</f>
        <v>445.393524414948</v>
      </c>
      <c r="AN23" s="37" t="n">
        <f aca="true">IF(Free_Months&lt;=0,0,SUM(OFFSET(AN9,0,1-MIN(Free_Months,AN$3),1,MIN(Free_Months,AN$3))))</f>
        <v>464.206735879844</v>
      </c>
      <c r="AO23" s="37" t="n">
        <f aca="true">IF(Free_Months&lt;=0,0,SUM(OFFSET(AO9,0,1-MIN(Free_Months,AO$3),1,MIN(Free_Months,AO$3))))</f>
        <v>493.944740032635</v>
      </c>
      <c r="AP23" s="37" t="n">
        <f aca="true">IF(Free_Months&lt;=0,0,SUM(OFFSET(AP9,0,1-MIN(Free_Months,AP$3),1,MIN(Free_Months,AP$3))))</f>
        <v>524.154224434593</v>
      </c>
      <c r="AQ23" s="37" t="n">
        <f aca="true">IF(Free_Months&lt;=0,0,SUM(OFFSET(AQ9,0,1-MIN(Free_Months,AQ$3),1,MIN(Free_Months,AQ$3))))</f>
        <v>549.463477900669</v>
      </c>
      <c r="AR23" s="37" t="n">
        <f aca="true">IF(Free_Months&lt;=0,0,SUM(OFFSET(AR9,0,1-MIN(Free_Months,AR$3),1,MIN(Free_Months,AR$3))))</f>
        <v>570.822486574709</v>
      </c>
      <c r="AS23" s="37" t="n">
        <f aca="true">IF(Free_Months&lt;=0,0,SUM(OFFSET(AS9,0,1-MIN(Free_Months,AS$3),1,MIN(Free_Months,AS$3))))</f>
        <v>585.859523770085</v>
      </c>
      <c r="AT23" s="37" t="n">
        <f aca="true">IF(Free_Months&lt;=0,0,SUM(OFFSET(AT9,0,1-MIN(Free_Months,AT$3),1,MIN(Free_Months,AT$3))))</f>
        <v>609.958783197183</v>
      </c>
      <c r="AU23" s="37" t="n">
        <f aca="true">IF(Free_Months&lt;=0,0,SUM(OFFSET(AU9,0,1-MIN(Free_Months,AU$3),1,MIN(Free_Months,AU$3))))</f>
        <v>625.579998189908</v>
      </c>
      <c r="AV23" s="37" t="n">
        <f aca="true">IF(Free_Months&lt;=0,0,SUM(OFFSET(AV9,0,1-MIN(Free_Months,AV$3),1,MIN(Free_Months,AV$3))))</f>
        <v>639.457998081302</v>
      </c>
      <c r="AW23" s="37" t="n">
        <f aca="true">IF(Free_Months&lt;=0,0,SUM(OFFSET(AW9,0,1-MIN(Free_Months,AW$3),1,MIN(Free_Months,AW$3))))</f>
        <v>648.084677966181</v>
      </c>
      <c r="AX23" s="37" t="n">
        <f aca="true">IF(Free_Months&lt;=0,0,SUM(OFFSET(AX9,0,1-MIN(Free_Months,AX$3),1,MIN(Free_Months,AX$3))))</f>
        <v>656.868958644151</v>
      </c>
      <c r="AY23" s="37" t="n">
        <f aca="true">IF(Free_Months&lt;=0,0,SUM(OFFSET(AY9,0,1-MIN(Free_Months,AY$3),1,MIN(Free_Months,AY$3))))</f>
        <v>677.2202961628</v>
      </c>
      <c r="AZ23" s="37" t="n">
        <f aca="true">IF(Free_Months&lt;=0,0,SUM(OFFSET(AZ9,0,1-MIN(Free_Months,AZ$3),1,MIN(Free_Months,AZ$3))))</f>
        <v>691.748713932568</v>
      </c>
      <c r="BA23" s="37" t="n">
        <f aca="true">IF(Free_Months&lt;=0,0,SUM(OFFSET(BA9,0,1-MIN(Free_Months,BA$3),1,MIN(Free_Months,BA$3))))</f>
        <v>723.024836768523</v>
      </c>
      <c r="BB23" s="37" t="n">
        <f aca="true">IF(Free_Months&lt;=0,0,SUM(OFFSET(BB9,0,1-MIN(Free_Months,BB$3),1,MIN(Free_Months,BB$3))))</f>
        <v>743.099926974634</v>
      </c>
      <c r="BC23" s="37" t="n">
        <f aca="true">IF(Free_Months&lt;=0,0,SUM(OFFSET(BC9,0,1-MIN(Free_Months,BC$3),1,MIN(Free_Months,BC$3))))</f>
        <v>769.385922593112</v>
      </c>
      <c r="BD23" s="37" t="n">
        <f aca="true">IF(Free_Months&lt;=0,0,SUM(OFFSET(BD9,0,1-MIN(Free_Months,BD$3),1,MIN(Free_Months,BD$3))))</f>
        <v>784.735477948699</v>
      </c>
      <c r="BE23" s="37" t="n">
        <f aca="true">IF(Free_Months&lt;=0,0,SUM(OFFSET(BE9,0,1-MIN(Free_Months,BE$3),1,MIN(Free_Months,BE$3))))</f>
        <v>806.322006625621</v>
      </c>
      <c r="BF23" s="37" t="n">
        <f aca="true">IF(Free_Months&lt;=0,0,SUM(OFFSET(BF9,0,1-MIN(Free_Months,BF$3),1,MIN(Free_Months,BF$3))))</f>
        <v>822.159727023158</v>
      </c>
      <c r="BG23" s="37" t="n">
        <f aca="true">IF(Free_Months&lt;=0,0,SUM(OFFSET(BG9,0,1-MIN(Free_Months,BG$3),1,MIN(Free_Months,BG$3))))</f>
        <v>844.263710644547</v>
      </c>
      <c r="BH23" s="37" t="n">
        <f aca="true">IF(Free_Months&lt;=0,0,SUM(OFFSET(BH9,0,1-MIN(Free_Months,BH$3),1,MIN(Free_Months,BH$3))))</f>
        <v>860.64993328322</v>
      </c>
      <c r="BI23" s="37" t="n">
        <f aca="true">IF(Free_Months&lt;=0,0,SUM(OFFSET(BI9,0,1-MIN(Free_Months,BI$3),1,MIN(Free_Months,BI$3))))</f>
        <v>883.335329280213</v>
      </c>
      <c r="BJ23" s="37" t="n">
        <f aca="true">IF(Free_Months&lt;=0,0,SUM(OFFSET(BJ9,0,1-MIN(Free_Months,BJ$3),1,MIN(Free_Months,BJ$3))))</f>
        <v>894.937849037026</v>
      </c>
      <c r="BK23" s="37" t="n">
        <f aca="true">IF(Free_Months&lt;=0,0,SUM(OFFSET(BK9,0,1-MIN(Free_Months,BK$3),1,MIN(Free_Months,BK$3))))</f>
        <v>917.247935405594</v>
      </c>
      <c r="BL23" s="37" t="n">
        <f aca="true">IF(Free_Months&lt;=0,0,SUM(OFFSET(BL9,0,1-MIN(Free_Months,BL$3),1,MIN(Free_Months,BL$3))))</f>
        <v>937.692626956277</v>
      </c>
    </row>
    <row r="24" customFormat="false" ht="15" hidden="false" customHeight="false" outlineLevel="0" collapsed="false">
      <c r="A24" s="12" t="s">
        <v>765</v>
      </c>
      <c r="B24" s="14" t="s">
        <v>83</v>
      </c>
      <c r="E24" s="37" t="n">
        <f aca="true">IF(Free_Months&lt;=0,0,SUM(OFFSET(E10,0,1-MIN(Free_Months,E$3),1,MIN(Free_Months,E$3))))</f>
        <v>0</v>
      </c>
      <c r="F24" s="37" t="n">
        <f aca="true">IF(Free_Months&lt;=0,0,SUM(OFFSET(F10,0,1-MIN(Free_Months,F$3),1,MIN(Free_Months,F$3))))</f>
        <v>0</v>
      </c>
      <c r="G24" s="37" t="n">
        <f aca="true">IF(Free_Months&lt;=0,0,SUM(OFFSET(G10,0,1-MIN(Free_Months,G$3),1,MIN(Free_Months,G$3))))</f>
        <v>0</v>
      </c>
      <c r="H24" s="37" t="n">
        <f aca="true">IF(Free_Months&lt;=0,0,SUM(OFFSET(H10,0,1-MIN(Free_Months,H$3),1,MIN(Free_Months,H$3))))</f>
        <v>0</v>
      </c>
      <c r="I24" s="37" t="n">
        <f aca="true">IF(Free_Months&lt;=0,0,SUM(OFFSET(I10,0,1-MIN(Free_Months,I$3),1,MIN(Free_Months,I$3))))</f>
        <v>17.24</v>
      </c>
      <c r="J24" s="37" t="n">
        <f aca="true">IF(Free_Months&lt;=0,0,SUM(OFFSET(J10,0,1-MIN(Free_Months,J$3),1,MIN(Free_Months,J$3))))</f>
        <v>34.66</v>
      </c>
      <c r="K24" s="37" t="n">
        <f aca="true">IF(Free_Months&lt;=0,0,SUM(OFFSET(K10,0,1-MIN(Free_Months,K$3),1,MIN(Free_Months,K$3))))</f>
        <v>52.2708</v>
      </c>
      <c r="L24" s="37" t="n">
        <f aca="true">IF(Free_Months&lt;=0,0,SUM(OFFSET(L10,0,1-MIN(Free_Months,L$3),1,MIN(Free_Months,L$3))))</f>
        <v>52.843848</v>
      </c>
      <c r="M24" s="37" t="n">
        <f aca="true">IF(Free_Months&lt;=0,0,SUM(OFFSET(M10,0,1-MIN(Free_Months,M$3),1,MIN(Free_Months,M$3))))</f>
        <v>53.45127888</v>
      </c>
      <c r="N24" s="37" t="n">
        <f aca="true">IF(Free_Months&lt;=0,0,SUM(OFFSET(N10,0,1-MIN(Free_Months,N$3),1,MIN(Free_Months,N$3))))</f>
        <v>54.0951556128</v>
      </c>
      <c r="O24" s="37" t="n">
        <f aca="true">IF(Free_Months&lt;=0,0,SUM(OFFSET(O10,0,1-MIN(Free_Months,O$3),1,MIN(Free_Months,O$3))))</f>
        <v>54.777664949568</v>
      </c>
      <c r="P24" s="37" t="n">
        <f aca="true">IF(Free_Months&lt;=0,0,SUM(OFFSET(P10,0,1-MIN(Free_Months,P$3),1,MIN(Free_Months,P$3))))</f>
        <v>55.5011248465421</v>
      </c>
      <c r="Q24" s="37" t="n">
        <f aca="true">IF(Free_Months&lt;=0,0,SUM(OFFSET(Q10,0,1-MIN(Free_Months,Q$3),1,MIN(Free_Months,Q$3))))</f>
        <v>61.5079923373346</v>
      </c>
      <c r="R24" s="37" t="n">
        <f aca="true">IF(Free_Months&lt;=0,0,SUM(OFFSET(R10,0,1-MIN(Free_Months,R$3),1,MIN(Free_Months,R$3))))</f>
        <v>67.5608718775747</v>
      </c>
      <c r="S24" s="37" t="n">
        <f aca="true">IF(Free_Months&lt;=0,0,SUM(OFFSET(S10,0,1-MIN(Free_Months,S$3),1,MIN(Free_Months,S$3))))</f>
        <v>73.6625241902292</v>
      </c>
      <c r="T24" s="37" t="n">
        <f aca="true">IF(Free_Months&lt;=0,0,SUM(OFFSET(T10,0,1-MIN(Free_Months,T$3),1,MIN(Free_Months,T$3))))</f>
        <v>74.5758756416429</v>
      </c>
      <c r="U24" s="37" t="n">
        <f aca="true">IF(Free_Months&lt;=0,0,SUM(OFFSET(U10,0,1-MIN(Free_Months,U$3),1,MIN(Free_Months,U$3))))</f>
        <v>75.5440281801415</v>
      </c>
      <c r="V24" s="37" t="n">
        <f aca="true">IF(Free_Months&lt;=0,0,SUM(OFFSET(V10,0,1-MIN(Free_Months,V$3),1,MIN(Free_Months,V$3))))</f>
        <v>76.57026987095</v>
      </c>
      <c r="W24" s="37" t="n">
        <f aca="true">IF(Free_Months&lt;=0,0,SUM(OFFSET(W10,0,1-MIN(Free_Months,W$3),1,MIN(Free_Months,W$3))))</f>
        <v>93.098086063207</v>
      </c>
      <c r="X24" s="37" t="n">
        <f aca="true">IF(Free_Months&lt;=0,0,SUM(OFFSET(X10,0,1-MIN(Free_Months,X$3),1,MIN(Free_Months,X$3))))</f>
        <v>109.799171226999</v>
      </c>
      <c r="Y24" s="37" t="n">
        <f aca="true">IF(Free_Months&lt;=0,0,SUM(OFFSET(Y10,0,1-MIN(Free_Months,Y$3),1,MIN(Free_Months,Y$3))))</f>
        <v>126.683921500619</v>
      </c>
      <c r="Z24" s="37" t="n">
        <f aca="true">IF(Free_Months&lt;=0,0,SUM(OFFSET(Z10,0,1-MIN(Free_Months,Z$3),1,MIN(Free_Months,Z$3))))</f>
        <v>128.323356790657</v>
      </c>
      <c r="AA24" s="37" t="n">
        <f aca="true">IF(Free_Months&lt;=0,0,SUM(OFFSET(AA10,0,1-MIN(Free_Months,AA$3),1,MIN(Free_Months,AA$3))))</f>
        <v>130.061158198096</v>
      </c>
      <c r="AB24" s="37" t="n">
        <f aca="true">IF(Free_Months&lt;=0,0,SUM(OFFSET(AB10,0,1-MIN(Free_Months,AB$3),1,MIN(Free_Months,AB$3))))</f>
        <v>134.903227689982</v>
      </c>
      <c r="AC24" s="37" t="n">
        <f aca="true">IF(Free_Months&lt;=0,0,SUM(OFFSET(AC10,0,1-MIN(Free_Months,AC$3),1,MIN(Free_Months,AC$3))))</f>
        <v>150.375821351381</v>
      </c>
      <c r="AD24" s="37" t="n">
        <f aca="true">IF(Free_Months&lt;=0,0,SUM(OFFSET(AD10,0,1-MIN(Free_Months,AD$3),1,MIN(Free_Months,AD$3))))</f>
        <v>165.965570632463</v>
      </c>
      <c r="AE24" s="37" t="n">
        <f aca="true">IF(Free_Months&lt;=0,0,SUM(OFFSET(AE10,0,1-MIN(Free_Months,AE$3),1,MIN(Free_Months,AE$3))))</f>
        <v>178.679504870411</v>
      </c>
      <c r="AF24" s="37" t="n">
        <f aca="true">IF(Free_Months&lt;=0,0,SUM(OFFSET(AF10,0,1-MIN(Free_Months,AF$3),1,MIN(Free_Months,AF$3))))</f>
        <v>184.005075162636</v>
      </c>
      <c r="AG24" s="37" t="n">
        <f aca="true">IF(Free_Months&lt;=0,0,SUM(OFFSET(AG10,0,1-MIN(Free_Months,AG$3),1,MIN(Free_Months,AG$3))))</f>
        <v>189.470179672394</v>
      </c>
      <c r="AH24" s="37" t="n">
        <f aca="true">IF(Free_Months&lt;=0,0,SUM(OFFSET(AH10,0,1-MIN(Free_Months,AH$3),1,MIN(Free_Months,AH$3))))</f>
        <v>195.083190452738</v>
      </c>
      <c r="AI24" s="37" t="n">
        <f aca="true">IF(Free_Months&lt;=0,0,SUM(OFFSET(AI10,0,1-MIN(Free_Months,AI$3),1,MIN(Free_Months,AI$3))))</f>
        <v>197.852981879902</v>
      </c>
      <c r="AJ24" s="37" t="n">
        <f aca="true">IF(Free_Months&lt;=0,0,SUM(OFFSET(AJ10,0,1-MIN(Free_Months,AJ$3),1,MIN(Free_Months,AJ$3))))</f>
        <v>203.788960792696</v>
      </c>
      <c r="AK24" s="37" t="n">
        <f aca="true">IF(Free_Months&lt;=0,0,SUM(OFFSET(AK10,0,1-MIN(Free_Months,AK$3),1,MIN(Free_Months,AK$3))))</f>
        <v>209.901098440258</v>
      </c>
      <c r="AL24" s="37" t="n">
        <f aca="true">IF(Free_Months&lt;=0,0,SUM(OFFSET(AL10,0,1-MIN(Free_Months,AL$3),1,MIN(Free_Months,AL$3))))</f>
        <v>216.199964346673</v>
      </c>
      <c r="AM24" s="37" t="n">
        <f aca="true">IF(Free_Months&lt;=0,0,SUM(OFFSET(AM10,0,1-MIN(Free_Months,AM$3),1,MIN(Free_Months,AM$3))))</f>
        <v>222.696762207474</v>
      </c>
      <c r="AN24" s="37" t="n">
        <f aca="true">IF(Free_Months&lt;=0,0,SUM(OFFSET(AN10,0,1-MIN(Free_Months,AN$3),1,MIN(Free_Months,AN$3))))</f>
        <v>232.103367939922</v>
      </c>
      <c r="AO24" s="37" t="n">
        <f aca="true">IF(Free_Months&lt;=0,0,SUM(OFFSET(AO10,0,1-MIN(Free_Months,AO$3),1,MIN(Free_Months,AO$3))))</f>
        <v>246.972370016317</v>
      </c>
      <c r="AP24" s="37" t="n">
        <f aca="true">IF(Free_Months&lt;=0,0,SUM(OFFSET(AP10,0,1-MIN(Free_Months,AP$3),1,MIN(Free_Months,AP$3))))</f>
        <v>262.077112217297</v>
      </c>
      <c r="AQ24" s="37" t="n">
        <f aca="true">IF(Free_Months&lt;=0,0,SUM(OFFSET(AQ10,0,1-MIN(Free_Months,AQ$3),1,MIN(Free_Months,AQ$3))))</f>
        <v>274.731738950334</v>
      </c>
      <c r="AR24" s="37" t="n">
        <f aca="true">IF(Free_Months&lt;=0,0,SUM(OFFSET(AR10,0,1-MIN(Free_Months,AR$3),1,MIN(Free_Months,AR$3))))</f>
        <v>285.411243287354</v>
      </c>
      <c r="AS24" s="37" t="n">
        <f aca="true">IF(Free_Months&lt;=0,0,SUM(OFFSET(AS10,0,1-MIN(Free_Months,AS$3),1,MIN(Free_Months,AS$3))))</f>
        <v>292.929761885042</v>
      </c>
      <c r="AT24" s="37" t="n">
        <f aca="true">IF(Free_Months&lt;=0,0,SUM(OFFSET(AT10,0,1-MIN(Free_Months,AT$3),1,MIN(Free_Months,AT$3))))</f>
        <v>304.979391598592</v>
      </c>
      <c r="AU24" s="37" t="n">
        <f aca="true">IF(Free_Months&lt;=0,0,SUM(OFFSET(AU10,0,1-MIN(Free_Months,AU$3),1,MIN(Free_Months,AU$3))))</f>
        <v>312.789999094954</v>
      </c>
      <c r="AV24" s="37" t="n">
        <f aca="true">IF(Free_Months&lt;=0,0,SUM(OFFSET(AV10,0,1-MIN(Free_Months,AV$3),1,MIN(Free_Months,AV$3))))</f>
        <v>319.728999040651</v>
      </c>
      <c r="AW24" s="37" t="n">
        <f aca="true">IF(Free_Months&lt;=0,0,SUM(OFFSET(AW10,0,1-MIN(Free_Months,AW$3),1,MIN(Free_Months,AW$3))))</f>
        <v>324.04233898309</v>
      </c>
      <c r="AX24" s="37" t="n">
        <f aca="true">IF(Free_Months&lt;=0,0,SUM(OFFSET(AX10,0,1-MIN(Free_Months,AX$3),1,MIN(Free_Months,AX$3))))</f>
        <v>328.434479322076</v>
      </c>
      <c r="AY24" s="37" t="n">
        <f aca="true">IF(Free_Months&lt;=0,0,SUM(OFFSET(AY10,0,1-MIN(Free_Months,AY$3),1,MIN(Free_Months,AY$3))))</f>
        <v>338.6101480814</v>
      </c>
      <c r="AZ24" s="37" t="n">
        <f aca="true">IF(Free_Months&lt;=0,0,SUM(OFFSET(AZ10,0,1-MIN(Free_Months,AZ$3),1,MIN(Free_Months,AZ$3))))</f>
        <v>345.874356966284</v>
      </c>
      <c r="BA24" s="37" t="n">
        <f aca="true">IF(Free_Months&lt;=0,0,SUM(OFFSET(BA10,0,1-MIN(Free_Months,BA$3),1,MIN(Free_Months,BA$3))))</f>
        <v>361.512418384261</v>
      </c>
      <c r="BB24" s="37" t="n">
        <f aca="true">IF(Free_Months&lt;=0,0,SUM(OFFSET(BB10,0,1-MIN(Free_Months,BB$3),1,MIN(Free_Months,BB$3))))</f>
        <v>371.549963487317</v>
      </c>
      <c r="BC24" s="37" t="n">
        <f aca="true">IF(Free_Months&lt;=0,0,SUM(OFFSET(BC10,0,1-MIN(Free_Months,BC$3),1,MIN(Free_Months,BC$3))))</f>
        <v>384.692961296556</v>
      </c>
      <c r="BD24" s="37" t="n">
        <f aca="true">IF(Free_Months&lt;=0,0,SUM(OFFSET(BD10,0,1-MIN(Free_Months,BD$3),1,MIN(Free_Months,BD$3))))</f>
        <v>392.367738974349</v>
      </c>
      <c r="BE24" s="37" t="n">
        <f aca="true">IF(Free_Months&lt;=0,0,SUM(OFFSET(BE10,0,1-MIN(Free_Months,BE$3),1,MIN(Free_Months,BE$3))))</f>
        <v>403.16100331281</v>
      </c>
      <c r="BF24" s="37" t="n">
        <f aca="true">IF(Free_Months&lt;=0,0,SUM(OFFSET(BF10,0,1-MIN(Free_Months,BF$3),1,MIN(Free_Months,BF$3))))</f>
        <v>411.079863511579</v>
      </c>
      <c r="BG24" s="37" t="n">
        <f aca="true">IF(Free_Months&lt;=0,0,SUM(OFFSET(BG10,0,1-MIN(Free_Months,BG$3),1,MIN(Free_Months,BG$3))))</f>
        <v>422.131855322274</v>
      </c>
      <c r="BH24" s="37" t="n">
        <f aca="true">IF(Free_Months&lt;=0,0,SUM(OFFSET(BH10,0,1-MIN(Free_Months,BH$3),1,MIN(Free_Months,BH$3))))</f>
        <v>430.32496664161</v>
      </c>
      <c r="BI24" s="37" t="n">
        <f aca="true">IF(Free_Months&lt;=0,0,SUM(OFFSET(BI10,0,1-MIN(Free_Months,BI$3),1,MIN(Free_Months,BI$3))))</f>
        <v>441.667664640107</v>
      </c>
      <c r="BJ24" s="37" t="n">
        <f aca="true">IF(Free_Months&lt;=0,0,SUM(OFFSET(BJ10,0,1-MIN(Free_Months,BJ$3),1,MIN(Free_Months,BJ$3))))</f>
        <v>447.468924518513</v>
      </c>
      <c r="BK24" s="37" t="n">
        <f aca="true">IF(Free_Months&lt;=0,0,SUM(OFFSET(BK10,0,1-MIN(Free_Months,BK$3),1,MIN(Free_Months,BK$3))))</f>
        <v>458.623967702797</v>
      </c>
      <c r="BL24" s="37" t="n">
        <f aca="true">IF(Free_Months&lt;=0,0,SUM(OFFSET(BL10,0,1-MIN(Free_Months,BL$3),1,MIN(Free_Months,BL$3))))</f>
        <v>468.846313478138</v>
      </c>
    </row>
    <row r="25" customFormat="false" ht="15" hidden="false" customHeight="false" outlineLevel="0" collapsed="false">
      <c r="A25" s="12" t="s">
        <v>766</v>
      </c>
      <c r="B25" s="14" t="s">
        <v>83</v>
      </c>
      <c r="E25" s="37" t="n">
        <f aca="true">IF(Free_Months&lt;=0,0,SUM(OFFSET(E11,0,1-MIN(Free_Months,E$3),1,MIN(Free_Months,E$3))))</f>
        <v>0</v>
      </c>
      <c r="F25" s="37" t="n">
        <f aca="true">IF(Free_Months&lt;=0,0,SUM(OFFSET(F11,0,1-MIN(Free_Months,F$3),1,MIN(Free_Months,F$3))))</f>
        <v>0</v>
      </c>
      <c r="G25" s="37" t="n">
        <f aca="true">IF(Free_Months&lt;=0,0,SUM(OFFSET(G11,0,1-MIN(Free_Months,G$3),1,MIN(Free_Months,G$3))))</f>
        <v>0</v>
      </c>
      <c r="H25" s="37" t="n">
        <f aca="true">IF(Free_Months&lt;=0,0,SUM(OFFSET(H11,0,1-MIN(Free_Months,H$3),1,MIN(Free_Months,H$3))))</f>
        <v>0</v>
      </c>
      <c r="I25" s="37" t="n">
        <f aca="true">IF(Free_Months&lt;=0,0,SUM(OFFSET(I11,0,1-MIN(Free_Months,I$3),1,MIN(Free_Months,I$3))))</f>
        <v>5.74666666666667</v>
      </c>
      <c r="J25" s="37" t="n">
        <f aca="true">IF(Free_Months&lt;=0,0,SUM(OFFSET(J11,0,1-MIN(Free_Months,J$3),1,MIN(Free_Months,J$3))))</f>
        <v>11.5533333333333</v>
      </c>
      <c r="K25" s="37" t="n">
        <f aca="true">IF(Free_Months&lt;=0,0,SUM(OFFSET(K11,0,1-MIN(Free_Months,K$3),1,MIN(Free_Months,K$3))))</f>
        <v>17.4236</v>
      </c>
      <c r="L25" s="37" t="n">
        <f aca="true">IF(Free_Months&lt;=0,0,SUM(OFFSET(L11,0,1-MIN(Free_Months,L$3),1,MIN(Free_Months,L$3))))</f>
        <v>17.614616</v>
      </c>
      <c r="M25" s="37" t="n">
        <f aca="true">IF(Free_Months&lt;=0,0,SUM(OFFSET(M11,0,1-MIN(Free_Months,M$3),1,MIN(Free_Months,M$3))))</f>
        <v>17.81709296</v>
      </c>
      <c r="N25" s="37" t="n">
        <f aca="true">IF(Free_Months&lt;=0,0,SUM(OFFSET(N11,0,1-MIN(Free_Months,N$3),1,MIN(Free_Months,N$3))))</f>
        <v>18.0317185376</v>
      </c>
      <c r="O25" s="37" t="n">
        <f aca="true">IF(Free_Months&lt;=0,0,SUM(OFFSET(O11,0,1-MIN(Free_Months,O$3),1,MIN(Free_Months,O$3))))</f>
        <v>18.259221649856</v>
      </c>
      <c r="P25" s="37" t="n">
        <f aca="true">IF(Free_Months&lt;=0,0,SUM(OFFSET(P11,0,1-MIN(Free_Months,P$3),1,MIN(Free_Months,P$3))))</f>
        <v>18.5003749488474</v>
      </c>
      <c r="Q25" s="37" t="n">
        <f aca="true">IF(Free_Months&lt;=0,0,SUM(OFFSET(Q11,0,1-MIN(Free_Months,Q$3),1,MIN(Free_Months,Q$3))))</f>
        <v>20.5026641124449</v>
      </c>
      <c r="R25" s="37" t="n">
        <f aca="true">IF(Free_Months&lt;=0,0,SUM(OFFSET(R11,0,1-MIN(Free_Months,R$3),1,MIN(Free_Months,R$3))))</f>
        <v>22.5202906258582</v>
      </c>
      <c r="S25" s="37" t="n">
        <f aca="true">IF(Free_Months&lt;=0,0,SUM(OFFSET(S11,0,1-MIN(Free_Months,S$3),1,MIN(Free_Months,S$3))))</f>
        <v>24.5541747300764</v>
      </c>
      <c r="T25" s="37" t="n">
        <f aca="true">IF(Free_Months&lt;=0,0,SUM(OFFSET(T11,0,1-MIN(Free_Months,T$3),1,MIN(Free_Months,T$3))))</f>
        <v>24.858625213881</v>
      </c>
      <c r="U25" s="37" t="n">
        <f aca="true">IF(Free_Months&lt;=0,0,SUM(OFFSET(U11,0,1-MIN(Free_Months,U$3),1,MIN(Free_Months,U$3))))</f>
        <v>25.1813427267138</v>
      </c>
      <c r="V25" s="37" t="n">
        <f aca="true">IF(Free_Months&lt;=0,0,SUM(OFFSET(V11,0,1-MIN(Free_Months,V$3),1,MIN(Free_Months,V$3))))</f>
        <v>25.5234232903167</v>
      </c>
      <c r="W25" s="37" t="n">
        <f aca="true">IF(Free_Months&lt;=0,0,SUM(OFFSET(W11,0,1-MIN(Free_Months,W$3),1,MIN(Free_Months,W$3))))</f>
        <v>31.0326953544023</v>
      </c>
      <c r="X25" s="37" t="n">
        <f aca="true">IF(Free_Months&lt;=0,0,SUM(OFFSET(X11,0,1-MIN(Free_Months,X$3),1,MIN(Free_Months,X$3))))</f>
        <v>36.5997237423331</v>
      </c>
      <c r="Y25" s="37" t="n">
        <f aca="true">IF(Free_Months&lt;=0,0,SUM(OFFSET(Y11,0,1-MIN(Free_Months,Y$3),1,MIN(Free_Months,Y$3))))</f>
        <v>42.2279738335398</v>
      </c>
      <c r="Z25" s="37" t="n">
        <f aca="true">IF(Free_Months&lt;=0,0,SUM(OFFSET(Z11,0,1-MIN(Free_Months,Z$3),1,MIN(Free_Months,Z$3))))</f>
        <v>42.7744522635522</v>
      </c>
      <c r="AA25" s="37" t="n">
        <f aca="true">IF(Free_Months&lt;=0,0,SUM(OFFSET(AA11,0,1-MIN(Free_Months,AA$3),1,MIN(Free_Months,AA$3))))</f>
        <v>43.3537193993653</v>
      </c>
      <c r="AB25" s="37" t="n">
        <f aca="true">IF(Free_Months&lt;=0,0,SUM(OFFSET(AB11,0,1-MIN(Free_Months,AB$3),1,MIN(Free_Months,AB$3))))</f>
        <v>44.9677425633272</v>
      </c>
      <c r="AC25" s="37" t="n">
        <f aca="true">IF(Free_Months&lt;=0,0,SUM(OFFSET(AC11,0,1-MIN(Free_Months,AC$3),1,MIN(Free_Months,AC$3))))</f>
        <v>50.1252737837935</v>
      </c>
      <c r="AD25" s="37" t="n">
        <f aca="true">IF(Free_Months&lt;=0,0,SUM(OFFSET(AD11,0,1-MIN(Free_Months,AD$3),1,MIN(Free_Months,AD$3))))</f>
        <v>55.3218568774878</v>
      </c>
      <c r="AE25" s="37" t="n">
        <f aca="true">IF(Free_Months&lt;=0,0,SUM(OFFSET(AE11,0,1-MIN(Free_Months,AE$3),1,MIN(Free_Months,AE$3))))</f>
        <v>59.5598349568038</v>
      </c>
      <c r="AF25" s="37" t="n">
        <f aca="true">IF(Free_Months&lt;=0,0,SUM(OFFSET(AF11,0,1-MIN(Free_Months,AF$3),1,MIN(Free_Months,AF$3))))</f>
        <v>61.335025054212</v>
      </c>
      <c r="AG25" s="37" t="n">
        <f aca="true">IF(Free_Months&lt;=0,0,SUM(OFFSET(AG11,0,1-MIN(Free_Months,AG$3),1,MIN(Free_Months,AG$3))))</f>
        <v>63.1567265574647</v>
      </c>
      <c r="AH25" s="37" t="n">
        <f aca="true">IF(Free_Months&lt;=0,0,SUM(OFFSET(AH11,0,1-MIN(Free_Months,AH$3),1,MIN(Free_Months,AH$3))))</f>
        <v>65.0277301509126</v>
      </c>
      <c r="AI25" s="37" t="n">
        <f aca="true">IF(Free_Months&lt;=0,0,SUM(OFFSET(AI11,0,1-MIN(Free_Months,AI$3),1,MIN(Free_Months,AI$3))))</f>
        <v>65.9509939599673</v>
      </c>
      <c r="AJ25" s="37" t="n">
        <f aca="true">IF(Free_Months&lt;=0,0,SUM(OFFSET(AJ11,0,1-MIN(Free_Months,AJ$3),1,MIN(Free_Months,AJ$3))))</f>
        <v>67.9296535975654</v>
      </c>
      <c r="AK25" s="37" t="n">
        <f aca="true">IF(Free_Months&lt;=0,0,SUM(OFFSET(AK11,0,1-MIN(Free_Months,AK$3),1,MIN(Free_Months,AK$3))))</f>
        <v>69.9670328134193</v>
      </c>
      <c r="AL25" s="37" t="n">
        <f aca="true">IF(Free_Months&lt;=0,0,SUM(OFFSET(AL11,0,1-MIN(Free_Months,AL$3),1,MIN(Free_Months,AL$3))))</f>
        <v>72.0666547822245</v>
      </c>
      <c r="AM25" s="37" t="n">
        <f aca="true">IF(Free_Months&lt;=0,0,SUM(OFFSET(AM11,0,1-MIN(Free_Months,AM$3),1,MIN(Free_Months,AM$3))))</f>
        <v>74.2322540691579</v>
      </c>
      <c r="AN25" s="37" t="n">
        <f aca="true">IF(Free_Months&lt;=0,0,SUM(OFFSET(AN11,0,1-MIN(Free_Months,AN$3),1,MIN(Free_Months,AN$3))))</f>
        <v>77.3677893133074</v>
      </c>
      <c r="AO25" s="37" t="n">
        <f aca="true">IF(Free_Months&lt;=0,0,SUM(OFFSET(AO11,0,1-MIN(Free_Months,AO$3),1,MIN(Free_Months,AO$3))))</f>
        <v>82.3241233387725</v>
      </c>
      <c r="AP25" s="37" t="n">
        <f aca="true">IF(Free_Months&lt;=0,0,SUM(OFFSET(AP11,0,1-MIN(Free_Months,AP$3),1,MIN(Free_Months,AP$3))))</f>
        <v>87.3590374057655</v>
      </c>
      <c r="AQ25" s="37" t="n">
        <f aca="true">IF(Free_Months&lt;=0,0,SUM(OFFSET(AQ11,0,1-MIN(Free_Months,AQ$3),1,MIN(Free_Months,AQ$3))))</f>
        <v>91.5772463167781</v>
      </c>
      <c r="AR25" s="37" t="n">
        <f aca="true">IF(Free_Months&lt;=0,0,SUM(OFFSET(AR11,0,1-MIN(Free_Months,AR$3),1,MIN(Free_Months,AR$3))))</f>
        <v>95.1370810957848</v>
      </c>
      <c r="AS25" s="37" t="n">
        <f aca="true">IF(Free_Months&lt;=0,0,SUM(OFFSET(AS11,0,1-MIN(Free_Months,AS$3),1,MIN(Free_Months,AS$3))))</f>
        <v>97.6432539616808</v>
      </c>
      <c r="AT25" s="37" t="n">
        <f aca="true">IF(Free_Months&lt;=0,0,SUM(OFFSET(AT11,0,1-MIN(Free_Months,AT$3),1,MIN(Free_Months,AT$3))))</f>
        <v>101.659797199531</v>
      </c>
      <c r="AU25" s="37" t="n">
        <f aca="true">IF(Free_Months&lt;=0,0,SUM(OFFSET(AU11,0,1-MIN(Free_Months,AU$3),1,MIN(Free_Months,AU$3))))</f>
        <v>104.263333031651</v>
      </c>
      <c r="AV25" s="37" t="n">
        <f aca="true">IF(Free_Months&lt;=0,0,SUM(OFFSET(AV11,0,1-MIN(Free_Months,AV$3),1,MIN(Free_Months,AV$3))))</f>
        <v>106.57633301355</v>
      </c>
      <c r="AW25" s="37" t="n">
        <f aca="true">IF(Free_Months&lt;=0,0,SUM(OFFSET(AW11,0,1-MIN(Free_Months,AW$3),1,MIN(Free_Months,AW$3))))</f>
        <v>108.014112994363</v>
      </c>
      <c r="AX25" s="37" t="n">
        <f aca="true">IF(Free_Months&lt;=0,0,SUM(OFFSET(AX11,0,1-MIN(Free_Months,AX$3),1,MIN(Free_Months,AX$3))))</f>
        <v>109.478159774025</v>
      </c>
      <c r="AY25" s="37" t="n">
        <f aca="true">IF(Free_Months&lt;=0,0,SUM(OFFSET(AY11,0,1-MIN(Free_Months,AY$3),1,MIN(Free_Months,AY$3))))</f>
        <v>112.870049360467</v>
      </c>
      <c r="AZ25" s="37" t="n">
        <f aca="true">IF(Free_Months&lt;=0,0,SUM(OFFSET(AZ11,0,1-MIN(Free_Months,AZ$3),1,MIN(Free_Months,AZ$3))))</f>
        <v>115.291452322095</v>
      </c>
      <c r="BA25" s="37" t="n">
        <f aca="true">IF(Free_Months&lt;=0,0,SUM(OFFSET(BA11,0,1-MIN(Free_Months,BA$3),1,MIN(Free_Months,BA$3))))</f>
        <v>120.50413946142</v>
      </c>
      <c r="BB25" s="37" t="n">
        <f aca="true">IF(Free_Months&lt;=0,0,SUM(OFFSET(BB11,0,1-MIN(Free_Months,BB$3),1,MIN(Free_Months,BB$3))))</f>
        <v>123.849987829106</v>
      </c>
      <c r="BC25" s="37" t="n">
        <f aca="true">IF(Free_Months&lt;=0,0,SUM(OFFSET(BC11,0,1-MIN(Free_Months,BC$3),1,MIN(Free_Months,BC$3))))</f>
        <v>128.230987098852</v>
      </c>
      <c r="BD25" s="37" t="n">
        <f aca="true">IF(Free_Months&lt;=0,0,SUM(OFFSET(BD11,0,1-MIN(Free_Months,BD$3),1,MIN(Free_Months,BD$3))))</f>
        <v>130.789246324783</v>
      </c>
      <c r="BE25" s="37" t="n">
        <f aca="true">IF(Free_Months&lt;=0,0,SUM(OFFSET(BE11,0,1-MIN(Free_Months,BE$3),1,MIN(Free_Months,BE$3))))</f>
        <v>134.38700110427</v>
      </c>
      <c r="BF25" s="37" t="n">
        <f aca="true">IF(Free_Months&lt;=0,0,SUM(OFFSET(BF11,0,1-MIN(Free_Months,BF$3),1,MIN(Free_Months,BF$3))))</f>
        <v>137.026621170526</v>
      </c>
      <c r="BG25" s="37" t="n">
        <f aca="true">IF(Free_Months&lt;=0,0,SUM(OFFSET(BG11,0,1-MIN(Free_Months,BG$3),1,MIN(Free_Months,BG$3))))</f>
        <v>140.710618440758</v>
      </c>
      <c r="BH25" s="37" t="n">
        <f aca="true">IF(Free_Months&lt;=0,0,SUM(OFFSET(BH11,0,1-MIN(Free_Months,BH$3),1,MIN(Free_Months,BH$3))))</f>
        <v>143.441655547203</v>
      </c>
      <c r="BI25" s="37" t="n">
        <f aca="true">IF(Free_Months&lt;=0,0,SUM(OFFSET(BI11,0,1-MIN(Free_Months,BI$3),1,MIN(Free_Months,BI$3))))</f>
        <v>147.222554880036</v>
      </c>
      <c r="BJ25" s="37" t="n">
        <f aca="true">IF(Free_Months&lt;=0,0,SUM(OFFSET(BJ11,0,1-MIN(Free_Months,BJ$3),1,MIN(Free_Months,BJ$3))))</f>
        <v>149.156308172838</v>
      </c>
      <c r="BK25" s="37" t="n">
        <f aca="true">IF(Free_Months&lt;=0,0,SUM(OFFSET(BK11,0,1-MIN(Free_Months,BK$3),1,MIN(Free_Months,BK$3))))</f>
        <v>152.874655900932</v>
      </c>
      <c r="BL25" s="37" t="n">
        <f aca="true">IF(Free_Months&lt;=0,0,SUM(OFFSET(BL11,0,1-MIN(Free_Months,BL$3),1,MIN(Free_Months,BL$3))))</f>
        <v>156.282104492713</v>
      </c>
    </row>
    <row r="26" customFormat="false" ht="15" hidden="false" customHeight="false" outlineLevel="0" collapsed="false">
      <c r="A26" s="12" t="s">
        <v>767</v>
      </c>
      <c r="B26" s="14" t="s">
        <v>83</v>
      </c>
      <c r="D26" s="55" t="n">
        <f aca="false">BL26</f>
        <v>5281.89485950141</v>
      </c>
      <c r="E26" s="37" t="n">
        <f aca="false">MAX(0,E14-E23)</f>
        <v>0</v>
      </c>
      <c r="F26" s="37" t="n">
        <f aca="false">MAX(0,F14-F23)</f>
        <v>0</v>
      </c>
      <c r="G26" s="37" t="n">
        <f aca="false">MAX(0,G14-G23)</f>
        <v>0</v>
      </c>
      <c r="H26" s="37" t="n">
        <f aca="false">MAX(0,H14-H23)</f>
        <v>0</v>
      </c>
      <c r="I26" s="37" t="n">
        <f aca="false">MAX(0,I14-I23)</f>
        <v>0</v>
      </c>
      <c r="J26" s="37" t="n">
        <f aca="false">MAX(0,J14-J23)</f>
        <v>0</v>
      </c>
      <c r="K26" s="37" t="n">
        <f aca="false">MAX(0,K14-K23)</f>
        <v>0</v>
      </c>
      <c r="L26" s="37" t="n">
        <f aca="false">MAX(0,L14-L23)</f>
        <v>30.36820416</v>
      </c>
      <c r="M26" s="37" t="n">
        <f aca="false">MAX(0,M14-M23)</f>
        <v>62.4870861568</v>
      </c>
      <c r="N26" s="37" t="n">
        <f aca="false">MAX(0,N14-N23)</f>
        <v>94.320893278464</v>
      </c>
      <c r="O26" s="37" t="n">
        <f aca="false">MAX(0,O14-O23)</f>
        <v>125.896765188383</v>
      </c>
      <c r="P26" s="37" t="n">
        <f aca="false">MAX(0,P14-P23)</f>
        <v>157.242585046632</v>
      </c>
      <c r="Q26" s="37" t="n">
        <f aca="false">MAX(0,Q14-Q23)</f>
        <v>188.387041817438</v>
      </c>
      <c r="R26" s="37" t="n">
        <f aca="false">MAX(0,R14-R23)</f>
        <v>219.150095961132</v>
      </c>
      <c r="S26" s="37" t="n">
        <f aca="false">MAX(0,S14-S23)</f>
        <v>249.566440720754</v>
      </c>
      <c r="T26" s="37" t="n">
        <f aca="false">MAX(0,T14-T23)</f>
        <v>290.151699385915</v>
      </c>
      <c r="U26" s="37" t="n">
        <f aca="false">MAX(0,U14-U23)</f>
        <v>330.462504126547</v>
      </c>
      <c r="V26" s="37" t="n">
        <f aca="false">MAX(0,V14-V23)</f>
        <v>370.536579096068</v>
      </c>
      <c r="W26" s="37" t="n">
        <f aca="false">MAX(0,W14-W23)</f>
        <v>410.412828069321</v>
      </c>
      <c r="X26" s="37" t="n">
        <f aca="false">MAX(0,X14-X23)</f>
        <v>449.51382689642</v>
      </c>
      <c r="Y26" s="37" t="n">
        <f aca="false">MAX(0,Y14-Y23)</f>
        <v>487.889153070285</v>
      </c>
      <c r="Z26" s="37" t="n">
        <f aca="false">MAX(0,Z14-Z23)</f>
        <v>556.469436883381</v>
      </c>
      <c r="AA26" s="37" t="n">
        <f aca="false">MAX(0,AA14-AA23)</f>
        <v>624.642463032686</v>
      </c>
      <c r="AB26" s="37" t="n">
        <f aca="false">MAX(0,AB14-AB23)</f>
        <v>692.474237552222</v>
      </c>
      <c r="AC26" s="37" t="n">
        <f aca="false">MAX(0,AC14-AC23)</f>
        <v>759.912918008179</v>
      </c>
      <c r="AD26" s="37" t="n">
        <f aca="false">MAX(0,AD14-AD23)</f>
        <v>826.610578767437</v>
      </c>
      <c r="AE26" s="37" t="n">
        <f aca="false">MAX(0,AE14-AE23)</f>
        <v>898.650953458675</v>
      </c>
      <c r="AF26" s="37" t="n">
        <f aca="false">MAX(0,AF14-AF23)</f>
        <v>991.160235832084</v>
      </c>
      <c r="AG26" s="37" t="n">
        <f aca="false">MAX(0,AG14-AG23)</f>
        <v>1083.06727864458</v>
      </c>
      <c r="AH26" s="37" t="n">
        <f aca="false">MAX(0,AH14-AH23)</f>
        <v>1174.46620345257</v>
      </c>
      <c r="AI26" s="37" t="n">
        <f aca="false">MAX(0,AI14-AI23)</f>
        <v>1271.45417398726</v>
      </c>
      <c r="AJ26" s="37" t="n">
        <f aca="false">MAX(0,AJ14-AJ23)</f>
        <v>1368.13163078748</v>
      </c>
      <c r="AK26" s="37" t="n">
        <f aca="false">MAX(0,AK14-AK23)</f>
        <v>1464.48253886849</v>
      </c>
      <c r="AL26" s="37" t="n">
        <f aca="false">MAX(0,AL14-AL23)</f>
        <v>1560.61704922969</v>
      </c>
      <c r="AM26" s="37" t="n">
        <f aca="false">MAX(0,AM14-AM23)</f>
        <v>1662.64932705197</v>
      </c>
      <c r="AN26" s="37" t="n">
        <f aca="false">MAX(0,AN14-AN23)</f>
        <v>1764.57784444623</v>
      </c>
      <c r="AO26" s="37" t="n">
        <f aca="false">MAX(0,AO14-AO23)</f>
        <v>1866.42008972871</v>
      </c>
      <c r="AP26" s="37" t="n">
        <f aca="false">MAX(0,AP14-AP23)</f>
        <v>1974.09900623583</v>
      </c>
      <c r="AQ26" s="37" t="n">
        <f aca="false">MAX(0,AQ14-AQ23)</f>
        <v>2087.03652751091</v>
      </c>
      <c r="AR26" s="37" t="n">
        <f aca="false">MAX(0,AR14-AR23)</f>
        <v>2210.46246844448</v>
      </c>
      <c r="AS26" s="37" t="n">
        <f aca="false">MAX(0,AS14-AS23)</f>
        <v>2339.9324668484</v>
      </c>
      <c r="AT26" s="37" t="n">
        <f aca="false">MAX(0,AT14-AT23)</f>
        <v>2469.6284663906</v>
      </c>
      <c r="AU26" s="37" t="n">
        <f aca="false">MAX(0,AU14-AU23)</f>
        <v>2605.55167111468</v>
      </c>
      <c r="AV26" s="37" t="n">
        <f aca="false">MAX(0,AV14-AV23)</f>
        <v>2741.06177242827</v>
      </c>
      <c r="AW26" s="37" t="n">
        <f aca="false">MAX(0,AW14-AW23)</f>
        <v>2885.76247579974</v>
      </c>
      <c r="AX26" s="37" t="n">
        <f aca="false">MAX(0,AX14-AX23)</f>
        <v>3028.22169743298</v>
      </c>
      <c r="AY26" s="37" t="n">
        <f aca="false">MAX(0,AY14-AY23)</f>
        <v>3168.53061890252</v>
      </c>
      <c r="AZ26" s="37" t="n">
        <f aca="false">MAX(0,AZ14-AZ23)</f>
        <v>3312.55337926775</v>
      </c>
      <c r="BA26" s="37" t="n">
        <f aca="false">MAX(0,BA14-BA23)</f>
        <v>3454.38778279028</v>
      </c>
      <c r="BB26" s="37" t="n">
        <f aca="false">MAX(0,BB14-BB23)</f>
        <v>3605.20160250883</v>
      </c>
      <c r="BC26" s="37" t="n">
        <f aca="false">MAX(0,BC14-BC23)</f>
        <v>3753.70176835547</v>
      </c>
      <c r="BD26" s="37" t="n">
        <f aca="false">MAX(0,BD14-BD23)</f>
        <v>3916.43658275898</v>
      </c>
      <c r="BE26" s="37" t="n">
        <f aca="false">MAX(0,BE14-BE23)</f>
        <v>4076.85030386067</v>
      </c>
      <c r="BF26" s="37" t="n">
        <f aca="false">MAX(0,BF14-BF23)</f>
        <v>4240.93904970573</v>
      </c>
      <c r="BG26" s="37" t="n">
        <f aca="false">MAX(0,BG14-BG23)</f>
        <v>4408.22319774923</v>
      </c>
      <c r="BH26" s="37" t="n">
        <f aca="false">MAX(0,BH14-BH23)</f>
        <v>4579.19715057411</v>
      </c>
      <c r="BI26" s="37" t="n">
        <f aca="false">MAX(0,BI14-BI23)</f>
        <v>4747.99012134929</v>
      </c>
      <c r="BJ26" s="37" t="n">
        <f aca="false">MAX(0,BJ14-BJ23)</f>
        <v>4926.01371953616</v>
      </c>
      <c r="BK26" s="37" t="n">
        <f aca="false">MAX(0,BK14-BK23)</f>
        <v>5102.00460179613</v>
      </c>
      <c r="BL26" s="37" t="n">
        <f aca="false">MAX(0,BL14-BL23)</f>
        <v>5281.89485950141</v>
      </c>
    </row>
    <row r="27" customFormat="false" ht="15" hidden="false" customHeight="false" outlineLevel="0" collapsed="false">
      <c r="A27" s="12" t="s">
        <v>768</v>
      </c>
      <c r="B27" s="14" t="s">
        <v>83</v>
      </c>
      <c r="D27" s="55" t="n">
        <f aca="false">BL27</f>
        <v>3025.88003844087</v>
      </c>
      <c r="E27" s="37" t="n">
        <f aca="false">MAX(0,E15-E24)</f>
        <v>0</v>
      </c>
      <c r="F27" s="37" t="n">
        <f aca="false">MAX(0,F15-F24)</f>
        <v>0</v>
      </c>
      <c r="G27" s="37" t="n">
        <f aca="false">MAX(0,G15-G24)</f>
        <v>0</v>
      </c>
      <c r="H27" s="37" t="n">
        <f aca="false">MAX(0,H15-H24)</f>
        <v>0</v>
      </c>
      <c r="I27" s="37" t="n">
        <f aca="false">MAX(0,I15-I24)</f>
        <v>0</v>
      </c>
      <c r="J27" s="37" t="n">
        <f aca="false">MAX(0,J15-J24)</f>
        <v>0</v>
      </c>
      <c r="K27" s="37" t="n">
        <f aca="false">MAX(0,K15-K24)</f>
        <v>0</v>
      </c>
      <c r="L27" s="37" t="n">
        <f aca="false">MAX(0,L15-L24)</f>
        <v>15.948634453125</v>
      </c>
      <c r="M27" s="37" t="n">
        <f aca="false">MAX(0,M15-M24)</f>
        <v>32.508728422461</v>
      </c>
      <c r="N27" s="37" t="n">
        <f aca="false">MAX(0,N15-N24)</f>
        <v>49.0450283311802</v>
      </c>
      <c r="O27" s="37" t="n">
        <f aca="false">MAX(0,O15-O24)</f>
        <v>65.5688240318805</v>
      </c>
      <c r="P27" s="37" t="n">
        <f aca="false">MAX(0,P15-P24)</f>
        <v>82.0919237996124</v>
      </c>
      <c r="Q27" s="37" t="n">
        <f aca="false">MAX(0,Q15-Q24)</f>
        <v>98.6266874243354</v>
      </c>
      <c r="R27" s="37" t="n">
        <f aca="false">MAX(0,R15-R24)</f>
        <v>115.120561264083</v>
      </c>
      <c r="S27" s="37" t="n">
        <f aca="false">MAX(0,S15-S24)</f>
        <v>131.587934126786</v>
      </c>
      <c r="T27" s="37" t="n">
        <f aca="false">MAX(0,T15-T24)</f>
        <v>153.283847621416</v>
      </c>
      <c r="U27" s="37" t="n">
        <f aca="false">MAX(0,U15-U24)</f>
        <v>174.984037957636</v>
      </c>
      <c r="V27" s="37" t="n">
        <f aca="false">MAX(0,V15-V24)</f>
        <v>196.704980220542</v>
      </c>
      <c r="W27" s="37" t="n">
        <f aca="false">MAX(0,W15-W24)</f>
        <v>218.463935269405</v>
      </c>
      <c r="X27" s="37" t="n">
        <f aca="false">MAX(0,X15-X24)</f>
        <v>240.085999418254</v>
      </c>
      <c r="Y27" s="37" t="n">
        <f aca="false">MAX(0,Y15-Y24)</f>
        <v>261.591219565625</v>
      </c>
      <c r="Z27" s="37" t="n">
        <f aca="false">MAX(0,Z15-Z24)</f>
        <v>298.44049216956</v>
      </c>
      <c r="AA27" s="37" t="n">
        <f aca="false">MAX(0,AA15-AA24)</f>
        <v>335.323618636857</v>
      </c>
      <c r="AB27" s="37" t="n">
        <f aca="false">MAX(0,AB15-AB24)</f>
        <v>372.269843980477</v>
      </c>
      <c r="AC27" s="37" t="n">
        <f aca="false">MAX(0,AC15-AC24)</f>
        <v>409.272327741897</v>
      </c>
      <c r="AD27" s="37" t="n">
        <f aca="false">MAX(0,AD15-AD24)</f>
        <v>446.232201864969</v>
      </c>
      <c r="AE27" s="37" t="n">
        <f aca="false">MAX(0,AE15-AE24)</f>
        <v>486.185334254694</v>
      </c>
      <c r="AF27" s="37" t="n">
        <f aca="false">MAX(0,AF15-AF24)</f>
        <v>536.68926458433</v>
      </c>
      <c r="AG27" s="37" t="n">
        <f aca="false">MAX(0,AG15-AG24)</f>
        <v>587.225810605314</v>
      </c>
      <c r="AH27" s="37" t="n">
        <f aca="false">MAX(0,AH15-AH24)</f>
        <v>637.836649510733</v>
      </c>
      <c r="AI27" s="37" t="n">
        <f aca="false">MAX(0,AI15-AI24)</f>
        <v>691.565462622114</v>
      </c>
      <c r="AJ27" s="37" t="n">
        <f aca="false">MAX(0,AJ15-AJ24)</f>
        <v>745.458061843418</v>
      </c>
      <c r="AK27" s="37" t="n">
        <f aca="false">MAX(0,AK15-AK24)</f>
        <v>799.525023624701</v>
      </c>
      <c r="AL27" s="37" t="n">
        <f aca="false">MAX(0,AL15-AL24)</f>
        <v>853.817299636977</v>
      </c>
      <c r="AM27" s="37" t="n">
        <f aca="false">MAX(0,AM15-AM24)</f>
        <v>911.388392527555</v>
      </c>
      <c r="AN27" s="37" t="n">
        <f aca="false">MAX(0,AN15-AN24)</f>
        <v>969.257015305164</v>
      </c>
      <c r="AO27" s="37" t="n">
        <f aca="false">MAX(0,AO15-AO24)</f>
        <v>1027.4489789591</v>
      </c>
      <c r="AP27" s="37" t="n">
        <f aca="false">MAX(0,AP15-AP24)</f>
        <v>1088.96181864809</v>
      </c>
      <c r="AQ27" s="37" t="n">
        <f aca="false">MAX(0,AQ15-AQ24)</f>
        <v>1153.52512495651</v>
      </c>
      <c r="AR27" s="37" t="n">
        <f aca="false">MAX(0,AR15-AR24)</f>
        <v>1223.74988467858</v>
      </c>
      <c r="AS27" s="37" t="n">
        <f aca="false">MAX(0,AS15-AS24)</f>
        <v>1297.43321933115</v>
      </c>
      <c r="AT27" s="37" t="n">
        <f aca="false">MAX(0,AT15-AT24)</f>
        <v>1371.65960174323</v>
      </c>
      <c r="AU27" s="37" t="n">
        <f aca="false">MAX(0,AU15-AU24)</f>
        <v>1449.45908918438</v>
      </c>
      <c r="AV27" s="37" t="n">
        <f aca="false">MAX(0,AV15-AV24)</f>
        <v>1527.49734293073</v>
      </c>
      <c r="AW27" s="37" t="n">
        <f aca="false">MAX(0,AW15-AW24)</f>
        <v>1610.56256304692</v>
      </c>
      <c r="AX27" s="37" t="n">
        <f aca="false">MAX(0,AX15-AX24)</f>
        <v>1692.94808412583</v>
      </c>
      <c r="AY27" s="37" t="n">
        <f aca="false">MAX(0,AY15-AY24)</f>
        <v>1774.68616937827</v>
      </c>
      <c r="AZ27" s="37" t="n">
        <f aca="false">MAX(0,AZ15-AZ24)</f>
        <v>1858.73885474329</v>
      </c>
      <c r="BA27" s="37" t="n">
        <f aca="false">MAX(0,BA15-BA24)</f>
        <v>1942.14141229019</v>
      </c>
      <c r="BB27" s="37" t="n">
        <f aca="false">MAX(0,BB15-BB24)</f>
        <v>2030.52677546162</v>
      </c>
      <c r="BC27" s="37" t="n">
        <f aca="false">MAX(0,BC15-BC24)</f>
        <v>2118.23391444291</v>
      </c>
      <c r="BD27" s="37" t="n">
        <f aca="false">MAX(0,BD15-BD24)</f>
        <v>2213.54561260741</v>
      </c>
      <c r="BE27" s="37" t="n">
        <f aca="false">MAX(0,BE15-BE24)</f>
        <v>2308.19027687056</v>
      </c>
      <c r="BF27" s="37" t="n">
        <f aca="false">MAX(0,BF15-BF24)</f>
        <v>2405.17448189566</v>
      </c>
      <c r="BG27" s="37" t="n">
        <f aca="false">MAX(0,BG15-BG24)</f>
        <v>2504.24436436711</v>
      </c>
      <c r="BH27" s="37" t="n">
        <f aca="false">MAX(0,BH15-BH24)</f>
        <v>2605.67650711737</v>
      </c>
      <c r="BI27" s="37" t="n">
        <f aca="false">MAX(0,BI15-BI24)</f>
        <v>2706.52144492155</v>
      </c>
      <c r="BJ27" s="37" t="n">
        <f aca="false">MAX(0,BJ15-BJ24)</f>
        <v>2812.49413465176</v>
      </c>
      <c r="BK27" s="37" t="n">
        <f aca="false">MAX(0,BK15-BK24)</f>
        <v>2917.94955322784</v>
      </c>
      <c r="BL27" s="37" t="n">
        <f aca="false">MAX(0,BL15-BL24)</f>
        <v>3025.88003844087</v>
      </c>
    </row>
    <row r="28" customFormat="false" ht="15" hidden="false" customHeight="false" outlineLevel="0" collapsed="false">
      <c r="A28" s="12" t="s">
        <v>769</v>
      </c>
      <c r="B28" s="14" t="s">
        <v>83</v>
      </c>
      <c r="D28" s="55" t="n">
        <f aca="false">BL28</f>
        <v>1108.78311930984</v>
      </c>
      <c r="E28" s="37" t="n">
        <f aca="false">MAX(0,E16-E25)</f>
        <v>0</v>
      </c>
      <c r="F28" s="37" t="n">
        <f aca="false">MAX(0,F16-F25)</f>
        <v>0</v>
      </c>
      <c r="G28" s="37" t="n">
        <f aca="false">MAX(0,G16-G25)</f>
        <v>0</v>
      </c>
      <c r="H28" s="37" t="n">
        <f aca="false">MAX(0,H16-H25)</f>
        <v>0</v>
      </c>
      <c r="I28" s="37" t="n">
        <f aca="false">MAX(0,I16-I25)</f>
        <v>0</v>
      </c>
      <c r="J28" s="37" t="n">
        <f aca="false">MAX(0,J16-J25)</f>
        <v>0</v>
      </c>
      <c r="K28" s="37" t="n">
        <f aca="false">MAX(0,K16-K25)</f>
        <v>0</v>
      </c>
      <c r="L28" s="37" t="n">
        <f aca="false">MAX(0,L16-L25)</f>
        <v>5.48753361729167</v>
      </c>
      <c r="M28" s="37" t="n">
        <f aca="false">MAX(0,M16-M25)</f>
        <v>11.1209341618286</v>
      </c>
      <c r="N28" s="37" t="n">
        <f aca="false">MAX(0,N16-N25)</f>
        <v>16.7741656250816</v>
      </c>
      <c r="O28" s="37" t="n">
        <f aca="false">MAX(0,O16-O25)</f>
        <v>22.4508041605282</v>
      </c>
      <c r="P28" s="37" t="n">
        <f aca="false">MAX(0,P16-P25)</f>
        <v>28.154622593617</v>
      </c>
      <c r="Q28" s="37" t="n">
        <f aca="false">MAX(0,Q16-Q25)</f>
        <v>33.8896023563151</v>
      </c>
      <c r="R28" s="37" t="n">
        <f aca="false">MAX(0,R16-R25)</f>
        <v>39.6468461367221</v>
      </c>
      <c r="S28" s="37" t="n">
        <f aca="false">MAX(0,S16-S25)</f>
        <v>45.4308895366608</v>
      </c>
      <c r="T28" s="37" t="n">
        <f aca="false">MAX(0,T16-T25)</f>
        <v>52.9931829625245</v>
      </c>
      <c r="U28" s="37" t="n">
        <f aca="false">MAX(0,U16-U25)</f>
        <v>60.5921066935374</v>
      </c>
      <c r="V28" s="37" t="n">
        <f aca="false">MAX(0,V16-V25)</f>
        <v>68.2329868527617</v>
      </c>
      <c r="W28" s="37" t="n">
        <f aca="false">MAX(0,W16-W25)</f>
        <v>75.9214456683574</v>
      </c>
      <c r="X28" s="37" t="n">
        <f aca="false">MAX(0,X16-X25)</f>
        <v>83.6248194158556</v>
      </c>
      <c r="Y28" s="37" t="n">
        <f aca="false">MAX(0,Y16-Y25)</f>
        <v>91.3493969356482</v>
      </c>
      <c r="Z28" s="37" t="n">
        <f aca="false">MAX(0,Z16-Z25)</f>
        <v>104.248470610634</v>
      </c>
      <c r="AA28" s="37" t="n">
        <f aca="false">MAX(0,AA16-AA25)</f>
        <v>117.218356882177</v>
      </c>
      <c r="AB28" s="37" t="n">
        <f aca="false">MAX(0,AB16-AB25)</f>
        <v>130.268577994751</v>
      </c>
      <c r="AC28" s="37" t="n">
        <f aca="false">MAX(0,AC16-AC25)</f>
        <v>143.401687976332</v>
      </c>
      <c r="AD28" s="37" t="n">
        <f aca="false">MAX(0,AD16-AD25)</f>
        <v>156.602061092044</v>
      </c>
      <c r="AE28" s="37" t="n">
        <f aca="false">MAX(0,AE16-AE25)</f>
        <v>170.88116655592</v>
      </c>
      <c r="AF28" s="37" t="n">
        <f aca="false">MAX(0,AF16-AF25)</f>
        <v>188.757772650808</v>
      </c>
      <c r="AG28" s="37" t="n">
        <f aca="false">MAX(0,AG16-AG25)</f>
        <v>206.730485090628</v>
      </c>
      <c r="AH28" s="37" t="n">
        <f aca="false">MAX(0,AH16-AH25)</f>
        <v>224.81284393123</v>
      </c>
      <c r="AI28" s="37" t="n">
        <f aca="false">MAX(0,AI16-AI25)</f>
        <v>244.019143329256</v>
      </c>
      <c r="AJ28" s="37" t="n">
        <f aca="false">MAX(0,AJ16-AJ25)</f>
        <v>263.364477225446</v>
      </c>
      <c r="AK28" s="37" t="n">
        <f aca="false">MAX(0,AK16-AK25)</f>
        <v>282.857287765685</v>
      </c>
      <c r="AL28" s="37" t="n">
        <f aca="false">MAX(0,AL16-AL25)</f>
        <v>302.514472874038</v>
      </c>
      <c r="AM28" s="37" t="n">
        <f aca="false">MAX(0,AM16-AM25)</f>
        <v>323.353883980074</v>
      </c>
      <c r="AN28" s="37" t="n">
        <f aca="false">MAX(0,AN16-AN25)</f>
        <v>344.38688368197</v>
      </c>
      <c r="AO28" s="37" t="n">
        <f aca="false">MAX(0,AO16-AO25)</f>
        <v>365.626713116007</v>
      </c>
      <c r="AP28" s="37" t="n">
        <f aca="false">MAX(0,AP16-AP25)</f>
        <v>388.081450692987</v>
      </c>
      <c r="AQ28" s="37" t="n">
        <f aca="false">MAX(0,AQ16-AQ25)</f>
        <v>411.666078013662</v>
      </c>
      <c r="AR28" s="37" t="n">
        <f aca="false">MAX(0,AR16-AR25)</f>
        <v>437.25107658815</v>
      </c>
      <c r="AS28" s="37" t="n">
        <f aca="false">MAX(0,AS16-AS25)</f>
        <v>464.107448322905</v>
      </c>
      <c r="AT28" s="37" t="n">
        <f aca="false">MAX(0,AT16-AT25)</f>
        <v>491.262957948198</v>
      </c>
      <c r="AU28" s="37" t="n">
        <f aca="false">MAX(0,AU16-AU25)</f>
        <v>519.735195570563</v>
      </c>
      <c r="AV28" s="37" t="n">
        <f aca="false">MAX(0,AV16-AV25)</f>
        <v>548.410662389326</v>
      </c>
      <c r="AW28" s="37" t="n">
        <f aca="false">MAX(0,AW16-AW25)</f>
        <v>578.883443054082</v>
      </c>
      <c r="AX28" s="37" t="n">
        <f aca="false">MAX(0,AX16-AX25)</f>
        <v>609.254405501812</v>
      </c>
      <c r="AY28" s="37" t="n">
        <f aca="false">MAX(0,AY16-AY25)</f>
        <v>639.532367027423</v>
      </c>
      <c r="AZ28" s="37" t="n">
        <f aca="false">MAX(0,AZ16-AZ25)</f>
        <v>670.712312015604</v>
      </c>
      <c r="BA28" s="37" t="n">
        <f aca="false">MAX(0,BA16-BA25)</f>
        <v>701.804024680827</v>
      </c>
      <c r="BB28" s="37" t="n">
        <f aca="false">MAX(0,BB16-BB25)</f>
        <v>734.697058801381</v>
      </c>
      <c r="BC28" s="37" t="n">
        <f aca="false">MAX(0,BC16-BC25)</f>
        <v>767.502322024371</v>
      </c>
      <c r="BD28" s="37" t="n">
        <f aca="false">MAX(0,BD16-BD25)</f>
        <v>802.983750243028</v>
      </c>
      <c r="BE28" s="37" t="n">
        <f aca="false">MAX(0,BE16-BE25)</f>
        <v>838.386646488076</v>
      </c>
      <c r="BF28" s="37" t="n">
        <f aca="false">MAX(0,BF16-BF25)</f>
        <v>874.716209473598</v>
      </c>
      <c r="BG28" s="37" t="n">
        <f aca="false">MAX(0,BG16-BG25)</f>
        <v>911.885825506779</v>
      </c>
      <c r="BH28" s="37" t="n">
        <f aca="false">MAX(0,BH16-BH25)</f>
        <v>949.995300675966</v>
      </c>
      <c r="BI28" s="37" t="n">
        <f aca="false">MAX(0,BI16-BI25)</f>
        <v>988.059508913013</v>
      </c>
      <c r="BJ28" s="37" t="n">
        <f aca="false">MAX(0,BJ16-BJ25)</f>
        <v>1027.98657796781</v>
      </c>
      <c r="BK28" s="37" t="n">
        <f aca="false">MAX(0,BK16-BK25)</f>
        <v>1067.89299192699</v>
      </c>
      <c r="BL28" s="37" t="n">
        <f aca="false">MAX(0,BL16-BL25)</f>
        <v>1108.78311930984</v>
      </c>
    </row>
    <row r="30" customFormat="false" ht="15" hidden="false" customHeight="false" outlineLevel="0" collapsed="false">
      <c r="A30" s="10" t="s">
        <v>770</v>
      </c>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row>
    <row r="31" customFormat="false" ht="15" hidden="false" customHeight="false" outlineLevel="0" collapsed="false">
      <c r="A31" s="12" t="s">
        <v>771</v>
      </c>
      <c r="B31" s="14" t="s">
        <v>86</v>
      </c>
      <c r="D31" s="55" t="n">
        <f aca="false">BL31</f>
        <v>270273.92308657</v>
      </c>
      <c r="E31" s="37" t="n">
        <f aca="false">E14*Emp_Petite+E15*Emp_Moyenne+E16*Emp_Grande</f>
        <v>0</v>
      </c>
      <c r="F31" s="37" t="n">
        <f aca="false">F14*Emp_Petite+F15*Emp_Moyenne+F16*Emp_Grande</f>
        <v>0</v>
      </c>
      <c r="G31" s="37" t="n">
        <f aca="false">G14*Emp_Petite+G15*Emp_Moyenne+G16*Emp_Grande</f>
        <v>0</v>
      </c>
      <c r="H31" s="37" t="n">
        <f aca="false">H14*Emp_Petite+H15*Emp_Moyenne+H16*Emp_Grande</f>
        <v>0</v>
      </c>
      <c r="I31" s="37" t="n">
        <f aca="false">I14*Emp_Petite+I15*Emp_Moyenne+I16*Emp_Grande</f>
        <v>1293</v>
      </c>
      <c r="J31" s="37" t="n">
        <f aca="false">J14*Emp_Petite+J15*Emp_Moyenne+J16*Emp_Grande</f>
        <v>2585.4925</v>
      </c>
      <c r="K31" s="37" t="n">
        <f aca="false">K14*Emp_Petite+K15*Emp_Moyenne+K16*Emp_Grande</f>
        <v>3878.31634375</v>
      </c>
      <c r="L31" s="37" t="n">
        <f aca="false">L14*Emp_Petite+L15*Emp_Moyenne+L16*Emp_Grande</f>
        <v>5172.34951620313</v>
      </c>
      <c r="M31" s="37" t="n">
        <f aca="false">M14*Emp_Petite+M15*Emp_Moyenne+M16*Emp_Grande</f>
        <v>6468.51165676496</v>
      </c>
      <c r="N31" s="37" t="n">
        <f aca="false">N14*Emp_Petite+N15*Emp_Moyenne+N16*Emp_Grande</f>
        <v>7767.76672064162</v>
      </c>
      <c r="O31" s="37" t="n">
        <f aca="false">O14*Emp_Petite+O15*Emp_Moyenne+O16*Emp_Grande</f>
        <v>9071.1257972199</v>
      </c>
      <c r="P31" s="37" t="n">
        <f aca="false">P14*Emp_Petite+P15*Emp_Moyenne+P16*Emp_Grande</f>
        <v>10379.6500949482</v>
      </c>
      <c r="Q31" s="37" t="n">
        <f aca="false">Q14*Emp_Petite+Q15*Emp_Moyenne+Q16*Emp_Grande</f>
        <v>12087.4541027535</v>
      </c>
      <c r="R31" s="37" t="n">
        <f aca="false">R14*Emp_Petite+R15*Emp_Moyenne+R16*Emp_Grande</f>
        <v>13798.4514386325</v>
      </c>
      <c r="S31" s="37" t="n">
        <f aca="false">S14*Emp_Petite+S15*Emp_Moyenne+S16*Emp_Grande</f>
        <v>15513.9266154399</v>
      </c>
      <c r="T31" s="37" t="n">
        <f aca="false">T14*Emp_Petite+T15*Emp_Moyenne+T16*Emp_Grande</f>
        <v>17235.2273160911</v>
      </c>
      <c r="U31" s="37" t="n">
        <f aca="false">U14*Emp_Petite+U15*Emp_Moyenne+U16*Emp_Grande</f>
        <v>18963.7683863087</v>
      </c>
      <c r="V31" s="37" t="n">
        <f aca="false">V14*Emp_Petite+V15*Emp_Moyenne+V16*Emp_Grande</f>
        <v>20701.0360636466</v>
      </c>
      <c r="W31" s="37" t="n">
        <f aca="false">W14*Emp_Petite+W15*Emp_Moyenne+W16*Emp_Grande</f>
        <v>23606.5924570251</v>
      </c>
      <c r="X31" s="37" t="n">
        <f aca="false">X14*Emp_Petite+X15*Emp_Moyenne+X16*Emp_Grande</f>
        <v>26519.6352918661</v>
      </c>
      <c r="Y31" s="37" t="n">
        <f aca="false">Y14*Emp_Petite+Y15*Emp_Moyenne+Y16*Emp_Grande</f>
        <v>29442.4479993163</v>
      </c>
      <c r="Z31" s="37" t="n">
        <f aca="false">Z14*Emp_Petite+Z15*Emp_Moyenne+Z16*Emp_Grande</f>
        <v>32377.4277212312</v>
      </c>
      <c r="AA31" s="37" t="n">
        <f aca="false">AA14*Emp_Petite+AA15*Emp_Moyenne+AA16*Emp_Grande</f>
        <v>35327.0924718033</v>
      </c>
      <c r="AB31" s="37" t="n">
        <f aca="false">AB14*Emp_Petite+AB15*Emp_Moyenne+AB16*Emp_Grande</f>
        <v>38519.0887233918</v>
      </c>
      <c r="AC31" s="37" t="n">
        <f aca="false">AC14*Emp_Petite+AC15*Emp_Moyenne+AC16*Emp_Grande</f>
        <v>42517.7619421017</v>
      </c>
      <c r="AD31" s="37" t="n">
        <f aca="false">AD14*Emp_Petite+AD15*Emp_Moyenne+AD16*Emp_Grande</f>
        <v>46528.5230689415</v>
      </c>
      <c r="AE31" s="37" t="n">
        <f aca="false">AE14*Emp_Petite+AE15*Emp_Moyenne+AE16*Emp_Grande</f>
        <v>50554.590975652</v>
      </c>
      <c r="AF31" s="37" t="n">
        <f aca="false">AF14*Emp_Petite+AF15*Emp_Moyenne+AF16*Emp_Grande</f>
        <v>54824.3461490633</v>
      </c>
      <c r="AG31" s="37" t="n">
        <f aca="false">AG14*Emp_Petite+AG15*Emp_Moyenne+AG16*Emp_Grande</f>
        <v>59113.9033446606</v>
      </c>
      <c r="AH31" s="37" t="n">
        <f aca="false">AH14*Emp_Petite+AH15*Emp_Moyenne+AH16*Emp_Grande</f>
        <v>63427.0278107342</v>
      </c>
      <c r="AI31" s="37" t="n">
        <f aca="false">AI14*Emp_Petite+AI15*Emp_Moyenne+AI16*Emp_Grande</f>
        <v>67767.6782759925</v>
      </c>
      <c r="AJ31" s="37" t="n">
        <f aca="false">AJ14*Emp_Petite+AJ15*Emp_Moyenne+AJ16*Emp_Grande</f>
        <v>72365.0190265286</v>
      </c>
      <c r="AK31" s="37" t="n">
        <f aca="false">AK14*Emp_Petite+AK15*Emp_Moyenne+AK16*Emp_Grande</f>
        <v>76995.9951998615</v>
      </c>
      <c r="AL31" s="37" t="n">
        <f aca="false">AL14*Emp_Petite+AL15*Emp_Moyenne+AL16*Emp_Grande</f>
        <v>81665.251807958</v>
      </c>
      <c r="AM31" s="37" t="n">
        <f aca="false">AM14*Emp_Petite+AM15*Emp_Moyenne+AM16*Emp_Grande</f>
        <v>86602.6796916182</v>
      </c>
      <c r="AN31" s="37" t="n">
        <f aca="false">AN14*Emp_Petite+AN15*Emp_Moyenne+AN16*Emp_Grande</f>
        <v>91788.4932421908</v>
      </c>
      <c r="AO31" s="37" t="n">
        <f aca="false">AO14*Emp_Petite+AO15*Emp_Moyenne+AO16*Emp_Grande</f>
        <v>97416.4582477658</v>
      </c>
      <c r="AP31" s="37" t="n">
        <f aca="false">AP14*Emp_Petite+AP15*Emp_Moyenne+AP16*Emp_Grande</f>
        <v>103320.097996837</v>
      </c>
      <c r="AQ31" s="37" t="n">
        <f aca="false">AQ14*Emp_Petite+AQ15*Emp_Moyenne+AQ16*Emp_Grande</f>
        <v>109278.120544382</v>
      </c>
      <c r="AR31" s="37" t="n">
        <f aca="false">AR14*Emp_Petite+AR15*Emp_Moyenne+AR16*Emp_Grande</f>
        <v>115522.031896316</v>
      </c>
      <c r="AS31" s="37" t="n">
        <f aca="false">AS14*Emp_Petite+AS15*Emp_Moyenne+AS16*Emp_Grande</f>
        <v>121798.118757648</v>
      </c>
      <c r="AT31" s="37" t="n">
        <f aca="false">AT14*Emp_Petite+AT15*Emp_Moyenne+AT16*Emp_Grande</f>
        <v>128464.641699212</v>
      </c>
      <c r="AU31" s="37" t="n">
        <f aca="false">AU14*Emp_Petite+AU15*Emp_Moyenne+AU16*Emp_Grande</f>
        <v>135091.708985772</v>
      </c>
      <c r="AV31" s="37" t="n">
        <f aca="false">AV14*Emp_Petite+AV15*Emp_Moyenne+AV16*Emp_Grande</f>
        <v>141681.696850178</v>
      </c>
      <c r="AW31" s="37" t="n">
        <f aca="false">AW14*Emp_Petite+AW15*Emp_Moyenne+AW16*Emp_Grande</f>
        <v>148462.065045393</v>
      </c>
      <c r="AX31" s="37" t="n">
        <f aca="false">AX14*Emp_Petite+AX15*Emp_Moyenne+AX16*Emp_Grande</f>
        <v>155207.925199684</v>
      </c>
      <c r="AY31" s="37" t="n">
        <f aca="false">AY14*Emp_Petite+AY15*Emp_Moyenne+AY16*Emp_Grande</f>
        <v>162349.452478365</v>
      </c>
      <c r="AZ31" s="37" t="n">
        <f aca="false">AZ14*Emp_Petite+AZ15*Emp_Moyenne+AZ16*Emp_Grande</f>
        <v>169457.292479265</v>
      </c>
      <c r="BA31" s="37" t="n">
        <f aca="false">BA14*Emp_Petite+BA15*Emp_Moyenne+BA16*Emp_Grande</f>
        <v>177155.388561725</v>
      </c>
      <c r="BB31" s="37" t="n">
        <f aca="false">BB14*Emp_Petite+BB15*Emp_Moyenne+BB16*Emp_Grande</f>
        <v>184819.071716799</v>
      </c>
      <c r="BC31" s="37" t="n">
        <f aca="false">BC14*Emp_Petite+BC15*Emp_Moyenne+BC16*Emp_Grande</f>
        <v>192676.607443016</v>
      </c>
      <c r="BD31" s="37" t="n">
        <f aca="false">BD14*Emp_Petite+BD15*Emp_Moyenne+BD16*Emp_Grande</f>
        <v>200706.45368122</v>
      </c>
      <c r="BE31" s="37" t="n">
        <f aca="false">BE14*Emp_Petite+BE15*Emp_Moyenne+BE16*Emp_Grande</f>
        <v>208932.481268097</v>
      </c>
      <c r="BF31" s="37" t="n">
        <f aca="false">BF14*Emp_Petite+BF15*Emp_Moyenne+BF16*Emp_Grande</f>
        <v>217130.99219612</v>
      </c>
      <c r="BG31" s="37" t="n">
        <f aca="false">BG14*Emp_Petite+BG15*Emp_Moyenne+BG16*Emp_Grande</f>
        <v>225733.413307908</v>
      </c>
      <c r="BH31" s="37" t="n">
        <f aca="false">BH14*Emp_Petite+BH15*Emp_Moyenne+BH16*Emp_Grande</f>
        <v>234311.707010041</v>
      </c>
      <c r="BI31" s="37" t="n">
        <f aca="false">BI14*Emp_Petite+BI15*Emp_Moyenne+BI16*Emp_Grande</f>
        <v>243095.202647355</v>
      </c>
      <c r="BJ31" s="37" t="n">
        <f aca="false">BJ14*Emp_Petite+BJ15*Emp_Moyenne+BJ16*Emp_Grande</f>
        <v>251860.980659</v>
      </c>
      <c r="BK31" s="37" t="n">
        <f aca="false">BK14*Emp_Petite+BK15*Emp_Moyenne+BK16*Emp_Grande</f>
        <v>261002.718448626</v>
      </c>
      <c r="BL31" s="37" t="n">
        <f aca="false">BL14*Emp_Petite+BL15*Emp_Moyenne+BL16*Emp_Grande</f>
        <v>270273.92308657</v>
      </c>
    </row>
    <row r="32" customFormat="false" ht="15" hidden="false" customHeight="false" outlineLevel="0" collapsed="false">
      <c r="A32" s="12" t="s">
        <v>772</v>
      </c>
      <c r="B32" s="14" t="s">
        <v>350</v>
      </c>
      <c r="D32" s="55" t="n">
        <f aca="false">BL32</f>
        <v>54054.7846173139</v>
      </c>
      <c r="E32" s="37" t="n">
        <f aca="false">IF(E$3&gt;=EmpAcc_Start,E31*EmpAcc_Adoption,0)</f>
        <v>0</v>
      </c>
      <c r="F32" s="37" t="n">
        <f aca="false">IF(F$3&gt;=EmpAcc_Start,F31*EmpAcc_Adoption,0)</f>
        <v>0</v>
      </c>
      <c r="G32" s="37" t="n">
        <f aca="false">IF(G$3&gt;=EmpAcc_Start,G31*EmpAcc_Adoption,0)</f>
        <v>0</v>
      </c>
      <c r="H32" s="37" t="n">
        <f aca="false">IF(H$3&gt;=EmpAcc_Start,H31*EmpAcc_Adoption,0)</f>
        <v>0</v>
      </c>
      <c r="I32" s="37" t="n">
        <f aca="false">IF(I$3&gt;=EmpAcc_Start,I31*EmpAcc_Adoption,0)</f>
        <v>0</v>
      </c>
      <c r="J32" s="37" t="n">
        <f aca="false">IF(J$3&gt;=EmpAcc_Start,J31*EmpAcc_Adoption,0)</f>
        <v>0</v>
      </c>
      <c r="K32" s="37" t="n">
        <f aca="false">IF(K$3&gt;=EmpAcc_Start,K31*EmpAcc_Adoption,0)</f>
        <v>0</v>
      </c>
      <c r="L32" s="37" t="n">
        <f aca="false">IF(L$3&gt;=EmpAcc_Start,L31*EmpAcc_Adoption,0)</f>
        <v>0</v>
      </c>
      <c r="M32" s="37" t="n">
        <f aca="false">IF(M$3&gt;=EmpAcc_Start,M31*EmpAcc_Adoption,0)</f>
        <v>0</v>
      </c>
      <c r="N32" s="37" t="n">
        <f aca="false">IF(N$3&gt;=EmpAcc_Start,N31*EmpAcc_Adoption,0)</f>
        <v>0</v>
      </c>
      <c r="O32" s="37" t="n">
        <f aca="false">IF(O$3&gt;=EmpAcc_Start,O31*EmpAcc_Adoption,0)</f>
        <v>0</v>
      </c>
      <c r="P32" s="37" t="n">
        <f aca="false">IF(P$3&gt;=EmpAcc_Start,P31*EmpAcc_Adoption,0)</f>
        <v>0</v>
      </c>
      <c r="Q32" s="37" t="n">
        <f aca="false">IF(Q$3&gt;=EmpAcc_Start,Q31*EmpAcc_Adoption,0)</f>
        <v>0</v>
      </c>
      <c r="R32" s="37" t="n">
        <f aca="false">IF(R$3&gt;=EmpAcc_Start,R31*EmpAcc_Adoption,0)</f>
        <v>0</v>
      </c>
      <c r="S32" s="37" t="n">
        <f aca="false">IF(S$3&gt;=EmpAcc_Start,S31*EmpAcc_Adoption,0)</f>
        <v>0</v>
      </c>
      <c r="T32" s="37" t="n">
        <f aca="false">IF(T$3&gt;=EmpAcc_Start,T31*EmpAcc_Adoption,0)</f>
        <v>0</v>
      </c>
      <c r="U32" s="37" t="n">
        <f aca="false">IF(U$3&gt;=EmpAcc_Start,U31*EmpAcc_Adoption,0)</f>
        <v>0</v>
      </c>
      <c r="V32" s="37" t="n">
        <f aca="false">IF(V$3&gt;=EmpAcc_Start,V31*EmpAcc_Adoption,0)</f>
        <v>0</v>
      </c>
      <c r="W32" s="37" t="n">
        <f aca="false">IF(W$3&gt;=EmpAcc_Start,W31*EmpAcc_Adoption,0)</f>
        <v>0</v>
      </c>
      <c r="X32" s="37" t="n">
        <f aca="false">IF(X$3&gt;=EmpAcc_Start,X31*EmpAcc_Adoption,0)</f>
        <v>0</v>
      </c>
      <c r="Y32" s="37" t="n">
        <f aca="false">IF(Y$3&gt;=EmpAcc_Start,Y31*EmpAcc_Adoption,0)</f>
        <v>0</v>
      </c>
      <c r="Z32" s="37" t="n">
        <f aca="false">IF(Z$3&gt;=EmpAcc_Start,Z31*EmpAcc_Adoption,0)</f>
        <v>0</v>
      </c>
      <c r="AA32" s="37" t="n">
        <f aca="false">IF(AA$3&gt;=EmpAcc_Start,AA31*EmpAcc_Adoption,0)</f>
        <v>0</v>
      </c>
      <c r="AB32" s="37" t="n">
        <f aca="false">IF(AB$3&gt;=EmpAcc_Start,AB31*EmpAcc_Adoption,0)</f>
        <v>0</v>
      </c>
      <c r="AC32" s="37" t="n">
        <f aca="false">IF(AC$3&gt;=EmpAcc_Start,AC31*EmpAcc_Adoption,0)</f>
        <v>0</v>
      </c>
      <c r="AD32" s="37" t="n">
        <f aca="false">IF(AD$3&gt;=EmpAcc_Start,AD31*EmpAcc_Adoption,0)</f>
        <v>0</v>
      </c>
      <c r="AE32" s="37" t="n">
        <f aca="false">IF(AE$3&gt;=EmpAcc_Start,AE31*EmpAcc_Adoption,0)</f>
        <v>0</v>
      </c>
      <c r="AF32" s="37" t="n">
        <f aca="false">IF(AF$3&gt;=EmpAcc_Start,AF31*EmpAcc_Adoption,0)</f>
        <v>0</v>
      </c>
      <c r="AG32" s="37" t="n">
        <f aca="false">IF(AG$3&gt;=EmpAcc_Start,AG31*EmpAcc_Adoption,0)</f>
        <v>11822.7806689321</v>
      </c>
      <c r="AH32" s="37" t="n">
        <f aca="false">IF(AH$3&gt;=EmpAcc_Start,AH31*EmpAcc_Adoption,0)</f>
        <v>12685.4055621468</v>
      </c>
      <c r="AI32" s="37" t="n">
        <f aca="false">IF(AI$3&gt;=EmpAcc_Start,AI31*EmpAcc_Adoption,0)</f>
        <v>13553.5356551985</v>
      </c>
      <c r="AJ32" s="37" t="n">
        <f aca="false">IF(AJ$3&gt;=EmpAcc_Start,AJ31*EmpAcc_Adoption,0)</f>
        <v>14473.0038053057</v>
      </c>
      <c r="AK32" s="37" t="n">
        <f aca="false">IF(AK$3&gt;=EmpAcc_Start,AK31*EmpAcc_Adoption,0)</f>
        <v>15399.1990399723</v>
      </c>
      <c r="AL32" s="37" t="n">
        <f aca="false">IF(AL$3&gt;=EmpAcc_Start,AL31*EmpAcc_Adoption,0)</f>
        <v>16333.0503615916</v>
      </c>
      <c r="AM32" s="37" t="n">
        <f aca="false">IF(AM$3&gt;=EmpAcc_Start,AM31*EmpAcc_Adoption,0)</f>
        <v>17320.5359383236</v>
      </c>
      <c r="AN32" s="37" t="n">
        <f aca="false">IF(AN$3&gt;=EmpAcc_Start,AN31*EmpAcc_Adoption,0)</f>
        <v>18357.6986484382</v>
      </c>
      <c r="AO32" s="37" t="n">
        <f aca="false">IF(AO$3&gt;=EmpAcc_Start,AO31*EmpAcc_Adoption,0)</f>
        <v>19483.2916495532</v>
      </c>
      <c r="AP32" s="37" t="n">
        <f aca="false">IF(AP$3&gt;=EmpAcc_Start,AP31*EmpAcc_Adoption,0)</f>
        <v>20664.0195993674</v>
      </c>
      <c r="AQ32" s="37" t="n">
        <f aca="false">IF(AQ$3&gt;=EmpAcc_Start,AQ31*EmpAcc_Adoption,0)</f>
        <v>21855.6241088764</v>
      </c>
      <c r="AR32" s="37" t="n">
        <f aca="false">IF(AR$3&gt;=EmpAcc_Start,AR31*EmpAcc_Adoption,0)</f>
        <v>23104.4063792633</v>
      </c>
      <c r="AS32" s="37" t="n">
        <f aca="false">IF(AS$3&gt;=EmpAcc_Start,AS31*EmpAcc_Adoption,0)</f>
        <v>24359.6237515295</v>
      </c>
      <c r="AT32" s="37" t="n">
        <f aca="false">IF(AT$3&gt;=EmpAcc_Start,AT31*EmpAcc_Adoption,0)</f>
        <v>25692.9283398424</v>
      </c>
      <c r="AU32" s="37" t="n">
        <f aca="false">IF(AU$3&gt;=EmpAcc_Start,AU31*EmpAcc_Adoption,0)</f>
        <v>27018.3417971544</v>
      </c>
      <c r="AV32" s="37" t="n">
        <f aca="false">IF(AV$3&gt;=EmpAcc_Start,AV31*EmpAcc_Adoption,0)</f>
        <v>28336.3393700355</v>
      </c>
      <c r="AW32" s="37" t="n">
        <f aca="false">IF(AW$3&gt;=EmpAcc_Start,AW31*EmpAcc_Adoption,0)</f>
        <v>29692.4130090787</v>
      </c>
      <c r="AX32" s="37" t="n">
        <f aca="false">IF(AX$3&gt;=EmpAcc_Start,AX31*EmpAcc_Adoption,0)</f>
        <v>31041.5850399368</v>
      </c>
      <c r="AY32" s="37" t="n">
        <f aca="false">IF(AY$3&gt;=EmpAcc_Start,AY31*EmpAcc_Adoption,0)</f>
        <v>32469.890495673</v>
      </c>
      <c r="AZ32" s="37" t="n">
        <f aca="false">IF(AZ$3&gt;=EmpAcc_Start,AZ31*EmpAcc_Adoption,0)</f>
        <v>33891.458495853</v>
      </c>
      <c r="BA32" s="37" t="n">
        <f aca="false">IF(BA$3&gt;=EmpAcc_Start,BA31*EmpAcc_Adoption,0)</f>
        <v>35431.077712345</v>
      </c>
      <c r="BB32" s="37" t="n">
        <f aca="false">IF(BB$3&gt;=EmpAcc_Start,BB31*EmpAcc_Adoption,0)</f>
        <v>36963.8143433598</v>
      </c>
      <c r="BC32" s="37" t="n">
        <f aca="false">IF(BC$3&gt;=EmpAcc_Start,BC31*EmpAcc_Adoption,0)</f>
        <v>38535.3214886033</v>
      </c>
      <c r="BD32" s="37" t="n">
        <f aca="false">IF(BD$3&gt;=EmpAcc_Start,BD31*EmpAcc_Adoption,0)</f>
        <v>40141.290736244</v>
      </c>
      <c r="BE32" s="37" t="n">
        <f aca="false">IF(BE$3&gt;=EmpAcc_Start,BE31*EmpAcc_Adoption,0)</f>
        <v>41786.4962536194</v>
      </c>
      <c r="BF32" s="37" t="n">
        <f aca="false">IF(BF$3&gt;=EmpAcc_Start,BF31*EmpAcc_Adoption,0)</f>
        <v>43426.1984392241</v>
      </c>
      <c r="BG32" s="37" t="n">
        <f aca="false">IF(BG$3&gt;=EmpAcc_Start,BG31*EmpAcc_Adoption,0)</f>
        <v>45146.6826615816</v>
      </c>
      <c r="BH32" s="37" t="n">
        <f aca="false">IF(BH$3&gt;=EmpAcc_Start,BH31*EmpAcc_Adoption,0)</f>
        <v>46862.3414020083</v>
      </c>
      <c r="BI32" s="37" t="n">
        <f aca="false">IF(BI$3&gt;=EmpAcc_Start,BI31*EmpAcc_Adoption,0)</f>
        <v>48619.0405294709</v>
      </c>
      <c r="BJ32" s="37" t="n">
        <f aca="false">IF(BJ$3&gt;=EmpAcc_Start,BJ31*EmpAcc_Adoption,0)</f>
        <v>50372.1961318001</v>
      </c>
      <c r="BK32" s="37" t="n">
        <f aca="false">IF(BK$3&gt;=EmpAcc_Start,BK31*EmpAcc_Adoption,0)</f>
        <v>52200.5436897252</v>
      </c>
      <c r="BL32" s="37" t="n">
        <f aca="false">IF(BL$3&gt;=EmpAcc_Start,BL31*EmpAcc_Adoption,0)</f>
        <v>54054.7846173139</v>
      </c>
    </row>
    <row r="33" customFormat="false" ht="15" hidden="false" customHeight="false" outlineLevel="0" collapsed="false">
      <c r="A33" s="12" t="s">
        <v>773</v>
      </c>
      <c r="B33" s="14" t="s">
        <v>242</v>
      </c>
      <c r="D33" s="57" t="n">
        <f aca="false">SUM(E33:BL33)</f>
        <v>33174.5417254819</v>
      </c>
      <c r="E33" s="34" t="n">
        <f aca="false">E9*Cards_New_Petite+E10*Cards_New_Moyenne+E11*Cards_New_Grande</f>
        <v>0</v>
      </c>
      <c r="F33" s="34" t="n">
        <f aca="false">F9*Cards_New_Petite+F10*Cards_New_Moyenne+F11*Cards_New_Grande</f>
        <v>0</v>
      </c>
      <c r="G33" s="34" t="n">
        <f aca="false">G9*Cards_New_Petite+G10*Cards_New_Moyenne+G11*Cards_New_Grande</f>
        <v>0</v>
      </c>
      <c r="H33" s="34" t="n">
        <f aca="false">H9*Cards_New_Petite+H10*Cards_New_Moyenne+H11*Cards_New_Grande</f>
        <v>0</v>
      </c>
      <c r="I33" s="34" t="n">
        <f aca="false">I9*Cards_New_Petite+I10*Cards_New_Moyenne+I11*Cards_New_Grande</f>
        <v>132.173333333333</v>
      </c>
      <c r="J33" s="34" t="n">
        <f aca="false">J9*Cards_New_Petite+J10*Cards_New_Moyenne+J11*Cards_New_Grande</f>
        <v>133.553333333333</v>
      </c>
      <c r="K33" s="34" t="n">
        <f aca="false">K9*Cards_New_Petite+K10*Cards_New_Moyenne+K11*Cards_New_Grande</f>
        <v>135.016133333333</v>
      </c>
      <c r="L33" s="34" t="n">
        <f aca="false">L9*Cards_New_Petite+L10*Cards_New_Moyenne+L11*Cards_New_Grande</f>
        <v>136.566701333333</v>
      </c>
      <c r="M33" s="34" t="n">
        <f aca="false">M9*Cards_New_Petite+M10*Cards_New_Moyenne+M11*Cards_New_Grande</f>
        <v>138.210303413333</v>
      </c>
      <c r="N33" s="34" t="n">
        <f aca="false">N9*Cards_New_Petite+N10*Cards_New_Moyenne+N11*Cards_New_Grande</f>
        <v>139.952521618133</v>
      </c>
      <c r="O33" s="34" t="n">
        <f aca="false">O9*Cards_New_Petite+O10*Cards_New_Moyenne+O11*Cards_New_Grande</f>
        <v>141.799272915221</v>
      </c>
      <c r="P33" s="34" t="n">
        <f aca="false">P9*Cards_New_Petite+P10*Cards_New_Moyenne+P11*Cards_New_Grande</f>
        <v>143.756829290135</v>
      </c>
      <c r="Q33" s="34" t="n">
        <f aca="false">Q9*Cards_New_Petite+Q10*Cards_New_Moyenne+Q11*Cards_New_Grande</f>
        <v>186.005172380876</v>
      </c>
      <c r="R33" s="34" t="n">
        <f aca="false">R9*Cards_New_Petite+R10*Cards_New_Moyenne+R11*Cards_New_Grande</f>
        <v>188.204682723729</v>
      </c>
      <c r="S33" s="34" t="n">
        <f aca="false">S9*Cards_New_Petite+S10*Cards_New_Moyenne+S11*Cards_New_Grande</f>
        <v>190.536163687152</v>
      </c>
      <c r="T33" s="34" t="n">
        <f aca="false">T9*Cards_New_Petite+T10*Cards_New_Moyenne+T11*Cards_New_Grande</f>
        <v>193.007533508381</v>
      </c>
      <c r="U33" s="34" t="n">
        <f aca="false">U9*Cards_New_Petite+U10*Cards_New_Moyenne+U11*Cards_New_Grande</f>
        <v>195.627185518884</v>
      </c>
      <c r="V33" s="34" t="n">
        <f aca="false">V9*Cards_New_Petite+V10*Cards_New_Moyenne+V11*Cards_New_Grande</f>
        <v>198.404016650017</v>
      </c>
      <c r="W33" s="34" t="n">
        <f aca="false">W9*Cards_New_Petite+W10*Cards_New_Moyenne+W11*Cards_New_Grande</f>
        <v>319.720790982352</v>
      </c>
      <c r="X33" s="34" t="n">
        <f aca="false">X9*Cards_New_Petite+X10*Cards_New_Moyenne+X11*Cards_New_Grande</f>
        <v>323.668838441293</v>
      </c>
      <c r="Y33" s="34" t="n">
        <f aca="false">Y9*Cards_New_Petite+Y10*Cards_New_Moyenne+Y11*Cards_New_Grande</f>
        <v>327.85376874777</v>
      </c>
      <c r="Z33" s="34" t="n">
        <f aca="false">Z9*Cards_New_Petite+Z10*Cards_New_Moyenne+Z11*Cards_New_Grande</f>
        <v>332.289794872637</v>
      </c>
      <c r="AA33" s="34" t="n">
        <f aca="false">AA9*Cards_New_Petite+AA10*Cards_New_Moyenne+AA11*Cards_New_Grande</f>
        <v>336.991982564995</v>
      </c>
      <c r="AB33" s="34" t="n">
        <f aca="false">AB9*Cards_New_Petite+AB10*Cards_New_Moyenne+AB11*Cards_New_Grande</f>
        <v>364.976301518895</v>
      </c>
      <c r="AC33" s="34" t="n">
        <f aca="false">AC9*Cards_New_Petite+AC10*Cards_New_Moyenne+AC11*Cards_New_Grande</f>
        <v>450.913012943362</v>
      </c>
      <c r="AD33" s="34" t="n">
        <f aca="false">AD9*Cards_New_Petite+AD10*Cards_New_Moyenne+AD11*Cards_New_Grande</f>
        <v>456.513393719963</v>
      </c>
      <c r="AE33" s="34" t="n">
        <f aca="false">AE9*Cards_New_Petite+AE10*Cards_New_Moyenne+AE11*Cards_New_Grande</f>
        <v>462.449797343161</v>
      </c>
      <c r="AF33" s="34" t="n">
        <f aca="false">AF9*Cards_New_Petite+AF10*Cards_New_Moyenne+AF11*Cards_New_Grande</f>
        <v>491.742385183751</v>
      </c>
      <c r="AG33" s="34" t="n">
        <f aca="false">AG9*Cards_New_Petite+AG10*Cards_New_Moyenne+AG11*Cards_New_Grande</f>
        <v>498.412528294776</v>
      </c>
      <c r="AH33" s="34" t="n">
        <f aca="false">AH9*Cards_New_Petite+AH10*Cards_New_Moyenne+AH11*Cards_New_Grande</f>
        <v>505.482879992463</v>
      </c>
      <c r="AI33" s="34" t="n">
        <f aca="false">AI9*Cards_New_Petite+AI10*Cards_New_Moyenne+AI11*Cards_New_Grande</f>
        <v>512.97745279201</v>
      </c>
      <c r="AJ33" s="34" t="n">
        <f aca="false">AJ9*Cards_New_Petite+AJ10*Cards_New_Moyenne+AJ11*Cards_New_Grande</f>
        <v>543.921699959531</v>
      </c>
      <c r="AK33" s="34" t="n">
        <f aca="false">AK9*Cards_New_Petite+AK10*Cards_New_Moyenne+AK11*Cards_New_Grande</f>
        <v>552.342601957103</v>
      </c>
      <c r="AL33" s="34" t="n">
        <f aca="false">AL9*Cards_New_Petite+AL10*Cards_New_Moyenne+AL11*Cards_New_Grande</f>
        <v>561.268758074529</v>
      </c>
      <c r="AM33" s="34" t="n">
        <f aca="false">AM9*Cards_New_Petite+AM10*Cards_New_Moyenne+AM11*Cards_New_Grande</f>
        <v>593.730483559001</v>
      </c>
      <c r="AN33" s="34" t="n">
        <f aca="false">AN9*Cards_New_Petite+AN10*Cards_New_Moyenne+AN11*Cards_New_Grande</f>
        <v>624.459912572541</v>
      </c>
      <c r="AO33" s="34" t="n">
        <f aca="false">AO9*Cards_New_Petite+AO10*Cards_New_Moyenne+AO11*Cards_New_Grande</f>
        <v>675.264440660226</v>
      </c>
      <c r="AP33" s="34" t="n">
        <f aca="false">AP9*Cards_New_Petite+AP10*Cards_New_Moyenne+AP11*Cards_New_Grande</f>
        <v>709.53350709984</v>
      </c>
      <c r="AQ33" s="34" t="n">
        <f aca="false">AQ9*Cards_New_Petite+AQ10*Cards_New_Moyenne+AQ11*Cards_New_Grande</f>
        <v>721.478717525831</v>
      </c>
      <c r="AR33" s="34" t="n">
        <f aca="false">AR9*Cards_New_Petite+AR10*Cards_New_Moyenne+AR11*Cards_New_Grande</f>
        <v>757.14064057738</v>
      </c>
      <c r="AS33" s="34" t="n">
        <f aca="false">AS9*Cards_New_Petite+AS10*Cards_New_Moyenne+AS11*Cards_New_Grande</f>
        <v>767.175483015448</v>
      </c>
      <c r="AT33" s="34" t="n">
        <f aca="false">AT9*Cards_New_Petite+AT10*Cards_New_Moyenne+AT11*Cards_New_Grande</f>
        <v>813.859211996375</v>
      </c>
      <c r="AU33" s="34" t="n">
        <f aca="false">AU9*Cards_New_Petite+AU10*Cards_New_Moyenne+AU11*Cards_New_Grande</f>
        <v>817.021964716157</v>
      </c>
      <c r="AV33" s="34" t="n">
        <f aca="false">AV9*Cards_New_Petite+AV10*Cards_New_Moyenne+AV11*Cards_New_Grande</f>
        <v>820.374482599127</v>
      </c>
      <c r="AW33" s="34" t="n">
        <f aca="false">AW9*Cards_New_Petite+AW10*Cards_New_Moyenne+AW11*Cards_New_Grande</f>
        <v>846.928151555074</v>
      </c>
      <c r="AX33" s="34" t="n">
        <f aca="false">AX9*Cards_New_Petite+AX10*Cards_New_Moyenne+AX11*Cards_New_Grande</f>
        <v>850.695040648379</v>
      </c>
      <c r="AY33" s="34" t="n">
        <f aca="false">AY9*Cards_New_Petite+AY10*Cards_New_Moyenne+AY11*Cards_New_Grande</f>
        <v>898.387943087282</v>
      </c>
      <c r="AZ33" s="34" t="n">
        <f aca="false">AZ9*Cards_New_Petite+AZ10*Cards_New_Moyenne+AZ11*Cards_New_Grande</f>
        <v>902.620419672518</v>
      </c>
      <c r="BA33" s="34" t="n">
        <f aca="false">BA9*Cards_New_Petite+BA10*Cards_New_Moyenne+BA11*Cards_New_Grande</f>
        <v>970.58684485287</v>
      </c>
      <c r="BB33" s="34" t="n">
        <f aca="false">BB9*Cards_New_Petite+BB10*Cards_New_Moyenne+BB11*Cards_New_Grande</f>
        <v>975.342455544042</v>
      </c>
      <c r="BC33" s="34" t="n">
        <f aca="false">BC9*Cards_New_Petite+BC10*Cards_New_Moyenne+BC11*Cards_New_Grande</f>
        <v>1003.38340287668</v>
      </c>
      <c r="BD33" s="34" t="n">
        <f aca="false">BD9*Cards_New_Petite+BD10*Cards_New_Moyenne+BD11*Cards_New_Grande</f>
        <v>1029.42680704929</v>
      </c>
      <c r="BE33" s="34" t="n">
        <f aca="false">BE9*Cards_New_Petite+BE10*Cards_New_Moyenne+BE11*Cards_New_Grande</f>
        <v>1058.09081547224</v>
      </c>
      <c r="BF33" s="34" t="n">
        <f aca="false">BF9*Cards_New_Petite+BF10*Cards_New_Moyenne+BF11*Cards_New_Grande</f>
        <v>1064.09466440058</v>
      </c>
      <c r="BG33" s="34" t="n">
        <f aca="false">BG9*Cards_New_Petite+BG10*Cards_New_Moyenne+BG11*Cards_New_Grande</f>
        <v>1114.15874426461</v>
      </c>
      <c r="BH33" s="34" t="n">
        <f aca="false">BH9*Cards_New_Petite+BH10*Cards_New_Moyenne+BH11*Cards_New_Grande</f>
        <v>1120.90466892049</v>
      </c>
      <c r="BI33" s="34" t="n">
        <f aca="false">BI9*Cards_New_Petite+BI10*Cards_New_Moyenne+BI11*Cards_New_Grande</f>
        <v>1151.05534905572</v>
      </c>
      <c r="BJ33" s="34" t="n">
        <f aca="false">BJ9*Cards_New_Petite+BJ10*Cards_New_Moyenne+BJ11*Cards_New_Grande</f>
        <v>1158.63506999906</v>
      </c>
      <c r="BK33" s="34" t="n">
        <f aca="false">BK9*Cards_New_Petite+BK10*Cards_New_Moyenne+BK11*Cards_New_Grande</f>
        <v>1206.42666666667</v>
      </c>
      <c r="BL33" s="34" t="n">
        <f aca="false">BL9*Cards_New_Petite+BL10*Cards_New_Moyenne+BL11*Cards_New_Grande</f>
        <v>1229.42666666667</v>
      </c>
    </row>
    <row r="34" customFormat="false" ht="15" hidden="false" customHeight="false" outlineLevel="0" collapsed="false">
      <c r="A34" s="12" t="s">
        <v>774</v>
      </c>
      <c r="B34" s="14" t="s">
        <v>242</v>
      </c>
      <c r="D34" s="57" t="n">
        <f aca="false">SUM(E34:BL34)</f>
        <v>18750.8279317941</v>
      </c>
      <c r="E34" s="34" t="n">
        <f aca="false">E9*MAX(0,Cards_New_Petite-1)+E10*MAX(0,Cards_New_Moyenne-1)+E11*MAX(0,Cards_New_Grande-1)</f>
        <v>0</v>
      </c>
      <c r="F34" s="34" t="n">
        <f aca="false">F9*MAX(0,Cards_New_Petite-1)+F10*MAX(0,Cards_New_Moyenne-1)+F11*MAX(0,Cards_New_Grande-1)</f>
        <v>0</v>
      </c>
      <c r="G34" s="34" t="n">
        <f aca="false">G9*MAX(0,Cards_New_Petite-1)+G10*MAX(0,Cards_New_Moyenne-1)+G11*MAX(0,Cards_New_Grande-1)</f>
        <v>0</v>
      </c>
      <c r="H34" s="34" t="n">
        <f aca="false">H9*MAX(0,Cards_New_Petite-1)+H10*MAX(0,Cards_New_Moyenne-1)+H11*MAX(0,Cards_New_Grande-1)</f>
        <v>0</v>
      </c>
      <c r="I34" s="34" t="n">
        <f aca="false">I9*MAX(0,Cards_New_Petite-1)+I10*MAX(0,Cards_New_Moyenne-1)+I11*MAX(0,Cards_New_Grande-1)</f>
        <v>74.7066666666667</v>
      </c>
      <c r="J34" s="34" t="n">
        <f aca="false">J9*MAX(0,Cards_New_Petite-1)+J10*MAX(0,Cards_New_Moyenne-1)+J11*MAX(0,Cards_New_Grande-1)</f>
        <v>75.4866666666667</v>
      </c>
      <c r="K34" s="34" t="n">
        <f aca="false">K9*MAX(0,Cards_New_Petite-1)+K10*MAX(0,Cards_New_Moyenne-1)+K11*MAX(0,Cards_New_Grande-1)</f>
        <v>76.3134666666667</v>
      </c>
      <c r="L34" s="34" t="n">
        <f aca="false">L9*MAX(0,Cards_New_Petite-1)+L10*MAX(0,Cards_New_Moyenne-1)+L11*MAX(0,Cards_New_Grande-1)</f>
        <v>77.1898746666667</v>
      </c>
      <c r="M34" s="34" t="n">
        <f aca="false">M9*MAX(0,Cards_New_Petite-1)+M10*MAX(0,Cards_New_Moyenne-1)+M11*MAX(0,Cards_New_Grande-1)</f>
        <v>78.1188671466667</v>
      </c>
      <c r="N34" s="34" t="n">
        <f aca="false">N9*MAX(0,Cards_New_Petite-1)+N10*MAX(0,Cards_New_Moyenne-1)+N11*MAX(0,Cards_New_Grande-1)</f>
        <v>79.1035991754667</v>
      </c>
      <c r="O34" s="34" t="n">
        <f aca="false">O9*MAX(0,Cards_New_Petite-1)+O10*MAX(0,Cards_New_Moyenne-1)+O11*MAX(0,Cards_New_Grande-1)</f>
        <v>80.1474151259947</v>
      </c>
      <c r="P34" s="34" t="n">
        <f aca="false">P9*MAX(0,Cards_New_Petite-1)+P10*MAX(0,Cards_New_Moyenne-1)+P11*MAX(0,Cards_New_Grande-1)</f>
        <v>81.2538600335544</v>
      </c>
      <c r="Q34" s="34" t="n">
        <f aca="false">Q9*MAX(0,Cards_New_Petite-1)+Q10*MAX(0,Cards_New_Moyenne-1)+Q11*MAX(0,Cards_New_Grande-1)</f>
        <v>105.133358302234</v>
      </c>
      <c r="R34" s="34" t="n">
        <f aca="false">R9*MAX(0,Cards_New_Petite-1)+R10*MAX(0,Cards_New_Moyenne-1)+R11*MAX(0,Cards_New_Grande-1)</f>
        <v>106.376559800368</v>
      </c>
      <c r="S34" s="34" t="n">
        <f aca="false">S9*MAX(0,Cards_New_Petite-1)+S10*MAX(0,Cards_New_Moyenne-1)+S11*MAX(0,Cards_New_Grande-1)</f>
        <v>107.69435338839</v>
      </c>
      <c r="T34" s="34" t="n">
        <f aca="false">T9*MAX(0,Cards_New_Petite-1)+T10*MAX(0,Cards_New_Moyenne-1)+T11*MAX(0,Cards_New_Grande-1)</f>
        <v>109.091214591694</v>
      </c>
      <c r="U34" s="34" t="n">
        <f aca="false">U9*MAX(0,Cards_New_Petite-1)+U10*MAX(0,Cards_New_Moyenne-1)+U11*MAX(0,Cards_New_Grande-1)</f>
        <v>110.571887467196</v>
      </c>
      <c r="V34" s="34" t="n">
        <f aca="false">V9*MAX(0,Cards_New_Petite-1)+V10*MAX(0,Cards_New_Moyenne-1)+V11*MAX(0,Cards_New_Grande-1)</f>
        <v>112.141400715227</v>
      </c>
      <c r="W34" s="34" t="n">
        <f aca="false">W9*MAX(0,Cards_New_Petite-1)+W10*MAX(0,Cards_New_Moyenne-1)+W11*MAX(0,Cards_New_Grande-1)</f>
        <v>180.711751424808</v>
      </c>
      <c r="X34" s="34" t="n">
        <f aca="false">X9*MAX(0,Cards_New_Petite-1)+X10*MAX(0,Cards_New_Moyenne-1)+X11*MAX(0,Cards_New_Grande-1)</f>
        <v>182.943256510296</v>
      </c>
      <c r="Y34" s="34" t="n">
        <f aca="false">Y9*MAX(0,Cards_New_Petite-1)+Y10*MAX(0,Cards_New_Moyenne-1)+Y11*MAX(0,Cards_New_Grande-1)</f>
        <v>185.308651900914</v>
      </c>
      <c r="Z34" s="34" t="n">
        <f aca="false">Z9*MAX(0,Cards_New_Petite-1)+Z10*MAX(0,Cards_New_Moyenne-1)+Z11*MAX(0,Cards_New_Grande-1)</f>
        <v>187.815971014969</v>
      </c>
      <c r="AA34" s="34" t="n">
        <f aca="false">AA9*MAX(0,Cards_New_Petite-1)+AA10*MAX(0,Cards_New_Moyenne-1)+AA11*MAX(0,Cards_New_Grande-1)</f>
        <v>190.473729275867</v>
      </c>
      <c r="AB34" s="34" t="n">
        <f aca="false">AB9*MAX(0,Cards_New_Petite-1)+AB10*MAX(0,Cards_New_Moyenne-1)+AB11*MAX(0,Cards_New_Grande-1)</f>
        <v>206.290953032419</v>
      </c>
      <c r="AC34" s="34" t="n">
        <f aca="false">AC9*MAX(0,Cards_New_Petite-1)+AC10*MAX(0,Cards_New_Moyenne-1)+AC11*MAX(0,Cards_New_Grande-1)</f>
        <v>254.863876881031</v>
      </c>
      <c r="AD34" s="34" t="n">
        <f aca="false">AD9*MAX(0,Cards_New_Petite-1)+AD10*MAX(0,Cards_New_Moyenne-1)+AD11*MAX(0,Cards_New_Grande-1)</f>
        <v>258.029309493892</v>
      </c>
      <c r="AE34" s="34" t="n">
        <f aca="false">AE9*MAX(0,Cards_New_Petite-1)+AE10*MAX(0,Cards_New_Moyenne-1)+AE11*MAX(0,Cards_New_Grande-1)</f>
        <v>261.384668063526</v>
      </c>
      <c r="AF34" s="34" t="n">
        <f aca="false">AF9*MAX(0,Cards_New_Petite-1)+AF10*MAX(0,Cards_New_Moyenne-1)+AF11*MAX(0,Cards_New_Grande-1)</f>
        <v>277.941348147337</v>
      </c>
      <c r="AG34" s="34" t="n">
        <f aca="false">AG9*MAX(0,Cards_New_Petite-1)+AG10*MAX(0,Cards_New_Moyenne-1)+AG11*MAX(0,Cards_New_Grande-1)</f>
        <v>281.711429036178</v>
      </c>
      <c r="AH34" s="34" t="n">
        <f aca="false">AH9*MAX(0,Cards_New_Petite-1)+AH10*MAX(0,Cards_New_Moyenne-1)+AH11*MAX(0,Cards_New_Grande-1)</f>
        <v>285.707714778348</v>
      </c>
      <c r="AI34" s="34" t="n">
        <f aca="false">AI9*MAX(0,Cards_New_Petite-1)+AI10*MAX(0,Cards_New_Moyenne-1)+AI11*MAX(0,Cards_New_Grande-1)</f>
        <v>289.943777665049</v>
      </c>
      <c r="AJ34" s="34" t="n">
        <f aca="false">AJ9*MAX(0,Cards_New_Petite-1)+AJ10*MAX(0,Cards_New_Moyenne-1)+AJ11*MAX(0,Cards_New_Grande-1)</f>
        <v>307.434004324952</v>
      </c>
      <c r="AK34" s="34" t="n">
        <f aca="false">AK9*MAX(0,Cards_New_Petite-1)+AK10*MAX(0,Cards_New_Moyenne-1)+AK11*MAX(0,Cards_New_Grande-1)</f>
        <v>312.193644584449</v>
      </c>
      <c r="AL34" s="34" t="n">
        <f aca="false">AL9*MAX(0,Cards_New_Petite-1)+AL10*MAX(0,Cards_New_Moyenne-1)+AL11*MAX(0,Cards_New_Grande-1)</f>
        <v>317.238863259516</v>
      </c>
      <c r="AM34" s="34" t="n">
        <f aca="false">AM9*MAX(0,Cards_New_Petite-1)+AM10*MAX(0,Cards_New_Moyenne-1)+AM11*MAX(0,Cards_New_Grande-1)</f>
        <v>335.586795055087</v>
      </c>
      <c r="AN34" s="34" t="n">
        <f aca="false">AN9*MAX(0,Cards_New_Petite-1)+AN10*MAX(0,Cards_New_Moyenne-1)+AN11*MAX(0,Cards_New_Grande-1)</f>
        <v>352.955602758393</v>
      </c>
      <c r="AO34" s="34" t="n">
        <f aca="false">AO9*MAX(0,Cards_New_Petite-1)+AO10*MAX(0,Cards_New_Moyenne-1)+AO11*MAX(0,Cards_New_Grande-1)</f>
        <v>381.671205590563</v>
      </c>
      <c r="AP34" s="34" t="n">
        <f aca="false">AP9*MAX(0,Cards_New_Petite-1)+AP10*MAX(0,Cards_New_Moyenne-1)+AP11*MAX(0,Cards_New_Grande-1)</f>
        <v>401.040677925997</v>
      </c>
      <c r="AQ34" s="34" t="n">
        <f aca="false">AQ9*MAX(0,Cards_New_Petite-1)+AQ10*MAX(0,Cards_New_Moyenne-1)+AQ11*MAX(0,Cards_New_Grande-1)</f>
        <v>407.792318601556</v>
      </c>
      <c r="AR34" s="34" t="n">
        <f aca="false">AR9*MAX(0,Cards_New_Petite-1)+AR10*MAX(0,Cards_New_Moyenne-1)+AR11*MAX(0,Cards_New_Grande-1)</f>
        <v>427.94905771765</v>
      </c>
      <c r="AS34" s="34" t="n">
        <f aca="false">AS9*MAX(0,Cards_New_Petite-1)+AS10*MAX(0,Cards_New_Moyenne-1)+AS11*MAX(0,Cards_New_Grande-1)</f>
        <v>433.620925182644</v>
      </c>
      <c r="AT34" s="34" t="n">
        <f aca="false">AT9*MAX(0,Cards_New_Petite-1)+AT10*MAX(0,Cards_New_Moyenne-1)+AT11*MAX(0,Cards_New_Grande-1)</f>
        <v>460.007380693603</v>
      </c>
      <c r="AU34" s="34" t="n">
        <f aca="false">AU9*MAX(0,Cards_New_Petite-1)+AU10*MAX(0,Cards_New_Moyenne-1)+AU11*MAX(0,Cards_New_Grande-1)</f>
        <v>461.795023535219</v>
      </c>
      <c r="AV34" s="34" t="n">
        <f aca="false">AV9*MAX(0,Cards_New_Petite-1)+AV10*MAX(0,Cards_New_Moyenne-1)+AV11*MAX(0,Cards_New_Grande-1)</f>
        <v>463.689924947333</v>
      </c>
      <c r="AW34" s="34" t="n">
        <f aca="false">AW9*MAX(0,Cards_New_Petite-1)+AW10*MAX(0,Cards_New_Moyenne-1)+AW11*MAX(0,Cards_New_Grande-1)</f>
        <v>478.698520444172</v>
      </c>
      <c r="AX34" s="34" t="n">
        <f aca="false">AX9*MAX(0,Cards_New_Petite-1)+AX10*MAX(0,Cards_New_Moyenne-1)+AX11*MAX(0,Cards_New_Grande-1)</f>
        <v>480.827631670823</v>
      </c>
      <c r="AY34" s="34" t="n">
        <f aca="false">AY9*MAX(0,Cards_New_Petite-1)+AY10*MAX(0,Cards_New_Moyenne-1)+AY11*MAX(0,Cards_New_Grande-1)</f>
        <v>507.784489571072</v>
      </c>
      <c r="AZ34" s="34" t="n">
        <f aca="false">AZ9*MAX(0,Cards_New_Petite-1)+AZ10*MAX(0,Cards_New_Moyenne-1)+AZ11*MAX(0,Cards_New_Grande-1)</f>
        <v>510.176758945337</v>
      </c>
      <c r="BA34" s="34" t="n">
        <f aca="false">BA9*MAX(0,Cards_New_Petite-1)+BA10*MAX(0,Cards_New_Moyenne-1)+BA11*MAX(0,Cards_New_Grande-1)</f>
        <v>548.592564482057</v>
      </c>
      <c r="BB34" s="34" t="n">
        <f aca="false">BB9*MAX(0,Cards_New_Petite-1)+BB10*MAX(0,Cards_New_Moyenne-1)+BB11*MAX(0,Cards_New_Grande-1)</f>
        <v>551.28051835098</v>
      </c>
      <c r="BC34" s="34" t="n">
        <f aca="false">BC9*MAX(0,Cards_New_Petite-1)+BC10*MAX(0,Cards_New_Moyenne-1)+BC11*MAX(0,Cards_New_Grande-1)</f>
        <v>567.129749452039</v>
      </c>
      <c r="BD34" s="34" t="n">
        <f aca="false">BD9*MAX(0,Cards_New_Petite-1)+BD10*MAX(0,Cards_New_Moyenne-1)+BD11*MAX(0,Cards_New_Grande-1)</f>
        <v>581.849934419161</v>
      </c>
      <c r="BE34" s="34" t="n">
        <f aca="false">BE9*MAX(0,Cards_New_Petite-1)+BE10*MAX(0,Cards_New_Moyenne-1)+BE11*MAX(0,Cards_New_Grande-1)</f>
        <v>598.051330484311</v>
      </c>
      <c r="BF34" s="34" t="n">
        <f aca="false">BF9*MAX(0,Cards_New_Petite-1)+BF10*MAX(0,Cards_New_Moyenne-1)+BF11*MAX(0,Cards_New_Grande-1)</f>
        <v>601.44481031337</v>
      </c>
      <c r="BG34" s="34" t="n">
        <f aca="false">BG9*MAX(0,Cards_New_Petite-1)+BG10*MAX(0,Cards_New_Moyenne-1)+BG11*MAX(0,Cards_New_Grande-1)</f>
        <v>629.741898932172</v>
      </c>
      <c r="BH34" s="34" t="n">
        <f aca="false">BH9*MAX(0,Cards_New_Petite-1)+BH10*MAX(0,Cards_New_Moyenne-1)+BH11*MAX(0,Cards_New_Grande-1)</f>
        <v>633.554812868102</v>
      </c>
      <c r="BI34" s="34" t="n">
        <f aca="false">BI9*MAX(0,Cards_New_Petite-1)+BI10*MAX(0,Cards_New_Moyenne-1)+BI11*MAX(0,Cards_New_Grande-1)</f>
        <v>650.596501640188</v>
      </c>
      <c r="BJ34" s="34" t="n">
        <f aca="false">BJ9*MAX(0,Cards_New_Petite-1)+BJ10*MAX(0,Cards_New_Moyenne-1)+BJ11*MAX(0,Cards_New_Grande-1)</f>
        <v>654.8806917386</v>
      </c>
      <c r="BK34" s="34" t="n">
        <f aca="false">BK9*MAX(0,Cards_New_Petite-1)+BK10*MAX(0,Cards_New_Moyenne-1)+BK11*MAX(0,Cards_New_Grande-1)</f>
        <v>681.893333333333</v>
      </c>
      <c r="BL34" s="34" t="n">
        <f aca="false">BL9*MAX(0,Cards_New_Petite-1)+BL10*MAX(0,Cards_New_Moyenne-1)+BL11*MAX(0,Cards_New_Grande-1)</f>
        <v>694.893333333333</v>
      </c>
    </row>
    <row r="35" customFormat="false" ht="15" hidden="false" customHeight="false" outlineLevel="0" collapsed="false">
      <c r="A35" s="12" t="s">
        <v>775</v>
      </c>
      <c r="B35" s="14" t="s">
        <v>242</v>
      </c>
      <c r="D35" s="55" t="n">
        <f aca="false">BL35</f>
        <v>52383.5114414677</v>
      </c>
      <c r="E35" s="37" t="n">
        <f aca="false">E14*Cards_Act_Petite+E15*Cards_Act_Moyenne+E16*Cards_Act_Grande</f>
        <v>0</v>
      </c>
      <c r="F35" s="37" t="n">
        <f aca="false">F14*Cards_Act_Petite+F15*Cards_Act_Moyenne+F16*Cards_Act_Grande</f>
        <v>0</v>
      </c>
      <c r="G35" s="37" t="n">
        <f aca="false">G14*Cards_Act_Petite+G15*Cards_Act_Moyenne+G16*Cards_Act_Grande</f>
        <v>0</v>
      </c>
      <c r="H35" s="37" t="n">
        <f aca="false">H14*Cards_Act_Petite+H15*Cards_Act_Moyenne+H16*Cards_Act_Grande</f>
        <v>0</v>
      </c>
      <c r="I35" s="37" t="n">
        <f aca="false">I14*Cards_Act_Petite+I15*Cards_Act_Moyenne+I16*Cards_Act_Grande</f>
        <v>258.6</v>
      </c>
      <c r="J35" s="37" t="n">
        <f aca="false">J14*Cards_Act_Petite+J15*Cards_Act_Moyenne+J16*Cards_Act_Grande</f>
        <v>516.5813</v>
      </c>
      <c r="K35" s="37" t="n">
        <f aca="false">K14*Cards_Act_Petite+K15*Cards_Act_Moyenne+K16*Cards_Act_Grande</f>
        <v>774.11984525</v>
      </c>
      <c r="L35" s="37" t="n">
        <f aca="false">L14*Cards_Act_Petite+L15*Cards_Act_Moyenne+L16*Cards_Act_Grande</f>
        <v>1031.39893929813</v>
      </c>
      <c r="M35" s="37" t="n">
        <f aca="false">M14*Cards_Act_Petite+M15*Cards_Act_Moyenne+M16*Cards_Act_Grande</f>
        <v>1288.6097384758</v>
      </c>
      <c r="N35" s="37" t="n">
        <f aca="false">N14*Cards_Act_Petite+N15*Cards_Act_Moyenne+N16*Cards_Act_Grande</f>
        <v>1545.95177511223</v>
      </c>
      <c r="O35" s="37" t="n">
        <f aca="false">O14*Cards_Act_Petite+O15*Cards_Act_Moyenne+O16*Cards_Act_Grande</f>
        <v>1803.63351121949</v>
      </c>
      <c r="P35" s="37" t="n">
        <f aca="false">P14*Cards_Act_Petite+P15*Cards_Act_Moyenne+P16*Cards_Act_Grande</f>
        <v>2061.87292449332</v>
      </c>
      <c r="Q35" s="37" t="n">
        <f aca="false">Q14*Cards_Act_Petite+Q15*Cards_Act_Moyenne+Q16*Cards_Act_Grande</f>
        <v>2399.49812858563</v>
      </c>
      <c r="R35" s="37" t="n">
        <f aca="false">R14*Cards_Act_Petite+R15*Cards_Act_Moyenne+R16*Cards_Act_Grande</f>
        <v>2737.13932972121</v>
      </c>
      <c r="S35" s="37" t="n">
        <f aca="false">S14*Cards_Act_Petite+S15*Cards_Act_Moyenne+S16*Cards_Act_Grande</f>
        <v>3075.06169210557</v>
      </c>
      <c r="T35" s="37" t="n">
        <f aca="false">T14*Cards_Act_Petite+T15*Cards_Act_Moyenne+T16*Cards_Act_Grande</f>
        <v>3413.54236356284</v>
      </c>
      <c r="U35" s="37" t="n">
        <f aca="false">U14*Cards_Act_Petite+U15*Cards_Act_Moyenne+U16*Cards_Act_Grande</f>
        <v>3752.87125910409</v>
      </c>
      <c r="V35" s="37" t="n">
        <f aca="false">V14*Cards_Act_Petite+V15*Cards_Act_Moyenne+V16*Cards_Act_Grande</f>
        <v>4093.35189037106</v>
      </c>
      <c r="W35" s="37" t="n">
        <f aca="false">W14*Cards_Act_Petite+W15*Cards_Act_Moyenne+W16*Cards_Act_Grande</f>
        <v>4666.90224372854</v>
      </c>
      <c r="X35" s="37" t="n">
        <f aca="false">X14*Cards_Act_Petite+X15*Cards_Act_Moyenne+X16*Cards_Act_Grande</f>
        <v>5240.90350994519</v>
      </c>
      <c r="Y35" s="37" t="n">
        <f aca="false">Y14*Cards_Act_Petite+Y15*Cards_Act_Moyenne+Y16*Cards_Act_Grande</f>
        <v>5815.82540007833</v>
      </c>
      <c r="Z35" s="37" t="n">
        <f aca="false">Z14*Cards_Act_Petite+Z15*Cards_Act_Moyenne+Z16*Cards_Act_Grande</f>
        <v>6392.15923780348</v>
      </c>
      <c r="AA35" s="37" t="n">
        <f aca="false">AA14*Cards_Act_Petite+AA15*Cards_Act_Moyenne+AA16*Cards_Act_Grande</f>
        <v>6970.41936409061</v>
      </c>
      <c r="AB35" s="37" t="n">
        <f aca="false">AB14*Cards_Act_Petite+AB15*Cards_Act_Moyenne+AB16*Cards_Act_Grande</f>
        <v>7596.1446242583</v>
      </c>
      <c r="AC35" s="37" t="n">
        <f aca="false">AC14*Cards_Act_Petite+AC15*Cards_Act_Moyenne+AC16*Cards_Act_Grande</f>
        <v>8382.12244238343</v>
      </c>
      <c r="AD35" s="37" t="n">
        <f aca="false">AD14*Cards_Act_Petite+AD15*Cards_Act_Moyenne+AD16*Cards_Act_Grande</f>
        <v>9169.1288445923</v>
      </c>
      <c r="AE35" s="37" t="n">
        <f aca="false">AE14*Cards_Act_Petite+AE15*Cards_Act_Moyenne+AE16*Cards_Act_Grande</f>
        <v>9957.82398384049</v>
      </c>
      <c r="AF35" s="37" t="n">
        <f aca="false">AF14*Cards_Act_Petite+AF15*Cards_Act_Moyenne+AF16*Cards_Act_Grande</f>
        <v>10793.8987763718</v>
      </c>
      <c r="AG35" s="37" t="n">
        <f aca="false">AG14*Cards_Act_Petite+AG15*Cards_Act_Moyenne+AG16*Cards_Act_Grande</f>
        <v>11632.4993923664</v>
      </c>
      <c r="AH35" s="37" t="n">
        <f aca="false">AH14*Cards_Act_Petite+AH15*Cards_Act_Moyenne+AH16*Cards_Act_Grande</f>
        <v>12474.3928197291</v>
      </c>
      <c r="AI35" s="37" t="n">
        <f aca="false">AI14*Cards_Act_Petite+AI15*Cards_Act_Moyenne+AI16*Cards_Act_Grande</f>
        <v>13320.3830018446</v>
      </c>
      <c r="AJ35" s="37" t="n">
        <f aca="false">AJ14*Cards_Act_Petite+AJ15*Cards_Act_Moyenne+AJ16*Cards_Act_Grande</f>
        <v>14216.3132029076</v>
      </c>
      <c r="AK35" s="37" t="n">
        <f aca="false">AK14*Cards_Act_Petite+AK15*Cards_Act_Moyenne+AK16*Cards_Act_Grande</f>
        <v>15117.4910125743</v>
      </c>
      <c r="AL35" s="37" t="n">
        <f aca="false">AL14*Cards_Act_Petite+AL15*Cards_Act_Moyenne+AL16*Cards_Act_Grande</f>
        <v>16024.8544545919</v>
      </c>
      <c r="AM35" s="37" t="n">
        <f aca="false">AM14*Cards_Act_Petite+AM15*Cards_Act_Moyenne+AM16*Cards_Act_Grande</f>
        <v>16984.3887020825</v>
      </c>
      <c r="AN35" s="37" t="n">
        <f aca="false">AN14*Cards_Act_Petite+AN15*Cards_Act_Moyenne+AN16*Cards_Act_Grande</f>
        <v>17992.0515550518</v>
      </c>
      <c r="AO35" s="37" t="n">
        <f aca="false">AO14*Cards_Act_Petite+AO15*Cards_Act_Moyenne+AO16*Cards_Act_Grande</f>
        <v>19086.5203001969</v>
      </c>
      <c r="AP35" s="37" t="n">
        <f aca="false">AP14*Cards_Act_Petite+AP15*Cards_Act_Moyenne+AP16*Cards_Act_Grande</f>
        <v>20234.3473680144</v>
      </c>
      <c r="AQ35" s="37" t="n">
        <f aca="false">AQ14*Cards_Act_Petite+AQ15*Cards_Act_Moyenne+AQ16*Cards_Act_Grande</f>
        <v>21391.1910592208</v>
      </c>
      <c r="AR35" s="37" t="n">
        <f aca="false">AR14*Cards_Act_Petite+AR15*Cards_Act_Moyenne+AR16*Cards_Act_Grande</f>
        <v>22603.359043093</v>
      </c>
      <c r="AS35" s="37" t="n">
        <f aca="false">AS14*Cards_Act_Petite+AS15*Cards_Act_Moyenne+AS16*Cards_Act_Grande</f>
        <v>23820.0224028029</v>
      </c>
      <c r="AT35" s="37" t="n">
        <f aca="false">AT14*Cards_Act_Petite+AT15*Cards_Act_Moyenne+AT16*Cards_Act_Grande</f>
        <v>25112.8497864424</v>
      </c>
      <c r="AU35" s="37" t="n">
        <f aca="false">AU14*Cards_Act_Petite+AU15*Cards_Act_Moyenne+AU16*Cards_Act_Grande</f>
        <v>26395.7357973184</v>
      </c>
      <c r="AV35" s="37" t="n">
        <f aca="false">AV14*Cards_Act_Petite+AV15*Cards_Act_Moyenne+AV16*Cards_Act_Grande</f>
        <v>27669.2025238906</v>
      </c>
      <c r="AW35" s="37" t="n">
        <f aca="false">AW14*Cards_Act_Petite+AW15*Cards_Act_Moyenne+AW16*Cards_Act_Grande</f>
        <v>28978.7870604386</v>
      </c>
      <c r="AX35" s="37" t="n">
        <f aca="false">AX14*Cards_Act_Petite+AX15*Cards_Act_Moyenne+AX16*Cards_Act_Grande</f>
        <v>30279.4651719792</v>
      </c>
      <c r="AY35" s="37" t="n">
        <f aca="false">AY14*Cards_Act_Petite+AY15*Cards_Act_Moyenne+AY16*Cards_Act_Grande</f>
        <v>31657.315980707</v>
      </c>
      <c r="AZ35" s="37" t="n">
        <f aca="false">AZ14*Cards_Act_Petite+AZ15*Cards_Act_Moyenne+AZ16*Cards_Act_Grande</f>
        <v>33026.3399217236</v>
      </c>
      <c r="BA35" s="37" t="n">
        <f aca="false">BA14*Cards_Act_Petite+BA15*Cards_Act_Moyenne+BA16*Cards_Act_Grande</f>
        <v>34511.370685298</v>
      </c>
      <c r="BB35" s="37" t="n">
        <f aca="false">BB14*Cards_Act_Petite+BB15*Cards_Act_Moyenne+BB16*Cards_Act_Grande</f>
        <v>35987.2691921179</v>
      </c>
      <c r="BC35" s="37" t="n">
        <f aca="false">BC14*Cards_Act_Petite+BC15*Cards_Act_Moyenne+BC16*Cards_Act_Grande</f>
        <v>37499.7362731823</v>
      </c>
      <c r="BD35" s="37" t="n">
        <f aca="false">BD14*Cards_Act_Petite+BD15*Cards_Act_Moyenne+BD16*Cards_Act_Grande</f>
        <v>39044.4191794231</v>
      </c>
      <c r="BE35" s="37" t="n">
        <f aca="false">BE14*Cards_Act_Petite+BE15*Cards_Act_Moyenne+BE16*Cards_Act_Grande</f>
        <v>40626.057015958</v>
      </c>
      <c r="BF35" s="37" t="n">
        <f aca="false">BF14*Cards_Act_Petite+BF15*Cards_Act_Moyenne+BF16*Cards_Act_Grande</f>
        <v>42199.8660855631</v>
      </c>
      <c r="BG35" s="37" t="n">
        <f aca="false">BG14*Cards_Act_Petite+BG15*Cards_Act_Moyenne+BG16*Cards_Act_Grande</f>
        <v>43852.1777941369</v>
      </c>
      <c r="BH35" s="37" t="n">
        <f aca="false">BH14*Cards_Act_Petite+BH15*Cards_Act_Moyenne+BH16*Cards_Act_Grande</f>
        <v>45497.2573536161</v>
      </c>
      <c r="BI35" s="37" t="n">
        <f aca="false">BI14*Cards_Act_Petite+BI15*Cards_Act_Moyenne+BI16*Cards_Act_Grande</f>
        <v>47181.0165155246</v>
      </c>
      <c r="BJ35" s="37" t="n">
        <f aca="false">BJ14*Cards_Act_Petite+BJ15*Cards_Act_Moyenne+BJ16*Cards_Act_Grande</f>
        <v>48858.8247842777</v>
      </c>
      <c r="BK35" s="37" t="n">
        <f aca="false">BK14*Cards_Act_Petite+BK15*Cards_Act_Moyenne+BK16*Cards_Act_Grande</f>
        <v>50609.4609174062</v>
      </c>
      <c r="BL35" s="37" t="n">
        <f aca="false">BL14*Cards_Act_Petite+BL15*Cards_Act_Moyenne+BL16*Cards_Act_Grande</f>
        <v>52383.5114414677</v>
      </c>
    </row>
    <row r="36" customFormat="false" ht="15" hidden="false" customHeight="false" outlineLevel="0" collapsed="false">
      <c r="A36" s="12" t="s">
        <v>776</v>
      </c>
      <c r="B36" s="14" t="s">
        <v>71</v>
      </c>
      <c r="D36" s="55" t="n">
        <f aca="false">SUM(E36:BL36)</f>
        <v>156718802404.702</v>
      </c>
      <c r="E36" s="37" t="n">
        <f aca="false">E14*Spend_Dom_Petite+E15*Spend_Dom_Moyenne+E16*Spend_Dom_Grande</f>
        <v>0</v>
      </c>
      <c r="F36" s="37" t="n">
        <f aca="false">F14*Spend_Dom_Petite+F15*Spend_Dom_Moyenne+F16*Spend_Dom_Grande</f>
        <v>0</v>
      </c>
      <c r="G36" s="37" t="n">
        <f aca="false">G14*Spend_Dom_Petite+G15*Spend_Dom_Moyenne+G16*Spend_Dom_Grande</f>
        <v>0</v>
      </c>
      <c r="H36" s="37" t="n">
        <f aca="false">H14*Spend_Dom_Petite+H15*Spend_Dom_Moyenne+H16*Spend_Dom_Grande</f>
        <v>0</v>
      </c>
      <c r="I36" s="37" t="n">
        <f aca="false">I14*Spend_Dom_Petite+I15*Spend_Dom_Moyenne+I16*Spend_Dom_Grande</f>
        <v>38502666.6666667</v>
      </c>
      <c r="J36" s="37" t="n">
        <f aca="false">J14*Spend_Dom_Petite+J15*Spend_Dom_Moyenne+J16*Spend_Dom_Grande</f>
        <v>76920303.3333333</v>
      </c>
      <c r="K36" s="37" t="n">
        <f aca="false">K14*Spend_Dom_Petite+K15*Spend_Dom_Moyenne+K16*Spend_Dom_Grande</f>
        <v>115279045.725</v>
      </c>
      <c r="L36" s="37" t="n">
        <f aca="false">L14*Spend_Dom_Petite+L15*Spend_Dom_Moyenne+L16*Spend_Dom_Grande</f>
        <v>153606130.053729</v>
      </c>
      <c r="M36" s="37" t="n">
        <f aca="false">M14*Spend_Dom_Petite+M15*Spend_Dom_Moyenne+M16*Spend_Dom_Grande</f>
        <v>191929966.82158</v>
      </c>
      <c r="N36" s="37" t="n">
        <f aca="false">N14*Spend_Dom_Petite+N15*Spend_Dom_Moyenne+N16*Spend_Dom_Grande</f>
        <v>230280218.913107</v>
      </c>
      <c r="O36" s="37" t="n">
        <f aca="false">O14*Spend_Dom_Petite+O15*Spend_Dom_Moyenne+O16*Spend_Dom_Grande</f>
        <v>268687884.237375</v>
      </c>
      <c r="P36" s="37" t="n">
        <f aca="false">P14*Spend_Dom_Petite+P15*Spend_Dom_Moyenne+P16*Spend_Dom_Grande</f>
        <v>307185383.194999</v>
      </c>
      <c r="Q36" s="37" t="n">
        <f aca="false">Q14*Spend_Dom_Petite+Q15*Spend_Dom_Moyenne+Q16*Spend_Dom_Grande</f>
        <v>357509317.928868</v>
      </c>
      <c r="R36" s="37" t="n">
        <f aca="false">R14*Spend_Dom_Petite+R15*Spend_Dom_Moyenne+R16*Spend_Dom_Grande</f>
        <v>407844540.334661</v>
      </c>
      <c r="S36" s="37" t="n">
        <f aca="false">S14*Spend_Dom_Petite+S15*Spend_Dom_Moyenne+S16*Spend_Dom_Grande</f>
        <v>458230474.050819</v>
      </c>
      <c r="T36" s="37" t="n">
        <f aca="false">T14*Spend_Dom_Petite+T15*Spend_Dom_Moyenne+T16*Spend_Dom_Grande</f>
        <v>508708334.252221</v>
      </c>
      <c r="U36" s="37" t="n">
        <f aca="false">U14*Spend_Dom_Petite+U15*Spend_Dom_Moyenne+U16*Spend_Dom_Grande</f>
        <v>559321244.606899</v>
      </c>
      <c r="V36" s="37" t="n">
        <f aca="false">V14*Spend_Dom_Petite+V15*Spend_Dom_Moyenne+V16*Spend_Dom_Grande</f>
        <v>610114361.08228</v>
      </c>
      <c r="W36" s="37" t="n">
        <f aca="false">W14*Spend_Dom_Petite+W15*Spend_Dom_Moyenne+W16*Spend_Dom_Grande</f>
        <v>695617669.681709</v>
      </c>
      <c r="X36" s="37" t="n">
        <f aca="false">X14*Spend_Dom_Petite+X15*Spend_Dom_Moyenne+X16*Spend_Dom_Grande</f>
        <v>781203145.2168</v>
      </c>
      <c r="Y36" s="37" t="n">
        <f aca="false">Y14*Spend_Dom_Petite+Y15*Spend_Dom_Moyenne+Y16*Spend_Dom_Grande</f>
        <v>866940638.597423</v>
      </c>
      <c r="Z36" s="37" t="n">
        <f aca="false">Z14*Spend_Dom_Petite+Z15*Spend_Dom_Moyenne+Z16*Spend_Dom_Grande</f>
        <v>952903231.493047</v>
      </c>
      <c r="AA36" s="37" t="n">
        <f aca="false">AA14*Spend_Dom_Petite+AA15*Spend_Dom_Moyenne+AA16*Spend_Dom_Grande</f>
        <v>1039167446.00048</v>
      </c>
      <c r="AB36" s="37" t="n">
        <f aca="false">AB14*Spend_Dom_Petite+AB15*Spend_Dom_Moyenne+AB16*Spend_Dom_Grande</f>
        <v>1132513466.61122</v>
      </c>
      <c r="AC36" s="37" t="n">
        <f aca="false">AC14*Spend_Dom_Petite+AC15*Spend_Dom_Moyenne+AC16*Spend_Dom_Grande</f>
        <v>1249735291.88822</v>
      </c>
      <c r="AD36" s="37" t="n">
        <f aca="false">AD14*Spend_Dom_Petite+AD15*Spend_Dom_Moyenne+AD16*Spend_Dom_Grande</f>
        <v>1367130528.93149</v>
      </c>
      <c r="AE36" s="37" t="n">
        <f aca="false">AE14*Spend_Dom_Petite+AE15*Spend_Dom_Moyenne+AE16*Spend_Dom_Grande</f>
        <v>1484797364.04174</v>
      </c>
      <c r="AF36" s="37" t="n">
        <f aca="false">AF14*Spend_Dom_Petite+AF15*Spend_Dom_Moyenne+AF16*Spend_Dom_Grande</f>
        <v>1609538581.90733</v>
      </c>
      <c r="AG36" s="37" t="n">
        <f aca="false">AG14*Spend_Dom_Petite+AG15*Spend_Dom_Moyenne+AG16*Spend_Dom_Grande</f>
        <v>1734677112.73921</v>
      </c>
      <c r="AH36" s="37" t="n">
        <f aca="false">AH14*Spend_Dom_Petite+AH15*Spend_Dom_Moyenne+AH16*Spend_Dom_Grande</f>
        <v>1860327082.48355</v>
      </c>
      <c r="AI36" s="37" t="n">
        <f aca="false">AI14*Spend_Dom_Petite+AI15*Spend_Dom_Moyenne+AI16*Spend_Dom_Grande</f>
        <v>1986608140.14879</v>
      </c>
      <c r="AJ36" s="37" t="n">
        <f aca="false">AJ14*Spend_Dom_Petite+AJ15*Spend_Dom_Moyenne+AJ16*Spend_Dom_Grande</f>
        <v>2120345810.87828</v>
      </c>
      <c r="AK36" s="37" t="n">
        <f aca="false">AK14*Spend_Dom_Petite+AK15*Spend_Dom_Moyenne+AK16*Spend_Dom_Grande</f>
        <v>2254887119.82443</v>
      </c>
      <c r="AL36" s="37" t="n">
        <f aca="false">AL14*Spend_Dom_Petite+AL15*Spend_Dom_Moyenne+AL16*Spend_Dom_Grande</f>
        <v>2390371723.70449</v>
      </c>
      <c r="AM36" s="37" t="n">
        <f aca="false">AM14*Spend_Dom_Petite+AM15*Spend_Dom_Moyenne+AM16*Spend_Dom_Grande</f>
        <v>2533646324.35118</v>
      </c>
      <c r="AN36" s="37" t="n">
        <f aca="false">AN14*Spend_Dom_Petite+AN15*Spend_Dom_Moyenne+AN16*Spend_Dom_Grande</f>
        <v>2684110363.18208</v>
      </c>
      <c r="AO36" s="37" t="n">
        <f aca="false">AO14*Spend_Dom_Petite+AO15*Spend_Dom_Moyenne+AO16*Spend_Dom_Grande</f>
        <v>2847523619.24569</v>
      </c>
      <c r="AP36" s="37" t="n">
        <f aca="false">AP14*Spend_Dom_Petite+AP15*Spend_Dom_Moyenne+AP16*Spend_Dom_Grande</f>
        <v>3018908334.14032</v>
      </c>
      <c r="AQ36" s="37" t="n">
        <f aca="false">AQ14*Spend_Dom_Petite+AQ15*Spend_Dom_Moyenne+AQ16*Spend_Dom_Grande</f>
        <v>3191663803.57505</v>
      </c>
      <c r="AR36" s="37" t="n">
        <f aca="false">AR14*Spend_Dom_Petite+AR15*Spend_Dom_Moyenne+AR16*Spend_Dom_Grande</f>
        <v>3372684783.08834</v>
      </c>
      <c r="AS36" s="37" t="n">
        <f aca="false">AS14*Spend_Dom_Petite+AS15*Spend_Dom_Moyenne+AS16*Spend_Dom_Grande</f>
        <v>3554404737.86997</v>
      </c>
      <c r="AT36" s="37" t="n">
        <f aca="false">AT14*Spend_Dom_Petite+AT15*Spend_Dom_Moyenne+AT16*Spend_Dom_Grande</f>
        <v>3747494257.41912</v>
      </c>
      <c r="AU36" s="37" t="n">
        <f aca="false">AU14*Spend_Dom_Petite+AU15*Spend_Dom_Moyenne+AU16*Spend_Dom_Grande</f>
        <v>3939135092.92038</v>
      </c>
      <c r="AV36" s="37" t="n">
        <f aca="false">AV14*Spend_Dom_Petite+AV15*Spend_Dom_Moyenne+AV16*Spend_Dom_Grande</f>
        <v>4129404493.23717</v>
      </c>
      <c r="AW36" s="37" t="n">
        <f aca="false">AW14*Spend_Dom_Petite+AW15*Spend_Dom_Moyenne+AW16*Spend_Dom_Grande</f>
        <v>4325081957.8749</v>
      </c>
      <c r="AX36" s="37" t="n">
        <f aca="false">AX14*Spend_Dom_Petite+AX15*Spend_Dom_Moyenne+AX16*Spend_Dom_Grande</f>
        <v>4519464660.77106</v>
      </c>
      <c r="AY36" s="37" t="n">
        <f aca="false">AY14*Spend_Dom_Petite+AY15*Spend_Dom_Moyenne+AY16*Spend_Dom_Grande</f>
        <v>4725368369.45705</v>
      </c>
      <c r="AZ36" s="37" t="n">
        <f aca="false">AZ14*Spend_Dom_Petite+AZ15*Spend_Dom_Moyenne+AZ16*Spend_Dom_Grande</f>
        <v>4929990608.172</v>
      </c>
      <c r="BA36" s="37" t="n">
        <f aca="false">BA14*Spend_Dom_Petite+BA15*Spend_Dom_Moyenne+BA16*Spend_Dom_Grande</f>
        <v>5151917260.76282</v>
      </c>
      <c r="BB36" s="37" t="n">
        <f aca="false">BB14*Spend_Dom_Petite+BB15*Spend_Dom_Moyenne+BB16*Spend_Dom_Grande</f>
        <v>5372519466.58041</v>
      </c>
      <c r="BC36" s="37" t="n">
        <f aca="false">BC14*Spend_Dom_Petite+BC15*Spend_Dom_Moyenne+BC16*Spend_Dom_Grande</f>
        <v>5598601080.68421</v>
      </c>
      <c r="BD36" s="37" t="n">
        <f aca="false">BD14*Spend_Dom_Petite+BD15*Spend_Dom_Moyenne+BD16*Spend_Dom_Grande</f>
        <v>5829514790.89724</v>
      </c>
      <c r="BE36" s="37" t="n">
        <f aca="false">BE14*Spend_Dom_Petite+BE15*Spend_Dom_Moyenne+BE16*Spend_Dom_Grande</f>
        <v>6065966836.27345</v>
      </c>
      <c r="BF36" s="37" t="n">
        <f aca="false">BF14*Spend_Dom_Petite+BF15*Spend_Dom_Moyenne+BF16*Spend_Dom_Grande</f>
        <v>6301290185.95477</v>
      </c>
      <c r="BG36" s="37" t="n">
        <f aca="false">BG14*Spend_Dom_Petite+BG15*Spend_Dom_Moyenne+BG16*Spend_Dom_Grande</f>
        <v>6548338158.13848</v>
      </c>
      <c r="BH36" s="37" t="n">
        <f aca="false">BH14*Spend_Dom_Petite+BH15*Spend_Dom_Moyenne+BH16*Spend_Dom_Grande</f>
        <v>6794347694.72231</v>
      </c>
      <c r="BI36" s="37" t="n">
        <f aca="false">BI14*Spend_Dom_Petite+BI15*Spend_Dom_Moyenne+BI16*Spend_Dom_Grande</f>
        <v>7046154082.32079</v>
      </c>
      <c r="BJ36" s="37" t="n">
        <f aca="false">BJ14*Spend_Dom_Petite+BJ15*Spend_Dom_Moyenne+BJ16*Spend_Dom_Grande</f>
        <v>7297113133.25979</v>
      </c>
      <c r="BK36" s="37" t="n">
        <f aca="false">BK14*Spend_Dom_Petite+BK15*Spend_Dom_Moyenne+BK16*Spend_Dom_Grande</f>
        <v>7558953697.47485</v>
      </c>
      <c r="BL36" s="37" t="n">
        <f aca="false">BL14*Spend_Dom_Petite+BL15*Spend_Dom_Moyenne+BL16*Spend_Dom_Grande</f>
        <v>7824320386.97889</v>
      </c>
    </row>
    <row r="37" customFormat="false" ht="15" hidden="false" customHeight="false" outlineLevel="0" collapsed="false">
      <c r="A37" s="12" t="s">
        <v>777</v>
      </c>
      <c r="B37" s="14" t="s">
        <v>71</v>
      </c>
      <c r="D37" s="55" t="n">
        <f aca="false">SUM(E37:BL37)</f>
        <v>209658988069.43</v>
      </c>
      <c r="E37" s="37" t="n">
        <f aca="false">E14*Spend_For_Petite+E15*Spend_For_Moyenne+E16*Spend_For_Grande</f>
        <v>0</v>
      </c>
      <c r="F37" s="37" t="n">
        <f aca="false">F14*Spend_For_Petite+F15*Spend_For_Moyenne+F16*Spend_For_Grande</f>
        <v>0</v>
      </c>
      <c r="G37" s="37" t="n">
        <f aca="false">G14*Spend_For_Petite+G15*Spend_For_Moyenne+G16*Spend_For_Grande</f>
        <v>0</v>
      </c>
      <c r="H37" s="37" t="n">
        <f aca="false">H14*Spend_For_Petite+H15*Spend_For_Moyenne+H16*Spend_For_Grande</f>
        <v>0</v>
      </c>
      <c r="I37" s="37" t="n">
        <f aca="false">I14*Spend_For_Petite+I15*Spend_For_Moyenne+I16*Spend_For_Grande</f>
        <v>51145333.3333333</v>
      </c>
      <c r="J37" s="37" t="n">
        <f aca="false">J14*Spend_For_Petite+J15*Spend_For_Moyenne+J16*Spend_For_Grande</f>
        <v>102208336.666667</v>
      </c>
      <c r="K37" s="37" t="n">
        <f aca="false">K14*Spend_For_Petite+K15*Spend_For_Moyenne+K16*Spend_For_Grande</f>
        <v>153223116.475</v>
      </c>
      <c r="L37" s="37" t="n">
        <f aca="false">L14*Spend_For_Petite+L15*Spend_For_Moyenne+L16*Spend_For_Grande</f>
        <v>204225272.652271</v>
      </c>
      <c r="M37" s="37" t="n">
        <f aca="false">M14*Spend_For_Petite+M15*Spend_For_Moyenne+M16*Spend_For_Grande</f>
        <v>255251996.864393</v>
      </c>
      <c r="N37" s="37" t="n">
        <f aca="false">N14*Spend_For_Petite+N15*Spend_For_Moyenne+N16*Spend_For_Grande</f>
        <v>306342176.653381</v>
      </c>
      <c r="O37" s="37" t="n">
        <f aca="false">O14*Spend_For_Petite+O15*Spend_For_Moyenne+O16*Spend_For_Grande</f>
        <v>357536505.640338</v>
      </c>
      <c r="P37" s="37" t="n">
        <f aca="false">P14*Spend_For_Petite+P15*Spend_For_Moyenne+P16*Spend_For_Grande</f>
        <v>408877600.195925</v>
      </c>
      <c r="Q37" s="37" t="n">
        <f aca="false">Q14*Spend_For_Petite+Q15*Spend_For_Moyenne+Q16*Spend_For_Grande</f>
        <v>475955456.302296</v>
      </c>
      <c r="R37" s="37" t="n">
        <f aca="false">R14*Spend_For_Petite+R15*Spend_For_Moyenne+R16*Spend_For_Grande</f>
        <v>543084250.353904</v>
      </c>
      <c r="S37" s="37" t="n">
        <f aca="false">S14*Spend_For_Petite+S15*Spend_For_Moyenne+S16*Spend_For_Grande</f>
        <v>610315721.644362</v>
      </c>
      <c r="T37" s="37" t="n">
        <f aca="false">T14*Spend_For_Petite+T15*Spend_For_Moyenne+T16*Spend_For_Grande</f>
        <v>677704031.73385</v>
      </c>
      <c r="U37" s="37" t="n">
        <f aca="false">U14*Spend_For_Petite+U15*Spend_For_Moyenne+U16*Spend_For_Grande</f>
        <v>745305920.482261</v>
      </c>
      <c r="V37" s="37" t="n">
        <f aca="false">V14*Spend_For_Petite+V15*Spend_For_Moyenne+V16*Spend_For_Grande</f>
        <v>813180871.261955</v>
      </c>
      <c r="W37" s="37" t="n">
        <f aca="false">W14*Spend_For_Petite+W15*Spend_For_Moyenne+W16*Spend_For_Grande</f>
        <v>927196619.237514</v>
      </c>
      <c r="X37" s="37" t="n">
        <f aca="false">X14*Spend_For_Petite+X15*Spend_For_Moyenne+X16*Spend_For_Grande</f>
        <v>1041381756.63309</v>
      </c>
      <c r="Y37" s="37" t="n">
        <f aca="false">Y14*Spend_For_Petite+Y15*Spend_For_Moyenne+Y16*Spend_For_Grande</f>
        <v>1155828065.79311</v>
      </c>
      <c r="Z37" s="37" t="n">
        <f aca="false">Z14*Spend_For_Petite+Z15*Spend_For_Moyenne+Z16*Spend_For_Grande</f>
        <v>1270631693.95132</v>
      </c>
      <c r="AA37" s="37" t="n">
        <f aca="false">AA14*Spend_For_Petite+AA15*Spend_For_Moyenne+AA16*Spend_For_Grande</f>
        <v>1385893433.016</v>
      </c>
      <c r="AB37" s="37" t="n">
        <f aca="false">AB14*Spend_For_Petite+AB15*Spend_For_Moyenne+AB16*Spend_For_Grande</f>
        <v>1510619015.83748</v>
      </c>
      <c r="AC37" s="37" t="n">
        <f aca="false">AC14*Spend_For_Petite+AC15*Spend_For_Moyenne+AC16*Spend_For_Grande</f>
        <v>1667121513.28566</v>
      </c>
      <c r="AD37" s="37" t="n">
        <f aca="false">AD14*Spend_For_Petite+AD15*Spend_For_Moyenne+AD16*Spend_For_Grande</f>
        <v>1823933555.89999</v>
      </c>
      <c r="AE37" s="37" t="n">
        <f aca="false">AE14*Spend_For_Petite+AE15*Spend_For_Moyenne+AE16*Spend_For_Grande</f>
        <v>1981184301.20451</v>
      </c>
      <c r="AF37" s="37" t="n">
        <f aca="false">AF14*Spend_For_Petite+AF15*Spend_For_Moyenne+AF16*Spend_For_Grande</f>
        <v>2147909115.51114</v>
      </c>
      <c r="AG37" s="37" t="n">
        <f aca="false">AG14*Spend_For_Petite+AG15*Spend_For_Moyenne+AG16*Spend_For_Grande</f>
        <v>2315242720.49838</v>
      </c>
      <c r="AH37" s="37" t="n">
        <f aca="false">AH14*Spend_For_Petite+AH15*Spend_For_Moyenne+AH16*Spend_For_Grande</f>
        <v>2483335592.55108</v>
      </c>
      <c r="AI37" s="37" t="n">
        <f aca="false">AI14*Spend_For_Petite+AI15*Spend_For_Moyenne+AI16*Spend_For_Grande</f>
        <v>2652345655.23882</v>
      </c>
      <c r="AJ37" s="37" t="n">
        <f aca="false">AJ14*Spend_For_Petite+AJ15*Spend_For_Moyenne+AJ16*Spend_For_Grande</f>
        <v>2831338750.75574</v>
      </c>
      <c r="AK37" s="37" t="n">
        <f aca="false">AK14*Spend_For_Petite+AK15*Spend_For_Moyenne+AK16*Spend_For_Grande</f>
        <v>3011481889.22952</v>
      </c>
      <c r="AL37" s="37" t="n">
        <f aca="false">AL14*Spend_For_Petite+AL15*Spend_For_Moyenne+AL16*Spend_For_Grande</f>
        <v>3192959756.95421</v>
      </c>
      <c r="AM37" s="37" t="n">
        <f aca="false">AM14*Spend_For_Petite+AM15*Spend_For_Moyenne+AM16*Spend_For_Grande</f>
        <v>3384866524.29442</v>
      </c>
      <c r="AN37" s="37" t="n">
        <f aca="false">AN14*Spend_For_Petite+AN15*Spend_For_Moyenne+AN16*Spend_For_Grande</f>
        <v>3586409189.4754</v>
      </c>
      <c r="AO37" s="37" t="n">
        <f aca="false">AO14*Spend_For_Petite+AO15*Spend_For_Moyenne+AO16*Spend_For_Grande</f>
        <v>3805242995.29064</v>
      </c>
      <c r="AP37" s="37" t="n">
        <f aca="false">AP14*Spend_For_Petite+AP15*Spend_For_Moyenne+AP16*Spend_For_Grande</f>
        <v>4034764394.58522</v>
      </c>
      <c r="AQ37" s="37" t="n">
        <f aca="false">AQ14*Spend_For_Petite+AQ15*Spend_For_Moyenne+AQ16*Spend_For_Grande</f>
        <v>4266209873.46823</v>
      </c>
      <c r="AR37" s="37" t="n">
        <f aca="false">AR14*Spend_For_Petite+AR15*Spend_For_Moyenne+AR16*Spend_For_Grande</f>
        <v>4508737391.95864</v>
      </c>
      <c r="AS37" s="37" t="n">
        <f aca="false">AS14*Spend_For_Petite+AS15*Spend_For_Moyenne+AS16*Spend_For_Grande</f>
        <v>4752300632.64103</v>
      </c>
      <c r="AT37" s="37" t="n">
        <f aca="false">AT14*Spend_For_Petite+AT15*Spend_For_Moyenne+AT16*Spend_For_Grande</f>
        <v>5011072609.90357</v>
      </c>
      <c r="AU37" s="37" t="n">
        <f aca="false">AU14*Spend_For_Petite+AU15*Spend_For_Moyenne+AU16*Spend_For_Grande</f>
        <v>5268033256.83433</v>
      </c>
      <c r="AV37" s="37" t="n">
        <f aca="false">AV14*Spend_For_Petite+AV15*Spend_For_Moyenne+AV16*Spend_For_Grande</f>
        <v>5523282025.4286</v>
      </c>
      <c r="AW37" s="37" t="n">
        <f aca="false">AW14*Spend_For_Petite+AW15*Spend_For_Moyenne+AW16*Spend_For_Grande</f>
        <v>5785821474.73535</v>
      </c>
      <c r="AX37" s="37" t="n">
        <f aca="false">AX14*Spend_For_Petite+AX15*Spend_For_Moyenne+AX16*Spend_For_Grande</f>
        <v>6046750251.42605</v>
      </c>
      <c r="AY37" s="37" t="n">
        <f aca="false">AY14*Spend_For_Petite+AY15*Spend_For_Moyenne+AY16*Spend_For_Grande</f>
        <v>6323089312.82881</v>
      </c>
      <c r="AZ37" s="37" t="n">
        <f aca="false">AZ14*Spend_For_Petite+AZ15*Spend_For_Moyenne+AZ16*Spend_For_Grande</f>
        <v>6597839657.19353</v>
      </c>
      <c r="BA37" s="37" t="n">
        <f aca="false">BA14*Spend_For_Petite+BA15*Spend_For_Moyenne+BA16*Spend_For_Grande</f>
        <v>6895686957.17485</v>
      </c>
      <c r="BB37" s="37" t="n">
        <f aca="false">BB14*Spend_For_Petite+BB15*Spend_For_Moyenne+BB16*Spend_For_Grande</f>
        <v>7191897208.79047</v>
      </c>
      <c r="BC37" s="37" t="n">
        <f aca="false">BC14*Spend_For_Petite+BC15*Spend_For_Moyenne+BC16*Spend_For_Grande</f>
        <v>7495505140.10322</v>
      </c>
      <c r="BD37" s="37" t="n">
        <f aca="false">BD14*Spend_For_Petite+BD15*Spend_For_Moyenne+BD16*Spend_For_Grande</f>
        <v>7805653128.09776</v>
      </c>
      <c r="BE37" s="37" t="n">
        <f aca="false">BE14*Spend_For_Petite+BE15*Spend_For_Moyenne+BE16*Spend_For_Grande</f>
        <v>8123280995.93914</v>
      </c>
      <c r="BF37" s="37" t="n">
        <f aca="false">BF14*Spend_For_Petite+BF15*Spend_For_Moyenne+BF16*Spend_For_Grande</f>
        <v>8439534754.76179</v>
      </c>
      <c r="BG37" s="37" t="n">
        <f aca="false">BG14*Spend_For_Petite+BG15*Spend_For_Moyenne+BG16*Spend_For_Grande</f>
        <v>8771485089.96177</v>
      </c>
      <c r="BH37" s="37" t="n">
        <f aca="false">BH14*Spend_For_Petite+BH15*Spend_For_Moyenne+BH16*Spend_For_Grande</f>
        <v>9102185240.44907</v>
      </c>
      <c r="BI37" s="37" t="n">
        <f aca="false">BI14*Spend_For_Petite+BI15*Spend_For_Moyenne+BI16*Spend_For_Grande</f>
        <v>9440711789.9385</v>
      </c>
      <c r="BJ37" s="37" t="n">
        <f aca="false">BJ14*Spend_For_Petite+BJ15*Spend_For_Moyenne+BJ16*Spend_For_Grande</f>
        <v>9778241243.06854</v>
      </c>
      <c r="BK37" s="37" t="n">
        <f aca="false">BK14*Spend_For_Petite+BK15*Spend_For_Moyenne+BK16*Spend_For_Grande</f>
        <v>10130350753.675</v>
      </c>
      <c r="BL37" s="37" t="n">
        <f aca="false">BL14*Spend_For_Petite+BL15*Spend_For_Moyenne+BL16*Spend_For_Grande</f>
        <v>10487276151.549</v>
      </c>
    </row>
    <row r="38" customFormat="false" ht="15" hidden="false" customHeight="false" outlineLevel="0" collapsed="false">
      <c r="A38" s="12" t="s">
        <v>778</v>
      </c>
      <c r="B38" s="14" t="s">
        <v>71</v>
      </c>
      <c r="D38" s="55" t="n">
        <f aca="false">BL38</f>
        <v>104208634930.665</v>
      </c>
      <c r="E38" s="37" t="n">
        <f aca="false">E14*Balance_Petite+E15*Balance_Moyenne+E16*Balance_Grande</f>
        <v>0</v>
      </c>
      <c r="F38" s="37" t="n">
        <f aca="false">F14*Balance_Petite+F15*Balance_Moyenne+F16*Balance_Grande</f>
        <v>0</v>
      </c>
      <c r="G38" s="37" t="n">
        <f aca="false">G14*Balance_Petite+G15*Balance_Moyenne+G16*Balance_Grande</f>
        <v>0</v>
      </c>
      <c r="H38" s="37" t="n">
        <f aca="false">H14*Balance_Petite+H15*Balance_Moyenne+H16*Balance_Grande</f>
        <v>0</v>
      </c>
      <c r="I38" s="37" t="n">
        <f aca="false">I14*Balance_Petite+I15*Balance_Moyenne+I16*Balance_Grande</f>
        <v>505706666.666667</v>
      </c>
      <c r="J38" s="37" t="n">
        <f aca="false">J14*Balance_Petite+J15*Balance_Moyenne+J16*Balance_Grande</f>
        <v>1010745533.33333</v>
      </c>
      <c r="K38" s="37" t="n">
        <f aca="false">K14*Balance_Petite+K15*Balance_Moyenne+K16*Balance_Grande</f>
        <v>1515452543.5</v>
      </c>
      <c r="L38" s="37" t="n">
        <f aca="false">L14*Balance_Petite+L15*Balance_Moyenne+L16*Balance_Grande</f>
        <v>2020178509.70292</v>
      </c>
      <c r="M38" s="37" t="n">
        <f aca="false">M14*Balance_Petite+M15*Balance_Moyenne+M16*Balance_Grande</f>
        <v>2525290089.64816</v>
      </c>
      <c r="N38" s="37" t="n">
        <f aca="false">N14*Balance_Petite+N15*Balance_Moyenne+N16*Balance_Grande</f>
        <v>3031170819.45926</v>
      </c>
      <c r="O38" s="37" t="n">
        <f aca="false">O14*Balance_Petite+O15*Balance_Moyenne+O16*Balance_Grande</f>
        <v>3538222207.49241</v>
      </c>
      <c r="P38" s="37" t="n">
        <f aca="false">P14*Balance_Petite+P15*Balance_Moyenne+P16*Balance_Grande</f>
        <v>4046864892.37927</v>
      </c>
      <c r="Q38" s="37" t="n">
        <f aca="false">Q14*Balance_Petite+Q15*Balance_Moyenne+Q16*Balance_Grande</f>
        <v>4711246535.84342</v>
      </c>
      <c r="R38" s="37" t="n">
        <f aca="false">R14*Balance_Petite+R15*Balance_Moyenne+R16*Balance_Grande</f>
        <v>5376315321.06863</v>
      </c>
      <c r="S38" s="37" t="n">
        <f aca="false">S14*Balance_Petite+S15*Balance_Moyenne+S16*Balance_Grande</f>
        <v>6042581621.14328</v>
      </c>
      <c r="T38" s="37" t="n">
        <f aca="false">T14*Balance_Petite+T15*Balance_Moyenne+T16*Balance_Grande</f>
        <v>6710579911.69441</v>
      </c>
      <c r="U38" s="37" t="n">
        <f aca="false">U14*Balance_Petite+U15*Balance_Moyenne+U16*Balance_Grande</f>
        <v>7380870319.64831</v>
      </c>
      <c r="V38" s="37" t="n">
        <f aca="false">V14*Balance_Petite+V15*Balance_Moyenne+V16*Balance_Grande</f>
        <v>8054040263.15196</v>
      </c>
      <c r="W38" s="37" t="n">
        <f aca="false">W14*Balance_Petite+W15*Balance_Moyenne+W16*Balance_Grande</f>
        <v>9183612854.82371</v>
      </c>
      <c r="X38" s="37" t="n">
        <f aca="false">X14*Balance_Petite+X15*Balance_Moyenne+X16*Balance_Grande</f>
        <v>10315169940.8313</v>
      </c>
      <c r="Y38" s="37" t="n">
        <f aca="false">Y14*Balance_Petite+Y15*Balance_Moyenne+Y16*Balance_Grande</f>
        <v>11449617229.6445</v>
      </c>
      <c r="Z38" s="37" t="n">
        <f aca="false">Z14*Balance_Petite+Z15*Balance_Moyenne+Z16*Balance_Grande</f>
        <v>12587903855.9637</v>
      </c>
      <c r="AA38" s="37" t="n">
        <f aca="false">AA14*Balance_Petite+AA15*Balance_Moyenne+AA16*Balance_Grande</f>
        <v>13731025157.8979</v>
      </c>
      <c r="AB38" s="37" t="n">
        <f aca="false">AB14*Balance_Petite+AB15*Balance_Moyenne+AB16*Balance_Grande</f>
        <v>14968025617.8243</v>
      </c>
      <c r="AC38" s="37" t="n">
        <f aca="false">AC14*Balance_Petite+AC15*Balance_Moyenne+AC16*Balance_Grande</f>
        <v>16519553643.4706</v>
      </c>
      <c r="AD38" s="37" t="n">
        <f aca="false">AD14*Balance_Petite+AD15*Balance_Moyenne+AD16*Balance_Grande</f>
        <v>18074559603.8527</v>
      </c>
      <c r="AE38" s="37" t="n">
        <f aca="false">AE14*Balance_Petite+AE15*Balance_Moyenne+AE16*Balance_Grande</f>
        <v>19634318341.3585</v>
      </c>
      <c r="AF38" s="37" t="n">
        <f aca="false">AF14*Balance_Petite+AF15*Balance_Moyenne+AF16*Balance_Grande</f>
        <v>21288166464.1425</v>
      </c>
      <c r="AG38" s="37" t="n">
        <f aca="false">AG14*Balance_Petite+AG15*Balance_Moyenne+AG16*Balance_Grande</f>
        <v>22948471282.6689</v>
      </c>
      <c r="AH38" s="37" t="n">
        <f aca="false">AH14*Balance_Petite+AH15*Balance_Moyenne+AH16*Balance_Grande</f>
        <v>24616719115.9946</v>
      </c>
      <c r="AI38" s="37" t="n">
        <f aca="false">AI14*Balance_Petite+AI15*Balance_Moyenne+AI16*Balance_Grande</f>
        <v>26294470349.8303</v>
      </c>
      <c r="AJ38" s="37" t="n">
        <f aca="false">AJ14*Balance_Petite+AJ15*Balance_Moyenne+AJ16*Balance_Grande</f>
        <v>28071364116.4002</v>
      </c>
      <c r="AK38" s="37" t="n">
        <f aca="false">AK14*Balance_Petite+AK15*Balance_Moyenne+AK16*Balance_Grande</f>
        <v>29860088251.0608</v>
      </c>
      <c r="AL38" s="37" t="n">
        <f aca="false">AL14*Balance_Petite+AL15*Balance_Moyenne+AL16*Balance_Grande</f>
        <v>31662468679.8561</v>
      </c>
      <c r="AM38" s="37" t="n">
        <f aca="false">AM14*Balance_Petite+AM15*Balance_Moyenne+AM16*Balance_Grande</f>
        <v>33568425623.7203</v>
      </c>
      <c r="AN38" s="37" t="n">
        <f aca="false">AN14*Balance_Petite+AN15*Balance_Moyenne+AN16*Balance_Grande</f>
        <v>35570144493.2402</v>
      </c>
      <c r="AO38" s="37" t="n">
        <f aca="false">AO14*Balance_Petite+AO15*Balance_Moyenne+AO16*Balance_Grande</f>
        <v>37743341437.2294</v>
      </c>
      <c r="AP38" s="37" t="n">
        <f aca="false">AP14*Balance_Petite+AP15*Balance_Moyenne+AP16*Balance_Grande</f>
        <v>40022768524.6152</v>
      </c>
      <c r="AQ38" s="37" t="n">
        <f aca="false">AQ14*Balance_Petite+AQ15*Balance_Moyenne+AQ16*Balance_Grande</f>
        <v>42321801628.5208</v>
      </c>
      <c r="AR38" s="37" t="n">
        <f aca="false">AR14*Balance_Petite+AR15*Balance_Moyenne+AR16*Balance_Grande</f>
        <v>44730992452.0742</v>
      </c>
      <c r="AS38" s="37" t="n">
        <f aca="false">AS14*Balance_Petite+AS15*Balance_Moyenne+AS16*Balance_Grande</f>
        <v>47151033875.4009</v>
      </c>
      <c r="AT38" s="37" t="n">
        <f aca="false">AT14*Balance_Petite+AT15*Balance_Moyenne+AT16*Balance_Grande</f>
        <v>49722061888.0907</v>
      </c>
      <c r="AU38" s="37" t="n">
        <f aca="false">AU14*Balance_Petite+AU15*Balance_Moyenne+AU16*Balance_Grande</f>
        <v>52275827034.7957</v>
      </c>
      <c r="AV38" s="37" t="n">
        <f aca="false">AV14*Balance_Petite+AV15*Balance_Moyenne+AV16*Balance_Grande</f>
        <v>54813302547.3576</v>
      </c>
      <c r="AW38" s="37" t="n">
        <f aca="false">AW14*Balance_Petite+AW15*Balance_Moyenne+AW16*Balance_Grande</f>
        <v>57423492723.5357</v>
      </c>
      <c r="AX38" s="37" t="n">
        <f aca="false">AX14*Balance_Petite+AX15*Balance_Moyenne+AX16*Balance_Grande</f>
        <v>60018400213.7439</v>
      </c>
      <c r="AY38" s="37" t="n">
        <f aca="false">AY14*Balance_Petite+AY15*Balance_Moyenne+AY16*Balance_Grande</f>
        <v>62766312575.3082</v>
      </c>
      <c r="AZ38" s="37" t="n">
        <f aca="false">AZ14*Balance_Petite+AZ15*Balance_Moyenne+AZ16*Balance_Grande</f>
        <v>65499188970.2047</v>
      </c>
      <c r="BA38" s="37" t="n">
        <f aca="false">BA14*Balance_Petite+BA15*Balance_Moyenne+BA16*Balance_Grande</f>
        <v>68461102731.1108</v>
      </c>
      <c r="BB38" s="37" t="n">
        <f aca="false">BB14*Balance_Petite+BB15*Balance_Moyenne+BB16*Balance_Grande</f>
        <v>71407553843.1592</v>
      </c>
      <c r="BC38" s="37" t="n">
        <f aca="false">BC14*Balance_Petite+BC15*Balance_Moyenne+BC16*Balance_Grande</f>
        <v>74427864195.1693</v>
      </c>
      <c r="BD38" s="37" t="n">
        <f aca="false">BD14*Balance_Petite+BD15*Balance_Moyenne+BD16*Balance_Grande</f>
        <v>77513569560.6531</v>
      </c>
      <c r="BE38" s="37" t="n">
        <f aca="false">BE14*Balance_Petite+BE15*Balance_Moyenne+BE16*Balance_Grande</f>
        <v>80673975636.9864</v>
      </c>
      <c r="BF38" s="37" t="n">
        <f aca="false">BF14*Balance_Petite+BF15*Balance_Moyenne+BF16*Balance_Grande</f>
        <v>83821553010.024</v>
      </c>
      <c r="BG38" s="37" t="n">
        <f aca="false">BG14*Balance_Petite+BG15*Balance_Moyenne+BG16*Balance_Grande</f>
        <v>87125080679.9766</v>
      </c>
      <c r="BH38" s="37" t="n">
        <f aca="false">BH14*Balance_Petite+BH15*Balance_Moyenne+BH16*Balance_Grande</f>
        <v>90417034238.0886</v>
      </c>
      <c r="BI38" s="37" t="n">
        <f aca="false">BI14*Balance_Petite+BI15*Balance_Moyenne+BI16*Balance_Grande</f>
        <v>93787149999.227</v>
      </c>
      <c r="BJ38" s="37" t="n">
        <f aca="false">BJ14*Balance_Petite+BJ15*Balance_Moyenne+BJ16*Balance_Grande</f>
        <v>97148200743.0481</v>
      </c>
      <c r="BK38" s="37" t="n">
        <f aca="false">BK14*Balance_Petite+BK15*Balance_Moyenne+BK16*Balance_Grande</f>
        <v>100654198734.029</v>
      </c>
      <c r="BL38" s="37" t="n">
        <f aca="false">BL14*Balance_Petite+BL15*Balance_Moyenne+BL16*Balance_Grande</f>
        <v>104208634930.665</v>
      </c>
    </row>
    <row r="39" customFormat="false" ht="15" hidden="false" customHeight="false" outlineLevel="0" collapsed="false">
      <c r="A39" s="12" t="s">
        <v>779</v>
      </c>
      <c r="B39" s="14" t="s">
        <v>71</v>
      </c>
      <c r="D39" s="55" t="n">
        <f aca="false">SUM(E39:BL39)</f>
        <v>1076121636391.93</v>
      </c>
      <c r="E39" s="37" t="n">
        <f aca="false">E31*Avg_Salary</f>
        <v>0</v>
      </c>
      <c r="F39" s="37" t="n">
        <f aca="false">F31*Avg_Salary</f>
        <v>0</v>
      </c>
      <c r="G39" s="37" t="n">
        <f aca="false">G31*Avg_Salary</f>
        <v>0</v>
      </c>
      <c r="H39" s="37" t="n">
        <f aca="false">H31*Avg_Salary</f>
        <v>0</v>
      </c>
      <c r="I39" s="37" t="n">
        <f aca="false">I31*Avg_Salary</f>
        <v>258600000</v>
      </c>
      <c r="J39" s="37" t="n">
        <f aca="false">J31*Avg_Salary</f>
        <v>517098500</v>
      </c>
      <c r="K39" s="37" t="n">
        <f aca="false">K31*Avg_Salary</f>
        <v>775663268.75</v>
      </c>
      <c r="L39" s="37" t="n">
        <f aca="false">L31*Avg_Salary</f>
        <v>1034469903.24063</v>
      </c>
      <c r="M39" s="37" t="n">
        <f aca="false">M31*Avg_Salary</f>
        <v>1293702331.35299</v>
      </c>
      <c r="N39" s="37" t="n">
        <f aca="false">N31*Avg_Salary</f>
        <v>1553553344.12832</v>
      </c>
      <c r="O39" s="37" t="n">
        <f aca="false">O31*Avg_Salary</f>
        <v>1814225159.44398</v>
      </c>
      <c r="P39" s="37" t="n">
        <f aca="false">P31*Avg_Salary</f>
        <v>2075930018.98963</v>
      </c>
      <c r="Q39" s="37" t="n">
        <f aca="false">Q31*Avg_Salary</f>
        <v>2417490820.5507</v>
      </c>
      <c r="R39" s="37" t="n">
        <f aca="false">R31*Avg_Salary</f>
        <v>2759690287.7265</v>
      </c>
      <c r="S39" s="37" t="n">
        <f aca="false">S31*Avg_Salary</f>
        <v>3102785323.08798</v>
      </c>
      <c r="T39" s="37" t="n">
        <f aca="false">T31*Avg_Salary</f>
        <v>3447045463.21822</v>
      </c>
      <c r="U39" s="37" t="n">
        <f aca="false">U31*Avg_Salary</f>
        <v>3792753677.26175</v>
      </c>
      <c r="V39" s="37" t="n">
        <f aca="false">V31*Avg_Salary</f>
        <v>4140207212.72931</v>
      </c>
      <c r="W39" s="37" t="n">
        <f aca="false">W31*Avg_Salary</f>
        <v>4721318491.40503</v>
      </c>
      <c r="X39" s="37" t="n">
        <f aca="false">X31*Avg_Salary</f>
        <v>5303927058.37321</v>
      </c>
      <c r="Y39" s="37" t="n">
        <f aca="false">Y31*Avg_Salary</f>
        <v>5888489599.86326</v>
      </c>
      <c r="Z39" s="37" t="n">
        <f aca="false">Z31*Avg_Salary</f>
        <v>6475485544.24624</v>
      </c>
      <c r="AA39" s="37" t="n">
        <f aca="false">AA31*Avg_Salary</f>
        <v>7065418494.36066</v>
      </c>
      <c r="AB39" s="37" t="n">
        <f aca="false">AB31*Avg_Salary</f>
        <v>7703817744.67836</v>
      </c>
      <c r="AC39" s="37" t="n">
        <f aca="false">AC31*Avg_Salary</f>
        <v>8503552388.42035</v>
      </c>
      <c r="AD39" s="37" t="n">
        <f aca="false">AD31*Avg_Salary</f>
        <v>9305704613.7883</v>
      </c>
      <c r="AE39" s="37" t="n">
        <f aca="false">AE31*Avg_Salary</f>
        <v>10110918195.1304</v>
      </c>
      <c r="AF39" s="37" t="n">
        <f aca="false">AF31*Avg_Salary</f>
        <v>10964869229.8127</v>
      </c>
      <c r="AG39" s="37" t="n">
        <f aca="false">AG31*Avg_Salary</f>
        <v>11822780668.9321</v>
      </c>
      <c r="AH39" s="37" t="n">
        <f aca="false">AH31*Avg_Salary</f>
        <v>12685405562.1468</v>
      </c>
      <c r="AI39" s="37" t="n">
        <f aca="false">AI31*Avg_Salary</f>
        <v>13553535655.1985</v>
      </c>
      <c r="AJ39" s="37" t="n">
        <f aca="false">AJ31*Avg_Salary</f>
        <v>14473003805.3057</v>
      </c>
      <c r="AK39" s="37" t="n">
        <f aca="false">AK31*Avg_Salary</f>
        <v>15399199039.9723</v>
      </c>
      <c r="AL39" s="37" t="n">
        <f aca="false">AL31*Avg_Salary</f>
        <v>16333050361.5916</v>
      </c>
      <c r="AM39" s="37" t="n">
        <f aca="false">AM31*Avg_Salary</f>
        <v>17320535938.3236</v>
      </c>
      <c r="AN39" s="37" t="n">
        <f aca="false">AN31*Avg_Salary</f>
        <v>18357698648.4382</v>
      </c>
      <c r="AO39" s="37" t="n">
        <f aca="false">AO31*Avg_Salary</f>
        <v>19483291649.5532</v>
      </c>
      <c r="AP39" s="37" t="n">
        <f aca="false">AP31*Avg_Salary</f>
        <v>20664019599.3674</v>
      </c>
      <c r="AQ39" s="37" t="n">
        <f aca="false">AQ31*Avg_Salary</f>
        <v>21855624108.8764</v>
      </c>
      <c r="AR39" s="37" t="n">
        <f aca="false">AR31*Avg_Salary</f>
        <v>23104406379.2633</v>
      </c>
      <c r="AS39" s="37" t="n">
        <f aca="false">AS31*Avg_Salary</f>
        <v>24359623751.5295</v>
      </c>
      <c r="AT39" s="37" t="n">
        <f aca="false">AT31*Avg_Salary</f>
        <v>25692928339.8424</v>
      </c>
      <c r="AU39" s="37" t="n">
        <f aca="false">AU31*Avg_Salary</f>
        <v>27018341797.1544</v>
      </c>
      <c r="AV39" s="37" t="n">
        <f aca="false">AV31*Avg_Salary</f>
        <v>28336339370.0355</v>
      </c>
      <c r="AW39" s="37" t="n">
        <f aca="false">AW31*Avg_Salary</f>
        <v>29692413009.0787</v>
      </c>
      <c r="AX39" s="37" t="n">
        <f aca="false">AX31*Avg_Salary</f>
        <v>31041585039.9367</v>
      </c>
      <c r="AY39" s="37" t="n">
        <f aca="false">AY31*Avg_Salary</f>
        <v>32469890495.673</v>
      </c>
      <c r="AZ39" s="37" t="n">
        <f aca="false">AZ31*Avg_Salary</f>
        <v>33891458495.853</v>
      </c>
      <c r="BA39" s="37" t="n">
        <f aca="false">BA31*Avg_Salary</f>
        <v>35431077712.345</v>
      </c>
      <c r="BB39" s="37" t="n">
        <f aca="false">BB31*Avg_Salary</f>
        <v>36963814343.3598</v>
      </c>
      <c r="BC39" s="37" t="n">
        <f aca="false">BC31*Avg_Salary</f>
        <v>38535321488.6033</v>
      </c>
      <c r="BD39" s="37" t="n">
        <f aca="false">BD31*Avg_Salary</f>
        <v>40141290736.244</v>
      </c>
      <c r="BE39" s="37" t="n">
        <f aca="false">BE31*Avg_Salary</f>
        <v>41786496253.6194</v>
      </c>
      <c r="BF39" s="37" t="n">
        <f aca="false">BF31*Avg_Salary</f>
        <v>43426198439.2241</v>
      </c>
      <c r="BG39" s="37" t="n">
        <f aca="false">BG31*Avg_Salary</f>
        <v>45146682661.5816</v>
      </c>
      <c r="BH39" s="37" t="n">
        <f aca="false">BH31*Avg_Salary</f>
        <v>46862341402.0083</v>
      </c>
      <c r="BI39" s="37" t="n">
        <f aca="false">BI31*Avg_Salary</f>
        <v>48619040529.4709</v>
      </c>
      <c r="BJ39" s="37" t="n">
        <f aca="false">BJ31*Avg_Salary</f>
        <v>50372196131.8001</v>
      </c>
      <c r="BK39" s="37" t="n">
        <f aca="false">BK31*Avg_Salary</f>
        <v>52200543689.7251</v>
      </c>
      <c r="BL39" s="37" t="n">
        <f aca="false">BL31*Avg_Salary</f>
        <v>54054784617.3139</v>
      </c>
    </row>
    <row r="40" customFormat="false" ht="15" hidden="false" customHeight="false" outlineLevel="0" collapsed="false">
      <c r="A40" s="12" t="s">
        <v>557</v>
      </c>
      <c r="B40" s="14" t="s">
        <v>235</v>
      </c>
      <c r="D40" s="55" t="n">
        <f aca="false">SUM(E40:BL40)</f>
        <v>7818829.13451323</v>
      </c>
      <c r="E40" s="37" t="n">
        <f aca="false">E14*Supplier_Petite+E15*Supplier_Moyenne+E16*Supplier_Grande</f>
        <v>0</v>
      </c>
      <c r="F40" s="37" t="n">
        <f aca="false">F14*Supplier_Petite+F15*Supplier_Moyenne+F16*Supplier_Grande</f>
        <v>0</v>
      </c>
      <c r="G40" s="37" t="n">
        <f aca="false">G14*Supplier_Petite+G15*Supplier_Moyenne+G16*Supplier_Grande</f>
        <v>0</v>
      </c>
      <c r="H40" s="37" t="n">
        <f aca="false">H14*Supplier_Petite+H15*Supplier_Moyenne+H16*Supplier_Grande</f>
        <v>0</v>
      </c>
      <c r="I40" s="37" t="n">
        <f aca="false">I14*Supplier_Petite+I15*Supplier_Moyenne+I16*Supplier_Grande</f>
        <v>1896.4</v>
      </c>
      <c r="J40" s="37" t="n">
        <f aca="false">J14*Supplier_Petite+J15*Supplier_Moyenne+J16*Supplier_Grande</f>
        <v>3790.619</v>
      </c>
      <c r="K40" s="37" t="n">
        <f aca="false">K14*Supplier_Petite+K15*Supplier_Moyenne+K16*Supplier_Grande</f>
        <v>5683.9096575</v>
      </c>
      <c r="L40" s="37" t="n">
        <f aca="false">L14*Supplier_Petite+L15*Supplier_Moyenne+L16*Supplier_Grande</f>
        <v>7577.58074231875</v>
      </c>
      <c r="M40" s="37" t="n">
        <f aca="false">M14*Supplier_Petite+M15*Supplier_Moyenne+M16*Supplier_Grande</f>
        <v>9473.00079954074</v>
      </c>
      <c r="N40" s="37" t="n">
        <f aca="false">N14*Supplier_Petite+N15*Supplier_Moyenne+N16*Supplier_Grande</f>
        <v>11371.6020272021</v>
      </c>
      <c r="O40" s="37" t="n">
        <f aca="false">O14*Supplier_Petite+O15*Supplier_Moyenne+O16*Supplier_Grande</f>
        <v>13274.8843816908</v>
      </c>
      <c r="P40" s="37" t="n">
        <f aca="false">P14*Supplier_Petite+P15*Supplier_Moyenne+P16*Supplier_Grande</f>
        <v>15184.419924613</v>
      </c>
      <c r="Q40" s="37" t="n">
        <f aca="false">Q14*Supplier_Petite+Q15*Supplier_Moyenne+Q16*Supplier_Grande</f>
        <v>17678.2574257019</v>
      </c>
      <c r="R40" s="37" t="n">
        <f aca="false">R14*Supplier_Petite+R15*Supplier_Moyenne+R16*Supplier_Grande</f>
        <v>20175.0462372162</v>
      </c>
      <c r="S40" s="37" t="n">
        <f aca="false">S14*Supplier_Petite+S15*Supplier_Moyenne+S16*Supplier_Grande</f>
        <v>22676.6928637033</v>
      </c>
      <c r="T40" s="37" t="n">
        <f aca="false">T14*Supplier_Petite+T15*Supplier_Moyenne+T16*Supplier_Grande</f>
        <v>25185.1946636752</v>
      </c>
      <c r="U40" s="37" t="n">
        <f aca="false">U14*Supplier_Petite+U15*Supplier_Moyenne+U16*Supplier_Grande</f>
        <v>27702.6456634171</v>
      </c>
      <c r="V40" s="37" t="n">
        <f aca="false">V14*Supplier_Petite+V15*Supplier_Moyenne+V16*Supplier_Grande</f>
        <v>30231.2427135011</v>
      </c>
      <c r="W40" s="37" t="n">
        <f aca="false">W14*Supplier_Petite+W15*Supplier_Moyenne+W16*Supplier_Grande</f>
        <v>34471.6920086758</v>
      </c>
      <c r="X40" s="37" t="n">
        <f aca="false">X14*Supplier_Petite+X15*Supplier_Moyenne+X16*Supplier_Grande</f>
        <v>38720.2099930426</v>
      </c>
      <c r="Y40" s="37" t="n">
        <f aca="false">Y14*Supplier_Petite+Y15*Supplier_Moyenne+Y16*Supplier_Grande</f>
        <v>42980.1812187432</v>
      </c>
      <c r="Z40" s="37" t="n">
        <f aca="false">Z14*Supplier_Petite+Z15*Supplier_Moyenne+Z16*Supplier_Grande</f>
        <v>47255.1538941835</v>
      </c>
      <c r="AA40" s="37" t="n">
        <f aca="false">AA14*Supplier_Petite+AA15*Supplier_Moyenne+AA16*Supplier_Grande</f>
        <v>51548.8503099182</v>
      </c>
      <c r="AB40" s="37" t="n">
        <f aca="false">AB14*Supplier_Petite+AB15*Supplier_Moyenne+AB16*Supplier_Grande</f>
        <v>56195.177879852</v>
      </c>
      <c r="AC40" s="37" t="n">
        <f aca="false">AC14*Supplier_Petite+AC15*Supplier_Moyenne+AC16*Supplier_Grande</f>
        <v>62021.6158348594</v>
      </c>
      <c r="AD40" s="37" t="n">
        <f aca="false">AD14*Supplier_Petite+AD15*Supplier_Moyenne+AD16*Supplier_Grande</f>
        <v>67861.9157956508</v>
      </c>
      <c r="AE40" s="37" t="n">
        <f aca="false">AE14*Supplier_Petite+AE15*Supplier_Moyenne+AE16*Supplier_Grande</f>
        <v>73720.8434239078</v>
      </c>
      <c r="AF40" s="37" t="n">
        <f aca="false">AF14*Supplier_Petite+AF15*Supplier_Moyenne+AF16*Supplier_Grande</f>
        <v>79933.3971072052</v>
      </c>
      <c r="AG40" s="37" t="n">
        <f aca="false">AG14*Supplier_Petite+AG15*Supplier_Moyenne+AG16*Supplier_Grande</f>
        <v>86170.9977382158</v>
      </c>
      <c r="AH40" s="37" t="n">
        <f aca="false">AH14*Supplier_Petite+AH15*Supplier_Moyenne+AH16*Supplier_Grande</f>
        <v>92439.2055544408</v>
      </c>
      <c r="AI40" s="37" t="n">
        <f aca="false">AI14*Supplier_Petite+AI15*Supplier_Moyenne+AI16*Supplier_Grande</f>
        <v>98743.8597509347</v>
      </c>
      <c r="AJ40" s="37" t="n">
        <f aca="false">AJ14*Supplier_Petite+AJ15*Supplier_Moyenne+AJ16*Supplier_Grande</f>
        <v>105421.096052625</v>
      </c>
      <c r="AK40" s="37" t="n">
        <f aca="false">AK14*Supplier_Petite+AK15*Supplier_Moyenne+AK16*Supplier_Grande</f>
        <v>112143.540326954</v>
      </c>
      <c r="AL40" s="37" t="n">
        <f aca="false">AL14*Supplier_Petite+AL15*Supplier_Moyenne+AL16*Supplier_Grande</f>
        <v>118918.029487016</v>
      </c>
      <c r="AM40" s="37" t="n">
        <f aca="false">AM14*Supplier_Petite+AM15*Supplier_Moyenne+AM16*Supplier_Grande</f>
        <v>126081.755411455</v>
      </c>
      <c r="AN40" s="37" t="n">
        <f aca="false">AN14*Supplier_Petite+AN15*Supplier_Moyenne+AN16*Supplier_Grande</f>
        <v>133605.462082356</v>
      </c>
      <c r="AO40" s="37" t="n">
        <f aca="false">AO14*Supplier_Petite+AO15*Supplier_Moyenne+AO16*Supplier_Grande</f>
        <v>141773.127724847</v>
      </c>
      <c r="AP40" s="37" t="n">
        <f aca="false">AP14*Supplier_Petite+AP15*Supplier_Moyenne+AP16*Supplier_Grande</f>
        <v>150340.162756132</v>
      </c>
      <c r="AQ40" s="37" t="n">
        <f aca="false">AQ14*Supplier_Petite+AQ15*Supplier_Moyenne+AQ16*Supplier_Grande</f>
        <v>158981.773259956</v>
      </c>
      <c r="AR40" s="37" t="n">
        <f aca="false">AR14*Supplier_Petite+AR15*Supplier_Moyenne+AR16*Supplier_Grande</f>
        <v>168037.518321419</v>
      </c>
      <c r="AS40" s="37" t="n">
        <f aca="false">AS14*Supplier_Petite+AS15*Supplier_Moyenne+AS16*Supplier_Grande</f>
        <v>177135.044497521</v>
      </c>
      <c r="AT40" s="37" t="n">
        <f aca="false">AT14*Supplier_Petite+AT15*Supplier_Moyenne+AT16*Supplier_Grande</f>
        <v>186799.84550171</v>
      </c>
      <c r="AU40" s="37" t="n">
        <f aca="false">AU14*Supplier_Petite+AU15*Supplier_Moyenne+AU16*Supplier_Grande</f>
        <v>196401.059514551</v>
      </c>
      <c r="AV40" s="37" t="n">
        <f aca="false">AV14*Supplier_Petite+AV15*Supplier_Moyenne+AV16*Supplier_Grande</f>
        <v>205942.300694382</v>
      </c>
      <c r="AW40" s="37" t="n">
        <f aca="false">AW14*Supplier_Petite+AW15*Supplier_Moyenne+AW16*Supplier_Grande</f>
        <v>215757.301026126</v>
      </c>
      <c r="AX40" s="37" t="n">
        <f aca="false">AX14*Supplier_Petite+AX15*Supplier_Moyenne+AX16*Supplier_Grande</f>
        <v>225516.093890063</v>
      </c>
      <c r="AY40" s="37" t="n">
        <f aca="false">AY14*Supplier_Petite+AY15*Supplier_Moyenne+AY16*Supplier_Grande</f>
        <v>235849.724307223</v>
      </c>
      <c r="AZ40" s="37" t="n">
        <f aca="false">AZ14*Supplier_Petite+AZ15*Supplier_Moyenne+AZ16*Supplier_Grande</f>
        <v>246128.114051041</v>
      </c>
      <c r="BA40" s="37" t="n">
        <f aca="false">BA14*Supplier_Petite+BA15*Supplier_Moyenne+BA16*Supplier_Grande</f>
        <v>257266.504043903</v>
      </c>
      <c r="BB40" s="37" t="n">
        <f aca="false">BB14*Supplier_Petite+BB15*Supplier_Moyenne+BB16*Supplier_Grande</f>
        <v>268348.141847365</v>
      </c>
      <c r="BC40" s="37" t="n">
        <f aca="false">BC14*Supplier_Petite+BC15*Supplier_Moyenne+BC16*Supplier_Grande</f>
        <v>279707.948307548</v>
      </c>
      <c r="BD40" s="37" t="n">
        <f aca="false">BD14*Supplier_Petite+BD15*Supplier_Moyenne+BD16*Supplier_Grande</f>
        <v>291314.204155519</v>
      </c>
      <c r="BE40" s="37" t="n">
        <f aca="false">BE14*Supplier_Petite+BE15*Supplier_Moyenne+BE16*Supplier_Grande</f>
        <v>303201.82145105</v>
      </c>
      <c r="BF40" s="37" t="n">
        <f aca="false">BF14*Supplier_Petite+BF15*Supplier_Moyenne+BF16*Supplier_Grande</f>
        <v>315042.586180197</v>
      </c>
      <c r="BG40" s="37" t="n">
        <f aca="false">BG14*Supplier_Petite+BG15*Supplier_Moyenne+BG16*Supplier_Grande</f>
        <v>327469.384463644</v>
      </c>
      <c r="BH40" s="37" t="n">
        <f aca="false">BH14*Supplier_Petite+BH15*Supplier_Moyenne+BH16*Supplier_Grande</f>
        <v>339854.073222408</v>
      </c>
      <c r="BI40" s="37" t="n">
        <f aca="false">BI14*Supplier_Petite+BI15*Supplier_Moyenne+BI16*Supplier_Grande</f>
        <v>352533.128457718</v>
      </c>
      <c r="BJ40" s="37" t="n">
        <f aca="false">BJ14*Supplier_Petite+BJ15*Supplier_Moyenne+BJ16*Supplier_Grande</f>
        <v>365179.47097364</v>
      </c>
      <c r="BK40" s="37" t="n">
        <f aca="false">BK14*Supplier_Petite+BK15*Supplier_Moyenne+BK16*Supplier_Grande</f>
        <v>378370.613383432</v>
      </c>
      <c r="BL40" s="37" t="n">
        <f aca="false">BL14*Supplier_Petite+BL15*Supplier_Moyenne+BL16*Supplier_Grande</f>
        <v>391744.71251172</v>
      </c>
    </row>
    <row r="41" customFormat="false" ht="15" hidden="false" customHeight="false" outlineLevel="0" collapsed="false">
      <c r="A41" s="12" t="s">
        <v>780</v>
      </c>
      <c r="B41" s="14" t="s">
        <v>235</v>
      </c>
      <c r="D41" s="55" t="n">
        <f aca="false">SUM(E41:BL41)</f>
        <v>1346664.18487318</v>
      </c>
      <c r="E41" s="37" t="n">
        <f aca="false">E14*Overage_Petite+E15*Overage_Moyenne+E16*Overage_Grande</f>
        <v>0</v>
      </c>
      <c r="F41" s="37" t="n">
        <f aca="false">F14*Overage_Petite+F15*Overage_Moyenne+F16*Overage_Grande</f>
        <v>0</v>
      </c>
      <c r="G41" s="37" t="n">
        <f aca="false">G14*Overage_Petite+G15*Overage_Moyenne+G16*Overage_Grande</f>
        <v>0</v>
      </c>
      <c r="H41" s="37" t="n">
        <f aca="false">H14*Overage_Petite+H15*Overage_Moyenne+H16*Overage_Grande</f>
        <v>0</v>
      </c>
      <c r="I41" s="37" t="n">
        <f aca="false">I14*Overage_Petite+I15*Overage_Moyenne+I16*Overage_Grande</f>
        <v>316.066666666667</v>
      </c>
      <c r="J41" s="37" t="n">
        <f aca="false">J14*Overage_Petite+J15*Overage_Moyenne+J16*Overage_Grande</f>
        <v>632.631833333333</v>
      </c>
      <c r="K41" s="37" t="n">
        <f aca="false">K14*Overage_Petite+K15*Overage_Moyenne+K16*Overage_Grande</f>
        <v>949.89064875</v>
      </c>
      <c r="L41" s="37" t="n">
        <f aca="false">L14*Overage_Petite+L15*Overage_Moyenne+L16*Overage_Grande</f>
        <v>1268.04839695729</v>
      </c>
      <c r="M41" s="37" t="n">
        <f aca="false">M14*Overage_Petite+M15*Overage_Moyenne+M16*Overage_Grande</f>
        <v>1587.32112138545</v>
      </c>
      <c r="N41" s="37" t="n">
        <f aca="false">N14*Overage_Petite+N15*Overage_Moyenne+N16*Overage_Grande</f>
        <v>1907.93628622717</v>
      </c>
      <c r="O41" s="37" t="n">
        <f aca="false">O14*Overage_Petite+O15*Overage_Moyenne+O16*Overage_Grande</f>
        <v>2230.13347732261</v>
      </c>
      <c r="P41" s="37" t="n">
        <f aca="false">P14*Overage_Petite+P15*Overage_Moyenne+P16*Overage_Grande</f>
        <v>2554.16514492935</v>
      </c>
      <c r="Q41" s="37" t="n">
        <f aca="false">Q14*Overage_Petite+Q15*Overage_Moyenne+Q16*Overage_Grande</f>
        <v>2976.36405755875</v>
      </c>
      <c r="R41" s="37" t="n">
        <f aca="false">R14*Overage_Petite+R15*Overage_Moyenne+R16*Overage_Grande</f>
        <v>3400.0926362115</v>
      </c>
      <c r="S41" s="37" t="n">
        <f aca="false">S14*Overage_Petite+S15*Overage_Moyenne+S16*Overage_Grande</f>
        <v>3825.65486225456</v>
      </c>
      <c r="T41" s="37" t="n">
        <f aca="false">T14*Overage_Petite+T15*Overage_Moyenne+T16*Overage_Grande</f>
        <v>4253.37094337151</v>
      </c>
      <c r="U41" s="37" t="n">
        <f aca="false">U14*Overage_Petite+U15*Overage_Moyenne+U16*Overage_Grande</f>
        <v>4683.57830749894</v>
      </c>
      <c r="V41" s="37" t="n">
        <f aca="false">V14*Overage_Petite+V15*Overage_Moyenne+V16*Overage_Grande</f>
        <v>5116.6326561806</v>
      </c>
      <c r="W41" s="37" t="n">
        <f aca="false">W14*Overage_Petite+W15*Overage_Moyenne+W16*Overage_Grande</f>
        <v>5835.97574757345</v>
      </c>
      <c r="X41" s="37" t="n">
        <f aca="false">X14*Overage_Petite+X15*Overage_Moyenne+X16*Overage_Grande</f>
        <v>6558.40757955382</v>
      </c>
      <c r="Y41" s="37" t="n">
        <f aca="false">Y14*Overage_Petite+Y15*Overage_Moyenne+Y16*Overage_Grande</f>
        <v>7284.47053609874</v>
      </c>
      <c r="Z41" s="37" t="n">
        <f aca="false">Z14*Overage_Petite+Z15*Overage_Moyenne+Z16*Overage_Grande</f>
        <v>8014.73615976852</v>
      </c>
      <c r="AA41" s="37" t="n">
        <f aca="false">AA14*Overage_Petite+AA15*Overage_Moyenne+AA16*Overage_Grande</f>
        <v>8749.80693543646</v>
      </c>
      <c r="AB41" s="37" t="n">
        <f aca="false">AB14*Overage_Petite+AB15*Overage_Moyenne+AB16*Overage_Grande</f>
        <v>9545.31818067543</v>
      </c>
      <c r="AC41" s="37" t="n">
        <f aca="false">AC14*Overage_Petite+AC15*Overage_Moyenne+AC16*Overage_Grande</f>
        <v>10539.3192158714</v>
      </c>
      <c r="AD41" s="37" t="n">
        <f aca="false">AD14*Overage_Petite+AD15*Overage_Moyenne+AD16*Overage_Grande</f>
        <v>11537.9455812684</v>
      </c>
      <c r="AE41" s="37" t="n">
        <f aca="false">AE14*Overage_Petite+AE15*Overage_Moyenne+AE16*Overage_Grande</f>
        <v>12541.9642561345</v>
      </c>
      <c r="AF41" s="37" t="n">
        <f aca="false">AF14*Overage_Petite+AF15*Overage_Moyenne+AF16*Overage_Grande</f>
        <v>13607.1836069356</v>
      </c>
      <c r="AG41" s="37" t="n">
        <f aca="false">AG14*Overage_Petite+AG15*Overage_Moyenne+AG16*Overage_Grande</f>
        <v>14678.9684173122</v>
      </c>
      <c r="AH41" s="37" t="n">
        <f aca="false">AH14*Overage_Petite+AH15*Overage_Moyenne+AH16*Overage_Grande</f>
        <v>15758.2221631031</v>
      </c>
      <c r="AI41" s="37" t="n">
        <f aca="false">AI14*Overage_Petite+AI15*Overage_Moyenne+AI16*Overage_Grande</f>
        <v>16845.897714079</v>
      </c>
      <c r="AJ41" s="37" t="n">
        <f aca="false">AJ14*Overage_Petite+AJ15*Overage_Moyenne+AJ16*Overage_Grande</f>
        <v>17998.000346101</v>
      </c>
      <c r="AK41" s="37" t="n">
        <f aca="false">AK14*Overage_Petite+AK15*Overage_Moyenne+AK16*Overage_Grande</f>
        <v>19160.103433489</v>
      </c>
      <c r="AL41" s="37" t="n">
        <f aca="false">AL14*Overage_Petite+AL15*Overage_Moyenne+AL16*Overage_Grande</f>
        <v>20333.3314261688</v>
      </c>
      <c r="AM41" s="37" t="n">
        <f aca="false">AM14*Overage_Petite+AM15*Overage_Moyenne+AM16*Overage_Grande</f>
        <v>21573.8712956444</v>
      </c>
      <c r="AN41" s="37" t="n">
        <f aca="false">AN14*Overage_Petite+AN15*Overage_Moyenne+AN16*Overage_Grande</f>
        <v>22876.9888360365</v>
      </c>
      <c r="AO41" s="37" t="n">
        <f aca="false">AO14*Overage_Petite+AO15*Overage_Moyenne+AO16*Overage_Grande</f>
        <v>24290.1402030683</v>
      </c>
      <c r="AP41" s="37" t="n">
        <f aca="false">AP14*Overage_Petite+AP15*Overage_Moyenne+AP16*Overage_Grande</f>
        <v>25772.814178277</v>
      </c>
      <c r="AQ41" s="37" t="n">
        <f aca="false">AQ14*Overage_Petite+AQ15*Overage_Moyenne+AQ16*Overage_Grande</f>
        <v>27271.0172927518</v>
      </c>
      <c r="AR41" s="37" t="n">
        <f aca="false">AR14*Overage_Petite+AR15*Overage_Moyenne+AR16*Overage_Grande</f>
        <v>28841.331947187</v>
      </c>
      <c r="AS41" s="37" t="n">
        <f aca="false">AS14*Overage_Petite+AS15*Overage_Moyenne+AS16*Overage_Grande</f>
        <v>30421.8429974644</v>
      </c>
      <c r="AT41" s="37" t="n">
        <f aca="false">AT14*Overage_Petite+AT15*Overage_Moyenne+AT16*Overage_Grande</f>
        <v>32100.1051726183</v>
      </c>
      <c r="AU41" s="37" t="n">
        <f aca="false">AU14*Overage_Petite+AU15*Overage_Moyenne+AU16*Overage_Grande</f>
        <v>33771.1865854852</v>
      </c>
      <c r="AV41" s="37" t="n">
        <f aca="false">AV14*Overage_Petite+AV15*Overage_Moyenne+AV16*Overage_Grande</f>
        <v>35435.611525972</v>
      </c>
      <c r="AW41" s="37" t="n">
        <f aca="false">AW14*Overage_Petite+AW15*Overage_Moyenne+AW16*Overage_Grande</f>
        <v>37148.9267520879</v>
      </c>
      <c r="AX41" s="37" t="n">
        <f aca="false">AX14*Overage_Petite+AX15*Overage_Moyenne+AX16*Overage_Grande</f>
        <v>38856.215428273</v>
      </c>
      <c r="AY41" s="37" t="n">
        <f aca="false">AY14*Overage_Petite+AY15*Overage_Moyenne+AY16*Overage_Grande</f>
        <v>40662.5782428139</v>
      </c>
      <c r="AZ41" s="37" t="n">
        <f aca="false">AZ14*Overage_Petite+AZ15*Overage_Moyenne+AZ16*Overage_Grande</f>
        <v>42463.2166320558</v>
      </c>
      <c r="BA41" s="37" t="n">
        <f aca="false">BA14*Overage_Petite+BA15*Overage_Moyenne+BA16*Overage_Grande</f>
        <v>44410.5957190621</v>
      </c>
      <c r="BB41" s="37" t="n">
        <f aca="false">BB14*Overage_Petite+BB15*Overage_Moyenne+BB16*Overage_Grande</f>
        <v>46352.2655599642</v>
      </c>
      <c r="BC41" s="37" t="n">
        <f aca="false">BC14*Overage_Petite+BC15*Overage_Moyenne+BC16*Overage_Grande</f>
        <v>48343.9667436263</v>
      </c>
      <c r="BD41" s="37" t="n">
        <f aca="false">BD14*Overage_Petite+BD15*Overage_Moyenne+BD16*Overage_Grande</f>
        <v>50380.4866206213</v>
      </c>
      <c r="BE41" s="37" t="n">
        <f aca="false">BE14*Overage_Petite+BE15*Overage_Moyenne+BE16*Overage_Grande</f>
        <v>52467.7023046107</v>
      </c>
      <c r="BF41" s="37" t="n">
        <f aca="false">BF14*Overage_Petite+BF15*Overage_Moyenne+BF16*Overage_Grande</f>
        <v>54550.9849528012</v>
      </c>
      <c r="BG41" s="37" t="n">
        <f aca="false">BG14*Overage_Petite+BG15*Overage_Moyenne+BG16*Overage_Grande</f>
        <v>56735.7388563484</v>
      </c>
      <c r="BH41" s="37" t="n">
        <f aca="false">BH14*Overage_Petite+BH15*Overage_Moyenne+BH16*Overage_Grande</f>
        <v>58917.4856177217</v>
      </c>
      <c r="BI41" s="37" t="n">
        <f aca="false">BI14*Overage_Petite+BI15*Overage_Moyenne+BI16*Overage_Grande</f>
        <v>61152.2280995302</v>
      </c>
      <c r="BJ41" s="37" t="n">
        <f aca="false">BJ14*Overage_Petite+BJ15*Overage_Moyenne+BJ16*Overage_Grande</f>
        <v>63385.5307414772</v>
      </c>
      <c r="BK41" s="37" t="n">
        <f aca="false">BK14*Overage_Petite+BK15*Overage_Moyenne+BK16*Overage_Grande</f>
        <v>65713.5735177702</v>
      </c>
      <c r="BL41" s="37" t="n">
        <f aca="false">BL14*Overage_Petite+BL15*Overage_Moyenne+BL16*Overage_Grande</f>
        <v>68076.240711697</v>
      </c>
    </row>
    <row r="42" customFormat="false" ht="15" hidden="false" customHeight="false" outlineLevel="0" collapsed="false">
      <c r="A42" s="12" t="s">
        <v>781</v>
      </c>
      <c r="B42" s="14" t="s">
        <v>90</v>
      </c>
      <c r="E42" s="49" t="n">
        <f aca="false">IF(E$3&gt;=PayLinks_Start,MIN(1,(E$3-PayLinks_Start+1)/PL_Ramp)*PL_Adoption,0)</f>
        <v>0</v>
      </c>
      <c r="F42" s="49" t="n">
        <f aca="false">IF(F$3&gt;=PayLinks_Start,MIN(1,(F$3-PayLinks_Start+1)/PL_Ramp)*PL_Adoption,0)</f>
        <v>0</v>
      </c>
      <c r="G42" s="49" t="n">
        <f aca="false">IF(G$3&gt;=PayLinks_Start,MIN(1,(G$3-PayLinks_Start+1)/PL_Ramp)*PL_Adoption,0)</f>
        <v>0</v>
      </c>
      <c r="H42" s="49" t="n">
        <f aca="false">IF(H$3&gt;=PayLinks_Start,MIN(1,(H$3-PayLinks_Start+1)/PL_Ramp)*PL_Adoption,0)</f>
        <v>0</v>
      </c>
      <c r="I42" s="49" t="n">
        <f aca="false">IF(I$3&gt;=PayLinks_Start,MIN(1,(I$3-PayLinks_Start+1)/PL_Ramp)*PL_Adoption,0)</f>
        <v>0</v>
      </c>
      <c r="J42" s="49" t="n">
        <f aca="false">IF(J$3&gt;=PayLinks_Start,MIN(1,(J$3-PayLinks_Start+1)/PL_Ramp)*PL_Adoption,0)</f>
        <v>0</v>
      </c>
      <c r="K42" s="49" t="n">
        <f aca="false">IF(K$3&gt;=PayLinks_Start,MIN(1,(K$3-PayLinks_Start+1)/PL_Ramp)*PL_Adoption,0)</f>
        <v>0</v>
      </c>
      <c r="L42" s="49" t="n">
        <f aca="false">IF(L$3&gt;=PayLinks_Start,MIN(1,(L$3-PayLinks_Start+1)/PL_Ramp)*PL_Adoption,0)</f>
        <v>0</v>
      </c>
      <c r="M42" s="49" t="n">
        <f aca="false">IF(M$3&gt;=PayLinks_Start,MIN(1,(M$3-PayLinks_Start+1)/PL_Ramp)*PL_Adoption,0)</f>
        <v>0</v>
      </c>
      <c r="N42" s="49" t="n">
        <f aca="false">IF(N$3&gt;=PayLinks_Start,MIN(1,(N$3-PayLinks_Start+1)/PL_Ramp)*PL_Adoption,0)</f>
        <v>0</v>
      </c>
      <c r="O42" s="49" t="n">
        <f aca="false">IF(O$3&gt;=PayLinks_Start,MIN(1,(O$3-PayLinks_Start+1)/PL_Ramp)*PL_Adoption,0)</f>
        <v>0</v>
      </c>
      <c r="P42" s="49" t="n">
        <f aca="false">IF(P$3&gt;=PayLinks_Start,MIN(1,(P$3-PayLinks_Start+1)/PL_Ramp)*PL_Adoption,0)</f>
        <v>0</v>
      </c>
      <c r="Q42" s="49" t="n">
        <f aca="false">IF(Q$3&gt;=PayLinks_Start,MIN(1,(Q$3-PayLinks_Start+1)/PL_Ramp)*PL_Adoption,0)</f>
        <v>0</v>
      </c>
      <c r="R42" s="49" t="n">
        <f aca="false">IF(R$3&gt;=PayLinks_Start,MIN(1,(R$3-PayLinks_Start+1)/PL_Ramp)*PL_Adoption,0)</f>
        <v>0</v>
      </c>
      <c r="S42" s="49" t="n">
        <f aca="false">IF(S$3&gt;=PayLinks_Start,MIN(1,(S$3-PayLinks_Start+1)/PL_Ramp)*PL_Adoption,0)</f>
        <v>0</v>
      </c>
      <c r="T42" s="49" t="n">
        <f aca="false">IF(T$3&gt;=PayLinks_Start,MIN(1,(T$3-PayLinks_Start+1)/PL_Ramp)*PL_Adoption,0)</f>
        <v>0</v>
      </c>
      <c r="U42" s="49" t="n">
        <f aca="false">IF(U$3&gt;=PayLinks_Start,MIN(1,(U$3-PayLinks_Start+1)/PL_Ramp)*PL_Adoption,0)</f>
        <v>0</v>
      </c>
      <c r="V42" s="49" t="n">
        <f aca="false">IF(V$3&gt;=PayLinks_Start,MIN(1,(V$3-PayLinks_Start+1)/PL_Ramp)*PL_Adoption,0)</f>
        <v>0.0208333333333333</v>
      </c>
      <c r="W42" s="49" t="n">
        <f aca="false">IF(W$3&gt;=PayLinks_Start,MIN(1,(W$3-PayLinks_Start+1)/PL_Ramp)*PL_Adoption,0)</f>
        <v>0.0416666666666667</v>
      </c>
      <c r="X42" s="49" t="n">
        <f aca="false">IF(X$3&gt;=PayLinks_Start,MIN(1,(X$3-PayLinks_Start+1)/PL_Ramp)*PL_Adoption,0)</f>
        <v>0.0625</v>
      </c>
      <c r="Y42" s="49" t="n">
        <f aca="false">IF(Y$3&gt;=PayLinks_Start,MIN(1,(Y$3-PayLinks_Start+1)/PL_Ramp)*PL_Adoption,0)</f>
        <v>0.0833333333333333</v>
      </c>
      <c r="Z42" s="49" t="n">
        <f aca="false">IF(Z$3&gt;=PayLinks_Start,MIN(1,(Z$3-PayLinks_Start+1)/PL_Ramp)*PL_Adoption,0)</f>
        <v>0.104166666666667</v>
      </c>
      <c r="AA42" s="49" t="n">
        <f aca="false">IF(AA$3&gt;=PayLinks_Start,MIN(1,(AA$3-PayLinks_Start+1)/PL_Ramp)*PL_Adoption,0)</f>
        <v>0.125</v>
      </c>
      <c r="AB42" s="49" t="n">
        <f aca="false">IF(AB$3&gt;=PayLinks_Start,MIN(1,(AB$3-PayLinks_Start+1)/PL_Ramp)*PL_Adoption,0)</f>
        <v>0.145833333333333</v>
      </c>
      <c r="AC42" s="49" t="n">
        <f aca="false">IF(AC$3&gt;=PayLinks_Start,MIN(1,(AC$3-PayLinks_Start+1)/PL_Ramp)*PL_Adoption,0)</f>
        <v>0.166666666666667</v>
      </c>
      <c r="AD42" s="49" t="n">
        <f aca="false">IF(AD$3&gt;=PayLinks_Start,MIN(1,(AD$3-PayLinks_Start+1)/PL_Ramp)*PL_Adoption,0)</f>
        <v>0.1875</v>
      </c>
      <c r="AE42" s="49" t="n">
        <f aca="false">IF(AE$3&gt;=PayLinks_Start,MIN(1,(AE$3-PayLinks_Start+1)/PL_Ramp)*PL_Adoption,0)</f>
        <v>0.208333333333333</v>
      </c>
      <c r="AF42" s="49" t="n">
        <f aca="false">IF(AF$3&gt;=PayLinks_Start,MIN(1,(AF$3-PayLinks_Start+1)/PL_Ramp)*PL_Adoption,0)</f>
        <v>0.229166666666667</v>
      </c>
      <c r="AG42" s="49" t="n">
        <f aca="false">IF(AG$3&gt;=PayLinks_Start,MIN(1,(AG$3-PayLinks_Start+1)/PL_Ramp)*PL_Adoption,0)</f>
        <v>0.25</v>
      </c>
      <c r="AH42" s="49" t="n">
        <f aca="false">IF(AH$3&gt;=PayLinks_Start,MIN(1,(AH$3-PayLinks_Start+1)/PL_Ramp)*PL_Adoption,0)</f>
        <v>0.25</v>
      </c>
      <c r="AI42" s="49" t="n">
        <f aca="false">IF(AI$3&gt;=PayLinks_Start,MIN(1,(AI$3-PayLinks_Start+1)/PL_Ramp)*PL_Adoption,0)</f>
        <v>0.25</v>
      </c>
      <c r="AJ42" s="49" t="n">
        <f aca="false">IF(AJ$3&gt;=PayLinks_Start,MIN(1,(AJ$3-PayLinks_Start+1)/PL_Ramp)*PL_Adoption,0)</f>
        <v>0.25</v>
      </c>
      <c r="AK42" s="49" t="n">
        <f aca="false">IF(AK$3&gt;=PayLinks_Start,MIN(1,(AK$3-PayLinks_Start+1)/PL_Ramp)*PL_Adoption,0)</f>
        <v>0.25</v>
      </c>
      <c r="AL42" s="49" t="n">
        <f aca="false">IF(AL$3&gt;=PayLinks_Start,MIN(1,(AL$3-PayLinks_Start+1)/PL_Ramp)*PL_Adoption,0)</f>
        <v>0.25</v>
      </c>
      <c r="AM42" s="49" t="n">
        <f aca="false">IF(AM$3&gt;=PayLinks_Start,MIN(1,(AM$3-PayLinks_Start+1)/PL_Ramp)*PL_Adoption,0)</f>
        <v>0.25</v>
      </c>
      <c r="AN42" s="49" t="n">
        <f aca="false">IF(AN$3&gt;=PayLinks_Start,MIN(1,(AN$3-PayLinks_Start+1)/PL_Ramp)*PL_Adoption,0)</f>
        <v>0.25</v>
      </c>
      <c r="AO42" s="49" t="n">
        <f aca="false">IF(AO$3&gt;=PayLinks_Start,MIN(1,(AO$3-PayLinks_Start+1)/PL_Ramp)*PL_Adoption,0)</f>
        <v>0.25</v>
      </c>
      <c r="AP42" s="49" t="n">
        <f aca="false">IF(AP$3&gt;=PayLinks_Start,MIN(1,(AP$3-PayLinks_Start+1)/PL_Ramp)*PL_Adoption,0)</f>
        <v>0.25</v>
      </c>
      <c r="AQ42" s="49" t="n">
        <f aca="false">IF(AQ$3&gt;=PayLinks_Start,MIN(1,(AQ$3-PayLinks_Start+1)/PL_Ramp)*PL_Adoption,0)</f>
        <v>0.25</v>
      </c>
      <c r="AR42" s="49" t="n">
        <f aca="false">IF(AR$3&gt;=PayLinks_Start,MIN(1,(AR$3-PayLinks_Start+1)/PL_Ramp)*PL_Adoption,0)</f>
        <v>0.25</v>
      </c>
      <c r="AS42" s="49" t="n">
        <f aca="false">IF(AS$3&gt;=PayLinks_Start,MIN(1,(AS$3-PayLinks_Start+1)/PL_Ramp)*PL_Adoption,0)</f>
        <v>0.25</v>
      </c>
      <c r="AT42" s="49" t="n">
        <f aca="false">IF(AT$3&gt;=PayLinks_Start,MIN(1,(AT$3-PayLinks_Start+1)/PL_Ramp)*PL_Adoption,0)</f>
        <v>0.25</v>
      </c>
      <c r="AU42" s="49" t="n">
        <f aca="false">IF(AU$3&gt;=PayLinks_Start,MIN(1,(AU$3-PayLinks_Start+1)/PL_Ramp)*PL_Adoption,0)</f>
        <v>0.25</v>
      </c>
      <c r="AV42" s="49" t="n">
        <f aca="false">IF(AV$3&gt;=PayLinks_Start,MIN(1,(AV$3-PayLinks_Start+1)/PL_Ramp)*PL_Adoption,0)</f>
        <v>0.25</v>
      </c>
      <c r="AW42" s="49" t="n">
        <f aca="false">IF(AW$3&gt;=PayLinks_Start,MIN(1,(AW$3-PayLinks_Start+1)/PL_Ramp)*PL_Adoption,0)</f>
        <v>0.25</v>
      </c>
      <c r="AX42" s="49" t="n">
        <f aca="false">IF(AX$3&gt;=PayLinks_Start,MIN(1,(AX$3-PayLinks_Start+1)/PL_Ramp)*PL_Adoption,0)</f>
        <v>0.25</v>
      </c>
      <c r="AY42" s="49" t="n">
        <f aca="false">IF(AY$3&gt;=PayLinks_Start,MIN(1,(AY$3-PayLinks_Start+1)/PL_Ramp)*PL_Adoption,0)</f>
        <v>0.25</v>
      </c>
      <c r="AZ42" s="49" t="n">
        <f aca="false">IF(AZ$3&gt;=PayLinks_Start,MIN(1,(AZ$3-PayLinks_Start+1)/PL_Ramp)*PL_Adoption,0)</f>
        <v>0.25</v>
      </c>
      <c r="BA42" s="49" t="n">
        <f aca="false">IF(BA$3&gt;=PayLinks_Start,MIN(1,(BA$3-PayLinks_Start+1)/PL_Ramp)*PL_Adoption,0)</f>
        <v>0.25</v>
      </c>
      <c r="BB42" s="49" t="n">
        <f aca="false">IF(BB$3&gt;=PayLinks_Start,MIN(1,(BB$3-PayLinks_Start+1)/PL_Ramp)*PL_Adoption,0)</f>
        <v>0.25</v>
      </c>
      <c r="BC42" s="49" t="n">
        <f aca="false">IF(BC$3&gt;=PayLinks_Start,MIN(1,(BC$3-PayLinks_Start+1)/PL_Ramp)*PL_Adoption,0)</f>
        <v>0.25</v>
      </c>
      <c r="BD42" s="49" t="n">
        <f aca="false">IF(BD$3&gt;=PayLinks_Start,MIN(1,(BD$3-PayLinks_Start+1)/PL_Ramp)*PL_Adoption,0)</f>
        <v>0.25</v>
      </c>
      <c r="BE42" s="49" t="n">
        <f aca="false">IF(BE$3&gt;=PayLinks_Start,MIN(1,(BE$3-PayLinks_Start+1)/PL_Ramp)*PL_Adoption,0)</f>
        <v>0.25</v>
      </c>
      <c r="BF42" s="49" t="n">
        <f aca="false">IF(BF$3&gt;=PayLinks_Start,MIN(1,(BF$3-PayLinks_Start+1)/PL_Ramp)*PL_Adoption,0)</f>
        <v>0.25</v>
      </c>
      <c r="BG42" s="49" t="n">
        <f aca="false">IF(BG$3&gt;=PayLinks_Start,MIN(1,(BG$3-PayLinks_Start+1)/PL_Ramp)*PL_Adoption,0)</f>
        <v>0.25</v>
      </c>
      <c r="BH42" s="49" t="n">
        <f aca="false">IF(BH$3&gt;=PayLinks_Start,MIN(1,(BH$3-PayLinks_Start+1)/PL_Ramp)*PL_Adoption,0)</f>
        <v>0.25</v>
      </c>
      <c r="BI42" s="49" t="n">
        <f aca="false">IF(BI$3&gt;=PayLinks_Start,MIN(1,(BI$3-PayLinks_Start+1)/PL_Ramp)*PL_Adoption,0)</f>
        <v>0.25</v>
      </c>
      <c r="BJ42" s="49" t="n">
        <f aca="false">IF(BJ$3&gt;=PayLinks_Start,MIN(1,(BJ$3-PayLinks_Start+1)/PL_Ramp)*PL_Adoption,0)</f>
        <v>0.25</v>
      </c>
      <c r="BK42" s="49" t="n">
        <f aca="false">IF(BK$3&gt;=PayLinks_Start,MIN(1,(BK$3-PayLinks_Start+1)/PL_Ramp)*PL_Adoption,0)</f>
        <v>0.25</v>
      </c>
      <c r="BL42" s="49" t="n">
        <f aca="false">IF(BL$3&gt;=PayLinks_Start,MIN(1,(BL$3-PayLinks_Start+1)/PL_Ramp)*PL_Adoption,0)</f>
        <v>0.25</v>
      </c>
    </row>
    <row r="43" customFormat="false" ht="15" hidden="false" customHeight="false" outlineLevel="0" collapsed="false">
      <c r="A43" s="12" t="s">
        <v>782</v>
      </c>
      <c r="B43" s="14" t="s">
        <v>71</v>
      </c>
      <c r="D43" s="55" t="n">
        <f aca="false">SUM(E43:BL43)</f>
        <v>132695004310.874</v>
      </c>
      <c r="E43" s="37" t="n">
        <f aca="false">(E14*PL_Coll_Petite+E15*PL_Coll_Moyenne+E16*PL_Coll_Grande)*E42</f>
        <v>0</v>
      </c>
      <c r="F43" s="37" t="n">
        <f aca="false">(F14*PL_Coll_Petite+F15*PL_Coll_Moyenne+F16*PL_Coll_Grande)*F42</f>
        <v>0</v>
      </c>
      <c r="G43" s="37" t="n">
        <f aca="false">(G14*PL_Coll_Petite+G15*PL_Coll_Moyenne+G16*PL_Coll_Grande)*G42</f>
        <v>0</v>
      </c>
      <c r="H43" s="37" t="n">
        <f aca="false">(H14*PL_Coll_Petite+H15*PL_Coll_Moyenne+H16*PL_Coll_Grande)*H42</f>
        <v>0</v>
      </c>
      <c r="I43" s="37" t="n">
        <f aca="false">(I14*PL_Coll_Petite+I15*PL_Coll_Moyenne+I16*PL_Coll_Grande)*I42</f>
        <v>0</v>
      </c>
      <c r="J43" s="37" t="n">
        <f aca="false">(J14*PL_Coll_Petite+J15*PL_Coll_Moyenne+J16*PL_Coll_Grande)*J42</f>
        <v>0</v>
      </c>
      <c r="K43" s="37" t="n">
        <f aca="false">(K14*PL_Coll_Petite+K15*PL_Coll_Moyenne+K16*PL_Coll_Grande)*K42</f>
        <v>0</v>
      </c>
      <c r="L43" s="37" t="n">
        <f aca="false">(L14*PL_Coll_Petite+L15*PL_Coll_Moyenne+L16*PL_Coll_Grande)*L42</f>
        <v>0</v>
      </c>
      <c r="M43" s="37" t="n">
        <f aca="false">(M14*PL_Coll_Petite+M15*PL_Coll_Moyenne+M16*PL_Coll_Grande)*M42</f>
        <v>0</v>
      </c>
      <c r="N43" s="37" t="n">
        <f aca="false">(N14*PL_Coll_Petite+N15*PL_Coll_Moyenne+N16*PL_Coll_Grande)*N42</f>
        <v>0</v>
      </c>
      <c r="O43" s="37" t="n">
        <f aca="false">(O14*PL_Coll_Petite+O15*PL_Coll_Moyenne+O16*PL_Coll_Grande)*O42</f>
        <v>0</v>
      </c>
      <c r="P43" s="37" t="n">
        <f aca="false">(P14*PL_Coll_Petite+P15*PL_Coll_Moyenne+P16*PL_Coll_Grande)*P42</f>
        <v>0</v>
      </c>
      <c r="Q43" s="37" t="n">
        <f aca="false">(Q14*PL_Coll_Petite+Q15*PL_Coll_Moyenne+Q16*PL_Coll_Grande)*Q42</f>
        <v>0</v>
      </c>
      <c r="R43" s="37" t="n">
        <f aca="false">(R14*PL_Coll_Petite+R15*PL_Coll_Moyenne+R16*PL_Coll_Grande)*R42</f>
        <v>0</v>
      </c>
      <c r="S43" s="37" t="n">
        <f aca="false">(S14*PL_Coll_Petite+S15*PL_Coll_Moyenne+S16*PL_Coll_Grande)*S42</f>
        <v>0</v>
      </c>
      <c r="T43" s="37" t="n">
        <f aca="false">(T14*PL_Coll_Petite+T15*PL_Coll_Moyenne+T16*PL_Coll_Grande)*T42</f>
        <v>0</v>
      </c>
      <c r="U43" s="37" t="n">
        <f aca="false">(U14*PL_Coll_Petite+U15*PL_Coll_Moyenne+U16*PL_Coll_Grande)*U42</f>
        <v>0</v>
      </c>
      <c r="V43" s="37" t="n">
        <f aca="false">(V14*PL_Coll_Petite+V15*PL_Coll_Moyenne+V16*PL_Coll_Grande)*V42</f>
        <v>45340240.5578257</v>
      </c>
      <c r="W43" s="37" t="n">
        <f aca="false">(W14*PL_Coll_Petite+W15*PL_Coll_Moyenne+W16*PL_Coll_Grande)*W42</f>
        <v>103396444.765918</v>
      </c>
      <c r="X43" s="37" t="n">
        <f aca="false">(X14*PL_Coll_Petite+X15*PL_Coll_Moyenne+X16*PL_Coll_Grande)*X42</f>
        <v>174199417.437374</v>
      </c>
      <c r="Y43" s="37" t="n">
        <f aca="false">(Y14*PL_Coll_Petite+Y15*PL_Coll_Moyenne+Y16*PL_Coll_Grande)*Y42</f>
        <v>257800393.978986</v>
      </c>
      <c r="Z43" s="37" t="n">
        <f aca="false">(Z14*PL_Coll_Petite+Z15*PL_Coll_Moyenne+Z16*PL_Coll_Grande)*Z42</f>
        <v>354272259.999403</v>
      </c>
      <c r="AA43" s="37" t="n">
        <f aca="false">(AA14*PL_Coll_Petite+AA15*PL_Coll_Moyenne+AA16*PL_Coll_Grande)*AA42</f>
        <v>463710864.607923</v>
      </c>
      <c r="AB43" s="37" t="n">
        <f aca="false">(AB14*PL_Coll_Petite+AB15*PL_Coll_Moyenne+AB16*PL_Coll_Grande)*AB42</f>
        <v>589707267.178445</v>
      </c>
      <c r="AC43" s="37" t="n">
        <f aca="false">(AC14*PL_Coll_Petite+AC15*PL_Coll_Moyenne+AC16*PL_Coll_Grande)*AC42</f>
        <v>743790952.24164</v>
      </c>
      <c r="AD43" s="37" t="n">
        <f aca="false">(AD14*PL_Coll_Petite+AD15*PL_Coll_Moyenne+AD16*PL_Coll_Grande)*AD42</f>
        <v>915499851.227533</v>
      </c>
      <c r="AE43" s="37" t="n">
        <f aca="false">(AE14*PL_Coll_Petite+AE15*PL_Coll_Moyenne+AE16*PL_Coll_Grande)*AE42</f>
        <v>1104960938.13795</v>
      </c>
      <c r="AF43" s="37" t="n">
        <f aca="false">(AF14*PL_Coll_Petite+AF15*PL_Coll_Moyenne+AF16*PL_Coll_Grande)*AF42</f>
        <v>1317787924.11223</v>
      </c>
      <c r="AG43" s="37" t="n">
        <f aca="false">(AG14*PL_Coll_Petite+AG15*PL_Coll_Moyenne+AG16*PL_Coll_Grande)*AG42</f>
        <v>1549641549.42639</v>
      </c>
      <c r="AH43" s="37" t="n">
        <f aca="false">(AH14*PL_Coll_Petite+AH15*PL_Coll_Moyenne+AH16*PL_Coll_Grande)*AH42</f>
        <v>1662217832.04957</v>
      </c>
      <c r="AI43" s="37" t="n">
        <f aca="false">(AI14*PL_Coll_Petite+AI15*PL_Coll_Moyenne+AI16*PL_Coll_Grande)*AI42</f>
        <v>1775421204.14898</v>
      </c>
      <c r="AJ43" s="37" t="n">
        <f aca="false">(AJ14*PL_Coll_Petite+AJ15*PL_Coll_Moyenne+AJ16*PL_Coll_Grande)*AJ42</f>
        <v>1895312504.50919</v>
      </c>
      <c r="AK43" s="37" t="n">
        <f aca="false">(AK14*PL_Coll_Petite+AK15*PL_Coll_Moyenne+AK16*PL_Coll_Grande)*AK42</f>
        <v>2015987340.14628</v>
      </c>
      <c r="AL43" s="37" t="n">
        <f aca="false">(AL14*PL_Coll_Petite+AL15*PL_Coll_Moyenne+AL16*PL_Coll_Grande)*AL42</f>
        <v>2137569162.713</v>
      </c>
      <c r="AM43" s="37" t="n">
        <f aca="false">(AM14*PL_Coll_Petite+AM15*PL_Coll_Moyenne+AM16*PL_Coll_Grande)*AM42</f>
        <v>2266137781.46774</v>
      </c>
      <c r="AN43" s="37" t="n">
        <f aca="false">(AN14*PL_Coll_Petite+AN15*PL_Coll_Moyenne+AN16*PL_Coll_Grande)*AN42</f>
        <v>2401163885.98722</v>
      </c>
      <c r="AO43" s="37" t="n">
        <f aca="false">(AO14*PL_Coll_Petite+AO15*PL_Coll_Moyenne+AO16*PL_Coll_Grande)*AO42</f>
        <v>2547766068.82078</v>
      </c>
      <c r="AP43" s="37" t="n">
        <f aca="false">(AP14*PL_Coll_Petite+AP15*PL_Coll_Moyenne+AP16*PL_Coll_Grande)*AP42</f>
        <v>2701531064.53</v>
      </c>
      <c r="AQ43" s="37" t="n">
        <f aca="false">(AQ14*PL_Coll_Petite+AQ15*PL_Coll_Moyenne+AQ16*PL_Coll_Grande)*AQ42</f>
        <v>2856600959.83855</v>
      </c>
      <c r="AR43" s="37" t="n">
        <f aca="false">(AR14*PL_Coll_Petite+AR15*PL_Coll_Moyenne+AR16*PL_Coll_Grande)*AR42</f>
        <v>3019098231.18812</v>
      </c>
      <c r="AS43" s="37" t="n">
        <f aca="false">(AS14*PL_Coll_Petite+AS15*PL_Coll_Moyenne+AS16*PL_Coll_Grande)*AS42</f>
        <v>3182307389.74731</v>
      </c>
      <c r="AT43" s="37" t="n">
        <f aca="false">(AT14*PL_Coll_Petite+AT15*PL_Coll_Moyenne+AT16*PL_Coll_Grande)*AT42</f>
        <v>3355703582.79325</v>
      </c>
      <c r="AU43" s="37" t="n">
        <f aca="false">(AU14*PL_Coll_Petite+AU15*PL_Coll_Moyenne+AU16*PL_Coll_Grande)*AU42</f>
        <v>3527909471.57595</v>
      </c>
      <c r="AV43" s="37" t="n">
        <f aca="false">(AV14*PL_Coll_Petite+AV15*PL_Coll_Moyenne+AV16*PL_Coll_Grande)*AV42</f>
        <v>3698991199.08764</v>
      </c>
      <c r="AW43" s="37" t="n">
        <f aca="false">(AW14*PL_Coll_Petite+AW15*PL_Coll_Moyenne+AW16*PL_Coll_Grande)*AW42</f>
        <v>3874966997.39681</v>
      </c>
      <c r="AX43" s="37" t="n">
        <f aca="false">(AX14*PL_Coll_Petite+AX15*PL_Coll_Moyenne+AX16*PL_Coll_Grande)*AX42</f>
        <v>4049886466.99095</v>
      </c>
      <c r="AY43" s="37" t="n">
        <f aca="false">(AY14*PL_Coll_Petite+AY15*PL_Coll_Moyenne+AY16*PL_Coll_Grande)*AY42</f>
        <v>4235128462.07754</v>
      </c>
      <c r="AZ43" s="37" t="n">
        <f aca="false">(AZ14*PL_Coll_Petite+AZ15*PL_Coll_Moyenne+AZ16*PL_Coll_Grande)*AZ42</f>
        <v>4419329738.26649</v>
      </c>
      <c r="BA43" s="37" t="n">
        <f aca="false">(BA14*PL_Coll_Petite+BA15*PL_Coll_Moyenne+BA16*PL_Coll_Grande)*BA42</f>
        <v>4618993307.27322</v>
      </c>
      <c r="BB43" s="37" t="n">
        <f aca="false">(BB14*PL_Coll_Petite+BB15*PL_Coll_Moyenne+BB16*PL_Coll_Grande)*BB42</f>
        <v>4817585476.68461</v>
      </c>
      <c r="BC43" s="37" t="n">
        <f aca="false">(BC14*PL_Coll_Petite+BC15*PL_Coll_Moyenne+BC16*PL_Coll_Grande)*BC42</f>
        <v>5021145967.80237</v>
      </c>
      <c r="BD43" s="37" t="n">
        <f aca="false">(BD14*PL_Coll_Petite+BD15*PL_Coll_Moyenne+BD16*PL_Coll_Grande)*BD42</f>
        <v>5229101917.24739</v>
      </c>
      <c r="BE43" s="37" t="n">
        <f aca="false">(BE14*PL_Coll_Petite+BE15*PL_Coll_Moyenne+BE16*PL_Coll_Grande)*BE42</f>
        <v>5442082041.21565</v>
      </c>
      <c r="BF43" s="37" t="n">
        <f aca="false">(BF14*PL_Coll_Petite+BF15*PL_Coll_Moyenne+BF16*PL_Coll_Grande)*BF42</f>
        <v>5654167591.01152</v>
      </c>
      <c r="BG43" s="37" t="n">
        <f aca="false">(BG14*PL_Coll_Petite+BG15*PL_Coll_Moyenne+BG16*PL_Coll_Grande)*BG42</f>
        <v>5876770656.31463</v>
      </c>
      <c r="BH43" s="37" t="n">
        <f aca="false">(BH14*PL_Coll_Petite+BH15*PL_Coll_Moyenne+BH16*PL_Coll_Grande)*BH42</f>
        <v>6098562912.64862</v>
      </c>
      <c r="BI43" s="37" t="n">
        <f aca="false">(BI14*PL_Coll_Petite+BI15*PL_Coll_Moyenne+BI16*PL_Coll_Grande)*BI42</f>
        <v>6325612081.77976</v>
      </c>
      <c r="BJ43" s="37" t="n">
        <f aca="false">(BJ14*PL_Coll_Petite+BJ15*PL_Coll_Moyenne+BJ16*PL_Coll_Grande)*BJ42</f>
        <v>6552019823.44396</v>
      </c>
      <c r="BK43" s="37" t="n">
        <f aca="false">(BK14*PL_Coll_Petite+BK15*PL_Coll_Moyenne+BK16*PL_Coll_Grande)*BK42</f>
        <v>6788199767.70814</v>
      </c>
      <c r="BL43" s="37" t="n">
        <f aca="false">(BL14*PL_Coll_Petite+BL15*PL_Coll_Moyenne+BL16*PL_Coll_Grande)*BL42</f>
        <v>7027625320.73717</v>
      </c>
    </row>
    <row r="45" customFormat="false" ht="15" hidden="false" customHeight="false" outlineLevel="0" collapsed="false">
      <c r="A45" s="10" t="s">
        <v>783</v>
      </c>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11"/>
      <c r="BK45" s="11"/>
      <c r="BL45" s="11"/>
    </row>
    <row r="46" customFormat="false" ht="15" hidden="false" customHeight="false" outlineLevel="0" collapsed="false">
      <c r="A46" s="12" t="s">
        <v>784</v>
      </c>
      <c r="B46" s="14" t="s">
        <v>168</v>
      </c>
      <c r="E46" s="59" t="n">
        <f aca="false">(1+Price_Increase)^(E$5-1)*(1-Annual_Share*Annual_Free/12)</f>
        <v>0.95</v>
      </c>
      <c r="F46" s="59" t="n">
        <f aca="false">(1+Price_Increase)^(F$5-1)*(1-Annual_Share*Annual_Free/12)</f>
        <v>0.95</v>
      </c>
      <c r="G46" s="59" t="n">
        <f aca="false">(1+Price_Increase)^(G$5-1)*(1-Annual_Share*Annual_Free/12)</f>
        <v>0.95</v>
      </c>
      <c r="H46" s="59" t="n">
        <f aca="false">(1+Price_Increase)^(H$5-1)*(1-Annual_Share*Annual_Free/12)</f>
        <v>0.95</v>
      </c>
      <c r="I46" s="59" t="n">
        <f aca="false">(1+Price_Increase)^(I$5-1)*(1-Annual_Share*Annual_Free/12)</f>
        <v>0.95</v>
      </c>
      <c r="J46" s="59" t="n">
        <f aca="false">(1+Price_Increase)^(J$5-1)*(1-Annual_Share*Annual_Free/12)</f>
        <v>0.95</v>
      </c>
      <c r="K46" s="59" t="n">
        <f aca="false">(1+Price_Increase)^(K$5-1)*(1-Annual_Share*Annual_Free/12)</f>
        <v>0.95</v>
      </c>
      <c r="L46" s="59" t="n">
        <f aca="false">(1+Price_Increase)^(L$5-1)*(1-Annual_Share*Annual_Free/12)</f>
        <v>0.95</v>
      </c>
      <c r="M46" s="59" t="n">
        <f aca="false">(1+Price_Increase)^(M$5-1)*(1-Annual_Share*Annual_Free/12)</f>
        <v>0.95</v>
      </c>
      <c r="N46" s="59" t="n">
        <f aca="false">(1+Price_Increase)^(N$5-1)*(1-Annual_Share*Annual_Free/12)</f>
        <v>0.95</v>
      </c>
      <c r="O46" s="59" t="n">
        <f aca="false">(1+Price_Increase)^(O$5-1)*(1-Annual_Share*Annual_Free/12)</f>
        <v>0.95</v>
      </c>
      <c r="P46" s="59" t="n">
        <f aca="false">(1+Price_Increase)^(P$5-1)*(1-Annual_Share*Annual_Free/12)</f>
        <v>0.95</v>
      </c>
      <c r="Q46" s="59" t="n">
        <f aca="false">(1+Price_Increase)^(Q$5-1)*(1-Annual_Share*Annual_Free/12)</f>
        <v>0.95</v>
      </c>
      <c r="R46" s="59" t="n">
        <f aca="false">(1+Price_Increase)^(R$5-1)*(1-Annual_Share*Annual_Free/12)</f>
        <v>0.95</v>
      </c>
      <c r="S46" s="59" t="n">
        <f aca="false">(1+Price_Increase)^(S$5-1)*(1-Annual_Share*Annual_Free/12)</f>
        <v>0.95</v>
      </c>
      <c r="T46" s="59" t="n">
        <f aca="false">(1+Price_Increase)^(T$5-1)*(1-Annual_Share*Annual_Free/12)</f>
        <v>0.95</v>
      </c>
      <c r="U46" s="59" t="n">
        <f aca="false">(1+Price_Increase)^(U$5-1)*(1-Annual_Share*Annual_Free/12)</f>
        <v>0.95</v>
      </c>
      <c r="V46" s="59" t="n">
        <f aca="false">(1+Price_Increase)^(V$5-1)*(1-Annual_Share*Annual_Free/12)</f>
        <v>0.95</v>
      </c>
      <c r="W46" s="59" t="n">
        <f aca="false">(1+Price_Increase)^(W$5-1)*(1-Annual_Share*Annual_Free/12)</f>
        <v>0.95</v>
      </c>
      <c r="X46" s="59" t="n">
        <f aca="false">(1+Price_Increase)^(X$5-1)*(1-Annual_Share*Annual_Free/12)</f>
        <v>0.95</v>
      </c>
      <c r="Y46" s="59" t="n">
        <f aca="false">(1+Price_Increase)^(Y$5-1)*(1-Annual_Share*Annual_Free/12)</f>
        <v>0.95</v>
      </c>
      <c r="Z46" s="59" t="n">
        <f aca="false">(1+Price_Increase)^(Z$5-1)*(1-Annual_Share*Annual_Free/12)</f>
        <v>0.95</v>
      </c>
      <c r="AA46" s="59" t="n">
        <f aca="false">(1+Price_Increase)^(AA$5-1)*(1-Annual_Share*Annual_Free/12)</f>
        <v>0.95</v>
      </c>
      <c r="AB46" s="59" t="n">
        <f aca="false">(1+Price_Increase)^(AB$5-1)*(1-Annual_Share*Annual_Free/12)</f>
        <v>0.95</v>
      </c>
      <c r="AC46" s="59" t="n">
        <f aca="false">(1+Price_Increase)^(AC$5-1)*(1-Annual_Share*Annual_Free/12)</f>
        <v>0.95</v>
      </c>
      <c r="AD46" s="59" t="n">
        <f aca="false">(1+Price_Increase)^(AD$5-1)*(1-Annual_Share*Annual_Free/12)</f>
        <v>0.95</v>
      </c>
      <c r="AE46" s="59" t="n">
        <f aca="false">(1+Price_Increase)^(AE$5-1)*(1-Annual_Share*Annual_Free/12)</f>
        <v>0.95</v>
      </c>
      <c r="AF46" s="59" t="n">
        <f aca="false">(1+Price_Increase)^(AF$5-1)*(1-Annual_Share*Annual_Free/12)</f>
        <v>0.95</v>
      </c>
      <c r="AG46" s="59" t="n">
        <f aca="false">(1+Price_Increase)^(AG$5-1)*(1-Annual_Share*Annual_Free/12)</f>
        <v>0.95</v>
      </c>
      <c r="AH46" s="59" t="n">
        <f aca="false">(1+Price_Increase)^(AH$5-1)*(1-Annual_Share*Annual_Free/12)</f>
        <v>0.95</v>
      </c>
      <c r="AI46" s="59" t="n">
        <f aca="false">(1+Price_Increase)^(AI$5-1)*(1-Annual_Share*Annual_Free/12)</f>
        <v>0.95</v>
      </c>
      <c r="AJ46" s="59" t="n">
        <f aca="false">(1+Price_Increase)^(AJ$5-1)*(1-Annual_Share*Annual_Free/12)</f>
        <v>0.95</v>
      </c>
      <c r="AK46" s="59" t="n">
        <f aca="false">(1+Price_Increase)^(AK$5-1)*(1-Annual_Share*Annual_Free/12)</f>
        <v>0.95</v>
      </c>
      <c r="AL46" s="59" t="n">
        <f aca="false">(1+Price_Increase)^(AL$5-1)*(1-Annual_Share*Annual_Free/12)</f>
        <v>0.95</v>
      </c>
      <c r="AM46" s="59" t="n">
        <f aca="false">(1+Price_Increase)^(AM$5-1)*(1-Annual_Share*Annual_Free/12)</f>
        <v>0.95</v>
      </c>
      <c r="AN46" s="59" t="n">
        <f aca="false">(1+Price_Increase)^(AN$5-1)*(1-Annual_Share*Annual_Free/12)</f>
        <v>0.95</v>
      </c>
      <c r="AO46" s="59" t="n">
        <f aca="false">(1+Price_Increase)^(AO$5-1)*(1-Annual_Share*Annual_Free/12)</f>
        <v>0.95</v>
      </c>
      <c r="AP46" s="59" t="n">
        <f aca="false">(1+Price_Increase)^(AP$5-1)*(1-Annual_Share*Annual_Free/12)</f>
        <v>0.95</v>
      </c>
      <c r="AQ46" s="59" t="n">
        <f aca="false">(1+Price_Increase)^(AQ$5-1)*(1-Annual_Share*Annual_Free/12)</f>
        <v>0.95</v>
      </c>
      <c r="AR46" s="59" t="n">
        <f aca="false">(1+Price_Increase)^(AR$5-1)*(1-Annual_Share*Annual_Free/12)</f>
        <v>0.95</v>
      </c>
      <c r="AS46" s="59" t="n">
        <f aca="false">(1+Price_Increase)^(AS$5-1)*(1-Annual_Share*Annual_Free/12)</f>
        <v>0.95</v>
      </c>
      <c r="AT46" s="59" t="n">
        <f aca="false">(1+Price_Increase)^(AT$5-1)*(1-Annual_Share*Annual_Free/12)</f>
        <v>0.95</v>
      </c>
      <c r="AU46" s="59" t="n">
        <f aca="false">(1+Price_Increase)^(AU$5-1)*(1-Annual_Share*Annual_Free/12)</f>
        <v>0.95</v>
      </c>
      <c r="AV46" s="59" t="n">
        <f aca="false">(1+Price_Increase)^(AV$5-1)*(1-Annual_Share*Annual_Free/12)</f>
        <v>0.95</v>
      </c>
      <c r="AW46" s="59" t="n">
        <f aca="false">(1+Price_Increase)^(AW$5-1)*(1-Annual_Share*Annual_Free/12)</f>
        <v>0.95</v>
      </c>
      <c r="AX46" s="59" t="n">
        <f aca="false">(1+Price_Increase)^(AX$5-1)*(1-Annual_Share*Annual_Free/12)</f>
        <v>0.95</v>
      </c>
      <c r="AY46" s="59" t="n">
        <f aca="false">(1+Price_Increase)^(AY$5-1)*(1-Annual_Share*Annual_Free/12)</f>
        <v>0.95</v>
      </c>
      <c r="AZ46" s="59" t="n">
        <f aca="false">(1+Price_Increase)^(AZ$5-1)*(1-Annual_Share*Annual_Free/12)</f>
        <v>0.95</v>
      </c>
      <c r="BA46" s="59" t="n">
        <f aca="false">(1+Price_Increase)^(BA$5-1)*(1-Annual_Share*Annual_Free/12)</f>
        <v>0.95</v>
      </c>
      <c r="BB46" s="59" t="n">
        <f aca="false">(1+Price_Increase)^(BB$5-1)*(1-Annual_Share*Annual_Free/12)</f>
        <v>0.95</v>
      </c>
      <c r="BC46" s="59" t="n">
        <f aca="false">(1+Price_Increase)^(BC$5-1)*(1-Annual_Share*Annual_Free/12)</f>
        <v>0.95</v>
      </c>
      <c r="BD46" s="59" t="n">
        <f aca="false">(1+Price_Increase)^(BD$5-1)*(1-Annual_Share*Annual_Free/12)</f>
        <v>0.95</v>
      </c>
      <c r="BE46" s="59" t="n">
        <f aca="false">(1+Price_Increase)^(BE$5-1)*(1-Annual_Share*Annual_Free/12)</f>
        <v>0.95</v>
      </c>
      <c r="BF46" s="59" t="n">
        <f aca="false">(1+Price_Increase)^(BF$5-1)*(1-Annual_Share*Annual_Free/12)</f>
        <v>0.95</v>
      </c>
      <c r="BG46" s="59" t="n">
        <f aca="false">(1+Price_Increase)^(BG$5-1)*(1-Annual_Share*Annual_Free/12)</f>
        <v>0.95</v>
      </c>
      <c r="BH46" s="59" t="n">
        <f aca="false">(1+Price_Increase)^(BH$5-1)*(1-Annual_Share*Annual_Free/12)</f>
        <v>0.95</v>
      </c>
      <c r="BI46" s="59" t="n">
        <f aca="false">(1+Price_Increase)^(BI$5-1)*(1-Annual_Share*Annual_Free/12)</f>
        <v>0.95</v>
      </c>
      <c r="BJ46" s="59" t="n">
        <f aca="false">(1+Price_Increase)^(BJ$5-1)*(1-Annual_Share*Annual_Free/12)</f>
        <v>0.95</v>
      </c>
      <c r="BK46" s="59" t="n">
        <f aca="false">(1+Price_Increase)^(BK$5-1)*(1-Annual_Share*Annual_Free/12)</f>
        <v>0.95</v>
      </c>
      <c r="BL46" s="59" t="n">
        <f aca="false">(1+Price_Increase)^(BL$5-1)*(1-Annual_Share*Annual_Free/12)</f>
        <v>0.95</v>
      </c>
    </row>
    <row r="47" customFormat="false" ht="15" hidden="false" customHeight="false" outlineLevel="0" collapsed="false">
      <c r="A47" s="12" t="s">
        <v>785</v>
      </c>
      <c r="B47" s="14" t="s">
        <v>71</v>
      </c>
      <c r="D47" s="55" t="n">
        <f aca="false">SUM(E47:BL47)</f>
        <v>968224566.433309</v>
      </c>
      <c r="E47" s="37" t="n">
        <f aca="false">E26*Price_Petite*E46</f>
        <v>0</v>
      </c>
      <c r="F47" s="37" t="n">
        <f aca="false">F26*Price_Petite*F46</f>
        <v>0</v>
      </c>
      <c r="G47" s="37" t="n">
        <f aca="false">G26*Price_Petite*G46</f>
        <v>0</v>
      </c>
      <c r="H47" s="37" t="n">
        <f aca="false">H26*Price_Petite*H46</f>
        <v>0</v>
      </c>
      <c r="I47" s="37" t="n">
        <f aca="false">I26*Price_Petite*I46</f>
        <v>0</v>
      </c>
      <c r="J47" s="37" t="n">
        <f aca="false">J26*Price_Petite*J46</f>
        <v>0</v>
      </c>
      <c r="K47" s="37" t="n">
        <f aca="false">K26*Price_Petite*K46</f>
        <v>0</v>
      </c>
      <c r="L47" s="37" t="n">
        <f aca="false">L26*Price_Petite*L46</f>
        <v>285612.9601248</v>
      </c>
      <c r="M47" s="37" t="n">
        <f aca="false">M26*Price_Petite*M46</f>
        <v>587691.045304704</v>
      </c>
      <c r="N47" s="37" t="n">
        <f aca="false">N26*Price_Petite*N46</f>
        <v>887088.001283954</v>
      </c>
      <c r="O47" s="37" t="n">
        <f aca="false">O26*Price_Petite*O46</f>
        <v>1184059.07659674</v>
      </c>
      <c r="P47" s="37" t="n">
        <f aca="false">P26*Price_Petite*P46</f>
        <v>1478866.51236358</v>
      </c>
      <c r="Q47" s="37" t="n">
        <f aca="false">Q26*Price_Petite*Q46</f>
        <v>1771780.128293</v>
      </c>
      <c r="R47" s="37" t="n">
        <f aca="false">R26*Price_Petite*R46</f>
        <v>2061106.65251445</v>
      </c>
      <c r="S47" s="37" t="n">
        <f aca="false">S26*Price_Petite*S46</f>
        <v>2347172.3749787</v>
      </c>
      <c r="T47" s="37" t="n">
        <f aca="false">T26*Price_Petite*T46</f>
        <v>2728876.73272453</v>
      </c>
      <c r="U47" s="37" t="n">
        <f aca="false">U26*Price_Petite*U46</f>
        <v>3107999.85131018</v>
      </c>
      <c r="V47" s="37" t="n">
        <f aca="false">V26*Price_Petite*V46</f>
        <v>3484896.52639852</v>
      </c>
      <c r="W47" s="37" t="n">
        <f aca="false">W26*Price_Petite*W46</f>
        <v>3859932.64799196</v>
      </c>
      <c r="X47" s="37" t="n">
        <f aca="false">X26*Price_Petite*X46</f>
        <v>4227677.54196083</v>
      </c>
      <c r="Y47" s="37" t="n">
        <f aca="false">Y26*Price_Petite*Y46</f>
        <v>4588597.48462603</v>
      </c>
      <c r="Z47" s="37" t="n">
        <f aca="false">Z26*Price_Petite*Z46</f>
        <v>5233595.0538882</v>
      </c>
      <c r="AA47" s="37" t="n">
        <f aca="false">AA26*Price_Petite*AA46</f>
        <v>5874762.36482241</v>
      </c>
      <c r="AB47" s="37" t="n">
        <f aca="false">AB26*Price_Petite*AB46</f>
        <v>6512720.20417865</v>
      </c>
      <c r="AC47" s="37" t="n">
        <f aca="false">AC26*Price_Petite*AC46</f>
        <v>7146980.99386692</v>
      </c>
      <c r="AD47" s="37" t="n">
        <f aca="false">AD26*Price_Petite*AD46</f>
        <v>7774272.49330774</v>
      </c>
      <c r="AE47" s="37" t="n">
        <f aca="false">AE26*Price_Petite*AE46</f>
        <v>8451812.21727884</v>
      </c>
      <c r="AF47" s="37" t="n">
        <f aca="false">AF26*Price_Petite*AF46</f>
        <v>9321862.01800075</v>
      </c>
      <c r="AG47" s="37" t="n">
        <f aca="false">AG26*Price_Petite*AG46</f>
        <v>10186247.7556523</v>
      </c>
      <c r="AH47" s="37" t="n">
        <f aca="false">AH26*Price_Petite*AH46</f>
        <v>11045854.6434715</v>
      </c>
      <c r="AI47" s="37" t="n">
        <f aca="false">AI26*Price_Petite*AI46</f>
        <v>11958026.5063502</v>
      </c>
      <c r="AJ47" s="37" t="n">
        <f aca="false">AJ26*Price_Petite*AJ46</f>
        <v>12867277.9875562</v>
      </c>
      <c r="AK47" s="37" t="n">
        <f aca="false">AK26*Price_Petite*AK46</f>
        <v>13773458.2780581</v>
      </c>
      <c r="AL47" s="37" t="n">
        <f aca="false">AL26*Price_Petite*AL46</f>
        <v>14677603.3480052</v>
      </c>
      <c r="AM47" s="37" t="n">
        <f aca="false">AM26*Price_Petite*AM46</f>
        <v>15637216.9209238</v>
      </c>
      <c r="AN47" s="37" t="n">
        <f aca="false">AN26*Price_Petite*AN46</f>
        <v>16595854.6270168</v>
      </c>
      <c r="AO47" s="37" t="n">
        <f aca="false">AO26*Price_Petite*AO46</f>
        <v>17553680.9438985</v>
      </c>
      <c r="AP47" s="37" t="n">
        <f aca="false">AP26*Price_Petite*AP46</f>
        <v>18566401.153648</v>
      </c>
      <c r="AQ47" s="37" t="n">
        <f aca="false">AQ26*Price_Petite*AQ46</f>
        <v>19628578.5412401</v>
      </c>
      <c r="AR47" s="37" t="n">
        <f aca="false">AR26*Price_Petite*AR46</f>
        <v>20789399.5157203</v>
      </c>
      <c r="AS47" s="37" t="n">
        <f aca="false">AS26*Price_Petite*AS46</f>
        <v>22007064.8507092</v>
      </c>
      <c r="AT47" s="37" t="n">
        <f aca="false">AT26*Price_Petite*AT46</f>
        <v>23226855.7264036</v>
      </c>
      <c r="AU47" s="37" t="n">
        <f aca="false">AU26*Price_Petite*AU46</f>
        <v>24505213.4668335</v>
      </c>
      <c r="AV47" s="37" t="n">
        <f aca="false">AV26*Price_Petite*AV46</f>
        <v>25779685.9696879</v>
      </c>
      <c r="AW47" s="37" t="n">
        <f aca="false">AW26*Price_Petite*AW46</f>
        <v>27140596.0848966</v>
      </c>
      <c r="AX47" s="37" t="n">
        <f aca="false">AX26*Price_Petite*AX46</f>
        <v>28480425.0643572</v>
      </c>
      <c r="AY47" s="37" t="n">
        <f aca="false">AY26*Price_Petite*AY46</f>
        <v>29800030.4707782</v>
      </c>
      <c r="AZ47" s="37" t="n">
        <f aca="false">AZ26*Price_Petite*AZ46</f>
        <v>31154564.5320132</v>
      </c>
      <c r="BA47" s="37" t="n">
        <f aca="false">BA26*Price_Petite*BA46</f>
        <v>32488517.0971426</v>
      </c>
      <c r="BB47" s="37" t="n">
        <f aca="false">BB26*Price_Petite*BB46</f>
        <v>33906921.0715955</v>
      </c>
      <c r="BC47" s="37" t="n">
        <f aca="false">BC26*Price_Petite*BC46</f>
        <v>35303565.1313832</v>
      </c>
      <c r="BD47" s="37" t="n">
        <f aca="false">BD26*Price_Petite*BD46</f>
        <v>36834086.0608482</v>
      </c>
      <c r="BE47" s="37" t="n">
        <f aca="false">BE26*Price_Petite*BE46</f>
        <v>38342777.1078096</v>
      </c>
      <c r="BF47" s="37" t="n">
        <f aca="false">BF26*Price_Petite*BF46</f>
        <v>39886031.7624824</v>
      </c>
      <c r="BG47" s="37" t="n">
        <f aca="false">BG26*Price_Petite*BG46</f>
        <v>41459339.1748315</v>
      </c>
      <c r="BH47" s="37" t="n">
        <f aca="false">BH26*Price_Petite*BH46</f>
        <v>43067349.2011495</v>
      </c>
      <c r="BI47" s="37" t="n">
        <f aca="false">BI26*Price_Petite*BI46</f>
        <v>44654847.0912901</v>
      </c>
      <c r="BJ47" s="37" t="n">
        <f aca="false">BJ26*Price_Petite*BJ46</f>
        <v>46329159.0322376</v>
      </c>
      <c r="BK47" s="37" t="n">
        <f aca="false">BK26*Price_Petite*BK46</f>
        <v>47984353.2798926</v>
      </c>
      <c r="BL47" s="37" t="n">
        <f aca="false">BL26*Price_Petite*BL46</f>
        <v>49676221.1536108</v>
      </c>
    </row>
    <row r="48" customFormat="false" ht="15" hidden="false" customHeight="false" outlineLevel="0" collapsed="false">
      <c r="A48" s="12" t="s">
        <v>786</v>
      </c>
      <c r="B48" s="14" t="s">
        <v>71</v>
      </c>
      <c r="D48" s="55" t="n">
        <f aca="false">SUM(E48:BL48)</f>
        <v>1635655010.98489</v>
      </c>
      <c r="E48" s="37" t="n">
        <f aca="false">E27*Price_Moyenne*E46</f>
        <v>0</v>
      </c>
      <c r="F48" s="37" t="n">
        <f aca="false">F27*Price_Moyenne*F46</f>
        <v>0</v>
      </c>
      <c r="G48" s="37" t="n">
        <f aca="false">G27*Price_Moyenne*G46</f>
        <v>0</v>
      </c>
      <c r="H48" s="37" t="n">
        <f aca="false">H27*Price_Moyenne*H46</f>
        <v>0</v>
      </c>
      <c r="I48" s="37" t="n">
        <f aca="false">I27*Price_Moyenne*I46</f>
        <v>0</v>
      </c>
      <c r="J48" s="37" t="n">
        <f aca="false">J27*Price_Moyenne*J46</f>
        <v>0</v>
      </c>
      <c r="K48" s="37" t="n">
        <f aca="false">K27*Price_Moyenne*K46</f>
        <v>0</v>
      </c>
      <c r="L48" s="37" t="n">
        <f aca="false">L27*Price_Moyenne*L46</f>
        <v>453020.961641016</v>
      </c>
      <c r="M48" s="37" t="n">
        <f aca="false">M27*Price_Moyenne*M46</f>
        <v>923410.430840003</v>
      </c>
      <c r="N48" s="37" t="n">
        <f aca="false">N27*Price_Moyenne*N46</f>
        <v>1393124.02974717</v>
      </c>
      <c r="O48" s="37" t="n">
        <f aca="false">O27*Price_Moyenne*O46</f>
        <v>1862482.44662556</v>
      </c>
      <c r="P48" s="37" t="n">
        <f aca="false">P27*Price_Moyenne*P46</f>
        <v>2331821.09552799</v>
      </c>
      <c r="Q48" s="37" t="n">
        <f aca="false">Q27*Price_Moyenne*Q46</f>
        <v>2801491.05628825</v>
      </c>
      <c r="R48" s="37" t="n">
        <f aca="false">R27*Price_Moyenne*R46</f>
        <v>3269999.54270626</v>
      </c>
      <c r="S48" s="37" t="n">
        <f aca="false">S27*Price_Moyenne*S46</f>
        <v>3737755.26887135</v>
      </c>
      <c r="T48" s="37" t="n">
        <f aca="false">T27*Price_Moyenne*T46</f>
        <v>4354027.69168631</v>
      </c>
      <c r="U48" s="37" t="n">
        <f aca="false">U27*Price_Moyenne*U46</f>
        <v>4970421.59818664</v>
      </c>
      <c r="V48" s="37" t="n">
        <f aca="false">V27*Price_Moyenne*V46</f>
        <v>5587404.96316449</v>
      </c>
      <c r="W48" s="37" t="n">
        <f aca="false">W27*Price_Moyenne*W46</f>
        <v>6205468.08132744</v>
      </c>
      <c r="X48" s="37" t="n">
        <f aca="false">X27*Price_Moyenne*X46</f>
        <v>6819642.81347549</v>
      </c>
      <c r="Y48" s="37" t="n">
        <f aca="false">Y27*Price_Moyenne*Y46</f>
        <v>7430498.59176158</v>
      </c>
      <c r="Z48" s="37" t="n">
        <f aca="false">Z27*Price_Moyenne*Z46</f>
        <v>8477202.18007636</v>
      </c>
      <c r="AA48" s="37" t="n">
        <f aca="false">AA27*Price_Moyenne*AA46</f>
        <v>9524867.38737991</v>
      </c>
      <c r="AB48" s="37" t="n">
        <f aca="false">AB27*Price_Moyenne*AB46</f>
        <v>10574324.9182654</v>
      </c>
      <c r="AC48" s="37" t="n">
        <f aca="false">AC27*Price_Moyenne*AC46</f>
        <v>11625380.4695086</v>
      </c>
      <c r="AD48" s="37" t="n">
        <f aca="false">AD27*Price_Moyenne*AD46</f>
        <v>12675225.6939744</v>
      </c>
      <c r="AE48" s="37" t="n">
        <f aca="false">AE27*Price_Moyenne*AE46</f>
        <v>13810094.4195046</v>
      </c>
      <c r="AF48" s="37" t="n">
        <f aca="false">AF27*Price_Moyenne*AF46</f>
        <v>15244658.5605179</v>
      </c>
      <c r="AG48" s="37" t="n">
        <f aca="false">AG27*Price_Moyenne*AG46</f>
        <v>16680149.1502439</v>
      </c>
      <c r="AH48" s="37" t="n">
        <f aca="false">AH27*Price_Moyenne*AH46</f>
        <v>18117750.0293524</v>
      </c>
      <c r="AI48" s="37" t="n">
        <f aca="false">AI27*Price_Moyenne*AI46</f>
        <v>19643916.9657811</v>
      </c>
      <c r="AJ48" s="37" t="n">
        <f aca="false">AJ27*Price_Moyenne*AJ46</f>
        <v>21174736.2466623</v>
      </c>
      <c r="AK48" s="37" t="n">
        <f aca="false">AK27*Price_Moyenne*AK46</f>
        <v>22710508.2960596</v>
      </c>
      <c r="AL48" s="37" t="n">
        <f aca="false">AL27*Price_Moyenne*AL46</f>
        <v>24252680.3961883</v>
      </c>
      <c r="AM48" s="37" t="n">
        <f aca="false">AM27*Price_Moyenne*AM46</f>
        <v>25887987.2897452</v>
      </c>
      <c r="AN48" s="37" t="n">
        <f aca="false">AN27*Price_Moyenne*AN46</f>
        <v>27531745.5197432</v>
      </c>
      <c r="AO48" s="37" t="n">
        <f aca="false">AO27*Price_Moyenne*AO46</f>
        <v>29184688.2473333</v>
      </c>
      <c r="AP48" s="37" t="n">
        <f aca="false">AP27*Price_Moyenne*AP46</f>
        <v>30931960.4586989</v>
      </c>
      <c r="AQ48" s="37" t="n">
        <f aca="false">AQ27*Price_Moyenne*AQ46</f>
        <v>32765881.1743897</v>
      </c>
      <c r="AR48" s="37" t="n">
        <f aca="false">AR27*Price_Moyenne*AR46</f>
        <v>34760615.4742949</v>
      </c>
      <c r="AS48" s="37" t="n">
        <f aca="false">AS27*Price_Moyenne*AS46</f>
        <v>36853590.5951015</v>
      </c>
      <c r="AT48" s="37" t="n">
        <f aca="false">AT27*Price_Moyenne*AT46</f>
        <v>38961990.9875166</v>
      </c>
      <c r="AU48" s="37" t="n">
        <f aca="false">AU27*Price_Moyenne*AU46</f>
        <v>41171885.4282823</v>
      </c>
      <c r="AV48" s="37" t="n">
        <f aca="false">AV27*Price_Moyenne*AV46</f>
        <v>43388562.0259474</v>
      </c>
      <c r="AW48" s="37" t="n">
        <f aca="false">AW27*Price_Moyenne*AW46</f>
        <v>45748029.6033477</v>
      </c>
      <c r="AX48" s="37" t="n">
        <f aca="false">AX27*Price_Moyenne*AX46</f>
        <v>48088190.3295941</v>
      </c>
      <c r="AY48" s="37" t="n">
        <f aca="false">AY27*Price_Moyenne*AY46</f>
        <v>50409960.6411896</v>
      </c>
      <c r="AZ48" s="37" t="n">
        <f aca="false">AZ27*Price_Moyenne*AZ46</f>
        <v>52797477.1689832</v>
      </c>
      <c r="BA48" s="37" t="n">
        <f aca="false">BA27*Price_Moyenne*BA46</f>
        <v>55166526.8161028</v>
      </c>
      <c r="BB48" s="37" t="n">
        <f aca="false">BB27*Price_Moyenne*BB46</f>
        <v>57677113.0569873</v>
      </c>
      <c r="BC48" s="37" t="n">
        <f aca="false">BC27*Price_Moyenne*BC46</f>
        <v>60168434.3397509</v>
      </c>
      <c r="BD48" s="37" t="n">
        <f aca="false">BD27*Price_Moyenne*BD46</f>
        <v>62875763.1261136</v>
      </c>
      <c r="BE48" s="37" t="n">
        <f aca="false">BE27*Price_Moyenne*BE46</f>
        <v>65564144.8145082</v>
      </c>
      <c r="BF48" s="37" t="n">
        <f aca="false">BF27*Price_Moyenne*BF46</f>
        <v>68318981.1582462</v>
      </c>
      <c r="BG48" s="37" t="n">
        <f aca="false">BG27*Price_Moyenne*BG46</f>
        <v>71133061.1698477</v>
      </c>
      <c r="BH48" s="37" t="n">
        <f aca="false">BH27*Price_Moyenne*BH46</f>
        <v>74014241.1846689</v>
      </c>
      <c r="BI48" s="37" t="n">
        <f aca="false">BI27*Price_Moyenne*BI46</f>
        <v>76878741.6429965</v>
      </c>
      <c r="BJ48" s="37" t="n">
        <f aca="false">BJ27*Price_Moyenne*BJ46</f>
        <v>79888895.8947832</v>
      </c>
      <c r="BK48" s="37" t="n">
        <f aca="false">BK27*Price_Moyenne*BK46</f>
        <v>82884357.0594369</v>
      </c>
      <c r="BL48" s="37" t="n">
        <f aca="false">BL27*Price_Moyenne*BL46</f>
        <v>85950122.4919129</v>
      </c>
    </row>
    <row r="49" customFormat="false" ht="15" hidden="false" customHeight="false" outlineLevel="0" collapsed="false">
      <c r="A49" s="12" t="s">
        <v>787</v>
      </c>
      <c r="B49" s="14" t="s">
        <v>71</v>
      </c>
      <c r="D49" s="55" t="n">
        <f aca="false">SUM(E49:BL49)</f>
        <v>1574140992.03668</v>
      </c>
      <c r="E49" s="37" t="n">
        <f aca="false">E28*Price_Grande*E46</f>
        <v>0</v>
      </c>
      <c r="F49" s="37" t="n">
        <f aca="false">F28*Price_Grande*F46</f>
        <v>0</v>
      </c>
      <c r="G49" s="37" t="n">
        <f aca="false">G28*Price_Grande*G46</f>
        <v>0</v>
      </c>
      <c r="H49" s="37" t="n">
        <f aca="false">H28*Price_Grande*H46</f>
        <v>0</v>
      </c>
      <c r="I49" s="37" t="n">
        <f aca="false">I28*Price_Grande*I46</f>
        <v>0</v>
      </c>
      <c r="J49" s="37" t="n">
        <f aca="false">J28*Price_Grande*J46</f>
        <v>0</v>
      </c>
      <c r="K49" s="37" t="n">
        <f aca="false">K28*Price_Grande*K46</f>
        <v>0</v>
      </c>
      <c r="L49" s="37" t="n">
        <f aca="false">L28*Price_Grande*L46</f>
        <v>416531.239220524</v>
      </c>
      <c r="M49" s="37" t="n">
        <f aca="false">M28*Price_Grande*M46</f>
        <v>844134.507553603</v>
      </c>
      <c r="N49" s="37" t="n">
        <f aca="false">N28*Price_Grande*N46</f>
        <v>1273243.04177182</v>
      </c>
      <c r="O49" s="37" t="n">
        <f aca="false">O28*Price_Grande*O46</f>
        <v>1704128.28980489</v>
      </c>
      <c r="P49" s="37" t="n">
        <f aca="false">P28*Price_Grande*P46</f>
        <v>2137076.6279685</v>
      </c>
      <c r="Q49" s="37" t="n">
        <f aca="false">Q28*Price_Grande*Q46</f>
        <v>2572390.2668561</v>
      </c>
      <c r="R49" s="37" t="n">
        <f aca="false">R28*Price_Grande*R46</f>
        <v>3009393.85600789</v>
      </c>
      <c r="S49" s="37" t="n">
        <f aca="false">S28*Price_Grande*S46</f>
        <v>3448431.67028024</v>
      </c>
      <c r="T49" s="37" t="n">
        <f aca="false">T28*Price_Grande*T46</f>
        <v>4022447.55277042</v>
      </c>
      <c r="U49" s="37" t="n">
        <f aca="false">U28*Price_Grande*U46</f>
        <v>4599243.85857296</v>
      </c>
      <c r="V49" s="37" t="n">
        <f aca="false">V28*Price_Grande*V46</f>
        <v>5179224.86705888</v>
      </c>
      <c r="W49" s="37" t="n">
        <f aca="false">W28*Price_Grande*W46</f>
        <v>5762817.33345667</v>
      </c>
      <c r="X49" s="37" t="n">
        <f aca="false">X28*Price_Grande*X46</f>
        <v>6347541.91776052</v>
      </c>
      <c r="Y49" s="37" t="n">
        <f aca="false">Y28*Price_Grande*Y46</f>
        <v>6933875.97440038</v>
      </c>
      <c r="Z49" s="37" t="n">
        <f aca="false">Z28*Price_Grande*Z46</f>
        <v>7912980.16170016</v>
      </c>
      <c r="AA49" s="37" t="n">
        <f aca="false">AA28*Price_Grande*AA46</f>
        <v>8897459.37914165</v>
      </c>
      <c r="AB49" s="37" t="n">
        <f aca="false">AB28*Price_Grande*AB46</f>
        <v>9888036.41269159</v>
      </c>
      <c r="AC49" s="37" t="n">
        <f aca="false">AC28*Price_Grande*AC46</f>
        <v>10884905.1258435</v>
      </c>
      <c r="AD49" s="37" t="n">
        <f aca="false">AD28*Price_Grande*AD46</f>
        <v>11886879.4471916</v>
      </c>
      <c r="AE49" s="37" t="n">
        <f aca="false">AE28*Price_Grande*AE46</f>
        <v>12970734.9474271</v>
      </c>
      <c r="AF49" s="37" t="n">
        <f aca="false">AF28*Price_Grande*AF46</f>
        <v>14327658.7330596</v>
      </c>
      <c r="AG49" s="37" t="n">
        <f aca="false">AG28*Price_Grande*AG46</f>
        <v>15691877.4708041</v>
      </c>
      <c r="AH49" s="37" t="n">
        <f aca="false">AH28*Price_Grande*AH46</f>
        <v>17064418.9186001</v>
      </c>
      <c r="AI49" s="37" t="n">
        <f aca="false">AI28*Price_Grande*AI46</f>
        <v>18522273.0744072</v>
      </c>
      <c r="AJ49" s="37" t="n">
        <f aca="false">AJ28*Price_Grande*AJ46</f>
        <v>19990680.6437975</v>
      </c>
      <c r="AK49" s="37" t="n">
        <f aca="false">AK28*Price_Grande*AK46</f>
        <v>21470282.4278543</v>
      </c>
      <c r="AL49" s="37" t="n">
        <f aca="false">AL28*Price_Grande*AL46</f>
        <v>22962361.0635039</v>
      </c>
      <c r="AM49" s="37" t="n">
        <f aca="false">AM28*Price_Grande*AM46</f>
        <v>24544176.5635075</v>
      </c>
      <c r="AN49" s="37" t="n">
        <f aca="false">AN28*Price_Grande*AN46</f>
        <v>26140686.4058799</v>
      </c>
      <c r="AO49" s="37" t="n">
        <f aca="false">AO28*Price_Grande*AO46</f>
        <v>27752895.6590705</v>
      </c>
      <c r="AP49" s="37" t="n">
        <f aca="false">AP28*Price_Grande*AP46</f>
        <v>29457322.5148512</v>
      </c>
      <c r="AQ49" s="37" t="n">
        <f aca="false">AQ28*Price_Grande*AQ46</f>
        <v>31247513.651627</v>
      </c>
      <c r="AR49" s="37" t="n">
        <f aca="false">AR28*Price_Grande*AR46</f>
        <v>33189542.9684235</v>
      </c>
      <c r="AS49" s="37" t="n">
        <f aca="false">AS28*Price_Grande*AS46</f>
        <v>35228075.8649501</v>
      </c>
      <c r="AT49" s="37" t="n">
        <f aca="false">AT28*Price_Grande*AT46</f>
        <v>37289314.8230579</v>
      </c>
      <c r="AU49" s="37" t="n">
        <f aca="false">AU28*Price_Grande*AU46</f>
        <v>39450500.0197836</v>
      </c>
      <c r="AV49" s="37" t="n">
        <f aca="false">AV28*Price_Grande*AV46</f>
        <v>41627111.3286618</v>
      </c>
      <c r="AW49" s="37" t="n">
        <f aca="false">AW28*Price_Grande*AW46</f>
        <v>43940147.7450201</v>
      </c>
      <c r="AX49" s="37" t="n">
        <f aca="false">AX28*Price_Grande*AX46</f>
        <v>46245455.6496151</v>
      </c>
      <c r="AY49" s="37" t="n">
        <f aca="false">AY28*Price_Grande*AY46</f>
        <v>48543704.3192166</v>
      </c>
      <c r="AZ49" s="37" t="n">
        <f aca="false">AZ28*Price_Grande*AZ46</f>
        <v>50910418.0435444</v>
      </c>
      <c r="BA49" s="37" t="n">
        <f aca="false">BA28*Price_Grande*BA46</f>
        <v>53270434.4933982</v>
      </c>
      <c r="BB49" s="37" t="n">
        <f aca="false">BB28*Price_Grande*BB46</f>
        <v>55767180.2483188</v>
      </c>
      <c r="BC49" s="37" t="n">
        <f aca="false">BC28*Price_Grande*BC46</f>
        <v>58257263.7532599</v>
      </c>
      <c r="BD49" s="37" t="n">
        <f aca="false">BD28*Price_Grande*BD46</f>
        <v>60950481.562197</v>
      </c>
      <c r="BE49" s="37" t="n">
        <f aca="false">BE28*Price_Grande*BE46</f>
        <v>63637738.4016774</v>
      </c>
      <c r="BF49" s="37" t="n">
        <f aca="false">BF28*Price_Grande*BF46</f>
        <v>66395333.8800934</v>
      </c>
      <c r="BG49" s="37" t="n">
        <f aca="false">BG28*Price_Grande*BG46</f>
        <v>69216693.5850921</v>
      </c>
      <c r="BH49" s="37" t="n">
        <f aca="false">BH28*Price_Grande*BH46</f>
        <v>72109393.2978092</v>
      </c>
      <c r="BI49" s="37" t="n">
        <f aca="false">BI28*Price_Grande*BI46</f>
        <v>74998657.0240423</v>
      </c>
      <c r="BJ49" s="37" t="n">
        <f aca="false">BJ28*Price_Grande*BJ46</f>
        <v>78029321.2006466</v>
      </c>
      <c r="BK49" s="37" t="n">
        <f aca="false">BK28*Price_Grande*BK46</f>
        <v>81058417.5522184</v>
      </c>
      <c r="BL49" s="37" t="n">
        <f aca="false">BL28*Price_Grande*BL46</f>
        <v>84162182.6712132</v>
      </c>
    </row>
    <row r="50" customFormat="false" ht="15" hidden="false" customHeight="false" outlineLevel="0" collapsed="false">
      <c r="A50" s="8" t="s">
        <v>788</v>
      </c>
      <c r="B50" s="14" t="s">
        <v>71</v>
      </c>
      <c r="D50" s="55" t="n">
        <f aca="false">SUM(E50:BL50)</f>
        <v>4178020569.45488</v>
      </c>
      <c r="E50" s="16" t="n">
        <f aca="false">E47+E48+E49</f>
        <v>0</v>
      </c>
      <c r="F50" s="16" t="n">
        <f aca="false">F47+F48+F49</f>
        <v>0</v>
      </c>
      <c r="G50" s="16" t="n">
        <f aca="false">G47+G48+G49</f>
        <v>0</v>
      </c>
      <c r="H50" s="16" t="n">
        <f aca="false">H47+H48+H49</f>
        <v>0</v>
      </c>
      <c r="I50" s="16" t="n">
        <f aca="false">I47+I48+I49</f>
        <v>0</v>
      </c>
      <c r="J50" s="16" t="n">
        <f aca="false">J47+J48+J49</f>
        <v>0</v>
      </c>
      <c r="K50" s="16" t="n">
        <f aca="false">K47+K48+K49</f>
        <v>0</v>
      </c>
      <c r="L50" s="16" t="n">
        <f aca="false">L47+L48+L49</f>
        <v>1155165.16098634</v>
      </c>
      <c r="M50" s="16" t="n">
        <f aca="false">M47+M48+M49</f>
        <v>2355235.98369831</v>
      </c>
      <c r="N50" s="16" t="n">
        <f aca="false">N47+N48+N49</f>
        <v>3553455.07280295</v>
      </c>
      <c r="O50" s="16" t="n">
        <f aca="false">O47+O48+O49</f>
        <v>4750669.81302719</v>
      </c>
      <c r="P50" s="16" t="n">
        <f aca="false">P47+P48+P49</f>
        <v>5947764.23586006</v>
      </c>
      <c r="Q50" s="16" t="n">
        <f aca="false">Q47+Q48+Q49</f>
        <v>7145661.45143735</v>
      </c>
      <c r="R50" s="16" t="n">
        <f aca="false">R47+R48+R49</f>
        <v>8340500.0512286</v>
      </c>
      <c r="S50" s="16" t="n">
        <f aca="false">S47+S48+S49</f>
        <v>9533359.31413029</v>
      </c>
      <c r="T50" s="16" t="n">
        <f aca="false">T47+T48+T49</f>
        <v>11105351.9771813</v>
      </c>
      <c r="U50" s="16" t="n">
        <f aca="false">U47+U48+U49</f>
        <v>12677665.3080698</v>
      </c>
      <c r="V50" s="16" t="n">
        <f aca="false">V47+V48+V49</f>
        <v>14251526.3566219</v>
      </c>
      <c r="W50" s="16" t="n">
        <f aca="false">W47+W48+W49</f>
        <v>15828218.0627761</v>
      </c>
      <c r="X50" s="16" t="n">
        <f aca="false">X47+X48+X49</f>
        <v>17394862.2731968</v>
      </c>
      <c r="Y50" s="16" t="n">
        <f aca="false">Y47+Y48+Y49</f>
        <v>18952972.050788</v>
      </c>
      <c r="Z50" s="16" t="n">
        <f aca="false">Z47+Z48+Z49</f>
        <v>21623777.3956647</v>
      </c>
      <c r="AA50" s="16" t="n">
        <f aca="false">AA47+AA48+AA49</f>
        <v>24297089.131344</v>
      </c>
      <c r="AB50" s="16" t="n">
        <f aca="false">AB47+AB48+AB49</f>
        <v>26975081.5351357</v>
      </c>
      <c r="AC50" s="16" t="n">
        <f aca="false">AC47+AC48+AC49</f>
        <v>29657266.589219</v>
      </c>
      <c r="AD50" s="16" t="n">
        <f aca="false">AD47+AD48+AD49</f>
        <v>32336377.6344738</v>
      </c>
      <c r="AE50" s="16" t="n">
        <f aca="false">AE47+AE48+AE49</f>
        <v>35232641.5842106</v>
      </c>
      <c r="AF50" s="16" t="n">
        <f aca="false">AF47+AF48+AF49</f>
        <v>38894179.3115782</v>
      </c>
      <c r="AG50" s="16" t="n">
        <f aca="false">AG47+AG48+AG49</f>
        <v>42558274.3767003</v>
      </c>
      <c r="AH50" s="16" t="n">
        <f aca="false">AH47+AH48+AH49</f>
        <v>46228023.5914239</v>
      </c>
      <c r="AI50" s="16" t="n">
        <f aca="false">AI47+AI48+AI49</f>
        <v>50124216.5465385</v>
      </c>
      <c r="AJ50" s="16" t="n">
        <f aca="false">AJ47+AJ48+AJ49</f>
        <v>54032694.878016</v>
      </c>
      <c r="AK50" s="16" t="n">
        <f aca="false">AK47+AK48+AK49</f>
        <v>57954249.0019721</v>
      </c>
      <c r="AL50" s="16" t="n">
        <f aca="false">AL47+AL48+AL49</f>
        <v>61892644.8076974</v>
      </c>
      <c r="AM50" s="16" t="n">
        <f aca="false">AM47+AM48+AM49</f>
        <v>66069380.7741765</v>
      </c>
      <c r="AN50" s="16" t="n">
        <f aca="false">AN47+AN48+AN49</f>
        <v>70268286.5526399</v>
      </c>
      <c r="AO50" s="16" t="n">
        <f aca="false">AO47+AO48+AO49</f>
        <v>74491264.8503024</v>
      </c>
      <c r="AP50" s="16" t="n">
        <f aca="false">AP47+AP48+AP49</f>
        <v>78955684.1271981</v>
      </c>
      <c r="AQ50" s="16" t="n">
        <f aca="false">AQ47+AQ48+AQ49</f>
        <v>83641973.3672568</v>
      </c>
      <c r="AR50" s="16" t="n">
        <f aca="false">AR47+AR48+AR49</f>
        <v>88739557.9584388</v>
      </c>
      <c r="AS50" s="16" t="n">
        <f aca="false">AS47+AS48+AS49</f>
        <v>94088731.3107607</v>
      </c>
      <c r="AT50" s="16" t="n">
        <f aca="false">AT47+AT48+AT49</f>
        <v>99478161.5369781</v>
      </c>
      <c r="AU50" s="16" t="n">
        <f aca="false">AU47+AU48+AU49</f>
        <v>105127598.914899</v>
      </c>
      <c r="AV50" s="16" t="n">
        <f aca="false">AV47+AV48+AV49</f>
        <v>110795359.324297</v>
      </c>
      <c r="AW50" s="16" t="n">
        <f aca="false">AW47+AW48+AW49</f>
        <v>116828773.433264</v>
      </c>
      <c r="AX50" s="16" t="n">
        <f aca="false">AX47+AX48+AX49</f>
        <v>122814071.043566</v>
      </c>
      <c r="AY50" s="16" t="n">
        <f aca="false">AY47+AY48+AY49</f>
        <v>128753695.431184</v>
      </c>
      <c r="AZ50" s="16" t="n">
        <f aca="false">AZ47+AZ48+AZ49</f>
        <v>134862459.744541</v>
      </c>
      <c r="BA50" s="16" t="n">
        <f aca="false">BA47+BA48+BA49</f>
        <v>140925478.406644</v>
      </c>
      <c r="BB50" s="16" t="n">
        <f aca="false">BB47+BB48+BB49</f>
        <v>147351214.376902</v>
      </c>
      <c r="BC50" s="16" t="n">
        <f aca="false">BC47+BC48+BC49</f>
        <v>153729263.224394</v>
      </c>
      <c r="BD50" s="16" t="n">
        <f aca="false">BD47+BD48+BD49</f>
        <v>160660330.749159</v>
      </c>
      <c r="BE50" s="16" t="n">
        <f aca="false">BE47+BE48+BE49</f>
        <v>167544660.323995</v>
      </c>
      <c r="BF50" s="16" t="n">
        <f aca="false">BF47+BF48+BF49</f>
        <v>174600346.800822</v>
      </c>
      <c r="BG50" s="16" t="n">
        <f aca="false">BG47+BG48+BG49</f>
        <v>181809093.929771</v>
      </c>
      <c r="BH50" s="16" t="n">
        <f aca="false">BH47+BH48+BH49</f>
        <v>189190983.683628</v>
      </c>
      <c r="BI50" s="16" t="n">
        <f aca="false">BI47+BI48+BI49</f>
        <v>196532245.758329</v>
      </c>
      <c r="BJ50" s="16" t="n">
        <f aca="false">BJ47+BJ48+BJ49</f>
        <v>204247376.127667</v>
      </c>
      <c r="BK50" s="16" t="n">
        <f aca="false">BK47+BK48+BK49</f>
        <v>211927127.891548</v>
      </c>
      <c r="BL50" s="16" t="n">
        <f aca="false">BL47+BL48+BL49</f>
        <v>219788526.316737</v>
      </c>
    </row>
    <row r="51" customFormat="false" ht="15" hidden="false" customHeight="false" outlineLevel="0" collapsed="false">
      <c r="A51" s="12" t="s">
        <v>536</v>
      </c>
      <c r="B51" s="14" t="s">
        <v>71</v>
      </c>
      <c r="D51" s="55" t="n">
        <f aca="false">SUM(E51:BL51)</f>
        <v>2096589880.69431</v>
      </c>
      <c r="E51" s="37" t="n">
        <f aca="false">E37*FX_Fee</f>
        <v>0</v>
      </c>
      <c r="F51" s="37" t="n">
        <f aca="false">F37*FX_Fee</f>
        <v>0</v>
      </c>
      <c r="G51" s="37" t="n">
        <f aca="false">G37*FX_Fee</f>
        <v>0</v>
      </c>
      <c r="H51" s="37" t="n">
        <f aca="false">H37*FX_Fee</f>
        <v>0</v>
      </c>
      <c r="I51" s="37" t="n">
        <f aca="false">I37*FX_Fee</f>
        <v>511453.333333333</v>
      </c>
      <c r="J51" s="37" t="n">
        <f aca="false">J37*FX_Fee</f>
        <v>1022083.36666667</v>
      </c>
      <c r="K51" s="37" t="n">
        <f aca="false">K37*FX_Fee</f>
        <v>1532231.16475</v>
      </c>
      <c r="L51" s="37" t="n">
        <f aca="false">L37*FX_Fee</f>
        <v>2042252.72652271</v>
      </c>
      <c r="M51" s="37" t="n">
        <f aca="false">M37*FX_Fee</f>
        <v>2552519.96864393</v>
      </c>
      <c r="N51" s="37" t="n">
        <f aca="false">N37*FX_Fee</f>
        <v>3063421.76653381</v>
      </c>
      <c r="O51" s="37" t="n">
        <f aca="false">O37*FX_Fee</f>
        <v>3575365.05640338</v>
      </c>
      <c r="P51" s="37" t="n">
        <f aca="false">P37*FX_Fee</f>
        <v>4088776.00195925</v>
      </c>
      <c r="Q51" s="37" t="n">
        <f aca="false">Q37*FX_Fee</f>
        <v>4759554.56302296</v>
      </c>
      <c r="R51" s="37" t="n">
        <f aca="false">R37*FX_Fee</f>
        <v>5430842.50353904</v>
      </c>
      <c r="S51" s="37" t="n">
        <f aca="false">S37*FX_Fee</f>
        <v>6103157.21644362</v>
      </c>
      <c r="T51" s="37" t="n">
        <f aca="false">T37*FX_Fee</f>
        <v>6777040.3173385</v>
      </c>
      <c r="U51" s="37" t="n">
        <f aca="false">U37*FX_Fee</f>
        <v>7453059.20482261</v>
      </c>
      <c r="V51" s="37" t="n">
        <f aca="false">V37*FX_Fee</f>
        <v>8131808.71261955</v>
      </c>
      <c r="W51" s="37" t="n">
        <f aca="false">W37*FX_Fee</f>
        <v>9271966.19237514</v>
      </c>
      <c r="X51" s="37" t="n">
        <f aca="false">X37*FX_Fee</f>
        <v>10413817.5663309</v>
      </c>
      <c r="Y51" s="37" t="n">
        <f aca="false">Y37*FX_Fee</f>
        <v>11558280.6579311</v>
      </c>
      <c r="Z51" s="37" t="n">
        <f aca="false">Z37*FX_Fee</f>
        <v>12706316.9395132</v>
      </c>
      <c r="AA51" s="37" t="n">
        <f aca="false">AA37*FX_Fee</f>
        <v>13858934.33016</v>
      </c>
      <c r="AB51" s="37" t="n">
        <f aca="false">AB37*FX_Fee</f>
        <v>15106190.1583748</v>
      </c>
      <c r="AC51" s="37" t="n">
        <f aca="false">AC37*FX_Fee</f>
        <v>16671215.1328566</v>
      </c>
      <c r="AD51" s="37" t="n">
        <f aca="false">AD37*FX_Fee</f>
        <v>18239335.5589999</v>
      </c>
      <c r="AE51" s="37" t="n">
        <f aca="false">AE37*FX_Fee</f>
        <v>19811843.0120451</v>
      </c>
      <c r="AF51" s="37" t="n">
        <f aca="false">AF37*FX_Fee</f>
        <v>21479091.1551114</v>
      </c>
      <c r="AG51" s="37" t="n">
        <f aca="false">AG37*FX_Fee</f>
        <v>23152427.2049838</v>
      </c>
      <c r="AH51" s="37" t="n">
        <f aca="false">AH37*FX_Fee</f>
        <v>24833355.9255108</v>
      </c>
      <c r="AI51" s="37" t="n">
        <f aca="false">AI37*FX_Fee</f>
        <v>26523456.5523882</v>
      </c>
      <c r="AJ51" s="37" t="n">
        <f aca="false">AJ37*FX_Fee</f>
        <v>28313387.5075574</v>
      </c>
      <c r="AK51" s="37" t="n">
        <f aca="false">AK37*FX_Fee</f>
        <v>30114818.8922952</v>
      </c>
      <c r="AL51" s="37" t="n">
        <f aca="false">AL37*FX_Fee</f>
        <v>31929597.5695421</v>
      </c>
      <c r="AM51" s="37" t="n">
        <f aca="false">AM37*FX_Fee</f>
        <v>33848665.2429442</v>
      </c>
      <c r="AN51" s="37" t="n">
        <f aca="false">AN37*FX_Fee</f>
        <v>35864091.894754</v>
      </c>
      <c r="AO51" s="37" t="n">
        <f aca="false">AO37*FX_Fee</f>
        <v>38052429.9529064</v>
      </c>
      <c r="AP51" s="37" t="n">
        <f aca="false">AP37*FX_Fee</f>
        <v>40347643.9458522</v>
      </c>
      <c r="AQ51" s="37" t="n">
        <f aca="false">AQ37*FX_Fee</f>
        <v>42662098.7346823</v>
      </c>
      <c r="AR51" s="37" t="n">
        <f aca="false">AR37*FX_Fee</f>
        <v>45087373.9195864</v>
      </c>
      <c r="AS51" s="37" t="n">
        <f aca="false">AS37*FX_Fee</f>
        <v>47523006.3264103</v>
      </c>
      <c r="AT51" s="37" t="n">
        <f aca="false">AT37*FX_Fee</f>
        <v>50110726.0990357</v>
      </c>
      <c r="AU51" s="37" t="n">
        <f aca="false">AU37*FX_Fee</f>
        <v>52680332.5683433</v>
      </c>
      <c r="AV51" s="37" t="n">
        <f aca="false">AV37*FX_Fee</f>
        <v>55232820.254286</v>
      </c>
      <c r="AW51" s="37" t="n">
        <f aca="false">AW37*FX_Fee</f>
        <v>57858214.7473535</v>
      </c>
      <c r="AX51" s="37" t="n">
        <f aca="false">AX37*FX_Fee</f>
        <v>60467502.5142605</v>
      </c>
      <c r="AY51" s="37" t="n">
        <f aca="false">AY37*FX_Fee</f>
        <v>63230893.1282881</v>
      </c>
      <c r="AZ51" s="37" t="n">
        <f aca="false">AZ37*FX_Fee</f>
        <v>65978396.5719353</v>
      </c>
      <c r="BA51" s="37" t="n">
        <f aca="false">BA37*FX_Fee</f>
        <v>68956869.5717485</v>
      </c>
      <c r="BB51" s="37" t="n">
        <f aca="false">BB37*FX_Fee</f>
        <v>71918972.0879047</v>
      </c>
      <c r="BC51" s="37" t="n">
        <f aca="false">BC37*FX_Fee</f>
        <v>74955051.4010322</v>
      </c>
      <c r="BD51" s="37" t="n">
        <f aca="false">BD37*FX_Fee</f>
        <v>78056531.2809776</v>
      </c>
      <c r="BE51" s="37" t="n">
        <f aca="false">BE37*FX_Fee</f>
        <v>81232809.9593914</v>
      </c>
      <c r="BF51" s="37" t="n">
        <f aca="false">BF37*FX_Fee</f>
        <v>84395347.5476179</v>
      </c>
      <c r="BG51" s="37" t="n">
        <f aca="false">BG37*FX_Fee</f>
        <v>87714850.8996177</v>
      </c>
      <c r="BH51" s="37" t="n">
        <f aca="false">BH37*FX_Fee</f>
        <v>91021852.4044907</v>
      </c>
      <c r="BI51" s="37" t="n">
        <f aca="false">BI37*FX_Fee</f>
        <v>94407117.899385</v>
      </c>
      <c r="BJ51" s="37" t="n">
        <f aca="false">BJ37*FX_Fee</f>
        <v>97782412.4306855</v>
      </c>
      <c r="BK51" s="37" t="n">
        <f aca="false">BK37*FX_Fee</f>
        <v>101303507.53675</v>
      </c>
      <c r="BL51" s="37" t="n">
        <f aca="false">BL37*FX_Fee</f>
        <v>104872761.51549</v>
      </c>
    </row>
    <row r="52" customFormat="false" ht="15" hidden="false" customHeight="false" outlineLevel="0" collapsed="false">
      <c r="A52" s="12" t="s">
        <v>789</v>
      </c>
      <c r="B52" s="14" t="s">
        <v>71</v>
      </c>
      <c r="D52" s="55" t="n">
        <f aca="false">SUM(E52:BL52)</f>
        <v>783594012.02351</v>
      </c>
      <c r="E52" s="37" t="n">
        <f aca="false">E36*Interchange_Share</f>
        <v>0</v>
      </c>
      <c r="F52" s="37" t="n">
        <f aca="false">F36*Interchange_Share</f>
        <v>0</v>
      </c>
      <c r="G52" s="37" t="n">
        <f aca="false">G36*Interchange_Share</f>
        <v>0</v>
      </c>
      <c r="H52" s="37" t="n">
        <f aca="false">H36*Interchange_Share</f>
        <v>0</v>
      </c>
      <c r="I52" s="37" t="n">
        <f aca="false">I36*Interchange_Share</f>
        <v>192513.333333333</v>
      </c>
      <c r="J52" s="37" t="n">
        <f aca="false">J36*Interchange_Share</f>
        <v>384601.516666667</v>
      </c>
      <c r="K52" s="37" t="n">
        <f aca="false">K36*Interchange_Share</f>
        <v>576395.228625</v>
      </c>
      <c r="L52" s="37" t="n">
        <f aca="false">L36*Interchange_Share</f>
        <v>768030.650268646</v>
      </c>
      <c r="M52" s="37" t="n">
        <f aca="false">M36*Interchange_Share</f>
        <v>959649.834107902</v>
      </c>
      <c r="N52" s="37" t="n">
        <f aca="false">N36*Interchange_Share</f>
        <v>1151401.09456554</v>
      </c>
      <c r="O52" s="37" t="n">
        <f aca="false">O36*Interchange_Share</f>
        <v>1343439.42118687</v>
      </c>
      <c r="P52" s="37" t="n">
        <f aca="false">P36*Interchange_Share</f>
        <v>1535926.915975</v>
      </c>
      <c r="Q52" s="37" t="n">
        <f aca="false">Q36*Interchange_Share</f>
        <v>1787546.58964434</v>
      </c>
      <c r="R52" s="37" t="n">
        <f aca="false">R36*Interchange_Share</f>
        <v>2039222.70167331</v>
      </c>
      <c r="S52" s="37" t="n">
        <f aca="false">S36*Interchange_Share</f>
        <v>2291152.37025409</v>
      </c>
      <c r="T52" s="37" t="n">
        <f aca="false">T36*Interchange_Share</f>
        <v>2543541.6712611</v>
      </c>
      <c r="U52" s="37" t="n">
        <f aca="false">U36*Interchange_Share</f>
        <v>2796606.2230345</v>
      </c>
      <c r="V52" s="37" t="n">
        <f aca="false">V36*Interchange_Share</f>
        <v>3050571.8054114</v>
      </c>
      <c r="W52" s="37" t="n">
        <f aca="false">W36*Interchange_Share</f>
        <v>3478088.34840855</v>
      </c>
      <c r="X52" s="37" t="n">
        <f aca="false">X36*Interchange_Share</f>
        <v>3906015.726084</v>
      </c>
      <c r="Y52" s="37" t="n">
        <f aca="false">Y36*Interchange_Share</f>
        <v>4334703.19298711</v>
      </c>
      <c r="Z52" s="37" t="n">
        <f aca="false">Z36*Interchange_Share</f>
        <v>4764516.15746523</v>
      </c>
      <c r="AA52" s="37" t="n">
        <f aca="false">AA36*Interchange_Share</f>
        <v>5195837.23000241</v>
      </c>
      <c r="AB52" s="37" t="n">
        <f aca="false">AB36*Interchange_Share</f>
        <v>5662567.33305609</v>
      </c>
      <c r="AC52" s="37" t="n">
        <f aca="false">AC36*Interchange_Share</f>
        <v>6248676.45944109</v>
      </c>
      <c r="AD52" s="37" t="n">
        <f aca="false">AD36*Interchange_Share</f>
        <v>6835652.64465743</v>
      </c>
      <c r="AE52" s="37" t="n">
        <f aca="false">AE36*Interchange_Share</f>
        <v>7423986.82020872</v>
      </c>
      <c r="AF52" s="37" t="n">
        <f aca="false">AF36*Interchange_Share</f>
        <v>8047692.90953665</v>
      </c>
      <c r="AG52" s="37" t="n">
        <f aca="false">AG36*Interchange_Share</f>
        <v>8673385.56369604</v>
      </c>
      <c r="AH52" s="37" t="n">
        <f aca="false">AH36*Interchange_Share</f>
        <v>9301635.41241775</v>
      </c>
      <c r="AI52" s="37" t="n">
        <f aca="false">AI36*Interchange_Share</f>
        <v>9933040.70074395</v>
      </c>
      <c r="AJ52" s="37" t="n">
        <f aca="false">AJ36*Interchange_Share</f>
        <v>10601729.0543914</v>
      </c>
      <c r="AK52" s="37" t="n">
        <f aca="false">AK36*Interchange_Share</f>
        <v>11274435.5991222</v>
      </c>
      <c r="AL52" s="37" t="n">
        <f aca="false">AL36*Interchange_Share</f>
        <v>11951858.6185224</v>
      </c>
      <c r="AM52" s="37" t="n">
        <f aca="false">AM36*Interchange_Share</f>
        <v>12668231.6217559</v>
      </c>
      <c r="AN52" s="37" t="n">
        <f aca="false">AN36*Interchange_Share</f>
        <v>13420551.8159104</v>
      </c>
      <c r="AO52" s="37" t="n">
        <f aca="false">AO36*Interchange_Share</f>
        <v>14237618.0962284</v>
      </c>
      <c r="AP52" s="37" t="n">
        <f aca="false">AP36*Interchange_Share</f>
        <v>15094541.6707016</v>
      </c>
      <c r="AQ52" s="37" t="n">
        <f aca="false">AQ36*Interchange_Share</f>
        <v>15958319.0178753</v>
      </c>
      <c r="AR52" s="37" t="n">
        <f aca="false">AR36*Interchange_Share</f>
        <v>16863423.9154417</v>
      </c>
      <c r="AS52" s="37" t="n">
        <f aca="false">AS36*Interchange_Share</f>
        <v>17772023.6893498</v>
      </c>
      <c r="AT52" s="37" t="n">
        <f aca="false">AT36*Interchange_Share</f>
        <v>18737471.2870956</v>
      </c>
      <c r="AU52" s="37" t="n">
        <f aca="false">AU36*Interchange_Share</f>
        <v>19695675.4646019</v>
      </c>
      <c r="AV52" s="37" t="n">
        <f aca="false">AV36*Interchange_Share</f>
        <v>20647022.4661858</v>
      </c>
      <c r="AW52" s="37" t="n">
        <f aca="false">AW36*Interchange_Share</f>
        <v>21625409.7893745</v>
      </c>
      <c r="AX52" s="37" t="n">
        <f aca="false">AX36*Interchange_Share</f>
        <v>22597323.3038553</v>
      </c>
      <c r="AY52" s="37" t="n">
        <f aca="false">AY36*Interchange_Share</f>
        <v>23626841.8472853</v>
      </c>
      <c r="AZ52" s="37" t="n">
        <f aca="false">AZ36*Interchange_Share</f>
        <v>24649953.04086</v>
      </c>
      <c r="BA52" s="37" t="n">
        <f aca="false">BA36*Interchange_Share</f>
        <v>25759586.3038141</v>
      </c>
      <c r="BB52" s="37" t="n">
        <f aca="false">BB36*Interchange_Share</f>
        <v>26862597.332902</v>
      </c>
      <c r="BC52" s="37" t="n">
        <f aca="false">BC36*Interchange_Share</f>
        <v>27993005.403421</v>
      </c>
      <c r="BD52" s="37" t="n">
        <f aca="false">BD36*Interchange_Share</f>
        <v>29147573.9544862</v>
      </c>
      <c r="BE52" s="37" t="n">
        <f aca="false">BE36*Interchange_Share</f>
        <v>30329834.1813672</v>
      </c>
      <c r="BF52" s="37" t="n">
        <f aca="false">BF36*Interchange_Share</f>
        <v>31506450.9297738</v>
      </c>
      <c r="BG52" s="37" t="n">
        <f aca="false">BG36*Interchange_Share</f>
        <v>32741690.7906924</v>
      </c>
      <c r="BH52" s="37" t="n">
        <f aca="false">BH36*Interchange_Share</f>
        <v>33971738.4736115</v>
      </c>
      <c r="BI52" s="37" t="n">
        <f aca="false">BI36*Interchange_Share</f>
        <v>35230770.411604</v>
      </c>
      <c r="BJ52" s="37" t="n">
        <f aca="false">BJ36*Interchange_Share</f>
        <v>36485565.666299</v>
      </c>
      <c r="BK52" s="37" t="n">
        <f aca="false">BK36*Interchange_Share</f>
        <v>37794768.4873742</v>
      </c>
      <c r="BL52" s="37" t="n">
        <f aca="false">BL36*Interchange_Share</f>
        <v>39121601.9348944</v>
      </c>
    </row>
    <row r="53" customFormat="false" ht="15" hidden="false" customHeight="false" outlineLevel="0" collapsed="false">
      <c r="A53" s="12" t="s">
        <v>208</v>
      </c>
      <c r="B53" s="14" t="s">
        <v>71</v>
      </c>
      <c r="D53" s="55" t="n">
        <f aca="false">SUM(E53:BL53)</f>
        <v>2601184765.03791</v>
      </c>
      <c r="E53" s="37" t="n">
        <f aca="false">E38*Deposit_Share/12</f>
        <v>0</v>
      </c>
      <c r="F53" s="37" t="n">
        <f aca="false">F38*Deposit_Share/12</f>
        <v>0</v>
      </c>
      <c r="G53" s="37" t="n">
        <f aca="false">G38*Deposit_Share/12</f>
        <v>0</v>
      </c>
      <c r="H53" s="37" t="n">
        <f aca="false">H38*Deposit_Share/12</f>
        <v>0</v>
      </c>
      <c r="I53" s="37" t="n">
        <f aca="false">I38*Deposit_Share/12</f>
        <v>632133.333333333</v>
      </c>
      <c r="J53" s="37" t="n">
        <f aca="false">J38*Deposit_Share/12</f>
        <v>1263431.91666667</v>
      </c>
      <c r="K53" s="37" t="n">
        <f aca="false">K38*Deposit_Share/12</f>
        <v>1894315.679375</v>
      </c>
      <c r="L53" s="37" t="n">
        <f aca="false">L38*Deposit_Share/12</f>
        <v>2525223.13712865</v>
      </c>
      <c r="M53" s="37" t="n">
        <f aca="false">M38*Deposit_Share/12</f>
        <v>3156612.61206019</v>
      </c>
      <c r="N53" s="37" t="n">
        <f aca="false">N38*Deposit_Share/12</f>
        <v>3788963.52432407</v>
      </c>
      <c r="O53" s="37" t="n">
        <f aca="false">O38*Deposit_Share/12</f>
        <v>4422777.75936551</v>
      </c>
      <c r="P53" s="37" t="n">
        <f aca="false">P38*Deposit_Share/12</f>
        <v>5058581.11547408</v>
      </c>
      <c r="Q53" s="37" t="n">
        <f aca="false">Q38*Deposit_Share/12</f>
        <v>5889058.16980428</v>
      </c>
      <c r="R53" s="37" t="n">
        <f aca="false">R38*Deposit_Share/12</f>
        <v>6720394.15133579</v>
      </c>
      <c r="S53" s="37" t="n">
        <f aca="false">S38*Deposit_Share/12</f>
        <v>7553227.02642909</v>
      </c>
      <c r="T53" s="37" t="n">
        <f aca="false">T38*Deposit_Share/12</f>
        <v>8388224.88961801</v>
      </c>
      <c r="U53" s="37" t="n">
        <f aca="false">U38*Deposit_Share/12</f>
        <v>9226087.89956039</v>
      </c>
      <c r="V53" s="37" t="n">
        <f aca="false">V38*Deposit_Share/12</f>
        <v>10067550.3289399</v>
      </c>
      <c r="W53" s="37" t="n">
        <f aca="false">W38*Deposit_Share/12</f>
        <v>11479516.0685296</v>
      </c>
      <c r="X53" s="37" t="n">
        <f aca="false">X38*Deposit_Share/12</f>
        <v>12893962.4260392</v>
      </c>
      <c r="Y53" s="37" t="n">
        <f aca="false">Y38*Deposit_Share/12</f>
        <v>14312021.5370557</v>
      </c>
      <c r="Z53" s="37" t="n">
        <f aca="false">Z38*Deposit_Share/12</f>
        <v>15734879.8199546</v>
      </c>
      <c r="AA53" s="37" t="n">
        <f aca="false">AA38*Deposit_Share/12</f>
        <v>17163781.4473723</v>
      </c>
      <c r="AB53" s="37" t="n">
        <f aca="false">AB38*Deposit_Share/12</f>
        <v>18710032.0222803</v>
      </c>
      <c r="AC53" s="37" t="n">
        <f aca="false">AC38*Deposit_Share/12</f>
        <v>20649442.0543383</v>
      </c>
      <c r="AD53" s="37" t="n">
        <f aca="false">AD38*Deposit_Share/12</f>
        <v>22593199.5048159</v>
      </c>
      <c r="AE53" s="37" t="n">
        <f aca="false">AE38*Deposit_Share/12</f>
        <v>24542897.9266981</v>
      </c>
      <c r="AF53" s="37" t="n">
        <f aca="false">AF38*Deposit_Share/12</f>
        <v>26610208.0801782</v>
      </c>
      <c r="AG53" s="37" t="n">
        <f aca="false">AG38*Deposit_Share/12</f>
        <v>28685589.1033361</v>
      </c>
      <c r="AH53" s="37" t="n">
        <f aca="false">AH38*Deposit_Share/12</f>
        <v>30770898.8949932</v>
      </c>
      <c r="AI53" s="37" t="n">
        <f aca="false">AI38*Deposit_Share/12</f>
        <v>32868087.9372878</v>
      </c>
      <c r="AJ53" s="37" t="n">
        <f aca="false">AJ38*Deposit_Share/12</f>
        <v>35089205.1455003</v>
      </c>
      <c r="AK53" s="37" t="n">
        <f aca="false">AK38*Deposit_Share/12</f>
        <v>37325110.313826</v>
      </c>
      <c r="AL53" s="37" t="n">
        <f aca="false">AL38*Deposit_Share/12</f>
        <v>39578085.8498201</v>
      </c>
      <c r="AM53" s="37" t="n">
        <f aca="false">AM38*Deposit_Share/12</f>
        <v>41960532.0296504</v>
      </c>
      <c r="AN53" s="37" t="n">
        <f aca="false">AN38*Deposit_Share/12</f>
        <v>44462680.6165502</v>
      </c>
      <c r="AO53" s="37" t="n">
        <f aca="false">AO38*Deposit_Share/12</f>
        <v>47179176.7965368</v>
      </c>
      <c r="AP53" s="37" t="n">
        <f aca="false">AP38*Deposit_Share/12</f>
        <v>50028460.655769</v>
      </c>
      <c r="AQ53" s="37" t="n">
        <f aca="false">AQ38*Deposit_Share/12</f>
        <v>52902252.035651</v>
      </c>
      <c r="AR53" s="37" t="n">
        <f aca="false">AR38*Deposit_Share/12</f>
        <v>55913740.5650928</v>
      </c>
      <c r="AS53" s="37" t="n">
        <f aca="false">AS38*Deposit_Share/12</f>
        <v>58938792.3442511</v>
      </c>
      <c r="AT53" s="37" t="n">
        <f aca="false">AT38*Deposit_Share/12</f>
        <v>62152577.3601134</v>
      </c>
      <c r="AU53" s="37" t="n">
        <f aca="false">AU38*Deposit_Share/12</f>
        <v>65344783.7934946</v>
      </c>
      <c r="AV53" s="37" t="n">
        <f aca="false">AV38*Deposit_Share/12</f>
        <v>68516628.184197</v>
      </c>
      <c r="AW53" s="37" t="n">
        <f aca="false">AW38*Deposit_Share/12</f>
        <v>71779365.9044196</v>
      </c>
      <c r="AX53" s="37" t="n">
        <f aca="false">AX38*Deposit_Share/12</f>
        <v>75023000.2671799</v>
      </c>
      <c r="AY53" s="37" t="n">
        <f aca="false">AY38*Deposit_Share/12</f>
        <v>78457890.7191353</v>
      </c>
      <c r="AZ53" s="37" t="n">
        <f aca="false">AZ38*Deposit_Share/12</f>
        <v>81873986.2127558</v>
      </c>
      <c r="BA53" s="37" t="n">
        <f aca="false">BA38*Deposit_Share/12</f>
        <v>85576378.4138885</v>
      </c>
      <c r="BB53" s="37" t="n">
        <f aca="false">BB38*Deposit_Share/12</f>
        <v>89259442.303949</v>
      </c>
      <c r="BC53" s="37" t="n">
        <f aca="false">BC38*Deposit_Share/12</f>
        <v>93034830.2439617</v>
      </c>
      <c r="BD53" s="37" t="n">
        <f aca="false">BD38*Deposit_Share/12</f>
        <v>96891961.9508164</v>
      </c>
      <c r="BE53" s="37" t="n">
        <f aca="false">BE38*Deposit_Share/12</f>
        <v>100842469.546233</v>
      </c>
      <c r="BF53" s="37" t="n">
        <f aca="false">BF38*Deposit_Share/12</f>
        <v>104776941.26253</v>
      </c>
      <c r="BG53" s="37" t="n">
        <f aca="false">BG38*Deposit_Share/12</f>
        <v>108906350.849971</v>
      </c>
      <c r="BH53" s="37" t="n">
        <f aca="false">BH38*Deposit_Share/12</f>
        <v>113021292.797611</v>
      </c>
      <c r="BI53" s="37" t="n">
        <f aca="false">BI38*Deposit_Share/12</f>
        <v>117233937.499034</v>
      </c>
      <c r="BJ53" s="37" t="n">
        <f aca="false">BJ38*Deposit_Share/12</f>
        <v>121435250.92881</v>
      </c>
      <c r="BK53" s="37" t="n">
        <f aca="false">BK38*Deposit_Share/12</f>
        <v>125817748.417536</v>
      </c>
      <c r="BL53" s="37" t="n">
        <f aca="false">BL38*Deposit_Share/12</f>
        <v>130260793.663331</v>
      </c>
    </row>
    <row r="54" customFormat="false" ht="15" hidden="false" customHeight="false" outlineLevel="0" collapsed="false">
      <c r="A54" s="12" t="s">
        <v>790</v>
      </c>
      <c r="B54" s="14" t="s">
        <v>71</v>
      </c>
      <c r="D54" s="55" t="n">
        <f aca="false">SUM(E54:BL54)</f>
        <v>93754139.6589705</v>
      </c>
      <c r="E54" s="37" t="n">
        <f aca="false">E34*Card_Fee</f>
        <v>0</v>
      </c>
      <c r="F54" s="37" t="n">
        <f aca="false">F34*Card_Fee</f>
        <v>0</v>
      </c>
      <c r="G54" s="37" t="n">
        <f aca="false">G34*Card_Fee</f>
        <v>0</v>
      </c>
      <c r="H54" s="37" t="n">
        <f aca="false">H34*Card_Fee</f>
        <v>0</v>
      </c>
      <c r="I54" s="37" t="n">
        <f aca="false">I34*Card_Fee</f>
        <v>373533.333333333</v>
      </c>
      <c r="J54" s="37" t="n">
        <f aca="false">J34*Card_Fee</f>
        <v>377433.333333333</v>
      </c>
      <c r="K54" s="37" t="n">
        <f aca="false">K34*Card_Fee</f>
        <v>381567.333333333</v>
      </c>
      <c r="L54" s="37" t="n">
        <f aca="false">L34*Card_Fee</f>
        <v>385949.373333333</v>
      </c>
      <c r="M54" s="37" t="n">
        <f aca="false">M34*Card_Fee</f>
        <v>390594.335733333</v>
      </c>
      <c r="N54" s="37" t="n">
        <f aca="false">N34*Card_Fee</f>
        <v>395517.995877333</v>
      </c>
      <c r="O54" s="37" t="n">
        <f aca="false">O34*Card_Fee</f>
        <v>400737.075629973</v>
      </c>
      <c r="P54" s="37" t="n">
        <f aca="false">P34*Card_Fee</f>
        <v>406269.300167772</v>
      </c>
      <c r="Q54" s="37" t="n">
        <f aca="false">Q34*Card_Fee</f>
        <v>525666.791511171</v>
      </c>
      <c r="R54" s="37" t="n">
        <f aca="false">R34*Card_Fee</f>
        <v>531882.799001842</v>
      </c>
      <c r="S54" s="37" t="n">
        <f aca="false">S34*Card_Fee</f>
        <v>538471.766941952</v>
      </c>
      <c r="T54" s="37" t="n">
        <f aca="false">T34*Card_Fee</f>
        <v>545456.072958469</v>
      </c>
      <c r="U54" s="37" t="n">
        <f aca="false">U34*Card_Fee</f>
        <v>552859.437335978</v>
      </c>
      <c r="V54" s="37" t="n">
        <f aca="false">V34*Card_Fee</f>
        <v>560707.003576136</v>
      </c>
      <c r="W54" s="37" t="n">
        <f aca="false">W34*Card_Fee</f>
        <v>903558.757124038</v>
      </c>
      <c r="X54" s="37" t="n">
        <f aca="false">X34*Card_Fee</f>
        <v>914716.28255148</v>
      </c>
      <c r="Y54" s="37" t="n">
        <f aca="false">Y34*Card_Fee</f>
        <v>926543.259504569</v>
      </c>
      <c r="Z54" s="37" t="n">
        <f aca="false">Z34*Card_Fee</f>
        <v>939079.855074843</v>
      </c>
      <c r="AA54" s="37" t="n">
        <f aca="false">AA34*Card_Fee</f>
        <v>952368.646379334</v>
      </c>
      <c r="AB54" s="37" t="n">
        <f aca="false">AB34*Card_Fee</f>
        <v>1031454.76516209</v>
      </c>
      <c r="AC54" s="37" t="n">
        <f aca="false">AC34*Card_Fee</f>
        <v>1274319.38440515</v>
      </c>
      <c r="AD54" s="37" t="n">
        <f aca="false">AD34*Card_Fee</f>
        <v>1290146.54746946</v>
      </c>
      <c r="AE54" s="37" t="n">
        <f aca="false">AE34*Card_Fee</f>
        <v>1306923.34031763</v>
      </c>
      <c r="AF54" s="37" t="n">
        <f aca="false">AF34*Card_Fee</f>
        <v>1389706.74073669</v>
      </c>
      <c r="AG54" s="37" t="n">
        <f aca="false">AG34*Card_Fee</f>
        <v>1408557.14518089</v>
      </c>
      <c r="AH54" s="37" t="n">
        <f aca="false">AH34*Card_Fee</f>
        <v>1428538.57389174</v>
      </c>
      <c r="AI54" s="37" t="n">
        <f aca="false">AI34*Card_Fee</f>
        <v>1449718.88832525</v>
      </c>
      <c r="AJ54" s="37" t="n">
        <f aca="false">AJ34*Card_Fee</f>
        <v>1537170.02162476</v>
      </c>
      <c r="AK54" s="37" t="n">
        <f aca="false">AK34*Card_Fee</f>
        <v>1560968.22292225</v>
      </c>
      <c r="AL54" s="37" t="n">
        <f aca="false">AL34*Card_Fee</f>
        <v>1586194.31629758</v>
      </c>
      <c r="AM54" s="37" t="n">
        <f aca="false">AM34*Card_Fee</f>
        <v>1677933.97527544</v>
      </c>
      <c r="AN54" s="37" t="n">
        <f aca="false">AN34*Card_Fee</f>
        <v>1764778.01379196</v>
      </c>
      <c r="AO54" s="37" t="n">
        <f aca="false">AO34*Card_Fee</f>
        <v>1908356.02795281</v>
      </c>
      <c r="AP54" s="37" t="n">
        <f aca="false">AP34*Card_Fee</f>
        <v>2005203.38962998</v>
      </c>
      <c r="AQ54" s="37" t="n">
        <f aca="false">AQ34*Card_Fee</f>
        <v>2038961.59300778</v>
      </c>
      <c r="AR54" s="37" t="n">
        <f aca="false">AR34*Card_Fee</f>
        <v>2139745.28858825</v>
      </c>
      <c r="AS54" s="37" t="n">
        <f aca="false">AS34*Card_Fee</f>
        <v>2168104.62591322</v>
      </c>
      <c r="AT54" s="37" t="n">
        <f aca="false">AT34*Card_Fee</f>
        <v>2300036.90346802</v>
      </c>
      <c r="AU54" s="37" t="n">
        <f aca="false">AU34*Card_Fee</f>
        <v>2308975.1176761</v>
      </c>
      <c r="AV54" s="37" t="n">
        <f aca="false">AV34*Card_Fee</f>
        <v>2318449.62473666</v>
      </c>
      <c r="AW54" s="37" t="n">
        <f aca="false">AW34*Card_Fee</f>
        <v>2393492.60222086</v>
      </c>
      <c r="AX54" s="37" t="n">
        <f aca="false">AX34*Card_Fee</f>
        <v>2404138.15835411</v>
      </c>
      <c r="AY54" s="37" t="n">
        <f aca="false">AY34*Card_Fee</f>
        <v>2538922.44785536</v>
      </c>
      <c r="AZ54" s="37" t="n">
        <f aca="false">AZ34*Card_Fee</f>
        <v>2550883.79472668</v>
      </c>
      <c r="BA54" s="37" t="n">
        <f aca="false">BA34*Card_Fee</f>
        <v>2742962.82241028</v>
      </c>
      <c r="BB54" s="37" t="n">
        <f aca="false">BB34*Card_Fee</f>
        <v>2756402.5917549</v>
      </c>
      <c r="BC54" s="37" t="n">
        <f aca="false">BC34*Card_Fee</f>
        <v>2835648.74726019</v>
      </c>
      <c r="BD54" s="37" t="n">
        <f aca="false">BD34*Card_Fee</f>
        <v>2909249.67209581</v>
      </c>
      <c r="BE54" s="37" t="n">
        <f aca="false">BE34*Card_Fee</f>
        <v>2990256.65242156</v>
      </c>
      <c r="BF54" s="37" t="n">
        <f aca="false">BF34*Card_Fee</f>
        <v>3007224.05156685</v>
      </c>
      <c r="BG54" s="37" t="n">
        <f aca="false">BG34*Card_Fee</f>
        <v>3148709.49466086</v>
      </c>
      <c r="BH54" s="37" t="n">
        <f aca="false">BH34*Card_Fee</f>
        <v>3167774.06434051</v>
      </c>
      <c r="BI54" s="37" t="n">
        <f aca="false">BI34*Card_Fee</f>
        <v>3252982.50820094</v>
      </c>
      <c r="BJ54" s="37" t="n">
        <f aca="false">BJ34*Card_Fee</f>
        <v>3274403.458693</v>
      </c>
      <c r="BK54" s="37" t="n">
        <f aca="false">BK34*Card_Fee</f>
        <v>3409466.66666667</v>
      </c>
      <c r="BL54" s="37" t="n">
        <f aca="false">BL34*Card_Fee</f>
        <v>3474466.66666667</v>
      </c>
    </row>
    <row r="55" customFormat="false" ht="15" hidden="false" customHeight="false" outlineLevel="0" collapsed="false">
      <c r="A55" s="12" t="s">
        <v>780</v>
      </c>
      <c r="B55" s="14" t="s">
        <v>71</v>
      </c>
      <c r="D55" s="55" t="n">
        <f aca="false">SUM(E55:BL55)</f>
        <v>134666418.487318</v>
      </c>
      <c r="E55" s="37" t="n">
        <f aca="false">E41*Overage_Fee</f>
        <v>0</v>
      </c>
      <c r="F55" s="37" t="n">
        <f aca="false">F41*Overage_Fee</f>
        <v>0</v>
      </c>
      <c r="G55" s="37" t="n">
        <f aca="false">G41*Overage_Fee</f>
        <v>0</v>
      </c>
      <c r="H55" s="37" t="n">
        <f aca="false">H41*Overage_Fee</f>
        <v>0</v>
      </c>
      <c r="I55" s="37" t="n">
        <f aca="false">I41*Overage_Fee</f>
        <v>31606.6666666667</v>
      </c>
      <c r="J55" s="37" t="n">
        <f aca="false">J41*Overage_Fee</f>
        <v>63263.1833333333</v>
      </c>
      <c r="K55" s="37" t="n">
        <f aca="false">K41*Overage_Fee</f>
        <v>94989.064875</v>
      </c>
      <c r="L55" s="37" t="n">
        <f aca="false">L41*Overage_Fee</f>
        <v>126804.839695729</v>
      </c>
      <c r="M55" s="37" t="n">
        <f aca="false">M41*Overage_Fee</f>
        <v>158732.112138545</v>
      </c>
      <c r="N55" s="37" t="n">
        <f aca="false">N41*Overage_Fee</f>
        <v>190793.628622717</v>
      </c>
      <c r="O55" s="37" t="n">
        <f aca="false">O41*Overage_Fee</f>
        <v>223013.347732261</v>
      </c>
      <c r="P55" s="37" t="n">
        <f aca="false">P41*Overage_Fee</f>
        <v>255416.514492934</v>
      </c>
      <c r="Q55" s="37" t="n">
        <f aca="false">Q41*Overage_Fee</f>
        <v>297636.405755875</v>
      </c>
      <c r="R55" s="37" t="n">
        <f aca="false">R41*Overage_Fee</f>
        <v>340009.26362115</v>
      </c>
      <c r="S55" s="37" t="n">
        <f aca="false">S41*Overage_Fee</f>
        <v>382565.486225456</v>
      </c>
      <c r="T55" s="37" t="n">
        <f aca="false">T41*Overage_Fee</f>
        <v>425337.094337151</v>
      </c>
      <c r="U55" s="37" t="n">
        <f aca="false">U41*Overage_Fee</f>
        <v>468357.830749894</v>
      </c>
      <c r="V55" s="37" t="n">
        <f aca="false">V41*Overage_Fee</f>
        <v>511663.26561806</v>
      </c>
      <c r="W55" s="37" t="n">
        <f aca="false">W41*Overage_Fee</f>
        <v>583597.574757345</v>
      </c>
      <c r="X55" s="37" t="n">
        <f aca="false">X41*Overage_Fee</f>
        <v>655840.757955382</v>
      </c>
      <c r="Y55" s="37" t="n">
        <f aca="false">Y41*Overage_Fee</f>
        <v>728447.053609874</v>
      </c>
      <c r="Z55" s="37" t="n">
        <f aca="false">Z41*Overage_Fee</f>
        <v>801473.615976852</v>
      </c>
      <c r="AA55" s="37" t="n">
        <f aca="false">AA41*Overage_Fee</f>
        <v>874980.693543646</v>
      </c>
      <c r="AB55" s="37" t="n">
        <f aca="false">AB41*Overage_Fee</f>
        <v>954531.818067543</v>
      </c>
      <c r="AC55" s="37" t="n">
        <f aca="false">AC41*Overage_Fee</f>
        <v>1053931.92158714</v>
      </c>
      <c r="AD55" s="37" t="n">
        <f aca="false">AD41*Overage_Fee</f>
        <v>1153794.55812685</v>
      </c>
      <c r="AE55" s="37" t="n">
        <f aca="false">AE41*Overage_Fee</f>
        <v>1254196.42561345</v>
      </c>
      <c r="AF55" s="37" t="n">
        <f aca="false">AF41*Overage_Fee</f>
        <v>1360718.36069356</v>
      </c>
      <c r="AG55" s="37" t="n">
        <f aca="false">AG41*Overage_Fee</f>
        <v>1467896.84173122</v>
      </c>
      <c r="AH55" s="37" t="n">
        <f aca="false">AH41*Overage_Fee</f>
        <v>1575822.21631031</v>
      </c>
      <c r="AI55" s="37" t="n">
        <f aca="false">AI41*Overage_Fee</f>
        <v>1684589.7714079</v>
      </c>
      <c r="AJ55" s="37" t="n">
        <f aca="false">AJ41*Overage_Fee</f>
        <v>1799800.0346101</v>
      </c>
      <c r="AK55" s="37" t="n">
        <f aca="false">AK41*Overage_Fee</f>
        <v>1916010.3433489</v>
      </c>
      <c r="AL55" s="37" t="n">
        <f aca="false">AL41*Overage_Fee</f>
        <v>2033333.14261688</v>
      </c>
      <c r="AM55" s="37" t="n">
        <f aca="false">AM41*Overage_Fee</f>
        <v>2157387.12956444</v>
      </c>
      <c r="AN55" s="37" t="n">
        <f aca="false">AN41*Overage_Fee</f>
        <v>2287698.88360365</v>
      </c>
      <c r="AO55" s="37" t="n">
        <f aca="false">AO41*Overage_Fee</f>
        <v>2429014.02030683</v>
      </c>
      <c r="AP55" s="37" t="n">
        <f aca="false">AP41*Overage_Fee</f>
        <v>2577281.4178277</v>
      </c>
      <c r="AQ55" s="37" t="n">
        <f aca="false">AQ41*Overage_Fee</f>
        <v>2727101.72927518</v>
      </c>
      <c r="AR55" s="37" t="n">
        <f aca="false">AR41*Overage_Fee</f>
        <v>2884133.1947187</v>
      </c>
      <c r="AS55" s="37" t="n">
        <f aca="false">AS41*Overage_Fee</f>
        <v>3042184.29974644</v>
      </c>
      <c r="AT55" s="37" t="n">
        <f aca="false">AT41*Overage_Fee</f>
        <v>3210010.51726183</v>
      </c>
      <c r="AU55" s="37" t="n">
        <f aca="false">AU41*Overage_Fee</f>
        <v>3377118.65854852</v>
      </c>
      <c r="AV55" s="37" t="n">
        <f aca="false">AV41*Overage_Fee</f>
        <v>3543561.1525972</v>
      </c>
      <c r="AW55" s="37" t="n">
        <f aca="false">AW41*Overage_Fee</f>
        <v>3714892.67520879</v>
      </c>
      <c r="AX55" s="37" t="n">
        <f aca="false">AX41*Overage_Fee</f>
        <v>3885621.5428273</v>
      </c>
      <c r="AY55" s="37" t="n">
        <f aca="false">AY41*Overage_Fee</f>
        <v>4066257.82428139</v>
      </c>
      <c r="AZ55" s="37" t="n">
        <f aca="false">AZ41*Overage_Fee</f>
        <v>4246321.66320558</v>
      </c>
      <c r="BA55" s="37" t="n">
        <f aca="false">BA41*Overage_Fee</f>
        <v>4441059.57190622</v>
      </c>
      <c r="BB55" s="37" t="n">
        <f aca="false">BB41*Overage_Fee</f>
        <v>4635226.55599642</v>
      </c>
      <c r="BC55" s="37" t="n">
        <f aca="false">BC41*Overage_Fee</f>
        <v>4834396.67436263</v>
      </c>
      <c r="BD55" s="37" t="n">
        <f aca="false">BD41*Overage_Fee</f>
        <v>5038048.66206213</v>
      </c>
      <c r="BE55" s="37" t="n">
        <f aca="false">BE41*Overage_Fee</f>
        <v>5246770.23046107</v>
      </c>
      <c r="BF55" s="37" t="n">
        <f aca="false">BF41*Overage_Fee</f>
        <v>5455098.49528012</v>
      </c>
      <c r="BG55" s="37" t="n">
        <f aca="false">BG41*Overage_Fee</f>
        <v>5673573.88563484</v>
      </c>
      <c r="BH55" s="37" t="n">
        <f aca="false">BH41*Overage_Fee</f>
        <v>5891748.56177217</v>
      </c>
      <c r="BI55" s="37" t="n">
        <f aca="false">BI41*Overage_Fee</f>
        <v>6115222.80995302</v>
      </c>
      <c r="BJ55" s="37" t="n">
        <f aca="false">BJ41*Overage_Fee</f>
        <v>6338553.07414772</v>
      </c>
      <c r="BK55" s="37" t="n">
        <f aca="false">BK41*Overage_Fee</f>
        <v>6571357.35177702</v>
      </c>
      <c r="BL55" s="37" t="n">
        <f aca="false">BL41*Overage_Fee</f>
        <v>6807624.0711697</v>
      </c>
    </row>
    <row r="56" customFormat="false" ht="15" hidden="false" customHeight="false" outlineLevel="0" collapsed="false">
      <c r="A56" s="12" t="s">
        <v>791</v>
      </c>
      <c r="B56" s="14" t="s">
        <v>71</v>
      </c>
      <c r="D56" s="55" t="n">
        <f aca="false">SUM(E56:BL56)</f>
        <v>928865030.176118</v>
      </c>
      <c r="E56" s="37" t="n">
        <f aca="false">E43*PL_Momo_Share*PL_Fee</f>
        <v>0</v>
      </c>
      <c r="F56" s="37" t="n">
        <f aca="false">F43*PL_Momo_Share*PL_Fee</f>
        <v>0</v>
      </c>
      <c r="G56" s="37" t="n">
        <f aca="false">G43*PL_Momo_Share*PL_Fee</f>
        <v>0</v>
      </c>
      <c r="H56" s="37" t="n">
        <f aca="false">H43*PL_Momo_Share*PL_Fee</f>
        <v>0</v>
      </c>
      <c r="I56" s="37" t="n">
        <f aca="false">I43*PL_Momo_Share*PL_Fee</f>
        <v>0</v>
      </c>
      <c r="J56" s="37" t="n">
        <f aca="false">J43*PL_Momo_Share*PL_Fee</f>
        <v>0</v>
      </c>
      <c r="K56" s="37" t="n">
        <f aca="false">K43*PL_Momo_Share*PL_Fee</f>
        <v>0</v>
      </c>
      <c r="L56" s="37" t="n">
        <f aca="false">L43*PL_Momo_Share*PL_Fee</f>
        <v>0</v>
      </c>
      <c r="M56" s="37" t="n">
        <f aca="false">M43*PL_Momo_Share*PL_Fee</f>
        <v>0</v>
      </c>
      <c r="N56" s="37" t="n">
        <f aca="false">N43*PL_Momo_Share*PL_Fee</f>
        <v>0</v>
      </c>
      <c r="O56" s="37" t="n">
        <f aca="false">O43*PL_Momo_Share*PL_Fee</f>
        <v>0</v>
      </c>
      <c r="P56" s="37" t="n">
        <f aca="false">P43*PL_Momo_Share*PL_Fee</f>
        <v>0</v>
      </c>
      <c r="Q56" s="37" t="n">
        <f aca="false">Q43*PL_Momo_Share*PL_Fee</f>
        <v>0</v>
      </c>
      <c r="R56" s="37" t="n">
        <f aca="false">R43*PL_Momo_Share*PL_Fee</f>
        <v>0</v>
      </c>
      <c r="S56" s="37" t="n">
        <f aca="false">S43*PL_Momo_Share*PL_Fee</f>
        <v>0</v>
      </c>
      <c r="T56" s="37" t="n">
        <f aca="false">T43*PL_Momo_Share*PL_Fee</f>
        <v>0</v>
      </c>
      <c r="U56" s="37" t="n">
        <f aca="false">U43*PL_Momo_Share*PL_Fee</f>
        <v>0</v>
      </c>
      <c r="V56" s="37" t="n">
        <f aca="false">V43*PL_Momo_Share*PL_Fee</f>
        <v>317381.68390478</v>
      </c>
      <c r="W56" s="37" t="n">
        <f aca="false">W43*PL_Momo_Share*PL_Fee</f>
        <v>723775.113361423</v>
      </c>
      <c r="X56" s="37" t="n">
        <f aca="false">X43*PL_Momo_Share*PL_Fee</f>
        <v>1219395.92206162</v>
      </c>
      <c r="Y56" s="37" t="n">
        <f aca="false">Y43*PL_Momo_Share*PL_Fee</f>
        <v>1804602.7578529</v>
      </c>
      <c r="Z56" s="37" t="n">
        <f aca="false">Z43*PL_Momo_Share*PL_Fee</f>
        <v>2479905.81999582</v>
      </c>
      <c r="AA56" s="37" t="n">
        <f aca="false">AA43*PL_Momo_Share*PL_Fee</f>
        <v>3245976.05225546</v>
      </c>
      <c r="AB56" s="37" t="n">
        <f aca="false">AB43*PL_Momo_Share*PL_Fee</f>
        <v>4127950.87024911</v>
      </c>
      <c r="AC56" s="37" t="n">
        <f aca="false">AC43*PL_Momo_Share*PL_Fee</f>
        <v>5206536.66569148</v>
      </c>
      <c r="AD56" s="37" t="n">
        <f aca="false">AD43*PL_Momo_Share*PL_Fee</f>
        <v>6408498.95859273</v>
      </c>
      <c r="AE56" s="37" t="n">
        <f aca="false">AE43*PL_Momo_Share*PL_Fee</f>
        <v>7734726.56696564</v>
      </c>
      <c r="AF56" s="37" t="n">
        <f aca="false">AF43*PL_Momo_Share*PL_Fee</f>
        <v>9224515.46878558</v>
      </c>
      <c r="AG56" s="37" t="n">
        <f aca="false">AG43*PL_Momo_Share*PL_Fee</f>
        <v>10847490.8459847</v>
      </c>
      <c r="AH56" s="37" t="n">
        <f aca="false">AH43*PL_Momo_Share*PL_Fee</f>
        <v>11635524.824347</v>
      </c>
      <c r="AI56" s="37" t="n">
        <f aca="false">AI43*PL_Momo_Share*PL_Fee</f>
        <v>12427948.4290429</v>
      </c>
      <c r="AJ56" s="37" t="n">
        <f aca="false">AJ43*PL_Momo_Share*PL_Fee</f>
        <v>13267187.5315643</v>
      </c>
      <c r="AK56" s="37" t="n">
        <f aca="false">AK43*PL_Momo_Share*PL_Fee</f>
        <v>14111911.381024</v>
      </c>
      <c r="AL56" s="37" t="n">
        <f aca="false">AL43*PL_Momo_Share*PL_Fee</f>
        <v>14962984.138991</v>
      </c>
      <c r="AM56" s="37" t="n">
        <f aca="false">AM43*PL_Momo_Share*PL_Fee</f>
        <v>15862964.4702742</v>
      </c>
      <c r="AN56" s="37" t="n">
        <f aca="false">AN43*PL_Momo_Share*PL_Fee</f>
        <v>16808147.2019106</v>
      </c>
      <c r="AO56" s="37" t="n">
        <f aca="false">AO43*PL_Momo_Share*PL_Fee</f>
        <v>17834362.4817455</v>
      </c>
      <c r="AP56" s="37" t="n">
        <f aca="false">AP43*PL_Momo_Share*PL_Fee</f>
        <v>18910717.45171</v>
      </c>
      <c r="AQ56" s="37" t="n">
        <f aca="false">AQ43*PL_Momo_Share*PL_Fee</f>
        <v>19996206.7188699</v>
      </c>
      <c r="AR56" s="37" t="n">
        <f aca="false">AR43*PL_Momo_Share*PL_Fee</f>
        <v>21133687.6183168</v>
      </c>
      <c r="AS56" s="37" t="n">
        <f aca="false">AS43*PL_Momo_Share*PL_Fee</f>
        <v>22276151.7282312</v>
      </c>
      <c r="AT56" s="37" t="n">
        <f aca="false">AT43*PL_Momo_Share*PL_Fee</f>
        <v>23489925.0795527</v>
      </c>
      <c r="AU56" s="37" t="n">
        <f aca="false">AU43*PL_Momo_Share*PL_Fee</f>
        <v>24695366.3010317</v>
      </c>
      <c r="AV56" s="37" t="n">
        <f aca="false">AV43*PL_Momo_Share*PL_Fee</f>
        <v>25892938.3936135</v>
      </c>
      <c r="AW56" s="37" t="n">
        <f aca="false">AW43*PL_Momo_Share*PL_Fee</f>
        <v>27124768.9817776</v>
      </c>
      <c r="AX56" s="37" t="n">
        <f aca="false">AX43*PL_Momo_Share*PL_Fee</f>
        <v>28349205.2689366</v>
      </c>
      <c r="AY56" s="37" t="n">
        <f aca="false">AY43*PL_Momo_Share*PL_Fee</f>
        <v>29645899.2345428</v>
      </c>
      <c r="AZ56" s="37" t="n">
        <f aca="false">AZ43*PL_Momo_Share*PL_Fee</f>
        <v>30935308.1678654</v>
      </c>
      <c r="BA56" s="37" t="n">
        <f aca="false">BA43*PL_Momo_Share*PL_Fee</f>
        <v>32332953.1509125</v>
      </c>
      <c r="BB56" s="37" t="n">
        <f aca="false">BB43*PL_Momo_Share*PL_Fee</f>
        <v>33723098.3367923</v>
      </c>
      <c r="BC56" s="37" t="n">
        <f aca="false">BC43*PL_Momo_Share*PL_Fee</f>
        <v>35148021.7746166</v>
      </c>
      <c r="BD56" s="37" t="n">
        <f aca="false">BD43*PL_Momo_Share*PL_Fee</f>
        <v>36603713.4207317</v>
      </c>
      <c r="BE56" s="37" t="n">
        <f aca="false">BE43*PL_Momo_Share*PL_Fee</f>
        <v>38094574.2885095</v>
      </c>
      <c r="BF56" s="37" t="n">
        <f aca="false">BF43*PL_Momo_Share*PL_Fee</f>
        <v>39579173.1370806</v>
      </c>
      <c r="BG56" s="37" t="n">
        <f aca="false">BG43*PL_Momo_Share*PL_Fee</f>
        <v>41137394.5942024</v>
      </c>
      <c r="BH56" s="37" t="n">
        <f aca="false">BH43*PL_Momo_Share*PL_Fee</f>
        <v>42689940.3885404</v>
      </c>
      <c r="BI56" s="37" t="n">
        <f aca="false">BI43*PL_Momo_Share*PL_Fee</f>
        <v>44279284.5724583</v>
      </c>
      <c r="BJ56" s="37" t="n">
        <f aca="false">BJ43*PL_Momo_Share*PL_Fee</f>
        <v>45864138.7641077</v>
      </c>
      <c r="BK56" s="37" t="n">
        <f aca="false">BK43*PL_Momo_Share*PL_Fee</f>
        <v>47517398.373957</v>
      </c>
      <c r="BL56" s="37" t="n">
        <f aca="false">BL43*PL_Momo_Share*PL_Fee</f>
        <v>49193377.2451602</v>
      </c>
    </row>
    <row r="57" customFormat="false" ht="15" hidden="false" customHeight="false" outlineLevel="0" collapsed="false">
      <c r="A57" s="8" t="s">
        <v>792</v>
      </c>
      <c r="B57" s="14" t="s">
        <v>71</v>
      </c>
      <c r="D57" s="55" t="n">
        <f aca="false">SUM(E57:BL57)</f>
        <v>10816674815.533</v>
      </c>
      <c r="E57" s="16" t="n">
        <f aca="false">E50+SUM(E51:E56)</f>
        <v>0</v>
      </c>
      <c r="F57" s="16" t="n">
        <f aca="false">F50+SUM(F51:F56)</f>
        <v>0</v>
      </c>
      <c r="G57" s="16" t="n">
        <f aca="false">G50+SUM(G51:G56)</f>
        <v>0</v>
      </c>
      <c r="H57" s="16" t="n">
        <f aca="false">H50+SUM(H51:H56)</f>
        <v>0</v>
      </c>
      <c r="I57" s="16" t="n">
        <f aca="false">I50+SUM(I51:I56)</f>
        <v>1741240</v>
      </c>
      <c r="J57" s="16" t="n">
        <f aca="false">J50+SUM(J51:J56)</f>
        <v>3110813.31666667</v>
      </c>
      <c r="K57" s="16" t="n">
        <f aca="false">K50+SUM(K51:K56)</f>
        <v>4479498.47095833</v>
      </c>
      <c r="L57" s="16" t="n">
        <f aca="false">L50+SUM(L51:L56)</f>
        <v>7003425.8879354</v>
      </c>
      <c r="M57" s="16" t="n">
        <f aca="false">M50+SUM(M51:M56)</f>
        <v>9573344.84638222</v>
      </c>
      <c r="N57" s="16" t="n">
        <f aca="false">N50+SUM(N51:N56)</f>
        <v>12143553.0827264</v>
      </c>
      <c r="O57" s="16" t="n">
        <f aca="false">O50+SUM(O51:O56)</f>
        <v>14716002.4733452</v>
      </c>
      <c r="P57" s="16" t="n">
        <f aca="false">P50+SUM(P51:P56)</f>
        <v>17292734.0839291</v>
      </c>
      <c r="Q57" s="16" t="n">
        <f aca="false">Q50+SUM(Q51:Q56)</f>
        <v>20405123.971176</v>
      </c>
      <c r="R57" s="16" t="n">
        <f aca="false">R50+SUM(R51:R56)</f>
        <v>23402851.4703997</v>
      </c>
      <c r="S57" s="16" t="n">
        <f aca="false">S50+SUM(S51:S56)</f>
        <v>26401933.1804245</v>
      </c>
      <c r="T57" s="16" t="n">
        <f aca="false">T50+SUM(T51:T56)</f>
        <v>29784952.0226945</v>
      </c>
      <c r="U57" s="16" t="n">
        <f aca="false">U50+SUM(U51:U56)</f>
        <v>33174635.9035731</v>
      </c>
      <c r="V57" s="16" t="n">
        <f aca="false">V50+SUM(V51:V56)</f>
        <v>36891209.1566918</v>
      </c>
      <c r="W57" s="16" t="n">
        <f aca="false">W50+SUM(W51:W56)</f>
        <v>42268720.1173322</v>
      </c>
      <c r="X57" s="16" t="n">
        <f aca="false">X50+SUM(X51:X56)</f>
        <v>47398610.9542194</v>
      </c>
      <c r="Y57" s="16" t="n">
        <f aca="false">Y50+SUM(Y51:Y56)</f>
        <v>52617570.5097292</v>
      </c>
      <c r="Z57" s="16" t="n">
        <f aca="false">Z50+SUM(Z51:Z56)</f>
        <v>59049949.6036453</v>
      </c>
      <c r="AA57" s="16" t="n">
        <f aca="false">AA50+SUM(AA51:AA56)</f>
        <v>65588967.5310572</v>
      </c>
      <c r="AB57" s="16" t="n">
        <f aca="false">AB50+SUM(AB51:AB56)</f>
        <v>72567808.5023257</v>
      </c>
      <c r="AC57" s="16" t="n">
        <f aca="false">AC50+SUM(AC51:AC56)</f>
        <v>80761388.2075387</v>
      </c>
      <c r="AD57" s="16" t="n">
        <f aca="false">AD50+SUM(AD51:AD56)</f>
        <v>88857005.4071361</v>
      </c>
      <c r="AE57" s="16" t="n">
        <f aca="false">AE50+SUM(AE51:AE56)</f>
        <v>97307215.6760593</v>
      </c>
      <c r="AF57" s="16" t="n">
        <f aca="false">AF50+SUM(AF51:AF56)</f>
        <v>107006112.02662</v>
      </c>
      <c r="AG57" s="16" t="n">
        <f aca="false">AG50+SUM(AG51:AG56)</f>
        <v>116793621.081613</v>
      </c>
      <c r="AH57" s="16" t="n">
        <f aca="false">AH50+SUM(AH51:AH56)</f>
        <v>125773799.438895</v>
      </c>
      <c r="AI57" s="16" t="n">
        <f aca="false">AI50+SUM(AI51:AI56)</f>
        <v>135011058.825735</v>
      </c>
      <c r="AJ57" s="16" t="n">
        <f aca="false">AJ50+SUM(AJ51:AJ56)</f>
        <v>144641174.173264</v>
      </c>
      <c r="AK57" s="16" t="n">
        <f aca="false">AK50+SUM(AK51:AK56)</f>
        <v>154257503.754511</v>
      </c>
      <c r="AL57" s="16" t="n">
        <f aca="false">AL50+SUM(AL51:AL56)</f>
        <v>163934698.443488</v>
      </c>
      <c r="AM57" s="16" t="n">
        <f aca="false">AM50+SUM(AM51:AM56)</f>
        <v>174245095.243641</v>
      </c>
      <c r="AN57" s="16" t="n">
        <f aca="false">AN50+SUM(AN51:AN56)</f>
        <v>184876234.979161</v>
      </c>
      <c r="AO57" s="16" t="n">
        <f aca="false">AO50+SUM(AO51:AO56)</f>
        <v>196132222.225979</v>
      </c>
      <c r="AP57" s="16" t="n">
        <f aca="false">AP50+SUM(AP51:AP56)</f>
        <v>207919532.658689</v>
      </c>
      <c r="AQ57" s="16" t="n">
        <f aca="false">AQ50+SUM(AQ51:AQ56)</f>
        <v>219926913.196618</v>
      </c>
      <c r="AR57" s="16" t="n">
        <f aca="false">AR50+SUM(AR51:AR56)</f>
        <v>232761662.460183</v>
      </c>
      <c r="AS57" s="16" t="n">
        <f aca="false">AS50+SUM(AS51:AS56)</f>
        <v>245808994.324663</v>
      </c>
      <c r="AT57" s="16" t="n">
        <f aca="false">AT50+SUM(AT51:AT56)</f>
        <v>259478908.783505</v>
      </c>
      <c r="AU57" s="16" t="n">
        <f aca="false">AU50+SUM(AU51:AU56)</f>
        <v>273229850.818595</v>
      </c>
      <c r="AV57" s="16" t="n">
        <f aca="false">AV50+SUM(AV51:AV56)</f>
        <v>286946779.399913</v>
      </c>
      <c r="AW57" s="16" t="n">
        <f aca="false">AW50+SUM(AW51:AW56)</f>
        <v>301324918.133619</v>
      </c>
      <c r="AX57" s="16" t="n">
        <f aca="false">AX50+SUM(AX51:AX56)</f>
        <v>315540862.09898</v>
      </c>
      <c r="AY57" s="16" t="n">
        <f aca="false">AY50+SUM(AY51:AY56)</f>
        <v>330320400.632573</v>
      </c>
      <c r="AZ57" s="16" t="n">
        <f aca="false">AZ50+SUM(AZ51:AZ56)</f>
        <v>345097309.19589</v>
      </c>
      <c r="BA57" s="16" t="n">
        <f aca="false">BA50+SUM(BA51:BA56)</f>
        <v>360735288.241324</v>
      </c>
      <c r="BB57" s="16" t="n">
        <f aca="false">BB50+SUM(BB51:BB56)</f>
        <v>376506953.586201</v>
      </c>
      <c r="BC57" s="16" t="n">
        <f aca="false">BC50+SUM(BC51:BC56)</f>
        <v>392530217.469048</v>
      </c>
      <c r="BD57" s="16" t="n">
        <f aca="false">BD50+SUM(BD51:BD56)</f>
        <v>409307409.690329</v>
      </c>
      <c r="BE57" s="16" t="n">
        <f aca="false">BE50+SUM(BE51:BE56)</f>
        <v>426281375.182379</v>
      </c>
      <c r="BF57" s="16" t="n">
        <f aca="false">BF50+SUM(BF51:BF56)</f>
        <v>443320582.224671</v>
      </c>
      <c r="BG57" s="16" t="n">
        <f aca="false">BG50+SUM(BG51:BG56)</f>
        <v>461131664.44455</v>
      </c>
      <c r="BH57" s="16" t="n">
        <f aca="false">BH50+SUM(BH51:BH56)</f>
        <v>478955330.373994</v>
      </c>
      <c r="BI57" s="16" t="n">
        <f aca="false">BI50+SUM(BI51:BI56)</f>
        <v>497051561.458964</v>
      </c>
      <c r="BJ57" s="16" t="n">
        <f aca="false">BJ50+SUM(BJ51:BJ56)</f>
        <v>515427700.45041</v>
      </c>
      <c r="BK57" s="16" t="n">
        <f aca="false">BK50+SUM(BK51:BK56)</f>
        <v>534341374.725609</v>
      </c>
      <c r="BL57" s="16" t="n">
        <f aca="false">BL50+SUM(BL51:BL56)</f>
        <v>553519151.41345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L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8"/>
    <col collapsed="false" customWidth="true" hidden="false" outlineLevel="0" max="3" min="3" style="0" width="3"/>
    <col collapsed="false" customWidth="true" hidden="false" outlineLevel="0" max="4" min="4" style="0" width="14"/>
    <col collapsed="false" customWidth="true" hidden="false" outlineLevel="0" max="64" min="5" style="0" width="11"/>
  </cols>
  <sheetData>
    <row r="1" customFormat="false" ht="17.35" hidden="false" customHeight="false" outlineLevel="0" collapsed="false">
      <c r="A1" s="7" t="s">
        <v>793</v>
      </c>
    </row>
    <row r="2" customFormat="false" ht="15" hidden="false" customHeight="false" outlineLevel="0" collapsed="false">
      <c r="A2" s="2" t="s">
        <v>794</v>
      </c>
    </row>
    <row r="3" customFormat="false" ht="15" hidden="false" customHeight="false" outlineLevel="0" collapsed="false">
      <c r="A3" s="8" t="s">
        <v>680</v>
      </c>
      <c r="D3" s="8" t="s">
        <v>681</v>
      </c>
      <c r="E3" s="20" t="n">
        <f aca="false">'Clients &amp; revenue'!E3</f>
        <v>1</v>
      </c>
      <c r="F3" s="20" t="n">
        <f aca="false">'Clients &amp; revenue'!F3</f>
        <v>2</v>
      </c>
      <c r="G3" s="20" t="n">
        <f aca="false">'Clients &amp; revenue'!G3</f>
        <v>3</v>
      </c>
      <c r="H3" s="20" t="n">
        <f aca="false">'Clients &amp; revenue'!H3</f>
        <v>4</v>
      </c>
      <c r="I3" s="20" t="n">
        <f aca="false">'Clients &amp; revenue'!I3</f>
        <v>5</v>
      </c>
      <c r="J3" s="20" t="n">
        <f aca="false">'Clients &amp; revenue'!J3</f>
        <v>6</v>
      </c>
      <c r="K3" s="20" t="n">
        <f aca="false">'Clients &amp; revenue'!K3</f>
        <v>7</v>
      </c>
      <c r="L3" s="20" t="n">
        <f aca="false">'Clients &amp; revenue'!L3</f>
        <v>8</v>
      </c>
      <c r="M3" s="20" t="n">
        <f aca="false">'Clients &amp; revenue'!M3</f>
        <v>9</v>
      </c>
      <c r="N3" s="20" t="n">
        <f aca="false">'Clients &amp; revenue'!N3</f>
        <v>10</v>
      </c>
      <c r="O3" s="20" t="n">
        <f aca="false">'Clients &amp; revenue'!O3</f>
        <v>11</v>
      </c>
      <c r="P3" s="20" t="n">
        <f aca="false">'Clients &amp; revenue'!P3</f>
        <v>12</v>
      </c>
      <c r="Q3" s="20" t="n">
        <f aca="false">'Clients &amp; revenue'!Q3</f>
        <v>13</v>
      </c>
      <c r="R3" s="20" t="n">
        <f aca="false">'Clients &amp; revenue'!R3</f>
        <v>14</v>
      </c>
      <c r="S3" s="20" t="n">
        <f aca="false">'Clients &amp; revenue'!S3</f>
        <v>15</v>
      </c>
      <c r="T3" s="20" t="n">
        <f aca="false">'Clients &amp; revenue'!T3</f>
        <v>16</v>
      </c>
      <c r="U3" s="20" t="n">
        <f aca="false">'Clients &amp; revenue'!U3</f>
        <v>17</v>
      </c>
      <c r="V3" s="20" t="n">
        <f aca="false">'Clients &amp; revenue'!V3</f>
        <v>18</v>
      </c>
      <c r="W3" s="20" t="n">
        <f aca="false">'Clients &amp; revenue'!W3</f>
        <v>19</v>
      </c>
      <c r="X3" s="20" t="n">
        <f aca="false">'Clients &amp; revenue'!X3</f>
        <v>20</v>
      </c>
      <c r="Y3" s="20" t="n">
        <f aca="false">'Clients &amp; revenue'!Y3</f>
        <v>21</v>
      </c>
      <c r="Z3" s="20" t="n">
        <f aca="false">'Clients &amp; revenue'!Z3</f>
        <v>22</v>
      </c>
      <c r="AA3" s="20" t="n">
        <f aca="false">'Clients &amp; revenue'!AA3</f>
        <v>23</v>
      </c>
      <c r="AB3" s="20" t="n">
        <f aca="false">'Clients &amp; revenue'!AB3</f>
        <v>24</v>
      </c>
      <c r="AC3" s="20" t="n">
        <f aca="false">'Clients &amp; revenue'!AC3</f>
        <v>25</v>
      </c>
      <c r="AD3" s="20" t="n">
        <f aca="false">'Clients &amp; revenue'!AD3</f>
        <v>26</v>
      </c>
      <c r="AE3" s="20" t="n">
        <f aca="false">'Clients &amp; revenue'!AE3</f>
        <v>27</v>
      </c>
      <c r="AF3" s="20" t="n">
        <f aca="false">'Clients &amp; revenue'!AF3</f>
        <v>28</v>
      </c>
      <c r="AG3" s="20" t="n">
        <f aca="false">'Clients &amp; revenue'!AG3</f>
        <v>29</v>
      </c>
      <c r="AH3" s="20" t="n">
        <f aca="false">'Clients &amp; revenue'!AH3</f>
        <v>30</v>
      </c>
      <c r="AI3" s="20" t="n">
        <f aca="false">'Clients &amp; revenue'!AI3</f>
        <v>31</v>
      </c>
      <c r="AJ3" s="20" t="n">
        <f aca="false">'Clients &amp; revenue'!AJ3</f>
        <v>32</v>
      </c>
      <c r="AK3" s="20" t="n">
        <f aca="false">'Clients &amp; revenue'!AK3</f>
        <v>33</v>
      </c>
      <c r="AL3" s="20" t="n">
        <f aca="false">'Clients &amp; revenue'!AL3</f>
        <v>34</v>
      </c>
      <c r="AM3" s="20" t="n">
        <f aca="false">'Clients &amp; revenue'!AM3</f>
        <v>35</v>
      </c>
      <c r="AN3" s="20" t="n">
        <f aca="false">'Clients &amp; revenue'!AN3</f>
        <v>36</v>
      </c>
      <c r="AO3" s="20" t="n">
        <f aca="false">'Clients &amp; revenue'!AO3</f>
        <v>37</v>
      </c>
      <c r="AP3" s="20" t="n">
        <f aca="false">'Clients &amp; revenue'!AP3</f>
        <v>38</v>
      </c>
      <c r="AQ3" s="20" t="n">
        <f aca="false">'Clients &amp; revenue'!AQ3</f>
        <v>39</v>
      </c>
      <c r="AR3" s="20" t="n">
        <f aca="false">'Clients &amp; revenue'!AR3</f>
        <v>40</v>
      </c>
      <c r="AS3" s="20" t="n">
        <f aca="false">'Clients &amp; revenue'!AS3</f>
        <v>41</v>
      </c>
      <c r="AT3" s="20" t="n">
        <f aca="false">'Clients &amp; revenue'!AT3</f>
        <v>42</v>
      </c>
      <c r="AU3" s="20" t="n">
        <f aca="false">'Clients &amp; revenue'!AU3</f>
        <v>43</v>
      </c>
      <c r="AV3" s="20" t="n">
        <f aca="false">'Clients &amp; revenue'!AV3</f>
        <v>44</v>
      </c>
      <c r="AW3" s="20" t="n">
        <f aca="false">'Clients &amp; revenue'!AW3</f>
        <v>45</v>
      </c>
      <c r="AX3" s="20" t="n">
        <f aca="false">'Clients &amp; revenue'!AX3</f>
        <v>46</v>
      </c>
      <c r="AY3" s="20" t="n">
        <f aca="false">'Clients &amp; revenue'!AY3</f>
        <v>47</v>
      </c>
      <c r="AZ3" s="20" t="n">
        <f aca="false">'Clients &amp; revenue'!AZ3</f>
        <v>48</v>
      </c>
      <c r="BA3" s="20" t="n">
        <f aca="false">'Clients &amp; revenue'!BA3</f>
        <v>49</v>
      </c>
      <c r="BB3" s="20" t="n">
        <f aca="false">'Clients &amp; revenue'!BB3</f>
        <v>50</v>
      </c>
      <c r="BC3" s="20" t="n">
        <f aca="false">'Clients &amp; revenue'!BC3</f>
        <v>51</v>
      </c>
      <c r="BD3" s="20" t="n">
        <f aca="false">'Clients &amp; revenue'!BD3</f>
        <v>52</v>
      </c>
      <c r="BE3" s="20" t="n">
        <f aca="false">'Clients &amp; revenue'!BE3</f>
        <v>53</v>
      </c>
      <c r="BF3" s="20" t="n">
        <f aca="false">'Clients &amp; revenue'!BF3</f>
        <v>54</v>
      </c>
      <c r="BG3" s="20" t="n">
        <f aca="false">'Clients &amp; revenue'!BG3</f>
        <v>55</v>
      </c>
      <c r="BH3" s="20" t="n">
        <f aca="false">'Clients &amp; revenue'!BH3</f>
        <v>56</v>
      </c>
      <c r="BI3" s="20" t="n">
        <f aca="false">'Clients &amp; revenue'!BI3</f>
        <v>57</v>
      </c>
      <c r="BJ3" s="20" t="n">
        <f aca="false">'Clients &amp; revenue'!BJ3</f>
        <v>58</v>
      </c>
      <c r="BK3" s="20" t="n">
        <f aca="false">'Clients &amp; revenue'!BK3</f>
        <v>59</v>
      </c>
      <c r="BL3" s="20" t="n">
        <f aca="false">'Clients &amp; revenue'!BL3</f>
        <v>60</v>
      </c>
    </row>
    <row r="4" customFormat="false" ht="15" hidden="false" customHeight="false" outlineLevel="0" collapsed="false">
      <c r="A4" s="8" t="s">
        <v>682</v>
      </c>
      <c r="E4" s="53" t="n">
        <f aca="false">'Clients &amp; revenue'!E4</f>
        <v>46388</v>
      </c>
      <c r="F4" s="53" t="n">
        <f aca="false">'Clients &amp; revenue'!F4</f>
        <v>46419</v>
      </c>
      <c r="G4" s="53" t="n">
        <f aca="false">'Clients &amp; revenue'!G4</f>
        <v>46447</v>
      </c>
      <c r="H4" s="53" t="n">
        <f aca="false">'Clients &amp; revenue'!H4</f>
        <v>46478</v>
      </c>
      <c r="I4" s="53" t="n">
        <f aca="false">'Clients &amp; revenue'!I4</f>
        <v>46508</v>
      </c>
      <c r="J4" s="53" t="n">
        <f aca="false">'Clients &amp; revenue'!J4</f>
        <v>46539</v>
      </c>
      <c r="K4" s="53" t="n">
        <f aca="false">'Clients &amp; revenue'!K4</f>
        <v>46569</v>
      </c>
      <c r="L4" s="53" t="n">
        <f aca="false">'Clients &amp; revenue'!L4</f>
        <v>46600</v>
      </c>
      <c r="M4" s="53" t="n">
        <f aca="false">'Clients &amp; revenue'!M4</f>
        <v>46631</v>
      </c>
      <c r="N4" s="53" t="n">
        <f aca="false">'Clients &amp; revenue'!N4</f>
        <v>46661</v>
      </c>
      <c r="O4" s="53" t="n">
        <f aca="false">'Clients &amp; revenue'!O4</f>
        <v>46692</v>
      </c>
      <c r="P4" s="53" t="n">
        <f aca="false">'Clients &amp; revenue'!P4</f>
        <v>46722</v>
      </c>
      <c r="Q4" s="53" t="n">
        <f aca="false">'Clients &amp; revenue'!Q4</f>
        <v>46753</v>
      </c>
      <c r="R4" s="53" t="n">
        <f aca="false">'Clients &amp; revenue'!R4</f>
        <v>46784</v>
      </c>
      <c r="S4" s="53" t="n">
        <f aca="false">'Clients &amp; revenue'!S4</f>
        <v>46813</v>
      </c>
      <c r="T4" s="53" t="n">
        <f aca="false">'Clients &amp; revenue'!T4</f>
        <v>46844</v>
      </c>
      <c r="U4" s="53" t="n">
        <f aca="false">'Clients &amp; revenue'!U4</f>
        <v>46874</v>
      </c>
      <c r="V4" s="53" t="n">
        <f aca="false">'Clients &amp; revenue'!V4</f>
        <v>46905</v>
      </c>
      <c r="W4" s="53" t="n">
        <f aca="false">'Clients &amp; revenue'!W4</f>
        <v>46935</v>
      </c>
      <c r="X4" s="53" t="n">
        <f aca="false">'Clients &amp; revenue'!X4</f>
        <v>46966</v>
      </c>
      <c r="Y4" s="53" t="n">
        <f aca="false">'Clients &amp; revenue'!Y4</f>
        <v>46997</v>
      </c>
      <c r="Z4" s="53" t="n">
        <f aca="false">'Clients &amp; revenue'!Z4</f>
        <v>47027</v>
      </c>
      <c r="AA4" s="53" t="n">
        <f aca="false">'Clients &amp; revenue'!AA4</f>
        <v>47058</v>
      </c>
      <c r="AB4" s="53" t="n">
        <f aca="false">'Clients &amp; revenue'!AB4</f>
        <v>47088</v>
      </c>
      <c r="AC4" s="53" t="n">
        <f aca="false">'Clients &amp; revenue'!AC4</f>
        <v>47119</v>
      </c>
      <c r="AD4" s="53" t="n">
        <f aca="false">'Clients &amp; revenue'!AD4</f>
        <v>47150</v>
      </c>
      <c r="AE4" s="53" t="n">
        <f aca="false">'Clients &amp; revenue'!AE4</f>
        <v>47178</v>
      </c>
      <c r="AF4" s="53" t="n">
        <f aca="false">'Clients &amp; revenue'!AF4</f>
        <v>47209</v>
      </c>
      <c r="AG4" s="53" t="n">
        <f aca="false">'Clients &amp; revenue'!AG4</f>
        <v>47239</v>
      </c>
      <c r="AH4" s="53" t="n">
        <f aca="false">'Clients &amp; revenue'!AH4</f>
        <v>47270</v>
      </c>
      <c r="AI4" s="53" t="n">
        <f aca="false">'Clients &amp; revenue'!AI4</f>
        <v>47300</v>
      </c>
      <c r="AJ4" s="53" t="n">
        <f aca="false">'Clients &amp; revenue'!AJ4</f>
        <v>47331</v>
      </c>
      <c r="AK4" s="53" t="n">
        <f aca="false">'Clients &amp; revenue'!AK4</f>
        <v>47362</v>
      </c>
      <c r="AL4" s="53" t="n">
        <f aca="false">'Clients &amp; revenue'!AL4</f>
        <v>47392</v>
      </c>
      <c r="AM4" s="53" t="n">
        <f aca="false">'Clients &amp; revenue'!AM4</f>
        <v>47423</v>
      </c>
      <c r="AN4" s="53" t="n">
        <f aca="false">'Clients &amp; revenue'!AN4</f>
        <v>47453</v>
      </c>
      <c r="AO4" s="53" t="n">
        <f aca="false">'Clients &amp; revenue'!AO4</f>
        <v>47484</v>
      </c>
      <c r="AP4" s="53" t="n">
        <f aca="false">'Clients &amp; revenue'!AP4</f>
        <v>47515</v>
      </c>
      <c r="AQ4" s="53" t="n">
        <f aca="false">'Clients &amp; revenue'!AQ4</f>
        <v>47543</v>
      </c>
      <c r="AR4" s="53" t="n">
        <f aca="false">'Clients &amp; revenue'!AR4</f>
        <v>47574</v>
      </c>
      <c r="AS4" s="53" t="n">
        <f aca="false">'Clients &amp; revenue'!AS4</f>
        <v>47604</v>
      </c>
      <c r="AT4" s="53" t="n">
        <f aca="false">'Clients &amp; revenue'!AT4</f>
        <v>47635</v>
      </c>
      <c r="AU4" s="53" t="n">
        <f aca="false">'Clients &amp; revenue'!AU4</f>
        <v>47665</v>
      </c>
      <c r="AV4" s="53" t="n">
        <f aca="false">'Clients &amp; revenue'!AV4</f>
        <v>47696</v>
      </c>
      <c r="AW4" s="53" t="n">
        <f aca="false">'Clients &amp; revenue'!AW4</f>
        <v>47727</v>
      </c>
      <c r="AX4" s="53" t="n">
        <f aca="false">'Clients &amp; revenue'!AX4</f>
        <v>47757</v>
      </c>
      <c r="AY4" s="53" t="n">
        <f aca="false">'Clients &amp; revenue'!AY4</f>
        <v>47788</v>
      </c>
      <c r="AZ4" s="53" t="n">
        <f aca="false">'Clients &amp; revenue'!AZ4</f>
        <v>47818</v>
      </c>
      <c r="BA4" s="53" t="n">
        <f aca="false">'Clients &amp; revenue'!BA4</f>
        <v>47849</v>
      </c>
      <c r="BB4" s="53" t="n">
        <f aca="false">'Clients &amp; revenue'!BB4</f>
        <v>47880</v>
      </c>
      <c r="BC4" s="53" t="n">
        <f aca="false">'Clients &amp; revenue'!BC4</f>
        <v>47908</v>
      </c>
      <c r="BD4" s="53" t="n">
        <f aca="false">'Clients &amp; revenue'!BD4</f>
        <v>47939</v>
      </c>
      <c r="BE4" s="53" t="n">
        <f aca="false">'Clients &amp; revenue'!BE4</f>
        <v>47969</v>
      </c>
      <c r="BF4" s="53" t="n">
        <f aca="false">'Clients &amp; revenue'!BF4</f>
        <v>48000</v>
      </c>
      <c r="BG4" s="53" t="n">
        <f aca="false">'Clients &amp; revenue'!BG4</f>
        <v>48030</v>
      </c>
      <c r="BH4" s="53" t="n">
        <f aca="false">'Clients &amp; revenue'!BH4</f>
        <v>48061</v>
      </c>
      <c r="BI4" s="53" t="n">
        <f aca="false">'Clients &amp; revenue'!BI4</f>
        <v>48092</v>
      </c>
      <c r="BJ4" s="53" t="n">
        <f aca="false">'Clients &amp; revenue'!BJ4</f>
        <v>48122</v>
      </c>
      <c r="BK4" s="53" t="n">
        <f aca="false">'Clients &amp; revenue'!BK4</f>
        <v>48153</v>
      </c>
      <c r="BL4" s="53" t="n">
        <f aca="false">'Clients &amp; revenue'!BL4</f>
        <v>48183</v>
      </c>
    </row>
    <row r="5" customFormat="false" ht="15" hidden="false" customHeight="false" outlineLevel="0" collapsed="false">
      <c r="A5" s="8" t="s">
        <v>81</v>
      </c>
      <c r="E5" s="54" t="n">
        <f aca="false">'Clients &amp; revenue'!E5</f>
        <v>1</v>
      </c>
      <c r="F5" s="54" t="n">
        <f aca="false">'Clients &amp; revenue'!F5</f>
        <v>1</v>
      </c>
      <c r="G5" s="54" t="n">
        <f aca="false">'Clients &amp; revenue'!G5</f>
        <v>1</v>
      </c>
      <c r="H5" s="54" t="n">
        <f aca="false">'Clients &amp; revenue'!H5</f>
        <v>1</v>
      </c>
      <c r="I5" s="54" t="n">
        <f aca="false">'Clients &amp; revenue'!I5</f>
        <v>1</v>
      </c>
      <c r="J5" s="54" t="n">
        <f aca="false">'Clients &amp; revenue'!J5</f>
        <v>1</v>
      </c>
      <c r="K5" s="54" t="n">
        <f aca="false">'Clients &amp; revenue'!K5</f>
        <v>1</v>
      </c>
      <c r="L5" s="54" t="n">
        <f aca="false">'Clients &amp; revenue'!L5</f>
        <v>1</v>
      </c>
      <c r="M5" s="54" t="n">
        <f aca="false">'Clients &amp; revenue'!M5</f>
        <v>1</v>
      </c>
      <c r="N5" s="54" t="n">
        <f aca="false">'Clients &amp; revenue'!N5</f>
        <v>1</v>
      </c>
      <c r="O5" s="54" t="n">
        <f aca="false">'Clients &amp; revenue'!O5</f>
        <v>1</v>
      </c>
      <c r="P5" s="54" t="n">
        <f aca="false">'Clients &amp; revenue'!P5</f>
        <v>1</v>
      </c>
      <c r="Q5" s="54" t="n">
        <f aca="false">'Clients &amp; revenue'!Q5</f>
        <v>2</v>
      </c>
      <c r="R5" s="54" t="n">
        <f aca="false">'Clients &amp; revenue'!R5</f>
        <v>2</v>
      </c>
      <c r="S5" s="54" t="n">
        <f aca="false">'Clients &amp; revenue'!S5</f>
        <v>2</v>
      </c>
      <c r="T5" s="54" t="n">
        <f aca="false">'Clients &amp; revenue'!T5</f>
        <v>2</v>
      </c>
      <c r="U5" s="54" t="n">
        <f aca="false">'Clients &amp; revenue'!U5</f>
        <v>2</v>
      </c>
      <c r="V5" s="54" t="n">
        <f aca="false">'Clients &amp; revenue'!V5</f>
        <v>2</v>
      </c>
      <c r="W5" s="54" t="n">
        <f aca="false">'Clients &amp; revenue'!W5</f>
        <v>2</v>
      </c>
      <c r="X5" s="54" t="n">
        <f aca="false">'Clients &amp; revenue'!X5</f>
        <v>2</v>
      </c>
      <c r="Y5" s="54" t="n">
        <f aca="false">'Clients &amp; revenue'!Y5</f>
        <v>2</v>
      </c>
      <c r="Z5" s="54" t="n">
        <f aca="false">'Clients &amp; revenue'!Z5</f>
        <v>2</v>
      </c>
      <c r="AA5" s="54" t="n">
        <f aca="false">'Clients &amp; revenue'!AA5</f>
        <v>2</v>
      </c>
      <c r="AB5" s="54" t="n">
        <f aca="false">'Clients &amp; revenue'!AB5</f>
        <v>2</v>
      </c>
      <c r="AC5" s="54" t="n">
        <f aca="false">'Clients &amp; revenue'!AC5</f>
        <v>3</v>
      </c>
      <c r="AD5" s="54" t="n">
        <f aca="false">'Clients &amp; revenue'!AD5</f>
        <v>3</v>
      </c>
      <c r="AE5" s="54" t="n">
        <f aca="false">'Clients &amp; revenue'!AE5</f>
        <v>3</v>
      </c>
      <c r="AF5" s="54" t="n">
        <f aca="false">'Clients &amp; revenue'!AF5</f>
        <v>3</v>
      </c>
      <c r="AG5" s="54" t="n">
        <f aca="false">'Clients &amp; revenue'!AG5</f>
        <v>3</v>
      </c>
      <c r="AH5" s="54" t="n">
        <f aca="false">'Clients &amp; revenue'!AH5</f>
        <v>3</v>
      </c>
      <c r="AI5" s="54" t="n">
        <f aca="false">'Clients &amp; revenue'!AI5</f>
        <v>3</v>
      </c>
      <c r="AJ5" s="54" t="n">
        <f aca="false">'Clients &amp; revenue'!AJ5</f>
        <v>3</v>
      </c>
      <c r="AK5" s="54" t="n">
        <f aca="false">'Clients &amp; revenue'!AK5</f>
        <v>3</v>
      </c>
      <c r="AL5" s="54" t="n">
        <f aca="false">'Clients &amp; revenue'!AL5</f>
        <v>3</v>
      </c>
      <c r="AM5" s="54" t="n">
        <f aca="false">'Clients &amp; revenue'!AM5</f>
        <v>3</v>
      </c>
      <c r="AN5" s="54" t="n">
        <f aca="false">'Clients &amp; revenue'!AN5</f>
        <v>3</v>
      </c>
      <c r="AO5" s="54" t="n">
        <f aca="false">'Clients &amp; revenue'!AO5</f>
        <v>4</v>
      </c>
      <c r="AP5" s="54" t="n">
        <f aca="false">'Clients &amp; revenue'!AP5</f>
        <v>4</v>
      </c>
      <c r="AQ5" s="54" t="n">
        <f aca="false">'Clients &amp; revenue'!AQ5</f>
        <v>4</v>
      </c>
      <c r="AR5" s="54" t="n">
        <f aca="false">'Clients &amp; revenue'!AR5</f>
        <v>4</v>
      </c>
      <c r="AS5" s="54" t="n">
        <f aca="false">'Clients &amp; revenue'!AS5</f>
        <v>4</v>
      </c>
      <c r="AT5" s="54" t="n">
        <f aca="false">'Clients &amp; revenue'!AT5</f>
        <v>4</v>
      </c>
      <c r="AU5" s="54" t="n">
        <f aca="false">'Clients &amp; revenue'!AU5</f>
        <v>4</v>
      </c>
      <c r="AV5" s="54" t="n">
        <f aca="false">'Clients &amp; revenue'!AV5</f>
        <v>4</v>
      </c>
      <c r="AW5" s="54" t="n">
        <f aca="false">'Clients &amp; revenue'!AW5</f>
        <v>4</v>
      </c>
      <c r="AX5" s="54" t="n">
        <f aca="false">'Clients &amp; revenue'!AX5</f>
        <v>4</v>
      </c>
      <c r="AY5" s="54" t="n">
        <f aca="false">'Clients &amp; revenue'!AY5</f>
        <v>4</v>
      </c>
      <c r="AZ5" s="54" t="n">
        <f aca="false">'Clients &amp; revenue'!AZ5</f>
        <v>4</v>
      </c>
      <c r="BA5" s="54" t="n">
        <f aca="false">'Clients &amp; revenue'!BA5</f>
        <v>5</v>
      </c>
      <c r="BB5" s="54" t="n">
        <f aca="false">'Clients &amp; revenue'!BB5</f>
        <v>5</v>
      </c>
      <c r="BC5" s="54" t="n">
        <f aca="false">'Clients &amp; revenue'!BC5</f>
        <v>5</v>
      </c>
      <c r="BD5" s="54" t="n">
        <f aca="false">'Clients &amp; revenue'!BD5</f>
        <v>5</v>
      </c>
      <c r="BE5" s="54" t="n">
        <f aca="false">'Clients &amp; revenue'!BE5</f>
        <v>5</v>
      </c>
      <c r="BF5" s="54" t="n">
        <f aca="false">'Clients &amp; revenue'!BF5</f>
        <v>5</v>
      </c>
      <c r="BG5" s="54" t="n">
        <f aca="false">'Clients &amp; revenue'!BG5</f>
        <v>5</v>
      </c>
      <c r="BH5" s="54" t="n">
        <f aca="false">'Clients &amp; revenue'!BH5</f>
        <v>5</v>
      </c>
      <c r="BI5" s="54" t="n">
        <f aca="false">'Clients &amp; revenue'!BI5</f>
        <v>5</v>
      </c>
      <c r="BJ5" s="54" t="n">
        <f aca="false">'Clients &amp; revenue'!BJ5</f>
        <v>5</v>
      </c>
      <c r="BK5" s="54" t="n">
        <f aca="false">'Clients &amp; revenue'!BK5</f>
        <v>5</v>
      </c>
      <c r="BL5" s="54" t="n">
        <f aca="false">'Clients &amp; revenue'!BL5</f>
        <v>5</v>
      </c>
    </row>
    <row r="8" customFormat="false" ht="15" hidden="false" customHeight="false" outlineLevel="0" collapsed="false">
      <c r="A8" s="10" t="s">
        <v>751</v>
      </c>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row>
    <row r="10" customFormat="false" ht="15" hidden="false" customHeight="false" outlineLevel="0" collapsed="false">
      <c r="A10" s="10" t="s">
        <v>755</v>
      </c>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row>
    <row r="12" customFormat="false" ht="15" hidden="false" customHeight="false" outlineLevel="0" collapsed="false">
      <c r="A12" s="10" t="s">
        <v>763</v>
      </c>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row>
    <row r="14" customFormat="false" ht="15" hidden="false" customHeight="false" outlineLevel="0" collapsed="false">
      <c r="A14" s="10" t="s">
        <v>770</v>
      </c>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row>
    <row r="15" customFormat="false" ht="15" hidden="false" customHeight="false" outlineLevel="0" collapsed="false">
      <c r="A15" s="12" t="s">
        <v>776</v>
      </c>
      <c r="B15" s="14" t="s">
        <v>73</v>
      </c>
      <c r="D15" s="55" t="n">
        <f aca="false">'Clients &amp; revenue'!D36/FX_EUR</f>
        <v>238916274.092207</v>
      </c>
      <c r="E15" s="37" t="n">
        <f aca="false">'Clients &amp; revenue'!E36/FX_EUR</f>
        <v>0</v>
      </c>
      <c r="F15" s="37" t="n">
        <f aca="false">'Clients &amp; revenue'!F36/FX_EUR</f>
        <v>0</v>
      </c>
      <c r="G15" s="37" t="n">
        <f aca="false">'Clients &amp; revenue'!G36/FX_EUR</f>
        <v>0</v>
      </c>
      <c r="H15" s="37" t="n">
        <f aca="false">'Clients &amp; revenue'!H36/FX_EUR</f>
        <v>0</v>
      </c>
      <c r="I15" s="37" t="n">
        <f aca="false">'Clients &amp; revenue'!I36/FX_EUR</f>
        <v>58696.9369435293</v>
      </c>
      <c r="J15" s="37" t="n">
        <f aca="false">'Clients &amp; revenue'!J36/FX_EUR</f>
        <v>117264.246487702</v>
      </c>
      <c r="K15" s="37" t="n">
        <f aca="false">'Clients &amp; revenue'!K36/FX_EUR</f>
        <v>175741.772288427</v>
      </c>
      <c r="L15" s="37" t="n">
        <f aca="false">'Clients &amp; revenue'!L36/FX_EUR</f>
        <v>234171.035683329</v>
      </c>
      <c r="M15" s="37" t="n">
        <f aca="false">'Clients &amp; revenue'!M36/FX_EUR</f>
        <v>292595.348203587</v>
      </c>
      <c r="N15" s="37" t="n">
        <f aca="false">'Clients &amp; revenue'!N36/FX_EUR</f>
        <v>351059.930625189</v>
      </c>
      <c r="O15" s="37" t="n">
        <f aca="false">'Clients &amp; revenue'!O36/FX_EUR</f>
        <v>409612.038955869</v>
      </c>
      <c r="P15" s="37" t="n">
        <f aca="false">'Clients &amp; revenue'!P36/FX_EUR</f>
        <v>468301.09777775</v>
      </c>
      <c r="Q15" s="37" t="n">
        <f aca="false">'Clients &amp; revenue'!Q36/FX_EUR</f>
        <v>545019.441714729</v>
      </c>
      <c r="R15" s="37" t="n">
        <f aca="false">'Clients &amp; revenue'!R36/FX_EUR</f>
        <v>621754.993596625</v>
      </c>
      <c r="S15" s="37" t="n">
        <f aca="false">'Clients &amp; revenue'!S36/FX_EUR</f>
        <v>698567.8543728</v>
      </c>
      <c r="T15" s="37" t="n">
        <f aca="false">'Clients &amp; revenue'!T36/FX_EUR</f>
        <v>775520.856172311</v>
      </c>
      <c r="U15" s="37" t="n">
        <f aca="false">'Clients &amp; revenue'!U36/FX_EUR</f>
        <v>852679.74060327</v>
      </c>
      <c r="V15" s="37" t="n">
        <f aca="false">'Clients &amp; revenue'!V36/FX_EUR</f>
        <v>930113.347494241</v>
      </c>
      <c r="W15" s="37" t="n">
        <f aca="false">'Clients &amp; revenue'!W36/FX_EUR</f>
        <v>1060462.30115954</v>
      </c>
      <c r="X15" s="37" t="n">
        <f aca="false">'Clients &amp; revenue'!X36/FX_EUR</f>
        <v>1190936.51751075</v>
      </c>
      <c r="Y15" s="37" t="n">
        <f aca="false">'Clients &amp; revenue'!Y36/FX_EUR</f>
        <v>1321642.4835735</v>
      </c>
      <c r="Z15" s="37" t="n">
        <f aca="false">'Clients &amp; revenue'!Z36/FX_EUR</f>
        <v>1452691.61163468</v>
      </c>
      <c r="AA15" s="37" t="n">
        <f aca="false">'Clients &amp; revenue'!AA36/FX_EUR</f>
        <v>1584200.55887883</v>
      </c>
      <c r="AB15" s="37" t="n">
        <f aca="false">'Clients &amp; revenue'!AB36/FX_EUR</f>
        <v>1726505.64993013</v>
      </c>
      <c r="AC15" s="37" t="n">
        <f aca="false">'Clients &amp; revenue'!AC36/FX_EUR</f>
        <v>1905209.17055267</v>
      </c>
      <c r="AD15" s="37" t="n">
        <f aca="false">'Clients &amp; revenue'!AD36/FX_EUR</f>
        <v>2084177.05570866</v>
      </c>
      <c r="AE15" s="37" t="n">
        <f aca="false">'Clients &amp; revenue'!AE36/FX_EUR</f>
        <v>2263558.98944861</v>
      </c>
      <c r="AF15" s="37" t="n">
        <f aca="false">'Clients &amp; revenue'!AF36/FX_EUR</f>
        <v>2453725.75017468</v>
      </c>
      <c r="AG15" s="37" t="n">
        <f aca="false">'Clients &amp; revenue'!AG36/FX_EUR</f>
        <v>2644498.21061321</v>
      </c>
      <c r="AH15" s="37" t="n">
        <f aca="false">'Clients &amp; revenue'!AH36/FX_EUR</f>
        <v>2836050.35464756</v>
      </c>
      <c r="AI15" s="37" t="n">
        <f aca="false">'Clients &amp; revenue'!AI36/FX_EUR</f>
        <v>3028564.58601523</v>
      </c>
      <c r="AJ15" s="37" t="n">
        <f aca="false">'Clients &amp; revenue'!AJ36/FX_EUR</f>
        <v>3232446.35071854</v>
      </c>
      <c r="AK15" s="37" t="n">
        <f aca="false">'Clients &amp; revenue'!AK36/FX_EUR</f>
        <v>3437553.25398529</v>
      </c>
      <c r="AL15" s="37" t="n">
        <f aca="false">'Clients &amp; revenue'!AL36/FX_EUR</f>
        <v>3644098.20110844</v>
      </c>
      <c r="AM15" s="37" t="n">
        <f aca="false">'Clients &amp; revenue'!AM36/FX_EUR</f>
        <v>3862518.92174514</v>
      </c>
      <c r="AN15" s="37" t="n">
        <f aca="false">'Clients &amp; revenue'!AN36/FX_EUR</f>
        <v>4091899.87023857</v>
      </c>
      <c r="AO15" s="37" t="n">
        <f aca="false">'Clients &amp; revenue'!AO36/FX_EUR</f>
        <v>4341021.77314319</v>
      </c>
      <c r="AP15" s="37" t="n">
        <f aca="false">'Clients &amp; revenue'!AP36/FX_EUR</f>
        <v>4602296.08669519</v>
      </c>
      <c r="AQ15" s="37" t="n">
        <f aca="false">'Clients &amp; revenue'!AQ36/FX_EUR</f>
        <v>4865660.10207232</v>
      </c>
      <c r="AR15" s="37" t="n">
        <f aca="false">'Clients &amp; revenue'!AR36/FX_EUR</f>
        <v>5141624.80633385</v>
      </c>
      <c r="AS15" s="37" t="n">
        <f aca="false">'Clients &amp; revenue'!AS36/FX_EUR</f>
        <v>5418655.09152272</v>
      </c>
      <c r="AT15" s="37" t="n">
        <f aca="false">'Clients &amp; revenue'!AT36/FX_EUR</f>
        <v>5713018.16646383</v>
      </c>
      <c r="AU15" s="37" t="n">
        <f aca="false">'Clients &amp; revenue'!AU36/FX_EUR</f>
        <v>6005172.73681107</v>
      </c>
      <c r="AV15" s="37" t="n">
        <f aca="false">'Clients &amp; revenue'!AV36/FX_EUR</f>
        <v>6295236.56769753</v>
      </c>
      <c r="AW15" s="37" t="n">
        <f aca="false">'Clients &amp; revenue'!AW36/FX_EUR</f>
        <v>6593544.93949283</v>
      </c>
      <c r="AX15" s="37" t="n">
        <f aca="false">'Clients &amp; revenue'!AX36/FX_EUR</f>
        <v>6889879.45973754</v>
      </c>
      <c r="AY15" s="37" t="n">
        <f aca="false">'Clients &amp; revenue'!AY36/FX_EUR</f>
        <v>7203777.64008472</v>
      </c>
      <c r="AZ15" s="37" t="n">
        <f aca="false">'Clients &amp; revenue'!AZ36/FX_EUR</f>
        <v>7515722.23205485</v>
      </c>
      <c r="BA15" s="37" t="n">
        <f aca="false">'Clients &amp; revenue'!BA36/FX_EUR</f>
        <v>7854047.23291743</v>
      </c>
      <c r="BB15" s="37" t="n">
        <f aca="false">'Clients &amp; revenue'!BB36/FX_EUR</f>
        <v>8190353.12769039</v>
      </c>
      <c r="BC15" s="37" t="n">
        <f aca="false">'Clients &amp; revenue'!BC36/FX_EUR</f>
        <v>8535012.32654611</v>
      </c>
      <c r="BD15" s="37" t="n">
        <f aca="false">'Clients &amp; revenue'!BD36/FX_EUR</f>
        <v>8887038.00843232</v>
      </c>
      <c r="BE15" s="37" t="n">
        <f aca="false">'Clients &amp; revenue'!BE36/FX_EUR</f>
        <v>9247506.8278461</v>
      </c>
      <c r="BF15" s="37" t="n">
        <f aca="false">'Clients &amp; revenue'!BF36/FX_EUR</f>
        <v>9606254.96176544</v>
      </c>
      <c r="BG15" s="37" t="n">
        <f aca="false">'Clients &amp; revenue'!BG36/FX_EUR</f>
        <v>9982877.16746445</v>
      </c>
      <c r="BH15" s="37" t="n">
        <f aca="false">'Clients &amp; revenue'!BH36/FX_EUR</f>
        <v>10357916.2882968</v>
      </c>
      <c r="BI15" s="37" t="n">
        <f aca="false">'Clients &amp; revenue'!BI36/FX_EUR</f>
        <v>10741792.6515317</v>
      </c>
      <c r="BJ15" s="37" t="n">
        <f aca="false">'Clients &amp; revenue'!BJ36/FX_EUR</f>
        <v>11124377.2583566</v>
      </c>
      <c r="BK15" s="37" t="n">
        <f aca="false">'Clients &amp; revenue'!BK36/FX_EUR</f>
        <v>11523550.6252313</v>
      </c>
      <c r="BL15" s="37" t="n">
        <f aca="false">'Clients &amp; revenue'!BL36/FX_EUR</f>
        <v>11928099.5354557</v>
      </c>
    </row>
    <row r="16" customFormat="false" ht="15" hidden="false" customHeight="false" outlineLevel="0" collapsed="false">
      <c r="A16" s="12" t="s">
        <v>777</v>
      </c>
      <c r="B16" s="14" t="s">
        <v>73</v>
      </c>
      <c r="D16" s="55" t="n">
        <f aca="false">'Clients &amp; revenue'!D37/FX_EUR</f>
        <v>319623066.861746</v>
      </c>
      <c r="E16" s="37" t="n">
        <f aca="false">'Clients &amp; revenue'!E37/FX_EUR</f>
        <v>0</v>
      </c>
      <c r="F16" s="37" t="n">
        <f aca="false">'Clients &amp; revenue'!F37/FX_EUR</f>
        <v>0</v>
      </c>
      <c r="G16" s="37" t="n">
        <f aca="false">'Clients &amp; revenue'!G37/FX_EUR</f>
        <v>0</v>
      </c>
      <c r="H16" s="37" t="n">
        <f aca="false">'Clients &amp; revenue'!H37/FX_EUR</f>
        <v>0</v>
      </c>
      <c r="I16" s="37" t="n">
        <f aca="false">'Clients &amp; revenue'!I37/FX_EUR</f>
        <v>77970.5580294643</v>
      </c>
      <c r="J16" s="37" t="n">
        <f aca="false">'Clients &amp; revenue'!J37/FX_EUR</f>
        <v>155815.604783037</v>
      </c>
      <c r="K16" s="37" t="n">
        <f aca="false">'Clients &amp; revenue'!K37/FX_EUR</f>
        <v>233587.13524667</v>
      </c>
      <c r="L16" s="37" t="n">
        <f aca="false">'Clients &amp; revenue'!L37/FX_EUR</f>
        <v>311339.421108809</v>
      </c>
      <c r="M16" s="37" t="n">
        <f aca="false">'Clients &amp; revenue'!M37/FX_EUR</f>
        <v>389129.160698633</v>
      </c>
      <c r="N16" s="37" t="n">
        <f aca="false">'Clients &amp; revenue'!N37/FX_EUR</f>
        <v>467015.637691771</v>
      </c>
      <c r="O16" s="37" t="n">
        <f aca="false">'Clients &amp; revenue'!O37/FX_EUR</f>
        <v>545060.889113674</v>
      </c>
      <c r="P16" s="37" t="n">
        <f aca="false">'Clients &amp; revenue'!P37/FX_EUR</f>
        <v>623329.883202596</v>
      </c>
      <c r="Q16" s="37" t="n">
        <f aca="false">'Clients &amp; revenue'!Q37/FX_EUR</f>
        <v>725589.415620683</v>
      </c>
      <c r="R16" s="37" t="n">
        <f aca="false">'Clients &amp; revenue'!R37/FX_EUR</f>
        <v>827926.602435684</v>
      </c>
      <c r="S16" s="37" t="n">
        <f aca="false">'Clients &amp; revenue'!S37/FX_EUR</f>
        <v>930420.319692239</v>
      </c>
      <c r="T16" s="37" t="n">
        <f aca="false">'Clients &amp; revenue'!T37/FX_EUR</f>
        <v>1033153.13615656</v>
      </c>
      <c r="U16" s="37" t="n">
        <f aca="false">'Clients &amp; revenue'!U37/FX_EUR</f>
        <v>1136211.55118744</v>
      </c>
      <c r="V16" s="37" t="n">
        <f aca="false">'Clients &amp; revenue'!V37/FX_EUR</f>
        <v>1239686.24660146</v>
      </c>
      <c r="W16" s="37" t="n">
        <f aca="false">'Clients &amp; revenue'!W37/FX_EUR</f>
        <v>1413502.13388608</v>
      </c>
      <c r="X16" s="37" t="n">
        <f aca="false">'Clients &amp; revenue'!X37/FX_EUR</f>
        <v>1587576.25367683</v>
      </c>
      <c r="Y16" s="37" t="n">
        <f aca="false">'Clients &amp; revenue'!Y37/FX_EUR</f>
        <v>1762048.52725576</v>
      </c>
      <c r="Z16" s="37" t="n">
        <f aca="false">'Clients &amp; revenue'!Z37/FX_EUR</f>
        <v>1937065.53013585</v>
      </c>
      <c r="AA16" s="37" t="n">
        <f aca="false">'Clients &amp; revenue'!AA37/FX_EUR</f>
        <v>2112780.91859071</v>
      </c>
      <c r="AB16" s="37" t="n">
        <f aca="false">'Clients &amp; revenue'!AB37/FX_EUR</f>
        <v>2302923.84384568</v>
      </c>
      <c r="AC16" s="37" t="n">
        <f aca="false">'Clients &amp; revenue'!AC37/FX_EUR</f>
        <v>2541510.36315743</v>
      </c>
      <c r="AD16" s="37" t="n">
        <f aca="false">'Clients &amp; revenue'!AD37/FX_EUR</f>
        <v>2780568.78103289</v>
      </c>
      <c r="AE16" s="37" t="n">
        <f aca="false">'Clients &amp; revenue'!AE37/FX_EUR</f>
        <v>3020295.99684813</v>
      </c>
      <c r="AF16" s="37" t="n">
        <f aca="false">'Clients &amp; revenue'!AF37/FX_EUR</f>
        <v>3274466.33774948</v>
      </c>
      <c r="AG16" s="37" t="n">
        <f aca="false">'Clients &amp; revenue'!AG37/FX_EUR</f>
        <v>3529564.77406047</v>
      </c>
      <c r="AH16" s="37" t="n">
        <f aca="false">'Clients &amp; revenue'!AH37/FX_EUR</f>
        <v>3785820.70555094</v>
      </c>
      <c r="AI16" s="37" t="n">
        <f aca="false">'Clients &amp; revenue'!AI37/FX_EUR</f>
        <v>4043474.88515073</v>
      </c>
      <c r="AJ16" s="37" t="n">
        <f aca="false">'Clients &amp; revenue'!AJ37/FX_EUR</f>
        <v>4316348.1001891</v>
      </c>
      <c r="AK16" s="37" t="n">
        <f aca="false">'Clients &amp; revenue'!AK37/FX_EUR</f>
        <v>4590974.544413</v>
      </c>
      <c r="AL16" s="37" t="n">
        <f aca="false">'Clients &amp; revenue'!AL37/FX_EUR</f>
        <v>4867635.7702627</v>
      </c>
      <c r="AM16" s="37" t="n">
        <f aca="false">'Clients &amp; revenue'!AM37/FX_EUR</f>
        <v>5160195.75108494</v>
      </c>
      <c r="AN16" s="37" t="n">
        <f aca="false">'Clients &amp; revenue'!AN37/FX_EUR</f>
        <v>5467445.56346742</v>
      </c>
      <c r="AO16" s="37" t="n">
        <f aca="false">'Clients &amp; revenue'!AO37/FX_EUR</f>
        <v>5801055.54981597</v>
      </c>
      <c r="AP16" s="37" t="n">
        <f aca="false">'Clients &amp; revenue'!AP37/FX_EUR</f>
        <v>6150958.66739012</v>
      </c>
      <c r="AQ16" s="37" t="n">
        <f aca="false">'Clients &amp; revenue'!AQ37/FX_EUR</f>
        <v>6503795.02538768</v>
      </c>
      <c r="AR16" s="37" t="n">
        <f aca="false">'Clients &amp; revenue'!AR37/FX_EUR</f>
        <v>6873525.8438566</v>
      </c>
      <c r="AS16" s="37" t="n">
        <f aca="false">'Clients &amp; revenue'!AS37/FX_EUR</f>
        <v>7244835.61062849</v>
      </c>
      <c r="AT16" s="37" t="n">
        <f aca="false">'Clients &amp; revenue'!AT37/FX_EUR</f>
        <v>7639330.94685105</v>
      </c>
      <c r="AU16" s="37" t="n">
        <f aca="false">'Clients &amp; revenue'!AU37/FX_EUR</f>
        <v>8031064.92778387</v>
      </c>
      <c r="AV16" s="37" t="n">
        <f aca="false">'Clients &amp; revenue'!AV37/FX_EUR</f>
        <v>8420189.16701643</v>
      </c>
      <c r="AW16" s="37" t="n">
        <f aca="false">'Clients &amp; revenue'!AW37/FX_EUR</f>
        <v>8820427.97734508</v>
      </c>
      <c r="AX16" s="37" t="n">
        <f aca="false">'Clients &amp; revenue'!AX37/FX_EUR</f>
        <v>9218211.33309966</v>
      </c>
      <c r="AY16" s="37" t="n">
        <f aca="false">'Clients &amp; revenue'!AY37/FX_EUR</f>
        <v>9639487.51645125</v>
      </c>
      <c r="AZ16" s="37" t="n">
        <f aca="false">'Clients &amp; revenue'!AZ37/FX_EUR</f>
        <v>10058341.7162917</v>
      </c>
      <c r="BA16" s="37" t="n">
        <f aca="false">'Clients &amp; revenue'!BA37/FX_EUR</f>
        <v>10512406.9979813</v>
      </c>
      <c r="BB16" s="37" t="n">
        <f aca="false">'Clients &amp; revenue'!BB37/FX_EUR</f>
        <v>10963976.6155258</v>
      </c>
      <c r="BC16" s="37" t="n">
        <f aca="false">'Clients &amp; revenue'!BC37/FX_EUR</f>
        <v>11426823.9230669</v>
      </c>
      <c r="BD16" s="37" t="n">
        <f aca="false">'Clients &amp; revenue'!BD37/FX_EUR</f>
        <v>11899641.4827462</v>
      </c>
      <c r="BE16" s="37" t="n">
        <f aca="false">'Clients &amp; revenue'!BE37/FX_EUR</f>
        <v>12383862.0457425</v>
      </c>
      <c r="BF16" s="37" t="n">
        <f aca="false">'Clients &amp; revenue'!BF37/FX_EUR</f>
        <v>12865987.793044</v>
      </c>
      <c r="BG16" s="37" t="n">
        <f aca="false">'Clients &amp; revenue'!BG37/FX_EUR</f>
        <v>13372042.8167727</v>
      </c>
      <c r="BH16" s="37" t="n">
        <f aca="false">'Clients &amp; revenue'!BH37/FX_EUR</f>
        <v>13876191.9461932</v>
      </c>
      <c r="BI16" s="37" t="n">
        <f aca="false">'Clients &amp; revenue'!BI37/FX_EUR</f>
        <v>14392272.3439776</v>
      </c>
      <c r="BJ16" s="37" t="n">
        <f aca="false">'Clients &amp; revenue'!BJ37/FX_EUR</f>
        <v>14906832.6781611</v>
      </c>
      <c r="BK16" s="37" t="n">
        <f aca="false">'Clients &amp; revenue'!BK37/FX_EUR</f>
        <v>15443620.1666802</v>
      </c>
      <c r="BL16" s="37" t="n">
        <f aca="false">'Clients &amp; revenue'!BL37/FX_EUR</f>
        <v>15987749.4280098</v>
      </c>
    </row>
    <row r="17" customFormat="false" ht="15" hidden="false" customHeight="false" outlineLevel="0" collapsed="false">
      <c r="A17" s="12" t="s">
        <v>778</v>
      </c>
      <c r="B17" s="14" t="s">
        <v>73</v>
      </c>
      <c r="D17" s="55" t="n">
        <f aca="false">'Clients &amp; revenue'!D38/FX_EUR</f>
        <v>158865039.82832</v>
      </c>
      <c r="E17" s="37" t="n">
        <f aca="false">'Clients &amp; revenue'!E38/FX_EUR</f>
        <v>0</v>
      </c>
      <c r="F17" s="37" t="n">
        <f aca="false">'Clients &amp; revenue'!F38/FX_EUR</f>
        <v>0</v>
      </c>
      <c r="G17" s="37" t="n">
        <f aca="false">'Clients &amp; revenue'!G38/FX_EUR</f>
        <v>0</v>
      </c>
      <c r="H17" s="37" t="n">
        <f aca="false">'Clients &amp; revenue'!H38/FX_EUR</f>
        <v>0</v>
      </c>
      <c r="I17" s="37" t="n">
        <f aca="false">'Clients &amp; revenue'!I38/FX_EUR</f>
        <v>770944.8434374</v>
      </c>
      <c r="J17" s="37" t="n">
        <f aca="false">'Clients &amp; revenue'!J38/FX_EUR</f>
        <v>1540871.63233769</v>
      </c>
      <c r="K17" s="37" t="n">
        <f aca="false">'Clients &amp; revenue'!K38/FX_EUR</f>
        <v>2310292.50926509</v>
      </c>
      <c r="L17" s="37" t="n">
        <f aca="false">'Clients &amp; revenue'!L38/FX_EUR</f>
        <v>3079742.28448346</v>
      </c>
      <c r="M17" s="37" t="n">
        <f aca="false">'Clients &amp; revenue'!M38/FX_EUR</f>
        <v>3849779.92406233</v>
      </c>
      <c r="N17" s="37" t="n">
        <f aca="false">'Clients &amp; revenue'!N38/FX_EUR</f>
        <v>4620990.1250528</v>
      </c>
      <c r="O17" s="37" t="n">
        <f aca="false">'Clients &amp; revenue'!O38/FX_EUR</f>
        <v>5393984.98299798</v>
      </c>
      <c r="P17" s="37" t="n">
        <f aca="false">'Clients &amp; revenue'!P38/FX_EUR</f>
        <v>6169405.75735798</v>
      </c>
      <c r="Q17" s="37" t="n">
        <f aca="false">'Clients &amp; revenue'!Q38/FX_EUR</f>
        <v>7182249.04352484</v>
      </c>
      <c r="R17" s="37" t="n">
        <f aca="false">'Clients &amp; revenue'!R38/FX_EUR</f>
        <v>8196139.87055345</v>
      </c>
      <c r="S17" s="37" t="n">
        <f aca="false">'Clients &amp; revenue'!S38/FX_EUR</f>
        <v>9211856.29720131</v>
      </c>
      <c r="T17" s="37" t="n">
        <f aca="false">'Clients &amp; revenue'!T38/FX_EUR</f>
        <v>10230213.1263092</v>
      </c>
      <c r="U17" s="37" t="n">
        <f aca="false">'Clients &amp; revenue'!U38/FX_EUR</f>
        <v>11252064.2658716</v>
      </c>
      <c r="V17" s="37" t="n">
        <f aca="false">'Clients &amp; revenue'!V38/FX_EUR</f>
        <v>12278305.2290805</v>
      </c>
      <c r="W17" s="37" t="n">
        <f aca="false">'Clients &amp; revenue'!W38/FX_EUR</f>
        <v>14000327.5440672</v>
      </c>
      <c r="X17" s="37" t="n">
        <f aca="false">'Clients &amp; revenue'!X38/FX_EUR</f>
        <v>15725375.2011661</v>
      </c>
      <c r="Y17" s="37" t="n">
        <f aca="false">'Clients &amp; revenue'!Y38/FX_EUR</f>
        <v>17454828.9440383</v>
      </c>
      <c r="Z17" s="37" t="n">
        <f aca="false">'Clients &amp; revenue'!Z38/FX_EUR</f>
        <v>19190135.7192067</v>
      </c>
      <c r="AA17" s="37" t="n">
        <f aca="false">'Clients &amp; revenue'!AA38/FX_EUR</f>
        <v>20932812.9098369</v>
      </c>
      <c r="AB17" s="37" t="n">
        <f aca="false">'Clients &amp; revenue'!AB38/FX_EUR</f>
        <v>22818607.9542169</v>
      </c>
      <c r="AC17" s="37" t="n">
        <f aca="false">'Clients &amp; revenue'!AC38/FX_EUR</f>
        <v>25183897.1814778</v>
      </c>
      <c r="AD17" s="37" t="n">
        <f aca="false">'Clients &amp; revenue'!AD38/FX_EUR</f>
        <v>27554488.4860634</v>
      </c>
      <c r="AE17" s="37" t="n">
        <f aca="false">'Clients &amp; revenue'!AE38/FX_EUR</f>
        <v>29932325.3526657</v>
      </c>
      <c r="AF17" s="37" t="n">
        <f aca="false">'Clients &amp; revenue'!AF38/FX_EUR</f>
        <v>32453600.5624493</v>
      </c>
      <c r="AG17" s="37" t="n">
        <f aca="false">'Clients &amp; revenue'!AG38/FX_EUR</f>
        <v>34984718.9414381</v>
      </c>
      <c r="AH17" s="37" t="n">
        <f aca="false">'Clients &amp; revenue'!AH38/FX_EUR</f>
        <v>37527946.3684275</v>
      </c>
      <c r="AI17" s="37" t="n">
        <f aca="false">'Clients &amp; revenue'!AI38/FX_EUR</f>
        <v>40085661.6360985</v>
      </c>
      <c r="AJ17" s="37" t="n">
        <f aca="false">'Clients &amp; revenue'!AJ38/FX_EUR</f>
        <v>42794518.7205872</v>
      </c>
      <c r="AK17" s="37" t="n">
        <f aca="false">'Clients &amp; revenue'!AK38/FX_EUR</f>
        <v>45521411.0849656</v>
      </c>
      <c r="AL17" s="37" t="n">
        <f aca="false">'Clients &amp; revenue'!AL38/FX_EUR</f>
        <v>48269122.3355435</v>
      </c>
      <c r="AM17" s="37" t="n">
        <f aca="false">'Clients &amp; revenue'!AM38/FX_EUR</f>
        <v>51174734.9654327</v>
      </c>
      <c r="AN17" s="37" t="n">
        <f aca="false">'Clients &amp; revenue'!AN38/FX_EUR</f>
        <v>54226335.7098715</v>
      </c>
      <c r="AO17" s="37" t="n">
        <f aca="false">'Clients &amp; revenue'!AO38/FX_EUR</f>
        <v>57539353.0936165</v>
      </c>
      <c r="AP17" s="37" t="n">
        <f aca="false">'Clients &amp; revenue'!AP38/FX_EUR</f>
        <v>61014317.2869795</v>
      </c>
      <c r="AQ17" s="37" t="n">
        <f aca="false">'Clients &amp; revenue'!AQ38/FX_EUR</f>
        <v>64519170.6598463</v>
      </c>
      <c r="AR17" s="37" t="n">
        <f aca="false">'Clients &amp; revenue'!AR38/FX_EUR</f>
        <v>68191958.3937274</v>
      </c>
      <c r="AS17" s="37" t="n">
        <f aca="false">'Clients &amp; revenue'!AS38/FX_EUR</f>
        <v>71881287.760327</v>
      </c>
      <c r="AT17" s="37" t="n">
        <f aca="false">'Clients &amp; revenue'!AT38/FX_EUR</f>
        <v>75800794.6985713</v>
      </c>
      <c r="AU17" s="37" t="n">
        <f aca="false">'Clients &amp; revenue'!AU38/FX_EUR</f>
        <v>79693984.5672745</v>
      </c>
      <c r="AV17" s="37" t="n">
        <f aca="false">'Clients &amp; revenue'!AV38/FX_EUR</f>
        <v>83562341.0488151</v>
      </c>
      <c r="AW17" s="37" t="n">
        <f aca="false">'Clients &amp; revenue'!AW38/FX_EUR</f>
        <v>87541550.320426</v>
      </c>
      <c r="AX17" s="37" t="n">
        <f aca="false">'Clients &amp; revenue'!AX38/FX_EUR</f>
        <v>91497461.2874684</v>
      </c>
      <c r="AY17" s="37" t="n">
        <f aca="false">'Clients &amp; revenue'!AY38/FX_EUR</f>
        <v>95686626.6772185</v>
      </c>
      <c r="AZ17" s="37" t="n">
        <f aca="false">'Clients &amp; revenue'!AZ38/FX_EUR</f>
        <v>99852869.8835513</v>
      </c>
      <c r="BA17" s="37" t="n">
        <f aca="false">'Clients &amp; revenue'!BA38/FX_EUR</f>
        <v>104368278.303472</v>
      </c>
      <c r="BB17" s="37" t="n">
        <f aca="false">'Clients &amp; revenue'!BB38/FX_EUR</f>
        <v>108860114.067171</v>
      </c>
      <c r="BC17" s="37" t="n">
        <f aca="false">'Clients &amp; revenue'!BC38/FX_EUR</f>
        <v>113464547.51633</v>
      </c>
      <c r="BD17" s="37" t="n">
        <f aca="false">'Clients &amp; revenue'!BD38/FX_EUR</f>
        <v>118168675.020852</v>
      </c>
      <c r="BE17" s="37" t="n">
        <f aca="false">'Clients &amp; revenue'!BE38/FX_EUR</f>
        <v>122986683.024934</v>
      </c>
      <c r="BF17" s="37" t="n">
        <f aca="false">'Clients &amp; revenue'!BF38/FX_EUR</f>
        <v>127785133.796917</v>
      </c>
      <c r="BG17" s="37" t="n">
        <f aca="false">'Clients &amp; revenue'!BG38/FX_EUR</f>
        <v>132821329.263925</v>
      </c>
      <c r="BH17" s="37" t="n">
        <f aca="false">'Clients &amp; revenue'!BH38/FX_EUR</f>
        <v>137839880.111179</v>
      </c>
      <c r="BI17" s="37" t="n">
        <f aca="false">'Clients &amp; revenue'!BI38/FX_EUR</f>
        <v>142977588.468797</v>
      </c>
      <c r="BJ17" s="37" t="n">
        <f aca="false">'Clients &amp; revenue'!BJ38/FX_EUR</f>
        <v>148101477.296604</v>
      </c>
      <c r="BK17" s="37" t="n">
        <f aca="false">'Clients &amp; revenue'!BK38/FX_EUR</f>
        <v>153446336.778217</v>
      </c>
      <c r="BL17" s="37" t="n">
        <f aca="false">'Clients &amp; revenue'!BL38/FX_EUR</f>
        <v>158865039.82832</v>
      </c>
    </row>
    <row r="18" customFormat="false" ht="15" hidden="false" customHeight="false" outlineLevel="0" collapsed="false">
      <c r="A18" s="12" t="s">
        <v>779</v>
      </c>
      <c r="B18" s="14" t="s">
        <v>73</v>
      </c>
      <c r="D18" s="55" t="n">
        <f aca="false">'Clients &amp; revenue'!D39/FX_EUR</f>
        <v>1640536858.95863</v>
      </c>
      <c r="E18" s="37" t="n">
        <f aca="false">'Clients &amp; revenue'!E39/FX_EUR</f>
        <v>0</v>
      </c>
      <c r="F18" s="37" t="n">
        <f aca="false">'Clients &amp; revenue'!F39/FX_EUR</f>
        <v>0</v>
      </c>
      <c r="G18" s="37" t="n">
        <f aca="false">'Clients &amp; revenue'!G39/FX_EUR</f>
        <v>0</v>
      </c>
      <c r="H18" s="37" t="n">
        <f aca="false">'Clients &amp; revenue'!H39/FX_EUR</f>
        <v>0</v>
      </c>
      <c r="I18" s="37" t="n">
        <f aca="false">'Clients &amp; revenue'!I39/FX_EUR</f>
        <v>394233.158575943</v>
      </c>
      <c r="J18" s="37" t="n">
        <f aca="false">'Clients &amp; revenue'!J39/FX_EUR</f>
        <v>788311.581399391</v>
      </c>
      <c r="K18" s="37" t="n">
        <f aca="false">'Clients &amp; revenue'!K39/FX_EUR</f>
        <v>1182491.03028095</v>
      </c>
      <c r="L18" s="37" t="n">
        <f aca="false">'Clients &amp; revenue'!L39/FX_EUR</f>
        <v>1577039.20110712</v>
      </c>
      <c r="M18" s="37" t="n">
        <f aca="false">'Clients &amp; revenue'!M39/FX_EUR</f>
        <v>1972236.4901251</v>
      </c>
      <c r="N18" s="37" t="n">
        <f aca="false">'Clients &amp; revenue'!N39/FX_EUR</f>
        <v>2368376.80538255</v>
      </c>
      <c r="O18" s="37" t="n">
        <f aca="false">'Clients &amp; revenue'!O39/FX_EUR</f>
        <v>2765768.42604619</v>
      </c>
      <c r="P18" s="37" t="n">
        <f aca="false">'Clients &amp; revenue'!P39/FX_EUR</f>
        <v>3164734.91248608</v>
      </c>
      <c r="Q18" s="37" t="n">
        <f aca="false">'Clients &amp; revenue'!Q39/FX_EUR</f>
        <v>3685440.99773415</v>
      </c>
      <c r="R18" s="37" t="n">
        <f aca="false">'Clients &amp; revenue'!R39/FX_EUR</f>
        <v>4207120.72243531</v>
      </c>
      <c r="S18" s="37" t="n">
        <f aca="false">'Clients &amp; revenue'!S39/FX_EUR</f>
        <v>4730165.73203423</v>
      </c>
      <c r="T18" s="37" t="n">
        <f aca="false">'Clients &amp; revenue'!T39/FX_EUR</f>
        <v>5254986.93240292</v>
      </c>
      <c r="U18" s="37" t="n">
        <f aca="false">'Clients &amp; revenue'!U39/FX_EUR</f>
        <v>5782015.70722128</v>
      </c>
      <c r="V18" s="37" t="n">
        <f aca="false">'Clients &amp; revenue'!V39/FX_EUR</f>
        <v>6311705.20739821</v>
      </c>
      <c r="W18" s="37" t="n">
        <f aca="false">'Clients &amp; revenue'!W39/FX_EUR</f>
        <v>7197603.64079509</v>
      </c>
      <c r="X18" s="37" t="n">
        <f aca="false">'Clients &amp; revenue'!X39/FX_EUR</f>
        <v>8085784.67547905</v>
      </c>
      <c r="Y18" s="37" t="n">
        <f aca="false">'Clients &amp; revenue'!Y39/FX_EUR</f>
        <v>8976944.52511866</v>
      </c>
      <c r="Z18" s="37" t="n">
        <f aca="false">'Clients &amp; revenue'!Z39/FX_EUR</f>
        <v>9871814.07355397</v>
      </c>
      <c r="AA18" s="37" t="n">
        <f aca="false">'Clients &amp; revenue'!AA39/FX_EUR</f>
        <v>10771161.0583631</v>
      </c>
      <c r="AB18" s="37" t="n">
        <f aca="false">'Clients &amp; revenue'!AB39/FX_EUR</f>
        <v>11744394.4415234</v>
      </c>
      <c r="AC18" s="37" t="n">
        <f aca="false">'Clients &amp; revenue'!AC39/FX_EUR</f>
        <v>12963582.0464152</v>
      </c>
      <c r="AD18" s="37" t="n">
        <f aca="false">'Clients &amp; revenue'!AD39/FX_EUR</f>
        <v>14186455.2307366</v>
      </c>
      <c r="AE18" s="37" t="n">
        <f aca="false">'Clients &amp; revenue'!AE39/FX_EUR</f>
        <v>15413995.4221548</v>
      </c>
      <c r="AF18" s="37" t="n">
        <f aca="false">'Clients &amp; revenue'!AF39/FX_EUR</f>
        <v>16715835.3822166</v>
      </c>
      <c r="AG18" s="37" t="n">
        <f aca="false">'Clients &amp; revenue'!AG39/FX_EUR</f>
        <v>18023712.9399216</v>
      </c>
      <c r="AH18" s="37" t="n">
        <f aca="false">'Clients &amp; revenue'!AH39/FX_EUR</f>
        <v>19338776.1120726</v>
      </c>
      <c r="AI18" s="37" t="n">
        <f aca="false">'Clients &amp; revenue'!AI39/FX_EUR</f>
        <v>20662231.9072721</v>
      </c>
      <c r="AJ18" s="37" t="n">
        <f aca="false">'Clients &amp; revenue'!AJ39/FX_EUR</f>
        <v>22063952.0659216</v>
      </c>
      <c r="AK18" s="37" t="n">
        <f aca="false">'Clients &amp; revenue'!AK39/FX_EUR</f>
        <v>23475927.5988705</v>
      </c>
      <c r="AL18" s="37" t="n">
        <f aca="false">'Clients &amp; revenue'!AL39/FX_EUR</f>
        <v>24899574.7611377</v>
      </c>
      <c r="AM18" s="37" t="n">
        <f aca="false">'Clients &amp; revenue'!AM39/FX_EUR</f>
        <v>26404986.8182269</v>
      </c>
      <c r="AN18" s="37" t="n">
        <f aca="false">'Clients &amp; revenue'!AN39/FX_EUR</f>
        <v>27986131.1769493</v>
      </c>
      <c r="AO18" s="37" t="n">
        <f aca="false">'Clients &amp; revenue'!AO39/FX_EUR</f>
        <v>29702086.6452422</v>
      </c>
      <c r="AP18" s="37" t="n">
        <f aca="false">'Clients &amp; revenue'!AP39/FX_EUR</f>
        <v>31502094.8009815</v>
      </c>
      <c r="AQ18" s="37" t="n">
        <f aca="false">'Clients &amp; revenue'!AQ39/FX_EUR</f>
        <v>33318684.1650845</v>
      </c>
      <c r="AR18" s="37" t="n">
        <f aca="false">'Clients &amp; revenue'!AR39/FX_EUR</f>
        <v>35222440.4637244</v>
      </c>
      <c r="AS18" s="37" t="n">
        <f aca="false">'Clients &amp; revenue'!AS39/FX_EUR</f>
        <v>37136007.0119375</v>
      </c>
      <c r="AT18" s="37" t="n">
        <f aca="false">'Clients &amp; revenue'!AT39/FX_EUR</f>
        <v>39168616.7536018</v>
      </c>
      <c r="AU18" s="37" t="n">
        <f aca="false">'Clients &amp; revenue'!AU39/FX_EUR</f>
        <v>41189196.5436064</v>
      </c>
      <c r="AV18" s="37" t="n">
        <f aca="false">'Clients &amp; revenue'!AV39/FX_EUR</f>
        <v>43198470.8906766</v>
      </c>
      <c r="AW18" s="37" t="n">
        <f aca="false">'Clients &amp; revenue'!AW39/FX_EUR</f>
        <v>45265791.8264134</v>
      </c>
      <c r="AX18" s="37" t="n">
        <f aca="false">'Clients &amp; revenue'!AX39/FX_EUR</f>
        <v>47322591.3282986</v>
      </c>
      <c r="AY18" s="37" t="n">
        <f aca="false">'Clients &amp; revenue'!AY39/FX_EUR</f>
        <v>49500028.9587168</v>
      </c>
      <c r="AZ18" s="37" t="n">
        <f aca="false">'Clients &amp; revenue'!AZ39/FX_EUR</f>
        <v>51667195.4043527</v>
      </c>
      <c r="BA18" s="37" t="n">
        <f aca="false">'Clients &amp; revenue'!BA39/FX_EUR</f>
        <v>54014329.7690931</v>
      </c>
      <c r="BB18" s="37" t="n">
        <f aca="false">'Clients &amp; revenue'!BB39/FX_EUR</f>
        <v>56350971.699913</v>
      </c>
      <c r="BC18" s="37" t="n">
        <f aca="false">'Clients &amp; revenue'!BC39/FX_EUR</f>
        <v>58746718.8986523</v>
      </c>
      <c r="BD18" s="37" t="n">
        <f aca="false">'Clients &amp; revenue'!BD39/FX_EUR</f>
        <v>61195003.2338156</v>
      </c>
      <c r="BE18" s="37" t="n">
        <f aca="false">'Clients &amp; revenue'!BE39/FX_EUR</f>
        <v>63703102.8765901</v>
      </c>
      <c r="BF18" s="37" t="n">
        <f aca="false">'Clients &amp; revenue'!BF39/FX_EUR</f>
        <v>66202812.7441647</v>
      </c>
      <c r="BG18" s="37" t="n">
        <f aca="false">'Clients &amp; revenue'!BG39/FX_EUR</f>
        <v>68825674.0328735</v>
      </c>
      <c r="BH18" s="37" t="n">
        <f aca="false">'Clients &amp; revenue'!BH39/FX_EUR</f>
        <v>71441178.9218017</v>
      </c>
      <c r="BI18" s="37" t="n">
        <f aca="false">'Clients &amp; revenue'!BI39/FX_EUR</f>
        <v>74119249.4774367</v>
      </c>
      <c r="BJ18" s="37" t="n">
        <f aca="false">'Clients &amp; revenue'!BJ39/FX_EUR</f>
        <v>76791917.9638301</v>
      </c>
      <c r="BK18" s="37" t="n">
        <f aca="false">'Clients &amp; revenue'!BK39/FX_EUR</f>
        <v>79579215.847571</v>
      </c>
      <c r="BL18" s="37" t="n">
        <f aca="false">'Clients &amp; revenue'!BL39/FX_EUR</f>
        <v>82405987.918894</v>
      </c>
    </row>
    <row r="19" customFormat="false" ht="15" hidden="false" customHeight="false" outlineLevel="0" collapsed="false">
      <c r="A19" s="12" t="s">
        <v>782</v>
      </c>
      <c r="B19" s="14" t="s">
        <v>73</v>
      </c>
      <c r="D19" s="55" t="n">
        <f aca="false">'Clients &amp; revenue'!D43/FX_EUR</f>
        <v>202292229.995067</v>
      </c>
      <c r="E19" s="37" t="n">
        <f aca="false">'Clients &amp; revenue'!E43/FX_EUR</f>
        <v>0</v>
      </c>
      <c r="F19" s="37" t="n">
        <f aca="false">'Clients &amp; revenue'!F43/FX_EUR</f>
        <v>0</v>
      </c>
      <c r="G19" s="37" t="n">
        <f aca="false">'Clients &amp; revenue'!G43/FX_EUR</f>
        <v>0</v>
      </c>
      <c r="H19" s="37" t="n">
        <f aca="false">'Clients &amp; revenue'!H43/FX_EUR</f>
        <v>0</v>
      </c>
      <c r="I19" s="37" t="n">
        <f aca="false">'Clients &amp; revenue'!I43/FX_EUR</f>
        <v>0</v>
      </c>
      <c r="J19" s="37" t="n">
        <f aca="false">'Clients &amp; revenue'!J43/FX_EUR</f>
        <v>0</v>
      </c>
      <c r="K19" s="37" t="n">
        <f aca="false">'Clients &amp; revenue'!K43/FX_EUR</f>
        <v>0</v>
      </c>
      <c r="L19" s="37" t="n">
        <f aca="false">'Clients &amp; revenue'!L43/FX_EUR</f>
        <v>0</v>
      </c>
      <c r="M19" s="37" t="n">
        <f aca="false">'Clients &amp; revenue'!M43/FX_EUR</f>
        <v>0</v>
      </c>
      <c r="N19" s="37" t="n">
        <f aca="false">'Clients &amp; revenue'!N43/FX_EUR</f>
        <v>0</v>
      </c>
      <c r="O19" s="37" t="n">
        <f aca="false">'Clients &amp; revenue'!O43/FX_EUR</f>
        <v>0</v>
      </c>
      <c r="P19" s="37" t="n">
        <f aca="false">'Clients &amp; revenue'!P43/FX_EUR</f>
        <v>0</v>
      </c>
      <c r="Q19" s="37" t="n">
        <f aca="false">'Clients &amp; revenue'!Q43/FX_EUR</f>
        <v>0</v>
      </c>
      <c r="R19" s="37" t="n">
        <f aca="false">'Clients &amp; revenue'!R43/FX_EUR</f>
        <v>0</v>
      </c>
      <c r="S19" s="37" t="n">
        <f aca="false">'Clients &amp; revenue'!S43/FX_EUR</f>
        <v>0</v>
      </c>
      <c r="T19" s="37" t="n">
        <f aca="false">'Clients &amp; revenue'!T43/FX_EUR</f>
        <v>0</v>
      </c>
      <c r="U19" s="37" t="n">
        <f aca="false">'Clients &amp; revenue'!U43/FX_EUR</f>
        <v>0</v>
      </c>
      <c r="V19" s="37" t="n">
        <f aca="false">'Clients &amp; revenue'!V43/FX_EUR</f>
        <v>69120.7511434831</v>
      </c>
      <c r="W19" s="37" t="n">
        <f aca="false">'Clients &amp; revenue'!W43/FX_EUR</f>
        <v>157626.863904063</v>
      </c>
      <c r="X19" s="37" t="n">
        <f aca="false">'Clients &amp; revenue'!X43/FX_EUR</f>
        <v>265565.299916571</v>
      </c>
      <c r="Y19" s="37" t="n">
        <f aca="false">'Clients &amp; revenue'!Y43/FX_EUR</f>
        <v>393014.167055136</v>
      </c>
      <c r="Z19" s="37" t="n">
        <f aca="false">'Clients &amp; revenue'!Z43/FX_EUR</f>
        <v>540084.578713853</v>
      </c>
      <c r="AA19" s="37" t="n">
        <f aca="false">'Clients &amp; revenue'!AA43/FX_EUR</f>
        <v>706922.655917877</v>
      </c>
      <c r="AB19" s="37" t="n">
        <f aca="false">'Clients &amp; revenue'!AB43/FX_EUR</f>
        <v>899002.933391129</v>
      </c>
      <c r="AC19" s="37" t="n">
        <f aca="false">'Clients &amp; revenue'!AC43/FX_EUR</f>
        <v>1133901.99699316</v>
      </c>
      <c r="AD19" s="37" t="n">
        <f aca="false">'Clients &amp; revenue'!AD43/FX_EUR</f>
        <v>1395670.52600633</v>
      </c>
      <c r="AE19" s="37" t="n">
        <f aca="false">'Clients &amp; revenue'!AE43/FX_EUR</f>
        <v>1684502.09104857</v>
      </c>
      <c r="AF19" s="37" t="n">
        <f aca="false">'Clients &amp; revenue'!AF43/FX_EUR</f>
        <v>2008954.73958236</v>
      </c>
      <c r="AG19" s="37" t="n">
        <f aca="false">'Clients &amp; revenue'!AG43/FX_EUR</f>
        <v>2362413.3128031</v>
      </c>
      <c r="AH19" s="37" t="n">
        <f aca="false">'Clients &amp; revenue'!AH43/FX_EUR</f>
        <v>2534034.74930456</v>
      </c>
      <c r="AI19" s="37" t="n">
        <f aca="false">'Clients &amp; revenue'!AI43/FX_EUR</f>
        <v>2706612.17754972</v>
      </c>
      <c r="AJ19" s="37" t="n">
        <f aca="false">'Clients &amp; revenue'!AJ43/FX_EUR</f>
        <v>2889385.28670201</v>
      </c>
      <c r="AK19" s="37" t="n">
        <f aca="false">'Clients &amp; revenue'!AK43/FX_EUR</f>
        <v>3073352.88768362</v>
      </c>
      <c r="AL19" s="37" t="n">
        <f aca="false">'Clients &amp; revenue'!AL43/FX_EUR</f>
        <v>3258703.18132591</v>
      </c>
      <c r="AM19" s="37" t="n">
        <f aca="false">'Clients &amp; revenue'!AM43/FX_EUR</f>
        <v>3454704.77709322</v>
      </c>
      <c r="AN19" s="37" t="n">
        <f aca="false">'Clients &amp; revenue'!AN43/FX_EUR</f>
        <v>3660550.74644713</v>
      </c>
      <c r="AO19" s="37" t="n">
        <f aca="false">'Clients &amp; revenue'!AO43/FX_EUR</f>
        <v>3884044.33342549</v>
      </c>
      <c r="AP19" s="37" t="n">
        <f aca="false">'Clients &amp; revenue'!AP43/FX_EUR</f>
        <v>4118457.55823934</v>
      </c>
      <c r="AQ19" s="37" t="n">
        <f aca="false">'Clients &amp; revenue'!AQ43/FX_EUR</f>
        <v>4354860.0896683</v>
      </c>
      <c r="AR19" s="37" t="n">
        <f aca="false">'Clients &amp; revenue'!AR43/FX_EUR</f>
        <v>4602585.58287833</v>
      </c>
      <c r="AS19" s="37" t="n">
        <f aca="false">'Clients &amp; revenue'!AS43/FX_EUR</f>
        <v>4851396.34114326</v>
      </c>
      <c r="AT19" s="37" t="n">
        <f aca="false">'Clients &amp; revenue'!AT43/FX_EUR</f>
        <v>5115737.13336887</v>
      </c>
      <c r="AU19" s="37" t="n">
        <f aca="false">'Clients &amp; revenue'!AU43/FX_EUR</f>
        <v>5378263.31844306</v>
      </c>
      <c r="AV19" s="37" t="n">
        <f aca="false">'Clients &amp; revenue'!AV43/FX_EUR</f>
        <v>5639075.73070741</v>
      </c>
      <c r="AW19" s="37" t="n">
        <f aca="false">'Clients &amp; revenue'!AW43/FX_EUR</f>
        <v>5907349.10580542</v>
      </c>
      <c r="AX19" s="37" t="n">
        <f aca="false">'Clients &amp; revenue'!AX43/FX_EUR</f>
        <v>6174012.11815858</v>
      </c>
      <c r="AY19" s="37" t="n">
        <f aca="false">'Clients &amp; revenue'!AY43/FX_EUR</f>
        <v>6456411.71917906</v>
      </c>
      <c r="AZ19" s="37" t="n">
        <f aca="false">'Clients &amp; revenue'!AZ43/FX_EUR</f>
        <v>6737224.75446789</v>
      </c>
      <c r="BA19" s="37" t="n">
        <f aca="false">'Clients &amp; revenue'!BA43/FX_EUR</f>
        <v>7041609.90319978</v>
      </c>
      <c r="BB19" s="37" t="n">
        <f aca="false">'Clients &amp; revenue'!BB43/FX_EUR</f>
        <v>7344361.7137779</v>
      </c>
      <c r="BC19" s="37" t="n">
        <f aca="false">'Clients &amp; revenue'!BC43/FX_EUR</f>
        <v>7654687.68197058</v>
      </c>
      <c r="BD19" s="37" t="n">
        <f aca="false">'Clients &amp; revenue'!BD43/FX_EUR</f>
        <v>7971714.48318622</v>
      </c>
      <c r="BE19" s="37" t="n">
        <f aca="false">'Clients &amp; revenue'!BE43/FX_EUR</f>
        <v>8296400.58908686</v>
      </c>
      <c r="BF19" s="37" t="n">
        <f aca="false">'Clients &amp; revenue'!BF43/FX_EUR</f>
        <v>8619722.92545322</v>
      </c>
      <c r="BG19" s="37" t="n">
        <f aca="false">'Clients &amp; revenue'!BG43/FX_EUR</f>
        <v>8959079.11084817</v>
      </c>
      <c r="BH19" s="37" t="n">
        <f aca="false">'Clients &amp; revenue'!BH43/FX_EUR</f>
        <v>9297199.22593802</v>
      </c>
      <c r="BI19" s="37" t="n">
        <f aca="false">'Clients &amp; revenue'!BI43/FX_EUR</f>
        <v>9643333.45292414</v>
      </c>
      <c r="BJ19" s="37" t="n">
        <f aca="false">'Clients &amp; revenue'!BJ43/FX_EUR</f>
        <v>9988489.83004062</v>
      </c>
      <c r="BK19" s="37" t="n">
        <f aca="false">'Clients &amp; revenue'!BK43/FX_EUR</f>
        <v>10348543.8339832</v>
      </c>
      <c r="BL19" s="37" t="n">
        <f aca="false">'Clients &amp; revenue'!BL43/FX_EUR</f>
        <v>10713545.7365912</v>
      </c>
    </row>
    <row r="21" customFormat="false" ht="15" hidden="false" customHeight="false" outlineLevel="0" collapsed="false">
      <c r="A21" s="10" t="s">
        <v>783</v>
      </c>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row>
    <row r="22" customFormat="false" ht="15" hidden="false" customHeight="false" outlineLevel="0" collapsed="false">
      <c r="A22" s="12" t="s">
        <v>785</v>
      </c>
      <c r="B22" s="14" t="s">
        <v>73</v>
      </c>
      <c r="D22" s="55" t="n">
        <f aca="false">'Clients &amp; revenue'!D47/FX_EUR</f>
        <v>1476048.83617876</v>
      </c>
      <c r="E22" s="37" t="n">
        <f aca="false">'Clients &amp; revenue'!E47/FX_EUR</f>
        <v>0</v>
      </c>
      <c r="F22" s="37" t="n">
        <f aca="false">'Clients &amp; revenue'!F47/FX_EUR</f>
        <v>0</v>
      </c>
      <c r="G22" s="37" t="n">
        <f aca="false">'Clients &amp; revenue'!G47/FX_EUR</f>
        <v>0</v>
      </c>
      <c r="H22" s="37" t="n">
        <f aca="false">'Clients &amp; revenue'!H47/FX_EUR</f>
        <v>0</v>
      </c>
      <c r="I22" s="37" t="n">
        <f aca="false">'Clients &amp; revenue'!I47/FX_EUR</f>
        <v>0</v>
      </c>
      <c r="J22" s="37" t="n">
        <f aca="false">'Clients &amp; revenue'!J47/FX_EUR</f>
        <v>0</v>
      </c>
      <c r="K22" s="37" t="n">
        <f aca="false">'Clients &amp; revenue'!K47/FX_EUR</f>
        <v>0</v>
      </c>
      <c r="L22" s="37" t="n">
        <f aca="false">'Clients &amp; revenue'!L47/FX_EUR</f>
        <v>435.414150812934</v>
      </c>
      <c r="M22" s="37" t="n">
        <f aca="false">'Clients &amp; revenue'!M47/FX_EUR</f>
        <v>895.929222959285</v>
      </c>
      <c r="N22" s="37" t="n">
        <f aca="false">'Clients &amp; revenue'!N47/FX_EUR</f>
        <v>1352.35693998837</v>
      </c>
      <c r="O22" s="37" t="n">
        <f aca="false">'Clients &amp; revenue'!O47/FX_EUR</f>
        <v>1805.08642578209</v>
      </c>
      <c r="P22" s="37" t="n">
        <f aca="false">'Clients &amp; revenue'!P47/FX_EUR</f>
        <v>2254.51746435144</v>
      </c>
      <c r="Q22" s="37" t="n">
        <f aca="false">'Clients &amp; revenue'!Q47/FX_EUR</f>
        <v>2701.06139319041</v>
      </c>
      <c r="R22" s="37" t="n">
        <f aca="false">'Clients &amp; revenue'!R47/FX_EUR</f>
        <v>3142.13683597316</v>
      </c>
      <c r="S22" s="37" t="n">
        <f aca="false">'Clients &amp; revenue'!S47/FX_EUR</f>
        <v>3578.24121852301</v>
      </c>
      <c r="T22" s="37" t="n">
        <f aca="false">'Clients &amp; revenue'!T47/FX_EUR</f>
        <v>4160.1457606589</v>
      </c>
      <c r="U22" s="37" t="n">
        <f aca="false">'Clients &amp; revenue'!U47/FX_EUR</f>
        <v>4738.11522906254</v>
      </c>
      <c r="V22" s="37" t="n">
        <f aca="false">'Clients &amp; revenue'!V47/FX_EUR</f>
        <v>5312.69050623519</v>
      </c>
      <c r="W22" s="37" t="n">
        <f aca="false">'Clients &amp; revenue'!W47/FX_EUR</f>
        <v>5884.4293878897</v>
      </c>
      <c r="X22" s="37" t="n">
        <f aca="false">'Clients &amp; revenue'!X47/FX_EUR</f>
        <v>6445.05286468599</v>
      </c>
      <c r="Y22" s="37" t="n">
        <f aca="false">'Clients &amp; revenue'!Y47/FX_EUR</f>
        <v>6995.27177029292</v>
      </c>
      <c r="Z22" s="37" t="n">
        <f aca="false">'Clients &amp; revenue'!Z47/FX_EUR</f>
        <v>7978.56422583828</v>
      </c>
      <c r="AA22" s="37" t="n">
        <f aca="false">'Clients &amp; revenue'!AA47/FX_EUR</f>
        <v>8956.01749020501</v>
      </c>
      <c r="AB22" s="37" t="n">
        <f aca="false">'Clients &amp; revenue'!AB47/FX_EUR</f>
        <v>9928.57794669261</v>
      </c>
      <c r="AC22" s="37" t="n">
        <f aca="false">'Clients &amp; revenue'!AC47/FX_EUR</f>
        <v>10895.5022872946</v>
      </c>
      <c r="AD22" s="37" t="n">
        <f aca="false">'Clients &amp; revenue'!AD47/FX_EUR</f>
        <v>11851.802013406</v>
      </c>
      <c r="AE22" s="37" t="n">
        <f aca="false">'Clients &amp; revenue'!AE47/FX_EUR</f>
        <v>12884.704663993</v>
      </c>
      <c r="AF22" s="37" t="n">
        <f aca="false">'Clients &amp; revenue'!AF47/FX_EUR</f>
        <v>14211.0870346696</v>
      </c>
      <c r="AG22" s="37" t="n">
        <f aca="false">'Clients &amp; revenue'!AG47/FX_EUR</f>
        <v>15528.8345968597</v>
      </c>
      <c r="AH22" s="37" t="n">
        <f aca="false">'Clients &amp; revenue'!AH47/FX_EUR</f>
        <v>16839.2968494451</v>
      </c>
      <c r="AI22" s="37" t="n">
        <f aca="false">'Clients &amp; revenue'!AI47/FX_EUR</f>
        <v>18229.8938899199</v>
      </c>
      <c r="AJ22" s="37" t="n">
        <f aca="false">'Clients &amp; revenue'!AJ47/FX_EUR</f>
        <v>19616.0388372351</v>
      </c>
      <c r="AK22" s="37" t="n">
        <f aca="false">'Clients &amp; revenue'!AK47/FX_EUR</f>
        <v>20997.5017845044</v>
      </c>
      <c r="AL22" s="37" t="n">
        <f aca="false">'Clients &amp; revenue'!AL47/FX_EUR</f>
        <v>22375.8620580392</v>
      </c>
      <c r="AM22" s="37" t="n">
        <f aca="false">'Clients &amp; revenue'!AM47/FX_EUR</f>
        <v>23838.7835192304</v>
      </c>
      <c r="AN22" s="37" t="n">
        <f aca="false">'Clients &amp; revenue'!AN47/FX_EUR</f>
        <v>25300.2172810363</v>
      </c>
      <c r="AO22" s="37" t="n">
        <f aca="false">'Clients &amp; revenue'!AO47/FX_EUR</f>
        <v>26760.4140879639</v>
      </c>
      <c r="AP22" s="37" t="n">
        <f aca="false">'Clients &amp; revenue'!AP47/FX_EUR</f>
        <v>28304.2960950916</v>
      </c>
      <c r="AQ22" s="37" t="n">
        <f aca="false">'Clients &amp; revenue'!AQ47/FX_EUR</f>
        <v>29923.5750837938</v>
      </c>
      <c r="AR22" s="37" t="n">
        <f aca="false">'Clients &amp; revenue'!AR47/FX_EUR</f>
        <v>31693.2352512746</v>
      </c>
      <c r="AS22" s="37" t="n">
        <f aca="false">'Clients &amp; revenue'!AS47/FX_EUR</f>
        <v>33549.5540877058</v>
      </c>
      <c r="AT22" s="37" t="n">
        <f aca="false">'Clients &amp; revenue'!AT47/FX_EUR</f>
        <v>35409.1132900534</v>
      </c>
      <c r="AU22" s="37" t="n">
        <f aca="false">'Clients &amp; revenue'!AU47/FX_EUR</f>
        <v>37357.9571021173</v>
      </c>
      <c r="AV22" s="37" t="n">
        <f aca="false">'Clients &amp; revenue'!AV47/FX_EUR</f>
        <v>39300.8779076797</v>
      </c>
      <c r="AW22" s="37" t="n">
        <f aca="false">'Clients &amp; revenue'!AW47/FX_EUR</f>
        <v>41375.5720037999</v>
      </c>
      <c r="AX22" s="37" t="n">
        <f aca="false">'Clients &amp; revenue'!AX47/FX_EUR</f>
        <v>43418.1281156497</v>
      </c>
      <c r="AY22" s="37" t="n">
        <f aca="false">'Clients &amp; revenue'!AY47/FX_EUR</f>
        <v>45429.8535891502</v>
      </c>
      <c r="AZ22" s="37" t="n">
        <f aca="false">'Clients &amp; revenue'!AZ47/FX_EUR</f>
        <v>47494.827453649</v>
      </c>
      <c r="BA22" s="37" t="n">
        <f aca="false">'Clients &amp; revenue'!BA47/FX_EUR</f>
        <v>49528.4250296019</v>
      </c>
      <c r="BB22" s="37" t="n">
        <f aca="false">'Clients &amp; revenue'!BB47/FX_EUR</f>
        <v>51690.7679491118</v>
      </c>
      <c r="BC22" s="37" t="n">
        <f aca="false">'Clients &amp; revenue'!BC47/FX_EUR</f>
        <v>53819.9380925628</v>
      </c>
      <c r="BD22" s="37" t="n">
        <f aca="false">'Clients &amp; revenue'!BD47/FX_EUR</f>
        <v>56153.2022081451</v>
      </c>
      <c r="BE22" s="37" t="n">
        <f aca="false">'Clients &amp; revenue'!BE47/FX_EUR</f>
        <v>58453.1868823865</v>
      </c>
      <c r="BF22" s="37" t="n">
        <f aca="false">'Clients &amp; revenue'!BF47/FX_EUR</f>
        <v>60805.8634369058</v>
      </c>
      <c r="BG22" s="37" t="n">
        <f aca="false">'Clients &amp; revenue'!BG47/FX_EUR</f>
        <v>63204.3551251553</v>
      </c>
      <c r="BH22" s="37" t="n">
        <f aca="false">'Clients &amp; revenue'!BH47/FX_EUR</f>
        <v>65655.7506073561</v>
      </c>
      <c r="BI22" s="37" t="n">
        <f aca="false">'Clients &amp; revenue'!BI47/FX_EUR</f>
        <v>68075.87553954</v>
      </c>
      <c r="BJ22" s="37" t="n">
        <f aca="false">'Clients &amp; revenue'!BJ47/FX_EUR</f>
        <v>70628.3476390032</v>
      </c>
      <c r="BK22" s="37" t="n">
        <f aca="false">'Clients &amp; revenue'!BK47/FX_EUR</f>
        <v>73151.6750029234</v>
      </c>
      <c r="BL22" s="37" t="n">
        <f aca="false">'Clients &amp; revenue'!BL47/FX_EUR</f>
        <v>75730.9109493622</v>
      </c>
    </row>
    <row r="23" customFormat="false" ht="15" hidden="false" customHeight="false" outlineLevel="0" collapsed="false">
      <c r="A23" s="12" t="s">
        <v>786</v>
      </c>
      <c r="B23" s="14" t="s">
        <v>73</v>
      </c>
      <c r="D23" s="55" t="n">
        <f aca="false">'Clients &amp; revenue'!D48/FX_EUR</f>
        <v>2493539.98964092</v>
      </c>
      <c r="E23" s="37" t="n">
        <f aca="false">'Clients &amp; revenue'!E48/FX_EUR</f>
        <v>0</v>
      </c>
      <c r="F23" s="37" t="n">
        <f aca="false">'Clients &amp; revenue'!F48/FX_EUR</f>
        <v>0</v>
      </c>
      <c r="G23" s="37" t="n">
        <f aca="false">'Clients &amp; revenue'!G48/FX_EUR</f>
        <v>0</v>
      </c>
      <c r="H23" s="37" t="n">
        <f aca="false">'Clients &amp; revenue'!H48/FX_EUR</f>
        <v>0</v>
      </c>
      <c r="I23" s="37" t="n">
        <f aca="false">'Clients &amp; revenue'!I48/FX_EUR</f>
        <v>0</v>
      </c>
      <c r="J23" s="37" t="n">
        <f aca="false">'Clients &amp; revenue'!J48/FX_EUR</f>
        <v>0</v>
      </c>
      <c r="K23" s="37" t="n">
        <f aca="false">'Clients &amp; revenue'!K48/FX_EUR</f>
        <v>0</v>
      </c>
      <c r="L23" s="37" t="n">
        <f aca="false">'Clients &amp; revenue'!L48/FX_EUR</f>
        <v>690.626003901195</v>
      </c>
      <c r="M23" s="37" t="n">
        <f aca="false">'Clients &amp; revenue'!M48/FX_EUR</f>
        <v>1407.73012688332</v>
      </c>
      <c r="N23" s="37" t="n">
        <f aca="false">'Clients &amp; revenue'!N48/FX_EUR</f>
        <v>2123.80389224777</v>
      </c>
      <c r="O23" s="37" t="n">
        <f aca="false">'Clients &amp; revenue'!O48/FX_EUR</f>
        <v>2839.33618609995</v>
      </c>
      <c r="P23" s="37" t="n">
        <f aca="false">'Clients &amp; revenue'!P48/FX_EUR</f>
        <v>3554.83834386703</v>
      </c>
      <c r="Q23" s="37" t="n">
        <f aca="false">'Clients &amp; revenue'!Q48/FX_EUR</f>
        <v>4270.84558330538</v>
      </c>
      <c r="R23" s="37" t="n">
        <f aca="false">'Clients &amp; revenue'!R48/FX_EUR</f>
        <v>4985.08216652351</v>
      </c>
      <c r="S23" s="37" t="n">
        <f aca="false">'Clients &amp; revenue'!S48/FX_EUR</f>
        <v>5698.17117413391</v>
      </c>
      <c r="T23" s="37" t="n">
        <f aca="false">'Clients &amp; revenue'!T48/FX_EUR</f>
        <v>6637.67242622049</v>
      </c>
      <c r="U23" s="37" t="n">
        <f aca="false">'Clients &amp; revenue'!U48/FX_EUR</f>
        <v>7577.35887899152</v>
      </c>
      <c r="V23" s="37" t="n">
        <f aca="false">'Clients &amp; revenue'!V48/FX_EUR</f>
        <v>8517.94395541856</v>
      </c>
      <c r="W23" s="37" t="n">
        <f aca="false">'Clients &amp; revenue'!W48/FX_EUR</f>
        <v>9460.17510496487</v>
      </c>
      <c r="X23" s="37" t="n">
        <f aca="false">'Clients &amp; revenue'!X48/FX_EUR</f>
        <v>10396.4784482451</v>
      </c>
      <c r="Y23" s="37" t="n">
        <f aca="false">'Clients &amp; revenue'!Y48/FX_EUR</f>
        <v>11327.7220789801</v>
      </c>
      <c r="Z23" s="37" t="n">
        <f aca="false">'Clients &amp; revenue'!Z48/FX_EUR</f>
        <v>12923.4114127547</v>
      </c>
      <c r="AA23" s="37" t="n">
        <f aca="false">'Clients &amp; revenue'!AA48/FX_EUR</f>
        <v>14520.5667252273</v>
      </c>
      <c r="AB23" s="37" t="n">
        <f aca="false">'Clients &amp; revenue'!AB48/FX_EUR</f>
        <v>16120.4544173863</v>
      </c>
      <c r="AC23" s="37" t="n">
        <f aca="false">'Clients &amp; revenue'!AC48/FX_EUR</f>
        <v>17722.7782758757</v>
      </c>
      <c r="AD23" s="37" t="n">
        <f aca="false">'Clients &amp; revenue'!AD48/FX_EUR</f>
        <v>19323.2570030878</v>
      </c>
      <c r="AE23" s="37" t="n">
        <f aca="false">'Clients &amp; revenue'!AE48/FX_EUR</f>
        <v>21053.3532220932</v>
      </c>
      <c r="AF23" s="37" t="n">
        <f aca="false">'Clients &amp; revenue'!AF48/FX_EUR</f>
        <v>23240.3321567083</v>
      </c>
      <c r="AG23" s="37" t="n">
        <f aca="false">'Clients &amp; revenue'!AG48/FX_EUR</f>
        <v>25428.7234532811</v>
      </c>
      <c r="AH23" s="37" t="n">
        <f aca="false">'Clients &amp; revenue'!AH48/FX_EUR</f>
        <v>27620.3318652783</v>
      </c>
      <c r="AI23" s="37" t="n">
        <f aca="false">'Clients &amp; revenue'!AI48/FX_EUR</f>
        <v>29946.9583612663</v>
      </c>
      <c r="AJ23" s="37" t="n">
        <f aca="false">'Clients &amp; revenue'!AJ48/FX_EUR</f>
        <v>32280.6773106504</v>
      </c>
      <c r="AK23" s="37" t="n">
        <f aca="false">'Clients &amp; revenue'!AK48/FX_EUR</f>
        <v>34621.9467069635</v>
      </c>
      <c r="AL23" s="37" t="n">
        <f aca="false">'Clients &amp; revenue'!AL48/FX_EUR</f>
        <v>36972.9729177192</v>
      </c>
      <c r="AM23" s="37" t="n">
        <f aca="false">'Clients &amp; revenue'!AM48/FX_EUR</f>
        <v>39465.9822057623</v>
      </c>
      <c r="AN23" s="37" t="n">
        <f aca="false">'Clients &amp; revenue'!AN48/FX_EUR</f>
        <v>41971.8754731532</v>
      </c>
      <c r="AO23" s="37" t="n">
        <f aca="false">'Clients &amp; revenue'!AO48/FX_EUR</f>
        <v>44491.7704168617</v>
      </c>
      <c r="AP23" s="37" t="n">
        <f aca="false">'Clients &amp; revenue'!AP48/FX_EUR</f>
        <v>47155.4697315508</v>
      </c>
      <c r="AQ23" s="37" t="n">
        <f aca="false">'Clients &amp; revenue'!AQ48/FX_EUR</f>
        <v>49951.2638395348</v>
      </c>
      <c r="AR23" s="37" t="n">
        <f aca="false">'Clients &amp; revenue'!AR48/FX_EUR</f>
        <v>52992.2166762378</v>
      </c>
      <c r="AS23" s="37" t="n">
        <f aca="false">'Clients &amp; revenue'!AS48/FX_EUR</f>
        <v>56182.9366789309</v>
      </c>
      <c r="AT23" s="37" t="n">
        <f aca="false">'Clients &amp; revenue'!AT48/FX_EUR</f>
        <v>59397.1723565974</v>
      </c>
      <c r="AU23" s="37" t="n">
        <f aca="false">'Clients &amp; revenue'!AU48/FX_EUR</f>
        <v>62766.134713529</v>
      </c>
      <c r="AV23" s="37" t="n">
        <f aca="false">'Clients &amp; revenue'!AV48/FX_EUR</f>
        <v>66145.436402001</v>
      </c>
      <c r="AW23" s="37" t="n">
        <f aca="false">'Clients &amp; revenue'!AW48/FX_EUR</f>
        <v>69742.4215357832</v>
      </c>
      <c r="AX23" s="37" t="n">
        <f aca="false">'Clients &amp; revenue'!AX48/FX_EUR</f>
        <v>73309.9735647216</v>
      </c>
      <c r="AY23" s="37" t="n">
        <f aca="false">'Clients &amp; revenue'!AY48/FX_EUR</f>
        <v>76849.489587259</v>
      </c>
      <c r="AZ23" s="37" t="n">
        <f aca="false">'Clients &amp; revenue'!AZ48/FX_EUR</f>
        <v>80489.235070261</v>
      </c>
      <c r="BA23" s="37" t="n">
        <f aca="false">'Clients &amp; revenue'!BA48/FX_EUR</f>
        <v>84100.8279751611</v>
      </c>
      <c r="BB23" s="37" t="n">
        <f aca="false">'Clients &amp; revenue'!BB48/FX_EUR</f>
        <v>87928.1920262872</v>
      </c>
      <c r="BC23" s="37" t="n">
        <f aca="false">'Clients &amp; revenue'!BC48/FX_EUR</f>
        <v>91726.1868380868</v>
      </c>
      <c r="BD23" s="37" t="n">
        <f aca="false">'Clients &amp; revenue'!BD48/FX_EUR</f>
        <v>95853.4829662822</v>
      </c>
      <c r="BE23" s="37" t="n">
        <f aca="false">'Clients &amp; revenue'!BE48/FX_EUR</f>
        <v>99951.8944298304</v>
      </c>
      <c r="BF23" s="37" t="n">
        <f aca="false">'Clients &amp; revenue'!BF48/FX_EUR</f>
        <v>104151.615362358</v>
      </c>
      <c r="BG23" s="37" t="n">
        <f aca="false">'Clients &amp; revenue'!BG48/FX_EUR</f>
        <v>108441.652684319</v>
      </c>
      <c r="BH23" s="37" t="n">
        <f aca="false">'Clients &amp; revenue'!BH48/FX_EUR</f>
        <v>112833.983301754</v>
      </c>
      <c r="BI23" s="37" t="n">
        <f aca="false">'Clients &amp; revenue'!BI48/FX_EUR</f>
        <v>117200.886099236</v>
      </c>
      <c r="BJ23" s="37" t="n">
        <f aca="false">'Clients &amp; revenue'!BJ48/FX_EUR</f>
        <v>121789.836673415</v>
      </c>
      <c r="BK23" s="37" t="n">
        <f aca="false">'Clients &amp; revenue'!BK48/FX_EUR</f>
        <v>126356.387780658</v>
      </c>
      <c r="BL23" s="37" t="n">
        <f aca="false">'Clients &amp; revenue'!BL48/FX_EUR</f>
        <v>131030.117053272</v>
      </c>
    </row>
    <row r="24" customFormat="false" ht="15" hidden="false" customHeight="false" outlineLevel="0" collapsed="false">
      <c r="A24" s="12" t="s">
        <v>787</v>
      </c>
      <c r="B24" s="14" t="s">
        <v>73</v>
      </c>
      <c r="D24" s="55" t="n">
        <f aca="false">'Clients &amp; revenue'!D49/FX_EUR</f>
        <v>2399762.47229114</v>
      </c>
      <c r="E24" s="37" t="n">
        <f aca="false">'Clients &amp; revenue'!E49/FX_EUR</f>
        <v>0</v>
      </c>
      <c r="F24" s="37" t="n">
        <f aca="false">'Clients &amp; revenue'!F49/FX_EUR</f>
        <v>0</v>
      </c>
      <c r="G24" s="37" t="n">
        <f aca="false">'Clients &amp; revenue'!G49/FX_EUR</f>
        <v>0</v>
      </c>
      <c r="H24" s="37" t="n">
        <f aca="false">'Clients &amp; revenue'!H49/FX_EUR</f>
        <v>0</v>
      </c>
      <c r="I24" s="37" t="n">
        <f aca="false">'Clients &amp; revenue'!I49/FX_EUR</f>
        <v>0</v>
      </c>
      <c r="J24" s="37" t="n">
        <f aca="false">'Clients &amp; revenue'!J49/FX_EUR</f>
        <v>0</v>
      </c>
      <c r="K24" s="37" t="n">
        <f aca="false">'Clients &amp; revenue'!K49/FX_EUR</f>
        <v>0</v>
      </c>
      <c r="L24" s="37" t="n">
        <f aca="false">'Clients &amp; revenue'!L49/FX_EUR</f>
        <v>634.997780678496</v>
      </c>
      <c r="M24" s="37" t="n">
        <f aca="false">'Clients &amp; revenue'!M49/FX_EUR</f>
        <v>1286.87476092732</v>
      </c>
      <c r="N24" s="37" t="n">
        <f aca="false">'Clients &amp; revenue'!N49/FX_EUR</f>
        <v>1941.04650422485</v>
      </c>
      <c r="O24" s="37" t="n">
        <f aca="false">'Clients &amp; revenue'!O49/FX_EUR</f>
        <v>2597.92683027224</v>
      </c>
      <c r="P24" s="37" t="n">
        <f aca="false">'Clients &amp; revenue'!P49/FX_EUR</f>
        <v>3257.95231694836</v>
      </c>
      <c r="Q24" s="37" t="n">
        <f aca="false">'Clients &amp; revenue'!Q49/FX_EUR</f>
        <v>3921.58368133292</v>
      </c>
      <c r="R24" s="37" t="n">
        <f aca="false">'Clients &amp; revenue'!R49/FX_EUR</f>
        <v>4587.79135828704</v>
      </c>
      <c r="S24" s="37" t="n">
        <f aca="false">'Clients &amp; revenue'!S49/FX_EUR</f>
        <v>5257.10019144584</v>
      </c>
      <c r="T24" s="37" t="n">
        <f aca="false">'Clients &amp; revenue'!T49/FX_EUR</f>
        <v>6132.18176308877</v>
      </c>
      <c r="U24" s="37" t="n">
        <f aca="false">'Clients &amp; revenue'!U49/FX_EUR</f>
        <v>7011.50206274643</v>
      </c>
      <c r="V24" s="37" t="n">
        <f aca="false">'Clients &amp; revenue'!V49/FX_EUR</f>
        <v>7895.67741034684</v>
      </c>
      <c r="W24" s="37" t="n">
        <f aca="false">'Clients &amp; revenue'!W49/FX_EUR</f>
        <v>8785.35839004183</v>
      </c>
      <c r="X24" s="37" t="n">
        <f aca="false">'Clients &amp; revenue'!X49/FX_EUR</f>
        <v>9676.76527235859</v>
      </c>
      <c r="Y24" s="37" t="n">
        <f aca="false">'Clients &amp; revenue'!Y49/FX_EUR</f>
        <v>10570.6257794343</v>
      </c>
      <c r="Z24" s="37" t="n">
        <f aca="false">'Clients &amp; revenue'!Z49/FX_EUR</f>
        <v>12063.2604907031</v>
      </c>
      <c r="AA24" s="37" t="n">
        <f aca="false">'Clients &amp; revenue'!AA49/FX_EUR</f>
        <v>13564.0893825992</v>
      </c>
      <c r="AB24" s="37" t="n">
        <f aca="false">'Clients &amp; revenue'!AB49/FX_EUR</f>
        <v>15074.2143352256</v>
      </c>
      <c r="AC24" s="37" t="n">
        <f aca="false">'Clients &amp; revenue'!AC49/FX_EUR</f>
        <v>16593.9308915729</v>
      </c>
      <c r="AD24" s="37" t="n">
        <f aca="false">'Clients &amp; revenue'!AD49/FX_EUR</f>
        <v>18121.4308974394</v>
      </c>
      <c r="AE24" s="37" t="n">
        <f aca="false">'Clients &amp; revenue'!AE49/FX_EUR</f>
        <v>19773.757955822</v>
      </c>
      <c r="AF24" s="37" t="n">
        <f aca="false">'Clients &amp; revenue'!AF49/FX_EUR</f>
        <v>21842.3749316794</v>
      </c>
      <c r="AG24" s="37" t="n">
        <f aca="false">'Clients &amp; revenue'!AG49/FX_EUR</f>
        <v>23922.1129903394</v>
      </c>
      <c r="AH24" s="37" t="n">
        <f aca="false">'Clients &amp; revenue'!AH49/FX_EUR</f>
        <v>26014.5389386805</v>
      </c>
      <c r="AI24" s="37" t="n">
        <f aca="false">'Clients &amp; revenue'!AI49/FX_EUR</f>
        <v>28237.0232719632</v>
      </c>
      <c r="AJ24" s="37" t="n">
        <f aca="false">'Clients &amp; revenue'!AJ49/FX_EUR</f>
        <v>30475.5961805385</v>
      </c>
      <c r="AK24" s="37" t="n">
        <f aca="false">'Clients &amp; revenue'!AK49/FX_EUR</f>
        <v>32731.2345593604</v>
      </c>
      <c r="AL24" s="37" t="n">
        <f aca="false">'Clients &amp; revenue'!AL49/FX_EUR</f>
        <v>35005.8937758174</v>
      </c>
      <c r="AM24" s="37" t="n">
        <f aca="false">'Clients &amp; revenue'!AM49/FX_EUR</f>
        <v>37417.355960082</v>
      </c>
      <c r="AN24" s="37" t="n">
        <f aca="false">'Clients &amp; revenue'!AN49/FX_EUR</f>
        <v>39851.2195248773</v>
      </c>
      <c r="AO24" s="37" t="n">
        <f aca="false">'Clients &amp; revenue'!AO49/FX_EUR</f>
        <v>42309.0166871769</v>
      </c>
      <c r="AP24" s="37" t="n">
        <f aca="false">'Clients &amp; revenue'!AP49/FX_EUR</f>
        <v>44907.3986783451</v>
      </c>
      <c r="AQ24" s="37" t="n">
        <f aca="false">'Clients &amp; revenue'!AQ49/FX_EUR</f>
        <v>47636.527473031</v>
      </c>
      <c r="AR24" s="37" t="n">
        <f aca="false">'Clients &amp; revenue'!AR49/FX_EUR</f>
        <v>50597.1320809497</v>
      </c>
      <c r="AS24" s="37" t="n">
        <f aca="false">'Clients &amp; revenue'!AS49/FX_EUR</f>
        <v>53704.8554477657</v>
      </c>
      <c r="AT24" s="37" t="n">
        <f aca="false">'Clients &amp; revenue'!AT49/FX_EUR</f>
        <v>56847.1939823158</v>
      </c>
      <c r="AU24" s="37" t="n">
        <f aca="false">'Clients &amp; revenue'!AU49/FX_EUR</f>
        <v>60141.8995754044</v>
      </c>
      <c r="AV24" s="37" t="n">
        <f aca="false">'Clients &amp; revenue'!AV49/FX_EUR</f>
        <v>63460.1221248676</v>
      </c>
      <c r="AW24" s="37" t="n">
        <f aca="false">'Clients &amp; revenue'!AW49/FX_EUR</f>
        <v>66986.3234099493</v>
      </c>
      <c r="AX24" s="37" t="n">
        <f aca="false">'Clients &amp; revenue'!AX49/FX_EUR</f>
        <v>70500.7426548007</v>
      </c>
      <c r="AY24" s="37" t="n">
        <f aca="false">'Clients &amp; revenue'!AY49/FX_EUR</f>
        <v>74004.40016528</v>
      </c>
      <c r="AZ24" s="37" t="n">
        <f aca="false">'Clients &amp; revenue'!AZ49/FX_EUR</f>
        <v>77612.4319788407</v>
      </c>
      <c r="BA24" s="37" t="n">
        <f aca="false">'Clients &amp; revenue'!BA49/FX_EUR</f>
        <v>81210.253863284</v>
      </c>
      <c r="BB24" s="37" t="n">
        <f aca="false">'Clients &amp; revenue'!BB49/FX_EUR</f>
        <v>85016.5182295773</v>
      </c>
      <c r="BC24" s="37" t="n">
        <f aca="false">'Clients &amp; revenue'!BC49/FX_EUR</f>
        <v>88812.6260612508</v>
      </c>
      <c r="BD24" s="37" t="n">
        <f aca="false">'Clients &amp; revenue'!BD49/FX_EUR</f>
        <v>92918.4101430384</v>
      </c>
      <c r="BE24" s="37" t="n">
        <f aca="false">'Clients &amp; revenue'!BE49/FX_EUR</f>
        <v>97015.1067854713</v>
      </c>
      <c r="BF24" s="37" t="n">
        <f aca="false">'Clients &amp; revenue'!BF49/FX_EUR</f>
        <v>101219.0339917</v>
      </c>
      <c r="BG24" s="37" t="n">
        <f aca="false">'Clients &amp; revenue'!BG49/FX_EUR</f>
        <v>105520.169134703</v>
      </c>
      <c r="BH24" s="37" t="n">
        <f aca="false">'Clients &amp; revenue'!BH49/FX_EUR</f>
        <v>109930.061418369</v>
      </c>
      <c r="BI24" s="37" t="n">
        <f aca="false">'Clients &amp; revenue'!BI49/FX_EUR</f>
        <v>114334.715574408</v>
      </c>
      <c r="BJ24" s="37" t="n">
        <f aca="false">'Clients &amp; revenue'!BJ49/FX_EUR</f>
        <v>118954.933327408</v>
      </c>
      <c r="BK24" s="37" t="n">
        <f aca="false">'Clients &amp; revenue'!BK49/FX_EUR</f>
        <v>123572.760946554</v>
      </c>
      <c r="BL24" s="37" t="n">
        <f aca="false">'Clients &amp; revenue'!BL49/FX_EUR</f>
        <v>128304.420367819</v>
      </c>
    </row>
    <row r="25" customFormat="false" ht="15" hidden="false" customHeight="false" outlineLevel="0" collapsed="false">
      <c r="A25" s="8" t="s">
        <v>788</v>
      </c>
      <c r="B25" s="14" t="s">
        <v>73</v>
      </c>
      <c r="D25" s="55" t="n">
        <f aca="false">'Clients &amp; revenue'!D50/FX_EUR</f>
        <v>6369351.29811082</v>
      </c>
      <c r="E25" s="16" t="n">
        <f aca="false">'Clients &amp; revenue'!E50/FX_EUR</f>
        <v>0</v>
      </c>
      <c r="F25" s="16" t="n">
        <f aca="false">'Clients &amp; revenue'!F50/FX_EUR</f>
        <v>0</v>
      </c>
      <c r="G25" s="16" t="n">
        <f aca="false">'Clients &amp; revenue'!G50/FX_EUR</f>
        <v>0</v>
      </c>
      <c r="H25" s="16" t="n">
        <f aca="false">'Clients &amp; revenue'!H50/FX_EUR</f>
        <v>0</v>
      </c>
      <c r="I25" s="16" t="n">
        <f aca="false">'Clients &amp; revenue'!I50/FX_EUR</f>
        <v>0</v>
      </c>
      <c r="J25" s="16" t="n">
        <f aca="false">'Clients &amp; revenue'!J50/FX_EUR</f>
        <v>0</v>
      </c>
      <c r="K25" s="16" t="n">
        <f aca="false">'Clients &amp; revenue'!K50/FX_EUR</f>
        <v>0</v>
      </c>
      <c r="L25" s="16" t="n">
        <f aca="false">'Clients &amp; revenue'!L50/FX_EUR</f>
        <v>1761.03793539262</v>
      </c>
      <c r="M25" s="16" t="n">
        <f aca="false">'Clients &amp; revenue'!M50/FX_EUR</f>
        <v>3590.53411076993</v>
      </c>
      <c r="N25" s="16" t="n">
        <f aca="false">'Clients &amp; revenue'!N50/FX_EUR</f>
        <v>5417.207336461</v>
      </c>
      <c r="O25" s="16" t="n">
        <f aca="false">'Clients &amp; revenue'!O50/FX_EUR</f>
        <v>7242.34944215428</v>
      </c>
      <c r="P25" s="16" t="n">
        <f aca="false">'Clients &amp; revenue'!P50/FX_EUR</f>
        <v>9067.30812516683</v>
      </c>
      <c r="Q25" s="16" t="n">
        <f aca="false">'Clients &amp; revenue'!Q50/FX_EUR</f>
        <v>10893.4906578287</v>
      </c>
      <c r="R25" s="16" t="n">
        <f aca="false">'Clients &amp; revenue'!R50/FX_EUR</f>
        <v>12715.0103607837</v>
      </c>
      <c r="S25" s="16" t="n">
        <f aca="false">'Clients &amp; revenue'!S50/FX_EUR</f>
        <v>14533.5125841028</v>
      </c>
      <c r="T25" s="16" t="n">
        <f aca="false">'Clients &amp; revenue'!T50/FX_EUR</f>
        <v>16929.9999499682</v>
      </c>
      <c r="U25" s="16" t="n">
        <f aca="false">'Clients &amp; revenue'!U50/FX_EUR</f>
        <v>19326.9761708005</v>
      </c>
      <c r="V25" s="16" t="n">
        <f aca="false">'Clients &amp; revenue'!V50/FX_EUR</f>
        <v>21726.3118720006</v>
      </c>
      <c r="W25" s="16" t="n">
        <f aca="false">'Clients &amp; revenue'!W50/FX_EUR</f>
        <v>24129.9628828964</v>
      </c>
      <c r="X25" s="16" t="n">
        <f aca="false">'Clients &amp; revenue'!X50/FX_EUR</f>
        <v>26518.2965852897</v>
      </c>
      <c r="Y25" s="16" t="n">
        <f aca="false">'Clients &amp; revenue'!Y50/FX_EUR</f>
        <v>28893.6196287074</v>
      </c>
      <c r="Z25" s="16" t="n">
        <f aca="false">'Clients &amp; revenue'!Z50/FX_EUR</f>
        <v>32965.2361292962</v>
      </c>
      <c r="AA25" s="16" t="n">
        <f aca="false">'Clients &amp; revenue'!AA50/FX_EUR</f>
        <v>37040.6735980315</v>
      </c>
      <c r="AB25" s="16" t="n">
        <f aca="false">'Clients &amp; revenue'!AB50/FX_EUR</f>
        <v>41123.2466993045</v>
      </c>
      <c r="AC25" s="16" t="n">
        <f aca="false">'Clients &amp; revenue'!AC50/FX_EUR</f>
        <v>45212.2114547432</v>
      </c>
      <c r="AD25" s="16" t="n">
        <f aca="false">'Clients &amp; revenue'!AD50/FX_EUR</f>
        <v>49296.4899139331</v>
      </c>
      <c r="AE25" s="16" t="n">
        <f aca="false">'Clients &amp; revenue'!AE50/FX_EUR</f>
        <v>53711.8158419082</v>
      </c>
      <c r="AF25" s="16" t="n">
        <f aca="false">'Clients &amp; revenue'!AF50/FX_EUR</f>
        <v>59293.7941230572</v>
      </c>
      <c r="AG25" s="16" t="n">
        <f aca="false">'Clients &amp; revenue'!AG50/FX_EUR</f>
        <v>64879.6710404802</v>
      </c>
      <c r="AH25" s="16" t="n">
        <f aca="false">'Clients &amp; revenue'!AH50/FX_EUR</f>
        <v>70474.1676534039</v>
      </c>
      <c r="AI25" s="16" t="n">
        <f aca="false">'Clients &amp; revenue'!AI50/FX_EUR</f>
        <v>76413.8755231494</v>
      </c>
      <c r="AJ25" s="16" t="n">
        <f aca="false">'Clients &amp; revenue'!AJ50/FX_EUR</f>
        <v>82372.312328424</v>
      </c>
      <c r="AK25" s="16" t="n">
        <f aca="false">'Clients &amp; revenue'!AK50/FX_EUR</f>
        <v>88350.6830508282</v>
      </c>
      <c r="AL25" s="16" t="n">
        <f aca="false">'Clients &amp; revenue'!AL50/FX_EUR</f>
        <v>94354.7287515758</v>
      </c>
      <c r="AM25" s="16" t="n">
        <f aca="false">'Clients &amp; revenue'!AM50/FX_EUR</f>
        <v>100722.121685075</v>
      </c>
      <c r="AN25" s="16" t="n">
        <f aca="false">'Clients &amp; revenue'!AN50/FX_EUR</f>
        <v>107123.312279067</v>
      </c>
      <c r="AO25" s="16" t="n">
        <f aca="false">'Clients &amp; revenue'!AO50/FX_EUR</f>
        <v>113561.201192002</v>
      </c>
      <c r="AP25" s="16" t="n">
        <f aca="false">'Clients &amp; revenue'!AP50/FX_EUR</f>
        <v>120367.164504987</v>
      </c>
      <c r="AQ25" s="16" t="n">
        <f aca="false">'Clients &amp; revenue'!AQ50/FX_EUR</f>
        <v>127511.36639636</v>
      </c>
      <c r="AR25" s="16" t="n">
        <f aca="false">'Clients &amp; revenue'!AR50/FX_EUR</f>
        <v>135282.584008462</v>
      </c>
      <c r="AS25" s="16" t="n">
        <f aca="false">'Clients &amp; revenue'!AS50/FX_EUR</f>
        <v>143437.346214402</v>
      </c>
      <c r="AT25" s="16" t="n">
        <f aca="false">'Clients &amp; revenue'!AT50/FX_EUR</f>
        <v>151653.479628967</v>
      </c>
      <c r="AU25" s="16" t="n">
        <f aca="false">'Clients &amp; revenue'!AU50/FX_EUR</f>
        <v>160265.991391051</v>
      </c>
      <c r="AV25" s="16" t="n">
        <f aca="false">'Clients &amp; revenue'!AV50/FX_EUR</f>
        <v>168906.436434548</v>
      </c>
      <c r="AW25" s="16" t="n">
        <f aca="false">'Clients &amp; revenue'!AW50/FX_EUR</f>
        <v>178104.316949532</v>
      </c>
      <c r="AX25" s="16" t="n">
        <f aca="false">'Clients &amp; revenue'!AX50/FX_EUR</f>
        <v>187228.844335172</v>
      </c>
      <c r="AY25" s="16" t="n">
        <f aca="false">'Clients &amp; revenue'!AY50/FX_EUR</f>
        <v>196283.743341689</v>
      </c>
      <c r="AZ25" s="16" t="n">
        <f aca="false">'Clients &amp; revenue'!AZ50/FX_EUR</f>
        <v>205596.494502751</v>
      </c>
      <c r="BA25" s="16" t="n">
        <f aca="false">'Clients &amp; revenue'!BA50/FX_EUR</f>
        <v>214839.506868047</v>
      </c>
      <c r="BB25" s="16" t="n">
        <f aca="false">'Clients &amp; revenue'!BB50/FX_EUR</f>
        <v>224635.478204976</v>
      </c>
      <c r="BC25" s="16" t="n">
        <f aca="false">'Clients &amp; revenue'!BC50/FX_EUR</f>
        <v>234358.7509919</v>
      </c>
      <c r="BD25" s="16" t="n">
        <f aca="false">'Clients &amp; revenue'!BD50/FX_EUR</f>
        <v>244925.095317466</v>
      </c>
      <c r="BE25" s="16" t="n">
        <f aca="false">'Clients &amp; revenue'!BE50/FX_EUR</f>
        <v>255420.188097688</v>
      </c>
      <c r="BF25" s="16" t="n">
        <f aca="false">'Clients &amp; revenue'!BF50/FX_EUR</f>
        <v>266176.512790964</v>
      </c>
      <c r="BG25" s="16" t="n">
        <f aca="false">'Clients &amp; revenue'!BG50/FX_EUR</f>
        <v>277166.176944177</v>
      </c>
      <c r="BH25" s="16" t="n">
        <f aca="false">'Clients &amp; revenue'!BH50/FX_EUR</f>
        <v>288419.79532748</v>
      </c>
      <c r="BI25" s="16" t="n">
        <f aca="false">'Clients &amp; revenue'!BI50/FX_EUR</f>
        <v>299611.477213184</v>
      </c>
      <c r="BJ25" s="16" t="n">
        <f aca="false">'Clients &amp; revenue'!BJ50/FX_EUR</f>
        <v>311373.117639826</v>
      </c>
      <c r="BK25" s="16" t="n">
        <f aca="false">'Clients &amp; revenue'!BK50/FX_EUR</f>
        <v>323080.823730135</v>
      </c>
      <c r="BL25" s="16" t="n">
        <f aca="false">'Clients &amp; revenue'!BL50/FX_EUR</f>
        <v>335065.448370452</v>
      </c>
    </row>
    <row r="26" customFormat="false" ht="15" hidden="false" customHeight="false" outlineLevel="0" collapsed="false">
      <c r="A26" s="12" t="s">
        <v>536</v>
      </c>
      <c r="B26" s="14" t="s">
        <v>73</v>
      </c>
      <c r="D26" s="55" t="n">
        <f aca="false">'Clients &amp; revenue'!D51/FX_EUR</f>
        <v>3196230.66861746</v>
      </c>
      <c r="E26" s="37" t="n">
        <f aca="false">'Clients &amp; revenue'!E51/FX_EUR</f>
        <v>0</v>
      </c>
      <c r="F26" s="37" t="n">
        <f aca="false">'Clients &amp; revenue'!F51/FX_EUR</f>
        <v>0</v>
      </c>
      <c r="G26" s="37" t="n">
        <f aca="false">'Clients &amp; revenue'!G51/FX_EUR</f>
        <v>0</v>
      </c>
      <c r="H26" s="37" t="n">
        <f aca="false">'Clients &amp; revenue'!H51/FX_EUR</f>
        <v>0</v>
      </c>
      <c r="I26" s="37" t="n">
        <f aca="false">'Clients &amp; revenue'!I51/FX_EUR</f>
        <v>779.705580294643</v>
      </c>
      <c r="J26" s="37" t="n">
        <f aca="false">'Clients &amp; revenue'!J51/FX_EUR</f>
        <v>1558.15604783037</v>
      </c>
      <c r="K26" s="37" t="n">
        <f aca="false">'Clients &amp; revenue'!K51/FX_EUR</f>
        <v>2335.8713524667</v>
      </c>
      <c r="L26" s="37" t="n">
        <f aca="false">'Clients &amp; revenue'!L51/FX_EUR</f>
        <v>3113.39421108809</v>
      </c>
      <c r="M26" s="37" t="n">
        <f aca="false">'Clients &amp; revenue'!M51/FX_EUR</f>
        <v>3891.29160698633</v>
      </c>
      <c r="N26" s="37" t="n">
        <f aca="false">'Clients &amp; revenue'!N51/FX_EUR</f>
        <v>4670.15637691771</v>
      </c>
      <c r="O26" s="37" t="n">
        <f aca="false">'Clients &amp; revenue'!O51/FX_EUR</f>
        <v>5450.60889113674</v>
      </c>
      <c r="P26" s="37" t="n">
        <f aca="false">'Clients &amp; revenue'!P51/FX_EUR</f>
        <v>6233.29883202596</v>
      </c>
      <c r="Q26" s="37" t="n">
        <f aca="false">'Clients &amp; revenue'!Q51/FX_EUR</f>
        <v>7255.89415620683</v>
      </c>
      <c r="R26" s="37" t="n">
        <f aca="false">'Clients &amp; revenue'!R51/FX_EUR</f>
        <v>8279.26602435684</v>
      </c>
      <c r="S26" s="37" t="n">
        <f aca="false">'Clients &amp; revenue'!S51/FX_EUR</f>
        <v>9304.20319692239</v>
      </c>
      <c r="T26" s="37" t="n">
        <f aca="false">'Clients &amp; revenue'!T51/FX_EUR</f>
        <v>10331.5313615656</v>
      </c>
      <c r="U26" s="37" t="n">
        <f aca="false">'Clients &amp; revenue'!U51/FX_EUR</f>
        <v>11362.1155118744</v>
      </c>
      <c r="V26" s="37" t="n">
        <f aca="false">'Clients &amp; revenue'!V51/FX_EUR</f>
        <v>12396.8624660146</v>
      </c>
      <c r="W26" s="37" t="n">
        <f aca="false">'Clients &amp; revenue'!W51/FX_EUR</f>
        <v>14135.0213388608</v>
      </c>
      <c r="X26" s="37" t="n">
        <f aca="false">'Clients &amp; revenue'!X51/FX_EUR</f>
        <v>15875.7625367683</v>
      </c>
      <c r="Y26" s="37" t="n">
        <f aca="false">'Clients &amp; revenue'!Y51/FX_EUR</f>
        <v>17620.4852725576</v>
      </c>
      <c r="Z26" s="37" t="n">
        <f aca="false">'Clients &amp; revenue'!Z51/FX_EUR</f>
        <v>19370.6553013585</v>
      </c>
      <c r="AA26" s="37" t="n">
        <f aca="false">'Clients &amp; revenue'!AA51/FX_EUR</f>
        <v>21127.8091859071</v>
      </c>
      <c r="AB26" s="37" t="n">
        <f aca="false">'Clients &amp; revenue'!AB51/FX_EUR</f>
        <v>23029.2384384568</v>
      </c>
      <c r="AC26" s="37" t="n">
        <f aca="false">'Clients &amp; revenue'!AC51/FX_EUR</f>
        <v>25415.1036315743</v>
      </c>
      <c r="AD26" s="37" t="n">
        <f aca="false">'Clients &amp; revenue'!AD51/FX_EUR</f>
        <v>27805.6878103289</v>
      </c>
      <c r="AE26" s="37" t="n">
        <f aca="false">'Clients &amp; revenue'!AE51/FX_EUR</f>
        <v>30202.9599684813</v>
      </c>
      <c r="AF26" s="37" t="n">
        <f aca="false">'Clients &amp; revenue'!AF51/FX_EUR</f>
        <v>32744.6633774948</v>
      </c>
      <c r="AG26" s="37" t="n">
        <f aca="false">'Clients &amp; revenue'!AG51/FX_EUR</f>
        <v>35295.6477406047</v>
      </c>
      <c r="AH26" s="37" t="n">
        <f aca="false">'Clients &amp; revenue'!AH51/FX_EUR</f>
        <v>37858.2070555095</v>
      </c>
      <c r="AI26" s="37" t="n">
        <f aca="false">'Clients &amp; revenue'!AI51/FX_EUR</f>
        <v>40434.7488515073</v>
      </c>
      <c r="AJ26" s="37" t="n">
        <f aca="false">'Clients &amp; revenue'!AJ51/FX_EUR</f>
        <v>43163.481001891</v>
      </c>
      <c r="AK26" s="37" t="n">
        <f aca="false">'Clients &amp; revenue'!AK51/FX_EUR</f>
        <v>45909.74544413</v>
      </c>
      <c r="AL26" s="37" t="n">
        <f aca="false">'Clients &amp; revenue'!AL51/FX_EUR</f>
        <v>48676.357702627</v>
      </c>
      <c r="AM26" s="37" t="n">
        <f aca="false">'Clients &amp; revenue'!AM51/FX_EUR</f>
        <v>51601.9575108494</v>
      </c>
      <c r="AN26" s="37" t="n">
        <f aca="false">'Clients &amp; revenue'!AN51/FX_EUR</f>
        <v>54674.4556346742</v>
      </c>
      <c r="AO26" s="37" t="n">
        <f aca="false">'Clients &amp; revenue'!AO51/FX_EUR</f>
        <v>58010.5554981597</v>
      </c>
      <c r="AP26" s="37" t="n">
        <f aca="false">'Clients &amp; revenue'!AP51/FX_EUR</f>
        <v>61509.5866739012</v>
      </c>
      <c r="AQ26" s="37" t="n">
        <f aca="false">'Clients &amp; revenue'!AQ51/FX_EUR</f>
        <v>65037.9502538768</v>
      </c>
      <c r="AR26" s="37" t="n">
        <f aca="false">'Clients &amp; revenue'!AR51/FX_EUR</f>
        <v>68735.258438566</v>
      </c>
      <c r="AS26" s="37" t="n">
        <f aca="false">'Clients &amp; revenue'!AS51/FX_EUR</f>
        <v>72448.3561062849</v>
      </c>
      <c r="AT26" s="37" t="n">
        <f aca="false">'Clients &amp; revenue'!AT51/FX_EUR</f>
        <v>76393.3094685105</v>
      </c>
      <c r="AU26" s="37" t="n">
        <f aca="false">'Clients &amp; revenue'!AU51/FX_EUR</f>
        <v>80310.6492778387</v>
      </c>
      <c r="AV26" s="37" t="n">
        <f aca="false">'Clients &amp; revenue'!AV51/FX_EUR</f>
        <v>84201.8916701643</v>
      </c>
      <c r="AW26" s="37" t="n">
        <f aca="false">'Clients &amp; revenue'!AW51/FX_EUR</f>
        <v>88204.2797734508</v>
      </c>
      <c r="AX26" s="37" t="n">
        <f aca="false">'Clients &amp; revenue'!AX51/FX_EUR</f>
        <v>92182.1133309966</v>
      </c>
      <c r="AY26" s="37" t="n">
        <f aca="false">'Clients &amp; revenue'!AY51/FX_EUR</f>
        <v>96394.8751645124</v>
      </c>
      <c r="AZ26" s="37" t="n">
        <f aca="false">'Clients &amp; revenue'!AZ51/FX_EUR</f>
        <v>100583.417162917</v>
      </c>
      <c r="BA26" s="37" t="n">
        <f aca="false">'Clients &amp; revenue'!BA51/FX_EUR</f>
        <v>105124.069979813</v>
      </c>
      <c r="BB26" s="37" t="n">
        <f aca="false">'Clients &amp; revenue'!BB51/FX_EUR</f>
        <v>109639.766155258</v>
      </c>
      <c r="BC26" s="37" t="n">
        <f aca="false">'Clients &amp; revenue'!BC51/FX_EUR</f>
        <v>114268.239230669</v>
      </c>
      <c r="BD26" s="37" t="n">
        <f aca="false">'Clients &amp; revenue'!BD51/FX_EUR</f>
        <v>118996.414827462</v>
      </c>
      <c r="BE26" s="37" t="n">
        <f aca="false">'Clients &amp; revenue'!BE51/FX_EUR</f>
        <v>123838.620457425</v>
      </c>
      <c r="BF26" s="37" t="n">
        <f aca="false">'Clients &amp; revenue'!BF51/FX_EUR</f>
        <v>128659.87793044</v>
      </c>
      <c r="BG26" s="37" t="n">
        <f aca="false">'Clients &amp; revenue'!BG51/FX_EUR</f>
        <v>133720.428167727</v>
      </c>
      <c r="BH26" s="37" t="n">
        <f aca="false">'Clients &amp; revenue'!BH51/FX_EUR</f>
        <v>138761.919461932</v>
      </c>
      <c r="BI26" s="37" t="n">
        <f aca="false">'Clients &amp; revenue'!BI51/FX_EUR</f>
        <v>143922.723439776</v>
      </c>
      <c r="BJ26" s="37" t="n">
        <f aca="false">'Clients &amp; revenue'!BJ51/FX_EUR</f>
        <v>149068.326781611</v>
      </c>
      <c r="BK26" s="37" t="n">
        <f aca="false">'Clients &amp; revenue'!BK51/FX_EUR</f>
        <v>154436.201666802</v>
      </c>
      <c r="BL26" s="37" t="n">
        <f aca="false">'Clients &amp; revenue'!BL51/FX_EUR</f>
        <v>159877.494280098</v>
      </c>
    </row>
    <row r="27" customFormat="false" ht="15" hidden="false" customHeight="false" outlineLevel="0" collapsed="false">
      <c r="A27" s="12" t="s">
        <v>789</v>
      </c>
      <c r="B27" s="14" t="s">
        <v>73</v>
      </c>
      <c r="D27" s="55" t="n">
        <f aca="false">'Clients &amp; revenue'!D52/FX_EUR</f>
        <v>1194581.37046104</v>
      </c>
      <c r="E27" s="37" t="n">
        <f aca="false">'Clients &amp; revenue'!E52/FX_EUR</f>
        <v>0</v>
      </c>
      <c r="F27" s="37" t="n">
        <f aca="false">'Clients &amp; revenue'!F52/FX_EUR</f>
        <v>0</v>
      </c>
      <c r="G27" s="37" t="n">
        <f aca="false">'Clients &amp; revenue'!G52/FX_EUR</f>
        <v>0</v>
      </c>
      <c r="H27" s="37" t="n">
        <f aca="false">'Clients &amp; revenue'!H52/FX_EUR</f>
        <v>0</v>
      </c>
      <c r="I27" s="37" t="n">
        <f aca="false">'Clients &amp; revenue'!I52/FX_EUR</f>
        <v>293.484684717647</v>
      </c>
      <c r="J27" s="37" t="n">
        <f aca="false">'Clients &amp; revenue'!J52/FX_EUR</f>
        <v>586.321232438509</v>
      </c>
      <c r="K27" s="37" t="n">
        <f aca="false">'Clients &amp; revenue'!K52/FX_EUR</f>
        <v>878.708861442137</v>
      </c>
      <c r="L27" s="37" t="n">
        <f aca="false">'Clients &amp; revenue'!L52/FX_EUR</f>
        <v>1170.85517841664</v>
      </c>
      <c r="M27" s="37" t="n">
        <f aca="false">'Clients &amp; revenue'!M52/FX_EUR</f>
        <v>1462.97674101794</v>
      </c>
      <c r="N27" s="37" t="n">
        <f aca="false">'Clients &amp; revenue'!N52/FX_EUR</f>
        <v>1755.29965312595</v>
      </c>
      <c r="O27" s="37" t="n">
        <f aca="false">'Clients &amp; revenue'!O52/FX_EUR</f>
        <v>2048.06019477934</v>
      </c>
      <c r="P27" s="37" t="n">
        <f aca="false">'Clients &amp; revenue'!P52/FX_EUR</f>
        <v>2341.50548888875</v>
      </c>
      <c r="Q27" s="37" t="n">
        <f aca="false">'Clients &amp; revenue'!Q52/FX_EUR</f>
        <v>2725.09720857364</v>
      </c>
      <c r="R27" s="37" t="n">
        <f aca="false">'Clients &amp; revenue'!R52/FX_EUR</f>
        <v>3108.77496798312</v>
      </c>
      <c r="S27" s="37" t="n">
        <f aca="false">'Clients &amp; revenue'!S52/FX_EUR</f>
        <v>3492.839271864</v>
      </c>
      <c r="T27" s="37" t="n">
        <f aca="false">'Clients &amp; revenue'!T52/FX_EUR</f>
        <v>3877.60428086156</v>
      </c>
      <c r="U27" s="37" t="n">
        <f aca="false">'Clients &amp; revenue'!U52/FX_EUR</f>
        <v>4263.39870301635</v>
      </c>
      <c r="V27" s="37" t="n">
        <f aca="false">'Clients &amp; revenue'!V52/FX_EUR</f>
        <v>4650.56673747121</v>
      </c>
      <c r="W27" s="37" t="n">
        <f aca="false">'Clients &amp; revenue'!W52/FX_EUR</f>
        <v>5302.31150579771</v>
      </c>
      <c r="X27" s="37" t="n">
        <f aca="false">'Clients &amp; revenue'!X52/FX_EUR</f>
        <v>5954.68258755376</v>
      </c>
      <c r="Y27" s="37" t="n">
        <f aca="false">'Clients &amp; revenue'!Y52/FX_EUR</f>
        <v>6608.2124178675</v>
      </c>
      <c r="Z27" s="37" t="n">
        <f aca="false">'Clients &amp; revenue'!Z52/FX_EUR</f>
        <v>7263.45805817338</v>
      </c>
      <c r="AA27" s="37" t="n">
        <f aca="false">'Clients &amp; revenue'!AA52/FX_EUR</f>
        <v>7921.00279439415</v>
      </c>
      <c r="AB27" s="37" t="n">
        <f aca="false">'Clients &amp; revenue'!AB52/FX_EUR</f>
        <v>8632.52824965065</v>
      </c>
      <c r="AC27" s="37" t="n">
        <f aca="false">'Clients &amp; revenue'!AC52/FX_EUR</f>
        <v>9526.04585276336</v>
      </c>
      <c r="AD27" s="37" t="n">
        <f aca="false">'Clients &amp; revenue'!AD52/FX_EUR</f>
        <v>10420.8852785433</v>
      </c>
      <c r="AE27" s="37" t="n">
        <f aca="false">'Clients &amp; revenue'!AE52/FX_EUR</f>
        <v>11317.7949472431</v>
      </c>
      <c r="AF27" s="37" t="n">
        <f aca="false">'Clients &amp; revenue'!AF52/FX_EUR</f>
        <v>12268.6287508734</v>
      </c>
      <c r="AG27" s="37" t="n">
        <f aca="false">'Clients &amp; revenue'!AG52/FX_EUR</f>
        <v>13222.491053066</v>
      </c>
      <c r="AH27" s="37" t="n">
        <f aca="false">'Clients &amp; revenue'!AH52/FX_EUR</f>
        <v>14180.2517732378</v>
      </c>
      <c r="AI27" s="37" t="n">
        <f aca="false">'Clients &amp; revenue'!AI52/FX_EUR</f>
        <v>15142.8229300761</v>
      </c>
      <c r="AJ27" s="37" t="n">
        <f aca="false">'Clients &amp; revenue'!AJ52/FX_EUR</f>
        <v>16162.2317535927</v>
      </c>
      <c r="AK27" s="37" t="n">
        <f aca="false">'Clients &amp; revenue'!AK52/FX_EUR</f>
        <v>17187.7662699265</v>
      </c>
      <c r="AL27" s="37" t="n">
        <f aca="false">'Clients &amp; revenue'!AL52/FX_EUR</f>
        <v>18220.4910055422</v>
      </c>
      <c r="AM27" s="37" t="n">
        <f aca="false">'Clients &amp; revenue'!AM52/FX_EUR</f>
        <v>19312.5946087257</v>
      </c>
      <c r="AN27" s="37" t="n">
        <f aca="false">'Clients &amp; revenue'!AN52/FX_EUR</f>
        <v>20459.4993511929</v>
      </c>
      <c r="AO27" s="37" t="n">
        <f aca="false">'Clients &amp; revenue'!AO52/FX_EUR</f>
        <v>21705.108865716</v>
      </c>
      <c r="AP27" s="37" t="n">
        <f aca="false">'Clients &amp; revenue'!AP52/FX_EUR</f>
        <v>23011.4804334759</v>
      </c>
      <c r="AQ27" s="37" t="n">
        <f aca="false">'Clients &amp; revenue'!AQ52/FX_EUR</f>
        <v>24328.3005103616</v>
      </c>
      <c r="AR27" s="37" t="n">
        <f aca="false">'Clients &amp; revenue'!AR52/FX_EUR</f>
        <v>25708.1240316693</v>
      </c>
      <c r="AS27" s="37" t="n">
        <f aca="false">'Clients &amp; revenue'!AS52/FX_EUR</f>
        <v>27093.2754576136</v>
      </c>
      <c r="AT27" s="37" t="n">
        <f aca="false">'Clients &amp; revenue'!AT52/FX_EUR</f>
        <v>28565.0908323192</v>
      </c>
      <c r="AU27" s="37" t="n">
        <f aca="false">'Clients &amp; revenue'!AU52/FX_EUR</f>
        <v>30025.8636840553</v>
      </c>
      <c r="AV27" s="37" t="n">
        <f aca="false">'Clients &amp; revenue'!AV52/FX_EUR</f>
        <v>31476.1828384876</v>
      </c>
      <c r="AW27" s="37" t="n">
        <f aca="false">'Clients &amp; revenue'!AW52/FX_EUR</f>
        <v>32967.7246974641</v>
      </c>
      <c r="AX27" s="37" t="n">
        <f aca="false">'Clients &amp; revenue'!AX52/FX_EUR</f>
        <v>34449.3972986877</v>
      </c>
      <c r="AY27" s="37" t="n">
        <f aca="false">'Clients &amp; revenue'!AY52/FX_EUR</f>
        <v>36018.8882004236</v>
      </c>
      <c r="AZ27" s="37" t="n">
        <f aca="false">'Clients &amp; revenue'!AZ52/FX_EUR</f>
        <v>37578.6111602743</v>
      </c>
      <c r="BA27" s="37" t="n">
        <f aca="false">'Clients &amp; revenue'!BA52/FX_EUR</f>
        <v>39270.2361645872</v>
      </c>
      <c r="BB27" s="37" t="n">
        <f aca="false">'Clients &amp; revenue'!BB52/FX_EUR</f>
        <v>40951.765638452</v>
      </c>
      <c r="BC27" s="37" t="n">
        <f aca="false">'Clients &amp; revenue'!BC52/FX_EUR</f>
        <v>42675.0616327306</v>
      </c>
      <c r="BD27" s="37" t="n">
        <f aca="false">'Clients &amp; revenue'!BD52/FX_EUR</f>
        <v>44435.1900421616</v>
      </c>
      <c r="BE27" s="37" t="n">
        <f aca="false">'Clients &amp; revenue'!BE52/FX_EUR</f>
        <v>46237.5341392305</v>
      </c>
      <c r="BF27" s="37" t="n">
        <f aca="false">'Clients &amp; revenue'!BF52/FX_EUR</f>
        <v>48031.2748088272</v>
      </c>
      <c r="BG27" s="37" t="n">
        <f aca="false">'Clients &amp; revenue'!BG52/FX_EUR</f>
        <v>49914.3858373223</v>
      </c>
      <c r="BH27" s="37" t="n">
        <f aca="false">'Clients &amp; revenue'!BH52/FX_EUR</f>
        <v>51789.581441484</v>
      </c>
      <c r="BI27" s="37" t="n">
        <f aca="false">'Clients &amp; revenue'!BI52/FX_EUR</f>
        <v>53708.9632576586</v>
      </c>
      <c r="BJ27" s="37" t="n">
        <f aca="false">'Clients &amp; revenue'!BJ52/FX_EUR</f>
        <v>55621.8862917828</v>
      </c>
      <c r="BK27" s="37" t="n">
        <f aca="false">'Clients &amp; revenue'!BK52/FX_EUR</f>
        <v>57617.7531261565</v>
      </c>
      <c r="BL27" s="37" t="n">
        <f aca="false">'Clients &amp; revenue'!BL52/FX_EUR</f>
        <v>59640.4976772783</v>
      </c>
    </row>
    <row r="28" customFormat="false" ht="15" hidden="false" customHeight="false" outlineLevel="0" collapsed="false">
      <c r="A28" s="12" t="s">
        <v>208</v>
      </c>
      <c r="B28" s="14" t="s">
        <v>73</v>
      </c>
      <c r="D28" s="55" t="n">
        <f aca="false">'Clients &amp; revenue'!D53/FX_EUR</f>
        <v>3965480.61082953</v>
      </c>
      <c r="E28" s="37" t="n">
        <f aca="false">'Clients &amp; revenue'!E53/FX_EUR</f>
        <v>0</v>
      </c>
      <c r="F28" s="37" t="n">
        <f aca="false">'Clients &amp; revenue'!F53/FX_EUR</f>
        <v>0</v>
      </c>
      <c r="G28" s="37" t="n">
        <f aca="false">'Clients &amp; revenue'!G53/FX_EUR</f>
        <v>0</v>
      </c>
      <c r="H28" s="37" t="n">
        <f aca="false">'Clients &amp; revenue'!H53/FX_EUR</f>
        <v>0</v>
      </c>
      <c r="I28" s="37" t="n">
        <f aca="false">'Clients &amp; revenue'!I53/FX_EUR</f>
        <v>963.68105429675</v>
      </c>
      <c r="J28" s="37" t="n">
        <f aca="false">'Clients &amp; revenue'!J53/FX_EUR</f>
        <v>1926.08954042211</v>
      </c>
      <c r="K28" s="37" t="n">
        <f aca="false">'Clients &amp; revenue'!K53/FX_EUR</f>
        <v>2887.86563658136</v>
      </c>
      <c r="L28" s="37" t="n">
        <f aca="false">'Clients &amp; revenue'!L53/FX_EUR</f>
        <v>3849.67785560432</v>
      </c>
      <c r="M28" s="37" t="n">
        <f aca="false">'Clients &amp; revenue'!M53/FX_EUR</f>
        <v>4812.22490507792</v>
      </c>
      <c r="N28" s="37" t="n">
        <f aca="false">'Clients &amp; revenue'!N53/FX_EUR</f>
        <v>5776.237656316</v>
      </c>
      <c r="O28" s="37" t="n">
        <f aca="false">'Clients &amp; revenue'!O53/FX_EUR</f>
        <v>6742.48122874748</v>
      </c>
      <c r="P28" s="37" t="n">
        <f aca="false">'Clients &amp; revenue'!P53/FX_EUR</f>
        <v>7711.75719669747</v>
      </c>
      <c r="Q28" s="37" t="n">
        <f aca="false">'Clients &amp; revenue'!Q53/FX_EUR</f>
        <v>8977.81130440605</v>
      </c>
      <c r="R28" s="37" t="n">
        <f aca="false">'Clients &amp; revenue'!R53/FX_EUR</f>
        <v>10245.1748381918</v>
      </c>
      <c r="S28" s="37" t="n">
        <f aca="false">'Clients &amp; revenue'!S53/FX_EUR</f>
        <v>11514.8203715016</v>
      </c>
      <c r="T28" s="37" t="n">
        <f aca="false">'Clients &amp; revenue'!T53/FX_EUR</f>
        <v>12787.7664078865</v>
      </c>
      <c r="U28" s="37" t="n">
        <f aca="false">'Clients &amp; revenue'!U53/FX_EUR</f>
        <v>14065.0803323395</v>
      </c>
      <c r="V28" s="37" t="n">
        <f aca="false">'Clients &amp; revenue'!V53/FX_EUR</f>
        <v>15347.8815363506</v>
      </c>
      <c r="W28" s="37" t="n">
        <f aca="false">'Clients &amp; revenue'!W53/FX_EUR</f>
        <v>17500.409430084</v>
      </c>
      <c r="X28" s="37" t="n">
        <f aca="false">'Clients &amp; revenue'!X53/FX_EUR</f>
        <v>19656.7190014577</v>
      </c>
      <c r="Y28" s="37" t="n">
        <f aca="false">'Clients &amp; revenue'!Y53/FX_EUR</f>
        <v>21818.5361800479</v>
      </c>
      <c r="Z28" s="37" t="n">
        <f aca="false">'Clients &amp; revenue'!Z53/FX_EUR</f>
        <v>23987.6696490084</v>
      </c>
      <c r="AA28" s="37" t="n">
        <f aca="false">'Clients &amp; revenue'!AA53/FX_EUR</f>
        <v>26166.0161372961</v>
      </c>
      <c r="AB28" s="37" t="n">
        <f aca="false">'Clients &amp; revenue'!AB53/FX_EUR</f>
        <v>28523.2599427712</v>
      </c>
      <c r="AC28" s="37" t="n">
        <f aca="false">'Clients &amp; revenue'!AC53/FX_EUR</f>
        <v>31479.8714768472</v>
      </c>
      <c r="AD28" s="37" t="n">
        <f aca="false">'Clients &amp; revenue'!AD53/FX_EUR</f>
        <v>34443.1106075793</v>
      </c>
      <c r="AE28" s="37" t="n">
        <f aca="false">'Clients &amp; revenue'!AE53/FX_EUR</f>
        <v>37415.4066908321</v>
      </c>
      <c r="AF28" s="37" t="n">
        <f aca="false">'Clients &amp; revenue'!AF53/FX_EUR</f>
        <v>40567.0007030616</v>
      </c>
      <c r="AG28" s="37" t="n">
        <f aca="false">'Clients &amp; revenue'!AG53/FX_EUR</f>
        <v>43730.8986767976</v>
      </c>
      <c r="AH28" s="37" t="n">
        <f aca="false">'Clients &amp; revenue'!AH53/FX_EUR</f>
        <v>46909.9329605343</v>
      </c>
      <c r="AI28" s="37" t="n">
        <f aca="false">'Clients &amp; revenue'!AI53/FX_EUR</f>
        <v>50107.0770451231</v>
      </c>
      <c r="AJ28" s="37" t="n">
        <f aca="false">'Clients &amp; revenue'!AJ53/FX_EUR</f>
        <v>53493.148400734</v>
      </c>
      <c r="AK28" s="37" t="n">
        <f aca="false">'Clients &amp; revenue'!AK53/FX_EUR</f>
        <v>56901.763856207</v>
      </c>
      <c r="AL28" s="37" t="n">
        <f aca="false">'Clients &amp; revenue'!AL53/FX_EUR</f>
        <v>60336.4029194294</v>
      </c>
      <c r="AM28" s="37" t="n">
        <f aca="false">'Clients &amp; revenue'!AM53/FX_EUR</f>
        <v>63968.4187067909</v>
      </c>
      <c r="AN28" s="37" t="n">
        <f aca="false">'Clients &amp; revenue'!AN53/FX_EUR</f>
        <v>67782.9196373394</v>
      </c>
      <c r="AO28" s="37" t="n">
        <f aca="false">'Clients &amp; revenue'!AO53/FX_EUR</f>
        <v>71924.1913670207</v>
      </c>
      <c r="AP28" s="37" t="n">
        <f aca="false">'Clients &amp; revenue'!AP53/FX_EUR</f>
        <v>76267.8966087244</v>
      </c>
      <c r="AQ28" s="37" t="n">
        <f aca="false">'Clients &amp; revenue'!AQ53/FX_EUR</f>
        <v>80648.9633248079</v>
      </c>
      <c r="AR28" s="37" t="n">
        <f aca="false">'Clients &amp; revenue'!AR53/FX_EUR</f>
        <v>85239.9479921592</v>
      </c>
      <c r="AS28" s="37" t="n">
        <f aca="false">'Clients &amp; revenue'!AS53/FX_EUR</f>
        <v>89851.6097004088</v>
      </c>
      <c r="AT28" s="37" t="n">
        <f aca="false">'Clients &amp; revenue'!AT53/FX_EUR</f>
        <v>94750.9933732141</v>
      </c>
      <c r="AU28" s="37" t="n">
        <f aca="false">'Clients &amp; revenue'!AU53/FX_EUR</f>
        <v>99617.4807090931</v>
      </c>
      <c r="AV28" s="37" t="n">
        <f aca="false">'Clients &amp; revenue'!AV53/FX_EUR</f>
        <v>104452.926311019</v>
      </c>
      <c r="AW28" s="37" t="n">
        <f aca="false">'Clients &amp; revenue'!AW53/FX_EUR</f>
        <v>109426.937900532</v>
      </c>
      <c r="AX28" s="37" t="n">
        <f aca="false">'Clients &amp; revenue'!AX53/FX_EUR</f>
        <v>114371.826609336</v>
      </c>
      <c r="AY28" s="37" t="n">
        <f aca="false">'Clients &amp; revenue'!AY53/FX_EUR</f>
        <v>119608.283346523</v>
      </c>
      <c r="AZ28" s="37" t="n">
        <f aca="false">'Clients &amp; revenue'!AZ53/FX_EUR</f>
        <v>124816.087354439</v>
      </c>
      <c r="BA28" s="37" t="n">
        <f aca="false">'Clients &amp; revenue'!BA53/FX_EUR</f>
        <v>130460.34787934</v>
      </c>
      <c r="BB28" s="37" t="n">
        <f aca="false">'Clients &amp; revenue'!BB53/FX_EUR</f>
        <v>136075.142583964</v>
      </c>
      <c r="BC28" s="37" t="n">
        <f aca="false">'Clients &amp; revenue'!BC53/FX_EUR</f>
        <v>141830.684395413</v>
      </c>
      <c r="BD28" s="37" t="n">
        <f aca="false">'Clients &amp; revenue'!BD53/FX_EUR</f>
        <v>147710.843776065</v>
      </c>
      <c r="BE28" s="37" t="n">
        <f aca="false">'Clients &amp; revenue'!BE53/FX_EUR</f>
        <v>153733.353781167</v>
      </c>
      <c r="BF28" s="37" t="n">
        <f aca="false">'Clients &amp; revenue'!BF53/FX_EUR</f>
        <v>159731.417246146</v>
      </c>
      <c r="BG28" s="37" t="n">
        <f aca="false">'Clients &amp; revenue'!BG53/FX_EUR</f>
        <v>166026.661579907</v>
      </c>
      <c r="BH28" s="37" t="n">
        <f aca="false">'Clients &amp; revenue'!BH53/FX_EUR</f>
        <v>172299.850138974</v>
      </c>
      <c r="BI28" s="37" t="n">
        <f aca="false">'Clients &amp; revenue'!BI53/FX_EUR</f>
        <v>178721.985585997</v>
      </c>
      <c r="BJ28" s="37" t="n">
        <f aca="false">'Clients &amp; revenue'!BJ53/FX_EUR</f>
        <v>185126.846620754</v>
      </c>
      <c r="BK28" s="37" t="n">
        <f aca="false">'Clients &amp; revenue'!BK53/FX_EUR</f>
        <v>191807.920972771</v>
      </c>
      <c r="BL28" s="37" t="n">
        <f aca="false">'Clients &amp; revenue'!BL53/FX_EUR</f>
        <v>198581.2997854</v>
      </c>
    </row>
    <row r="29" customFormat="false" ht="15" hidden="false" customHeight="false" outlineLevel="0" collapsed="false">
      <c r="A29" s="12" t="s">
        <v>790</v>
      </c>
      <c r="B29" s="14" t="s">
        <v>73</v>
      </c>
      <c r="D29" s="55" t="n">
        <f aca="false">'Clients &amp; revenue'!D54/FX_EUR</f>
        <v>142927.26452949</v>
      </c>
      <c r="E29" s="37" t="n">
        <f aca="false">'Clients &amp; revenue'!E54/FX_EUR</f>
        <v>0</v>
      </c>
      <c r="F29" s="37" t="n">
        <f aca="false">'Clients &amp; revenue'!F54/FX_EUR</f>
        <v>0</v>
      </c>
      <c r="G29" s="37" t="n">
        <f aca="false">'Clients &amp; revenue'!G54/FX_EUR</f>
        <v>0</v>
      </c>
      <c r="H29" s="37" t="n">
        <f aca="false">'Clients &amp; revenue'!H54/FX_EUR</f>
        <v>0</v>
      </c>
      <c r="I29" s="37" t="n">
        <f aca="false">'Clients &amp; revenue'!I54/FX_EUR</f>
        <v>569.447895720807</v>
      </c>
      <c r="J29" s="37" t="n">
        <f aca="false">'Clients &amp; revenue'!J54/FX_EUR</f>
        <v>575.393407393066</v>
      </c>
      <c r="K29" s="37" t="n">
        <f aca="false">'Clients &amp; revenue'!K54/FX_EUR</f>
        <v>581.695649765661</v>
      </c>
      <c r="L29" s="37" t="n">
        <f aca="false">'Clients &amp; revenue'!L54/FX_EUR</f>
        <v>588.376026680611</v>
      </c>
      <c r="M29" s="37" t="n">
        <f aca="false">'Clients &amp; revenue'!M54/FX_EUR</f>
        <v>595.457226210458</v>
      </c>
      <c r="N29" s="37" t="n">
        <f aca="false">'Clients &amp; revenue'!N54/FX_EUR</f>
        <v>602.963297712096</v>
      </c>
      <c r="O29" s="37" t="n">
        <f aca="false">'Clients &amp; revenue'!O54/FX_EUR</f>
        <v>610.919733503832</v>
      </c>
      <c r="P29" s="37" t="n">
        <f aca="false">'Clients &amp; revenue'!P54/FX_EUR</f>
        <v>619.353555443073</v>
      </c>
      <c r="Q29" s="37" t="n">
        <f aca="false">'Clients &amp; revenue'!Q54/FX_EUR</f>
        <v>801.373857602208</v>
      </c>
      <c r="R29" s="37" t="n">
        <f aca="false">'Clients &amp; revenue'!R54/FX_EUR</f>
        <v>810.850099933139</v>
      </c>
      <c r="S29" s="37" t="n">
        <f aca="false">'Clients &amp; revenue'!S54/FX_EUR</f>
        <v>820.894916803925</v>
      </c>
      <c r="T29" s="37" t="n">
        <f aca="false">'Clients &amp; revenue'!T54/FX_EUR</f>
        <v>831.542422686959</v>
      </c>
      <c r="U29" s="37" t="n">
        <f aca="false">'Clients &amp; revenue'!U54/FX_EUR</f>
        <v>842.828778922975</v>
      </c>
      <c r="V29" s="37" t="n">
        <f aca="false">'Clients &amp; revenue'!V54/FX_EUR</f>
        <v>854.792316533151</v>
      </c>
      <c r="W29" s="37" t="n">
        <f aca="false">'Clients &amp; revenue'!W54/FX_EUR</f>
        <v>1377.46644539816</v>
      </c>
      <c r="X29" s="37" t="n">
        <f aca="false">'Clients &amp; revenue'!X54/FX_EUR</f>
        <v>1394.47598326031</v>
      </c>
      <c r="Y29" s="37" t="n">
        <f aca="false">'Clients &amp; revenue'!Y54/FX_EUR</f>
        <v>1412.50609339418</v>
      </c>
      <c r="Z29" s="37" t="n">
        <f aca="false">'Clients &amp; revenue'!Z54/FX_EUR</f>
        <v>1431.6180101361</v>
      </c>
      <c r="AA29" s="37" t="n">
        <f aca="false">'Clients &amp; revenue'!AA54/FX_EUR</f>
        <v>1451.87664188252</v>
      </c>
      <c r="AB29" s="37" t="n">
        <f aca="false">'Clients &amp; revenue'!AB54/FX_EUR</f>
        <v>1572.44265273805</v>
      </c>
      <c r="AC29" s="37" t="n">
        <f aca="false">'Clients &amp; revenue'!AC54/FX_EUR</f>
        <v>1942.68737799147</v>
      </c>
      <c r="AD29" s="37" t="n">
        <f aca="false">'Clients &amp; revenue'!AD54/FX_EUR</f>
        <v>1966.81573253957</v>
      </c>
      <c r="AE29" s="37" t="n">
        <f aca="false">'Clients &amp; revenue'!AE54/FX_EUR</f>
        <v>1992.39178836056</v>
      </c>
      <c r="AF29" s="37" t="n">
        <f aca="false">'Clients &amp; revenue'!AF54/FX_EUR</f>
        <v>2118.59426873513</v>
      </c>
      <c r="AG29" s="37" t="n">
        <f aca="false">'Clients &amp; revenue'!AG54/FX_EUR</f>
        <v>2147.33152505559</v>
      </c>
      <c r="AH29" s="37" t="n">
        <f aca="false">'Clients &amp; revenue'!AH54/FX_EUR</f>
        <v>2177.79301675528</v>
      </c>
      <c r="AI29" s="37" t="n">
        <f aca="false">'Clients &amp; revenue'!AI54/FX_EUR</f>
        <v>2210.08219795695</v>
      </c>
      <c r="AJ29" s="37" t="n">
        <f aca="false">'Clients &amp; revenue'!AJ54/FX_EUR</f>
        <v>2343.40059123504</v>
      </c>
      <c r="AK29" s="37" t="n">
        <f aca="false">'Clients &amp; revenue'!AK54/FX_EUR</f>
        <v>2379.68071523323</v>
      </c>
      <c r="AL29" s="37" t="n">
        <f aca="false">'Clients &amp; revenue'!AL54/FX_EUR</f>
        <v>2418.13764667132</v>
      </c>
      <c r="AM29" s="37" t="n">
        <f aca="false">'Clients &amp; revenue'!AM54/FX_EUR</f>
        <v>2557.99385520002</v>
      </c>
      <c r="AN29" s="37" t="n">
        <f aca="false">'Clients &amp; revenue'!AN54/FX_EUR</f>
        <v>2690.38673844774</v>
      </c>
      <c r="AO29" s="37" t="n">
        <f aca="false">'Clients &amp; revenue'!AO54/FX_EUR</f>
        <v>2909.27001000494</v>
      </c>
      <c r="AP29" s="37" t="n">
        <f aca="false">'Clients &amp; revenue'!AP54/FX_EUR</f>
        <v>3056.91286110215</v>
      </c>
      <c r="AQ29" s="37" t="n">
        <f aca="false">'Clients &amp; revenue'!AQ54/FX_EUR</f>
        <v>3108.37691038861</v>
      </c>
      <c r="AR29" s="37" t="n">
        <f aca="false">'Clients &amp; revenue'!AR54/FX_EUR</f>
        <v>3262.02066383658</v>
      </c>
      <c r="AS29" s="37" t="n">
        <f aca="false">'Clients &amp; revenue'!AS54/FX_EUR</f>
        <v>3305.25419488354</v>
      </c>
      <c r="AT29" s="37" t="n">
        <f aca="false">'Clients &amp; revenue'!AT54/FX_EUR</f>
        <v>3506.38365543476</v>
      </c>
      <c r="AU29" s="37" t="n">
        <f aca="false">'Clients &amp; revenue'!AU54/FX_EUR</f>
        <v>3520.00987515355</v>
      </c>
      <c r="AV29" s="37" t="n">
        <f aca="false">'Clients &amp; revenue'!AV54/FX_EUR</f>
        <v>3534.45366805547</v>
      </c>
      <c r="AW29" s="37" t="n">
        <f aca="false">'Clients &amp; revenue'!AW54/FX_EUR</f>
        <v>3648.85594973582</v>
      </c>
      <c r="AX29" s="37" t="n">
        <f aca="false">'Clients &amp; revenue'!AX54/FX_EUR</f>
        <v>3665.08499544042</v>
      </c>
      <c r="AY29" s="37" t="n">
        <f aca="false">'Clients &amp; revenue'!AY54/FX_EUR</f>
        <v>3870.5623201755</v>
      </c>
      <c r="AZ29" s="37" t="n">
        <f aca="false">'Clients &amp; revenue'!AZ54/FX_EUR</f>
        <v>3888.79727592919</v>
      </c>
      <c r="BA29" s="37" t="n">
        <f aca="false">'Clients &amp; revenue'!BA54/FX_EUR</f>
        <v>4181.61986595201</v>
      </c>
      <c r="BB29" s="37" t="n">
        <f aca="false">'Clients &amp; revenue'!BB54/FX_EUR</f>
        <v>4202.10866223686</v>
      </c>
      <c r="BC29" s="37" t="n">
        <f aca="false">'Clients &amp; revenue'!BC54/FX_EUR</f>
        <v>4322.91864750311</v>
      </c>
      <c r="BD29" s="37" t="n">
        <f aca="false">'Clients &amp; revenue'!BD54/FX_EUR</f>
        <v>4435.12253409264</v>
      </c>
      <c r="BE29" s="37" t="n">
        <f aca="false">'Clients &amp; revenue'!BE54/FX_EUR</f>
        <v>4558.61687949295</v>
      </c>
      <c r="BF29" s="37" t="n">
        <f aca="false">'Clients &amp; revenue'!BF54/FX_EUR</f>
        <v>4584.4835127407</v>
      </c>
      <c r="BG29" s="37" t="n">
        <f aca="false">'Clients &amp; revenue'!BG54/FX_EUR</f>
        <v>4800.17668027151</v>
      </c>
      <c r="BH29" s="37" t="n">
        <f aca="false">'Clients &amp; revenue'!BH54/FX_EUR</f>
        <v>4829.24042938868</v>
      </c>
      <c r="BI29" s="37" t="n">
        <f aca="false">'Clients &amp; revenue'!BI54/FX_EUR</f>
        <v>4959.1398646572</v>
      </c>
      <c r="BJ29" s="37" t="n">
        <f aca="false">'Clients &amp; revenue'!BJ54/FX_EUR</f>
        <v>4991.79589316525</v>
      </c>
      <c r="BK29" s="37" t="n">
        <f aca="false">'Clients &amp; revenue'!BK54/FX_EUR</f>
        <v>5197.69842637043</v>
      </c>
      <c r="BL29" s="37" t="n">
        <f aca="false">'Clients &amp; revenue'!BL54/FX_EUR</f>
        <v>5296.79028757474</v>
      </c>
    </row>
    <row r="30" customFormat="false" ht="15" hidden="false" customHeight="false" outlineLevel="0" collapsed="false">
      <c r="A30" s="12" t="s">
        <v>780</v>
      </c>
      <c r="B30" s="14" t="s">
        <v>73</v>
      </c>
      <c r="D30" s="55" t="n">
        <f aca="false">'Clients &amp; revenue'!D55/FX_EUR</f>
        <v>205297.631532735</v>
      </c>
      <c r="E30" s="37" t="n">
        <f aca="false">'Clients &amp; revenue'!E55/FX_EUR</f>
        <v>0</v>
      </c>
      <c r="F30" s="37" t="n">
        <f aca="false">'Clients &amp; revenue'!F55/FX_EUR</f>
        <v>0</v>
      </c>
      <c r="G30" s="37" t="n">
        <f aca="false">'Clients &amp; revenue'!G55/FX_EUR</f>
        <v>0</v>
      </c>
      <c r="H30" s="37" t="n">
        <f aca="false">'Clients &amp; revenue'!H55/FX_EUR</f>
        <v>0</v>
      </c>
      <c r="I30" s="37" t="n">
        <f aca="false">'Clients &amp; revenue'!I55/FX_EUR</f>
        <v>48.1840527148375</v>
      </c>
      <c r="J30" s="37" t="n">
        <f aca="false">'Clients &amp; revenue'!J55/FX_EUR</f>
        <v>96.4441012647679</v>
      </c>
      <c r="K30" s="37" t="n">
        <f aca="false">'Clients &amp; revenue'!K55/FX_EUR</f>
        <v>144.809895884944</v>
      </c>
      <c r="L30" s="37" t="n">
        <f aca="false">'Clients &amp; revenue'!L55/FX_EUR</f>
        <v>193.312731925613</v>
      </c>
      <c r="M30" s="37" t="n">
        <f aca="false">'Clients &amp; revenue'!M55/FX_EUR</f>
        <v>241.985544995396</v>
      </c>
      <c r="N30" s="37" t="n">
        <f aca="false">'Clients &amp; revenue'!N55/FX_EUR</f>
        <v>290.863011786926</v>
      </c>
      <c r="O30" s="37" t="n">
        <f aca="false">'Clients &amp; revenue'!O55/FX_EUR</f>
        <v>339.98165692608</v>
      </c>
      <c r="P30" s="37" t="n">
        <f aca="false">'Clients &amp; revenue'!P55/FX_EUR</f>
        <v>389.379966206527</v>
      </c>
      <c r="Q30" s="37" t="n">
        <f aca="false">'Clients &amp; revenue'!Q55/FX_EUR</f>
        <v>453.743775515583</v>
      </c>
      <c r="R30" s="37" t="n">
        <f aca="false">'Clients &amp; revenue'!R55/FX_EUR</f>
        <v>518.340780906599</v>
      </c>
      <c r="S30" s="37" t="n">
        <f aca="false">'Clients &amp; revenue'!S55/FX_EUR</f>
        <v>583.217324040229</v>
      </c>
      <c r="T30" s="37" t="n">
        <f aca="false">'Clients &amp; revenue'!T55/FX_EUR</f>
        <v>648.422220263144</v>
      </c>
      <c r="U30" s="37" t="n">
        <f aca="false">'Clients &amp; revenue'!U55/FX_EUR</f>
        <v>714.006910132667</v>
      </c>
      <c r="V30" s="37" t="n">
        <f aca="false">'Clients &amp; revenue'!V55/FX_EUR</f>
        <v>780.025619999573</v>
      </c>
      <c r="W30" s="37" t="n">
        <f aca="false">'Clients &amp; revenue'!W55/FX_EUR</f>
        <v>889.688767338934</v>
      </c>
      <c r="X30" s="37" t="n">
        <f aca="false">'Clients &amp; revenue'!X55/FX_EUR</f>
        <v>999.822790145362</v>
      </c>
      <c r="Y30" s="37" t="n">
        <f aca="false">'Clients &amp; revenue'!Y55/FX_EUR</f>
        <v>1110.51037432313</v>
      </c>
      <c r="Z30" s="37" t="n">
        <f aca="false">'Clients &amp; revenue'!Z55/FX_EUR</f>
        <v>1221.83865097385</v>
      </c>
      <c r="AA30" s="37" t="n">
        <f aca="false">'Clients &amp; revenue'!AA55/FX_EUR</f>
        <v>1333.89946832437</v>
      </c>
      <c r="AB30" s="37" t="n">
        <f aca="false">'Clients &amp; revenue'!AB55/FX_EUR</f>
        <v>1455.17437586236</v>
      </c>
      <c r="AC30" s="37" t="n">
        <f aca="false">'Clients &amp; revenue'!AC55/FX_EUR</f>
        <v>1606.70885681095</v>
      </c>
      <c r="AD30" s="37" t="n">
        <f aca="false">'Clients &amp; revenue'!AD55/FX_EUR</f>
        <v>1758.9484648031</v>
      </c>
      <c r="AE30" s="37" t="n">
        <f aca="false">'Clients &amp; revenue'!AE55/FX_EUR</f>
        <v>1912.01012507443</v>
      </c>
      <c r="AF30" s="37" t="n">
        <f aca="false">'Clients &amp; revenue'!AF55/FX_EUR</f>
        <v>2074.40176824634</v>
      </c>
      <c r="AG30" s="37" t="n">
        <f aca="false">'Clients &amp; revenue'!AG55/FX_EUR</f>
        <v>2237.79430927824</v>
      </c>
      <c r="AH30" s="37" t="n">
        <f aca="false">'Clients &amp; revenue'!AH55/FX_EUR</f>
        <v>2402.32548217384</v>
      </c>
      <c r="AI30" s="37" t="n">
        <f aca="false">'Clients &amp; revenue'!AI55/FX_EUR</f>
        <v>2568.14055099328</v>
      </c>
      <c r="AJ30" s="37" t="n">
        <f aca="false">'Clients &amp; revenue'!AJ55/FX_EUR</f>
        <v>2743.77746500168</v>
      </c>
      <c r="AK30" s="37" t="n">
        <f aca="false">'Clients &amp; revenue'!AK55/FX_EUR</f>
        <v>2920.93893860253</v>
      </c>
      <c r="AL30" s="37" t="n">
        <f aca="false">'Clients &amp; revenue'!AL55/FX_EUR</f>
        <v>3099.79639308198</v>
      </c>
      <c r="AM30" s="37" t="n">
        <f aca="false">'Clients &amp; revenue'!AM55/FX_EUR</f>
        <v>3288.91547702737</v>
      </c>
      <c r="AN30" s="37" t="n">
        <f aca="false">'Clients &amp; revenue'!AN55/FX_EUR</f>
        <v>3487.57446540498</v>
      </c>
      <c r="AO30" s="37" t="n">
        <f aca="false">'Clients &amp; revenue'!AO55/FX_EUR</f>
        <v>3703.00800251667</v>
      </c>
      <c r="AP30" s="37" t="n">
        <f aca="false">'Clients &amp; revenue'!AP55/FX_EUR</f>
        <v>3929.04019292073</v>
      </c>
      <c r="AQ30" s="37" t="n">
        <f aca="false">'Clients &amp; revenue'!AQ55/FX_EUR</f>
        <v>4157.43978534444</v>
      </c>
      <c r="AR30" s="37" t="n">
        <f aca="false">'Clients &amp; revenue'!AR55/FX_EUR</f>
        <v>4396.83271116659</v>
      </c>
      <c r="AS30" s="37" t="n">
        <f aca="false">'Clients &amp; revenue'!AS55/FX_EUR</f>
        <v>4637.78006751424</v>
      </c>
      <c r="AT30" s="37" t="n">
        <f aca="false">'Clients &amp; revenue'!AT55/FX_EUR</f>
        <v>4893.62948678317</v>
      </c>
      <c r="AU30" s="37" t="n">
        <f aca="false">'Clients &amp; revenue'!AU55/FX_EUR</f>
        <v>5148.38420589844</v>
      </c>
      <c r="AV30" s="37" t="n">
        <f aca="false">'Clients &amp; revenue'!AV55/FX_EUR</f>
        <v>5402.12415234108</v>
      </c>
      <c r="AW30" s="37" t="n">
        <f aca="false">'Clients &amp; revenue'!AW55/FX_EUR</f>
        <v>5663.31737478034</v>
      </c>
      <c r="AX30" s="37" t="n">
        <f aca="false">'Clients &amp; revenue'!AX55/FX_EUR</f>
        <v>5923.59185560532</v>
      </c>
      <c r="AY30" s="37" t="n">
        <f aca="false">'Clients &amp; revenue'!AY55/FX_EUR</f>
        <v>6198.97009145629</v>
      </c>
      <c r="AZ30" s="37" t="n">
        <f aca="false">'Clients &amp; revenue'!AZ55/FX_EUR</f>
        <v>6473.47564429617</v>
      </c>
      <c r="BA30" s="37" t="n">
        <f aca="false">'Clients &amp; revenue'!BA55/FX_EUR</f>
        <v>6770.35167229897</v>
      </c>
      <c r="BB30" s="37" t="n">
        <f aca="false">'Clients &amp; revenue'!BB55/FX_EUR</f>
        <v>7066.357331344</v>
      </c>
      <c r="BC30" s="37" t="n">
        <f aca="false">'Clients &amp; revenue'!BC55/FX_EUR</f>
        <v>7369.99021942387</v>
      </c>
      <c r="BD30" s="37" t="n">
        <f aca="false">'Clients &amp; revenue'!BD55/FX_EUR</f>
        <v>7680.45567325621</v>
      </c>
      <c r="BE30" s="37" t="n">
        <f aca="false">'Clients &amp; revenue'!BE55/FX_EUR</f>
        <v>7998.64965304291</v>
      </c>
      <c r="BF30" s="37" t="n">
        <f aca="false">'Clients &amp; revenue'!BF55/FX_EUR</f>
        <v>8316.2440453873</v>
      </c>
      <c r="BG30" s="37" t="n">
        <f aca="false">'Clients &amp; revenue'!BG55/FX_EUR</f>
        <v>8649.30763088867</v>
      </c>
      <c r="BH30" s="37" t="n">
        <f aca="false">'Clients &amp; revenue'!BH55/FX_EUR</f>
        <v>8981.91278052093</v>
      </c>
      <c r="BI30" s="37" t="n">
        <f aca="false">'Clients &amp; revenue'!BI55/FX_EUR</f>
        <v>9322.59707565133</v>
      </c>
      <c r="BJ30" s="37" t="n">
        <f aca="false">'Clients &amp; revenue'!BJ55/FX_EUR</f>
        <v>9663.06186860987</v>
      </c>
      <c r="BK30" s="37" t="n">
        <f aca="false">'Clients &amp; revenue'!BK55/FX_EUR</f>
        <v>10017.9697019424</v>
      </c>
      <c r="BL30" s="37" t="n">
        <f aca="false">'Clients &amp; revenue'!BL55/FX_EUR</f>
        <v>10378.1559937156</v>
      </c>
    </row>
    <row r="31" customFormat="false" ht="15" hidden="false" customHeight="false" outlineLevel="0" collapsed="false">
      <c r="A31" s="12" t="s">
        <v>791</v>
      </c>
      <c r="B31" s="14" t="s">
        <v>73</v>
      </c>
      <c r="D31" s="55" t="n">
        <f aca="false">'Clients &amp; revenue'!D56/FX_EUR</f>
        <v>1416045.60996547</v>
      </c>
      <c r="E31" s="37" t="n">
        <f aca="false">'Clients &amp; revenue'!E56/FX_EUR</f>
        <v>0</v>
      </c>
      <c r="F31" s="37" t="n">
        <f aca="false">'Clients &amp; revenue'!F56/FX_EUR</f>
        <v>0</v>
      </c>
      <c r="G31" s="37" t="n">
        <f aca="false">'Clients &amp; revenue'!G56/FX_EUR</f>
        <v>0</v>
      </c>
      <c r="H31" s="37" t="n">
        <f aca="false">'Clients &amp; revenue'!H56/FX_EUR</f>
        <v>0</v>
      </c>
      <c r="I31" s="37" t="n">
        <f aca="false">'Clients &amp; revenue'!I56/FX_EUR</f>
        <v>0</v>
      </c>
      <c r="J31" s="37" t="n">
        <f aca="false">'Clients &amp; revenue'!J56/FX_EUR</f>
        <v>0</v>
      </c>
      <c r="K31" s="37" t="n">
        <f aca="false">'Clients &amp; revenue'!K56/FX_EUR</f>
        <v>0</v>
      </c>
      <c r="L31" s="37" t="n">
        <f aca="false">'Clients &amp; revenue'!L56/FX_EUR</f>
        <v>0</v>
      </c>
      <c r="M31" s="37" t="n">
        <f aca="false">'Clients &amp; revenue'!M56/FX_EUR</f>
        <v>0</v>
      </c>
      <c r="N31" s="37" t="n">
        <f aca="false">'Clients &amp; revenue'!N56/FX_EUR</f>
        <v>0</v>
      </c>
      <c r="O31" s="37" t="n">
        <f aca="false">'Clients &amp; revenue'!O56/FX_EUR</f>
        <v>0</v>
      </c>
      <c r="P31" s="37" t="n">
        <f aca="false">'Clients &amp; revenue'!P56/FX_EUR</f>
        <v>0</v>
      </c>
      <c r="Q31" s="37" t="n">
        <f aca="false">'Clients &amp; revenue'!Q56/FX_EUR</f>
        <v>0</v>
      </c>
      <c r="R31" s="37" t="n">
        <f aca="false">'Clients &amp; revenue'!R56/FX_EUR</f>
        <v>0</v>
      </c>
      <c r="S31" s="37" t="n">
        <f aca="false">'Clients &amp; revenue'!S56/FX_EUR</f>
        <v>0</v>
      </c>
      <c r="T31" s="37" t="n">
        <f aca="false">'Clients &amp; revenue'!T56/FX_EUR</f>
        <v>0</v>
      </c>
      <c r="U31" s="37" t="n">
        <f aca="false">'Clients &amp; revenue'!U56/FX_EUR</f>
        <v>0</v>
      </c>
      <c r="V31" s="37" t="n">
        <f aca="false">'Clients &amp; revenue'!V56/FX_EUR</f>
        <v>483.845258004381</v>
      </c>
      <c r="W31" s="37" t="n">
        <f aca="false">'Clients &amp; revenue'!W56/FX_EUR</f>
        <v>1103.38804732844</v>
      </c>
      <c r="X31" s="37" t="n">
        <f aca="false">'Clients &amp; revenue'!X56/FX_EUR</f>
        <v>1858.95709941599</v>
      </c>
      <c r="Y31" s="37" t="n">
        <f aca="false">'Clients &amp; revenue'!Y56/FX_EUR</f>
        <v>2751.09916938595</v>
      </c>
      <c r="Z31" s="37" t="n">
        <f aca="false">'Clients &amp; revenue'!Z56/FX_EUR</f>
        <v>3780.59205099697</v>
      </c>
      <c r="AA31" s="37" t="n">
        <f aca="false">'Clients &amp; revenue'!AA56/FX_EUR</f>
        <v>4948.45859142514</v>
      </c>
      <c r="AB31" s="37" t="n">
        <f aca="false">'Clients &amp; revenue'!AB56/FX_EUR</f>
        <v>6293.0205337379</v>
      </c>
      <c r="AC31" s="37" t="n">
        <f aca="false">'Clients &amp; revenue'!AC56/FX_EUR</f>
        <v>7937.3139789521</v>
      </c>
      <c r="AD31" s="37" t="n">
        <f aca="false">'Clients &amp; revenue'!AD56/FX_EUR</f>
        <v>9769.6936820443</v>
      </c>
      <c r="AE31" s="37" t="n">
        <f aca="false">'Clients &amp; revenue'!AE56/FX_EUR</f>
        <v>11791.51463734</v>
      </c>
      <c r="AF31" s="37" t="n">
        <f aca="false">'Clients &amp; revenue'!AF56/FX_EUR</f>
        <v>14062.6831770765</v>
      </c>
      <c r="AG31" s="37" t="n">
        <f aca="false">'Clients &amp; revenue'!AG56/FX_EUR</f>
        <v>16536.8931896217</v>
      </c>
      <c r="AH31" s="37" t="n">
        <f aca="false">'Clients &amp; revenue'!AH56/FX_EUR</f>
        <v>17738.2432451319</v>
      </c>
      <c r="AI31" s="37" t="n">
        <f aca="false">'Clients &amp; revenue'!AI56/FX_EUR</f>
        <v>18946.285242848</v>
      </c>
      <c r="AJ31" s="37" t="n">
        <f aca="false">'Clients &amp; revenue'!AJ56/FX_EUR</f>
        <v>20225.6970069141</v>
      </c>
      <c r="AK31" s="37" t="n">
        <f aca="false">'Clients &amp; revenue'!AK56/FX_EUR</f>
        <v>21513.4702137853</v>
      </c>
      <c r="AL31" s="37" t="n">
        <f aca="false">'Clients &amp; revenue'!AL56/FX_EUR</f>
        <v>22810.9222692814</v>
      </c>
      <c r="AM31" s="37" t="n">
        <f aca="false">'Clients &amp; revenue'!AM56/FX_EUR</f>
        <v>24182.9334396525</v>
      </c>
      <c r="AN31" s="37" t="n">
        <f aca="false">'Clients &amp; revenue'!AN56/FX_EUR</f>
        <v>25623.8552251299</v>
      </c>
      <c r="AO31" s="37" t="n">
        <f aca="false">'Clients &amp; revenue'!AO56/FX_EUR</f>
        <v>27188.3103339784</v>
      </c>
      <c r="AP31" s="37" t="n">
        <f aca="false">'Clients &amp; revenue'!AP56/FX_EUR</f>
        <v>28829.2029076754</v>
      </c>
      <c r="AQ31" s="37" t="n">
        <f aca="false">'Clients &amp; revenue'!AQ56/FX_EUR</f>
        <v>30484.0206276781</v>
      </c>
      <c r="AR31" s="37" t="n">
        <f aca="false">'Clients &amp; revenue'!AR56/FX_EUR</f>
        <v>32218.0990801483</v>
      </c>
      <c r="AS31" s="37" t="n">
        <f aca="false">'Clients &amp; revenue'!AS56/FX_EUR</f>
        <v>33959.7743880028</v>
      </c>
      <c r="AT31" s="37" t="n">
        <f aca="false">'Clients &amp; revenue'!AT56/FX_EUR</f>
        <v>35810.1599335821</v>
      </c>
      <c r="AU31" s="37" t="n">
        <f aca="false">'Clients &amp; revenue'!AU56/FX_EUR</f>
        <v>37647.8432291014</v>
      </c>
      <c r="AV31" s="37" t="n">
        <f aca="false">'Clients &amp; revenue'!AV56/FX_EUR</f>
        <v>39473.5301149519</v>
      </c>
      <c r="AW31" s="37" t="n">
        <f aca="false">'Clients &amp; revenue'!AW56/FX_EUR</f>
        <v>41351.4437406379</v>
      </c>
      <c r="AX31" s="37" t="n">
        <f aca="false">'Clients &amp; revenue'!AX56/FX_EUR</f>
        <v>43218.0848271101</v>
      </c>
      <c r="AY31" s="37" t="n">
        <f aca="false">'Clients &amp; revenue'!AY56/FX_EUR</f>
        <v>45194.8820342534</v>
      </c>
      <c r="AZ31" s="37" t="n">
        <f aca="false">'Clients &amp; revenue'!AZ56/FX_EUR</f>
        <v>47160.5732812752</v>
      </c>
      <c r="BA31" s="37" t="n">
        <f aca="false">'Clients &amp; revenue'!BA56/FX_EUR</f>
        <v>49291.2693223984</v>
      </c>
      <c r="BB31" s="37" t="n">
        <f aca="false">'Clients &amp; revenue'!BB56/FX_EUR</f>
        <v>51410.5319964453</v>
      </c>
      <c r="BC31" s="37" t="n">
        <f aca="false">'Clients &amp; revenue'!BC56/FX_EUR</f>
        <v>53582.813773794</v>
      </c>
      <c r="BD31" s="37" t="n">
        <f aca="false">'Clients &amp; revenue'!BD56/FX_EUR</f>
        <v>55802.0013823036</v>
      </c>
      <c r="BE31" s="37" t="n">
        <f aca="false">'Clients &amp; revenue'!BE56/FX_EUR</f>
        <v>58074.804123608</v>
      </c>
      <c r="BF31" s="37" t="n">
        <f aca="false">'Clients &amp; revenue'!BF56/FX_EUR</f>
        <v>60338.0604781725</v>
      </c>
      <c r="BG31" s="37" t="n">
        <f aca="false">'Clients &amp; revenue'!BG56/FX_EUR</f>
        <v>62713.5537759372</v>
      </c>
      <c r="BH31" s="37" t="n">
        <f aca="false">'Clients &amp; revenue'!BH56/FX_EUR</f>
        <v>65080.3945815661</v>
      </c>
      <c r="BI31" s="37" t="n">
        <f aca="false">'Clients &amp; revenue'!BI56/FX_EUR</f>
        <v>67503.334170469</v>
      </c>
      <c r="BJ31" s="37" t="n">
        <f aca="false">'Clients &amp; revenue'!BJ56/FX_EUR</f>
        <v>69919.4288102844</v>
      </c>
      <c r="BK31" s="37" t="n">
        <f aca="false">'Clients &amp; revenue'!BK56/FX_EUR</f>
        <v>72439.8068378826</v>
      </c>
      <c r="BL31" s="37" t="n">
        <f aca="false">'Clients &amp; revenue'!BL56/FX_EUR</f>
        <v>74994.8201561386</v>
      </c>
    </row>
    <row r="32" customFormat="false" ht="15" hidden="false" customHeight="false" outlineLevel="0" collapsed="false">
      <c r="A32" s="8" t="s">
        <v>792</v>
      </c>
      <c r="B32" s="14" t="s">
        <v>73</v>
      </c>
      <c r="D32" s="55" t="n">
        <f aca="false">'Clients &amp; revenue'!D57/FX_EUR</f>
        <v>16489914.4540465</v>
      </c>
      <c r="E32" s="16" t="n">
        <f aca="false">'Clients &amp; revenue'!E57/FX_EUR</f>
        <v>0</v>
      </c>
      <c r="F32" s="16" t="n">
        <f aca="false">'Clients &amp; revenue'!F57/FX_EUR</f>
        <v>0</v>
      </c>
      <c r="G32" s="16" t="n">
        <f aca="false">'Clients &amp; revenue'!G57/FX_EUR</f>
        <v>0</v>
      </c>
      <c r="H32" s="16" t="n">
        <f aca="false">'Clients &amp; revenue'!H57/FX_EUR</f>
        <v>0</v>
      </c>
      <c r="I32" s="16" t="n">
        <f aca="false">'Clients &amp; revenue'!I57/FX_EUR</f>
        <v>2654.50326774468</v>
      </c>
      <c r="J32" s="16" t="n">
        <f aca="false">'Clients &amp; revenue'!J57/FX_EUR</f>
        <v>4742.40432934882</v>
      </c>
      <c r="K32" s="16" t="n">
        <f aca="false">'Clients &amp; revenue'!K57/FX_EUR</f>
        <v>6828.95139614081</v>
      </c>
      <c r="L32" s="16" t="n">
        <f aca="false">'Clients &amp; revenue'!L57/FX_EUR</f>
        <v>10676.6539391079</v>
      </c>
      <c r="M32" s="16" t="n">
        <f aca="false">'Clients &amp; revenue'!M57/FX_EUR</f>
        <v>14594.470135058</v>
      </c>
      <c r="N32" s="16" t="n">
        <f aca="false">'Clients &amp; revenue'!N57/FX_EUR</f>
        <v>18512.7273323197</v>
      </c>
      <c r="O32" s="16" t="n">
        <f aca="false">'Clients &amp; revenue'!O57/FX_EUR</f>
        <v>22434.4011472478</v>
      </c>
      <c r="P32" s="16" t="n">
        <f aca="false">'Clients &amp; revenue'!P57/FX_EUR</f>
        <v>26362.6031644286</v>
      </c>
      <c r="Q32" s="16" t="n">
        <f aca="false">'Clients &amp; revenue'!Q57/FX_EUR</f>
        <v>31107.410960133</v>
      </c>
      <c r="R32" s="16" t="n">
        <f aca="false">'Clients &amp; revenue'!R57/FX_EUR</f>
        <v>35677.4170721552</v>
      </c>
      <c r="S32" s="16" t="n">
        <f aca="false">'Clients &amp; revenue'!S57/FX_EUR</f>
        <v>40249.4876652349</v>
      </c>
      <c r="T32" s="16" t="n">
        <f aca="false">'Clients &amp; revenue'!T57/FX_EUR</f>
        <v>45406.8666432319</v>
      </c>
      <c r="U32" s="16" t="n">
        <f aca="false">'Clients &amp; revenue'!U57/FX_EUR</f>
        <v>50574.4064070864</v>
      </c>
      <c r="V32" s="16" t="n">
        <f aca="false">'Clients &amp; revenue'!V57/FX_EUR</f>
        <v>56240.2858063741</v>
      </c>
      <c r="W32" s="16" t="n">
        <f aca="false">'Clients &amp; revenue'!W57/FX_EUR</f>
        <v>64438.2484177045</v>
      </c>
      <c r="X32" s="16" t="n">
        <f aca="false">'Clients &amp; revenue'!X57/FX_EUR</f>
        <v>72258.716583891</v>
      </c>
      <c r="Y32" s="16" t="n">
        <f aca="false">'Clients &amp; revenue'!Y57/FX_EUR</f>
        <v>80214.9691362837</v>
      </c>
      <c r="Z32" s="16" t="n">
        <f aca="false">'Clients &amp; revenue'!Z57/FX_EUR</f>
        <v>90021.0678499433</v>
      </c>
      <c r="AA32" s="16" t="n">
        <f aca="false">'Clients &amp; revenue'!AA57/FX_EUR</f>
        <v>99989.7364172609</v>
      </c>
      <c r="AB32" s="16" t="n">
        <f aca="false">'Clients &amp; revenue'!AB57/FX_EUR</f>
        <v>110628.910892521</v>
      </c>
      <c r="AC32" s="16" t="n">
        <f aca="false">'Clients &amp; revenue'!AC57/FX_EUR</f>
        <v>123119.942629683</v>
      </c>
      <c r="AD32" s="16" t="n">
        <f aca="false">'Clients &amp; revenue'!AD57/FX_EUR</f>
        <v>135461.631489772</v>
      </c>
      <c r="AE32" s="16" t="n">
        <f aca="false">'Clients &amp; revenue'!AE57/FX_EUR</f>
        <v>148343.89399924</v>
      </c>
      <c r="AF32" s="16" t="n">
        <f aca="false">'Clients &amp; revenue'!AF57/FX_EUR</f>
        <v>163129.766168545</v>
      </c>
      <c r="AG32" s="16" t="n">
        <f aca="false">'Clients &amp; revenue'!AG57/FX_EUR</f>
        <v>178050.727534904</v>
      </c>
      <c r="AH32" s="16" t="n">
        <f aca="false">'Clients &amp; revenue'!AH57/FX_EUR</f>
        <v>191740.921186747</v>
      </c>
      <c r="AI32" s="16" t="n">
        <f aca="false">'Clients &amp; revenue'!AI57/FX_EUR</f>
        <v>205823.032341654</v>
      </c>
      <c r="AJ32" s="16" t="n">
        <f aca="false">'Clients &amp; revenue'!AJ57/FX_EUR</f>
        <v>220504.048547792</v>
      </c>
      <c r="AK32" s="16" t="n">
        <f aca="false">'Clients &amp; revenue'!AK57/FX_EUR</f>
        <v>235164.048488713</v>
      </c>
      <c r="AL32" s="16" t="n">
        <f aca="false">'Clients &amp; revenue'!AL57/FX_EUR</f>
        <v>249916.836688209</v>
      </c>
      <c r="AM32" s="16" t="n">
        <f aca="false">'Clients &amp; revenue'!AM57/FX_EUR</f>
        <v>265634.935283321</v>
      </c>
      <c r="AN32" s="16" t="n">
        <f aca="false">'Clients &amp; revenue'!AN57/FX_EUR</f>
        <v>281842.003331256</v>
      </c>
      <c r="AO32" s="16" t="n">
        <f aca="false">'Clients &amp; revenue'!AO57/FX_EUR</f>
        <v>299001.645269399</v>
      </c>
      <c r="AP32" s="16" t="n">
        <f aca="false">'Clients &amp; revenue'!AP57/FX_EUR</f>
        <v>316971.284182787</v>
      </c>
      <c r="AQ32" s="16" t="n">
        <f aca="false">'Clients &amp; revenue'!AQ57/FX_EUR</f>
        <v>335276.417808817</v>
      </c>
      <c r="AR32" s="16" t="n">
        <f aca="false">'Clients &amp; revenue'!AR57/FX_EUR</f>
        <v>354842.866926008</v>
      </c>
      <c r="AS32" s="16" t="n">
        <f aca="false">'Clients &amp; revenue'!AS57/FX_EUR</f>
        <v>374733.39612911</v>
      </c>
      <c r="AT32" s="16" t="n">
        <f aca="false">'Clients &amp; revenue'!AT57/FX_EUR</f>
        <v>395573.04637881</v>
      </c>
      <c r="AU32" s="16" t="n">
        <f aca="false">'Clients &amp; revenue'!AU57/FX_EUR</f>
        <v>416536.222372191</v>
      </c>
      <c r="AV32" s="16" t="n">
        <f aca="false">'Clients &amp; revenue'!AV57/FX_EUR</f>
        <v>437447.545189568</v>
      </c>
      <c r="AW32" s="16" t="n">
        <f aca="false">'Clients &amp; revenue'!AW57/FX_EUR</f>
        <v>459366.876386134</v>
      </c>
      <c r="AX32" s="16" t="n">
        <f aca="false">'Clients &amp; revenue'!AX57/FX_EUR</f>
        <v>481038.943252348</v>
      </c>
      <c r="AY32" s="16" t="n">
        <f aca="false">'Clients &amp; revenue'!AY57/FX_EUR</f>
        <v>503570.204499033</v>
      </c>
      <c r="AZ32" s="16" t="n">
        <f aca="false">'Clients &amp; revenue'!AZ57/FX_EUR</f>
        <v>526097.456381881</v>
      </c>
      <c r="BA32" s="16" t="n">
        <f aca="false">'Clients &amp; revenue'!BA57/FX_EUR</f>
        <v>549937.401752437</v>
      </c>
      <c r="BB32" s="16" t="n">
        <f aca="false">'Clients &amp; revenue'!BB57/FX_EUR</f>
        <v>573981.150572676</v>
      </c>
      <c r="BC32" s="16" t="n">
        <f aca="false">'Clients &amp; revenue'!BC57/FX_EUR</f>
        <v>598408.458891434</v>
      </c>
      <c r="BD32" s="16" t="n">
        <f aca="false">'Clients &amp; revenue'!BD57/FX_EUR</f>
        <v>623985.123552807</v>
      </c>
      <c r="BE32" s="16" t="n">
        <f aca="false">'Clients &amp; revenue'!BE57/FX_EUR</f>
        <v>649861.767131655</v>
      </c>
      <c r="BF32" s="16" t="n">
        <f aca="false">'Clients &amp; revenue'!BF57/FX_EUR</f>
        <v>675837.870812677</v>
      </c>
      <c r="BG32" s="16" t="n">
        <f aca="false">'Clients &amp; revenue'!BG57/FX_EUR</f>
        <v>702990.69061623</v>
      </c>
      <c r="BH32" s="16" t="n">
        <f aca="false">'Clients &amp; revenue'!BH57/FX_EUR</f>
        <v>730162.694161345</v>
      </c>
      <c r="BI32" s="16" t="n">
        <f aca="false">'Clients &amp; revenue'!BI57/FX_EUR</f>
        <v>757750.220607393</v>
      </c>
      <c r="BJ32" s="16" t="n">
        <f aca="false">'Clients &amp; revenue'!BJ57/FX_EUR</f>
        <v>785764.463906034</v>
      </c>
      <c r="BK32" s="16" t="n">
        <f aca="false">'Clients &amp; revenue'!BK57/FX_EUR</f>
        <v>814598.174462059</v>
      </c>
      <c r="BL32" s="16" t="n">
        <f aca="false">'Clients &amp; revenue'!BL57/FX_EUR</f>
        <v>843834.506550658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L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16"/>
    <col collapsed="false" customWidth="true" hidden="false" outlineLevel="0" max="3" min="3" style="0" width="3"/>
    <col collapsed="false" customWidth="true" hidden="false" outlineLevel="0" max="4" min="4" style="0" width="16"/>
    <col collapsed="false" customWidth="true" hidden="false" outlineLevel="0" max="64" min="5" style="0" width="12"/>
  </cols>
  <sheetData>
    <row r="1" customFormat="false" ht="17.35" hidden="false" customHeight="false" outlineLevel="0" collapsed="false">
      <c r="A1" s="7" t="s">
        <v>26</v>
      </c>
    </row>
    <row r="2" customFormat="false" ht="15" hidden="false" customHeight="false" outlineLevel="0" collapsed="false">
      <c r="A2" s="2" t="s">
        <v>795</v>
      </c>
    </row>
    <row r="3" customFormat="false" ht="15" hidden="false" customHeight="false" outlineLevel="0" collapsed="false">
      <c r="A3" s="8" t="s">
        <v>680</v>
      </c>
      <c r="D3" s="8" t="s">
        <v>681</v>
      </c>
      <c r="E3" s="20" t="n">
        <v>1</v>
      </c>
      <c r="F3" s="20" t="n">
        <f aca="false">E3+1</f>
        <v>2</v>
      </c>
      <c r="G3" s="20" t="n">
        <f aca="false">F3+1</f>
        <v>3</v>
      </c>
      <c r="H3" s="20" t="n">
        <f aca="false">G3+1</f>
        <v>4</v>
      </c>
      <c r="I3" s="20" t="n">
        <f aca="false">H3+1</f>
        <v>5</v>
      </c>
      <c r="J3" s="20" t="n">
        <f aca="false">I3+1</f>
        <v>6</v>
      </c>
      <c r="K3" s="20" t="n">
        <f aca="false">J3+1</f>
        <v>7</v>
      </c>
      <c r="L3" s="20" t="n">
        <f aca="false">K3+1</f>
        <v>8</v>
      </c>
      <c r="M3" s="20" t="n">
        <f aca="false">L3+1</f>
        <v>9</v>
      </c>
      <c r="N3" s="20" t="n">
        <f aca="false">M3+1</f>
        <v>10</v>
      </c>
      <c r="O3" s="20" t="n">
        <f aca="false">N3+1</f>
        <v>11</v>
      </c>
      <c r="P3" s="20" t="n">
        <f aca="false">O3+1</f>
        <v>12</v>
      </c>
      <c r="Q3" s="20" t="n">
        <f aca="false">P3+1</f>
        <v>13</v>
      </c>
      <c r="R3" s="20" t="n">
        <f aca="false">Q3+1</f>
        <v>14</v>
      </c>
      <c r="S3" s="20" t="n">
        <f aca="false">R3+1</f>
        <v>15</v>
      </c>
      <c r="T3" s="20" t="n">
        <f aca="false">S3+1</f>
        <v>16</v>
      </c>
      <c r="U3" s="20" t="n">
        <f aca="false">T3+1</f>
        <v>17</v>
      </c>
      <c r="V3" s="20" t="n">
        <f aca="false">U3+1</f>
        <v>18</v>
      </c>
      <c r="W3" s="20" t="n">
        <f aca="false">V3+1</f>
        <v>19</v>
      </c>
      <c r="X3" s="20" t="n">
        <f aca="false">W3+1</f>
        <v>20</v>
      </c>
      <c r="Y3" s="20" t="n">
        <f aca="false">X3+1</f>
        <v>21</v>
      </c>
      <c r="Z3" s="20" t="n">
        <f aca="false">Y3+1</f>
        <v>22</v>
      </c>
      <c r="AA3" s="20" t="n">
        <f aca="false">Z3+1</f>
        <v>23</v>
      </c>
      <c r="AB3" s="20" t="n">
        <f aca="false">AA3+1</f>
        <v>24</v>
      </c>
      <c r="AC3" s="20" t="n">
        <f aca="false">AB3+1</f>
        <v>25</v>
      </c>
      <c r="AD3" s="20" t="n">
        <f aca="false">AC3+1</f>
        <v>26</v>
      </c>
      <c r="AE3" s="20" t="n">
        <f aca="false">AD3+1</f>
        <v>27</v>
      </c>
      <c r="AF3" s="20" t="n">
        <f aca="false">AE3+1</f>
        <v>28</v>
      </c>
      <c r="AG3" s="20" t="n">
        <f aca="false">AF3+1</f>
        <v>29</v>
      </c>
      <c r="AH3" s="20" t="n">
        <f aca="false">AG3+1</f>
        <v>30</v>
      </c>
      <c r="AI3" s="20" t="n">
        <f aca="false">AH3+1</f>
        <v>31</v>
      </c>
      <c r="AJ3" s="20" t="n">
        <f aca="false">AI3+1</f>
        <v>32</v>
      </c>
      <c r="AK3" s="20" t="n">
        <f aca="false">AJ3+1</f>
        <v>33</v>
      </c>
      <c r="AL3" s="20" t="n">
        <f aca="false">AK3+1</f>
        <v>34</v>
      </c>
      <c r="AM3" s="20" t="n">
        <f aca="false">AL3+1</f>
        <v>35</v>
      </c>
      <c r="AN3" s="20" t="n">
        <f aca="false">AM3+1</f>
        <v>36</v>
      </c>
      <c r="AO3" s="20" t="n">
        <f aca="false">AN3+1</f>
        <v>37</v>
      </c>
      <c r="AP3" s="20" t="n">
        <f aca="false">AO3+1</f>
        <v>38</v>
      </c>
      <c r="AQ3" s="20" t="n">
        <f aca="false">AP3+1</f>
        <v>39</v>
      </c>
      <c r="AR3" s="20" t="n">
        <f aca="false">AQ3+1</f>
        <v>40</v>
      </c>
      <c r="AS3" s="20" t="n">
        <f aca="false">AR3+1</f>
        <v>41</v>
      </c>
      <c r="AT3" s="20" t="n">
        <f aca="false">AS3+1</f>
        <v>42</v>
      </c>
      <c r="AU3" s="20" t="n">
        <f aca="false">AT3+1</f>
        <v>43</v>
      </c>
      <c r="AV3" s="20" t="n">
        <f aca="false">AU3+1</f>
        <v>44</v>
      </c>
      <c r="AW3" s="20" t="n">
        <f aca="false">AV3+1</f>
        <v>45</v>
      </c>
      <c r="AX3" s="20" t="n">
        <f aca="false">AW3+1</f>
        <v>46</v>
      </c>
      <c r="AY3" s="20" t="n">
        <f aca="false">AX3+1</f>
        <v>47</v>
      </c>
      <c r="AZ3" s="20" t="n">
        <f aca="false">AY3+1</f>
        <v>48</v>
      </c>
      <c r="BA3" s="20" t="n">
        <f aca="false">AZ3+1</f>
        <v>49</v>
      </c>
      <c r="BB3" s="20" t="n">
        <f aca="false">BA3+1</f>
        <v>50</v>
      </c>
      <c r="BC3" s="20" t="n">
        <f aca="false">BB3+1</f>
        <v>51</v>
      </c>
      <c r="BD3" s="20" t="n">
        <f aca="false">BC3+1</f>
        <v>52</v>
      </c>
      <c r="BE3" s="20" t="n">
        <f aca="false">BD3+1</f>
        <v>53</v>
      </c>
      <c r="BF3" s="20" t="n">
        <f aca="false">BE3+1</f>
        <v>54</v>
      </c>
      <c r="BG3" s="20" t="n">
        <f aca="false">BF3+1</f>
        <v>55</v>
      </c>
      <c r="BH3" s="20" t="n">
        <f aca="false">BG3+1</f>
        <v>56</v>
      </c>
      <c r="BI3" s="20" t="n">
        <f aca="false">BH3+1</f>
        <v>57</v>
      </c>
      <c r="BJ3" s="20" t="n">
        <f aca="false">BI3+1</f>
        <v>58</v>
      </c>
      <c r="BK3" s="20" t="n">
        <f aca="false">BJ3+1</f>
        <v>59</v>
      </c>
      <c r="BL3" s="20" t="n">
        <f aca="false">BK3+1</f>
        <v>60</v>
      </c>
    </row>
    <row r="4" customFormat="false" ht="15" hidden="false" customHeight="false" outlineLevel="0" collapsed="false">
      <c r="A4" s="8" t="s">
        <v>682</v>
      </c>
      <c r="E4" s="53" t="n">
        <f aca="false">DATE(YEAR(Start_Date),MONTH(Start_Date)+E3-1,1)</f>
        <v>46388</v>
      </c>
      <c r="F4" s="53" t="n">
        <f aca="false">DATE(YEAR(Start_Date),MONTH(Start_Date)+F3-1,1)</f>
        <v>46419</v>
      </c>
      <c r="G4" s="53" t="n">
        <f aca="false">DATE(YEAR(Start_Date),MONTH(Start_Date)+G3-1,1)</f>
        <v>46447</v>
      </c>
      <c r="H4" s="53" t="n">
        <f aca="false">DATE(YEAR(Start_Date),MONTH(Start_Date)+H3-1,1)</f>
        <v>46478</v>
      </c>
      <c r="I4" s="53" t="n">
        <f aca="false">DATE(YEAR(Start_Date),MONTH(Start_Date)+I3-1,1)</f>
        <v>46508</v>
      </c>
      <c r="J4" s="53" t="n">
        <f aca="false">DATE(YEAR(Start_Date),MONTH(Start_Date)+J3-1,1)</f>
        <v>46539</v>
      </c>
      <c r="K4" s="53" t="n">
        <f aca="false">DATE(YEAR(Start_Date),MONTH(Start_Date)+K3-1,1)</f>
        <v>46569</v>
      </c>
      <c r="L4" s="53" t="n">
        <f aca="false">DATE(YEAR(Start_Date),MONTH(Start_Date)+L3-1,1)</f>
        <v>46600</v>
      </c>
      <c r="M4" s="53" t="n">
        <f aca="false">DATE(YEAR(Start_Date),MONTH(Start_Date)+M3-1,1)</f>
        <v>46631</v>
      </c>
      <c r="N4" s="53" t="n">
        <f aca="false">DATE(YEAR(Start_Date),MONTH(Start_Date)+N3-1,1)</f>
        <v>46661</v>
      </c>
      <c r="O4" s="53" t="n">
        <f aca="false">DATE(YEAR(Start_Date),MONTH(Start_Date)+O3-1,1)</f>
        <v>46692</v>
      </c>
      <c r="P4" s="53" t="n">
        <f aca="false">DATE(YEAR(Start_Date),MONTH(Start_Date)+P3-1,1)</f>
        <v>46722</v>
      </c>
      <c r="Q4" s="53" t="n">
        <f aca="false">DATE(YEAR(Start_Date),MONTH(Start_Date)+Q3-1,1)</f>
        <v>46753</v>
      </c>
      <c r="R4" s="53" t="n">
        <f aca="false">DATE(YEAR(Start_Date),MONTH(Start_Date)+R3-1,1)</f>
        <v>46784</v>
      </c>
      <c r="S4" s="53" t="n">
        <f aca="false">DATE(YEAR(Start_Date),MONTH(Start_Date)+S3-1,1)</f>
        <v>46813</v>
      </c>
      <c r="T4" s="53" t="n">
        <f aca="false">DATE(YEAR(Start_Date),MONTH(Start_Date)+T3-1,1)</f>
        <v>46844</v>
      </c>
      <c r="U4" s="53" t="n">
        <f aca="false">DATE(YEAR(Start_Date),MONTH(Start_Date)+U3-1,1)</f>
        <v>46874</v>
      </c>
      <c r="V4" s="53" t="n">
        <f aca="false">DATE(YEAR(Start_Date),MONTH(Start_Date)+V3-1,1)</f>
        <v>46905</v>
      </c>
      <c r="W4" s="53" t="n">
        <f aca="false">DATE(YEAR(Start_Date),MONTH(Start_Date)+W3-1,1)</f>
        <v>46935</v>
      </c>
      <c r="X4" s="53" t="n">
        <f aca="false">DATE(YEAR(Start_Date),MONTH(Start_Date)+X3-1,1)</f>
        <v>46966</v>
      </c>
      <c r="Y4" s="53" t="n">
        <f aca="false">DATE(YEAR(Start_Date),MONTH(Start_Date)+Y3-1,1)</f>
        <v>46997</v>
      </c>
      <c r="Z4" s="53" t="n">
        <f aca="false">DATE(YEAR(Start_Date),MONTH(Start_Date)+Z3-1,1)</f>
        <v>47027</v>
      </c>
      <c r="AA4" s="53" t="n">
        <f aca="false">DATE(YEAR(Start_Date),MONTH(Start_Date)+AA3-1,1)</f>
        <v>47058</v>
      </c>
      <c r="AB4" s="53" t="n">
        <f aca="false">DATE(YEAR(Start_Date),MONTH(Start_Date)+AB3-1,1)</f>
        <v>47088</v>
      </c>
      <c r="AC4" s="53" t="n">
        <f aca="false">DATE(YEAR(Start_Date),MONTH(Start_Date)+AC3-1,1)</f>
        <v>47119</v>
      </c>
      <c r="AD4" s="53" t="n">
        <f aca="false">DATE(YEAR(Start_Date),MONTH(Start_Date)+AD3-1,1)</f>
        <v>47150</v>
      </c>
      <c r="AE4" s="53" t="n">
        <f aca="false">DATE(YEAR(Start_Date),MONTH(Start_Date)+AE3-1,1)</f>
        <v>47178</v>
      </c>
      <c r="AF4" s="53" t="n">
        <f aca="false">DATE(YEAR(Start_Date),MONTH(Start_Date)+AF3-1,1)</f>
        <v>47209</v>
      </c>
      <c r="AG4" s="53" t="n">
        <f aca="false">DATE(YEAR(Start_Date),MONTH(Start_Date)+AG3-1,1)</f>
        <v>47239</v>
      </c>
      <c r="AH4" s="53" t="n">
        <f aca="false">DATE(YEAR(Start_Date),MONTH(Start_Date)+AH3-1,1)</f>
        <v>47270</v>
      </c>
      <c r="AI4" s="53" t="n">
        <f aca="false">DATE(YEAR(Start_Date),MONTH(Start_Date)+AI3-1,1)</f>
        <v>47300</v>
      </c>
      <c r="AJ4" s="53" t="n">
        <f aca="false">DATE(YEAR(Start_Date),MONTH(Start_Date)+AJ3-1,1)</f>
        <v>47331</v>
      </c>
      <c r="AK4" s="53" t="n">
        <f aca="false">DATE(YEAR(Start_Date),MONTH(Start_Date)+AK3-1,1)</f>
        <v>47362</v>
      </c>
      <c r="AL4" s="53" t="n">
        <f aca="false">DATE(YEAR(Start_Date),MONTH(Start_Date)+AL3-1,1)</f>
        <v>47392</v>
      </c>
      <c r="AM4" s="53" t="n">
        <f aca="false">DATE(YEAR(Start_Date),MONTH(Start_Date)+AM3-1,1)</f>
        <v>47423</v>
      </c>
      <c r="AN4" s="53" t="n">
        <f aca="false">DATE(YEAR(Start_Date),MONTH(Start_Date)+AN3-1,1)</f>
        <v>47453</v>
      </c>
      <c r="AO4" s="53" t="n">
        <f aca="false">DATE(YEAR(Start_Date),MONTH(Start_Date)+AO3-1,1)</f>
        <v>47484</v>
      </c>
      <c r="AP4" s="53" t="n">
        <f aca="false">DATE(YEAR(Start_Date),MONTH(Start_Date)+AP3-1,1)</f>
        <v>47515</v>
      </c>
      <c r="AQ4" s="53" t="n">
        <f aca="false">DATE(YEAR(Start_Date),MONTH(Start_Date)+AQ3-1,1)</f>
        <v>47543</v>
      </c>
      <c r="AR4" s="53" t="n">
        <f aca="false">DATE(YEAR(Start_Date),MONTH(Start_Date)+AR3-1,1)</f>
        <v>47574</v>
      </c>
      <c r="AS4" s="53" t="n">
        <f aca="false">DATE(YEAR(Start_Date),MONTH(Start_Date)+AS3-1,1)</f>
        <v>47604</v>
      </c>
      <c r="AT4" s="53" t="n">
        <f aca="false">DATE(YEAR(Start_Date),MONTH(Start_Date)+AT3-1,1)</f>
        <v>47635</v>
      </c>
      <c r="AU4" s="53" t="n">
        <f aca="false">DATE(YEAR(Start_Date),MONTH(Start_Date)+AU3-1,1)</f>
        <v>47665</v>
      </c>
      <c r="AV4" s="53" t="n">
        <f aca="false">DATE(YEAR(Start_Date),MONTH(Start_Date)+AV3-1,1)</f>
        <v>47696</v>
      </c>
      <c r="AW4" s="53" t="n">
        <f aca="false">DATE(YEAR(Start_Date),MONTH(Start_Date)+AW3-1,1)</f>
        <v>47727</v>
      </c>
      <c r="AX4" s="53" t="n">
        <f aca="false">DATE(YEAR(Start_Date),MONTH(Start_Date)+AX3-1,1)</f>
        <v>47757</v>
      </c>
      <c r="AY4" s="53" t="n">
        <f aca="false">DATE(YEAR(Start_Date),MONTH(Start_Date)+AY3-1,1)</f>
        <v>47788</v>
      </c>
      <c r="AZ4" s="53" t="n">
        <f aca="false">DATE(YEAR(Start_Date),MONTH(Start_Date)+AZ3-1,1)</f>
        <v>47818</v>
      </c>
      <c r="BA4" s="53" t="n">
        <f aca="false">DATE(YEAR(Start_Date),MONTH(Start_Date)+BA3-1,1)</f>
        <v>47849</v>
      </c>
      <c r="BB4" s="53" t="n">
        <f aca="false">DATE(YEAR(Start_Date),MONTH(Start_Date)+BB3-1,1)</f>
        <v>47880</v>
      </c>
      <c r="BC4" s="53" t="n">
        <f aca="false">DATE(YEAR(Start_Date),MONTH(Start_Date)+BC3-1,1)</f>
        <v>47908</v>
      </c>
      <c r="BD4" s="53" t="n">
        <f aca="false">DATE(YEAR(Start_Date),MONTH(Start_Date)+BD3-1,1)</f>
        <v>47939</v>
      </c>
      <c r="BE4" s="53" t="n">
        <f aca="false">DATE(YEAR(Start_Date),MONTH(Start_Date)+BE3-1,1)</f>
        <v>47969</v>
      </c>
      <c r="BF4" s="53" t="n">
        <f aca="false">DATE(YEAR(Start_Date),MONTH(Start_Date)+BF3-1,1)</f>
        <v>48000</v>
      </c>
      <c r="BG4" s="53" t="n">
        <f aca="false">DATE(YEAR(Start_Date),MONTH(Start_Date)+BG3-1,1)</f>
        <v>48030</v>
      </c>
      <c r="BH4" s="53" t="n">
        <f aca="false">DATE(YEAR(Start_Date),MONTH(Start_Date)+BH3-1,1)</f>
        <v>48061</v>
      </c>
      <c r="BI4" s="53" t="n">
        <f aca="false">DATE(YEAR(Start_Date),MONTH(Start_Date)+BI3-1,1)</f>
        <v>48092</v>
      </c>
      <c r="BJ4" s="53" t="n">
        <f aca="false">DATE(YEAR(Start_Date),MONTH(Start_Date)+BJ3-1,1)</f>
        <v>48122</v>
      </c>
      <c r="BK4" s="53" t="n">
        <f aca="false">DATE(YEAR(Start_Date),MONTH(Start_Date)+BK3-1,1)</f>
        <v>48153</v>
      </c>
      <c r="BL4" s="53" t="n">
        <f aca="false">DATE(YEAR(Start_Date),MONTH(Start_Date)+BL3-1,1)</f>
        <v>48183</v>
      </c>
    </row>
    <row r="5" customFormat="false" ht="15" hidden="false" customHeight="false" outlineLevel="0" collapsed="false">
      <c r="A5" s="8" t="s">
        <v>81</v>
      </c>
      <c r="E5" s="54" t="n">
        <f aca="false">INT((E3-1)/12)+1</f>
        <v>1</v>
      </c>
      <c r="F5" s="54" t="n">
        <f aca="false">INT((F3-1)/12)+1</f>
        <v>1</v>
      </c>
      <c r="G5" s="54" t="n">
        <f aca="false">INT((G3-1)/12)+1</f>
        <v>1</v>
      </c>
      <c r="H5" s="54" t="n">
        <f aca="false">INT((H3-1)/12)+1</f>
        <v>1</v>
      </c>
      <c r="I5" s="54" t="n">
        <f aca="false">INT((I3-1)/12)+1</f>
        <v>1</v>
      </c>
      <c r="J5" s="54" t="n">
        <f aca="false">INT((J3-1)/12)+1</f>
        <v>1</v>
      </c>
      <c r="K5" s="54" t="n">
        <f aca="false">INT((K3-1)/12)+1</f>
        <v>1</v>
      </c>
      <c r="L5" s="54" t="n">
        <f aca="false">INT((L3-1)/12)+1</f>
        <v>1</v>
      </c>
      <c r="M5" s="54" t="n">
        <f aca="false">INT((M3-1)/12)+1</f>
        <v>1</v>
      </c>
      <c r="N5" s="54" t="n">
        <f aca="false">INT((N3-1)/12)+1</f>
        <v>1</v>
      </c>
      <c r="O5" s="54" t="n">
        <f aca="false">INT((O3-1)/12)+1</f>
        <v>1</v>
      </c>
      <c r="P5" s="54" t="n">
        <f aca="false">INT((P3-1)/12)+1</f>
        <v>1</v>
      </c>
      <c r="Q5" s="54" t="n">
        <f aca="false">INT((Q3-1)/12)+1</f>
        <v>2</v>
      </c>
      <c r="R5" s="54" t="n">
        <f aca="false">INT((R3-1)/12)+1</f>
        <v>2</v>
      </c>
      <c r="S5" s="54" t="n">
        <f aca="false">INT((S3-1)/12)+1</f>
        <v>2</v>
      </c>
      <c r="T5" s="54" t="n">
        <f aca="false">INT((T3-1)/12)+1</f>
        <v>2</v>
      </c>
      <c r="U5" s="54" t="n">
        <f aca="false">INT((U3-1)/12)+1</f>
        <v>2</v>
      </c>
      <c r="V5" s="54" t="n">
        <f aca="false">INT((V3-1)/12)+1</f>
        <v>2</v>
      </c>
      <c r="W5" s="54" t="n">
        <f aca="false">INT((W3-1)/12)+1</f>
        <v>2</v>
      </c>
      <c r="X5" s="54" t="n">
        <f aca="false">INT((X3-1)/12)+1</f>
        <v>2</v>
      </c>
      <c r="Y5" s="54" t="n">
        <f aca="false">INT((Y3-1)/12)+1</f>
        <v>2</v>
      </c>
      <c r="Z5" s="54" t="n">
        <f aca="false">INT((Z3-1)/12)+1</f>
        <v>2</v>
      </c>
      <c r="AA5" s="54" t="n">
        <f aca="false">INT((AA3-1)/12)+1</f>
        <v>2</v>
      </c>
      <c r="AB5" s="54" t="n">
        <f aca="false">INT((AB3-1)/12)+1</f>
        <v>2</v>
      </c>
      <c r="AC5" s="54" t="n">
        <f aca="false">INT((AC3-1)/12)+1</f>
        <v>3</v>
      </c>
      <c r="AD5" s="54" t="n">
        <f aca="false">INT((AD3-1)/12)+1</f>
        <v>3</v>
      </c>
      <c r="AE5" s="54" t="n">
        <f aca="false">INT((AE3-1)/12)+1</f>
        <v>3</v>
      </c>
      <c r="AF5" s="54" t="n">
        <f aca="false">INT((AF3-1)/12)+1</f>
        <v>3</v>
      </c>
      <c r="AG5" s="54" t="n">
        <f aca="false">INT((AG3-1)/12)+1</f>
        <v>3</v>
      </c>
      <c r="AH5" s="54" t="n">
        <f aca="false">INT((AH3-1)/12)+1</f>
        <v>3</v>
      </c>
      <c r="AI5" s="54" t="n">
        <f aca="false">INT((AI3-1)/12)+1</f>
        <v>3</v>
      </c>
      <c r="AJ5" s="54" t="n">
        <f aca="false">INT((AJ3-1)/12)+1</f>
        <v>3</v>
      </c>
      <c r="AK5" s="54" t="n">
        <f aca="false">INT((AK3-1)/12)+1</f>
        <v>3</v>
      </c>
      <c r="AL5" s="54" t="n">
        <f aca="false">INT((AL3-1)/12)+1</f>
        <v>3</v>
      </c>
      <c r="AM5" s="54" t="n">
        <f aca="false">INT((AM3-1)/12)+1</f>
        <v>3</v>
      </c>
      <c r="AN5" s="54" t="n">
        <f aca="false">INT((AN3-1)/12)+1</f>
        <v>3</v>
      </c>
      <c r="AO5" s="54" t="n">
        <f aca="false">INT((AO3-1)/12)+1</f>
        <v>4</v>
      </c>
      <c r="AP5" s="54" t="n">
        <f aca="false">INT((AP3-1)/12)+1</f>
        <v>4</v>
      </c>
      <c r="AQ5" s="54" t="n">
        <f aca="false">INT((AQ3-1)/12)+1</f>
        <v>4</v>
      </c>
      <c r="AR5" s="54" t="n">
        <f aca="false">INT((AR3-1)/12)+1</f>
        <v>4</v>
      </c>
      <c r="AS5" s="54" t="n">
        <f aca="false">INT((AS3-1)/12)+1</f>
        <v>4</v>
      </c>
      <c r="AT5" s="54" t="n">
        <f aca="false">INT((AT3-1)/12)+1</f>
        <v>4</v>
      </c>
      <c r="AU5" s="54" t="n">
        <f aca="false">INT((AU3-1)/12)+1</f>
        <v>4</v>
      </c>
      <c r="AV5" s="54" t="n">
        <f aca="false">INT((AV3-1)/12)+1</f>
        <v>4</v>
      </c>
      <c r="AW5" s="54" t="n">
        <f aca="false">INT((AW3-1)/12)+1</f>
        <v>4</v>
      </c>
      <c r="AX5" s="54" t="n">
        <f aca="false">INT((AX3-1)/12)+1</f>
        <v>4</v>
      </c>
      <c r="AY5" s="54" t="n">
        <f aca="false">INT((AY3-1)/12)+1</f>
        <v>4</v>
      </c>
      <c r="AZ5" s="54" t="n">
        <f aca="false">INT((AZ3-1)/12)+1</f>
        <v>4</v>
      </c>
      <c r="BA5" s="54" t="n">
        <f aca="false">INT((BA3-1)/12)+1</f>
        <v>5</v>
      </c>
      <c r="BB5" s="54" t="n">
        <f aca="false">INT((BB3-1)/12)+1</f>
        <v>5</v>
      </c>
      <c r="BC5" s="54" t="n">
        <f aca="false">INT((BC3-1)/12)+1</f>
        <v>5</v>
      </c>
      <c r="BD5" s="54" t="n">
        <f aca="false">INT((BD3-1)/12)+1</f>
        <v>5</v>
      </c>
      <c r="BE5" s="54" t="n">
        <f aca="false">INT((BE3-1)/12)+1</f>
        <v>5</v>
      </c>
      <c r="BF5" s="54" t="n">
        <f aca="false">INT((BF3-1)/12)+1</f>
        <v>5</v>
      </c>
      <c r="BG5" s="54" t="n">
        <f aca="false">INT((BG3-1)/12)+1</f>
        <v>5</v>
      </c>
      <c r="BH5" s="54" t="n">
        <f aca="false">INT((BH3-1)/12)+1</f>
        <v>5</v>
      </c>
      <c r="BI5" s="54" t="n">
        <f aca="false">INT((BI3-1)/12)+1</f>
        <v>5</v>
      </c>
      <c r="BJ5" s="54" t="n">
        <f aca="false">INT((BJ3-1)/12)+1</f>
        <v>5</v>
      </c>
      <c r="BK5" s="54" t="n">
        <f aca="false">INT((BK3-1)/12)+1</f>
        <v>5</v>
      </c>
      <c r="BL5" s="54" t="n">
        <f aca="false">INT((BL3-1)/12)+1</f>
        <v>5</v>
      </c>
    </row>
    <row r="8" customFormat="false" ht="15" hidden="false" customHeight="false" outlineLevel="0" collapsed="false">
      <c r="A8" s="10" t="s">
        <v>117</v>
      </c>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row>
    <row r="9" customFormat="false" ht="15" hidden="false" customHeight="false" outlineLevel="0" collapsed="false">
      <c r="A9" s="12" t="s">
        <v>796</v>
      </c>
      <c r="B9" s="14" t="s">
        <v>83</v>
      </c>
      <c r="D9" s="55" t="n">
        <f aca="false">BL9</f>
        <v>10979.3790621792</v>
      </c>
      <c r="E9" s="23" t="n">
        <f aca="false">'Clients &amp; revenue'!E17</f>
        <v>0</v>
      </c>
      <c r="F9" s="23" t="n">
        <f aca="false">'Clients &amp; revenue'!F17</f>
        <v>0</v>
      </c>
      <c r="G9" s="23" t="n">
        <f aca="false">'Clients &amp; revenue'!G17</f>
        <v>0</v>
      </c>
      <c r="H9" s="23" t="n">
        <f aca="false">'Clients &amp; revenue'!H17</f>
        <v>0</v>
      </c>
      <c r="I9" s="23" t="n">
        <f aca="false">'Clients &amp; revenue'!I17</f>
        <v>57.4666666666667</v>
      </c>
      <c r="J9" s="23" t="n">
        <f aca="false">'Clients &amp; revenue'!J17</f>
        <v>114.585133333333</v>
      </c>
      <c r="K9" s="23" t="n">
        <f aca="false">'Clients &amp; revenue'!K17</f>
        <v>171.398309</v>
      </c>
      <c r="L9" s="23" t="n">
        <f aca="false">'Clients &amp; revenue'!L17</f>
        <v>227.950532230417</v>
      </c>
      <c r="M9" s="23" t="n">
        <f aca="false">'Clients &amp; revenue'!M17</f>
        <v>284.28767834109</v>
      </c>
      <c r="N9" s="23" t="n">
        <f aca="false">'Clients &amp; revenue'!N17</f>
        <v>340.457272610726</v>
      </c>
      <c r="O9" s="23" t="n">
        <f aca="false">'Clients &amp; revenue'!O17</f>
        <v>396.508609879351</v>
      </c>
      <c r="P9" s="23" t="n">
        <f aca="false">'Clients &amp; revenue'!P17</f>
        <v>452.492880928335</v>
      </c>
      <c r="Q9" s="23" t="n">
        <f aca="false">'Clients &amp; revenue'!Q17</f>
        <v>525.929972722537</v>
      </c>
      <c r="R9" s="23" t="n">
        <f aca="false">'Clients &amp; revenue'!R17</f>
        <v>599.120409620519</v>
      </c>
      <c r="S9" s="23" t="n">
        <f aca="false">'Clients &amp; revenue'!S17</f>
        <v>672.127011684965</v>
      </c>
      <c r="T9" s="23" t="n">
        <f aca="false">'Clients &amp; revenue'!T17</f>
        <v>745.014982108665</v>
      </c>
      <c r="U9" s="23" t="n">
        <f aca="false">'Clients &amp; revenue'!U17</f>
        <v>817.852076044859</v>
      </c>
      <c r="V9" s="23" t="n">
        <f aca="false">'Clients &amp; revenue'!V17</f>
        <v>890.708779072538</v>
      </c>
      <c r="W9" s="23" t="n">
        <f aca="false">'Clients &amp; revenue'!W17</f>
        <v>1015.12516255111</v>
      </c>
      <c r="X9" s="23" t="n">
        <f aca="false">'Clients &amp; revenue'!X17</f>
        <v>1139.22188315386</v>
      </c>
      <c r="Y9" s="23" t="n">
        <f aca="false">'Clients &amp; revenue'!Y17</f>
        <v>1263.10950790696</v>
      </c>
      <c r="Z9" s="23" t="n">
        <f aca="false">'Clients &amp; revenue'!Z17</f>
        <v>1386.9029222991</v>
      </c>
      <c r="AA9" s="23" t="n">
        <f aca="false">'Clients &amp; revenue'!AA17</f>
        <v>1510.72163254537</v>
      </c>
      <c r="AB9" s="23" t="n">
        <f aca="false">'Clients &amp; revenue'!AB17</f>
        <v>1644.69008516072</v>
      </c>
      <c r="AC9" s="23" t="n">
        <f aca="false">'Clients &amp; revenue'!AC17</f>
        <v>1813.83967156434</v>
      </c>
      <c r="AD9" s="23" t="n">
        <f aca="false">'Clients &amp; revenue'!AD17</f>
        <v>1982.66341049933</v>
      </c>
      <c r="AE9" s="23" t="n">
        <f aca="false">'Clients &amp; revenue'!AE17</f>
        <v>2151.31580383733</v>
      </c>
      <c r="AF9" s="23" t="n">
        <f aca="false">'Clients &amp; revenue'!AF17</f>
        <v>2329.95752360934</v>
      </c>
      <c r="AG9" s="23" t="n">
        <f aca="false">'Clients &amp; revenue'!AG17</f>
        <v>2508.59083991517</v>
      </c>
      <c r="AH9" s="23" t="n">
        <f aca="false">'Clients &amp; revenue'!AH17</f>
        <v>2687.39299840366</v>
      </c>
      <c r="AI9" s="23" t="n">
        <f aca="false">'Clients &amp; revenue'!AI17</f>
        <v>2866.5487195383</v>
      </c>
      <c r="AJ9" s="23" t="n">
        <f aca="false">'Clients &amp; revenue'!AJ17</f>
        <v>3056.250705832</v>
      </c>
      <c r="AK9" s="23" t="n">
        <f aca="false">'Clients &amp; revenue'!AK17</f>
        <v>3246.53517839307</v>
      </c>
      <c r="AL9" s="23" t="n">
        <f aca="false">'Clients &amp; revenue'!AL17</f>
        <v>3437.61536956295</v>
      </c>
      <c r="AM9" s="23" t="n">
        <f aca="false">'Clients &amp; revenue'!AM17</f>
        <v>3639.71414425118</v>
      </c>
      <c r="AN9" s="23" t="n">
        <f aca="false">'Clients &amp; revenue'!AN17</f>
        <v>3851.89963656643</v>
      </c>
      <c r="AO9" s="23" t="n">
        <f aca="false">'Clients &amp; revenue'!AO17</f>
        <v>4082.73701519155</v>
      </c>
      <c r="AP9" s="23" t="n">
        <f aca="false">'Clients &amp; revenue'!AP17</f>
        <v>4324.73264963456</v>
      </c>
      <c r="AQ9" s="23" t="n">
        <f aca="false">'Clients &amp; revenue'!AQ17</f>
        <v>4568.00019364887</v>
      </c>
      <c r="AR9" s="23" t="n">
        <f aca="false">'Clients &amp; revenue'!AR17</f>
        <v>4822.83424066905</v>
      </c>
      <c r="AS9" s="23" t="n">
        <f aca="false">'Clients &amp; revenue'!AS17</f>
        <v>5077.90567411927</v>
      </c>
      <c r="AT9" s="23" t="n">
        <f aca="false">'Clients &amp; revenue'!AT17</f>
        <v>5349.14899807733</v>
      </c>
      <c r="AU9" s="23" t="n">
        <f aca="false">'Clients &amp; revenue'!AU17</f>
        <v>5617.37928618614</v>
      </c>
      <c r="AV9" s="23" t="n">
        <f aca="false">'Clients &amp; revenue'!AV17</f>
        <v>5882.73310788383</v>
      </c>
      <c r="AW9" s="23" t="n">
        <f aca="false">'Clients &amp; revenue'!AW17</f>
        <v>6155.34961184438</v>
      </c>
      <c r="AX9" s="23" t="n">
        <f aca="false">'Clients &amp; revenue'!AX17</f>
        <v>6425.20578480087</v>
      </c>
      <c r="AY9" s="23" t="n">
        <f aca="false">'Clients &amp; revenue'!AY17</f>
        <v>6711.44964891287</v>
      </c>
      <c r="AZ9" s="23" t="n">
        <f aca="false">'Clients &amp; revenue'!AZ17</f>
        <v>6994.9190692476</v>
      </c>
      <c r="BA9" s="23" t="n">
        <f aca="false">'Clients &amp; revenue'!BA17</f>
        <v>7303.3746143755</v>
      </c>
      <c r="BB9" s="23" t="n">
        <f aca="false">'Clients &amp; revenue'!BB17</f>
        <v>7608.92531506289</v>
      </c>
      <c r="BC9" s="23" t="n">
        <f aca="false">'Clients &amp; revenue'!BC17</f>
        <v>7921.74787581127</v>
      </c>
      <c r="BD9" s="23" t="n">
        <f aca="false">'Clients &amp; revenue'!BD17</f>
        <v>8240.85840885726</v>
      </c>
      <c r="BE9" s="23" t="n">
        <f aca="false">'Clients &amp; revenue'!BE17</f>
        <v>8567.29723826201</v>
      </c>
      <c r="BF9" s="23" t="n">
        <f aca="false">'Clients &amp; revenue'!BF17</f>
        <v>8891.09595278025</v>
      </c>
      <c r="BG9" s="23" t="n">
        <f aca="false">'Clients &amp; revenue'!BG17</f>
        <v>9231.45957203069</v>
      </c>
      <c r="BH9" s="23" t="n">
        <f aca="false">'Clients &amp; revenue'!BH17</f>
        <v>9569.28551383948</v>
      </c>
      <c r="BI9" s="23" t="n">
        <f aca="false">'Clients &amp; revenue'!BI17</f>
        <v>9914.7966239842</v>
      </c>
      <c r="BJ9" s="23" t="n">
        <f aca="false">'Clients &amp; revenue'!BJ17</f>
        <v>10258.0575138841</v>
      </c>
      <c r="BK9" s="23" t="n">
        <f aca="false">'Clients &amp; revenue'!BK17</f>
        <v>10616.5937059603</v>
      </c>
      <c r="BL9" s="23" t="n">
        <f aca="false">'Clients &amp; revenue'!BL17</f>
        <v>10979.3790621792</v>
      </c>
    </row>
    <row r="10" customFormat="false" ht="15" hidden="false" customHeight="false" outlineLevel="0" collapsed="false">
      <c r="A10" s="12" t="s">
        <v>772</v>
      </c>
      <c r="B10" s="14" t="s">
        <v>350</v>
      </c>
      <c r="D10" s="55" t="n">
        <f aca="false">BL10</f>
        <v>54054.7846173139</v>
      </c>
      <c r="E10" s="23" t="n">
        <f aca="false">'Clients &amp; revenue'!E32</f>
        <v>0</v>
      </c>
      <c r="F10" s="23" t="n">
        <f aca="false">'Clients &amp; revenue'!F32</f>
        <v>0</v>
      </c>
      <c r="G10" s="23" t="n">
        <f aca="false">'Clients &amp; revenue'!G32</f>
        <v>0</v>
      </c>
      <c r="H10" s="23" t="n">
        <f aca="false">'Clients &amp; revenue'!H32</f>
        <v>0</v>
      </c>
      <c r="I10" s="23" t="n">
        <f aca="false">'Clients &amp; revenue'!I32</f>
        <v>0</v>
      </c>
      <c r="J10" s="23" t="n">
        <f aca="false">'Clients &amp; revenue'!J32</f>
        <v>0</v>
      </c>
      <c r="K10" s="23" t="n">
        <f aca="false">'Clients &amp; revenue'!K32</f>
        <v>0</v>
      </c>
      <c r="L10" s="23" t="n">
        <f aca="false">'Clients &amp; revenue'!L32</f>
        <v>0</v>
      </c>
      <c r="M10" s="23" t="n">
        <f aca="false">'Clients &amp; revenue'!M32</f>
        <v>0</v>
      </c>
      <c r="N10" s="23" t="n">
        <f aca="false">'Clients &amp; revenue'!N32</f>
        <v>0</v>
      </c>
      <c r="O10" s="23" t="n">
        <f aca="false">'Clients &amp; revenue'!O32</f>
        <v>0</v>
      </c>
      <c r="P10" s="23" t="n">
        <f aca="false">'Clients &amp; revenue'!P32</f>
        <v>0</v>
      </c>
      <c r="Q10" s="23" t="n">
        <f aca="false">'Clients &amp; revenue'!Q32</f>
        <v>0</v>
      </c>
      <c r="R10" s="23" t="n">
        <f aca="false">'Clients &amp; revenue'!R32</f>
        <v>0</v>
      </c>
      <c r="S10" s="23" t="n">
        <f aca="false">'Clients &amp; revenue'!S32</f>
        <v>0</v>
      </c>
      <c r="T10" s="23" t="n">
        <f aca="false">'Clients &amp; revenue'!T32</f>
        <v>0</v>
      </c>
      <c r="U10" s="23" t="n">
        <f aca="false">'Clients &amp; revenue'!U32</f>
        <v>0</v>
      </c>
      <c r="V10" s="23" t="n">
        <f aca="false">'Clients &amp; revenue'!V32</f>
        <v>0</v>
      </c>
      <c r="W10" s="23" t="n">
        <f aca="false">'Clients &amp; revenue'!W32</f>
        <v>0</v>
      </c>
      <c r="X10" s="23" t="n">
        <f aca="false">'Clients &amp; revenue'!X32</f>
        <v>0</v>
      </c>
      <c r="Y10" s="23" t="n">
        <f aca="false">'Clients &amp; revenue'!Y32</f>
        <v>0</v>
      </c>
      <c r="Z10" s="23" t="n">
        <f aca="false">'Clients &amp; revenue'!Z32</f>
        <v>0</v>
      </c>
      <c r="AA10" s="23" t="n">
        <f aca="false">'Clients &amp; revenue'!AA32</f>
        <v>0</v>
      </c>
      <c r="AB10" s="23" t="n">
        <f aca="false">'Clients &amp; revenue'!AB32</f>
        <v>0</v>
      </c>
      <c r="AC10" s="23" t="n">
        <f aca="false">'Clients &amp; revenue'!AC32</f>
        <v>0</v>
      </c>
      <c r="AD10" s="23" t="n">
        <f aca="false">'Clients &amp; revenue'!AD32</f>
        <v>0</v>
      </c>
      <c r="AE10" s="23" t="n">
        <f aca="false">'Clients &amp; revenue'!AE32</f>
        <v>0</v>
      </c>
      <c r="AF10" s="23" t="n">
        <f aca="false">'Clients &amp; revenue'!AF32</f>
        <v>0</v>
      </c>
      <c r="AG10" s="23" t="n">
        <f aca="false">'Clients &amp; revenue'!AG32</f>
        <v>11822.7806689321</v>
      </c>
      <c r="AH10" s="23" t="n">
        <f aca="false">'Clients &amp; revenue'!AH32</f>
        <v>12685.4055621468</v>
      </c>
      <c r="AI10" s="23" t="n">
        <f aca="false">'Clients &amp; revenue'!AI32</f>
        <v>13553.5356551985</v>
      </c>
      <c r="AJ10" s="23" t="n">
        <f aca="false">'Clients &amp; revenue'!AJ32</f>
        <v>14473.0038053057</v>
      </c>
      <c r="AK10" s="23" t="n">
        <f aca="false">'Clients &amp; revenue'!AK32</f>
        <v>15399.1990399723</v>
      </c>
      <c r="AL10" s="23" t="n">
        <f aca="false">'Clients &amp; revenue'!AL32</f>
        <v>16333.0503615916</v>
      </c>
      <c r="AM10" s="23" t="n">
        <f aca="false">'Clients &amp; revenue'!AM32</f>
        <v>17320.5359383236</v>
      </c>
      <c r="AN10" s="23" t="n">
        <f aca="false">'Clients &amp; revenue'!AN32</f>
        <v>18357.6986484382</v>
      </c>
      <c r="AO10" s="23" t="n">
        <f aca="false">'Clients &amp; revenue'!AO32</f>
        <v>19483.2916495532</v>
      </c>
      <c r="AP10" s="23" t="n">
        <f aca="false">'Clients &amp; revenue'!AP32</f>
        <v>20664.0195993674</v>
      </c>
      <c r="AQ10" s="23" t="n">
        <f aca="false">'Clients &amp; revenue'!AQ32</f>
        <v>21855.6241088764</v>
      </c>
      <c r="AR10" s="23" t="n">
        <f aca="false">'Clients &amp; revenue'!AR32</f>
        <v>23104.4063792633</v>
      </c>
      <c r="AS10" s="23" t="n">
        <f aca="false">'Clients &amp; revenue'!AS32</f>
        <v>24359.6237515295</v>
      </c>
      <c r="AT10" s="23" t="n">
        <f aca="false">'Clients &amp; revenue'!AT32</f>
        <v>25692.9283398424</v>
      </c>
      <c r="AU10" s="23" t="n">
        <f aca="false">'Clients &amp; revenue'!AU32</f>
        <v>27018.3417971544</v>
      </c>
      <c r="AV10" s="23" t="n">
        <f aca="false">'Clients &amp; revenue'!AV32</f>
        <v>28336.3393700355</v>
      </c>
      <c r="AW10" s="23" t="n">
        <f aca="false">'Clients &amp; revenue'!AW32</f>
        <v>29692.4130090787</v>
      </c>
      <c r="AX10" s="23" t="n">
        <f aca="false">'Clients &amp; revenue'!AX32</f>
        <v>31041.5850399368</v>
      </c>
      <c r="AY10" s="23" t="n">
        <f aca="false">'Clients &amp; revenue'!AY32</f>
        <v>32469.890495673</v>
      </c>
      <c r="AZ10" s="23" t="n">
        <f aca="false">'Clients &amp; revenue'!AZ32</f>
        <v>33891.458495853</v>
      </c>
      <c r="BA10" s="23" t="n">
        <f aca="false">'Clients &amp; revenue'!BA32</f>
        <v>35431.077712345</v>
      </c>
      <c r="BB10" s="23" t="n">
        <f aca="false">'Clients &amp; revenue'!BB32</f>
        <v>36963.8143433598</v>
      </c>
      <c r="BC10" s="23" t="n">
        <f aca="false">'Clients &amp; revenue'!BC32</f>
        <v>38535.3214886033</v>
      </c>
      <c r="BD10" s="23" t="n">
        <f aca="false">'Clients &amp; revenue'!BD32</f>
        <v>40141.290736244</v>
      </c>
      <c r="BE10" s="23" t="n">
        <f aca="false">'Clients &amp; revenue'!BE32</f>
        <v>41786.4962536194</v>
      </c>
      <c r="BF10" s="23" t="n">
        <f aca="false">'Clients &amp; revenue'!BF32</f>
        <v>43426.1984392241</v>
      </c>
      <c r="BG10" s="23" t="n">
        <f aca="false">'Clients &amp; revenue'!BG32</f>
        <v>45146.6826615816</v>
      </c>
      <c r="BH10" s="23" t="n">
        <f aca="false">'Clients &amp; revenue'!BH32</f>
        <v>46862.3414020083</v>
      </c>
      <c r="BI10" s="23" t="n">
        <f aca="false">'Clients &amp; revenue'!BI32</f>
        <v>48619.0405294709</v>
      </c>
      <c r="BJ10" s="23" t="n">
        <f aca="false">'Clients &amp; revenue'!BJ32</f>
        <v>50372.1961318001</v>
      </c>
      <c r="BK10" s="23" t="n">
        <f aca="false">'Clients &amp; revenue'!BK32</f>
        <v>52200.5436897252</v>
      </c>
      <c r="BL10" s="23" t="n">
        <f aca="false">'Clients &amp; revenue'!BL32</f>
        <v>54054.7846173139</v>
      </c>
    </row>
    <row r="12" customFormat="false" ht="15" hidden="false" customHeight="false" outlineLevel="0" collapsed="false">
      <c r="A12" s="10" t="s">
        <v>797</v>
      </c>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row>
    <row r="13" customFormat="false" ht="15" hidden="false" customHeight="false" outlineLevel="0" collapsed="false">
      <c r="A13" s="12" t="s">
        <v>591</v>
      </c>
      <c r="B13" s="14" t="s">
        <v>90</v>
      </c>
      <c r="E13" s="49" t="n">
        <f aca="false">IF(E$3&gt;=Start_Factoring,MIN(1,(E$3-Start_Factoring+1)/Credit_Ramp),0)</f>
        <v>0</v>
      </c>
      <c r="F13" s="49" t="n">
        <f aca="false">IF(F$3&gt;=Start_Factoring,MIN(1,(F$3-Start_Factoring+1)/Credit_Ramp),0)</f>
        <v>0</v>
      </c>
      <c r="G13" s="49" t="n">
        <f aca="false">IF(G$3&gt;=Start_Factoring,MIN(1,(G$3-Start_Factoring+1)/Credit_Ramp),0)</f>
        <v>0</v>
      </c>
      <c r="H13" s="49" t="n">
        <f aca="false">IF(H$3&gt;=Start_Factoring,MIN(1,(H$3-Start_Factoring+1)/Credit_Ramp),0)</f>
        <v>0</v>
      </c>
      <c r="I13" s="49" t="n">
        <f aca="false">IF(I$3&gt;=Start_Factoring,MIN(1,(I$3-Start_Factoring+1)/Credit_Ramp),0)</f>
        <v>0</v>
      </c>
      <c r="J13" s="49" t="n">
        <f aca="false">IF(J$3&gt;=Start_Factoring,MIN(1,(J$3-Start_Factoring+1)/Credit_Ramp),0)</f>
        <v>0</v>
      </c>
      <c r="K13" s="49" t="n">
        <f aca="false">IF(K$3&gt;=Start_Factoring,MIN(1,(K$3-Start_Factoring+1)/Credit_Ramp),0)</f>
        <v>0</v>
      </c>
      <c r="L13" s="49" t="n">
        <f aca="false">IF(L$3&gt;=Start_Factoring,MIN(1,(L$3-Start_Factoring+1)/Credit_Ramp),0)</f>
        <v>0</v>
      </c>
      <c r="M13" s="49" t="n">
        <f aca="false">IF(M$3&gt;=Start_Factoring,MIN(1,(M$3-Start_Factoring+1)/Credit_Ramp),0)</f>
        <v>0</v>
      </c>
      <c r="N13" s="49" t="n">
        <f aca="false">IF(N$3&gt;=Start_Factoring,MIN(1,(N$3-Start_Factoring+1)/Credit_Ramp),0)</f>
        <v>0</v>
      </c>
      <c r="O13" s="49" t="n">
        <f aca="false">IF(O$3&gt;=Start_Factoring,MIN(1,(O$3-Start_Factoring+1)/Credit_Ramp),0)</f>
        <v>0</v>
      </c>
      <c r="P13" s="49" t="n">
        <f aca="false">IF(P$3&gt;=Start_Factoring,MIN(1,(P$3-Start_Factoring+1)/Credit_Ramp),0)</f>
        <v>0</v>
      </c>
      <c r="Q13" s="49" t="n">
        <f aca="false">IF(Q$3&gt;=Start_Factoring,MIN(1,(Q$3-Start_Factoring+1)/Credit_Ramp),0)</f>
        <v>0</v>
      </c>
      <c r="R13" s="49" t="n">
        <f aca="false">IF(R$3&gt;=Start_Factoring,MIN(1,(R$3-Start_Factoring+1)/Credit_Ramp),0)</f>
        <v>0</v>
      </c>
      <c r="S13" s="49" t="n">
        <f aca="false">IF(S$3&gt;=Start_Factoring,MIN(1,(S$3-Start_Factoring+1)/Credit_Ramp),0)</f>
        <v>0</v>
      </c>
      <c r="T13" s="49" t="n">
        <f aca="false">IF(T$3&gt;=Start_Factoring,MIN(1,(T$3-Start_Factoring+1)/Credit_Ramp),0)</f>
        <v>0</v>
      </c>
      <c r="U13" s="49" t="n">
        <f aca="false">IF(U$3&gt;=Start_Factoring,MIN(1,(U$3-Start_Factoring+1)/Credit_Ramp),0)</f>
        <v>0</v>
      </c>
      <c r="V13" s="49" t="n">
        <f aca="false">IF(V$3&gt;=Start_Factoring,MIN(1,(V$3-Start_Factoring+1)/Credit_Ramp),0)</f>
        <v>0.0833333333333333</v>
      </c>
      <c r="W13" s="49" t="n">
        <f aca="false">IF(W$3&gt;=Start_Factoring,MIN(1,(W$3-Start_Factoring+1)/Credit_Ramp),0)</f>
        <v>0.166666666666667</v>
      </c>
      <c r="X13" s="49" t="n">
        <f aca="false">IF(X$3&gt;=Start_Factoring,MIN(1,(X$3-Start_Factoring+1)/Credit_Ramp),0)</f>
        <v>0.25</v>
      </c>
      <c r="Y13" s="49" t="n">
        <f aca="false">IF(Y$3&gt;=Start_Factoring,MIN(1,(Y$3-Start_Factoring+1)/Credit_Ramp),0)</f>
        <v>0.333333333333333</v>
      </c>
      <c r="Z13" s="49" t="n">
        <f aca="false">IF(Z$3&gt;=Start_Factoring,MIN(1,(Z$3-Start_Factoring+1)/Credit_Ramp),0)</f>
        <v>0.416666666666667</v>
      </c>
      <c r="AA13" s="49" t="n">
        <f aca="false">IF(AA$3&gt;=Start_Factoring,MIN(1,(AA$3-Start_Factoring+1)/Credit_Ramp),0)</f>
        <v>0.5</v>
      </c>
      <c r="AB13" s="49" t="n">
        <f aca="false">IF(AB$3&gt;=Start_Factoring,MIN(1,(AB$3-Start_Factoring+1)/Credit_Ramp),0)</f>
        <v>0.583333333333333</v>
      </c>
      <c r="AC13" s="49" t="n">
        <f aca="false">IF(AC$3&gt;=Start_Factoring,MIN(1,(AC$3-Start_Factoring+1)/Credit_Ramp),0)</f>
        <v>0.666666666666667</v>
      </c>
      <c r="AD13" s="49" t="n">
        <f aca="false">IF(AD$3&gt;=Start_Factoring,MIN(1,(AD$3-Start_Factoring+1)/Credit_Ramp),0)</f>
        <v>0.75</v>
      </c>
      <c r="AE13" s="49" t="n">
        <f aca="false">IF(AE$3&gt;=Start_Factoring,MIN(1,(AE$3-Start_Factoring+1)/Credit_Ramp),0)</f>
        <v>0.833333333333333</v>
      </c>
      <c r="AF13" s="49" t="n">
        <f aca="false">IF(AF$3&gt;=Start_Factoring,MIN(1,(AF$3-Start_Factoring+1)/Credit_Ramp),0)</f>
        <v>0.916666666666667</v>
      </c>
      <c r="AG13" s="49" t="n">
        <f aca="false">IF(AG$3&gt;=Start_Factoring,MIN(1,(AG$3-Start_Factoring+1)/Credit_Ramp),0)</f>
        <v>1</v>
      </c>
      <c r="AH13" s="49" t="n">
        <f aca="false">IF(AH$3&gt;=Start_Factoring,MIN(1,(AH$3-Start_Factoring+1)/Credit_Ramp),0)</f>
        <v>1</v>
      </c>
      <c r="AI13" s="49" t="n">
        <f aca="false">IF(AI$3&gt;=Start_Factoring,MIN(1,(AI$3-Start_Factoring+1)/Credit_Ramp),0)</f>
        <v>1</v>
      </c>
      <c r="AJ13" s="49" t="n">
        <f aca="false">IF(AJ$3&gt;=Start_Factoring,MIN(1,(AJ$3-Start_Factoring+1)/Credit_Ramp),0)</f>
        <v>1</v>
      </c>
      <c r="AK13" s="49" t="n">
        <f aca="false">IF(AK$3&gt;=Start_Factoring,MIN(1,(AK$3-Start_Factoring+1)/Credit_Ramp),0)</f>
        <v>1</v>
      </c>
      <c r="AL13" s="49" t="n">
        <f aca="false">IF(AL$3&gt;=Start_Factoring,MIN(1,(AL$3-Start_Factoring+1)/Credit_Ramp),0)</f>
        <v>1</v>
      </c>
      <c r="AM13" s="49" t="n">
        <f aca="false">IF(AM$3&gt;=Start_Factoring,MIN(1,(AM$3-Start_Factoring+1)/Credit_Ramp),0)</f>
        <v>1</v>
      </c>
      <c r="AN13" s="49" t="n">
        <f aca="false">IF(AN$3&gt;=Start_Factoring,MIN(1,(AN$3-Start_Factoring+1)/Credit_Ramp),0)</f>
        <v>1</v>
      </c>
      <c r="AO13" s="49" t="n">
        <f aca="false">IF(AO$3&gt;=Start_Factoring,MIN(1,(AO$3-Start_Factoring+1)/Credit_Ramp),0)</f>
        <v>1</v>
      </c>
      <c r="AP13" s="49" t="n">
        <f aca="false">IF(AP$3&gt;=Start_Factoring,MIN(1,(AP$3-Start_Factoring+1)/Credit_Ramp),0)</f>
        <v>1</v>
      </c>
      <c r="AQ13" s="49" t="n">
        <f aca="false">IF(AQ$3&gt;=Start_Factoring,MIN(1,(AQ$3-Start_Factoring+1)/Credit_Ramp),0)</f>
        <v>1</v>
      </c>
      <c r="AR13" s="49" t="n">
        <f aca="false">IF(AR$3&gt;=Start_Factoring,MIN(1,(AR$3-Start_Factoring+1)/Credit_Ramp),0)</f>
        <v>1</v>
      </c>
      <c r="AS13" s="49" t="n">
        <f aca="false">IF(AS$3&gt;=Start_Factoring,MIN(1,(AS$3-Start_Factoring+1)/Credit_Ramp),0)</f>
        <v>1</v>
      </c>
      <c r="AT13" s="49" t="n">
        <f aca="false">IF(AT$3&gt;=Start_Factoring,MIN(1,(AT$3-Start_Factoring+1)/Credit_Ramp),0)</f>
        <v>1</v>
      </c>
      <c r="AU13" s="49" t="n">
        <f aca="false">IF(AU$3&gt;=Start_Factoring,MIN(1,(AU$3-Start_Factoring+1)/Credit_Ramp),0)</f>
        <v>1</v>
      </c>
      <c r="AV13" s="49" t="n">
        <f aca="false">IF(AV$3&gt;=Start_Factoring,MIN(1,(AV$3-Start_Factoring+1)/Credit_Ramp),0)</f>
        <v>1</v>
      </c>
      <c r="AW13" s="49" t="n">
        <f aca="false">IF(AW$3&gt;=Start_Factoring,MIN(1,(AW$3-Start_Factoring+1)/Credit_Ramp),0)</f>
        <v>1</v>
      </c>
      <c r="AX13" s="49" t="n">
        <f aca="false">IF(AX$3&gt;=Start_Factoring,MIN(1,(AX$3-Start_Factoring+1)/Credit_Ramp),0)</f>
        <v>1</v>
      </c>
      <c r="AY13" s="49" t="n">
        <f aca="false">IF(AY$3&gt;=Start_Factoring,MIN(1,(AY$3-Start_Factoring+1)/Credit_Ramp),0)</f>
        <v>1</v>
      </c>
      <c r="AZ13" s="49" t="n">
        <f aca="false">IF(AZ$3&gt;=Start_Factoring,MIN(1,(AZ$3-Start_Factoring+1)/Credit_Ramp),0)</f>
        <v>1</v>
      </c>
      <c r="BA13" s="49" t="n">
        <f aca="false">IF(BA$3&gt;=Start_Factoring,MIN(1,(BA$3-Start_Factoring+1)/Credit_Ramp),0)</f>
        <v>1</v>
      </c>
      <c r="BB13" s="49" t="n">
        <f aca="false">IF(BB$3&gt;=Start_Factoring,MIN(1,(BB$3-Start_Factoring+1)/Credit_Ramp),0)</f>
        <v>1</v>
      </c>
      <c r="BC13" s="49" t="n">
        <f aca="false">IF(BC$3&gt;=Start_Factoring,MIN(1,(BC$3-Start_Factoring+1)/Credit_Ramp),0)</f>
        <v>1</v>
      </c>
      <c r="BD13" s="49" t="n">
        <f aca="false">IF(BD$3&gt;=Start_Factoring,MIN(1,(BD$3-Start_Factoring+1)/Credit_Ramp),0)</f>
        <v>1</v>
      </c>
      <c r="BE13" s="49" t="n">
        <f aca="false">IF(BE$3&gt;=Start_Factoring,MIN(1,(BE$3-Start_Factoring+1)/Credit_Ramp),0)</f>
        <v>1</v>
      </c>
      <c r="BF13" s="49" t="n">
        <f aca="false">IF(BF$3&gt;=Start_Factoring,MIN(1,(BF$3-Start_Factoring+1)/Credit_Ramp),0)</f>
        <v>1</v>
      </c>
      <c r="BG13" s="49" t="n">
        <f aca="false">IF(BG$3&gt;=Start_Factoring,MIN(1,(BG$3-Start_Factoring+1)/Credit_Ramp),0)</f>
        <v>1</v>
      </c>
      <c r="BH13" s="49" t="n">
        <f aca="false">IF(BH$3&gt;=Start_Factoring,MIN(1,(BH$3-Start_Factoring+1)/Credit_Ramp),0)</f>
        <v>1</v>
      </c>
      <c r="BI13" s="49" t="n">
        <f aca="false">IF(BI$3&gt;=Start_Factoring,MIN(1,(BI$3-Start_Factoring+1)/Credit_Ramp),0)</f>
        <v>1</v>
      </c>
      <c r="BJ13" s="49" t="n">
        <f aca="false">IF(BJ$3&gt;=Start_Factoring,MIN(1,(BJ$3-Start_Factoring+1)/Credit_Ramp),0)</f>
        <v>1</v>
      </c>
      <c r="BK13" s="49" t="n">
        <f aca="false">IF(BK$3&gt;=Start_Factoring,MIN(1,(BK$3-Start_Factoring+1)/Credit_Ramp),0)</f>
        <v>1</v>
      </c>
      <c r="BL13" s="49" t="n">
        <f aca="false">IF(BL$3&gt;=Start_Factoring,MIN(1,(BL$3-Start_Factoring+1)/Credit_Ramp),0)</f>
        <v>1</v>
      </c>
    </row>
    <row r="14" customFormat="false" ht="15" hidden="false" customHeight="false" outlineLevel="0" collapsed="false">
      <c r="A14" s="12" t="s">
        <v>592</v>
      </c>
      <c r="B14" s="14" t="s">
        <v>90</v>
      </c>
      <c r="E14" s="49" t="n">
        <f aca="false">IF(E$3&gt;=Start_Bridge,MIN(1,(E$3-Start_Bridge+1)/Credit_Ramp),0)</f>
        <v>0</v>
      </c>
      <c r="F14" s="49" t="n">
        <f aca="false">IF(F$3&gt;=Start_Bridge,MIN(1,(F$3-Start_Bridge+1)/Credit_Ramp),0)</f>
        <v>0</v>
      </c>
      <c r="G14" s="49" t="n">
        <f aca="false">IF(G$3&gt;=Start_Bridge,MIN(1,(G$3-Start_Bridge+1)/Credit_Ramp),0)</f>
        <v>0</v>
      </c>
      <c r="H14" s="49" t="n">
        <f aca="false">IF(H$3&gt;=Start_Bridge,MIN(1,(H$3-Start_Bridge+1)/Credit_Ramp),0)</f>
        <v>0</v>
      </c>
      <c r="I14" s="49" t="n">
        <f aca="false">IF(I$3&gt;=Start_Bridge,MIN(1,(I$3-Start_Bridge+1)/Credit_Ramp),0)</f>
        <v>0</v>
      </c>
      <c r="J14" s="49" t="n">
        <f aca="false">IF(J$3&gt;=Start_Bridge,MIN(1,(J$3-Start_Bridge+1)/Credit_Ramp),0)</f>
        <v>0</v>
      </c>
      <c r="K14" s="49" t="n">
        <f aca="false">IF(K$3&gt;=Start_Bridge,MIN(1,(K$3-Start_Bridge+1)/Credit_Ramp),0)</f>
        <v>0</v>
      </c>
      <c r="L14" s="49" t="n">
        <f aca="false">IF(L$3&gt;=Start_Bridge,MIN(1,(L$3-Start_Bridge+1)/Credit_Ramp),0)</f>
        <v>0</v>
      </c>
      <c r="M14" s="49" t="n">
        <f aca="false">IF(M$3&gt;=Start_Bridge,MIN(1,(M$3-Start_Bridge+1)/Credit_Ramp),0)</f>
        <v>0</v>
      </c>
      <c r="N14" s="49" t="n">
        <f aca="false">IF(N$3&gt;=Start_Bridge,MIN(1,(N$3-Start_Bridge+1)/Credit_Ramp),0)</f>
        <v>0</v>
      </c>
      <c r="O14" s="49" t="n">
        <f aca="false">IF(O$3&gt;=Start_Bridge,MIN(1,(O$3-Start_Bridge+1)/Credit_Ramp),0)</f>
        <v>0</v>
      </c>
      <c r="P14" s="49" t="n">
        <f aca="false">IF(P$3&gt;=Start_Bridge,MIN(1,(P$3-Start_Bridge+1)/Credit_Ramp),0)</f>
        <v>0</v>
      </c>
      <c r="Q14" s="49" t="n">
        <f aca="false">IF(Q$3&gt;=Start_Bridge,MIN(1,(Q$3-Start_Bridge+1)/Credit_Ramp),0)</f>
        <v>0</v>
      </c>
      <c r="R14" s="49" t="n">
        <f aca="false">IF(R$3&gt;=Start_Bridge,MIN(1,(R$3-Start_Bridge+1)/Credit_Ramp),0)</f>
        <v>0</v>
      </c>
      <c r="S14" s="49" t="n">
        <f aca="false">IF(S$3&gt;=Start_Bridge,MIN(1,(S$3-Start_Bridge+1)/Credit_Ramp),0)</f>
        <v>0</v>
      </c>
      <c r="T14" s="49" t="n">
        <f aca="false">IF(T$3&gt;=Start_Bridge,MIN(1,(T$3-Start_Bridge+1)/Credit_Ramp),0)</f>
        <v>0</v>
      </c>
      <c r="U14" s="49" t="n">
        <f aca="false">IF(U$3&gt;=Start_Bridge,MIN(1,(U$3-Start_Bridge+1)/Credit_Ramp),0)</f>
        <v>0</v>
      </c>
      <c r="V14" s="49" t="n">
        <f aca="false">IF(V$3&gt;=Start_Bridge,MIN(1,(V$3-Start_Bridge+1)/Credit_Ramp),0)</f>
        <v>0.0833333333333333</v>
      </c>
      <c r="W14" s="49" t="n">
        <f aca="false">IF(W$3&gt;=Start_Bridge,MIN(1,(W$3-Start_Bridge+1)/Credit_Ramp),0)</f>
        <v>0.166666666666667</v>
      </c>
      <c r="X14" s="49" t="n">
        <f aca="false">IF(X$3&gt;=Start_Bridge,MIN(1,(X$3-Start_Bridge+1)/Credit_Ramp),0)</f>
        <v>0.25</v>
      </c>
      <c r="Y14" s="49" t="n">
        <f aca="false">IF(Y$3&gt;=Start_Bridge,MIN(1,(Y$3-Start_Bridge+1)/Credit_Ramp),0)</f>
        <v>0.333333333333333</v>
      </c>
      <c r="Z14" s="49" t="n">
        <f aca="false">IF(Z$3&gt;=Start_Bridge,MIN(1,(Z$3-Start_Bridge+1)/Credit_Ramp),0)</f>
        <v>0.416666666666667</v>
      </c>
      <c r="AA14" s="49" t="n">
        <f aca="false">IF(AA$3&gt;=Start_Bridge,MIN(1,(AA$3-Start_Bridge+1)/Credit_Ramp),0)</f>
        <v>0.5</v>
      </c>
      <c r="AB14" s="49" t="n">
        <f aca="false">IF(AB$3&gt;=Start_Bridge,MIN(1,(AB$3-Start_Bridge+1)/Credit_Ramp),0)</f>
        <v>0.583333333333333</v>
      </c>
      <c r="AC14" s="49" t="n">
        <f aca="false">IF(AC$3&gt;=Start_Bridge,MIN(1,(AC$3-Start_Bridge+1)/Credit_Ramp),0)</f>
        <v>0.666666666666667</v>
      </c>
      <c r="AD14" s="49" t="n">
        <f aca="false">IF(AD$3&gt;=Start_Bridge,MIN(1,(AD$3-Start_Bridge+1)/Credit_Ramp),0)</f>
        <v>0.75</v>
      </c>
      <c r="AE14" s="49" t="n">
        <f aca="false">IF(AE$3&gt;=Start_Bridge,MIN(1,(AE$3-Start_Bridge+1)/Credit_Ramp),0)</f>
        <v>0.833333333333333</v>
      </c>
      <c r="AF14" s="49" t="n">
        <f aca="false">IF(AF$3&gt;=Start_Bridge,MIN(1,(AF$3-Start_Bridge+1)/Credit_Ramp),0)</f>
        <v>0.916666666666667</v>
      </c>
      <c r="AG14" s="49" t="n">
        <f aca="false">IF(AG$3&gt;=Start_Bridge,MIN(1,(AG$3-Start_Bridge+1)/Credit_Ramp),0)</f>
        <v>1</v>
      </c>
      <c r="AH14" s="49" t="n">
        <f aca="false">IF(AH$3&gt;=Start_Bridge,MIN(1,(AH$3-Start_Bridge+1)/Credit_Ramp),0)</f>
        <v>1</v>
      </c>
      <c r="AI14" s="49" t="n">
        <f aca="false">IF(AI$3&gt;=Start_Bridge,MIN(1,(AI$3-Start_Bridge+1)/Credit_Ramp),0)</f>
        <v>1</v>
      </c>
      <c r="AJ14" s="49" t="n">
        <f aca="false">IF(AJ$3&gt;=Start_Bridge,MIN(1,(AJ$3-Start_Bridge+1)/Credit_Ramp),0)</f>
        <v>1</v>
      </c>
      <c r="AK14" s="49" t="n">
        <f aca="false">IF(AK$3&gt;=Start_Bridge,MIN(1,(AK$3-Start_Bridge+1)/Credit_Ramp),0)</f>
        <v>1</v>
      </c>
      <c r="AL14" s="49" t="n">
        <f aca="false">IF(AL$3&gt;=Start_Bridge,MIN(1,(AL$3-Start_Bridge+1)/Credit_Ramp),0)</f>
        <v>1</v>
      </c>
      <c r="AM14" s="49" t="n">
        <f aca="false">IF(AM$3&gt;=Start_Bridge,MIN(1,(AM$3-Start_Bridge+1)/Credit_Ramp),0)</f>
        <v>1</v>
      </c>
      <c r="AN14" s="49" t="n">
        <f aca="false">IF(AN$3&gt;=Start_Bridge,MIN(1,(AN$3-Start_Bridge+1)/Credit_Ramp),0)</f>
        <v>1</v>
      </c>
      <c r="AO14" s="49" t="n">
        <f aca="false">IF(AO$3&gt;=Start_Bridge,MIN(1,(AO$3-Start_Bridge+1)/Credit_Ramp),0)</f>
        <v>1</v>
      </c>
      <c r="AP14" s="49" t="n">
        <f aca="false">IF(AP$3&gt;=Start_Bridge,MIN(1,(AP$3-Start_Bridge+1)/Credit_Ramp),0)</f>
        <v>1</v>
      </c>
      <c r="AQ14" s="49" t="n">
        <f aca="false">IF(AQ$3&gt;=Start_Bridge,MIN(1,(AQ$3-Start_Bridge+1)/Credit_Ramp),0)</f>
        <v>1</v>
      </c>
      <c r="AR14" s="49" t="n">
        <f aca="false">IF(AR$3&gt;=Start_Bridge,MIN(1,(AR$3-Start_Bridge+1)/Credit_Ramp),0)</f>
        <v>1</v>
      </c>
      <c r="AS14" s="49" t="n">
        <f aca="false">IF(AS$3&gt;=Start_Bridge,MIN(1,(AS$3-Start_Bridge+1)/Credit_Ramp),0)</f>
        <v>1</v>
      </c>
      <c r="AT14" s="49" t="n">
        <f aca="false">IF(AT$3&gt;=Start_Bridge,MIN(1,(AT$3-Start_Bridge+1)/Credit_Ramp),0)</f>
        <v>1</v>
      </c>
      <c r="AU14" s="49" t="n">
        <f aca="false">IF(AU$3&gt;=Start_Bridge,MIN(1,(AU$3-Start_Bridge+1)/Credit_Ramp),0)</f>
        <v>1</v>
      </c>
      <c r="AV14" s="49" t="n">
        <f aca="false">IF(AV$3&gt;=Start_Bridge,MIN(1,(AV$3-Start_Bridge+1)/Credit_Ramp),0)</f>
        <v>1</v>
      </c>
      <c r="AW14" s="49" t="n">
        <f aca="false">IF(AW$3&gt;=Start_Bridge,MIN(1,(AW$3-Start_Bridge+1)/Credit_Ramp),0)</f>
        <v>1</v>
      </c>
      <c r="AX14" s="49" t="n">
        <f aca="false">IF(AX$3&gt;=Start_Bridge,MIN(1,(AX$3-Start_Bridge+1)/Credit_Ramp),0)</f>
        <v>1</v>
      </c>
      <c r="AY14" s="49" t="n">
        <f aca="false">IF(AY$3&gt;=Start_Bridge,MIN(1,(AY$3-Start_Bridge+1)/Credit_Ramp),0)</f>
        <v>1</v>
      </c>
      <c r="AZ14" s="49" t="n">
        <f aca="false">IF(AZ$3&gt;=Start_Bridge,MIN(1,(AZ$3-Start_Bridge+1)/Credit_Ramp),0)</f>
        <v>1</v>
      </c>
      <c r="BA14" s="49" t="n">
        <f aca="false">IF(BA$3&gt;=Start_Bridge,MIN(1,(BA$3-Start_Bridge+1)/Credit_Ramp),0)</f>
        <v>1</v>
      </c>
      <c r="BB14" s="49" t="n">
        <f aca="false">IF(BB$3&gt;=Start_Bridge,MIN(1,(BB$3-Start_Bridge+1)/Credit_Ramp),0)</f>
        <v>1</v>
      </c>
      <c r="BC14" s="49" t="n">
        <f aca="false">IF(BC$3&gt;=Start_Bridge,MIN(1,(BC$3-Start_Bridge+1)/Credit_Ramp),0)</f>
        <v>1</v>
      </c>
      <c r="BD14" s="49" t="n">
        <f aca="false">IF(BD$3&gt;=Start_Bridge,MIN(1,(BD$3-Start_Bridge+1)/Credit_Ramp),0)</f>
        <v>1</v>
      </c>
      <c r="BE14" s="49" t="n">
        <f aca="false">IF(BE$3&gt;=Start_Bridge,MIN(1,(BE$3-Start_Bridge+1)/Credit_Ramp),0)</f>
        <v>1</v>
      </c>
      <c r="BF14" s="49" t="n">
        <f aca="false">IF(BF$3&gt;=Start_Bridge,MIN(1,(BF$3-Start_Bridge+1)/Credit_Ramp),0)</f>
        <v>1</v>
      </c>
      <c r="BG14" s="49" t="n">
        <f aca="false">IF(BG$3&gt;=Start_Bridge,MIN(1,(BG$3-Start_Bridge+1)/Credit_Ramp),0)</f>
        <v>1</v>
      </c>
      <c r="BH14" s="49" t="n">
        <f aca="false">IF(BH$3&gt;=Start_Bridge,MIN(1,(BH$3-Start_Bridge+1)/Credit_Ramp),0)</f>
        <v>1</v>
      </c>
      <c r="BI14" s="49" t="n">
        <f aca="false">IF(BI$3&gt;=Start_Bridge,MIN(1,(BI$3-Start_Bridge+1)/Credit_Ramp),0)</f>
        <v>1</v>
      </c>
      <c r="BJ14" s="49" t="n">
        <f aca="false">IF(BJ$3&gt;=Start_Bridge,MIN(1,(BJ$3-Start_Bridge+1)/Credit_Ramp),0)</f>
        <v>1</v>
      </c>
      <c r="BK14" s="49" t="n">
        <f aca="false">IF(BK$3&gt;=Start_Bridge,MIN(1,(BK$3-Start_Bridge+1)/Credit_Ramp),0)</f>
        <v>1</v>
      </c>
      <c r="BL14" s="49" t="n">
        <f aca="false">IF(BL$3&gt;=Start_Bridge,MIN(1,(BL$3-Start_Bridge+1)/Credit_Ramp),0)</f>
        <v>1</v>
      </c>
    </row>
    <row r="15" customFormat="false" ht="15" hidden="false" customHeight="false" outlineLevel="0" collapsed="false">
      <c r="A15" s="12" t="s">
        <v>593</v>
      </c>
      <c r="B15" s="14" t="s">
        <v>90</v>
      </c>
      <c r="E15" s="49" t="n">
        <f aca="false">IF(E$3&gt;=Start_Line,MIN(1,(E$3-Start_Line+1)/Credit_Ramp),0)</f>
        <v>0</v>
      </c>
      <c r="F15" s="49" t="n">
        <f aca="false">IF(F$3&gt;=Start_Line,MIN(1,(F$3-Start_Line+1)/Credit_Ramp),0)</f>
        <v>0</v>
      </c>
      <c r="G15" s="49" t="n">
        <f aca="false">IF(G$3&gt;=Start_Line,MIN(1,(G$3-Start_Line+1)/Credit_Ramp),0)</f>
        <v>0</v>
      </c>
      <c r="H15" s="49" t="n">
        <f aca="false">IF(H$3&gt;=Start_Line,MIN(1,(H$3-Start_Line+1)/Credit_Ramp),0)</f>
        <v>0</v>
      </c>
      <c r="I15" s="49" t="n">
        <f aca="false">IF(I$3&gt;=Start_Line,MIN(1,(I$3-Start_Line+1)/Credit_Ramp),0)</f>
        <v>0</v>
      </c>
      <c r="J15" s="49" t="n">
        <f aca="false">IF(J$3&gt;=Start_Line,MIN(1,(J$3-Start_Line+1)/Credit_Ramp),0)</f>
        <v>0</v>
      </c>
      <c r="K15" s="49" t="n">
        <f aca="false">IF(K$3&gt;=Start_Line,MIN(1,(K$3-Start_Line+1)/Credit_Ramp),0)</f>
        <v>0</v>
      </c>
      <c r="L15" s="49" t="n">
        <f aca="false">IF(L$3&gt;=Start_Line,MIN(1,(L$3-Start_Line+1)/Credit_Ramp),0)</f>
        <v>0</v>
      </c>
      <c r="M15" s="49" t="n">
        <f aca="false">IF(M$3&gt;=Start_Line,MIN(1,(M$3-Start_Line+1)/Credit_Ramp),0)</f>
        <v>0</v>
      </c>
      <c r="N15" s="49" t="n">
        <f aca="false">IF(N$3&gt;=Start_Line,MIN(1,(N$3-Start_Line+1)/Credit_Ramp),0)</f>
        <v>0</v>
      </c>
      <c r="O15" s="49" t="n">
        <f aca="false">IF(O$3&gt;=Start_Line,MIN(1,(O$3-Start_Line+1)/Credit_Ramp),0)</f>
        <v>0</v>
      </c>
      <c r="P15" s="49" t="n">
        <f aca="false">IF(P$3&gt;=Start_Line,MIN(1,(P$3-Start_Line+1)/Credit_Ramp),0)</f>
        <v>0</v>
      </c>
      <c r="Q15" s="49" t="n">
        <f aca="false">IF(Q$3&gt;=Start_Line,MIN(1,(Q$3-Start_Line+1)/Credit_Ramp),0)</f>
        <v>0</v>
      </c>
      <c r="R15" s="49" t="n">
        <f aca="false">IF(R$3&gt;=Start_Line,MIN(1,(R$3-Start_Line+1)/Credit_Ramp),0)</f>
        <v>0</v>
      </c>
      <c r="S15" s="49" t="n">
        <f aca="false">IF(S$3&gt;=Start_Line,MIN(1,(S$3-Start_Line+1)/Credit_Ramp),0)</f>
        <v>0</v>
      </c>
      <c r="T15" s="49" t="n">
        <f aca="false">IF(T$3&gt;=Start_Line,MIN(1,(T$3-Start_Line+1)/Credit_Ramp),0)</f>
        <v>0</v>
      </c>
      <c r="U15" s="49" t="n">
        <f aca="false">IF(U$3&gt;=Start_Line,MIN(1,(U$3-Start_Line+1)/Credit_Ramp),0)</f>
        <v>0</v>
      </c>
      <c r="V15" s="49" t="n">
        <f aca="false">IF(V$3&gt;=Start_Line,MIN(1,(V$3-Start_Line+1)/Credit_Ramp),0)</f>
        <v>0</v>
      </c>
      <c r="W15" s="49" t="n">
        <f aca="false">IF(W$3&gt;=Start_Line,MIN(1,(W$3-Start_Line+1)/Credit_Ramp),0)</f>
        <v>0</v>
      </c>
      <c r="X15" s="49" t="n">
        <f aca="false">IF(X$3&gt;=Start_Line,MIN(1,(X$3-Start_Line+1)/Credit_Ramp),0)</f>
        <v>0</v>
      </c>
      <c r="Y15" s="49" t="n">
        <f aca="false">IF(Y$3&gt;=Start_Line,MIN(1,(Y$3-Start_Line+1)/Credit_Ramp),0)</f>
        <v>0.0833333333333333</v>
      </c>
      <c r="Z15" s="49" t="n">
        <f aca="false">IF(Z$3&gt;=Start_Line,MIN(1,(Z$3-Start_Line+1)/Credit_Ramp),0)</f>
        <v>0.166666666666667</v>
      </c>
      <c r="AA15" s="49" t="n">
        <f aca="false">IF(AA$3&gt;=Start_Line,MIN(1,(AA$3-Start_Line+1)/Credit_Ramp),0)</f>
        <v>0.25</v>
      </c>
      <c r="AB15" s="49" t="n">
        <f aca="false">IF(AB$3&gt;=Start_Line,MIN(1,(AB$3-Start_Line+1)/Credit_Ramp),0)</f>
        <v>0.333333333333333</v>
      </c>
      <c r="AC15" s="49" t="n">
        <f aca="false">IF(AC$3&gt;=Start_Line,MIN(1,(AC$3-Start_Line+1)/Credit_Ramp),0)</f>
        <v>0.416666666666667</v>
      </c>
      <c r="AD15" s="49" t="n">
        <f aca="false">IF(AD$3&gt;=Start_Line,MIN(1,(AD$3-Start_Line+1)/Credit_Ramp),0)</f>
        <v>0.5</v>
      </c>
      <c r="AE15" s="49" t="n">
        <f aca="false">IF(AE$3&gt;=Start_Line,MIN(1,(AE$3-Start_Line+1)/Credit_Ramp),0)</f>
        <v>0.583333333333333</v>
      </c>
      <c r="AF15" s="49" t="n">
        <f aca="false">IF(AF$3&gt;=Start_Line,MIN(1,(AF$3-Start_Line+1)/Credit_Ramp),0)</f>
        <v>0.666666666666667</v>
      </c>
      <c r="AG15" s="49" t="n">
        <f aca="false">IF(AG$3&gt;=Start_Line,MIN(1,(AG$3-Start_Line+1)/Credit_Ramp),0)</f>
        <v>0.75</v>
      </c>
      <c r="AH15" s="49" t="n">
        <f aca="false">IF(AH$3&gt;=Start_Line,MIN(1,(AH$3-Start_Line+1)/Credit_Ramp),0)</f>
        <v>0.833333333333333</v>
      </c>
      <c r="AI15" s="49" t="n">
        <f aca="false">IF(AI$3&gt;=Start_Line,MIN(1,(AI$3-Start_Line+1)/Credit_Ramp),0)</f>
        <v>0.916666666666667</v>
      </c>
      <c r="AJ15" s="49" t="n">
        <f aca="false">IF(AJ$3&gt;=Start_Line,MIN(1,(AJ$3-Start_Line+1)/Credit_Ramp),0)</f>
        <v>1</v>
      </c>
      <c r="AK15" s="49" t="n">
        <f aca="false">IF(AK$3&gt;=Start_Line,MIN(1,(AK$3-Start_Line+1)/Credit_Ramp),0)</f>
        <v>1</v>
      </c>
      <c r="AL15" s="49" t="n">
        <f aca="false">IF(AL$3&gt;=Start_Line,MIN(1,(AL$3-Start_Line+1)/Credit_Ramp),0)</f>
        <v>1</v>
      </c>
      <c r="AM15" s="49" t="n">
        <f aca="false">IF(AM$3&gt;=Start_Line,MIN(1,(AM$3-Start_Line+1)/Credit_Ramp),0)</f>
        <v>1</v>
      </c>
      <c r="AN15" s="49" t="n">
        <f aca="false">IF(AN$3&gt;=Start_Line,MIN(1,(AN$3-Start_Line+1)/Credit_Ramp),0)</f>
        <v>1</v>
      </c>
      <c r="AO15" s="49" t="n">
        <f aca="false">IF(AO$3&gt;=Start_Line,MIN(1,(AO$3-Start_Line+1)/Credit_Ramp),0)</f>
        <v>1</v>
      </c>
      <c r="AP15" s="49" t="n">
        <f aca="false">IF(AP$3&gt;=Start_Line,MIN(1,(AP$3-Start_Line+1)/Credit_Ramp),0)</f>
        <v>1</v>
      </c>
      <c r="AQ15" s="49" t="n">
        <f aca="false">IF(AQ$3&gt;=Start_Line,MIN(1,(AQ$3-Start_Line+1)/Credit_Ramp),0)</f>
        <v>1</v>
      </c>
      <c r="AR15" s="49" t="n">
        <f aca="false">IF(AR$3&gt;=Start_Line,MIN(1,(AR$3-Start_Line+1)/Credit_Ramp),0)</f>
        <v>1</v>
      </c>
      <c r="AS15" s="49" t="n">
        <f aca="false">IF(AS$3&gt;=Start_Line,MIN(1,(AS$3-Start_Line+1)/Credit_Ramp),0)</f>
        <v>1</v>
      </c>
      <c r="AT15" s="49" t="n">
        <f aca="false">IF(AT$3&gt;=Start_Line,MIN(1,(AT$3-Start_Line+1)/Credit_Ramp),0)</f>
        <v>1</v>
      </c>
      <c r="AU15" s="49" t="n">
        <f aca="false">IF(AU$3&gt;=Start_Line,MIN(1,(AU$3-Start_Line+1)/Credit_Ramp),0)</f>
        <v>1</v>
      </c>
      <c r="AV15" s="49" t="n">
        <f aca="false">IF(AV$3&gt;=Start_Line,MIN(1,(AV$3-Start_Line+1)/Credit_Ramp),0)</f>
        <v>1</v>
      </c>
      <c r="AW15" s="49" t="n">
        <f aca="false">IF(AW$3&gt;=Start_Line,MIN(1,(AW$3-Start_Line+1)/Credit_Ramp),0)</f>
        <v>1</v>
      </c>
      <c r="AX15" s="49" t="n">
        <f aca="false">IF(AX$3&gt;=Start_Line,MIN(1,(AX$3-Start_Line+1)/Credit_Ramp),0)</f>
        <v>1</v>
      </c>
      <c r="AY15" s="49" t="n">
        <f aca="false">IF(AY$3&gt;=Start_Line,MIN(1,(AY$3-Start_Line+1)/Credit_Ramp),0)</f>
        <v>1</v>
      </c>
      <c r="AZ15" s="49" t="n">
        <f aca="false">IF(AZ$3&gt;=Start_Line,MIN(1,(AZ$3-Start_Line+1)/Credit_Ramp),0)</f>
        <v>1</v>
      </c>
      <c r="BA15" s="49" t="n">
        <f aca="false">IF(BA$3&gt;=Start_Line,MIN(1,(BA$3-Start_Line+1)/Credit_Ramp),0)</f>
        <v>1</v>
      </c>
      <c r="BB15" s="49" t="n">
        <f aca="false">IF(BB$3&gt;=Start_Line,MIN(1,(BB$3-Start_Line+1)/Credit_Ramp),0)</f>
        <v>1</v>
      </c>
      <c r="BC15" s="49" t="n">
        <f aca="false">IF(BC$3&gt;=Start_Line,MIN(1,(BC$3-Start_Line+1)/Credit_Ramp),0)</f>
        <v>1</v>
      </c>
      <c r="BD15" s="49" t="n">
        <f aca="false">IF(BD$3&gt;=Start_Line,MIN(1,(BD$3-Start_Line+1)/Credit_Ramp),0)</f>
        <v>1</v>
      </c>
      <c r="BE15" s="49" t="n">
        <f aca="false">IF(BE$3&gt;=Start_Line,MIN(1,(BE$3-Start_Line+1)/Credit_Ramp),0)</f>
        <v>1</v>
      </c>
      <c r="BF15" s="49" t="n">
        <f aca="false">IF(BF$3&gt;=Start_Line,MIN(1,(BF$3-Start_Line+1)/Credit_Ramp),0)</f>
        <v>1</v>
      </c>
      <c r="BG15" s="49" t="n">
        <f aca="false">IF(BG$3&gt;=Start_Line,MIN(1,(BG$3-Start_Line+1)/Credit_Ramp),0)</f>
        <v>1</v>
      </c>
      <c r="BH15" s="49" t="n">
        <f aca="false">IF(BH$3&gt;=Start_Line,MIN(1,(BH$3-Start_Line+1)/Credit_Ramp),0)</f>
        <v>1</v>
      </c>
      <c r="BI15" s="49" t="n">
        <f aca="false">IF(BI$3&gt;=Start_Line,MIN(1,(BI$3-Start_Line+1)/Credit_Ramp),0)</f>
        <v>1</v>
      </c>
      <c r="BJ15" s="49" t="n">
        <f aca="false">IF(BJ$3&gt;=Start_Line,MIN(1,(BJ$3-Start_Line+1)/Credit_Ramp),0)</f>
        <v>1</v>
      </c>
      <c r="BK15" s="49" t="n">
        <f aca="false">IF(BK$3&gt;=Start_Line,MIN(1,(BK$3-Start_Line+1)/Credit_Ramp),0)</f>
        <v>1</v>
      </c>
      <c r="BL15" s="49" t="n">
        <f aca="false">IF(BL$3&gt;=Start_Line,MIN(1,(BL$3-Start_Line+1)/Credit_Ramp),0)</f>
        <v>1</v>
      </c>
    </row>
    <row r="16" customFormat="false" ht="15" hidden="false" customHeight="false" outlineLevel="0" collapsed="false">
      <c r="A16" s="12" t="s">
        <v>594</v>
      </c>
      <c r="B16" s="14" t="s">
        <v>90</v>
      </c>
      <c r="E16" s="49" t="n">
        <f aca="false">IF(E$3&gt;=Start_Term,MIN(1,(E$3-Start_Term+1)/Credit_Ramp),0)</f>
        <v>0</v>
      </c>
      <c r="F16" s="49" t="n">
        <f aca="false">IF(F$3&gt;=Start_Term,MIN(1,(F$3-Start_Term+1)/Credit_Ramp),0)</f>
        <v>0</v>
      </c>
      <c r="G16" s="49" t="n">
        <f aca="false">IF(G$3&gt;=Start_Term,MIN(1,(G$3-Start_Term+1)/Credit_Ramp),0)</f>
        <v>0</v>
      </c>
      <c r="H16" s="49" t="n">
        <f aca="false">IF(H$3&gt;=Start_Term,MIN(1,(H$3-Start_Term+1)/Credit_Ramp),0)</f>
        <v>0</v>
      </c>
      <c r="I16" s="49" t="n">
        <f aca="false">IF(I$3&gt;=Start_Term,MIN(1,(I$3-Start_Term+1)/Credit_Ramp),0)</f>
        <v>0</v>
      </c>
      <c r="J16" s="49" t="n">
        <f aca="false">IF(J$3&gt;=Start_Term,MIN(1,(J$3-Start_Term+1)/Credit_Ramp),0)</f>
        <v>0</v>
      </c>
      <c r="K16" s="49" t="n">
        <f aca="false">IF(K$3&gt;=Start_Term,MIN(1,(K$3-Start_Term+1)/Credit_Ramp),0)</f>
        <v>0</v>
      </c>
      <c r="L16" s="49" t="n">
        <f aca="false">IF(L$3&gt;=Start_Term,MIN(1,(L$3-Start_Term+1)/Credit_Ramp),0)</f>
        <v>0</v>
      </c>
      <c r="M16" s="49" t="n">
        <f aca="false">IF(M$3&gt;=Start_Term,MIN(1,(M$3-Start_Term+1)/Credit_Ramp),0)</f>
        <v>0</v>
      </c>
      <c r="N16" s="49" t="n">
        <f aca="false">IF(N$3&gt;=Start_Term,MIN(1,(N$3-Start_Term+1)/Credit_Ramp),0)</f>
        <v>0</v>
      </c>
      <c r="O16" s="49" t="n">
        <f aca="false">IF(O$3&gt;=Start_Term,MIN(1,(O$3-Start_Term+1)/Credit_Ramp),0)</f>
        <v>0</v>
      </c>
      <c r="P16" s="49" t="n">
        <f aca="false">IF(P$3&gt;=Start_Term,MIN(1,(P$3-Start_Term+1)/Credit_Ramp),0)</f>
        <v>0</v>
      </c>
      <c r="Q16" s="49" t="n">
        <f aca="false">IF(Q$3&gt;=Start_Term,MIN(1,(Q$3-Start_Term+1)/Credit_Ramp),0)</f>
        <v>0</v>
      </c>
      <c r="R16" s="49" t="n">
        <f aca="false">IF(R$3&gt;=Start_Term,MIN(1,(R$3-Start_Term+1)/Credit_Ramp),0)</f>
        <v>0</v>
      </c>
      <c r="S16" s="49" t="n">
        <f aca="false">IF(S$3&gt;=Start_Term,MIN(1,(S$3-Start_Term+1)/Credit_Ramp),0)</f>
        <v>0</v>
      </c>
      <c r="T16" s="49" t="n">
        <f aca="false">IF(T$3&gt;=Start_Term,MIN(1,(T$3-Start_Term+1)/Credit_Ramp),0)</f>
        <v>0</v>
      </c>
      <c r="U16" s="49" t="n">
        <f aca="false">IF(U$3&gt;=Start_Term,MIN(1,(U$3-Start_Term+1)/Credit_Ramp),0)</f>
        <v>0</v>
      </c>
      <c r="V16" s="49" t="n">
        <f aca="false">IF(V$3&gt;=Start_Term,MIN(1,(V$3-Start_Term+1)/Credit_Ramp),0)</f>
        <v>0</v>
      </c>
      <c r="W16" s="49" t="n">
        <f aca="false">IF(W$3&gt;=Start_Term,MIN(1,(W$3-Start_Term+1)/Credit_Ramp),0)</f>
        <v>0</v>
      </c>
      <c r="X16" s="49" t="n">
        <f aca="false">IF(X$3&gt;=Start_Term,MIN(1,(X$3-Start_Term+1)/Credit_Ramp),0)</f>
        <v>0</v>
      </c>
      <c r="Y16" s="49" t="n">
        <f aca="false">IF(Y$3&gt;=Start_Term,MIN(1,(Y$3-Start_Term+1)/Credit_Ramp),0)</f>
        <v>0</v>
      </c>
      <c r="Z16" s="49" t="n">
        <f aca="false">IF(Z$3&gt;=Start_Term,MIN(1,(Z$3-Start_Term+1)/Credit_Ramp),0)</f>
        <v>0</v>
      </c>
      <c r="AA16" s="49" t="n">
        <f aca="false">IF(AA$3&gt;=Start_Term,MIN(1,(AA$3-Start_Term+1)/Credit_Ramp),0)</f>
        <v>0</v>
      </c>
      <c r="AB16" s="49" t="n">
        <f aca="false">IF(AB$3&gt;=Start_Term,MIN(1,(AB$3-Start_Term+1)/Credit_Ramp),0)</f>
        <v>0</v>
      </c>
      <c r="AC16" s="49" t="n">
        <f aca="false">IF(AC$3&gt;=Start_Term,MIN(1,(AC$3-Start_Term+1)/Credit_Ramp),0)</f>
        <v>0</v>
      </c>
      <c r="AD16" s="49" t="n">
        <f aca="false">IF(AD$3&gt;=Start_Term,MIN(1,(AD$3-Start_Term+1)/Credit_Ramp),0)</f>
        <v>0</v>
      </c>
      <c r="AE16" s="49" t="n">
        <f aca="false">IF(AE$3&gt;=Start_Term,MIN(1,(AE$3-Start_Term+1)/Credit_Ramp),0)</f>
        <v>0.0833333333333333</v>
      </c>
      <c r="AF16" s="49" t="n">
        <f aca="false">IF(AF$3&gt;=Start_Term,MIN(1,(AF$3-Start_Term+1)/Credit_Ramp),0)</f>
        <v>0.166666666666667</v>
      </c>
      <c r="AG16" s="49" t="n">
        <f aca="false">IF(AG$3&gt;=Start_Term,MIN(1,(AG$3-Start_Term+1)/Credit_Ramp),0)</f>
        <v>0.25</v>
      </c>
      <c r="AH16" s="49" t="n">
        <f aca="false">IF(AH$3&gt;=Start_Term,MIN(1,(AH$3-Start_Term+1)/Credit_Ramp),0)</f>
        <v>0.333333333333333</v>
      </c>
      <c r="AI16" s="49" t="n">
        <f aca="false">IF(AI$3&gt;=Start_Term,MIN(1,(AI$3-Start_Term+1)/Credit_Ramp),0)</f>
        <v>0.416666666666667</v>
      </c>
      <c r="AJ16" s="49" t="n">
        <f aca="false">IF(AJ$3&gt;=Start_Term,MIN(1,(AJ$3-Start_Term+1)/Credit_Ramp),0)</f>
        <v>0.5</v>
      </c>
      <c r="AK16" s="49" t="n">
        <f aca="false">IF(AK$3&gt;=Start_Term,MIN(1,(AK$3-Start_Term+1)/Credit_Ramp),0)</f>
        <v>0.583333333333333</v>
      </c>
      <c r="AL16" s="49" t="n">
        <f aca="false">IF(AL$3&gt;=Start_Term,MIN(1,(AL$3-Start_Term+1)/Credit_Ramp),0)</f>
        <v>0.666666666666667</v>
      </c>
      <c r="AM16" s="49" t="n">
        <f aca="false">IF(AM$3&gt;=Start_Term,MIN(1,(AM$3-Start_Term+1)/Credit_Ramp),0)</f>
        <v>0.75</v>
      </c>
      <c r="AN16" s="49" t="n">
        <f aca="false">IF(AN$3&gt;=Start_Term,MIN(1,(AN$3-Start_Term+1)/Credit_Ramp),0)</f>
        <v>0.833333333333333</v>
      </c>
      <c r="AO16" s="49" t="n">
        <f aca="false">IF(AO$3&gt;=Start_Term,MIN(1,(AO$3-Start_Term+1)/Credit_Ramp),0)</f>
        <v>0.916666666666667</v>
      </c>
      <c r="AP16" s="49" t="n">
        <f aca="false">IF(AP$3&gt;=Start_Term,MIN(1,(AP$3-Start_Term+1)/Credit_Ramp),0)</f>
        <v>1</v>
      </c>
      <c r="AQ16" s="49" t="n">
        <f aca="false">IF(AQ$3&gt;=Start_Term,MIN(1,(AQ$3-Start_Term+1)/Credit_Ramp),0)</f>
        <v>1</v>
      </c>
      <c r="AR16" s="49" t="n">
        <f aca="false">IF(AR$3&gt;=Start_Term,MIN(1,(AR$3-Start_Term+1)/Credit_Ramp),0)</f>
        <v>1</v>
      </c>
      <c r="AS16" s="49" t="n">
        <f aca="false">IF(AS$3&gt;=Start_Term,MIN(1,(AS$3-Start_Term+1)/Credit_Ramp),0)</f>
        <v>1</v>
      </c>
      <c r="AT16" s="49" t="n">
        <f aca="false">IF(AT$3&gt;=Start_Term,MIN(1,(AT$3-Start_Term+1)/Credit_Ramp),0)</f>
        <v>1</v>
      </c>
      <c r="AU16" s="49" t="n">
        <f aca="false">IF(AU$3&gt;=Start_Term,MIN(1,(AU$3-Start_Term+1)/Credit_Ramp),0)</f>
        <v>1</v>
      </c>
      <c r="AV16" s="49" t="n">
        <f aca="false">IF(AV$3&gt;=Start_Term,MIN(1,(AV$3-Start_Term+1)/Credit_Ramp),0)</f>
        <v>1</v>
      </c>
      <c r="AW16" s="49" t="n">
        <f aca="false">IF(AW$3&gt;=Start_Term,MIN(1,(AW$3-Start_Term+1)/Credit_Ramp),0)</f>
        <v>1</v>
      </c>
      <c r="AX16" s="49" t="n">
        <f aca="false">IF(AX$3&gt;=Start_Term,MIN(1,(AX$3-Start_Term+1)/Credit_Ramp),0)</f>
        <v>1</v>
      </c>
      <c r="AY16" s="49" t="n">
        <f aca="false">IF(AY$3&gt;=Start_Term,MIN(1,(AY$3-Start_Term+1)/Credit_Ramp),0)</f>
        <v>1</v>
      </c>
      <c r="AZ16" s="49" t="n">
        <f aca="false">IF(AZ$3&gt;=Start_Term,MIN(1,(AZ$3-Start_Term+1)/Credit_Ramp),0)</f>
        <v>1</v>
      </c>
      <c r="BA16" s="49" t="n">
        <f aca="false">IF(BA$3&gt;=Start_Term,MIN(1,(BA$3-Start_Term+1)/Credit_Ramp),0)</f>
        <v>1</v>
      </c>
      <c r="BB16" s="49" t="n">
        <f aca="false">IF(BB$3&gt;=Start_Term,MIN(1,(BB$3-Start_Term+1)/Credit_Ramp),0)</f>
        <v>1</v>
      </c>
      <c r="BC16" s="49" t="n">
        <f aca="false">IF(BC$3&gt;=Start_Term,MIN(1,(BC$3-Start_Term+1)/Credit_Ramp),0)</f>
        <v>1</v>
      </c>
      <c r="BD16" s="49" t="n">
        <f aca="false">IF(BD$3&gt;=Start_Term,MIN(1,(BD$3-Start_Term+1)/Credit_Ramp),0)</f>
        <v>1</v>
      </c>
      <c r="BE16" s="49" t="n">
        <f aca="false">IF(BE$3&gt;=Start_Term,MIN(1,(BE$3-Start_Term+1)/Credit_Ramp),0)</f>
        <v>1</v>
      </c>
      <c r="BF16" s="49" t="n">
        <f aca="false">IF(BF$3&gt;=Start_Term,MIN(1,(BF$3-Start_Term+1)/Credit_Ramp),0)</f>
        <v>1</v>
      </c>
      <c r="BG16" s="49" t="n">
        <f aca="false">IF(BG$3&gt;=Start_Term,MIN(1,(BG$3-Start_Term+1)/Credit_Ramp),0)</f>
        <v>1</v>
      </c>
      <c r="BH16" s="49" t="n">
        <f aca="false">IF(BH$3&gt;=Start_Term,MIN(1,(BH$3-Start_Term+1)/Credit_Ramp),0)</f>
        <v>1</v>
      </c>
      <c r="BI16" s="49" t="n">
        <f aca="false">IF(BI$3&gt;=Start_Term,MIN(1,(BI$3-Start_Term+1)/Credit_Ramp),0)</f>
        <v>1</v>
      </c>
      <c r="BJ16" s="49" t="n">
        <f aca="false">IF(BJ$3&gt;=Start_Term,MIN(1,(BJ$3-Start_Term+1)/Credit_Ramp),0)</f>
        <v>1</v>
      </c>
      <c r="BK16" s="49" t="n">
        <f aca="false">IF(BK$3&gt;=Start_Term,MIN(1,(BK$3-Start_Term+1)/Credit_Ramp),0)</f>
        <v>1</v>
      </c>
      <c r="BL16" s="49" t="n">
        <f aca="false">IF(BL$3&gt;=Start_Term,MIN(1,(BL$3-Start_Term+1)/Credit_Ramp),0)</f>
        <v>1</v>
      </c>
    </row>
    <row r="17" customFormat="false" ht="15" hidden="false" customHeight="false" outlineLevel="0" collapsed="false">
      <c r="A17" s="12" t="s">
        <v>595</v>
      </c>
      <c r="B17" s="14" t="s">
        <v>90</v>
      </c>
      <c r="E17" s="49" t="n">
        <f aca="false">IF(E$3&gt;=Start_Advance,MIN(1,(E$3-Start_Advance+1)/Credit_Ramp),0)</f>
        <v>0</v>
      </c>
      <c r="F17" s="49" t="n">
        <f aca="false">IF(F$3&gt;=Start_Advance,MIN(1,(F$3-Start_Advance+1)/Credit_Ramp),0)</f>
        <v>0</v>
      </c>
      <c r="G17" s="49" t="n">
        <f aca="false">IF(G$3&gt;=Start_Advance,MIN(1,(G$3-Start_Advance+1)/Credit_Ramp),0)</f>
        <v>0</v>
      </c>
      <c r="H17" s="49" t="n">
        <f aca="false">IF(H$3&gt;=Start_Advance,MIN(1,(H$3-Start_Advance+1)/Credit_Ramp),0)</f>
        <v>0</v>
      </c>
      <c r="I17" s="49" t="n">
        <f aca="false">IF(I$3&gt;=Start_Advance,MIN(1,(I$3-Start_Advance+1)/Credit_Ramp),0)</f>
        <v>0</v>
      </c>
      <c r="J17" s="49" t="n">
        <f aca="false">IF(J$3&gt;=Start_Advance,MIN(1,(J$3-Start_Advance+1)/Credit_Ramp),0)</f>
        <v>0</v>
      </c>
      <c r="K17" s="49" t="n">
        <f aca="false">IF(K$3&gt;=Start_Advance,MIN(1,(K$3-Start_Advance+1)/Credit_Ramp),0)</f>
        <v>0</v>
      </c>
      <c r="L17" s="49" t="n">
        <f aca="false">IF(L$3&gt;=Start_Advance,MIN(1,(L$3-Start_Advance+1)/Credit_Ramp),0)</f>
        <v>0</v>
      </c>
      <c r="M17" s="49" t="n">
        <f aca="false">IF(M$3&gt;=Start_Advance,MIN(1,(M$3-Start_Advance+1)/Credit_Ramp),0)</f>
        <v>0</v>
      </c>
      <c r="N17" s="49" t="n">
        <f aca="false">IF(N$3&gt;=Start_Advance,MIN(1,(N$3-Start_Advance+1)/Credit_Ramp),0)</f>
        <v>0</v>
      </c>
      <c r="O17" s="49" t="n">
        <f aca="false">IF(O$3&gt;=Start_Advance,MIN(1,(O$3-Start_Advance+1)/Credit_Ramp),0)</f>
        <v>0</v>
      </c>
      <c r="P17" s="49" t="n">
        <f aca="false">IF(P$3&gt;=Start_Advance,MIN(1,(P$3-Start_Advance+1)/Credit_Ramp),0)</f>
        <v>0</v>
      </c>
      <c r="Q17" s="49" t="n">
        <f aca="false">IF(Q$3&gt;=Start_Advance,MIN(1,(Q$3-Start_Advance+1)/Credit_Ramp),0)</f>
        <v>0</v>
      </c>
      <c r="R17" s="49" t="n">
        <f aca="false">IF(R$3&gt;=Start_Advance,MIN(1,(R$3-Start_Advance+1)/Credit_Ramp),0)</f>
        <v>0</v>
      </c>
      <c r="S17" s="49" t="n">
        <f aca="false">IF(S$3&gt;=Start_Advance,MIN(1,(S$3-Start_Advance+1)/Credit_Ramp),0)</f>
        <v>0</v>
      </c>
      <c r="T17" s="49" t="n">
        <f aca="false">IF(T$3&gt;=Start_Advance,MIN(1,(T$3-Start_Advance+1)/Credit_Ramp),0)</f>
        <v>0</v>
      </c>
      <c r="U17" s="49" t="n">
        <f aca="false">IF(U$3&gt;=Start_Advance,MIN(1,(U$3-Start_Advance+1)/Credit_Ramp),0)</f>
        <v>0</v>
      </c>
      <c r="V17" s="49" t="n">
        <f aca="false">IF(V$3&gt;=Start_Advance,MIN(1,(V$3-Start_Advance+1)/Credit_Ramp),0)</f>
        <v>0</v>
      </c>
      <c r="W17" s="49" t="n">
        <f aca="false">IF(W$3&gt;=Start_Advance,MIN(1,(W$3-Start_Advance+1)/Credit_Ramp),0)</f>
        <v>0</v>
      </c>
      <c r="X17" s="49" t="n">
        <f aca="false">IF(X$3&gt;=Start_Advance,MIN(1,(X$3-Start_Advance+1)/Credit_Ramp),0)</f>
        <v>0</v>
      </c>
      <c r="Y17" s="49" t="n">
        <f aca="false">IF(Y$3&gt;=Start_Advance,MIN(1,(Y$3-Start_Advance+1)/Credit_Ramp),0)</f>
        <v>0</v>
      </c>
      <c r="Z17" s="49" t="n">
        <f aca="false">IF(Z$3&gt;=Start_Advance,MIN(1,(Z$3-Start_Advance+1)/Credit_Ramp),0)</f>
        <v>0</v>
      </c>
      <c r="AA17" s="49" t="n">
        <f aca="false">IF(AA$3&gt;=Start_Advance,MIN(1,(AA$3-Start_Advance+1)/Credit_Ramp),0)</f>
        <v>0</v>
      </c>
      <c r="AB17" s="49" t="n">
        <f aca="false">IF(AB$3&gt;=Start_Advance,MIN(1,(AB$3-Start_Advance+1)/Credit_Ramp),0)</f>
        <v>0</v>
      </c>
      <c r="AC17" s="49" t="n">
        <f aca="false">IF(AC$3&gt;=Start_Advance,MIN(1,(AC$3-Start_Advance+1)/Credit_Ramp),0)</f>
        <v>0</v>
      </c>
      <c r="AD17" s="49" t="n">
        <f aca="false">IF(AD$3&gt;=Start_Advance,MIN(1,(AD$3-Start_Advance+1)/Credit_Ramp),0)</f>
        <v>0</v>
      </c>
      <c r="AE17" s="49" t="n">
        <f aca="false">IF(AE$3&gt;=Start_Advance,MIN(1,(AE$3-Start_Advance+1)/Credit_Ramp),0)</f>
        <v>0</v>
      </c>
      <c r="AF17" s="49" t="n">
        <f aca="false">IF(AF$3&gt;=Start_Advance,MIN(1,(AF$3-Start_Advance+1)/Credit_Ramp),0)</f>
        <v>0</v>
      </c>
      <c r="AG17" s="49" t="n">
        <f aca="false">IF(AG$3&gt;=Start_Advance,MIN(1,(AG$3-Start_Advance+1)/Credit_Ramp),0)</f>
        <v>0</v>
      </c>
      <c r="AH17" s="49" t="n">
        <f aca="false">IF(AH$3&gt;=Start_Advance,MIN(1,(AH$3-Start_Advance+1)/Credit_Ramp),0)</f>
        <v>0.0833333333333333</v>
      </c>
      <c r="AI17" s="49" t="n">
        <f aca="false">IF(AI$3&gt;=Start_Advance,MIN(1,(AI$3-Start_Advance+1)/Credit_Ramp),0)</f>
        <v>0.166666666666667</v>
      </c>
      <c r="AJ17" s="49" t="n">
        <f aca="false">IF(AJ$3&gt;=Start_Advance,MIN(1,(AJ$3-Start_Advance+1)/Credit_Ramp),0)</f>
        <v>0.25</v>
      </c>
      <c r="AK17" s="49" t="n">
        <f aca="false">IF(AK$3&gt;=Start_Advance,MIN(1,(AK$3-Start_Advance+1)/Credit_Ramp),0)</f>
        <v>0.333333333333333</v>
      </c>
      <c r="AL17" s="49" t="n">
        <f aca="false">IF(AL$3&gt;=Start_Advance,MIN(1,(AL$3-Start_Advance+1)/Credit_Ramp),0)</f>
        <v>0.416666666666667</v>
      </c>
      <c r="AM17" s="49" t="n">
        <f aca="false">IF(AM$3&gt;=Start_Advance,MIN(1,(AM$3-Start_Advance+1)/Credit_Ramp),0)</f>
        <v>0.5</v>
      </c>
      <c r="AN17" s="49" t="n">
        <f aca="false">IF(AN$3&gt;=Start_Advance,MIN(1,(AN$3-Start_Advance+1)/Credit_Ramp),0)</f>
        <v>0.583333333333333</v>
      </c>
      <c r="AO17" s="49" t="n">
        <f aca="false">IF(AO$3&gt;=Start_Advance,MIN(1,(AO$3-Start_Advance+1)/Credit_Ramp),0)</f>
        <v>0.666666666666667</v>
      </c>
      <c r="AP17" s="49" t="n">
        <f aca="false">IF(AP$3&gt;=Start_Advance,MIN(1,(AP$3-Start_Advance+1)/Credit_Ramp),0)</f>
        <v>0.75</v>
      </c>
      <c r="AQ17" s="49" t="n">
        <f aca="false">IF(AQ$3&gt;=Start_Advance,MIN(1,(AQ$3-Start_Advance+1)/Credit_Ramp),0)</f>
        <v>0.833333333333333</v>
      </c>
      <c r="AR17" s="49" t="n">
        <f aca="false">IF(AR$3&gt;=Start_Advance,MIN(1,(AR$3-Start_Advance+1)/Credit_Ramp),0)</f>
        <v>0.916666666666667</v>
      </c>
      <c r="AS17" s="49" t="n">
        <f aca="false">IF(AS$3&gt;=Start_Advance,MIN(1,(AS$3-Start_Advance+1)/Credit_Ramp),0)</f>
        <v>1</v>
      </c>
      <c r="AT17" s="49" t="n">
        <f aca="false">IF(AT$3&gt;=Start_Advance,MIN(1,(AT$3-Start_Advance+1)/Credit_Ramp),0)</f>
        <v>1</v>
      </c>
      <c r="AU17" s="49" t="n">
        <f aca="false">IF(AU$3&gt;=Start_Advance,MIN(1,(AU$3-Start_Advance+1)/Credit_Ramp),0)</f>
        <v>1</v>
      </c>
      <c r="AV17" s="49" t="n">
        <f aca="false">IF(AV$3&gt;=Start_Advance,MIN(1,(AV$3-Start_Advance+1)/Credit_Ramp),0)</f>
        <v>1</v>
      </c>
      <c r="AW17" s="49" t="n">
        <f aca="false">IF(AW$3&gt;=Start_Advance,MIN(1,(AW$3-Start_Advance+1)/Credit_Ramp),0)</f>
        <v>1</v>
      </c>
      <c r="AX17" s="49" t="n">
        <f aca="false">IF(AX$3&gt;=Start_Advance,MIN(1,(AX$3-Start_Advance+1)/Credit_Ramp),0)</f>
        <v>1</v>
      </c>
      <c r="AY17" s="49" t="n">
        <f aca="false">IF(AY$3&gt;=Start_Advance,MIN(1,(AY$3-Start_Advance+1)/Credit_Ramp),0)</f>
        <v>1</v>
      </c>
      <c r="AZ17" s="49" t="n">
        <f aca="false">IF(AZ$3&gt;=Start_Advance,MIN(1,(AZ$3-Start_Advance+1)/Credit_Ramp),0)</f>
        <v>1</v>
      </c>
      <c r="BA17" s="49" t="n">
        <f aca="false">IF(BA$3&gt;=Start_Advance,MIN(1,(BA$3-Start_Advance+1)/Credit_Ramp),0)</f>
        <v>1</v>
      </c>
      <c r="BB17" s="49" t="n">
        <f aca="false">IF(BB$3&gt;=Start_Advance,MIN(1,(BB$3-Start_Advance+1)/Credit_Ramp),0)</f>
        <v>1</v>
      </c>
      <c r="BC17" s="49" t="n">
        <f aca="false">IF(BC$3&gt;=Start_Advance,MIN(1,(BC$3-Start_Advance+1)/Credit_Ramp),0)</f>
        <v>1</v>
      </c>
      <c r="BD17" s="49" t="n">
        <f aca="false">IF(BD$3&gt;=Start_Advance,MIN(1,(BD$3-Start_Advance+1)/Credit_Ramp),0)</f>
        <v>1</v>
      </c>
      <c r="BE17" s="49" t="n">
        <f aca="false">IF(BE$3&gt;=Start_Advance,MIN(1,(BE$3-Start_Advance+1)/Credit_Ramp),0)</f>
        <v>1</v>
      </c>
      <c r="BF17" s="49" t="n">
        <f aca="false">IF(BF$3&gt;=Start_Advance,MIN(1,(BF$3-Start_Advance+1)/Credit_Ramp),0)</f>
        <v>1</v>
      </c>
      <c r="BG17" s="49" t="n">
        <f aca="false">IF(BG$3&gt;=Start_Advance,MIN(1,(BG$3-Start_Advance+1)/Credit_Ramp),0)</f>
        <v>1</v>
      </c>
      <c r="BH17" s="49" t="n">
        <f aca="false">IF(BH$3&gt;=Start_Advance,MIN(1,(BH$3-Start_Advance+1)/Credit_Ramp),0)</f>
        <v>1</v>
      </c>
      <c r="BI17" s="49" t="n">
        <f aca="false">IF(BI$3&gt;=Start_Advance,MIN(1,(BI$3-Start_Advance+1)/Credit_Ramp),0)</f>
        <v>1</v>
      </c>
      <c r="BJ17" s="49" t="n">
        <f aca="false">IF(BJ$3&gt;=Start_Advance,MIN(1,(BJ$3-Start_Advance+1)/Credit_Ramp),0)</f>
        <v>1</v>
      </c>
      <c r="BK17" s="49" t="n">
        <f aca="false">IF(BK$3&gt;=Start_Advance,MIN(1,(BK$3-Start_Advance+1)/Credit_Ramp),0)</f>
        <v>1</v>
      </c>
      <c r="BL17" s="49" t="n">
        <f aca="false">IF(BL$3&gt;=Start_Advance,MIN(1,(BL$3-Start_Advance+1)/Credit_Ramp),0)</f>
        <v>1</v>
      </c>
    </row>
    <row r="19" customFormat="false" ht="15" hidden="false" customHeight="false" outlineLevel="0" collapsed="false">
      <c r="A19" s="10" t="s">
        <v>798</v>
      </c>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1"/>
      <c r="BL19" s="11"/>
    </row>
    <row r="20" customFormat="false" ht="15" hidden="false" customHeight="false" outlineLevel="0" collapsed="false">
      <c r="A20" s="12" t="s">
        <v>591</v>
      </c>
      <c r="B20" s="14" t="s">
        <v>71</v>
      </c>
      <c r="D20" s="55" t="n">
        <f aca="false">BL20</f>
        <v>4391751624.8717</v>
      </c>
      <c r="E20" s="37" t="n">
        <f aca="false">E9*Uptake_Factoring*Credit_Mult*E13*Avg_Factoring</f>
        <v>0</v>
      </c>
      <c r="F20" s="37" t="n">
        <f aca="false">F9*Uptake_Factoring*Credit_Mult*F13*Avg_Factoring</f>
        <v>0</v>
      </c>
      <c r="G20" s="37" t="n">
        <f aca="false">G9*Uptake_Factoring*Credit_Mult*G13*Avg_Factoring</f>
        <v>0</v>
      </c>
      <c r="H20" s="37" t="n">
        <f aca="false">H9*Uptake_Factoring*Credit_Mult*H13*Avg_Factoring</f>
        <v>0</v>
      </c>
      <c r="I20" s="37" t="n">
        <f aca="false">I9*Uptake_Factoring*Credit_Mult*I13*Avg_Factoring</f>
        <v>0</v>
      </c>
      <c r="J20" s="37" t="n">
        <f aca="false">J9*Uptake_Factoring*Credit_Mult*J13*Avg_Factoring</f>
        <v>0</v>
      </c>
      <c r="K20" s="37" t="n">
        <f aca="false">K9*Uptake_Factoring*Credit_Mult*K13*Avg_Factoring</f>
        <v>0</v>
      </c>
      <c r="L20" s="37" t="n">
        <f aca="false">L9*Uptake_Factoring*Credit_Mult*L13*Avg_Factoring</f>
        <v>0</v>
      </c>
      <c r="M20" s="37" t="n">
        <f aca="false">M9*Uptake_Factoring*Credit_Mult*M13*Avg_Factoring</f>
        <v>0</v>
      </c>
      <c r="N20" s="37" t="n">
        <f aca="false">N9*Uptake_Factoring*Credit_Mult*N13*Avg_Factoring</f>
        <v>0</v>
      </c>
      <c r="O20" s="37" t="n">
        <f aca="false">O9*Uptake_Factoring*Credit_Mult*O13*Avg_Factoring</f>
        <v>0</v>
      </c>
      <c r="P20" s="37" t="n">
        <f aca="false">P9*Uptake_Factoring*Credit_Mult*P13*Avg_Factoring</f>
        <v>0</v>
      </c>
      <c r="Q20" s="37" t="n">
        <f aca="false">Q9*Uptake_Factoring*Credit_Mult*Q13*Avg_Factoring</f>
        <v>0</v>
      </c>
      <c r="R20" s="37" t="n">
        <f aca="false">R9*Uptake_Factoring*Credit_Mult*R13*Avg_Factoring</f>
        <v>0</v>
      </c>
      <c r="S20" s="37" t="n">
        <f aca="false">S9*Uptake_Factoring*Credit_Mult*S13*Avg_Factoring</f>
        <v>0</v>
      </c>
      <c r="T20" s="37" t="n">
        <f aca="false">T9*Uptake_Factoring*Credit_Mult*T13*Avg_Factoring</f>
        <v>0</v>
      </c>
      <c r="U20" s="37" t="n">
        <f aca="false">U9*Uptake_Factoring*Credit_Mult*U13*Avg_Factoring</f>
        <v>0</v>
      </c>
      <c r="V20" s="37" t="n">
        <f aca="false">V9*Uptake_Factoring*Credit_Mult*V13*Avg_Factoring</f>
        <v>29690292.6357513</v>
      </c>
      <c r="W20" s="37" t="n">
        <f aca="false">W9*Uptake_Factoring*Credit_Mult*W13*Avg_Factoring</f>
        <v>67675010.8367404</v>
      </c>
      <c r="X20" s="37" t="n">
        <f aca="false">X9*Uptake_Factoring*Credit_Mult*X13*Avg_Factoring</f>
        <v>113922188.315386</v>
      </c>
      <c r="Y20" s="37" t="n">
        <f aca="false">Y9*Uptake_Factoring*Credit_Mult*Y13*Avg_Factoring</f>
        <v>168414601.054261</v>
      </c>
      <c r="Z20" s="37" t="n">
        <f aca="false">Z9*Uptake_Factoring*Credit_Mult*Z13*Avg_Factoring</f>
        <v>231150487.04985</v>
      </c>
      <c r="AA20" s="37" t="n">
        <f aca="false">AA9*Uptake_Factoring*Credit_Mult*AA13*Avg_Factoring</f>
        <v>302144326.509074</v>
      </c>
      <c r="AB20" s="37" t="n">
        <f aca="false">AB9*Uptake_Factoring*Credit_Mult*AB13*Avg_Factoring</f>
        <v>383761019.870835</v>
      </c>
      <c r="AC20" s="37" t="n">
        <f aca="false">AC9*Uptake_Factoring*Credit_Mult*AC13*Avg_Factoring</f>
        <v>483690579.083825</v>
      </c>
      <c r="AD20" s="37" t="n">
        <f aca="false">AD9*Uptake_Factoring*Credit_Mult*AD13*Avg_Factoring</f>
        <v>594799023.149799</v>
      </c>
      <c r="AE20" s="37" t="n">
        <f aca="false">AE9*Uptake_Factoring*Credit_Mult*AE13*Avg_Factoring</f>
        <v>717105267.945776</v>
      </c>
      <c r="AF20" s="37" t="n">
        <f aca="false">AF9*Uptake_Factoring*Credit_Mult*AF13*Avg_Factoring</f>
        <v>854317758.656759</v>
      </c>
      <c r="AG20" s="37" t="n">
        <f aca="false">AG9*Uptake_Factoring*Credit_Mult*AG13*Avg_Factoring</f>
        <v>1003436335.96607</v>
      </c>
      <c r="AH20" s="37" t="n">
        <f aca="false">AH9*Uptake_Factoring*Credit_Mult*AH13*Avg_Factoring</f>
        <v>1074957199.36147</v>
      </c>
      <c r="AI20" s="37" t="n">
        <f aca="false">AI9*Uptake_Factoring*Credit_Mult*AI13*Avg_Factoring</f>
        <v>1146619487.81532</v>
      </c>
      <c r="AJ20" s="37" t="n">
        <f aca="false">AJ9*Uptake_Factoring*Credit_Mult*AJ13*Avg_Factoring</f>
        <v>1222500282.3328</v>
      </c>
      <c r="AK20" s="37" t="n">
        <f aca="false">AK9*Uptake_Factoring*Credit_Mult*AK13*Avg_Factoring</f>
        <v>1298614071.35723</v>
      </c>
      <c r="AL20" s="37" t="n">
        <f aca="false">AL9*Uptake_Factoring*Credit_Mult*AL13*Avg_Factoring</f>
        <v>1375046147.82518</v>
      </c>
      <c r="AM20" s="37" t="n">
        <f aca="false">AM9*Uptake_Factoring*Credit_Mult*AM13*Avg_Factoring</f>
        <v>1455885657.70047</v>
      </c>
      <c r="AN20" s="37" t="n">
        <f aca="false">AN9*Uptake_Factoring*Credit_Mult*AN13*Avg_Factoring</f>
        <v>1540759854.62657</v>
      </c>
      <c r="AO20" s="37" t="n">
        <f aca="false">AO9*Uptake_Factoring*Credit_Mult*AO13*Avg_Factoring</f>
        <v>1633094806.07662</v>
      </c>
      <c r="AP20" s="37" t="n">
        <f aca="false">AP9*Uptake_Factoring*Credit_Mult*AP13*Avg_Factoring</f>
        <v>1729893059.85382</v>
      </c>
      <c r="AQ20" s="37" t="n">
        <f aca="false">AQ9*Uptake_Factoring*Credit_Mult*AQ13*Avg_Factoring</f>
        <v>1827200077.45955</v>
      </c>
      <c r="AR20" s="37" t="n">
        <f aca="false">AR9*Uptake_Factoring*Credit_Mult*AR13*Avg_Factoring</f>
        <v>1929133696.26762</v>
      </c>
      <c r="AS20" s="37" t="n">
        <f aca="false">AS9*Uptake_Factoring*Credit_Mult*AS13*Avg_Factoring</f>
        <v>2031162269.64771</v>
      </c>
      <c r="AT20" s="37" t="n">
        <f aca="false">AT9*Uptake_Factoring*Credit_Mult*AT13*Avg_Factoring</f>
        <v>2139659599.23093</v>
      </c>
      <c r="AU20" s="37" t="n">
        <f aca="false">AU9*Uptake_Factoring*Credit_Mult*AU13*Avg_Factoring</f>
        <v>2246951714.47445</v>
      </c>
      <c r="AV20" s="37" t="n">
        <f aca="false">AV9*Uptake_Factoring*Credit_Mult*AV13*Avg_Factoring</f>
        <v>2353093243.15353</v>
      </c>
      <c r="AW20" s="37" t="n">
        <f aca="false">AW9*Uptake_Factoring*Credit_Mult*AW13*Avg_Factoring</f>
        <v>2462139844.73775</v>
      </c>
      <c r="AX20" s="37" t="n">
        <f aca="false">AX9*Uptake_Factoring*Credit_Mult*AX13*Avg_Factoring</f>
        <v>2570082313.92035</v>
      </c>
      <c r="AY20" s="37" t="n">
        <f aca="false">AY9*Uptake_Factoring*Credit_Mult*AY13*Avg_Factoring</f>
        <v>2684579859.56515</v>
      </c>
      <c r="AZ20" s="37" t="n">
        <f aca="false">AZ9*Uptake_Factoring*Credit_Mult*AZ13*Avg_Factoring</f>
        <v>2797967627.69904</v>
      </c>
      <c r="BA20" s="37" t="n">
        <f aca="false">BA9*Uptake_Factoring*Credit_Mult*BA13*Avg_Factoring</f>
        <v>2921349845.7502</v>
      </c>
      <c r="BB20" s="37" t="n">
        <f aca="false">BB9*Uptake_Factoring*Credit_Mult*BB13*Avg_Factoring</f>
        <v>3043570126.02516</v>
      </c>
      <c r="BC20" s="37" t="n">
        <f aca="false">BC9*Uptake_Factoring*Credit_Mult*BC13*Avg_Factoring</f>
        <v>3168699150.32451</v>
      </c>
      <c r="BD20" s="37" t="n">
        <f aca="false">BD9*Uptake_Factoring*Credit_Mult*BD13*Avg_Factoring</f>
        <v>3296343363.5429</v>
      </c>
      <c r="BE20" s="37" t="n">
        <f aca="false">BE9*Uptake_Factoring*Credit_Mult*BE13*Avg_Factoring</f>
        <v>3426918895.3048</v>
      </c>
      <c r="BF20" s="37" t="n">
        <f aca="false">BF9*Uptake_Factoring*Credit_Mult*BF13*Avg_Factoring</f>
        <v>3556438381.1121</v>
      </c>
      <c r="BG20" s="37" t="n">
        <f aca="false">BG9*Uptake_Factoring*Credit_Mult*BG13*Avg_Factoring</f>
        <v>3692583828.81228</v>
      </c>
      <c r="BH20" s="37" t="n">
        <f aca="false">BH9*Uptake_Factoring*Credit_Mult*BH13*Avg_Factoring</f>
        <v>3827714205.53579</v>
      </c>
      <c r="BI20" s="37" t="n">
        <f aca="false">BI9*Uptake_Factoring*Credit_Mult*BI13*Avg_Factoring</f>
        <v>3965918649.59368</v>
      </c>
      <c r="BJ20" s="37" t="n">
        <f aca="false">BJ9*Uptake_Factoring*Credit_Mult*BJ13*Avg_Factoring</f>
        <v>4103223005.55364</v>
      </c>
      <c r="BK20" s="37" t="n">
        <f aca="false">BK9*Uptake_Factoring*Credit_Mult*BK13*Avg_Factoring</f>
        <v>4246637482.38412</v>
      </c>
      <c r="BL20" s="37" t="n">
        <f aca="false">BL9*Uptake_Factoring*Credit_Mult*BL13*Avg_Factoring</f>
        <v>4391751624.8717</v>
      </c>
    </row>
    <row r="21" customFormat="false" ht="15" hidden="false" customHeight="false" outlineLevel="0" collapsed="false">
      <c r="A21" s="12" t="s">
        <v>592</v>
      </c>
      <c r="B21" s="14" t="s">
        <v>71</v>
      </c>
      <c r="D21" s="55" t="n">
        <f aca="false">BL21</f>
        <v>988144115.596132</v>
      </c>
      <c r="E21" s="37" t="n">
        <f aca="false">E9*Uptake_Bridge*Credit_Mult*E14*Avg_Bridge</f>
        <v>0</v>
      </c>
      <c r="F21" s="37" t="n">
        <f aca="false">F9*Uptake_Bridge*Credit_Mult*F14*Avg_Bridge</f>
        <v>0</v>
      </c>
      <c r="G21" s="37" t="n">
        <f aca="false">G9*Uptake_Bridge*Credit_Mult*G14*Avg_Bridge</f>
        <v>0</v>
      </c>
      <c r="H21" s="37" t="n">
        <f aca="false">H9*Uptake_Bridge*Credit_Mult*H14*Avg_Bridge</f>
        <v>0</v>
      </c>
      <c r="I21" s="37" t="n">
        <f aca="false">I9*Uptake_Bridge*Credit_Mult*I14*Avg_Bridge</f>
        <v>0</v>
      </c>
      <c r="J21" s="37" t="n">
        <f aca="false">J9*Uptake_Bridge*Credit_Mult*J14*Avg_Bridge</f>
        <v>0</v>
      </c>
      <c r="K21" s="37" t="n">
        <f aca="false">K9*Uptake_Bridge*Credit_Mult*K14*Avg_Bridge</f>
        <v>0</v>
      </c>
      <c r="L21" s="37" t="n">
        <f aca="false">L9*Uptake_Bridge*Credit_Mult*L14*Avg_Bridge</f>
        <v>0</v>
      </c>
      <c r="M21" s="37" t="n">
        <f aca="false">M9*Uptake_Bridge*Credit_Mult*M14*Avg_Bridge</f>
        <v>0</v>
      </c>
      <c r="N21" s="37" t="n">
        <f aca="false">N9*Uptake_Bridge*Credit_Mult*N14*Avg_Bridge</f>
        <v>0</v>
      </c>
      <c r="O21" s="37" t="n">
        <f aca="false">O9*Uptake_Bridge*Credit_Mult*O14*Avg_Bridge</f>
        <v>0</v>
      </c>
      <c r="P21" s="37" t="n">
        <f aca="false">P9*Uptake_Bridge*Credit_Mult*P14*Avg_Bridge</f>
        <v>0</v>
      </c>
      <c r="Q21" s="37" t="n">
        <f aca="false">Q9*Uptake_Bridge*Credit_Mult*Q14*Avg_Bridge</f>
        <v>0</v>
      </c>
      <c r="R21" s="37" t="n">
        <f aca="false">R9*Uptake_Bridge*Credit_Mult*R14*Avg_Bridge</f>
        <v>0</v>
      </c>
      <c r="S21" s="37" t="n">
        <f aca="false">S9*Uptake_Bridge*Credit_Mult*S14*Avg_Bridge</f>
        <v>0</v>
      </c>
      <c r="T21" s="37" t="n">
        <f aca="false">T9*Uptake_Bridge*Credit_Mult*T14*Avg_Bridge</f>
        <v>0</v>
      </c>
      <c r="U21" s="37" t="n">
        <f aca="false">U9*Uptake_Bridge*Credit_Mult*U14*Avg_Bridge</f>
        <v>0</v>
      </c>
      <c r="V21" s="37" t="n">
        <f aca="false">V9*Uptake_Bridge*Credit_Mult*V14*Avg_Bridge</f>
        <v>6680315.84304403</v>
      </c>
      <c r="W21" s="37" t="n">
        <f aca="false">W9*Uptake_Bridge*Credit_Mult*W14*Avg_Bridge</f>
        <v>15226877.4382666</v>
      </c>
      <c r="X21" s="37" t="n">
        <f aca="false">X9*Uptake_Bridge*Credit_Mult*X14*Avg_Bridge</f>
        <v>25632492.3709619</v>
      </c>
      <c r="Y21" s="37" t="n">
        <f aca="false">Y9*Uptake_Bridge*Credit_Mult*Y14*Avg_Bridge</f>
        <v>37893285.2372087</v>
      </c>
      <c r="Z21" s="37" t="n">
        <f aca="false">Z9*Uptake_Bridge*Credit_Mult*Z14*Avg_Bridge</f>
        <v>52008859.5862161</v>
      </c>
      <c r="AA21" s="37" t="n">
        <f aca="false">AA9*Uptake_Bridge*Credit_Mult*AA14*Avg_Bridge</f>
        <v>67982473.4645418</v>
      </c>
      <c r="AB21" s="37" t="n">
        <f aca="false">AB9*Uptake_Bridge*Credit_Mult*AB14*Avg_Bridge</f>
        <v>86346229.4709379</v>
      </c>
      <c r="AC21" s="37" t="n">
        <f aca="false">AC9*Uptake_Bridge*Credit_Mult*AC14*Avg_Bridge</f>
        <v>108830380.293861</v>
      </c>
      <c r="AD21" s="37" t="n">
        <f aca="false">AD9*Uptake_Bridge*Credit_Mult*AD14*Avg_Bridge</f>
        <v>133829780.208705</v>
      </c>
      <c r="AE21" s="37" t="n">
        <f aca="false">AE9*Uptake_Bridge*Credit_Mult*AE14*Avg_Bridge</f>
        <v>161348685.2878</v>
      </c>
      <c r="AF21" s="37" t="n">
        <f aca="false">AF9*Uptake_Bridge*Credit_Mult*AF14*Avg_Bridge</f>
        <v>192221495.697771</v>
      </c>
      <c r="AG21" s="37" t="n">
        <f aca="false">AG9*Uptake_Bridge*Credit_Mult*AG14*Avg_Bridge</f>
        <v>225773175.592365</v>
      </c>
      <c r="AH21" s="37" t="n">
        <f aca="false">AH9*Uptake_Bridge*Credit_Mult*AH14*Avg_Bridge</f>
        <v>241865369.85633</v>
      </c>
      <c r="AI21" s="37" t="n">
        <f aca="false">AI9*Uptake_Bridge*Credit_Mult*AI14*Avg_Bridge</f>
        <v>257989384.758447</v>
      </c>
      <c r="AJ21" s="37" t="n">
        <f aca="false">AJ9*Uptake_Bridge*Credit_Mult*AJ14*Avg_Bridge</f>
        <v>275062563.52488</v>
      </c>
      <c r="AK21" s="37" t="n">
        <f aca="false">AK9*Uptake_Bridge*Credit_Mult*AK14*Avg_Bridge</f>
        <v>292188166.055376</v>
      </c>
      <c r="AL21" s="37" t="n">
        <f aca="false">AL9*Uptake_Bridge*Credit_Mult*AL14*Avg_Bridge</f>
        <v>309385383.260665</v>
      </c>
      <c r="AM21" s="37" t="n">
        <f aca="false">AM9*Uptake_Bridge*Credit_Mult*AM14*Avg_Bridge</f>
        <v>327574272.982606</v>
      </c>
      <c r="AN21" s="37" t="n">
        <f aca="false">AN9*Uptake_Bridge*Credit_Mult*AN14*Avg_Bridge</f>
        <v>346670967.290979</v>
      </c>
      <c r="AO21" s="37" t="n">
        <f aca="false">AO9*Uptake_Bridge*Credit_Mult*AO14*Avg_Bridge</f>
        <v>367446331.367239</v>
      </c>
      <c r="AP21" s="37" t="n">
        <f aca="false">AP9*Uptake_Bridge*Credit_Mult*AP14*Avg_Bridge</f>
        <v>389225938.46711</v>
      </c>
      <c r="AQ21" s="37" t="n">
        <f aca="false">AQ9*Uptake_Bridge*Credit_Mult*AQ14*Avg_Bridge</f>
        <v>411120017.428398</v>
      </c>
      <c r="AR21" s="37" t="n">
        <f aca="false">AR9*Uptake_Bridge*Credit_Mult*AR14*Avg_Bridge</f>
        <v>434055081.660215</v>
      </c>
      <c r="AS21" s="37" t="n">
        <f aca="false">AS9*Uptake_Bridge*Credit_Mult*AS14*Avg_Bridge</f>
        <v>457011510.670734</v>
      </c>
      <c r="AT21" s="37" t="n">
        <f aca="false">AT9*Uptake_Bridge*Credit_Mult*AT14*Avg_Bridge</f>
        <v>481423409.82696</v>
      </c>
      <c r="AU21" s="37" t="n">
        <f aca="false">AU9*Uptake_Bridge*Credit_Mult*AU14*Avg_Bridge</f>
        <v>505564135.756752</v>
      </c>
      <c r="AV21" s="37" t="n">
        <f aca="false">AV9*Uptake_Bridge*Credit_Mult*AV14*Avg_Bridge</f>
        <v>529445979.709545</v>
      </c>
      <c r="AW21" s="37" t="n">
        <f aca="false">AW9*Uptake_Bridge*Credit_Mult*AW14*Avg_Bridge</f>
        <v>553981465.065994</v>
      </c>
      <c r="AX21" s="37" t="n">
        <f aca="false">AX9*Uptake_Bridge*Credit_Mult*AX14*Avg_Bridge</f>
        <v>578268520.632079</v>
      </c>
      <c r="AY21" s="37" t="n">
        <f aca="false">AY9*Uptake_Bridge*Credit_Mult*AY14*Avg_Bridge</f>
        <v>604030468.402159</v>
      </c>
      <c r="AZ21" s="37" t="n">
        <f aca="false">AZ9*Uptake_Bridge*Credit_Mult*AZ14*Avg_Bridge</f>
        <v>629542716.232284</v>
      </c>
      <c r="BA21" s="37" t="n">
        <f aca="false">BA9*Uptake_Bridge*Credit_Mult*BA14*Avg_Bridge</f>
        <v>657303715.293795</v>
      </c>
      <c r="BB21" s="37" t="n">
        <f aca="false">BB9*Uptake_Bridge*Credit_Mult*BB14*Avg_Bridge</f>
        <v>684803278.35566</v>
      </c>
      <c r="BC21" s="37" t="n">
        <f aca="false">BC9*Uptake_Bridge*Credit_Mult*BC14*Avg_Bridge</f>
        <v>712957308.823015</v>
      </c>
      <c r="BD21" s="37" t="n">
        <f aca="false">BD9*Uptake_Bridge*Credit_Mult*BD14*Avg_Bridge</f>
        <v>741677256.797153</v>
      </c>
      <c r="BE21" s="37" t="n">
        <f aca="false">BE9*Uptake_Bridge*Credit_Mult*BE14*Avg_Bridge</f>
        <v>771056751.44358</v>
      </c>
      <c r="BF21" s="37" t="n">
        <f aca="false">BF9*Uptake_Bridge*Credit_Mult*BF14*Avg_Bridge</f>
        <v>800198635.750223</v>
      </c>
      <c r="BG21" s="37" t="n">
        <f aca="false">BG9*Uptake_Bridge*Credit_Mult*BG14*Avg_Bridge</f>
        <v>830831361.482762</v>
      </c>
      <c r="BH21" s="37" t="n">
        <f aca="false">BH9*Uptake_Bridge*Credit_Mult*BH14*Avg_Bridge</f>
        <v>861235696.245553</v>
      </c>
      <c r="BI21" s="37" t="n">
        <f aca="false">BI9*Uptake_Bridge*Credit_Mult*BI14*Avg_Bridge</f>
        <v>892331696.158578</v>
      </c>
      <c r="BJ21" s="37" t="n">
        <f aca="false">BJ9*Uptake_Bridge*Credit_Mult*BJ14*Avg_Bridge</f>
        <v>923225176.24957</v>
      </c>
      <c r="BK21" s="37" t="n">
        <f aca="false">BK9*Uptake_Bridge*Credit_Mult*BK14*Avg_Bridge</f>
        <v>955493433.536426</v>
      </c>
      <c r="BL21" s="37" t="n">
        <f aca="false">BL9*Uptake_Bridge*Credit_Mult*BL14*Avg_Bridge</f>
        <v>988144115.596132</v>
      </c>
    </row>
    <row r="22" customFormat="false" ht="15" hidden="false" customHeight="false" outlineLevel="0" collapsed="false">
      <c r="A22" s="12" t="s">
        <v>593</v>
      </c>
      <c r="B22" s="14" t="s">
        <v>71</v>
      </c>
      <c r="D22" s="55" t="n">
        <f aca="false">BL22</f>
        <v>1317525487.46151</v>
      </c>
      <c r="E22" s="37" t="n">
        <f aca="false">E9*Uptake_Line*Credit_Mult*E15*Avg_Line</f>
        <v>0</v>
      </c>
      <c r="F22" s="37" t="n">
        <f aca="false">F9*Uptake_Line*Credit_Mult*F15*Avg_Line</f>
        <v>0</v>
      </c>
      <c r="G22" s="37" t="n">
        <f aca="false">G9*Uptake_Line*Credit_Mult*G15*Avg_Line</f>
        <v>0</v>
      </c>
      <c r="H22" s="37" t="n">
        <f aca="false">H9*Uptake_Line*Credit_Mult*H15*Avg_Line</f>
        <v>0</v>
      </c>
      <c r="I22" s="37" t="n">
        <f aca="false">I9*Uptake_Line*Credit_Mult*I15*Avg_Line</f>
        <v>0</v>
      </c>
      <c r="J22" s="37" t="n">
        <f aca="false">J9*Uptake_Line*Credit_Mult*J15*Avg_Line</f>
        <v>0</v>
      </c>
      <c r="K22" s="37" t="n">
        <f aca="false">K9*Uptake_Line*Credit_Mult*K15*Avg_Line</f>
        <v>0</v>
      </c>
      <c r="L22" s="37" t="n">
        <f aca="false">L9*Uptake_Line*Credit_Mult*L15*Avg_Line</f>
        <v>0</v>
      </c>
      <c r="M22" s="37" t="n">
        <f aca="false">M9*Uptake_Line*Credit_Mult*M15*Avg_Line</f>
        <v>0</v>
      </c>
      <c r="N22" s="37" t="n">
        <f aca="false">N9*Uptake_Line*Credit_Mult*N15*Avg_Line</f>
        <v>0</v>
      </c>
      <c r="O22" s="37" t="n">
        <f aca="false">O9*Uptake_Line*Credit_Mult*O15*Avg_Line</f>
        <v>0</v>
      </c>
      <c r="P22" s="37" t="n">
        <f aca="false">P9*Uptake_Line*Credit_Mult*P15*Avg_Line</f>
        <v>0</v>
      </c>
      <c r="Q22" s="37" t="n">
        <f aca="false">Q9*Uptake_Line*Credit_Mult*Q15*Avg_Line</f>
        <v>0</v>
      </c>
      <c r="R22" s="37" t="n">
        <f aca="false">R9*Uptake_Line*Credit_Mult*R15*Avg_Line</f>
        <v>0</v>
      </c>
      <c r="S22" s="37" t="n">
        <f aca="false">S9*Uptake_Line*Credit_Mult*S15*Avg_Line</f>
        <v>0</v>
      </c>
      <c r="T22" s="37" t="n">
        <f aca="false">T9*Uptake_Line*Credit_Mult*T15*Avg_Line</f>
        <v>0</v>
      </c>
      <c r="U22" s="37" t="n">
        <f aca="false">U9*Uptake_Line*Credit_Mult*U15*Avg_Line</f>
        <v>0</v>
      </c>
      <c r="V22" s="37" t="n">
        <f aca="false">V9*Uptake_Line*Credit_Mult*V15*Avg_Line</f>
        <v>0</v>
      </c>
      <c r="W22" s="37" t="n">
        <f aca="false">W9*Uptake_Line*Credit_Mult*W15*Avg_Line</f>
        <v>0</v>
      </c>
      <c r="X22" s="37" t="n">
        <f aca="false">X9*Uptake_Line*Credit_Mult*X15*Avg_Line</f>
        <v>0</v>
      </c>
      <c r="Y22" s="37" t="n">
        <f aca="false">Y9*Uptake_Line*Credit_Mult*Y15*Avg_Line</f>
        <v>12631095.0790696</v>
      </c>
      <c r="Z22" s="37" t="n">
        <f aca="false">Z9*Uptake_Line*Credit_Mult*Z15*Avg_Line</f>
        <v>27738058.4459819</v>
      </c>
      <c r="AA22" s="37" t="n">
        <f aca="false">AA9*Uptake_Line*Credit_Mult*AA15*Avg_Line</f>
        <v>45321648.9763612</v>
      </c>
      <c r="AB22" s="37" t="n">
        <f aca="false">AB9*Uptake_Line*Credit_Mult*AB15*Avg_Line</f>
        <v>65787603.4064289</v>
      </c>
      <c r="AC22" s="37" t="n">
        <f aca="false">AC9*Uptake_Line*Credit_Mult*AC15*Avg_Line</f>
        <v>90691983.5782172</v>
      </c>
      <c r="AD22" s="37" t="n">
        <f aca="false">AD9*Uptake_Line*Credit_Mult*AD15*Avg_Line</f>
        <v>118959804.62996</v>
      </c>
      <c r="AE22" s="37" t="n">
        <f aca="false">AE9*Uptake_Line*Credit_Mult*AE15*Avg_Line</f>
        <v>150592106.268613</v>
      </c>
      <c r="AF22" s="37" t="n">
        <f aca="false">AF9*Uptake_Line*Credit_Mult*AF15*Avg_Line</f>
        <v>186396601.888747</v>
      </c>
      <c r="AG22" s="37" t="n">
        <f aca="false">AG9*Uptake_Line*Credit_Mult*AG15*Avg_Line</f>
        <v>225773175.592365</v>
      </c>
      <c r="AH22" s="37" t="n">
        <f aca="false">AH9*Uptake_Line*Credit_Mult*AH15*Avg_Line</f>
        <v>268739299.840366</v>
      </c>
      <c r="AI22" s="37" t="n">
        <f aca="false">AI9*Uptake_Line*Credit_Mult*AI15*Avg_Line</f>
        <v>315320359.149213</v>
      </c>
      <c r="AJ22" s="37" t="n">
        <f aca="false">AJ9*Uptake_Line*Credit_Mult*AJ15*Avg_Line</f>
        <v>366750084.69984</v>
      </c>
      <c r="AK22" s="37" t="n">
        <f aca="false">AK9*Uptake_Line*Credit_Mult*AK15*Avg_Line</f>
        <v>389584221.407168</v>
      </c>
      <c r="AL22" s="37" t="n">
        <f aca="false">AL9*Uptake_Line*Credit_Mult*AL15*Avg_Line</f>
        <v>412513844.347553</v>
      </c>
      <c r="AM22" s="37" t="n">
        <f aca="false">AM9*Uptake_Line*Credit_Mult*AM15*Avg_Line</f>
        <v>436765697.310142</v>
      </c>
      <c r="AN22" s="37" t="n">
        <f aca="false">AN9*Uptake_Line*Credit_Mult*AN15*Avg_Line</f>
        <v>462227956.387972</v>
      </c>
      <c r="AO22" s="37" t="n">
        <f aca="false">AO9*Uptake_Line*Credit_Mult*AO15*Avg_Line</f>
        <v>489928441.822986</v>
      </c>
      <c r="AP22" s="37" t="n">
        <f aca="false">AP9*Uptake_Line*Credit_Mult*AP15*Avg_Line</f>
        <v>518967917.956147</v>
      </c>
      <c r="AQ22" s="37" t="n">
        <f aca="false">AQ9*Uptake_Line*Credit_Mult*AQ15*Avg_Line</f>
        <v>548160023.237864</v>
      </c>
      <c r="AR22" s="37" t="n">
        <f aca="false">AR9*Uptake_Line*Credit_Mult*AR15*Avg_Line</f>
        <v>578740108.880286</v>
      </c>
      <c r="AS22" s="37" t="n">
        <f aca="false">AS9*Uptake_Line*Credit_Mult*AS15*Avg_Line</f>
        <v>609348680.894312</v>
      </c>
      <c r="AT22" s="37" t="n">
        <f aca="false">AT9*Uptake_Line*Credit_Mult*AT15*Avg_Line</f>
        <v>641897879.76928</v>
      </c>
      <c r="AU22" s="37" t="n">
        <f aca="false">AU9*Uptake_Line*Credit_Mult*AU15*Avg_Line</f>
        <v>674085514.342336</v>
      </c>
      <c r="AV22" s="37" t="n">
        <f aca="false">AV9*Uptake_Line*Credit_Mult*AV15*Avg_Line</f>
        <v>705927972.94606</v>
      </c>
      <c r="AW22" s="37" t="n">
        <f aca="false">AW9*Uptake_Line*Credit_Mult*AW15*Avg_Line</f>
        <v>738641953.421325</v>
      </c>
      <c r="AX22" s="37" t="n">
        <f aca="false">AX9*Uptake_Line*Credit_Mult*AX15*Avg_Line</f>
        <v>771024694.176105</v>
      </c>
      <c r="AY22" s="37" t="n">
        <f aca="false">AY9*Uptake_Line*Credit_Mult*AY15*Avg_Line</f>
        <v>805373957.869545</v>
      </c>
      <c r="AZ22" s="37" t="n">
        <f aca="false">AZ9*Uptake_Line*Credit_Mult*AZ15*Avg_Line</f>
        <v>839390288.309712</v>
      </c>
      <c r="BA22" s="37" t="n">
        <f aca="false">BA9*Uptake_Line*Credit_Mult*BA15*Avg_Line</f>
        <v>876404953.72506</v>
      </c>
      <c r="BB22" s="37" t="n">
        <f aca="false">BB9*Uptake_Line*Credit_Mult*BB15*Avg_Line</f>
        <v>913071037.807546</v>
      </c>
      <c r="BC22" s="37" t="n">
        <f aca="false">BC9*Uptake_Line*Credit_Mult*BC15*Avg_Line</f>
        <v>950609745.097353</v>
      </c>
      <c r="BD22" s="37" t="n">
        <f aca="false">BD9*Uptake_Line*Credit_Mult*BD15*Avg_Line</f>
        <v>988903009.062871</v>
      </c>
      <c r="BE22" s="37" t="n">
        <f aca="false">BE9*Uptake_Line*Credit_Mult*BE15*Avg_Line</f>
        <v>1028075668.59144</v>
      </c>
      <c r="BF22" s="37" t="n">
        <f aca="false">BF9*Uptake_Line*Credit_Mult*BF15*Avg_Line</f>
        <v>1066931514.33363</v>
      </c>
      <c r="BG22" s="37" t="n">
        <f aca="false">BG9*Uptake_Line*Credit_Mult*BG15*Avg_Line</f>
        <v>1107775148.64368</v>
      </c>
      <c r="BH22" s="37" t="n">
        <f aca="false">BH9*Uptake_Line*Credit_Mult*BH15*Avg_Line</f>
        <v>1148314261.66074</v>
      </c>
      <c r="BI22" s="37" t="n">
        <f aca="false">BI9*Uptake_Line*Credit_Mult*BI15*Avg_Line</f>
        <v>1189775594.8781</v>
      </c>
      <c r="BJ22" s="37" t="n">
        <f aca="false">BJ9*Uptake_Line*Credit_Mult*BJ15*Avg_Line</f>
        <v>1230966901.66609</v>
      </c>
      <c r="BK22" s="37" t="n">
        <f aca="false">BK9*Uptake_Line*Credit_Mult*BK15*Avg_Line</f>
        <v>1273991244.71524</v>
      </c>
      <c r="BL22" s="37" t="n">
        <f aca="false">BL9*Uptake_Line*Credit_Mult*BL15*Avg_Line</f>
        <v>1317525487.46151</v>
      </c>
    </row>
    <row r="23" customFormat="false" ht="15" hidden="false" customHeight="false" outlineLevel="0" collapsed="false">
      <c r="A23" s="12" t="s">
        <v>594</v>
      </c>
      <c r="B23" s="14" t="s">
        <v>71</v>
      </c>
      <c r="D23" s="55" t="n">
        <f aca="false">BL23</f>
        <v>2195875812.43585</v>
      </c>
      <c r="E23" s="37" t="n">
        <f aca="false">E9*Uptake_Term*Credit_Mult*E16*Avg_Term</f>
        <v>0</v>
      </c>
      <c r="F23" s="37" t="n">
        <f aca="false">F9*Uptake_Term*Credit_Mult*F16*Avg_Term</f>
        <v>0</v>
      </c>
      <c r="G23" s="37" t="n">
        <f aca="false">G9*Uptake_Term*Credit_Mult*G16*Avg_Term</f>
        <v>0</v>
      </c>
      <c r="H23" s="37" t="n">
        <f aca="false">H9*Uptake_Term*Credit_Mult*H16*Avg_Term</f>
        <v>0</v>
      </c>
      <c r="I23" s="37" t="n">
        <f aca="false">I9*Uptake_Term*Credit_Mult*I16*Avg_Term</f>
        <v>0</v>
      </c>
      <c r="J23" s="37" t="n">
        <f aca="false">J9*Uptake_Term*Credit_Mult*J16*Avg_Term</f>
        <v>0</v>
      </c>
      <c r="K23" s="37" t="n">
        <f aca="false">K9*Uptake_Term*Credit_Mult*K16*Avg_Term</f>
        <v>0</v>
      </c>
      <c r="L23" s="37" t="n">
        <f aca="false">L9*Uptake_Term*Credit_Mult*L16*Avg_Term</f>
        <v>0</v>
      </c>
      <c r="M23" s="37" t="n">
        <f aca="false">M9*Uptake_Term*Credit_Mult*M16*Avg_Term</f>
        <v>0</v>
      </c>
      <c r="N23" s="37" t="n">
        <f aca="false">N9*Uptake_Term*Credit_Mult*N16*Avg_Term</f>
        <v>0</v>
      </c>
      <c r="O23" s="37" t="n">
        <f aca="false">O9*Uptake_Term*Credit_Mult*O16*Avg_Term</f>
        <v>0</v>
      </c>
      <c r="P23" s="37" t="n">
        <f aca="false">P9*Uptake_Term*Credit_Mult*P16*Avg_Term</f>
        <v>0</v>
      </c>
      <c r="Q23" s="37" t="n">
        <f aca="false">Q9*Uptake_Term*Credit_Mult*Q16*Avg_Term</f>
        <v>0</v>
      </c>
      <c r="R23" s="37" t="n">
        <f aca="false">R9*Uptake_Term*Credit_Mult*R16*Avg_Term</f>
        <v>0</v>
      </c>
      <c r="S23" s="37" t="n">
        <f aca="false">S9*Uptake_Term*Credit_Mult*S16*Avg_Term</f>
        <v>0</v>
      </c>
      <c r="T23" s="37" t="n">
        <f aca="false">T9*Uptake_Term*Credit_Mult*T16*Avg_Term</f>
        <v>0</v>
      </c>
      <c r="U23" s="37" t="n">
        <f aca="false">U9*Uptake_Term*Credit_Mult*U16*Avg_Term</f>
        <v>0</v>
      </c>
      <c r="V23" s="37" t="n">
        <f aca="false">V9*Uptake_Term*Credit_Mult*V16*Avg_Term</f>
        <v>0</v>
      </c>
      <c r="W23" s="37" t="n">
        <f aca="false">W9*Uptake_Term*Credit_Mult*W16*Avg_Term</f>
        <v>0</v>
      </c>
      <c r="X23" s="37" t="n">
        <f aca="false">X9*Uptake_Term*Credit_Mult*X16*Avg_Term</f>
        <v>0</v>
      </c>
      <c r="Y23" s="37" t="n">
        <f aca="false">Y9*Uptake_Term*Credit_Mult*Y16*Avg_Term</f>
        <v>0</v>
      </c>
      <c r="Z23" s="37" t="n">
        <f aca="false">Z9*Uptake_Term*Credit_Mult*Z16*Avg_Term</f>
        <v>0</v>
      </c>
      <c r="AA23" s="37" t="n">
        <f aca="false">AA9*Uptake_Term*Credit_Mult*AA16*Avg_Term</f>
        <v>0</v>
      </c>
      <c r="AB23" s="37" t="n">
        <f aca="false">AB9*Uptake_Term*Credit_Mult*AB16*Avg_Term</f>
        <v>0</v>
      </c>
      <c r="AC23" s="37" t="n">
        <f aca="false">AC9*Uptake_Term*Credit_Mult*AC16*Avg_Term</f>
        <v>0</v>
      </c>
      <c r="AD23" s="37" t="n">
        <f aca="false">AD9*Uptake_Term*Credit_Mult*AD16*Avg_Term</f>
        <v>0</v>
      </c>
      <c r="AE23" s="37" t="n">
        <f aca="false">AE9*Uptake_Term*Credit_Mult*AE16*Avg_Term</f>
        <v>35855263.3972888</v>
      </c>
      <c r="AF23" s="37" t="n">
        <f aca="false">AF9*Uptake_Term*Credit_Mult*AF16*Avg_Term</f>
        <v>77665250.7869781</v>
      </c>
      <c r="AG23" s="37" t="n">
        <f aca="false">AG9*Uptake_Term*Credit_Mult*AG16*Avg_Term</f>
        <v>125429541.995758</v>
      </c>
      <c r="AH23" s="37" t="n">
        <f aca="false">AH9*Uptake_Term*Credit_Mult*AH16*Avg_Term</f>
        <v>179159533.226911</v>
      </c>
      <c r="AI23" s="37" t="n">
        <f aca="false">AI9*Uptake_Term*Credit_Mult*AI16*Avg_Term</f>
        <v>238879059.961525</v>
      </c>
      <c r="AJ23" s="37" t="n">
        <f aca="false">AJ9*Uptake_Term*Credit_Mult*AJ16*Avg_Term</f>
        <v>305625070.5832</v>
      </c>
      <c r="AK23" s="37" t="n">
        <f aca="false">AK9*Uptake_Term*Credit_Mult*AK16*Avg_Term</f>
        <v>378762437.479191</v>
      </c>
      <c r="AL23" s="37" t="n">
        <f aca="false">AL9*Uptake_Term*Credit_Mult*AL16*Avg_Term</f>
        <v>458348715.941726</v>
      </c>
      <c r="AM23" s="37" t="n">
        <f aca="false">AM9*Uptake_Term*Credit_Mult*AM16*Avg_Term</f>
        <v>545957121.637677</v>
      </c>
      <c r="AN23" s="37" t="n">
        <f aca="false">AN9*Uptake_Term*Credit_Mult*AN16*Avg_Term</f>
        <v>641983272.761072</v>
      </c>
      <c r="AO23" s="37" t="n">
        <f aca="false">AO9*Uptake_Term*Credit_Mult*AO16*Avg_Term</f>
        <v>748501786.11845</v>
      </c>
      <c r="AP23" s="37" t="n">
        <f aca="false">AP9*Uptake_Term*Credit_Mult*AP16*Avg_Term</f>
        <v>864946529.926912</v>
      </c>
      <c r="AQ23" s="37" t="n">
        <f aca="false">AQ9*Uptake_Term*Credit_Mult*AQ16*Avg_Term</f>
        <v>913600038.729773</v>
      </c>
      <c r="AR23" s="37" t="n">
        <f aca="false">AR9*Uptake_Term*Credit_Mult*AR16*Avg_Term</f>
        <v>964566848.13381</v>
      </c>
      <c r="AS23" s="37" t="n">
        <f aca="false">AS9*Uptake_Term*Credit_Mult*AS16*Avg_Term</f>
        <v>1015581134.82385</v>
      </c>
      <c r="AT23" s="37" t="n">
        <f aca="false">AT9*Uptake_Term*Credit_Mult*AT16*Avg_Term</f>
        <v>1069829799.61547</v>
      </c>
      <c r="AU23" s="37" t="n">
        <f aca="false">AU9*Uptake_Term*Credit_Mult*AU16*Avg_Term</f>
        <v>1123475857.23723</v>
      </c>
      <c r="AV23" s="37" t="n">
        <f aca="false">AV9*Uptake_Term*Credit_Mult*AV16*Avg_Term</f>
        <v>1176546621.57677</v>
      </c>
      <c r="AW23" s="37" t="n">
        <f aca="false">AW9*Uptake_Term*Credit_Mult*AW16*Avg_Term</f>
        <v>1231069922.36888</v>
      </c>
      <c r="AX23" s="37" t="n">
        <f aca="false">AX9*Uptake_Term*Credit_Mult*AX16*Avg_Term</f>
        <v>1285041156.96018</v>
      </c>
      <c r="AY23" s="37" t="n">
        <f aca="false">AY9*Uptake_Term*Credit_Mult*AY16*Avg_Term</f>
        <v>1342289929.78258</v>
      </c>
      <c r="AZ23" s="37" t="n">
        <f aca="false">AZ9*Uptake_Term*Credit_Mult*AZ16*Avg_Term</f>
        <v>1398983813.84952</v>
      </c>
      <c r="BA23" s="37" t="n">
        <f aca="false">BA9*Uptake_Term*Credit_Mult*BA16*Avg_Term</f>
        <v>1460674922.8751</v>
      </c>
      <c r="BB23" s="37" t="n">
        <f aca="false">BB9*Uptake_Term*Credit_Mult*BB16*Avg_Term</f>
        <v>1521785063.01258</v>
      </c>
      <c r="BC23" s="37" t="n">
        <f aca="false">BC9*Uptake_Term*Credit_Mult*BC16*Avg_Term</f>
        <v>1584349575.16225</v>
      </c>
      <c r="BD23" s="37" t="n">
        <f aca="false">BD9*Uptake_Term*Credit_Mult*BD16*Avg_Term</f>
        <v>1648171681.77145</v>
      </c>
      <c r="BE23" s="37" t="n">
        <f aca="false">BE9*Uptake_Term*Credit_Mult*BE16*Avg_Term</f>
        <v>1713459447.6524</v>
      </c>
      <c r="BF23" s="37" t="n">
        <f aca="false">BF9*Uptake_Term*Credit_Mult*BF16*Avg_Term</f>
        <v>1778219190.55605</v>
      </c>
      <c r="BG23" s="37" t="n">
        <f aca="false">BG9*Uptake_Term*Credit_Mult*BG16*Avg_Term</f>
        <v>1846291914.40614</v>
      </c>
      <c r="BH23" s="37" t="n">
        <f aca="false">BH9*Uptake_Term*Credit_Mult*BH16*Avg_Term</f>
        <v>1913857102.7679</v>
      </c>
      <c r="BI23" s="37" t="n">
        <f aca="false">BI9*Uptake_Term*Credit_Mult*BI16*Avg_Term</f>
        <v>1982959324.79684</v>
      </c>
      <c r="BJ23" s="37" t="n">
        <f aca="false">BJ9*Uptake_Term*Credit_Mult*BJ16*Avg_Term</f>
        <v>2051611502.77682</v>
      </c>
      <c r="BK23" s="37" t="n">
        <f aca="false">BK9*Uptake_Term*Credit_Mult*BK16*Avg_Term</f>
        <v>2123318741.19206</v>
      </c>
      <c r="BL23" s="37" t="n">
        <f aca="false">BL9*Uptake_Term*Credit_Mult*BL16*Avg_Term</f>
        <v>2195875812.43585</v>
      </c>
    </row>
    <row r="24" customFormat="false" ht="15" hidden="false" customHeight="false" outlineLevel="0" collapsed="false">
      <c r="A24" s="12" t="s">
        <v>595</v>
      </c>
      <c r="B24" s="14" t="s">
        <v>71</v>
      </c>
      <c r="D24" s="55" t="n">
        <f aca="false">BL24</f>
        <v>270273923.08657</v>
      </c>
      <c r="E24" s="37" t="n">
        <f aca="false">E10*Usage_Advance*Credit_Mult*E17*Avg_Advance</f>
        <v>0</v>
      </c>
      <c r="F24" s="37" t="n">
        <f aca="false">F10*Usage_Advance*Credit_Mult*F17*Avg_Advance</f>
        <v>0</v>
      </c>
      <c r="G24" s="37" t="n">
        <f aca="false">G10*Usage_Advance*Credit_Mult*G17*Avg_Advance</f>
        <v>0</v>
      </c>
      <c r="H24" s="37" t="n">
        <f aca="false">H10*Usage_Advance*Credit_Mult*H17*Avg_Advance</f>
        <v>0</v>
      </c>
      <c r="I24" s="37" t="n">
        <f aca="false">I10*Usage_Advance*Credit_Mult*I17*Avg_Advance</f>
        <v>0</v>
      </c>
      <c r="J24" s="37" t="n">
        <f aca="false">J10*Usage_Advance*Credit_Mult*J17*Avg_Advance</f>
        <v>0</v>
      </c>
      <c r="K24" s="37" t="n">
        <f aca="false">K10*Usage_Advance*Credit_Mult*K17*Avg_Advance</f>
        <v>0</v>
      </c>
      <c r="L24" s="37" t="n">
        <f aca="false">L10*Usage_Advance*Credit_Mult*L17*Avg_Advance</f>
        <v>0</v>
      </c>
      <c r="M24" s="37" t="n">
        <f aca="false">M10*Usage_Advance*Credit_Mult*M17*Avg_Advance</f>
        <v>0</v>
      </c>
      <c r="N24" s="37" t="n">
        <f aca="false">N10*Usage_Advance*Credit_Mult*N17*Avg_Advance</f>
        <v>0</v>
      </c>
      <c r="O24" s="37" t="n">
        <f aca="false">O10*Usage_Advance*Credit_Mult*O17*Avg_Advance</f>
        <v>0</v>
      </c>
      <c r="P24" s="37" t="n">
        <f aca="false">P10*Usage_Advance*Credit_Mult*P17*Avg_Advance</f>
        <v>0</v>
      </c>
      <c r="Q24" s="37" t="n">
        <f aca="false">Q10*Usage_Advance*Credit_Mult*Q17*Avg_Advance</f>
        <v>0</v>
      </c>
      <c r="R24" s="37" t="n">
        <f aca="false">R10*Usage_Advance*Credit_Mult*R17*Avg_Advance</f>
        <v>0</v>
      </c>
      <c r="S24" s="37" t="n">
        <f aca="false">S10*Usage_Advance*Credit_Mult*S17*Avg_Advance</f>
        <v>0</v>
      </c>
      <c r="T24" s="37" t="n">
        <f aca="false">T10*Usage_Advance*Credit_Mult*T17*Avg_Advance</f>
        <v>0</v>
      </c>
      <c r="U24" s="37" t="n">
        <f aca="false">U10*Usage_Advance*Credit_Mult*U17*Avg_Advance</f>
        <v>0</v>
      </c>
      <c r="V24" s="37" t="n">
        <f aca="false">V10*Usage_Advance*Credit_Mult*V17*Avg_Advance</f>
        <v>0</v>
      </c>
      <c r="W24" s="37" t="n">
        <f aca="false">W10*Usage_Advance*Credit_Mult*W17*Avg_Advance</f>
        <v>0</v>
      </c>
      <c r="X24" s="37" t="n">
        <f aca="false">X10*Usage_Advance*Credit_Mult*X17*Avg_Advance</f>
        <v>0</v>
      </c>
      <c r="Y24" s="37" t="n">
        <f aca="false">Y10*Usage_Advance*Credit_Mult*Y17*Avg_Advance</f>
        <v>0</v>
      </c>
      <c r="Z24" s="37" t="n">
        <f aca="false">Z10*Usage_Advance*Credit_Mult*Z17*Avg_Advance</f>
        <v>0</v>
      </c>
      <c r="AA24" s="37" t="n">
        <f aca="false">AA10*Usage_Advance*Credit_Mult*AA17*Avg_Advance</f>
        <v>0</v>
      </c>
      <c r="AB24" s="37" t="n">
        <f aca="false">AB10*Usage_Advance*Credit_Mult*AB17*Avg_Advance</f>
        <v>0</v>
      </c>
      <c r="AC24" s="37" t="n">
        <f aca="false">AC10*Usage_Advance*Credit_Mult*AC17*Avg_Advance</f>
        <v>0</v>
      </c>
      <c r="AD24" s="37" t="n">
        <f aca="false">AD10*Usage_Advance*Credit_Mult*AD17*Avg_Advance</f>
        <v>0</v>
      </c>
      <c r="AE24" s="37" t="n">
        <f aca="false">AE10*Usage_Advance*Credit_Mult*AE17*Avg_Advance</f>
        <v>0</v>
      </c>
      <c r="AF24" s="37" t="n">
        <f aca="false">AF10*Usage_Advance*Credit_Mult*AF17*Avg_Advance</f>
        <v>0</v>
      </c>
      <c r="AG24" s="37" t="n">
        <f aca="false">AG10*Usage_Advance*Credit_Mult*AG17*Avg_Advance</f>
        <v>0</v>
      </c>
      <c r="AH24" s="37" t="n">
        <f aca="false">AH10*Usage_Advance*Credit_Mult*AH17*Avg_Advance</f>
        <v>5285585.65089452</v>
      </c>
      <c r="AI24" s="37" t="n">
        <f aca="false">AI10*Usage_Advance*Credit_Mult*AI17*Avg_Advance</f>
        <v>11294613.0459987</v>
      </c>
      <c r="AJ24" s="37" t="n">
        <f aca="false">AJ10*Usage_Advance*Credit_Mult*AJ17*Avg_Advance</f>
        <v>18091254.7566322</v>
      </c>
      <c r="AK24" s="37" t="n">
        <f aca="false">AK10*Usage_Advance*Credit_Mult*AK17*Avg_Advance</f>
        <v>25665331.7332872</v>
      </c>
      <c r="AL24" s="37" t="n">
        <f aca="false">AL10*Usage_Advance*Credit_Mult*AL17*Avg_Advance</f>
        <v>34027188.2533158</v>
      </c>
      <c r="AM24" s="37" t="n">
        <f aca="false">AM10*Usage_Advance*Credit_Mult*AM17*Avg_Advance</f>
        <v>43301339.8458091</v>
      </c>
      <c r="AN24" s="37" t="n">
        <f aca="false">AN10*Usage_Advance*Credit_Mult*AN17*Avg_Advance</f>
        <v>53543287.7246113</v>
      </c>
      <c r="AO24" s="37" t="n">
        <f aca="false">AO10*Usage_Advance*Credit_Mult*AO17*Avg_Advance</f>
        <v>64944305.4985105</v>
      </c>
      <c r="AP24" s="37" t="n">
        <f aca="false">AP10*Usage_Advance*Credit_Mult*AP17*Avg_Advance</f>
        <v>77490073.4976277</v>
      </c>
      <c r="AQ24" s="37" t="n">
        <f aca="false">AQ10*Usage_Advance*Credit_Mult*AQ17*Avg_Advance</f>
        <v>91065100.4536515</v>
      </c>
      <c r="AR24" s="37" t="n">
        <f aca="false">AR10*Usage_Advance*Credit_Mult*AR17*Avg_Advance</f>
        <v>105895195.904957</v>
      </c>
      <c r="AS24" s="37" t="n">
        <f aca="false">AS10*Usage_Advance*Credit_Mult*AS17*Avg_Advance</f>
        <v>121798118.757648</v>
      </c>
      <c r="AT24" s="37" t="n">
        <f aca="false">AT10*Usage_Advance*Credit_Mult*AT17*Avg_Advance</f>
        <v>128464641.699212</v>
      </c>
      <c r="AU24" s="37" t="n">
        <f aca="false">AU10*Usage_Advance*Credit_Mult*AU17*Avg_Advance</f>
        <v>135091708.985772</v>
      </c>
      <c r="AV24" s="37" t="n">
        <f aca="false">AV10*Usage_Advance*Credit_Mult*AV17*Avg_Advance</f>
        <v>141681696.850178</v>
      </c>
      <c r="AW24" s="37" t="n">
        <f aca="false">AW10*Usage_Advance*Credit_Mult*AW17*Avg_Advance</f>
        <v>148462065.045393</v>
      </c>
      <c r="AX24" s="37" t="n">
        <f aca="false">AX10*Usage_Advance*Credit_Mult*AX17*Avg_Advance</f>
        <v>155207925.199684</v>
      </c>
      <c r="AY24" s="37" t="n">
        <f aca="false">AY10*Usage_Advance*Credit_Mult*AY17*Avg_Advance</f>
        <v>162349452.478365</v>
      </c>
      <c r="AZ24" s="37" t="n">
        <f aca="false">AZ10*Usage_Advance*Credit_Mult*AZ17*Avg_Advance</f>
        <v>169457292.479265</v>
      </c>
      <c r="BA24" s="37" t="n">
        <f aca="false">BA10*Usage_Advance*Credit_Mult*BA17*Avg_Advance</f>
        <v>177155388.561725</v>
      </c>
      <c r="BB24" s="37" t="n">
        <f aca="false">BB10*Usage_Advance*Credit_Mult*BB17*Avg_Advance</f>
        <v>184819071.716799</v>
      </c>
      <c r="BC24" s="37" t="n">
        <f aca="false">BC10*Usage_Advance*Credit_Mult*BC17*Avg_Advance</f>
        <v>192676607.443016</v>
      </c>
      <c r="BD24" s="37" t="n">
        <f aca="false">BD10*Usage_Advance*Credit_Mult*BD17*Avg_Advance</f>
        <v>200706453.68122</v>
      </c>
      <c r="BE24" s="37" t="n">
        <f aca="false">BE10*Usage_Advance*Credit_Mult*BE17*Avg_Advance</f>
        <v>208932481.268097</v>
      </c>
      <c r="BF24" s="37" t="n">
        <f aca="false">BF10*Usage_Advance*Credit_Mult*BF17*Avg_Advance</f>
        <v>217130992.19612</v>
      </c>
      <c r="BG24" s="37" t="n">
        <f aca="false">BG10*Usage_Advance*Credit_Mult*BG17*Avg_Advance</f>
        <v>225733413.307908</v>
      </c>
      <c r="BH24" s="37" t="n">
        <f aca="false">BH10*Usage_Advance*Credit_Mult*BH17*Avg_Advance</f>
        <v>234311707.010041</v>
      </c>
      <c r="BI24" s="37" t="n">
        <f aca="false">BI10*Usage_Advance*Credit_Mult*BI17*Avg_Advance</f>
        <v>243095202.647355</v>
      </c>
      <c r="BJ24" s="37" t="n">
        <f aca="false">BJ10*Usage_Advance*Credit_Mult*BJ17*Avg_Advance</f>
        <v>251860980.659</v>
      </c>
      <c r="BK24" s="37" t="n">
        <f aca="false">BK10*Usage_Advance*Credit_Mult*BK17*Avg_Advance</f>
        <v>261002718.448626</v>
      </c>
      <c r="BL24" s="37" t="n">
        <f aca="false">BL10*Usage_Advance*Credit_Mult*BL17*Avg_Advance</f>
        <v>270273923.08657</v>
      </c>
    </row>
    <row r="25" customFormat="false" ht="15" hidden="false" customHeight="false" outlineLevel="0" collapsed="false">
      <c r="A25" s="8" t="s">
        <v>799</v>
      </c>
      <c r="B25" s="14" t="s">
        <v>71</v>
      </c>
      <c r="D25" s="55" t="n">
        <f aca="false">BL25</f>
        <v>9163570963.45176</v>
      </c>
      <c r="E25" s="16" t="n">
        <f aca="false">SUM(E20:E24)</f>
        <v>0</v>
      </c>
      <c r="F25" s="16" t="n">
        <f aca="false">SUM(F20:F24)</f>
        <v>0</v>
      </c>
      <c r="G25" s="16" t="n">
        <f aca="false">SUM(G20:G24)</f>
        <v>0</v>
      </c>
      <c r="H25" s="16" t="n">
        <f aca="false">SUM(H20:H24)</f>
        <v>0</v>
      </c>
      <c r="I25" s="16" t="n">
        <f aca="false">SUM(I20:I24)</f>
        <v>0</v>
      </c>
      <c r="J25" s="16" t="n">
        <f aca="false">SUM(J20:J24)</f>
        <v>0</v>
      </c>
      <c r="K25" s="16" t="n">
        <f aca="false">SUM(K20:K24)</f>
        <v>0</v>
      </c>
      <c r="L25" s="16" t="n">
        <f aca="false">SUM(L20:L24)</f>
        <v>0</v>
      </c>
      <c r="M25" s="16" t="n">
        <f aca="false">SUM(M20:M24)</f>
        <v>0</v>
      </c>
      <c r="N25" s="16" t="n">
        <f aca="false">SUM(N20:N24)</f>
        <v>0</v>
      </c>
      <c r="O25" s="16" t="n">
        <f aca="false">SUM(O20:O24)</f>
        <v>0</v>
      </c>
      <c r="P25" s="16" t="n">
        <f aca="false">SUM(P20:P24)</f>
        <v>0</v>
      </c>
      <c r="Q25" s="16" t="n">
        <f aca="false">SUM(Q20:Q24)</f>
        <v>0</v>
      </c>
      <c r="R25" s="16" t="n">
        <f aca="false">SUM(R20:R24)</f>
        <v>0</v>
      </c>
      <c r="S25" s="16" t="n">
        <f aca="false">SUM(S20:S24)</f>
        <v>0</v>
      </c>
      <c r="T25" s="16" t="n">
        <f aca="false">SUM(T20:T24)</f>
        <v>0</v>
      </c>
      <c r="U25" s="16" t="n">
        <f aca="false">SUM(U20:U24)</f>
        <v>0</v>
      </c>
      <c r="V25" s="16" t="n">
        <f aca="false">SUM(V20:V24)</f>
        <v>36370608.4787953</v>
      </c>
      <c r="W25" s="16" t="n">
        <f aca="false">SUM(W20:W24)</f>
        <v>82901888.275007</v>
      </c>
      <c r="X25" s="16" t="n">
        <f aca="false">SUM(X20:X24)</f>
        <v>139554680.686348</v>
      </c>
      <c r="Y25" s="16" t="n">
        <f aca="false">SUM(Y20:Y24)</f>
        <v>218938981.370539</v>
      </c>
      <c r="Z25" s="16" t="n">
        <f aca="false">SUM(Z20:Z24)</f>
        <v>310897405.082048</v>
      </c>
      <c r="AA25" s="16" t="n">
        <f aca="false">SUM(AA20:AA24)</f>
        <v>415448448.949977</v>
      </c>
      <c r="AB25" s="16" t="n">
        <f aca="false">SUM(AB20:AB24)</f>
        <v>535894852.748202</v>
      </c>
      <c r="AC25" s="16" t="n">
        <f aca="false">SUM(AC20:AC24)</f>
        <v>683212942.955903</v>
      </c>
      <c r="AD25" s="16" t="n">
        <f aca="false">SUM(AD20:AD24)</f>
        <v>847588607.988463</v>
      </c>
      <c r="AE25" s="16" t="n">
        <f aca="false">SUM(AE20:AE24)</f>
        <v>1064901322.89948</v>
      </c>
      <c r="AF25" s="16" t="n">
        <f aca="false">SUM(AF20:AF24)</f>
        <v>1310601107.03025</v>
      </c>
      <c r="AG25" s="16" t="n">
        <f aca="false">SUM(AG20:AG24)</f>
        <v>1580412229.14656</v>
      </c>
      <c r="AH25" s="16" t="n">
        <f aca="false">SUM(AH20:AH24)</f>
        <v>1770006987.93597</v>
      </c>
      <c r="AI25" s="16" t="n">
        <f aca="false">SUM(AI20:AI24)</f>
        <v>1970102904.73051</v>
      </c>
      <c r="AJ25" s="16" t="n">
        <f aca="false">SUM(AJ20:AJ24)</f>
        <v>2188029255.89735</v>
      </c>
      <c r="AK25" s="16" t="n">
        <f aca="false">SUM(AK20:AK24)</f>
        <v>2384814228.03225</v>
      </c>
      <c r="AL25" s="16" t="n">
        <f aca="false">SUM(AL20:AL24)</f>
        <v>2589321279.62844</v>
      </c>
      <c r="AM25" s="16" t="n">
        <f aca="false">SUM(AM20:AM24)</f>
        <v>2809484089.47671</v>
      </c>
      <c r="AN25" s="16" t="n">
        <f aca="false">SUM(AN20:AN24)</f>
        <v>3045185338.79121</v>
      </c>
      <c r="AO25" s="16" t="n">
        <f aca="false">SUM(AO20:AO24)</f>
        <v>3303915670.88381</v>
      </c>
      <c r="AP25" s="16" t="n">
        <f aca="false">SUM(AP20:AP24)</f>
        <v>3580523519.70162</v>
      </c>
      <c r="AQ25" s="16" t="n">
        <f aca="false">SUM(AQ20:AQ24)</f>
        <v>3791145257.30923</v>
      </c>
      <c r="AR25" s="16" t="n">
        <f aca="false">SUM(AR20:AR24)</f>
        <v>4012390930.84689</v>
      </c>
      <c r="AS25" s="16" t="n">
        <f aca="false">SUM(AS20:AS24)</f>
        <v>4234901714.79426</v>
      </c>
      <c r="AT25" s="16" t="n">
        <f aca="false">SUM(AT20:AT24)</f>
        <v>4461275330.14185</v>
      </c>
      <c r="AU25" s="16" t="n">
        <f aca="false">SUM(AU20:AU24)</f>
        <v>4685168930.79654</v>
      </c>
      <c r="AV25" s="16" t="n">
        <f aca="false">SUM(AV20:AV24)</f>
        <v>4906695514.23608</v>
      </c>
      <c r="AW25" s="16" t="n">
        <f aca="false">SUM(AW20:AW24)</f>
        <v>5134295250.63934</v>
      </c>
      <c r="AX25" s="16" t="n">
        <f aca="false">SUM(AX20:AX24)</f>
        <v>5359624610.88839</v>
      </c>
      <c r="AY25" s="16" t="n">
        <f aca="false">SUM(AY20:AY24)</f>
        <v>5598623668.09779</v>
      </c>
      <c r="AZ25" s="16" t="n">
        <f aca="false">SUM(AZ20:AZ24)</f>
        <v>5835341738.56982</v>
      </c>
      <c r="BA25" s="16" t="n">
        <f aca="false">SUM(BA20:BA24)</f>
        <v>6092888826.20588</v>
      </c>
      <c r="BB25" s="16" t="n">
        <f aca="false">SUM(BB20:BB24)</f>
        <v>6348048576.91774</v>
      </c>
      <c r="BC25" s="16" t="n">
        <f aca="false">SUM(BC20:BC24)</f>
        <v>6609292386.85015</v>
      </c>
      <c r="BD25" s="16" t="n">
        <f aca="false">SUM(BD20:BD24)</f>
        <v>6875801764.8556</v>
      </c>
      <c r="BE25" s="16" t="n">
        <f aca="false">SUM(BE20:BE24)</f>
        <v>7148443244.26032</v>
      </c>
      <c r="BF25" s="16" t="n">
        <f aca="false">SUM(BF20:BF24)</f>
        <v>7418918713.94812</v>
      </c>
      <c r="BG25" s="16" t="n">
        <f aca="false">SUM(BG20:BG24)</f>
        <v>7703215666.65277</v>
      </c>
      <c r="BH25" s="16" t="n">
        <f aca="false">SUM(BH20:BH24)</f>
        <v>7985432973.22002</v>
      </c>
      <c r="BI25" s="16" t="n">
        <f aca="false">SUM(BI20:BI24)</f>
        <v>8274080468.07456</v>
      </c>
      <c r="BJ25" s="16" t="n">
        <f aca="false">SUM(BJ20:BJ24)</f>
        <v>8560887566.90513</v>
      </c>
      <c r="BK25" s="16" t="n">
        <f aca="false">SUM(BK20:BK24)</f>
        <v>8860443620.27646</v>
      </c>
      <c r="BL25" s="16" t="n">
        <f aca="false">SUM(BL20:BL24)</f>
        <v>9163570963.45176</v>
      </c>
    </row>
    <row r="27" customFormat="false" ht="15" hidden="false" customHeight="false" outlineLevel="0" collapsed="false">
      <c r="A27" s="10" t="s">
        <v>800</v>
      </c>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row>
    <row r="28" customFormat="false" ht="15" hidden="false" customHeight="false" outlineLevel="0" collapsed="false">
      <c r="A28" s="12" t="s">
        <v>591</v>
      </c>
      <c r="B28" s="14" t="s">
        <v>71</v>
      </c>
      <c r="E28" s="37" t="n">
        <f aca="false">E20/2</f>
        <v>0</v>
      </c>
      <c r="F28" s="37" t="n">
        <f aca="false">(F20+E20)/2</f>
        <v>0</v>
      </c>
      <c r="G28" s="37" t="n">
        <f aca="false">(G20+F20)/2</f>
        <v>0</v>
      </c>
      <c r="H28" s="37" t="n">
        <f aca="false">(H20+G20)/2</f>
        <v>0</v>
      </c>
      <c r="I28" s="37" t="n">
        <f aca="false">(I20+H20)/2</f>
        <v>0</v>
      </c>
      <c r="J28" s="37" t="n">
        <f aca="false">(J20+I20)/2</f>
        <v>0</v>
      </c>
      <c r="K28" s="37" t="n">
        <f aca="false">(K20+J20)/2</f>
        <v>0</v>
      </c>
      <c r="L28" s="37" t="n">
        <f aca="false">(L20+K20)/2</f>
        <v>0</v>
      </c>
      <c r="M28" s="37" t="n">
        <f aca="false">(M20+L20)/2</f>
        <v>0</v>
      </c>
      <c r="N28" s="37" t="n">
        <f aca="false">(N20+M20)/2</f>
        <v>0</v>
      </c>
      <c r="O28" s="37" t="n">
        <f aca="false">(O20+N20)/2</f>
        <v>0</v>
      </c>
      <c r="P28" s="37" t="n">
        <f aca="false">(P20+O20)/2</f>
        <v>0</v>
      </c>
      <c r="Q28" s="37" t="n">
        <f aca="false">(Q20+P20)/2</f>
        <v>0</v>
      </c>
      <c r="R28" s="37" t="n">
        <f aca="false">(R20+Q20)/2</f>
        <v>0</v>
      </c>
      <c r="S28" s="37" t="n">
        <f aca="false">(S20+R20)/2</f>
        <v>0</v>
      </c>
      <c r="T28" s="37" t="n">
        <f aca="false">(T20+S20)/2</f>
        <v>0</v>
      </c>
      <c r="U28" s="37" t="n">
        <f aca="false">(U20+T20)/2</f>
        <v>0</v>
      </c>
      <c r="V28" s="37" t="n">
        <f aca="false">(V20+U20)/2</f>
        <v>14845146.3178756</v>
      </c>
      <c r="W28" s="37" t="n">
        <f aca="false">(W20+V20)/2</f>
        <v>48682651.7362458</v>
      </c>
      <c r="X28" s="37" t="n">
        <f aca="false">(X20+W20)/2</f>
        <v>90798599.5760632</v>
      </c>
      <c r="Y28" s="37" t="n">
        <f aca="false">(Y20+X20)/2</f>
        <v>141168394.684823</v>
      </c>
      <c r="Z28" s="37" t="n">
        <f aca="false">(Z20+Y20)/2</f>
        <v>199782544.052055</v>
      </c>
      <c r="AA28" s="37" t="n">
        <f aca="false">(AA20+Z20)/2</f>
        <v>266647406.779462</v>
      </c>
      <c r="AB28" s="37" t="n">
        <f aca="false">(AB20+AA20)/2</f>
        <v>342952673.189955</v>
      </c>
      <c r="AC28" s="37" t="n">
        <f aca="false">(AC20+AB20)/2</f>
        <v>433725799.47733</v>
      </c>
      <c r="AD28" s="37" t="n">
        <f aca="false">(AD20+AC20)/2</f>
        <v>539244801.116812</v>
      </c>
      <c r="AE28" s="37" t="n">
        <f aca="false">(AE20+AD20)/2</f>
        <v>655952145.547787</v>
      </c>
      <c r="AF28" s="37" t="n">
        <f aca="false">(AF20+AE20)/2</f>
        <v>785711513.301267</v>
      </c>
      <c r="AG28" s="37" t="n">
        <f aca="false">(AG20+AF20)/2</f>
        <v>928877047.311413</v>
      </c>
      <c r="AH28" s="37" t="n">
        <f aca="false">(AH20+AG20)/2</f>
        <v>1039196767.66377</v>
      </c>
      <c r="AI28" s="37" t="n">
        <f aca="false">(AI20+AH20)/2</f>
        <v>1110788343.58839</v>
      </c>
      <c r="AJ28" s="37" t="n">
        <f aca="false">(AJ20+AI20)/2</f>
        <v>1184559885.07406</v>
      </c>
      <c r="AK28" s="37" t="n">
        <f aca="false">(AK20+AJ20)/2</f>
        <v>1260557176.84501</v>
      </c>
      <c r="AL28" s="37" t="n">
        <f aca="false">(AL20+AK20)/2</f>
        <v>1336830109.5912</v>
      </c>
      <c r="AM28" s="37" t="n">
        <f aca="false">(AM20+AL20)/2</f>
        <v>1415465902.76283</v>
      </c>
      <c r="AN28" s="37" t="n">
        <f aca="false">(AN20+AM20)/2</f>
        <v>1498322756.16352</v>
      </c>
      <c r="AO28" s="37" t="n">
        <f aca="false">(AO20+AN20)/2</f>
        <v>1586927330.3516</v>
      </c>
      <c r="AP28" s="37" t="n">
        <f aca="false">(AP20+AO20)/2</f>
        <v>1681493932.96522</v>
      </c>
      <c r="AQ28" s="37" t="n">
        <f aca="false">(AQ20+AP20)/2</f>
        <v>1778546568.65669</v>
      </c>
      <c r="AR28" s="37" t="n">
        <f aca="false">(AR20+AQ20)/2</f>
        <v>1878166886.86358</v>
      </c>
      <c r="AS28" s="37" t="n">
        <f aca="false">(AS20+AR20)/2</f>
        <v>1980147982.95766</v>
      </c>
      <c r="AT28" s="37" t="n">
        <f aca="false">(AT20+AS20)/2</f>
        <v>2085410934.43932</v>
      </c>
      <c r="AU28" s="37" t="n">
        <f aca="false">(AU20+AT20)/2</f>
        <v>2193305656.85269</v>
      </c>
      <c r="AV28" s="37" t="n">
        <f aca="false">(AV20+AU20)/2</f>
        <v>2300022478.81399</v>
      </c>
      <c r="AW28" s="37" t="n">
        <f aca="false">(AW20+AV20)/2</f>
        <v>2407616543.94564</v>
      </c>
      <c r="AX28" s="37" t="n">
        <f aca="false">(AX20+AW20)/2</f>
        <v>2516111079.32905</v>
      </c>
      <c r="AY28" s="37" t="n">
        <f aca="false">(AY20+AX20)/2</f>
        <v>2627331086.74275</v>
      </c>
      <c r="AZ28" s="37" t="n">
        <f aca="false">(AZ20+AY20)/2</f>
        <v>2741273743.63209</v>
      </c>
      <c r="BA28" s="37" t="n">
        <f aca="false">(BA20+AZ20)/2</f>
        <v>2859658736.72462</v>
      </c>
      <c r="BB28" s="37" t="n">
        <f aca="false">(BB20+BA20)/2</f>
        <v>2982459985.88768</v>
      </c>
      <c r="BC28" s="37" t="n">
        <f aca="false">(BC20+BB20)/2</f>
        <v>3106134638.17483</v>
      </c>
      <c r="BD28" s="37" t="n">
        <f aca="false">(BD20+BC20)/2</f>
        <v>3232521256.93371</v>
      </c>
      <c r="BE28" s="37" t="n">
        <f aca="false">(BE20+BD20)/2</f>
        <v>3361631129.42385</v>
      </c>
      <c r="BF28" s="37" t="n">
        <f aca="false">(BF20+BE20)/2</f>
        <v>3491678638.20845</v>
      </c>
      <c r="BG28" s="37" t="n">
        <f aca="false">(BG20+BF20)/2</f>
        <v>3624511104.96219</v>
      </c>
      <c r="BH28" s="37" t="n">
        <f aca="false">(BH20+BG20)/2</f>
        <v>3760149017.17404</v>
      </c>
      <c r="BI28" s="37" t="n">
        <f aca="false">(BI20+BH20)/2</f>
        <v>3896816427.56474</v>
      </c>
      <c r="BJ28" s="37" t="n">
        <f aca="false">(BJ20+BI20)/2</f>
        <v>4034570827.57366</v>
      </c>
      <c r="BK28" s="37" t="n">
        <f aca="false">(BK20+BJ20)/2</f>
        <v>4174930243.96888</v>
      </c>
      <c r="BL28" s="37" t="n">
        <f aca="false">(BL20+BK20)/2</f>
        <v>4319194553.62791</v>
      </c>
    </row>
    <row r="29" customFormat="false" ht="15" hidden="false" customHeight="false" outlineLevel="0" collapsed="false">
      <c r="A29" s="12" t="s">
        <v>592</v>
      </c>
      <c r="B29" s="14" t="s">
        <v>71</v>
      </c>
      <c r="E29" s="37" t="n">
        <f aca="false">E21/2</f>
        <v>0</v>
      </c>
      <c r="F29" s="37" t="n">
        <f aca="false">(F21+E21)/2</f>
        <v>0</v>
      </c>
      <c r="G29" s="37" t="n">
        <f aca="false">(G21+F21)/2</f>
        <v>0</v>
      </c>
      <c r="H29" s="37" t="n">
        <f aca="false">(H21+G21)/2</f>
        <v>0</v>
      </c>
      <c r="I29" s="37" t="n">
        <f aca="false">(I21+H21)/2</f>
        <v>0</v>
      </c>
      <c r="J29" s="37" t="n">
        <f aca="false">(J21+I21)/2</f>
        <v>0</v>
      </c>
      <c r="K29" s="37" t="n">
        <f aca="false">(K21+J21)/2</f>
        <v>0</v>
      </c>
      <c r="L29" s="37" t="n">
        <f aca="false">(L21+K21)/2</f>
        <v>0</v>
      </c>
      <c r="M29" s="37" t="n">
        <f aca="false">(M21+L21)/2</f>
        <v>0</v>
      </c>
      <c r="N29" s="37" t="n">
        <f aca="false">(N21+M21)/2</f>
        <v>0</v>
      </c>
      <c r="O29" s="37" t="n">
        <f aca="false">(O21+N21)/2</f>
        <v>0</v>
      </c>
      <c r="P29" s="37" t="n">
        <f aca="false">(P21+O21)/2</f>
        <v>0</v>
      </c>
      <c r="Q29" s="37" t="n">
        <f aca="false">(Q21+P21)/2</f>
        <v>0</v>
      </c>
      <c r="R29" s="37" t="n">
        <f aca="false">(R21+Q21)/2</f>
        <v>0</v>
      </c>
      <c r="S29" s="37" t="n">
        <f aca="false">(S21+R21)/2</f>
        <v>0</v>
      </c>
      <c r="T29" s="37" t="n">
        <f aca="false">(T21+S21)/2</f>
        <v>0</v>
      </c>
      <c r="U29" s="37" t="n">
        <f aca="false">(U21+T21)/2</f>
        <v>0</v>
      </c>
      <c r="V29" s="37" t="n">
        <f aca="false">(V21+U21)/2</f>
        <v>3340157.92152202</v>
      </c>
      <c r="W29" s="37" t="n">
        <f aca="false">(W21+V21)/2</f>
        <v>10953596.6406553</v>
      </c>
      <c r="X29" s="37" t="n">
        <f aca="false">(X21+W21)/2</f>
        <v>20429684.9046142</v>
      </c>
      <c r="Y29" s="37" t="n">
        <f aca="false">(Y21+X21)/2</f>
        <v>31762888.8040853</v>
      </c>
      <c r="Z29" s="37" t="n">
        <f aca="false">(Z21+Y21)/2</f>
        <v>44951072.4117124</v>
      </c>
      <c r="AA29" s="37" t="n">
        <f aca="false">(AA21+Z21)/2</f>
        <v>59995666.5253789</v>
      </c>
      <c r="AB29" s="37" t="n">
        <f aca="false">(AB21+AA21)/2</f>
        <v>77164351.4677398</v>
      </c>
      <c r="AC29" s="37" t="n">
        <f aca="false">(AC21+AB21)/2</f>
        <v>97588304.8823993</v>
      </c>
      <c r="AD29" s="37" t="n">
        <f aca="false">(AD21+AC21)/2</f>
        <v>121330080.251283</v>
      </c>
      <c r="AE29" s="37" t="n">
        <f aca="false">(AE21+AD21)/2</f>
        <v>147589232.748252</v>
      </c>
      <c r="AF29" s="37" t="n">
        <f aca="false">(AF21+AE21)/2</f>
        <v>176785090.492785</v>
      </c>
      <c r="AG29" s="37" t="n">
        <f aca="false">(AG21+AF21)/2</f>
        <v>208997335.645068</v>
      </c>
      <c r="AH29" s="37" t="n">
        <f aca="false">(AH21+AG21)/2</f>
        <v>233819272.724347</v>
      </c>
      <c r="AI29" s="37" t="n">
        <f aca="false">(AI21+AH21)/2</f>
        <v>249927377.307388</v>
      </c>
      <c r="AJ29" s="37" t="n">
        <f aca="false">(AJ21+AI21)/2</f>
        <v>266525974.141663</v>
      </c>
      <c r="AK29" s="37" t="n">
        <f aca="false">(AK21+AJ21)/2</f>
        <v>283625364.790128</v>
      </c>
      <c r="AL29" s="37" t="n">
        <f aca="false">(AL21+AK21)/2</f>
        <v>300786774.658021</v>
      </c>
      <c r="AM29" s="37" t="n">
        <f aca="false">(AM21+AL21)/2</f>
        <v>318479828.121636</v>
      </c>
      <c r="AN29" s="37" t="n">
        <f aca="false">(AN21+AM21)/2</f>
        <v>337122620.136793</v>
      </c>
      <c r="AO29" s="37" t="n">
        <f aca="false">(AO21+AN21)/2</f>
        <v>357058649.329109</v>
      </c>
      <c r="AP29" s="37" t="n">
        <f aca="false">(AP21+AO21)/2</f>
        <v>378336134.917175</v>
      </c>
      <c r="AQ29" s="37" t="n">
        <f aca="false">(AQ21+AP21)/2</f>
        <v>400172977.947754</v>
      </c>
      <c r="AR29" s="37" t="n">
        <f aca="false">(AR21+AQ21)/2</f>
        <v>422587549.544306</v>
      </c>
      <c r="AS29" s="37" t="n">
        <f aca="false">(AS21+AR21)/2</f>
        <v>445533296.165474</v>
      </c>
      <c r="AT29" s="37" t="n">
        <f aca="false">(AT21+AS21)/2</f>
        <v>469217460.248847</v>
      </c>
      <c r="AU29" s="37" t="n">
        <f aca="false">(AU21+AT21)/2</f>
        <v>493493772.791856</v>
      </c>
      <c r="AV29" s="37" t="n">
        <f aca="false">(AV21+AU21)/2</f>
        <v>517505057.733148</v>
      </c>
      <c r="AW29" s="37" t="n">
        <f aca="false">(AW21+AV21)/2</f>
        <v>541713722.387769</v>
      </c>
      <c r="AX29" s="37" t="n">
        <f aca="false">(AX21+AW21)/2</f>
        <v>566124992.849036</v>
      </c>
      <c r="AY29" s="37" t="n">
        <f aca="false">(AY21+AX21)/2</f>
        <v>591149494.517119</v>
      </c>
      <c r="AZ29" s="37" t="n">
        <f aca="false">(AZ21+AY21)/2</f>
        <v>616786592.317221</v>
      </c>
      <c r="BA29" s="37" t="n">
        <f aca="false">(BA21+AZ21)/2</f>
        <v>643423215.763039</v>
      </c>
      <c r="BB29" s="37" t="n">
        <f aca="false">(BB21+BA21)/2</f>
        <v>671053496.824727</v>
      </c>
      <c r="BC29" s="37" t="n">
        <f aca="false">(BC21+BB21)/2</f>
        <v>698880293.589337</v>
      </c>
      <c r="BD29" s="37" t="n">
        <f aca="false">(BD21+BC21)/2</f>
        <v>727317282.810084</v>
      </c>
      <c r="BE29" s="37" t="n">
        <f aca="false">(BE21+BD21)/2</f>
        <v>756367004.120367</v>
      </c>
      <c r="BF29" s="37" t="n">
        <f aca="false">(BF21+BE21)/2</f>
        <v>785627693.596901</v>
      </c>
      <c r="BG29" s="37" t="n">
        <f aca="false">(BG21+BF21)/2</f>
        <v>815514998.616492</v>
      </c>
      <c r="BH29" s="37" t="n">
        <f aca="false">(BH21+BG21)/2</f>
        <v>846033528.864158</v>
      </c>
      <c r="BI29" s="37" t="n">
        <f aca="false">(BI21+BH21)/2</f>
        <v>876783696.202066</v>
      </c>
      <c r="BJ29" s="37" t="n">
        <f aca="false">(BJ21+BI21)/2</f>
        <v>907778436.204074</v>
      </c>
      <c r="BK29" s="37" t="n">
        <f aca="false">(BK21+BJ21)/2</f>
        <v>939359304.892998</v>
      </c>
      <c r="BL29" s="37" t="n">
        <f aca="false">(BL21+BK21)/2</f>
        <v>971818774.566279</v>
      </c>
    </row>
    <row r="30" customFormat="false" ht="15" hidden="false" customHeight="false" outlineLevel="0" collapsed="false">
      <c r="A30" s="12" t="s">
        <v>593</v>
      </c>
      <c r="B30" s="14" t="s">
        <v>71</v>
      </c>
      <c r="E30" s="37" t="n">
        <f aca="false">E22/2</f>
        <v>0</v>
      </c>
      <c r="F30" s="37" t="n">
        <f aca="false">(F22+E22)/2</f>
        <v>0</v>
      </c>
      <c r="G30" s="37" t="n">
        <f aca="false">(G22+F22)/2</f>
        <v>0</v>
      </c>
      <c r="H30" s="37" t="n">
        <f aca="false">(H22+G22)/2</f>
        <v>0</v>
      </c>
      <c r="I30" s="37" t="n">
        <f aca="false">(I22+H22)/2</f>
        <v>0</v>
      </c>
      <c r="J30" s="37" t="n">
        <f aca="false">(J22+I22)/2</f>
        <v>0</v>
      </c>
      <c r="K30" s="37" t="n">
        <f aca="false">(K22+J22)/2</f>
        <v>0</v>
      </c>
      <c r="L30" s="37" t="n">
        <f aca="false">(L22+K22)/2</f>
        <v>0</v>
      </c>
      <c r="M30" s="37" t="n">
        <f aca="false">(M22+L22)/2</f>
        <v>0</v>
      </c>
      <c r="N30" s="37" t="n">
        <f aca="false">(N22+M22)/2</f>
        <v>0</v>
      </c>
      <c r="O30" s="37" t="n">
        <f aca="false">(O22+N22)/2</f>
        <v>0</v>
      </c>
      <c r="P30" s="37" t="n">
        <f aca="false">(P22+O22)/2</f>
        <v>0</v>
      </c>
      <c r="Q30" s="37" t="n">
        <f aca="false">(Q22+P22)/2</f>
        <v>0</v>
      </c>
      <c r="R30" s="37" t="n">
        <f aca="false">(R22+Q22)/2</f>
        <v>0</v>
      </c>
      <c r="S30" s="37" t="n">
        <f aca="false">(S22+R22)/2</f>
        <v>0</v>
      </c>
      <c r="T30" s="37" t="n">
        <f aca="false">(T22+S22)/2</f>
        <v>0</v>
      </c>
      <c r="U30" s="37" t="n">
        <f aca="false">(U22+T22)/2</f>
        <v>0</v>
      </c>
      <c r="V30" s="37" t="n">
        <f aca="false">(V22+U22)/2</f>
        <v>0</v>
      </c>
      <c r="W30" s="37" t="n">
        <f aca="false">(W22+V22)/2</f>
        <v>0</v>
      </c>
      <c r="X30" s="37" t="n">
        <f aca="false">(X22+W22)/2</f>
        <v>0</v>
      </c>
      <c r="Y30" s="37" t="n">
        <f aca="false">(Y22+X22)/2</f>
        <v>6315547.53953478</v>
      </c>
      <c r="Z30" s="37" t="n">
        <f aca="false">(Z22+Y22)/2</f>
        <v>20184576.7625258</v>
      </c>
      <c r="AA30" s="37" t="n">
        <f aca="false">(AA22+Z22)/2</f>
        <v>36529853.7111716</v>
      </c>
      <c r="AB30" s="37" t="n">
        <f aca="false">(AB22+AA22)/2</f>
        <v>55554626.191395</v>
      </c>
      <c r="AC30" s="37" t="n">
        <f aca="false">(AC22+AB22)/2</f>
        <v>78239793.492323</v>
      </c>
      <c r="AD30" s="37" t="n">
        <f aca="false">(AD22+AC22)/2</f>
        <v>104825894.104088</v>
      </c>
      <c r="AE30" s="37" t="n">
        <f aca="false">(AE22+AD22)/2</f>
        <v>134775955.449286</v>
      </c>
      <c r="AF30" s="37" t="n">
        <f aca="false">(AF22+AE22)/2</f>
        <v>168494354.07868</v>
      </c>
      <c r="AG30" s="37" t="n">
        <f aca="false">(AG22+AF22)/2</f>
        <v>206084888.740556</v>
      </c>
      <c r="AH30" s="37" t="n">
        <f aca="false">(AH22+AG22)/2</f>
        <v>247256237.716366</v>
      </c>
      <c r="AI30" s="37" t="n">
        <f aca="false">(AI22+AH22)/2</f>
        <v>292029829.49479</v>
      </c>
      <c r="AJ30" s="37" t="n">
        <f aca="false">(AJ22+AI22)/2</f>
        <v>341035221.924526</v>
      </c>
      <c r="AK30" s="37" t="n">
        <f aca="false">(AK22+AJ22)/2</f>
        <v>378167153.053504</v>
      </c>
      <c r="AL30" s="37" t="n">
        <f aca="false">(AL22+AK22)/2</f>
        <v>401049032.877361</v>
      </c>
      <c r="AM30" s="37" t="n">
        <f aca="false">(AM22+AL22)/2</f>
        <v>424639770.828848</v>
      </c>
      <c r="AN30" s="37" t="n">
        <f aca="false">(AN22+AM22)/2</f>
        <v>449496826.849057</v>
      </c>
      <c r="AO30" s="37" t="n">
        <f aca="false">(AO22+AN22)/2</f>
        <v>476078199.105479</v>
      </c>
      <c r="AP30" s="37" t="n">
        <f aca="false">(AP22+AO22)/2</f>
        <v>504448179.889567</v>
      </c>
      <c r="AQ30" s="37" t="n">
        <f aca="false">(AQ22+AP22)/2</f>
        <v>533563970.597006</v>
      </c>
      <c r="AR30" s="37" t="n">
        <f aca="false">(AR22+AQ22)/2</f>
        <v>563450066.059075</v>
      </c>
      <c r="AS30" s="37" t="n">
        <f aca="false">(AS22+AR22)/2</f>
        <v>594044394.887299</v>
      </c>
      <c r="AT30" s="37" t="n">
        <f aca="false">(AT22+AS22)/2</f>
        <v>625623280.331796</v>
      </c>
      <c r="AU30" s="37" t="n">
        <f aca="false">(AU22+AT22)/2</f>
        <v>657991697.055808</v>
      </c>
      <c r="AV30" s="37" t="n">
        <f aca="false">(AV22+AU22)/2</f>
        <v>690006743.644198</v>
      </c>
      <c r="AW30" s="37" t="n">
        <f aca="false">(AW22+AV22)/2</f>
        <v>722284963.183692</v>
      </c>
      <c r="AX30" s="37" t="n">
        <f aca="false">(AX22+AW22)/2</f>
        <v>754833323.798715</v>
      </c>
      <c r="AY30" s="37" t="n">
        <f aca="false">(AY22+AX22)/2</f>
        <v>788199326.022825</v>
      </c>
      <c r="AZ30" s="37" t="n">
        <f aca="false">(AZ22+AY22)/2</f>
        <v>822382123.089628</v>
      </c>
      <c r="BA30" s="37" t="n">
        <f aca="false">(BA22+AZ22)/2</f>
        <v>857897621.017386</v>
      </c>
      <c r="BB30" s="37" t="n">
        <f aca="false">(BB22+BA22)/2</f>
        <v>894737995.766303</v>
      </c>
      <c r="BC30" s="37" t="n">
        <f aca="false">(BC22+BB22)/2</f>
        <v>931840391.45245</v>
      </c>
      <c r="BD30" s="37" t="n">
        <f aca="false">(BD22+BC22)/2</f>
        <v>969756377.080112</v>
      </c>
      <c r="BE30" s="37" t="n">
        <f aca="false">(BE22+BD22)/2</f>
        <v>1008489338.82716</v>
      </c>
      <c r="BF30" s="37" t="n">
        <f aca="false">(BF22+BE22)/2</f>
        <v>1047503591.46254</v>
      </c>
      <c r="BG30" s="37" t="n">
        <f aca="false">(BG22+BF22)/2</f>
        <v>1087353331.48866</v>
      </c>
      <c r="BH30" s="37" t="n">
        <f aca="false">(BH22+BG22)/2</f>
        <v>1128044705.15221</v>
      </c>
      <c r="BI30" s="37" t="n">
        <f aca="false">(BI22+BH22)/2</f>
        <v>1169044928.26942</v>
      </c>
      <c r="BJ30" s="37" t="n">
        <f aca="false">(BJ22+BI22)/2</f>
        <v>1210371248.2721</v>
      </c>
      <c r="BK30" s="37" t="n">
        <f aca="false">(BK22+BJ22)/2</f>
        <v>1252479073.19066</v>
      </c>
      <c r="BL30" s="37" t="n">
        <f aca="false">(BL22+BK22)/2</f>
        <v>1295758366.08837</v>
      </c>
    </row>
    <row r="31" customFormat="false" ht="15" hidden="false" customHeight="false" outlineLevel="0" collapsed="false">
      <c r="A31" s="12" t="s">
        <v>594</v>
      </c>
      <c r="B31" s="14" t="s">
        <v>71</v>
      </c>
      <c r="E31" s="37" t="n">
        <f aca="false">E23/2</f>
        <v>0</v>
      </c>
      <c r="F31" s="37" t="n">
        <f aca="false">(F23+E23)/2</f>
        <v>0</v>
      </c>
      <c r="G31" s="37" t="n">
        <f aca="false">(G23+F23)/2</f>
        <v>0</v>
      </c>
      <c r="H31" s="37" t="n">
        <f aca="false">(H23+G23)/2</f>
        <v>0</v>
      </c>
      <c r="I31" s="37" t="n">
        <f aca="false">(I23+H23)/2</f>
        <v>0</v>
      </c>
      <c r="J31" s="37" t="n">
        <f aca="false">(J23+I23)/2</f>
        <v>0</v>
      </c>
      <c r="K31" s="37" t="n">
        <f aca="false">(K23+J23)/2</f>
        <v>0</v>
      </c>
      <c r="L31" s="37" t="n">
        <f aca="false">(L23+K23)/2</f>
        <v>0</v>
      </c>
      <c r="M31" s="37" t="n">
        <f aca="false">(M23+L23)/2</f>
        <v>0</v>
      </c>
      <c r="N31" s="37" t="n">
        <f aca="false">(N23+M23)/2</f>
        <v>0</v>
      </c>
      <c r="O31" s="37" t="n">
        <f aca="false">(O23+N23)/2</f>
        <v>0</v>
      </c>
      <c r="P31" s="37" t="n">
        <f aca="false">(P23+O23)/2</f>
        <v>0</v>
      </c>
      <c r="Q31" s="37" t="n">
        <f aca="false">(Q23+P23)/2</f>
        <v>0</v>
      </c>
      <c r="R31" s="37" t="n">
        <f aca="false">(R23+Q23)/2</f>
        <v>0</v>
      </c>
      <c r="S31" s="37" t="n">
        <f aca="false">(S23+R23)/2</f>
        <v>0</v>
      </c>
      <c r="T31" s="37" t="n">
        <f aca="false">(T23+S23)/2</f>
        <v>0</v>
      </c>
      <c r="U31" s="37" t="n">
        <f aca="false">(U23+T23)/2</f>
        <v>0</v>
      </c>
      <c r="V31" s="37" t="n">
        <f aca="false">(V23+U23)/2</f>
        <v>0</v>
      </c>
      <c r="W31" s="37" t="n">
        <f aca="false">(W23+V23)/2</f>
        <v>0</v>
      </c>
      <c r="X31" s="37" t="n">
        <f aca="false">(X23+W23)/2</f>
        <v>0</v>
      </c>
      <c r="Y31" s="37" t="n">
        <f aca="false">(Y23+X23)/2</f>
        <v>0</v>
      </c>
      <c r="Z31" s="37" t="n">
        <f aca="false">(Z23+Y23)/2</f>
        <v>0</v>
      </c>
      <c r="AA31" s="37" t="n">
        <f aca="false">(AA23+Z23)/2</f>
        <v>0</v>
      </c>
      <c r="AB31" s="37" t="n">
        <f aca="false">(AB23+AA23)/2</f>
        <v>0</v>
      </c>
      <c r="AC31" s="37" t="n">
        <f aca="false">(AC23+AB23)/2</f>
        <v>0</v>
      </c>
      <c r="AD31" s="37" t="n">
        <f aca="false">(AD23+AC23)/2</f>
        <v>0</v>
      </c>
      <c r="AE31" s="37" t="n">
        <f aca="false">(AE23+AD23)/2</f>
        <v>17927631.6986444</v>
      </c>
      <c r="AF31" s="37" t="n">
        <f aca="false">(AF23+AE23)/2</f>
        <v>56760257.0921334</v>
      </c>
      <c r="AG31" s="37" t="n">
        <f aca="false">(AG23+AF23)/2</f>
        <v>101547396.391368</v>
      </c>
      <c r="AH31" s="37" t="n">
        <f aca="false">(AH23+AG23)/2</f>
        <v>152294537.611335</v>
      </c>
      <c r="AI31" s="37" t="n">
        <f aca="false">(AI23+AH23)/2</f>
        <v>209019296.594218</v>
      </c>
      <c r="AJ31" s="37" t="n">
        <f aca="false">(AJ23+AI23)/2</f>
        <v>272252065.272363</v>
      </c>
      <c r="AK31" s="37" t="n">
        <f aca="false">(AK23+AJ23)/2</f>
        <v>342193754.031196</v>
      </c>
      <c r="AL31" s="37" t="n">
        <f aca="false">(AL23+AK23)/2</f>
        <v>418555576.710459</v>
      </c>
      <c r="AM31" s="37" t="n">
        <f aca="false">(AM23+AL23)/2</f>
        <v>502152918.789702</v>
      </c>
      <c r="AN31" s="37" t="n">
        <f aca="false">(AN23+AM23)/2</f>
        <v>593970197.199375</v>
      </c>
      <c r="AO31" s="37" t="n">
        <f aca="false">(AO23+AN23)/2</f>
        <v>695242529.439761</v>
      </c>
      <c r="AP31" s="37" t="n">
        <f aca="false">(AP23+AO23)/2</f>
        <v>806724158.022681</v>
      </c>
      <c r="AQ31" s="37" t="n">
        <f aca="false">(AQ23+AP23)/2</f>
        <v>889273284.328343</v>
      </c>
      <c r="AR31" s="37" t="n">
        <f aca="false">(AR23+AQ23)/2</f>
        <v>939083443.431792</v>
      </c>
      <c r="AS31" s="37" t="n">
        <f aca="false">(AS23+AR23)/2</f>
        <v>990073991.478832</v>
      </c>
      <c r="AT31" s="37" t="n">
        <f aca="false">(AT23+AS23)/2</f>
        <v>1042705467.21966</v>
      </c>
      <c r="AU31" s="37" t="n">
        <f aca="false">(AU23+AT23)/2</f>
        <v>1096652828.42635</v>
      </c>
      <c r="AV31" s="37" t="n">
        <f aca="false">(AV23+AU23)/2</f>
        <v>1150011239.407</v>
      </c>
      <c r="AW31" s="37" t="n">
        <f aca="false">(AW23+AV23)/2</f>
        <v>1203808271.97282</v>
      </c>
      <c r="AX31" s="37" t="n">
        <f aca="false">(AX23+AW23)/2</f>
        <v>1258055539.66453</v>
      </c>
      <c r="AY31" s="37" t="n">
        <f aca="false">(AY23+AX23)/2</f>
        <v>1313665543.37138</v>
      </c>
      <c r="AZ31" s="37" t="n">
        <f aca="false">(AZ23+AY23)/2</f>
        <v>1370636871.81605</v>
      </c>
      <c r="BA31" s="37" t="n">
        <f aca="false">(BA23+AZ23)/2</f>
        <v>1429829368.36231</v>
      </c>
      <c r="BB31" s="37" t="n">
        <f aca="false">(BB23+BA23)/2</f>
        <v>1491229992.94384</v>
      </c>
      <c r="BC31" s="37" t="n">
        <f aca="false">(BC23+BB23)/2</f>
        <v>1553067319.08742</v>
      </c>
      <c r="BD31" s="37" t="n">
        <f aca="false">(BD23+BC23)/2</f>
        <v>1616260628.46685</v>
      </c>
      <c r="BE31" s="37" t="n">
        <f aca="false">(BE23+BD23)/2</f>
        <v>1680815564.71193</v>
      </c>
      <c r="BF31" s="37" t="n">
        <f aca="false">(BF23+BE23)/2</f>
        <v>1745839319.10423</v>
      </c>
      <c r="BG31" s="37" t="n">
        <f aca="false">(BG23+BF23)/2</f>
        <v>1812255552.48109</v>
      </c>
      <c r="BH31" s="37" t="n">
        <f aca="false">(BH23+BG23)/2</f>
        <v>1880074508.58702</v>
      </c>
      <c r="BI31" s="37" t="n">
        <f aca="false">(BI23+BH23)/2</f>
        <v>1948408213.78237</v>
      </c>
      <c r="BJ31" s="37" t="n">
        <f aca="false">(BJ23+BI23)/2</f>
        <v>2017285413.78683</v>
      </c>
      <c r="BK31" s="37" t="n">
        <f aca="false">(BK23+BJ23)/2</f>
        <v>2087465121.98444</v>
      </c>
      <c r="BL31" s="37" t="n">
        <f aca="false">(BL23+BK23)/2</f>
        <v>2159597276.81395</v>
      </c>
    </row>
    <row r="32" customFormat="false" ht="15" hidden="false" customHeight="false" outlineLevel="0" collapsed="false">
      <c r="A32" s="12" t="s">
        <v>595</v>
      </c>
      <c r="B32" s="14" t="s">
        <v>71</v>
      </c>
      <c r="E32" s="37" t="n">
        <f aca="false">E24/2</f>
        <v>0</v>
      </c>
      <c r="F32" s="37" t="n">
        <f aca="false">(F24+E24)/2</f>
        <v>0</v>
      </c>
      <c r="G32" s="37" t="n">
        <f aca="false">(G24+F24)/2</f>
        <v>0</v>
      </c>
      <c r="H32" s="37" t="n">
        <f aca="false">(H24+G24)/2</f>
        <v>0</v>
      </c>
      <c r="I32" s="37" t="n">
        <f aca="false">(I24+H24)/2</f>
        <v>0</v>
      </c>
      <c r="J32" s="37" t="n">
        <f aca="false">(J24+I24)/2</f>
        <v>0</v>
      </c>
      <c r="K32" s="37" t="n">
        <f aca="false">(K24+J24)/2</f>
        <v>0</v>
      </c>
      <c r="L32" s="37" t="n">
        <f aca="false">(L24+K24)/2</f>
        <v>0</v>
      </c>
      <c r="M32" s="37" t="n">
        <f aca="false">(M24+L24)/2</f>
        <v>0</v>
      </c>
      <c r="N32" s="37" t="n">
        <f aca="false">(N24+M24)/2</f>
        <v>0</v>
      </c>
      <c r="O32" s="37" t="n">
        <f aca="false">(O24+N24)/2</f>
        <v>0</v>
      </c>
      <c r="P32" s="37" t="n">
        <f aca="false">(P24+O24)/2</f>
        <v>0</v>
      </c>
      <c r="Q32" s="37" t="n">
        <f aca="false">(Q24+P24)/2</f>
        <v>0</v>
      </c>
      <c r="R32" s="37" t="n">
        <f aca="false">(R24+Q24)/2</f>
        <v>0</v>
      </c>
      <c r="S32" s="37" t="n">
        <f aca="false">(S24+R24)/2</f>
        <v>0</v>
      </c>
      <c r="T32" s="37" t="n">
        <f aca="false">(T24+S24)/2</f>
        <v>0</v>
      </c>
      <c r="U32" s="37" t="n">
        <f aca="false">(U24+T24)/2</f>
        <v>0</v>
      </c>
      <c r="V32" s="37" t="n">
        <f aca="false">(V24+U24)/2</f>
        <v>0</v>
      </c>
      <c r="W32" s="37" t="n">
        <f aca="false">(W24+V24)/2</f>
        <v>0</v>
      </c>
      <c r="X32" s="37" t="n">
        <f aca="false">(X24+W24)/2</f>
        <v>0</v>
      </c>
      <c r="Y32" s="37" t="n">
        <f aca="false">(Y24+X24)/2</f>
        <v>0</v>
      </c>
      <c r="Z32" s="37" t="n">
        <f aca="false">(Z24+Y24)/2</f>
        <v>0</v>
      </c>
      <c r="AA32" s="37" t="n">
        <f aca="false">(AA24+Z24)/2</f>
        <v>0</v>
      </c>
      <c r="AB32" s="37" t="n">
        <f aca="false">(AB24+AA24)/2</f>
        <v>0</v>
      </c>
      <c r="AC32" s="37" t="n">
        <f aca="false">(AC24+AB24)/2</f>
        <v>0</v>
      </c>
      <c r="AD32" s="37" t="n">
        <f aca="false">(AD24+AC24)/2</f>
        <v>0</v>
      </c>
      <c r="AE32" s="37" t="n">
        <f aca="false">(AE24+AD24)/2</f>
        <v>0</v>
      </c>
      <c r="AF32" s="37" t="n">
        <f aca="false">(AF24+AE24)/2</f>
        <v>0</v>
      </c>
      <c r="AG32" s="37" t="n">
        <f aca="false">(AG24+AF24)/2</f>
        <v>0</v>
      </c>
      <c r="AH32" s="37" t="n">
        <f aca="false">(AH24+AG24)/2</f>
        <v>2642792.82544726</v>
      </c>
      <c r="AI32" s="37" t="n">
        <f aca="false">(AI24+AH24)/2</f>
        <v>8290099.34844663</v>
      </c>
      <c r="AJ32" s="37" t="n">
        <f aca="false">(AJ24+AI24)/2</f>
        <v>14692933.9013155</v>
      </c>
      <c r="AK32" s="37" t="n">
        <f aca="false">(AK24+AJ24)/2</f>
        <v>21878293.2449597</v>
      </c>
      <c r="AL32" s="37" t="n">
        <f aca="false">(AL24+AK24)/2</f>
        <v>29846259.9933015</v>
      </c>
      <c r="AM32" s="37" t="n">
        <f aca="false">(AM24+AL24)/2</f>
        <v>38664264.0495625</v>
      </c>
      <c r="AN32" s="37" t="n">
        <f aca="false">(AN24+AM24)/2</f>
        <v>48422313.7852102</v>
      </c>
      <c r="AO32" s="37" t="n">
        <f aca="false">(AO24+AN24)/2</f>
        <v>59243796.6115609</v>
      </c>
      <c r="AP32" s="37" t="n">
        <f aca="false">(AP24+AO24)/2</f>
        <v>71217189.4980691</v>
      </c>
      <c r="AQ32" s="37" t="n">
        <f aca="false">(AQ24+AP24)/2</f>
        <v>84277586.9756396</v>
      </c>
      <c r="AR32" s="37" t="n">
        <f aca="false">(AR24+AQ24)/2</f>
        <v>98480148.1793041</v>
      </c>
      <c r="AS32" s="37" t="n">
        <f aca="false">(AS24+AR24)/2</f>
        <v>113846657.331302</v>
      </c>
      <c r="AT32" s="37" t="n">
        <f aca="false">(AT24+AS24)/2</f>
        <v>125131380.22843</v>
      </c>
      <c r="AU32" s="37" t="n">
        <f aca="false">(AU24+AT24)/2</f>
        <v>131778175.342492</v>
      </c>
      <c r="AV32" s="37" t="n">
        <f aca="false">(AV24+AU24)/2</f>
        <v>138386702.917975</v>
      </c>
      <c r="AW32" s="37" t="n">
        <f aca="false">(AW24+AV24)/2</f>
        <v>145071880.947785</v>
      </c>
      <c r="AX32" s="37" t="n">
        <f aca="false">(AX24+AW24)/2</f>
        <v>151834995.122539</v>
      </c>
      <c r="AY32" s="37" t="n">
        <f aca="false">(AY24+AX24)/2</f>
        <v>158778688.839024</v>
      </c>
      <c r="AZ32" s="37" t="n">
        <f aca="false">(AZ24+AY24)/2</f>
        <v>165903372.478815</v>
      </c>
      <c r="BA32" s="37" t="n">
        <f aca="false">(BA24+AZ24)/2</f>
        <v>173306340.520495</v>
      </c>
      <c r="BB32" s="37" t="n">
        <f aca="false">(BB24+BA24)/2</f>
        <v>180987230.139262</v>
      </c>
      <c r="BC32" s="37" t="n">
        <f aca="false">(BC24+BB24)/2</f>
        <v>188747839.579908</v>
      </c>
      <c r="BD32" s="37" t="n">
        <f aca="false">(BD24+BC24)/2</f>
        <v>196691530.562118</v>
      </c>
      <c r="BE32" s="37" t="n">
        <f aca="false">(BE24+BD24)/2</f>
        <v>204819467.474659</v>
      </c>
      <c r="BF32" s="37" t="n">
        <f aca="false">(BF24+BE24)/2</f>
        <v>213031736.732109</v>
      </c>
      <c r="BG32" s="37" t="n">
        <f aca="false">(BG24+BF24)/2</f>
        <v>221432202.752014</v>
      </c>
      <c r="BH32" s="37" t="n">
        <f aca="false">(BH24+BG24)/2</f>
        <v>230022560.158975</v>
      </c>
      <c r="BI32" s="37" t="n">
        <f aca="false">(BI24+BH24)/2</f>
        <v>238703454.828698</v>
      </c>
      <c r="BJ32" s="37" t="n">
        <f aca="false">(BJ24+BI24)/2</f>
        <v>247478091.653178</v>
      </c>
      <c r="BK32" s="37" t="n">
        <f aca="false">(BK24+BJ24)/2</f>
        <v>256431849.553813</v>
      </c>
      <c r="BL32" s="37" t="n">
        <f aca="false">(BL24+BK24)/2</f>
        <v>265638320.767598</v>
      </c>
    </row>
    <row r="33" customFormat="false" ht="15" hidden="false" customHeight="false" outlineLevel="0" collapsed="false">
      <c r="A33" s="8" t="s">
        <v>801</v>
      </c>
      <c r="B33" s="14" t="s">
        <v>71</v>
      </c>
      <c r="E33" s="16" t="n">
        <f aca="false">SUM(E28:E32)</f>
        <v>0</v>
      </c>
      <c r="F33" s="16" t="n">
        <f aca="false">SUM(F28:F32)</f>
        <v>0</v>
      </c>
      <c r="G33" s="16" t="n">
        <f aca="false">SUM(G28:G32)</f>
        <v>0</v>
      </c>
      <c r="H33" s="16" t="n">
        <f aca="false">SUM(H28:H32)</f>
        <v>0</v>
      </c>
      <c r="I33" s="16" t="n">
        <f aca="false">SUM(I28:I32)</f>
        <v>0</v>
      </c>
      <c r="J33" s="16" t="n">
        <f aca="false">SUM(J28:J32)</f>
        <v>0</v>
      </c>
      <c r="K33" s="16" t="n">
        <f aca="false">SUM(K28:K32)</f>
        <v>0</v>
      </c>
      <c r="L33" s="16" t="n">
        <f aca="false">SUM(L28:L32)</f>
        <v>0</v>
      </c>
      <c r="M33" s="16" t="n">
        <f aca="false">SUM(M28:M32)</f>
        <v>0</v>
      </c>
      <c r="N33" s="16" t="n">
        <f aca="false">SUM(N28:N32)</f>
        <v>0</v>
      </c>
      <c r="O33" s="16" t="n">
        <f aca="false">SUM(O28:O32)</f>
        <v>0</v>
      </c>
      <c r="P33" s="16" t="n">
        <f aca="false">SUM(P28:P32)</f>
        <v>0</v>
      </c>
      <c r="Q33" s="16" t="n">
        <f aca="false">SUM(Q28:Q32)</f>
        <v>0</v>
      </c>
      <c r="R33" s="16" t="n">
        <f aca="false">SUM(R28:R32)</f>
        <v>0</v>
      </c>
      <c r="S33" s="16" t="n">
        <f aca="false">SUM(S28:S32)</f>
        <v>0</v>
      </c>
      <c r="T33" s="16" t="n">
        <f aca="false">SUM(T28:T32)</f>
        <v>0</v>
      </c>
      <c r="U33" s="16" t="n">
        <f aca="false">SUM(U28:U32)</f>
        <v>0</v>
      </c>
      <c r="V33" s="16" t="n">
        <f aca="false">SUM(V28:V32)</f>
        <v>18185304.2393977</v>
      </c>
      <c r="W33" s="16" t="n">
        <f aca="false">SUM(W28:W32)</f>
        <v>59636248.3769012</v>
      </c>
      <c r="X33" s="16" t="n">
        <f aca="false">SUM(X28:X32)</f>
        <v>111228284.480677</v>
      </c>
      <c r="Y33" s="16" t="n">
        <f aca="false">SUM(Y28:Y32)</f>
        <v>179246831.028444</v>
      </c>
      <c r="Z33" s="16" t="n">
        <f aca="false">SUM(Z28:Z32)</f>
        <v>264918193.226293</v>
      </c>
      <c r="AA33" s="16" t="n">
        <f aca="false">SUM(AA28:AA32)</f>
        <v>363172927.016013</v>
      </c>
      <c r="AB33" s="16" t="n">
        <f aca="false">SUM(AB28:AB32)</f>
        <v>475671650.84909</v>
      </c>
      <c r="AC33" s="16" t="n">
        <f aca="false">SUM(AC28:AC32)</f>
        <v>609553897.852052</v>
      </c>
      <c r="AD33" s="16" t="n">
        <f aca="false">SUM(AD28:AD32)</f>
        <v>765400775.472183</v>
      </c>
      <c r="AE33" s="16" t="n">
        <f aca="false">SUM(AE28:AE32)</f>
        <v>956244965.44397</v>
      </c>
      <c r="AF33" s="16" t="n">
        <f aca="false">SUM(AF28:AF32)</f>
        <v>1187751214.96487</v>
      </c>
      <c r="AG33" s="16" t="n">
        <f aca="false">SUM(AG28:AG32)</f>
        <v>1445506668.08841</v>
      </c>
      <c r="AH33" s="16" t="n">
        <f aca="false">SUM(AH28:AH32)</f>
        <v>1675209608.54126</v>
      </c>
      <c r="AI33" s="16" t="n">
        <f aca="false">SUM(AI28:AI32)</f>
        <v>1870054946.33324</v>
      </c>
      <c r="AJ33" s="16" t="n">
        <f aca="false">SUM(AJ28:AJ32)</f>
        <v>2079066080.31393</v>
      </c>
      <c r="AK33" s="16" t="n">
        <f aca="false">SUM(AK28:AK32)</f>
        <v>2286421741.9648</v>
      </c>
      <c r="AL33" s="16" t="n">
        <f aca="false">SUM(AL28:AL32)</f>
        <v>2487067753.83034</v>
      </c>
      <c r="AM33" s="16" t="n">
        <f aca="false">SUM(AM28:AM32)</f>
        <v>2699402684.55257</v>
      </c>
      <c r="AN33" s="16" t="n">
        <f aca="false">SUM(AN28:AN32)</f>
        <v>2927334714.13396</v>
      </c>
      <c r="AO33" s="16" t="n">
        <f aca="false">SUM(AO28:AO32)</f>
        <v>3174550504.83751</v>
      </c>
      <c r="AP33" s="16" t="n">
        <f aca="false">SUM(AP28:AP32)</f>
        <v>3442219595.29271</v>
      </c>
      <c r="AQ33" s="16" t="n">
        <f aca="false">SUM(AQ28:AQ32)</f>
        <v>3685834388.50543</v>
      </c>
      <c r="AR33" s="16" t="n">
        <f aca="false">SUM(AR28:AR32)</f>
        <v>3901768094.07806</v>
      </c>
      <c r="AS33" s="16" t="n">
        <f aca="false">SUM(AS28:AS32)</f>
        <v>4123646322.82057</v>
      </c>
      <c r="AT33" s="16" t="n">
        <f aca="false">SUM(AT28:AT32)</f>
        <v>4348088522.46805</v>
      </c>
      <c r="AU33" s="16" t="n">
        <f aca="false">SUM(AU28:AU32)</f>
        <v>4573222130.4692</v>
      </c>
      <c r="AV33" s="16" t="n">
        <f aca="false">SUM(AV28:AV32)</f>
        <v>4795932222.51631</v>
      </c>
      <c r="AW33" s="16" t="n">
        <f aca="false">SUM(AW28:AW32)</f>
        <v>5020495382.43771</v>
      </c>
      <c r="AX33" s="16" t="n">
        <f aca="false">SUM(AX28:AX32)</f>
        <v>5246959930.76386</v>
      </c>
      <c r="AY33" s="16" t="n">
        <f aca="false">SUM(AY28:AY32)</f>
        <v>5479124139.49309</v>
      </c>
      <c r="AZ33" s="16" t="n">
        <f aca="false">SUM(AZ28:AZ32)</f>
        <v>5716982703.33381</v>
      </c>
      <c r="BA33" s="16" t="n">
        <f aca="false">SUM(BA28:BA32)</f>
        <v>5964115282.38785</v>
      </c>
      <c r="BB33" s="16" t="n">
        <f aca="false">SUM(BB28:BB32)</f>
        <v>6220468701.56181</v>
      </c>
      <c r="BC33" s="16" t="n">
        <f aca="false">SUM(BC28:BC32)</f>
        <v>6478670481.88394</v>
      </c>
      <c r="BD33" s="16" t="n">
        <f aca="false">SUM(BD28:BD32)</f>
        <v>6742547075.85287</v>
      </c>
      <c r="BE33" s="16" t="n">
        <f aca="false">SUM(BE28:BE32)</f>
        <v>7012122504.55796</v>
      </c>
      <c r="BF33" s="16" t="n">
        <f aca="false">SUM(BF28:BF32)</f>
        <v>7283680979.10422</v>
      </c>
      <c r="BG33" s="16" t="n">
        <f aca="false">SUM(BG28:BG32)</f>
        <v>7561067190.30045</v>
      </c>
      <c r="BH33" s="16" t="n">
        <f aca="false">SUM(BH28:BH32)</f>
        <v>7844324319.9364</v>
      </c>
      <c r="BI33" s="16" t="n">
        <f aca="false">SUM(BI28:BI32)</f>
        <v>8129756720.64729</v>
      </c>
      <c r="BJ33" s="16" t="n">
        <f aca="false">SUM(BJ28:BJ32)</f>
        <v>8417484017.48984</v>
      </c>
      <c r="BK33" s="16" t="n">
        <f aca="false">SUM(BK28:BK32)</f>
        <v>8710665593.5908</v>
      </c>
      <c r="BL33" s="16" t="n">
        <f aca="false">SUM(BL28:BL32)</f>
        <v>9012007291.86411</v>
      </c>
    </row>
    <row r="35" customFormat="false" ht="15" hidden="false" customHeight="false" outlineLevel="0" collapsed="false">
      <c r="A35" s="10" t="s">
        <v>802</v>
      </c>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c r="BK35" s="11"/>
      <c r="BL35" s="11"/>
    </row>
    <row r="36" customFormat="false" ht="15" hidden="false" customHeight="false" outlineLevel="0" collapsed="false">
      <c r="A36" s="12" t="s">
        <v>803</v>
      </c>
      <c r="B36" s="14" t="s">
        <v>71</v>
      </c>
      <c r="D36" s="55" t="n">
        <f aca="false">SUM(E36:BL36)</f>
        <v>3138443218.68222</v>
      </c>
      <c r="E36" s="37" t="n">
        <f aca="false">E28*Yield_Factoring/12+E29*Yield_Bridge/12+E30*Yield_Line/12+E31*Yield_Term/12+E32*Yield_Advance/12</f>
        <v>0</v>
      </c>
      <c r="F36" s="37" t="n">
        <f aca="false">F28*Yield_Factoring/12+F29*Yield_Bridge/12+F30*Yield_Line/12+F31*Yield_Term/12+F32*Yield_Advance/12</f>
        <v>0</v>
      </c>
      <c r="G36" s="37" t="n">
        <f aca="false">G28*Yield_Factoring/12+G29*Yield_Bridge/12+G30*Yield_Line/12+G31*Yield_Term/12+G32*Yield_Advance/12</f>
        <v>0</v>
      </c>
      <c r="H36" s="37" t="n">
        <f aca="false">H28*Yield_Factoring/12+H29*Yield_Bridge/12+H30*Yield_Line/12+H31*Yield_Term/12+H32*Yield_Advance/12</f>
        <v>0</v>
      </c>
      <c r="I36" s="37" t="n">
        <f aca="false">I28*Yield_Factoring/12+I29*Yield_Bridge/12+I30*Yield_Line/12+I31*Yield_Term/12+I32*Yield_Advance/12</f>
        <v>0</v>
      </c>
      <c r="J36" s="37" t="n">
        <f aca="false">J28*Yield_Factoring/12+J29*Yield_Bridge/12+J30*Yield_Line/12+J31*Yield_Term/12+J32*Yield_Advance/12</f>
        <v>0</v>
      </c>
      <c r="K36" s="37" t="n">
        <f aca="false">K28*Yield_Factoring/12+K29*Yield_Bridge/12+K30*Yield_Line/12+K31*Yield_Term/12+K32*Yield_Advance/12</f>
        <v>0</v>
      </c>
      <c r="L36" s="37" t="n">
        <f aca="false">L28*Yield_Factoring/12+L29*Yield_Bridge/12+L30*Yield_Line/12+L31*Yield_Term/12+L32*Yield_Advance/12</f>
        <v>0</v>
      </c>
      <c r="M36" s="37" t="n">
        <f aca="false">M28*Yield_Factoring/12+M29*Yield_Bridge/12+M30*Yield_Line/12+M31*Yield_Term/12+M32*Yield_Advance/12</f>
        <v>0</v>
      </c>
      <c r="N36" s="37" t="n">
        <f aca="false">N28*Yield_Factoring/12+N29*Yield_Bridge/12+N30*Yield_Line/12+N31*Yield_Term/12+N32*Yield_Advance/12</f>
        <v>0</v>
      </c>
      <c r="O36" s="37" t="n">
        <f aca="false">O28*Yield_Factoring/12+O29*Yield_Bridge/12+O30*Yield_Line/12+O31*Yield_Term/12+O32*Yield_Advance/12</f>
        <v>0</v>
      </c>
      <c r="P36" s="37" t="n">
        <f aca="false">P28*Yield_Factoring/12+P29*Yield_Bridge/12+P30*Yield_Line/12+P31*Yield_Term/12+P32*Yield_Advance/12</f>
        <v>0</v>
      </c>
      <c r="Q36" s="37" t="n">
        <f aca="false">Q28*Yield_Factoring/12+Q29*Yield_Bridge/12+Q30*Yield_Line/12+Q31*Yield_Term/12+Q32*Yield_Advance/12</f>
        <v>0</v>
      </c>
      <c r="R36" s="37" t="n">
        <f aca="false">R28*Yield_Factoring/12+R29*Yield_Bridge/12+R30*Yield_Line/12+R31*Yield_Term/12+R32*Yield_Advance/12</f>
        <v>0</v>
      </c>
      <c r="S36" s="37" t="n">
        <f aca="false">S28*Yield_Factoring/12+S29*Yield_Bridge/12+S30*Yield_Line/12+S31*Yield_Term/12+S32*Yield_Advance/12</f>
        <v>0</v>
      </c>
      <c r="T36" s="37" t="n">
        <f aca="false">T28*Yield_Factoring/12+T29*Yield_Bridge/12+T30*Yield_Line/12+T31*Yield_Term/12+T32*Yield_Advance/12</f>
        <v>0</v>
      </c>
      <c r="U36" s="37" t="n">
        <f aca="false">U28*Yield_Factoring/12+U29*Yield_Bridge/12+U30*Yield_Line/12+U31*Yield_Term/12+U32*Yield_Advance/12</f>
        <v>0</v>
      </c>
      <c r="V36" s="37" t="n">
        <f aca="false">V28*Yield_Factoring/12+V29*Yield_Bridge/12+V30*Yield_Line/12+V31*Yield_Term/12+V32*Yield_Advance/12</f>
        <v>348551.664588455</v>
      </c>
      <c r="W36" s="37" t="n">
        <f aca="false">W28*Yield_Factoring/12+W29*Yield_Bridge/12+W30*Yield_Line/12+W31*Yield_Term/12+W32*Yield_Advance/12</f>
        <v>1143028.09389061</v>
      </c>
      <c r="X36" s="37" t="n">
        <f aca="false">X28*Yield_Factoring/12+X29*Yield_Bridge/12+X30*Yield_Line/12+X31*Yield_Term/12+X32*Yield_Advance/12</f>
        <v>2131875.45254632</v>
      </c>
      <c r="Y36" s="37" t="n">
        <f aca="false">Y28*Yield_Factoring/12+Y29*Yield_Bridge/12+Y30*Yield_Line/12+Y31*Yield_Term/12+Y32*Yield_Advance/12</f>
        <v>3435564.2613785</v>
      </c>
      <c r="Z36" s="37" t="n">
        <f aca="false">Z28*Yield_Factoring/12+Z29*Yield_Bridge/12+Z30*Yield_Line/12+Z31*Yield_Term/12+Z32*Yield_Advance/12</f>
        <v>5077598.70350396</v>
      </c>
      <c r="AA36" s="37" t="n">
        <f aca="false">AA28*Yield_Factoring/12+AA29*Yield_Bridge/12+AA30*Yield_Line/12+AA31*Yield_Term/12+AA32*Yield_Advance/12</f>
        <v>6960814.43447357</v>
      </c>
      <c r="AB36" s="37" t="n">
        <f aca="false">AB28*Yield_Factoring/12+AB29*Yield_Bridge/12+AB30*Yield_Line/12+AB31*Yield_Term/12+AB32*Yield_Advance/12</f>
        <v>9117039.97460755</v>
      </c>
      <c r="AC36" s="37" t="n">
        <f aca="false">AC28*Yield_Factoring/12+AC29*Yield_Bridge/12+AC30*Yield_Line/12+AC31*Yield_Term/12+AC32*Yield_Advance/12</f>
        <v>11683116.3754977</v>
      </c>
      <c r="AD36" s="37" t="n">
        <f aca="false">AD28*Yield_Factoring/12+AD29*Yield_Bridge/12+AD30*Yield_Line/12+AD31*Yield_Term/12+AD32*Yield_Advance/12</f>
        <v>14670181.5298835</v>
      </c>
      <c r="AE36" s="37" t="n">
        <f aca="false">AE28*Yield_Factoring/12+AE29*Yield_Bridge/12+AE30*Yield_Line/12+AE31*Yield_Term/12+AE32*Yield_Advance/12</f>
        <v>18313088.8112606</v>
      </c>
      <c r="AF36" s="37" t="n">
        <f aca="false">AF28*Yield_Factoring/12+AF29*Yield_Bridge/12+AF30*Yield_Line/12+AF31*Yield_Term/12+AF32*Yield_Advance/12</f>
        <v>22717931.4059165</v>
      </c>
      <c r="AG36" s="37" t="n">
        <f aca="false">AG28*Yield_Factoring/12+AG29*Yield_Bridge/12+AG30*Yield_Line/12+AG31*Yield_Term/12+AG32*Yield_Advance/12</f>
        <v>27620921.6413683</v>
      </c>
      <c r="AH36" s="37" t="n">
        <f aca="false">AH28*Yield_Factoring/12+AH29*Yield_Bridge/12+AH30*Yield_Line/12+AH31*Yield_Term/12+AH32*Yield_Advance/12</f>
        <v>31981272.0490314</v>
      </c>
      <c r="AI36" s="37" t="n">
        <f aca="false">AI28*Yield_Factoring/12+AI29*Yield_Bridge/12+AI30*Yield_Line/12+AI31*Yield_Term/12+AI32*Yield_Advance/12</f>
        <v>35668537.0575585</v>
      </c>
      <c r="AJ36" s="37" t="n">
        <f aca="false">AJ28*Yield_Factoring/12+AJ29*Yield_Bridge/12+AJ30*Yield_Line/12+AJ31*Yield_Term/12+AJ32*Yield_Advance/12</f>
        <v>39621889.81829</v>
      </c>
      <c r="AK36" s="37" t="n">
        <f aca="false">AK28*Yield_Factoring/12+AK29*Yield_Bridge/12+AK30*Yield_Line/12+AK31*Yield_Term/12+AK32*Yield_Advance/12</f>
        <v>43537921.925966</v>
      </c>
      <c r="AL36" s="37" t="n">
        <f aca="false">AL28*Yield_Factoring/12+AL29*Yield_Bridge/12+AL30*Yield_Line/12+AL31*Yield_Term/12+AL32*Yield_Advance/12</f>
        <v>47320002.3011562</v>
      </c>
      <c r="AM36" s="37" t="n">
        <f aca="false">AM28*Yield_Factoring/12+AM29*Yield_Bridge/12+AM30*Yield_Line/12+AM31*Yield_Term/12+AM32*Yield_Advance/12</f>
        <v>51320090.6882662</v>
      </c>
      <c r="AN36" s="37" t="n">
        <f aca="false">AN28*Yield_Factoring/12+AN29*Yield_Bridge/12+AN30*Yield_Line/12+AN31*Yield_Term/12+AN32*Yield_Advance/12</f>
        <v>55612273.5232347</v>
      </c>
      <c r="AO36" s="37" t="n">
        <f aca="false">AO28*Yield_Factoring/12+AO29*Yield_Bridge/12+AO30*Yield_Line/12+AO31*Yield_Term/12+AO32*Yield_Advance/12</f>
        <v>60266182.5681858</v>
      </c>
      <c r="AP36" s="37" t="n">
        <f aca="false">AP28*Yield_Factoring/12+AP29*Yield_Bridge/12+AP30*Yield_Line/12+AP31*Yield_Term/12+AP32*Yield_Advance/12</f>
        <v>65303605.4447581</v>
      </c>
      <c r="AQ36" s="37" t="n">
        <f aca="false">AQ28*Yield_Factoring/12+AQ29*Yield_Bridge/12+AQ30*Yield_Line/12+AQ31*Yield_Term/12+AQ32*Yield_Advance/12</f>
        <v>69904098.0427471</v>
      </c>
      <c r="AR36" s="37" t="n">
        <f aca="false">AR28*Yield_Factoring/12+AR29*Yield_Bridge/12+AR30*Yield_Line/12+AR31*Yield_Term/12+AR32*Yield_Advance/12</f>
        <v>74001318.9336364</v>
      </c>
      <c r="AS36" s="37" t="n">
        <f aca="false">AS28*Yield_Factoring/12+AS29*Yield_Bridge/12+AS30*Yield_Line/12+AS31*Yield_Term/12+AS32*Yield_Advance/12</f>
        <v>78211492.861162</v>
      </c>
      <c r="AT36" s="37" t="n">
        <f aca="false">AT28*Yield_Factoring/12+AT29*Yield_Bridge/12+AT30*Yield_Line/12+AT31*Yield_Term/12+AT32*Yield_Advance/12</f>
        <v>82469442.1246213</v>
      </c>
      <c r="AU36" s="37" t="n">
        <f aca="false">AU28*Yield_Factoring/12+AU29*Yield_Bridge/12+AU30*Yield_Line/12+AU31*Yield_Term/12+AU32*Yield_Advance/12</f>
        <v>86739546.8103043</v>
      </c>
      <c r="AV36" s="37" t="n">
        <f aca="false">AV28*Yield_Factoring/12+AV29*Yield_Bridge/12+AV30*Yield_Line/12+AV31*Yield_Term/12+AV32*Yield_Advance/12</f>
        <v>90963691.5653901</v>
      </c>
      <c r="AW36" s="37" t="n">
        <f aca="false">AW28*Yield_Factoring/12+AW29*Yield_Bridge/12+AW30*Yield_Line/12+AW31*Yield_Term/12+AW32*Yield_Advance/12</f>
        <v>95222987.9367454</v>
      </c>
      <c r="AX36" s="37" t="n">
        <f aca="false">AX28*Yield_Factoring/12+AX29*Yield_Bridge/12+AX30*Yield_Line/12+AX31*Yield_Term/12+AX32*Yield_Advance/12</f>
        <v>99518352.3899203</v>
      </c>
      <c r="AY36" s="37" t="n">
        <f aca="false">AY28*Yield_Factoring/12+AY29*Yield_Bridge/12+AY30*Yield_Line/12+AY31*Yield_Term/12+AY32*Yield_Advance/12</f>
        <v>103921824.720808</v>
      </c>
      <c r="AZ36" s="37" t="n">
        <f aca="false">AZ28*Yield_Factoring/12+AZ29*Yield_Bridge/12+AZ30*Yield_Line/12+AZ31*Yield_Term/12+AZ32*Yield_Advance/12</f>
        <v>108433304.420718</v>
      </c>
      <c r="BA36" s="37" t="n">
        <f aca="false">BA28*Yield_Factoring/12+BA29*Yield_Bridge/12+BA30*Yield_Line/12+BA31*Yield_Term/12+BA32*Yield_Advance/12</f>
        <v>113120685.105465</v>
      </c>
      <c r="BB36" s="37" t="n">
        <f aca="false">BB28*Yield_Factoring/12+BB29*Yield_Bridge/12+BB30*Yield_Line/12+BB31*Yield_Term/12+BB32*Yield_Advance/12</f>
        <v>117982958.452481</v>
      </c>
      <c r="BC36" s="37" t="n">
        <f aca="false">BC28*Yield_Factoring/12+BC29*Yield_Bridge/12+BC30*Yield_Line/12+BC31*Yield_Term/12+BC32*Yield_Advance/12</f>
        <v>122880294.803536</v>
      </c>
      <c r="BD36" s="37" t="n">
        <f aca="false">BD28*Yield_Factoring/12+BD29*Yield_Bridge/12+BD30*Yield_Line/12+BD31*Yield_Term/12+BD32*Yield_Advance/12</f>
        <v>127885268.430124</v>
      </c>
      <c r="BE36" s="37" t="n">
        <f aca="false">BE28*Yield_Factoring/12+BE29*Yield_Bridge/12+BE30*Yield_Line/12+BE31*Yield_Term/12+BE32*Yield_Advance/12</f>
        <v>132998335.033434</v>
      </c>
      <c r="BF36" s="37" t="n">
        <f aca="false">BF28*Yield_Factoring/12+BF29*Yield_Bridge/12+BF30*Yield_Line/12+BF31*Yield_Term/12+BF32*Yield_Advance/12</f>
        <v>138149019.333577</v>
      </c>
      <c r="BG36" s="37" t="n">
        <f aca="false">BG28*Yield_Factoring/12+BG29*Yield_Bridge/12+BG30*Yield_Line/12+BG31*Yield_Term/12+BG32*Yield_Advance/12</f>
        <v>143410241.520358</v>
      </c>
      <c r="BH36" s="37" t="n">
        <f aca="false">BH28*Yield_Factoring/12+BH29*Yield_Bridge/12+BH30*Yield_Line/12+BH31*Yield_Term/12+BH32*Yield_Advance/12</f>
        <v>148782820.708292</v>
      </c>
      <c r="BI36" s="37" t="n">
        <f aca="false">BI28*Yield_Factoring/12+BI29*Yield_Bridge/12+BI30*Yield_Line/12+BI31*Yield_Term/12+BI32*Yield_Advance/12</f>
        <v>154196663.634254</v>
      </c>
      <c r="BJ36" s="37" t="n">
        <f aca="false">BJ28*Yield_Factoring/12+BJ29*Yield_Bridge/12+BJ30*Yield_Line/12+BJ31*Yield_Term/12+BJ32*Yield_Advance/12</f>
        <v>159654039.157066</v>
      </c>
      <c r="BK36" s="37" t="n">
        <f aca="false">BK28*Yield_Factoring/12+BK29*Yield_Bridge/12+BK30*Yield_Line/12+BK31*Yield_Term/12+BK32*Yield_Advance/12</f>
        <v>165214869.608837</v>
      </c>
      <c r="BL36" s="37" t="n">
        <f aca="false">BL28*Yield_Factoring/12+BL29*Yield_Bridge/12+BL30*Yield_Line/12+BL31*Yield_Term/12+BL32*Yield_Advance/12</f>
        <v>170930475.363384</v>
      </c>
    </row>
    <row r="37" customFormat="false" ht="15" hidden="false" customHeight="false" outlineLevel="0" collapsed="false">
      <c r="A37" s="12" t="s">
        <v>329</v>
      </c>
      <c r="B37" s="14" t="s">
        <v>71</v>
      </c>
      <c r="D37" s="55" t="n">
        <f aca="false">SUM(E37:BL37)</f>
        <v>-1240101064.40177</v>
      </c>
      <c r="E37" s="37" t="n">
        <f aca="false">-E33*CoF/12</f>
        <v>-0</v>
      </c>
      <c r="F37" s="37" t="n">
        <f aca="false">-F33*CoF/12</f>
        <v>-0</v>
      </c>
      <c r="G37" s="37" t="n">
        <f aca="false">-G33*CoF/12</f>
        <v>-0</v>
      </c>
      <c r="H37" s="37" t="n">
        <f aca="false">-H33*CoF/12</f>
        <v>-0</v>
      </c>
      <c r="I37" s="37" t="n">
        <f aca="false">-I33*CoF/12</f>
        <v>-0</v>
      </c>
      <c r="J37" s="37" t="n">
        <f aca="false">-J33*CoF/12</f>
        <v>-0</v>
      </c>
      <c r="K37" s="37" t="n">
        <f aca="false">-K33*CoF/12</f>
        <v>-0</v>
      </c>
      <c r="L37" s="37" t="n">
        <f aca="false">-L33*CoF/12</f>
        <v>-0</v>
      </c>
      <c r="M37" s="37" t="n">
        <f aca="false">-M33*CoF/12</f>
        <v>-0</v>
      </c>
      <c r="N37" s="37" t="n">
        <f aca="false">-N33*CoF/12</f>
        <v>-0</v>
      </c>
      <c r="O37" s="37" t="n">
        <f aca="false">-O33*CoF/12</f>
        <v>-0</v>
      </c>
      <c r="P37" s="37" t="n">
        <f aca="false">-P33*CoF/12</f>
        <v>-0</v>
      </c>
      <c r="Q37" s="37" t="n">
        <f aca="false">-Q33*CoF/12</f>
        <v>-0</v>
      </c>
      <c r="R37" s="37" t="n">
        <f aca="false">-R33*CoF/12</f>
        <v>-0</v>
      </c>
      <c r="S37" s="37" t="n">
        <f aca="false">-S33*CoF/12</f>
        <v>-0</v>
      </c>
      <c r="T37" s="37" t="n">
        <f aca="false">-T33*CoF/12</f>
        <v>-0</v>
      </c>
      <c r="U37" s="37" t="n">
        <f aca="false">-U33*CoF/12</f>
        <v>-0</v>
      </c>
      <c r="V37" s="37" t="n">
        <f aca="false">-V33*CoF/12</f>
        <v>-136389.781795482</v>
      </c>
      <c r="W37" s="37" t="n">
        <f aca="false">-W33*CoF/12</f>
        <v>-447271.862826759</v>
      </c>
      <c r="X37" s="37" t="n">
        <f aca="false">-X33*CoF/12</f>
        <v>-834212.133605081</v>
      </c>
      <c r="Y37" s="37" t="n">
        <f aca="false">-Y33*CoF/12</f>
        <v>-1344351.23271333</v>
      </c>
      <c r="Z37" s="37" t="n">
        <f aca="false">-Z33*CoF/12</f>
        <v>-1986886.4491972</v>
      </c>
      <c r="AA37" s="37" t="n">
        <f aca="false">-AA33*CoF/12</f>
        <v>-2723796.95262009</v>
      </c>
      <c r="AB37" s="37" t="n">
        <f aca="false">-AB33*CoF/12</f>
        <v>-3567537.38136817</v>
      </c>
      <c r="AC37" s="37" t="n">
        <f aca="false">-AC33*CoF/12</f>
        <v>-4571654.23389039</v>
      </c>
      <c r="AD37" s="37" t="n">
        <f aca="false">-AD33*CoF/12</f>
        <v>-5740505.81604137</v>
      </c>
      <c r="AE37" s="37" t="n">
        <f aca="false">-AE33*CoF/12</f>
        <v>-7171837.24082977</v>
      </c>
      <c r="AF37" s="37" t="n">
        <f aca="false">-AF33*CoF/12</f>
        <v>-8908134.11223649</v>
      </c>
      <c r="AG37" s="37" t="n">
        <f aca="false">-AG33*CoF/12</f>
        <v>-10841300.010663</v>
      </c>
      <c r="AH37" s="37" t="n">
        <f aca="false">-AH33*CoF/12</f>
        <v>-12564072.0640595</v>
      </c>
      <c r="AI37" s="37" t="n">
        <f aca="false">-AI33*CoF/12</f>
        <v>-14025412.0974993</v>
      </c>
      <c r="AJ37" s="37" t="n">
        <f aca="false">-AJ33*CoF/12</f>
        <v>-15592995.6023545</v>
      </c>
      <c r="AK37" s="37" t="n">
        <f aca="false">-AK33*CoF/12</f>
        <v>-17148163.064736</v>
      </c>
      <c r="AL37" s="37" t="n">
        <f aca="false">-AL33*CoF/12</f>
        <v>-18653008.1537276</v>
      </c>
      <c r="AM37" s="37" t="n">
        <f aca="false">-AM33*CoF/12</f>
        <v>-20245520.1341443</v>
      </c>
      <c r="AN37" s="37" t="n">
        <f aca="false">-AN33*CoF/12</f>
        <v>-21955010.3560047</v>
      </c>
      <c r="AO37" s="37" t="n">
        <f aca="false">-AO33*CoF/12</f>
        <v>-23809128.7862813</v>
      </c>
      <c r="AP37" s="37" t="n">
        <f aca="false">-AP33*CoF/12</f>
        <v>-25816646.9646954</v>
      </c>
      <c r="AQ37" s="37" t="n">
        <f aca="false">-AQ33*CoF/12</f>
        <v>-27643757.9137907</v>
      </c>
      <c r="AR37" s="37" t="n">
        <f aca="false">-AR33*CoF/12</f>
        <v>-29263260.7055855</v>
      </c>
      <c r="AS37" s="37" t="n">
        <f aca="false">-AS33*CoF/12</f>
        <v>-30927347.4211543</v>
      </c>
      <c r="AT37" s="37" t="n">
        <f aca="false">-AT33*CoF/12</f>
        <v>-32610663.9185104</v>
      </c>
      <c r="AU37" s="37" t="n">
        <f aca="false">-AU33*CoF/12</f>
        <v>-34299165.978519</v>
      </c>
      <c r="AV37" s="37" t="n">
        <f aca="false">-AV33*CoF/12</f>
        <v>-35969491.6688723</v>
      </c>
      <c r="AW37" s="37" t="n">
        <f aca="false">-AW33*CoF/12</f>
        <v>-37653715.3682828</v>
      </c>
      <c r="AX37" s="37" t="n">
        <f aca="false">-AX33*CoF/12</f>
        <v>-39352199.480729</v>
      </c>
      <c r="AY37" s="37" t="n">
        <f aca="false">-AY33*CoF/12</f>
        <v>-41093431.0461982</v>
      </c>
      <c r="AZ37" s="37" t="n">
        <f aca="false">-AZ33*CoF/12</f>
        <v>-42877370.2750035</v>
      </c>
      <c r="BA37" s="37" t="n">
        <f aca="false">-BA33*CoF/12</f>
        <v>-44730864.6179089</v>
      </c>
      <c r="BB37" s="37" t="n">
        <f aca="false">-BB33*CoF/12</f>
        <v>-46653515.2617136</v>
      </c>
      <c r="BC37" s="37" t="n">
        <f aca="false">-BC33*CoF/12</f>
        <v>-48590028.6141296</v>
      </c>
      <c r="BD37" s="37" t="n">
        <f aca="false">-BD33*CoF/12</f>
        <v>-50569103.0688965</v>
      </c>
      <c r="BE37" s="37" t="n">
        <f aca="false">-BE33*CoF/12</f>
        <v>-52590918.7841847</v>
      </c>
      <c r="BF37" s="37" t="n">
        <f aca="false">-BF33*CoF/12</f>
        <v>-54627607.3432817</v>
      </c>
      <c r="BG37" s="37" t="n">
        <f aca="false">-BG33*CoF/12</f>
        <v>-56708003.9272533</v>
      </c>
      <c r="BH37" s="37" t="n">
        <f aca="false">-BH33*CoF/12</f>
        <v>-58832432.399523</v>
      </c>
      <c r="BI37" s="37" t="n">
        <f aca="false">-BI33*CoF/12</f>
        <v>-60973175.4048547</v>
      </c>
      <c r="BJ37" s="37" t="n">
        <f aca="false">-BJ33*CoF/12</f>
        <v>-63131130.1311738</v>
      </c>
      <c r="BK37" s="37" t="n">
        <f aca="false">-BK33*CoF/12</f>
        <v>-65329991.951931</v>
      </c>
      <c r="BL37" s="37" t="n">
        <f aca="false">-BL33*CoF/12</f>
        <v>-67590054.6889808</v>
      </c>
    </row>
    <row r="38" customFormat="false" ht="15" hidden="false" customHeight="false" outlineLevel="0" collapsed="false">
      <c r="A38" s="12" t="s">
        <v>582</v>
      </c>
      <c r="B38" s="14" t="s">
        <v>71</v>
      </c>
      <c r="D38" s="55" t="n">
        <f aca="false">SUM(E38:BL38)</f>
        <v>-310274898.789609</v>
      </c>
      <c r="E38" s="37" t="n">
        <f aca="false">-(E28*CoR_Factoring+E29*CoR_Bridge+E30*CoR_Line+E31*CoR_Term+E32*CoR_Advance)*CoR_Mult/12</f>
        <v>-0</v>
      </c>
      <c r="F38" s="37" t="n">
        <f aca="false">-(F28*CoR_Factoring+F29*CoR_Bridge+F30*CoR_Line+F31*CoR_Term+F32*CoR_Advance)*CoR_Mult/12</f>
        <v>-0</v>
      </c>
      <c r="G38" s="37" t="n">
        <f aca="false">-(G28*CoR_Factoring+G29*CoR_Bridge+G30*CoR_Line+G31*CoR_Term+G32*CoR_Advance)*CoR_Mult/12</f>
        <v>-0</v>
      </c>
      <c r="H38" s="37" t="n">
        <f aca="false">-(H28*CoR_Factoring+H29*CoR_Bridge+H30*CoR_Line+H31*CoR_Term+H32*CoR_Advance)*CoR_Mult/12</f>
        <v>-0</v>
      </c>
      <c r="I38" s="37" t="n">
        <f aca="false">-(I28*CoR_Factoring+I29*CoR_Bridge+I30*CoR_Line+I31*CoR_Term+I32*CoR_Advance)*CoR_Mult/12</f>
        <v>-0</v>
      </c>
      <c r="J38" s="37" t="n">
        <f aca="false">-(J28*CoR_Factoring+J29*CoR_Bridge+J30*CoR_Line+J31*CoR_Term+J32*CoR_Advance)*CoR_Mult/12</f>
        <v>-0</v>
      </c>
      <c r="K38" s="37" t="n">
        <f aca="false">-(K28*CoR_Factoring+K29*CoR_Bridge+K30*CoR_Line+K31*CoR_Term+K32*CoR_Advance)*CoR_Mult/12</f>
        <v>-0</v>
      </c>
      <c r="L38" s="37" t="n">
        <f aca="false">-(L28*CoR_Factoring+L29*CoR_Bridge+L30*CoR_Line+L31*CoR_Term+L32*CoR_Advance)*CoR_Mult/12</f>
        <v>-0</v>
      </c>
      <c r="M38" s="37" t="n">
        <f aca="false">-(M28*CoR_Factoring+M29*CoR_Bridge+M30*CoR_Line+M31*CoR_Term+M32*CoR_Advance)*CoR_Mult/12</f>
        <v>-0</v>
      </c>
      <c r="N38" s="37" t="n">
        <f aca="false">-(N28*CoR_Factoring+N29*CoR_Bridge+N30*CoR_Line+N31*CoR_Term+N32*CoR_Advance)*CoR_Mult/12</f>
        <v>-0</v>
      </c>
      <c r="O38" s="37" t="n">
        <f aca="false">-(O28*CoR_Factoring+O29*CoR_Bridge+O30*CoR_Line+O31*CoR_Term+O32*CoR_Advance)*CoR_Mult/12</f>
        <v>-0</v>
      </c>
      <c r="P38" s="37" t="n">
        <f aca="false">-(P28*CoR_Factoring+P29*CoR_Bridge+P30*CoR_Line+P31*CoR_Term+P32*CoR_Advance)*CoR_Mult/12</f>
        <v>-0</v>
      </c>
      <c r="Q38" s="37" t="n">
        <f aca="false">-(Q28*CoR_Factoring+Q29*CoR_Bridge+Q30*CoR_Line+Q31*CoR_Term+Q32*CoR_Advance)*CoR_Mult/12</f>
        <v>-0</v>
      </c>
      <c r="R38" s="37" t="n">
        <f aca="false">-(R28*CoR_Factoring+R29*CoR_Bridge+R30*CoR_Line+R31*CoR_Term+R32*CoR_Advance)*CoR_Mult/12</f>
        <v>-0</v>
      </c>
      <c r="S38" s="37" t="n">
        <f aca="false">-(S28*CoR_Factoring+S29*CoR_Bridge+S30*CoR_Line+S31*CoR_Term+S32*CoR_Advance)*CoR_Mult/12</f>
        <v>-0</v>
      </c>
      <c r="T38" s="37" t="n">
        <f aca="false">-(T28*CoR_Factoring+T29*CoR_Bridge+T30*CoR_Line+T31*CoR_Term+T32*CoR_Advance)*CoR_Mult/12</f>
        <v>-0</v>
      </c>
      <c r="U38" s="37" t="n">
        <f aca="false">-(U28*CoR_Factoring+U29*CoR_Bridge+U30*CoR_Line+U31*CoR_Term+U32*CoR_Advance)*CoR_Mult/12</f>
        <v>-0</v>
      </c>
      <c r="V38" s="37" t="n">
        <f aca="false">-(V28*CoR_Factoring+V29*CoR_Bridge+V30*CoR_Line+V31*CoR_Term+V32*CoR_Advance)*CoR_Mult/12</f>
        <v>-24123.3627665479</v>
      </c>
      <c r="W38" s="37" t="n">
        <f aca="false">-(W28*CoR_Factoring+W29*CoR_Bridge+W30*CoR_Line+W31*CoR_Term+W32*CoR_Advance)*CoR_Mult/12</f>
        <v>-79109.3090713995</v>
      </c>
      <c r="X38" s="37" t="n">
        <f aca="false">-(X28*CoR_Factoring+X29*CoR_Bridge+X30*CoR_Line+X31*CoR_Term+X32*CoR_Advance)*CoR_Mult/12</f>
        <v>-147547.724311103</v>
      </c>
      <c r="Y38" s="37" t="n">
        <f aca="false">-(Y28*CoR_Factoring+Y29*CoR_Bridge+Y30*CoR_Line+Y31*CoR_Term+Y32*CoR_Advance)*CoR_Mult/12</f>
        <v>-250450.466494621</v>
      </c>
      <c r="Z38" s="37" t="n">
        <f aca="false">-(Z28*CoR_Factoring+Z29*CoR_Bridge+Z30*CoR_Line+Z31*CoR_Term+Z32*CoR_Advance)*CoR_Mult/12</f>
        <v>-391928.556626342</v>
      </c>
      <c r="AA38" s="37" t="n">
        <f aca="false">-(AA28*CoR_Factoring+AA29*CoR_Bridge+AA30*CoR_Line+AA31*CoR_Term+AA32*CoR_Advance)*CoR_Mult/12</f>
        <v>-555068.215053864</v>
      </c>
      <c r="AB38" s="37" t="n">
        <f aca="false">-(AB28*CoR_Factoring+AB29*CoR_Bridge+AB30*CoR_Line+AB31*CoR_Term+AB32*CoR_Advance)*CoR_Mult/12</f>
        <v>-742480.181238327</v>
      </c>
      <c r="AC38" s="37" t="n">
        <f aca="false">-(AC28*CoR_Factoring+AC29*CoR_Bridge+AC30*CoR_Line+AC31*CoR_Term+AC32*CoR_Advance)*CoR_Mult/12</f>
        <v>-965603.735791738</v>
      </c>
      <c r="AD38" s="37" t="n">
        <f aca="false">-(AD28*CoR_Factoring+AD29*CoR_Bridge+AD30*CoR_Line+AD31*CoR_Term+AD32*CoR_Advance)*CoR_Mult/12</f>
        <v>-1225692.44882845</v>
      </c>
      <c r="AE38" s="37" t="n">
        <f aca="false">-(AE28*CoR_Factoring+AE29*CoR_Bridge+AE30*CoR_Line+AE31*CoR_Term+AE32*CoR_Advance)*CoR_Mult/12</f>
        <v>-1559994.50059272</v>
      </c>
      <c r="AF38" s="37" t="n">
        <f aca="false">-(AF28*CoR_Factoring+AF29*CoR_Bridge+AF30*CoR_Line+AF31*CoR_Term+AF32*CoR_Advance)*CoR_Mult/12</f>
        <v>-1980329.69877383</v>
      </c>
      <c r="AG38" s="37" t="n">
        <f aca="false">-(AG28*CoR_Factoring+AG29*CoR_Bridge+AG30*CoR_Line+AG31*CoR_Term+AG32*CoR_Advance)*CoR_Mult/12</f>
        <v>-2450243.32199465</v>
      </c>
      <c r="AH38" s="37" t="n">
        <f aca="false">-(AH28*CoR_Factoring+AH29*CoR_Bridge+AH30*CoR_Line+AH31*CoR_Term+AH32*CoR_Advance)*CoR_Mult/12</f>
        <v>-2896922.04156832</v>
      </c>
      <c r="AI38" s="37" t="n">
        <f aca="false">-(AI28*CoR_Factoring+AI29*CoR_Bridge+AI30*CoR_Line+AI31*CoR_Term+AI32*CoR_Advance)*CoR_Mult/12</f>
        <v>-3311374.68898488</v>
      </c>
      <c r="AJ38" s="37" t="n">
        <f aca="false">-(AJ28*CoR_Factoring+AJ29*CoR_Bridge+AJ30*CoR_Line+AJ31*CoR_Term+AJ32*CoR_Advance)*CoR_Mult/12</f>
        <v>-3760690.21688465</v>
      </c>
      <c r="AK38" s="37" t="n">
        <f aca="false">-(AK28*CoR_Factoring+AK29*CoR_Bridge+AK30*CoR_Line+AK31*CoR_Term+AK32*CoR_Advance)*CoR_Mult/12</f>
        <v>-4191794.84085235</v>
      </c>
      <c r="AL38" s="37" t="n">
        <f aca="false">-(AL28*CoR_Factoring+AL29*CoR_Bridge+AL30*CoR_Line+AL31*CoR_Term+AL32*CoR_Advance)*CoR_Mult/12</f>
        <v>-4592875.80444468</v>
      </c>
      <c r="AM38" s="37" t="n">
        <f aca="false">-(AM28*CoR_Factoring+AM29*CoR_Bridge+AM30*CoR_Line+AM31*CoR_Term+AM32*CoR_Advance)*CoR_Mult/12</f>
        <v>-5019310.62178862</v>
      </c>
      <c r="AN38" s="37" t="n">
        <f aca="false">-(AN28*CoR_Factoring+AN29*CoR_Bridge+AN30*CoR_Line+AN31*CoR_Term+AN32*CoR_Advance)*CoR_Mult/12</f>
        <v>-5478550.6201592</v>
      </c>
      <c r="AO38" s="37" t="n">
        <f aca="false">-(AO28*CoR_Factoring+AO29*CoR_Bridge+AO30*CoR_Line+AO31*CoR_Term+AO32*CoR_Advance)*CoR_Mult/12</f>
        <v>-5977845.3115368</v>
      </c>
      <c r="AP38" s="37" t="n">
        <f aca="false">-(AP28*CoR_Factoring+AP29*CoR_Bridge+AP30*CoR_Line+AP31*CoR_Term+AP32*CoR_Advance)*CoR_Mult/12</f>
        <v>-6519753.455963</v>
      </c>
      <c r="AQ38" s="37" t="n">
        <f aca="false">-(AQ28*CoR_Factoring+AQ29*CoR_Bridge+AQ30*CoR_Line+AQ31*CoR_Term+AQ32*CoR_Advance)*CoR_Mult/12</f>
        <v>-6997214.93726421</v>
      </c>
      <c r="AR38" s="37" t="n">
        <f aca="false">-(AR28*CoR_Factoring+AR29*CoR_Bridge+AR30*CoR_Line+AR31*CoR_Term+AR32*CoR_Advance)*CoR_Mult/12</f>
        <v>-7400996.87182052</v>
      </c>
      <c r="AS38" s="37" t="n">
        <f aca="false">-(AS28*CoR_Factoring+AS29*CoR_Bridge+AS30*CoR_Line+AS31*CoR_Term+AS32*CoR_Advance)*CoR_Mult/12</f>
        <v>-7815381.75562508</v>
      </c>
      <c r="AT38" s="37" t="n">
        <f aca="false">-(AT28*CoR_Factoring+AT29*CoR_Bridge+AT30*CoR_Line+AT31*CoR_Term+AT32*CoR_Advance)*CoR_Mult/12</f>
        <v>-8237381.59623791</v>
      </c>
      <c r="AU38" s="37" t="n">
        <f aca="false">-(AU28*CoR_Factoring+AU29*CoR_Bridge+AU30*CoR_Line+AU31*CoR_Term+AU32*CoR_Advance)*CoR_Mult/12</f>
        <v>-8663782.1394823</v>
      </c>
      <c r="AV38" s="37" t="n">
        <f aca="false">-(AV28*CoR_Factoring+AV29*CoR_Bridge+AV30*CoR_Line+AV31*CoR_Term+AV32*CoR_Advance)*CoR_Mult/12</f>
        <v>-9085570.48405169</v>
      </c>
      <c r="AW38" s="37" t="n">
        <f aca="false">-(AW28*CoR_Factoring+AW29*CoR_Bridge+AW30*CoR_Line+AW31*CoR_Term+AW32*CoR_Advance)*CoR_Mult/12</f>
        <v>-9510853.95897409</v>
      </c>
      <c r="AX38" s="37" t="n">
        <f aca="false">-(AX28*CoR_Factoring+AX29*CoR_Bridge+AX30*CoR_Line+AX31*CoR_Term+AX32*CoR_Advance)*CoR_Mult/12</f>
        <v>-9939724.17630324</v>
      </c>
      <c r="AY38" s="37" t="n">
        <f aca="false">-(AY28*CoR_Factoring+AY29*CoR_Bridge+AY30*CoR_Line+AY31*CoR_Term+AY32*CoR_Advance)*CoR_Mult/12</f>
        <v>-10379381.3221769</v>
      </c>
      <c r="AZ38" s="37" t="n">
        <f aca="false">-(AZ28*CoR_Factoring+AZ29*CoR_Bridge+AZ30*CoR_Line+AZ31*CoR_Term+AZ32*CoR_Advance)*CoR_Mult/12</f>
        <v>-10829814.9721729</v>
      </c>
      <c r="BA38" s="37" t="n">
        <f aca="false">-(BA28*CoR_Factoring+BA29*CoR_Bridge+BA30*CoR_Line+BA31*CoR_Term+BA32*CoR_Advance)*CoR_Mult/12</f>
        <v>-11297810.5304585</v>
      </c>
      <c r="BB38" s="37" t="n">
        <f aca="false">-(BB28*CoR_Factoring+BB29*CoR_Bridge+BB30*CoR_Line+BB31*CoR_Term+BB32*CoR_Advance)*CoR_Mult/12</f>
        <v>-11783266.4829888</v>
      </c>
      <c r="BC38" s="37" t="n">
        <f aca="false">-(BC28*CoR_Factoring+BC29*CoR_Bridge+BC30*CoR_Line+BC31*CoR_Term+BC32*CoR_Advance)*CoR_Mult/12</f>
        <v>-12272206.5224024</v>
      </c>
      <c r="BD38" s="37" t="n">
        <f aca="false">-(BD28*CoR_Factoring+BD29*CoR_Bridge+BD30*CoR_Line+BD31*CoR_Term+BD32*CoR_Advance)*CoR_Mult/12</f>
        <v>-12771884.2838208</v>
      </c>
      <c r="BE38" s="37" t="n">
        <f aca="false">-(BE28*CoR_Factoring+BE29*CoR_Bridge+BE30*CoR_Line+BE31*CoR_Term+BE32*CoR_Advance)*CoR_Mult/12</f>
        <v>-13282344.9608608</v>
      </c>
      <c r="BF38" s="37" t="n">
        <f aca="false">-(BF28*CoR_Factoring+BF29*CoR_Bridge+BF30*CoR_Line+BF31*CoR_Term+BF32*CoR_Advance)*CoR_Mult/12</f>
        <v>-13796544.3939729</v>
      </c>
      <c r="BG38" s="37" t="n">
        <f aca="false">-(BG28*CoR_Factoring+BG29*CoR_Bridge+BG30*CoR_Line+BG31*CoR_Term+BG32*CoR_Advance)*CoR_Mult/12</f>
        <v>-14321770.7851685</v>
      </c>
      <c r="BH38" s="37" t="n">
        <f aca="false">-(BH28*CoR_Factoring+BH29*CoR_Bridge+BH30*CoR_Line+BH31*CoR_Term+BH32*CoR_Advance)*CoR_Mult/12</f>
        <v>-14858105.6417481</v>
      </c>
      <c r="BI38" s="37" t="n">
        <f aca="false">-(BI28*CoR_Factoring+BI29*CoR_Bridge+BI30*CoR_Line+BI31*CoR_Term+BI32*CoR_Advance)*CoR_Mult/12</f>
        <v>-15398542.9753492</v>
      </c>
      <c r="BJ38" s="37" t="n">
        <f aca="false">-(BJ28*CoR_Factoring+BJ29*CoR_Bridge+BJ30*CoR_Line+BJ31*CoR_Term+BJ32*CoR_Advance)*CoR_Mult/12</f>
        <v>-15943309.5714144</v>
      </c>
      <c r="BK38" s="37" t="n">
        <f aca="false">-(BK28*CoR_Factoring+BK29*CoR_Bridge+BK30*CoR_Line+BK31*CoR_Term+BK32*CoR_Advance)*CoR_Mult/12</f>
        <v>-16498394.5073217</v>
      </c>
      <c r="BL38" s="37" t="n">
        <f aca="false">-(BL28*CoR_Factoring+BL29*CoR_Bridge+BL30*CoR_Line+BL31*CoR_Term+BL32*CoR_Advance)*CoR_Mult/12</f>
        <v>-17068926.7962676</v>
      </c>
    </row>
    <row r="39" customFormat="false" ht="15" hidden="false" customHeight="false" outlineLevel="0" collapsed="false">
      <c r="A39" s="12" t="s">
        <v>331</v>
      </c>
      <c r="B39" s="14" t="s">
        <v>71</v>
      </c>
      <c r="D39" s="55" t="n">
        <f aca="false">SUM(E39:BL39)</f>
        <v>-137789007.155752</v>
      </c>
      <c r="E39" s="37" t="n">
        <f aca="false">-E33*Servicing/12</f>
        <v>-0</v>
      </c>
      <c r="F39" s="37" t="n">
        <f aca="false">-F33*Servicing/12</f>
        <v>-0</v>
      </c>
      <c r="G39" s="37" t="n">
        <f aca="false">-G33*Servicing/12</f>
        <v>-0</v>
      </c>
      <c r="H39" s="37" t="n">
        <f aca="false">-H33*Servicing/12</f>
        <v>-0</v>
      </c>
      <c r="I39" s="37" t="n">
        <f aca="false">-I33*Servicing/12</f>
        <v>-0</v>
      </c>
      <c r="J39" s="37" t="n">
        <f aca="false">-J33*Servicing/12</f>
        <v>-0</v>
      </c>
      <c r="K39" s="37" t="n">
        <f aca="false">-K33*Servicing/12</f>
        <v>-0</v>
      </c>
      <c r="L39" s="37" t="n">
        <f aca="false">-L33*Servicing/12</f>
        <v>-0</v>
      </c>
      <c r="M39" s="37" t="n">
        <f aca="false">-M33*Servicing/12</f>
        <v>-0</v>
      </c>
      <c r="N39" s="37" t="n">
        <f aca="false">-N33*Servicing/12</f>
        <v>-0</v>
      </c>
      <c r="O39" s="37" t="n">
        <f aca="false">-O33*Servicing/12</f>
        <v>-0</v>
      </c>
      <c r="P39" s="37" t="n">
        <f aca="false">-P33*Servicing/12</f>
        <v>-0</v>
      </c>
      <c r="Q39" s="37" t="n">
        <f aca="false">-Q33*Servicing/12</f>
        <v>-0</v>
      </c>
      <c r="R39" s="37" t="n">
        <f aca="false">-R33*Servicing/12</f>
        <v>-0</v>
      </c>
      <c r="S39" s="37" t="n">
        <f aca="false">-S33*Servicing/12</f>
        <v>-0</v>
      </c>
      <c r="T39" s="37" t="n">
        <f aca="false">-T33*Servicing/12</f>
        <v>-0</v>
      </c>
      <c r="U39" s="37" t="n">
        <f aca="false">-U33*Servicing/12</f>
        <v>-0</v>
      </c>
      <c r="V39" s="37" t="n">
        <f aca="false">-V33*Servicing/12</f>
        <v>-15154.420199498</v>
      </c>
      <c r="W39" s="37" t="n">
        <f aca="false">-W33*Servicing/12</f>
        <v>-49696.8736474176</v>
      </c>
      <c r="X39" s="37" t="n">
        <f aca="false">-X33*Servicing/12</f>
        <v>-92690.2370672312</v>
      </c>
      <c r="Y39" s="37" t="n">
        <f aca="false">-Y33*Servicing/12</f>
        <v>-149372.35919037</v>
      </c>
      <c r="Z39" s="37" t="n">
        <f aca="false">-Z33*Servicing/12</f>
        <v>-220765.161021911</v>
      </c>
      <c r="AA39" s="37" t="n">
        <f aca="false">-AA33*Servicing/12</f>
        <v>-302644.105846677</v>
      </c>
      <c r="AB39" s="37" t="n">
        <f aca="false">-AB33*Servicing/12</f>
        <v>-396393.042374241</v>
      </c>
      <c r="AC39" s="37" t="n">
        <f aca="false">-AC33*Servicing/12</f>
        <v>-507961.581543377</v>
      </c>
      <c r="AD39" s="37" t="n">
        <f aca="false">-AD33*Servicing/12</f>
        <v>-637833.979560152</v>
      </c>
      <c r="AE39" s="37" t="n">
        <f aca="false">-AE33*Servicing/12</f>
        <v>-796870.804536642</v>
      </c>
      <c r="AF39" s="37" t="n">
        <f aca="false">-AF33*Servicing/12</f>
        <v>-989792.679137388</v>
      </c>
      <c r="AG39" s="37" t="n">
        <f aca="false">-AG33*Servicing/12</f>
        <v>-1204588.89007367</v>
      </c>
      <c r="AH39" s="37" t="n">
        <f aca="false">-AH33*Servicing/12</f>
        <v>-1396008.00711772</v>
      </c>
      <c r="AI39" s="37" t="n">
        <f aca="false">-AI33*Servicing/12</f>
        <v>-1558379.12194436</v>
      </c>
      <c r="AJ39" s="37" t="n">
        <f aca="false">-AJ33*Servicing/12</f>
        <v>-1732555.06692827</v>
      </c>
      <c r="AK39" s="37" t="n">
        <f aca="false">-AK33*Servicing/12</f>
        <v>-1905351.45163733</v>
      </c>
      <c r="AL39" s="37" t="n">
        <f aca="false">-AL33*Servicing/12</f>
        <v>-2072556.46152529</v>
      </c>
      <c r="AM39" s="37" t="n">
        <f aca="false">-AM33*Servicing/12</f>
        <v>-2249502.23712714</v>
      </c>
      <c r="AN39" s="37" t="n">
        <f aca="false">-AN33*Servicing/12</f>
        <v>-2439445.59511163</v>
      </c>
      <c r="AO39" s="37" t="n">
        <f aca="false">-AO33*Servicing/12</f>
        <v>-2645458.75403126</v>
      </c>
      <c r="AP39" s="37" t="n">
        <f aca="false">-AP33*Servicing/12</f>
        <v>-2868516.32941059</v>
      </c>
      <c r="AQ39" s="37" t="n">
        <f aca="false">-AQ33*Servicing/12</f>
        <v>-3071528.65708786</v>
      </c>
      <c r="AR39" s="37" t="n">
        <f aca="false">-AR33*Servicing/12</f>
        <v>-3251473.41173172</v>
      </c>
      <c r="AS39" s="37" t="n">
        <f aca="false">-AS33*Servicing/12</f>
        <v>-3436371.93568381</v>
      </c>
      <c r="AT39" s="37" t="n">
        <f aca="false">-AT33*Servicing/12</f>
        <v>-3623407.10205671</v>
      </c>
      <c r="AU39" s="37" t="n">
        <f aca="false">-AU33*Servicing/12</f>
        <v>-3811018.44205766</v>
      </c>
      <c r="AV39" s="37" t="n">
        <f aca="false">-AV33*Servicing/12</f>
        <v>-3996610.18543026</v>
      </c>
      <c r="AW39" s="37" t="n">
        <f aca="false">-AW33*Servicing/12</f>
        <v>-4183746.15203142</v>
      </c>
      <c r="AX39" s="37" t="n">
        <f aca="false">-AX33*Servicing/12</f>
        <v>-4372466.60896989</v>
      </c>
      <c r="AY39" s="37" t="n">
        <f aca="false">-AY33*Servicing/12</f>
        <v>-4565936.78291091</v>
      </c>
      <c r="AZ39" s="37" t="n">
        <f aca="false">-AZ33*Servicing/12</f>
        <v>-4764152.25277817</v>
      </c>
      <c r="BA39" s="37" t="n">
        <f aca="false">-BA33*Servicing/12</f>
        <v>-4970096.06865654</v>
      </c>
      <c r="BB39" s="37" t="n">
        <f aca="false">-BB33*Servicing/12</f>
        <v>-5183723.91796817</v>
      </c>
      <c r="BC39" s="37" t="n">
        <f aca="false">-BC33*Servicing/12</f>
        <v>-5398892.06823662</v>
      </c>
      <c r="BD39" s="37" t="n">
        <f aca="false">-BD33*Servicing/12</f>
        <v>-5618789.22987739</v>
      </c>
      <c r="BE39" s="37" t="n">
        <f aca="false">-BE33*Servicing/12</f>
        <v>-5843435.42046497</v>
      </c>
      <c r="BF39" s="37" t="n">
        <f aca="false">-BF33*Servicing/12</f>
        <v>-6069734.14925352</v>
      </c>
      <c r="BG39" s="37" t="n">
        <f aca="false">-BG33*Servicing/12</f>
        <v>-6300889.32525037</v>
      </c>
      <c r="BH39" s="37" t="n">
        <f aca="false">-BH33*Servicing/12</f>
        <v>-6536936.93328033</v>
      </c>
      <c r="BI39" s="37" t="n">
        <f aca="false">-BI33*Servicing/12</f>
        <v>-6774797.26720608</v>
      </c>
      <c r="BJ39" s="37" t="n">
        <f aca="false">-BJ33*Servicing/12</f>
        <v>-7014570.01457487</v>
      </c>
      <c r="BK39" s="37" t="n">
        <f aca="false">-BK33*Servicing/12</f>
        <v>-7258887.994659</v>
      </c>
      <c r="BL39" s="37" t="n">
        <f aca="false">-BL33*Servicing/12</f>
        <v>-7510006.07655343</v>
      </c>
    </row>
    <row r="40" customFormat="false" ht="15" hidden="false" customHeight="false" outlineLevel="0" collapsed="false">
      <c r="A40" s="8" t="s">
        <v>804</v>
      </c>
      <c r="B40" s="14" t="s">
        <v>71</v>
      </c>
      <c r="D40" s="55" t="n">
        <f aca="false">SUM(E40:BL40)</f>
        <v>1450278248.3351</v>
      </c>
      <c r="E40" s="16" t="n">
        <f aca="false">SUM(E36:E39)</f>
        <v>0</v>
      </c>
      <c r="F40" s="16" t="n">
        <f aca="false">SUM(F36:F39)</f>
        <v>0</v>
      </c>
      <c r="G40" s="16" t="n">
        <f aca="false">SUM(G36:G39)</f>
        <v>0</v>
      </c>
      <c r="H40" s="16" t="n">
        <f aca="false">SUM(H36:H39)</f>
        <v>0</v>
      </c>
      <c r="I40" s="16" t="n">
        <f aca="false">SUM(I36:I39)</f>
        <v>0</v>
      </c>
      <c r="J40" s="16" t="n">
        <f aca="false">SUM(J36:J39)</f>
        <v>0</v>
      </c>
      <c r="K40" s="16" t="n">
        <f aca="false">SUM(K36:K39)</f>
        <v>0</v>
      </c>
      <c r="L40" s="16" t="n">
        <f aca="false">SUM(L36:L39)</f>
        <v>0</v>
      </c>
      <c r="M40" s="16" t="n">
        <f aca="false">SUM(M36:M39)</f>
        <v>0</v>
      </c>
      <c r="N40" s="16" t="n">
        <f aca="false">SUM(N36:N39)</f>
        <v>0</v>
      </c>
      <c r="O40" s="16" t="n">
        <f aca="false">SUM(O36:O39)</f>
        <v>0</v>
      </c>
      <c r="P40" s="16" t="n">
        <f aca="false">SUM(P36:P39)</f>
        <v>0</v>
      </c>
      <c r="Q40" s="16" t="n">
        <f aca="false">SUM(Q36:Q39)</f>
        <v>0</v>
      </c>
      <c r="R40" s="16" t="n">
        <f aca="false">SUM(R36:R39)</f>
        <v>0</v>
      </c>
      <c r="S40" s="16" t="n">
        <f aca="false">SUM(S36:S39)</f>
        <v>0</v>
      </c>
      <c r="T40" s="16" t="n">
        <f aca="false">SUM(T36:T39)</f>
        <v>0</v>
      </c>
      <c r="U40" s="16" t="n">
        <f aca="false">SUM(U36:U39)</f>
        <v>0</v>
      </c>
      <c r="V40" s="16" t="n">
        <f aca="false">SUM(V36:V39)</f>
        <v>172884.099826927</v>
      </c>
      <c r="W40" s="16" t="n">
        <f aca="false">SUM(W36:W39)</f>
        <v>566950.04834503</v>
      </c>
      <c r="X40" s="16" t="n">
        <f aca="false">SUM(X36:X39)</f>
        <v>1057425.3575629</v>
      </c>
      <c r="Y40" s="16" t="n">
        <f aca="false">SUM(Y36:Y39)</f>
        <v>1691390.20298018</v>
      </c>
      <c r="Z40" s="16" t="n">
        <f aca="false">SUM(Z36:Z39)</f>
        <v>2478018.5366585</v>
      </c>
      <c r="AA40" s="16" t="n">
        <f aca="false">SUM(AA36:AA39)</f>
        <v>3379305.16095294</v>
      </c>
      <c r="AB40" s="16" t="n">
        <f aca="false">SUM(AB36:AB39)</f>
        <v>4410629.36962681</v>
      </c>
      <c r="AC40" s="16" t="n">
        <f aca="false">SUM(AC36:AC39)</f>
        <v>5637896.82427216</v>
      </c>
      <c r="AD40" s="16" t="n">
        <f aca="false">SUM(AD36:AD39)</f>
        <v>7066149.28545353</v>
      </c>
      <c r="AE40" s="16" t="n">
        <f aca="false">SUM(AE36:AE39)</f>
        <v>8784386.26530142</v>
      </c>
      <c r="AF40" s="16" t="n">
        <f aca="false">SUM(AF36:AF39)</f>
        <v>10839674.9157688</v>
      </c>
      <c r="AG40" s="16" t="n">
        <f aca="false">SUM(AG36:AG39)</f>
        <v>13124789.4186369</v>
      </c>
      <c r="AH40" s="16" t="n">
        <f aca="false">SUM(AH36:AH39)</f>
        <v>15124269.9362859</v>
      </c>
      <c r="AI40" s="16" t="n">
        <f aca="false">SUM(AI36:AI39)</f>
        <v>16773371.14913</v>
      </c>
      <c r="AJ40" s="16" t="n">
        <f aca="false">SUM(AJ36:AJ39)</f>
        <v>18535648.9321226</v>
      </c>
      <c r="AK40" s="16" t="n">
        <f aca="false">SUM(AK36:AK39)</f>
        <v>20292612.5687403</v>
      </c>
      <c r="AL40" s="16" t="n">
        <f aca="false">SUM(AL36:AL39)</f>
        <v>22001561.8814587</v>
      </c>
      <c r="AM40" s="16" t="n">
        <f aca="false">SUM(AM36:AM39)</f>
        <v>23805757.6952062</v>
      </c>
      <c r="AN40" s="16" t="n">
        <f aca="false">SUM(AN36:AN39)</f>
        <v>25739266.9519592</v>
      </c>
      <c r="AO40" s="16" t="n">
        <f aca="false">SUM(AO36:AO39)</f>
        <v>27833749.7163364</v>
      </c>
      <c r="AP40" s="16" t="n">
        <f aca="false">SUM(AP36:AP39)</f>
        <v>30098688.6946892</v>
      </c>
      <c r="AQ40" s="16" t="n">
        <f aca="false">SUM(AQ36:AQ39)</f>
        <v>32191596.5346043</v>
      </c>
      <c r="AR40" s="16" t="n">
        <f aca="false">SUM(AR36:AR39)</f>
        <v>34085587.9444987</v>
      </c>
      <c r="AS40" s="16" t="n">
        <f aca="false">SUM(AS36:AS39)</f>
        <v>36032391.7486988</v>
      </c>
      <c r="AT40" s="16" t="n">
        <f aca="false">SUM(AT36:AT39)</f>
        <v>37997989.5078163</v>
      </c>
      <c r="AU40" s="16" t="n">
        <f aca="false">SUM(AU36:AU39)</f>
        <v>39965580.2502454</v>
      </c>
      <c r="AV40" s="16" t="n">
        <f aca="false">SUM(AV36:AV39)</f>
        <v>41912019.2270358</v>
      </c>
      <c r="AW40" s="16" t="n">
        <f aca="false">SUM(AW36:AW39)</f>
        <v>43874672.4574571</v>
      </c>
      <c r="AX40" s="16" t="n">
        <f aca="false">SUM(AX36:AX39)</f>
        <v>45853962.1239182</v>
      </c>
      <c r="AY40" s="16" t="n">
        <f aca="false">SUM(AY36:AY39)</f>
        <v>47883075.5695221</v>
      </c>
      <c r="AZ40" s="16" t="n">
        <f aca="false">SUM(AZ36:AZ39)</f>
        <v>49961966.9207633</v>
      </c>
      <c r="BA40" s="16" t="n">
        <f aca="false">SUM(BA36:BA39)</f>
        <v>52121913.8884413</v>
      </c>
      <c r="BB40" s="16" t="n">
        <f aca="false">SUM(BB36:BB39)</f>
        <v>54362452.7898109</v>
      </c>
      <c r="BC40" s="16" t="n">
        <f aca="false">SUM(BC36:BC39)</f>
        <v>56619167.5987675</v>
      </c>
      <c r="BD40" s="16" t="n">
        <f aca="false">SUM(BD36:BD39)</f>
        <v>58925491.8475297</v>
      </c>
      <c r="BE40" s="16" t="n">
        <f aca="false">SUM(BE36:BE39)</f>
        <v>61281635.8679239</v>
      </c>
      <c r="BF40" s="16" t="n">
        <f aca="false">SUM(BF36:BF39)</f>
        <v>63655133.4470693</v>
      </c>
      <c r="BG40" s="16" t="n">
        <f aca="false">SUM(BG36:BG39)</f>
        <v>66079577.4826854</v>
      </c>
      <c r="BH40" s="16" t="n">
        <f aca="false">SUM(BH36:BH39)</f>
        <v>68555345.7337403</v>
      </c>
      <c r="BI40" s="16" t="n">
        <f aca="false">SUM(BI36:BI39)</f>
        <v>71050147.9868445</v>
      </c>
      <c r="BJ40" s="16" t="n">
        <f aca="false">SUM(BJ36:BJ39)</f>
        <v>73565029.4399032</v>
      </c>
      <c r="BK40" s="16" t="n">
        <f aca="false">SUM(BK36:BK39)</f>
        <v>76127595.1549249</v>
      </c>
      <c r="BL40" s="16" t="n">
        <f aca="false">SUM(BL36:BL39)</f>
        <v>78761487.801582</v>
      </c>
    </row>
    <row r="41" customFormat="false" ht="15" hidden="false" customHeight="false" outlineLevel="0" collapsed="false">
      <c r="A41" s="12" t="s">
        <v>805</v>
      </c>
      <c r="B41" s="14" t="s">
        <v>90</v>
      </c>
      <c r="E41" s="49" t="n">
        <f aca="false">IFERROR('Clients &amp; revenue'!E19/('Clients &amp; revenue'!E19+'Clients &amp; revenue'!E20),1)</f>
        <v>1</v>
      </c>
      <c r="F41" s="49" t="n">
        <f aca="false">IFERROR('Clients &amp; revenue'!F19/('Clients &amp; revenue'!F19+'Clients &amp; revenue'!F20),1)</f>
        <v>1</v>
      </c>
      <c r="G41" s="49" t="n">
        <f aca="false">IFERROR('Clients &amp; revenue'!G19/('Clients &amp; revenue'!G19+'Clients &amp; revenue'!G20),1)</f>
        <v>1</v>
      </c>
      <c r="H41" s="49" t="n">
        <f aca="false">IFERROR('Clients &amp; revenue'!H19/('Clients &amp; revenue'!H19+'Clients &amp; revenue'!H20),1)</f>
        <v>1</v>
      </c>
      <c r="I41" s="49" t="n">
        <f aca="false">IFERROR('Clients &amp; revenue'!I19/('Clients &amp; revenue'!I19+'Clients &amp; revenue'!I20),1)</f>
        <v>1</v>
      </c>
      <c r="J41" s="49" t="n">
        <f aca="false">IFERROR('Clients &amp; revenue'!J19/('Clients &amp; revenue'!J19+'Clients &amp; revenue'!J20),1)</f>
        <v>1</v>
      </c>
      <c r="K41" s="49" t="n">
        <f aca="false">IFERROR('Clients &amp; revenue'!K19/('Clients &amp; revenue'!K19+'Clients &amp; revenue'!K20),1)</f>
        <v>1</v>
      </c>
      <c r="L41" s="49" t="n">
        <f aca="false">IFERROR('Clients &amp; revenue'!L19/('Clients &amp; revenue'!L19+'Clients &amp; revenue'!L20),1)</f>
        <v>1</v>
      </c>
      <c r="M41" s="49" t="n">
        <f aca="false">IFERROR('Clients &amp; revenue'!M19/('Clients &amp; revenue'!M19+'Clients &amp; revenue'!M20),1)</f>
        <v>1</v>
      </c>
      <c r="N41" s="49" t="n">
        <f aca="false">IFERROR('Clients &amp; revenue'!N19/('Clients &amp; revenue'!N19+'Clients &amp; revenue'!N20),1)</f>
        <v>1</v>
      </c>
      <c r="O41" s="49" t="n">
        <f aca="false">IFERROR('Clients &amp; revenue'!O19/('Clients &amp; revenue'!O19+'Clients &amp; revenue'!O20),1)</f>
        <v>1</v>
      </c>
      <c r="P41" s="49" t="n">
        <f aca="false">IFERROR('Clients &amp; revenue'!P19/('Clients &amp; revenue'!P19+'Clients &amp; revenue'!P20),1)</f>
        <v>1</v>
      </c>
      <c r="Q41" s="49" t="n">
        <f aca="false">IFERROR('Clients &amp; revenue'!Q19/('Clients &amp; revenue'!Q19+'Clients &amp; revenue'!Q20),1)</f>
        <v>1</v>
      </c>
      <c r="R41" s="49" t="n">
        <f aca="false">IFERROR('Clients &amp; revenue'!R19/('Clients &amp; revenue'!R19+'Clients &amp; revenue'!R20),1)</f>
        <v>1</v>
      </c>
      <c r="S41" s="49" t="n">
        <f aca="false">IFERROR('Clients &amp; revenue'!S19/('Clients &amp; revenue'!S19+'Clients &amp; revenue'!S20),1)</f>
        <v>1</v>
      </c>
      <c r="T41" s="49" t="n">
        <f aca="false">IFERROR('Clients &amp; revenue'!T19/('Clients &amp; revenue'!T19+'Clients &amp; revenue'!T20),1)</f>
        <v>1</v>
      </c>
      <c r="U41" s="49" t="n">
        <f aca="false">IFERROR('Clients &amp; revenue'!U19/('Clients &amp; revenue'!U19+'Clients &amp; revenue'!U20),1)</f>
        <v>1</v>
      </c>
      <c r="V41" s="49" t="n">
        <f aca="false">IFERROR('Clients &amp; revenue'!V19/('Clients &amp; revenue'!V19+'Clients &amp; revenue'!V20),1)</f>
        <v>1</v>
      </c>
      <c r="W41" s="49" t="n">
        <f aca="false">IFERROR('Clients &amp; revenue'!W19/('Clients &amp; revenue'!W19+'Clients &amp; revenue'!W20),1)</f>
        <v>0.959131451657544</v>
      </c>
      <c r="X41" s="49" t="n">
        <f aca="false">IFERROR('Clients &amp; revenue'!X19/('Clients &amp; revenue'!X19+'Clients &amp; revenue'!X20),1)</f>
        <v>0.927447975726058</v>
      </c>
      <c r="Y41" s="49" t="n">
        <f aca="false">IFERROR('Clients &amp; revenue'!Y19/('Clients &amp; revenue'!Y19+'Clients &amp; revenue'!Y20),1)</f>
        <v>0.902204862549222</v>
      </c>
      <c r="Z41" s="49" t="n">
        <f aca="false">IFERROR('Clients &amp; revenue'!Z19/('Clients &amp; revenue'!Z19+'Clients &amp; revenue'!Z20),1)</f>
        <v>0.881654012831246</v>
      </c>
      <c r="AA41" s="49" t="n">
        <f aca="false">IFERROR('Clients &amp; revenue'!AA19/('Clients &amp; revenue'!AA19+'Clients &amp; revenue'!AA20),1)</f>
        <v>0.864629318882975</v>
      </c>
      <c r="AB41" s="49" t="n">
        <f aca="false">IFERROR('Clients &amp; revenue'!AB19/('Clients &amp; revenue'!AB19+'Clients &amp; revenue'!AB20),1)</f>
        <v>0.851233886129712</v>
      </c>
      <c r="AC41" s="49" t="n">
        <f aca="false">IFERROR('Clients &amp; revenue'!AC19/('Clients &amp; revenue'!AC19+'Clients &amp; revenue'!AC20),1)</f>
        <v>0.833423602036428</v>
      </c>
      <c r="AD41" s="49" t="n">
        <f aca="false">IFERROR('Clients &amp; revenue'!AD19/('Clients &amp; revenue'!AD19+'Clients &amp; revenue'!AD20),1)</f>
        <v>0.818838566428194</v>
      </c>
      <c r="AE41" s="49" t="n">
        <f aca="false">IFERROR('Clients &amp; revenue'!AE19/('Clients &amp; revenue'!AE19+'Clients &amp; revenue'!AE20),1)</f>
        <v>0.806708703046234</v>
      </c>
      <c r="AF41" s="49" t="n">
        <f aca="false">IFERROR('Clients &amp; revenue'!AF19/('Clients &amp; revenue'!AF19+'Clients &amp; revenue'!AF20),1)</f>
        <v>0.797367051432218</v>
      </c>
      <c r="AG41" s="49" t="n">
        <f aca="false">IFERROR('Clients &amp; revenue'!AG19/('Clients &amp; revenue'!AG19+'Clients &amp; revenue'!AG20),1)</f>
        <v>0.789478831555948</v>
      </c>
      <c r="AH41" s="49" t="n">
        <f aca="false">IFERROR('Clients &amp; revenue'!AH19/('Clients &amp; revenue'!AH19+'Clients &amp; revenue'!AH20),1)</f>
        <v>0.782752625615295</v>
      </c>
      <c r="AI41" s="49" t="n">
        <f aca="false">IFERROR('Clients &amp; revenue'!AI19/('Clients &amp; revenue'!AI19+'Clients &amp; revenue'!AI20),1)</f>
        <v>0.776971193846822</v>
      </c>
      <c r="AJ41" s="49" t="n">
        <f aca="false">IFERROR('Clients &amp; revenue'!AJ19/('Clients &amp; revenue'!AJ19+'Clients &amp; revenue'!AJ20),1)</f>
        <v>0.772716375796873</v>
      </c>
      <c r="AK41" s="49" t="n">
        <f aca="false">IFERROR('Clients &amp; revenue'!AK19/('Clients &amp; revenue'!AK19+'Clients &amp; revenue'!AK20),1)</f>
        <v>0.769040800421687</v>
      </c>
      <c r="AL41" s="49" t="n">
        <f aca="false">IFERROR('Clients &amp; revenue'!AL19/('Clients &amp; revenue'!AL19+'Clients &amp; revenue'!AL20),1)</f>
        <v>0.765850388342841</v>
      </c>
      <c r="AM41" s="49" t="n">
        <f aca="false">IFERROR('Clients &amp; revenue'!AM19/('Clients &amp; revenue'!AM19+'Clients &amp; revenue'!AM20),1)</f>
        <v>0.763723046303577</v>
      </c>
      <c r="AN41" s="49" t="n">
        <f aca="false">IFERROR('Clients &amp; revenue'!AN19/('Clients &amp; revenue'!AN19+'Clients &amp; revenue'!AN20),1)</f>
        <v>0.760098324486568</v>
      </c>
      <c r="AO41" s="49" t="n">
        <f aca="false">IFERROR('Clients &amp; revenue'!AO19/('Clients &amp; revenue'!AO19+'Clients &amp; revenue'!AO20),1)</f>
        <v>0.755822967745558</v>
      </c>
      <c r="AP41" s="49" t="n">
        <f aca="false">IFERROR('Clients &amp; revenue'!AP19/('Clients &amp; revenue'!AP19+'Clients &amp; revenue'!AP20),1)</f>
        <v>0.752681973019676</v>
      </c>
      <c r="AQ41" s="49" t="n">
        <f aca="false">IFERROR('Clients &amp; revenue'!AQ19/('Clients &amp; revenue'!AQ19+'Clients &amp; revenue'!AQ20),1)</f>
        <v>0.749963334885116</v>
      </c>
      <c r="AR41" s="49" t="n">
        <f aca="false">IFERROR('Clients &amp; revenue'!AR19/('Clients &amp; revenue'!AR19+'Clients &amp; revenue'!AR20),1)</f>
        <v>0.748130846902864</v>
      </c>
      <c r="AS41" s="49" t="n">
        <f aca="false">IFERROR('Clients &amp; revenue'!AS19/('Clients &amp; revenue'!AS19+'Clients &amp; revenue'!AS20),1)</f>
        <v>0.74648463548509</v>
      </c>
      <c r="AT41" s="49" t="n">
        <f aca="false">IFERROR('Clients &amp; revenue'!AT19/('Clients &amp; revenue'!AT19+'Clients &amp; revenue'!AT20),1)</f>
        <v>0.744059534611661</v>
      </c>
      <c r="AU41" s="49" t="n">
        <f aca="false">IFERROR('Clients &amp; revenue'!AU19/('Clients &amp; revenue'!AU19+'Clients &amp; revenue'!AU20),1)</f>
        <v>0.741720576004245</v>
      </c>
      <c r="AV41" s="49" t="n">
        <f aca="false">IFERROR('Clients &amp; revenue'!AV19/('Clients &amp; revenue'!AV19+'Clients &amp; revenue'!AV20),1)</f>
        <v>0.739444261195226</v>
      </c>
      <c r="AW41" s="49" t="n">
        <f aca="false">IFERROR('Clients &amp; revenue'!AW19/('Clients &amp; revenue'!AW19+'Clients &amp; revenue'!AW20),1)</f>
        <v>0.737639028948912</v>
      </c>
      <c r="AX41" s="49" t="n">
        <f aca="false">IFERROR('Clients &amp; revenue'!AX19/('Clients &amp; revenue'!AX19+'Clients &amp; revenue'!AX20),1)</f>
        <v>0.735824659894404</v>
      </c>
      <c r="AY41" s="49" t="n">
        <f aca="false">IFERROR('Clients &amp; revenue'!AY19/('Clients &amp; revenue'!AY19+'Clients &amp; revenue'!AY20),1)</f>
        <v>0.733402259010948</v>
      </c>
      <c r="AZ41" s="49" t="n">
        <f aca="false">IFERROR('Clients &amp; revenue'!AZ19/('Clients &amp; revenue'!AZ19+'Clients &amp; revenue'!AZ20),1)</f>
        <v>0.731019950193505</v>
      </c>
      <c r="BA41" s="49" t="n">
        <f aca="false">IFERROR('Clients &amp; revenue'!BA19/('Clients &amp; revenue'!BA19+'Clients &amp; revenue'!BA20),1)</f>
        <v>0.728481651217992</v>
      </c>
      <c r="BB41" s="49" t="n">
        <f aca="false">IFERROR('Clients &amp; revenue'!BB19/('Clients &amp; revenue'!BB19+'Clients &amp; revenue'!BB20),1)</f>
        <v>0.725987675261182</v>
      </c>
      <c r="BC41" s="49" t="n">
        <f aca="false">IFERROR('Clients &amp; revenue'!BC19/('Clients &amp; revenue'!BC19+'Clients &amp; revenue'!BC20),1)</f>
        <v>0.723871315236658</v>
      </c>
      <c r="BD41" s="49" t="n">
        <f aca="false">IFERROR('Clients &amp; revenue'!BD19/('Clients &amp; revenue'!BD19+'Clients &amp; revenue'!BD20),1)</f>
        <v>0.720951337073938</v>
      </c>
      <c r="BE41" s="49" t="n">
        <f aca="false">IFERROR('Clients &amp; revenue'!BE19/('Clients &amp; revenue'!BE19+'Clients &amp; revenue'!BE20),1)</f>
        <v>0.718414218141538</v>
      </c>
      <c r="BF41" s="49" t="n">
        <f aca="false">IFERROR('Clients &amp; revenue'!BF19/('Clients &amp; revenue'!BF19+'Clients &amp; revenue'!BF20),1)</f>
        <v>0.71588930451996</v>
      </c>
      <c r="BG41" s="49" t="n">
        <f aca="false">IFERROR('Clients &amp; revenue'!BG19/('Clients &amp; revenue'!BG19+'Clients &amp; revenue'!BG20),1)</f>
        <v>0.712977344342521</v>
      </c>
      <c r="BH41" s="49" t="n">
        <f aca="false">IFERROR('Clients &amp; revenue'!BH19/('Clients &amp; revenue'!BH19+'Clients &amp; revenue'!BH20),1)</f>
        <v>0.710096485933259</v>
      </c>
      <c r="BI41" s="49" t="n">
        <f aca="false">IFERROR('Clients &amp; revenue'!BI19/('Clients &amp; revenue'!BI19+'Clients &amp; revenue'!BI20),1)</f>
        <v>0.707527811894597</v>
      </c>
      <c r="BJ41" s="49" t="n">
        <f aca="false">IFERROR('Clients &amp; revenue'!BJ19/('Clients &amp; revenue'!BJ19+'Clients &amp; revenue'!BJ20),1)</f>
        <v>0.704942418530407</v>
      </c>
      <c r="BK41" s="49" t="n">
        <f aca="false">IFERROR('Clients &amp; revenue'!BK19/('Clients &amp; revenue'!BK19+'Clients &amp; revenue'!BK20),1)</f>
        <v>0.702127674595912</v>
      </c>
      <c r="BL41" s="49" t="n">
        <f aca="false">IFERROR('Clients &amp; revenue'!BL19/('Clients &amp; revenue'!BL19+'Clients &amp; revenue'!BL20),1)</f>
        <v>0.699813030087353</v>
      </c>
    </row>
    <row r="42" customFormat="false" ht="15" hidden="false" customHeight="false" outlineLevel="0" collapsed="false">
      <c r="A42" s="12" t="s">
        <v>806</v>
      </c>
      <c r="B42" s="14" t="s">
        <v>90</v>
      </c>
      <c r="E42" s="49" t="n">
        <f aca="false">IF(E$3&gt;=Own_Funding_Month,E41+(1-E41)*Partner_Share,Partner_Share)</f>
        <v>0.5</v>
      </c>
      <c r="F42" s="49" t="n">
        <f aca="false">IF(F$3&gt;=Own_Funding_Month,F41+(1-F41)*Partner_Share,Partner_Share)</f>
        <v>0.5</v>
      </c>
      <c r="G42" s="49" t="n">
        <f aca="false">IF(G$3&gt;=Own_Funding_Month,G41+(1-G41)*Partner_Share,Partner_Share)</f>
        <v>0.5</v>
      </c>
      <c r="H42" s="49" t="n">
        <f aca="false">IF(H$3&gt;=Own_Funding_Month,H41+(1-H41)*Partner_Share,Partner_Share)</f>
        <v>0.5</v>
      </c>
      <c r="I42" s="49" t="n">
        <f aca="false">IF(I$3&gt;=Own_Funding_Month,I41+(1-I41)*Partner_Share,Partner_Share)</f>
        <v>0.5</v>
      </c>
      <c r="J42" s="49" t="n">
        <f aca="false">IF(J$3&gt;=Own_Funding_Month,J41+(1-J41)*Partner_Share,Partner_Share)</f>
        <v>0.5</v>
      </c>
      <c r="K42" s="49" t="n">
        <f aca="false">IF(K$3&gt;=Own_Funding_Month,K41+(1-K41)*Partner_Share,Partner_Share)</f>
        <v>0.5</v>
      </c>
      <c r="L42" s="49" t="n">
        <f aca="false">IF(L$3&gt;=Own_Funding_Month,L41+(1-L41)*Partner_Share,Partner_Share)</f>
        <v>0.5</v>
      </c>
      <c r="M42" s="49" t="n">
        <f aca="false">IF(M$3&gt;=Own_Funding_Month,M41+(1-M41)*Partner_Share,Partner_Share)</f>
        <v>0.5</v>
      </c>
      <c r="N42" s="49" t="n">
        <f aca="false">IF(N$3&gt;=Own_Funding_Month,N41+(1-N41)*Partner_Share,Partner_Share)</f>
        <v>0.5</v>
      </c>
      <c r="O42" s="49" t="n">
        <f aca="false">IF(O$3&gt;=Own_Funding_Month,O41+(1-O41)*Partner_Share,Partner_Share)</f>
        <v>0.5</v>
      </c>
      <c r="P42" s="49" t="n">
        <f aca="false">IF(P$3&gt;=Own_Funding_Month,P41+(1-P41)*Partner_Share,Partner_Share)</f>
        <v>0.5</v>
      </c>
      <c r="Q42" s="49" t="n">
        <f aca="false">IF(Q$3&gt;=Own_Funding_Month,Q41+(1-Q41)*Partner_Share,Partner_Share)</f>
        <v>0.5</v>
      </c>
      <c r="R42" s="49" t="n">
        <f aca="false">IF(R$3&gt;=Own_Funding_Month,R41+(1-R41)*Partner_Share,Partner_Share)</f>
        <v>0.5</v>
      </c>
      <c r="S42" s="49" t="n">
        <f aca="false">IF(S$3&gt;=Own_Funding_Month,S41+(1-S41)*Partner_Share,Partner_Share)</f>
        <v>0.5</v>
      </c>
      <c r="T42" s="49" t="n">
        <f aca="false">IF(T$3&gt;=Own_Funding_Month,T41+(1-T41)*Partner_Share,Partner_Share)</f>
        <v>0.5</v>
      </c>
      <c r="U42" s="49" t="n">
        <f aca="false">IF(U$3&gt;=Own_Funding_Month,U41+(1-U41)*Partner_Share,Partner_Share)</f>
        <v>0.5</v>
      </c>
      <c r="V42" s="49" t="n">
        <f aca="false">IF(V$3&gt;=Own_Funding_Month,V41+(1-V41)*Partner_Share,Partner_Share)</f>
        <v>0.5</v>
      </c>
      <c r="W42" s="49" t="n">
        <f aca="false">IF(W$3&gt;=Own_Funding_Month,W41+(1-W41)*Partner_Share,Partner_Share)</f>
        <v>0.5</v>
      </c>
      <c r="X42" s="49" t="n">
        <f aca="false">IF(X$3&gt;=Own_Funding_Month,X41+(1-X41)*Partner_Share,Partner_Share)</f>
        <v>0.5</v>
      </c>
      <c r="Y42" s="49" t="n">
        <f aca="false">IF(Y$3&gt;=Own_Funding_Month,Y41+(1-Y41)*Partner_Share,Partner_Share)</f>
        <v>0.5</v>
      </c>
      <c r="Z42" s="49" t="n">
        <f aca="false">IF(Z$3&gt;=Own_Funding_Month,Z41+(1-Z41)*Partner_Share,Partner_Share)</f>
        <v>0.5</v>
      </c>
      <c r="AA42" s="49" t="n">
        <f aca="false">IF(AA$3&gt;=Own_Funding_Month,AA41+(1-AA41)*Partner_Share,Partner_Share)</f>
        <v>0.5</v>
      </c>
      <c r="AB42" s="49" t="n">
        <f aca="false">IF(AB$3&gt;=Own_Funding_Month,AB41+(1-AB41)*Partner_Share,Partner_Share)</f>
        <v>0.5</v>
      </c>
      <c r="AC42" s="49" t="n">
        <f aca="false">IF(AC$3&gt;=Own_Funding_Month,AC41+(1-AC41)*Partner_Share,Partner_Share)</f>
        <v>0.916711801018214</v>
      </c>
      <c r="AD42" s="49" t="n">
        <f aca="false">IF(AD$3&gt;=Own_Funding_Month,AD41+(1-AD41)*Partner_Share,Partner_Share)</f>
        <v>0.909419283214097</v>
      </c>
      <c r="AE42" s="49" t="n">
        <f aca="false">IF(AE$3&gt;=Own_Funding_Month,AE41+(1-AE41)*Partner_Share,Partner_Share)</f>
        <v>0.903354351523117</v>
      </c>
      <c r="AF42" s="49" t="n">
        <f aca="false">IF(AF$3&gt;=Own_Funding_Month,AF41+(1-AF41)*Partner_Share,Partner_Share)</f>
        <v>0.898683525716109</v>
      </c>
      <c r="AG42" s="49" t="n">
        <f aca="false">IF(AG$3&gt;=Own_Funding_Month,AG41+(1-AG41)*Partner_Share,Partner_Share)</f>
        <v>0.894739415777974</v>
      </c>
      <c r="AH42" s="49" t="n">
        <f aca="false">IF(AH$3&gt;=Own_Funding_Month,AH41+(1-AH41)*Partner_Share,Partner_Share)</f>
        <v>0.891376312807648</v>
      </c>
      <c r="AI42" s="49" t="n">
        <f aca="false">IF(AI$3&gt;=Own_Funding_Month,AI41+(1-AI41)*Partner_Share,Partner_Share)</f>
        <v>0.888485596923411</v>
      </c>
      <c r="AJ42" s="49" t="n">
        <f aca="false">IF(AJ$3&gt;=Own_Funding_Month,AJ41+(1-AJ41)*Partner_Share,Partner_Share)</f>
        <v>0.886358187898437</v>
      </c>
      <c r="AK42" s="49" t="n">
        <f aca="false">IF(AK$3&gt;=Own_Funding_Month,AK41+(1-AK41)*Partner_Share,Partner_Share)</f>
        <v>0.884520400210843</v>
      </c>
      <c r="AL42" s="49" t="n">
        <f aca="false">IF(AL$3&gt;=Own_Funding_Month,AL41+(1-AL41)*Partner_Share,Partner_Share)</f>
        <v>0.882925194171421</v>
      </c>
      <c r="AM42" s="49" t="n">
        <f aca="false">IF(AM$3&gt;=Own_Funding_Month,AM41+(1-AM41)*Partner_Share,Partner_Share)</f>
        <v>0.881861523151788</v>
      </c>
      <c r="AN42" s="49" t="n">
        <f aca="false">IF(AN$3&gt;=Own_Funding_Month,AN41+(1-AN41)*Partner_Share,Partner_Share)</f>
        <v>0.880049162243284</v>
      </c>
      <c r="AO42" s="49" t="n">
        <f aca="false">IF(AO$3&gt;=Own_Funding_Month,AO41+(1-AO41)*Partner_Share,Partner_Share)</f>
        <v>0.877911483872779</v>
      </c>
      <c r="AP42" s="49" t="n">
        <f aca="false">IF(AP$3&gt;=Own_Funding_Month,AP41+(1-AP41)*Partner_Share,Partner_Share)</f>
        <v>0.876340986509838</v>
      </c>
      <c r="AQ42" s="49" t="n">
        <f aca="false">IF(AQ$3&gt;=Own_Funding_Month,AQ41+(1-AQ41)*Partner_Share,Partner_Share)</f>
        <v>0.874981667442558</v>
      </c>
      <c r="AR42" s="49" t="n">
        <f aca="false">IF(AR$3&gt;=Own_Funding_Month,AR41+(1-AR41)*Partner_Share,Partner_Share)</f>
        <v>0.874065423451432</v>
      </c>
      <c r="AS42" s="49" t="n">
        <f aca="false">IF(AS$3&gt;=Own_Funding_Month,AS41+(1-AS41)*Partner_Share,Partner_Share)</f>
        <v>0.873242317742545</v>
      </c>
      <c r="AT42" s="49" t="n">
        <f aca="false">IF(AT$3&gt;=Own_Funding_Month,AT41+(1-AT41)*Partner_Share,Partner_Share)</f>
        <v>0.872029767305831</v>
      </c>
      <c r="AU42" s="49" t="n">
        <f aca="false">IF(AU$3&gt;=Own_Funding_Month,AU41+(1-AU41)*Partner_Share,Partner_Share)</f>
        <v>0.870860288002123</v>
      </c>
      <c r="AV42" s="49" t="n">
        <f aca="false">IF(AV$3&gt;=Own_Funding_Month,AV41+(1-AV41)*Partner_Share,Partner_Share)</f>
        <v>0.869722130597613</v>
      </c>
      <c r="AW42" s="49" t="n">
        <f aca="false">IF(AW$3&gt;=Own_Funding_Month,AW41+(1-AW41)*Partner_Share,Partner_Share)</f>
        <v>0.868819514474456</v>
      </c>
      <c r="AX42" s="49" t="n">
        <f aca="false">IF(AX$3&gt;=Own_Funding_Month,AX41+(1-AX41)*Partner_Share,Partner_Share)</f>
        <v>0.867912329947202</v>
      </c>
      <c r="AY42" s="49" t="n">
        <f aca="false">IF(AY$3&gt;=Own_Funding_Month,AY41+(1-AY41)*Partner_Share,Partner_Share)</f>
        <v>0.866701129505474</v>
      </c>
      <c r="AZ42" s="49" t="n">
        <f aca="false">IF(AZ$3&gt;=Own_Funding_Month,AZ41+(1-AZ41)*Partner_Share,Partner_Share)</f>
        <v>0.865509975096752</v>
      </c>
      <c r="BA42" s="49" t="n">
        <f aca="false">IF(BA$3&gt;=Own_Funding_Month,BA41+(1-BA41)*Partner_Share,Partner_Share)</f>
        <v>0.864240825608996</v>
      </c>
      <c r="BB42" s="49" t="n">
        <f aca="false">IF(BB$3&gt;=Own_Funding_Month,BB41+(1-BB41)*Partner_Share,Partner_Share)</f>
        <v>0.862993837630591</v>
      </c>
      <c r="BC42" s="49" t="n">
        <f aca="false">IF(BC$3&gt;=Own_Funding_Month,BC41+(1-BC41)*Partner_Share,Partner_Share)</f>
        <v>0.861935657618329</v>
      </c>
      <c r="BD42" s="49" t="n">
        <f aca="false">IF(BD$3&gt;=Own_Funding_Month,BD41+(1-BD41)*Partner_Share,Partner_Share)</f>
        <v>0.860475668536969</v>
      </c>
      <c r="BE42" s="49" t="n">
        <f aca="false">IF(BE$3&gt;=Own_Funding_Month,BE41+(1-BE41)*Partner_Share,Partner_Share)</f>
        <v>0.859207109070769</v>
      </c>
      <c r="BF42" s="49" t="n">
        <f aca="false">IF(BF$3&gt;=Own_Funding_Month,BF41+(1-BF41)*Partner_Share,Partner_Share)</f>
        <v>0.85794465225998</v>
      </c>
      <c r="BG42" s="49" t="n">
        <f aca="false">IF(BG$3&gt;=Own_Funding_Month,BG41+(1-BG41)*Partner_Share,Partner_Share)</f>
        <v>0.856488672171261</v>
      </c>
      <c r="BH42" s="49" t="n">
        <f aca="false">IF(BH$3&gt;=Own_Funding_Month,BH41+(1-BH41)*Partner_Share,Partner_Share)</f>
        <v>0.85504824296663</v>
      </c>
      <c r="BI42" s="49" t="n">
        <f aca="false">IF(BI$3&gt;=Own_Funding_Month,BI41+(1-BI41)*Partner_Share,Partner_Share)</f>
        <v>0.853763905947299</v>
      </c>
      <c r="BJ42" s="49" t="n">
        <f aca="false">IF(BJ$3&gt;=Own_Funding_Month,BJ41+(1-BJ41)*Partner_Share,Partner_Share)</f>
        <v>0.852471209265203</v>
      </c>
      <c r="BK42" s="49" t="n">
        <f aca="false">IF(BK$3&gt;=Own_Funding_Month,BK41+(1-BK41)*Partner_Share,Partner_Share)</f>
        <v>0.851063837297956</v>
      </c>
      <c r="BL42" s="49" t="n">
        <f aca="false">IF(BL$3&gt;=Own_Funding_Month,BL41+(1-BL41)*Partner_Share,Partner_Share)</f>
        <v>0.849906515043676</v>
      </c>
    </row>
    <row r="43" customFormat="false" ht="15" hidden="false" customHeight="false" outlineLevel="0" collapsed="false">
      <c r="A43" s="8" t="s">
        <v>807</v>
      </c>
      <c r="B43" s="14" t="s">
        <v>71</v>
      </c>
      <c r="D43" s="55" t="n">
        <f aca="false">SUM(E43:BL43)</f>
        <v>1250063418.55489</v>
      </c>
      <c r="E43" s="16" t="n">
        <f aca="false">E40*E42</f>
        <v>0</v>
      </c>
      <c r="F43" s="16" t="n">
        <f aca="false">F40*F42</f>
        <v>0</v>
      </c>
      <c r="G43" s="16" t="n">
        <f aca="false">G40*G42</f>
        <v>0</v>
      </c>
      <c r="H43" s="16" t="n">
        <f aca="false">H40*H42</f>
        <v>0</v>
      </c>
      <c r="I43" s="16" t="n">
        <f aca="false">I40*I42</f>
        <v>0</v>
      </c>
      <c r="J43" s="16" t="n">
        <f aca="false">J40*J42</f>
        <v>0</v>
      </c>
      <c r="K43" s="16" t="n">
        <f aca="false">K40*K42</f>
        <v>0</v>
      </c>
      <c r="L43" s="16" t="n">
        <f aca="false">L40*L42</f>
        <v>0</v>
      </c>
      <c r="M43" s="16" t="n">
        <f aca="false">M40*M42</f>
        <v>0</v>
      </c>
      <c r="N43" s="16" t="n">
        <f aca="false">N40*N42</f>
        <v>0</v>
      </c>
      <c r="O43" s="16" t="n">
        <f aca="false">O40*O42</f>
        <v>0</v>
      </c>
      <c r="P43" s="16" t="n">
        <f aca="false">P40*P42</f>
        <v>0</v>
      </c>
      <c r="Q43" s="16" t="n">
        <f aca="false">Q40*Q42</f>
        <v>0</v>
      </c>
      <c r="R43" s="16" t="n">
        <f aca="false">R40*R42</f>
        <v>0</v>
      </c>
      <c r="S43" s="16" t="n">
        <f aca="false">S40*S42</f>
        <v>0</v>
      </c>
      <c r="T43" s="16" t="n">
        <f aca="false">T40*T42</f>
        <v>0</v>
      </c>
      <c r="U43" s="16" t="n">
        <f aca="false">U40*U42</f>
        <v>0</v>
      </c>
      <c r="V43" s="16" t="n">
        <f aca="false">V40*V42</f>
        <v>86442.0499134634</v>
      </c>
      <c r="W43" s="16" t="n">
        <f aca="false">W40*W42</f>
        <v>283475.024172515</v>
      </c>
      <c r="X43" s="16" t="n">
        <f aca="false">X40*X42</f>
        <v>528712.678781451</v>
      </c>
      <c r="Y43" s="16" t="n">
        <f aca="false">Y40*Y42</f>
        <v>845695.101490092</v>
      </c>
      <c r="Z43" s="16" t="n">
        <f aca="false">Z40*Z42</f>
        <v>1239009.26832925</v>
      </c>
      <c r="AA43" s="16" t="n">
        <f aca="false">AA40*AA42</f>
        <v>1689652.58047647</v>
      </c>
      <c r="AB43" s="16" t="n">
        <f aca="false">AB40*AB42</f>
        <v>2205314.68481341</v>
      </c>
      <c r="AC43" s="16" t="n">
        <f aca="false">AC40*AC42</f>
        <v>5168326.5517334</v>
      </c>
      <c r="AD43" s="16" t="n">
        <f aca="false">AD40*AD42</f>
        <v>6426092.41826096</v>
      </c>
      <c r="AE43" s="16" t="n">
        <f aca="false">AE40*AE42</f>
        <v>7935413.55821994</v>
      </c>
      <c r="AF43" s="16" t="n">
        <f aca="false">AF40*AF42</f>
        <v>9741437.27091955</v>
      </c>
      <c r="AG43" s="16" t="n">
        <f aca="false">AG40*AG42</f>
        <v>11743266.4166401</v>
      </c>
      <c r="AH43" s="16" t="n">
        <f aca="false">AH40*AH42</f>
        <v>13481415.9697141</v>
      </c>
      <c r="AI43" s="16" t="n">
        <f aca="false">AI40*AI42</f>
        <v>14902898.6778527</v>
      </c>
      <c r="AJ43" s="16" t="n">
        <f aca="false">AJ40*AJ42</f>
        <v>16429224.1989978</v>
      </c>
      <c r="AK43" s="16" t="n">
        <f aca="false">AK40*AK42</f>
        <v>17949229.7906258</v>
      </c>
      <c r="AL43" s="16" t="n">
        <f aca="false">AL40*AL42</f>
        <v>19425733.2962614</v>
      </c>
      <c r="AM43" s="16" t="n">
        <f aca="false">AM40*AM42</f>
        <v>20993381.7408769</v>
      </c>
      <c r="AN43" s="16" t="n">
        <f aca="false">AN40*AN42</f>
        <v>22651820.3178279</v>
      </c>
      <c r="AO43" s="16" t="n">
        <f aca="false">AO40*AO42</f>
        <v>24435568.5152124</v>
      </c>
      <c r="AP43" s="16" t="n">
        <f aca="false">AP40*AP42</f>
        <v>26376714.5433564</v>
      </c>
      <c r="AQ43" s="16" t="n">
        <f aca="false">AQ40*AQ42</f>
        <v>28167056.8134861</v>
      </c>
      <c r="AR43" s="16" t="n">
        <f aca="false">AR40*AR42</f>
        <v>29793033.8602993</v>
      </c>
      <c r="AS43" s="16" t="n">
        <f aca="false">AS40*AS42</f>
        <v>31465009.2844411</v>
      </c>
      <c r="AT43" s="16" t="n">
        <f aca="false">AT40*AT42</f>
        <v>33135377.9485904</v>
      </c>
      <c r="AU43" s="16" t="n">
        <f aca="false">AU40*AU42</f>
        <v>34804436.7269006</v>
      </c>
      <c r="AV43" s="16" t="n">
        <f aca="false">AV40*AV42</f>
        <v>36451810.6597857</v>
      </c>
      <c r="AW43" s="16" t="n">
        <f aca="false">AW40*AW42</f>
        <v>38119171.6222137</v>
      </c>
      <c r="AX43" s="16" t="n">
        <f aca="false">AX40*AX42</f>
        <v>39797219.1042806</v>
      </c>
      <c r="AY43" s="16" t="n">
        <f aca="false">AY40*AY42</f>
        <v>41500315.6803008</v>
      </c>
      <c r="AZ43" s="16" t="n">
        <f aca="false">AZ40*AZ42</f>
        <v>43242580.7453746</v>
      </c>
      <c r="BA43" s="16" t="n">
        <f aca="false">BA40*BA42</f>
        <v>45045885.8912675</v>
      </c>
      <c r="BB43" s="16" t="n">
        <f aca="false">BB40*BB42</f>
        <v>46914461.7560907</v>
      </c>
      <c r="BC43" s="16" t="n">
        <f aca="false">BC40*BC42</f>
        <v>48802079.4580461</v>
      </c>
      <c r="BD43" s="16" t="n">
        <f aca="false">BD40*BD42</f>
        <v>50703951.9913728</v>
      </c>
      <c r="BE43" s="16" t="n">
        <f aca="false">BE40*BE42</f>
        <v>52653617.1932064</v>
      </c>
      <c r="BF43" s="16" t="n">
        <f aca="false">BF40*BF42</f>
        <v>54612581.3298085</v>
      </c>
      <c r="BG43" s="16" t="n">
        <f aca="false">BG40*BG42</f>
        <v>56596409.5757832</v>
      </c>
      <c r="BH43" s="16" t="n">
        <f aca="false">BH40*BH42</f>
        <v>58618127.9156045</v>
      </c>
      <c r="BI43" s="16" t="n">
        <f aca="false">BI40*BI42</f>
        <v>60660051.8633819</v>
      </c>
      <c r="BJ43" s="16" t="n">
        <f aca="false">BJ40*BJ42</f>
        <v>62712069.6062646</v>
      </c>
      <c r="BK43" s="16" t="n">
        <f aca="false">BK40*BK42</f>
        <v>64789443.2568157</v>
      </c>
      <c r="BL43" s="16" t="n">
        <f aca="false">BL40*BL42</f>
        <v>66939901.6170976</v>
      </c>
    </row>
    <row r="45" customFormat="false" ht="15" hidden="false" customHeight="false" outlineLevel="0" collapsed="false">
      <c r="A45" s="10" t="s">
        <v>808</v>
      </c>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11"/>
      <c r="BK45" s="11"/>
      <c r="BL45" s="11"/>
    </row>
    <row r="46" customFormat="false" ht="15" hidden="false" customHeight="false" outlineLevel="0" collapsed="false">
      <c r="A46" s="12" t="s">
        <v>809</v>
      </c>
      <c r="B46" s="14" t="s">
        <v>71</v>
      </c>
      <c r="D46" s="55" t="n">
        <f aca="false">BL46</f>
        <v>1236996414.46286</v>
      </c>
      <c r="E46" s="37" t="n">
        <f aca="false">IF(E$3&gt;=Own_Funding_Month,E25*(E41*Capital_Ratio+(1-E41)*First_Loss),E25*First_Loss)</f>
        <v>0</v>
      </c>
      <c r="F46" s="37" t="n">
        <f aca="false">IF(F$3&gt;=Own_Funding_Month,F25*(F41*Capital_Ratio+(1-F41)*First_Loss),F25*First_Loss)</f>
        <v>0</v>
      </c>
      <c r="G46" s="37" t="n">
        <f aca="false">IF(G$3&gt;=Own_Funding_Month,G25*(G41*Capital_Ratio+(1-G41)*First_Loss),G25*First_Loss)</f>
        <v>0</v>
      </c>
      <c r="H46" s="37" t="n">
        <f aca="false">IF(H$3&gt;=Own_Funding_Month,H25*(H41*Capital_Ratio+(1-H41)*First_Loss),H25*First_Loss)</f>
        <v>0</v>
      </c>
      <c r="I46" s="37" t="n">
        <f aca="false">IF(I$3&gt;=Own_Funding_Month,I25*(I41*Capital_Ratio+(1-I41)*First_Loss),I25*First_Loss)</f>
        <v>0</v>
      </c>
      <c r="J46" s="37" t="n">
        <f aca="false">IF(J$3&gt;=Own_Funding_Month,J25*(J41*Capital_Ratio+(1-J41)*First_Loss),J25*First_Loss)</f>
        <v>0</v>
      </c>
      <c r="K46" s="37" t="n">
        <f aca="false">IF(K$3&gt;=Own_Funding_Month,K25*(K41*Capital_Ratio+(1-K41)*First_Loss),K25*First_Loss)</f>
        <v>0</v>
      </c>
      <c r="L46" s="37" t="n">
        <f aca="false">IF(L$3&gt;=Own_Funding_Month,L25*(L41*Capital_Ratio+(1-L41)*First_Loss),L25*First_Loss)</f>
        <v>0</v>
      </c>
      <c r="M46" s="37" t="n">
        <f aca="false">IF(M$3&gt;=Own_Funding_Month,M25*(M41*Capital_Ratio+(1-M41)*First_Loss),M25*First_Loss)</f>
        <v>0</v>
      </c>
      <c r="N46" s="37" t="n">
        <f aca="false">IF(N$3&gt;=Own_Funding_Month,N25*(N41*Capital_Ratio+(1-N41)*First_Loss),N25*First_Loss)</f>
        <v>0</v>
      </c>
      <c r="O46" s="37" t="n">
        <f aca="false">IF(O$3&gt;=Own_Funding_Month,O25*(O41*Capital_Ratio+(1-O41)*First_Loss),O25*First_Loss)</f>
        <v>0</v>
      </c>
      <c r="P46" s="37" t="n">
        <f aca="false">IF(P$3&gt;=Own_Funding_Month,P25*(P41*Capital_Ratio+(1-P41)*First_Loss),P25*First_Loss)</f>
        <v>0</v>
      </c>
      <c r="Q46" s="37" t="n">
        <f aca="false">IF(Q$3&gt;=Own_Funding_Month,Q25*(Q41*Capital_Ratio+(1-Q41)*First_Loss),Q25*First_Loss)</f>
        <v>0</v>
      </c>
      <c r="R46" s="37" t="n">
        <f aca="false">IF(R$3&gt;=Own_Funding_Month,R25*(R41*Capital_Ratio+(1-R41)*First_Loss),R25*First_Loss)</f>
        <v>0</v>
      </c>
      <c r="S46" s="37" t="n">
        <f aca="false">IF(S$3&gt;=Own_Funding_Month,S25*(S41*Capital_Ratio+(1-S41)*First_Loss),S25*First_Loss)</f>
        <v>0</v>
      </c>
      <c r="T46" s="37" t="n">
        <f aca="false">IF(T$3&gt;=Own_Funding_Month,T25*(T41*Capital_Ratio+(1-T41)*First_Loss),T25*First_Loss)</f>
        <v>0</v>
      </c>
      <c r="U46" s="37" t="n">
        <f aca="false">IF(U$3&gt;=Own_Funding_Month,U25*(U41*Capital_Ratio+(1-U41)*First_Loss),U25*First_Loss)</f>
        <v>0</v>
      </c>
      <c r="V46" s="37" t="n">
        <f aca="false">IF(V$3&gt;=Own_Funding_Month,V25*(V41*Capital_Ratio+(1-V41)*First_Loss),V25*First_Loss)</f>
        <v>3637060.84787953</v>
      </c>
      <c r="W46" s="37" t="n">
        <f aca="false">IF(W$3&gt;=Own_Funding_Month,W25*(W41*Capital_Ratio+(1-W41)*First_Loss),W25*First_Loss)</f>
        <v>8290188.8275007</v>
      </c>
      <c r="X46" s="37" t="n">
        <f aca="false">IF(X$3&gt;=Own_Funding_Month,X25*(X41*Capital_Ratio+(1-X41)*First_Loss),X25*First_Loss)</f>
        <v>13955468.0686348</v>
      </c>
      <c r="Y46" s="37" t="n">
        <f aca="false">IF(Y$3&gt;=Own_Funding_Month,Y25*(Y41*Capital_Ratio+(1-Y41)*First_Loss),Y25*First_Loss)</f>
        <v>21893898.1370539</v>
      </c>
      <c r="Z46" s="37" t="n">
        <f aca="false">IF(Z$3&gt;=Own_Funding_Month,Z25*(Z41*Capital_Ratio+(1-Z41)*First_Loss),Z25*First_Loss)</f>
        <v>31089740.5082048</v>
      </c>
      <c r="AA46" s="37" t="n">
        <f aca="false">IF(AA$3&gt;=Own_Funding_Month,AA25*(AA41*Capital_Ratio+(1-AA41)*First_Loss),AA25*First_Loss)</f>
        <v>41544844.8949977</v>
      </c>
      <c r="AB46" s="37" t="n">
        <f aca="false">IF(AB$3&gt;=Own_Funding_Month,AB25*(AB41*Capital_Ratio+(1-AB41)*First_Loss),AB25*First_Loss)</f>
        <v>53589485.2748202</v>
      </c>
      <c r="AC46" s="37" t="n">
        <f aca="false">IF(AC$3&gt;=Own_Funding_Month,AC25*(AC41*Capital_Ratio+(1-AC41)*First_Loss),AC25*First_Loss)</f>
        <v>96791583.8894011</v>
      </c>
      <c r="AD46" s="37" t="n">
        <f aca="false">IF(AD$3&gt;=Own_Funding_Month,AD25*(AD41*Capital_Ratio+(1-AD41)*First_Loss),AD25*First_Loss)</f>
        <v>119460772.833153</v>
      </c>
      <c r="AE46" s="37" t="n">
        <f aca="false">IF(AE$3&gt;=Own_Funding_Month,AE25*(AE41*Capital_Ratio+(1-AE41)*First_Loss),AE25*First_Loss)</f>
        <v>149443390.543371</v>
      </c>
      <c r="AF46" s="37" t="n">
        <f aca="false">IF(AF$3&gt;=Own_Funding_Month,AF25*(AF41*Capital_Ratio+(1-AF41)*First_Loss),AF25*First_Loss)</f>
        <v>183311617.718851</v>
      </c>
      <c r="AG46" s="37" t="n">
        <f aca="false">IF(AG$3&gt;=Own_Funding_Month,AG25*(AG41*Capital_Ratio+(1-AG41)*First_Loss),AG25*First_Loss)</f>
        <v>220426322.916823</v>
      </c>
      <c r="AH46" s="37" t="n">
        <f aca="false">IF(AH$3&gt;=Own_Funding_Month,AH25*(AH41*Capital_Ratio+(1-AH41)*First_Loss),AH25*First_Loss)</f>
        <v>246274579.651812</v>
      </c>
      <c r="AI46" s="37" t="n">
        <f aca="false">IF(AI$3&gt;=Own_Funding_Month,AI25*(AI41*Capital_Ratio+(1-AI41)*First_Loss),AI25*First_Loss)</f>
        <v>273545950.767528</v>
      </c>
      <c r="AJ46" s="37" t="n">
        <f aca="false">IF(AJ$3&gt;=Own_Funding_Month,AJ25*(AJ41*Capital_Ratio+(1-AJ41)*First_Loss),AJ25*First_Loss)</f>
        <v>303339227.427461</v>
      </c>
      <c r="AK46" s="37" t="n">
        <f aca="false">IF(AK$3&gt;=Own_Funding_Month,AK25*(AK41*Capital_Ratio+(1-AK41)*First_Loss),AK25*First_Loss)</f>
        <v>330182394.942372</v>
      </c>
      <c r="AL46" s="37" t="n">
        <f aca="false">IF(AL$3&gt;=Own_Funding_Month,AL25*(AL41*Capital_Ratio+(1-AL41)*First_Loss),AL25*First_Loss)</f>
        <v>358083763.340235</v>
      </c>
      <c r="AM46" s="37" t="n">
        <f aca="false">IF(AM$3&gt;=Own_Funding_Month,AM25*(AM41*Capital_Ratio+(1-AM41)*First_Loss),AM25*First_Loss)</f>
        <v>388231796.3155</v>
      </c>
      <c r="AN46" s="37" t="n">
        <f aca="false">IF(AN$3&gt;=Own_Funding_Month,AN25*(AN41*Capital_Ratio+(1-AN41)*First_Loss),AN25*First_Loss)</f>
        <v>420250547.567434</v>
      </c>
      <c r="AO46" s="37" t="n">
        <f aca="false">IF(AO$3&gt;=Own_Funding_Month,AO25*(AO41*Capital_Ratio+(1-AO41)*First_Loss),AO25*First_Loss)</f>
        <v>455250334.465803</v>
      </c>
      <c r="AP46" s="37" t="n">
        <f aca="false">IF(AP$3&gt;=Own_Funding_Month,AP25*(AP41*Capital_Ratio+(1-AP41)*First_Loss),AP25*First_Loss)</f>
        <v>492802127.332781</v>
      </c>
      <c r="AQ46" s="37" t="n">
        <f aca="false">IF(AQ$3&gt;=Own_Funding_Month,AQ25*(AQ41*Capital_Ratio+(1-AQ41)*First_Loss),AQ25*First_Loss)</f>
        <v>521275522.7412</v>
      </c>
      <c r="AR46" s="37" t="n">
        <f aca="false">IF(AR$3&gt;=Own_Funding_Month,AR25*(AR41*Capital_Ratio+(1-AR41)*First_Loss),AR25*First_Loss)</f>
        <v>551328764.344682</v>
      </c>
      <c r="AS46" s="37" t="n">
        <f aca="false">IF(AS$3&gt;=Own_Funding_Month,AS25*(AS41*Capital_Ratio+(1-AS41)*First_Loss),AS25*First_Loss)</f>
        <v>581554624.623594</v>
      </c>
      <c r="AT46" s="37" t="n">
        <f aca="false">IF(AT$3&gt;=Own_Funding_Month,AT25*(AT41*Capital_Ratio+(1-AT41)*First_Loss),AT25*First_Loss)</f>
        <v>612100255.310177</v>
      </c>
      <c r="AU46" s="37" t="n">
        <f aca="false">IF(AU$3&gt;=Own_Funding_Month,AU25*(AU41*Capital_Ratio+(1-AU41)*First_Loss),AU25*First_Loss)</f>
        <v>642271202.981034</v>
      </c>
      <c r="AV46" s="37" t="n">
        <f aca="false">IF(AV$3&gt;=Own_Funding_Month,AV25*(AV41*Capital_Ratio+(1-AV41)*First_Loss),AV25*First_Loss)</f>
        <v>672080943.395319</v>
      </c>
      <c r="AW46" s="37" t="n">
        <f aca="false">IF(AW$3&gt;=Own_Funding_Month,AW25*(AW41*Capital_Ratio+(1-AW41)*First_Loss),AW25*First_Loss)</f>
        <v>702792353.214864</v>
      </c>
      <c r="AX46" s="37" t="n">
        <f aca="false">IF(AX$3&gt;=Own_Funding_Month,AX25*(AX41*Capital_Ratio+(1-AX41)*First_Loss),AX25*First_Loss)</f>
        <v>733149658.912271</v>
      </c>
      <c r="AY46" s="37" t="n">
        <f aca="false">IF(AY$3&gt;=Own_Funding_Month,AY25*(AY41*Capital_Ratio+(1-AY41)*First_Loss),AY25*First_Loss)</f>
        <v>765164529.086533</v>
      </c>
      <c r="AZ46" s="37" t="n">
        <f aca="false">IF(AZ$3&gt;=Own_Funding_Month,AZ25*(AZ41*Capital_Ratio+(1-AZ41)*First_Loss),AZ25*First_Loss)</f>
        <v>796821735.211551</v>
      </c>
      <c r="BA46" s="37" t="n">
        <f aca="false">IF(BA$3&gt;=Own_Funding_Month,BA25*(BA41*Capital_Ratio+(1-BA41)*First_Loss),BA25*First_Loss)</f>
        <v>831216768.260694</v>
      </c>
      <c r="BB46" s="37" t="n">
        <f aca="false">IF(BB$3&gt;=Own_Funding_Month,BB25*(BB41*Capital_Ratio+(1-BB41)*First_Loss),BB25*First_Loss)</f>
        <v>865235109.131852</v>
      </c>
      <c r="BC46" s="37" t="n">
        <f aca="false">IF(BC$3&gt;=Own_Funding_Month,BC25*(BC41*Capital_Ratio+(1-BC41)*First_Loss),BC25*First_Loss)</f>
        <v>900143097.327657</v>
      </c>
      <c r="BD46" s="37" t="n">
        <f aca="false">IF(BD$3&gt;=Own_Funding_Month,BD25*(BD41*Capital_Ratio+(1-BD41)*First_Loss),BD25*First_Loss)</f>
        <v>935436100.276959</v>
      </c>
      <c r="BE46" s="37" t="n">
        <f aca="false">IF(BE$3&gt;=Own_Funding_Month,BE25*(BE41*Capital_Ratio+(1-BE41)*First_Loss),BE25*First_Loss)</f>
        <v>971621487.638754</v>
      </c>
      <c r="BF46" s="37" t="n">
        <f aca="false">IF(BF$3&gt;=Own_Funding_Month,BF25*(BF41*Capital_Ratio+(1-BF41)*First_Loss),BF25*First_Loss)</f>
        <v>1007448099.31573</v>
      </c>
      <c r="BG46" s="37" t="n">
        <f aca="false">IF(BG$3&gt;=Own_Funding_Month,BG25*(BG41*Capital_Ratio+(1-BG41)*First_Loss),BG25*First_Loss)</f>
        <v>1044932479.11067</v>
      </c>
      <c r="BH46" s="37" t="n">
        <f aca="false">IF(BH$3&gt;=Own_Funding_Month,BH25*(BH41*Capital_Ratio+(1-BH41)*First_Loss),BH25*First_Loss)</f>
        <v>1082064691.96896</v>
      </c>
      <c r="BI46" s="37" t="n">
        <f aca="false">IF(BI$3&gt;=Own_Funding_Month,BI25*(BI41*Capital_Ratio+(1-BI41)*First_Loss),BI25*First_Loss)</f>
        <v>1120115149.25829</v>
      </c>
      <c r="BJ46" s="37" t="n">
        <f aca="false">IF(BJ$3&gt;=Own_Funding_Month,BJ25*(BJ41*Capital_Ratio+(1-BJ41)*First_Loss),BJ25*First_Loss)</f>
        <v>1157835395.99956</v>
      </c>
      <c r="BK46" s="37" t="n">
        <f aca="false">IF(BK$3&gt;=Own_Funding_Month,BK25*(BK41*Capital_Ratio+(1-BK41)*First_Loss),BK25*First_Loss)</f>
        <v>1197102495.77729</v>
      </c>
      <c r="BL46" s="37" t="n">
        <f aca="false">IF(BL$3&gt;=Own_Funding_Month,BL25*(BL41*Capital_Ratio+(1-BL41)*First_Loss),BL25*First_Loss)</f>
        <v>1236996414.46286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L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8"/>
    <col collapsed="false" customWidth="true" hidden="false" outlineLevel="0" max="3" min="3" style="0" width="3"/>
    <col collapsed="false" customWidth="true" hidden="false" outlineLevel="0" max="4" min="4" style="0" width="14"/>
    <col collapsed="false" customWidth="true" hidden="false" outlineLevel="0" max="64" min="5" style="0" width="11"/>
  </cols>
  <sheetData>
    <row r="1" customFormat="false" ht="17.35" hidden="false" customHeight="false" outlineLevel="0" collapsed="false">
      <c r="A1" s="7" t="s">
        <v>810</v>
      </c>
    </row>
    <row r="2" customFormat="false" ht="15" hidden="false" customHeight="false" outlineLevel="0" collapsed="false">
      <c r="A2" s="2" t="s">
        <v>811</v>
      </c>
    </row>
    <row r="3" customFormat="false" ht="15" hidden="false" customHeight="false" outlineLevel="0" collapsed="false">
      <c r="A3" s="8" t="s">
        <v>680</v>
      </c>
      <c r="D3" s="8" t="s">
        <v>681</v>
      </c>
      <c r="E3" s="20" t="n">
        <f aca="false">Credit!E3</f>
        <v>1</v>
      </c>
      <c r="F3" s="20" t="n">
        <f aca="false">Credit!F3</f>
        <v>2</v>
      </c>
      <c r="G3" s="20" t="n">
        <f aca="false">Credit!G3</f>
        <v>3</v>
      </c>
      <c r="H3" s="20" t="n">
        <f aca="false">Credit!H3</f>
        <v>4</v>
      </c>
      <c r="I3" s="20" t="n">
        <f aca="false">Credit!I3</f>
        <v>5</v>
      </c>
      <c r="J3" s="20" t="n">
        <f aca="false">Credit!J3</f>
        <v>6</v>
      </c>
      <c r="K3" s="20" t="n">
        <f aca="false">Credit!K3</f>
        <v>7</v>
      </c>
      <c r="L3" s="20" t="n">
        <f aca="false">Credit!L3</f>
        <v>8</v>
      </c>
      <c r="M3" s="20" t="n">
        <f aca="false">Credit!M3</f>
        <v>9</v>
      </c>
      <c r="N3" s="20" t="n">
        <f aca="false">Credit!N3</f>
        <v>10</v>
      </c>
      <c r="O3" s="20" t="n">
        <f aca="false">Credit!O3</f>
        <v>11</v>
      </c>
      <c r="P3" s="20" t="n">
        <f aca="false">Credit!P3</f>
        <v>12</v>
      </c>
      <c r="Q3" s="20" t="n">
        <f aca="false">Credit!Q3</f>
        <v>13</v>
      </c>
      <c r="R3" s="20" t="n">
        <f aca="false">Credit!R3</f>
        <v>14</v>
      </c>
      <c r="S3" s="20" t="n">
        <f aca="false">Credit!S3</f>
        <v>15</v>
      </c>
      <c r="T3" s="20" t="n">
        <f aca="false">Credit!T3</f>
        <v>16</v>
      </c>
      <c r="U3" s="20" t="n">
        <f aca="false">Credit!U3</f>
        <v>17</v>
      </c>
      <c r="V3" s="20" t="n">
        <f aca="false">Credit!V3</f>
        <v>18</v>
      </c>
      <c r="W3" s="20" t="n">
        <f aca="false">Credit!W3</f>
        <v>19</v>
      </c>
      <c r="X3" s="20" t="n">
        <f aca="false">Credit!X3</f>
        <v>20</v>
      </c>
      <c r="Y3" s="20" t="n">
        <f aca="false">Credit!Y3</f>
        <v>21</v>
      </c>
      <c r="Z3" s="20" t="n">
        <f aca="false">Credit!Z3</f>
        <v>22</v>
      </c>
      <c r="AA3" s="20" t="n">
        <f aca="false">Credit!AA3</f>
        <v>23</v>
      </c>
      <c r="AB3" s="20" t="n">
        <f aca="false">Credit!AB3</f>
        <v>24</v>
      </c>
      <c r="AC3" s="20" t="n">
        <f aca="false">Credit!AC3</f>
        <v>25</v>
      </c>
      <c r="AD3" s="20" t="n">
        <f aca="false">Credit!AD3</f>
        <v>26</v>
      </c>
      <c r="AE3" s="20" t="n">
        <f aca="false">Credit!AE3</f>
        <v>27</v>
      </c>
      <c r="AF3" s="20" t="n">
        <f aca="false">Credit!AF3</f>
        <v>28</v>
      </c>
      <c r="AG3" s="20" t="n">
        <f aca="false">Credit!AG3</f>
        <v>29</v>
      </c>
      <c r="AH3" s="20" t="n">
        <f aca="false">Credit!AH3</f>
        <v>30</v>
      </c>
      <c r="AI3" s="20" t="n">
        <f aca="false">Credit!AI3</f>
        <v>31</v>
      </c>
      <c r="AJ3" s="20" t="n">
        <f aca="false">Credit!AJ3</f>
        <v>32</v>
      </c>
      <c r="AK3" s="20" t="n">
        <f aca="false">Credit!AK3</f>
        <v>33</v>
      </c>
      <c r="AL3" s="20" t="n">
        <f aca="false">Credit!AL3</f>
        <v>34</v>
      </c>
      <c r="AM3" s="20" t="n">
        <f aca="false">Credit!AM3</f>
        <v>35</v>
      </c>
      <c r="AN3" s="20" t="n">
        <f aca="false">Credit!AN3</f>
        <v>36</v>
      </c>
      <c r="AO3" s="20" t="n">
        <f aca="false">Credit!AO3</f>
        <v>37</v>
      </c>
      <c r="AP3" s="20" t="n">
        <f aca="false">Credit!AP3</f>
        <v>38</v>
      </c>
      <c r="AQ3" s="20" t="n">
        <f aca="false">Credit!AQ3</f>
        <v>39</v>
      </c>
      <c r="AR3" s="20" t="n">
        <f aca="false">Credit!AR3</f>
        <v>40</v>
      </c>
      <c r="AS3" s="20" t="n">
        <f aca="false">Credit!AS3</f>
        <v>41</v>
      </c>
      <c r="AT3" s="20" t="n">
        <f aca="false">Credit!AT3</f>
        <v>42</v>
      </c>
      <c r="AU3" s="20" t="n">
        <f aca="false">Credit!AU3</f>
        <v>43</v>
      </c>
      <c r="AV3" s="20" t="n">
        <f aca="false">Credit!AV3</f>
        <v>44</v>
      </c>
      <c r="AW3" s="20" t="n">
        <f aca="false">Credit!AW3</f>
        <v>45</v>
      </c>
      <c r="AX3" s="20" t="n">
        <f aca="false">Credit!AX3</f>
        <v>46</v>
      </c>
      <c r="AY3" s="20" t="n">
        <f aca="false">Credit!AY3</f>
        <v>47</v>
      </c>
      <c r="AZ3" s="20" t="n">
        <f aca="false">Credit!AZ3</f>
        <v>48</v>
      </c>
      <c r="BA3" s="20" t="n">
        <f aca="false">Credit!BA3</f>
        <v>49</v>
      </c>
      <c r="BB3" s="20" t="n">
        <f aca="false">Credit!BB3</f>
        <v>50</v>
      </c>
      <c r="BC3" s="20" t="n">
        <f aca="false">Credit!BC3</f>
        <v>51</v>
      </c>
      <c r="BD3" s="20" t="n">
        <f aca="false">Credit!BD3</f>
        <v>52</v>
      </c>
      <c r="BE3" s="20" t="n">
        <f aca="false">Credit!BE3</f>
        <v>53</v>
      </c>
      <c r="BF3" s="20" t="n">
        <f aca="false">Credit!BF3</f>
        <v>54</v>
      </c>
      <c r="BG3" s="20" t="n">
        <f aca="false">Credit!BG3</f>
        <v>55</v>
      </c>
      <c r="BH3" s="20" t="n">
        <f aca="false">Credit!BH3</f>
        <v>56</v>
      </c>
      <c r="BI3" s="20" t="n">
        <f aca="false">Credit!BI3</f>
        <v>57</v>
      </c>
      <c r="BJ3" s="20" t="n">
        <f aca="false">Credit!BJ3</f>
        <v>58</v>
      </c>
      <c r="BK3" s="20" t="n">
        <f aca="false">Credit!BK3</f>
        <v>59</v>
      </c>
      <c r="BL3" s="20" t="n">
        <f aca="false">Credit!BL3</f>
        <v>60</v>
      </c>
    </row>
    <row r="4" customFormat="false" ht="15" hidden="false" customHeight="false" outlineLevel="0" collapsed="false">
      <c r="A4" s="8" t="s">
        <v>682</v>
      </c>
      <c r="E4" s="53" t="n">
        <f aca="false">Credit!E4</f>
        <v>46388</v>
      </c>
      <c r="F4" s="53" t="n">
        <f aca="false">Credit!F4</f>
        <v>46419</v>
      </c>
      <c r="G4" s="53" t="n">
        <f aca="false">Credit!G4</f>
        <v>46447</v>
      </c>
      <c r="H4" s="53" t="n">
        <f aca="false">Credit!H4</f>
        <v>46478</v>
      </c>
      <c r="I4" s="53" t="n">
        <f aca="false">Credit!I4</f>
        <v>46508</v>
      </c>
      <c r="J4" s="53" t="n">
        <f aca="false">Credit!J4</f>
        <v>46539</v>
      </c>
      <c r="K4" s="53" t="n">
        <f aca="false">Credit!K4</f>
        <v>46569</v>
      </c>
      <c r="L4" s="53" t="n">
        <f aca="false">Credit!L4</f>
        <v>46600</v>
      </c>
      <c r="M4" s="53" t="n">
        <f aca="false">Credit!M4</f>
        <v>46631</v>
      </c>
      <c r="N4" s="53" t="n">
        <f aca="false">Credit!N4</f>
        <v>46661</v>
      </c>
      <c r="O4" s="53" t="n">
        <f aca="false">Credit!O4</f>
        <v>46692</v>
      </c>
      <c r="P4" s="53" t="n">
        <f aca="false">Credit!P4</f>
        <v>46722</v>
      </c>
      <c r="Q4" s="53" t="n">
        <f aca="false">Credit!Q4</f>
        <v>46753</v>
      </c>
      <c r="R4" s="53" t="n">
        <f aca="false">Credit!R4</f>
        <v>46784</v>
      </c>
      <c r="S4" s="53" t="n">
        <f aca="false">Credit!S4</f>
        <v>46813</v>
      </c>
      <c r="T4" s="53" t="n">
        <f aca="false">Credit!T4</f>
        <v>46844</v>
      </c>
      <c r="U4" s="53" t="n">
        <f aca="false">Credit!U4</f>
        <v>46874</v>
      </c>
      <c r="V4" s="53" t="n">
        <f aca="false">Credit!V4</f>
        <v>46905</v>
      </c>
      <c r="W4" s="53" t="n">
        <f aca="false">Credit!W4</f>
        <v>46935</v>
      </c>
      <c r="X4" s="53" t="n">
        <f aca="false">Credit!X4</f>
        <v>46966</v>
      </c>
      <c r="Y4" s="53" t="n">
        <f aca="false">Credit!Y4</f>
        <v>46997</v>
      </c>
      <c r="Z4" s="53" t="n">
        <f aca="false">Credit!Z4</f>
        <v>47027</v>
      </c>
      <c r="AA4" s="53" t="n">
        <f aca="false">Credit!AA4</f>
        <v>47058</v>
      </c>
      <c r="AB4" s="53" t="n">
        <f aca="false">Credit!AB4</f>
        <v>47088</v>
      </c>
      <c r="AC4" s="53" t="n">
        <f aca="false">Credit!AC4</f>
        <v>47119</v>
      </c>
      <c r="AD4" s="53" t="n">
        <f aca="false">Credit!AD4</f>
        <v>47150</v>
      </c>
      <c r="AE4" s="53" t="n">
        <f aca="false">Credit!AE4</f>
        <v>47178</v>
      </c>
      <c r="AF4" s="53" t="n">
        <f aca="false">Credit!AF4</f>
        <v>47209</v>
      </c>
      <c r="AG4" s="53" t="n">
        <f aca="false">Credit!AG4</f>
        <v>47239</v>
      </c>
      <c r="AH4" s="53" t="n">
        <f aca="false">Credit!AH4</f>
        <v>47270</v>
      </c>
      <c r="AI4" s="53" t="n">
        <f aca="false">Credit!AI4</f>
        <v>47300</v>
      </c>
      <c r="AJ4" s="53" t="n">
        <f aca="false">Credit!AJ4</f>
        <v>47331</v>
      </c>
      <c r="AK4" s="53" t="n">
        <f aca="false">Credit!AK4</f>
        <v>47362</v>
      </c>
      <c r="AL4" s="53" t="n">
        <f aca="false">Credit!AL4</f>
        <v>47392</v>
      </c>
      <c r="AM4" s="53" t="n">
        <f aca="false">Credit!AM4</f>
        <v>47423</v>
      </c>
      <c r="AN4" s="53" t="n">
        <f aca="false">Credit!AN4</f>
        <v>47453</v>
      </c>
      <c r="AO4" s="53" t="n">
        <f aca="false">Credit!AO4</f>
        <v>47484</v>
      </c>
      <c r="AP4" s="53" t="n">
        <f aca="false">Credit!AP4</f>
        <v>47515</v>
      </c>
      <c r="AQ4" s="53" t="n">
        <f aca="false">Credit!AQ4</f>
        <v>47543</v>
      </c>
      <c r="AR4" s="53" t="n">
        <f aca="false">Credit!AR4</f>
        <v>47574</v>
      </c>
      <c r="AS4" s="53" t="n">
        <f aca="false">Credit!AS4</f>
        <v>47604</v>
      </c>
      <c r="AT4" s="53" t="n">
        <f aca="false">Credit!AT4</f>
        <v>47635</v>
      </c>
      <c r="AU4" s="53" t="n">
        <f aca="false">Credit!AU4</f>
        <v>47665</v>
      </c>
      <c r="AV4" s="53" t="n">
        <f aca="false">Credit!AV4</f>
        <v>47696</v>
      </c>
      <c r="AW4" s="53" t="n">
        <f aca="false">Credit!AW4</f>
        <v>47727</v>
      </c>
      <c r="AX4" s="53" t="n">
        <f aca="false">Credit!AX4</f>
        <v>47757</v>
      </c>
      <c r="AY4" s="53" t="n">
        <f aca="false">Credit!AY4</f>
        <v>47788</v>
      </c>
      <c r="AZ4" s="53" t="n">
        <f aca="false">Credit!AZ4</f>
        <v>47818</v>
      </c>
      <c r="BA4" s="53" t="n">
        <f aca="false">Credit!BA4</f>
        <v>47849</v>
      </c>
      <c r="BB4" s="53" t="n">
        <f aca="false">Credit!BB4</f>
        <v>47880</v>
      </c>
      <c r="BC4" s="53" t="n">
        <f aca="false">Credit!BC4</f>
        <v>47908</v>
      </c>
      <c r="BD4" s="53" t="n">
        <f aca="false">Credit!BD4</f>
        <v>47939</v>
      </c>
      <c r="BE4" s="53" t="n">
        <f aca="false">Credit!BE4</f>
        <v>47969</v>
      </c>
      <c r="BF4" s="53" t="n">
        <f aca="false">Credit!BF4</f>
        <v>48000</v>
      </c>
      <c r="BG4" s="53" t="n">
        <f aca="false">Credit!BG4</f>
        <v>48030</v>
      </c>
      <c r="BH4" s="53" t="n">
        <f aca="false">Credit!BH4</f>
        <v>48061</v>
      </c>
      <c r="BI4" s="53" t="n">
        <f aca="false">Credit!BI4</f>
        <v>48092</v>
      </c>
      <c r="BJ4" s="53" t="n">
        <f aca="false">Credit!BJ4</f>
        <v>48122</v>
      </c>
      <c r="BK4" s="53" t="n">
        <f aca="false">Credit!BK4</f>
        <v>48153</v>
      </c>
      <c r="BL4" s="53" t="n">
        <f aca="false">Credit!BL4</f>
        <v>48183</v>
      </c>
    </row>
    <row r="5" customFormat="false" ht="15" hidden="false" customHeight="false" outlineLevel="0" collapsed="false">
      <c r="A5" s="8" t="s">
        <v>81</v>
      </c>
      <c r="E5" s="54" t="n">
        <f aca="false">Credit!E5</f>
        <v>1</v>
      </c>
      <c r="F5" s="54" t="n">
        <f aca="false">Credit!F5</f>
        <v>1</v>
      </c>
      <c r="G5" s="54" t="n">
        <f aca="false">Credit!G5</f>
        <v>1</v>
      </c>
      <c r="H5" s="54" t="n">
        <f aca="false">Credit!H5</f>
        <v>1</v>
      </c>
      <c r="I5" s="54" t="n">
        <f aca="false">Credit!I5</f>
        <v>1</v>
      </c>
      <c r="J5" s="54" t="n">
        <f aca="false">Credit!J5</f>
        <v>1</v>
      </c>
      <c r="K5" s="54" t="n">
        <f aca="false">Credit!K5</f>
        <v>1</v>
      </c>
      <c r="L5" s="54" t="n">
        <f aca="false">Credit!L5</f>
        <v>1</v>
      </c>
      <c r="M5" s="54" t="n">
        <f aca="false">Credit!M5</f>
        <v>1</v>
      </c>
      <c r="N5" s="54" t="n">
        <f aca="false">Credit!N5</f>
        <v>1</v>
      </c>
      <c r="O5" s="54" t="n">
        <f aca="false">Credit!O5</f>
        <v>1</v>
      </c>
      <c r="P5" s="54" t="n">
        <f aca="false">Credit!P5</f>
        <v>1</v>
      </c>
      <c r="Q5" s="54" t="n">
        <f aca="false">Credit!Q5</f>
        <v>2</v>
      </c>
      <c r="R5" s="54" t="n">
        <f aca="false">Credit!R5</f>
        <v>2</v>
      </c>
      <c r="S5" s="54" t="n">
        <f aca="false">Credit!S5</f>
        <v>2</v>
      </c>
      <c r="T5" s="54" t="n">
        <f aca="false">Credit!T5</f>
        <v>2</v>
      </c>
      <c r="U5" s="54" t="n">
        <f aca="false">Credit!U5</f>
        <v>2</v>
      </c>
      <c r="V5" s="54" t="n">
        <f aca="false">Credit!V5</f>
        <v>2</v>
      </c>
      <c r="W5" s="54" t="n">
        <f aca="false">Credit!W5</f>
        <v>2</v>
      </c>
      <c r="X5" s="54" t="n">
        <f aca="false">Credit!X5</f>
        <v>2</v>
      </c>
      <c r="Y5" s="54" t="n">
        <f aca="false">Credit!Y5</f>
        <v>2</v>
      </c>
      <c r="Z5" s="54" t="n">
        <f aca="false">Credit!Z5</f>
        <v>2</v>
      </c>
      <c r="AA5" s="54" t="n">
        <f aca="false">Credit!AA5</f>
        <v>2</v>
      </c>
      <c r="AB5" s="54" t="n">
        <f aca="false">Credit!AB5</f>
        <v>2</v>
      </c>
      <c r="AC5" s="54" t="n">
        <f aca="false">Credit!AC5</f>
        <v>3</v>
      </c>
      <c r="AD5" s="54" t="n">
        <f aca="false">Credit!AD5</f>
        <v>3</v>
      </c>
      <c r="AE5" s="54" t="n">
        <f aca="false">Credit!AE5</f>
        <v>3</v>
      </c>
      <c r="AF5" s="54" t="n">
        <f aca="false">Credit!AF5</f>
        <v>3</v>
      </c>
      <c r="AG5" s="54" t="n">
        <f aca="false">Credit!AG5</f>
        <v>3</v>
      </c>
      <c r="AH5" s="54" t="n">
        <f aca="false">Credit!AH5</f>
        <v>3</v>
      </c>
      <c r="AI5" s="54" t="n">
        <f aca="false">Credit!AI5</f>
        <v>3</v>
      </c>
      <c r="AJ5" s="54" t="n">
        <f aca="false">Credit!AJ5</f>
        <v>3</v>
      </c>
      <c r="AK5" s="54" t="n">
        <f aca="false">Credit!AK5</f>
        <v>3</v>
      </c>
      <c r="AL5" s="54" t="n">
        <f aca="false">Credit!AL5</f>
        <v>3</v>
      </c>
      <c r="AM5" s="54" t="n">
        <f aca="false">Credit!AM5</f>
        <v>3</v>
      </c>
      <c r="AN5" s="54" t="n">
        <f aca="false">Credit!AN5</f>
        <v>3</v>
      </c>
      <c r="AO5" s="54" t="n">
        <f aca="false">Credit!AO5</f>
        <v>4</v>
      </c>
      <c r="AP5" s="54" t="n">
        <f aca="false">Credit!AP5</f>
        <v>4</v>
      </c>
      <c r="AQ5" s="54" t="n">
        <f aca="false">Credit!AQ5</f>
        <v>4</v>
      </c>
      <c r="AR5" s="54" t="n">
        <f aca="false">Credit!AR5</f>
        <v>4</v>
      </c>
      <c r="AS5" s="54" t="n">
        <f aca="false">Credit!AS5</f>
        <v>4</v>
      </c>
      <c r="AT5" s="54" t="n">
        <f aca="false">Credit!AT5</f>
        <v>4</v>
      </c>
      <c r="AU5" s="54" t="n">
        <f aca="false">Credit!AU5</f>
        <v>4</v>
      </c>
      <c r="AV5" s="54" t="n">
        <f aca="false">Credit!AV5</f>
        <v>4</v>
      </c>
      <c r="AW5" s="54" t="n">
        <f aca="false">Credit!AW5</f>
        <v>4</v>
      </c>
      <c r="AX5" s="54" t="n">
        <f aca="false">Credit!AX5</f>
        <v>4</v>
      </c>
      <c r="AY5" s="54" t="n">
        <f aca="false">Credit!AY5</f>
        <v>4</v>
      </c>
      <c r="AZ5" s="54" t="n">
        <f aca="false">Credit!AZ5</f>
        <v>4</v>
      </c>
      <c r="BA5" s="54" t="n">
        <f aca="false">Credit!BA5</f>
        <v>5</v>
      </c>
      <c r="BB5" s="54" t="n">
        <f aca="false">Credit!BB5</f>
        <v>5</v>
      </c>
      <c r="BC5" s="54" t="n">
        <f aca="false">Credit!BC5</f>
        <v>5</v>
      </c>
      <c r="BD5" s="54" t="n">
        <f aca="false">Credit!BD5</f>
        <v>5</v>
      </c>
      <c r="BE5" s="54" t="n">
        <f aca="false">Credit!BE5</f>
        <v>5</v>
      </c>
      <c r="BF5" s="54" t="n">
        <f aca="false">Credit!BF5</f>
        <v>5</v>
      </c>
      <c r="BG5" s="54" t="n">
        <f aca="false">Credit!BG5</f>
        <v>5</v>
      </c>
      <c r="BH5" s="54" t="n">
        <f aca="false">Credit!BH5</f>
        <v>5</v>
      </c>
      <c r="BI5" s="54" t="n">
        <f aca="false">Credit!BI5</f>
        <v>5</v>
      </c>
      <c r="BJ5" s="54" t="n">
        <f aca="false">Credit!BJ5</f>
        <v>5</v>
      </c>
      <c r="BK5" s="54" t="n">
        <f aca="false">Credit!BK5</f>
        <v>5</v>
      </c>
      <c r="BL5" s="54" t="n">
        <f aca="false">Credit!BL5</f>
        <v>5</v>
      </c>
    </row>
    <row r="8" customFormat="false" ht="15" hidden="false" customHeight="false" outlineLevel="0" collapsed="false">
      <c r="A8" s="10" t="s">
        <v>117</v>
      </c>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row>
    <row r="10" customFormat="false" ht="15" hidden="false" customHeight="false" outlineLevel="0" collapsed="false">
      <c r="A10" s="10" t="s">
        <v>797</v>
      </c>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row>
    <row r="12" customFormat="false" ht="15" hidden="false" customHeight="false" outlineLevel="0" collapsed="false">
      <c r="A12" s="10" t="s">
        <v>798</v>
      </c>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row>
    <row r="13" customFormat="false" ht="15" hidden="false" customHeight="false" outlineLevel="0" collapsed="false">
      <c r="A13" s="12" t="s">
        <v>591</v>
      </c>
      <c r="B13" s="14" t="s">
        <v>73</v>
      </c>
      <c r="D13" s="55" t="n">
        <f aca="false">Credit!D20/FX_EUR</f>
        <v>6695182.19162491</v>
      </c>
      <c r="E13" s="37" t="n">
        <f aca="false">Credit!E20/FX_EUR</f>
        <v>0</v>
      </c>
      <c r="F13" s="37" t="n">
        <f aca="false">Credit!F20/FX_EUR</f>
        <v>0</v>
      </c>
      <c r="G13" s="37" t="n">
        <f aca="false">Credit!G20/FX_EUR</f>
        <v>0</v>
      </c>
      <c r="H13" s="37" t="n">
        <f aca="false">Credit!H20/FX_EUR</f>
        <v>0</v>
      </c>
      <c r="I13" s="37" t="n">
        <f aca="false">Credit!I20/FX_EUR</f>
        <v>0</v>
      </c>
      <c r="J13" s="37" t="n">
        <f aca="false">Credit!J20/FX_EUR</f>
        <v>0</v>
      </c>
      <c r="K13" s="37" t="n">
        <f aca="false">Credit!K20/FX_EUR</f>
        <v>0</v>
      </c>
      <c r="L13" s="37" t="n">
        <f aca="false">Credit!L20/FX_EUR</f>
        <v>0</v>
      </c>
      <c r="M13" s="37" t="n">
        <f aca="false">Credit!M20/FX_EUR</f>
        <v>0</v>
      </c>
      <c r="N13" s="37" t="n">
        <f aca="false">Credit!N20/FX_EUR</f>
        <v>0</v>
      </c>
      <c r="O13" s="37" t="n">
        <f aca="false">Credit!O20/FX_EUR</f>
        <v>0</v>
      </c>
      <c r="P13" s="37" t="n">
        <f aca="false">Credit!P20/FX_EUR</f>
        <v>0</v>
      </c>
      <c r="Q13" s="37" t="n">
        <f aca="false">Credit!Q20/FX_EUR</f>
        <v>0</v>
      </c>
      <c r="R13" s="37" t="n">
        <f aca="false">Credit!R20/FX_EUR</f>
        <v>0</v>
      </c>
      <c r="S13" s="37" t="n">
        <f aca="false">Credit!S20/FX_EUR</f>
        <v>0</v>
      </c>
      <c r="T13" s="37" t="n">
        <f aca="false">Credit!T20/FX_EUR</f>
        <v>0</v>
      </c>
      <c r="U13" s="37" t="n">
        <f aca="false">Credit!U20/FX_EUR</f>
        <v>0</v>
      </c>
      <c r="V13" s="37" t="n">
        <f aca="false">Credit!V20/FX_EUR</f>
        <v>45262.559338114</v>
      </c>
      <c r="W13" s="37" t="n">
        <f aca="false">Credit!W20/FX_EUR</f>
        <v>103169.888935922</v>
      </c>
      <c r="X13" s="37" t="n">
        <f aca="false">Credit!X20/FX_EUR</f>
        <v>173673.256502158</v>
      </c>
      <c r="Y13" s="37" t="n">
        <f aca="false">Credit!Y20/FX_EUR</f>
        <v>256746.404191526</v>
      </c>
      <c r="Z13" s="37" t="n">
        <f aca="false">Credit!Z20/FX_EUR</f>
        <v>352386.645846983</v>
      </c>
      <c r="AA13" s="37" t="n">
        <f aca="false">Credit!AA20/FX_EUR</f>
        <v>460616.056401676</v>
      </c>
      <c r="AB13" s="37" t="n">
        <f aca="false">Credit!AB20/FX_EUR</f>
        <v>585039.903333351</v>
      </c>
      <c r="AC13" s="37" t="n">
        <f aca="false">Credit!AC20/FX_EUR</f>
        <v>737381.53428323</v>
      </c>
      <c r="AD13" s="37" t="n">
        <f aca="false">Credit!AD20/FX_EUR</f>
        <v>906765.265329585</v>
      </c>
      <c r="AE13" s="37" t="n">
        <f aca="false">Credit!AE20/FX_EUR</f>
        <v>1093219.93354103</v>
      </c>
      <c r="AF13" s="37" t="n">
        <f aca="false">Credit!AF20/FX_EUR</f>
        <v>1302399.0271569</v>
      </c>
      <c r="AG13" s="37" t="n">
        <f aca="false">Credit!AG20/FX_EUR</f>
        <v>1529728.83278335</v>
      </c>
      <c r="AH13" s="37" t="n">
        <f aca="false">Credit!AH20/FX_EUR</f>
        <v>1638761.68614934</v>
      </c>
      <c r="AI13" s="37" t="n">
        <f aca="false">Credit!AI20/FX_EUR</f>
        <v>1748010.14062709</v>
      </c>
      <c r="AJ13" s="37" t="n">
        <f aca="false">Credit!AJ20/FX_EUR</f>
        <v>1863689.66614092</v>
      </c>
      <c r="AK13" s="37" t="n">
        <f aca="false">Credit!AK20/FX_EUR</f>
        <v>1979724.38949082</v>
      </c>
      <c r="AL13" s="37" t="n">
        <f aca="false">Credit!AL20/FX_EUR</f>
        <v>2096244.33892035</v>
      </c>
      <c r="AM13" s="37" t="n">
        <f aca="false">Credit!AM20/FX_EUR</f>
        <v>2219483.37726478</v>
      </c>
      <c r="AN13" s="37" t="n">
        <f aca="false">Credit!AN20/FX_EUR</f>
        <v>2348873.25636676</v>
      </c>
      <c r="AO13" s="37" t="n">
        <f aca="false">Credit!AO20/FX_EUR</f>
        <v>2489636.982419</v>
      </c>
      <c r="AP13" s="37" t="n">
        <f aca="false">Credit!AP20/FX_EUR</f>
        <v>2637204.96900532</v>
      </c>
      <c r="AQ13" s="37" t="n">
        <f aca="false">Credit!AQ20/FX_EUR</f>
        <v>2785548.56104828</v>
      </c>
      <c r="AR13" s="37" t="n">
        <f aca="false">Credit!AR20/FX_EUR</f>
        <v>2940945.36115572</v>
      </c>
      <c r="AS13" s="37" t="n">
        <f aca="false">Credit!AS20/FX_EUR</f>
        <v>3096486.91857501</v>
      </c>
      <c r="AT13" s="37" t="n">
        <f aca="false">Credit!AT20/FX_EUR</f>
        <v>3261890.03125347</v>
      </c>
      <c r="AU13" s="37" t="n">
        <f aca="false">Credit!AU20/FX_EUR</f>
        <v>3425455.80651545</v>
      </c>
      <c r="AV13" s="37" t="n">
        <f aca="false">Credit!AV20/FX_EUR</f>
        <v>3587267.52386747</v>
      </c>
      <c r="AW13" s="37" t="n">
        <f aca="false">Credit!AW20/FX_EUR</f>
        <v>3753507.9963134</v>
      </c>
      <c r="AX13" s="37" t="n">
        <f aca="false">Credit!AX20/FX_EUR</f>
        <v>3918065.22976407</v>
      </c>
      <c r="AY13" s="37" t="n">
        <f aca="false">Credit!AY20/FX_EUR</f>
        <v>4092615.61286052</v>
      </c>
      <c r="AZ13" s="37" t="n">
        <f aca="false">Credit!AZ20/FX_EUR</f>
        <v>4265474.15104807</v>
      </c>
      <c r="BA13" s="37" t="n">
        <f aca="false">Credit!BA20/FX_EUR</f>
        <v>4453569.12991278</v>
      </c>
      <c r="BB13" s="37" t="n">
        <f aca="false">Credit!BB20/FX_EUR</f>
        <v>4639892.74605676</v>
      </c>
      <c r="BC13" s="37" t="n">
        <f aca="false">Credit!BC20/FX_EUR</f>
        <v>4830650.71387989</v>
      </c>
      <c r="BD13" s="37" t="n">
        <f aca="false">Credit!BD20/FX_EUR</f>
        <v>5025243.06249175</v>
      </c>
      <c r="BE13" s="37" t="n">
        <f aca="false">Credit!BE20/FX_EUR</f>
        <v>5224304.17741529</v>
      </c>
      <c r="BF13" s="37" t="n">
        <f aca="false">Credit!BF20/FX_EUR</f>
        <v>5421755.36065947</v>
      </c>
      <c r="BG13" s="37" t="n">
        <f aca="false">Credit!BG20/FX_EUR</f>
        <v>5629307.75769186</v>
      </c>
      <c r="BH13" s="37" t="n">
        <f aca="false">Credit!BH20/FX_EUR</f>
        <v>5835312.68899607</v>
      </c>
      <c r="BI13" s="37" t="n">
        <f aca="false">Credit!BI20/FX_EUR</f>
        <v>6046004.00574074</v>
      </c>
      <c r="BJ13" s="37" t="n">
        <f aca="false">Credit!BJ20/FX_EUR</f>
        <v>6255323.14702586</v>
      </c>
      <c r="BK13" s="37" t="n">
        <f aca="false">Credit!BK20/FX_EUR</f>
        <v>6473957.10753009</v>
      </c>
      <c r="BL13" s="37" t="n">
        <f aca="false">Credit!BL20/FX_EUR</f>
        <v>6695182.19162491</v>
      </c>
    </row>
    <row r="14" customFormat="false" ht="15" hidden="false" customHeight="false" outlineLevel="0" collapsed="false">
      <c r="A14" s="12" t="s">
        <v>592</v>
      </c>
      <c r="B14" s="14" t="s">
        <v>73</v>
      </c>
      <c r="D14" s="55" t="n">
        <f aca="false">Credit!D21/FX_EUR</f>
        <v>1506415.9931156</v>
      </c>
      <c r="E14" s="37" t="n">
        <f aca="false">Credit!E21/FX_EUR</f>
        <v>0</v>
      </c>
      <c r="F14" s="37" t="n">
        <f aca="false">Credit!F21/FX_EUR</f>
        <v>0</v>
      </c>
      <c r="G14" s="37" t="n">
        <f aca="false">Credit!G21/FX_EUR</f>
        <v>0</v>
      </c>
      <c r="H14" s="37" t="n">
        <f aca="false">Credit!H21/FX_EUR</f>
        <v>0</v>
      </c>
      <c r="I14" s="37" t="n">
        <f aca="false">Credit!I21/FX_EUR</f>
        <v>0</v>
      </c>
      <c r="J14" s="37" t="n">
        <f aca="false">Credit!J21/FX_EUR</f>
        <v>0</v>
      </c>
      <c r="K14" s="37" t="n">
        <f aca="false">Credit!K21/FX_EUR</f>
        <v>0</v>
      </c>
      <c r="L14" s="37" t="n">
        <f aca="false">Credit!L21/FX_EUR</f>
        <v>0</v>
      </c>
      <c r="M14" s="37" t="n">
        <f aca="false">Credit!M21/FX_EUR</f>
        <v>0</v>
      </c>
      <c r="N14" s="37" t="n">
        <f aca="false">Credit!N21/FX_EUR</f>
        <v>0</v>
      </c>
      <c r="O14" s="37" t="n">
        <f aca="false">Credit!O21/FX_EUR</f>
        <v>0</v>
      </c>
      <c r="P14" s="37" t="n">
        <f aca="false">Credit!P21/FX_EUR</f>
        <v>0</v>
      </c>
      <c r="Q14" s="37" t="n">
        <f aca="false">Credit!Q21/FX_EUR</f>
        <v>0</v>
      </c>
      <c r="R14" s="37" t="n">
        <f aca="false">Credit!R21/FX_EUR</f>
        <v>0</v>
      </c>
      <c r="S14" s="37" t="n">
        <f aca="false">Credit!S21/FX_EUR</f>
        <v>0</v>
      </c>
      <c r="T14" s="37" t="n">
        <f aca="false">Credit!T21/FX_EUR</f>
        <v>0</v>
      </c>
      <c r="U14" s="37" t="n">
        <f aca="false">Credit!U21/FX_EUR</f>
        <v>0</v>
      </c>
      <c r="V14" s="37" t="n">
        <f aca="false">Credit!V21/FX_EUR</f>
        <v>10184.0758510757</v>
      </c>
      <c r="W14" s="37" t="n">
        <f aca="false">Credit!W21/FX_EUR</f>
        <v>23213.2250105824</v>
      </c>
      <c r="X14" s="37" t="n">
        <f aca="false">Credit!X21/FX_EUR</f>
        <v>39076.4827129855</v>
      </c>
      <c r="Y14" s="37" t="n">
        <f aca="false">Credit!Y21/FX_EUR</f>
        <v>57767.9409430934</v>
      </c>
      <c r="Z14" s="37" t="n">
        <f aca="false">Credit!Z21/FX_EUR</f>
        <v>79286.9953155712</v>
      </c>
      <c r="AA14" s="37" t="n">
        <f aca="false">Credit!AA21/FX_EUR</f>
        <v>103638.612690377</v>
      </c>
      <c r="AB14" s="37" t="n">
        <f aca="false">Credit!AB21/FX_EUR</f>
        <v>131633.978250004</v>
      </c>
      <c r="AC14" s="37" t="n">
        <f aca="false">Credit!AC21/FX_EUR</f>
        <v>165910.845213727</v>
      </c>
      <c r="AD14" s="37" t="n">
        <f aca="false">Credit!AD21/FX_EUR</f>
        <v>204022.184699157</v>
      </c>
      <c r="AE14" s="37" t="n">
        <f aca="false">Credit!AE21/FX_EUR</f>
        <v>245974.485046733</v>
      </c>
      <c r="AF14" s="37" t="n">
        <f aca="false">Credit!AF21/FX_EUR</f>
        <v>293039.781110302</v>
      </c>
      <c r="AG14" s="37" t="n">
        <f aca="false">Credit!AG21/FX_EUR</f>
        <v>344188.987376254</v>
      </c>
      <c r="AH14" s="37" t="n">
        <f aca="false">Credit!AH21/FX_EUR</f>
        <v>368721.379383602</v>
      </c>
      <c r="AI14" s="37" t="n">
        <f aca="false">Credit!AI21/FX_EUR</f>
        <v>393302.281641094</v>
      </c>
      <c r="AJ14" s="37" t="n">
        <f aca="false">Credit!AJ21/FX_EUR</f>
        <v>419330.174881707</v>
      </c>
      <c r="AK14" s="37" t="n">
        <f aca="false">Credit!AK21/FX_EUR</f>
        <v>445437.987635434</v>
      </c>
      <c r="AL14" s="37" t="n">
        <f aca="false">Credit!AL21/FX_EUR</f>
        <v>471654.97625708</v>
      </c>
      <c r="AM14" s="37" t="n">
        <f aca="false">Credit!AM21/FX_EUR</f>
        <v>499383.759884575</v>
      </c>
      <c r="AN14" s="37" t="n">
        <f aca="false">Credit!AN21/FX_EUR</f>
        <v>528496.482682522</v>
      </c>
      <c r="AO14" s="37" t="n">
        <f aca="false">Credit!AO21/FX_EUR</f>
        <v>560168.321044275</v>
      </c>
      <c r="AP14" s="37" t="n">
        <f aca="false">Credit!AP21/FX_EUR</f>
        <v>593371.118026197</v>
      </c>
      <c r="AQ14" s="37" t="n">
        <f aca="false">Credit!AQ21/FX_EUR</f>
        <v>626748.426235863</v>
      </c>
      <c r="AR14" s="37" t="n">
        <f aca="false">Credit!AR21/FX_EUR</f>
        <v>661712.706260036</v>
      </c>
      <c r="AS14" s="37" t="n">
        <f aca="false">Credit!AS21/FX_EUR</f>
        <v>696709.556679377</v>
      </c>
      <c r="AT14" s="37" t="n">
        <f aca="false">Credit!AT21/FX_EUR</f>
        <v>733925.257032031</v>
      </c>
      <c r="AU14" s="37" t="n">
        <f aca="false">Credit!AU21/FX_EUR</f>
        <v>770727.556465976</v>
      </c>
      <c r="AV14" s="37" t="n">
        <f aca="false">Credit!AV21/FX_EUR</f>
        <v>807135.19287018</v>
      </c>
      <c r="AW14" s="37" t="n">
        <f aca="false">Credit!AW21/FX_EUR</f>
        <v>844539.299170515</v>
      </c>
      <c r="AX14" s="37" t="n">
        <f aca="false">Credit!AX21/FX_EUR</f>
        <v>881564.676696916</v>
      </c>
      <c r="AY14" s="37" t="n">
        <f aca="false">Credit!AY21/FX_EUR</f>
        <v>920838.512893618</v>
      </c>
      <c r="AZ14" s="37" t="n">
        <f aca="false">Credit!AZ21/FX_EUR</f>
        <v>959731.683985815</v>
      </c>
      <c r="BA14" s="37" t="n">
        <f aca="false">Credit!BA21/FX_EUR</f>
        <v>1002053.05423038</v>
      </c>
      <c r="BB14" s="37" t="n">
        <f aca="false">Credit!BB21/FX_EUR</f>
        <v>1043975.86786277</v>
      </c>
      <c r="BC14" s="37" t="n">
        <f aca="false">Credit!BC21/FX_EUR</f>
        <v>1086896.41062297</v>
      </c>
      <c r="BD14" s="37" t="n">
        <f aca="false">Credit!BD21/FX_EUR</f>
        <v>1130679.68906064</v>
      </c>
      <c r="BE14" s="37" t="n">
        <f aca="false">Credit!BE21/FX_EUR</f>
        <v>1175468.43991844</v>
      </c>
      <c r="BF14" s="37" t="n">
        <f aca="false">Credit!BF21/FX_EUR</f>
        <v>1219894.95614838</v>
      </c>
      <c r="BG14" s="37" t="n">
        <f aca="false">Credit!BG21/FX_EUR</f>
        <v>1266594.24548067</v>
      </c>
      <c r="BH14" s="37" t="n">
        <f aca="false">Credit!BH21/FX_EUR</f>
        <v>1312945.35502411</v>
      </c>
      <c r="BI14" s="37" t="n">
        <f aca="false">Credit!BI21/FX_EUR</f>
        <v>1360350.90129167</v>
      </c>
      <c r="BJ14" s="37" t="n">
        <f aca="false">Credit!BJ21/FX_EUR</f>
        <v>1407447.70808082</v>
      </c>
      <c r="BK14" s="37" t="n">
        <f aca="false">Credit!BK21/FX_EUR</f>
        <v>1456640.34919427</v>
      </c>
      <c r="BL14" s="37" t="n">
        <f aca="false">Credit!BL21/FX_EUR</f>
        <v>1506415.9931156</v>
      </c>
    </row>
    <row r="15" customFormat="false" ht="15" hidden="false" customHeight="false" outlineLevel="0" collapsed="false">
      <c r="A15" s="12" t="s">
        <v>593</v>
      </c>
      <c r="B15" s="14" t="s">
        <v>73</v>
      </c>
      <c r="D15" s="55" t="n">
        <f aca="false">Credit!D22/FX_EUR</f>
        <v>2008554.65748747</v>
      </c>
      <c r="E15" s="37" t="n">
        <f aca="false">Credit!E22/FX_EUR</f>
        <v>0</v>
      </c>
      <c r="F15" s="37" t="n">
        <f aca="false">Credit!F22/FX_EUR</f>
        <v>0</v>
      </c>
      <c r="G15" s="37" t="n">
        <f aca="false">Credit!G22/FX_EUR</f>
        <v>0</v>
      </c>
      <c r="H15" s="37" t="n">
        <f aca="false">Credit!H22/FX_EUR</f>
        <v>0</v>
      </c>
      <c r="I15" s="37" t="n">
        <f aca="false">Credit!I22/FX_EUR</f>
        <v>0</v>
      </c>
      <c r="J15" s="37" t="n">
        <f aca="false">Credit!J22/FX_EUR</f>
        <v>0</v>
      </c>
      <c r="K15" s="37" t="n">
        <f aca="false">Credit!K22/FX_EUR</f>
        <v>0</v>
      </c>
      <c r="L15" s="37" t="n">
        <f aca="false">Credit!L22/FX_EUR</f>
        <v>0</v>
      </c>
      <c r="M15" s="37" t="n">
        <f aca="false">Credit!M22/FX_EUR</f>
        <v>0</v>
      </c>
      <c r="N15" s="37" t="n">
        <f aca="false">Credit!N22/FX_EUR</f>
        <v>0</v>
      </c>
      <c r="O15" s="37" t="n">
        <f aca="false">Credit!O22/FX_EUR</f>
        <v>0</v>
      </c>
      <c r="P15" s="37" t="n">
        <f aca="false">Credit!P22/FX_EUR</f>
        <v>0</v>
      </c>
      <c r="Q15" s="37" t="n">
        <f aca="false">Credit!Q22/FX_EUR</f>
        <v>0</v>
      </c>
      <c r="R15" s="37" t="n">
        <f aca="false">Credit!R22/FX_EUR</f>
        <v>0</v>
      </c>
      <c r="S15" s="37" t="n">
        <f aca="false">Credit!S22/FX_EUR</f>
        <v>0</v>
      </c>
      <c r="T15" s="37" t="n">
        <f aca="false">Credit!T22/FX_EUR</f>
        <v>0</v>
      </c>
      <c r="U15" s="37" t="n">
        <f aca="false">Credit!U22/FX_EUR</f>
        <v>0</v>
      </c>
      <c r="V15" s="37" t="n">
        <f aca="false">Credit!V22/FX_EUR</f>
        <v>0</v>
      </c>
      <c r="W15" s="37" t="n">
        <f aca="false">Credit!W22/FX_EUR</f>
        <v>0</v>
      </c>
      <c r="X15" s="37" t="n">
        <f aca="false">Credit!X22/FX_EUR</f>
        <v>0</v>
      </c>
      <c r="Y15" s="37" t="n">
        <f aca="false">Credit!Y22/FX_EUR</f>
        <v>19255.9803143645</v>
      </c>
      <c r="Z15" s="37" t="n">
        <f aca="false">Credit!Z22/FX_EUR</f>
        <v>42286.397501638</v>
      </c>
      <c r="AA15" s="37" t="n">
        <f aca="false">Credit!AA22/FX_EUR</f>
        <v>69092.4084602515</v>
      </c>
      <c r="AB15" s="37" t="n">
        <f aca="false">Credit!AB22/FX_EUR</f>
        <v>100292.554857146</v>
      </c>
      <c r="AC15" s="37" t="n">
        <f aca="false">Credit!AC22/FX_EUR</f>
        <v>138259.037678106</v>
      </c>
      <c r="AD15" s="37" t="n">
        <f aca="false">Credit!AD22/FX_EUR</f>
        <v>181353.053065917</v>
      </c>
      <c r="AE15" s="37" t="n">
        <f aca="false">Credit!AE22/FX_EUR</f>
        <v>229576.186043617</v>
      </c>
      <c r="AF15" s="37" t="n">
        <f aca="false">Credit!AF22/FX_EUR</f>
        <v>284159.787743324</v>
      </c>
      <c r="AG15" s="37" t="n">
        <f aca="false">Credit!AG22/FX_EUR</f>
        <v>344188.987376254</v>
      </c>
      <c r="AH15" s="37" t="n">
        <f aca="false">Credit!AH22/FX_EUR</f>
        <v>409690.421537336</v>
      </c>
      <c r="AI15" s="37" t="n">
        <f aca="false">Credit!AI22/FX_EUR</f>
        <v>480702.788672449</v>
      </c>
      <c r="AJ15" s="37" t="n">
        <f aca="false">Credit!AJ22/FX_EUR</f>
        <v>559106.899842276</v>
      </c>
      <c r="AK15" s="37" t="n">
        <f aca="false">Credit!AK22/FX_EUR</f>
        <v>593917.316847245</v>
      </c>
      <c r="AL15" s="37" t="n">
        <f aca="false">Credit!AL22/FX_EUR</f>
        <v>628873.301676106</v>
      </c>
      <c r="AM15" s="37" t="n">
        <f aca="false">Credit!AM22/FX_EUR</f>
        <v>665845.013179434</v>
      </c>
      <c r="AN15" s="37" t="n">
        <f aca="false">Credit!AN22/FX_EUR</f>
        <v>704661.976910029</v>
      </c>
      <c r="AO15" s="37" t="n">
        <f aca="false">Credit!AO22/FX_EUR</f>
        <v>746891.0947257</v>
      </c>
      <c r="AP15" s="37" t="n">
        <f aca="false">Credit!AP22/FX_EUR</f>
        <v>791161.490701597</v>
      </c>
      <c r="AQ15" s="37" t="n">
        <f aca="false">Credit!AQ22/FX_EUR</f>
        <v>835664.568314484</v>
      </c>
      <c r="AR15" s="37" t="n">
        <f aca="false">Credit!AR22/FX_EUR</f>
        <v>882283.608346715</v>
      </c>
      <c r="AS15" s="37" t="n">
        <f aca="false">Credit!AS22/FX_EUR</f>
        <v>928946.075572503</v>
      </c>
      <c r="AT15" s="37" t="n">
        <f aca="false">Credit!AT22/FX_EUR</f>
        <v>978567.009376042</v>
      </c>
      <c r="AU15" s="37" t="n">
        <f aca="false">Credit!AU22/FX_EUR</f>
        <v>1027636.74195463</v>
      </c>
      <c r="AV15" s="37" t="n">
        <f aca="false">Credit!AV22/FX_EUR</f>
        <v>1076180.25716024</v>
      </c>
      <c r="AW15" s="37" t="n">
        <f aca="false">Credit!AW22/FX_EUR</f>
        <v>1126052.39889402</v>
      </c>
      <c r="AX15" s="37" t="n">
        <f aca="false">Credit!AX22/FX_EUR</f>
        <v>1175419.56892922</v>
      </c>
      <c r="AY15" s="37" t="n">
        <f aca="false">Credit!AY22/FX_EUR</f>
        <v>1227784.68385816</v>
      </c>
      <c r="AZ15" s="37" t="n">
        <f aca="false">Credit!AZ22/FX_EUR</f>
        <v>1279642.24531442</v>
      </c>
      <c r="BA15" s="37" t="n">
        <f aca="false">Credit!BA22/FX_EUR</f>
        <v>1336070.73897384</v>
      </c>
      <c r="BB15" s="37" t="n">
        <f aca="false">Credit!BB22/FX_EUR</f>
        <v>1391967.82381703</v>
      </c>
      <c r="BC15" s="37" t="n">
        <f aca="false">Credit!BC22/FX_EUR</f>
        <v>1449195.21416397</v>
      </c>
      <c r="BD15" s="37" t="n">
        <f aca="false">Credit!BD22/FX_EUR</f>
        <v>1507572.91874753</v>
      </c>
      <c r="BE15" s="37" t="n">
        <f aca="false">Credit!BE22/FX_EUR</f>
        <v>1567291.25322459</v>
      </c>
      <c r="BF15" s="37" t="n">
        <f aca="false">Credit!BF22/FX_EUR</f>
        <v>1626526.60819784</v>
      </c>
      <c r="BG15" s="37" t="n">
        <f aca="false">Credit!BG22/FX_EUR</f>
        <v>1688792.32730756</v>
      </c>
      <c r="BH15" s="37" t="n">
        <f aca="false">Credit!BH22/FX_EUR</f>
        <v>1750593.80669882</v>
      </c>
      <c r="BI15" s="37" t="n">
        <f aca="false">Credit!BI22/FX_EUR</f>
        <v>1813801.20172222</v>
      </c>
      <c r="BJ15" s="37" t="n">
        <f aca="false">Credit!BJ22/FX_EUR</f>
        <v>1876596.94410776</v>
      </c>
      <c r="BK15" s="37" t="n">
        <f aca="false">Credit!BK22/FX_EUR</f>
        <v>1942187.13225903</v>
      </c>
      <c r="BL15" s="37" t="n">
        <f aca="false">Credit!BL22/FX_EUR</f>
        <v>2008554.65748747</v>
      </c>
    </row>
    <row r="16" customFormat="false" ht="15" hidden="false" customHeight="false" outlineLevel="0" collapsed="false">
      <c r="A16" s="12" t="s">
        <v>594</v>
      </c>
      <c r="B16" s="14" t="s">
        <v>73</v>
      </c>
      <c r="D16" s="55" t="n">
        <f aca="false">Credit!D23/FX_EUR</f>
        <v>3347591.09581245</v>
      </c>
      <c r="E16" s="37" t="n">
        <f aca="false">Credit!E23/FX_EUR</f>
        <v>0</v>
      </c>
      <c r="F16" s="37" t="n">
        <f aca="false">Credit!F23/FX_EUR</f>
        <v>0</v>
      </c>
      <c r="G16" s="37" t="n">
        <f aca="false">Credit!G23/FX_EUR</f>
        <v>0</v>
      </c>
      <c r="H16" s="37" t="n">
        <f aca="false">Credit!H23/FX_EUR</f>
        <v>0</v>
      </c>
      <c r="I16" s="37" t="n">
        <f aca="false">Credit!I23/FX_EUR</f>
        <v>0</v>
      </c>
      <c r="J16" s="37" t="n">
        <f aca="false">Credit!J23/FX_EUR</f>
        <v>0</v>
      </c>
      <c r="K16" s="37" t="n">
        <f aca="false">Credit!K23/FX_EUR</f>
        <v>0</v>
      </c>
      <c r="L16" s="37" t="n">
        <f aca="false">Credit!L23/FX_EUR</f>
        <v>0</v>
      </c>
      <c r="M16" s="37" t="n">
        <f aca="false">Credit!M23/FX_EUR</f>
        <v>0</v>
      </c>
      <c r="N16" s="37" t="n">
        <f aca="false">Credit!N23/FX_EUR</f>
        <v>0</v>
      </c>
      <c r="O16" s="37" t="n">
        <f aca="false">Credit!O23/FX_EUR</f>
        <v>0</v>
      </c>
      <c r="P16" s="37" t="n">
        <f aca="false">Credit!P23/FX_EUR</f>
        <v>0</v>
      </c>
      <c r="Q16" s="37" t="n">
        <f aca="false">Credit!Q23/FX_EUR</f>
        <v>0</v>
      </c>
      <c r="R16" s="37" t="n">
        <f aca="false">Credit!R23/FX_EUR</f>
        <v>0</v>
      </c>
      <c r="S16" s="37" t="n">
        <f aca="false">Credit!S23/FX_EUR</f>
        <v>0</v>
      </c>
      <c r="T16" s="37" t="n">
        <f aca="false">Credit!T23/FX_EUR</f>
        <v>0</v>
      </c>
      <c r="U16" s="37" t="n">
        <f aca="false">Credit!U23/FX_EUR</f>
        <v>0</v>
      </c>
      <c r="V16" s="37" t="n">
        <f aca="false">Credit!V23/FX_EUR</f>
        <v>0</v>
      </c>
      <c r="W16" s="37" t="n">
        <f aca="false">Credit!W23/FX_EUR</f>
        <v>0</v>
      </c>
      <c r="X16" s="37" t="n">
        <f aca="false">Credit!X23/FX_EUR</f>
        <v>0</v>
      </c>
      <c r="Y16" s="37" t="n">
        <f aca="false">Credit!Y23/FX_EUR</f>
        <v>0</v>
      </c>
      <c r="Z16" s="37" t="n">
        <f aca="false">Credit!Z23/FX_EUR</f>
        <v>0</v>
      </c>
      <c r="AA16" s="37" t="n">
        <f aca="false">Credit!AA23/FX_EUR</f>
        <v>0</v>
      </c>
      <c r="AB16" s="37" t="n">
        <f aca="false">Credit!AB23/FX_EUR</f>
        <v>0</v>
      </c>
      <c r="AC16" s="37" t="n">
        <f aca="false">Credit!AC23/FX_EUR</f>
        <v>0</v>
      </c>
      <c r="AD16" s="37" t="n">
        <f aca="false">Credit!AD23/FX_EUR</f>
        <v>0</v>
      </c>
      <c r="AE16" s="37" t="n">
        <f aca="false">Credit!AE23/FX_EUR</f>
        <v>54660.9966770517</v>
      </c>
      <c r="AF16" s="37" t="n">
        <f aca="false">Credit!AF23/FX_EUR</f>
        <v>118399.911559718</v>
      </c>
      <c r="AG16" s="37" t="n">
        <f aca="false">Credit!AG23/FX_EUR</f>
        <v>191216.104097919</v>
      </c>
      <c r="AH16" s="37" t="n">
        <f aca="false">Credit!AH23/FX_EUR</f>
        <v>273126.947691557</v>
      </c>
      <c r="AI16" s="37" t="n">
        <f aca="false">Credit!AI23/FX_EUR</f>
        <v>364168.77929731</v>
      </c>
      <c r="AJ16" s="37" t="n">
        <f aca="false">Credit!AJ23/FX_EUR</f>
        <v>465922.41653523</v>
      </c>
      <c r="AK16" s="37" t="n">
        <f aca="false">Credit!AK23/FX_EUR</f>
        <v>577419.613601488</v>
      </c>
      <c r="AL16" s="37" t="n">
        <f aca="false">Credit!AL23/FX_EUR</f>
        <v>698748.112973451</v>
      </c>
      <c r="AM16" s="37" t="n">
        <f aca="false">Credit!AM23/FX_EUR</f>
        <v>832306.266474292</v>
      </c>
      <c r="AN16" s="37" t="n">
        <f aca="false">Credit!AN23/FX_EUR</f>
        <v>978697.190152819</v>
      </c>
      <c r="AO16" s="37" t="n">
        <f aca="false">Credit!AO23/FX_EUR</f>
        <v>1141083.61694204</v>
      </c>
      <c r="AP16" s="37" t="n">
        <f aca="false">Credit!AP23/FX_EUR</f>
        <v>1318602.48450266</v>
      </c>
      <c r="AQ16" s="37" t="n">
        <f aca="false">Credit!AQ23/FX_EUR</f>
        <v>1392774.28052414</v>
      </c>
      <c r="AR16" s="37" t="n">
        <f aca="false">Credit!AR23/FX_EUR</f>
        <v>1470472.68057786</v>
      </c>
      <c r="AS16" s="37" t="n">
        <f aca="false">Credit!AS23/FX_EUR</f>
        <v>1548243.45928751</v>
      </c>
      <c r="AT16" s="37" t="n">
        <f aca="false">Credit!AT23/FX_EUR</f>
        <v>1630945.01562674</v>
      </c>
      <c r="AU16" s="37" t="n">
        <f aca="false">Credit!AU23/FX_EUR</f>
        <v>1712727.90325772</v>
      </c>
      <c r="AV16" s="37" t="n">
        <f aca="false">Credit!AV23/FX_EUR</f>
        <v>1793633.76193373</v>
      </c>
      <c r="AW16" s="37" t="n">
        <f aca="false">Credit!AW23/FX_EUR</f>
        <v>1876753.9981567</v>
      </c>
      <c r="AX16" s="37" t="n">
        <f aca="false">Credit!AX23/FX_EUR</f>
        <v>1959032.61488204</v>
      </c>
      <c r="AY16" s="37" t="n">
        <f aca="false">Credit!AY23/FX_EUR</f>
        <v>2046307.80643026</v>
      </c>
      <c r="AZ16" s="37" t="n">
        <f aca="false">Credit!AZ23/FX_EUR</f>
        <v>2132737.07552403</v>
      </c>
      <c r="BA16" s="37" t="n">
        <f aca="false">Credit!BA23/FX_EUR</f>
        <v>2226784.56495639</v>
      </c>
      <c r="BB16" s="37" t="n">
        <f aca="false">Credit!BB23/FX_EUR</f>
        <v>2319946.37302838</v>
      </c>
      <c r="BC16" s="37" t="n">
        <f aca="false">Credit!BC23/FX_EUR</f>
        <v>2415325.35693994</v>
      </c>
      <c r="BD16" s="37" t="n">
        <f aca="false">Credit!BD23/FX_EUR</f>
        <v>2512621.53124588</v>
      </c>
      <c r="BE16" s="37" t="n">
        <f aca="false">Credit!BE23/FX_EUR</f>
        <v>2612152.08870765</v>
      </c>
      <c r="BF16" s="37" t="n">
        <f aca="false">Credit!BF23/FX_EUR</f>
        <v>2710877.68032973</v>
      </c>
      <c r="BG16" s="37" t="n">
        <f aca="false">Credit!BG23/FX_EUR</f>
        <v>2814653.87884593</v>
      </c>
      <c r="BH16" s="37" t="n">
        <f aca="false">Credit!BH23/FX_EUR</f>
        <v>2917656.34449803</v>
      </c>
      <c r="BI16" s="37" t="n">
        <f aca="false">Credit!BI23/FX_EUR</f>
        <v>3023002.00287037</v>
      </c>
      <c r="BJ16" s="37" t="n">
        <f aca="false">Credit!BJ23/FX_EUR</f>
        <v>3127661.57351293</v>
      </c>
      <c r="BK16" s="37" t="n">
        <f aca="false">Credit!BK23/FX_EUR</f>
        <v>3236978.55376505</v>
      </c>
      <c r="BL16" s="37" t="n">
        <f aca="false">Credit!BL23/FX_EUR</f>
        <v>3347591.09581245</v>
      </c>
    </row>
    <row r="17" customFormat="false" ht="15" hidden="false" customHeight="false" outlineLevel="0" collapsed="false">
      <c r="A17" s="12" t="s">
        <v>595</v>
      </c>
      <c r="B17" s="14" t="s">
        <v>73</v>
      </c>
      <c r="D17" s="55" t="n">
        <f aca="false">Credit!D24/FX_EUR</f>
        <v>412029.93959447</v>
      </c>
      <c r="E17" s="37" t="n">
        <f aca="false">Credit!E24/FX_EUR</f>
        <v>0</v>
      </c>
      <c r="F17" s="37" t="n">
        <f aca="false">Credit!F24/FX_EUR</f>
        <v>0</v>
      </c>
      <c r="G17" s="37" t="n">
        <f aca="false">Credit!G24/FX_EUR</f>
        <v>0</v>
      </c>
      <c r="H17" s="37" t="n">
        <f aca="false">Credit!H24/FX_EUR</f>
        <v>0</v>
      </c>
      <c r="I17" s="37" t="n">
        <f aca="false">Credit!I24/FX_EUR</f>
        <v>0</v>
      </c>
      <c r="J17" s="37" t="n">
        <f aca="false">Credit!J24/FX_EUR</f>
        <v>0</v>
      </c>
      <c r="K17" s="37" t="n">
        <f aca="false">Credit!K24/FX_EUR</f>
        <v>0</v>
      </c>
      <c r="L17" s="37" t="n">
        <f aca="false">Credit!L24/FX_EUR</f>
        <v>0</v>
      </c>
      <c r="M17" s="37" t="n">
        <f aca="false">Credit!M24/FX_EUR</f>
        <v>0</v>
      </c>
      <c r="N17" s="37" t="n">
        <f aca="false">Credit!N24/FX_EUR</f>
        <v>0</v>
      </c>
      <c r="O17" s="37" t="n">
        <f aca="false">Credit!O24/FX_EUR</f>
        <v>0</v>
      </c>
      <c r="P17" s="37" t="n">
        <f aca="false">Credit!P24/FX_EUR</f>
        <v>0</v>
      </c>
      <c r="Q17" s="37" t="n">
        <f aca="false">Credit!Q24/FX_EUR</f>
        <v>0</v>
      </c>
      <c r="R17" s="37" t="n">
        <f aca="false">Credit!R24/FX_EUR</f>
        <v>0</v>
      </c>
      <c r="S17" s="37" t="n">
        <f aca="false">Credit!S24/FX_EUR</f>
        <v>0</v>
      </c>
      <c r="T17" s="37" t="n">
        <f aca="false">Credit!T24/FX_EUR</f>
        <v>0</v>
      </c>
      <c r="U17" s="37" t="n">
        <f aca="false">Credit!U24/FX_EUR</f>
        <v>0</v>
      </c>
      <c r="V17" s="37" t="n">
        <f aca="false">Credit!V24/FX_EUR</f>
        <v>0</v>
      </c>
      <c r="W17" s="37" t="n">
        <f aca="false">Credit!W24/FX_EUR</f>
        <v>0</v>
      </c>
      <c r="X17" s="37" t="n">
        <f aca="false">Credit!X24/FX_EUR</f>
        <v>0</v>
      </c>
      <c r="Y17" s="37" t="n">
        <f aca="false">Credit!Y24/FX_EUR</f>
        <v>0</v>
      </c>
      <c r="Z17" s="37" t="n">
        <f aca="false">Credit!Z24/FX_EUR</f>
        <v>0</v>
      </c>
      <c r="AA17" s="37" t="n">
        <f aca="false">Credit!AA24/FX_EUR</f>
        <v>0</v>
      </c>
      <c r="AB17" s="37" t="n">
        <f aca="false">Credit!AB24/FX_EUR</f>
        <v>0</v>
      </c>
      <c r="AC17" s="37" t="n">
        <f aca="false">Credit!AC24/FX_EUR</f>
        <v>0</v>
      </c>
      <c r="AD17" s="37" t="n">
        <f aca="false">Credit!AD24/FX_EUR</f>
        <v>0</v>
      </c>
      <c r="AE17" s="37" t="n">
        <f aca="false">Credit!AE24/FX_EUR</f>
        <v>0</v>
      </c>
      <c r="AF17" s="37" t="n">
        <f aca="false">Credit!AF24/FX_EUR</f>
        <v>0</v>
      </c>
      <c r="AG17" s="37" t="n">
        <f aca="false">Credit!AG24/FX_EUR</f>
        <v>0</v>
      </c>
      <c r="AH17" s="37" t="n">
        <f aca="false">Credit!AH24/FX_EUR</f>
        <v>8057.82338003027</v>
      </c>
      <c r="AI17" s="37" t="n">
        <f aca="false">Credit!AI24/FX_EUR</f>
        <v>17218.5265893934</v>
      </c>
      <c r="AJ17" s="37" t="n">
        <f aca="false">Credit!AJ24/FX_EUR</f>
        <v>27579.940082402</v>
      </c>
      <c r="AK17" s="37" t="n">
        <f aca="false">Credit!AK24/FX_EUR</f>
        <v>39126.5459981175</v>
      </c>
      <c r="AL17" s="37" t="n">
        <f aca="false">Credit!AL24/FX_EUR</f>
        <v>51874.1140857035</v>
      </c>
      <c r="AM17" s="37" t="n">
        <f aca="false">Credit!AM24/FX_EUR</f>
        <v>66012.4670455671</v>
      </c>
      <c r="AN17" s="37" t="n">
        <f aca="false">Credit!AN24/FX_EUR</f>
        <v>81626.2159327689</v>
      </c>
      <c r="AO17" s="37" t="n">
        <f aca="false">Credit!AO24/FX_EUR</f>
        <v>99006.9554841408</v>
      </c>
      <c r="AP17" s="37" t="n">
        <f aca="false">Credit!AP24/FX_EUR</f>
        <v>118132.85550368</v>
      </c>
      <c r="AQ17" s="37" t="n">
        <f aca="false">Credit!AQ24/FX_EUR</f>
        <v>138827.850687852</v>
      </c>
      <c r="AR17" s="37" t="n">
        <f aca="false">Credit!AR24/FX_EUR</f>
        <v>161436.185458737</v>
      </c>
      <c r="AS17" s="37" t="n">
        <f aca="false">Credit!AS24/FX_EUR</f>
        <v>185680.035059688</v>
      </c>
      <c r="AT17" s="37" t="n">
        <f aca="false">Credit!AT24/FX_EUR</f>
        <v>195843.083768009</v>
      </c>
      <c r="AU17" s="37" t="n">
        <f aca="false">Credit!AU24/FX_EUR</f>
        <v>205945.982718032</v>
      </c>
      <c r="AV17" s="37" t="n">
        <f aca="false">Credit!AV24/FX_EUR</f>
        <v>215992.354453383</v>
      </c>
      <c r="AW17" s="37" t="n">
        <f aca="false">Credit!AW24/FX_EUR</f>
        <v>226328.959132067</v>
      </c>
      <c r="AX17" s="37" t="n">
        <f aca="false">Credit!AX24/FX_EUR</f>
        <v>236612.956641493</v>
      </c>
      <c r="AY17" s="37" t="n">
        <f aca="false">Credit!AY24/FX_EUR</f>
        <v>247500.144793584</v>
      </c>
      <c r="AZ17" s="37" t="n">
        <f aca="false">Credit!AZ24/FX_EUR</f>
        <v>258335.977021763</v>
      </c>
      <c r="BA17" s="37" t="n">
        <f aca="false">Credit!BA24/FX_EUR</f>
        <v>270071.648845465</v>
      </c>
      <c r="BB17" s="37" t="n">
        <f aca="false">Credit!BB24/FX_EUR</f>
        <v>281754.858499565</v>
      </c>
      <c r="BC17" s="37" t="n">
        <f aca="false">Credit!BC24/FX_EUR</f>
        <v>293733.594493262</v>
      </c>
      <c r="BD17" s="37" t="n">
        <f aca="false">Credit!BD24/FX_EUR</f>
        <v>305975.016169078</v>
      </c>
      <c r="BE17" s="37" t="n">
        <f aca="false">Credit!BE24/FX_EUR</f>
        <v>318515.514382951</v>
      </c>
      <c r="BF17" s="37" t="n">
        <f aca="false">Credit!BF24/FX_EUR</f>
        <v>331014.063720824</v>
      </c>
      <c r="BG17" s="37" t="n">
        <f aca="false">Credit!BG24/FX_EUR</f>
        <v>344128.370164367</v>
      </c>
      <c r="BH17" s="37" t="n">
        <f aca="false">Credit!BH24/FX_EUR</f>
        <v>357205.894609009</v>
      </c>
      <c r="BI17" s="37" t="n">
        <f aca="false">Credit!BI24/FX_EUR</f>
        <v>370596.247387183</v>
      </c>
      <c r="BJ17" s="37" t="n">
        <f aca="false">Credit!BJ24/FX_EUR</f>
        <v>383959.58981915</v>
      </c>
      <c r="BK17" s="37" t="n">
        <f aca="false">Credit!BK24/FX_EUR</f>
        <v>397896.079237855</v>
      </c>
      <c r="BL17" s="37" t="n">
        <f aca="false">Credit!BL24/FX_EUR</f>
        <v>412029.93959447</v>
      </c>
    </row>
    <row r="18" customFormat="false" ht="15" hidden="false" customHeight="false" outlineLevel="0" collapsed="false">
      <c r="A18" s="8" t="s">
        <v>799</v>
      </c>
      <c r="B18" s="14" t="s">
        <v>73</v>
      </c>
      <c r="D18" s="55" t="n">
        <f aca="false">Credit!D25/FX_EUR</f>
        <v>13969773.8776349</v>
      </c>
      <c r="E18" s="16" t="n">
        <f aca="false">Credit!E25/FX_EUR</f>
        <v>0</v>
      </c>
      <c r="F18" s="16" t="n">
        <f aca="false">Credit!F25/FX_EUR</f>
        <v>0</v>
      </c>
      <c r="G18" s="16" t="n">
        <f aca="false">Credit!G25/FX_EUR</f>
        <v>0</v>
      </c>
      <c r="H18" s="16" t="n">
        <f aca="false">Credit!H25/FX_EUR</f>
        <v>0</v>
      </c>
      <c r="I18" s="16" t="n">
        <f aca="false">Credit!I25/FX_EUR</f>
        <v>0</v>
      </c>
      <c r="J18" s="16" t="n">
        <f aca="false">Credit!J25/FX_EUR</f>
        <v>0</v>
      </c>
      <c r="K18" s="16" t="n">
        <f aca="false">Credit!K25/FX_EUR</f>
        <v>0</v>
      </c>
      <c r="L18" s="16" t="n">
        <f aca="false">Credit!L25/FX_EUR</f>
        <v>0</v>
      </c>
      <c r="M18" s="16" t="n">
        <f aca="false">Credit!M25/FX_EUR</f>
        <v>0</v>
      </c>
      <c r="N18" s="16" t="n">
        <f aca="false">Credit!N25/FX_EUR</f>
        <v>0</v>
      </c>
      <c r="O18" s="16" t="n">
        <f aca="false">Credit!O25/FX_EUR</f>
        <v>0</v>
      </c>
      <c r="P18" s="16" t="n">
        <f aca="false">Credit!P25/FX_EUR</f>
        <v>0</v>
      </c>
      <c r="Q18" s="16" t="n">
        <f aca="false">Credit!Q25/FX_EUR</f>
        <v>0</v>
      </c>
      <c r="R18" s="16" t="n">
        <f aca="false">Credit!R25/FX_EUR</f>
        <v>0</v>
      </c>
      <c r="S18" s="16" t="n">
        <f aca="false">Credit!S25/FX_EUR</f>
        <v>0</v>
      </c>
      <c r="T18" s="16" t="n">
        <f aca="false">Credit!T25/FX_EUR</f>
        <v>0</v>
      </c>
      <c r="U18" s="16" t="n">
        <f aca="false">Credit!U25/FX_EUR</f>
        <v>0</v>
      </c>
      <c r="V18" s="16" t="n">
        <f aca="false">Credit!V25/FX_EUR</f>
        <v>55446.6351891897</v>
      </c>
      <c r="W18" s="16" t="n">
        <f aca="false">Credit!W25/FX_EUR</f>
        <v>126383.113946504</v>
      </c>
      <c r="X18" s="16" t="n">
        <f aca="false">Credit!X25/FX_EUR</f>
        <v>212749.739215144</v>
      </c>
      <c r="Y18" s="16" t="n">
        <f aca="false">Credit!Y25/FX_EUR</f>
        <v>333770.325448984</v>
      </c>
      <c r="Z18" s="16" t="n">
        <f aca="false">Credit!Z25/FX_EUR</f>
        <v>473960.038664192</v>
      </c>
      <c r="AA18" s="16" t="n">
        <f aca="false">Credit!AA25/FX_EUR</f>
        <v>633347.077552305</v>
      </c>
      <c r="AB18" s="16" t="n">
        <f aca="false">Credit!AB25/FX_EUR</f>
        <v>816966.436440501</v>
      </c>
      <c r="AC18" s="16" t="n">
        <f aca="false">Credit!AC25/FX_EUR</f>
        <v>1041551.41717506</v>
      </c>
      <c r="AD18" s="16" t="n">
        <f aca="false">Credit!AD25/FX_EUR</f>
        <v>1292140.50309466</v>
      </c>
      <c r="AE18" s="16" t="n">
        <f aca="false">Credit!AE25/FX_EUR</f>
        <v>1623431.60130844</v>
      </c>
      <c r="AF18" s="16" t="n">
        <f aca="false">Credit!AF25/FX_EUR</f>
        <v>1997998.50757024</v>
      </c>
      <c r="AG18" s="16" t="n">
        <f aca="false">Credit!AG25/FX_EUR</f>
        <v>2409322.91163377</v>
      </c>
      <c r="AH18" s="16" t="n">
        <f aca="false">Credit!AH25/FX_EUR</f>
        <v>2698358.25814187</v>
      </c>
      <c r="AI18" s="16" t="n">
        <f aca="false">Credit!AI25/FX_EUR</f>
        <v>3003402.51682733</v>
      </c>
      <c r="AJ18" s="16" t="n">
        <f aca="false">Credit!AJ25/FX_EUR</f>
        <v>3335629.09748253</v>
      </c>
      <c r="AK18" s="16" t="n">
        <f aca="false">Credit!AK25/FX_EUR</f>
        <v>3635625.8535731</v>
      </c>
      <c r="AL18" s="16" t="n">
        <f aca="false">Credit!AL25/FX_EUR</f>
        <v>3947394.84391269</v>
      </c>
      <c r="AM18" s="16" t="n">
        <f aca="false">Credit!AM25/FX_EUR</f>
        <v>4283030.88384865</v>
      </c>
      <c r="AN18" s="16" t="n">
        <f aca="false">Credit!AN25/FX_EUR</f>
        <v>4642355.1220449</v>
      </c>
      <c r="AO18" s="16" t="n">
        <f aca="false">Credit!AO25/FX_EUR</f>
        <v>5036786.97061515</v>
      </c>
      <c r="AP18" s="16" t="n">
        <f aca="false">Credit!AP25/FX_EUR</f>
        <v>5458472.91773946</v>
      </c>
      <c r="AQ18" s="16" t="n">
        <f aca="false">Credit!AQ25/FX_EUR</f>
        <v>5779563.68681062</v>
      </c>
      <c r="AR18" s="16" t="n">
        <f aca="false">Credit!AR25/FX_EUR</f>
        <v>6116850.54179906</v>
      </c>
      <c r="AS18" s="16" t="n">
        <f aca="false">Credit!AS25/FX_EUR</f>
        <v>6456066.04517408</v>
      </c>
      <c r="AT18" s="16" t="n">
        <f aca="false">Credit!AT25/FX_EUR</f>
        <v>6801170.39705629</v>
      </c>
      <c r="AU18" s="16" t="n">
        <f aca="false">Credit!AU25/FX_EUR</f>
        <v>7142493.99091182</v>
      </c>
      <c r="AV18" s="16" t="n">
        <f aca="false">Credit!AV25/FX_EUR</f>
        <v>7480209.090285</v>
      </c>
      <c r="AW18" s="16" t="n">
        <f aca="false">Credit!AW25/FX_EUR</f>
        <v>7827182.65166671</v>
      </c>
      <c r="AX18" s="16" t="n">
        <f aca="false">Credit!AX25/FX_EUR</f>
        <v>8170695.04691374</v>
      </c>
      <c r="AY18" s="16" t="n">
        <f aca="false">Credit!AY25/FX_EUR</f>
        <v>8535046.76083614</v>
      </c>
      <c r="AZ18" s="16" t="n">
        <f aca="false">Credit!AZ25/FX_EUR</f>
        <v>8895921.1328941</v>
      </c>
      <c r="BA18" s="16" t="n">
        <f aca="false">Credit!BA25/FX_EUR</f>
        <v>9288549.13691885</v>
      </c>
      <c r="BB18" s="16" t="n">
        <f aca="false">Credit!BB25/FX_EUR</f>
        <v>9677537.66926451</v>
      </c>
      <c r="BC18" s="16" t="n">
        <f aca="false">Credit!BC25/FX_EUR</f>
        <v>10075801.2901</v>
      </c>
      <c r="BD18" s="16" t="n">
        <f aca="false">Credit!BD25/FX_EUR</f>
        <v>10482092.2177149</v>
      </c>
      <c r="BE18" s="16" t="n">
        <f aca="false">Credit!BE25/FX_EUR</f>
        <v>10897731.4736489</v>
      </c>
      <c r="BF18" s="16" t="n">
        <f aca="false">Credit!BF25/FX_EUR</f>
        <v>11310068.6690562</v>
      </c>
      <c r="BG18" s="16" t="n">
        <f aca="false">Credit!BG25/FX_EUR</f>
        <v>11743476.5794904</v>
      </c>
      <c r="BH18" s="16" t="n">
        <f aca="false">Credit!BH25/FX_EUR</f>
        <v>12173714.089826</v>
      </c>
      <c r="BI18" s="16" t="n">
        <f aca="false">Credit!BI25/FX_EUR</f>
        <v>12613754.3590122</v>
      </c>
      <c r="BJ18" s="16" t="n">
        <f aca="false">Credit!BJ25/FX_EUR</f>
        <v>13050988.9625465</v>
      </c>
      <c r="BK18" s="16" t="n">
        <f aca="false">Credit!BK25/FX_EUR</f>
        <v>13507659.2219863</v>
      </c>
      <c r="BL18" s="16" t="n">
        <f aca="false">Credit!BL25/FX_EUR</f>
        <v>13969773.8776349</v>
      </c>
    </row>
    <row r="20" customFormat="false" ht="15" hidden="false" customHeight="false" outlineLevel="0" collapsed="false">
      <c r="A20" s="10" t="s">
        <v>800</v>
      </c>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row>
    <row r="21" customFormat="false" ht="15" hidden="false" customHeight="false" outlineLevel="0" collapsed="false">
      <c r="A21" s="12" t="s">
        <v>591</v>
      </c>
      <c r="B21" s="14" t="s">
        <v>73</v>
      </c>
      <c r="E21" s="37" t="n">
        <f aca="false">Credit!E28/FX_EUR</f>
        <v>0</v>
      </c>
      <c r="F21" s="37" t="n">
        <f aca="false">Credit!F28/FX_EUR</f>
        <v>0</v>
      </c>
      <c r="G21" s="37" t="n">
        <f aca="false">Credit!G28/FX_EUR</f>
        <v>0</v>
      </c>
      <c r="H21" s="37" t="n">
        <f aca="false">Credit!H28/FX_EUR</f>
        <v>0</v>
      </c>
      <c r="I21" s="37" t="n">
        <f aca="false">Credit!I28/FX_EUR</f>
        <v>0</v>
      </c>
      <c r="J21" s="37" t="n">
        <f aca="false">Credit!J28/FX_EUR</f>
        <v>0</v>
      </c>
      <c r="K21" s="37" t="n">
        <f aca="false">Credit!K28/FX_EUR</f>
        <v>0</v>
      </c>
      <c r="L21" s="37" t="n">
        <f aca="false">Credit!L28/FX_EUR</f>
        <v>0</v>
      </c>
      <c r="M21" s="37" t="n">
        <f aca="false">Credit!M28/FX_EUR</f>
        <v>0</v>
      </c>
      <c r="N21" s="37" t="n">
        <f aca="false">Credit!N28/FX_EUR</f>
        <v>0</v>
      </c>
      <c r="O21" s="37" t="n">
        <f aca="false">Credit!O28/FX_EUR</f>
        <v>0</v>
      </c>
      <c r="P21" s="37" t="n">
        <f aca="false">Credit!P28/FX_EUR</f>
        <v>0</v>
      </c>
      <c r="Q21" s="37" t="n">
        <f aca="false">Credit!Q28/FX_EUR</f>
        <v>0</v>
      </c>
      <c r="R21" s="37" t="n">
        <f aca="false">Credit!R28/FX_EUR</f>
        <v>0</v>
      </c>
      <c r="S21" s="37" t="n">
        <f aca="false">Credit!S28/FX_EUR</f>
        <v>0</v>
      </c>
      <c r="T21" s="37" t="n">
        <f aca="false">Credit!T28/FX_EUR</f>
        <v>0</v>
      </c>
      <c r="U21" s="37" t="n">
        <f aca="false">Credit!U28/FX_EUR</f>
        <v>0</v>
      </c>
      <c r="V21" s="37" t="n">
        <f aca="false">Credit!V28/FX_EUR</f>
        <v>22631.279669057</v>
      </c>
      <c r="W21" s="37" t="n">
        <f aca="false">Credit!W28/FX_EUR</f>
        <v>74216.2241370179</v>
      </c>
      <c r="X21" s="37" t="n">
        <f aca="false">Credit!X28/FX_EUR</f>
        <v>138421.57271904</v>
      </c>
      <c r="Y21" s="37" t="n">
        <f aca="false">Credit!Y28/FX_EUR</f>
        <v>215209.830346842</v>
      </c>
      <c r="Z21" s="37" t="n">
        <f aca="false">Credit!Z28/FX_EUR</f>
        <v>304566.525019255</v>
      </c>
      <c r="AA21" s="37" t="n">
        <f aca="false">Credit!AA28/FX_EUR</f>
        <v>406501.35112433</v>
      </c>
      <c r="AB21" s="37" t="n">
        <f aca="false">Credit!AB28/FX_EUR</f>
        <v>522827.979867514</v>
      </c>
      <c r="AC21" s="37" t="n">
        <f aca="false">Credit!AC28/FX_EUR</f>
        <v>661210.718808291</v>
      </c>
      <c r="AD21" s="37" t="n">
        <f aca="false">Credit!AD28/FX_EUR</f>
        <v>822073.399806408</v>
      </c>
      <c r="AE21" s="37" t="n">
        <f aca="false">Credit!AE28/FX_EUR</f>
        <v>999992.599435309</v>
      </c>
      <c r="AF21" s="37" t="n">
        <f aca="false">Credit!AF28/FX_EUR</f>
        <v>1197809.48034897</v>
      </c>
      <c r="AG21" s="37" t="n">
        <f aca="false">Credit!AG28/FX_EUR</f>
        <v>1416063.92997012</v>
      </c>
      <c r="AH21" s="37" t="n">
        <f aca="false">Credit!AH28/FX_EUR</f>
        <v>1584245.25946635</v>
      </c>
      <c r="AI21" s="37" t="n">
        <f aca="false">Credit!AI28/FX_EUR</f>
        <v>1693385.91338821</v>
      </c>
      <c r="AJ21" s="37" t="n">
        <f aca="false">Credit!AJ28/FX_EUR</f>
        <v>1805849.903384</v>
      </c>
      <c r="AK21" s="37" t="n">
        <f aca="false">Credit!AK28/FX_EUR</f>
        <v>1921707.02781587</v>
      </c>
      <c r="AL21" s="37" t="n">
        <f aca="false">Credit!AL28/FX_EUR</f>
        <v>2037984.36420558</v>
      </c>
      <c r="AM21" s="37" t="n">
        <f aca="false">Credit!AM28/FX_EUR</f>
        <v>2157863.85809257</v>
      </c>
      <c r="AN21" s="37" t="n">
        <f aca="false">Credit!AN28/FX_EUR</f>
        <v>2284178.31681577</v>
      </c>
      <c r="AO21" s="37" t="n">
        <f aca="false">Credit!AO28/FX_EUR</f>
        <v>2419255.11939288</v>
      </c>
      <c r="AP21" s="37" t="n">
        <f aca="false">Credit!AP28/FX_EUR</f>
        <v>2563420.97571216</v>
      </c>
      <c r="AQ21" s="37" t="n">
        <f aca="false">Credit!AQ28/FX_EUR</f>
        <v>2711376.7650268</v>
      </c>
      <c r="AR21" s="37" t="n">
        <f aca="false">Credit!AR28/FX_EUR</f>
        <v>2863246.961102</v>
      </c>
      <c r="AS21" s="37" t="n">
        <f aca="false">Credit!AS28/FX_EUR</f>
        <v>3018716.13986536</v>
      </c>
      <c r="AT21" s="37" t="n">
        <f aca="false">Credit!AT28/FX_EUR</f>
        <v>3179188.47491424</v>
      </c>
      <c r="AU21" s="37" t="n">
        <f aca="false">Credit!AU28/FX_EUR</f>
        <v>3343672.91888446</v>
      </c>
      <c r="AV21" s="37" t="n">
        <f aca="false">Credit!AV28/FX_EUR</f>
        <v>3506361.66519146</v>
      </c>
      <c r="AW21" s="37" t="n">
        <f aca="false">Credit!AW28/FX_EUR</f>
        <v>3670387.76009043</v>
      </c>
      <c r="AX21" s="37" t="n">
        <f aca="false">Credit!AX28/FX_EUR</f>
        <v>3835786.61303874</v>
      </c>
      <c r="AY21" s="37" t="n">
        <f aca="false">Credit!AY28/FX_EUR</f>
        <v>4005340.4213123</v>
      </c>
      <c r="AZ21" s="37" t="n">
        <f aca="false">Credit!AZ28/FX_EUR</f>
        <v>4179044.8819543</v>
      </c>
      <c r="BA21" s="37" t="n">
        <f aca="false">Credit!BA28/FX_EUR</f>
        <v>4359521.64048043</v>
      </c>
      <c r="BB21" s="37" t="n">
        <f aca="false">Credit!BB28/FX_EUR</f>
        <v>4546730.93798477</v>
      </c>
      <c r="BC21" s="37" t="n">
        <f aca="false">Credit!BC28/FX_EUR</f>
        <v>4735271.72996832</v>
      </c>
      <c r="BD21" s="37" t="n">
        <f aca="false">Credit!BD28/FX_EUR</f>
        <v>4927946.88818582</v>
      </c>
      <c r="BE21" s="37" t="n">
        <f aca="false">Credit!BE28/FX_EUR</f>
        <v>5124773.61995352</v>
      </c>
      <c r="BF21" s="37" t="n">
        <f aca="false">Credit!BF28/FX_EUR</f>
        <v>5323029.76903738</v>
      </c>
      <c r="BG21" s="37" t="n">
        <f aca="false">Credit!BG28/FX_EUR</f>
        <v>5525531.55917566</v>
      </c>
      <c r="BH21" s="37" t="n">
        <f aca="false">Credit!BH28/FX_EUR</f>
        <v>5732310.22334396</v>
      </c>
      <c r="BI21" s="37" t="n">
        <f aca="false">Credit!BI28/FX_EUR</f>
        <v>5940658.34736841</v>
      </c>
      <c r="BJ21" s="37" t="n">
        <f aca="false">Credit!BJ28/FX_EUR</f>
        <v>6150663.5763833</v>
      </c>
      <c r="BK21" s="37" t="n">
        <f aca="false">Credit!BK28/FX_EUR</f>
        <v>6364640.12727798</v>
      </c>
      <c r="BL21" s="37" t="n">
        <f aca="false">Credit!BL28/FX_EUR</f>
        <v>6584569.6495775</v>
      </c>
    </row>
    <row r="22" customFormat="false" ht="15" hidden="false" customHeight="false" outlineLevel="0" collapsed="false">
      <c r="A22" s="12" t="s">
        <v>592</v>
      </c>
      <c r="B22" s="14" t="s">
        <v>73</v>
      </c>
      <c r="E22" s="37" t="n">
        <f aca="false">Credit!E29/FX_EUR</f>
        <v>0</v>
      </c>
      <c r="F22" s="37" t="n">
        <f aca="false">Credit!F29/FX_EUR</f>
        <v>0</v>
      </c>
      <c r="G22" s="37" t="n">
        <f aca="false">Credit!G29/FX_EUR</f>
        <v>0</v>
      </c>
      <c r="H22" s="37" t="n">
        <f aca="false">Credit!H29/FX_EUR</f>
        <v>0</v>
      </c>
      <c r="I22" s="37" t="n">
        <f aca="false">Credit!I29/FX_EUR</f>
        <v>0</v>
      </c>
      <c r="J22" s="37" t="n">
        <f aca="false">Credit!J29/FX_EUR</f>
        <v>0</v>
      </c>
      <c r="K22" s="37" t="n">
        <f aca="false">Credit!K29/FX_EUR</f>
        <v>0</v>
      </c>
      <c r="L22" s="37" t="n">
        <f aca="false">Credit!L29/FX_EUR</f>
        <v>0</v>
      </c>
      <c r="M22" s="37" t="n">
        <f aca="false">Credit!M29/FX_EUR</f>
        <v>0</v>
      </c>
      <c r="N22" s="37" t="n">
        <f aca="false">Credit!N29/FX_EUR</f>
        <v>0</v>
      </c>
      <c r="O22" s="37" t="n">
        <f aca="false">Credit!O29/FX_EUR</f>
        <v>0</v>
      </c>
      <c r="P22" s="37" t="n">
        <f aca="false">Credit!P29/FX_EUR</f>
        <v>0</v>
      </c>
      <c r="Q22" s="37" t="n">
        <f aca="false">Credit!Q29/FX_EUR</f>
        <v>0</v>
      </c>
      <c r="R22" s="37" t="n">
        <f aca="false">Credit!R29/FX_EUR</f>
        <v>0</v>
      </c>
      <c r="S22" s="37" t="n">
        <f aca="false">Credit!S29/FX_EUR</f>
        <v>0</v>
      </c>
      <c r="T22" s="37" t="n">
        <f aca="false">Credit!T29/FX_EUR</f>
        <v>0</v>
      </c>
      <c r="U22" s="37" t="n">
        <f aca="false">Credit!U29/FX_EUR</f>
        <v>0</v>
      </c>
      <c r="V22" s="37" t="n">
        <f aca="false">Credit!V29/FX_EUR</f>
        <v>5092.03792553783</v>
      </c>
      <c r="W22" s="37" t="n">
        <f aca="false">Credit!W29/FX_EUR</f>
        <v>16698.650430829</v>
      </c>
      <c r="X22" s="37" t="n">
        <f aca="false">Credit!X29/FX_EUR</f>
        <v>31144.853861784</v>
      </c>
      <c r="Y22" s="37" t="n">
        <f aca="false">Credit!Y29/FX_EUR</f>
        <v>48422.2118280394</v>
      </c>
      <c r="Z22" s="37" t="n">
        <f aca="false">Credit!Z29/FX_EUR</f>
        <v>68527.4681293323</v>
      </c>
      <c r="AA22" s="37" t="n">
        <f aca="false">Credit!AA29/FX_EUR</f>
        <v>91462.8040029742</v>
      </c>
      <c r="AB22" s="37" t="n">
        <f aca="false">Credit!AB29/FX_EUR</f>
        <v>117636.295470191</v>
      </c>
      <c r="AC22" s="37" t="n">
        <f aca="false">Credit!AC29/FX_EUR</f>
        <v>148772.411731865</v>
      </c>
      <c r="AD22" s="37" t="n">
        <f aca="false">Credit!AD29/FX_EUR</f>
        <v>184966.514956442</v>
      </c>
      <c r="AE22" s="37" t="n">
        <f aca="false">Credit!AE29/FX_EUR</f>
        <v>224998.334872945</v>
      </c>
      <c r="AF22" s="37" t="n">
        <f aca="false">Credit!AF29/FX_EUR</f>
        <v>269507.133078518</v>
      </c>
      <c r="AG22" s="37" t="n">
        <f aca="false">Credit!AG29/FX_EUR</f>
        <v>318614.384243278</v>
      </c>
      <c r="AH22" s="37" t="n">
        <f aca="false">Credit!AH29/FX_EUR</f>
        <v>356455.183379928</v>
      </c>
      <c r="AI22" s="37" t="n">
        <f aca="false">Credit!AI29/FX_EUR</f>
        <v>381011.830512348</v>
      </c>
      <c r="AJ22" s="37" t="n">
        <f aca="false">Credit!AJ29/FX_EUR</f>
        <v>406316.228261401</v>
      </c>
      <c r="AK22" s="37" t="n">
        <f aca="false">Credit!AK29/FX_EUR</f>
        <v>432384.08125857</v>
      </c>
      <c r="AL22" s="37" t="n">
        <f aca="false">Credit!AL29/FX_EUR</f>
        <v>458546.481946257</v>
      </c>
      <c r="AM22" s="37" t="n">
        <f aca="false">Credit!AM29/FX_EUR</f>
        <v>485519.368070827</v>
      </c>
      <c r="AN22" s="37" t="n">
        <f aca="false">Credit!AN29/FX_EUR</f>
        <v>513940.121283549</v>
      </c>
      <c r="AO22" s="37" t="n">
        <f aca="false">Credit!AO29/FX_EUR</f>
        <v>544332.401863398</v>
      </c>
      <c r="AP22" s="37" t="n">
        <f aca="false">Credit!AP29/FX_EUR</f>
        <v>576769.719535236</v>
      </c>
      <c r="AQ22" s="37" t="n">
        <f aca="false">Credit!AQ29/FX_EUR</f>
        <v>610059.77213103</v>
      </c>
      <c r="AR22" s="37" t="n">
        <f aca="false">Credit!AR29/FX_EUR</f>
        <v>644230.56624795</v>
      </c>
      <c r="AS22" s="37" t="n">
        <f aca="false">Credit!AS29/FX_EUR</f>
        <v>679211.131469707</v>
      </c>
      <c r="AT22" s="37" t="n">
        <f aca="false">Credit!AT29/FX_EUR</f>
        <v>715317.406855704</v>
      </c>
      <c r="AU22" s="37" t="n">
        <f aca="false">Credit!AU29/FX_EUR</f>
        <v>752326.406749004</v>
      </c>
      <c r="AV22" s="37" t="n">
        <f aca="false">Credit!AV29/FX_EUR</f>
        <v>788931.374668078</v>
      </c>
      <c r="AW22" s="37" t="n">
        <f aca="false">Credit!AW29/FX_EUR</f>
        <v>825837.246020348</v>
      </c>
      <c r="AX22" s="37" t="n">
        <f aca="false">Credit!AX29/FX_EUR</f>
        <v>863051.987933716</v>
      </c>
      <c r="AY22" s="37" t="n">
        <f aca="false">Credit!AY29/FX_EUR</f>
        <v>901201.594795267</v>
      </c>
      <c r="AZ22" s="37" t="n">
        <f aca="false">Credit!AZ29/FX_EUR</f>
        <v>940285.098439716</v>
      </c>
      <c r="BA22" s="37" t="n">
        <f aca="false">Credit!BA29/FX_EUR</f>
        <v>980892.369108096</v>
      </c>
      <c r="BB22" s="37" t="n">
        <f aca="false">Credit!BB29/FX_EUR</f>
        <v>1023014.46104657</v>
      </c>
      <c r="BC22" s="37" t="n">
        <f aca="false">Credit!BC29/FX_EUR</f>
        <v>1065436.13924287</v>
      </c>
      <c r="BD22" s="37" t="n">
        <f aca="false">Credit!BD29/FX_EUR</f>
        <v>1108788.04984181</v>
      </c>
      <c r="BE22" s="37" t="n">
        <f aca="false">Credit!BE29/FX_EUR</f>
        <v>1153074.06448954</v>
      </c>
      <c r="BF22" s="37" t="n">
        <f aca="false">Credit!BF29/FX_EUR</f>
        <v>1197681.69803341</v>
      </c>
      <c r="BG22" s="37" t="n">
        <f aca="false">Credit!BG29/FX_EUR</f>
        <v>1243244.60081452</v>
      </c>
      <c r="BH22" s="37" t="n">
        <f aca="false">Credit!BH29/FX_EUR</f>
        <v>1289769.80025239</v>
      </c>
      <c r="BI22" s="37" t="n">
        <f aca="false">Credit!BI29/FX_EUR</f>
        <v>1336648.12815789</v>
      </c>
      <c r="BJ22" s="37" t="n">
        <f aca="false">Credit!BJ29/FX_EUR</f>
        <v>1383899.30468624</v>
      </c>
      <c r="BK22" s="37" t="n">
        <f aca="false">Credit!BK29/FX_EUR</f>
        <v>1432044.02863754</v>
      </c>
      <c r="BL22" s="37" t="n">
        <f aca="false">Credit!BL29/FX_EUR</f>
        <v>1481528.17115494</v>
      </c>
    </row>
    <row r="23" customFormat="false" ht="15" hidden="false" customHeight="false" outlineLevel="0" collapsed="false">
      <c r="A23" s="12" t="s">
        <v>593</v>
      </c>
      <c r="B23" s="14" t="s">
        <v>73</v>
      </c>
      <c r="E23" s="37" t="n">
        <f aca="false">Credit!E30/FX_EUR</f>
        <v>0</v>
      </c>
      <c r="F23" s="37" t="n">
        <f aca="false">Credit!F30/FX_EUR</f>
        <v>0</v>
      </c>
      <c r="G23" s="37" t="n">
        <f aca="false">Credit!G30/FX_EUR</f>
        <v>0</v>
      </c>
      <c r="H23" s="37" t="n">
        <f aca="false">Credit!H30/FX_EUR</f>
        <v>0</v>
      </c>
      <c r="I23" s="37" t="n">
        <f aca="false">Credit!I30/FX_EUR</f>
        <v>0</v>
      </c>
      <c r="J23" s="37" t="n">
        <f aca="false">Credit!J30/FX_EUR</f>
        <v>0</v>
      </c>
      <c r="K23" s="37" t="n">
        <f aca="false">Credit!K30/FX_EUR</f>
        <v>0</v>
      </c>
      <c r="L23" s="37" t="n">
        <f aca="false">Credit!L30/FX_EUR</f>
        <v>0</v>
      </c>
      <c r="M23" s="37" t="n">
        <f aca="false">Credit!M30/FX_EUR</f>
        <v>0</v>
      </c>
      <c r="N23" s="37" t="n">
        <f aca="false">Credit!N30/FX_EUR</f>
        <v>0</v>
      </c>
      <c r="O23" s="37" t="n">
        <f aca="false">Credit!O30/FX_EUR</f>
        <v>0</v>
      </c>
      <c r="P23" s="37" t="n">
        <f aca="false">Credit!P30/FX_EUR</f>
        <v>0</v>
      </c>
      <c r="Q23" s="37" t="n">
        <f aca="false">Credit!Q30/FX_EUR</f>
        <v>0</v>
      </c>
      <c r="R23" s="37" t="n">
        <f aca="false">Credit!R30/FX_EUR</f>
        <v>0</v>
      </c>
      <c r="S23" s="37" t="n">
        <f aca="false">Credit!S30/FX_EUR</f>
        <v>0</v>
      </c>
      <c r="T23" s="37" t="n">
        <f aca="false">Credit!T30/FX_EUR</f>
        <v>0</v>
      </c>
      <c r="U23" s="37" t="n">
        <f aca="false">Credit!U30/FX_EUR</f>
        <v>0</v>
      </c>
      <c r="V23" s="37" t="n">
        <f aca="false">Credit!V30/FX_EUR</f>
        <v>0</v>
      </c>
      <c r="W23" s="37" t="n">
        <f aca="false">Credit!W30/FX_EUR</f>
        <v>0</v>
      </c>
      <c r="X23" s="37" t="n">
        <f aca="false">Credit!X30/FX_EUR</f>
        <v>0</v>
      </c>
      <c r="Y23" s="37" t="n">
        <f aca="false">Credit!Y30/FX_EUR</f>
        <v>9627.99015718223</v>
      </c>
      <c r="Z23" s="37" t="n">
        <f aca="false">Credit!Z30/FX_EUR</f>
        <v>30771.1889080012</v>
      </c>
      <c r="AA23" s="37" t="n">
        <f aca="false">Credit!AA30/FX_EUR</f>
        <v>55689.4029809447</v>
      </c>
      <c r="AB23" s="37" t="n">
        <f aca="false">Credit!AB30/FX_EUR</f>
        <v>84692.4816586987</v>
      </c>
      <c r="AC23" s="37" t="n">
        <f aca="false">Credit!AC30/FX_EUR</f>
        <v>119275.796267626</v>
      </c>
      <c r="AD23" s="37" t="n">
        <f aca="false">Credit!AD30/FX_EUR</f>
        <v>159806.045372011</v>
      </c>
      <c r="AE23" s="37" t="n">
        <f aca="false">Credit!AE30/FX_EUR</f>
        <v>205464.619554767</v>
      </c>
      <c r="AF23" s="37" t="n">
        <f aca="false">Credit!AF30/FX_EUR</f>
        <v>256867.98689347</v>
      </c>
      <c r="AG23" s="37" t="n">
        <f aca="false">Credit!AG30/FX_EUR</f>
        <v>314174.387559789</v>
      </c>
      <c r="AH23" s="37" t="n">
        <f aca="false">Credit!AH30/FX_EUR</f>
        <v>376939.704456795</v>
      </c>
      <c r="AI23" s="37" t="n">
        <f aca="false">Credit!AI30/FX_EUR</f>
        <v>445196.605104892</v>
      </c>
      <c r="AJ23" s="37" t="n">
        <f aca="false">Credit!AJ30/FX_EUR</f>
        <v>519904.844257362</v>
      </c>
      <c r="AK23" s="37" t="n">
        <f aca="false">Credit!AK30/FX_EUR</f>
        <v>576512.10834476</v>
      </c>
      <c r="AL23" s="37" t="n">
        <f aca="false">Credit!AL30/FX_EUR</f>
        <v>611395.309261676</v>
      </c>
      <c r="AM23" s="37" t="n">
        <f aca="false">Credit!AM30/FX_EUR</f>
        <v>647359.15742777</v>
      </c>
      <c r="AN23" s="37" t="n">
        <f aca="false">Credit!AN30/FX_EUR</f>
        <v>685253.495044731</v>
      </c>
      <c r="AO23" s="37" t="n">
        <f aca="false">Credit!AO30/FX_EUR</f>
        <v>725776.535817865</v>
      </c>
      <c r="AP23" s="37" t="n">
        <f aca="false">Credit!AP30/FX_EUR</f>
        <v>769026.292713648</v>
      </c>
      <c r="AQ23" s="37" t="n">
        <f aca="false">Credit!AQ30/FX_EUR</f>
        <v>813413.02950804</v>
      </c>
      <c r="AR23" s="37" t="n">
        <f aca="false">Credit!AR30/FX_EUR</f>
        <v>858974.0883306</v>
      </c>
      <c r="AS23" s="37" t="n">
        <f aca="false">Credit!AS30/FX_EUR</f>
        <v>905614.841959609</v>
      </c>
      <c r="AT23" s="37" t="n">
        <f aca="false">Credit!AT30/FX_EUR</f>
        <v>953756.542474272</v>
      </c>
      <c r="AU23" s="37" t="n">
        <f aca="false">Credit!AU30/FX_EUR</f>
        <v>1003101.87566534</v>
      </c>
      <c r="AV23" s="37" t="n">
        <f aca="false">Credit!AV30/FX_EUR</f>
        <v>1051908.49955744</v>
      </c>
      <c r="AW23" s="37" t="n">
        <f aca="false">Credit!AW30/FX_EUR</f>
        <v>1101116.32802713</v>
      </c>
      <c r="AX23" s="37" t="n">
        <f aca="false">Credit!AX30/FX_EUR</f>
        <v>1150735.98391162</v>
      </c>
      <c r="AY23" s="37" t="n">
        <f aca="false">Credit!AY30/FX_EUR</f>
        <v>1201602.12639369</v>
      </c>
      <c r="AZ23" s="37" t="n">
        <f aca="false">Credit!AZ30/FX_EUR</f>
        <v>1253713.46458629</v>
      </c>
      <c r="BA23" s="37" t="n">
        <f aca="false">Credit!BA30/FX_EUR</f>
        <v>1307856.49214413</v>
      </c>
      <c r="BB23" s="37" t="n">
        <f aca="false">Credit!BB30/FX_EUR</f>
        <v>1364019.28139543</v>
      </c>
      <c r="BC23" s="37" t="n">
        <f aca="false">Credit!BC30/FX_EUR</f>
        <v>1420581.5189905</v>
      </c>
      <c r="BD23" s="37" t="n">
        <f aca="false">Credit!BD30/FX_EUR</f>
        <v>1478384.06645575</v>
      </c>
      <c r="BE23" s="37" t="n">
        <f aca="false">Credit!BE30/FX_EUR</f>
        <v>1537432.08598606</v>
      </c>
      <c r="BF23" s="37" t="n">
        <f aca="false">Credit!BF30/FX_EUR</f>
        <v>1596908.93071121</v>
      </c>
      <c r="BG23" s="37" t="n">
        <f aca="false">Credit!BG30/FX_EUR</f>
        <v>1657659.4677527</v>
      </c>
      <c r="BH23" s="37" t="n">
        <f aca="false">Credit!BH30/FX_EUR</f>
        <v>1719693.06700319</v>
      </c>
      <c r="BI23" s="37" t="n">
        <f aca="false">Credit!BI30/FX_EUR</f>
        <v>1782197.50421052</v>
      </c>
      <c r="BJ23" s="37" t="n">
        <f aca="false">Credit!BJ30/FX_EUR</f>
        <v>1845199.07291499</v>
      </c>
      <c r="BK23" s="37" t="n">
        <f aca="false">Credit!BK30/FX_EUR</f>
        <v>1909392.03818339</v>
      </c>
      <c r="BL23" s="37" t="n">
        <f aca="false">Credit!BL30/FX_EUR</f>
        <v>1975370.89487325</v>
      </c>
    </row>
    <row r="24" customFormat="false" ht="15" hidden="false" customHeight="false" outlineLevel="0" collapsed="false">
      <c r="A24" s="12" t="s">
        <v>594</v>
      </c>
      <c r="B24" s="14" t="s">
        <v>73</v>
      </c>
      <c r="E24" s="37" t="n">
        <f aca="false">Credit!E31/FX_EUR</f>
        <v>0</v>
      </c>
      <c r="F24" s="37" t="n">
        <f aca="false">Credit!F31/FX_EUR</f>
        <v>0</v>
      </c>
      <c r="G24" s="37" t="n">
        <f aca="false">Credit!G31/FX_EUR</f>
        <v>0</v>
      </c>
      <c r="H24" s="37" t="n">
        <f aca="false">Credit!H31/FX_EUR</f>
        <v>0</v>
      </c>
      <c r="I24" s="37" t="n">
        <f aca="false">Credit!I31/FX_EUR</f>
        <v>0</v>
      </c>
      <c r="J24" s="37" t="n">
        <f aca="false">Credit!J31/FX_EUR</f>
        <v>0</v>
      </c>
      <c r="K24" s="37" t="n">
        <f aca="false">Credit!K31/FX_EUR</f>
        <v>0</v>
      </c>
      <c r="L24" s="37" t="n">
        <f aca="false">Credit!L31/FX_EUR</f>
        <v>0</v>
      </c>
      <c r="M24" s="37" t="n">
        <f aca="false">Credit!M31/FX_EUR</f>
        <v>0</v>
      </c>
      <c r="N24" s="37" t="n">
        <f aca="false">Credit!N31/FX_EUR</f>
        <v>0</v>
      </c>
      <c r="O24" s="37" t="n">
        <f aca="false">Credit!O31/FX_EUR</f>
        <v>0</v>
      </c>
      <c r="P24" s="37" t="n">
        <f aca="false">Credit!P31/FX_EUR</f>
        <v>0</v>
      </c>
      <c r="Q24" s="37" t="n">
        <f aca="false">Credit!Q31/FX_EUR</f>
        <v>0</v>
      </c>
      <c r="R24" s="37" t="n">
        <f aca="false">Credit!R31/FX_EUR</f>
        <v>0</v>
      </c>
      <c r="S24" s="37" t="n">
        <f aca="false">Credit!S31/FX_EUR</f>
        <v>0</v>
      </c>
      <c r="T24" s="37" t="n">
        <f aca="false">Credit!T31/FX_EUR</f>
        <v>0</v>
      </c>
      <c r="U24" s="37" t="n">
        <f aca="false">Credit!U31/FX_EUR</f>
        <v>0</v>
      </c>
      <c r="V24" s="37" t="n">
        <f aca="false">Credit!V31/FX_EUR</f>
        <v>0</v>
      </c>
      <c r="W24" s="37" t="n">
        <f aca="false">Credit!W31/FX_EUR</f>
        <v>0</v>
      </c>
      <c r="X24" s="37" t="n">
        <f aca="false">Credit!X31/FX_EUR</f>
        <v>0</v>
      </c>
      <c r="Y24" s="37" t="n">
        <f aca="false">Credit!Y31/FX_EUR</f>
        <v>0</v>
      </c>
      <c r="Z24" s="37" t="n">
        <f aca="false">Credit!Z31/FX_EUR</f>
        <v>0</v>
      </c>
      <c r="AA24" s="37" t="n">
        <f aca="false">Credit!AA31/FX_EUR</f>
        <v>0</v>
      </c>
      <c r="AB24" s="37" t="n">
        <f aca="false">Credit!AB31/FX_EUR</f>
        <v>0</v>
      </c>
      <c r="AC24" s="37" t="n">
        <f aca="false">Credit!AC31/FX_EUR</f>
        <v>0</v>
      </c>
      <c r="AD24" s="37" t="n">
        <f aca="false">Credit!AD31/FX_EUR</f>
        <v>0</v>
      </c>
      <c r="AE24" s="37" t="n">
        <f aca="false">Credit!AE31/FX_EUR</f>
        <v>27330.4983385258</v>
      </c>
      <c r="AF24" s="37" t="n">
        <f aca="false">Credit!AF31/FX_EUR</f>
        <v>86530.4541183849</v>
      </c>
      <c r="AG24" s="37" t="n">
        <f aca="false">Credit!AG31/FX_EUR</f>
        <v>154808.007828818</v>
      </c>
      <c r="AH24" s="37" t="n">
        <f aca="false">Credit!AH31/FX_EUR</f>
        <v>232171.525894738</v>
      </c>
      <c r="AI24" s="37" t="n">
        <f aca="false">Credit!AI31/FX_EUR</f>
        <v>318647.863494433</v>
      </c>
      <c r="AJ24" s="37" t="n">
        <f aca="false">Credit!AJ31/FX_EUR</f>
        <v>415045.59791627</v>
      </c>
      <c r="AK24" s="37" t="n">
        <f aca="false">Credit!AK31/FX_EUR</f>
        <v>521671.015068359</v>
      </c>
      <c r="AL24" s="37" t="n">
        <f aca="false">Credit!AL31/FX_EUR</f>
        <v>638083.86328747</v>
      </c>
      <c r="AM24" s="37" t="n">
        <f aca="false">Credit!AM31/FX_EUR</f>
        <v>765527.189723872</v>
      </c>
      <c r="AN24" s="37" t="n">
        <f aca="false">Credit!AN31/FX_EUR</f>
        <v>905501.728313555</v>
      </c>
      <c r="AO24" s="37" t="n">
        <f aca="false">Credit!AO31/FX_EUR</f>
        <v>1059890.40354743</v>
      </c>
      <c r="AP24" s="37" t="n">
        <f aca="false">Credit!AP31/FX_EUR</f>
        <v>1229843.05072235</v>
      </c>
      <c r="AQ24" s="37" t="n">
        <f aca="false">Credit!AQ31/FX_EUR</f>
        <v>1355688.3825134</v>
      </c>
      <c r="AR24" s="37" t="n">
        <f aca="false">Credit!AR31/FX_EUR</f>
        <v>1431623.480551</v>
      </c>
      <c r="AS24" s="37" t="n">
        <f aca="false">Credit!AS31/FX_EUR</f>
        <v>1509358.06993268</v>
      </c>
      <c r="AT24" s="37" t="n">
        <f aca="false">Credit!AT31/FX_EUR</f>
        <v>1589594.23745712</v>
      </c>
      <c r="AU24" s="37" t="n">
        <f aca="false">Credit!AU31/FX_EUR</f>
        <v>1671836.45944223</v>
      </c>
      <c r="AV24" s="37" t="n">
        <f aca="false">Credit!AV31/FX_EUR</f>
        <v>1753180.83259573</v>
      </c>
      <c r="AW24" s="37" t="n">
        <f aca="false">Credit!AW31/FX_EUR</f>
        <v>1835193.88004522</v>
      </c>
      <c r="AX24" s="37" t="n">
        <f aca="false">Credit!AX31/FX_EUR</f>
        <v>1917893.30651937</v>
      </c>
      <c r="AY24" s="37" t="n">
        <f aca="false">Credit!AY31/FX_EUR</f>
        <v>2002670.21065615</v>
      </c>
      <c r="AZ24" s="37" t="n">
        <f aca="false">Credit!AZ31/FX_EUR</f>
        <v>2089522.44097715</v>
      </c>
      <c r="BA24" s="37" t="n">
        <f aca="false">Credit!BA31/FX_EUR</f>
        <v>2179760.82024021</v>
      </c>
      <c r="BB24" s="37" t="n">
        <f aca="false">Credit!BB31/FX_EUR</f>
        <v>2273365.46899239</v>
      </c>
      <c r="BC24" s="37" t="n">
        <f aca="false">Credit!BC31/FX_EUR</f>
        <v>2367635.86498416</v>
      </c>
      <c r="BD24" s="37" t="n">
        <f aca="false">Credit!BD31/FX_EUR</f>
        <v>2463973.44409291</v>
      </c>
      <c r="BE24" s="37" t="n">
        <f aca="false">Credit!BE31/FX_EUR</f>
        <v>2562386.80997676</v>
      </c>
      <c r="BF24" s="37" t="n">
        <f aca="false">Credit!BF31/FX_EUR</f>
        <v>2661514.88451869</v>
      </c>
      <c r="BG24" s="37" t="n">
        <f aca="false">Credit!BG31/FX_EUR</f>
        <v>2762765.77958783</v>
      </c>
      <c r="BH24" s="37" t="n">
        <f aca="false">Credit!BH31/FX_EUR</f>
        <v>2866155.11167198</v>
      </c>
      <c r="BI24" s="37" t="n">
        <f aca="false">Credit!BI31/FX_EUR</f>
        <v>2970329.1736842</v>
      </c>
      <c r="BJ24" s="37" t="n">
        <f aca="false">Credit!BJ31/FX_EUR</f>
        <v>3075331.78819165</v>
      </c>
      <c r="BK24" s="37" t="n">
        <f aca="false">Credit!BK31/FX_EUR</f>
        <v>3182320.06363899</v>
      </c>
      <c r="BL24" s="37" t="n">
        <f aca="false">Credit!BL31/FX_EUR</f>
        <v>3292284.82478875</v>
      </c>
    </row>
    <row r="25" customFormat="false" ht="15" hidden="false" customHeight="false" outlineLevel="0" collapsed="false">
      <c r="A25" s="12" t="s">
        <v>595</v>
      </c>
      <c r="B25" s="14" t="s">
        <v>73</v>
      </c>
      <c r="E25" s="37" t="n">
        <f aca="false">Credit!E32/FX_EUR</f>
        <v>0</v>
      </c>
      <c r="F25" s="37" t="n">
        <f aca="false">Credit!F32/FX_EUR</f>
        <v>0</v>
      </c>
      <c r="G25" s="37" t="n">
        <f aca="false">Credit!G32/FX_EUR</f>
        <v>0</v>
      </c>
      <c r="H25" s="37" t="n">
        <f aca="false">Credit!H32/FX_EUR</f>
        <v>0</v>
      </c>
      <c r="I25" s="37" t="n">
        <f aca="false">Credit!I32/FX_EUR</f>
        <v>0</v>
      </c>
      <c r="J25" s="37" t="n">
        <f aca="false">Credit!J32/FX_EUR</f>
        <v>0</v>
      </c>
      <c r="K25" s="37" t="n">
        <f aca="false">Credit!K32/FX_EUR</f>
        <v>0</v>
      </c>
      <c r="L25" s="37" t="n">
        <f aca="false">Credit!L32/FX_EUR</f>
        <v>0</v>
      </c>
      <c r="M25" s="37" t="n">
        <f aca="false">Credit!M32/FX_EUR</f>
        <v>0</v>
      </c>
      <c r="N25" s="37" t="n">
        <f aca="false">Credit!N32/FX_EUR</f>
        <v>0</v>
      </c>
      <c r="O25" s="37" t="n">
        <f aca="false">Credit!O32/FX_EUR</f>
        <v>0</v>
      </c>
      <c r="P25" s="37" t="n">
        <f aca="false">Credit!P32/FX_EUR</f>
        <v>0</v>
      </c>
      <c r="Q25" s="37" t="n">
        <f aca="false">Credit!Q32/FX_EUR</f>
        <v>0</v>
      </c>
      <c r="R25" s="37" t="n">
        <f aca="false">Credit!R32/FX_EUR</f>
        <v>0</v>
      </c>
      <c r="S25" s="37" t="n">
        <f aca="false">Credit!S32/FX_EUR</f>
        <v>0</v>
      </c>
      <c r="T25" s="37" t="n">
        <f aca="false">Credit!T32/FX_EUR</f>
        <v>0</v>
      </c>
      <c r="U25" s="37" t="n">
        <f aca="false">Credit!U32/FX_EUR</f>
        <v>0</v>
      </c>
      <c r="V25" s="37" t="n">
        <f aca="false">Credit!V32/FX_EUR</f>
        <v>0</v>
      </c>
      <c r="W25" s="37" t="n">
        <f aca="false">Credit!W32/FX_EUR</f>
        <v>0</v>
      </c>
      <c r="X25" s="37" t="n">
        <f aca="false">Credit!X32/FX_EUR</f>
        <v>0</v>
      </c>
      <c r="Y25" s="37" t="n">
        <f aca="false">Credit!Y32/FX_EUR</f>
        <v>0</v>
      </c>
      <c r="Z25" s="37" t="n">
        <f aca="false">Credit!Z32/FX_EUR</f>
        <v>0</v>
      </c>
      <c r="AA25" s="37" t="n">
        <f aca="false">Credit!AA32/FX_EUR</f>
        <v>0</v>
      </c>
      <c r="AB25" s="37" t="n">
        <f aca="false">Credit!AB32/FX_EUR</f>
        <v>0</v>
      </c>
      <c r="AC25" s="37" t="n">
        <f aca="false">Credit!AC32/FX_EUR</f>
        <v>0</v>
      </c>
      <c r="AD25" s="37" t="n">
        <f aca="false">Credit!AD32/FX_EUR</f>
        <v>0</v>
      </c>
      <c r="AE25" s="37" t="n">
        <f aca="false">Credit!AE32/FX_EUR</f>
        <v>0</v>
      </c>
      <c r="AF25" s="37" t="n">
        <f aca="false">Credit!AF32/FX_EUR</f>
        <v>0</v>
      </c>
      <c r="AG25" s="37" t="n">
        <f aca="false">Credit!AG32/FX_EUR</f>
        <v>0</v>
      </c>
      <c r="AH25" s="37" t="n">
        <f aca="false">Credit!AH32/FX_EUR</f>
        <v>4028.91169001514</v>
      </c>
      <c r="AI25" s="37" t="n">
        <f aca="false">Credit!AI32/FX_EUR</f>
        <v>12638.1749847119</v>
      </c>
      <c r="AJ25" s="37" t="n">
        <f aca="false">Credit!AJ32/FX_EUR</f>
        <v>22399.2333358977</v>
      </c>
      <c r="AK25" s="37" t="n">
        <f aca="false">Credit!AK32/FX_EUR</f>
        <v>33353.2430402598</v>
      </c>
      <c r="AL25" s="37" t="n">
        <f aca="false">Credit!AL32/FX_EUR</f>
        <v>45500.3300419105</v>
      </c>
      <c r="AM25" s="37" t="n">
        <f aca="false">Credit!AM32/FX_EUR</f>
        <v>58943.2905656353</v>
      </c>
      <c r="AN25" s="37" t="n">
        <f aca="false">Credit!AN32/FX_EUR</f>
        <v>73819.341489168</v>
      </c>
      <c r="AO25" s="37" t="n">
        <f aca="false">Credit!AO32/FX_EUR</f>
        <v>90316.5857084548</v>
      </c>
      <c r="AP25" s="37" t="n">
        <f aca="false">Credit!AP32/FX_EUR</f>
        <v>108569.905493911</v>
      </c>
      <c r="AQ25" s="37" t="n">
        <f aca="false">Credit!AQ32/FX_EUR</f>
        <v>128480.353095766</v>
      </c>
      <c r="AR25" s="37" t="n">
        <f aca="false">Credit!AR32/FX_EUR</f>
        <v>150132.018073295</v>
      </c>
      <c r="AS25" s="37" t="n">
        <f aca="false">Credit!AS32/FX_EUR</f>
        <v>173558.110259212</v>
      </c>
      <c r="AT25" s="37" t="n">
        <f aca="false">Credit!AT32/FX_EUR</f>
        <v>190761.559413848</v>
      </c>
      <c r="AU25" s="37" t="n">
        <f aca="false">Credit!AU32/FX_EUR</f>
        <v>200894.53324302</v>
      </c>
      <c r="AV25" s="37" t="n">
        <f aca="false">Credit!AV32/FX_EUR</f>
        <v>210969.168585707</v>
      </c>
      <c r="AW25" s="37" t="n">
        <f aca="false">Credit!AW32/FX_EUR</f>
        <v>221160.656792725</v>
      </c>
      <c r="AX25" s="37" t="n">
        <f aca="false">Credit!AX32/FX_EUR</f>
        <v>231470.95788678</v>
      </c>
      <c r="AY25" s="37" t="n">
        <f aca="false">Credit!AY32/FX_EUR</f>
        <v>242056.550717538</v>
      </c>
      <c r="AZ25" s="37" t="n">
        <f aca="false">Credit!AZ32/FX_EUR</f>
        <v>252918.060907674</v>
      </c>
      <c r="BA25" s="37" t="n">
        <f aca="false">Credit!BA32/FX_EUR</f>
        <v>264203.812933614</v>
      </c>
      <c r="BB25" s="37" t="n">
        <f aca="false">Credit!BB32/FX_EUR</f>
        <v>275913.253672515</v>
      </c>
      <c r="BC25" s="37" t="n">
        <f aca="false">Credit!BC32/FX_EUR</f>
        <v>287744.226496413</v>
      </c>
      <c r="BD25" s="37" t="n">
        <f aca="false">Credit!BD32/FX_EUR</f>
        <v>299854.30533117</v>
      </c>
      <c r="BE25" s="37" t="n">
        <f aca="false">Credit!BE32/FX_EUR</f>
        <v>312245.265276014</v>
      </c>
      <c r="BF25" s="37" t="n">
        <f aca="false">Credit!BF32/FX_EUR</f>
        <v>324764.789051887</v>
      </c>
      <c r="BG25" s="37" t="n">
        <f aca="false">Credit!BG32/FX_EUR</f>
        <v>337571.216942596</v>
      </c>
      <c r="BH25" s="37" t="n">
        <f aca="false">Credit!BH32/FX_EUR</f>
        <v>350667.132386688</v>
      </c>
      <c r="BI25" s="37" t="n">
        <f aca="false">Credit!BI32/FX_EUR</f>
        <v>363901.070998096</v>
      </c>
      <c r="BJ25" s="37" t="n">
        <f aca="false">Credit!BJ32/FX_EUR</f>
        <v>377277.918603167</v>
      </c>
      <c r="BK25" s="37" t="n">
        <f aca="false">Credit!BK32/FX_EUR</f>
        <v>390927.834528503</v>
      </c>
      <c r="BL25" s="37" t="n">
        <f aca="false">Credit!BL32/FX_EUR</f>
        <v>404963.009416162</v>
      </c>
    </row>
    <row r="26" customFormat="false" ht="15" hidden="false" customHeight="false" outlineLevel="0" collapsed="false">
      <c r="A26" s="8" t="s">
        <v>801</v>
      </c>
      <c r="B26" s="14" t="s">
        <v>73</v>
      </c>
      <c r="E26" s="16" t="n">
        <f aca="false">Credit!E33/FX_EUR</f>
        <v>0</v>
      </c>
      <c r="F26" s="16" t="n">
        <f aca="false">Credit!F33/FX_EUR</f>
        <v>0</v>
      </c>
      <c r="G26" s="16" t="n">
        <f aca="false">Credit!G33/FX_EUR</f>
        <v>0</v>
      </c>
      <c r="H26" s="16" t="n">
        <f aca="false">Credit!H33/FX_EUR</f>
        <v>0</v>
      </c>
      <c r="I26" s="16" t="n">
        <f aca="false">Credit!I33/FX_EUR</f>
        <v>0</v>
      </c>
      <c r="J26" s="16" t="n">
        <f aca="false">Credit!J33/FX_EUR</f>
        <v>0</v>
      </c>
      <c r="K26" s="16" t="n">
        <f aca="false">Credit!K33/FX_EUR</f>
        <v>0</v>
      </c>
      <c r="L26" s="16" t="n">
        <f aca="false">Credit!L33/FX_EUR</f>
        <v>0</v>
      </c>
      <c r="M26" s="16" t="n">
        <f aca="false">Credit!M33/FX_EUR</f>
        <v>0</v>
      </c>
      <c r="N26" s="16" t="n">
        <f aca="false">Credit!N33/FX_EUR</f>
        <v>0</v>
      </c>
      <c r="O26" s="16" t="n">
        <f aca="false">Credit!O33/FX_EUR</f>
        <v>0</v>
      </c>
      <c r="P26" s="16" t="n">
        <f aca="false">Credit!P33/FX_EUR</f>
        <v>0</v>
      </c>
      <c r="Q26" s="16" t="n">
        <f aca="false">Credit!Q33/FX_EUR</f>
        <v>0</v>
      </c>
      <c r="R26" s="16" t="n">
        <f aca="false">Credit!R33/FX_EUR</f>
        <v>0</v>
      </c>
      <c r="S26" s="16" t="n">
        <f aca="false">Credit!S33/FX_EUR</f>
        <v>0</v>
      </c>
      <c r="T26" s="16" t="n">
        <f aca="false">Credit!T33/FX_EUR</f>
        <v>0</v>
      </c>
      <c r="U26" s="16" t="n">
        <f aca="false">Credit!U33/FX_EUR</f>
        <v>0</v>
      </c>
      <c r="V26" s="16" t="n">
        <f aca="false">Credit!V33/FX_EUR</f>
        <v>27723.3175945949</v>
      </c>
      <c r="W26" s="16" t="n">
        <f aca="false">Credit!W33/FX_EUR</f>
        <v>90914.8745678469</v>
      </c>
      <c r="X26" s="16" t="n">
        <f aca="false">Credit!X33/FX_EUR</f>
        <v>169566.426580824</v>
      </c>
      <c r="Y26" s="16" t="n">
        <f aca="false">Credit!Y33/FX_EUR</f>
        <v>273260.032332064</v>
      </c>
      <c r="Z26" s="16" t="n">
        <f aca="false">Credit!Z33/FX_EUR</f>
        <v>403865.182056588</v>
      </c>
      <c r="AA26" s="16" t="n">
        <f aca="false">Credit!AA33/FX_EUR</f>
        <v>553653.558108249</v>
      </c>
      <c r="AB26" s="16" t="n">
        <f aca="false">Credit!AB33/FX_EUR</f>
        <v>725156.756996403</v>
      </c>
      <c r="AC26" s="16" t="n">
        <f aca="false">Credit!AC33/FX_EUR</f>
        <v>929258.926807782</v>
      </c>
      <c r="AD26" s="16" t="n">
        <f aca="false">Credit!AD33/FX_EUR</f>
        <v>1166845.96013486</v>
      </c>
      <c r="AE26" s="16" t="n">
        <f aca="false">Credit!AE33/FX_EUR</f>
        <v>1457786.05220155</v>
      </c>
      <c r="AF26" s="16" t="n">
        <f aca="false">Credit!AF33/FX_EUR</f>
        <v>1810715.05443934</v>
      </c>
      <c r="AG26" s="16" t="n">
        <f aca="false">Credit!AG33/FX_EUR</f>
        <v>2203660.70960201</v>
      </c>
      <c r="AH26" s="16" t="n">
        <f aca="false">Credit!AH33/FX_EUR</f>
        <v>2553840.58488782</v>
      </c>
      <c r="AI26" s="16" t="n">
        <f aca="false">Credit!AI33/FX_EUR</f>
        <v>2850880.3874846</v>
      </c>
      <c r="AJ26" s="16" t="n">
        <f aca="false">Credit!AJ33/FX_EUR</f>
        <v>3169515.80715493</v>
      </c>
      <c r="AK26" s="16" t="n">
        <f aca="false">Credit!AK33/FX_EUR</f>
        <v>3485627.47552782</v>
      </c>
      <c r="AL26" s="16" t="n">
        <f aca="false">Credit!AL33/FX_EUR</f>
        <v>3791510.3487429</v>
      </c>
      <c r="AM26" s="16" t="n">
        <f aca="false">Credit!AM33/FX_EUR</f>
        <v>4115212.86388067</v>
      </c>
      <c r="AN26" s="16" t="n">
        <f aca="false">Credit!AN33/FX_EUR</f>
        <v>4462693.00294677</v>
      </c>
      <c r="AO26" s="16" t="n">
        <f aca="false">Credit!AO33/FX_EUR</f>
        <v>4839571.04633003</v>
      </c>
      <c r="AP26" s="16" t="n">
        <f aca="false">Credit!AP33/FX_EUR</f>
        <v>5247629.94417731</v>
      </c>
      <c r="AQ26" s="16" t="n">
        <f aca="false">Credit!AQ33/FX_EUR</f>
        <v>5619018.30227504</v>
      </c>
      <c r="AR26" s="16" t="n">
        <f aca="false">Credit!AR33/FX_EUR</f>
        <v>5948207.11430484</v>
      </c>
      <c r="AS26" s="16" t="n">
        <f aca="false">Credit!AS33/FX_EUR</f>
        <v>6286458.29348657</v>
      </c>
      <c r="AT26" s="16" t="n">
        <f aca="false">Credit!AT33/FX_EUR</f>
        <v>6628618.22111519</v>
      </c>
      <c r="AU26" s="16" t="n">
        <f aca="false">Credit!AU33/FX_EUR</f>
        <v>6971832.19398405</v>
      </c>
      <c r="AV26" s="16" t="n">
        <f aca="false">Credit!AV33/FX_EUR</f>
        <v>7311351.54059841</v>
      </c>
      <c r="AW26" s="16" t="n">
        <f aca="false">Credit!AW33/FX_EUR</f>
        <v>7653695.87097585</v>
      </c>
      <c r="AX26" s="16" t="n">
        <f aca="false">Credit!AX33/FX_EUR</f>
        <v>7998938.84929022</v>
      </c>
      <c r="AY26" s="16" t="n">
        <f aca="false">Credit!AY33/FX_EUR</f>
        <v>8352870.90387494</v>
      </c>
      <c r="AZ26" s="16" t="n">
        <f aca="false">Credit!AZ33/FX_EUR</f>
        <v>8715483.94686512</v>
      </c>
      <c r="BA26" s="16" t="n">
        <f aca="false">Credit!BA33/FX_EUR</f>
        <v>9092235.13490648</v>
      </c>
      <c r="BB26" s="16" t="n">
        <f aca="false">Credit!BB33/FX_EUR</f>
        <v>9483043.40309168</v>
      </c>
      <c r="BC26" s="16" t="n">
        <f aca="false">Credit!BC33/FX_EUR</f>
        <v>9876669.47968227</v>
      </c>
      <c r="BD26" s="16" t="n">
        <f aca="false">Credit!BD33/FX_EUR</f>
        <v>10278946.7539075</v>
      </c>
      <c r="BE26" s="16" t="n">
        <f aca="false">Credit!BE33/FX_EUR</f>
        <v>10689911.8456819</v>
      </c>
      <c r="BF26" s="16" t="n">
        <f aca="false">Credit!BF33/FX_EUR</f>
        <v>11103900.0713526</v>
      </c>
      <c r="BG26" s="16" t="n">
        <f aca="false">Credit!BG33/FX_EUR</f>
        <v>11526772.6242733</v>
      </c>
      <c r="BH26" s="16" t="n">
        <f aca="false">Credit!BH33/FX_EUR</f>
        <v>11958595.3346582</v>
      </c>
      <c r="BI26" s="16" t="n">
        <f aca="false">Credit!BI33/FX_EUR</f>
        <v>12393734.2244191</v>
      </c>
      <c r="BJ26" s="16" t="n">
        <f aca="false">Credit!BJ33/FX_EUR</f>
        <v>12832371.6607794</v>
      </c>
      <c r="BK26" s="16" t="n">
        <f aca="false">Credit!BK33/FX_EUR</f>
        <v>13279324.0922664</v>
      </c>
      <c r="BL26" s="16" t="n">
        <f aca="false">Credit!BL33/FX_EUR</f>
        <v>13738716.5498106</v>
      </c>
    </row>
    <row r="28" customFormat="false" ht="15" hidden="false" customHeight="false" outlineLevel="0" collapsed="false">
      <c r="A28" s="10" t="s">
        <v>802</v>
      </c>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c r="BL28" s="11"/>
    </row>
    <row r="29" customFormat="false" ht="15" hidden="false" customHeight="false" outlineLevel="0" collapsed="false">
      <c r="A29" s="12" t="s">
        <v>803</v>
      </c>
      <c r="B29" s="14" t="s">
        <v>73</v>
      </c>
      <c r="D29" s="55" t="n">
        <f aca="false">Credit!D36/FX_EUR</f>
        <v>4784525.8434352</v>
      </c>
      <c r="E29" s="37" t="n">
        <f aca="false">Credit!E36/FX_EUR</f>
        <v>0</v>
      </c>
      <c r="F29" s="37" t="n">
        <f aca="false">Credit!F36/FX_EUR</f>
        <v>0</v>
      </c>
      <c r="G29" s="37" t="n">
        <f aca="false">Credit!G36/FX_EUR</f>
        <v>0</v>
      </c>
      <c r="H29" s="37" t="n">
        <f aca="false">Credit!H36/FX_EUR</f>
        <v>0</v>
      </c>
      <c r="I29" s="37" t="n">
        <f aca="false">Credit!I36/FX_EUR</f>
        <v>0</v>
      </c>
      <c r="J29" s="37" t="n">
        <f aca="false">Credit!J36/FX_EUR</f>
        <v>0</v>
      </c>
      <c r="K29" s="37" t="n">
        <f aca="false">Credit!K36/FX_EUR</f>
        <v>0</v>
      </c>
      <c r="L29" s="37" t="n">
        <f aca="false">Credit!L36/FX_EUR</f>
        <v>0</v>
      </c>
      <c r="M29" s="37" t="n">
        <f aca="false">Credit!M36/FX_EUR</f>
        <v>0</v>
      </c>
      <c r="N29" s="37" t="n">
        <f aca="false">Credit!N36/FX_EUR</f>
        <v>0</v>
      </c>
      <c r="O29" s="37" t="n">
        <f aca="false">Credit!O36/FX_EUR</f>
        <v>0</v>
      </c>
      <c r="P29" s="37" t="n">
        <f aca="false">Credit!P36/FX_EUR</f>
        <v>0</v>
      </c>
      <c r="Q29" s="37" t="n">
        <f aca="false">Credit!Q36/FX_EUR</f>
        <v>0</v>
      </c>
      <c r="R29" s="37" t="n">
        <f aca="false">Credit!R36/FX_EUR</f>
        <v>0</v>
      </c>
      <c r="S29" s="37" t="n">
        <f aca="false">Credit!S36/FX_EUR</f>
        <v>0</v>
      </c>
      <c r="T29" s="37" t="n">
        <f aca="false">Credit!T36/FX_EUR</f>
        <v>0</v>
      </c>
      <c r="U29" s="37" t="n">
        <f aca="false">Credit!U36/FX_EUR</f>
        <v>0</v>
      </c>
      <c r="V29" s="37" t="n">
        <f aca="false">Credit!V36/FX_EUR</f>
        <v>531.363587229735</v>
      </c>
      <c r="W29" s="37" t="n">
        <f aca="false">Credit!W36/FX_EUR</f>
        <v>1742.53509588373</v>
      </c>
      <c r="X29" s="37" t="n">
        <f aca="false">Credit!X36/FX_EUR</f>
        <v>3250.02317613246</v>
      </c>
      <c r="Y29" s="37" t="n">
        <f aca="false">Credit!Y36/FX_EUR</f>
        <v>5237.48395303122</v>
      </c>
      <c r="Z29" s="37" t="n">
        <f aca="false">Credit!Z36/FX_EUR</f>
        <v>7740.74932275127</v>
      </c>
      <c r="AA29" s="37" t="n">
        <f aca="false">Credit!AA36/FX_EUR</f>
        <v>10611.6931970748</v>
      </c>
      <c r="AB29" s="37" t="n">
        <f aca="false">Credit!AB36/FX_EUR</f>
        <v>13898.8378424311</v>
      </c>
      <c r="AC29" s="37" t="n">
        <f aca="false">Credit!AC36/FX_EUR</f>
        <v>17810.7960971492</v>
      </c>
      <c r="AD29" s="37" t="n">
        <f aca="false">Credit!AD36/FX_EUR</f>
        <v>22364.5475692515</v>
      </c>
      <c r="AE29" s="37" t="n">
        <f aca="false">Credit!AE36/FX_EUR</f>
        <v>27918.1239185809</v>
      </c>
      <c r="AF29" s="37" t="n">
        <f aca="false">Credit!AF36/FX_EUR</f>
        <v>34633.2631649887</v>
      </c>
      <c r="AG29" s="37" t="n">
        <f aca="false">Credit!AG36/FX_EUR</f>
        <v>42107.8235941812</v>
      </c>
      <c r="AH29" s="37" t="n">
        <f aca="false">Credit!AH36/FX_EUR</f>
        <v>48755.134938771</v>
      </c>
      <c r="AI29" s="37" t="n">
        <f aca="false">Credit!AI36/FX_EUR</f>
        <v>54376.3342072095</v>
      </c>
      <c r="AJ29" s="37" t="n">
        <f aca="false">Credit!AJ36/FX_EUR</f>
        <v>60403.1816388727</v>
      </c>
      <c r="AK29" s="37" t="n">
        <f aca="false">Credit!AK36/FX_EUR</f>
        <v>66373.1341017262</v>
      </c>
      <c r="AL29" s="37" t="n">
        <f aca="false">Credit!AL36/FX_EUR</f>
        <v>72138.8784648326</v>
      </c>
      <c r="AM29" s="37" t="n">
        <f aca="false">Credit!AM36/FX_EUR</f>
        <v>78236.9738996096</v>
      </c>
      <c r="AN29" s="37" t="n">
        <f aca="false">Credit!AN36/FX_EUR</f>
        <v>84780.3644495519</v>
      </c>
      <c r="AO29" s="37" t="n">
        <f aca="false">Credit!AO36/FX_EUR</f>
        <v>91875.2030517027</v>
      </c>
      <c r="AP29" s="37" t="n">
        <f aca="false">Credit!AP36/FX_EUR</f>
        <v>99554.7047211298</v>
      </c>
      <c r="AQ29" s="37" t="n">
        <f aca="false">Credit!AQ36/FX_EUR</f>
        <v>106568.110474844</v>
      </c>
      <c r="AR29" s="37" t="n">
        <f aca="false">Credit!AR36/FX_EUR</f>
        <v>112814.28345705</v>
      </c>
      <c r="AS29" s="37" t="n">
        <f aca="false">Credit!AS36/FX_EUR</f>
        <v>119232.652233549</v>
      </c>
      <c r="AT29" s="37" t="n">
        <f aca="false">Credit!AT36/FX_EUR</f>
        <v>125723.85404016</v>
      </c>
      <c r="AU29" s="37" t="n">
        <f aca="false">Credit!AU36/FX_EUR</f>
        <v>132233.586668493</v>
      </c>
      <c r="AV29" s="37" t="n">
        <f aca="false">Credit!AV36/FX_EUR</f>
        <v>138673.253834306</v>
      </c>
      <c r="AW29" s="37" t="n">
        <f aca="false">Credit!AW36/FX_EUR</f>
        <v>145166.509293666</v>
      </c>
      <c r="AX29" s="37" t="n">
        <f aca="false">Credit!AX36/FX_EUR</f>
        <v>151714.750189296</v>
      </c>
      <c r="AY29" s="37" t="n">
        <f aca="false">Credit!AY36/FX_EUR</f>
        <v>158427.800482056</v>
      </c>
      <c r="AZ29" s="37" t="n">
        <f aca="false">Credit!AZ36/FX_EUR</f>
        <v>165305.506947434</v>
      </c>
      <c r="BA29" s="37" t="n">
        <f aca="false">Credit!BA36/FX_EUR</f>
        <v>172451.372735507</v>
      </c>
      <c r="BB29" s="37" t="n">
        <f aca="false">Credit!BB36/FX_EUR</f>
        <v>179863.86066843</v>
      </c>
      <c r="BC29" s="37" t="n">
        <f aca="false">Credit!BC36/FX_EUR</f>
        <v>187329.801806423</v>
      </c>
      <c r="BD29" s="37" t="n">
        <f aca="false">Credit!BD36/FX_EUR</f>
        <v>194959.834913149</v>
      </c>
      <c r="BE29" s="37" t="n">
        <f aca="false">Credit!BE36/FX_EUR</f>
        <v>202754.654700589</v>
      </c>
      <c r="BF29" s="37" t="n">
        <f aca="false">Credit!BF36/FX_EUR</f>
        <v>210606.822297159</v>
      </c>
      <c r="BG29" s="37" t="n">
        <f aca="false">Credit!BG36/FX_EUR</f>
        <v>218627.503815582</v>
      </c>
      <c r="BH29" s="37" t="n">
        <f aca="false">Credit!BH36/FX_EUR</f>
        <v>226817.947987889</v>
      </c>
      <c r="BI29" s="37" t="n">
        <f aca="false">Credit!BI36/FX_EUR</f>
        <v>235071.298323296</v>
      </c>
      <c r="BJ29" s="37" t="n">
        <f aca="false">Credit!BJ36/FX_EUR</f>
        <v>243391.013674778</v>
      </c>
      <c r="BK29" s="37" t="n">
        <f aca="false">Credit!BK36/FX_EUR</f>
        <v>251868.44504874</v>
      </c>
      <c r="BL29" s="37" t="n">
        <f aca="false">Credit!BL36/FX_EUR</f>
        <v>260581.829850713</v>
      </c>
    </row>
    <row r="30" customFormat="false" ht="15" hidden="false" customHeight="false" outlineLevel="0" collapsed="false">
      <c r="A30" s="12" t="s">
        <v>329</v>
      </c>
      <c r="B30" s="14" t="s">
        <v>73</v>
      </c>
      <c r="D30" s="55" t="n">
        <f aca="false">Credit!D37/FX_EUR</f>
        <v>-1890521.88543116</v>
      </c>
      <c r="E30" s="37" t="n">
        <f aca="false">Credit!E37/FX_EUR</f>
        <v>-0</v>
      </c>
      <c r="F30" s="37" t="n">
        <f aca="false">Credit!F37/FX_EUR</f>
        <v>-0</v>
      </c>
      <c r="G30" s="37" t="n">
        <f aca="false">Credit!G37/FX_EUR</f>
        <v>-0</v>
      </c>
      <c r="H30" s="37" t="n">
        <f aca="false">Credit!H37/FX_EUR</f>
        <v>-0</v>
      </c>
      <c r="I30" s="37" t="n">
        <f aca="false">Credit!I37/FX_EUR</f>
        <v>-0</v>
      </c>
      <c r="J30" s="37" t="n">
        <f aca="false">Credit!J37/FX_EUR</f>
        <v>-0</v>
      </c>
      <c r="K30" s="37" t="n">
        <f aca="false">Credit!K37/FX_EUR</f>
        <v>-0</v>
      </c>
      <c r="L30" s="37" t="n">
        <f aca="false">Credit!L37/FX_EUR</f>
        <v>-0</v>
      </c>
      <c r="M30" s="37" t="n">
        <f aca="false">Credit!M37/FX_EUR</f>
        <v>-0</v>
      </c>
      <c r="N30" s="37" t="n">
        <f aca="false">Credit!N37/FX_EUR</f>
        <v>-0</v>
      </c>
      <c r="O30" s="37" t="n">
        <f aca="false">Credit!O37/FX_EUR</f>
        <v>-0</v>
      </c>
      <c r="P30" s="37" t="n">
        <f aca="false">Credit!P37/FX_EUR</f>
        <v>-0</v>
      </c>
      <c r="Q30" s="37" t="n">
        <f aca="false">Credit!Q37/FX_EUR</f>
        <v>-0</v>
      </c>
      <c r="R30" s="37" t="n">
        <f aca="false">Credit!R37/FX_EUR</f>
        <v>-0</v>
      </c>
      <c r="S30" s="37" t="n">
        <f aca="false">Credit!S37/FX_EUR</f>
        <v>-0</v>
      </c>
      <c r="T30" s="37" t="n">
        <f aca="false">Credit!T37/FX_EUR</f>
        <v>-0</v>
      </c>
      <c r="U30" s="37" t="n">
        <f aca="false">Credit!U37/FX_EUR</f>
        <v>-0</v>
      </c>
      <c r="V30" s="37" t="n">
        <f aca="false">Credit!V37/FX_EUR</f>
        <v>-207.924881959461</v>
      </c>
      <c r="W30" s="37" t="n">
        <f aca="false">Credit!W37/FX_EUR</f>
        <v>-681.861559258852</v>
      </c>
      <c r="X30" s="37" t="n">
        <f aca="false">Credit!X37/FX_EUR</f>
        <v>-1271.74819935618</v>
      </c>
      <c r="Y30" s="37" t="n">
        <f aca="false">Credit!Y37/FX_EUR</f>
        <v>-2049.45024249048</v>
      </c>
      <c r="Z30" s="37" t="n">
        <f aca="false">Credit!Z37/FX_EUR</f>
        <v>-3028.98886542441</v>
      </c>
      <c r="AA30" s="37" t="n">
        <f aca="false">Credit!AA37/FX_EUR</f>
        <v>-4152.40168581187</v>
      </c>
      <c r="AB30" s="37" t="n">
        <f aca="false">Credit!AB37/FX_EUR</f>
        <v>-5438.67567747303</v>
      </c>
      <c r="AC30" s="37" t="n">
        <f aca="false">Credit!AC37/FX_EUR</f>
        <v>-6969.44195105837</v>
      </c>
      <c r="AD30" s="37" t="n">
        <f aca="false">Credit!AD37/FX_EUR</f>
        <v>-8751.34470101146</v>
      </c>
      <c r="AE30" s="37" t="n">
        <f aca="false">Credit!AE37/FX_EUR</f>
        <v>-10933.3953915116</v>
      </c>
      <c r="AF30" s="37" t="n">
        <f aca="false">Credit!AF37/FX_EUR</f>
        <v>-13580.362908295</v>
      </c>
      <c r="AG30" s="37" t="n">
        <f aca="false">Credit!AG37/FX_EUR</f>
        <v>-16527.4553220151</v>
      </c>
      <c r="AH30" s="37" t="n">
        <f aca="false">Credit!AH37/FX_EUR</f>
        <v>-19153.8043866587</v>
      </c>
      <c r="AI30" s="37" t="n">
        <f aca="false">Credit!AI37/FX_EUR</f>
        <v>-21381.6029061345</v>
      </c>
      <c r="AJ30" s="37" t="n">
        <f aca="false">Credit!AJ37/FX_EUR</f>
        <v>-23771.368553662</v>
      </c>
      <c r="AK30" s="37" t="n">
        <f aca="false">Credit!AK37/FX_EUR</f>
        <v>-26142.2060664586</v>
      </c>
      <c r="AL30" s="37" t="n">
        <f aca="false">Credit!AL37/FX_EUR</f>
        <v>-28436.3276155717</v>
      </c>
      <c r="AM30" s="37" t="n">
        <f aca="false">Credit!AM37/FX_EUR</f>
        <v>-30864.096479105</v>
      </c>
      <c r="AN30" s="37" t="n">
        <f aca="false">Credit!AN37/FX_EUR</f>
        <v>-33470.1975221008</v>
      </c>
      <c r="AO30" s="37" t="n">
        <f aca="false">Credit!AO37/FX_EUR</f>
        <v>-36296.7828474752</v>
      </c>
      <c r="AP30" s="37" t="n">
        <f aca="false">Credit!AP37/FX_EUR</f>
        <v>-39357.2245813298</v>
      </c>
      <c r="AQ30" s="37" t="n">
        <f aca="false">Credit!AQ37/FX_EUR</f>
        <v>-42142.6372670628</v>
      </c>
      <c r="AR30" s="37" t="n">
        <f aca="false">Credit!AR37/FX_EUR</f>
        <v>-44611.5533572863</v>
      </c>
      <c r="AS30" s="37" t="n">
        <f aca="false">Credit!AS37/FX_EUR</f>
        <v>-47148.4372011493</v>
      </c>
      <c r="AT30" s="37" t="n">
        <f aca="false">Credit!AT37/FX_EUR</f>
        <v>-49714.6366583639</v>
      </c>
      <c r="AU30" s="37" t="n">
        <f aca="false">Credit!AU37/FX_EUR</f>
        <v>-52288.7414548804</v>
      </c>
      <c r="AV30" s="37" t="n">
        <f aca="false">Credit!AV37/FX_EUR</f>
        <v>-54835.1365544881</v>
      </c>
      <c r="AW30" s="37" t="n">
        <f aca="false">Credit!AW37/FX_EUR</f>
        <v>-57402.7190323189</v>
      </c>
      <c r="AX30" s="37" t="n">
        <f aca="false">Credit!AX37/FX_EUR</f>
        <v>-59992.0413696767</v>
      </c>
      <c r="AY30" s="37" t="n">
        <f aca="false">Credit!AY37/FX_EUR</f>
        <v>-62646.531779062</v>
      </c>
      <c r="AZ30" s="37" t="n">
        <f aca="false">Credit!AZ37/FX_EUR</f>
        <v>-65366.1296014884</v>
      </c>
      <c r="BA30" s="37" t="n">
        <f aca="false">Credit!BA37/FX_EUR</f>
        <v>-68191.7635117986</v>
      </c>
      <c r="BB30" s="37" t="n">
        <f aca="false">Credit!BB37/FX_EUR</f>
        <v>-71122.8255231876</v>
      </c>
      <c r="BC30" s="37" t="n">
        <f aca="false">Credit!BC37/FX_EUR</f>
        <v>-74075.021097617</v>
      </c>
      <c r="BD30" s="37" t="n">
        <f aca="false">Credit!BD37/FX_EUR</f>
        <v>-77092.1006543059</v>
      </c>
      <c r="BE30" s="37" t="n">
        <f aca="false">Credit!BE37/FX_EUR</f>
        <v>-80174.3388426142</v>
      </c>
      <c r="BF30" s="37" t="n">
        <f aca="false">Credit!BF37/FX_EUR</f>
        <v>-83279.2505351443</v>
      </c>
      <c r="BG30" s="37" t="n">
        <f aca="false">Credit!BG37/FX_EUR</f>
        <v>-86450.7946820498</v>
      </c>
      <c r="BH30" s="37" t="n">
        <f aca="false">Credit!BH37/FX_EUR</f>
        <v>-89689.4650099366</v>
      </c>
      <c r="BI30" s="37" t="n">
        <f aca="false">Credit!BI37/FX_EUR</f>
        <v>-92953.0066831434</v>
      </c>
      <c r="BJ30" s="37" t="n">
        <f aca="false">Credit!BJ37/FX_EUR</f>
        <v>-96242.7874558452</v>
      </c>
      <c r="BK30" s="37" t="n">
        <f aca="false">Credit!BK37/FX_EUR</f>
        <v>-99594.930691998</v>
      </c>
      <c r="BL30" s="37" t="n">
        <f aca="false">Credit!BL37/FX_EUR</f>
        <v>-103040.374123579</v>
      </c>
    </row>
    <row r="31" customFormat="false" ht="15" hidden="false" customHeight="false" outlineLevel="0" collapsed="false">
      <c r="A31" s="12" t="s">
        <v>582</v>
      </c>
      <c r="B31" s="14" t="s">
        <v>73</v>
      </c>
      <c r="D31" s="55" t="n">
        <f aca="false">Credit!D38/FX_EUR</f>
        <v>-473011.033939128</v>
      </c>
      <c r="E31" s="37" t="n">
        <f aca="false">Credit!E38/FX_EUR</f>
        <v>-0</v>
      </c>
      <c r="F31" s="37" t="n">
        <f aca="false">Credit!F38/FX_EUR</f>
        <v>-0</v>
      </c>
      <c r="G31" s="37" t="n">
        <f aca="false">Credit!G38/FX_EUR</f>
        <v>-0</v>
      </c>
      <c r="H31" s="37" t="n">
        <f aca="false">Credit!H38/FX_EUR</f>
        <v>-0</v>
      </c>
      <c r="I31" s="37" t="n">
        <f aca="false">Credit!I38/FX_EUR</f>
        <v>-0</v>
      </c>
      <c r="J31" s="37" t="n">
        <f aca="false">Credit!J38/FX_EUR</f>
        <v>-0</v>
      </c>
      <c r="K31" s="37" t="n">
        <f aca="false">Credit!K38/FX_EUR</f>
        <v>-0</v>
      </c>
      <c r="L31" s="37" t="n">
        <f aca="false">Credit!L38/FX_EUR</f>
        <v>-0</v>
      </c>
      <c r="M31" s="37" t="n">
        <f aca="false">Credit!M38/FX_EUR</f>
        <v>-0</v>
      </c>
      <c r="N31" s="37" t="n">
        <f aca="false">Credit!N38/FX_EUR</f>
        <v>-0</v>
      </c>
      <c r="O31" s="37" t="n">
        <f aca="false">Credit!O38/FX_EUR</f>
        <v>-0</v>
      </c>
      <c r="P31" s="37" t="n">
        <f aca="false">Credit!P38/FX_EUR</f>
        <v>-0</v>
      </c>
      <c r="Q31" s="37" t="n">
        <f aca="false">Credit!Q38/FX_EUR</f>
        <v>-0</v>
      </c>
      <c r="R31" s="37" t="n">
        <f aca="false">Credit!R38/FX_EUR</f>
        <v>-0</v>
      </c>
      <c r="S31" s="37" t="n">
        <f aca="false">Credit!S38/FX_EUR</f>
        <v>-0</v>
      </c>
      <c r="T31" s="37" t="n">
        <f aca="false">Credit!T38/FX_EUR</f>
        <v>-0</v>
      </c>
      <c r="U31" s="37" t="n">
        <f aca="false">Credit!U38/FX_EUR</f>
        <v>-0</v>
      </c>
      <c r="V31" s="37" t="n">
        <f aca="false">Credit!V38/FX_EUR</f>
        <v>-36.7758294622177</v>
      </c>
      <c r="W31" s="37" t="n">
        <f aca="false">Credit!W38/FX_EUR</f>
        <v>-120.601364222654</v>
      </c>
      <c r="X31" s="37" t="n">
        <f aca="false">Credit!X38/FX_EUR</f>
        <v>-224.93505566844</v>
      </c>
      <c r="Y31" s="37" t="n">
        <f aca="false">Credit!Y38/FX_EUR</f>
        <v>-381.809274837559</v>
      </c>
      <c r="Z31" s="37" t="n">
        <f aca="false">Credit!Z38/FX_EUR</f>
        <v>-597.491232849626</v>
      </c>
      <c r="AA31" s="37" t="n">
        <f aca="false">Credit!AA38/FX_EUR</f>
        <v>-846.196038846852</v>
      </c>
      <c r="AB31" s="37" t="n">
        <f aca="false">Credit!AB38/FX_EUR</f>
        <v>-1131.90373948037</v>
      </c>
      <c r="AC31" s="37" t="n">
        <f aca="false">Credit!AC38/FX_EUR</f>
        <v>-1472.05340562223</v>
      </c>
      <c r="AD31" s="37" t="n">
        <f aca="false">Credit!AD38/FX_EUR</f>
        <v>-1868.55609259212</v>
      </c>
      <c r="AE31" s="37" t="n">
        <f aca="false">Credit!AE38/FX_EUR</f>
        <v>-2378.19628511125</v>
      </c>
      <c r="AF31" s="37" t="n">
        <f aca="false">Credit!AF38/FX_EUR</f>
        <v>-3018.99316384127</v>
      </c>
      <c r="AG31" s="37" t="n">
        <f aca="false">Credit!AG38/FX_EUR</f>
        <v>-3735.37186430613</v>
      </c>
      <c r="AH31" s="37" t="n">
        <f aca="false">Credit!AH38/FX_EUR</f>
        <v>-4416.32918250483</v>
      </c>
      <c r="AI31" s="37" t="n">
        <f aca="false">Credit!AI38/FX_EUR</f>
        <v>-5048.1581704058</v>
      </c>
      <c r="AJ31" s="37" t="n">
        <f aca="false">Credit!AJ38/FX_EUR</f>
        <v>-5733.13527698409</v>
      </c>
      <c r="AK31" s="37" t="n">
        <f aca="false">Credit!AK38/FX_EUR</f>
        <v>-6390.35003948788</v>
      </c>
      <c r="AL31" s="37" t="n">
        <f aca="false">Credit!AL38/FX_EUR</f>
        <v>-7001.79402681072</v>
      </c>
      <c r="AM31" s="37" t="n">
        <f aca="false">Credit!AM38/FX_EUR</f>
        <v>-7651.88971500971</v>
      </c>
      <c r="AN31" s="37" t="n">
        <f aca="false">Credit!AN38/FX_EUR</f>
        <v>-8351.99657928675</v>
      </c>
      <c r="AO31" s="37" t="n">
        <f aca="false">Credit!AO38/FX_EUR</f>
        <v>-9113.16642941046</v>
      </c>
      <c r="AP31" s="37" t="n">
        <f aca="false">Credit!AP38/FX_EUR</f>
        <v>-9939.30006991769</v>
      </c>
      <c r="AQ31" s="37" t="n">
        <f aca="false">Credit!AQ38/FX_EUR</f>
        <v>-10667.1854058486</v>
      </c>
      <c r="AR31" s="37" t="n">
        <f aca="false">Credit!AR38/FX_EUR</f>
        <v>-11282.7469968619</v>
      </c>
      <c r="AS31" s="37" t="n">
        <f aca="false">Credit!AS38/FX_EUR</f>
        <v>-11914.4726798023</v>
      </c>
      <c r="AT31" s="37" t="n">
        <f aca="false">Credit!AT38/FX_EUR</f>
        <v>-12557.80728956</v>
      </c>
      <c r="AU31" s="37" t="n">
        <f aca="false">Credit!AU38/FX_EUR</f>
        <v>-13207.8507272311</v>
      </c>
      <c r="AV31" s="37" t="n">
        <f aca="false">Credit!AV38/FX_EUR</f>
        <v>-13850.862913349</v>
      </c>
      <c r="AW31" s="37" t="n">
        <f aca="false">Credit!AW38/FX_EUR</f>
        <v>-14499.2033913413</v>
      </c>
      <c r="AX31" s="37" t="n">
        <f aca="false">Credit!AX38/FX_EUR</f>
        <v>-15153.0118228836</v>
      </c>
      <c r="AY31" s="37" t="n">
        <f aca="false">Credit!AY38/FX_EUR</f>
        <v>-15823.2648209821</v>
      </c>
      <c r="AZ31" s="37" t="n">
        <f aca="false">Credit!AZ38/FX_EUR</f>
        <v>-16509.9464937075</v>
      </c>
      <c r="BA31" s="37" t="n">
        <f aca="false">Credit!BA38/FX_EUR</f>
        <v>-17223.4011230287</v>
      </c>
      <c r="BB31" s="37" t="n">
        <f aca="false">Credit!BB38/FX_EUR</f>
        <v>-17963.4739517816</v>
      </c>
      <c r="BC31" s="37" t="n">
        <f aca="false">Credit!BC38/FX_EUR</f>
        <v>-18708.8582367478</v>
      </c>
      <c r="BD31" s="37" t="n">
        <f aca="false">Credit!BD38/FX_EUR</f>
        <v>-19470.612073384</v>
      </c>
      <c r="BE31" s="37" t="n">
        <f aca="false">Credit!BE38/FX_EUR</f>
        <v>-20248.8043589149</v>
      </c>
      <c r="BF31" s="37" t="n">
        <f aca="false">Credit!BF38/FX_EUR</f>
        <v>-21032.6963413347</v>
      </c>
      <c r="BG31" s="37" t="n">
        <f aca="false">Credit!BG38/FX_EUR</f>
        <v>-21833.3988129839</v>
      </c>
      <c r="BH31" s="37" t="n">
        <f aca="false">Credit!BH38/FX_EUR</f>
        <v>-22651.0360309412</v>
      </c>
      <c r="BI31" s="37" t="n">
        <f aca="false">Credit!BI38/FX_EUR</f>
        <v>-23474.9274348002</v>
      </c>
      <c r="BJ31" s="37" t="n">
        <f aca="false">Credit!BJ38/FX_EUR</f>
        <v>-24305.4187567393</v>
      </c>
      <c r="BK31" s="37" t="n">
        <f aca="false">Credit!BK38/FX_EUR</f>
        <v>-25151.6402863628</v>
      </c>
      <c r="BL31" s="37" t="n">
        <f aca="false">Credit!BL38/FX_EUR</f>
        <v>-26021.411153883</v>
      </c>
    </row>
    <row r="32" customFormat="false" ht="15" hidden="false" customHeight="false" outlineLevel="0" collapsed="false">
      <c r="A32" s="12" t="s">
        <v>331</v>
      </c>
      <c r="B32" s="14" t="s">
        <v>73</v>
      </c>
      <c r="D32" s="55" t="n">
        <f aca="false">Credit!D39/FX_EUR</f>
        <v>-210057.987270129</v>
      </c>
      <c r="E32" s="37" t="n">
        <f aca="false">Credit!E39/FX_EUR</f>
        <v>-0</v>
      </c>
      <c r="F32" s="37" t="n">
        <f aca="false">Credit!F39/FX_EUR</f>
        <v>-0</v>
      </c>
      <c r="G32" s="37" t="n">
        <f aca="false">Credit!G39/FX_EUR</f>
        <v>-0</v>
      </c>
      <c r="H32" s="37" t="n">
        <f aca="false">Credit!H39/FX_EUR</f>
        <v>-0</v>
      </c>
      <c r="I32" s="37" t="n">
        <f aca="false">Credit!I39/FX_EUR</f>
        <v>-0</v>
      </c>
      <c r="J32" s="37" t="n">
        <f aca="false">Credit!J39/FX_EUR</f>
        <v>-0</v>
      </c>
      <c r="K32" s="37" t="n">
        <f aca="false">Credit!K39/FX_EUR</f>
        <v>-0</v>
      </c>
      <c r="L32" s="37" t="n">
        <f aca="false">Credit!L39/FX_EUR</f>
        <v>-0</v>
      </c>
      <c r="M32" s="37" t="n">
        <f aca="false">Credit!M39/FX_EUR</f>
        <v>-0</v>
      </c>
      <c r="N32" s="37" t="n">
        <f aca="false">Credit!N39/FX_EUR</f>
        <v>-0</v>
      </c>
      <c r="O32" s="37" t="n">
        <f aca="false">Credit!O39/FX_EUR</f>
        <v>-0</v>
      </c>
      <c r="P32" s="37" t="n">
        <f aca="false">Credit!P39/FX_EUR</f>
        <v>-0</v>
      </c>
      <c r="Q32" s="37" t="n">
        <f aca="false">Credit!Q39/FX_EUR</f>
        <v>-0</v>
      </c>
      <c r="R32" s="37" t="n">
        <f aca="false">Credit!R39/FX_EUR</f>
        <v>-0</v>
      </c>
      <c r="S32" s="37" t="n">
        <f aca="false">Credit!S39/FX_EUR</f>
        <v>-0</v>
      </c>
      <c r="T32" s="37" t="n">
        <f aca="false">Credit!T39/FX_EUR</f>
        <v>-0</v>
      </c>
      <c r="U32" s="37" t="n">
        <f aca="false">Credit!U39/FX_EUR</f>
        <v>-0</v>
      </c>
      <c r="V32" s="37" t="n">
        <f aca="false">Credit!V39/FX_EUR</f>
        <v>-23.1027646621624</v>
      </c>
      <c r="W32" s="37" t="n">
        <f aca="false">Credit!W39/FX_EUR</f>
        <v>-75.7623954732058</v>
      </c>
      <c r="X32" s="37" t="n">
        <f aca="false">Credit!X39/FX_EUR</f>
        <v>-141.30535548402</v>
      </c>
      <c r="Y32" s="37" t="n">
        <f aca="false">Credit!Y39/FX_EUR</f>
        <v>-227.716693610053</v>
      </c>
      <c r="Z32" s="37" t="n">
        <f aca="false">Credit!Z39/FX_EUR</f>
        <v>-336.55431838049</v>
      </c>
      <c r="AA32" s="37" t="n">
        <f aca="false">Credit!AA39/FX_EUR</f>
        <v>-461.377965090207</v>
      </c>
      <c r="AB32" s="37" t="n">
        <f aca="false">Credit!AB39/FX_EUR</f>
        <v>-604.297297497003</v>
      </c>
      <c r="AC32" s="37" t="n">
        <f aca="false">Credit!AC39/FX_EUR</f>
        <v>-774.382439006485</v>
      </c>
      <c r="AD32" s="37" t="n">
        <f aca="false">Credit!AD39/FX_EUR</f>
        <v>-972.371633445717</v>
      </c>
      <c r="AE32" s="37" t="n">
        <f aca="false">Credit!AE39/FX_EUR</f>
        <v>-1214.82171016796</v>
      </c>
      <c r="AF32" s="37" t="n">
        <f aca="false">Credit!AF39/FX_EUR</f>
        <v>-1508.92921203278</v>
      </c>
      <c r="AG32" s="37" t="n">
        <f aca="false">Credit!AG39/FX_EUR</f>
        <v>-1836.38392466834</v>
      </c>
      <c r="AH32" s="37" t="n">
        <f aca="false">Credit!AH39/FX_EUR</f>
        <v>-2128.20048740652</v>
      </c>
      <c r="AI32" s="37" t="n">
        <f aca="false">Credit!AI39/FX_EUR</f>
        <v>-2375.73365623717</v>
      </c>
      <c r="AJ32" s="37" t="n">
        <f aca="false">Credit!AJ39/FX_EUR</f>
        <v>-2641.26317262911</v>
      </c>
      <c r="AK32" s="37" t="n">
        <f aca="false">Credit!AK39/FX_EUR</f>
        <v>-2904.68956293985</v>
      </c>
      <c r="AL32" s="37" t="n">
        <f aca="false">Credit!AL39/FX_EUR</f>
        <v>-3159.59195728575</v>
      </c>
      <c r="AM32" s="37" t="n">
        <f aca="false">Credit!AM39/FX_EUR</f>
        <v>-3429.34405323389</v>
      </c>
      <c r="AN32" s="37" t="n">
        <f aca="false">Credit!AN39/FX_EUR</f>
        <v>-3718.91083578898</v>
      </c>
      <c r="AO32" s="37" t="n">
        <f aca="false">Credit!AO39/FX_EUR</f>
        <v>-4032.97587194169</v>
      </c>
      <c r="AP32" s="37" t="n">
        <f aca="false">Credit!AP39/FX_EUR</f>
        <v>-4373.02495348109</v>
      </c>
      <c r="AQ32" s="37" t="n">
        <f aca="false">Credit!AQ39/FX_EUR</f>
        <v>-4682.51525189587</v>
      </c>
      <c r="AR32" s="37" t="n">
        <f aca="false">Credit!AR39/FX_EUR</f>
        <v>-4956.8392619207</v>
      </c>
      <c r="AS32" s="37" t="n">
        <f aca="false">Credit!AS39/FX_EUR</f>
        <v>-5238.71524457215</v>
      </c>
      <c r="AT32" s="37" t="n">
        <f aca="false">Credit!AT39/FX_EUR</f>
        <v>-5523.84851759599</v>
      </c>
      <c r="AU32" s="37" t="n">
        <f aca="false">Credit!AU39/FX_EUR</f>
        <v>-5809.86016165338</v>
      </c>
      <c r="AV32" s="37" t="n">
        <f aca="false">Credit!AV39/FX_EUR</f>
        <v>-6092.79295049867</v>
      </c>
      <c r="AW32" s="37" t="n">
        <f aca="false">Credit!AW39/FX_EUR</f>
        <v>-6378.07989247988</v>
      </c>
      <c r="AX32" s="37" t="n">
        <f aca="false">Credit!AX39/FX_EUR</f>
        <v>-6665.78237440852</v>
      </c>
      <c r="AY32" s="37" t="n">
        <f aca="false">Credit!AY39/FX_EUR</f>
        <v>-6960.72575322912</v>
      </c>
      <c r="AZ32" s="37" t="n">
        <f aca="false">Credit!AZ39/FX_EUR</f>
        <v>-7262.90328905427</v>
      </c>
      <c r="BA32" s="37" t="n">
        <f aca="false">Credit!BA39/FX_EUR</f>
        <v>-7576.86261242207</v>
      </c>
      <c r="BB32" s="37" t="n">
        <f aca="false">Credit!BB39/FX_EUR</f>
        <v>-7902.53616924307</v>
      </c>
      <c r="BC32" s="37" t="n">
        <f aca="false">Credit!BC39/FX_EUR</f>
        <v>-8230.55789973523</v>
      </c>
      <c r="BD32" s="37" t="n">
        <f aca="false">Credit!BD39/FX_EUR</f>
        <v>-8565.78896158955</v>
      </c>
      <c r="BE32" s="37" t="n">
        <f aca="false">Credit!BE39/FX_EUR</f>
        <v>-8908.25987140158</v>
      </c>
      <c r="BF32" s="37" t="n">
        <f aca="false">Credit!BF39/FX_EUR</f>
        <v>-9253.25005946048</v>
      </c>
      <c r="BG32" s="37" t="n">
        <f aca="false">Credit!BG39/FX_EUR</f>
        <v>-9605.64385356109</v>
      </c>
      <c r="BH32" s="37" t="n">
        <f aca="false">Credit!BH39/FX_EUR</f>
        <v>-9965.49611221517</v>
      </c>
      <c r="BI32" s="37" t="n">
        <f aca="false">Credit!BI39/FX_EUR</f>
        <v>-10328.1118536826</v>
      </c>
      <c r="BJ32" s="37" t="n">
        <f aca="false">Credit!BJ39/FX_EUR</f>
        <v>-10693.6430506495</v>
      </c>
      <c r="BK32" s="37" t="n">
        <f aca="false">Credit!BK39/FX_EUR</f>
        <v>-11066.103410222</v>
      </c>
      <c r="BL32" s="37" t="n">
        <f aca="false">Credit!BL39/FX_EUR</f>
        <v>-11448.9304581755</v>
      </c>
    </row>
    <row r="33" customFormat="false" ht="15" hidden="false" customHeight="false" outlineLevel="0" collapsed="false">
      <c r="A33" s="8" t="s">
        <v>804</v>
      </c>
      <c r="B33" s="14" t="s">
        <v>73</v>
      </c>
      <c r="D33" s="55" t="n">
        <f aca="false">Credit!D40/FX_EUR</f>
        <v>2210934.93679479</v>
      </c>
      <c r="E33" s="16" t="n">
        <f aca="false">Credit!E40/FX_EUR</f>
        <v>0</v>
      </c>
      <c r="F33" s="16" t="n">
        <f aca="false">Credit!F40/FX_EUR</f>
        <v>0</v>
      </c>
      <c r="G33" s="16" t="n">
        <f aca="false">Credit!G40/FX_EUR</f>
        <v>0</v>
      </c>
      <c r="H33" s="16" t="n">
        <f aca="false">Credit!H40/FX_EUR</f>
        <v>0</v>
      </c>
      <c r="I33" s="16" t="n">
        <f aca="false">Credit!I40/FX_EUR</f>
        <v>0</v>
      </c>
      <c r="J33" s="16" t="n">
        <f aca="false">Credit!J40/FX_EUR</f>
        <v>0</v>
      </c>
      <c r="K33" s="16" t="n">
        <f aca="false">Credit!K40/FX_EUR</f>
        <v>0</v>
      </c>
      <c r="L33" s="16" t="n">
        <f aca="false">Credit!L40/FX_EUR</f>
        <v>0</v>
      </c>
      <c r="M33" s="16" t="n">
        <f aca="false">Credit!M40/FX_EUR</f>
        <v>0</v>
      </c>
      <c r="N33" s="16" t="n">
        <f aca="false">Credit!N40/FX_EUR</f>
        <v>0</v>
      </c>
      <c r="O33" s="16" t="n">
        <f aca="false">Credit!O40/FX_EUR</f>
        <v>0</v>
      </c>
      <c r="P33" s="16" t="n">
        <f aca="false">Credit!P40/FX_EUR</f>
        <v>0</v>
      </c>
      <c r="Q33" s="16" t="n">
        <f aca="false">Credit!Q40/FX_EUR</f>
        <v>0</v>
      </c>
      <c r="R33" s="16" t="n">
        <f aca="false">Credit!R40/FX_EUR</f>
        <v>0</v>
      </c>
      <c r="S33" s="16" t="n">
        <f aca="false">Credit!S40/FX_EUR</f>
        <v>0</v>
      </c>
      <c r="T33" s="16" t="n">
        <f aca="false">Credit!T40/FX_EUR</f>
        <v>0</v>
      </c>
      <c r="U33" s="16" t="n">
        <f aca="false">Credit!U40/FX_EUR</f>
        <v>0</v>
      </c>
      <c r="V33" s="16" t="n">
        <f aca="false">Credit!V40/FX_EUR</f>
        <v>263.560111145893</v>
      </c>
      <c r="W33" s="16" t="n">
        <f aca="false">Credit!W40/FX_EUR</f>
        <v>864.309776929021</v>
      </c>
      <c r="X33" s="16" t="n">
        <f aca="false">Credit!X40/FX_EUR</f>
        <v>1612.03456562382</v>
      </c>
      <c r="Y33" s="16" t="n">
        <f aca="false">Credit!Y40/FX_EUR</f>
        <v>2578.50774209313</v>
      </c>
      <c r="Z33" s="16" t="n">
        <f aca="false">Credit!Z40/FX_EUR</f>
        <v>3777.71490609675</v>
      </c>
      <c r="AA33" s="16" t="n">
        <f aca="false">Credit!AA40/FX_EUR</f>
        <v>5151.71750732584</v>
      </c>
      <c r="AB33" s="16" t="n">
        <f aca="false">Credit!AB40/FX_EUR</f>
        <v>6723.96112798066</v>
      </c>
      <c r="AC33" s="16" t="n">
        <f aca="false">Credit!AC40/FX_EUR</f>
        <v>8594.91830146208</v>
      </c>
      <c r="AD33" s="16" t="n">
        <f aca="false">Credit!AD40/FX_EUR</f>
        <v>10772.2751422022</v>
      </c>
      <c r="AE33" s="16" t="n">
        <f aca="false">Credit!AE40/FX_EUR</f>
        <v>13391.7105317901</v>
      </c>
      <c r="AF33" s="16" t="n">
        <f aca="false">Credit!AF40/FX_EUR</f>
        <v>16524.9778808196</v>
      </c>
      <c r="AG33" s="16" t="n">
        <f aca="false">Credit!AG40/FX_EUR</f>
        <v>20008.6124831916</v>
      </c>
      <c r="AH33" s="16" t="n">
        <f aca="false">Credit!AH40/FX_EUR</f>
        <v>23056.800882201</v>
      </c>
      <c r="AI33" s="16" t="n">
        <f aca="false">Credit!AI40/FX_EUR</f>
        <v>25570.839474432</v>
      </c>
      <c r="AJ33" s="16" t="n">
        <f aca="false">Credit!AJ40/FX_EUR</f>
        <v>28257.4146355975</v>
      </c>
      <c r="AK33" s="16" t="n">
        <f aca="false">Credit!AK40/FX_EUR</f>
        <v>30935.8884328399</v>
      </c>
      <c r="AL33" s="16" t="n">
        <f aca="false">Credit!AL40/FX_EUR</f>
        <v>33541.1648651644</v>
      </c>
      <c r="AM33" s="16" t="n">
        <f aca="false">Credit!AM40/FX_EUR</f>
        <v>36291.643652261</v>
      </c>
      <c r="AN33" s="16" t="n">
        <f aca="false">Credit!AN40/FX_EUR</f>
        <v>39239.2595123753</v>
      </c>
      <c r="AO33" s="16" t="n">
        <f aca="false">Credit!AO40/FX_EUR</f>
        <v>42432.2779028753</v>
      </c>
      <c r="AP33" s="16" t="n">
        <f aca="false">Credit!AP40/FX_EUR</f>
        <v>45885.1551164012</v>
      </c>
      <c r="AQ33" s="16" t="n">
        <f aca="false">Credit!AQ40/FX_EUR</f>
        <v>49075.7725500365</v>
      </c>
      <c r="AR33" s="16" t="n">
        <f aca="false">Credit!AR40/FX_EUR</f>
        <v>51963.1438409814</v>
      </c>
      <c r="AS33" s="16" t="n">
        <f aca="false">Credit!AS40/FX_EUR</f>
        <v>54931.027108025</v>
      </c>
      <c r="AT33" s="16" t="n">
        <f aca="false">Credit!AT40/FX_EUR</f>
        <v>57927.5615746403</v>
      </c>
      <c r="AU33" s="16" t="n">
        <f aca="false">Credit!AU40/FX_EUR</f>
        <v>60927.1343247277</v>
      </c>
      <c r="AV33" s="16" t="n">
        <f aca="false">Credit!AV40/FX_EUR</f>
        <v>63894.4614159706</v>
      </c>
      <c r="AW33" s="16" t="n">
        <f aca="false">Credit!AW40/FX_EUR</f>
        <v>66886.5069775261</v>
      </c>
      <c r="AX33" s="16" t="n">
        <f aca="false">Credit!AX40/FX_EUR</f>
        <v>69903.9146223277</v>
      </c>
      <c r="AY33" s="16" t="n">
        <f aca="false">Credit!AY40/FX_EUR</f>
        <v>72997.278128783</v>
      </c>
      <c r="AZ33" s="16" t="n">
        <f aca="false">Credit!AZ40/FX_EUR</f>
        <v>76166.5275631837</v>
      </c>
      <c r="BA33" s="16" t="n">
        <f aca="false">Credit!BA40/FX_EUR</f>
        <v>79459.345488258</v>
      </c>
      <c r="BB33" s="16" t="n">
        <f aca="false">Credit!BB40/FX_EUR</f>
        <v>82875.0250242179</v>
      </c>
      <c r="BC33" s="16" t="n">
        <f aca="false">Credit!BC40/FX_EUR</f>
        <v>86315.3645723234</v>
      </c>
      <c r="BD33" s="16" t="n">
        <f aca="false">Credit!BD40/FX_EUR</f>
        <v>89831.3332238693</v>
      </c>
      <c r="BE33" s="16" t="n">
        <f aca="false">Credit!BE40/FX_EUR</f>
        <v>93423.2516276584</v>
      </c>
      <c r="BF33" s="16" t="n">
        <f aca="false">Credit!BF40/FX_EUR</f>
        <v>97041.6253612193</v>
      </c>
      <c r="BG33" s="16" t="n">
        <f aca="false">Credit!BG40/FX_EUR</f>
        <v>100737.666466987</v>
      </c>
      <c r="BH33" s="16" t="n">
        <f aca="false">Credit!BH40/FX_EUR</f>
        <v>104511.950834796</v>
      </c>
      <c r="BI33" s="16" t="n">
        <f aca="false">Credit!BI40/FX_EUR</f>
        <v>108315.25235167</v>
      </c>
      <c r="BJ33" s="16" t="n">
        <f aca="false">Credit!BJ40/FX_EUR</f>
        <v>112149.164411544</v>
      </c>
      <c r="BK33" s="16" t="n">
        <f aca="false">Credit!BK40/FX_EUR</f>
        <v>116055.770660157</v>
      </c>
      <c r="BL33" s="16" t="n">
        <f aca="false">Credit!BL40/FX_EUR</f>
        <v>120071.114115075</v>
      </c>
    </row>
    <row r="34" customFormat="false" ht="15" hidden="false" customHeight="false" outlineLevel="0" collapsed="false">
      <c r="A34" s="8" t="s">
        <v>807</v>
      </c>
      <c r="B34" s="14" t="s">
        <v>73</v>
      </c>
      <c r="D34" s="55" t="n">
        <f aca="false">Credit!D43/FX_EUR</f>
        <v>1905709.3964313</v>
      </c>
      <c r="E34" s="16" t="n">
        <f aca="false">Credit!E43/FX_EUR</f>
        <v>0</v>
      </c>
      <c r="F34" s="16" t="n">
        <f aca="false">Credit!F43/FX_EUR</f>
        <v>0</v>
      </c>
      <c r="G34" s="16" t="n">
        <f aca="false">Credit!G43/FX_EUR</f>
        <v>0</v>
      </c>
      <c r="H34" s="16" t="n">
        <f aca="false">Credit!H43/FX_EUR</f>
        <v>0</v>
      </c>
      <c r="I34" s="16" t="n">
        <f aca="false">Credit!I43/FX_EUR</f>
        <v>0</v>
      </c>
      <c r="J34" s="16" t="n">
        <f aca="false">Credit!J43/FX_EUR</f>
        <v>0</v>
      </c>
      <c r="K34" s="16" t="n">
        <f aca="false">Credit!K43/FX_EUR</f>
        <v>0</v>
      </c>
      <c r="L34" s="16" t="n">
        <f aca="false">Credit!L43/FX_EUR</f>
        <v>0</v>
      </c>
      <c r="M34" s="16" t="n">
        <f aca="false">Credit!M43/FX_EUR</f>
        <v>0</v>
      </c>
      <c r="N34" s="16" t="n">
        <f aca="false">Credit!N43/FX_EUR</f>
        <v>0</v>
      </c>
      <c r="O34" s="16" t="n">
        <f aca="false">Credit!O43/FX_EUR</f>
        <v>0</v>
      </c>
      <c r="P34" s="16" t="n">
        <f aca="false">Credit!P43/FX_EUR</f>
        <v>0</v>
      </c>
      <c r="Q34" s="16" t="n">
        <f aca="false">Credit!Q43/FX_EUR</f>
        <v>0</v>
      </c>
      <c r="R34" s="16" t="n">
        <f aca="false">Credit!R43/FX_EUR</f>
        <v>0</v>
      </c>
      <c r="S34" s="16" t="n">
        <f aca="false">Credit!S43/FX_EUR</f>
        <v>0</v>
      </c>
      <c r="T34" s="16" t="n">
        <f aca="false">Credit!T43/FX_EUR</f>
        <v>0</v>
      </c>
      <c r="U34" s="16" t="n">
        <f aca="false">Credit!U43/FX_EUR</f>
        <v>0</v>
      </c>
      <c r="V34" s="16" t="n">
        <f aca="false">Credit!V43/FX_EUR</f>
        <v>131.780055572947</v>
      </c>
      <c r="W34" s="16" t="n">
        <f aca="false">Credit!W43/FX_EUR</f>
        <v>432.154888464511</v>
      </c>
      <c r="X34" s="16" t="n">
        <f aca="false">Credit!X43/FX_EUR</f>
        <v>806.017282811909</v>
      </c>
      <c r="Y34" s="16" t="n">
        <f aca="false">Credit!Y43/FX_EUR</f>
        <v>1289.25387104657</v>
      </c>
      <c r="Z34" s="16" t="n">
        <f aca="false">Credit!Z43/FX_EUR</f>
        <v>1888.85745304837</v>
      </c>
      <c r="AA34" s="16" t="n">
        <f aca="false">Credit!AA43/FX_EUR</f>
        <v>2575.85875366292</v>
      </c>
      <c r="AB34" s="16" t="n">
        <f aca="false">Credit!AB43/FX_EUR</f>
        <v>3361.98056399033</v>
      </c>
      <c r="AC34" s="16" t="n">
        <f aca="false">Credit!AC43/FX_EUR</f>
        <v>7879.06303573771</v>
      </c>
      <c r="AD34" s="16" t="n">
        <f aca="false">Credit!AD43/FX_EUR</f>
        <v>9796.51473840657</v>
      </c>
      <c r="AE34" s="16" t="n">
        <f aca="false">Credit!AE43/FX_EUR</f>
        <v>12097.4599832305</v>
      </c>
      <c r="AF34" s="16" t="n">
        <f aca="false">Credit!AF43/FX_EUR</f>
        <v>14850.7253843157</v>
      </c>
      <c r="AG34" s="16" t="n">
        <f aca="false">Credit!AG43/FX_EUR</f>
        <v>17902.4942437388</v>
      </c>
      <c r="AH34" s="16" t="n">
        <f aca="false">Credit!AH43/FX_EUR</f>
        <v>20552.2861555164</v>
      </c>
      <c r="AI34" s="16" t="n">
        <f aca="false">Credit!AI43/FX_EUR</f>
        <v>22719.3225742735</v>
      </c>
      <c r="AJ34" s="16" t="n">
        <f aca="false">Credit!AJ43/FX_EUR</f>
        <v>25046.1908311029</v>
      </c>
      <c r="AK34" s="16" t="n">
        <f aca="false">Credit!AK43/FX_EUR</f>
        <v>27363.4244174935</v>
      </c>
      <c r="AL34" s="16" t="n">
        <f aca="false">Credit!AL43/FX_EUR</f>
        <v>29614.3395013109</v>
      </c>
      <c r="AM34" s="16" t="n">
        <f aca="false">Credit!AM43/FX_EUR</f>
        <v>32004.2041488648</v>
      </c>
      <c r="AN34" s="16" t="n">
        <f aca="false">Credit!AN43/FX_EUR</f>
        <v>34532.4774609127</v>
      </c>
      <c r="AO34" s="16" t="n">
        <f aca="false">Credit!AO43/FX_EUR</f>
        <v>37251.7840578154</v>
      </c>
      <c r="AP34" s="16" t="n">
        <f aca="false">Credit!AP43/FX_EUR</f>
        <v>40211.0421008639</v>
      </c>
      <c r="AQ34" s="16" t="n">
        <f aca="false">Credit!AQ43/FX_EUR</f>
        <v>42940.4012968627</v>
      </c>
      <c r="AR34" s="16" t="n">
        <f aca="false">Credit!AR43/FX_EUR</f>
        <v>45419.1873252351</v>
      </c>
      <c r="AS34" s="16" t="n">
        <f aca="false">Credit!AS43/FX_EUR</f>
        <v>47968.0974277903</v>
      </c>
      <c r="AT34" s="16" t="n">
        <f aca="false">Credit!AT43/FX_EUR</f>
        <v>50514.5580405277</v>
      </c>
      <c r="AU34" s="16" t="n">
        <f aca="false">Credit!AU43/FX_EUR</f>
        <v>53059.0217451763</v>
      </c>
      <c r="AV34" s="16" t="n">
        <f aca="false">Credit!AV43/FX_EUR</f>
        <v>55570.427116085</v>
      </c>
      <c r="AW34" s="16" t="n">
        <f aca="false">Credit!AW43/FX_EUR</f>
        <v>58112.3025171065</v>
      </c>
      <c r="AX34" s="16" t="n">
        <f aca="false">Credit!AX43/FX_EUR</f>
        <v>60670.4694122947</v>
      </c>
      <c r="AY34" s="16" t="n">
        <f aca="false">Credit!AY43/FX_EUR</f>
        <v>63266.8234050414</v>
      </c>
      <c r="AZ34" s="16" t="n">
        <f aca="false">Credit!AZ43/FX_EUR</f>
        <v>65922.8893744173</v>
      </c>
      <c r="BA34" s="16" t="n">
        <f aca="false">Credit!BA43/FX_EUR</f>
        <v>68672.0103471226</v>
      </c>
      <c r="BB34" s="16" t="n">
        <f aca="false">Credit!BB43/FX_EUR</f>
        <v>71520.635889381</v>
      </c>
      <c r="BC34" s="16" t="n">
        <f aca="false">Credit!BC43/FX_EUR</f>
        <v>74398.2905252114</v>
      </c>
      <c r="BD34" s="16" t="n">
        <f aca="false">Credit!BD43/FX_EUR</f>
        <v>77297.6765113762</v>
      </c>
      <c r="BE34" s="16" t="n">
        <f aca="false">Credit!BE43/FX_EUR</f>
        <v>80269.9219509913</v>
      </c>
      <c r="BF34" s="16" t="n">
        <f aca="false">Credit!BF43/FX_EUR</f>
        <v>83256.3435252746</v>
      </c>
      <c r="BG34" s="16" t="n">
        <f aca="false">Credit!BG43/FX_EUR</f>
        <v>86280.6701899411</v>
      </c>
      <c r="BH34" s="16" t="n">
        <f aca="false">Credit!BH43/FX_EUR</f>
        <v>89362.7599303071</v>
      </c>
      <c r="BI34" s="16" t="n">
        <f aca="false">Credit!BI43/FX_EUR</f>
        <v>92475.6529214292</v>
      </c>
      <c r="BJ34" s="16" t="n">
        <f aca="false">Credit!BJ43/FX_EUR</f>
        <v>95603.9338039911</v>
      </c>
      <c r="BK34" s="16" t="n">
        <f aca="false">Credit!BK43/FX_EUR</f>
        <v>98770.8695186052</v>
      </c>
      <c r="BL34" s="16" t="n">
        <f aca="false">Credit!BL43/FX_EUR</f>
        <v>102049.222154955</v>
      </c>
    </row>
    <row r="36" customFormat="false" ht="15" hidden="false" customHeight="false" outlineLevel="0" collapsed="false">
      <c r="A36" s="10" t="s">
        <v>808</v>
      </c>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c r="BK36" s="11"/>
      <c r="BL36" s="11"/>
    </row>
    <row r="37" customFormat="false" ht="15" hidden="false" customHeight="false" outlineLevel="0" collapsed="false">
      <c r="A37" s="12" t="s">
        <v>809</v>
      </c>
      <c r="B37" s="14" t="s">
        <v>73</v>
      </c>
      <c r="D37" s="55" t="n">
        <f aca="false">Credit!D46/FX_EUR</f>
        <v>1885788.87711063</v>
      </c>
      <c r="E37" s="37" t="n">
        <f aca="false">Credit!E46/FX_EUR</f>
        <v>0</v>
      </c>
      <c r="F37" s="37" t="n">
        <f aca="false">Credit!F46/FX_EUR</f>
        <v>0</v>
      </c>
      <c r="G37" s="37" t="n">
        <f aca="false">Credit!G46/FX_EUR</f>
        <v>0</v>
      </c>
      <c r="H37" s="37" t="n">
        <f aca="false">Credit!H46/FX_EUR</f>
        <v>0</v>
      </c>
      <c r="I37" s="37" t="n">
        <f aca="false">Credit!I46/FX_EUR</f>
        <v>0</v>
      </c>
      <c r="J37" s="37" t="n">
        <f aca="false">Credit!J46/FX_EUR</f>
        <v>0</v>
      </c>
      <c r="K37" s="37" t="n">
        <f aca="false">Credit!K46/FX_EUR</f>
        <v>0</v>
      </c>
      <c r="L37" s="37" t="n">
        <f aca="false">Credit!L46/FX_EUR</f>
        <v>0</v>
      </c>
      <c r="M37" s="37" t="n">
        <f aca="false">Credit!M46/FX_EUR</f>
        <v>0</v>
      </c>
      <c r="N37" s="37" t="n">
        <f aca="false">Credit!N46/FX_EUR</f>
        <v>0</v>
      </c>
      <c r="O37" s="37" t="n">
        <f aca="false">Credit!O46/FX_EUR</f>
        <v>0</v>
      </c>
      <c r="P37" s="37" t="n">
        <f aca="false">Credit!P46/FX_EUR</f>
        <v>0</v>
      </c>
      <c r="Q37" s="37" t="n">
        <f aca="false">Credit!Q46/FX_EUR</f>
        <v>0</v>
      </c>
      <c r="R37" s="37" t="n">
        <f aca="false">Credit!R46/FX_EUR</f>
        <v>0</v>
      </c>
      <c r="S37" s="37" t="n">
        <f aca="false">Credit!S46/FX_EUR</f>
        <v>0</v>
      </c>
      <c r="T37" s="37" t="n">
        <f aca="false">Credit!T46/FX_EUR</f>
        <v>0</v>
      </c>
      <c r="U37" s="37" t="n">
        <f aca="false">Credit!U46/FX_EUR</f>
        <v>0</v>
      </c>
      <c r="V37" s="37" t="n">
        <f aca="false">Credit!V46/FX_EUR</f>
        <v>5544.66351891897</v>
      </c>
      <c r="W37" s="37" t="n">
        <f aca="false">Credit!W46/FX_EUR</f>
        <v>12638.3113946504</v>
      </c>
      <c r="X37" s="37" t="n">
        <f aca="false">Credit!X46/FX_EUR</f>
        <v>21274.9739215144</v>
      </c>
      <c r="Y37" s="37" t="n">
        <f aca="false">Credit!Y46/FX_EUR</f>
        <v>33377.0325448984</v>
      </c>
      <c r="Z37" s="37" t="n">
        <f aca="false">Credit!Z46/FX_EUR</f>
        <v>47396.0038664192</v>
      </c>
      <c r="AA37" s="37" t="n">
        <f aca="false">Credit!AA46/FX_EUR</f>
        <v>63334.7077552305</v>
      </c>
      <c r="AB37" s="37" t="n">
        <f aca="false">Credit!AB46/FX_EUR</f>
        <v>81696.6436440501</v>
      </c>
      <c r="AC37" s="37" t="n">
        <f aca="false">Credit!AC46/FX_EUR</f>
        <v>147557.818407916</v>
      </c>
      <c r="AD37" s="37" t="n">
        <f aca="false">Credit!AD46/FX_EUR</f>
        <v>182116.774168358</v>
      </c>
      <c r="AE37" s="37" t="n">
        <f aca="false">Credit!AE46/FX_EUR</f>
        <v>227824.980209633</v>
      </c>
      <c r="AF37" s="37" t="n">
        <f aca="false">Credit!AF46/FX_EUR</f>
        <v>279456.759694387</v>
      </c>
      <c r="AG37" s="37" t="n">
        <f aca="false">Credit!AG46/FX_EUR</f>
        <v>336037.763019258</v>
      </c>
      <c r="AH37" s="37" t="n">
        <f aca="false">Credit!AH46/FX_EUR</f>
        <v>375443.17638475</v>
      </c>
      <c r="AI37" s="37" t="n">
        <f aca="false">Credit!AI46/FX_EUR</f>
        <v>417018.113637827</v>
      </c>
      <c r="AJ37" s="37" t="n">
        <f aca="false">Credit!AJ46/FX_EUR</f>
        <v>462437.671108718</v>
      </c>
      <c r="AK37" s="37" t="n">
        <f aca="false">Credit!AK46/FX_EUR</f>
        <v>503359.816180592</v>
      </c>
      <c r="AL37" s="37" t="n">
        <f aca="false">Credit!AL46/FX_EUR</f>
        <v>545895.178098923</v>
      </c>
      <c r="AM37" s="37" t="n">
        <f aca="false">Credit!AM46/FX_EUR</f>
        <v>591855.558086124</v>
      </c>
      <c r="AN37" s="37" t="n">
        <f aca="false">Credit!AN46/FX_EUR</f>
        <v>640667.829701389</v>
      </c>
      <c r="AO37" s="37" t="n">
        <f aca="false">Credit!AO46/FX_EUR</f>
        <v>694024.660863141</v>
      </c>
      <c r="AP37" s="37" t="n">
        <f aca="false">Credit!AP46/FX_EUR</f>
        <v>751272.000043876</v>
      </c>
      <c r="AQ37" s="37" t="n">
        <f aca="false">Credit!AQ46/FX_EUR</f>
        <v>794679.411518132</v>
      </c>
      <c r="AR37" s="37" t="n">
        <f aca="false">Credit!AR46/FX_EUR</f>
        <v>840495.282990625</v>
      </c>
      <c r="AS37" s="37" t="n">
        <f aca="false">Credit!AS46/FX_EUR</f>
        <v>886574.30993738</v>
      </c>
      <c r="AT37" s="37" t="n">
        <f aca="false">Credit!AT46/FX_EUR</f>
        <v>933140.823728044</v>
      </c>
      <c r="AU37" s="37" t="n">
        <f aca="false">Credit!AU46/FX_EUR</f>
        <v>979136.13694348</v>
      </c>
      <c r="AV37" s="37" t="n">
        <f aca="false">Credit!AV46/FX_EUR</f>
        <v>1024580.79324608</v>
      </c>
      <c r="AW37" s="37" t="n">
        <f aca="false">Credit!AW46/FX_EUR</f>
        <v>1071400.03569573</v>
      </c>
      <c r="AX37" s="37" t="n">
        <f aca="false">Credit!AX46/FX_EUR</f>
        <v>1117679.44989118</v>
      </c>
      <c r="AY37" s="37" t="n">
        <f aca="false">Credit!AY46/FX_EUR</f>
        <v>1166485.80484168</v>
      </c>
      <c r="AZ37" s="37" t="n">
        <f aca="false">Credit!AZ46/FX_EUR</f>
        <v>1214746.90446409</v>
      </c>
      <c r="BA37" s="37" t="n">
        <f aca="false">Credit!BA46/FX_EUR</f>
        <v>1267181.79432599</v>
      </c>
      <c r="BB37" s="37" t="n">
        <f aca="false">Credit!BB46/FX_EUR</f>
        <v>1319042.42066454</v>
      </c>
      <c r="BC37" s="37" t="n">
        <f aca="false">Credit!BC46/FX_EUR</f>
        <v>1372259.3056064</v>
      </c>
      <c r="BD37" s="37" t="n">
        <f aca="false">Credit!BD46/FX_EUR</f>
        <v>1426063.14175618</v>
      </c>
      <c r="BE37" s="37" t="n">
        <f aca="false">Credit!BE46/FX_EUR</f>
        <v>1481227.40917279</v>
      </c>
      <c r="BF37" s="37" t="n">
        <f aca="false">Credit!BF46/FX_EUR</f>
        <v>1535844.72658381</v>
      </c>
      <c r="BG37" s="37" t="n">
        <f aca="false">Credit!BG46/FX_EUR</f>
        <v>1592989.29519872</v>
      </c>
      <c r="BH37" s="37" t="n">
        <f aca="false">Credit!BH46/FX_EUR</f>
        <v>1649596.98877969</v>
      </c>
      <c r="BI37" s="37" t="n">
        <f aca="false">Credit!BI46/FX_EUR</f>
        <v>1707604.53697161</v>
      </c>
      <c r="BJ37" s="37" t="n">
        <f aca="false">Credit!BJ46/FX_EUR</f>
        <v>1765108.68242821</v>
      </c>
      <c r="BK37" s="37" t="n">
        <f aca="false">Credit!BK46/FX_EUR</f>
        <v>1824970.99013699</v>
      </c>
      <c r="BL37" s="37" t="n">
        <f aca="false">Credit!BL46/FX_EUR</f>
        <v>1885788.87711063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L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16"/>
    <col collapsed="false" customWidth="true" hidden="false" outlineLevel="0" max="3" min="3" style="0" width="3"/>
    <col collapsed="false" customWidth="true" hidden="false" outlineLevel="0" max="4" min="4" style="0" width="16"/>
    <col collapsed="false" customWidth="true" hidden="false" outlineLevel="0" max="64" min="5" style="0" width="12"/>
  </cols>
  <sheetData>
    <row r="1" customFormat="false" ht="17.35" hidden="false" customHeight="false" outlineLevel="0" collapsed="false">
      <c r="A1" s="7" t="s">
        <v>28</v>
      </c>
    </row>
    <row r="2" customFormat="false" ht="15" hidden="false" customHeight="false" outlineLevel="0" collapsed="false">
      <c r="A2" s="2" t="s">
        <v>812</v>
      </c>
    </row>
    <row r="3" customFormat="false" ht="15" hidden="false" customHeight="false" outlineLevel="0" collapsed="false">
      <c r="A3" s="8" t="s">
        <v>680</v>
      </c>
      <c r="D3" s="8" t="s">
        <v>681</v>
      </c>
      <c r="E3" s="20" t="n">
        <v>1</v>
      </c>
      <c r="F3" s="20" t="n">
        <f aca="false">E3+1</f>
        <v>2</v>
      </c>
      <c r="G3" s="20" t="n">
        <f aca="false">F3+1</f>
        <v>3</v>
      </c>
      <c r="H3" s="20" t="n">
        <f aca="false">G3+1</f>
        <v>4</v>
      </c>
      <c r="I3" s="20" t="n">
        <f aca="false">H3+1</f>
        <v>5</v>
      </c>
      <c r="J3" s="20" t="n">
        <f aca="false">I3+1</f>
        <v>6</v>
      </c>
      <c r="K3" s="20" t="n">
        <f aca="false">J3+1</f>
        <v>7</v>
      </c>
      <c r="L3" s="20" t="n">
        <f aca="false">K3+1</f>
        <v>8</v>
      </c>
      <c r="M3" s="20" t="n">
        <f aca="false">L3+1</f>
        <v>9</v>
      </c>
      <c r="N3" s="20" t="n">
        <f aca="false">M3+1</f>
        <v>10</v>
      </c>
      <c r="O3" s="20" t="n">
        <f aca="false">N3+1</f>
        <v>11</v>
      </c>
      <c r="P3" s="20" t="n">
        <f aca="false">O3+1</f>
        <v>12</v>
      </c>
      <c r="Q3" s="20" t="n">
        <f aca="false">P3+1</f>
        <v>13</v>
      </c>
      <c r="R3" s="20" t="n">
        <f aca="false">Q3+1</f>
        <v>14</v>
      </c>
      <c r="S3" s="20" t="n">
        <f aca="false">R3+1</f>
        <v>15</v>
      </c>
      <c r="T3" s="20" t="n">
        <f aca="false">S3+1</f>
        <v>16</v>
      </c>
      <c r="U3" s="20" t="n">
        <f aca="false">T3+1</f>
        <v>17</v>
      </c>
      <c r="V3" s="20" t="n">
        <f aca="false">U3+1</f>
        <v>18</v>
      </c>
      <c r="W3" s="20" t="n">
        <f aca="false">V3+1</f>
        <v>19</v>
      </c>
      <c r="X3" s="20" t="n">
        <f aca="false">W3+1</f>
        <v>20</v>
      </c>
      <c r="Y3" s="20" t="n">
        <f aca="false">X3+1</f>
        <v>21</v>
      </c>
      <c r="Z3" s="20" t="n">
        <f aca="false">Y3+1</f>
        <v>22</v>
      </c>
      <c r="AA3" s="20" t="n">
        <f aca="false">Z3+1</f>
        <v>23</v>
      </c>
      <c r="AB3" s="20" t="n">
        <f aca="false">AA3+1</f>
        <v>24</v>
      </c>
      <c r="AC3" s="20" t="n">
        <f aca="false">AB3+1</f>
        <v>25</v>
      </c>
      <c r="AD3" s="20" t="n">
        <f aca="false">AC3+1</f>
        <v>26</v>
      </c>
      <c r="AE3" s="20" t="n">
        <f aca="false">AD3+1</f>
        <v>27</v>
      </c>
      <c r="AF3" s="20" t="n">
        <f aca="false">AE3+1</f>
        <v>28</v>
      </c>
      <c r="AG3" s="20" t="n">
        <f aca="false">AF3+1</f>
        <v>29</v>
      </c>
      <c r="AH3" s="20" t="n">
        <f aca="false">AG3+1</f>
        <v>30</v>
      </c>
      <c r="AI3" s="20" t="n">
        <f aca="false">AH3+1</f>
        <v>31</v>
      </c>
      <c r="AJ3" s="20" t="n">
        <f aca="false">AI3+1</f>
        <v>32</v>
      </c>
      <c r="AK3" s="20" t="n">
        <f aca="false">AJ3+1</f>
        <v>33</v>
      </c>
      <c r="AL3" s="20" t="n">
        <f aca="false">AK3+1</f>
        <v>34</v>
      </c>
      <c r="AM3" s="20" t="n">
        <f aca="false">AL3+1</f>
        <v>35</v>
      </c>
      <c r="AN3" s="20" t="n">
        <f aca="false">AM3+1</f>
        <v>36</v>
      </c>
      <c r="AO3" s="20" t="n">
        <f aca="false">AN3+1</f>
        <v>37</v>
      </c>
      <c r="AP3" s="20" t="n">
        <f aca="false">AO3+1</f>
        <v>38</v>
      </c>
      <c r="AQ3" s="20" t="n">
        <f aca="false">AP3+1</f>
        <v>39</v>
      </c>
      <c r="AR3" s="20" t="n">
        <f aca="false">AQ3+1</f>
        <v>40</v>
      </c>
      <c r="AS3" s="20" t="n">
        <f aca="false">AR3+1</f>
        <v>41</v>
      </c>
      <c r="AT3" s="20" t="n">
        <f aca="false">AS3+1</f>
        <v>42</v>
      </c>
      <c r="AU3" s="20" t="n">
        <f aca="false">AT3+1</f>
        <v>43</v>
      </c>
      <c r="AV3" s="20" t="n">
        <f aca="false">AU3+1</f>
        <v>44</v>
      </c>
      <c r="AW3" s="20" t="n">
        <f aca="false">AV3+1</f>
        <v>45</v>
      </c>
      <c r="AX3" s="20" t="n">
        <f aca="false">AW3+1</f>
        <v>46</v>
      </c>
      <c r="AY3" s="20" t="n">
        <f aca="false">AX3+1</f>
        <v>47</v>
      </c>
      <c r="AZ3" s="20" t="n">
        <f aca="false">AY3+1</f>
        <v>48</v>
      </c>
      <c r="BA3" s="20" t="n">
        <f aca="false">AZ3+1</f>
        <v>49</v>
      </c>
      <c r="BB3" s="20" t="n">
        <f aca="false">BA3+1</f>
        <v>50</v>
      </c>
      <c r="BC3" s="20" t="n">
        <f aca="false">BB3+1</f>
        <v>51</v>
      </c>
      <c r="BD3" s="20" t="n">
        <f aca="false">BC3+1</f>
        <v>52</v>
      </c>
      <c r="BE3" s="20" t="n">
        <f aca="false">BD3+1</f>
        <v>53</v>
      </c>
      <c r="BF3" s="20" t="n">
        <f aca="false">BE3+1</f>
        <v>54</v>
      </c>
      <c r="BG3" s="20" t="n">
        <f aca="false">BF3+1</f>
        <v>55</v>
      </c>
      <c r="BH3" s="20" t="n">
        <f aca="false">BG3+1</f>
        <v>56</v>
      </c>
      <c r="BI3" s="20" t="n">
        <f aca="false">BH3+1</f>
        <v>57</v>
      </c>
      <c r="BJ3" s="20" t="n">
        <f aca="false">BI3+1</f>
        <v>58</v>
      </c>
      <c r="BK3" s="20" t="n">
        <f aca="false">BJ3+1</f>
        <v>59</v>
      </c>
      <c r="BL3" s="20" t="n">
        <f aca="false">BK3+1</f>
        <v>60</v>
      </c>
    </row>
    <row r="4" customFormat="false" ht="15" hidden="false" customHeight="false" outlineLevel="0" collapsed="false">
      <c r="A4" s="8" t="s">
        <v>682</v>
      </c>
      <c r="E4" s="53" t="n">
        <f aca="false">DATE(YEAR(Start_Date),MONTH(Start_Date)+E3-1,1)</f>
        <v>46388</v>
      </c>
      <c r="F4" s="53" t="n">
        <f aca="false">DATE(YEAR(Start_Date),MONTH(Start_Date)+F3-1,1)</f>
        <v>46419</v>
      </c>
      <c r="G4" s="53" t="n">
        <f aca="false">DATE(YEAR(Start_Date),MONTH(Start_Date)+G3-1,1)</f>
        <v>46447</v>
      </c>
      <c r="H4" s="53" t="n">
        <f aca="false">DATE(YEAR(Start_Date),MONTH(Start_Date)+H3-1,1)</f>
        <v>46478</v>
      </c>
      <c r="I4" s="53" t="n">
        <f aca="false">DATE(YEAR(Start_Date),MONTH(Start_Date)+I3-1,1)</f>
        <v>46508</v>
      </c>
      <c r="J4" s="53" t="n">
        <f aca="false">DATE(YEAR(Start_Date),MONTH(Start_Date)+J3-1,1)</f>
        <v>46539</v>
      </c>
      <c r="K4" s="53" t="n">
        <f aca="false">DATE(YEAR(Start_Date),MONTH(Start_Date)+K3-1,1)</f>
        <v>46569</v>
      </c>
      <c r="L4" s="53" t="n">
        <f aca="false">DATE(YEAR(Start_Date),MONTH(Start_Date)+L3-1,1)</f>
        <v>46600</v>
      </c>
      <c r="M4" s="53" t="n">
        <f aca="false">DATE(YEAR(Start_Date),MONTH(Start_Date)+M3-1,1)</f>
        <v>46631</v>
      </c>
      <c r="N4" s="53" t="n">
        <f aca="false">DATE(YEAR(Start_Date),MONTH(Start_Date)+N3-1,1)</f>
        <v>46661</v>
      </c>
      <c r="O4" s="53" t="n">
        <f aca="false">DATE(YEAR(Start_Date),MONTH(Start_Date)+O3-1,1)</f>
        <v>46692</v>
      </c>
      <c r="P4" s="53" t="n">
        <f aca="false">DATE(YEAR(Start_Date),MONTH(Start_Date)+P3-1,1)</f>
        <v>46722</v>
      </c>
      <c r="Q4" s="53" t="n">
        <f aca="false">DATE(YEAR(Start_Date),MONTH(Start_Date)+Q3-1,1)</f>
        <v>46753</v>
      </c>
      <c r="R4" s="53" t="n">
        <f aca="false">DATE(YEAR(Start_Date),MONTH(Start_Date)+R3-1,1)</f>
        <v>46784</v>
      </c>
      <c r="S4" s="53" t="n">
        <f aca="false">DATE(YEAR(Start_Date),MONTH(Start_Date)+S3-1,1)</f>
        <v>46813</v>
      </c>
      <c r="T4" s="53" t="n">
        <f aca="false">DATE(YEAR(Start_Date),MONTH(Start_Date)+T3-1,1)</f>
        <v>46844</v>
      </c>
      <c r="U4" s="53" t="n">
        <f aca="false">DATE(YEAR(Start_Date),MONTH(Start_Date)+U3-1,1)</f>
        <v>46874</v>
      </c>
      <c r="V4" s="53" t="n">
        <f aca="false">DATE(YEAR(Start_Date),MONTH(Start_Date)+V3-1,1)</f>
        <v>46905</v>
      </c>
      <c r="W4" s="53" t="n">
        <f aca="false">DATE(YEAR(Start_Date),MONTH(Start_Date)+W3-1,1)</f>
        <v>46935</v>
      </c>
      <c r="X4" s="53" t="n">
        <f aca="false">DATE(YEAR(Start_Date),MONTH(Start_Date)+X3-1,1)</f>
        <v>46966</v>
      </c>
      <c r="Y4" s="53" t="n">
        <f aca="false">DATE(YEAR(Start_Date),MONTH(Start_Date)+Y3-1,1)</f>
        <v>46997</v>
      </c>
      <c r="Z4" s="53" t="n">
        <f aca="false">DATE(YEAR(Start_Date),MONTH(Start_Date)+Z3-1,1)</f>
        <v>47027</v>
      </c>
      <c r="AA4" s="53" t="n">
        <f aca="false">DATE(YEAR(Start_Date),MONTH(Start_Date)+AA3-1,1)</f>
        <v>47058</v>
      </c>
      <c r="AB4" s="53" t="n">
        <f aca="false">DATE(YEAR(Start_Date),MONTH(Start_Date)+AB3-1,1)</f>
        <v>47088</v>
      </c>
      <c r="AC4" s="53" t="n">
        <f aca="false">DATE(YEAR(Start_Date),MONTH(Start_Date)+AC3-1,1)</f>
        <v>47119</v>
      </c>
      <c r="AD4" s="53" t="n">
        <f aca="false">DATE(YEAR(Start_Date),MONTH(Start_Date)+AD3-1,1)</f>
        <v>47150</v>
      </c>
      <c r="AE4" s="53" t="n">
        <f aca="false">DATE(YEAR(Start_Date),MONTH(Start_Date)+AE3-1,1)</f>
        <v>47178</v>
      </c>
      <c r="AF4" s="53" t="n">
        <f aca="false">DATE(YEAR(Start_Date),MONTH(Start_Date)+AF3-1,1)</f>
        <v>47209</v>
      </c>
      <c r="AG4" s="53" t="n">
        <f aca="false">DATE(YEAR(Start_Date),MONTH(Start_Date)+AG3-1,1)</f>
        <v>47239</v>
      </c>
      <c r="AH4" s="53" t="n">
        <f aca="false">DATE(YEAR(Start_Date),MONTH(Start_Date)+AH3-1,1)</f>
        <v>47270</v>
      </c>
      <c r="AI4" s="53" t="n">
        <f aca="false">DATE(YEAR(Start_Date),MONTH(Start_Date)+AI3-1,1)</f>
        <v>47300</v>
      </c>
      <c r="AJ4" s="53" t="n">
        <f aca="false">DATE(YEAR(Start_Date),MONTH(Start_Date)+AJ3-1,1)</f>
        <v>47331</v>
      </c>
      <c r="AK4" s="53" t="n">
        <f aca="false">DATE(YEAR(Start_Date),MONTH(Start_Date)+AK3-1,1)</f>
        <v>47362</v>
      </c>
      <c r="AL4" s="53" t="n">
        <f aca="false">DATE(YEAR(Start_Date),MONTH(Start_Date)+AL3-1,1)</f>
        <v>47392</v>
      </c>
      <c r="AM4" s="53" t="n">
        <f aca="false">DATE(YEAR(Start_Date),MONTH(Start_Date)+AM3-1,1)</f>
        <v>47423</v>
      </c>
      <c r="AN4" s="53" t="n">
        <f aca="false">DATE(YEAR(Start_Date),MONTH(Start_Date)+AN3-1,1)</f>
        <v>47453</v>
      </c>
      <c r="AO4" s="53" t="n">
        <f aca="false">DATE(YEAR(Start_Date),MONTH(Start_Date)+AO3-1,1)</f>
        <v>47484</v>
      </c>
      <c r="AP4" s="53" t="n">
        <f aca="false">DATE(YEAR(Start_Date),MONTH(Start_Date)+AP3-1,1)</f>
        <v>47515</v>
      </c>
      <c r="AQ4" s="53" t="n">
        <f aca="false">DATE(YEAR(Start_Date),MONTH(Start_Date)+AQ3-1,1)</f>
        <v>47543</v>
      </c>
      <c r="AR4" s="53" t="n">
        <f aca="false">DATE(YEAR(Start_Date),MONTH(Start_Date)+AR3-1,1)</f>
        <v>47574</v>
      </c>
      <c r="AS4" s="53" t="n">
        <f aca="false">DATE(YEAR(Start_Date),MONTH(Start_Date)+AS3-1,1)</f>
        <v>47604</v>
      </c>
      <c r="AT4" s="53" t="n">
        <f aca="false">DATE(YEAR(Start_Date),MONTH(Start_Date)+AT3-1,1)</f>
        <v>47635</v>
      </c>
      <c r="AU4" s="53" t="n">
        <f aca="false">DATE(YEAR(Start_Date),MONTH(Start_Date)+AU3-1,1)</f>
        <v>47665</v>
      </c>
      <c r="AV4" s="53" t="n">
        <f aca="false">DATE(YEAR(Start_Date),MONTH(Start_Date)+AV3-1,1)</f>
        <v>47696</v>
      </c>
      <c r="AW4" s="53" t="n">
        <f aca="false">DATE(YEAR(Start_Date),MONTH(Start_Date)+AW3-1,1)</f>
        <v>47727</v>
      </c>
      <c r="AX4" s="53" t="n">
        <f aca="false">DATE(YEAR(Start_Date),MONTH(Start_Date)+AX3-1,1)</f>
        <v>47757</v>
      </c>
      <c r="AY4" s="53" t="n">
        <f aca="false">DATE(YEAR(Start_Date),MONTH(Start_Date)+AY3-1,1)</f>
        <v>47788</v>
      </c>
      <c r="AZ4" s="53" t="n">
        <f aca="false">DATE(YEAR(Start_Date),MONTH(Start_Date)+AZ3-1,1)</f>
        <v>47818</v>
      </c>
      <c r="BA4" s="53" t="n">
        <f aca="false">DATE(YEAR(Start_Date),MONTH(Start_Date)+BA3-1,1)</f>
        <v>47849</v>
      </c>
      <c r="BB4" s="53" t="n">
        <f aca="false">DATE(YEAR(Start_Date),MONTH(Start_Date)+BB3-1,1)</f>
        <v>47880</v>
      </c>
      <c r="BC4" s="53" t="n">
        <f aca="false">DATE(YEAR(Start_Date),MONTH(Start_Date)+BC3-1,1)</f>
        <v>47908</v>
      </c>
      <c r="BD4" s="53" t="n">
        <f aca="false">DATE(YEAR(Start_Date),MONTH(Start_Date)+BD3-1,1)</f>
        <v>47939</v>
      </c>
      <c r="BE4" s="53" t="n">
        <f aca="false">DATE(YEAR(Start_Date),MONTH(Start_Date)+BE3-1,1)</f>
        <v>47969</v>
      </c>
      <c r="BF4" s="53" t="n">
        <f aca="false">DATE(YEAR(Start_Date),MONTH(Start_Date)+BF3-1,1)</f>
        <v>48000</v>
      </c>
      <c r="BG4" s="53" t="n">
        <f aca="false">DATE(YEAR(Start_Date),MONTH(Start_Date)+BG3-1,1)</f>
        <v>48030</v>
      </c>
      <c r="BH4" s="53" t="n">
        <f aca="false">DATE(YEAR(Start_Date),MONTH(Start_Date)+BH3-1,1)</f>
        <v>48061</v>
      </c>
      <c r="BI4" s="53" t="n">
        <f aca="false">DATE(YEAR(Start_Date),MONTH(Start_Date)+BI3-1,1)</f>
        <v>48092</v>
      </c>
      <c r="BJ4" s="53" t="n">
        <f aca="false">DATE(YEAR(Start_Date),MONTH(Start_Date)+BJ3-1,1)</f>
        <v>48122</v>
      </c>
      <c r="BK4" s="53" t="n">
        <f aca="false">DATE(YEAR(Start_Date),MONTH(Start_Date)+BK3-1,1)</f>
        <v>48153</v>
      </c>
      <c r="BL4" s="53" t="n">
        <f aca="false">DATE(YEAR(Start_Date),MONTH(Start_Date)+BL3-1,1)</f>
        <v>48183</v>
      </c>
    </row>
    <row r="5" customFormat="false" ht="15" hidden="false" customHeight="false" outlineLevel="0" collapsed="false">
      <c r="A5" s="8" t="s">
        <v>81</v>
      </c>
      <c r="E5" s="54" t="n">
        <f aca="false">INT((E3-1)/12)+1</f>
        <v>1</v>
      </c>
      <c r="F5" s="54" t="n">
        <f aca="false">INT((F3-1)/12)+1</f>
        <v>1</v>
      </c>
      <c r="G5" s="54" t="n">
        <f aca="false">INT((G3-1)/12)+1</f>
        <v>1</v>
      </c>
      <c r="H5" s="54" t="n">
        <f aca="false">INT((H3-1)/12)+1</f>
        <v>1</v>
      </c>
      <c r="I5" s="54" t="n">
        <f aca="false">INT((I3-1)/12)+1</f>
        <v>1</v>
      </c>
      <c r="J5" s="54" t="n">
        <f aca="false">INT((J3-1)/12)+1</f>
        <v>1</v>
      </c>
      <c r="K5" s="54" t="n">
        <f aca="false">INT((K3-1)/12)+1</f>
        <v>1</v>
      </c>
      <c r="L5" s="54" t="n">
        <f aca="false">INT((L3-1)/12)+1</f>
        <v>1</v>
      </c>
      <c r="M5" s="54" t="n">
        <f aca="false">INT((M3-1)/12)+1</f>
        <v>1</v>
      </c>
      <c r="N5" s="54" t="n">
        <f aca="false">INT((N3-1)/12)+1</f>
        <v>1</v>
      </c>
      <c r="O5" s="54" t="n">
        <f aca="false">INT((O3-1)/12)+1</f>
        <v>1</v>
      </c>
      <c r="P5" s="54" t="n">
        <f aca="false">INT((P3-1)/12)+1</f>
        <v>1</v>
      </c>
      <c r="Q5" s="54" t="n">
        <f aca="false">INT((Q3-1)/12)+1</f>
        <v>2</v>
      </c>
      <c r="R5" s="54" t="n">
        <f aca="false">INT((R3-1)/12)+1</f>
        <v>2</v>
      </c>
      <c r="S5" s="54" t="n">
        <f aca="false">INT((S3-1)/12)+1</f>
        <v>2</v>
      </c>
      <c r="T5" s="54" t="n">
        <f aca="false">INT((T3-1)/12)+1</f>
        <v>2</v>
      </c>
      <c r="U5" s="54" t="n">
        <f aca="false">INT((U3-1)/12)+1</f>
        <v>2</v>
      </c>
      <c r="V5" s="54" t="n">
        <f aca="false">INT((V3-1)/12)+1</f>
        <v>2</v>
      </c>
      <c r="W5" s="54" t="n">
        <f aca="false">INT((W3-1)/12)+1</f>
        <v>2</v>
      </c>
      <c r="X5" s="54" t="n">
        <f aca="false">INT((X3-1)/12)+1</f>
        <v>2</v>
      </c>
      <c r="Y5" s="54" t="n">
        <f aca="false">INT((Y3-1)/12)+1</f>
        <v>2</v>
      </c>
      <c r="Z5" s="54" t="n">
        <f aca="false">INT((Z3-1)/12)+1</f>
        <v>2</v>
      </c>
      <c r="AA5" s="54" t="n">
        <f aca="false">INT((AA3-1)/12)+1</f>
        <v>2</v>
      </c>
      <c r="AB5" s="54" t="n">
        <f aca="false">INT((AB3-1)/12)+1</f>
        <v>2</v>
      </c>
      <c r="AC5" s="54" t="n">
        <f aca="false">INT((AC3-1)/12)+1</f>
        <v>3</v>
      </c>
      <c r="AD5" s="54" t="n">
        <f aca="false">INT((AD3-1)/12)+1</f>
        <v>3</v>
      </c>
      <c r="AE5" s="54" t="n">
        <f aca="false">INT((AE3-1)/12)+1</f>
        <v>3</v>
      </c>
      <c r="AF5" s="54" t="n">
        <f aca="false">INT((AF3-1)/12)+1</f>
        <v>3</v>
      </c>
      <c r="AG5" s="54" t="n">
        <f aca="false">INT((AG3-1)/12)+1</f>
        <v>3</v>
      </c>
      <c r="AH5" s="54" t="n">
        <f aca="false">INT((AH3-1)/12)+1</f>
        <v>3</v>
      </c>
      <c r="AI5" s="54" t="n">
        <f aca="false">INT((AI3-1)/12)+1</f>
        <v>3</v>
      </c>
      <c r="AJ5" s="54" t="n">
        <f aca="false">INT((AJ3-1)/12)+1</f>
        <v>3</v>
      </c>
      <c r="AK5" s="54" t="n">
        <f aca="false">INT((AK3-1)/12)+1</f>
        <v>3</v>
      </c>
      <c r="AL5" s="54" t="n">
        <f aca="false">INT((AL3-1)/12)+1</f>
        <v>3</v>
      </c>
      <c r="AM5" s="54" t="n">
        <f aca="false">INT((AM3-1)/12)+1</f>
        <v>3</v>
      </c>
      <c r="AN5" s="54" t="n">
        <f aca="false">INT((AN3-1)/12)+1</f>
        <v>3</v>
      </c>
      <c r="AO5" s="54" t="n">
        <f aca="false">INT((AO3-1)/12)+1</f>
        <v>4</v>
      </c>
      <c r="AP5" s="54" t="n">
        <f aca="false">INT((AP3-1)/12)+1</f>
        <v>4</v>
      </c>
      <c r="AQ5" s="54" t="n">
        <f aca="false">INT((AQ3-1)/12)+1</f>
        <v>4</v>
      </c>
      <c r="AR5" s="54" t="n">
        <f aca="false">INT((AR3-1)/12)+1</f>
        <v>4</v>
      </c>
      <c r="AS5" s="54" t="n">
        <f aca="false">INT((AS3-1)/12)+1</f>
        <v>4</v>
      </c>
      <c r="AT5" s="54" t="n">
        <f aca="false">INT((AT3-1)/12)+1</f>
        <v>4</v>
      </c>
      <c r="AU5" s="54" t="n">
        <f aca="false">INT((AU3-1)/12)+1</f>
        <v>4</v>
      </c>
      <c r="AV5" s="54" t="n">
        <f aca="false">INT((AV3-1)/12)+1</f>
        <v>4</v>
      </c>
      <c r="AW5" s="54" t="n">
        <f aca="false">INT((AW3-1)/12)+1</f>
        <v>4</v>
      </c>
      <c r="AX5" s="54" t="n">
        <f aca="false">INT((AX3-1)/12)+1</f>
        <v>4</v>
      </c>
      <c r="AY5" s="54" t="n">
        <f aca="false">INT((AY3-1)/12)+1</f>
        <v>4</v>
      </c>
      <c r="AZ5" s="54" t="n">
        <f aca="false">INT((AZ3-1)/12)+1</f>
        <v>4</v>
      </c>
      <c r="BA5" s="54" t="n">
        <f aca="false">INT((BA3-1)/12)+1</f>
        <v>5</v>
      </c>
      <c r="BB5" s="54" t="n">
        <f aca="false">INT((BB3-1)/12)+1</f>
        <v>5</v>
      </c>
      <c r="BC5" s="54" t="n">
        <f aca="false">INT((BC3-1)/12)+1</f>
        <v>5</v>
      </c>
      <c r="BD5" s="54" t="n">
        <f aca="false">INT((BD3-1)/12)+1</f>
        <v>5</v>
      </c>
      <c r="BE5" s="54" t="n">
        <f aca="false">INT((BE3-1)/12)+1</f>
        <v>5</v>
      </c>
      <c r="BF5" s="54" t="n">
        <f aca="false">INT((BF3-1)/12)+1</f>
        <v>5</v>
      </c>
      <c r="BG5" s="54" t="n">
        <f aca="false">INT((BG3-1)/12)+1</f>
        <v>5</v>
      </c>
      <c r="BH5" s="54" t="n">
        <f aca="false">INT((BH3-1)/12)+1</f>
        <v>5</v>
      </c>
      <c r="BI5" s="54" t="n">
        <f aca="false">INT((BI3-1)/12)+1</f>
        <v>5</v>
      </c>
      <c r="BJ5" s="54" t="n">
        <f aca="false">INT((BJ3-1)/12)+1</f>
        <v>5</v>
      </c>
      <c r="BK5" s="54" t="n">
        <f aca="false">INT((BK3-1)/12)+1</f>
        <v>5</v>
      </c>
      <c r="BL5" s="54" t="n">
        <f aca="false">INT((BL3-1)/12)+1</f>
        <v>5</v>
      </c>
    </row>
    <row r="8" customFormat="false" ht="15" hidden="false" customHeight="false" outlineLevel="0" collapsed="false">
      <c r="A8" s="10" t="s">
        <v>813</v>
      </c>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row>
    <row r="9" customFormat="false" ht="15" hidden="false" customHeight="false" outlineLevel="0" collapsed="false">
      <c r="A9" s="12" t="s">
        <v>257</v>
      </c>
      <c r="B9" s="14" t="s">
        <v>71</v>
      </c>
      <c r="D9" s="55" t="n">
        <f aca="false">SUM(E9:BL9)</f>
        <v>668829786.561233</v>
      </c>
      <c r="E9" s="37" t="n">
        <f aca="false">'Clients &amp; revenue'!E17*Bank_Fee</f>
        <v>0</v>
      </c>
      <c r="F9" s="37" t="n">
        <f aca="false">'Clients &amp; revenue'!F17*Bank_Fee</f>
        <v>0</v>
      </c>
      <c r="G9" s="37" t="n">
        <f aca="false">'Clients &amp; revenue'!G17*Bank_Fee</f>
        <v>0</v>
      </c>
      <c r="H9" s="37" t="n">
        <f aca="false">'Clients &amp; revenue'!H17*Bank_Fee</f>
        <v>0</v>
      </c>
      <c r="I9" s="37" t="n">
        <f aca="false">'Clients &amp; revenue'!I17*Bank_Fee</f>
        <v>172400</v>
      </c>
      <c r="J9" s="37" t="n">
        <f aca="false">'Clients &amp; revenue'!J17*Bank_Fee</f>
        <v>343755.4</v>
      </c>
      <c r="K9" s="37" t="n">
        <f aca="false">'Clients &amp; revenue'!K17*Bank_Fee</f>
        <v>514194.927</v>
      </c>
      <c r="L9" s="37" t="n">
        <f aca="false">'Clients &amp; revenue'!L17*Bank_Fee</f>
        <v>683851.59669125</v>
      </c>
      <c r="M9" s="37" t="n">
        <f aca="false">'Clients &amp; revenue'!M17*Bank_Fee</f>
        <v>852863.035023269</v>
      </c>
      <c r="N9" s="37" t="n">
        <f aca="false">'Clients &amp; revenue'!N17*Bank_Fee</f>
        <v>1021371.81783218</v>
      </c>
      <c r="O9" s="37" t="n">
        <f aca="false">'Clients &amp; revenue'!O17*Bank_Fee</f>
        <v>1189525.82963805</v>
      </c>
      <c r="P9" s="37" t="n">
        <f aca="false">'Clients &amp; revenue'!P17*Bank_Fee</f>
        <v>1357478.64278501</v>
      </c>
      <c r="Q9" s="37" t="n">
        <f aca="false">'Clients &amp; revenue'!Q17*Bank_Fee</f>
        <v>1577789.91816761</v>
      </c>
      <c r="R9" s="37" t="n">
        <f aca="false">'Clients &amp; revenue'!R17*Bank_Fee</f>
        <v>1797361.22886156</v>
      </c>
      <c r="S9" s="37" t="n">
        <f aca="false">'Clients &amp; revenue'!S17*Bank_Fee</f>
        <v>2016381.03505489</v>
      </c>
      <c r="T9" s="37" t="n">
        <f aca="false">'Clients &amp; revenue'!T17*Bank_Fee</f>
        <v>2235044.946326</v>
      </c>
      <c r="U9" s="37" t="n">
        <f aca="false">'Clients &amp; revenue'!U17*Bank_Fee</f>
        <v>2453556.22813458</v>
      </c>
      <c r="V9" s="37" t="n">
        <f aca="false">'Clients &amp; revenue'!V17*Bank_Fee</f>
        <v>2672126.33721761</v>
      </c>
      <c r="W9" s="37" t="n">
        <f aca="false">'Clients &amp; revenue'!W17*Bank_Fee</f>
        <v>3045375.48765332</v>
      </c>
      <c r="X9" s="37" t="n">
        <f aca="false">'Clients &amp; revenue'!X17*Bank_Fee</f>
        <v>3417665.64946158</v>
      </c>
      <c r="Y9" s="37" t="n">
        <f aca="false">'Clients &amp; revenue'!Y17*Bank_Fee</f>
        <v>3789328.52372087</v>
      </c>
      <c r="Z9" s="37" t="n">
        <f aca="false">'Clients &amp; revenue'!Z17*Bank_Fee</f>
        <v>4160708.76689729</v>
      </c>
      <c r="AA9" s="37" t="n">
        <f aca="false">'Clients &amp; revenue'!AA17*Bank_Fee</f>
        <v>4532164.89763612</v>
      </c>
      <c r="AB9" s="37" t="n">
        <f aca="false">'Clients &amp; revenue'!AB17*Bank_Fee</f>
        <v>4934070.25548217</v>
      </c>
      <c r="AC9" s="37" t="n">
        <f aca="false">'Clients &amp; revenue'!AC17*Bank_Fee</f>
        <v>5441519.01469303</v>
      </c>
      <c r="AD9" s="37" t="n">
        <f aca="false">'Clients &amp; revenue'!AD17*Bank_Fee</f>
        <v>5947990.23149799</v>
      </c>
      <c r="AE9" s="37" t="n">
        <f aca="false">'Clients &amp; revenue'!AE17*Bank_Fee</f>
        <v>6453947.41151198</v>
      </c>
      <c r="AF9" s="37" t="n">
        <f aca="false">'Clients &amp; revenue'!AF17*Bank_Fee</f>
        <v>6989872.57082802</v>
      </c>
      <c r="AG9" s="37" t="n">
        <f aca="false">'Clients &amp; revenue'!AG17*Bank_Fee</f>
        <v>7525772.5197455</v>
      </c>
      <c r="AH9" s="37" t="n">
        <f aca="false">'Clients &amp; revenue'!AH17*Bank_Fee</f>
        <v>8062178.99521099</v>
      </c>
      <c r="AI9" s="37" t="n">
        <f aca="false">'Clients &amp; revenue'!AI17*Bank_Fee</f>
        <v>8599646.15861491</v>
      </c>
      <c r="AJ9" s="37" t="n">
        <f aca="false">'Clients &amp; revenue'!AJ17*Bank_Fee</f>
        <v>9168752.11749599</v>
      </c>
      <c r="AK9" s="37" t="n">
        <f aca="false">'Clients &amp; revenue'!AK17*Bank_Fee</f>
        <v>9739605.53517921</v>
      </c>
      <c r="AL9" s="37" t="n">
        <f aca="false">'Clients &amp; revenue'!AL17*Bank_Fee</f>
        <v>10312846.1086888</v>
      </c>
      <c r="AM9" s="37" t="n">
        <f aca="false">'Clients &amp; revenue'!AM17*Bank_Fee</f>
        <v>10919142.4327535</v>
      </c>
      <c r="AN9" s="37" t="n">
        <f aca="false">'Clients &amp; revenue'!AN17*Bank_Fee</f>
        <v>11555698.9096993</v>
      </c>
      <c r="AO9" s="37" t="n">
        <f aca="false">'Clients &amp; revenue'!AO17*Bank_Fee</f>
        <v>12248211.0455746</v>
      </c>
      <c r="AP9" s="37" t="n">
        <f aca="false">'Clients &amp; revenue'!AP17*Bank_Fee</f>
        <v>12974197.9489037</v>
      </c>
      <c r="AQ9" s="37" t="n">
        <f aca="false">'Clients &amp; revenue'!AQ17*Bank_Fee</f>
        <v>13704000.5809466</v>
      </c>
      <c r="AR9" s="37" t="n">
        <f aca="false">'Clients &amp; revenue'!AR17*Bank_Fee</f>
        <v>14468502.7220072</v>
      </c>
      <c r="AS9" s="37" t="n">
        <f aca="false">'Clients &amp; revenue'!AS17*Bank_Fee</f>
        <v>15233717.0223578</v>
      </c>
      <c r="AT9" s="37" t="n">
        <f aca="false">'Clients &amp; revenue'!AT17*Bank_Fee</f>
        <v>16047446.994232</v>
      </c>
      <c r="AU9" s="37" t="n">
        <f aca="false">'Clients &amp; revenue'!AU17*Bank_Fee</f>
        <v>16852137.8585584</v>
      </c>
      <c r="AV9" s="37" t="n">
        <f aca="false">'Clients &amp; revenue'!AV17*Bank_Fee</f>
        <v>17648199.3236515</v>
      </c>
      <c r="AW9" s="37" t="n">
        <f aca="false">'Clients &amp; revenue'!AW17*Bank_Fee</f>
        <v>18466048.8355331</v>
      </c>
      <c r="AX9" s="37" t="n">
        <f aca="false">'Clients &amp; revenue'!AX17*Bank_Fee</f>
        <v>19275617.3544026</v>
      </c>
      <c r="AY9" s="37" t="n">
        <f aca="false">'Clients &amp; revenue'!AY17*Bank_Fee</f>
        <v>20134348.9467386</v>
      </c>
      <c r="AZ9" s="37" t="n">
        <f aca="false">'Clients &amp; revenue'!AZ17*Bank_Fee</f>
        <v>20984757.2077428</v>
      </c>
      <c r="BA9" s="37" t="n">
        <f aca="false">'Clients &amp; revenue'!BA17*Bank_Fee</f>
        <v>21910123.8431265</v>
      </c>
      <c r="BB9" s="37" t="n">
        <f aca="false">'Clients &amp; revenue'!BB17*Bank_Fee</f>
        <v>22826775.9451887</v>
      </c>
      <c r="BC9" s="37" t="n">
        <f aca="false">'Clients &amp; revenue'!BC17*Bank_Fee</f>
        <v>23765243.6274338</v>
      </c>
      <c r="BD9" s="37" t="n">
        <f aca="false">'Clients &amp; revenue'!BD17*Bank_Fee</f>
        <v>24722575.2265718</v>
      </c>
      <c r="BE9" s="37" t="n">
        <f aca="false">'Clients &amp; revenue'!BE17*Bank_Fee</f>
        <v>25701891.714786</v>
      </c>
      <c r="BF9" s="37" t="n">
        <f aca="false">'Clients &amp; revenue'!BF17*Bank_Fee</f>
        <v>26673287.8583408</v>
      </c>
      <c r="BG9" s="37" t="n">
        <f aca="false">'Clients &amp; revenue'!BG17*Bank_Fee</f>
        <v>27694378.7160921</v>
      </c>
      <c r="BH9" s="37" t="n">
        <f aca="false">'Clients &amp; revenue'!BH17*Bank_Fee</f>
        <v>28707856.5415184</v>
      </c>
      <c r="BI9" s="37" t="n">
        <f aca="false">'Clients &amp; revenue'!BI17*Bank_Fee</f>
        <v>29744389.8719526</v>
      </c>
      <c r="BJ9" s="37" t="n">
        <f aca="false">'Clients &amp; revenue'!BJ17*Bank_Fee</f>
        <v>30774172.5416523</v>
      </c>
      <c r="BK9" s="37" t="n">
        <f aca="false">'Clients &amp; revenue'!BK17*Bank_Fee</f>
        <v>31849781.1178809</v>
      </c>
      <c r="BL9" s="37" t="n">
        <f aca="false">'Clients &amp; revenue'!BL17*Bank_Fee</f>
        <v>32938137.1865377</v>
      </c>
    </row>
    <row r="10" customFormat="false" ht="15" hidden="false" customHeight="false" outlineLevel="0" collapsed="false">
      <c r="A10" s="12" t="s">
        <v>814</v>
      </c>
      <c r="B10" s="14" t="s">
        <v>71</v>
      </c>
      <c r="D10" s="55" t="n">
        <f aca="false">SUM(E10:BL10)</f>
        <v>96247561.6747522</v>
      </c>
      <c r="E10" s="37" t="n">
        <f aca="false">'Sales &amp; marketing'!E33*(KYB_Cost+KYC_Cost*KYC_Persons)+MAX(0,'Clients &amp; revenue'!E32-0)*KYC_Cost</f>
        <v>0</v>
      </c>
      <c r="F10" s="37" t="n">
        <f aca="false">'Sales &amp; marketing'!F33*(KYB_Cost+KYC_Cost*KYC_Persons)+MAX(0,'Clients &amp; revenue'!F32-'Clients &amp; revenue'!E32)*KYC_Cost</f>
        <v>0</v>
      </c>
      <c r="G10" s="37" t="n">
        <f aca="false">'Sales &amp; marketing'!G33*(KYB_Cost+KYC_Cost*KYC_Persons)+MAX(0,'Clients &amp; revenue'!G32-'Clients &amp; revenue'!F32)*KYC_Cost</f>
        <v>0</v>
      </c>
      <c r="H10" s="37" t="n">
        <f aca="false">'Sales &amp; marketing'!H33*(KYB_Cost+KYC_Cost*KYC_Persons)+MAX(0,'Clients &amp; revenue'!H32-'Clients &amp; revenue'!G32)*KYC_Cost</f>
        <v>0</v>
      </c>
      <c r="I10" s="37" t="n">
        <f aca="false">'Sales &amp; marketing'!I33*(KYB_Cost+KYC_Cost*KYC_Persons)+MAX(0,'Clients &amp; revenue'!I32-'Clients &amp; revenue'!H32)*KYC_Cost</f>
        <v>189640</v>
      </c>
      <c r="J10" s="37" t="n">
        <f aca="false">'Sales &amp; marketing'!J33*(KYB_Cost+KYC_Cost*KYC_Persons)+MAX(0,'Clients &amp; revenue'!J32-'Clients &amp; revenue'!I32)*KYC_Cost</f>
        <v>191620</v>
      </c>
      <c r="K10" s="37" t="n">
        <f aca="false">'Sales &amp; marketing'!K33*(KYB_Cost+KYC_Cost*KYC_Persons)+MAX(0,'Clients &amp; revenue'!K32-'Clients &amp; revenue'!J32)*KYC_Cost</f>
        <v>193718.8</v>
      </c>
      <c r="L10" s="37" t="n">
        <f aca="false">'Sales &amp; marketing'!L33*(KYB_Cost+KYC_Cost*KYC_Persons)+MAX(0,'Clients &amp; revenue'!L32-'Clients &amp; revenue'!K32)*KYC_Cost</f>
        <v>195943.528</v>
      </c>
      <c r="M10" s="37" t="n">
        <f aca="false">'Sales &amp; marketing'!M33*(KYB_Cost+KYC_Cost*KYC_Persons)+MAX(0,'Clients &amp; revenue'!M32-'Clients &amp; revenue'!L32)*KYC_Cost</f>
        <v>198301.73968</v>
      </c>
      <c r="N10" s="37" t="n">
        <f aca="false">'Sales &amp; marketing'!N33*(KYB_Cost+KYC_Cost*KYC_Persons)+MAX(0,'Clients &amp; revenue'!N32-'Clients &amp; revenue'!M32)*KYC_Cost</f>
        <v>200801.4440608</v>
      </c>
      <c r="O10" s="37" t="n">
        <f aca="false">'Sales &amp; marketing'!O33*(KYB_Cost+KYC_Cost*KYC_Persons)+MAX(0,'Clients &amp; revenue'!O32-'Clients &amp; revenue'!N32)*KYC_Cost</f>
        <v>203451.130704448</v>
      </c>
      <c r="P10" s="37" t="n">
        <f aca="false">'Sales &amp; marketing'!P33*(KYB_Cost+KYC_Cost*KYC_Persons)+MAX(0,'Clients &amp; revenue'!P32-'Clients &amp; revenue'!O32)*KYC_Cost</f>
        <v>206259.798546715</v>
      </c>
      <c r="Q10" s="37" t="n">
        <f aca="false">'Sales &amp; marketing'!Q33*(KYB_Cost+KYC_Cost*KYC_Persons)+MAX(0,'Clients &amp; revenue'!Q32-'Clients &amp; revenue'!P32)*KYC_Cost</f>
        <v>266876.986459518</v>
      </c>
      <c r="R10" s="37" t="n">
        <f aca="false">'Sales &amp; marketing'!R33*(KYB_Cost+KYC_Cost*KYC_Persons)+MAX(0,'Clients &amp; revenue'!R32-'Clients &amp; revenue'!Q32)*KYC_Cost</f>
        <v>270032.805647089</v>
      </c>
      <c r="S10" s="37" t="n">
        <f aca="false">'Sales &amp; marketing'!S33*(KYB_Cost+KYC_Cost*KYC_Persons)+MAX(0,'Clients &amp; revenue'!S32-'Clients &amp; revenue'!R32)*KYC_Cost</f>
        <v>273377.973985914</v>
      </c>
      <c r="T10" s="37" t="n">
        <f aca="false">'Sales &amp; marketing'!T33*(KYB_Cost+KYC_Cost*KYC_Persons)+MAX(0,'Clients &amp; revenue'!T32-'Clients &amp; revenue'!S32)*KYC_Cost</f>
        <v>276923.852425069</v>
      </c>
      <c r="U10" s="37" t="n">
        <f aca="false">'Sales &amp; marketing'!U33*(KYB_Cost+KYC_Cost*KYC_Persons)+MAX(0,'Clients &amp; revenue'!U32-'Clients &amp; revenue'!T32)*KYC_Cost</f>
        <v>280682.483570573</v>
      </c>
      <c r="V10" s="37" t="n">
        <f aca="false">'Sales &amp; marketing'!V33*(KYB_Cost+KYC_Cost*KYC_Persons)+MAX(0,'Clients &amp; revenue'!V32-'Clients &amp; revenue'!U32)*KYC_Cost</f>
        <v>284666.632584808</v>
      </c>
      <c r="W10" s="37" t="n">
        <f aca="false">'Sales &amp; marketing'!W33*(KYB_Cost+KYC_Cost*KYC_Persons)+MAX(0,'Clients &amp; revenue'!W32-'Clients &amp; revenue'!V32)*KYC_Cost</f>
        <v>458729.830539896</v>
      </c>
      <c r="X10" s="37" t="n">
        <f aca="false">'Sales &amp; marketing'!X33*(KYB_Cost+KYC_Cost*KYC_Persons)+MAX(0,'Clients &amp; revenue'!X32-'Clients &amp; revenue'!W32)*KYC_Cost</f>
        <v>464394.42037229</v>
      </c>
      <c r="Y10" s="37" t="n">
        <f aca="false">'Sales &amp; marketing'!Y33*(KYB_Cost+KYC_Cost*KYC_Persons)+MAX(0,'Clients &amp; revenue'!Y32-'Clients &amp; revenue'!X32)*KYC_Cost</f>
        <v>470398.885594627</v>
      </c>
      <c r="Z10" s="37" t="n">
        <f aca="false">'Sales &amp; marketing'!Z33*(KYB_Cost+KYC_Cost*KYC_Persons)+MAX(0,'Clients &amp; revenue'!Z32-'Clients &amp; revenue'!Y32)*KYC_Cost</f>
        <v>476763.618730305</v>
      </c>
      <c r="AA10" s="37" t="n">
        <f aca="false">'Sales &amp; marketing'!AA33*(KYB_Cost+KYC_Cost*KYC_Persons)+MAX(0,'Clients &amp; revenue'!AA32-'Clients &amp; revenue'!Z32)*KYC_Cost</f>
        <v>483510.235854123</v>
      </c>
      <c r="AB10" s="37" t="n">
        <f aca="false">'Sales &amp; marketing'!AB33*(KYB_Cost+KYC_Cost*KYC_Persons)+MAX(0,'Clients &amp; revenue'!AB32-'Clients &amp; revenue'!AA32)*KYC_Cost</f>
        <v>523661.650005371</v>
      </c>
      <c r="AC10" s="37" t="n">
        <f aca="false">'Sales &amp; marketing'!AC33*(KYB_Cost+KYC_Cost*KYC_Persons)+MAX(0,'Clients &amp; revenue'!AC32-'Clients &amp; revenue'!AB32)*KYC_Cost</f>
        <v>646962.149005693</v>
      </c>
      <c r="AD10" s="37" t="n">
        <f aca="false">'Sales &amp; marketing'!AD33*(KYB_Cost+KYC_Cost*KYC_Persons)+MAX(0,'Clients &amp; revenue'!AD32-'Clients &amp; revenue'!AC32)*KYC_Cost</f>
        <v>654997.477946034</v>
      </c>
      <c r="AE10" s="37" t="n">
        <f aca="false">'Sales &amp; marketing'!AE33*(KYB_Cost+KYC_Cost*KYC_Persons)+MAX(0,'Clients &amp; revenue'!AE32-'Clients &amp; revenue'!AD32)*KYC_Cost</f>
        <v>663514.926622797</v>
      </c>
      <c r="AF10" s="37" t="n">
        <f aca="false">'Sales &amp; marketing'!AF33*(KYB_Cost+KYC_Cost*KYC_Persons)+MAX(0,'Clients &amp; revenue'!AF32-'Clients &amp; revenue'!AE32)*KYC_Cost</f>
        <v>705543.422220164</v>
      </c>
      <c r="AG10" s="37" t="n">
        <f aca="false">'Sales &amp; marketing'!AG33*(KYB_Cost+KYC_Cost*KYC_Persons)+MAX(0,'Clients &amp; revenue'!AG32-'Clients &amp; revenue'!AF32)*KYC_Cost</f>
        <v>11355616.2295923</v>
      </c>
      <c r="AH10" s="37" t="n">
        <f aca="false">'Sales &amp; marketing'!AH33*(KYB_Cost+KYC_Cost*KYC_Persons)+MAX(0,'Clients &amp; revenue'!AH32-'Clients &amp; revenue'!AG32)*KYC_Cost</f>
        <v>1501620.44909982</v>
      </c>
      <c r="AI10" s="37" t="n">
        <f aca="false">'Sales &amp; marketing'!AI33*(KYB_Cost+KYC_Cost*KYC_Persons)+MAX(0,'Clients &amp; revenue'!AI32-'Clients &amp; revenue'!AH32)*KYC_Cost</f>
        <v>1517328.21166546</v>
      </c>
      <c r="AJ10" s="37" t="n">
        <f aca="false">'Sales &amp; marketing'!AJ33*(KYB_Cost+KYC_Cost*KYC_Persons)+MAX(0,'Clients &amp; revenue'!AJ32-'Clients &amp; revenue'!AI32)*KYC_Cost</f>
        <v>1607930.73069061</v>
      </c>
      <c r="AK10" s="37" t="n">
        <f aca="false">'Sales &amp; marketing'!AK33*(KYB_Cost+KYC_Cost*KYC_Persons)+MAX(0,'Clients &amp; revenue'!AK32-'Clients &amp; revenue'!AJ32)*KYC_Cost</f>
        <v>1626067.27052968</v>
      </c>
      <c r="AL10" s="37" t="n">
        <f aca="false">'Sales &amp; marketing'!AL33*(KYB_Cost+KYC_Cost*KYC_Persons)+MAX(0,'Clients &amp; revenue'!AL32-'Clients &amp; revenue'!AK32)*KYC_Cost</f>
        <v>1645764.84234689</v>
      </c>
      <c r="AM10" s="37" t="n">
        <f aca="false">'Sales &amp; marketing'!AM33*(KYB_Cost+KYC_Cost*KYC_Persons)+MAX(0,'Clients &amp; revenue'!AM32-'Clients &amp; revenue'!AL32)*KYC_Cost</f>
        <v>1740611.19112175</v>
      </c>
      <c r="AN10" s="37" t="n">
        <f aca="false">'Sales &amp; marketing'!AN33*(KYB_Cost+KYC_Cost*KYC_Persons)+MAX(0,'Clients &amp; revenue'!AN32-'Clients &amp; revenue'!AM32)*KYC_Cost</f>
        <v>1829410.66148976</v>
      </c>
      <c r="AO10" s="37" t="n">
        <f aca="false">'Sales &amp; marketing'!AO33*(KYB_Cost+KYC_Cost*KYC_Persons)+MAX(0,'Clients &amp; revenue'!AO32-'Clients &amp; revenue'!AN32)*KYC_Cost</f>
        <v>1981891.37673339</v>
      </c>
      <c r="AP10" s="37" t="n">
        <f aca="false">'Sales &amp; marketing'!AP33*(KYB_Cost+KYC_Cost*KYC_Persons)+MAX(0,'Clients &amp; revenue'!AP32-'Clients &amp; revenue'!AO32)*KYC_Cost</f>
        <v>2080681.4911065</v>
      </c>
      <c r="AQ10" s="37" t="n">
        <f aca="false">'Sales &amp; marketing'!AQ33*(KYB_Cost+KYC_Cost*KYC_Persons)+MAX(0,'Clients &amp; revenue'!AQ32-'Clients &amp; revenue'!AP32)*KYC_Cost</f>
        <v>2107609.17500817</v>
      </c>
      <c r="AR10" s="37" t="n">
        <f aca="false">'Sales &amp; marketing'!AR33*(KYB_Cost+KYC_Cost*KYC_Persons)+MAX(0,'Clients &amp; revenue'!AR32-'Clients &amp; revenue'!AQ32)*KYC_Cost</f>
        <v>2210236.26678532</v>
      </c>
      <c r="AS10" s="37" t="n">
        <f aca="false">'Sales &amp; marketing'!AS33*(KYB_Cost+KYC_Cost*KYC_Persons)+MAX(0,'Clients &amp; revenue'!AS32-'Clients &amp; revenue'!AR32)*KYC_Cost</f>
        <v>2230425.67588788</v>
      </c>
      <c r="AT10" s="37" t="n">
        <f aca="false">'Sales &amp; marketing'!AT33*(KYB_Cost+KYC_Cost*KYC_Persons)+MAX(0,'Clients &amp; revenue'!AT32-'Clients &amp; revenue'!AS32)*KYC_Cost</f>
        <v>2367685.17278073</v>
      </c>
      <c r="AU10" s="37" t="n">
        <f aca="false">'Sales &amp; marketing'!AU33*(KYB_Cost+KYC_Cost*KYC_Persons)+MAX(0,'Clients &amp; revenue'!AU32-'Clients &amp; revenue'!AT32)*KYC_Cost</f>
        <v>2365121.01747791</v>
      </c>
      <c r="AV10" s="37" t="n">
        <f aca="false">'Sales &amp; marketing'!AV33*(KYB_Cost+KYC_Cost*KYC_Persons)+MAX(0,'Clients &amp; revenue'!AV32-'Clients &amp; revenue'!AU32)*KYC_Cost</f>
        <v>2363256.85584393</v>
      </c>
      <c r="AW10" s="37" t="n">
        <f aca="false">'Sales &amp; marketing'!AW33*(KYB_Cost+KYC_Cost*KYC_Persons)+MAX(0,'Clients &amp; revenue'!AW32-'Clients &amp; revenue'!AV32)*KYC_Cost</f>
        <v>2435624.0578048</v>
      </c>
      <c r="AX10" s="37" t="n">
        <f aca="false">'Sales &amp; marketing'!AX33*(KYB_Cost+KYC_Cost*KYC_Persons)+MAX(0,'Clients &amp; revenue'!AX32-'Clients &amp; revenue'!AW32)*KYC_Cost</f>
        <v>2434817.27739821</v>
      </c>
      <c r="AY10" s="37" t="n">
        <f aca="false">'Sales &amp; marketing'!AY33*(KYB_Cost+KYC_Cost*KYC_Persons)+MAX(0,'Clients &amp; revenue'!AY32-'Clients &amp; revenue'!AX32)*KYC_Cost</f>
        <v>2574466.30676612</v>
      </c>
      <c r="AZ10" s="37" t="n">
        <f aca="false">'Sales &amp; marketing'!AZ33*(KYB_Cost+KYC_Cost*KYC_Persons)+MAX(0,'Clients &amp; revenue'!AZ32-'Clients &amp; revenue'!AY32)*KYC_Cost</f>
        <v>2574475.28056167</v>
      </c>
      <c r="BA10" s="37" t="n">
        <f aca="false">'Sales &amp; marketing'!BA33*(KYB_Cost+KYC_Cost*KYC_Persons)+MAX(0,'Clients &amp; revenue'!BA32-'Clients &amp; revenue'!AZ32)*KYC_Cost</f>
        <v>2778238.4200665</v>
      </c>
      <c r="BB10" s="37" t="n">
        <f aca="false">'Sales &amp; marketing'!BB33*(KYB_Cost+KYC_Cost*KYC_Persons)+MAX(0,'Clients &amp; revenue'!BB32-'Clients &amp; revenue'!BA32)*KYC_Cost</f>
        <v>2778867.36065047</v>
      </c>
      <c r="BC10" s="37" t="n">
        <f aca="false">'Sales &amp; marketing'!BC33*(KYB_Cost+KYC_Cost*KYC_Persons)+MAX(0,'Clients &amp; revenue'!BC32-'Clients &amp; revenue'!BB32)*KYC_Cost</f>
        <v>2853993.48702042</v>
      </c>
      <c r="BD10" s="37" t="n">
        <f aca="false">'Sales &amp; marketing'!BD33*(KYB_Cost+KYC_Cost*KYC_Persons)+MAX(0,'Clients &amp; revenue'!BD32-'Clients &amp; revenue'!BC32)*KYC_Cost</f>
        <v>2922376.00255603</v>
      </c>
      <c r="BE10" s="37" t="n">
        <f aca="false">'Sales &amp; marketing'!BE33*(KYB_Cost+KYC_Cost*KYC_Persons)+MAX(0,'Clients &amp; revenue'!BE32-'Clients &amp; revenue'!BD32)*KYC_Cost</f>
        <v>2998815.2660981</v>
      </c>
      <c r="BF10" s="37" t="n">
        <f aca="false">'Sales &amp; marketing'!BF33*(KYB_Cost+KYC_Cost*KYC_Persons)+MAX(0,'Clients &amp; revenue'!BF32-'Clients &amp; revenue'!BE32)*KYC_Cost</f>
        <v>3002476.48553196</v>
      </c>
      <c r="BG10" s="37" t="n">
        <f aca="false">'Sales &amp; marketing'!BG33*(KYB_Cost+KYC_Cost*KYC_Persons)+MAX(0,'Clients &amp; revenue'!BG32-'Clients &amp; revenue'!BF32)*KYC_Cost</f>
        <v>3147011.38971881</v>
      </c>
      <c r="BH10" s="37" t="n">
        <f aca="false">'Sales &amp; marketing'!BH33*(KYB_Cost+KYC_Cost*KYC_Persons)+MAX(0,'Clients &amp; revenue'!BH32-'Clients &amp; revenue'!BG32)*KYC_Cost</f>
        <v>3152347.39135692</v>
      </c>
      <c r="BI10" s="37" t="n">
        <f aca="false">'Sales &amp; marketing'!BI33*(KYB_Cost+KYC_Cost*KYC_Persons)+MAX(0,'Clients &amp; revenue'!BI32-'Clients &amp; revenue'!BH32)*KYC_Cost</f>
        <v>3232543.41118762</v>
      </c>
      <c r="BJ10" s="37" t="n">
        <f aca="false">'Sales &amp; marketing'!BJ33*(KYB_Cost+KYC_Cost*KYC_Persons)+MAX(0,'Clients &amp; revenue'!BJ32-'Clients &amp; revenue'!BI32)*KYC_Cost</f>
        <v>3240229.49035575</v>
      </c>
      <c r="BK10" s="37" t="n">
        <f aca="false">'Sales &amp; marketing'!BK33*(KYB_Cost+KYC_Cost*KYC_Persons)+MAX(0,'Clients &amp; revenue'!BK32-'Clients &amp; revenue'!BJ32)*KYC_Cost</f>
        <v>3376472.80213257</v>
      </c>
      <c r="BL10" s="37" t="n">
        <f aca="false">'Sales &amp; marketing'!BL33*(KYB_Cost+KYC_Cost*KYC_Persons)+MAX(0,'Clients &amp; revenue'!BL32-'Clients &amp; revenue'!BK32)*KYC_Cost</f>
        <v>3432776.83482989</v>
      </c>
    </row>
    <row r="11" customFormat="false" ht="15" hidden="false" customHeight="false" outlineLevel="0" collapsed="false">
      <c r="A11" s="12" t="s">
        <v>815</v>
      </c>
      <c r="B11" s="14" t="s">
        <v>71</v>
      </c>
      <c r="D11" s="55" t="n">
        <f aca="false">SUM(E11:BL11)</f>
        <v>1050006038.91934</v>
      </c>
      <c r="E11" s="37" t="n">
        <f aca="false">'Clients &amp; revenue'!E35*Card_Proc_Fee</f>
        <v>0</v>
      </c>
      <c r="F11" s="37" t="n">
        <f aca="false">'Clients &amp; revenue'!F35*Card_Proc_Fee</f>
        <v>0</v>
      </c>
      <c r="G11" s="37" t="n">
        <f aca="false">'Clients &amp; revenue'!G35*Card_Proc_Fee</f>
        <v>0</v>
      </c>
      <c r="H11" s="37" t="n">
        <f aca="false">'Clients &amp; revenue'!H35*Card_Proc_Fee</f>
        <v>0</v>
      </c>
      <c r="I11" s="37" t="n">
        <f aca="false">'Clients &amp; revenue'!I35*Card_Proc_Fee</f>
        <v>258600</v>
      </c>
      <c r="J11" s="37" t="n">
        <f aca="false">'Clients &amp; revenue'!J35*Card_Proc_Fee</f>
        <v>516581.3</v>
      </c>
      <c r="K11" s="37" t="n">
        <f aca="false">'Clients &amp; revenue'!K35*Card_Proc_Fee</f>
        <v>774119.84525</v>
      </c>
      <c r="L11" s="37" t="n">
        <f aca="false">'Clients &amp; revenue'!L35*Card_Proc_Fee</f>
        <v>1031398.93929813</v>
      </c>
      <c r="M11" s="37" t="n">
        <f aca="false">'Clients &amp; revenue'!M35*Card_Proc_Fee</f>
        <v>1288609.7384758</v>
      </c>
      <c r="N11" s="37" t="n">
        <f aca="false">'Clients &amp; revenue'!N35*Card_Proc_Fee</f>
        <v>1545951.77511223</v>
      </c>
      <c r="O11" s="37" t="n">
        <f aca="false">'Clients &amp; revenue'!O35*Card_Proc_Fee</f>
        <v>1803633.51121949</v>
      </c>
      <c r="P11" s="37" t="n">
        <f aca="false">'Clients &amp; revenue'!P35*Card_Proc_Fee</f>
        <v>2061872.92449332</v>
      </c>
      <c r="Q11" s="37" t="n">
        <f aca="false">'Clients &amp; revenue'!Q35*Card_Proc_Fee</f>
        <v>2399498.12858563</v>
      </c>
      <c r="R11" s="37" t="n">
        <f aca="false">'Clients &amp; revenue'!R35*Card_Proc_Fee</f>
        <v>2737139.32972121</v>
      </c>
      <c r="S11" s="37" t="n">
        <f aca="false">'Clients &amp; revenue'!S35*Card_Proc_Fee</f>
        <v>3075061.69210557</v>
      </c>
      <c r="T11" s="37" t="n">
        <f aca="false">'Clients &amp; revenue'!T35*Card_Proc_Fee</f>
        <v>3413542.36356284</v>
      </c>
      <c r="U11" s="37" t="n">
        <f aca="false">'Clients &amp; revenue'!U35*Card_Proc_Fee</f>
        <v>3752871.25910409</v>
      </c>
      <c r="V11" s="37" t="n">
        <f aca="false">'Clients &amp; revenue'!V35*Card_Proc_Fee</f>
        <v>4093351.89037106</v>
      </c>
      <c r="W11" s="37" t="n">
        <f aca="false">'Clients &amp; revenue'!W35*Card_Proc_Fee</f>
        <v>4666902.24372854</v>
      </c>
      <c r="X11" s="37" t="n">
        <f aca="false">'Clients &amp; revenue'!X35*Card_Proc_Fee</f>
        <v>5240903.50994519</v>
      </c>
      <c r="Y11" s="37" t="n">
        <f aca="false">'Clients &amp; revenue'!Y35*Card_Proc_Fee</f>
        <v>5815825.40007834</v>
      </c>
      <c r="Z11" s="37" t="n">
        <f aca="false">'Clients &amp; revenue'!Z35*Card_Proc_Fee</f>
        <v>6392159.23780348</v>
      </c>
      <c r="AA11" s="37" t="n">
        <f aca="false">'Clients &amp; revenue'!AA35*Card_Proc_Fee</f>
        <v>6970419.36409061</v>
      </c>
      <c r="AB11" s="37" t="n">
        <f aca="false">'Clients &amp; revenue'!AB35*Card_Proc_Fee</f>
        <v>7596144.6242583</v>
      </c>
      <c r="AC11" s="37" t="n">
        <f aca="false">'Clients &amp; revenue'!AC35*Card_Proc_Fee</f>
        <v>8382122.44238343</v>
      </c>
      <c r="AD11" s="37" t="n">
        <f aca="false">'Clients &amp; revenue'!AD35*Card_Proc_Fee</f>
        <v>9169128.8445923</v>
      </c>
      <c r="AE11" s="37" t="n">
        <f aca="false">'Clients &amp; revenue'!AE35*Card_Proc_Fee</f>
        <v>9957823.98384049</v>
      </c>
      <c r="AF11" s="37" t="n">
        <f aca="false">'Clients &amp; revenue'!AF35*Card_Proc_Fee</f>
        <v>10793898.7763718</v>
      </c>
      <c r="AG11" s="37" t="n">
        <f aca="false">'Clients &amp; revenue'!AG35*Card_Proc_Fee</f>
        <v>11632499.3923664</v>
      </c>
      <c r="AH11" s="37" t="n">
        <f aca="false">'Clients &amp; revenue'!AH35*Card_Proc_Fee</f>
        <v>12474392.8197291</v>
      </c>
      <c r="AI11" s="37" t="n">
        <f aca="false">'Clients &amp; revenue'!AI35*Card_Proc_Fee</f>
        <v>13320383.0018446</v>
      </c>
      <c r="AJ11" s="37" t="n">
        <f aca="false">'Clients &amp; revenue'!AJ35*Card_Proc_Fee</f>
        <v>14216313.2029076</v>
      </c>
      <c r="AK11" s="37" t="n">
        <f aca="false">'Clients &amp; revenue'!AK35*Card_Proc_Fee</f>
        <v>15117491.0125743</v>
      </c>
      <c r="AL11" s="37" t="n">
        <f aca="false">'Clients &amp; revenue'!AL35*Card_Proc_Fee</f>
        <v>16024854.4545919</v>
      </c>
      <c r="AM11" s="37" t="n">
        <f aca="false">'Clients &amp; revenue'!AM35*Card_Proc_Fee</f>
        <v>16984388.7020825</v>
      </c>
      <c r="AN11" s="37" t="n">
        <f aca="false">'Clients &amp; revenue'!AN35*Card_Proc_Fee</f>
        <v>17992051.5550518</v>
      </c>
      <c r="AO11" s="37" t="n">
        <f aca="false">'Clients &amp; revenue'!AO35*Card_Proc_Fee</f>
        <v>19086520.3001969</v>
      </c>
      <c r="AP11" s="37" t="n">
        <f aca="false">'Clients &amp; revenue'!AP35*Card_Proc_Fee</f>
        <v>20234347.3680144</v>
      </c>
      <c r="AQ11" s="37" t="n">
        <f aca="false">'Clients &amp; revenue'!AQ35*Card_Proc_Fee</f>
        <v>21391191.0592208</v>
      </c>
      <c r="AR11" s="37" t="n">
        <f aca="false">'Clients &amp; revenue'!AR35*Card_Proc_Fee</f>
        <v>22603359.043093</v>
      </c>
      <c r="AS11" s="37" t="n">
        <f aca="false">'Clients &amp; revenue'!AS35*Card_Proc_Fee</f>
        <v>23820022.4028029</v>
      </c>
      <c r="AT11" s="37" t="n">
        <f aca="false">'Clients &amp; revenue'!AT35*Card_Proc_Fee</f>
        <v>25112849.7864424</v>
      </c>
      <c r="AU11" s="37" t="n">
        <f aca="false">'Clients &amp; revenue'!AU35*Card_Proc_Fee</f>
        <v>26395735.7973184</v>
      </c>
      <c r="AV11" s="37" t="n">
        <f aca="false">'Clients &amp; revenue'!AV35*Card_Proc_Fee</f>
        <v>27669202.5238906</v>
      </c>
      <c r="AW11" s="37" t="n">
        <f aca="false">'Clients &amp; revenue'!AW35*Card_Proc_Fee</f>
        <v>28978787.0604386</v>
      </c>
      <c r="AX11" s="37" t="n">
        <f aca="false">'Clients &amp; revenue'!AX35*Card_Proc_Fee</f>
        <v>30279465.1719792</v>
      </c>
      <c r="AY11" s="37" t="n">
        <f aca="false">'Clients &amp; revenue'!AY35*Card_Proc_Fee</f>
        <v>31657315.980707</v>
      </c>
      <c r="AZ11" s="37" t="n">
        <f aca="false">'Clients &amp; revenue'!AZ35*Card_Proc_Fee</f>
        <v>33026339.9217236</v>
      </c>
      <c r="BA11" s="37" t="n">
        <f aca="false">'Clients &amp; revenue'!BA35*Card_Proc_Fee</f>
        <v>34511370.685298</v>
      </c>
      <c r="BB11" s="37" t="n">
        <f aca="false">'Clients &amp; revenue'!BB35*Card_Proc_Fee</f>
        <v>35987269.1921179</v>
      </c>
      <c r="BC11" s="37" t="n">
        <f aca="false">'Clients &amp; revenue'!BC35*Card_Proc_Fee</f>
        <v>37499736.2731823</v>
      </c>
      <c r="BD11" s="37" t="n">
        <f aca="false">'Clients &amp; revenue'!BD35*Card_Proc_Fee</f>
        <v>39044419.1794231</v>
      </c>
      <c r="BE11" s="37" t="n">
        <f aca="false">'Clients &amp; revenue'!BE35*Card_Proc_Fee</f>
        <v>40626057.015958</v>
      </c>
      <c r="BF11" s="37" t="n">
        <f aca="false">'Clients &amp; revenue'!BF35*Card_Proc_Fee</f>
        <v>42199866.0855631</v>
      </c>
      <c r="BG11" s="37" t="n">
        <f aca="false">'Clients &amp; revenue'!BG35*Card_Proc_Fee</f>
        <v>43852177.7941369</v>
      </c>
      <c r="BH11" s="37" t="n">
        <f aca="false">'Clients &amp; revenue'!BH35*Card_Proc_Fee</f>
        <v>45497257.3536161</v>
      </c>
      <c r="BI11" s="37" t="n">
        <f aca="false">'Clients &amp; revenue'!BI35*Card_Proc_Fee</f>
        <v>47181016.5155246</v>
      </c>
      <c r="BJ11" s="37" t="n">
        <f aca="false">'Clients &amp; revenue'!BJ35*Card_Proc_Fee</f>
        <v>48858824.7842777</v>
      </c>
      <c r="BK11" s="37" t="n">
        <f aca="false">'Clients &amp; revenue'!BK35*Card_Proc_Fee</f>
        <v>50609460.9174062</v>
      </c>
      <c r="BL11" s="37" t="n">
        <f aca="false">'Clients &amp; revenue'!BL35*Card_Proc_Fee</f>
        <v>52383511.4414677</v>
      </c>
    </row>
    <row r="12" customFormat="false" ht="15" hidden="false" customHeight="false" outlineLevel="0" collapsed="false">
      <c r="A12" s="12" t="s">
        <v>570</v>
      </c>
      <c r="B12" s="14" t="s">
        <v>71</v>
      </c>
      <c r="D12" s="55" t="n">
        <f aca="false">SUM(E12:BL12)</f>
        <v>149285437.764668</v>
      </c>
      <c r="E12" s="37" t="n">
        <f aca="false">'Clients &amp; revenue'!E33*Card_Prod_Cost</f>
        <v>0</v>
      </c>
      <c r="F12" s="37" t="n">
        <f aca="false">'Clients &amp; revenue'!F33*Card_Prod_Cost</f>
        <v>0</v>
      </c>
      <c r="G12" s="37" t="n">
        <f aca="false">'Clients &amp; revenue'!G33*Card_Prod_Cost</f>
        <v>0</v>
      </c>
      <c r="H12" s="37" t="n">
        <f aca="false">'Clients &amp; revenue'!H33*Card_Prod_Cost</f>
        <v>0</v>
      </c>
      <c r="I12" s="37" t="n">
        <f aca="false">'Clients &amp; revenue'!I33*Card_Prod_Cost</f>
        <v>594780</v>
      </c>
      <c r="J12" s="37" t="n">
        <f aca="false">'Clients &amp; revenue'!J33*Card_Prod_Cost</f>
        <v>600990</v>
      </c>
      <c r="K12" s="37" t="n">
        <f aca="false">'Clients &amp; revenue'!K33*Card_Prod_Cost</f>
        <v>607572.6</v>
      </c>
      <c r="L12" s="37" t="n">
        <f aca="false">'Clients &amp; revenue'!L33*Card_Prod_Cost</f>
        <v>614550.156</v>
      </c>
      <c r="M12" s="37" t="n">
        <f aca="false">'Clients &amp; revenue'!M33*Card_Prod_Cost</f>
        <v>621946.36536</v>
      </c>
      <c r="N12" s="37" t="n">
        <f aca="false">'Clients &amp; revenue'!N33*Card_Prod_Cost</f>
        <v>629786.3472816</v>
      </c>
      <c r="O12" s="37" t="n">
        <f aca="false">'Clients &amp; revenue'!O33*Card_Prod_Cost</f>
        <v>638096.728118496</v>
      </c>
      <c r="P12" s="37" t="n">
        <f aca="false">'Clients &amp; revenue'!P33*Card_Prod_Cost</f>
        <v>646905.731805606</v>
      </c>
      <c r="Q12" s="37" t="n">
        <f aca="false">'Clients &amp; revenue'!Q33*Card_Prod_Cost</f>
        <v>837023.275713942</v>
      </c>
      <c r="R12" s="37" t="n">
        <f aca="false">'Clients &amp; revenue'!R33*Card_Prod_Cost</f>
        <v>846921.072256779</v>
      </c>
      <c r="S12" s="37" t="n">
        <f aca="false">'Clients &amp; revenue'!S33*Card_Prod_Cost</f>
        <v>857412.736592186</v>
      </c>
      <c r="T12" s="37" t="n">
        <f aca="false">'Clients &amp; revenue'!T33*Card_Prod_Cost</f>
        <v>868533.900787717</v>
      </c>
      <c r="U12" s="37" t="n">
        <f aca="false">'Clients &amp; revenue'!U33*Card_Prod_Cost</f>
        <v>880322.33483498</v>
      </c>
      <c r="V12" s="37" t="n">
        <f aca="false">'Clients &amp; revenue'!V33*Card_Prod_Cost</f>
        <v>892818.074925078</v>
      </c>
      <c r="W12" s="37" t="n">
        <f aca="false">'Clients &amp; revenue'!W33*Card_Prod_Cost</f>
        <v>1438743.55942058</v>
      </c>
      <c r="X12" s="37" t="n">
        <f aca="false">'Clients &amp; revenue'!X33*Card_Prod_Cost</f>
        <v>1456509.77298582</v>
      </c>
      <c r="Y12" s="37" t="n">
        <f aca="false">'Clients &amp; revenue'!Y33*Card_Prod_Cost</f>
        <v>1475341.95936497</v>
      </c>
      <c r="Z12" s="37" t="n">
        <f aca="false">'Clients &amp; revenue'!Z33*Card_Prod_Cost</f>
        <v>1495304.07692687</v>
      </c>
      <c r="AA12" s="37" t="n">
        <f aca="false">'Clients &amp; revenue'!AA33*Card_Prod_Cost</f>
        <v>1516463.92154248</v>
      </c>
      <c r="AB12" s="37" t="n">
        <f aca="false">'Clients &amp; revenue'!AB33*Card_Prod_Cost</f>
        <v>1642393.35683503</v>
      </c>
      <c r="AC12" s="37" t="n">
        <f aca="false">'Clients &amp; revenue'!AC33*Card_Prod_Cost</f>
        <v>2029108.55824513</v>
      </c>
      <c r="AD12" s="37" t="n">
        <f aca="false">'Clients &amp; revenue'!AD33*Card_Prod_Cost</f>
        <v>2054310.27173984</v>
      </c>
      <c r="AE12" s="37" t="n">
        <f aca="false">'Clients &amp; revenue'!AE33*Card_Prod_Cost</f>
        <v>2081024.08804423</v>
      </c>
      <c r="AF12" s="37" t="n">
        <f aca="false">'Clients &amp; revenue'!AF33*Card_Prod_Cost</f>
        <v>2212840.73332688</v>
      </c>
      <c r="AG12" s="37" t="n">
        <f aca="false">'Clients &amp; revenue'!AG33*Card_Prod_Cost</f>
        <v>2242856.37732649</v>
      </c>
      <c r="AH12" s="37" t="n">
        <f aca="false">'Clients &amp; revenue'!AH33*Card_Prod_Cost</f>
        <v>2274672.95996608</v>
      </c>
      <c r="AI12" s="37" t="n">
        <f aca="false">'Clients &amp; revenue'!AI33*Card_Prod_Cost</f>
        <v>2308398.53756405</v>
      </c>
      <c r="AJ12" s="37" t="n">
        <f aca="false">'Clients &amp; revenue'!AJ33*Card_Prod_Cost</f>
        <v>2447647.64981789</v>
      </c>
      <c r="AK12" s="37" t="n">
        <f aca="false">'Clients &amp; revenue'!AK33*Card_Prod_Cost</f>
        <v>2485541.70880696</v>
      </c>
      <c r="AL12" s="37" t="n">
        <f aca="false">'Clients &amp; revenue'!AL33*Card_Prod_Cost</f>
        <v>2525709.41133538</v>
      </c>
      <c r="AM12" s="37" t="n">
        <f aca="false">'Clients &amp; revenue'!AM33*Card_Prod_Cost</f>
        <v>2671787.1760155</v>
      </c>
      <c r="AN12" s="37" t="n">
        <f aca="false">'Clients &amp; revenue'!AN33*Card_Prod_Cost</f>
        <v>2810069.60657643</v>
      </c>
      <c r="AO12" s="37" t="n">
        <f aca="false">'Clients &amp; revenue'!AO33*Card_Prod_Cost</f>
        <v>3038689.98297102</v>
      </c>
      <c r="AP12" s="37" t="n">
        <f aca="false">'Clients &amp; revenue'!AP33*Card_Prod_Cost</f>
        <v>3192900.78194928</v>
      </c>
      <c r="AQ12" s="37" t="n">
        <f aca="false">'Clients &amp; revenue'!AQ33*Card_Prod_Cost</f>
        <v>3246654.22886624</v>
      </c>
      <c r="AR12" s="37" t="n">
        <f aca="false">'Clients &amp; revenue'!AR33*Card_Prod_Cost</f>
        <v>3407132.88259821</v>
      </c>
      <c r="AS12" s="37" t="n">
        <f aca="false">'Clients &amp; revenue'!AS33*Card_Prod_Cost</f>
        <v>3452289.67356952</v>
      </c>
      <c r="AT12" s="37" t="n">
        <f aca="false">'Clients &amp; revenue'!AT33*Card_Prod_Cost</f>
        <v>3662366.45398369</v>
      </c>
      <c r="AU12" s="37" t="n">
        <f aca="false">'Clients &amp; revenue'!AU33*Card_Prod_Cost</f>
        <v>3676598.84122271</v>
      </c>
      <c r="AV12" s="37" t="n">
        <f aca="false">'Clients &amp; revenue'!AV33*Card_Prod_Cost</f>
        <v>3691685.17169607</v>
      </c>
      <c r="AW12" s="37" t="n">
        <f aca="false">'Clients &amp; revenue'!AW33*Card_Prod_Cost</f>
        <v>3811176.68199783</v>
      </c>
      <c r="AX12" s="37" t="n">
        <f aca="false">'Clients &amp; revenue'!AX33*Card_Prod_Cost</f>
        <v>3828127.68291771</v>
      </c>
      <c r="AY12" s="37" t="n">
        <f aca="false">'Clients &amp; revenue'!AY33*Card_Prod_Cost</f>
        <v>4042745.74389277</v>
      </c>
      <c r="AZ12" s="37" t="n">
        <f aca="false">'Clients &amp; revenue'!AZ33*Card_Prod_Cost</f>
        <v>4061791.88852633</v>
      </c>
      <c r="BA12" s="37" t="n">
        <f aca="false">'Clients &amp; revenue'!BA33*Card_Prod_Cost</f>
        <v>4367640.80183791</v>
      </c>
      <c r="BB12" s="37" t="n">
        <f aca="false">'Clients &amp; revenue'!BB33*Card_Prod_Cost</f>
        <v>4389041.04994819</v>
      </c>
      <c r="BC12" s="37" t="n">
        <f aca="false">'Clients &amp; revenue'!BC33*Card_Prod_Cost</f>
        <v>4515225.31294508</v>
      </c>
      <c r="BD12" s="37" t="n">
        <f aca="false">'Clients &amp; revenue'!BD33*Card_Prod_Cost</f>
        <v>4632420.63172178</v>
      </c>
      <c r="BE12" s="37" t="n">
        <f aca="false">'Clients &amp; revenue'!BE33*Card_Prod_Cost</f>
        <v>4761408.66962509</v>
      </c>
      <c r="BF12" s="37" t="n">
        <f aca="false">'Clients &amp; revenue'!BF33*Card_Prod_Cost</f>
        <v>4788425.9898026</v>
      </c>
      <c r="BG12" s="37" t="n">
        <f aca="false">'Clients &amp; revenue'!BG33*Card_Prod_Cost</f>
        <v>5013714.34919075</v>
      </c>
      <c r="BH12" s="37" t="n">
        <f aca="false">'Clients &amp; revenue'!BH33*Card_Prod_Cost</f>
        <v>5044071.0101422</v>
      </c>
      <c r="BI12" s="37" t="n">
        <f aca="false">'Clients &amp; revenue'!BI33*Card_Prod_Cost</f>
        <v>5179749.07075073</v>
      </c>
      <c r="BJ12" s="37" t="n">
        <f aca="false">'Clients &amp; revenue'!BJ33*Card_Prod_Cost</f>
        <v>5213857.81499577</v>
      </c>
      <c r="BK12" s="37" t="n">
        <f aca="false">'Clients &amp; revenue'!BK33*Card_Prod_Cost</f>
        <v>5428920</v>
      </c>
      <c r="BL12" s="37" t="n">
        <f aca="false">'Clients &amp; revenue'!BL33*Card_Prod_Cost</f>
        <v>5532420</v>
      </c>
    </row>
    <row r="13" customFormat="false" ht="15" hidden="false" customHeight="false" outlineLevel="0" collapsed="false">
      <c r="A13" s="12" t="s">
        <v>270</v>
      </c>
      <c r="B13" s="14" t="s">
        <v>71</v>
      </c>
      <c r="D13" s="55" t="n">
        <f aca="false">SUM(E13:BL13)</f>
        <v>1048294940.34715</v>
      </c>
      <c r="E13" s="37" t="n">
        <f aca="false">'Clients &amp; revenue'!E37*Scheme_Rate</f>
        <v>0</v>
      </c>
      <c r="F13" s="37" t="n">
        <f aca="false">'Clients &amp; revenue'!F37*Scheme_Rate</f>
        <v>0</v>
      </c>
      <c r="G13" s="37" t="n">
        <f aca="false">'Clients &amp; revenue'!G37*Scheme_Rate</f>
        <v>0</v>
      </c>
      <c r="H13" s="37" t="n">
        <f aca="false">'Clients &amp; revenue'!H37*Scheme_Rate</f>
        <v>0</v>
      </c>
      <c r="I13" s="37" t="n">
        <f aca="false">'Clients &amp; revenue'!I37*Scheme_Rate</f>
        <v>255726.666666667</v>
      </c>
      <c r="J13" s="37" t="n">
        <f aca="false">'Clients &amp; revenue'!J37*Scheme_Rate</f>
        <v>511041.683333333</v>
      </c>
      <c r="K13" s="37" t="n">
        <f aca="false">'Clients &amp; revenue'!K37*Scheme_Rate</f>
        <v>766115.582375</v>
      </c>
      <c r="L13" s="37" t="n">
        <f aca="false">'Clients &amp; revenue'!L37*Scheme_Rate</f>
        <v>1021126.36326135</v>
      </c>
      <c r="M13" s="37" t="n">
        <f aca="false">'Clients &amp; revenue'!M37*Scheme_Rate</f>
        <v>1276259.98432197</v>
      </c>
      <c r="N13" s="37" t="n">
        <f aca="false">'Clients &amp; revenue'!N37*Scheme_Rate</f>
        <v>1531710.88326691</v>
      </c>
      <c r="O13" s="37" t="n">
        <f aca="false">'Clients &amp; revenue'!O37*Scheme_Rate</f>
        <v>1787682.52820169</v>
      </c>
      <c r="P13" s="37" t="n">
        <f aca="false">'Clients &amp; revenue'!P37*Scheme_Rate</f>
        <v>2044388.00097963</v>
      </c>
      <c r="Q13" s="37" t="n">
        <f aca="false">'Clients &amp; revenue'!Q37*Scheme_Rate</f>
        <v>2379777.28151148</v>
      </c>
      <c r="R13" s="37" t="n">
        <f aca="false">'Clients &amp; revenue'!R37*Scheme_Rate</f>
        <v>2715421.25176952</v>
      </c>
      <c r="S13" s="37" t="n">
        <f aca="false">'Clients &amp; revenue'!S37*Scheme_Rate</f>
        <v>3051578.60822181</v>
      </c>
      <c r="T13" s="37" t="n">
        <f aca="false">'Clients &amp; revenue'!T37*Scheme_Rate</f>
        <v>3388520.15866925</v>
      </c>
      <c r="U13" s="37" t="n">
        <f aca="false">'Clients &amp; revenue'!U37*Scheme_Rate</f>
        <v>3726529.60241131</v>
      </c>
      <c r="V13" s="37" t="n">
        <f aca="false">'Clients &amp; revenue'!V37*Scheme_Rate</f>
        <v>4065904.35630978</v>
      </c>
      <c r="W13" s="37" t="n">
        <f aca="false">'Clients &amp; revenue'!W37*Scheme_Rate</f>
        <v>4635983.09618757</v>
      </c>
      <c r="X13" s="37" t="n">
        <f aca="false">'Clients &amp; revenue'!X37*Scheme_Rate</f>
        <v>5206908.78316545</v>
      </c>
      <c r="Y13" s="37" t="n">
        <f aca="false">'Clients &amp; revenue'!Y37*Scheme_Rate</f>
        <v>5779140.32896554</v>
      </c>
      <c r="Z13" s="37" t="n">
        <f aca="false">'Clients &amp; revenue'!Z37*Scheme_Rate</f>
        <v>6353158.4697566</v>
      </c>
      <c r="AA13" s="37" t="n">
        <f aca="false">'Clients &amp; revenue'!AA37*Scheme_Rate</f>
        <v>6929467.16508002</v>
      </c>
      <c r="AB13" s="37" t="n">
        <f aca="false">'Clients &amp; revenue'!AB37*Scheme_Rate</f>
        <v>7553095.0791874</v>
      </c>
      <c r="AC13" s="37" t="n">
        <f aca="false">'Clients &amp; revenue'!AC37*Scheme_Rate</f>
        <v>8335607.56642828</v>
      </c>
      <c r="AD13" s="37" t="n">
        <f aca="false">'Clients &amp; revenue'!AD37*Scheme_Rate</f>
        <v>9119667.77949995</v>
      </c>
      <c r="AE13" s="37" t="n">
        <f aca="false">'Clients &amp; revenue'!AE37*Scheme_Rate</f>
        <v>9905921.50602255</v>
      </c>
      <c r="AF13" s="37" t="n">
        <f aca="false">'Clients &amp; revenue'!AF37*Scheme_Rate</f>
        <v>10739545.5775557</v>
      </c>
      <c r="AG13" s="37" t="n">
        <f aca="false">'Clients &amp; revenue'!AG37*Scheme_Rate</f>
        <v>11576213.6024919</v>
      </c>
      <c r="AH13" s="37" t="n">
        <f aca="false">'Clients &amp; revenue'!AH37*Scheme_Rate</f>
        <v>12416677.9627554</v>
      </c>
      <c r="AI13" s="37" t="n">
        <f aca="false">'Clients &amp; revenue'!AI37*Scheme_Rate</f>
        <v>13261728.2761941</v>
      </c>
      <c r="AJ13" s="37" t="n">
        <f aca="false">'Clients &amp; revenue'!AJ37*Scheme_Rate</f>
        <v>14156693.7537787</v>
      </c>
      <c r="AK13" s="37" t="n">
        <f aca="false">'Clients &amp; revenue'!AK37*Scheme_Rate</f>
        <v>15057409.4461476</v>
      </c>
      <c r="AL13" s="37" t="n">
        <f aca="false">'Clients &amp; revenue'!AL37*Scheme_Rate</f>
        <v>15964798.784771</v>
      </c>
      <c r="AM13" s="37" t="n">
        <f aca="false">'Clients &amp; revenue'!AM37*Scheme_Rate</f>
        <v>16924332.6214721</v>
      </c>
      <c r="AN13" s="37" t="n">
        <f aca="false">'Clients &amp; revenue'!AN37*Scheme_Rate</f>
        <v>17932045.947377</v>
      </c>
      <c r="AO13" s="37" t="n">
        <f aca="false">'Clients &amp; revenue'!AO37*Scheme_Rate</f>
        <v>19026214.9764532</v>
      </c>
      <c r="AP13" s="37" t="n">
        <f aca="false">'Clients &amp; revenue'!AP37*Scheme_Rate</f>
        <v>20173821.9729261</v>
      </c>
      <c r="AQ13" s="37" t="n">
        <f aca="false">'Clients &amp; revenue'!AQ37*Scheme_Rate</f>
        <v>21331049.3673411</v>
      </c>
      <c r="AR13" s="37" t="n">
        <f aca="false">'Clients &amp; revenue'!AR37*Scheme_Rate</f>
        <v>22543686.9597932</v>
      </c>
      <c r="AS13" s="37" t="n">
        <f aca="false">'Clients &amp; revenue'!AS37*Scheme_Rate</f>
        <v>23761503.1632052</v>
      </c>
      <c r="AT13" s="37" t="n">
        <f aca="false">'Clients &amp; revenue'!AT37*Scheme_Rate</f>
        <v>25055363.0495179</v>
      </c>
      <c r="AU13" s="37" t="n">
        <f aca="false">'Clients &amp; revenue'!AU37*Scheme_Rate</f>
        <v>26340166.2841716</v>
      </c>
      <c r="AV13" s="37" t="n">
        <f aca="false">'Clients &amp; revenue'!AV37*Scheme_Rate</f>
        <v>27616410.127143</v>
      </c>
      <c r="AW13" s="37" t="n">
        <f aca="false">'Clients &amp; revenue'!AW37*Scheme_Rate</f>
        <v>28929107.3736767</v>
      </c>
      <c r="AX13" s="37" t="n">
        <f aca="false">'Clients &amp; revenue'!AX37*Scheme_Rate</f>
        <v>30233751.2571303</v>
      </c>
      <c r="AY13" s="37" t="n">
        <f aca="false">'Clients &amp; revenue'!AY37*Scheme_Rate</f>
        <v>31615446.564144</v>
      </c>
      <c r="AZ13" s="37" t="n">
        <f aca="false">'Clients &amp; revenue'!AZ37*Scheme_Rate</f>
        <v>32989198.2859677</v>
      </c>
      <c r="BA13" s="37" t="n">
        <f aca="false">'Clients &amp; revenue'!BA37*Scheme_Rate</f>
        <v>34478434.7858742</v>
      </c>
      <c r="BB13" s="37" t="n">
        <f aca="false">'Clients &amp; revenue'!BB37*Scheme_Rate</f>
        <v>35959486.0439523</v>
      </c>
      <c r="BC13" s="37" t="n">
        <f aca="false">'Clients &amp; revenue'!BC37*Scheme_Rate</f>
        <v>37477525.7005161</v>
      </c>
      <c r="BD13" s="37" t="n">
        <f aca="false">'Clients &amp; revenue'!BD37*Scheme_Rate</f>
        <v>39028265.6404888</v>
      </c>
      <c r="BE13" s="37" t="n">
        <f aca="false">'Clients &amp; revenue'!BE37*Scheme_Rate</f>
        <v>40616404.9796957</v>
      </c>
      <c r="BF13" s="37" t="n">
        <f aca="false">'Clients &amp; revenue'!BF37*Scheme_Rate</f>
        <v>42197673.7738089</v>
      </c>
      <c r="BG13" s="37" t="n">
        <f aca="false">'Clients &amp; revenue'!BG37*Scheme_Rate</f>
        <v>43857425.4498088</v>
      </c>
      <c r="BH13" s="37" t="n">
        <f aca="false">'Clients &amp; revenue'!BH37*Scheme_Rate</f>
        <v>45510926.2022453</v>
      </c>
      <c r="BI13" s="37" t="n">
        <f aca="false">'Clients &amp; revenue'!BI37*Scheme_Rate</f>
        <v>47203558.9496925</v>
      </c>
      <c r="BJ13" s="37" t="n">
        <f aca="false">'Clients &amp; revenue'!BJ37*Scheme_Rate</f>
        <v>48891206.2153427</v>
      </c>
      <c r="BK13" s="37" t="n">
        <f aca="false">'Clients &amp; revenue'!BK37*Scheme_Rate</f>
        <v>50651753.7683751</v>
      </c>
      <c r="BL13" s="37" t="n">
        <f aca="false">'Clients &amp; revenue'!BL37*Scheme_Rate</f>
        <v>52436380.7577452</v>
      </c>
    </row>
    <row r="14" customFormat="false" ht="15" hidden="false" customHeight="false" outlineLevel="0" collapsed="false">
      <c r="A14" s="12" t="s">
        <v>273</v>
      </c>
      <c r="B14" s="14" t="s">
        <v>71</v>
      </c>
      <c r="D14" s="55" t="n">
        <f aca="false">SUM(E14:BL14)</f>
        <v>549566685.711199</v>
      </c>
      <c r="E14" s="37" t="n">
        <f aca="false">('Clients &amp; revenue'!E36+'Clients &amp; revenue'!E37)*Fraud_Rate</f>
        <v>0</v>
      </c>
      <c r="F14" s="37" t="n">
        <f aca="false">('Clients &amp; revenue'!F36+'Clients &amp; revenue'!F37)*Fraud_Rate</f>
        <v>0</v>
      </c>
      <c r="G14" s="37" t="n">
        <f aca="false">('Clients &amp; revenue'!G36+'Clients &amp; revenue'!G37)*Fraud_Rate</f>
        <v>0</v>
      </c>
      <c r="H14" s="37" t="n">
        <f aca="false">('Clients &amp; revenue'!H36+'Clients &amp; revenue'!H37)*Fraud_Rate</f>
        <v>0</v>
      </c>
      <c r="I14" s="37" t="n">
        <f aca="false">('Clients &amp; revenue'!I36+'Clients &amp; revenue'!I37)*Fraud_Rate</f>
        <v>134472</v>
      </c>
      <c r="J14" s="37" t="n">
        <f aca="false">('Clients &amp; revenue'!J36+'Clients &amp; revenue'!J37)*Fraud_Rate</f>
        <v>268692.96</v>
      </c>
      <c r="K14" s="37" t="n">
        <f aca="false">('Clients &amp; revenue'!K36+'Clients &amp; revenue'!K37)*Fraud_Rate</f>
        <v>402753.2433</v>
      </c>
      <c r="L14" s="37" t="n">
        <f aca="false">('Clients &amp; revenue'!L36+'Clients &amp; revenue'!L37)*Fraud_Rate</f>
        <v>536747.104059</v>
      </c>
      <c r="M14" s="37" t="n">
        <f aca="false">('Clients &amp; revenue'!M36+'Clients &amp; revenue'!M37)*Fraud_Rate</f>
        <v>670772.945528961</v>
      </c>
      <c r="N14" s="37" t="n">
        <f aca="false">('Clients &amp; revenue'!N36+'Clients &amp; revenue'!N37)*Fraud_Rate</f>
        <v>804933.593349733</v>
      </c>
      <c r="O14" s="37" t="n">
        <f aca="false">('Clients &amp; revenue'!O36+'Clients &amp; revenue'!O37)*Fraud_Rate</f>
        <v>939336.58481657</v>
      </c>
      <c r="P14" s="37" t="n">
        <f aca="false">('Clients &amp; revenue'!P36+'Clients &amp; revenue'!P37)*Fraud_Rate</f>
        <v>1074094.47508639</v>
      </c>
      <c r="Q14" s="37" t="n">
        <f aca="false">('Clients &amp; revenue'!Q36+'Clients &amp; revenue'!Q37)*Fraud_Rate</f>
        <v>1250197.16134675</v>
      </c>
      <c r="R14" s="37" t="n">
        <f aca="false">('Clients &amp; revenue'!R36+'Clients &amp; revenue'!R37)*Fraud_Rate</f>
        <v>1426393.18603285</v>
      </c>
      <c r="S14" s="37" t="n">
        <f aca="false">('Clients &amp; revenue'!S36+'Clients &amp; revenue'!S37)*Fraud_Rate</f>
        <v>1602819.29354277</v>
      </c>
      <c r="T14" s="37" t="n">
        <f aca="false">('Clients &amp; revenue'!T36+'Clients &amp; revenue'!T37)*Fraud_Rate</f>
        <v>1779618.54897911</v>
      </c>
      <c r="U14" s="37" t="n">
        <f aca="false">('Clients &amp; revenue'!U36+'Clients &amp; revenue'!U37)*Fraud_Rate</f>
        <v>1956940.74763374</v>
      </c>
      <c r="V14" s="37" t="n">
        <f aca="false">('Clients &amp; revenue'!V36+'Clients &amp; revenue'!V37)*Fraud_Rate</f>
        <v>2134942.84851635</v>
      </c>
      <c r="W14" s="37" t="n">
        <f aca="false">('Clients &amp; revenue'!W36+'Clients &amp; revenue'!W37)*Fraud_Rate</f>
        <v>2434221.43337883</v>
      </c>
      <c r="X14" s="37" t="n">
        <f aca="false">('Clients &amp; revenue'!X36+'Clients &amp; revenue'!X37)*Fraud_Rate</f>
        <v>2733877.35277483</v>
      </c>
      <c r="Y14" s="37" t="n">
        <f aca="false">('Clients &amp; revenue'!Y36+'Clients &amp; revenue'!Y37)*Fraud_Rate</f>
        <v>3034153.0565858</v>
      </c>
      <c r="Z14" s="37" t="n">
        <f aca="false">('Clients &amp; revenue'!Z36+'Clients &amp; revenue'!Z37)*Fraud_Rate</f>
        <v>3335302.38816655</v>
      </c>
      <c r="AA14" s="37" t="n">
        <f aca="false">('Clients &amp; revenue'!AA36+'Clients &amp; revenue'!AA37)*Fraud_Rate</f>
        <v>3637591.31852473</v>
      </c>
      <c r="AB14" s="37" t="n">
        <f aca="false">('Clients &amp; revenue'!AB36+'Clients &amp; revenue'!AB37)*Fraud_Rate</f>
        <v>3964698.72367305</v>
      </c>
      <c r="AC14" s="37" t="n">
        <f aca="false">('Clients &amp; revenue'!AC36+'Clients &amp; revenue'!AC37)*Fraud_Rate</f>
        <v>4375285.20776081</v>
      </c>
      <c r="AD14" s="37" t="n">
        <f aca="false">('Clients &amp; revenue'!AD36+'Clients &amp; revenue'!AD37)*Fraud_Rate</f>
        <v>4786596.12724721</v>
      </c>
      <c r="AE14" s="37" t="n">
        <f aca="false">('Clients &amp; revenue'!AE36+'Clients &amp; revenue'!AE37)*Fraud_Rate</f>
        <v>5198972.49786938</v>
      </c>
      <c r="AF14" s="37" t="n">
        <f aca="false">('Clients &amp; revenue'!AF36+'Clients &amp; revenue'!AF37)*Fraud_Rate</f>
        <v>5636171.5461277</v>
      </c>
      <c r="AG14" s="37" t="n">
        <f aca="false">('Clients &amp; revenue'!AG36+'Clients &amp; revenue'!AG37)*Fraud_Rate</f>
        <v>6074879.74985639</v>
      </c>
      <c r="AH14" s="37" t="n">
        <f aca="false">('Clients &amp; revenue'!AH36+'Clients &amp; revenue'!AH37)*Fraud_Rate</f>
        <v>6515494.01255195</v>
      </c>
      <c r="AI14" s="37" t="n">
        <f aca="false">('Clients &amp; revenue'!AI36+'Clients &amp; revenue'!AI37)*Fraud_Rate</f>
        <v>6958430.69308141</v>
      </c>
      <c r="AJ14" s="37" t="n">
        <f aca="false">('Clients &amp; revenue'!AJ36+'Clients &amp; revenue'!AJ37)*Fraud_Rate</f>
        <v>7427526.84245103</v>
      </c>
      <c r="AK14" s="37" t="n">
        <f aca="false">('Clients &amp; revenue'!AK36+'Clients &amp; revenue'!AK37)*Fraud_Rate</f>
        <v>7899553.51358092</v>
      </c>
      <c r="AL14" s="37" t="n">
        <f aca="false">('Clients &amp; revenue'!AL36+'Clients &amp; revenue'!AL37)*Fraud_Rate</f>
        <v>8374997.22098804</v>
      </c>
      <c r="AM14" s="37" t="n">
        <f aca="false">('Clients &amp; revenue'!AM36+'Clients &amp; revenue'!AM37)*Fraud_Rate</f>
        <v>8877769.2729684</v>
      </c>
      <c r="AN14" s="37" t="n">
        <f aca="false">('Clients &amp; revenue'!AN36+'Clients &amp; revenue'!AN37)*Fraud_Rate</f>
        <v>9405779.32898622</v>
      </c>
      <c r="AO14" s="37" t="n">
        <f aca="false">('Clients &amp; revenue'!AO36+'Clients &amp; revenue'!AO37)*Fraud_Rate</f>
        <v>9979149.92180449</v>
      </c>
      <c r="AP14" s="37" t="n">
        <f aca="false">('Clients &amp; revenue'!AP36+'Clients &amp; revenue'!AP37)*Fraud_Rate</f>
        <v>10580509.0930883</v>
      </c>
      <c r="AQ14" s="37" t="n">
        <f aca="false">('Clients &amp; revenue'!AQ36+'Clients &amp; revenue'!AQ37)*Fraud_Rate</f>
        <v>11186810.5155649</v>
      </c>
      <c r="AR14" s="37" t="n">
        <f aca="false">('Clients &amp; revenue'!AR36+'Clients &amp; revenue'!AR37)*Fraud_Rate</f>
        <v>11822133.2625705</v>
      </c>
      <c r="AS14" s="37" t="n">
        <f aca="false">('Clients &amp; revenue'!AS36+'Clients &amp; revenue'!AS37)*Fraud_Rate</f>
        <v>12460058.0557665</v>
      </c>
      <c r="AT14" s="37" t="n">
        <f aca="false">('Clients &amp; revenue'!AT36+'Clients &amp; revenue'!AT37)*Fraud_Rate</f>
        <v>13137850.300984</v>
      </c>
      <c r="AU14" s="37" t="n">
        <f aca="false">('Clients &amp; revenue'!AU36+'Clients &amp; revenue'!AU37)*Fraud_Rate</f>
        <v>13810752.5246321</v>
      </c>
      <c r="AV14" s="37" t="n">
        <f aca="false">('Clients &amp; revenue'!AV36+'Clients &amp; revenue'!AV37)*Fraud_Rate</f>
        <v>14479029.7779986</v>
      </c>
      <c r="AW14" s="37" t="n">
        <f aca="false">('Clients &amp; revenue'!AW36+'Clients &amp; revenue'!AW37)*Fraud_Rate</f>
        <v>15166355.1489154</v>
      </c>
      <c r="AX14" s="37" t="n">
        <f aca="false">('Clients &amp; revenue'!AX36+'Clients &amp; revenue'!AX37)*Fraud_Rate</f>
        <v>15849322.3682957</v>
      </c>
      <c r="AY14" s="37" t="n">
        <f aca="false">('Clients &amp; revenue'!AY36+'Clients &amp; revenue'!AY37)*Fraud_Rate</f>
        <v>16572686.5234288</v>
      </c>
      <c r="AZ14" s="37" t="n">
        <f aca="false">('Clients &amp; revenue'!AZ36+'Clients &amp; revenue'!AZ37)*Fraud_Rate</f>
        <v>17291745.3980483</v>
      </c>
      <c r="BA14" s="37" t="n">
        <f aca="false">('Clients &amp; revenue'!BA36+'Clients &amp; revenue'!BA37)*Fraud_Rate</f>
        <v>18071406.3269065</v>
      </c>
      <c r="BB14" s="37" t="n">
        <f aca="false">('Clients &amp; revenue'!BB36+'Clients &amp; revenue'!BB37)*Fraud_Rate</f>
        <v>18846625.0130563</v>
      </c>
      <c r="BC14" s="37" t="n">
        <f aca="false">('Clients &amp; revenue'!BC36+'Clients &amp; revenue'!BC37)*Fraud_Rate</f>
        <v>19641159.3311811</v>
      </c>
      <c r="BD14" s="37" t="n">
        <f aca="false">('Clients &amp; revenue'!BD36+'Clients &amp; revenue'!BD37)*Fraud_Rate</f>
        <v>20452751.8784925</v>
      </c>
      <c r="BE14" s="37" t="n">
        <f aca="false">('Clients &amp; revenue'!BE36+'Clients &amp; revenue'!BE37)*Fraud_Rate</f>
        <v>21283871.7483189</v>
      </c>
      <c r="BF14" s="37" t="n">
        <f aca="false">('Clients &amp; revenue'!BF36+'Clients &amp; revenue'!BF37)*Fraud_Rate</f>
        <v>22111237.4110748</v>
      </c>
      <c r="BG14" s="37" t="n">
        <f aca="false">('Clients &amp; revenue'!BG36+'Clients &amp; revenue'!BG37)*Fraud_Rate</f>
        <v>22979734.8721504</v>
      </c>
      <c r="BH14" s="37" t="n">
        <f aca="false">('Clients &amp; revenue'!BH36+'Clients &amp; revenue'!BH37)*Fraud_Rate</f>
        <v>23844799.4027571</v>
      </c>
      <c r="BI14" s="37" t="n">
        <f aca="false">('Clients &amp; revenue'!BI36+'Clients &amp; revenue'!BI37)*Fraud_Rate</f>
        <v>24730298.8083889</v>
      </c>
      <c r="BJ14" s="37" t="n">
        <f aca="false">('Clients &amp; revenue'!BJ36+'Clients &amp; revenue'!BJ37)*Fraud_Rate</f>
        <v>25613031.5644925</v>
      </c>
      <c r="BK14" s="37" t="n">
        <f aca="false">('Clients &amp; revenue'!BK36+'Clients &amp; revenue'!BK37)*Fraud_Rate</f>
        <v>26533956.6767248</v>
      </c>
      <c r="BL14" s="37" t="n">
        <f aca="false">('Clients &amp; revenue'!BL36+'Clients &amp; revenue'!BL37)*Fraud_Rate</f>
        <v>27467394.8077919</v>
      </c>
    </row>
    <row r="15" customFormat="false" ht="15" hidden="false" customHeight="false" outlineLevel="0" collapsed="false">
      <c r="A15" s="12" t="s">
        <v>816</v>
      </c>
      <c r="B15" s="14" t="s">
        <v>71</v>
      </c>
      <c r="D15" s="55" t="n">
        <f aca="false">SUM(E15:BL15)</f>
        <v>1614182454.58789</v>
      </c>
      <c r="E15" s="37" t="n">
        <f aca="false">'Clients &amp; revenue'!E39*Wallet_Share*Wallet_Payout_Cost</f>
        <v>0</v>
      </c>
      <c r="F15" s="37" t="n">
        <f aca="false">'Clients &amp; revenue'!F39*Wallet_Share*Wallet_Payout_Cost</f>
        <v>0</v>
      </c>
      <c r="G15" s="37" t="n">
        <f aca="false">'Clients &amp; revenue'!G39*Wallet_Share*Wallet_Payout_Cost</f>
        <v>0</v>
      </c>
      <c r="H15" s="37" t="n">
        <f aca="false">'Clients &amp; revenue'!H39*Wallet_Share*Wallet_Payout_Cost</f>
        <v>0</v>
      </c>
      <c r="I15" s="37" t="n">
        <f aca="false">'Clients &amp; revenue'!I39*Wallet_Share*Wallet_Payout_Cost</f>
        <v>387900</v>
      </c>
      <c r="J15" s="37" t="n">
        <f aca="false">'Clients &amp; revenue'!J39*Wallet_Share*Wallet_Payout_Cost</f>
        <v>775647.75</v>
      </c>
      <c r="K15" s="37" t="n">
        <f aca="false">'Clients &amp; revenue'!K39*Wallet_Share*Wallet_Payout_Cost</f>
        <v>1163494.903125</v>
      </c>
      <c r="L15" s="37" t="n">
        <f aca="false">'Clients &amp; revenue'!L39*Wallet_Share*Wallet_Payout_Cost</f>
        <v>1551704.85486094</v>
      </c>
      <c r="M15" s="37" t="n">
        <f aca="false">'Clients &amp; revenue'!M39*Wallet_Share*Wallet_Payout_Cost</f>
        <v>1940553.49702949</v>
      </c>
      <c r="N15" s="37" t="n">
        <f aca="false">'Clients &amp; revenue'!N39*Wallet_Share*Wallet_Payout_Cost</f>
        <v>2330330.01619249</v>
      </c>
      <c r="O15" s="37" t="n">
        <f aca="false">'Clients &amp; revenue'!O39*Wallet_Share*Wallet_Payout_Cost</f>
        <v>2721337.73916597</v>
      </c>
      <c r="P15" s="37" t="n">
        <f aca="false">'Clients &amp; revenue'!P39*Wallet_Share*Wallet_Payout_Cost</f>
        <v>3113895.02848445</v>
      </c>
      <c r="Q15" s="37" t="n">
        <f aca="false">'Clients &amp; revenue'!Q39*Wallet_Share*Wallet_Payout_Cost</f>
        <v>3626236.23082605</v>
      </c>
      <c r="R15" s="37" t="n">
        <f aca="false">'Clients &amp; revenue'!R39*Wallet_Share*Wallet_Payout_Cost</f>
        <v>4139535.43158974</v>
      </c>
      <c r="S15" s="37" t="n">
        <f aca="false">'Clients &amp; revenue'!S39*Wallet_Share*Wallet_Payout_Cost</f>
        <v>4654177.98463197</v>
      </c>
      <c r="T15" s="37" t="n">
        <f aca="false">'Clients &amp; revenue'!T39*Wallet_Share*Wallet_Payout_Cost</f>
        <v>5170568.19482734</v>
      </c>
      <c r="U15" s="37" t="n">
        <f aca="false">'Clients &amp; revenue'!U39*Wallet_Share*Wallet_Payout_Cost</f>
        <v>5689130.51589262</v>
      </c>
      <c r="V15" s="37" t="n">
        <f aca="false">'Clients &amp; revenue'!V39*Wallet_Share*Wallet_Payout_Cost</f>
        <v>6210310.81909396</v>
      </c>
      <c r="W15" s="37" t="n">
        <f aca="false">'Clients &amp; revenue'!W39*Wallet_Share*Wallet_Payout_Cost</f>
        <v>7081977.73710754</v>
      </c>
      <c r="X15" s="37" t="n">
        <f aca="false">'Clients &amp; revenue'!X39*Wallet_Share*Wallet_Payout_Cost</f>
        <v>7955890.58755982</v>
      </c>
      <c r="Y15" s="37" t="n">
        <f aca="false">'Clients &amp; revenue'!Y39*Wallet_Share*Wallet_Payout_Cost</f>
        <v>8832734.39979489</v>
      </c>
      <c r="Z15" s="37" t="n">
        <f aca="false">'Clients &amp; revenue'!Z39*Wallet_Share*Wallet_Payout_Cost</f>
        <v>9713228.31636936</v>
      </c>
      <c r="AA15" s="37" t="n">
        <f aca="false">'Clients &amp; revenue'!AA39*Wallet_Share*Wallet_Payout_Cost</f>
        <v>10598127.741541</v>
      </c>
      <c r="AB15" s="37" t="n">
        <f aca="false">'Clients &amp; revenue'!AB39*Wallet_Share*Wallet_Payout_Cost</f>
        <v>11555726.6170175</v>
      </c>
      <c r="AC15" s="37" t="n">
        <f aca="false">'Clients &amp; revenue'!AC39*Wallet_Share*Wallet_Payout_Cost</f>
        <v>12755328.5826305</v>
      </c>
      <c r="AD15" s="37" t="n">
        <f aca="false">'Clients &amp; revenue'!AD39*Wallet_Share*Wallet_Payout_Cost</f>
        <v>13958556.9206824</v>
      </c>
      <c r="AE15" s="37" t="n">
        <f aca="false">'Clients &amp; revenue'!AE39*Wallet_Share*Wallet_Payout_Cost</f>
        <v>15166377.2926956</v>
      </c>
      <c r="AF15" s="37" t="n">
        <f aca="false">'Clients &amp; revenue'!AF39*Wallet_Share*Wallet_Payout_Cost</f>
        <v>16447303.844719</v>
      </c>
      <c r="AG15" s="37" t="n">
        <f aca="false">'Clients &amp; revenue'!AG39*Wallet_Share*Wallet_Payout_Cost</f>
        <v>17734171.0033982</v>
      </c>
      <c r="AH15" s="37" t="n">
        <f aca="false">'Clients &amp; revenue'!AH39*Wallet_Share*Wallet_Payout_Cost</f>
        <v>19028108.3432203</v>
      </c>
      <c r="AI15" s="37" t="n">
        <f aca="false">'Clients &amp; revenue'!AI39*Wallet_Share*Wallet_Payout_Cost</f>
        <v>20330303.4827977</v>
      </c>
      <c r="AJ15" s="37" t="n">
        <f aca="false">'Clients &amp; revenue'!AJ39*Wallet_Share*Wallet_Payout_Cost</f>
        <v>21709505.7079586</v>
      </c>
      <c r="AK15" s="37" t="n">
        <f aca="false">'Clients &amp; revenue'!AK39*Wallet_Share*Wallet_Payout_Cost</f>
        <v>23098798.5599585</v>
      </c>
      <c r="AL15" s="37" t="n">
        <f aca="false">'Clients &amp; revenue'!AL39*Wallet_Share*Wallet_Payout_Cost</f>
        <v>24499575.5423874</v>
      </c>
      <c r="AM15" s="37" t="n">
        <f aca="false">'Clients &amp; revenue'!AM39*Wallet_Share*Wallet_Payout_Cost</f>
        <v>25980803.9074854</v>
      </c>
      <c r="AN15" s="37" t="n">
        <f aca="false">'Clients &amp; revenue'!AN39*Wallet_Share*Wallet_Payout_Cost</f>
        <v>27536547.9726572</v>
      </c>
      <c r="AO15" s="37" t="n">
        <f aca="false">'Clients &amp; revenue'!AO39*Wallet_Share*Wallet_Payout_Cost</f>
        <v>29224937.4743297</v>
      </c>
      <c r="AP15" s="37" t="n">
        <f aca="false">'Clients &amp; revenue'!AP39*Wallet_Share*Wallet_Payout_Cost</f>
        <v>30996029.3990511</v>
      </c>
      <c r="AQ15" s="37" t="n">
        <f aca="false">'Clients &amp; revenue'!AQ39*Wallet_Share*Wallet_Payout_Cost</f>
        <v>32783436.1633145</v>
      </c>
      <c r="AR15" s="37" t="n">
        <f aca="false">'Clients &amp; revenue'!AR39*Wallet_Share*Wallet_Payout_Cost</f>
        <v>34656609.5688949</v>
      </c>
      <c r="AS15" s="37" t="n">
        <f aca="false">'Clients &amp; revenue'!AS39*Wallet_Share*Wallet_Payout_Cost</f>
        <v>36539435.6272943</v>
      </c>
      <c r="AT15" s="37" t="n">
        <f aca="false">'Clients &amp; revenue'!AT39*Wallet_Share*Wallet_Payout_Cost</f>
        <v>38539392.5097636</v>
      </c>
      <c r="AU15" s="37" t="n">
        <f aca="false">'Clients &amp; revenue'!AU39*Wallet_Share*Wallet_Payout_Cost</f>
        <v>40527512.6957316</v>
      </c>
      <c r="AV15" s="37" t="n">
        <f aca="false">'Clients &amp; revenue'!AV39*Wallet_Share*Wallet_Payout_Cost</f>
        <v>42504509.0550533</v>
      </c>
      <c r="AW15" s="37" t="n">
        <f aca="false">'Clients &amp; revenue'!AW39*Wallet_Share*Wallet_Payout_Cost</f>
        <v>44538619.513618</v>
      </c>
      <c r="AX15" s="37" t="n">
        <f aca="false">'Clients &amp; revenue'!AX39*Wallet_Share*Wallet_Payout_Cost</f>
        <v>46562377.5599051</v>
      </c>
      <c r="AY15" s="37" t="n">
        <f aca="false">'Clients &amp; revenue'!AY39*Wallet_Share*Wallet_Payout_Cost</f>
        <v>48704835.7435095</v>
      </c>
      <c r="AZ15" s="37" t="n">
        <f aca="false">'Clients &amp; revenue'!AZ39*Wallet_Share*Wallet_Payout_Cost</f>
        <v>50837187.7437795</v>
      </c>
      <c r="BA15" s="37" t="n">
        <f aca="false">'Clients &amp; revenue'!BA39*Wallet_Share*Wallet_Payout_Cost</f>
        <v>53146616.5685175</v>
      </c>
      <c r="BB15" s="37" t="n">
        <f aca="false">'Clients &amp; revenue'!BB39*Wallet_Share*Wallet_Payout_Cost</f>
        <v>55445721.5150398</v>
      </c>
      <c r="BC15" s="37" t="n">
        <f aca="false">'Clients &amp; revenue'!BC39*Wallet_Share*Wallet_Payout_Cost</f>
        <v>57802982.2329049</v>
      </c>
      <c r="BD15" s="37" t="n">
        <f aca="false">'Clients &amp; revenue'!BD39*Wallet_Share*Wallet_Payout_Cost</f>
        <v>60211936.1043659</v>
      </c>
      <c r="BE15" s="37" t="n">
        <f aca="false">'Clients &amp; revenue'!BE39*Wallet_Share*Wallet_Payout_Cost</f>
        <v>62679744.3804292</v>
      </c>
      <c r="BF15" s="37" t="n">
        <f aca="false">'Clients &amp; revenue'!BF39*Wallet_Share*Wallet_Payout_Cost</f>
        <v>65139297.6588361</v>
      </c>
      <c r="BG15" s="37" t="n">
        <f aca="false">'Clients &amp; revenue'!BG39*Wallet_Share*Wallet_Payout_Cost</f>
        <v>67720023.9923724</v>
      </c>
      <c r="BH15" s="37" t="n">
        <f aca="false">'Clients &amp; revenue'!BH39*Wallet_Share*Wallet_Payout_Cost</f>
        <v>70293512.1030124</v>
      </c>
      <c r="BI15" s="37" t="n">
        <f aca="false">'Clients &amp; revenue'!BI39*Wallet_Share*Wallet_Payout_Cost</f>
        <v>72928560.7942064</v>
      </c>
      <c r="BJ15" s="37" t="n">
        <f aca="false">'Clients &amp; revenue'!BJ39*Wallet_Share*Wallet_Payout_Cost</f>
        <v>75558294.1977001</v>
      </c>
      <c r="BK15" s="37" t="n">
        <f aca="false">'Clients &amp; revenue'!BK39*Wallet_Share*Wallet_Payout_Cost</f>
        <v>78300815.5345877</v>
      </c>
      <c r="BL15" s="37" t="n">
        <f aca="false">'Clients &amp; revenue'!BL39*Wallet_Share*Wallet_Payout_Cost</f>
        <v>81082176.9259709</v>
      </c>
    </row>
    <row r="16" customFormat="false" ht="15" hidden="false" customHeight="false" outlineLevel="0" collapsed="false">
      <c r="A16" s="12" t="s">
        <v>555</v>
      </c>
      <c r="B16" s="14" t="s">
        <v>71</v>
      </c>
      <c r="D16" s="55" t="n">
        <f aca="false">SUM(E16:BL16)</f>
        <v>215224327.278385</v>
      </c>
      <c r="E16" s="37" t="n">
        <f aca="false">'Clients &amp; revenue'!E31*(1-Wallet_Share)*Bank_Payout_Cost</f>
        <v>0</v>
      </c>
      <c r="F16" s="37" t="n">
        <f aca="false">'Clients &amp; revenue'!F31*(1-Wallet_Share)*Bank_Payout_Cost</f>
        <v>0</v>
      </c>
      <c r="G16" s="37" t="n">
        <f aca="false">'Clients &amp; revenue'!G31*(1-Wallet_Share)*Bank_Payout_Cost</f>
        <v>0</v>
      </c>
      <c r="H16" s="37" t="n">
        <f aca="false">'Clients &amp; revenue'!H31*(1-Wallet_Share)*Bank_Payout_Cost</f>
        <v>0</v>
      </c>
      <c r="I16" s="37" t="n">
        <f aca="false">'Clients &amp; revenue'!I31*(1-Wallet_Share)*Bank_Payout_Cost</f>
        <v>51720</v>
      </c>
      <c r="J16" s="37" t="n">
        <f aca="false">'Clients &amp; revenue'!J31*(1-Wallet_Share)*Bank_Payout_Cost</f>
        <v>103419.7</v>
      </c>
      <c r="K16" s="37" t="n">
        <f aca="false">'Clients &amp; revenue'!K31*(1-Wallet_Share)*Bank_Payout_Cost</f>
        <v>155132.65375</v>
      </c>
      <c r="L16" s="37" t="n">
        <f aca="false">'Clients &amp; revenue'!L31*(1-Wallet_Share)*Bank_Payout_Cost</f>
        <v>206893.980648125</v>
      </c>
      <c r="M16" s="37" t="n">
        <f aca="false">'Clients &amp; revenue'!M31*(1-Wallet_Share)*Bank_Payout_Cost</f>
        <v>258740.466270599</v>
      </c>
      <c r="N16" s="37" t="n">
        <f aca="false">'Clients &amp; revenue'!N31*(1-Wallet_Share)*Bank_Payout_Cost</f>
        <v>310710.668825665</v>
      </c>
      <c r="O16" s="37" t="n">
        <f aca="false">'Clients &amp; revenue'!O31*(1-Wallet_Share)*Bank_Payout_Cost</f>
        <v>362845.031888796</v>
      </c>
      <c r="P16" s="37" t="n">
        <f aca="false">'Clients &amp; revenue'!P31*(1-Wallet_Share)*Bank_Payout_Cost</f>
        <v>415186.003797926</v>
      </c>
      <c r="Q16" s="37" t="n">
        <f aca="false">'Clients &amp; revenue'!Q31*(1-Wallet_Share)*Bank_Payout_Cost</f>
        <v>483498.16411014</v>
      </c>
      <c r="R16" s="37" t="n">
        <f aca="false">'Clients &amp; revenue'!R31*(1-Wallet_Share)*Bank_Payout_Cost</f>
        <v>551938.057545299</v>
      </c>
      <c r="S16" s="37" t="n">
        <f aca="false">'Clients &amp; revenue'!S31*(1-Wallet_Share)*Bank_Payout_Cost</f>
        <v>620557.064617596</v>
      </c>
      <c r="T16" s="37" t="n">
        <f aca="false">'Clients &amp; revenue'!T31*(1-Wallet_Share)*Bank_Payout_Cost</f>
        <v>689409.092643645</v>
      </c>
      <c r="U16" s="37" t="n">
        <f aca="false">'Clients &amp; revenue'!U31*(1-Wallet_Share)*Bank_Payout_Cost</f>
        <v>758550.735452349</v>
      </c>
      <c r="V16" s="37" t="n">
        <f aca="false">'Clients &amp; revenue'!V31*(1-Wallet_Share)*Bank_Payout_Cost</f>
        <v>828041.442545862</v>
      </c>
      <c r="W16" s="37" t="n">
        <f aca="false">'Clients &amp; revenue'!W31*(1-Wallet_Share)*Bank_Payout_Cost</f>
        <v>944263.698281006</v>
      </c>
      <c r="X16" s="37" t="n">
        <f aca="false">'Clients &amp; revenue'!X31*(1-Wallet_Share)*Bank_Payout_Cost</f>
        <v>1060785.41167464</v>
      </c>
      <c r="Y16" s="37" t="n">
        <f aca="false">'Clients &amp; revenue'!Y31*(1-Wallet_Share)*Bank_Payout_Cost</f>
        <v>1177697.91997265</v>
      </c>
      <c r="Z16" s="37" t="n">
        <f aca="false">'Clients &amp; revenue'!Z31*(1-Wallet_Share)*Bank_Payout_Cost</f>
        <v>1295097.10884925</v>
      </c>
      <c r="AA16" s="37" t="n">
        <f aca="false">'Clients &amp; revenue'!AA31*(1-Wallet_Share)*Bank_Payout_Cost</f>
        <v>1413083.69887213</v>
      </c>
      <c r="AB16" s="37" t="n">
        <f aca="false">'Clients &amp; revenue'!AB31*(1-Wallet_Share)*Bank_Payout_Cost</f>
        <v>1540763.54893567</v>
      </c>
      <c r="AC16" s="37" t="n">
        <f aca="false">'Clients &amp; revenue'!AC31*(1-Wallet_Share)*Bank_Payout_Cost</f>
        <v>1700710.47768407</v>
      </c>
      <c r="AD16" s="37" t="n">
        <f aca="false">'Clients &amp; revenue'!AD31*(1-Wallet_Share)*Bank_Payout_Cost</f>
        <v>1861140.92275766</v>
      </c>
      <c r="AE16" s="37" t="n">
        <f aca="false">'Clients &amp; revenue'!AE31*(1-Wallet_Share)*Bank_Payout_Cost</f>
        <v>2022183.63902608</v>
      </c>
      <c r="AF16" s="37" t="n">
        <f aca="false">'Clients &amp; revenue'!AF31*(1-Wallet_Share)*Bank_Payout_Cost</f>
        <v>2192973.84596253</v>
      </c>
      <c r="AG16" s="37" t="n">
        <f aca="false">'Clients &amp; revenue'!AG31*(1-Wallet_Share)*Bank_Payout_Cost</f>
        <v>2364556.13378642</v>
      </c>
      <c r="AH16" s="37" t="n">
        <f aca="false">'Clients &amp; revenue'!AH31*(1-Wallet_Share)*Bank_Payout_Cost</f>
        <v>2537081.11242937</v>
      </c>
      <c r="AI16" s="37" t="n">
        <f aca="false">'Clients &amp; revenue'!AI31*(1-Wallet_Share)*Bank_Payout_Cost</f>
        <v>2710707.1310397</v>
      </c>
      <c r="AJ16" s="37" t="n">
        <f aca="false">'Clients &amp; revenue'!AJ31*(1-Wallet_Share)*Bank_Payout_Cost</f>
        <v>2894600.76106114</v>
      </c>
      <c r="AK16" s="37" t="n">
        <f aca="false">'Clients &amp; revenue'!AK31*(1-Wallet_Share)*Bank_Payout_Cost</f>
        <v>3079839.80799446</v>
      </c>
      <c r="AL16" s="37" t="n">
        <f aca="false">'Clients &amp; revenue'!AL31*(1-Wallet_Share)*Bank_Payout_Cost</f>
        <v>3266610.07231832</v>
      </c>
      <c r="AM16" s="37" t="n">
        <f aca="false">'Clients &amp; revenue'!AM31*(1-Wallet_Share)*Bank_Payout_Cost</f>
        <v>3464107.18766473</v>
      </c>
      <c r="AN16" s="37" t="n">
        <f aca="false">'Clients &amp; revenue'!AN31*(1-Wallet_Share)*Bank_Payout_Cost</f>
        <v>3671539.72968763</v>
      </c>
      <c r="AO16" s="37" t="n">
        <f aca="false">'Clients &amp; revenue'!AO31*(1-Wallet_Share)*Bank_Payout_Cost</f>
        <v>3896658.32991063</v>
      </c>
      <c r="AP16" s="37" t="n">
        <f aca="false">'Clients &amp; revenue'!AP31*(1-Wallet_Share)*Bank_Payout_Cost</f>
        <v>4132803.91987348</v>
      </c>
      <c r="AQ16" s="37" t="n">
        <f aca="false">'Clients &amp; revenue'!AQ31*(1-Wallet_Share)*Bank_Payout_Cost</f>
        <v>4371124.82177527</v>
      </c>
      <c r="AR16" s="37" t="n">
        <f aca="false">'Clients &amp; revenue'!AR31*(1-Wallet_Share)*Bank_Payout_Cost</f>
        <v>4620881.27585265</v>
      </c>
      <c r="AS16" s="37" t="n">
        <f aca="false">'Clients &amp; revenue'!AS31*(1-Wallet_Share)*Bank_Payout_Cost</f>
        <v>4871924.7503059</v>
      </c>
      <c r="AT16" s="37" t="n">
        <f aca="false">'Clients &amp; revenue'!AT31*(1-Wallet_Share)*Bank_Payout_Cost</f>
        <v>5138585.66796848</v>
      </c>
      <c r="AU16" s="37" t="n">
        <f aca="false">'Clients &amp; revenue'!AU31*(1-Wallet_Share)*Bank_Payout_Cost</f>
        <v>5403668.35943088</v>
      </c>
      <c r="AV16" s="37" t="n">
        <f aca="false">'Clients &amp; revenue'!AV31*(1-Wallet_Share)*Bank_Payout_Cost</f>
        <v>5667267.87400711</v>
      </c>
      <c r="AW16" s="37" t="n">
        <f aca="false">'Clients &amp; revenue'!AW31*(1-Wallet_Share)*Bank_Payout_Cost</f>
        <v>5938482.60181573</v>
      </c>
      <c r="AX16" s="37" t="n">
        <f aca="false">'Clients &amp; revenue'!AX31*(1-Wallet_Share)*Bank_Payout_Cost</f>
        <v>6208317.00798735</v>
      </c>
      <c r="AY16" s="37" t="n">
        <f aca="false">'Clients &amp; revenue'!AY31*(1-Wallet_Share)*Bank_Payout_Cost</f>
        <v>6493978.0991346</v>
      </c>
      <c r="AZ16" s="37" t="n">
        <f aca="false">'Clients &amp; revenue'!AZ31*(1-Wallet_Share)*Bank_Payout_Cost</f>
        <v>6778291.69917059</v>
      </c>
      <c r="BA16" s="37" t="n">
        <f aca="false">'Clients &amp; revenue'!BA31*(1-Wallet_Share)*Bank_Payout_Cost</f>
        <v>7086215.542469</v>
      </c>
      <c r="BB16" s="37" t="n">
        <f aca="false">'Clients &amp; revenue'!BB31*(1-Wallet_Share)*Bank_Payout_Cost</f>
        <v>7392762.86867197</v>
      </c>
      <c r="BC16" s="37" t="n">
        <f aca="false">'Clients &amp; revenue'!BC31*(1-Wallet_Share)*Bank_Payout_Cost</f>
        <v>7707064.29772066</v>
      </c>
      <c r="BD16" s="37" t="n">
        <f aca="false">'Clients &amp; revenue'!BD31*(1-Wallet_Share)*Bank_Payout_Cost</f>
        <v>8028258.14724879</v>
      </c>
      <c r="BE16" s="37" t="n">
        <f aca="false">'Clients &amp; revenue'!BE31*(1-Wallet_Share)*Bank_Payout_Cost</f>
        <v>8357299.25072389</v>
      </c>
      <c r="BF16" s="37" t="n">
        <f aca="false">'Clients &amp; revenue'!BF31*(1-Wallet_Share)*Bank_Payout_Cost</f>
        <v>8685239.68784482</v>
      </c>
      <c r="BG16" s="37" t="n">
        <f aca="false">'Clients &amp; revenue'!BG31*(1-Wallet_Share)*Bank_Payout_Cost</f>
        <v>9029336.53231632</v>
      </c>
      <c r="BH16" s="37" t="n">
        <f aca="false">'Clients &amp; revenue'!BH31*(1-Wallet_Share)*Bank_Payout_Cost</f>
        <v>9372468.28040166</v>
      </c>
      <c r="BI16" s="37" t="n">
        <f aca="false">'Clients &amp; revenue'!BI31*(1-Wallet_Share)*Bank_Payout_Cost</f>
        <v>9723808.10589419</v>
      </c>
      <c r="BJ16" s="37" t="n">
        <f aca="false">'Clients &amp; revenue'!BJ31*(1-Wallet_Share)*Bank_Payout_Cost</f>
        <v>10074439.22636</v>
      </c>
      <c r="BK16" s="37" t="n">
        <f aca="false">'Clients &amp; revenue'!BK31*(1-Wallet_Share)*Bank_Payout_Cost</f>
        <v>10440108.737945</v>
      </c>
      <c r="BL16" s="37" t="n">
        <f aca="false">'Clients &amp; revenue'!BL31*(1-Wallet_Share)*Bank_Payout_Cost</f>
        <v>10810956.9234628</v>
      </c>
    </row>
    <row r="17" customFormat="false" ht="15" hidden="false" customHeight="false" outlineLevel="0" collapsed="false">
      <c r="A17" s="12" t="s">
        <v>557</v>
      </c>
      <c r="B17" s="14" t="s">
        <v>71</v>
      </c>
      <c r="D17" s="55" t="n">
        <f aca="false">SUM(E17:BL17)</f>
        <v>781882913.451323</v>
      </c>
      <c r="E17" s="37" t="n">
        <f aca="false">'Clients &amp; revenue'!E40*Supplier_Payout_Cost</f>
        <v>0</v>
      </c>
      <c r="F17" s="37" t="n">
        <f aca="false">'Clients &amp; revenue'!F40*Supplier_Payout_Cost</f>
        <v>0</v>
      </c>
      <c r="G17" s="37" t="n">
        <f aca="false">'Clients &amp; revenue'!G40*Supplier_Payout_Cost</f>
        <v>0</v>
      </c>
      <c r="H17" s="37" t="n">
        <f aca="false">'Clients &amp; revenue'!H40*Supplier_Payout_Cost</f>
        <v>0</v>
      </c>
      <c r="I17" s="37" t="n">
        <f aca="false">'Clients &amp; revenue'!I40*Supplier_Payout_Cost</f>
        <v>189640</v>
      </c>
      <c r="J17" s="37" t="n">
        <f aca="false">'Clients &amp; revenue'!J40*Supplier_Payout_Cost</f>
        <v>379061.9</v>
      </c>
      <c r="K17" s="37" t="n">
        <f aca="false">'Clients &amp; revenue'!K40*Supplier_Payout_Cost</f>
        <v>568390.96575</v>
      </c>
      <c r="L17" s="37" t="n">
        <f aca="false">'Clients &amp; revenue'!L40*Supplier_Payout_Cost</f>
        <v>757758.074231875</v>
      </c>
      <c r="M17" s="37" t="n">
        <f aca="false">'Clients &amp; revenue'!M40*Supplier_Payout_Cost</f>
        <v>947300.079954074</v>
      </c>
      <c r="N17" s="37" t="n">
        <f aca="false">'Clients &amp; revenue'!N40*Supplier_Payout_Cost</f>
        <v>1137160.20272021</v>
      </c>
      <c r="O17" s="37" t="n">
        <f aca="false">'Clients &amp; revenue'!O40*Supplier_Payout_Cost</f>
        <v>1327488.43816908</v>
      </c>
      <c r="P17" s="37" t="n">
        <f aca="false">'Clients &amp; revenue'!P40*Supplier_Payout_Cost</f>
        <v>1518441.9924613</v>
      </c>
      <c r="Q17" s="37" t="n">
        <f aca="false">'Clients &amp; revenue'!Q40*Supplier_Payout_Cost</f>
        <v>1767825.74257019</v>
      </c>
      <c r="R17" s="37" t="n">
        <f aca="false">'Clients &amp; revenue'!R40*Supplier_Payout_Cost</f>
        <v>2017504.62372162</v>
      </c>
      <c r="S17" s="37" t="n">
        <f aca="false">'Clients &amp; revenue'!S40*Supplier_Payout_Cost</f>
        <v>2267669.28637033</v>
      </c>
      <c r="T17" s="37" t="n">
        <f aca="false">'Clients &amp; revenue'!T40*Supplier_Payout_Cost</f>
        <v>2518519.46636752</v>
      </c>
      <c r="U17" s="37" t="n">
        <f aca="false">'Clients &amp; revenue'!U40*Supplier_Payout_Cost</f>
        <v>2770264.56634171</v>
      </c>
      <c r="V17" s="37" t="n">
        <f aca="false">'Clients &amp; revenue'!V40*Supplier_Payout_Cost</f>
        <v>3023124.27135011</v>
      </c>
      <c r="W17" s="37" t="n">
        <f aca="false">'Clients &amp; revenue'!W40*Supplier_Payout_Cost</f>
        <v>3447169.20086758</v>
      </c>
      <c r="X17" s="37" t="n">
        <f aca="false">'Clients &amp; revenue'!X40*Supplier_Payout_Cost</f>
        <v>3872020.99930426</v>
      </c>
      <c r="Y17" s="37" t="n">
        <f aca="false">'Clients &amp; revenue'!Y40*Supplier_Payout_Cost</f>
        <v>4298018.12187432</v>
      </c>
      <c r="Z17" s="37" t="n">
        <f aca="false">'Clients &amp; revenue'!Z40*Supplier_Payout_Cost</f>
        <v>4725515.38941835</v>
      </c>
      <c r="AA17" s="37" t="n">
        <f aca="false">'Clients &amp; revenue'!AA40*Supplier_Payout_Cost</f>
        <v>5154885.03099182</v>
      </c>
      <c r="AB17" s="37" t="n">
        <f aca="false">'Clients &amp; revenue'!AB40*Supplier_Payout_Cost</f>
        <v>5619517.7879852</v>
      </c>
      <c r="AC17" s="37" t="n">
        <f aca="false">'Clients &amp; revenue'!AC40*Supplier_Payout_Cost</f>
        <v>6202161.58348594</v>
      </c>
      <c r="AD17" s="37" t="n">
        <f aca="false">'Clients &amp; revenue'!AD40*Supplier_Payout_Cost</f>
        <v>6786191.57956508</v>
      </c>
      <c r="AE17" s="37" t="n">
        <f aca="false">'Clients &amp; revenue'!AE40*Supplier_Payout_Cost</f>
        <v>7372084.34239078</v>
      </c>
      <c r="AF17" s="37" t="n">
        <f aca="false">'Clients &amp; revenue'!AF40*Supplier_Payout_Cost</f>
        <v>7993339.71072052</v>
      </c>
      <c r="AG17" s="37" t="n">
        <f aca="false">'Clients &amp; revenue'!AG40*Supplier_Payout_Cost</f>
        <v>8617099.77382159</v>
      </c>
      <c r="AH17" s="37" t="n">
        <f aca="false">'Clients &amp; revenue'!AH40*Supplier_Payout_Cost</f>
        <v>9243920.55544408</v>
      </c>
      <c r="AI17" s="37" t="n">
        <f aca="false">'Clients &amp; revenue'!AI40*Supplier_Payout_Cost</f>
        <v>9874385.97509347</v>
      </c>
      <c r="AJ17" s="37" t="n">
        <f aca="false">'Clients &amp; revenue'!AJ40*Supplier_Payout_Cost</f>
        <v>10542109.6052625</v>
      </c>
      <c r="AK17" s="37" t="n">
        <f aca="false">'Clients &amp; revenue'!AK40*Supplier_Payout_Cost</f>
        <v>11214354.0326954</v>
      </c>
      <c r="AL17" s="37" t="n">
        <f aca="false">'Clients &amp; revenue'!AL40*Supplier_Payout_Cost</f>
        <v>11891802.9487016</v>
      </c>
      <c r="AM17" s="37" t="n">
        <f aca="false">'Clients &amp; revenue'!AM40*Supplier_Payout_Cost</f>
        <v>12608175.5411455</v>
      </c>
      <c r="AN17" s="37" t="n">
        <f aca="false">'Clients &amp; revenue'!AN40*Supplier_Payout_Cost</f>
        <v>13360546.2082356</v>
      </c>
      <c r="AO17" s="37" t="n">
        <f aca="false">'Clients &amp; revenue'!AO40*Supplier_Payout_Cost</f>
        <v>14177312.7724847</v>
      </c>
      <c r="AP17" s="37" t="n">
        <f aca="false">'Clients &amp; revenue'!AP40*Supplier_Payout_Cost</f>
        <v>15034016.2756132</v>
      </c>
      <c r="AQ17" s="37" t="n">
        <f aca="false">'Clients &amp; revenue'!AQ40*Supplier_Payout_Cost</f>
        <v>15898177.3259956</v>
      </c>
      <c r="AR17" s="37" t="n">
        <f aca="false">'Clients &amp; revenue'!AR40*Supplier_Payout_Cost</f>
        <v>16803751.8321419</v>
      </c>
      <c r="AS17" s="37" t="n">
        <f aca="false">'Clients &amp; revenue'!AS40*Supplier_Payout_Cost</f>
        <v>17713504.4497521</v>
      </c>
      <c r="AT17" s="37" t="n">
        <f aca="false">'Clients &amp; revenue'!AT40*Supplier_Payout_Cost</f>
        <v>18679984.550171</v>
      </c>
      <c r="AU17" s="37" t="n">
        <f aca="false">'Clients &amp; revenue'!AU40*Supplier_Payout_Cost</f>
        <v>19640105.9514551</v>
      </c>
      <c r="AV17" s="37" t="n">
        <f aca="false">'Clients &amp; revenue'!AV40*Supplier_Payout_Cost</f>
        <v>20594230.0694382</v>
      </c>
      <c r="AW17" s="37" t="n">
        <f aca="false">'Clients &amp; revenue'!AW40*Supplier_Payout_Cost</f>
        <v>21575730.1026126</v>
      </c>
      <c r="AX17" s="37" t="n">
        <f aca="false">'Clients &amp; revenue'!AX40*Supplier_Payout_Cost</f>
        <v>22551609.3890063</v>
      </c>
      <c r="AY17" s="37" t="n">
        <f aca="false">'Clients &amp; revenue'!AY40*Supplier_Payout_Cost</f>
        <v>23584972.4307223</v>
      </c>
      <c r="AZ17" s="37" t="n">
        <f aca="false">'Clients &amp; revenue'!AZ40*Supplier_Payout_Cost</f>
        <v>24612811.4051041</v>
      </c>
      <c r="BA17" s="37" t="n">
        <f aca="false">'Clients &amp; revenue'!BA40*Supplier_Payout_Cost</f>
        <v>25726650.4043903</v>
      </c>
      <c r="BB17" s="37" t="n">
        <f aca="false">'Clients &amp; revenue'!BB40*Supplier_Payout_Cost</f>
        <v>26834814.1847365</v>
      </c>
      <c r="BC17" s="37" t="n">
        <f aca="false">'Clients &amp; revenue'!BC40*Supplier_Payout_Cost</f>
        <v>27970794.8307548</v>
      </c>
      <c r="BD17" s="37" t="n">
        <f aca="false">'Clients &amp; revenue'!BD40*Supplier_Payout_Cost</f>
        <v>29131420.4155519</v>
      </c>
      <c r="BE17" s="37" t="n">
        <f aca="false">'Clients &amp; revenue'!BE40*Supplier_Payout_Cost</f>
        <v>30320182.145105</v>
      </c>
      <c r="BF17" s="37" t="n">
        <f aca="false">'Clients &amp; revenue'!BF40*Supplier_Payout_Cost</f>
        <v>31504258.6180197</v>
      </c>
      <c r="BG17" s="37" t="n">
        <f aca="false">'Clients &amp; revenue'!BG40*Supplier_Payout_Cost</f>
        <v>32746938.4463644</v>
      </c>
      <c r="BH17" s="37" t="n">
        <f aca="false">'Clients &amp; revenue'!BH40*Supplier_Payout_Cost</f>
        <v>33985407.3222408</v>
      </c>
      <c r="BI17" s="37" t="n">
        <f aca="false">'Clients &amp; revenue'!BI40*Supplier_Payout_Cost</f>
        <v>35253312.8457718</v>
      </c>
      <c r="BJ17" s="37" t="n">
        <f aca="false">'Clients &amp; revenue'!BJ40*Supplier_Payout_Cost</f>
        <v>36517947.097364</v>
      </c>
      <c r="BK17" s="37" t="n">
        <f aca="false">'Clients &amp; revenue'!BK40*Supplier_Payout_Cost</f>
        <v>37837061.3383432</v>
      </c>
      <c r="BL17" s="37" t="n">
        <f aca="false">'Clients &amp; revenue'!BL40*Supplier_Payout_Cost</f>
        <v>39174471.251172</v>
      </c>
    </row>
    <row r="18" customFormat="false" ht="15" hidden="false" customHeight="false" outlineLevel="0" collapsed="false">
      <c r="A18" s="12" t="s">
        <v>559</v>
      </c>
      <c r="B18" s="14" t="s">
        <v>71</v>
      </c>
      <c r="D18" s="55" t="n">
        <f aca="false">SUM(E18:BL18)</f>
        <v>650205521.123283</v>
      </c>
      <c r="E18" s="37" t="n">
        <f aca="false">'Clients &amp; revenue'!E43*PL_Momo_Share*PL_Cost</f>
        <v>0</v>
      </c>
      <c r="F18" s="37" t="n">
        <f aca="false">'Clients &amp; revenue'!F43*PL_Momo_Share*PL_Cost</f>
        <v>0</v>
      </c>
      <c r="G18" s="37" t="n">
        <f aca="false">'Clients &amp; revenue'!G43*PL_Momo_Share*PL_Cost</f>
        <v>0</v>
      </c>
      <c r="H18" s="37" t="n">
        <f aca="false">'Clients &amp; revenue'!H43*PL_Momo_Share*PL_Cost</f>
        <v>0</v>
      </c>
      <c r="I18" s="37" t="n">
        <f aca="false">'Clients &amp; revenue'!I43*PL_Momo_Share*PL_Cost</f>
        <v>0</v>
      </c>
      <c r="J18" s="37" t="n">
        <f aca="false">'Clients &amp; revenue'!J43*PL_Momo_Share*PL_Cost</f>
        <v>0</v>
      </c>
      <c r="K18" s="37" t="n">
        <f aca="false">'Clients &amp; revenue'!K43*PL_Momo_Share*PL_Cost</f>
        <v>0</v>
      </c>
      <c r="L18" s="37" t="n">
        <f aca="false">'Clients &amp; revenue'!L43*PL_Momo_Share*PL_Cost</f>
        <v>0</v>
      </c>
      <c r="M18" s="37" t="n">
        <f aca="false">'Clients &amp; revenue'!M43*PL_Momo_Share*PL_Cost</f>
        <v>0</v>
      </c>
      <c r="N18" s="37" t="n">
        <f aca="false">'Clients &amp; revenue'!N43*PL_Momo_Share*PL_Cost</f>
        <v>0</v>
      </c>
      <c r="O18" s="37" t="n">
        <f aca="false">'Clients &amp; revenue'!O43*PL_Momo_Share*PL_Cost</f>
        <v>0</v>
      </c>
      <c r="P18" s="37" t="n">
        <f aca="false">'Clients &amp; revenue'!P43*PL_Momo_Share*PL_Cost</f>
        <v>0</v>
      </c>
      <c r="Q18" s="37" t="n">
        <f aca="false">'Clients &amp; revenue'!Q43*PL_Momo_Share*PL_Cost</f>
        <v>0</v>
      </c>
      <c r="R18" s="37" t="n">
        <f aca="false">'Clients &amp; revenue'!R43*PL_Momo_Share*PL_Cost</f>
        <v>0</v>
      </c>
      <c r="S18" s="37" t="n">
        <f aca="false">'Clients &amp; revenue'!S43*PL_Momo_Share*PL_Cost</f>
        <v>0</v>
      </c>
      <c r="T18" s="37" t="n">
        <f aca="false">'Clients &amp; revenue'!T43*PL_Momo_Share*PL_Cost</f>
        <v>0</v>
      </c>
      <c r="U18" s="37" t="n">
        <f aca="false">'Clients &amp; revenue'!U43*PL_Momo_Share*PL_Cost</f>
        <v>0</v>
      </c>
      <c r="V18" s="37" t="n">
        <f aca="false">'Clients &amp; revenue'!V43*PL_Momo_Share*PL_Cost</f>
        <v>222167.178733346</v>
      </c>
      <c r="W18" s="37" t="n">
        <f aca="false">'Clients &amp; revenue'!W43*PL_Momo_Share*PL_Cost</f>
        <v>506642.579352996</v>
      </c>
      <c r="X18" s="37" t="n">
        <f aca="false">'Clients &amp; revenue'!X43*PL_Momo_Share*PL_Cost</f>
        <v>853577.145443132</v>
      </c>
      <c r="Y18" s="37" t="n">
        <f aca="false">'Clients &amp; revenue'!Y43*PL_Momo_Share*PL_Cost</f>
        <v>1263221.93049703</v>
      </c>
      <c r="Z18" s="37" t="n">
        <f aca="false">'Clients &amp; revenue'!Z43*PL_Momo_Share*PL_Cost</f>
        <v>1735934.07399707</v>
      </c>
      <c r="AA18" s="37" t="n">
        <f aca="false">'Clients &amp; revenue'!AA43*PL_Momo_Share*PL_Cost</f>
        <v>2272183.23657882</v>
      </c>
      <c r="AB18" s="37" t="n">
        <f aca="false">'Clients &amp; revenue'!AB43*PL_Momo_Share*PL_Cost</f>
        <v>2889565.60917438</v>
      </c>
      <c r="AC18" s="37" t="n">
        <f aca="false">'Clients &amp; revenue'!AC43*PL_Momo_Share*PL_Cost</f>
        <v>3644575.66598404</v>
      </c>
      <c r="AD18" s="37" t="n">
        <f aca="false">'Clients &amp; revenue'!AD43*PL_Momo_Share*PL_Cost</f>
        <v>4485949.27101491</v>
      </c>
      <c r="AE18" s="37" t="n">
        <f aca="false">'Clients &amp; revenue'!AE43*PL_Momo_Share*PL_Cost</f>
        <v>5414308.59687595</v>
      </c>
      <c r="AF18" s="37" t="n">
        <f aca="false">'Clients &amp; revenue'!AF43*PL_Momo_Share*PL_Cost</f>
        <v>6457160.8281499</v>
      </c>
      <c r="AG18" s="37" t="n">
        <f aca="false">'Clients &amp; revenue'!AG43*PL_Momo_Share*PL_Cost</f>
        <v>7593243.59218929</v>
      </c>
      <c r="AH18" s="37" t="n">
        <f aca="false">'Clients &amp; revenue'!AH43*PL_Momo_Share*PL_Cost</f>
        <v>8144867.3770429</v>
      </c>
      <c r="AI18" s="37" t="n">
        <f aca="false">'Clients &amp; revenue'!AI43*PL_Momo_Share*PL_Cost</f>
        <v>8699563.90033001</v>
      </c>
      <c r="AJ18" s="37" t="n">
        <f aca="false">'Clients &amp; revenue'!AJ43*PL_Momo_Share*PL_Cost</f>
        <v>9287031.27209503</v>
      </c>
      <c r="AK18" s="37" t="n">
        <f aca="false">'Clients &amp; revenue'!AK43*PL_Momo_Share*PL_Cost</f>
        <v>9878337.96671678</v>
      </c>
      <c r="AL18" s="37" t="n">
        <f aca="false">'Clients &amp; revenue'!AL43*PL_Momo_Share*PL_Cost</f>
        <v>10474088.8972937</v>
      </c>
      <c r="AM18" s="37" t="n">
        <f aca="false">'Clients &amp; revenue'!AM43*PL_Momo_Share*PL_Cost</f>
        <v>11104075.1291919</v>
      </c>
      <c r="AN18" s="37" t="n">
        <f aca="false">'Clients &amp; revenue'!AN43*PL_Momo_Share*PL_Cost</f>
        <v>11765703.0413374</v>
      </c>
      <c r="AO18" s="37" t="n">
        <f aca="false">'Clients &amp; revenue'!AO43*PL_Momo_Share*PL_Cost</f>
        <v>12484053.7372218</v>
      </c>
      <c r="AP18" s="37" t="n">
        <f aca="false">'Clients &amp; revenue'!AP43*PL_Momo_Share*PL_Cost</f>
        <v>13237502.216197</v>
      </c>
      <c r="AQ18" s="37" t="n">
        <f aca="false">'Clients &amp; revenue'!AQ43*PL_Momo_Share*PL_Cost</f>
        <v>13997344.7032089</v>
      </c>
      <c r="AR18" s="37" t="n">
        <f aca="false">'Clients &amp; revenue'!AR43*PL_Momo_Share*PL_Cost</f>
        <v>14793581.3328218</v>
      </c>
      <c r="AS18" s="37" t="n">
        <f aca="false">'Clients &amp; revenue'!AS43*PL_Momo_Share*PL_Cost</f>
        <v>15593306.2097618</v>
      </c>
      <c r="AT18" s="37" t="n">
        <f aca="false">'Clients &amp; revenue'!AT43*PL_Momo_Share*PL_Cost</f>
        <v>16442947.5556869</v>
      </c>
      <c r="AU18" s="37" t="n">
        <f aca="false">'Clients &amp; revenue'!AU43*PL_Momo_Share*PL_Cost</f>
        <v>17286756.4107222</v>
      </c>
      <c r="AV18" s="37" t="n">
        <f aca="false">'Clients &amp; revenue'!AV43*PL_Momo_Share*PL_Cost</f>
        <v>18125056.8755294</v>
      </c>
      <c r="AW18" s="37" t="n">
        <f aca="false">'Clients &amp; revenue'!AW43*PL_Momo_Share*PL_Cost</f>
        <v>18987338.2872443</v>
      </c>
      <c r="AX18" s="37" t="n">
        <f aca="false">'Clients &amp; revenue'!AX43*PL_Momo_Share*PL_Cost</f>
        <v>19844443.6882556</v>
      </c>
      <c r="AY18" s="37" t="n">
        <f aca="false">'Clients &amp; revenue'!AY43*PL_Momo_Share*PL_Cost</f>
        <v>20752129.4641799</v>
      </c>
      <c r="AZ18" s="37" t="n">
        <f aca="false">'Clients &amp; revenue'!AZ43*PL_Momo_Share*PL_Cost</f>
        <v>21654715.7175058</v>
      </c>
      <c r="BA18" s="37" t="n">
        <f aca="false">'Clients &amp; revenue'!BA43*PL_Momo_Share*PL_Cost</f>
        <v>22633067.2056388</v>
      </c>
      <c r="BB18" s="37" t="n">
        <f aca="false">'Clients &amp; revenue'!BB43*PL_Momo_Share*PL_Cost</f>
        <v>23606168.8357546</v>
      </c>
      <c r="BC18" s="37" t="n">
        <f aca="false">'Clients &amp; revenue'!BC43*PL_Momo_Share*PL_Cost</f>
        <v>24603615.2422316</v>
      </c>
      <c r="BD18" s="37" t="n">
        <f aca="false">'Clients &amp; revenue'!BD43*PL_Momo_Share*PL_Cost</f>
        <v>25622599.3945122</v>
      </c>
      <c r="BE18" s="37" t="n">
        <f aca="false">'Clients &amp; revenue'!BE43*PL_Momo_Share*PL_Cost</f>
        <v>26666202.0019567</v>
      </c>
      <c r="BF18" s="37" t="n">
        <f aca="false">'Clients &amp; revenue'!BF43*PL_Momo_Share*PL_Cost</f>
        <v>27705421.1959564</v>
      </c>
      <c r="BG18" s="37" t="n">
        <f aca="false">'Clients &amp; revenue'!BG43*PL_Momo_Share*PL_Cost</f>
        <v>28796176.2159417</v>
      </c>
      <c r="BH18" s="37" t="n">
        <f aca="false">'Clients &amp; revenue'!BH43*PL_Momo_Share*PL_Cost</f>
        <v>29882958.2719783</v>
      </c>
      <c r="BI18" s="37" t="n">
        <f aca="false">'Clients &amp; revenue'!BI43*PL_Momo_Share*PL_Cost</f>
        <v>30995499.2007208</v>
      </c>
      <c r="BJ18" s="37" t="n">
        <f aca="false">'Clients &amp; revenue'!BJ43*PL_Momo_Share*PL_Cost</f>
        <v>32104897.1348754</v>
      </c>
      <c r="BK18" s="37" t="n">
        <f aca="false">'Clients &amp; revenue'!BK43*PL_Momo_Share*PL_Cost</f>
        <v>33262178.8617699</v>
      </c>
      <c r="BL18" s="37" t="n">
        <f aca="false">'Clients &amp; revenue'!BL43*PL_Momo_Share*PL_Cost</f>
        <v>34435364.0716121</v>
      </c>
    </row>
    <row r="19" customFormat="false" ht="15" hidden="false" customHeight="false" outlineLevel="0" collapsed="false">
      <c r="A19" s="12" t="s">
        <v>561</v>
      </c>
      <c r="B19" s="14" t="s">
        <v>71</v>
      </c>
      <c r="D19" s="55" t="n">
        <f aca="false">SUM(E19:BL19)</f>
        <v>137732050.860899</v>
      </c>
      <c r="E19" s="37" t="n">
        <f aca="false">'Clients &amp; revenue'!E17*Notif_Cost+'Clients &amp; revenue'!E32*Emp_Notif</f>
        <v>0</v>
      </c>
      <c r="F19" s="37" t="n">
        <f aca="false">'Clients &amp; revenue'!F17*Notif_Cost+'Clients &amp; revenue'!F32*Emp_Notif</f>
        <v>0</v>
      </c>
      <c r="G19" s="37" t="n">
        <f aca="false">'Clients &amp; revenue'!G17*Notif_Cost+'Clients &amp; revenue'!G32*Emp_Notif</f>
        <v>0</v>
      </c>
      <c r="H19" s="37" t="n">
        <f aca="false">'Clients &amp; revenue'!H17*Notif_Cost+'Clients &amp; revenue'!H32*Emp_Notif</f>
        <v>0</v>
      </c>
      <c r="I19" s="37" t="n">
        <f aca="false">'Clients &amp; revenue'!I17*Notif_Cost+'Clients &amp; revenue'!I32*Emp_Notif</f>
        <v>22986.6666666667</v>
      </c>
      <c r="J19" s="37" t="n">
        <f aca="false">'Clients &amp; revenue'!J17*Notif_Cost+'Clients &amp; revenue'!J32*Emp_Notif</f>
        <v>45834.0533333333</v>
      </c>
      <c r="K19" s="37" t="n">
        <f aca="false">'Clients &amp; revenue'!K17*Notif_Cost+'Clients &amp; revenue'!K32*Emp_Notif</f>
        <v>68559.3236</v>
      </c>
      <c r="L19" s="37" t="n">
        <f aca="false">'Clients &amp; revenue'!L17*Notif_Cost+'Clients &amp; revenue'!L32*Emp_Notif</f>
        <v>91180.2128921667</v>
      </c>
      <c r="M19" s="37" t="n">
        <f aca="false">'Clients &amp; revenue'!M17*Notif_Cost+'Clients &amp; revenue'!M32*Emp_Notif</f>
        <v>113715.071336436</v>
      </c>
      <c r="N19" s="37" t="n">
        <f aca="false">'Clients &amp; revenue'!N17*Notif_Cost+'Clients &amp; revenue'!N32*Emp_Notif</f>
        <v>136182.90904429</v>
      </c>
      <c r="O19" s="37" t="n">
        <f aca="false">'Clients &amp; revenue'!O17*Notif_Cost+'Clients &amp; revenue'!O32*Emp_Notif</f>
        <v>158603.443951741</v>
      </c>
      <c r="P19" s="37" t="n">
        <f aca="false">'Clients &amp; revenue'!P17*Notif_Cost+'Clients &amp; revenue'!P32*Emp_Notif</f>
        <v>180997.152371334</v>
      </c>
      <c r="Q19" s="37" t="n">
        <f aca="false">'Clients &amp; revenue'!Q17*Notif_Cost+'Clients &amp; revenue'!Q32*Emp_Notif</f>
        <v>210371.989089015</v>
      </c>
      <c r="R19" s="37" t="n">
        <f aca="false">'Clients &amp; revenue'!R17*Notif_Cost+'Clients &amp; revenue'!R32*Emp_Notif</f>
        <v>239648.163848208</v>
      </c>
      <c r="S19" s="37" t="n">
        <f aca="false">'Clients &amp; revenue'!S17*Notif_Cost+'Clients &amp; revenue'!S32*Emp_Notif</f>
        <v>268850.804673986</v>
      </c>
      <c r="T19" s="37" t="n">
        <f aca="false">'Clients &amp; revenue'!T17*Notif_Cost+'Clients &amp; revenue'!T32*Emp_Notif</f>
        <v>298005.992843466</v>
      </c>
      <c r="U19" s="37" t="n">
        <f aca="false">'Clients &amp; revenue'!U17*Notif_Cost+'Clients &amp; revenue'!U32*Emp_Notif</f>
        <v>327140.830417944</v>
      </c>
      <c r="V19" s="37" t="n">
        <f aca="false">'Clients &amp; revenue'!V17*Notif_Cost+'Clients &amp; revenue'!V32*Emp_Notif</f>
        <v>356283.511629015</v>
      </c>
      <c r="W19" s="37" t="n">
        <f aca="false">'Clients &amp; revenue'!W17*Notif_Cost+'Clients &amp; revenue'!W32*Emp_Notif</f>
        <v>406050.065020443</v>
      </c>
      <c r="X19" s="37" t="n">
        <f aca="false">'Clients &amp; revenue'!X17*Notif_Cost+'Clients &amp; revenue'!X32*Emp_Notif</f>
        <v>455688.753261544</v>
      </c>
      <c r="Y19" s="37" t="n">
        <f aca="false">'Clients &amp; revenue'!Y17*Notif_Cost+'Clients &amp; revenue'!Y32*Emp_Notif</f>
        <v>505243.803162783</v>
      </c>
      <c r="Z19" s="37" t="n">
        <f aca="false">'Clients &amp; revenue'!Z17*Notif_Cost+'Clients &amp; revenue'!Z32*Emp_Notif</f>
        <v>554761.168919639</v>
      </c>
      <c r="AA19" s="37" t="n">
        <f aca="false">'Clients &amp; revenue'!AA17*Notif_Cost+'Clients &amp; revenue'!AA32*Emp_Notif</f>
        <v>604288.653018149</v>
      </c>
      <c r="AB19" s="37" t="n">
        <f aca="false">'Clients &amp; revenue'!AB17*Notif_Cost+'Clients &amp; revenue'!AB32*Emp_Notif</f>
        <v>657876.034064289</v>
      </c>
      <c r="AC19" s="37" t="n">
        <f aca="false">'Clients &amp; revenue'!AC17*Notif_Cost+'Clients &amp; revenue'!AC32*Emp_Notif</f>
        <v>725535.868625737</v>
      </c>
      <c r="AD19" s="37" t="n">
        <f aca="false">'Clients &amp; revenue'!AD17*Notif_Cost+'Clients &amp; revenue'!AD32*Emp_Notif</f>
        <v>793065.364199731</v>
      </c>
      <c r="AE19" s="37" t="n">
        <f aca="false">'Clients &amp; revenue'!AE17*Notif_Cost+'Clients &amp; revenue'!AE32*Emp_Notif</f>
        <v>860526.321534931</v>
      </c>
      <c r="AF19" s="37" t="n">
        <f aca="false">'Clients &amp; revenue'!AF17*Notif_Cost+'Clients &amp; revenue'!AF32*Emp_Notif</f>
        <v>931983.009443737</v>
      </c>
      <c r="AG19" s="37" t="n">
        <f aca="false">'Clients &amp; revenue'!AG17*Notif_Cost+'Clients &amp; revenue'!AG32*Emp_Notif</f>
        <v>1594575.36941267</v>
      </c>
      <c r="AH19" s="37" t="n">
        <f aca="false">'Clients &amp; revenue'!AH17*Notif_Cost+'Clients &amp; revenue'!AH32*Emp_Notif</f>
        <v>1709227.47746881</v>
      </c>
      <c r="AI19" s="37" t="n">
        <f aca="false">'Clients &amp; revenue'!AI17*Notif_Cost+'Clients &amp; revenue'!AI32*Emp_Notif</f>
        <v>1824296.27057525</v>
      </c>
      <c r="AJ19" s="37" t="n">
        <f aca="false">'Clients &amp; revenue'!AJ17*Notif_Cost+'Clients &amp; revenue'!AJ32*Emp_Notif</f>
        <v>1946150.47259808</v>
      </c>
      <c r="AK19" s="37" t="n">
        <f aca="false">'Clients &amp; revenue'!AK17*Notif_Cost+'Clients &amp; revenue'!AK32*Emp_Notif</f>
        <v>2068574.02335584</v>
      </c>
      <c r="AL19" s="37" t="n">
        <f aca="false">'Clients &amp; revenue'!AL17*Notif_Cost+'Clients &amp; revenue'!AL32*Emp_Notif</f>
        <v>2191698.66590476</v>
      </c>
      <c r="AM19" s="37" t="n">
        <f aca="false">'Clients &amp; revenue'!AM17*Notif_Cost+'Clients &amp; revenue'!AM32*Emp_Notif</f>
        <v>2321912.45461665</v>
      </c>
      <c r="AN19" s="37" t="n">
        <f aca="false">'Clients &amp; revenue'!AN17*Notif_Cost+'Clients &amp; revenue'!AN32*Emp_Notif</f>
        <v>2458644.78704848</v>
      </c>
      <c r="AO19" s="37" t="n">
        <f aca="false">'Clients &amp; revenue'!AO17*Notif_Cost+'Clients &amp; revenue'!AO32*Emp_Notif</f>
        <v>2607259.38855428</v>
      </c>
      <c r="AP19" s="37" t="n">
        <f aca="false">'Clients &amp; revenue'!AP17*Notif_Cost+'Clients &amp; revenue'!AP32*Emp_Notif</f>
        <v>2763094.03982219</v>
      </c>
      <c r="AQ19" s="37" t="n">
        <f aca="false">'Clients &amp; revenue'!AQ17*Notif_Cost+'Clients &amp; revenue'!AQ32*Emp_Notif</f>
        <v>2919981.28290337</v>
      </c>
      <c r="AR19" s="37" t="n">
        <f aca="false">'Clients &amp; revenue'!AR17*Notif_Cost+'Clients &amp; revenue'!AR32*Emp_Notif</f>
        <v>3084354.01523078</v>
      </c>
      <c r="AS19" s="37" t="n">
        <f aca="false">'Clients &amp; revenue'!AS17*Notif_Cost+'Clients &amp; revenue'!AS32*Emp_Notif</f>
        <v>3249143.45722418</v>
      </c>
      <c r="AT19" s="37" t="n">
        <f aca="false">'Clients &amp; revenue'!AT17*Notif_Cost+'Clients &amp; revenue'!AT32*Emp_Notif</f>
        <v>3424306.01622305</v>
      </c>
      <c r="AU19" s="37" t="n">
        <f aca="false">'Clients &amp; revenue'!AU17*Notif_Cost+'Clients &amp; revenue'!AU32*Emp_Notif</f>
        <v>3597868.80433217</v>
      </c>
      <c r="AV19" s="37" t="n">
        <f aca="false">'Clients &amp; revenue'!AV17*Notif_Cost+'Clients &amp; revenue'!AV32*Emp_Notif</f>
        <v>3769910.21165531</v>
      </c>
      <c r="AW19" s="37" t="n">
        <f aca="false">'Clients &amp; revenue'!AW17*Notif_Cost+'Clients &amp; revenue'!AW32*Emp_Notif</f>
        <v>3946760.49519168</v>
      </c>
      <c r="AX19" s="37" t="n">
        <f aca="false">'Clients &amp; revenue'!AX17*Notif_Cost+'Clients &amp; revenue'!AX32*Emp_Notif</f>
        <v>4122161.56591719</v>
      </c>
      <c r="AY19" s="37" t="n">
        <f aca="false">'Clients &amp; revenue'!AY17*Notif_Cost+'Clients &amp; revenue'!AY32*Emp_Notif</f>
        <v>4308074.3843488</v>
      </c>
      <c r="AZ19" s="37" t="n">
        <f aca="false">'Clients &amp; revenue'!AZ17*Notif_Cost+'Clients &amp; revenue'!AZ32*Emp_Notif</f>
        <v>4492540.55249169</v>
      </c>
      <c r="BA19" s="37" t="n">
        <f aca="false">'Clients &amp; revenue'!BA17*Notif_Cost+'Clients &amp; revenue'!BA32*Emp_Notif</f>
        <v>4692903.73136745</v>
      </c>
      <c r="BB19" s="37" t="n">
        <f aca="false">'Clients &amp; revenue'!BB17*Notif_Cost+'Clients &amp; revenue'!BB32*Emp_Notif</f>
        <v>4891760.84319315</v>
      </c>
      <c r="BC19" s="37" t="n">
        <f aca="false">'Clients &amp; revenue'!BC17*Notif_Cost+'Clients &amp; revenue'!BC32*Emp_Notif</f>
        <v>5095465.22475467</v>
      </c>
      <c r="BD19" s="37" t="n">
        <f aca="false">'Clients &amp; revenue'!BD17*Notif_Cost+'Clients &amp; revenue'!BD32*Emp_Notif</f>
        <v>5303407.9003551</v>
      </c>
      <c r="BE19" s="37" t="n">
        <f aca="false">'Clients &amp; revenue'!BE17*Notif_Cost+'Clients &amp; revenue'!BE32*Emp_Notif</f>
        <v>5516243.70798577</v>
      </c>
      <c r="BF19" s="37" t="n">
        <f aca="false">'Clients &amp; revenue'!BF17*Notif_Cost+'Clients &amp; revenue'!BF32*Emp_Notif</f>
        <v>5727748.3030733</v>
      </c>
      <c r="BG19" s="37" t="n">
        <f aca="false">'Clients &amp; revenue'!BG17*Notif_Cost+'Clients &amp; revenue'!BG32*Emp_Notif</f>
        <v>5949917.96189136</v>
      </c>
      <c r="BH19" s="37" t="n">
        <f aca="false">'Clients &amp; revenue'!BH17*Notif_Cost+'Clients &amp; revenue'!BH32*Emp_Notif</f>
        <v>6170831.27563621</v>
      </c>
      <c r="BI19" s="37" t="n">
        <f aca="false">'Clients &amp; revenue'!BI17*Notif_Cost+'Clients &amp; revenue'!BI32*Emp_Notif</f>
        <v>6396870.67606723</v>
      </c>
      <c r="BJ19" s="37" t="n">
        <f aca="false">'Clients &amp; revenue'!BJ17*Notif_Cost+'Clients &amp; revenue'!BJ32*Emp_Notif</f>
        <v>6621832.81214365</v>
      </c>
      <c r="BK19" s="37" t="n">
        <f aca="false">'Clients &amp; revenue'!BK17*Notif_Cost+'Clients &amp; revenue'!BK32*Emp_Notif</f>
        <v>6856664.66687037</v>
      </c>
      <c r="BL19" s="37" t="n">
        <f aca="false">'Clients &amp; revenue'!BL17*Notif_Cost+'Clients &amp; revenue'!BL32*Emp_Notif</f>
        <v>7094490.8557374</v>
      </c>
    </row>
    <row r="20" customFormat="false" ht="15" hidden="false" customHeight="false" outlineLevel="0" collapsed="false">
      <c r="A20" s="12" t="s">
        <v>817</v>
      </c>
      <c r="B20" s="14" t="s">
        <v>71</v>
      </c>
      <c r="D20" s="55" t="n">
        <f aca="false">SUM(E20:BL20)</f>
        <v>145664237.958205</v>
      </c>
      <c r="E20" s="37" t="n">
        <f aca="false">'Clients &amp; revenue'!E32*EmpAcc_Cost</f>
        <v>0</v>
      </c>
      <c r="F20" s="37" t="n">
        <f aca="false">'Clients &amp; revenue'!F32*EmpAcc_Cost</f>
        <v>0</v>
      </c>
      <c r="G20" s="37" t="n">
        <f aca="false">'Clients &amp; revenue'!G32*EmpAcc_Cost</f>
        <v>0</v>
      </c>
      <c r="H20" s="37" t="n">
        <f aca="false">'Clients &amp; revenue'!H32*EmpAcc_Cost</f>
        <v>0</v>
      </c>
      <c r="I20" s="37" t="n">
        <f aca="false">'Clients &amp; revenue'!I32*EmpAcc_Cost</f>
        <v>0</v>
      </c>
      <c r="J20" s="37" t="n">
        <f aca="false">'Clients &amp; revenue'!J32*EmpAcc_Cost</f>
        <v>0</v>
      </c>
      <c r="K20" s="37" t="n">
        <f aca="false">'Clients &amp; revenue'!K32*EmpAcc_Cost</f>
        <v>0</v>
      </c>
      <c r="L20" s="37" t="n">
        <f aca="false">'Clients &amp; revenue'!L32*EmpAcc_Cost</f>
        <v>0</v>
      </c>
      <c r="M20" s="37" t="n">
        <f aca="false">'Clients &amp; revenue'!M32*EmpAcc_Cost</f>
        <v>0</v>
      </c>
      <c r="N20" s="37" t="n">
        <f aca="false">'Clients &amp; revenue'!N32*EmpAcc_Cost</f>
        <v>0</v>
      </c>
      <c r="O20" s="37" t="n">
        <f aca="false">'Clients &amp; revenue'!O32*EmpAcc_Cost</f>
        <v>0</v>
      </c>
      <c r="P20" s="37" t="n">
        <f aca="false">'Clients &amp; revenue'!P32*EmpAcc_Cost</f>
        <v>0</v>
      </c>
      <c r="Q20" s="37" t="n">
        <f aca="false">'Clients &amp; revenue'!Q32*EmpAcc_Cost</f>
        <v>0</v>
      </c>
      <c r="R20" s="37" t="n">
        <f aca="false">'Clients &amp; revenue'!R32*EmpAcc_Cost</f>
        <v>0</v>
      </c>
      <c r="S20" s="37" t="n">
        <f aca="false">'Clients &amp; revenue'!S32*EmpAcc_Cost</f>
        <v>0</v>
      </c>
      <c r="T20" s="37" t="n">
        <f aca="false">'Clients &amp; revenue'!T32*EmpAcc_Cost</f>
        <v>0</v>
      </c>
      <c r="U20" s="37" t="n">
        <f aca="false">'Clients &amp; revenue'!U32*EmpAcc_Cost</f>
        <v>0</v>
      </c>
      <c r="V20" s="37" t="n">
        <f aca="false">'Clients &amp; revenue'!V32*EmpAcc_Cost</f>
        <v>0</v>
      </c>
      <c r="W20" s="37" t="n">
        <f aca="false">'Clients &amp; revenue'!W32*EmpAcc_Cost</f>
        <v>0</v>
      </c>
      <c r="X20" s="37" t="n">
        <f aca="false">'Clients &amp; revenue'!X32*EmpAcc_Cost</f>
        <v>0</v>
      </c>
      <c r="Y20" s="37" t="n">
        <f aca="false">'Clients &amp; revenue'!Y32*EmpAcc_Cost</f>
        <v>0</v>
      </c>
      <c r="Z20" s="37" t="n">
        <f aca="false">'Clients &amp; revenue'!Z32*EmpAcc_Cost</f>
        <v>0</v>
      </c>
      <c r="AA20" s="37" t="n">
        <f aca="false">'Clients &amp; revenue'!AA32*EmpAcc_Cost</f>
        <v>0</v>
      </c>
      <c r="AB20" s="37" t="n">
        <f aca="false">'Clients &amp; revenue'!AB32*EmpAcc_Cost</f>
        <v>0</v>
      </c>
      <c r="AC20" s="37" t="n">
        <f aca="false">'Clients &amp; revenue'!AC32*EmpAcc_Cost</f>
        <v>0</v>
      </c>
      <c r="AD20" s="37" t="n">
        <f aca="false">'Clients &amp; revenue'!AD32*EmpAcc_Cost</f>
        <v>0</v>
      </c>
      <c r="AE20" s="37" t="n">
        <f aca="false">'Clients &amp; revenue'!AE32*EmpAcc_Cost</f>
        <v>0</v>
      </c>
      <c r="AF20" s="37" t="n">
        <f aca="false">'Clients &amp; revenue'!AF32*EmpAcc_Cost</f>
        <v>0</v>
      </c>
      <c r="AG20" s="37" t="n">
        <f aca="false">'Clients &amp; revenue'!AG32*EmpAcc_Cost</f>
        <v>1773417.10033982</v>
      </c>
      <c r="AH20" s="37" t="n">
        <f aca="false">'Clients &amp; revenue'!AH32*EmpAcc_Cost</f>
        <v>1902810.83432203</v>
      </c>
      <c r="AI20" s="37" t="n">
        <f aca="false">'Clients &amp; revenue'!AI32*EmpAcc_Cost</f>
        <v>2033030.34827977</v>
      </c>
      <c r="AJ20" s="37" t="n">
        <f aca="false">'Clients &amp; revenue'!AJ32*EmpAcc_Cost</f>
        <v>2170950.57079586</v>
      </c>
      <c r="AK20" s="37" t="n">
        <f aca="false">'Clients &amp; revenue'!AK32*EmpAcc_Cost</f>
        <v>2309879.85599585</v>
      </c>
      <c r="AL20" s="37" t="n">
        <f aca="false">'Clients &amp; revenue'!AL32*EmpAcc_Cost</f>
        <v>2449957.55423874</v>
      </c>
      <c r="AM20" s="37" t="n">
        <f aca="false">'Clients &amp; revenue'!AM32*EmpAcc_Cost</f>
        <v>2598080.39074854</v>
      </c>
      <c r="AN20" s="37" t="n">
        <f aca="false">'Clients &amp; revenue'!AN32*EmpAcc_Cost</f>
        <v>2753654.79726572</v>
      </c>
      <c r="AO20" s="37" t="n">
        <f aca="false">'Clients &amp; revenue'!AO32*EmpAcc_Cost</f>
        <v>2922493.74743297</v>
      </c>
      <c r="AP20" s="37" t="n">
        <f aca="false">'Clients &amp; revenue'!AP32*EmpAcc_Cost</f>
        <v>3099602.93990511</v>
      </c>
      <c r="AQ20" s="37" t="n">
        <f aca="false">'Clients &amp; revenue'!AQ32*EmpAcc_Cost</f>
        <v>3278343.61633145</v>
      </c>
      <c r="AR20" s="37" t="n">
        <f aca="false">'Clients &amp; revenue'!AR32*EmpAcc_Cost</f>
        <v>3465660.95688949</v>
      </c>
      <c r="AS20" s="37" t="n">
        <f aca="false">'Clients &amp; revenue'!AS32*EmpAcc_Cost</f>
        <v>3653943.56272943</v>
      </c>
      <c r="AT20" s="37" t="n">
        <f aca="false">'Clients &amp; revenue'!AT32*EmpAcc_Cost</f>
        <v>3853939.25097636</v>
      </c>
      <c r="AU20" s="37" t="n">
        <f aca="false">'Clients &amp; revenue'!AU32*EmpAcc_Cost</f>
        <v>4052751.26957316</v>
      </c>
      <c r="AV20" s="37" t="n">
        <f aca="false">'Clients &amp; revenue'!AV32*EmpAcc_Cost</f>
        <v>4250450.90550533</v>
      </c>
      <c r="AW20" s="37" t="n">
        <f aca="false">'Clients &amp; revenue'!AW32*EmpAcc_Cost</f>
        <v>4453861.9513618</v>
      </c>
      <c r="AX20" s="37" t="n">
        <f aca="false">'Clients &amp; revenue'!AX32*EmpAcc_Cost</f>
        <v>4656237.75599051</v>
      </c>
      <c r="AY20" s="37" t="n">
        <f aca="false">'Clients &amp; revenue'!AY32*EmpAcc_Cost</f>
        <v>4870483.57435095</v>
      </c>
      <c r="AZ20" s="37" t="n">
        <f aca="false">'Clients &amp; revenue'!AZ32*EmpAcc_Cost</f>
        <v>5083718.77437795</v>
      </c>
      <c r="BA20" s="37" t="n">
        <f aca="false">'Clients &amp; revenue'!BA32*EmpAcc_Cost</f>
        <v>5314661.65685175</v>
      </c>
      <c r="BB20" s="37" t="n">
        <f aca="false">'Clients &amp; revenue'!BB32*EmpAcc_Cost</f>
        <v>5544572.15150398</v>
      </c>
      <c r="BC20" s="37" t="n">
        <f aca="false">'Clients &amp; revenue'!BC32*EmpAcc_Cost</f>
        <v>5780298.22329049</v>
      </c>
      <c r="BD20" s="37" t="n">
        <f aca="false">'Clients &amp; revenue'!BD32*EmpAcc_Cost</f>
        <v>6021193.61043659</v>
      </c>
      <c r="BE20" s="37" t="n">
        <f aca="false">'Clients &amp; revenue'!BE32*EmpAcc_Cost</f>
        <v>6267974.43804292</v>
      </c>
      <c r="BF20" s="37" t="n">
        <f aca="false">'Clients &amp; revenue'!BF32*EmpAcc_Cost</f>
        <v>6513929.76588361</v>
      </c>
      <c r="BG20" s="37" t="n">
        <f aca="false">'Clients &amp; revenue'!BG32*EmpAcc_Cost</f>
        <v>6772002.39923724</v>
      </c>
      <c r="BH20" s="37" t="n">
        <f aca="false">'Clients &amp; revenue'!BH32*EmpAcc_Cost</f>
        <v>7029351.21030124</v>
      </c>
      <c r="BI20" s="37" t="n">
        <f aca="false">'Clients &amp; revenue'!BI32*EmpAcc_Cost</f>
        <v>7292856.07942064</v>
      </c>
      <c r="BJ20" s="37" t="n">
        <f aca="false">'Clients &amp; revenue'!BJ32*EmpAcc_Cost</f>
        <v>7555829.41977001</v>
      </c>
      <c r="BK20" s="37" t="n">
        <f aca="false">'Clients &amp; revenue'!BK32*EmpAcc_Cost</f>
        <v>7830081.55345877</v>
      </c>
      <c r="BL20" s="37" t="n">
        <f aca="false">'Clients &amp; revenue'!BL32*EmpAcc_Cost</f>
        <v>8108217.69259709</v>
      </c>
    </row>
    <row r="21" customFormat="false" ht="15" hidden="false" customHeight="false" outlineLevel="0" collapsed="false">
      <c r="A21" s="8" t="s">
        <v>818</v>
      </c>
      <c r="B21" s="14" t="s">
        <v>71</v>
      </c>
      <c r="D21" s="55" t="n">
        <f aca="false">SUM(E21:BL21)</f>
        <v>7107121956.23833</v>
      </c>
      <c r="E21" s="16" t="n">
        <f aca="false">SUM(E9:E20)</f>
        <v>0</v>
      </c>
      <c r="F21" s="16" t="n">
        <f aca="false">SUM(F9:F20)</f>
        <v>0</v>
      </c>
      <c r="G21" s="16" t="n">
        <f aca="false">SUM(G9:G20)</f>
        <v>0</v>
      </c>
      <c r="H21" s="16" t="n">
        <f aca="false">SUM(H9:H20)</f>
        <v>0</v>
      </c>
      <c r="I21" s="16" t="n">
        <f aca="false">SUM(I9:I20)</f>
        <v>2257865.33333333</v>
      </c>
      <c r="J21" s="16" t="n">
        <f aca="false">SUM(J9:J20)</f>
        <v>3736644.74666667</v>
      </c>
      <c r="K21" s="16" t="n">
        <f aca="false">SUM(K9:K20)</f>
        <v>5214052.84415</v>
      </c>
      <c r="L21" s="16" t="n">
        <f aca="false">SUM(L9:L20)</f>
        <v>6691154.80994283</v>
      </c>
      <c r="M21" s="16" t="n">
        <f aca="false">SUM(M9:M20)</f>
        <v>8169062.92298059</v>
      </c>
      <c r="N21" s="16" t="n">
        <f aca="false">SUM(N9:N20)</f>
        <v>9648939.6576861</v>
      </c>
      <c r="O21" s="16" t="n">
        <f aca="false">SUM(O9:O20)</f>
        <v>11132000.9658743</v>
      </c>
      <c r="P21" s="16" t="n">
        <f aca="false">SUM(P9:P20)</f>
        <v>12619519.7508117</v>
      </c>
      <c r="Q21" s="16" t="n">
        <f aca="false">SUM(Q9:Q20)</f>
        <v>14799094.8783803</v>
      </c>
      <c r="R21" s="16" t="n">
        <f aca="false">SUM(R9:R20)</f>
        <v>16741895.1509939</v>
      </c>
      <c r="S21" s="16" t="n">
        <f aca="false">SUM(S9:S20)</f>
        <v>18687886.479797</v>
      </c>
      <c r="T21" s="16" t="n">
        <f aca="false">SUM(T9:T20)</f>
        <v>20638686.5174319</v>
      </c>
      <c r="U21" s="16" t="n">
        <f aca="false">SUM(U9:U20)</f>
        <v>22595989.3037939</v>
      </c>
      <c r="V21" s="16" t="n">
        <f aca="false">SUM(V9:V20)</f>
        <v>24783737.363277</v>
      </c>
      <c r="W21" s="16" t="n">
        <f aca="false">SUM(W9:W20)</f>
        <v>29066058.9315383</v>
      </c>
      <c r="X21" s="16" t="n">
        <f aca="false">SUM(X9:X20)</f>
        <v>32718222.3859486</v>
      </c>
      <c r="Y21" s="16" t="n">
        <f aca="false">SUM(Y9:Y20)</f>
        <v>36441104.3296118</v>
      </c>
      <c r="Z21" s="16" t="n">
        <f aca="false">SUM(Z9:Z20)</f>
        <v>40237932.6158348</v>
      </c>
      <c r="AA21" s="16" t="n">
        <f aca="false">SUM(AA9:AA20)</f>
        <v>44112185.26373</v>
      </c>
      <c r="AB21" s="16" t="n">
        <f aca="false">SUM(AB9:AB20)</f>
        <v>48477513.2866184</v>
      </c>
      <c r="AC21" s="16" t="n">
        <f aca="false">SUM(AC9:AC20)</f>
        <v>54238917.1169267</v>
      </c>
      <c r="AD21" s="16" t="n">
        <f aca="false">SUM(AD9:AD20)</f>
        <v>59617594.7907432</v>
      </c>
      <c r="AE21" s="16" t="n">
        <f aca="false">SUM(AE9:AE20)</f>
        <v>65096684.6064348</v>
      </c>
      <c r="AF21" s="16" t="n">
        <f aca="false">SUM(AF9:AF20)</f>
        <v>71100633.8654259</v>
      </c>
      <c r="AG21" s="16" t="n">
        <f aca="false">SUM(AG9:AG20)</f>
        <v>90084900.8443269</v>
      </c>
      <c r="AH21" s="16" t="n">
        <f aca="false">SUM(AH9:AH20)</f>
        <v>85811052.8992407</v>
      </c>
      <c r="AI21" s="16" t="n">
        <f aca="false">SUM(AI9:AI20)</f>
        <v>91438201.9870805</v>
      </c>
      <c r="AJ21" s="16" t="n">
        <f aca="false">SUM(AJ9:AJ20)</f>
        <v>97575212.686913</v>
      </c>
      <c r="AK21" s="16" t="n">
        <f aca="false">SUM(AK9:AK20)</f>
        <v>103575452.733536</v>
      </c>
      <c r="AL21" s="16" t="n">
        <f aca="false">SUM(AL9:AL20)</f>
        <v>109622704.503567</v>
      </c>
      <c r="AM21" s="16" t="n">
        <f aca="false">SUM(AM9:AM20)</f>
        <v>116195186.007267</v>
      </c>
      <c r="AN21" s="16" t="n">
        <f aca="false">SUM(AN9:AN20)</f>
        <v>123071692.545413</v>
      </c>
      <c r="AO21" s="16" t="n">
        <f aca="false">SUM(AO9:AO20)</f>
        <v>130673393.053668</v>
      </c>
      <c r="AP21" s="16" t="n">
        <f aca="false">SUM(AP9:AP20)</f>
        <v>138499507.44645</v>
      </c>
      <c r="AQ21" s="16" t="n">
        <f aca="false">SUM(AQ9:AQ20)</f>
        <v>146215722.840477</v>
      </c>
      <c r="AR21" s="16" t="n">
        <f aca="false">SUM(AR9:AR20)</f>
        <v>154479890.118679</v>
      </c>
      <c r="AS21" s="16" t="n">
        <f aca="false">SUM(AS9:AS20)</f>
        <v>162579274.050657</v>
      </c>
      <c r="AT21" s="16" t="n">
        <f aca="false">SUM(AT9:AT20)</f>
        <v>171462717.30873</v>
      </c>
      <c r="AU21" s="16" t="n">
        <f aca="false">SUM(AU9:AU20)</f>
        <v>179949175.814626</v>
      </c>
      <c r="AV21" s="16" t="n">
        <f aca="false">SUM(AV9:AV20)</f>
        <v>188379208.771412</v>
      </c>
      <c r="AW21" s="16" t="n">
        <f aca="false">SUM(AW9:AW20)</f>
        <v>197227892.110211</v>
      </c>
      <c r="AX21" s="16" t="n">
        <f aca="false">SUM(AX9:AX20)</f>
        <v>205846248.079186</v>
      </c>
      <c r="AY21" s="16" t="n">
        <f aca="false">SUM(AY9:AY20)</f>
        <v>215311483.761923</v>
      </c>
      <c r="AZ21" s="16" t="n">
        <f aca="false">SUM(AZ9:AZ20)</f>
        <v>224387573.875</v>
      </c>
      <c r="BA21" s="16" t="n">
        <f aca="false">SUM(BA9:BA20)</f>
        <v>234717329.972344</v>
      </c>
      <c r="BB21" s="16" t="n">
        <f aca="false">SUM(BB9:BB20)</f>
        <v>244503865.003814</v>
      </c>
      <c r="BC21" s="16" t="n">
        <f aca="false">SUM(BC9:BC20)</f>
        <v>254713103.783936</v>
      </c>
      <c r="BD21" s="16" t="n">
        <f aca="false">SUM(BD9:BD20)</f>
        <v>265121624.131724</v>
      </c>
      <c r="BE21" s="16" t="n">
        <f aca="false">SUM(BE9:BE20)</f>
        <v>275796095.318725</v>
      </c>
      <c r="BF21" s="16" t="n">
        <f aca="false">SUM(BF9:BF20)</f>
        <v>286248862.833736</v>
      </c>
      <c r="BG21" s="16" t="n">
        <f aca="false">SUM(BG9:BG20)</f>
        <v>297558838.119221</v>
      </c>
      <c r="BH21" s="16" t="n">
        <f aca="false">SUM(BH9:BH20)</f>
        <v>308491786.365207</v>
      </c>
      <c r="BI21" s="16" t="n">
        <f aca="false">SUM(BI9:BI20)</f>
        <v>319862464.329578</v>
      </c>
      <c r="BJ21" s="16" t="n">
        <f aca="false">SUM(BJ9:BJ20)</f>
        <v>331024562.29933</v>
      </c>
      <c r="BK21" s="16" t="n">
        <f aca="false">SUM(BK9:BK20)</f>
        <v>342977255.975495</v>
      </c>
      <c r="BL21" s="16" t="n">
        <f aca="false">SUM(BL9:BL20)</f>
        <v>354896298.748925</v>
      </c>
    </row>
    <row r="23" customFormat="false" ht="15" hidden="false" customHeight="false" outlineLevel="0" collapsed="false">
      <c r="A23" s="10" t="s">
        <v>20</v>
      </c>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1"/>
      <c r="BF23" s="11"/>
      <c r="BG23" s="11"/>
      <c r="BH23" s="11"/>
      <c r="BI23" s="11"/>
      <c r="BJ23" s="11"/>
      <c r="BK23" s="11"/>
      <c r="BL23" s="11"/>
    </row>
    <row r="24" customFormat="false" ht="15" hidden="false" customHeight="false" outlineLevel="0" collapsed="false">
      <c r="A24" s="12" t="s">
        <v>653</v>
      </c>
      <c r="B24" s="14" t="s">
        <v>71</v>
      </c>
      <c r="D24" s="55" t="n">
        <f aca="false">SUM(E24:BL24)</f>
        <v>355069191.75</v>
      </c>
      <c r="E24" s="23" t="n">
        <f aca="false">Staff!E90</f>
        <v>0</v>
      </c>
      <c r="F24" s="23" t="n">
        <f aca="false">Staff!F90</f>
        <v>0</v>
      </c>
      <c r="G24" s="23" t="n">
        <f aca="false">Staff!G90</f>
        <v>0</v>
      </c>
      <c r="H24" s="23" t="n">
        <f aca="false">Staff!H90</f>
        <v>0</v>
      </c>
      <c r="I24" s="23" t="n">
        <f aca="false">Staff!I90</f>
        <v>0</v>
      </c>
      <c r="J24" s="23" t="n">
        <f aca="false">Staff!J90</f>
        <v>0</v>
      </c>
      <c r="K24" s="23" t="n">
        <f aca="false">Staff!K90</f>
        <v>0</v>
      </c>
      <c r="L24" s="23" t="n">
        <f aca="false">Staff!L90</f>
        <v>0</v>
      </c>
      <c r="M24" s="23" t="n">
        <f aca="false">Staff!M90</f>
        <v>0</v>
      </c>
      <c r="N24" s="23" t="n">
        <f aca="false">Staff!N90</f>
        <v>0</v>
      </c>
      <c r="O24" s="23" t="n">
        <f aca="false">Staff!O90</f>
        <v>0</v>
      </c>
      <c r="P24" s="23" t="n">
        <f aca="false">Staff!P90</f>
        <v>0</v>
      </c>
      <c r="Q24" s="23" t="n">
        <f aca="false">Staff!Q90</f>
        <v>3412500</v>
      </c>
      <c r="R24" s="23" t="n">
        <f aca="false">Staff!R90</f>
        <v>3412500</v>
      </c>
      <c r="S24" s="23" t="n">
        <f aca="false">Staff!S90</f>
        <v>3412500</v>
      </c>
      <c r="T24" s="23" t="n">
        <f aca="false">Staff!T90</f>
        <v>3412500</v>
      </c>
      <c r="U24" s="23" t="n">
        <f aca="false">Staff!U90</f>
        <v>3412500</v>
      </c>
      <c r="V24" s="23" t="n">
        <f aca="false">Staff!V90</f>
        <v>7234500</v>
      </c>
      <c r="W24" s="23" t="n">
        <f aca="false">Staff!W90</f>
        <v>7234500</v>
      </c>
      <c r="X24" s="23" t="n">
        <f aca="false">Staff!X90</f>
        <v>7234500</v>
      </c>
      <c r="Y24" s="23" t="n">
        <f aca="false">Staff!Y90</f>
        <v>7234500</v>
      </c>
      <c r="Z24" s="23" t="n">
        <f aca="false">Staff!Z90</f>
        <v>7234500</v>
      </c>
      <c r="AA24" s="23" t="n">
        <f aca="false">Staff!AA90</f>
        <v>7234500</v>
      </c>
      <c r="AB24" s="23" t="n">
        <f aca="false">Staff!AB90</f>
        <v>7234500</v>
      </c>
      <c r="AC24" s="23" t="n">
        <f aca="false">Staff!AC90</f>
        <v>7596225</v>
      </c>
      <c r="AD24" s="23" t="n">
        <f aca="false">Staff!AD90</f>
        <v>7596225</v>
      </c>
      <c r="AE24" s="23" t="n">
        <f aca="false">Staff!AE90</f>
        <v>7596225</v>
      </c>
      <c r="AF24" s="23" t="n">
        <f aca="false">Staff!AF90</f>
        <v>7596225</v>
      </c>
      <c r="AG24" s="23" t="n">
        <f aca="false">Staff!AG90</f>
        <v>7596225</v>
      </c>
      <c r="AH24" s="23" t="n">
        <f aca="false">Staff!AH90</f>
        <v>7596225</v>
      </c>
      <c r="AI24" s="23" t="n">
        <f aca="false">Staff!AI90</f>
        <v>7596225</v>
      </c>
      <c r="AJ24" s="23" t="n">
        <f aca="false">Staff!AJ90</f>
        <v>7596225</v>
      </c>
      <c r="AK24" s="23" t="n">
        <f aca="false">Staff!AK90</f>
        <v>7596225</v>
      </c>
      <c r="AL24" s="23" t="n">
        <f aca="false">Staff!AL90</f>
        <v>7596225</v>
      </c>
      <c r="AM24" s="23" t="n">
        <f aca="false">Staff!AM90</f>
        <v>7596225</v>
      </c>
      <c r="AN24" s="23" t="n">
        <f aca="false">Staff!AN90</f>
        <v>7596225</v>
      </c>
      <c r="AO24" s="23" t="n">
        <f aca="false">Staff!AO90</f>
        <v>7976036.25</v>
      </c>
      <c r="AP24" s="23" t="n">
        <f aca="false">Staff!AP90</f>
        <v>7976036.25</v>
      </c>
      <c r="AQ24" s="23" t="n">
        <f aca="false">Staff!AQ90</f>
        <v>7976036.25</v>
      </c>
      <c r="AR24" s="23" t="n">
        <f aca="false">Staff!AR90</f>
        <v>7976036.25</v>
      </c>
      <c r="AS24" s="23" t="n">
        <f aca="false">Staff!AS90</f>
        <v>7976036.25</v>
      </c>
      <c r="AT24" s="23" t="n">
        <f aca="false">Staff!AT90</f>
        <v>7976036.25</v>
      </c>
      <c r="AU24" s="23" t="n">
        <f aca="false">Staff!AU90</f>
        <v>7976036.25</v>
      </c>
      <c r="AV24" s="23" t="n">
        <f aca="false">Staff!AV90</f>
        <v>7976036.25</v>
      </c>
      <c r="AW24" s="23" t="n">
        <f aca="false">Staff!AW90</f>
        <v>7976036.25</v>
      </c>
      <c r="AX24" s="23" t="n">
        <f aca="false">Staff!AX90</f>
        <v>7976036.25</v>
      </c>
      <c r="AY24" s="23" t="n">
        <f aca="false">Staff!AY90</f>
        <v>7976036.25</v>
      </c>
      <c r="AZ24" s="23" t="n">
        <f aca="false">Staff!AZ90</f>
        <v>7976036.25</v>
      </c>
      <c r="BA24" s="23" t="n">
        <f aca="false">Staff!BA90</f>
        <v>8374838.0625</v>
      </c>
      <c r="BB24" s="23" t="n">
        <f aca="false">Staff!BB90</f>
        <v>8374838.0625</v>
      </c>
      <c r="BC24" s="23" t="n">
        <f aca="false">Staff!BC90</f>
        <v>8374838.0625</v>
      </c>
      <c r="BD24" s="23" t="n">
        <f aca="false">Staff!BD90</f>
        <v>8374838.0625</v>
      </c>
      <c r="BE24" s="23" t="n">
        <f aca="false">Staff!BE90</f>
        <v>8374838.0625</v>
      </c>
      <c r="BF24" s="23" t="n">
        <f aca="false">Staff!BF90</f>
        <v>8374838.0625</v>
      </c>
      <c r="BG24" s="23" t="n">
        <f aca="false">Staff!BG90</f>
        <v>8374838.0625</v>
      </c>
      <c r="BH24" s="23" t="n">
        <f aca="false">Staff!BH90</f>
        <v>8374838.0625</v>
      </c>
      <c r="BI24" s="23" t="n">
        <f aca="false">Staff!BI90</f>
        <v>8374838.0625</v>
      </c>
      <c r="BJ24" s="23" t="n">
        <f aca="false">Staff!BJ90</f>
        <v>8374838.0625</v>
      </c>
      <c r="BK24" s="23" t="n">
        <f aca="false">Staff!BK90</f>
        <v>8374838.0625</v>
      </c>
      <c r="BL24" s="23" t="n">
        <f aca="false">Staff!BL90</f>
        <v>8374838.0625</v>
      </c>
    </row>
    <row r="25" customFormat="false" ht="15" hidden="false" customHeight="false" outlineLevel="0" collapsed="false">
      <c r="A25" s="12" t="s">
        <v>657</v>
      </c>
      <c r="B25" s="14" t="s">
        <v>71</v>
      </c>
      <c r="D25" s="55" t="n">
        <f aca="false">SUM(E25:BL25)</f>
        <v>581160420.75</v>
      </c>
      <c r="E25" s="23" t="n">
        <f aca="false">Staff!E91</f>
        <v>6370000</v>
      </c>
      <c r="F25" s="23" t="n">
        <f aca="false">Staff!F91</f>
        <v>6370000</v>
      </c>
      <c r="G25" s="23" t="n">
        <f aca="false">Staff!G91</f>
        <v>6370000</v>
      </c>
      <c r="H25" s="23" t="n">
        <f aca="false">Staff!H91</f>
        <v>6370000</v>
      </c>
      <c r="I25" s="23" t="n">
        <f aca="false">Staff!I91</f>
        <v>6370000</v>
      </c>
      <c r="J25" s="23" t="n">
        <f aca="false">Staff!J91</f>
        <v>6370000</v>
      </c>
      <c r="K25" s="23" t="n">
        <f aca="false">Staff!K91</f>
        <v>6370000</v>
      </c>
      <c r="L25" s="23" t="n">
        <f aca="false">Staff!L91</f>
        <v>6370000</v>
      </c>
      <c r="M25" s="23" t="n">
        <f aca="false">Staff!M91</f>
        <v>6370000</v>
      </c>
      <c r="N25" s="23" t="n">
        <f aca="false">Staff!N91</f>
        <v>6370000</v>
      </c>
      <c r="O25" s="23" t="n">
        <f aca="false">Staff!O91</f>
        <v>6370000</v>
      </c>
      <c r="P25" s="23" t="n">
        <f aca="false">Staff!P91</f>
        <v>6370000</v>
      </c>
      <c r="Q25" s="23" t="n">
        <f aca="false">Staff!Q91</f>
        <v>6688500</v>
      </c>
      <c r="R25" s="23" t="n">
        <f aca="false">Staff!R91</f>
        <v>6688500</v>
      </c>
      <c r="S25" s="23" t="n">
        <f aca="false">Staff!S91</f>
        <v>6688500</v>
      </c>
      <c r="T25" s="23" t="n">
        <f aca="false">Staff!T91</f>
        <v>6688500</v>
      </c>
      <c r="U25" s="23" t="n">
        <f aca="false">Staff!U91</f>
        <v>6688500</v>
      </c>
      <c r="V25" s="23" t="n">
        <f aca="false">Staff!V91</f>
        <v>6688500</v>
      </c>
      <c r="W25" s="23" t="n">
        <f aca="false">Staff!W91</f>
        <v>6688500</v>
      </c>
      <c r="X25" s="23" t="n">
        <f aca="false">Staff!X91</f>
        <v>6688500</v>
      </c>
      <c r="Y25" s="23" t="n">
        <f aca="false">Staff!Y91</f>
        <v>6688500</v>
      </c>
      <c r="Z25" s="23" t="n">
        <f aca="false">Staff!Z91</f>
        <v>6688500</v>
      </c>
      <c r="AA25" s="23" t="n">
        <f aca="false">Staff!AA91</f>
        <v>6688500</v>
      </c>
      <c r="AB25" s="23" t="n">
        <f aca="false">Staff!AB91</f>
        <v>6688500</v>
      </c>
      <c r="AC25" s="23" t="n">
        <f aca="false">Staff!AC91</f>
        <v>7022925</v>
      </c>
      <c r="AD25" s="23" t="n">
        <f aca="false">Staff!AD91</f>
        <v>7022925</v>
      </c>
      <c r="AE25" s="23" t="n">
        <f aca="false">Staff!AE91</f>
        <v>8742825</v>
      </c>
      <c r="AF25" s="23" t="n">
        <f aca="false">Staff!AF91</f>
        <v>8742825</v>
      </c>
      <c r="AG25" s="23" t="n">
        <f aca="false">Staff!AG91</f>
        <v>8742825</v>
      </c>
      <c r="AH25" s="23" t="n">
        <f aca="false">Staff!AH91</f>
        <v>8742825</v>
      </c>
      <c r="AI25" s="23" t="n">
        <f aca="false">Staff!AI91</f>
        <v>8742825</v>
      </c>
      <c r="AJ25" s="23" t="n">
        <f aca="false">Staff!AJ91</f>
        <v>8742825</v>
      </c>
      <c r="AK25" s="23" t="n">
        <f aca="false">Staff!AK91</f>
        <v>8742825</v>
      </c>
      <c r="AL25" s="23" t="n">
        <f aca="false">Staff!AL91</f>
        <v>8742825</v>
      </c>
      <c r="AM25" s="23" t="n">
        <f aca="false">Staff!AM91</f>
        <v>8742825</v>
      </c>
      <c r="AN25" s="23" t="n">
        <f aca="false">Staff!AN91</f>
        <v>8742825</v>
      </c>
      <c r="AO25" s="23" t="n">
        <f aca="false">Staff!AO91</f>
        <v>10985861.25</v>
      </c>
      <c r="AP25" s="23" t="n">
        <f aca="false">Staff!AP91</f>
        <v>10985861.25</v>
      </c>
      <c r="AQ25" s="23" t="n">
        <f aca="false">Staff!AQ91</f>
        <v>10985861.25</v>
      </c>
      <c r="AR25" s="23" t="n">
        <f aca="false">Staff!AR91</f>
        <v>10985861.25</v>
      </c>
      <c r="AS25" s="23" t="n">
        <f aca="false">Staff!AS91</f>
        <v>10985861.25</v>
      </c>
      <c r="AT25" s="23" t="n">
        <f aca="false">Staff!AT91</f>
        <v>10985861.25</v>
      </c>
      <c r="AU25" s="23" t="n">
        <f aca="false">Staff!AU91</f>
        <v>10985861.25</v>
      </c>
      <c r="AV25" s="23" t="n">
        <f aca="false">Staff!AV91</f>
        <v>10985861.25</v>
      </c>
      <c r="AW25" s="23" t="n">
        <f aca="false">Staff!AW91</f>
        <v>12791756.25</v>
      </c>
      <c r="AX25" s="23" t="n">
        <f aca="false">Staff!AX91</f>
        <v>12791756.25</v>
      </c>
      <c r="AY25" s="23" t="n">
        <f aca="false">Staff!AY91</f>
        <v>12791756.25</v>
      </c>
      <c r="AZ25" s="23" t="n">
        <f aca="false">Staff!AZ91</f>
        <v>12791756.25</v>
      </c>
      <c r="BA25" s="23" t="n">
        <f aca="false">Staff!BA91</f>
        <v>13431344.0625</v>
      </c>
      <c r="BB25" s="23" t="n">
        <f aca="false">Staff!BB91</f>
        <v>13431344.0625</v>
      </c>
      <c r="BC25" s="23" t="n">
        <f aca="false">Staff!BC91</f>
        <v>13431344.0625</v>
      </c>
      <c r="BD25" s="23" t="n">
        <f aca="false">Staff!BD91</f>
        <v>15327533.8125</v>
      </c>
      <c r="BE25" s="23" t="n">
        <f aca="false">Staff!BE91</f>
        <v>15327533.8125</v>
      </c>
      <c r="BF25" s="23" t="n">
        <f aca="false">Staff!BF91</f>
        <v>15327533.8125</v>
      </c>
      <c r="BG25" s="23" t="n">
        <f aca="false">Staff!BG91</f>
        <v>15327533.8125</v>
      </c>
      <c r="BH25" s="23" t="n">
        <f aca="false">Staff!BH91</f>
        <v>15327533.8125</v>
      </c>
      <c r="BI25" s="23" t="n">
        <f aca="false">Staff!BI91</f>
        <v>15327533.8125</v>
      </c>
      <c r="BJ25" s="23" t="n">
        <f aca="false">Staff!BJ91</f>
        <v>17223723.5625</v>
      </c>
      <c r="BK25" s="23" t="n">
        <f aca="false">Staff!BK91</f>
        <v>17223723.5625</v>
      </c>
      <c r="BL25" s="23" t="n">
        <f aca="false">Staff!BL91</f>
        <v>17223723.5625</v>
      </c>
    </row>
    <row r="26" customFormat="false" ht="15" hidden="false" customHeight="false" outlineLevel="0" collapsed="false">
      <c r="A26" s="12" t="s">
        <v>675</v>
      </c>
      <c r="B26" s="14" t="s">
        <v>71</v>
      </c>
      <c r="D26" s="55" t="n">
        <f aca="false">SUM(E26:BL26)</f>
        <v>83377271.25</v>
      </c>
      <c r="E26" s="23" t="n">
        <f aca="false">Staff!E92</f>
        <v>0</v>
      </c>
      <c r="F26" s="23" t="n">
        <f aca="false">Staff!F92</f>
        <v>0</v>
      </c>
      <c r="G26" s="23" t="n">
        <f aca="false">Staff!G92</f>
        <v>0</v>
      </c>
      <c r="H26" s="23" t="n">
        <f aca="false">Staff!H92</f>
        <v>0</v>
      </c>
      <c r="I26" s="23" t="n">
        <f aca="false">Staff!I92</f>
        <v>0</v>
      </c>
      <c r="J26" s="23" t="n">
        <f aca="false">Staff!J92</f>
        <v>0</v>
      </c>
      <c r="K26" s="23" t="n">
        <f aca="false">Staff!K92</f>
        <v>0</v>
      </c>
      <c r="L26" s="23" t="n">
        <f aca="false">Staff!L92</f>
        <v>0</v>
      </c>
      <c r="M26" s="23" t="n">
        <f aca="false">Staff!M92</f>
        <v>0</v>
      </c>
      <c r="N26" s="23" t="n">
        <f aca="false">Staff!N92</f>
        <v>0</v>
      </c>
      <c r="O26" s="23" t="n">
        <f aca="false">Staff!O92</f>
        <v>0</v>
      </c>
      <c r="P26" s="23" t="n">
        <f aca="false">Staff!P92</f>
        <v>0</v>
      </c>
      <c r="Q26" s="23" t="n">
        <f aca="false">Staff!Q92</f>
        <v>0</v>
      </c>
      <c r="R26" s="23" t="n">
        <f aca="false">Staff!R92</f>
        <v>0</v>
      </c>
      <c r="S26" s="23" t="n">
        <f aca="false">Staff!S92</f>
        <v>0</v>
      </c>
      <c r="T26" s="23" t="n">
        <f aca="false">Staff!T92</f>
        <v>0</v>
      </c>
      <c r="U26" s="23" t="n">
        <f aca="false">Staff!U92</f>
        <v>0</v>
      </c>
      <c r="V26" s="23" t="n">
        <f aca="false">Staff!V92</f>
        <v>0</v>
      </c>
      <c r="W26" s="23" t="n">
        <f aca="false">Staff!W92</f>
        <v>0</v>
      </c>
      <c r="X26" s="23" t="n">
        <f aca="false">Staff!X92</f>
        <v>0</v>
      </c>
      <c r="Y26" s="23" t="n">
        <f aca="false">Staff!Y92</f>
        <v>0</v>
      </c>
      <c r="Z26" s="23" t="n">
        <f aca="false">Staff!Z92</f>
        <v>0</v>
      </c>
      <c r="AA26" s="23" t="n">
        <f aca="false">Staff!AA92</f>
        <v>0</v>
      </c>
      <c r="AB26" s="23" t="n">
        <f aca="false">Staff!AB92</f>
        <v>2047500</v>
      </c>
      <c r="AC26" s="23" t="n">
        <f aca="false">Staff!AC92</f>
        <v>2149875</v>
      </c>
      <c r="AD26" s="23" t="n">
        <f aca="false">Staff!AD92</f>
        <v>2149875</v>
      </c>
      <c r="AE26" s="23" t="n">
        <f aca="false">Staff!AE92</f>
        <v>2149875</v>
      </c>
      <c r="AF26" s="23" t="n">
        <f aca="false">Staff!AF92</f>
        <v>2149875</v>
      </c>
      <c r="AG26" s="23" t="n">
        <f aca="false">Staff!AG92</f>
        <v>2149875</v>
      </c>
      <c r="AH26" s="23" t="n">
        <f aca="false">Staff!AH92</f>
        <v>2149875</v>
      </c>
      <c r="AI26" s="23" t="n">
        <f aca="false">Staff!AI92</f>
        <v>2149875</v>
      </c>
      <c r="AJ26" s="23" t="n">
        <f aca="false">Staff!AJ92</f>
        <v>2149875</v>
      </c>
      <c r="AK26" s="23" t="n">
        <f aca="false">Staff!AK92</f>
        <v>2149875</v>
      </c>
      <c r="AL26" s="23" t="n">
        <f aca="false">Staff!AL92</f>
        <v>2149875</v>
      </c>
      <c r="AM26" s="23" t="n">
        <f aca="false">Staff!AM92</f>
        <v>2149875</v>
      </c>
      <c r="AN26" s="23" t="n">
        <f aca="false">Staff!AN92</f>
        <v>2149875</v>
      </c>
      <c r="AO26" s="23" t="n">
        <f aca="false">Staff!AO92</f>
        <v>2257368.75</v>
      </c>
      <c r="AP26" s="23" t="n">
        <f aca="false">Staff!AP92</f>
        <v>2257368.75</v>
      </c>
      <c r="AQ26" s="23" t="n">
        <f aca="false">Staff!AQ92</f>
        <v>2257368.75</v>
      </c>
      <c r="AR26" s="23" t="n">
        <f aca="false">Staff!AR92</f>
        <v>2257368.75</v>
      </c>
      <c r="AS26" s="23" t="n">
        <f aca="false">Staff!AS92</f>
        <v>2257368.75</v>
      </c>
      <c r="AT26" s="23" t="n">
        <f aca="false">Staff!AT92</f>
        <v>2257368.75</v>
      </c>
      <c r="AU26" s="23" t="n">
        <f aca="false">Staff!AU92</f>
        <v>2257368.75</v>
      </c>
      <c r="AV26" s="23" t="n">
        <f aca="false">Staff!AV92</f>
        <v>2257368.75</v>
      </c>
      <c r="AW26" s="23" t="n">
        <f aca="false">Staff!AW92</f>
        <v>2257368.75</v>
      </c>
      <c r="AX26" s="23" t="n">
        <f aca="false">Staff!AX92</f>
        <v>2257368.75</v>
      </c>
      <c r="AY26" s="23" t="n">
        <f aca="false">Staff!AY92</f>
        <v>2257368.75</v>
      </c>
      <c r="AZ26" s="23" t="n">
        <f aca="false">Staff!AZ92</f>
        <v>2257368.75</v>
      </c>
      <c r="BA26" s="23" t="n">
        <f aca="false">Staff!BA92</f>
        <v>2370237.1875</v>
      </c>
      <c r="BB26" s="23" t="n">
        <f aca="false">Staff!BB92</f>
        <v>2370237.1875</v>
      </c>
      <c r="BC26" s="23" t="n">
        <f aca="false">Staff!BC92</f>
        <v>2370237.1875</v>
      </c>
      <c r="BD26" s="23" t="n">
        <f aca="false">Staff!BD92</f>
        <v>2370237.1875</v>
      </c>
      <c r="BE26" s="23" t="n">
        <f aca="false">Staff!BE92</f>
        <v>2370237.1875</v>
      </c>
      <c r="BF26" s="23" t="n">
        <f aca="false">Staff!BF92</f>
        <v>2370237.1875</v>
      </c>
      <c r="BG26" s="23" t="n">
        <f aca="false">Staff!BG92</f>
        <v>2370237.1875</v>
      </c>
      <c r="BH26" s="23" t="n">
        <f aca="false">Staff!BH92</f>
        <v>2370237.1875</v>
      </c>
      <c r="BI26" s="23" t="n">
        <f aca="false">Staff!BI92</f>
        <v>2370237.1875</v>
      </c>
      <c r="BJ26" s="23" t="n">
        <f aca="false">Staff!BJ92</f>
        <v>2370237.1875</v>
      </c>
      <c r="BK26" s="23" t="n">
        <f aca="false">Staff!BK92</f>
        <v>2370237.1875</v>
      </c>
      <c r="BL26" s="23" t="n">
        <f aca="false">Staff!BL92</f>
        <v>2370237.1875</v>
      </c>
    </row>
    <row r="27" customFormat="false" ht="15" hidden="false" customHeight="false" outlineLevel="0" collapsed="false">
      <c r="A27" s="12" t="s">
        <v>26</v>
      </c>
      <c r="B27" s="14" t="s">
        <v>71</v>
      </c>
      <c r="D27" s="55" t="n">
        <f aca="false">SUM(E27:BL27)</f>
        <v>170316475.875</v>
      </c>
      <c r="E27" s="23" t="n">
        <f aca="false">Staff!E93</f>
        <v>0</v>
      </c>
      <c r="F27" s="23" t="n">
        <f aca="false">Staff!F93</f>
        <v>0</v>
      </c>
      <c r="G27" s="23" t="n">
        <f aca="false">Staff!G93</f>
        <v>0</v>
      </c>
      <c r="H27" s="23" t="n">
        <f aca="false">Staff!H93</f>
        <v>0</v>
      </c>
      <c r="I27" s="23" t="n">
        <f aca="false">Staff!I93</f>
        <v>0</v>
      </c>
      <c r="J27" s="23" t="n">
        <f aca="false">Staff!J93</f>
        <v>0</v>
      </c>
      <c r="K27" s="23" t="n">
        <f aca="false">Staff!K93</f>
        <v>0</v>
      </c>
      <c r="L27" s="23" t="n">
        <f aca="false">Staff!L93</f>
        <v>0</v>
      </c>
      <c r="M27" s="23" t="n">
        <f aca="false">Staff!M93</f>
        <v>0</v>
      </c>
      <c r="N27" s="23" t="n">
        <f aca="false">Staff!N93</f>
        <v>0</v>
      </c>
      <c r="O27" s="23" t="n">
        <f aca="false">Staff!O93</f>
        <v>0</v>
      </c>
      <c r="P27" s="23" t="n">
        <f aca="false">Staff!P93</f>
        <v>0</v>
      </c>
      <c r="Q27" s="23" t="n">
        <f aca="false">Staff!Q93</f>
        <v>0</v>
      </c>
      <c r="R27" s="23" t="n">
        <f aca="false">Staff!R93</f>
        <v>0</v>
      </c>
      <c r="S27" s="23" t="n">
        <f aca="false">Staff!S93</f>
        <v>0</v>
      </c>
      <c r="T27" s="23" t="n">
        <f aca="false">Staff!T93</f>
        <v>819000</v>
      </c>
      <c r="U27" s="23" t="n">
        <f aca="false">Staff!U93</f>
        <v>819000</v>
      </c>
      <c r="V27" s="23" t="n">
        <f aca="false">Staff!V93</f>
        <v>819000</v>
      </c>
      <c r="W27" s="23" t="n">
        <f aca="false">Staff!W93</f>
        <v>819000</v>
      </c>
      <c r="X27" s="23" t="n">
        <f aca="false">Staff!X93</f>
        <v>819000</v>
      </c>
      <c r="Y27" s="23" t="n">
        <f aca="false">Staff!Y93</f>
        <v>819000</v>
      </c>
      <c r="Z27" s="23" t="n">
        <f aca="false">Staff!Z93</f>
        <v>819000</v>
      </c>
      <c r="AA27" s="23" t="n">
        <f aca="false">Staff!AA93</f>
        <v>819000</v>
      </c>
      <c r="AB27" s="23" t="n">
        <f aca="false">Staff!AB93</f>
        <v>819000</v>
      </c>
      <c r="AC27" s="23" t="n">
        <f aca="false">Staff!AC93</f>
        <v>859950</v>
      </c>
      <c r="AD27" s="23" t="n">
        <f aca="false">Staff!AD93</f>
        <v>859950</v>
      </c>
      <c r="AE27" s="23" t="n">
        <f aca="false">Staff!AE93</f>
        <v>859950</v>
      </c>
      <c r="AF27" s="23" t="n">
        <f aca="false">Staff!AF93</f>
        <v>1719900</v>
      </c>
      <c r="AG27" s="23" t="n">
        <f aca="false">Staff!AG93</f>
        <v>1719900</v>
      </c>
      <c r="AH27" s="23" t="n">
        <f aca="false">Staff!AH93</f>
        <v>1719900</v>
      </c>
      <c r="AI27" s="23" t="n">
        <f aca="false">Staff!AI93</f>
        <v>1719900</v>
      </c>
      <c r="AJ27" s="23" t="n">
        <f aca="false">Staff!AJ93</f>
        <v>1719900</v>
      </c>
      <c r="AK27" s="23" t="n">
        <f aca="false">Staff!AK93</f>
        <v>2579850</v>
      </c>
      <c r="AL27" s="23" t="n">
        <f aca="false">Staff!AL93</f>
        <v>2579850</v>
      </c>
      <c r="AM27" s="23" t="n">
        <f aca="false">Staff!AM93</f>
        <v>2579850</v>
      </c>
      <c r="AN27" s="23" t="n">
        <f aca="false">Staff!AN93</f>
        <v>2579850</v>
      </c>
      <c r="AO27" s="23" t="n">
        <f aca="false">Staff!AO93</f>
        <v>3611790</v>
      </c>
      <c r="AP27" s="23" t="n">
        <f aca="false">Staff!AP93</f>
        <v>3611790</v>
      </c>
      <c r="AQ27" s="23" t="n">
        <f aca="false">Staff!AQ93</f>
        <v>3611790</v>
      </c>
      <c r="AR27" s="23" t="n">
        <f aca="false">Staff!AR93</f>
        <v>3611790</v>
      </c>
      <c r="AS27" s="23" t="n">
        <f aca="false">Staff!AS93</f>
        <v>4514737.5</v>
      </c>
      <c r="AT27" s="23" t="n">
        <f aca="false">Staff!AT93</f>
        <v>4514737.5</v>
      </c>
      <c r="AU27" s="23" t="n">
        <f aca="false">Staff!AU93</f>
        <v>4514737.5</v>
      </c>
      <c r="AV27" s="23" t="n">
        <f aca="false">Staff!AV93</f>
        <v>4514737.5</v>
      </c>
      <c r="AW27" s="23" t="n">
        <f aca="false">Staff!AW93</f>
        <v>4514737.5</v>
      </c>
      <c r="AX27" s="23" t="n">
        <f aca="false">Staff!AX93</f>
        <v>5417685</v>
      </c>
      <c r="AY27" s="23" t="n">
        <f aca="false">Staff!AY93</f>
        <v>5417685</v>
      </c>
      <c r="AZ27" s="23" t="n">
        <f aca="false">Staff!AZ93</f>
        <v>5417685</v>
      </c>
      <c r="BA27" s="23" t="n">
        <f aca="false">Staff!BA93</f>
        <v>5688569.25</v>
      </c>
      <c r="BB27" s="23" t="n">
        <f aca="false">Staff!BB93</f>
        <v>6636664.125</v>
      </c>
      <c r="BC27" s="23" t="n">
        <f aca="false">Staff!BC93</f>
        <v>6636664.125</v>
      </c>
      <c r="BD27" s="23" t="n">
        <f aca="false">Staff!BD93</f>
        <v>6636664.125</v>
      </c>
      <c r="BE27" s="23" t="n">
        <f aca="false">Staff!BE93</f>
        <v>6636664.125</v>
      </c>
      <c r="BF27" s="23" t="n">
        <f aca="false">Staff!BF93</f>
        <v>7584759</v>
      </c>
      <c r="BG27" s="23" t="n">
        <f aca="false">Staff!BG93</f>
        <v>7584759</v>
      </c>
      <c r="BH27" s="23" t="n">
        <f aca="false">Staff!BH93</f>
        <v>7584759</v>
      </c>
      <c r="BI27" s="23" t="n">
        <f aca="false">Staff!BI93</f>
        <v>7584759</v>
      </c>
      <c r="BJ27" s="23" t="n">
        <f aca="false">Staff!BJ93</f>
        <v>8532853.875</v>
      </c>
      <c r="BK27" s="23" t="n">
        <f aca="false">Staff!BK93</f>
        <v>8532853.875</v>
      </c>
      <c r="BL27" s="23" t="n">
        <f aca="false">Staff!BL93</f>
        <v>8532853.875</v>
      </c>
    </row>
    <row r="28" customFormat="false" ht="15" hidden="false" customHeight="false" outlineLevel="0" collapsed="false">
      <c r="A28" s="12" t="s">
        <v>819</v>
      </c>
      <c r="B28" s="14" t="s">
        <v>71</v>
      </c>
      <c r="D28" s="55" t="n">
        <f aca="false">SUM(E28:BL28)</f>
        <v>257887439.0625</v>
      </c>
      <c r="E28" s="23" t="n">
        <f aca="false">Staff!E94</f>
        <v>0</v>
      </c>
      <c r="F28" s="23" t="n">
        <f aca="false">Staff!F94</f>
        <v>0</v>
      </c>
      <c r="G28" s="23" t="n">
        <f aca="false">Staff!G94</f>
        <v>0</v>
      </c>
      <c r="H28" s="23" t="n">
        <f aca="false">Staff!H94</f>
        <v>650000</v>
      </c>
      <c r="I28" s="23" t="n">
        <f aca="false">Staff!I94</f>
        <v>650000</v>
      </c>
      <c r="J28" s="23" t="n">
        <f aca="false">Staff!J94</f>
        <v>650000</v>
      </c>
      <c r="K28" s="23" t="n">
        <f aca="false">Staff!K94</f>
        <v>650000</v>
      </c>
      <c r="L28" s="23" t="n">
        <f aca="false">Staff!L94</f>
        <v>650000</v>
      </c>
      <c r="M28" s="23" t="n">
        <f aca="false">Staff!M94</f>
        <v>650000</v>
      </c>
      <c r="N28" s="23" t="n">
        <f aca="false">Staff!N94</f>
        <v>650000</v>
      </c>
      <c r="O28" s="23" t="n">
        <f aca="false">Staff!O94</f>
        <v>650000</v>
      </c>
      <c r="P28" s="23" t="n">
        <f aca="false">Staff!P94</f>
        <v>650000</v>
      </c>
      <c r="Q28" s="23" t="n">
        <f aca="false">Staff!Q94</f>
        <v>682500</v>
      </c>
      <c r="R28" s="23" t="n">
        <f aca="false">Staff!R94</f>
        <v>682500</v>
      </c>
      <c r="S28" s="23" t="n">
        <f aca="false">Staff!S94</f>
        <v>682500</v>
      </c>
      <c r="T28" s="23" t="n">
        <f aca="false">Staff!T94</f>
        <v>682500</v>
      </c>
      <c r="U28" s="23" t="n">
        <f aca="false">Staff!U94</f>
        <v>682500</v>
      </c>
      <c r="V28" s="23" t="n">
        <f aca="false">Staff!V94</f>
        <v>682500</v>
      </c>
      <c r="W28" s="23" t="n">
        <f aca="false">Staff!W94</f>
        <v>1023750</v>
      </c>
      <c r="X28" s="23" t="n">
        <f aca="false">Staff!X94</f>
        <v>1023750</v>
      </c>
      <c r="Y28" s="23" t="n">
        <f aca="false">Staff!Y94</f>
        <v>1023750</v>
      </c>
      <c r="Z28" s="23" t="n">
        <f aca="false">Staff!Z94</f>
        <v>1023750</v>
      </c>
      <c r="AA28" s="23" t="n">
        <f aca="false">Staff!AA94</f>
        <v>1365000</v>
      </c>
      <c r="AB28" s="23" t="n">
        <f aca="false">Staff!AB94</f>
        <v>1365000</v>
      </c>
      <c r="AC28" s="23" t="n">
        <f aca="false">Staff!AC94</f>
        <v>1433250</v>
      </c>
      <c r="AD28" s="23" t="n">
        <f aca="false">Staff!AD94</f>
        <v>1433250</v>
      </c>
      <c r="AE28" s="23" t="n">
        <f aca="false">Staff!AE94</f>
        <v>1791562.5</v>
      </c>
      <c r="AF28" s="23" t="n">
        <f aca="false">Staff!AF94</f>
        <v>1791562.5</v>
      </c>
      <c r="AG28" s="23" t="n">
        <f aca="false">Staff!AG94</f>
        <v>2866500</v>
      </c>
      <c r="AH28" s="23" t="n">
        <f aca="false">Staff!AH94</f>
        <v>2866500</v>
      </c>
      <c r="AI28" s="23" t="n">
        <f aca="false">Staff!AI94</f>
        <v>3224812.5</v>
      </c>
      <c r="AJ28" s="23" t="n">
        <f aca="false">Staff!AJ94</f>
        <v>3583125</v>
      </c>
      <c r="AK28" s="23" t="n">
        <f aca="false">Staff!AK94</f>
        <v>3583125</v>
      </c>
      <c r="AL28" s="23" t="n">
        <f aca="false">Staff!AL94</f>
        <v>3941437.5</v>
      </c>
      <c r="AM28" s="23" t="n">
        <f aca="false">Staff!AM94</f>
        <v>3941437.5</v>
      </c>
      <c r="AN28" s="23" t="n">
        <f aca="false">Staff!AN94</f>
        <v>4299750</v>
      </c>
      <c r="AO28" s="23" t="n">
        <f aca="false">Staff!AO94</f>
        <v>4890965.625</v>
      </c>
      <c r="AP28" s="23" t="n">
        <f aca="false">Staff!AP94</f>
        <v>4890965.625</v>
      </c>
      <c r="AQ28" s="23" t="n">
        <f aca="false">Staff!AQ94</f>
        <v>5267193.75</v>
      </c>
      <c r="AR28" s="23" t="n">
        <f aca="false">Staff!AR94</f>
        <v>5643421.875</v>
      </c>
      <c r="AS28" s="23" t="n">
        <f aca="false">Staff!AS94</f>
        <v>6019650</v>
      </c>
      <c r="AT28" s="23" t="n">
        <f aca="false">Staff!AT94</f>
        <v>6019650</v>
      </c>
      <c r="AU28" s="23" t="n">
        <f aca="false">Staff!AU94</f>
        <v>6395878.125</v>
      </c>
      <c r="AV28" s="23" t="n">
        <f aca="false">Staff!AV94</f>
        <v>6772106.25</v>
      </c>
      <c r="AW28" s="23" t="n">
        <f aca="false">Staff!AW94</f>
        <v>7148334.375</v>
      </c>
      <c r="AX28" s="23" t="n">
        <f aca="false">Staff!AX94</f>
        <v>7524562.5</v>
      </c>
      <c r="AY28" s="23" t="n">
        <f aca="false">Staff!AY94</f>
        <v>7524562.5</v>
      </c>
      <c r="AZ28" s="23" t="n">
        <f aca="false">Staff!AZ94</f>
        <v>7900790.625</v>
      </c>
      <c r="BA28" s="23" t="n">
        <f aca="false">Staff!BA94</f>
        <v>8690869.6875</v>
      </c>
      <c r="BB28" s="23" t="n">
        <f aca="false">Staff!BB94</f>
        <v>9085909.21875</v>
      </c>
      <c r="BC28" s="23" t="n">
        <f aca="false">Staff!BC94</f>
        <v>9480948.75</v>
      </c>
      <c r="BD28" s="23" t="n">
        <f aca="false">Staff!BD94</f>
        <v>9875988.28125</v>
      </c>
      <c r="BE28" s="23" t="n">
        <f aca="false">Staff!BE94</f>
        <v>10271027.8125</v>
      </c>
      <c r="BF28" s="23" t="n">
        <f aca="false">Staff!BF94</f>
        <v>10666067.34375</v>
      </c>
      <c r="BG28" s="23" t="n">
        <f aca="false">Staff!BG94</f>
        <v>11061106.875</v>
      </c>
      <c r="BH28" s="23" t="n">
        <f aca="false">Staff!BH94</f>
        <v>11456146.40625</v>
      </c>
      <c r="BI28" s="23" t="n">
        <f aca="false">Staff!BI94</f>
        <v>11851185.9375</v>
      </c>
      <c r="BJ28" s="23" t="n">
        <f aca="false">Staff!BJ94</f>
        <v>12246225.46875</v>
      </c>
      <c r="BK28" s="23" t="n">
        <f aca="false">Staff!BK94</f>
        <v>12641265</v>
      </c>
      <c r="BL28" s="23" t="n">
        <f aca="false">Staff!BL94</f>
        <v>13036304.53125</v>
      </c>
    </row>
    <row r="29" customFormat="false" ht="15" hidden="false" customHeight="false" outlineLevel="0" collapsed="false">
      <c r="A29" s="12" t="s">
        <v>663</v>
      </c>
      <c r="B29" s="14" t="s">
        <v>71</v>
      </c>
      <c r="D29" s="55" t="n">
        <f aca="false">SUM(E29:BL29)</f>
        <v>479341936.125</v>
      </c>
      <c r="E29" s="23" t="n">
        <f aca="false">Staff!E95</f>
        <v>1560000</v>
      </c>
      <c r="F29" s="23" t="n">
        <f aca="false">Staff!F95</f>
        <v>1560000</v>
      </c>
      <c r="G29" s="23" t="n">
        <f aca="false">Staff!G95</f>
        <v>1560000</v>
      </c>
      <c r="H29" s="23" t="n">
        <f aca="false">Staff!H95</f>
        <v>2600000</v>
      </c>
      <c r="I29" s="23" t="n">
        <f aca="false">Staff!I95</f>
        <v>2600000</v>
      </c>
      <c r="J29" s="23" t="n">
        <f aca="false">Staff!J95</f>
        <v>2600000</v>
      </c>
      <c r="K29" s="23" t="n">
        <f aca="false">Staff!K95</f>
        <v>2600000</v>
      </c>
      <c r="L29" s="23" t="n">
        <f aca="false">Staff!L95</f>
        <v>2600000</v>
      </c>
      <c r="M29" s="23" t="n">
        <f aca="false">Staff!M95</f>
        <v>2600000</v>
      </c>
      <c r="N29" s="23" t="n">
        <f aca="false">Staff!N95</f>
        <v>2600000</v>
      </c>
      <c r="O29" s="23" t="n">
        <f aca="false">Staff!O95</f>
        <v>2600000</v>
      </c>
      <c r="P29" s="23" t="n">
        <f aca="false">Staff!P95</f>
        <v>2600000</v>
      </c>
      <c r="Q29" s="23" t="n">
        <f aca="false">Staff!Q95</f>
        <v>2730000</v>
      </c>
      <c r="R29" s="23" t="n">
        <f aca="false">Staff!R95</f>
        <v>2730000</v>
      </c>
      <c r="S29" s="23" t="n">
        <f aca="false">Staff!S95</f>
        <v>2730000</v>
      </c>
      <c r="T29" s="23" t="n">
        <f aca="false">Staff!T95</f>
        <v>2730000</v>
      </c>
      <c r="U29" s="23" t="n">
        <f aca="false">Staff!U95</f>
        <v>2730000</v>
      </c>
      <c r="V29" s="23" t="n">
        <f aca="false">Staff!V95</f>
        <v>4504500</v>
      </c>
      <c r="W29" s="23" t="n">
        <f aca="false">Staff!W95</f>
        <v>4504500</v>
      </c>
      <c r="X29" s="23" t="n">
        <f aca="false">Staff!X95</f>
        <v>4504500</v>
      </c>
      <c r="Y29" s="23" t="n">
        <f aca="false">Staff!Y95</f>
        <v>4504500</v>
      </c>
      <c r="Z29" s="23" t="n">
        <f aca="false">Staff!Z95</f>
        <v>4504500</v>
      </c>
      <c r="AA29" s="23" t="n">
        <f aca="false">Staff!AA95</f>
        <v>5050500</v>
      </c>
      <c r="AB29" s="23" t="n">
        <f aca="false">Staff!AB95</f>
        <v>5050500</v>
      </c>
      <c r="AC29" s="23" t="n">
        <f aca="false">Staff!AC95</f>
        <v>5303025</v>
      </c>
      <c r="AD29" s="23" t="n">
        <f aca="false">Staff!AD95</f>
        <v>5303025</v>
      </c>
      <c r="AE29" s="23" t="n">
        <f aca="false">Staff!AE95</f>
        <v>5876325</v>
      </c>
      <c r="AF29" s="23" t="n">
        <f aca="false">Staff!AF95</f>
        <v>5876325</v>
      </c>
      <c r="AG29" s="23" t="n">
        <f aca="false">Staff!AG95</f>
        <v>5876325</v>
      </c>
      <c r="AH29" s="23" t="n">
        <f aca="false">Staff!AH95</f>
        <v>5876325</v>
      </c>
      <c r="AI29" s="23" t="n">
        <f aca="false">Staff!AI95</f>
        <v>6449625</v>
      </c>
      <c r="AJ29" s="23" t="n">
        <f aca="false">Staff!AJ95</f>
        <v>6449625</v>
      </c>
      <c r="AK29" s="23" t="n">
        <f aca="false">Staff!AK95</f>
        <v>6449625</v>
      </c>
      <c r="AL29" s="23" t="n">
        <f aca="false">Staff!AL95</f>
        <v>7022925</v>
      </c>
      <c r="AM29" s="23" t="n">
        <f aca="false">Staff!AM95</f>
        <v>7667887.5</v>
      </c>
      <c r="AN29" s="23" t="n">
        <f aca="false">Staff!AN95</f>
        <v>7667887.5</v>
      </c>
      <c r="AO29" s="23" t="n">
        <f aca="false">Staff!AO95</f>
        <v>8653246.875</v>
      </c>
      <c r="AP29" s="23" t="n">
        <f aca="false">Staff!AP95</f>
        <v>8653246.875</v>
      </c>
      <c r="AQ29" s="23" t="n">
        <f aca="false">Staff!AQ95</f>
        <v>9255211.875</v>
      </c>
      <c r="AR29" s="23" t="n">
        <f aca="false">Staff!AR95</f>
        <v>9255211.875</v>
      </c>
      <c r="AS29" s="23" t="n">
        <f aca="false">Staff!AS95</f>
        <v>10534387.5</v>
      </c>
      <c r="AT29" s="23" t="n">
        <f aca="false">Staff!AT95</f>
        <v>10534387.5</v>
      </c>
      <c r="AU29" s="23" t="n">
        <f aca="false">Staff!AU95</f>
        <v>10534387.5</v>
      </c>
      <c r="AV29" s="23" t="n">
        <f aca="false">Staff!AV95</f>
        <v>11136352.5</v>
      </c>
      <c r="AW29" s="23" t="n">
        <f aca="false">Staff!AW95</f>
        <v>11136352.5</v>
      </c>
      <c r="AX29" s="23" t="n">
        <f aca="false">Staff!AX95</f>
        <v>12415528.125</v>
      </c>
      <c r="AY29" s="23" t="n">
        <f aca="false">Staff!AY95</f>
        <v>12415528.125</v>
      </c>
      <c r="AZ29" s="23" t="n">
        <f aca="false">Staff!AZ95</f>
        <v>13017493.125</v>
      </c>
      <c r="BA29" s="23" t="n">
        <f aca="false">Staff!BA95</f>
        <v>13668367.78125</v>
      </c>
      <c r="BB29" s="23" t="n">
        <f aca="false">Staff!BB95</f>
        <v>14300431.03125</v>
      </c>
      <c r="BC29" s="23" t="n">
        <f aca="false">Staff!BC95</f>
        <v>15011502.1875</v>
      </c>
      <c r="BD29" s="23" t="n">
        <f aca="false">Staff!BD95</f>
        <v>15643565.4375</v>
      </c>
      <c r="BE29" s="23" t="n">
        <f aca="false">Staff!BE95</f>
        <v>15643565.4375</v>
      </c>
      <c r="BF29" s="23" t="n">
        <f aca="false">Staff!BF95</f>
        <v>16986699.84375</v>
      </c>
      <c r="BG29" s="23" t="n">
        <f aca="false">Staff!BG95</f>
        <v>16986699.84375</v>
      </c>
      <c r="BH29" s="23" t="n">
        <f aca="false">Staff!BH95</f>
        <v>17618763.09375</v>
      </c>
      <c r="BI29" s="23" t="n">
        <f aca="false">Staff!BI95</f>
        <v>17618763.09375</v>
      </c>
      <c r="BJ29" s="23" t="n">
        <f aca="false">Staff!BJ95</f>
        <v>18961897.5</v>
      </c>
      <c r="BK29" s="23" t="n">
        <f aca="false">Staff!BK95</f>
        <v>19593960.75</v>
      </c>
      <c r="BL29" s="23" t="n">
        <f aca="false">Staff!BL95</f>
        <v>19593960.75</v>
      </c>
    </row>
    <row r="30" customFormat="false" ht="15" hidden="false" customHeight="false" outlineLevel="0" collapsed="false">
      <c r="A30" s="12" t="s">
        <v>668</v>
      </c>
      <c r="B30" s="14" t="s">
        <v>71</v>
      </c>
      <c r="D30" s="55" t="n">
        <f aca="false">SUM(E30:BL30)</f>
        <v>106469801.75</v>
      </c>
      <c r="E30" s="23" t="n">
        <f aca="false">Staff!E96</f>
        <v>0</v>
      </c>
      <c r="F30" s="23" t="n">
        <f aca="false">Staff!F96</f>
        <v>0</v>
      </c>
      <c r="G30" s="23" t="n">
        <f aca="false">Staff!G96</f>
        <v>0</v>
      </c>
      <c r="H30" s="23" t="n">
        <f aca="false">Staff!H96</f>
        <v>1170000</v>
      </c>
      <c r="I30" s="23" t="n">
        <f aca="false">Staff!I96</f>
        <v>1690000</v>
      </c>
      <c r="J30" s="23" t="n">
        <f aca="false">Staff!J96</f>
        <v>1690000</v>
      </c>
      <c r="K30" s="23" t="n">
        <f aca="false">Staff!K96</f>
        <v>1690000</v>
      </c>
      <c r="L30" s="23" t="n">
        <f aca="false">Staff!L96</f>
        <v>1690000</v>
      </c>
      <c r="M30" s="23" t="n">
        <f aca="false">Staff!M96</f>
        <v>1690000</v>
      </c>
      <c r="N30" s="23" t="n">
        <f aca="false">Staff!N96</f>
        <v>1690000</v>
      </c>
      <c r="O30" s="23" t="n">
        <f aca="false">Staff!O96</f>
        <v>1690000</v>
      </c>
      <c r="P30" s="23" t="n">
        <f aca="false">Staff!P96</f>
        <v>1690000</v>
      </c>
      <c r="Q30" s="23" t="n">
        <f aca="false">Staff!Q96</f>
        <v>1774500</v>
      </c>
      <c r="R30" s="23" t="n">
        <f aca="false">Staff!R96</f>
        <v>1774500</v>
      </c>
      <c r="S30" s="23" t="n">
        <f aca="false">Staff!S96</f>
        <v>1774500</v>
      </c>
      <c r="T30" s="23" t="n">
        <f aca="false">Staff!T96</f>
        <v>1774500</v>
      </c>
      <c r="U30" s="23" t="n">
        <f aca="false">Staff!U96</f>
        <v>1774500</v>
      </c>
      <c r="V30" s="23" t="n">
        <f aca="false">Staff!V96</f>
        <v>1774500</v>
      </c>
      <c r="W30" s="23" t="n">
        <f aca="false">Staff!W96</f>
        <v>1774500</v>
      </c>
      <c r="X30" s="23" t="n">
        <f aca="false">Staff!X96</f>
        <v>1774500</v>
      </c>
      <c r="Y30" s="23" t="n">
        <f aca="false">Staff!Y96</f>
        <v>1774500</v>
      </c>
      <c r="Z30" s="23" t="n">
        <f aca="false">Staff!Z96</f>
        <v>1774500</v>
      </c>
      <c r="AA30" s="23" t="n">
        <f aca="false">Staff!AA96</f>
        <v>1774500</v>
      </c>
      <c r="AB30" s="23" t="n">
        <f aca="false">Staff!AB96</f>
        <v>1774500</v>
      </c>
      <c r="AC30" s="23" t="n">
        <f aca="false">Staff!AC96</f>
        <v>1863225</v>
      </c>
      <c r="AD30" s="23" t="n">
        <f aca="false">Staff!AD96</f>
        <v>1863225</v>
      </c>
      <c r="AE30" s="23" t="n">
        <f aca="false">Staff!AE96</f>
        <v>1863225</v>
      </c>
      <c r="AF30" s="23" t="n">
        <f aca="false">Staff!AF96</f>
        <v>1863225</v>
      </c>
      <c r="AG30" s="23" t="n">
        <f aca="false">Staff!AG96</f>
        <v>1863225</v>
      </c>
      <c r="AH30" s="23" t="n">
        <f aca="false">Staff!AH96</f>
        <v>1863225</v>
      </c>
      <c r="AI30" s="23" t="n">
        <f aca="false">Staff!AI96</f>
        <v>1863225</v>
      </c>
      <c r="AJ30" s="23" t="n">
        <f aca="false">Staff!AJ96</f>
        <v>1863225</v>
      </c>
      <c r="AK30" s="23" t="n">
        <f aca="false">Staff!AK96</f>
        <v>1863225</v>
      </c>
      <c r="AL30" s="23" t="n">
        <f aca="false">Staff!AL96</f>
        <v>1863225</v>
      </c>
      <c r="AM30" s="23" t="n">
        <f aca="false">Staff!AM96</f>
        <v>1863225</v>
      </c>
      <c r="AN30" s="23" t="n">
        <f aca="false">Staff!AN96</f>
        <v>1863225</v>
      </c>
      <c r="AO30" s="23" t="n">
        <f aca="false">Staff!AO96</f>
        <v>1956386.25</v>
      </c>
      <c r="AP30" s="23" t="n">
        <f aca="false">Staff!AP96</f>
        <v>1956386.25</v>
      </c>
      <c r="AQ30" s="23" t="n">
        <f aca="false">Staff!AQ96</f>
        <v>1956386.25</v>
      </c>
      <c r="AR30" s="23" t="n">
        <f aca="false">Staff!AR96</f>
        <v>1956386.25</v>
      </c>
      <c r="AS30" s="23" t="n">
        <f aca="false">Staff!AS96</f>
        <v>1956386.25</v>
      </c>
      <c r="AT30" s="23" t="n">
        <f aca="false">Staff!AT96</f>
        <v>1956386.25</v>
      </c>
      <c r="AU30" s="23" t="n">
        <f aca="false">Staff!AU96</f>
        <v>1956386.25</v>
      </c>
      <c r="AV30" s="23" t="n">
        <f aca="false">Staff!AV96</f>
        <v>1956386.25</v>
      </c>
      <c r="AW30" s="23" t="n">
        <f aca="false">Staff!AW96</f>
        <v>1956386.25</v>
      </c>
      <c r="AX30" s="23" t="n">
        <f aca="false">Staff!AX96</f>
        <v>1956386.25</v>
      </c>
      <c r="AY30" s="23" t="n">
        <f aca="false">Staff!AY96</f>
        <v>1956386.25</v>
      </c>
      <c r="AZ30" s="23" t="n">
        <f aca="false">Staff!AZ96</f>
        <v>1956386.25</v>
      </c>
      <c r="BA30" s="23" t="n">
        <f aca="false">Staff!BA96</f>
        <v>2054205.5625</v>
      </c>
      <c r="BB30" s="23" t="n">
        <f aca="false">Staff!BB96</f>
        <v>2054205.5625</v>
      </c>
      <c r="BC30" s="23" t="n">
        <f aca="false">Staff!BC96</f>
        <v>2054205.5625</v>
      </c>
      <c r="BD30" s="23" t="n">
        <f aca="false">Staff!BD96</f>
        <v>2054205.5625</v>
      </c>
      <c r="BE30" s="23" t="n">
        <f aca="false">Staff!BE96</f>
        <v>2054205.5625</v>
      </c>
      <c r="BF30" s="23" t="n">
        <f aca="false">Staff!BF96</f>
        <v>2054205.5625</v>
      </c>
      <c r="BG30" s="23" t="n">
        <f aca="false">Staff!BG96</f>
        <v>2054205.5625</v>
      </c>
      <c r="BH30" s="23" t="n">
        <f aca="false">Staff!BH96</f>
        <v>2054205.5625</v>
      </c>
      <c r="BI30" s="23" t="n">
        <f aca="false">Staff!BI96</f>
        <v>2054205.5625</v>
      </c>
      <c r="BJ30" s="23" t="n">
        <f aca="false">Staff!BJ96</f>
        <v>2054205.5625</v>
      </c>
      <c r="BK30" s="23" t="n">
        <f aca="false">Staff!BK96</f>
        <v>2054205.5625</v>
      </c>
      <c r="BL30" s="23" t="n">
        <f aca="false">Staff!BL96</f>
        <v>2054205.5625</v>
      </c>
    </row>
    <row r="31" customFormat="false" ht="15" hidden="false" customHeight="false" outlineLevel="0" collapsed="false">
      <c r="A31" s="12" t="s">
        <v>660</v>
      </c>
      <c r="B31" s="14" t="s">
        <v>71</v>
      </c>
      <c r="D31" s="55" t="n">
        <f aca="false">SUM(E31:BL31)</f>
        <v>129299771.25</v>
      </c>
      <c r="E31" s="23" t="n">
        <f aca="false">Staff!E97</f>
        <v>1950000</v>
      </c>
      <c r="F31" s="23" t="n">
        <f aca="false">Staff!F97</f>
        <v>1950000</v>
      </c>
      <c r="G31" s="23" t="n">
        <f aca="false">Staff!G97</f>
        <v>1950000</v>
      </c>
      <c r="H31" s="23" t="n">
        <f aca="false">Staff!H97</f>
        <v>1950000</v>
      </c>
      <c r="I31" s="23" t="n">
        <f aca="false">Staff!I97</f>
        <v>1950000</v>
      </c>
      <c r="J31" s="23" t="n">
        <f aca="false">Staff!J97</f>
        <v>1950000</v>
      </c>
      <c r="K31" s="23" t="n">
        <f aca="false">Staff!K97</f>
        <v>1950000</v>
      </c>
      <c r="L31" s="23" t="n">
        <f aca="false">Staff!L97</f>
        <v>1950000</v>
      </c>
      <c r="M31" s="23" t="n">
        <f aca="false">Staff!M97</f>
        <v>1950000</v>
      </c>
      <c r="N31" s="23" t="n">
        <f aca="false">Staff!N97</f>
        <v>1950000</v>
      </c>
      <c r="O31" s="23" t="n">
        <f aca="false">Staff!O97</f>
        <v>1950000</v>
      </c>
      <c r="P31" s="23" t="n">
        <f aca="false">Staff!P97</f>
        <v>1950000</v>
      </c>
      <c r="Q31" s="23" t="n">
        <f aca="false">Staff!Q97</f>
        <v>2047500</v>
      </c>
      <c r="R31" s="23" t="n">
        <f aca="false">Staff!R97</f>
        <v>2047500</v>
      </c>
      <c r="S31" s="23" t="n">
        <f aca="false">Staff!S97</f>
        <v>2047500</v>
      </c>
      <c r="T31" s="23" t="n">
        <f aca="false">Staff!T97</f>
        <v>2047500</v>
      </c>
      <c r="U31" s="23" t="n">
        <f aca="false">Staff!U97</f>
        <v>2047500</v>
      </c>
      <c r="V31" s="23" t="n">
        <f aca="false">Staff!V97</f>
        <v>2047500</v>
      </c>
      <c r="W31" s="23" t="n">
        <f aca="false">Staff!W97</f>
        <v>2047500</v>
      </c>
      <c r="X31" s="23" t="n">
        <f aca="false">Staff!X97</f>
        <v>2047500</v>
      </c>
      <c r="Y31" s="23" t="n">
        <f aca="false">Staff!Y97</f>
        <v>2047500</v>
      </c>
      <c r="Z31" s="23" t="n">
        <f aca="false">Staff!Z97</f>
        <v>2047500</v>
      </c>
      <c r="AA31" s="23" t="n">
        <f aca="false">Staff!AA97</f>
        <v>2047500</v>
      </c>
      <c r="AB31" s="23" t="n">
        <f aca="false">Staff!AB97</f>
        <v>2047500</v>
      </c>
      <c r="AC31" s="23" t="n">
        <f aca="false">Staff!AC97</f>
        <v>2149875</v>
      </c>
      <c r="AD31" s="23" t="n">
        <f aca="false">Staff!AD97</f>
        <v>2149875</v>
      </c>
      <c r="AE31" s="23" t="n">
        <f aca="false">Staff!AE97</f>
        <v>2149875</v>
      </c>
      <c r="AF31" s="23" t="n">
        <f aca="false">Staff!AF97</f>
        <v>2149875</v>
      </c>
      <c r="AG31" s="23" t="n">
        <f aca="false">Staff!AG97</f>
        <v>2149875</v>
      </c>
      <c r="AH31" s="23" t="n">
        <f aca="false">Staff!AH97</f>
        <v>2149875</v>
      </c>
      <c r="AI31" s="23" t="n">
        <f aca="false">Staff!AI97</f>
        <v>2149875</v>
      </c>
      <c r="AJ31" s="23" t="n">
        <f aca="false">Staff!AJ97</f>
        <v>2149875</v>
      </c>
      <c r="AK31" s="23" t="n">
        <f aca="false">Staff!AK97</f>
        <v>2149875</v>
      </c>
      <c r="AL31" s="23" t="n">
        <f aca="false">Staff!AL97</f>
        <v>2149875</v>
      </c>
      <c r="AM31" s="23" t="n">
        <f aca="false">Staff!AM97</f>
        <v>2149875</v>
      </c>
      <c r="AN31" s="23" t="n">
        <f aca="false">Staff!AN97</f>
        <v>2149875</v>
      </c>
      <c r="AO31" s="23" t="n">
        <f aca="false">Staff!AO97</f>
        <v>2257368.75</v>
      </c>
      <c r="AP31" s="23" t="n">
        <f aca="false">Staff!AP97</f>
        <v>2257368.75</v>
      </c>
      <c r="AQ31" s="23" t="n">
        <f aca="false">Staff!AQ97</f>
        <v>2257368.75</v>
      </c>
      <c r="AR31" s="23" t="n">
        <f aca="false">Staff!AR97</f>
        <v>2257368.75</v>
      </c>
      <c r="AS31" s="23" t="n">
        <f aca="false">Staff!AS97</f>
        <v>2257368.75</v>
      </c>
      <c r="AT31" s="23" t="n">
        <f aca="false">Staff!AT97</f>
        <v>2257368.75</v>
      </c>
      <c r="AU31" s="23" t="n">
        <f aca="false">Staff!AU97</f>
        <v>2257368.75</v>
      </c>
      <c r="AV31" s="23" t="n">
        <f aca="false">Staff!AV97</f>
        <v>2257368.75</v>
      </c>
      <c r="AW31" s="23" t="n">
        <f aca="false">Staff!AW97</f>
        <v>2257368.75</v>
      </c>
      <c r="AX31" s="23" t="n">
        <f aca="false">Staff!AX97</f>
        <v>2257368.75</v>
      </c>
      <c r="AY31" s="23" t="n">
        <f aca="false">Staff!AY97</f>
        <v>2257368.75</v>
      </c>
      <c r="AZ31" s="23" t="n">
        <f aca="false">Staff!AZ97</f>
        <v>2257368.75</v>
      </c>
      <c r="BA31" s="23" t="n">
        <f aca="false">Staff!BA97</f>
        <v>2370237.1875</v>
      </c>
      <c r="BB31" s="23" t="n">
        <f aca="false">Staff!BB97</f>
        <v>2370237.1875</v>
      </c>
      <c r="BC31" s="23" t="n">
        <f aca="false">Staff!BC97</f>
        <v>2370237.1875</v>
      </c>
      <c r="BD31" s="23" t="n">
        <f aca="false">Staff!BD97</f>
        <v>2370237.1875</v>
      </c>
      <c r="BE31" s="23" t="n">
        <f aca="false">Staff!BE97</f>
        <v>2370237.1875</v>
      </c>
      <c r="BF31" s="23" t="n">
        <f aca="false">Staff!BF97</f>
        <v>2370237.1875</v>
      </c>
      <c r="BG31" s="23" t="n">
        <f aca="false">Staff!BG97</f>
        <v>2370237.1875</v>
      </c>
      <c r="BH31" s="23" t="n">
        <f aca="false">Staff!BH97</f>
        <v>2370237.1875</v>
      </c>
      <c r="BI31" s="23" t="n">
        <f aca="false">Staff!BI97</f>
        <v>2370237.1875</v>
      </c>
      <c r="BJ31" s="23" t="n">
        <f aca="false">Staff!BJ97</f>
        <v>2370237.1875</v>
      </c>
      <c r="BK31" s="23" t="n">
        <f aca="false">Staff!BK97</f>
        <v>2370237.1875</v>
      </c>
      <c r="BL31" s="23" t="n">
        <f aca="false">Staff!BL97</f>
        <v>2370237.1875</v>
      </c>
    </row>
    <row r="32" customFormat="false" ht="15" hidden="false" customHeight="false" outlineLevel="0" collapsed="false">
      <c r="A32" s="8" t="s">
        <v>820</v>
      </c>
      <c r="B32" s="14" t="s">
        <v>71</v>
      </c>
      <c r="D32" s="55" t="n">
        <f aca="false">SUM(E32:BL32)</f>
        <v>2162922307.8125</v>
      </c>
      <c r="E32" s="16" t="n">
        <f aca="false">SUM(E24:E31)</f>
        <v>9880000</v>
      </c>
      <c r="F32" s="16" t="n">
        <f aca="false">SUM(F24:F31)</f>
        <v>9880000</v>
      </c>
      <c r="G32" s="16" t="n">
        <f aca="false">SUM(G24:G31)</f>
        <v>9880000</v>
      </c>
      <c r="H32" s="16" t="n">
        <f aca="false">SUM(H24:H31)</f>
        <v>12740000</v>
      </c>
      <c r="I32" s="16" t="n">
        <f aca="false">SUM(I24:I31)</f>
        <v>13260000</v>
      </c>
      <c r="J32" s="16" t="n">
        <f aca="false">SUM(J24:J31)</f>
        <v>13260000</v>
      </c>
      <c r="K32" s="16" t="n">
        <f aca="false">SUM(K24:K31)</f>
        <v>13260000</v>
      </c>
      <c r="L32" s="16" t="n">
        <f aca="false">SUM(L24:L31)</f>
        <v>13260000</v>
      </c>
      <c r="M32" s="16" t="n">
        <f aca="false">SUM(M24:M31)</f>
        <v>13260000</v>
      </c>
      <c r="N32" s="16" t="n">
        <f aca="false">SUM(N24:N31)</f>
        <v>13260000</v>
      </c>
      <c r="O32" s="16" t="n">
        <f aca="false">SUM(O24:O31)</f>
        <v>13260000</v>
      </c>
      <c r="P32" s="16" t="n">
        <f aca="false">SUM(P24:P31)</f>
        <v>13260000</v>
      </c>
      <c r="Q32" s="16" t="n">
        <f aca="false">SUM(Q24:Q31)</f>
        <v>17335500</v>
      </c>
      <c r="R32" s="16" t="n">
        <f aca="false">SUM(R24:R31)</f>
        <v>17335500</v>
      </c>
      <c r="S32" s="16" t="n">
        <f aca="false">SUM(S24:S31)</f>
        <v>17335500</v>
      </c>
      <c r="T32" s="16" t="n">
        <f aca="false">SUM(T24:T31)</f>
        <v>18154500</v>
      </c>
      <c r="U32" s="16" t="n">
        <f aca="false">SUM(U24:U31)</f>
        <v>18154500</v>
      </c>
      <c r="V32" s="16" t="n">
        <f aca="false">SUM(V24:V31)</f>
        <v>23751000</v>
      </c>
      <c r="W32" s="16" t="n">
        <f aca="false">SUM(W24:W31)</f>
        <v>24092250</v>
      </c>
      <c r="X32" s="16" t="n">
        <f aca="false">SUM(X24:X31)</f>
        <v>24092250</v>
      </c>
      <c r="Y32" s="16" t="n">
        <f aca="false">SUM(Y24:Y31)</f>
        <v>24092250</v>
      </c>
      <c r="Z32" s="16" t="n">
        <f aca="false">SUM(Z24:Z31)</f>
        <v>24092250</v>
      </c>
      <c r="AA32" s="16" t="n">
        <f aca="false">SUM(AA24:AA31)</f>
        <v>24979500</v>
      </c>
      <c r="AB32" s="16" t="n">
        <f aca="false">SUM(AB24:AB31)</f>
        <v>27027000</v>
      </c>
      <c r="AC32" s="16" t="n">
        <f aca="false">SUM(AC24:AC31)</f>
        <v>28378350</v>
      </c>
      <c r="AD32" s="16" t="n">
        <f aca="false">SUM(AD24:AD31)</f>
        <v>28378350</v>
      </c>
      <c r="AE32" s="16" t="n">
        <f aca="false">SUM(AE24:AE31)</f>
        <v>31029862.5</v>
      </c>
      <c r="AF32" s="16" t="n">
        <f aca="false">SUM(AF24:AF31)</f>
        <v>31889812.5</v>
      </c>
      <c r="AG32" s="16" t="n">
        <f aca="false">SUM(AG24:AG31)</f>
        <v>32964750</v>
      </c>
      <c r="AH32" s="16" t="n">
        <f aca="false">SUM(AH24:AH31)</f>
        <v>32964750</v>
      </c>
      <c r="AI32" s="16" t="n">
        <f aca="false">SUM(AI24:AI31)</f>
        <v>33896362.5</v>
      </c>
      <c r="AJ32" s="16" t="n">
        <f aca="false">SUM(AJ24:AJ31)</f>
        <v>34254675</v>
      </c>
      <c r="AK32" s="16" t="n">
        <f aca="false">SUM(AK24:AK31)</f>
        <v>35114625</v>
      </c>
      <c r="AL32" s="16" t="n">
        <f aca="false">SUM(AL24:AL31)</f>
        <v>36046237.5</v>
      </c>
      <c r="AM32" s="16" t="n">
        <f aca="false">SUM(AM24:AM31)</f>
        <v>36691200</v>
      </c>
      <c r="AN32" s="16" t="n">
        <f aca="false">SUM(AN24:AN31)</f>
        <v>37049512.5</v>
      </c>
      <c r="AO32" s="16" t="n">
        <f aca="false">SUM(AO24:AO31)</f>
        <v>42589023.75</v>
      </c>
      <c r="AP32" s="16" t="n">
        <f aca="false">SUM(AP24:AP31)</f>
        <v>42589023.75</v>
      </c>
      <c r="AQ32" s="16" t="n">
        <f aca="false">SUM(AQ24:AQ31)</f>
        <v>43567216.875</v>
      </c>
      <c r="AR32" s="16" t="n">
        <f aca="false">SUM(AR24:AR31)</f>
        <v>43943445</v>
      </c>
      <c r="AS32" s="16" t="n">
        <f aca="false">SUM(AS24:AS31)</f>
        <v>46501796.25</v>
      </c>
      <c r="AT32" s="16" t="n">
        <f aca="false">SUM(AT24:AT31)</f>
        <v>46501796.25</v>
      </c>
      <c r="AU32" s="16" t="n">
        <f aca="false">SUM(AU24:AU31)</f>
        <v>46878024.375</v>
      </c>
      <c r="AV32" s="16" t="n">
        <f aca="false">SUM(AV24:AV31)</f>
        <v>47856217.5</v>
      </c>
      <c r="AW32" s="16" t="n">
        <f aca="false">SUM(AW24:AW31)</f>
        <v>50038340.625</v>
      </c>
      <c r="AX32" s="16" t="n">
        <f aca="false">SUM(AX24:AX31)</f>
        <v>52596691.875</v>
      </c>
      <c r="AY32" s="16" t="n">
        <f aca="false">SUM(AY24:AY31)</f>
        <v>52596691.875</v>
      </c>
      <c r="AZ32" s="16" t="n">
        <f aca="false">SUM(AZ24:AZ31)</f>
        <v>53574885</v>
      </c>
      <c r="BA32" s="16" t="n">
        <f aca="false">SUM(BA24:BA31)</f>
        <v>56648668.78125</v>
      </c>
      <c r="BB32" s="16" t="n">
        <f aca="false">SUM(BB24:BB31)</f>
        <v>58623866.4375</v>
      </c>
      <c r="BC32" s="16" t="n">
        <f aca="false">SUM(BC24:BC31)</f>
        <v>59729977.125</v>
      </c>
      <c r="BD32" s="16" t="n">
        <f aca="false">SUM(BD24:BD31)</f>
        <v>62653269.65625</v>
      </c>
      <c r="BE32" s="16" t="n">
        <f aca="false">SUM(BE24:BE31)</f>
        <v>63048309.1875</v>
      </c>
      <c r="BF32" s="16" t="n">
        <f aca="false">SUM(BF24:BF31)</f>
        <v>65734578</v>
      </c>
      <c r="BG32" s="16" t="n">
        <f aca="false">SUM(BG24:BG31)</f>
        <v>66129617.53125</v>
      </c>
      <c r="BH32" s="16" t="n">
        <f aca="false">SUM(BH24:BH31)</f>
        <v>67156720.3125</v>
      </c>
      <c r="BI32" s="16" t="n">
        <f aca="false">SUM(BI24:BI31)</f>
        <v>67551759.84375</v>
      </c>
      <c r="BJ32" s="16" t="n">
        <f aca="false">SUM(BJ24:BJ31)</f>
        <v>72134218.40625</v>
      </c>
      <c r="BK32" s="16" t="n">
        <f aca="false">SUM(BK24:BK31)</f>
        <v>73161321.1875</v>
      </c>
      <c r="BL32" s="16" t="n">
        <f aca="false">SUM(BL24:BL31)</f>
        <v>73556360.71875</v>
      </c>
    </row>
    <row r="34" customFormat="false" ht="15" hidden="false" customHeight="false" outlineLevel="0" collapsed="false">
      <c r="A34" s="10" t="s">
        <v>821</v>
      </c>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c r="BC34" s="11"/>
      <c r="BD34" s="11"/>
      <c r="BE34" s="11"/>
      <c r="BF34" s="11"/>
      <c r="BG34" s="11"/>
      <c r="BH34" s="11"/>
      <c r="BI34" s="11"/>
      <c r="BJ34" s="11"/>
      <c r="BK34" s="11"/>
      <c r="BL34" s="11"/>
    </row>
    <row r="35" customFormat="false" ht="15" hidden="false" customHeight="false" outlineLevel="0" collapsed="false">
      <c r="A35" s="12" t="s">
        <v>822</v>
      </c>
      <c r="B35" s="14" t="s">
        <v>71</v>
      </c>
      <c r="D35" s="55" t="n">
        <f aca="false">SUM(E35:BL35)</f>
        <v>370550109.3</v>
      </c>
      <c r="E35" s="37" t="n">
        <f aca="false">IF(E$3&gt;=Office_Start,Staff!E83*Regus_EUR*FX_EUR,0)</f>
        <v>983935.5</v>
      </c>
      <c r="F35" s="37" t="n">
        <f aca="false">IF(F$3&gt;=Office_Start,Staff!F83*Regus_EUR*FX_EUR,0)</f>
        <v>983935.5</v>
      </c>
      <c r="G35" s="37" t="n">
        <f aca="false">IF(G$3&gt;=Office_Start,Staff!G83*Regus_EUR*FX_EUR,0)</f>
        <v>983935.5</v>
      </c>
      <c r="H35" s="37" t="n">
        <f aca="false">IF(H$3&gt;=Office_Start,Staff!H83*Regus_EUR*FX_EUR,0)</f>
        <v>1967871</v>
      </c>
      <c r="I35" s="37" t="n">
        <f aca="false">IF(I$3&gt;=Office_Start,Staff!I83*Regus_EUR*FX_EUR,0)</f>
        <v>2164658.1</v>
      </c>
      <c r="J35" s="37" t="n">
        <f aca="false">IF(J$3&gt;=Office_Start,Staff!J83*Regus_EUR*FX_EUR,0)</f>
        <v>2164658.1</v>
      </c>
      <c r="K35" s="37" t="n">
        <f aca="false">IF(K$3&gt;=Office_Start,Staff!K83*Regus_EUR*FX_EUR,0)</f>
        <v>2164658.1</v>
      </c>
      <c r="L35" s="37" t="n">
        <f aca="false">IF(L$3&gt;=Office_Start,Staff!L83*Regus_EUR*FX_EUR,0)</f>
        <v>2164658.1</v>
      </c>
      <c r="M35" s="37" t="n">
        <f aca="false">IF(M$3&gt;=Office_Start,Staff!M83*Regus_EUR*FX_EUR,0)</f>
        <v>2164658.1</v>
      </c>
      <c r="N35" s="37" t="n">
        <f aca="false">IF(N$3&gt;=Office_Start,Staff!N83*Regus_EUR*FX_EUR,0)</f>
        <v>2164658.1</v>
      </c>
      <c r="O35" s="37" t="n">
        <f aca="false">IF(O$3&gt;=Office_Start,Staff!O83*Regus_EUR*FX_EUR,0)</f>
        <v>2164658.1</v>
      </c>
      <c r="P35" s="37" t="n">
        <f aca="false">IF(P$3&gt;=Office_Start,Staff!P83*Regus_EUR*FX_EUR,0)</f>
        <v>2164658.1</v>
      </c>
      <c r="Q35" s="37" t="n">
        <f aca="false">IF(Q$3&gt;=Office_Start,Staff!Q83*Regus_EUR*FX_EUR,0)</f>
        <v>2361445.2</v>
      </c>
      <c r="R35" s="37" t="n">
        <f aca="false">IF(R$3&gt;=Office_Start,Staff!R83*Regus_EUR*FX_EUR,0)</f>
        <v>2361445.2</v>
      </c>
      <c r="S35" s="37" t="n">
        <f aca="false">IF(S$3&gt;=Office_Start,Staff!S83*Regus_EUR*FX_EUR,0)</f>
        <v>2361445.2</v>
      </c>
      <c r="T35" s="37" t="n">
        <f aca="false">IF(T$3&gt;=Office_Start,Staff!T83*Regus_EUR*FX_EUR,0)</f>
        <v>2558232.3</v>
      </c>
      <c r="U35" s="37" t="n">
        <f aca="false">IF(U$3&gt;=Office_Start,Staff!U83*Regus_EUR*FX_EUR,0)</f>
        <v>2558232.3</v>
      </c>
      <c r="V35" s="37" t="n">
        <f aca="false">IF(V$3&gt;=Office_Start,Staff!V83*Regus_EUR*FX_EUR,0)</f>
        <v>2755019.4</v>
      </c>
      <c r="W35" s="37" t="n">
        <f aca="false">IF(W$3&gt;=Office_Start,Staff!W83*Regus_EUR*FX_EUR,0)</f>
        <v>2951806.5</v>
      </c>
      <c r="X35" s="37" t="n">
        <f aca="false">IF(X$3&gt;=Office_Start,Staff!X83*Regus_EUR*FX_EUR,0)</f>
        <v>2951806.5</v>
      </c>
      <c r="Y35" s="37" t="n">
        <f aca="false">IF(Y$3&gt;=Office_Start,Staff!Y83*Regus_EUR*FX_EUR,0)</f>
        <v>2951806.5</v>
      </c>
      <c r="Z35" s="37" t="n">
        <f aca="false">IF(Z$3&gt;=Office_Start,Staff!Z83*Regus_EUR*FX_EUR,0)</f>
        <v>2951806.5</v>
      </c>
      <c r="AA35" s="37" t="n">
        <f aca="false">IF(AA$3&gt;=Office_Start,Staff!AA83*Regus_EUR*FX_EUR,0)</f>
        <v>3345380.7</v>
      </c>
      <c r="AB35" s="37" t="n">
        <f aca="false">IF(AB$3&gt;=Office_Start,Staff!AB83*Regus_EUR*FX_EUR,0)</f>
        <v>3542167.8</v>
      </c>
      <c r="AC35" s="37" t="n">
        <f aca="false">IF(AC$3&gt;=Office_Start,Staff!AC83*Regus_EUR*FX_EUR,0)</f>
        <v>3542167.8</v>
      </c>
      <c r="AD35" s="37" t="n">
        <f aca="false">IF(AD$3&gt;=Office_Start,Staff!AD83*Regus_EUR*FX_EUR,0)</f>
        <v>3542167.8</v>
      </c>
      <c r="AE35" s="37" t="n">
        <f aca="false">IF(AE$3&gt;=Office_Start,Staff!AE83*Regus_EUR*FX_EUR,0)</f>
        <v>4132529.1</v>
      </c>
      <c r="AF35" s="37" t="n">
        <f aca="false">IF(AF$3&gt;=Office_Start,Staff!AF83*Regus_EUR*FX_EUR,0)</f>
        <v>4329316.2</v>
      </c>
      <c r="AG35" s="37" t="n">
        <f aca="false">IF(AG$3&gt;=Office_Start,Staff!AG83*Regus_EUR*FX_EUR,0)</f>
        <v>4919677.5</v>
      </c>
      <c r="AH35" s="37" t="n">
        <f aca="false">IF(AH$3&gt;=Office_Start,Staff!AH83*Regus_EUR*FX_EUR,0)</f>
        <v>4919677.5</v>
      </c>
      <c r="AI35" s="37" t="n">
        <f aca="false">IF(AI$3&gt;=Office_Start,Staff!AI83*Regus_EUR*FX_EUR,0)</f>
        <v>5313251.7</v>
      </c>
      <c r="AJ35" s="37" t="n">
        <f aca="false">IF(AJ$3&gt;=Office_Start,Staff!AJ83*Regus_EUR*FX_EUR,0)</f>
        <v>5510038.8</v>
      </c>
      <c r="AK35" s="37" t="n">
        <f aca="false">IF(AK$3&gt;=Office_Start,Staff!AK83*Regus_EUR*FX_EUR,0)</f>
        <v>5706825.9</v>
      </c>
      <c r="AL35" s="37" t="n">
        <f aca="false">IF(AL$3&gt;=Office_Start,Staff!AL83*Regus_EUR*FX_EUR,0)</f>
        <v>6100400.1</v>
      </c>
      <c r="AM35" s="37" t="n">
        <f aca="false">IF(AM$3&gt;=Office_Start,Staff!AM83*Regus_EUR*FX_EUR,0)</f>
        <v>6100400.1</v>
      </c>
      <c r="AN35" s="37" t="n">
        <f aca="false">IF(AN$3&gt;=Office_Start,Staff!AN83*Regus_EUR*FX_EUR,0)</f>
        <v>6297187.2</v>
      </c>
      <c r="AO35" s="37" t="n">
        <f aca="false">IF(AO$3&gt;=Office_Start,Staff!AO83*Regus_EUR*FX_EUR,0)</f>
        <v>7084335.6</v>
      </c>
      <c r="AP35" s="37" t="n">
        <f aca="false">IF(AP$3&gt;=Office_Start,Staff!AP83*Regus_EUR*FX_EUR,0)</f>
        <v>7084335.6</v>
      </c>
      <c r="AQ35" s="37" t="n">
        <f aca="false">IF(AQ$3&gt;=Office_Start,Staff!AQ83*Regus_EUR*FX_EUR,0)</f>
        <v>7477909.8</v>
      </c>
      <c r="AR35" s="37" t="n">
        <f aca="false">IF(AR$3&gt;=Office_Start,Staff!AR83*Regus_EUR*FX_EUR,0)</f>
        <v>7674696.9</v>
      </c>
      <c r="AS35" s="37" t="n">
        <f aca="false">IF(AS$3&gt;=Office_Start,Staff!AS83*Regus_EUR*FX_EUR,0)</f>
        <v>8265058.2</v>
      </c>
      <c r="AT35" s="37" t="n">
        <f aca="false">IF(AT$3&gt;=Office_Start,Staff!AT83*Regus_EUR*FX_EUR,0)</f>
        <v>8265058.2</v>
      </c>
      <c r="AU35" s="37" t="n">
        <f aca="false">IF(AU$3&gt;=Office_Start,Staff!AU83*Regus_EUR*FX_EUR,0)</f>
        <v>8461845.3</v>
      </c>
      <c r="AV35" s="37" t="n">
        <f aca="false">IF(AV$3&gt;=Office_Start,Staff!AV83*Regus_EUR*FX_EUR,0)</f>
        <v>8855419.5</v>
      </c>
      <c r="AW35" s="37" t="n">
        <f aca="false">IF(AW$3&gt;=Office_Start,Staff!AW83*Regus_EUR*FX_EUR,0)</f>
        <v>9248993.7</v>
      </c>
      <c r="AX35" s="37" t="n">
        <f aca="false">IF(AX$3&gt;=Office_Start,Staff!AX83*Regus_EUR*FX_EUR,0)</f>
        <v>9839355</v>
      </c>
      <c r="AY35" s="37" t="n">
        <f aca="false">IF(AY$3&gt;=Office_Start,Staff!AY83*Regus_EUR*FX_EUR,0)</f>
        <v>9839355</v>
      </c>
      <c r="AZ35" s="37" t="n">
        <f aca="false">IF(AZ$3&gt;=Office_Start,Staff!AZ83*Regus_EUR*FX_EUR,0)</f>
        <v>10232929.2</v>
      </c>
      <c r="BA35" s="37" t="n">
        <f aca="false">IF(BA$3&gt;=Office_Start,Staff!BA83*Regus_EUR*FX_EUR,0)</f>
        <v>10429716.3</v>
      </c>
      <c r="BB35" s="37" t="n">
        <f aca="false">IF(BB$3&gt;=Office_Start,Staff!BB83*Regus_EUR*FX_EUR,0)</f>
        <v>11020077.6</v>
      </c>
      <c r="BC35" s="37" t="n">
        <f aca="false">IF(BC$3&gt;=Office_Start,Staff!BC83*Regus_EUR*FX_EUR,0)</f>
        <v>11216864.7</v>
      </c>
      <c r="BD35" s="37" t="n">
        <f aca="false">IF(BD$3&gt;=Office_Start,Staff!BD83*Regus_EUR*FX_EUR,0)</f>
        <v>11807226</v>
      </c>
      <c r="BE35" s="37" t="n">
        <f aca="false">IF(BE$3&gt;=Office_Start,Staff!BE83*Regus_EUR*FX_EUR,0)</f>
        <v>12004013.1</v>
      </c>
      <c r="BF35" s="37" t="n">
        <f aca="false">IF(BF$3&gt;=Office_Start,Staff!BF83*Regus_EUR*FX_EUR,0)</f>
        <v>12594374.4</v>
      </c>
      <c r="BG35" s="37" t="n">
        <f aca="false">IF(BG$3&gt;=Office_Start,Staff!BG83*Regus_EUR*FX_EUR,0)</f>
        <v>12791161.5</v>
      </c>
      <c r="BH35" s="37" t="n">
        <f aca="false">IF(BH$3&gt;=Office_Start,Staff!BH83*Regus_EUR*FX_EUR,0)</f>
        <v>13184735.7</v>
      </c>
      <c r="BI35" s="37" t="n">
        <f aca="false">IF(BI$3&gt;=Office_Start,Staff!BI83*Regus_EUR*FX_EUR,0)</f>
        <v>13381522.8</v>
      </c>
      <c r="BJ35" s="37" t="n">
        <f aca="false">IF(BJ$3&gt;=Office_Start,Staff!BJ83*Regus_EUR*FX_EUR,0)</f>
        <v>14168671.2</v>
      </c>
      <c r="BK35" s="37" t="n">
        <f aca="false">IF(BK$3&gt;=Office_Start,Staff!BK83*Regus_EUR*FX_EUR,0)</f>
        <v>14562245.4</v>
      </c>
      <c r="BL35" s="37" t="n">
        <f aca="false">IF(BL$3&gt;=Office_Start,Staff!BL83*Regus_EUR*FX_EUR,0)</f>
        <v>14759032.5</v>
      </c>
    </row>
    <row r="36" customFormat="false" ht="15" hidden="false" customHeight="false" outlineLevel="0" collapsed="false">
      <c r="A36" s="12" t="s">
        <v>823</v>
      </c>
      <c r="B36" s="14" t="s">
        <v>71</v>
      </c>
      <c r="D36" s="55" t="n">
        <f aca="false">SUM(E36:BL36)</f>
        <v>41325291</v>
      </c>
      <c r="E36" s="37" t="n">
        <f aca="false">IF(E$3&gt;=CI_Office_Start,Staff!E84*Regus_EUR*FX_EUR,0)</f>
        <v>0</v>
      </c>
      <c r="F36" s="37" t="n">
        <f aca="false">IF(F$3&gt;=CI_Office_Start,Staff!F84*Regus_EUR*FX_EUR,0)</f>
        <v>0</v>
      </c>
      <c r="G36" s="37" t="n">
        <f aca="false">IF(G$3&gt;=CI_Office_Start,Staff!G84*Regus_EUR*FX_EUR,0)</f>
        <v>0</v>
      </c>
      <c r="H36" s="37" t="n">
        <f aca="false">IF(H$3&gt;=CI_Office_Start,Staff!H84*Regus_EUR*FX_EUR,0)</f>
        <v>0</v>
      </c>
      <c r="I36" s="37" t="n">
        <f aca="false">IF(I$3&gt;=CI_Office_Start,Staff!I84*Regus_EUR*FX_EUR,0)</f>
        <v>0</v>
      </c>
      <c r="J36" s="37" t="n">
        <f aca="false">IF(J$3&gt;=CI_Office_Start,Staff!J84*Regus_EUR*FX_EUR,0)</f>
        <v>0</v>
      </c>
      <c r="K36" s="37" t="n">
        <f aca="false">IF(K$3&gt;=CI_Office_Start,Staff!K84*Regus_EUR*FX_EUR,0)</f>
        <v>0</v>
      </c>
      <c r="L36" s="37" t="n">
        <f aca="false">IF(L$3&gt;=CI_Office_Start,Staff!L84*Regus_EUR*FX_EUR,0)</f>
        <v>0</v>
      </c>
      <c r="M36" s="37" t="n">
        <f aca="false">IF(M$3&gt;=CI_Office_Start,Staff!M84*Regus_EUR*FX_EUR,0)</f>
        <v>0</v>
      </c>
      <c r="N36" s="37" t="n">
        <f aca="false">IF(N$3&gt;=CI_Office_Start,Staff!N84*Regus_EUR*FX_EUR,0)</f>
        <v>0</v>
      </c>
      <c r="O36" s="37" t="n">
        <f aca="false">IF(O$3&gt;=CI_Office_Start,Staff!O84*Regus_EUR*FX_EUR,0)</f>
        <v>0</v>
      </c>
      <c r="P36" s="37" t="n">
        <f aca="false">IF(P$3&gt;=CI_Office_Start,Staff!P84*Regus_EUR*FX_EUR,0)</f>
        <v>0</v>
      </c>
      <c r="Q36" s="37" t="n">
        <f aca="false">IF(Q$3&gt;=CI_Office_Start,Staff!Q84*Regus_EUR*FX_EUR,0)</f>
        <v>0</v>
      </c>
      <c r="R36" s="37" t="n">
        <f aca="false">IF(R$3&gt;=CI_Office_Start,Staff!R84*Regus_EUR*FX_EUR,0)</f>
        <v>0</v>
      </c>
      <c r="S36" s="37" t="n">
        <f aca="false">IF(S$3&gt;=CI_Office_Start,Staff!S84*Regus_EUR*FX_EUR,0)</f>
        <v>0</v>
      </c>
      <c r="T36" s="37" t="n">
        <f aca="false">IF(T$3&gt;=CI_Office_Start,Staff!T84*Regus_EUR*FX_EUR,0)</f>
        <v>0</v>
      </c>
      <c r="U36" s="37" t="n">
        <f aca="false">IF(U$3&gt;=CI_Office_Start,Staff!U84*Regus_EUR*FX_EUR,0)</f>
        <v>0</v>
      </c>
      <c r="V36" s="37" t="n">
        <f aca="false">IF(V$3&gt;=CI_Office_Start,Staff!V84*Regus_EUR*FX_EUR,0)</f>
        <v>590361.3</v>
      </c>
      <c r="W36" s="37" t="n">
        <f aca="false">IF(W$3&gt;=CI_Office_Start,Staff!W84*Regus_EUR*FX_EUR,0)</f>
        <v>590361.3</v>
      </c>
      <c r="X36" s="37" t="n">
        <f aca="false">IF(X$3&gt;=CI_Office_Start,Staff!X84*Regus_EUR*FX_EUR,0)</f>
        <v>590361.3</v>
      </c>
      <c r="Y36" s="37" t="n">
        <f aca="false">IF(Y$3&gt;=CI_Office_Start,Staff!Y84*Regus_EUR*FX_EUR,0)</f>
        <v>590361.3</v>
      </c>
      <c r="Z36" s="37" t="n">
        <f aca="false">IF(Z$3&gt;=CI_Office_Start,Staff!Z84*Regus_EUR*FX_EUR,0)</f>
        <v>590361.3</v>
      </c>
      <c r="AA36" s="37" t="n">
        <f aca="false">IF(AA$3&gt;=CI_Office_Start,Staff!AA84*Regus_EUR*FX_EUR,0)</f>
        <v>590361.3</v>
      </c>
      <c r="AB36" s="37" t="n">
        <f aca="false">IF(AB$3&gt;=CI_Office_Start,Staff!AB84*Regus_EUR*FX_EUR,0)</f>
        <v>590361.3</v>
      </c>
      <c r="AC36" s="37" t="n">
        <f aca="false">IF(AC$3&gt;=CI_Office_Start,Staff!AC84*Regus_EUR*FX_EUR,0)</f>
        <v>590361.3</v>
      </c>
      <c r="AD36" s="37" t="n">
        <f aca="false">IF(AD$3&gt;=CI_Office_Start,Staff!AD84*Regus_EUR*FX_EUR,0)</f>
        <v>590361.3</v>
      </c>
      <c r="AE36" s="37" t="n">
        <f aca="false">IF(AE$3&gt;=CI_Office_Start,Staff!AE84*Regus_EUR*FX_EUR,0)</f>
        <v>590361.3</v>
      </c>
      <c r="AF36" s="37" t="n">
        <f aca="false">IF(AF$3&gt;=CI_Office_Start,Staff!AF84*Regus_EUR*FX_EUR,0)</f>
        <v>590361.3</v>
      </c>
      <c r="AG36" s="37" t="n">
        <f aca="false">IF(AG$3&gt;=CI_Office_Start,Staff!AG84*Regus_EUR*FX_EUR,0)</f>
        <v>590361.3</v>
      </c>
      <c r="AH36" s="37" t="n">
        <f aca="false">IF(AH$3&gt;=CI_Office_Start,Staff!AH84*Regus_EUR*FX_EUR,0)</f>
        <v>590361.3</v>
      </c>
      <c r="AI36" s="37" t="n">
        <f aca="false">IF(AI$3&gt;=CI_Office_Start,Staff!AI84*Regus_EUR*FX_EUR,0)</f>
        <v>590361.3</v>
      </c>
      <c r="AJ36" s="37" t="n">
        <f aca="false">IF(AJ$3&gt;=CI_Office_Start,Staff!AJ84*Regus_EUR*FX_EUR,0)</f>
        <v>590361.3</v>
      </c>
      <c r="AK36" s="37" t="n">
        <f aca="false">IF(AK$3&gt;=CI_Office_Start,Staff!AK84*Regus_EUR*FX_EUR,0)</f>
        <v>590361.3</v>
      </c>
      <c r="AL36" s="37" t="n">
        <f aca="false">IF(AL$3&gt;=CI_Office_Start,Staff!AL84*Regus_EUR*FX_EUR,0)</f>
        <v>590361.3</v>
      </c>
      <c r="AM36" s="37" t="n">
        <f aca="false">IF(AM$3&gt;=CI_Office_Start,Staff!AM84*Regus_EUR*FX_EUR,0)</f>
        <v>787148.4</v>
      </c>
      <c r="AN36" s="37" t="n">
        <f aca="false">IF(AN$3&gt;=CI_Office_Start,Staff!AN84*Regus_EUR*FX_EUR,0)</f>
        <v>787148.4</v>
      </c>
      <c r="AO36" s="37" t="n">
        <f aca="false">IF(AO$3&gt;=CI_Office_Start,Staff!AO84*Regus_EUR*FX_EUR,0)</f>
        <v>787148.4</v>
      </c>
      <c r="AP36" s="37" t="n">
        <f aca="false">IF(AP$3&gt;=CI_Office_Start,Staff!AP84*Regus_EUR*FX_EUR,0)</f>
        <v>787148.4</v>
      </c>
      <c r="AQ36" s="37" t="n">
        <f aca="false">IF(AQ$3&gt;=CI_Office_Start,Staff!AQ84*Regus_EUR*FX_EUR,0)</f>
        <v>787148.4</v>
      </c>
      <c r="AR36" s="37" t="n">
        <f aca="false">IF(AR$3&gt;=CI_Office_Start,Staff!AR84*Regus_EUR*FX_EUR,0)</f>
        <v>787148.4</v>
      </c>
      <c r="AS36" s="37" t="n">
        <f aca="false">IF(AS$3&gt;=CI_Office_Start,Staff!AS84*Regus_EUR*FX_EUR,0)</f>
        <v>983935.5</v>
      </c>
      <c r="AT36" s="37" t="n">
        <f aca="false">IF(AT$3&gt;=CI_Office_Start,Staff!AT84*Regus_EUR*FX_EUR,0)</f>
        <v>983935.5</v>
      </c>
      <c r="AU36" s="37" t="n">
        <f aca="false">IF(AU$3&gt;=CI_Office_Start,Staff!AU84*Regus_EUR*FX_EUR,0)</f>
        <v>983935.5</v>
      </c>
      <c r="AV36" s="37" t="n">
        <f aca="false">IF(AV$3&gt;=CI_Office_Start,Staff!AV84*Regus_EUR*FX_EUR,0)</f>
        <v>983935.5</v>
      </c>
      <c r="AW36" s="37" t="n">
        <f aca="false">IF(AW$3&gt;=CI_Office_Start,Staff!AW84*Regus_EUR*FX_EUR,0)</f>
        <v>983935.5</v>
      </c>
      <c r="AX36" s="37" t="n">
        <f aca="false">IF(AX$3&gt;=CI_Office_Start,Staff!AX84*Regus_EUR*FX_EUR,0)</f>
        <v>1180722.6</v>
      </c>
      <c r="AY36" s="37" t="n">
        <f aca="false">IF(AY$3&gt;=CI_Office_Start,Staff!AY84*Regus_EUR*FX_EUR,0)</f>
        <v>1180722.6</v>
      </c>
      <c r="AZ36" s="37" t="n">
        <f aca="false">IF(AZ$3&gt;=CI_Office_Start,Staff!AZ84*Regus_EUR*FX_EUR,0)</f>
        <v>1180722.6</v>
      </c>
      <c r="BA36" s="37" t="n">
        <f aca="false">IF(BA$3&gt;=CI_Office_Start,Staff!BA84*Regus_EUR*FX_EUR,0)</f>
        <v>1180722.6</v>
      </c>
      <c r="BB36" s="37" t="n">
        <f aca="false">IF(BB$3&gt;=CI_Office_Start,Staff!BB84*Regus_EUR*FX_EUR,0)</f>
        <v>1180722.6</v>
      </c>
      <c r="BC36" s="37" t="n">
        <f aca="false">IF(BC$3&gt;=CI_Office_Start,Staff!BC84*Regus_EUR*FX_EUR,0)</f>
        <v>1377509.7</v>
      </c>
      <c r="BD36" s="37" t="n">
        <f aca="false">IF(BD$3&gt;=CI_Office_Start,Staff!BD84*Regus_EUR*FX_EUR,0)</f>
        <v>1377509.7</v>
      </c>
      <c r="BE36" s="37" t="n">
        <f aca="false">IF(BE$3&gt;=CI_Office_Start,Staff!BE84*Regus_EUR*FX_EUR,0)</f>
        <v>1377509.7</v>
      </c>
      <c r="BF36" s="37" t="n">
        <f aca="false">IF(BF$3&gt;=CI_Office_Start,Staff!BF84*Regus_EUR*FX_EUR,0)</f>
        <v>1574296.8</v>
      </c>
      <c r="BG36" s="37" t="n">
        <f aca="false">IF(BG$3&gt;=CI_Office_Start,Staff!BG84*Regus_EUR*FX_EUR,0)</f>
        <v>1574296.8</v>
      </c>
      <c r="BH36" s="37" t="n">
        <f aca="false">IF(BH$3&gt;=CI_Office_Start,Staff!BH84*Regus_EUR*FX_EUR,0)</f>
        <v>1574296.8</v>
      </c>
      <c r="BI36" s="37" t="n">
        <f aca="false">IF(BI$3&gt;=CI_Office_Start,Staff!BI84*Regus_EUR*FX_EUR,0)</f>
        <v>1574296.8</v>
      </c>
      <c r="BJ36" s="37" t="n">
        <f aca="false">IF(BJ$3&gt;=CI_Office_Start,Staff!BJ84*Regus_EUR*FX_EUR,0)</f>
        <v>1771083.9</v>
      </c>
      <c r="BK36" s="37" t="n">
        <f aca="false">IF(BK$3&gt;=CI_Office_Start,Staff!BK84*Regus_EUR*FX_EUR,0)</f>
        <v>1771083.9</v>
      </c>
      <c r="BL36" s="37" t="n">
        <f aca="false">IF(BL$3&gt;=CI_Office_Start,Staff!BL84*Regus_EUR*FX_EUR,0)</f>
        <v>1771083.9</v>
      </c>
    </row>
    <row r="37" customFormat="false" ht="15" hidden="false" customHeight="false" outlineLevel="0" collapsed="false">
      <c r="A37" s="12" t="s">
        <v>824</v>
      </c>
      <c r="B37" s="14" t="s">
        <v>71</v>
      </c>
      <c r="D37" s="55" t="n">
        <f aca="false">SUM(E37:BL37)</f>
        <v>10465000</v>
      </c>
      <c r="E37" s="37" t="n">
        <f aca="false">Staff!E82*Phone_Cost</f>
        <v>25000</v>
      </c>
      <c r="F37" s="37" t="n">
        <f aca="false">Staff!F82*Phone_Cost</f>
        <v>25000</v>
      </c>
      <c r="G37" s="37" t="n">
        <f aca="false">Staff!G82*Phone_Cost</f>
        <v>25000</v>
      </c>
      <c r="H37" s="37" t="n">
        <f aca="false">Staff!H82*Phone_Cost</f>
        <v>50000</v>
      </c>
      <c r="I37" s="37" t="n">
        <f aca="false">Staff!I82*Phone_Cost</f>
        <v>55000</v>
      </c>
      <c r="J37" s="37" t="n">
        <f aca="false">Staff!J82*Phone_Cost</f>
        <v>55000</v>
      </c>
      <c r="K37" s="37" t="n">
        <f aca="false">Staff!K82*Phone_Cost</f>
        <v>55000</v>
      </c>
      <c r="L37" s="37" t="n">
        <f aca="false">Staff!L82*Phone_Cost</f>
        <v>55000</v>
      </c>
      <c r="M37" s="37" t="n">
        <f aca="false">Staff!M82*Phone_Cost</f>
        <v>55000</v>
      </c>
      <c r="N37" s="37" t="n">
        <f aca="false">Staff!N82*Phone_Cost</f>
        <v>55000</v>
      </c>
      <c r="O37" s="37" t="n">
        <f aca="false">Staff!O82*Phone_Cost</f>
        <v>55000</v>
      </c>
      <c r="P37" s="37" t="n">
        <f aca="false">Staff!P82*Phone_Cost</f>
        <v>55000</v>
      </c>
      <c r="Q37" s="37" t="n">
        <f aca="false">Staff!Q82*Phone_Cost</f>
        <v>60000</v>
      </c>
      <c r="R37" s="37" t="n">
        <f aca="false">Staff!R82*Phone_Cost</f>
        <v>60000</v>
      </c>
      <c r="S37" s="37" t="n">
        <f aca="false">Staff!S82*Phone_Cost</f>
        <v>60000</v>
      </c>
      <c r="T37" s="37" t="n">
        <f aca="false">Staff!T82*Phone_Cost</f>
        <v>65000</v>
      </c>
      <c r="U37" s="37" t="n">
        <f aca="false">Staff!U82*Phone_Cost</f>
        <v>65000</v>
      </c>
      <c r="V37" s="37" t="n">
        <f aca="false">Staff!V82*Phone_Cost</f>
        <v>85000</v>
      </c>
      <c r="W37" s="37" t="n">
        <f aca="false">Staff!W82*Phone_Cost</f>
        <v>90000</v>
      </c>
      <c r="X37" s="37" t="n">
        <f aca="false">Staff!X82*Phone_Cost</f>
        <v>90000</v>
      </c>
      <c r="Y37" s="37" t="n">
        <f aca="false">Staff!Y82*Phone_Cost</f>
        <v>90000</v>
      </c>
      <c r="Z37" s="37" t="n">
        <f aca="false">Staff!Z82*Phone_Cost</f>
        <v>90000</v>
      </c>
      <c r="AA37" s="37" t="n">
        <f aca="false">Staff!AA82*Phone_Cost</f>
        <v>100000</v>
      </c>
      <c r="AB37" s="37" t="n">
        <f aca="false">Staff!AB82*Phone_Cost</f>
        <v>105000</v>
      </c>
      <c r="AC37" s="37" t="n">
        <f aca="false">Staff!AC82*Phone_Cost</f>
        <v>105000</v>
      </c>
      <c r="AD37" s="37" t="n">
        <f aca="false">Staff!AD82*Phone_Cost</f>
        <v>105000</v>
      </c>
      <c r="AE37" s="37" t="n">
        <f aca="false">Staff!AE82*Phone_Cost</f>
        <v>120000</v>
      </c>
      <c r="AF37" s="37" t="n">
        <f aca="false">Staff!AF82*Phone_Cost</f>
        <v>125000</v>
      </c>
      <c r="AG37" s="37" t="n">
        <f aca="false">Staff!AG82*Phone_Cost</f>
        <v>140000</v>
      </c>
      <c r="AH37" s="37" t="n">
        <f aca="false">Staff!AH82*Phone_Cost</f>
        <v>140000</v>
      </c>
      <c r="AI37" s="37" t="n">
        <f aca="false">Staff!AI82*Phone_Cost</f>
        <v>150000</v>
      </c>
      <c r="AJ37" s="37" t="n">
        <f aca="false">Staff!AJ82*Phone_Cost</f>
        <v>155000</v>
      </c>
      <c r="AK37" s="37" t="n">
        <f aca="false">Staff!AK82*Phone_Cost</f>
        <v>160000</v>
      </c>
      <c r="AL37" s="37" t="n">
        <f aca="false">Staff!AL82*Phone_Cost</f>
        <v>170000</v>
      </c>
      <c r="AM37" s="37" t="n">
        <f aca="false">Staff!AM82*Phone_Cost</f>
        <v>175000</v>
      </c>
      <c r="AN37" s="37" t="n">
        <f aca="false">Staff!AN82*Phone_Cost</f>
        <v>180000</v>
      </c>
      <c r="AO37" s="37" t="n">
        <f aca="false">Staff!AO82*Phone_Cost</f>
        <v>200000</v>
      </c>
      <c r="AP37" s="37" t="n">
        <f aca="false">Staff!AP82*Phone_Cost</f>
        <v>200000</v>
      </c>
      <c r="AQ37" s="37" t="n">
        <f aca="false">Staff!AQ82*Phone_Cost</f>
        <v>210000</v>
      </c>
      <c r="AR37" s="37" t="n">
        <f aca="false">Staff!AR82*Phone_Cost</f>
        <v>215000</v>
      </c>
      <c r="AS37" s="37" t="n">
        <f aca="false">Staff!AS82*Phone_Cost</f>
        <v>235000</v>
      </c>
      <c r="AT37" s="37" t="n">
        <f aca="false">Staff!AT82*Phone_Cost</f>
        <v>235000</v>
      </c>
      <c r="AU37" s="37" t="n">
        <f aca="false">Staff!AU82*Phone_Cost</f>
        <v>240000</v>
      </c>
      <c r="AV37" s="37" t="n">
        <f aca="false">Staff!AV82*Phone_Cost</f>
        <v>250000</v>
      </c>
      <c r="AW37" s="37" t="n">
        <f aca="false">Staff!AW82*Phone_Cost</f>
        <v>260000</v>
      </c>
      <c r="AX37" s="37" t="n">
        <f aca="false">Staff!AX82*Phone_Cost</f>
        <v>280000</v>
      </c>
      <c r="AY37" s="37" t="n">
        <f aca="false">Staff!AY82*Phone_Cost</f>
        <v>280000</v>
      </c>
      <c r="AZ37" s="37" t="n">
        <f aca="false">Staff!AZ82*Phone_Cost</f>
        <v>290000</v>
      </c>
      <c r="BA37" s="37" t="n">
        <f aca="false">Staff!BA82*Phone_Cost</f>
        <v>295000</v>
      </c>
      <c r="BB37" s="37" t="n">
        <f aca="false">Staff!BB82*Phone_Cost</f>
        <v>310000</v>
      </c>
      <c r="BC37" s="37" t="n">
        <f aca="false">Staff!BC82*Phone_Cost</f>
        <v>320000</v>
      </c>
      <c r="BD37" s="37" t="n">
        <f aca="false">Staff!BD82*Phone_Cost</f>
        <v>335000</v>
      </c>
      <c r="BE37" s="37" t="n">
        <f aca="false">Staff!BE82*Phone_Cost</f>
        <v>340000</v>
      </c>
      <c r="BF37" s="37" t="n">
        <f aca="false">Staff!BF82*Phone_Cost</f>
        <v>360000</v>
      </c>
      <c r="BG37" s="37" t="n">
        <f aca="false">Staff!BG82*Phone_Cost</f>
        <v>365000</v>
      </c>
      <c r="BH37" s="37" t="n">
        <f aca="false">Staff!BH82*Phone_Cost</f>
        <v>375000</v>
      </c>
      <c r="BI37" s="37" t="n">
        <f aca="false">Staff!BI82*Phone_Cost</f>
        <v>380000</v>
      </c>
      <c r="BJ37" s="37" t="n">
        <f aca="false">Staff!BJ82*Phone_Cost</f>
        <v>405000</v>
      </c>
      <c r="BK37" s="37" t="n">
        <f aca="false">Staff!BK82*Phone_Cost</f>
        <v>415000</v>
      </c>
      <c r="BL37" s="37" t="n">
        <f aca="false">Staff!BL82*Phone_Cost</f>
        <v>420000</v>
      </c>
    </row>
    <row r="38" customFormat="false" ht="15" hidden="false" customHeight="false" outlineLevel="0" collapsed="false">
      <c r="A38" s="12" t="s">
        <v>825</v>
      </c>
      <c r="B38" s="14" t="s">
        <v>71</v>
      </c>
      <c r="D38" s="55" t="n">
        <f aca="false">SUM(E38:BL38)</f>
        <v>34206366</v>
      </c>
      <c r="E38" s="37" t="n">
        <f aca="false">(Staff!E88-Staff!E89)*Laptop_EUR*FX_EUR+Staff!E89*Laptop_Dev_USD*FX_USD</f>
        <v>4135957</v>
      </c>
      <c r="F38" s="37" t="n">
        <f aca="false">(Staff!F88-Staff!F89)*Laptop_EUR*FX_EUR+Staff!F89*Laptop_Dev_USD*FX_USD</f>
        <v>0</v>
      </c>
      <c r="G38" s="37" t="n">
        <f aca="false">(Staff!G88-Staff!G89)*Laptop_EUR*FX_EUR+Staff!G89*Laptop_Dev_USD*FX_USD</f>
        <v>0</v>
      </c>
      <c r="H38" s="37" t="n">
        <f aca="false">(Staff!H88-Staff!H89)*Laptop_EUR*FX_EUR+Staff!H89*Laptop_Dev_USD*FX_USD</f>
        <v>1639892.5</v>
      </c>
      <c r="I38" s="37" t="n">
        <f aca="false">(Staff!I88-Staff!I89)*Laptop_EUR*FX_EUR+Staff!I89*Laptop_Dev_USD*FX_USD</f>
        <v>327978.5</v>
      </c>
      <c r="J38" s="37" t="n">
        <f aca="false">(Staff!J88-Staff!J89)*Laptop_EUR*FX_EUR+Staff!J89*Laptop_Dev_USD*FX_USD</f>
        <v>0</v>
      </c>
      <c r="K38" s="37" t="n">
        <f aca="false">(Staff!K88-Staff!K89)*Laptop_EUR*FX_EUR+Staff!K89*Laptop_Dev_USD*FX_USD</f>
        <v>0</v>
      </c>
      <c r="L38" s="37" t="n">
        <f aca="false">(Staff!L88-Staff!L89)*Laptop_EUR*FX_EUR+Staff!L89*Laptop_Dev_USD*FX_USD</f>
        <v>0</v>
      </c>
      <c r="M38" s="37" t="n">
        <f aca="false">(Staff!M88-Staff!M89)*Laptop_EUR*FX_EUR+Staff!M89*Laptop_Dev_USD*FX_USD</f>
        <v>0</v>
      </c>
      <c r="N38" s="37" t="n">
        <f aca="false">(Staff!N88-Staff!N89)*Laptop_EUR*FX_EUR+Staff!N89*Laptop_Dev_USD*FX_USD</f>
        <v>0</v>
      </c>
      <c r="O38" s="37" t="n">
        <f aca="false">(Staff!O88-Staff!O89)*Laptop_EUR*FX_EUR+Staff!O89*Laptop_Dev_USD*FX_USD</f>
        <v>0</v>
      </c>
      <c r="P38" s="37" t="n">
        <f aca="false">(Staff!P88-Staff!P89)*Laptop_EUR*FX_EUR+Staff!P89*Laptop_Dev_USD*FX_USD</f>
        <v>0</v>
      </c>
      <c r="Q38" s="37" t="n">
        <f aca="false">(Staff!Q88-Staff!Q89)*Laptop_EUR*FX_EUR+Staff!Q89*Laptop_Dev_USD*FX_USD</f>
        <v>327978.5</v>
      </c>
      <c r="R38" s="37" t="n">
        <f aca="false">(Staff!R88-Staff!R89)*Laptop_EUR*FX_EUR+Staff!R89*Laptop_Dev_USD*FX_USD</f>
        <v>0</v>
      </c>
      <c r="S38" s="37" t="n">
        <f aca="false">(Staff!S88-Staff!S89)*Laptop_EUR*FX_EUR+Staff!S89*Laptop_Dev_USD*FX_USD</f>
        <v>0</v>
      </c>
      <c r="T38" s="37" t="n">
        <f aca="false">(Staff!T88-Staff!T89)*Laptop_EUR*FX_EUR+Staff!T89*Laptop_Dev_USD*FX_USD</f>
        <v>327978.5</v>
      </c>
      <c r="U38" s="37" t="n">
        <f aca="false">(Staff!U88-Staff!U89)*Laptop_EUR*FX_EUR+Staff!U89*Laptop_Dev_USD*FX_USD</f>
        <v>0</v>
      </c>
      <c r="V38" s="37" t="n">
        <f aca="false">(Staff!V88-Staff!V89)*Laptop_EUR*FX_EUR+Staff!V89*Laptop_Dev_USD*FX_USD</f>
        <v>1311914</v>
      </c>
      <c r="W38" s="37" t="n">
        <f aca="false">(Staff!W88-Staff!W89)*Laptop_EUR*FX_EUR+Staff!W89*Laptop_Dev_USD*FX_USD</f>
        <v>327978.5</v>
      </c>
      <c r="X38" s="37" t="n">
        <f aca="false">(Staff!X88-Staff!X89)*Laptop_EUR*FX_EUR+Staff!X89*Laptop_Dev_USD*FX_USD</f>
        <v>0</v>
      </c>
      <c r="Y38" s="37" t="n">
        <f aca="false">(Staff!Y88-Staff!Y89)*Laptop_EUR*FX_EUR+Staff!Y89*Laptop_Dev_USD*FX_USD</f>
        <v>0</v>
      </c>
      <c r="Z38" s="37" t="n">
        <f aca="false">(Staff!Z88-Staff!Z89)*Laptop_EUR*FX_EUR+Staff!Z89*Laptop_Dev_USD*FX_USD</f>
        <v>0</v>
      </c>
      <c r="AA38" s="37" t="n">
        <f aca="false">(Staff!AA88-Staff!AA89)*Laptop_EUR*FX_EUR+Staff!AA89*Laptop_Dev_USD*FX_USD</f>
        <v>655957</v>
      </c>
      <c r="AB38" s="37" t="n">
        <f aca="false">(Staff!AB88-Staff!AB89)*Laptop_EUR*FX_EUR+Staff!AB89*Laptop_Dev_USD*FX_USD</f>
        <v>327978.5</v>
      </c>
      <c r="AC38" s="37" t="n">
        <f aca="false">(Staff!AC88-Staff!AC89)*Laptop_EUR*FX_EUR+Staff!AC89*Laptop_Dev_USD*FX_USD</f>
        <v>0</v>
      </c>
      <c r="AD38" s="37" t="n">
        <f aca="false">(Staff!AD88-Staff!AD89)*Laptop_EUR*FX_EUR+Staff!AD89*Laptop_Dev_USD*FX_USD</f>
        <v>0</v>
      </c>
      <c r="AE38" s="37" t="n">
        <f aca="false">(Staff!AE88-Staff!AE89)*Laptop_EUR*FX_EUR+Staff!AE89*Laptop_Dev_USD*FX_USD</f>
        <v>1815957</v>
      </c>
      <c r="AF38" s="37" t="n">
        <f aca="false">(Staff!AF88-Staff!AF89)*Laptop_EUR*FX_EUR+Staff!AF89*Laptop_Dev_USD*FX_USD</f>
        <v>327978.5</v>
      </c>
      <c r="AG38" s="37" t="n">
        <f aca="false">(Staff!AG88-Staff!AG89)*Laptop_EUR*FX_EUR+Staff!AG89*Laptop_Dev_USD*FX_USD</f>
        <v>983935.5</v>
      </c>
      <c r="AH38" s="37" t="n">
        <f aca="false">(Staff!AH88-Staff!AH89)*Laptop_EUR*FX_EUR+Staff!AH89*Laptop_Dev_USD*FX_USD</f>
        <v>0</v>
      </c>
      <c r="AI38" s="37" t="n">
        <f aca="false">(Staff!AI88-Staff!AI89)*Laptop_EUR*FX_EUR+Staff!AI89*Laptop_Dev_USD*FX_USD</f>
        <v>655957</v>
      </c>
      <c r="AJ38" s="37" t="n">
        <f aca="false">(Staff!AJ88-Staff!AJ89)*Laptop_EUR*FX_EUR+Staff!AJ89*Laptop_Dev_USD*FX_USD</f>
        <v>327978.5</v>
      </c>
      <c r="AK38" s="37" t="n">
        <f aca="false">(Staff!AK88-Staff!AK89)*Laptop_EUR*FX_EUR+Staff!AK89*Laptop_Dev_USD*FX_USD</f>
        <v>327978.5</v>
      </c>
      <c r="AL38" s="37" t="n">
        <f aca="false">(Staff!AL88-Staff!AL89)*Laptop_EUR*FX_EUR+Staff!AL89*Laptop_Dev_USD*FX_USD</f>
        <v>655957</v>
      </c>
      <c r="AM38" s="37" t="n">
        <f aca="false">(Staff!AM88-Staff!AM89)*Laptop_EUR*FX_EUR+Staff!AM89*Laptop_Dev_USD*FX_USD</f>
        <v>327978.5</v>
      </c>
      <c r="AN38" s="37" t="n">
        <f aca="false">(Staff!AN88-Staff!AN89)*Laptop_EUR*FX_EUR+Staff!AN89*Laptop_Dev_USD*FX_USD</f>
        <v>327978.5</v>
      </c>
      <c r="AO38" s="37" t="n">
        <f aca="false">(Staff!AO88-Staff!AO89)*Laptop_EUR*FX_EUR+Staff!AO89*Laptop_Dev_USD*FX_USD</f>
        <v>2143935.5</v>
      </c>
      <c r="AP38" s="37" t="n">
        <f aca="false">(Staff!AP88-Staff!AP89)*Laptop_EUR*FX_EUR+Staff!AP89*Laptop_Dev_USD*FX_USD</f>
        <v>0</v>
      </c>
      <c r="AQ38" s="37" t="n">
        <f aca="false">(Staff!AQ88-Staff!AQ89)*Laptop_EUR*FX_EUR+Staff!AQ89*Laptop_Dev_USD*FX_USD</f>
        <v>655957</v>
      </c>
      <c r="AR38" s="37" t="n">
        <f aca="false">(Staff!AR88-Staff!AR89)*Laptop_EUR*FX_EUR+Staff!AR89*Laptop_Dev_USD*FX_USD</f>
        <v>327978.5</v>
      </c>
      <c r="AS38" s="37" t="n">
        <f aca="false">(Staff!AS88-Staff!AS89)*Laptop_EUR*FX_EUR+Staff!AS89*Laptop_Dev_USD*FX_USD</f>
        <v>1311914</v>
      </c>
      <c r="AT38" s="37" t="n">
        <f aca="false">(Staff!AT88-Staff!AT89)*Laptop_EUR*FX_EUR+Staff!AT89*Laptop_Dev_USD*FX_USD</f>
        <v>0</v>
      </c>
      <c r="AU38" s="37" t="n">
        <f aca="false">(Staff!AU88-Staff!AU89)*Laptop_EUR*FX_EUR+Staff!AU89*Laptop_Dev_USD*FX_USD</f>
        <v>327978.5</v>
      </c>
      <c r="AV38" s="37" t="n">
        <f aca="false">(Staff!AV88-Staff!AV89)*Laptop_EUR*FX_EUR+Staff!AV89*Laptop_Dev_USD*FX_USD</f>
        <v>655957</v>
      </c>
      <c r="AW38" s="37" t="n">
        <f aca="false">(Staff!AW88-Staff!AW89)*Laptop_EUR*FX_EUR+Staff!AW89*Laptop_Dev_USD*FX_USD</f>
        <v>1487978.5</v>
      </c>
      <c r="AX38" s="37" t="n">
        <f aca="false">(Staff!AX88-Staff!AX89)*Laptop_EUR*FX_EUR+Staff!AX89*Laptop_Dev_USD*FX_USD</f>
        <v>1311914</v>
      </c>
      <c r="AY38" s="37" t="n">
        <f aca="false">(Staff!AY88-Staff!AY89)*Laptop_EUR*FX_EUR+Staff!AY89*Laptop_Dev_USD*FX_USD</f>
        <v>0</v>
      </c>
      <c r="AZ38" s="37" t="n">
        <f aca="false">(Staff!AZ88-Staff!AZ89)*Laptop_EUR*FX_EUR+Staff!AZ89*Laptop_Dev_USD*FX_USD</f>
        <v>655957</v>
      </c>
      <c r="BA38" s="37" t="n">
        <f aca="false">(Staff!BA88-Staff!BA89)*Laptop_EUR*FX_EUR+Staff!BA89*Laptop_Dev_USD*FX_USD</f>
        <v>327978.5</v>
      </c>
      <c r="BB38" s="37" t="n">
        <f aca="false">(Staff!BB88-Staff!BB89)*Laptop_EUR*FX_EUR+Staff!BB89*Laptop_Dev_USD*FX_USD</f>
        <v>983935.5</v>
      </c>
      <c r="BC38" s="37" t="n">
        <f aca="false">(Staff!BC88-Staff!BC89)*Laptop_EUR*FX_EUR+Staff!BC89*Laptop_Dev_USD*FX_USD</f>
        <v>655957</v>
      </c>
      <c r="BD38" s="37" t="n">
        <f aca="false">(Staff!BD88-Staff!BD89)*Laptop_EUR*FX_EUR+Staff!BD89*Laptop_Dev_USD*FX_USD</f>
        <v>1815957</v>
      </c>
      <c r="BE38" s="37" t="n">
        <f aca="false">(Staff!BE88-Staff!BE89)*Laptop_EUR*FX_EUR+Staff!BE89*Laptop_Dev_USD*FX_USD</f>
        <v>327978.5</v>
      </c>
      <c r="BF38" s="37" t="n">
        <f aca="false">(Staff!BF88-Staff!BF89)*Laptop_EUR*FX_EUR+Staff!BF89*Laptop_Dev_USD*FX_USD</f>
        <v>1311914</v>
      </c>
      <c r="BG38" s="37" t="n">
        <f aca="false">(Staff!BG88-Staff!BG89)*Laptop_EUR*FX_EUR+Staff!BG89*Laptop_Dev_USD*FX_USD</f>
        <v>327978.5</v>
      </c>
      <c r="BH38" s="37" t="n">
        <f aca="false">(Staff!BH88-Staff!BH89)*Laptop_EUR*FX_EUR+Staff!BH89*Laptop_Dev_USD*FX_USD</f>
        <v>655957</v>
      </c>
      <c r="BI38" s="37" t="n">
        <f aca="false">(Staff!BI88-Staff!BI89)*Laptop_EUR*FX_EUR+Staff!BI89*Laptop_Dev_USD*FX_USD</f>
        <v>327978.5</v>
      </c>
      <c r="BJ38" s="37" t="n">
        <f aca="false">(Staff!BJ88-Staff!BJ89)*Laptop_EUR*FX_EUR+Staff!BJ89*Laptop_Dev_USD*FX_USD</f>
        <v>2471914</v>
      </c>
      <c r="BK38" s="37" t="n">
        <f aca="false">(Staff!BK88-Staff!BK89)*Laptop_EUR*FX_EUR+Staff!BK89*Laptop_Dev_USD*FX_USD</f>
        <v>655957</v>
      </c>
      <c r="BL38" s="37" t="n">
        <f aca="false">(Staff!BL88-Staff!BL89)*Laptop_EUR*FX_EUR+Staff!BL89*Laptop_Dev_USD*FX_USD</f>
        <v>327978.5</v>
      </c>
    </row>
    <row r="39" customFormat="false" ht="15" hidden="false" customHeight="false" outlineLevel="0" collapsed="false">
      <c r="A39" s="8" t="s">
        <v>826</v>
      </c>
      <c r="B39" s="14" t="s">
        <v>71</v>
      </c>
      <c r="D39" s="55" t="n">
        <f aca="false">SUM(E39:BL39)</f>
        <v>456546766.3</v>
      </c>
      <c r="E39" s="16" t="n">
        <f aca="false">SUM(E35:E38)</f>
        <v>5144892.5</v>
      </c>
      <c r="F39" s="16" t="n">
        <f aca="false">SUM(F35:F38)</f>
        <v>1008935.5</v>
      </c>
      <c r="G39" s="16" t="n">
        <f aca="false">SUM(G35:G38)</f>
        <v>1008935.5</v>
      </c>
      <c r="H39" s="16" t="n">
        <f aca="false">SUM(H35:H38)</f>
        <v>3657763.5</v>
      </c>
      <c r="I39" s="16" t="n">
        <f aca="false">SUM(I35:I38)</f>
        <v>2547636.6</v>
      </c>
      <c r="J39" s="16" t="n">
        <f aca="false">SUM(J35:J38)</f>
        <v>2219658.1</v>
      </c>
      <c r="K39" s="16" t="n">
        <f aca="false">SUM(K35:K38)</f>
        <v>2219658.1</v>
      </c>
      <c r="L39" s="16" t="n">
        <f aca="false">SUM(L35:L38)</f>
        <v>2219658.1</v>
      </c>
      <c r="M39" s="16" t="n">
        <f aca="false">SUM(M35:M38)</f>
        <v>2219658.1</v>
      </c>
      <c r="N39" s="16" t="n">
        <f aca="false">SUM(N35:N38)</f>
        <v>2219658.1</v>
      </c>
      <c r="O39" s="16" t="n">
        <f aca="false">SUM(O35:O38)</f>
        <v>2219658.1</v>
      </c>
      <c r="P39" s="16" t="n">
        <f aca="false">SUM(P35:P38)</f>
        <v>2219658.1</v>
      </c>
      <c r="Q39" s="16" t="n">
        <f aca="false">SUM(Q35:Q38)</f>
        <v>2749423.7</v>
      </c>
      <c r="R39" s="16" t="n">
        <f aca="false">SUM(R35:R38)</f>
        <v>2421445.2</v>
      </c>
      <c r="S39" s="16" t="n">
        <f aca="false">SUM(S35:S38)</f>
        <v>2421445.2</v>
      </c>
      <c r="T39" s="16" t="n">
        <f aca="false">SUM(T35:T38)</f>
        <v>2951210.8</v>
      </c>
      <c r="U39" s="16" t="n">
        <f aca="false">SUM(U35:U38)</f>
        <v>2623232.3</v>
      </c>
      <c r="V39" s="16" t="n">
        <f aca="false">SUM(V35:V38)</f>
        <v>4742294.7</v>
      </c>
      <c r="W39" s="16" t="n">
        <f aca="false">SUM(W35:W38)</f>
        <v>3960146.3</v>
      </c>
      <c r="X39" s="16" t="n">
        <f aca="false">SUM(X35:X38)</f>
        <v>3632167.8</v>
      </c>
      <c r="Y39" s="16" t="n">
        <f aca="false">SUM(Y35:Y38)</f>
        <v>3632167.8</v>
      </c>
      <c r="Z39" s="16" t="n">
        <f aca="false">SUM(Z35:Z38)</f>
        <v>3632167.8</v>
      </c>
      <c r="AA39" s="16" t="n">
        <f aca="false">SUM(AA35:AA38)</f>
        <v>4691699</v>
      </c>
      <c r="AB39" s="16" t="n">
        <f aca="false">SUM(AB35:AB38)</f>
        <v>4565507.6</v>
      </c>
      <c r="AC39" s="16" t="n">
        <f aca="false">SUM(AC35:AC38)</f>
        <v>4237529.1</v>
      </c>
      <c r="AD39" s="16" t="n">
        <f aca="false">SUM(AD35:AD38)</f>
        <v>4237529.1</v>
      </c>
      <c r="AE39" s="16" t="n">
        <f aca="false">SUM(AE35:AE38)</f>
        <v>6658847.4</v>
      </c>
      <c r="AF39" s="16" t="n">
        <f aca="false">SUM(AF35:AF38)</f>
        <v>5372656</v>
      </c>
      <c r="AG39" s="16" t="n">
        <f aca="false">SUM(AG35:AG38)</f>
        <v>6633974.3</v>
      </c>
      <c r="AH39" s="16" t="n">
        <f aca="false">SUM(AH35:AH38)</f>
        <v>5650038.8</v>
      </c>
      <c r="AI39" s="16" t="n">
        <f aca="false">SUM(AI35:AI38)</f>
        <v>6709570</v>
      </c>
      <c r="AJ39" s="16" t="n">
        <f aca="false">SUM(AJ35:AJ38)</f>
        <v>6583378.6</v>
      </c>
      <c r="AK39" s="16" t="n">
        <f aca="false">SUM(AK35:AK38)</f>
        <v>6785165.7</v>
      </c>
      <c r="AL39" s="16" t="n">
        <f aca="false">SUM(AL35:AL38)</f>
        <v>7516718.4</v>
      </c>
      <c r="AM39" s="16" t="n">
        <f aca="false">SUM(AM35:AM38)</f>
        <v>7390527</v>
      </c>
      <c r="AN39" s="16" t="n">
        <f aca="false">SUM(AN35:AN38)</f>
        <v>7592314.1</v>
      </c>
      <c r="AO39" s="16" t="n">
        <f aca="false">SUM(AO35:AO38)</f>
        <v>10215419.5</v>
      </c>
      <c r="AP39" s="16" t="n">
        <f aca="false">SUM(AP35:AP38)</f>
        <v>8071484</v>
      </c>
      <c r="AQ39" s="16" t="n">
        <f aca="false">SUM(AQ35:AQ38)</f>
        <v>9131015.2</v>
      </c>
      <c r="AR39" s="16" t="n">
        <f aca="false">SUM(AR35:AR38)</f>
        <v>9004823.8</v>
      </c>
      <c r="AS39" s="16" t="n">
        <f aca="false">SUM(AS35:AS38)</f>
        <v>10795907.7</v>
      </c>
      <c r="AT39" s="16" t="n">
        <f aca="false">SUM(AT35:AT38)</f>
        <v>9483993.7</v>
      </c>
      <c r="AU39" s="16" t="n">
        <f aca="false">SUM(AU35:AU38)</f>
        <v>10013759.3</v>
      </c>
      <c r="AV39" s="16" t="n">
        <f aca="false">SUM(AV35:AV38)</f>
        <v>10745312</v>
      </c>
      <c r="AW39" s="16" t="n">
        <f aca="false">SUM(AW35:AW38)</f>
        <v>11980907.7</v>
      </c>
      <c r="AX39" s="16" t="n">
        <f aca="false">SUM(AX35:AX38)</f>
        <v>12611991.6</v>
      </c>
      <c r="AY39" s="16" t="n">
        <f aca="false">SUM(AY35:AY38)</f>
        <v>11300077.6</v>
      </c>
      <c r="AZ39" s="16" t="n">
        <f aca="false">SUM(AZ35:AZ38)</f>
        <v>12359608.8</v>
      </c>
      <c r="BA39" s="16" t="n">
        <f aca="false">SUM(BA35:BA38)</f>
        <v>12233417.4</v>
      </c>
      <c r="BB39" s="16" t="n">
        <f aca="false">SUM(BB35:BB38)</f>
        <v>13494735.7</v>
      </c>
      <c r="BC39" s="16" t="n">
        <f aca="false">SUM(BC35:BC38)</f>
        <v>13570331.4</v>
      </c>
      <c r="BD39" s="16" t="n">
        <f aca="false">SUM(BD35:BD38)</f>
        <v>15335692.7</v>
      </c>
      <c r="BE39" s="16" t="n">
        <f aca="false">SUM(BE35:BE38)</f>
        <v>14049501.3</v>
      </c>
      <c r="BF39" s="16" t="n">
        <f aca="false">SUM(BF35:BF38)</f>
        <v>15840585.2</v>
      </c>
      <c r="BG39" s="16" t="n">
        <f aca="false">SUM(BG35:BG38)</f>
        <v>15058436.8</v>
      </c>
      <c r="BH39" s="16" t="n">
        <f aca="false">SUM(BH35:BH38)</f>
        <v>15789989.5</v>
      </c>
      <c r="BI39" s="16" t="n">
        <f aca="false">SUM(BI35:BI38)</f>
        <v>15663798.1</v>
      </c>
      <c r="BJ39" s="16" t="n">
        <f aca="false">SUM(BJ35:BJ38)</f>
        <v>18816669.1</v>
      </c>
      <c r="BK39" s="16" t="n">
        <f aca="false">SUM(BK35:BK38)</f>
        <v>17404286.3</v>
      </c>
      <c r="BL39" s="16" t="n">
        <f aca="false">SUM(BL35:BL38)</f>
        <v>17278094.9</v>
      </c>
    </row>
    <row r="41" customFormat="false" ht="15" hidden="false" customHeight="false" outlineLevel="0" collapsed="false">
      <c r="A41" s="10" t="s">
        <v>435</v>
      </c>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c r="BK41" s="11"/>
      <c r="BL41" s="11"/>
    </row>
    <row r="42" customFormat="false" ht="15" hidden="false" customHeight="false" outlineLevel="0" collapsed="false">
      <c r="A42" s="12" t="s">
        <v>614</v>
      </c>
      <c r="B42" s="14" t="s">
        <v>71</v>
      </c>
      <c r="D42" s="55" t="n">
        <f aca="false">SUM(E42:BL42)</f>
        <v>229584950</v>
      </c>
      <c r="E42" s="37" t="n">
        <f aca="false">IF(Maak_Option=1,Maak_Lease_EUR*FX_EUR/12,0)</f>
        <v>3826415.83333333</v>
      </c>
      <c r="F42" s="37" t="n">
        <f aca="false">IF(Maak_Option=1,Maak_Lease_EUR*FX_EUR/12,0)</f>
        <v>3826415.83333333</v>
      </c>
      <c r="G42" s="37" t="n">
        <f aca="false">IF(Maak_Option=1,Maak_Lease_EUR*FX_EUR/12,0)</f>
        <v>3826415.83333333</v>
      </c>
      <c r="H42" s="37" t="n">
        <f aca="false">IF(Maak_Option=1,Maak_Lease_EUR*FX_EUR/12,0)</f>
        <v>3826415.83333333</v>
      </c>
      <c r="I42" s="37" t="n">
        <f aca="false">IF(Maak_Option=1,Maak_Lease_EUR*FX_EUR/12,0)</f>
        <v>3826415.83333333</v>
      </c>
      <c r="J42" s="37" t="n">
        <f aca="false">IF(Maak_Option=1,Maak_Lease_EUR*FX_EUR/12,0)</f>
        <v>3826415.83333333</v>
      </c>
      <c r="K42" s="37" t="n">
        <f aca="false">IF(Maak_Option=1,Maak_Lease_EUR*FX_EUR/12,0)</f>
        <v>3826415.83333333</v>
      </c>
      <c r="L42" s="37" t="n">
        <f aca="false">IF(Maak_Option=1,Maak_Lease_EUR*FX_EUR/12,0)</f>
        <v>3826415.83333333</v>
      </c>
      <c r="M42" s="37" t="n">
        <f aca="false">IF(Maak_Option=1,Maak_Lease_EUR*FX_EUR/12,0)</f>
        <v>3826415.83333333</v>
      </c>
      <c r="N42" s="37" t="n">
        <f aca="false">IF(Maak_Option=1,Maak_Lease_EUR*FX_EUR/12,0)</f>
        <v>3826415.83333333</v>
      </c>
      <c r="O42" s="37" t="n">
        <f aca="false">IF(Maak_Option=1,Maak_Lease_EUR*FX_EUR/12,0)</f>
        <v>3826415.83333333</v>
      </c>
      <c r="P42" s="37" t="n">
        <f aca="false">IF(Maak_Option=1,Maak_Lease_EUR*FX_EUR/12,0)</f>
        <v>3826415.83333333</v>
      </c>
      <c r="Q42" s="37" t="n">
        <f aca="false">IF(Maak_Option=1,Maak_Lease_EUR*FX_EUR/12,0)</f>
        <v>3826415.83333333</v>
      </c>
      <c r="R42" s="37" t="n">
        <f aca="false">IF(Maak_Option=1,Maak_Lease_EUR*FX_EUR/12,0)</f>
        <v>3826415.83333333</v>
      </c>
      <c r="S42" s="37" t="n">
        <f aca="false">IF(Maak_Option=1,Maak_Lease_EUR*FX_EUR/12,0)</f>
        <v>3826415.83333333</v>
      </c>
      <c r="T42" s="37" t="n">
        <f aca="false">IF(Maak_Option=1,Maak_Lease_EUR*FX_EUR/12,0)</f>
        <v>3826415.83333333</v>
      </c>
      <c r="U42" s="37" t="n">
        <f aca="false">IF(Maak_Option=1,Maak_Lease_EUR*FX_EUR/12,0)</f>
        <v>3826415.83333333</v>
      </c>
      <c r="V42" s="37" t="n">
        <f aca="false">IF(Maak_Option=1,Maak_Lease_EUR*FX_EUR/12,0)</f>
        <v>3826415.83333333</v>
      </c>
      <c r="W42" s="37" t="n">
        <f aca="false">IF(Maak_Option=1,Maak_Lease_EUR*FX_EUR/12,0)</f>
        <v>3826415.83333333</v>
      </c>
      <c r="X42" s="37" t="n">
        <f aca="false">IF(Maak_Option=1,Maak_Lease_EUR*FX_EUR/12,0)</f>
        <v>3826415.83333333</v>
      </c>
      <c r="Y42" s="37" t="n">
        <f aca="false">IF(Maak_Option=1,Maak_Lease_EUR*FX_EUR/12,0)</f>
        <v>3826415.83333333</v>
      </c>
      <c r="Z42" s="37" t="n">
        <f aca="false">IF(Maak_Option=1,Maak_Lease_EUR*FX_EUR/12,0)</f>
        <v>3826415.83333333</v>
      </c>
      <c r="AA42" s="37" t="n">
        <f aca="false">IF(Maak_Option=1,Maak_Lease_EUR*FX_EUR/12,0)</f>
        <v>3826415.83333333</v>
      </c>
      <c r="AB42" s="37" t="n">
        <f aca="false">IF(Maak_Option=1,Maak_Lease_EUR*FX_EUR/12,0)</f>
        <v>3826415.83333333</v>
      </c>
      <c r="AC42" s="37" t="n">
        <f aca="false">IF(Maak_Option=1,Maak_Lease_EUR*FX_EUR/12,0)</f>
        <v>3826415.83333333</v>
      </c>
      <c r="AD42" s="37" t="n">
        <f aca="false">IF(Maak_Option=1,Maak_Lease_EUR*FX_EUR/12,0)</f>
        <v>3826415.83333333</v>
      </c>
      <c r="AE42" s="37" t="n">
        <f aca="false">IF(Maak_Option=1,Maak_Lease_EUR*FX_EUR/12,0)</f>
        <v>3826415.83333333</v>
      </c>
      <c r="AF42" s="37" t="n">
        <f aca="false">IF(Maak_Option=1,Maak_Lease_EUR*FX_EUR/12,0)</f>
        <v>3826415.83333333</v>
      </c>
      <c r="AG42" s="37" t="n">
        <f aca="false">IF(Maak_Option=1,Maak_Lease_EUR*FX_EUR/12,0)</f>
        <v>3826415.83333333</v>
      </c>
      <c r="AH42" s="37" t="n">
        <f aca="false">IF(Maak_Option=1,Maak_Lease_EUR*FX_EUR/12,0)</f>
        <v>3826415.83333333</v>
      </c>
      <c r="AI42" s="37" t="n">
        <f aca="false">IF(Maak_Option=1,Maak_Lease_EUR*FX_EUR/12,0)</f>
        <v>3826415.83333333</v>
      </c>
      <c r="AJ42" s="37" t="n">
        <f aca="false">IF(Maak_Option=1,Maak_Lease_EUR*FX_EUR/12,0)</f>
        <v>3826415.83333333</v>
      </c>
      <c r="AK42" s="37" t="n">
        <f aca="false">IF(Maak_Option=1,Maak_Lease_EUR*FX_EUR/12,0)</f>
        <v>3826415.83333333</v>
      </c>
      <c r="AL42" s="37" t="n">
        <f aca="false">IF(Maak_Option=1,Maak_Lease_EUR*FX_EUR/12,0)</f>
        <v>3826415.83333333</v>
      </c>
      <c r="AM42" s="37" t="n">
        <f aca="false">IF(Maak_Option=1,Maak_Lease_EUR*FX_EUR/12,0)</f>
        <v>3826415.83333333</v>
      </c>
      <c r="AN42" s="37" t="n">
        <f aca="false">IF(Maak_Option=1,Maak_Lease_EUR*FX_EUR/12,0)</f>
        <v>3826415.83333333</v>
      </c>
      <c r="AO42" s="37" t="n">
        <f aca="false">IF(Maak_Option=1,Maak_Lease_EUR*FX_EUR/12,0)</f>
        <v>3826415.83333333</v>
      </c>
      <c r="AP42" s="37" t="n">
        <f aca="false">IF(Maak_Option=1,Maak_Lease_EUR*FX_EUR/12,0)</f>
        <v>3826415.83333333</v>
      </c>
      <c r="AQ42" s="37" t="n">
        <f aca="false">IF(Maak_Option=1,Maak_Lease_EUR*FX_EUR/12,0)</f>
        <v>3826415.83333333</v>
      </c>
      <c r="AR42" s="37" t="n">
        <f aca="false">IF(Maak_Option=1,Maak_Lease_EUR*FX_EUR/12,0)</f>
        <v>3826415.83333333</v>
      </c>
      <c r="AS42" s="37" t="n">
        <f aca="false">IF(Maak_Option=1,Maak_Lease_EUR*FX_EUR/12,0)</f>
        <v>3826415.83333333</v>
      </c>
      <c r="AT42" s="37" t="n">
        <f aca="false">IF(Maak_Option=1,Maak_Lease_EUR*FX_EUR/12,0)</f>
        <v>3826415.83333333</v>
      </c>
      <c r="AU42" s="37" t="n">
        <f aca="false">IF(Maak_Option=1,Maak_Lease_EUR*FX_EUR/12,0)</f>
        <v>3826415.83333333</v>
      </c>
      <c r="AV42" s="37" t="n">
        <f aca="false">IF(Maak_Option=1,Maak_Lease_EUR*FX_EUR/12,0)</f>
        <v>3826415.83333333</v>
      </c>
      <c r="AW42" s="37" t="n">
        <f aca="false">IF(Maak_Option=1,Maak_Lease_EUR*FX_EUR/12,0)</f>
        <v>3826415.83333333</v>
      </c>
      <c r="AX42" s="37" t="n">
        <f aca="false">IF(Maak_Option=1,Maak_Lease_EUR*FX_EUR/12,0)</f>
        <v>3826415.83333333</v>
      </c>
      <c r="AY42" s="37" t="n">
        <f aca="false">IF(Maak_Option=1,Maak_Lease_EUR*FX_EUR/12,0)</f>
        <v>3826415.83333333</v>
      </c>
      <c r="AZ42" s="37" t="n">
        <f aca="false">IF(Maak_Option=1,Maak_Lease_EUR*FX_EUR/12,0)</f>
        <v>3826415.83333333</v>
      </c>
      <c r="BA42" s="37" t="n">
        <f aca="false">IF(Maak_Option=1,Maak_Lease_EUR*FX_EUR/12,0)</f>
        <v>3826415.83333333</v>
      </c>
      <c r="BB42" s="37" t="n">
        <f aca="false">IF(Maak_Option=1,Maak_Lease_EUR*FX_EUR/12,0)</f>
        <v>3826415.83333333</v>
      </c>
      <c r="BC42" s="37" t="n">
        <f aca="false">IF(Maak_Option=1,Maak_Lease_EUR*FX_EUR/12,0)</f>
        <v>3826415.83333333</v>
      </c>
      <c r="BD42" s="37" t="n">
        <f aca="false">IF(Maak_Option=1,Maak_Lease_EUR*FX_EUR/12,0)</f>
        <v>3826415.83333333</v>
      </c>
      <c r="BE42" s="37" t="n">
        <f aca="false">IF(Maak_Option=1,Maak_Lease_EUR*FX_EUR/12,0)</f>
        <v>3826415.83333333</v>
      </c>
      <c r="BF42" s="37" t="n">
        <f aca="false">IF(Maak_Option=1,Maak_Lease_EUR*FX_EUR/12,0)</f>
        <v>3826415.83333333</v>
      </c>
      <c r="BG42" s="37" t="n">
        <f aca="false">IF(Maak_Option=1,Maak_Lease_EUR*FX_EUR/12,0)</f>
        <v>3826415.83333333</v>
      </c>
      <c r="BH42" s="37" t="n">
        <f aca="false">IF(Maak_Option=1,Maak_Lease_EUR*FX_EUR/12,0)</f>
        <v>3826415.83333333</v>
      </c>
      <c r="BI42" s="37" t="n">
        <f aca="false">IF(Maak_Option=1,Maak_Lease_EUR*FX_EUR/12,0)</f>
        <v>3826415.83333333</v>
      </c>
      <c r="BJ42" s="37" t="n">
        <f aca="false">IF(Maak_Option=1,Maak_Lease_EUR*FX_EUR/12,0)</f>
        <v>3826415.83333333</v>
      </c>
      <c r="BK42" s="37" t="n">
        <f aca="false">IF(Maak_Option=1,Maak_Lease_EUR*FX_EUR/12,0)</f>
        <v>3826415.83333333</v>
      </c>
      <c r="BL42" s="37" t="n">
        <f aca="false">IF(Maak_Option=1,Maak_Lease_EUR*FX_EUR/12,0)</f>
        <v>3826415.83333333</v>
      </c>
    </row>
    <row r="43" customFormat="false" ht="15" hidden="false" customHeight="false" outlineLevel="0" collapsed="false">
      <c r="A43" s="12" t="s">
        <v>436</v>
      </c>
      <c r="B43" s="14" t="s">
        <v>71</v>
      </c>
      <c r="D43" s="55" t="n">
        <f aca="false">SUM(E43:BL43)</f>
        <v>262740000</v>
      </c>
      <c r="E43" s="37" t="n">
        <f aca="false">IF(E$3&gt;=Cloud_Start,INDEX(Cloud_USD,1,E$5)*FX_USD,0)</f>
        <v>0</v>
      </c>
      <c r="F43" s="37" t="n">
        <f aca="false">IF(F$3&gt;=Cloud_Start,INDEX(Cloud_USD,1,F$5)*FX_USD,0)</f>
        <v>1740000</v>
      </c>
      <c r="G43" s="37" t="n">
        <f aca="false">IF(G$3&gt;=Cloud_Start,INDEX(Cloud_USD,1,G$5)*FX_USD,0)</f>
        <v>1740000</v>
      </c>
      <c r="H43" s="37" t="n">
        <f aca="false">IF(H$3&gt;=Cloud_Start,INDEX(Cloud_USD,1,H$5)*FX_USD,0)</f>
        <v>1740000</v>
      </c>
      <c r="I43" s="37" t="n">
        <f aca="false">IF(I$3&gt;=Cloud_Start,INDEX(Cloud_USD,1,I$5)*FX_USD,0)</f>
        <v>1740000</v>
      </c>
      <c r="J43" s="37" t="n">
        <f aca="false">IF(J$3&gt;=Cloud_Start,INDEX(Cloud_USD,1,J$5)*FX_USD,0)</f>
        <v>1740000</v>
      </c>
      <c r="K43" s="37" t="n">
        <f aca="false">IF(K$3&gt;=Cloud_Start,INDEX(Cloud_USD,1,K$5)*FX_USD,0)</f>
        <v>1740000</v>
      </c>
      <c r="L43" s="37" t="n">
        <f aca="false">IF(L$3&gt;=Cloud_Start,INDEX(Cloud_USD,1,L$5)*FX_USD,0)</f>
        <v>1740000</v>
      </c>
      <c r="M43" s="37" t="n">
        <f aca="false">IF(M$3&gt;=Cloud_Start,INDEX(Cloud_USD,1,M$5)*FX_USD,0)</f>
        <v>1740000</v>
      </c>
      <c r="N43" s="37" t="n">
        <f aca="false">IF(N$3&gt;=Cloud_Start,INDEX(Cloud_USD,1,N$5)*FX_USD,0)</f>
        <v>1740000</v>
      </c>
      <c r="O43" s="37" t="n">
        <f aca="false">IF(O$3&gt;=Cloud_Start,INDEX(Cloud_USD,1,O$5)*FX_USD,0)</f>
        <v>1740000</v>
      </c>
      <c r="P43" s="37" t="n">
        <f aca="false">IF(P$3&gt;=Cloud_Start,INDEX(Cloud_USD,1,P$5)*FX_USD,0)</f>
        <v>1740000</v>
      </c>
      <c r="Q43" s="37" t="n">
        <f aca="false">IF(Q$3&gt;=Cloud_Start,INDEX(Cloud_USD,1,Q$5)*FX_USD,0)</f>
        <v>2900000</v>
      </c>
      <c r="R43" s="37" t="n">
        <f aca="false">IF(R$3&gt;=Cloud_Start,INDEX(Cloud_USD,1,R$5)*FX_USD,0)</f>
        <v>2900000</v>
      </c>
      <c r="S43" s="37" t="n">
        <f aca="false">IF(S$3&gt;=Cloud_Start,INDEX(Cloud_USD,1,S$5)*FX_USD,0)</f>
        <v>2900000</v>
      </c>
      <c r="T43" s="37" t="n">
        <f aca="false">IF(T$3&gt;=Cloud_Start,INDEX(Cloud_USD,1,T$5)*FX_USD,0)</f>
        <v>2900000</v>
      </c>
      <c r="U43" s="37" t="n">
        <f aca="false">IF(U$3&gt;=Cloud_Start,INDEX(Cloud_USD,1,U$5)*FX_USD,0)</f>
        <v>2900000</v>
      </c>
      <c r="V43" s="37" t="n">
        <f aca="false">IF(V$3&gt;=Cloud_Start,INDEX(Cloud_USD,1,V$5)*FX_USD,0)</f>
        <v>2900000</v>
      </c>
      <c r="W43" s="37" t="n">
        <f aca="false">IF(W$3&gt;=Cloud_Start,INDEX(Cloud_USD,1,W$5)*FX_USD,0)</f>
        <v>2900000</v>
      </c>
      <c r="X43" s="37" t="n">
        <f aca="false">IF(X$3&gt;=Cloud_Start,INDEX(Cloud_USD,1,X$5)*FX_USD,0)</f>
        <v>2900000</v>
      </c>
      <c r="Y43" s="37" t="n">
        <f aca="false">IF(Y$3&gt;=Cloud_Start,INDEX(Cloud_USD,1,Y$5)*FX_USD,0)</f>
        <v>2900000</v>
      </c>
      <c r="Z43" s="37" t="n">
        <f aca="false">IF(Z$3&gt;=Cloud_Start,INDEX(Cloud_USD,1,Z$5)*FX_USD,0)</f>
        <v>2900000</v>
      </c>
      <c r="AA43" s="37" t="n">
        <f aca="false">IF(AA$3&gt;=Cloud_Start,INDEX(Cloud_USD,1,AA$5)*FX_USD,0)</f>
        <v>2900000</v>
      </c>
      <c r="AB43" s="37" t="n">
        <f aca="false">IF(AB$3&gt;=Cloud_Start,INDEX(Cloud_USD,1,AB$5)*FX_USD,0)</f>
        <v>2900000</v>
      </c>
      <c r="AC43" s="37" t="n">
        <f aca="false">IF(AC$3&gt;=Cloud_Start,INDEX(Cloud_USD,1,AC$5)*FX_USD,0)</f>
        <v>4640000</v>
      </c>
      <c r="AD43" s="37" t="n">
        <f aca="false">IF(AD$3&gt;=Cloud_Start,INDEX(Cloud_USD,1,AD$5)*FX_USD,0)</f>
        <v>4640000</v>
      </c>
      <c r="AE43" s="37" t="n">
        <f aca="false">IF(AE$3&gt;=Cloud_Start,INDEX(Cloud_USD,1,AE$5)*FX_USD,0)</f>
        <v>4640000</v>
      </c>
      <c r="AF43" s="37" t="n">
        <f aca="false">IF(AF$3&gt;=Cloud_Start,INDEX(Cloud_USD,1,AF$5)*FX_USD,0)</f>
        <v>4640000</v>
      </c>
      <c r="AG43" s="37" t="n">
        <f aca="false">IF(AG$3&gt;=Cloud_Start,INDEX(Cloud_USD,1,AG$5)*FX_USD,0)</f>
        <v>4640000</v>
      </c>
      <c r="AH43" s="37" t="n">
        <f aca="false">IF(AH$3&gt;=Cloud_Start,INDEX(Cloud_USD,1,AH$5)*FX_USD,0)</f>
        <v>4640000</v>
      </c>
      <c r="AI43" s="37" t="n">
        <f aca="false">IF(AI$3&gt;=Cloud_Start,INDEX(Cloud_USD,1,AI$5)*FX_USD,0)</f>
        <v>4640000</v>
      </c>
      <c r="AJ43" s="37" t="n">
        <f aca="false">IF(AJ$3&gt;=Cloud_Start,INDEX(Cloud_USD,1,AJ$5)*FX_USD,0)</f>
        <v>4640000</v>
      </c>
      <c r="AK43" s="37" t="n">
        <f aca="false">IF(AK$3&gt;=Cloud_Start,INDEX(Cloud_USD,1,AK$5)*FX_USD,0)</f>
        <v>4640000</v>
      </c>
      <c r="AL43" s="37" t="n">
        <f aca="false">IF(AL$3&gt;=Cloud_Start,INDEX(Cloud_USD,1,AL$5)*FX_USD,0)</f>
        <v>4640000</v>
      </c>
      <c r="AM43" s="37" t="n">
        <f aca="false">IF(AM$3&gt;=Cloud_Start,INDEX(Cloud_USD,1,AM$5)*FX_USD,0)</f>
        <v>4640000</v>
      </c>
      <c r="AN43" s="37" t="n">
        <f aca="false">IF(AN$3&gt;=Cloud_Start,INDEX(Cloud_USD,1,AN$5)*FX_USD,0)</f>
        <v>4640000</v>
      </c>
      <c r="AO43" s="37" t="n">
        <f aca="false">IF(AO$3&gt;=Cloud_Start,INDEX(Cloud_USD,1,AO$5)*FX_USD,0)</f>
        <v>5800000</v>
      </c>
      <c r="AP43" s="37" t="n">
        <f aca="false">IF(AP$3&gt;=Cloud_Start,INDEX(Cloud_USD,1,AP$5)*FX_USD,0)</f>
        <v>5800000</v>
      </c>
      <c r="AQ43" s="37" t="n">
        <f aca="false">IF(AQ$3&gt;=Cloud_Start,INDEX(Cloud_USD,1,AQ$5)*FX_USD,0)</f>
        <v>5800000</v>
      </c>
      <c r="AR43" s="37" t="n">
        <f aca="false">IF(AR$3&gt;=Cloud_Start,INDEX(Cloud_USD,1,AR$5)*FX_USD,0)</f>
        <v>5800000</v>
      </c>
      <c r="AS43" s="37" t="n">
        <f aca="false">IF(AS$3&gt;=Cloud_Start,INDEX(Cloud_USD,1,AS$5)*FX_USD,0)</f>
        <v>5800000</v>
      </c>
      <c r="AT43" s="37" t="n">
        <f aca="false">IF(AT$3&gt;=Cloud_Start,INDEX(Cloud_USD,1,AT$5)*FX_USD,0)</f>
        <v>5800000</v>
      </c>
      <c r="AU43" s="37" t="n">
        <f aca="false">IF(AU$3&gt;=Cloud_Start,INDEX(Cloud_USD,1,AU$5)*FX_USD,0)</f>
        <v>5800000</v>
      </c>
      <c r="AV43" s="37" t="n">
        <f aca="false">IF(AV$3&gt;=Cloud_Start,INDEX(Cloud_USD,1,AV$5)*FX_USD,0)</f>
        <v>5800000</v>
      </c>
      <c r="AW43" s="37" t="n">
        <f aca="false">IF(AW$3&gt;=Cloud_Start,INDEX(Cloud_USD,1,AW$5)*FX_USD,0)</f>
        <v>5800000</v>
      </c>
      <c r="AX43" s="37" t="n">
        <f aca="false">IF(AX$3&gt;=Cloud_Start,INDEX(Cloud_USD,1,AX$5)*FX_USD,0)</f>
        <v>5800000</v>
      </c>
      <c r="AY43" s="37" t="n">
        <f aca="false">IF(AY$3&gt;=Cloud_Start,INDEX(Cloud_USD,1,AY$5)*FX_USD,0)</f>
        <v>5800000</v>
      </c>
      <c r="AZ43" s="37" t="n">
        <f aca="false">IF(AZ$3&gt;=Cloud_Start,INDEX(Cloud_USD,1,AZ$5)*FX_USD,0)</f>
        <v>5800000</v>
      </c>
      <c r="BA43" s="37" t="n">
        <f aca="false">IF(BA$3&gt;=Cloud_Start,INDEX(Cloud_USD,1,BA$5)*FX_USD,0)</f>
        <v>6960000</v>
      </c>
      <c r="BB43" s="37" t="n">
        <f aca="false">IF(BB$3&gt;=Cloud_Start,INDEX(Cloud_USD,1,BB$5)*FX_USD,0)</f>
        <v>6960000</v>
      </c>
      <c r="BC43" s="37" t="n">
        <f aca="false">IF(BC$3&gt;=Cloud_Start,INDEX(Cloud_USD,1,BC$5)*FX_USD,0)</f>
        <v>6960000</v>
      </c>
      <c r="BD43" s="37" t="n">
        <f aca="false">IF(BD$3&gt;=Cloud_Start,INDEX(Cloud_USD,1,BD$5)*FX_USD,0)</f>
        <v>6960000</v>
      </c>
      <c r="BE43" s="37" t="n">
        <f aca="false">IF(BE$3&gt;=Cloud_Start,INDEX(Cloud_USD,1,BE$5)*FX_USD,0)</f>
        <v>6960000</v>
      </c>
      <c r="BF43" s="37" t="n">
        <f aca="false">IF(BF$3&gt;=Cloud_Start,INDEX(Cloud_USD,1,BF$5)*FX_USD,0)</f>
        <v>6960000</v>
      </c>
      <c r="BG43" s="37" t="n">
        <f aca="false">IF(BG$3&gt;=Cloud_Start,INDEX(Cloud_USD,1,BG$5)*FX_USD,0)</f>
        <v>6960000</v>
      </c>
      <c r="BH43" s="37" t="n">
        <f aca="false">IF(BH$3&gt;=Cloud_Start,INDEX(Cloud_USD,1,BH$5)*FX_USD,0)</f>
        <v>6960000</v>
      </c>
      <c r="BI43" s="37" t="n">
        <f aca="false">IF(BI$3&gt;=Cloud_Start,INDEX(Cloud_USD,1,BI$5)*FX_USD,0)</f>
        <v>6960000</v>
      </c>
      <c r="BJ43" s="37" t="n">
        <f aca="false">IF(BJ$3&gt;=Cloud_Start,INDEX(Cloud_USD,1,BJ$5)*FX_USD,0)</f>
        <v>6960000</v>
      </c>
      <c r="BK43" s="37" t="n">
        <f aca="false">IF(BK$3&gt;=Cloud_Start,INDEX(Cloud_USD,1,BK$5)*FX_USD,0)</f>
        <v>6960000</v>
      </c>
      <c r="BL43" s="37" t="n">
        <f aca="false">IF(BL$3&gt;=Cloud_Start,INDEX(Cloud_USD,1,BL$5)*FX_USD,0)</f>
        <v>6960000</v>
      </c>
    </row>
    <row r="44" customFormat="false" ht="15" hidden="false" customHeight="false" outlineLevel="0" collapsed="false">
      <c r="A44" s="12" t="s">
        <v>438</v>
      </c>
      <c r="B44" s="14" t="s">
        <v>71</v>
      </c>
      <c r="D44" s="55" t="n">
        <f aca="false">SUM(E44:BL44)</f>
        <v>81780000</v>
      </c>
      <c r="E44" s="37" t="n">
        <f aca="false">INDEX(Monitoring_USD,1,E$5)*FX_USD/12</f>
        <v>290000</v>
      </c>
      <c r="F44" s="37" t="n">
        <f aca="false">INDEX(Monitoring_USD,1,F$5)*FX_USD/12</f>
        <v>290000</v>
      </c>
      <c r="G44" s="37" t="n">
        <f aca="false">INDEX(Monitoring_USD,1,G$5)*FX_USD/12</f>
        <v>290000</v>
      </c>
      <c r="H44" s="37" t="n">
        <f aca="false">INDEX(Monitoring_USD,1,H$5)*FX_USD/12</f>
        <v>290000</v>
      </c>
      <c r="I44" s="37" t="n">
        <f aca="false">INDEX(Monitoring_USD,1,I$5)*FX_USD/12</f>
        <v>290000</v>
      </c>
      <c r="J44" s="37" t="n">
        <f aca="false">INDEX(Monitoring_USD,1,J$5)*FX_USD/12</f>
        <v>290000</v>
      </c>
      <c r="K44" s="37" t="n">
        <f aca="false">INDEX(Monitoring_USD,1,K$5)*FX_USD/12</f>
        <v>290000</v>
      </c>
      <c r="L44" s="37" t="n">
        <f aca="false">INDEX(Monitoring_USD,1,L$5)*FX_USD/12</f>
        <v>290000</v>
      </c>
      <c r="M44" s="37" t="n">
        <f aca="false">INDEX(Monitoring_USD,1,M$5)*FX_USD/12</f>
        <v>290000</v>
      </c>
      <c r="N44" s="37" t="n">
        <f aca="false">INDEX(Monitoring_USD,1,N$5)*FX_USD/12</f>
        <v>290000</v>
      </c>
      <c r="O44" s="37" t="n">
        <f aca="false">INDEX(Monitoring_USD,1,O$5)*FX_USD/12</f>
        <v>290000</v>
      </c>
      <c r="P44" s="37" t="n">
        <f aca="false">INDEX(Monitoring_USD,1,P$5)*FX_USD/12</f>
        <v>290000</v>
      </c>
      <c r="Q44" s="37" t="n">
        <f aca="false">INDEX(Monitoring_USD,1,Q$5)*FX_USD/12</f>
        <v>725000</v>
      </c>
      <c r="R44" s="37" t="n">
        <f aca="false">INDEX(Monitoring_USD,1,R$5)*FX_USD/12</f>
        <v>725000</v>
      </c>
      <c r="S44" s="37" t="n">
        <f aca="false">INDEX(Monitoring_USD,1,S$5)*FX_USD/12</f>
        <v>725000</v>
      </c>
      <c r="T44" s="37" t="n">
        <f aca="false">INDEX(Monitoring_USD,1,T$5)*FX_USD/12</f>
        <v>725000</v>
      </c>
      <c r="U44" s="37" t="n">
        <f aca="false">INDEX(Monitoring_USD,1,U$5)*FX_USD/12</f>
        <v>725000</v>
      </c>
      <c r="V44" s="37" t="n">
        <f aca="false">INDEX(Monitoring_USD,1,V$5)*FX_USD/12</f>
        <v>725000</v>
      </c>
      <c r="W44" s="37" t="n">
        <f aca="false">INDEX(Monitoring_USD,1,W$5)*FX_USD/12</f>
        <v>725000</v>
      </c>
      <c r="X44" s="37" t="n">
        <f aca="false">INDEX(Monitoring_USD,1,X$5)*FX_USD/12</f>
        <v>725000</v>
      </c>
      <c r="Y44" s="37" t="n">
        <f aca="false">INDEX(Monitoring_USD,1,Y$5)*FX_USD/12</f>
        <v>725000</v>
      </c>
      <c r="Z44" s="37" t="n">
        <f aca="false">INDEX(Monitoring_USD,1,Z$5)*FX_USD/12</f>
        <v>725000</v>
      </c>
      <c r="AA44" s="37" t="n">
        <f aca="false">INDEX(Monitoring_USD,1,AA$5)*FX_USD/12</f>
        <v>725000</v>
      </c>
      <c r="AB44" s="37" t="n">
        <f aca="false">INDEX(Monitoring_USD,1,AB$5)*FX_USD/12</f>
        <v>725000</v>
      </c>
      <c r="AC44" s="37" t="n">
        <f aca="false">INDEX(Monitoring_USD,1,AC$5)*FX_USD/12</f>
        <v>1450000</v>
      </c>
      <c r="AD44" s="37" t="n">
        <f aca="false">INDEX(Monitoring_USD,1,AD$5)*FX_USD/12</f>
        <v>1450000</v>
      </c>
      <c r="AE44" s="37" t="n">
        <f aca="false">INDEX(Monitoring_USD,1,AE$5)*FX_USD/12</f>
        <v>1450000</v>
      </c>
      <c r="AF44" s="37" t="n">
        <f aca="false">INDEX(Monitoring_USD,1,AF$5)*FX_USD/12</f>
        <v>1450000</v>
      </c>
      <c r="AG44" s="37" t="n">
        <f aca="false">INDEX(Monitoring_USD,1,AG$5)*FX_USD/12</f>
        <v>1450000</v>
      </c>
      <c r="AH44" s="37" t="n">
        <f aca="false">INDEX(Monitoring_USD,1,AH$5)*FX_USD/12</f>
        <v>1450000</v>
      </c>
      <c r="AI44" s="37" t="n">
        <f aca="false">INDEX(Monitoring_USD,1,AI$5)*FX_USD/12</f>
        <v>1450000</v>
      </c>
      <c r="AJ44" s="37" t="n">
        <f aca="false">INDEX(Monitoring_USD,1,AJ$5)*FX_USD/12</f>
        <v>1450000</v>
      </c>
      <c r="AK44" s="37" t="n">
        <f aca="false">INDEX(Monitoring_USD,1,AK$5)*FX_USD/12</f>
        <v>1450000</v>
      </c>
      <c r="AL44" s="37" t="n">
        <f aca="false">INDEX(Monitoring_USD,1,AL$5)*FX_USD/12</f>
        <v>1450000</v>
      </c>
      <c r="AM44" s="37" t="n">
        <f aca="false">INDEX(Monitoring_USD,1,AM$5)*FX_USD/12</f>
        <v>1450000</v>
      </c>
      <c r="AN44" s="37" t="n">
        <f aca="false">INDEX(Monitoring_USD,1,AN$5)*FX_USD/12</f>
        <v>1450000</v>
      </c>
      <c r="AO44" s="37" t="n">
        <f aca="false">INDEX(Monitoring_USD,1,AO$5)*FX_USD/12</f>
        <v>1933333.33333333</v>
      </c>
      <c r="AP44" s="37" t="n">
        <f aca="false">INDEX(Monitoring_USD,1,AP$5)*FX_USD/12</f>
        <v>1933333.33333333</v>
      </c>
      <c r="AQ44" s="37" t="n">
        <f aca="false">INDEX(Monitoring_USD,1,AQ$5)*FX_USD/12</f>
        <v>1933333.33333333</v>
      </c>
      <c r="AR44" s="37" t="n">
        <f aca="false">INDEX(Monitoring_USD,1,AR$5)*FX_USD/12</f>
        <v>1933333.33333333</v>
      </c>
      <c r="AS44" s="37" t="n">
        <f aca="false">INDEX(Monitoring_USD,1,AS$5)*FX_USD/12</f>
        <v>1933333.33333333</v>
      </c>
      <c r="AT44" s="37" t="n">
        <f aca="false">INDEX(Monitoring_USD,1,AT$5)*FX_USD/12</f>
        <v>1933333.33333333</v>
      </c>
      <c r="AU44" s="37" t="n">
        <f aca="false">INDEX(Monitoring_USD,1,AU$5)*FX_USD/12</f>
        <v>1933333.33333333</v>
      </c>
      <c r="AV44" s="37" t="n">
        <f aca="false">INDEX(Monitoring_USD,1,AV$5)*FX_USD/12</f>
        <v>1933333.33333333</v>
      </c>
      <c r="AW44" s="37" t="n">
        <f aca="false">INDEX(Monitoring_USD,1,AW$5)*FX_USD/12</f>
        <v>1933333.33333333</v>
      </c>
      <c r="AX44" s="37" t="n">
        <f aca="false">INDEX(Monitoring_USD,1,AX$5)*FX_USD/12</f>
        <v>1933333.33333333</v>
      </c>
      <c r="AY44" s="37" t="n">
        <f aca="false">INDEX(Monitoring_USD,1,AY$5)*FX_USD/12</f>
        <v>1933333.33333333</v>
      </c>
      <c r="AZ44" s="37" t="n">
        <f aca="false">INDEX(Monitoring_USD,1,AZ$5)*FX_USD/12</f>
        <v>1933333.33333333</v>
      </c>
      <c r="BA44" s="37" t="n">
        <f aca="false">INDEX(Monitoring_USD,1,BA$5)*FX_USD/12</f>
        <v>2416666.66666667</v>
      </c>
      <c r="BB44" s="37" t="n">
        <f aca="false">INDEX(Monitoring_USD,1,BB$5)*FX_USD/12</f>
        <v>2416666.66666667</v>
      </c>
      <c r="BC44" s="37" t="n">
        <f aca="false">INDEX(Monitoring_USD,1,BC$5)*FX_USD/12</f>
        <v>2416666.66666667</v>
      </c>
      <c r="BD44" s="37" t="n">
        <f aca="false">INDEX(Monitoring_USD,1,BD$5)*FX_USD/12</f>
        <v>2416666.66666667</v>
      </c>
      <c r="BE44" s="37" t="n">
        <f aca="false">INDEX(Monitoring_USD,1,BE$5)*FX_USD/12</f>
        <v>2416666.66666667</v>
      </c>
      <c r="BF44" s="37" t="n">
        <f aca="false">INDEX(Monitoring_USD,1,BF$5)*FX_USD/12</f>
        <v>2416666.66666667</v>
      </c>
      <c r="BG44" s="37" t="n">
        <f aca="false">INDEX(Monitoring_USD,1,BG$5)*FX_USD/12</f>
        <v>2416666.66666667</v>
      </c>
      <c r="BH44" s="37" t="n">
        <f aca="false">INDEX(Monitoring_USD,1,BH$5)*FX_USD/12</f>
        <v>2416666.66666667</v>
      </c>
      <c r="BI44" s="37" t="n">
        <f aca="false">INDEX(Monitoring_USD,1,BI$5)*FX_USD/12</f>
        <v>2416666.66666667</v>
      </c>
      <c r="BJ44" s="37" t="n">
        <f aca="false">INDEX(Monitoring_USD,1,BJ$5)*FX_USD/12</f>
        <v>2416666.66666667</v>
      </c>
      <c r="BK44" s="37" t="n">
        <f aca="false">INDEX(Monitoring_USD,1,BK$5)*FX_USD/12</f>
        <v>2416666.66666667</v>
      </c>
      <c r="BL44" s="37" t="n">
        <f aca="false">INDEX(Monitoring_USD,1,BL$5)*FX_USD/12</f>
        <v>2416666.66666667</v>
      </c>
    </row>
    <row r="45" customFormat="false" ht="15" hidden="false" customHeight="false" outlineLevel="0" collapsed="false">
      <c r="A45" s="12" t="s">
        <v>827</v>
      </c>
      <c r="B45" s="14" t="s">
        <v>71</v>
      </c>
      <c r="D45" s="55" t="n">
        <f aca="false">SUM(E45:BL45)</f>
        <v>21850920</v>
      </c>
      <c r="E45" s="37" t="n">
        <f aca="false">Staff!E82*(Gmail_USD+ClickUp_USD)*FX_USD</f>
        <v>52200</v>
      </c>
      <c r="F45" s="37" t="n">
        <f aca="false">Staff!F82*(Gmail_USD+ClickUp_USD)*FX_USD</f>
        <v>52200</v>
      </c>
      <c r="G45" s="37" t="n">
        <f aca="false">Staff!G82*(Gmail_USD+ClickUp_USD)*FX_USD</f>
        <v>52200</v>
      </c>
      <c r="H45" s="37" t="n">
        <f aca="false">Staff!H82*(Gmail_USD+ClickUp_USD)*FX_USD</f>
        <v>104400</v>
      </c>
      <c r="I45" s="37" t="n">
        <f aca="false">Staff!I82*(Gmail_USD+ClickUp_USD)*FX_USD</f>
        <v>114840</v>
      </c>
      <c r="J45" s="37" t="n">
        <f aca="false">Staff!J82*(Gmail_USD+ClickUp_USD)*FX_USD</f>
        <v>114840</v>
      </c>
      <c r="K45" s="37" t="n">
        <f aca="false">Staff!K82*(Gmail_USD+ClickUp_USD)*FX_USD</f>
        <v>114840</v>
      </c>
      <c r="L45" s="37" t="n">
        <f aca="false">Staff!L82*(Gmail_USD+ClickUp_USD)*FX_USD</f>
        <v>114840</v>
      </c>
      <c r="M45" s="37" t="n">
        <f aca="false">Staff!M82*(Gmail_USD+ClickUp_USD)*FX_USD</f>
        <v>114840</v>
      </c>
      <c r="N45" s="37" t="n">
        <f aca="false">Staff!N82*(Gmail_USD+ClickUp_USD)*FX_USD</f>
        <v>114840</v>
      </c>
      <c r="O45" s="37" t="n">
        <f aca="false">Staff!O82*(Gmail_USD+ClickUp_USD)*FX_USD</f>
        <v>114840</v>
      </c>
      <c r="P45" s="37" t="n">
        <f aca="false">Staff!P82*(Gmail_USD+ClickUp_USD)*FX_USD</f>
        <v>114840</v>
      </c>
      <c r="Q45" s="37" t="n">
        <f aca="false">Staff!Q82*(Gmail_USD+ClickUp_USD)*FX_USD</f>
        <v>125280</v>
      </c>
      <c r="R45" s="37" t="n">
        <f aca="false">Staff!R82*(Gmail_USD+ClickUp_USD)*FX_USD</f>
        <v>125280</v>
      </c>
      <c r="S45" s="37" t="n">
        <f aca="false">Staff!S82*(Gmail_USD+ClickUp_USD)*FX_USD</f>
        <v>125280</v>
      </c>
      <c r="T45" s="37" t="n">
        <f aca="false">Staff!T82*(Gmail_USD+ClickUp_USD)*FX_USD</f>
        <v>135720</v>
      </c>
      <c r="U45" s="37" t="n">
        <f aca="false">Staff!U82*(Gmail_USD+ClickUp_USD)*FX_USD</f>
        <v>135720</v>
      </c>
      <c r="V45" s="37" t="n">
        <f aca="false">Staff!V82*(Gmail_USD+ClickUp_USD)*FX_USD</f>
        <v>177480</v>
      </c>
      <c r="W45" s="37" t="n">
        <f aca="false">Staff!W82*(Gmail_USD+ClickUp_USD)*FX_USD</f>
        <v>187920</v>
      </c>
      <c r="X45" s="37" t="n">
        <f aca="false">Staff!X82*(Gmail_USD+ClickUp_USD)*FX_USD</f>
        <v>187920</v>
      </c>
      <c r="Y45" s="37" t="n">
        <f aca="false">Staff!Y82*(Gmail_USD+ClickUp_USD)*FX_USD</f>
        <v>187920</v>
      </c>
      <c r="Z45" s="37" t="n">
        <f aca="false">Staff!Z82*(Gmail_USD+ClickUp_USD)*FX_USD</f>
        <v>187920</v>
      </c>
      <c r="AA45" s="37" t="n">
        <f aca="false">Staff!AA82*(Gmail_USD+ClickUp_USD)*FX_USD</f>
        <v>208800</v>
      </c>
      <c r="AB45" s="37" t="n">
        <f aca="false">Staff!AB82*(Gmail_USD+ClickUp_USD)*FX_USD</f>
        <v>219240</v>
      </c>
      <c r="AC45" s="37" t="n">
        <f aca="false">Staff!AC82*(Gmail_USD+ClickUp_USD)*FX_USD</f>
        <v>219240</v>
      </c>
      <c r="AD45" s="37" t="n">
        <f aca="false">Staff!AD82*(Gmail_USD+ClickUp_USD)*FX_USD</f>
        <v>219240</v>
      </c>
      <c r="AE45" s="37" t="n">
        <f aca="false">Staff!AE82*(Gmail_USD+ClickUp_USD)*FX_USD</f>
        <v>250560</v>
      </c>
      <c r="AF45" s="37" t="n">
        <f aca="false">Staff!AF82*(Gmail_USD+ClickUp_USD)*FX_USD</f>
        <v>261000</v>
      </c>
      <c r="AG45" s="37" t="n">
        <f aca="false">Staff!AG82*(Gmail_USD+ClickUp_USD)*FX_USD</f>
        <v>292320</v>
      </c>
      <c r="AH45" s="37" t="n">
        <f aca="false">Staff!AH82*(Gmail_USD+ClickUp_USD)*FX_USD</f>
        <v>292320</v>
      </c>
      <c r="AI45" s="37" t="n">
        <f aca="false">Staff!AI82*(Gmail_USD+ClickUp_USD)*FX_USD</f>
        <v>313200</v>
      </c>
      <c r="AJ45" s="37" t="n">
        <f aca="false">Staff!AJ82*(Gmail_USD+ClickUp_USD)*FX_USD</f>
        <v>323640</v>
      </c>
      <c r="AK45" s="37" t="n">
        <f aca="false">Staff!AK82*(Gmail_USD+ClickUp_USD)*FX_USD</f>
        <v>334080</v>
      </c>
      <c r="AL45" s="37" t="n">
        <f aca="false">Staff!AL82*(Gmail_USD+ClickUp_USD)*FX_USD</f>
        <v>354960</v>
      </c>
      <c r="AM45" s="37" t="n">
        <f aca="false">Staff!AM82*(Gmail_USD+ClickUp_USD)*FX_USD</f>
        <v>365400</v>
      </c>
      <c r="AN45" s="37" t="n">
        <f aca="false">Staff!AN82*(Gmail_USD+ClickUp_USD)*FX_USD</f>
        <v>375840</v>
      </c>
      <c r="AO45" s="37" t="n">
        <f aca="false">Staff!AO82*(Gmail_USD+ClickUp_USD)*FX_USD</f>
        <v>417600</v>
      </c>
      <c r="AP45" s="37" t="n">
        <f aca="false">Staff!AP82*(Gmail_USD+ClickUp_USD)*FX_USD</f>
        <v>417600</v>
      </c>
      <c r="AQ45" s="37" t="n">
        <f aca="false">Staff!AQ82*(Gmail_USD+ClickUp_USD)*FX_USD</f>
        <v>438480</v>
      </c>
      <c r="AR45" s="37" t="n">
        <f aca="false">Staff!AR82*(Gmail_USD+ClickUp_USD)*FX_USD</f>
        <v>448920</v>
      </c>
      <c r="AS45" s="37" t="n">
        <f aca="false">Staff!AS82*(Gmail_USD+ClickUp_USD)*FX_USD</f>
        <v>490680</v>
      </c>
      <c r="AT45" s="37" t="n">
        <f aca="false">Staff!AT82*(Gmail_USD+ClickUp_USD)*FX_USD</f>
        <v>490680</v>
      </c>
      <c r="AU45" s="37" t="n">
        <f aca="false">Staff!AU82*(Gmail_USD+ClickUp_USD)*FX_USD</f>
        <v>501120</v>
      </c>
      <c r="AV45" s="37" t="n">
        <f aca="false">Staff!AV82*(Gmail_USD+ClickUp_USD)*FX_USD</f>
        <v>522000</v>
      </c>
      <c r="AW45" s="37" t="n">
        <f aca="false">Staff!AW82*(Gmail_USD+ClickUp_USD)*FX_USD</f>
        <v>542880</v>
      </c>
      <c r="AX45" s="37" t="n">
        <f aca="false">Staff!AX82*(Gmail_USD+ClickUp_USD)*FX_USD</f>
        <v>584640</v>
      </c>
      <c r="AY45" s="37" t="n">
        <f aca="false">Staff!AY82*(Gmail_USD+ClickUp_USD)*FX_USD</f>
        <v>584640</v>
      </c>
      <c r="AZ45" s="37" t="n">
        <f aca="false">Staff!AZ82*(Gmail_USD+ClickUp_USD)*FX_USD</f>
        <v>605520</v>
      </c>
      <c r="BA45" s="37" t="n">
        <f aca="false">Staff!BA82*(Gmail_USD+ClickUp_USD)*FX_USD</f>
        <v>615960</v>
      </c>
      <c r="BB45" s="37" t="n">
        <f aca="false">Staff!BB82*(Gmail_USD+ClickUp_USD)*FX_USD</f>
        <v>647280</v>
      </c>
      <c r="BC45" s="37" t="n">
        <f aca="false">Staff!BC82*(Gmail_USD+ClickUp_USD)*FX_USD</f>
        <v>668160</v>
      </c>
      <c r="BD45" s="37" t="n">
        <f aca="false">Staff!BD82*(Gmail_USD+ClickUp_USD)*FX_USD</f>
        <v>699480</v>
      </c>
      <c r="BE45" s="37" t="n">
        <f aca="false">Staff!BE82*(Gmail_USD+ClickUp_USD)*FX_USD</f>
        <v>709920</v>
      </c>
      <c r="BF45" s="37" t="n">
        <f aca="false">Staff!BF82*(Gmail_USD+ClickUp_USD)*FX_USD</f>
        <v>751680</v>
      </c>
      <c r="BG45" s="37" t="n">
        <f aca="false">Staff!BG82*(Gmail_USD+ClickUp_USD)*FX_USD</f>
        <v>762120</v>
      </c>
      <c r="BH45" s="37" t="n">
        <f aca="false">Staff!BH82*(Gmail_USD+ClickUp_USD)*FX_USD</f>
        <v>783000</v>
      </c>
      <c r="BI45" s="37" t="n">
        <f aca="false">Staff!BI82*(Gmail_USD+ClickUp_USD)*FX_USD</f>
        <v>793440</v>
      </c>
      <c r="BJ45" s="37" t="n">
        <f aca="false">Staff!BJ82*(Gmail_USD+ClickUp_USD)*FX_USD</f>
        <v>845640</v>
      </c>
      <c r="BK45" s="37" t="n">
        <f aca="false">Staff!BK82*(Gmail_USD+ClickUp_USD)*FX_USD</f>
        <v>866520</v>
      </c>
      <c r="BL45" s="37" t="n">
        <f aca="false">Staff!BL82*(Gmail_USD+ClickUp_USD)*FX_USD</f>
        <v>876960</v>
      </c>
    </row>
    <row r="46" customFormat="false" ht="15" hidden="false" customHeight="false" outlineLevel="0" collapsed="false">
      <c r="A46" s="12" t="s">
        <v>828</v>
      </c>
      <c r="B46" s="14" t="s">
        <v>71</v>
      </c>
      <c r="D46" s="55" t="n">
        <f aca="false">SUM(E46:BL46)</f>
        <v>5597000</v>
      </c>
      <c r="E46" s="37" t="n">
        <f aca="false">(Staff!E85+Claude_Shared)*Claude_USD*FX_USD</f>
        <v>72500</v>
      </c>
      <c r="F46" s="37" t="n">
        <f aca="false">(Staff!F85+Claude_Shared)*Claude_USD*FX_USD</f>
        <v>72500</v>
      </c>
      <c r="G46" s="37" t="n">
        <f aca="false">(Staff!G85+Claude_Shared)*Claude_USD*FX_USD</f>
        <v>72500</v>
      </c>
      <c r="H46" s="37" t="n">
        <f aca="false">(Staff!H85+Claude_Shared)*Claude_USD*FX_USD</f>
        <v>72500</v>
      </c>
      <c r="I46" s="37" t="n">
        <f aca="false">(Staff!I85+Claude_Shared)*Claude_USD*FX_USD</f>
        <v>72500</v>
      </c>
      <c r="J46" s="37" t="n">
        <f aca="false">(Staff!J85+Claude_Shared)*Claude_USD*FX_USD</f>
        <v>72500</v>
      </c>
      <c r="K46" s="37" t="n">
        <f aca="false">(Staff!K85+Claude_Shared)*Claude_USD*FX_USD</f>
        <v>72500</v>
      </c>
      <c r="L46" s="37" t="n">
        <f aca="false">(Staff!L85+Claude_Shared)*Claude_USD*FX_USD</f>
        <v>72500</v>
      </c>
      <c r="M46" s="37" t="n">
        <f aca="false">(Staff!M85+Claude_Shared)*Claude_USD*FX_USD</f>
        <v>72500</v>
      </c>
      <c r="N46" s="37" t="n">
        <f aca="false">(Staff!N85+Claude_Shared)*Claude_USD*FX_USD</f>
        <v>72500</v>
      </c>
      <c r="O46" s="37" t="n">
        <f aca="false">(Staff!O85+Claude_Shared)*Claude_USD*FX_USD</f>
        <v>72500</v>
      </c>
      <c r="P46" s="37" t="n">
        <f aca="false">(Staff!P85+Claude_Shared)*Claude_USD*FX_USD</f>
        <v>72500</v>
      </c>
      <c r="Q46" s="37" t="n">
        <f aca="false">(Staff!Q85+Claude_Shared)*Claude_USD*FX_USD</f>
        <v>72500</v>
      </c>
      <c r="R46" s="37" t="n">
        <f aca="false">(Staff!R85+Claude_Shared)*Claude_USD*FX_USD</f>
        <v>72500</v>
      </c>
      <c r="S46" s="37" t="n">
        <f aca="false">(Staff!S85+Claude_Shared)*Claude_USD*FX_USD</f>
        <v>72500</v>
      </c>
      <c r="T46" s="37" t="n">
        <f aca="false">(Staff!T85+Claude_Shared)*Claude_USD*FX_USD</f>
        <v>72500</v>
      </c>
      <c r="U46" s="37" t="n">
        <f aca="false">(Staff!U85+Claude_Shared)*Claude_USD*FX_USD</f>
        <v>72500</v>
      </c>
      <c r="V46" s="37" t="n">
        <f aca="false">(Staff!V85+Claude_Shared)*Claude_USD*FX_USD</f>
        <v>72500</v>
      </c>
      <c r="W46" s="37" t="n">
        <f aca="false">(Staff!W85+Claude_Shared)*Claude_USD*FX_USD</f>
        <v>72500</v>
      </c>
      <c r="X46" s="37" t="n">
        <f aca="false">(Staff!X85+Claude_Shared)*Claude_USD*FX_USD</f>
        <v>72500</v>
      </c>
      <c r="Y46" s="37" t="n">
        <f aca="false">(Staff!Y85+Claude_Shared)*Claude_USD*FX_USD</f>
        <v>72500</v>
      </c>
      <c r="Z46" s="37" t="n">
        <f aca="false">(Staff!Z85+Claude_Shared)*Claude_USD*FX_USD</f>
        <v>72500</v>
      </c>
      <c r="AA46" s="37" t="n">
        <f aca="false">(Staff!AA85+Claude_Shared)*Claude_USD*FX_USD</f>
        <v>72500</v>
      </c>
      <c r="AB46" s="37" t="n">
        <f aca="false">(Staff!AB85+Claude_Shared)*Claude_USD*FX_USD</f>
        <v>72500</v>
      </c>
      <c r="AC46" s="37" t="n">
        <f aca="false">(Staff!AC85+Claude_Shared)*Claude_USD*FX_USD</f>
        <v>72500</v>
      </c>
      <c r="AD46" s="37" t="n">
        <f aca="false">(Staff!AD85+Claude_Shared)*Claude_USD*FX_USD</f>
        <v>72500</v>
      </c>
      <c r="AE46" s="37" t="n">
        <f aca="false">(Staff!AE85+Claude_Shared)*Claude_USD*FX_USD</f>
        <v>87000</v>
      </c>
      <c r="AF46" s="37" t="n">
        <f aca="false">(Staff!AF85+Claude_Shared)*Claude_USD*FX_USD</f>
        <v>87000</v>
      </c>
      <c r="AG46" s="37" t="n">
        <f aca="false">(Staff!AG85+Claude_Shared)*Claude_USD*FX_USD</f>
        <v>87000</v>
      </c>
      <c r="AH46" s="37" t="n">
        <f aca="false">(Staff!AH85+Claude_Shared)*Claude_USD*FX_USD</f>
        <v>87000</v>
      </c>
      <c r="AI46" s="37" t="n">
        <f aca="false">(Staff!AI85+Claude_Shared)*Claude_USD*FX_USD</f>
        <v>87000</v>
      </c>
      <c r="AJ46" s="37" t="n">
        <f aca="false">(Staff!AJ85+Claude_Shared)*Claude_USD*FX_USD</f>
        <v>87000</v>
      </c>
      <c r="AK46" s="37" t="n">
        <f aca="false">(Staff!AK85+Claude_Shared)*Claude_USD*FX_USD</f>
        <v>87000</v>
      </c>
      <c r="AL46" s="37" t="n">
        <f aca="false">(Staff!AL85+Claude_Shared)*Claude_USD*FX_USD</f>
        <v>87000</v>
      </c>
      <c r="AM46" s="37" t="n">
        <f aca="false">(Staff!AM85+Claude_Shared)*Claude_USD*FX_USD</f>
        <v>87000</v>
      </c>
      <c r="AN46" s="37" t="n">
        <f aca="false">(Staff!AN85+Claude_Shared)*Claude_USD*FX_USD</f>
        <v>87000</v>
      </c>
      <c r="AO46" s="37" t="n">
        <f aca="false">(Staff!AO85+Claude_Shared)*Claude_USD*FX_USD</f>
        <v>101500</v>
      </c>
      <c r="AP46" s="37" t="n">
        <f aca="false">(Staff!AP85+Claude_Shared)*Claude_USD*FX_USD</f>
        <v>101500</v>
      </c>
      <c r="AQ46" s="37" t="n">
        <f aca="false">(Staff!AQ85+Claude_Shared)*Claude_USD*FX_USD</f>
        <v>101500</v>
      </c>
      <c r="AR46" s="37" t="n">
        <f aca="false">(Staff!AR85+Claude_Shared)*Claude_USD*FX_USD</f>
        <v>101500</v>
      </c>
      <c r="AS46" s="37" t="n">
        <f aca="false">(Staff!AS85+Claude_Shared)*Claude_USD*FX_USD</f>
        <v>101500</v>
      </c>
      <c r="AT46" s="37" t="n">
        <f aca="false">(Staff!AT85+Claude_Shared)*Claude_USD*FX_USD</f>
        <v>101500</v>
      </c>
      <c r="AU46" s="37" t="n">
        <f aca="false">(Staff!AU85+Claude_Shared)*Claude_USD*FX_USD</f>
        <v>101500</v>
      </c>
      <c r="AV46" s="37" t="n">
        <f aca="false">(Staff!AV85+Claude_Shared)*Claude_USD*FX_USD</f>
        <v>101500</v>
      </c>
      <c r="AW46" s="37" t="n">
        <f aca="false">(Staff!AW85+Claude_Shared)*Claude_USD*FX_USD</f>
        <v>116000</v>
      </c>
      <c r="AX46" s="37" t="n">
        <f aca="false">(Staff!AX85+Claude_Shared)*Claude_USD*FX_USD</f>
        <v>116000</v>
      </c>
      <c r="AY46" s="37" t="n">
        <f aca="false">(Staff!AY85+Claude_Shared)*Claude_USD*FX_USD</f>
        <v>116000</v>
      </c>
      <c r="AZ46" s="37" t="n">
        <f aca="false">(Staff!AZ85+Claude_Shared)*Claude_USD*FX_USD</f>
        <v>116000</v>
      </c>
      <c r="BA46" s="37" t="n">
        <f aca="false">(Staff!BA85+Claude_Shared)*Claude_USD*FX_USD</f>
        <v>116000</v>
      </c>
      <c r="BB46" s="37" t="n">
        <f aca="false">(Staff!BB85+Claude_Shared)*Claude_USD*FX_USD</f>
        <v>116000</v>
      </c>
      <c r="BC46" s="37" t="n">
        <f aca="false">(Staff!BC85+Claude_Shared)*Claude_USD*FX_USD</f>
        <v>116000</v>
      </c>
      <c r="BD46" s="37" t="n">
        <f aca="false">(Staff!BD85+Claude_Shared)*Claude_USD*FX_USD</f>
        <v>130500</v>
      </c>
      <c r="BE46" s="37" t="n">
        <f aca="false">(Staff!BE85+Claude_Shared)*Claude_USD*FX_USD</f>
        <v>130500</v>
      </c>
      <c r="BF46" s="37" t="n">
        <f aca="false">(Staff!BF85+Claude_Shared)*Claude_USD*FX_USD</f>
        <v>130500</v>
      </c>
      <c r="BG46" s="37" t="n">
        <f aca="false">(Staff!BG85+Claude_Shared)*Claude_USD*FX_USD</f>
        <v>130500</v>
      </c>
      <c r="BH46" s="37" t="n">
        <f aca="false">(Staff!BH85+Claude_Shared)*Claude_USD*FX_USD</f>
        <v>130500</v>
      </c>
      <c r="BI46" s="37" t="n">
        <f aca="false">(Staff!BI85+Claude_Shared)*Claude_USD*FX_USD</f>
        <v>130500</v>
      </c>
      <c r="BJ46" s="37" t="n">
        <f aca="false">(Staff!BJ85+Claude_Shared)*Claude_USD*FX_USD</f>
        <v>145000</v>
      </c>
      <c r="BK46" s="37" t="n">
        <f aca="false">(Staff!BK85+Claude_Shared)*Claude_USD*FX_USD</f>
        <v>145000</v>
      </c>
      <c r="BL46" s="37" t="n">
        <f aca="false">(Staff!BL85+Claude_Shared)*Claude_USD*FX_USD</f>
        <v>145000</v>
      </c>
    </row>
    <row r="47" customFormat="false" ht="15" hidden="false" customHeight="false" outlineLevel="0" collapsed="false">
      <c r="A47" s="12" t="s">
        <v>829</v>
      </c>
      <c r="B47" s="14" t="s">
        <v>71</v>
      </c>
      <c r="D47" s="55" t="n">
        <f aca="false">SUM(E47:BL47)</f>
        <v>928000</v>
      </c>
      <c r="E47" s="37" t="n">
        <f aca="false">(Website_USD+Domain_USD/12)*FX_USD</f>
        <v>15466.6666666667</v>
      </c>
      <c r="F47" s="37" t="n">
        <f aca="false">(Website_USD+Domain_USD/12)*FX_USD</f>
        <v>15466.6666666667</v>
      </c>
      <c r="G47" s="37" t="n">
        <f aca="false">(Website_USD+Domain_USD/12)*FX_USD</f>
        <v>15466.6666666667</v>
      </c>
      <c r="H47" s="37" t="n">
        <f aca="false">(Website_USD+Domain_USD/12)*FX_USD</f>
        <v>15466.6666666667</v>
      </c>
      <c r="I47" s="37" t="n">
        <f aca="false">(Website_USD+Domain_USD/12)*FX_USD</f>
        <v>15466.6666666667</v>
      </c>
      <c r="J47" s="37" t="n">
        <f aca="false">(Website_USD+Domain_USD/12)*FX_USD</f>
        <v>15466.6666666667</v>
      </c>
      <c r="K47" s="37" t="n">
        <f aca="false">(Website_USD+Domain_USD/12)*FX_USD</f>
        <v>15466.6666666667</v>
      </c>
      <c r="L47" s="37" t="n">
        <f aca="false">(Website_USD+Domain_USD/12)*FX_USD</f>
        <v>15466.6666666667</v>
      </c>
      <c r="M47" s="37" t="n">
        <f aca="false">(Website_USD+Domain_USD/12)*FX_USD</f>
        <v>15466.6666666667</v>
      </c>
      <c r="N47" s="37" t="n">
        <f aca="false">(Website_USD+Domain_USD/12)*FX_USD</f>
        <v>15466.6666666667</v>
      </c>
      <c r="O47" s="37" t="n">
        <f aca="false">(Website_USD+Domain_USD/12)*FX_USD</f>
        <v>15466.6666666667</v>
      </c>
      <c r="P47" s="37" t="n">
        <f aca="false">(Website_USD+Domain_USD/12)*FX_USD</f>
        <v>15466.6666666667</v>
      </c>
      <c r="Q47" s="37" t="n">
        <f aca="false">(Website_USD+Domain_USD/12)*FX_USD</f>
        <v>15466.6666666667</v>
      </c>
      <c r="R47" s="37" t="n">
        <f aca="false">(Website_USD+Domain_USD/12)*FX_USD</f>
        <v>15466.6666666667</v>
      </c>
      <c r="S47" s="37" t="n">
        <f aca="false">(Website_USD+Domain_USD/12)*FX_USD</f>
        <v>15466.6666666667</v>
      </c>
      <c r="T47" s="37" t="n">
        <f aca="false">(Website_USD+Domain_USD/12)*FX_USD</f>
        <v>15466.6666666667</v>
      </c>
      <c r="U47" s="37" t="n">
        <f aca="false">(Website_USD+Domain_USD/12)*FX_USD</f>
        <v>15466.6666666667</v>
      </c>
      <c r="V47" s="37" t="n">
        <f aca="false">(Website_USD+Domain_USD/12)*FX_USD</f>
        <v>15466.6666666667</v>
      </c>
      <c r="W47" s="37" t="n">
        <f aca="false">(Website_USD+Domain_USD/12)*FX_USD</f>
        <v>15466.6666666667</v>
      </c>
      <c r="X47" s="37" t="n">
        <f aca="false">(Website_USD+Domain_USD/12)*FX_USD</f>
        <v>15466.6666666667</v>
      </c>
      <c r="Y47" s="37" t="n">
        <f aca="false">(Website_USD+Domain_USD/12)*FX_USD</f>
        <v>15466.6666666667</v>
      </c>
      <c r="Z47" s="37" t="n">
        <f aca="false">(Website_USD+Domain_USD/12)*FX_USD</f>
        <v>15466.6666666667</v>
      </c>
      <c r="AA47" s="37" t="n">
        <f aca="false">(Website_USD+Domain_USD/12)*FX_USD</f>
        <v>15466.6666666667</v>
      </c>
      <c r="AB47" s="37" t="n">
        <f aca="false">(Website_USD+Domain_USD/12)*FX_USD</f>
        <v>15466.6666666667</v>
      </c>
      <c r="AC47" s="37" t="n">
        <f aca="false">(Website_USD+Domain_USD/12)*FX_USD</f>
        <v>15466.6666666667</v>
      </c>
      <c r="AD47" s="37" t="n">
        <f aca="false">(Website_USD+Domain_USD/12)*FX_USD</f>
        <v>15466.6666666667</v>
      </c>
      <c r="AE47" s="37" t="n">
        <f aca="false">(Website_USD+Domain_USD/12)*FX_USD</f>
        <v>15466.6666666667</v>
      </c>
      <c r="AF47" s="37" t="n">
        <f aca="false">(Website_USD+Domain_USD/12)*FX_USD</f>
        <v>15466.6666666667</v>
      </c>
      <c r="AG47" s="37" t="n">
        <f aca="false">(Website_USD+Domain_USD/12)*FX_USD</f>
        <v>15466.6666666667</v>
      </c>
      <c r="AH47" s="37" t="n">
        <f aca="false">(Website_USD+Domain_USD/12)*FX_USD</f>
        <v>15466.6666666667</v>
      </c>
      <c r="AI47" s="37" t="n">
        <f aca="false">(Website_USD+Domain_USD/12)*FX_USD</f>
        <v>15466.6666666667</v>
      </c>
      <c r="AJ47" s="37" t="n">
        <f aca="false">(Website_USD+Domain_USD/12)*FX_USD</f>
        <v>15466.6666666667</v>
      </c>
      <c r="AK47" s="37" t="n">
        <f aca="false">(Website_USD+Domain_USD/12)*FX_USD</f>
        <v>15466.6666666667</v>
      </c>
      <c r="AL47" s="37" t="n">
        <f aca="false">(Website_USD+Domain_USD/12)*FX_USD</f>
        <v>15466.6666666667</v>
      </c>
      <c r="AM47" s="37" t="n">
        <f aca="false">(Website_USD+Domain_USD/12)*FX_USD</f>
        <v>15466.6666666667</v>
      </c>
      <c r="AN47" s="37" t="n">
        <f aca="false">(Website_USD+Domain_USD/12)*FX_USD</f>
        <v>15466.6666666667</v>
      </c>
      <c r="AO47" s="37" t="n">
        <f aca="false">(Website_USD+Domain_USD/12)*FX_USD</f>
        <v>15466.6666666667</v>
      </c>
      <c r="AP47" s="37" t="n">
        <f aca="false">(Website_USD+Domain_USD/12)*FX_USD</f>
        <v>15466.6666666667</v>
      </c>
      <c r="AQ47" s="37" t="n">
        <f aca="false">(Website_USD+Domain_USD/12)*FX_USD</f>
        <v>15466.6666666667</v>
      </c>
      <c r="AR47" s="37" t="n">
        <f aca="false">(Website_USD+Domain_USD/12)*FX_USD</f>
        <v>15466.6666666667</v>
      </c>
      <c r="AS47" s="37" t="n">
        <f aca="false">(Website_USD+Domain_USD/12)*FX_USD</f>
        <v>15466.6666666667</v>
      </c>
      <c r="AT47" s="37" t="n">
        <f aca="false">(Website_USD+Domain_USD/12)*FX_USD</f>
        <v>15466.6666666667</v>
      </c>
      <c r="AU47" s="37" t="n">
        <f aca="false">(Website_USD+Domain_USD/12)*FX_USD</f>
        <v>15466.6666666667</v>
      </c>
      <c r="AV47" s="37" t="n">
        <f aca="false">(Website_USD+Domain_USD/12)*FX_USD</f>
        <v>15466.6666666667</v>
      </c>
      <c r="AW47" s="37" t="n">
        <f aca="false">(Website_USD+Domain_USD/12)*FX_USD</f>
        <v>15466.6666666667</v>
      </c>
      <c r="AX47" s="37" t="n">
        <f aca="false">(Website_USD+Domain_USD/12)*FX_USD</f>
        <v>15466.6666666667</v>
      </c>
      <c r="AY47" s="37" t="n">
        <f aca="false">(Website_USD+Domain_USD/12)*FX_USD</f>
        <v>15466.6666666667</v>
      </c>
      <c r="AZ47" s="37" t="n">
        <f aca="false">(Website_USD+Domain_USD/12)*FX_USD</f>
        <v>15466.6666666667</v>
      </c>
      <c r="BA47" s="37" t="n">
        <f aca="false">(Website_USD+Domain_USD/12)*FX_USD</f>
        <v>15466.6666666667</v>
      </c>
      <c r="BB47" s="37" t="n">
        <f aca="false">(Website_USD+Domain_USD/12)*FX_USD</f>
        <v>15466.6666666667</v>
      </c>
      <c r="BC47" s="37" t="n">
        <f aca="false">(Website_USD+Domain_USD/12)*FX_USD</f>
        <v>15466.6666666667</v>
      </c>
      <c r="BD47" s="37" t="n">
        <f aca="false">(Website_USD+Domain_USD/12)*FX_USD</f>
        <v>15466.6666666667</v>
      </c>
      <c r="BE47" s="37" t="n">
        <f aca="false">(Website_USD+Domain_USD/12)*FX_USD</f>
        <v>15466.6666666667</v>
      </c>
      <c r="BF47" s="37" t="n">
        <f aca="false">(Website_USD+Domain_USD/12)*FX_USD</f>
        <v>15466.6666666667</v>
      </c>
      <c r="BG47" s="37" t="n">
        <f aca="false">(Website_USD+Domain_USD/12)*FX_USD</f>
        <v>15466.6666666667</v>
      </c>
      <c r="BH47" s="37" t="n">
        <f aca="false">(Website_USD+Domain_USD/12)*FX_USD</f>
        <v>15466.6666666667</v>
      </c>
      <c r="BI47" s="37" t="n">
        <f aca="false">(Website_USD+Domain_USD/12)*FX_USD</f>
        <v>15466.6666666667</v>
      </c>
      <c r="BJ47" s="37" t="n">
        <f aca="false">(Website_USD+Domain_USD/12)*FX_USD</f>
        <v>15466.6666666667</v>
      </c>
      <c r="BK47" s="37" t="n">
        <f aca="false">(Website_USD+Domain_USD/12)*FX_USD</f>
        <v>15466.6666666667</v>
      </c>
      <c r="BL47" s="37" t="n">
        <f aca="false">(Website_USD+Domain_USD/12)*FX_USD</f>
        <v>15466.6666666667</v>
      </c>
    </row>
    <row r="48" customFormat="false" ht="15" hidden="false" customHeight="false" outlineLevel="0" collapsed="false">
      <c r="A48" s="12" t="s">
        <v>439</v>
      </c>
      <c r="B48" s="14" t="s">
        <v>71</v>
      </c>
      <c r="D48" s="55" t="n">
        <f aca="false">SUM(E48:BL48)</f>
        <v>35400000</v>
      </c>
      <c r="E48" s="37" t="n">
        <f aca="false">INDEX(Freelance,1,E$5)/12</f>
        <v>658333.333333333</v>
      </c>
      <c r="F48" s="37" t="n">
        <f aca="false">INDEX(Freelance,1,F$5)/12</f>
        <v>658333.333333333</v>
      </c>
      <c r="G48" s="37" t="n">
        <f aca="false">INDEX(Freelance,1,G$5)/12</f>
        <v>658333.333333333</v>
      </c>
      <c r="H48" s="37" t="n">
        <f aca="false">INDEX(Freelance,1,H$5)/12</f>
        <v>658333.333333333</v>
      </c>
      <c r="I48" s="37" t="n">
        <f aca="false">INDEX(Freelance,1,I$5)/12</f>
        <v>658333.333333333</v>
      </c>
      <c r="J48" s="37" t="n">
        <f aca="false">INDEX(Freelance,1,J$5)/12</f>
        <v>658333.333333333</v>
      </c>
      <c r="K48" s="37" t="n">
        <f aca="false">INDEX(Freelance,1,K$5)/12</f>
        <v>658333.333333333</v>
      </c>
      <c r="L48" s="37" t="n">
        <f aca="false">INDEX(Freelance,1,L$5)/12</f>
        <v>658333.333333333</v>
      </c>
      <c r="M48" s="37" t="n">
        <f aca="false">INDEX(Freelance,1,M$5)/12</f>
        <v>658333.333333333</v>
      </c>
      <c r="N48" s="37" t="n">
        <f aca="false">INDEX(Freelance,1,N$5)/12</f>
        <v>658333.333333333</v>
      </c>
      <c r="O48" s="37" t="n">
        <f aca="false">INDEX(Freelance,1,O$5)/12</f>
        <v>658333.333333333</v>
      </c>
      <c r="P48" s="37" t="n">
        <f aca="false">INDEX(Freelance,1,P$5)/12</f>
        <v>658333.333333333</v>
      </c>
      <c r="Q48" s="37" t="n">
        <f aca="false">INDEX(Freelance,1,Q$5)/12</f>
        <v>816666.666666667</v>
      </c>
      <c r="R48" s="37" t="n">
        <f aca="false">INDEX(Freelance,1,R$5)/12</f>
        <v>816666.666666667</v>
      </c>
      <c r="S48" s="37" t="n">
        <f aca="false">INDEX(Freelance,1,S$5)/12</f>
        <v>816666.666666667</v>
      </c>
      <c r="T48" s="37" t="n">
        <f aca="false">INDEX(Freelance,1,T$5)/12</f>
        <v>816666.666666667</v>
      </c>
      <c r="U48" s="37" t="n">
        <f aca="false">INDEX(Freelance,1,U$5)/12</f>
        <v>816666.666666667</v>
      </c>
      <c r="V48" s="37" t="n">
        <f aca="false">INDEX(Freelance,1,V$5)/12</f>
        <v>816666.666666667</v>
      </c>
      <c r="W48" s="37" t="n">
        <f aca="false">INDEX(Freelance,1,W$5)/12</f>
        <v>816666.666666667</v>
      </c>
      <c r="X48" s="37" t="n">
        <f aca="false">INDEX(Freelance,1,X$5)/12</f>
        <v>816666.666666667</v>
      </c>
      <c r="Y48" s="37" t="n">
        <f aca="false">INDEX(Freelance,1,Y$5)/12</f>
        <v>816666.666666667</v>
      </c>
      <c r="Z48" s="37" t="n">
        <f aca="false">INDEX(Freelance,1,Z$5)/12</f>
        <v>816666.666666667</v>
      </c>
      <c r="AA48" s="37" t="n">
        <f aca="false">INDEX(Freelance,1,AA$5)/12</f>
        <v>816666.666666667</v>
      </c>
      <c r="AB48" s="37" t="n">
        <f aca="false">INDEX(Freelance,1,AB$5)/12</f>
        <v>816666.666666667</v>
      </c>
      <c r="AC48" s="37" t="n">
        <f aca="false">INDEX(Freelance,1,AC$5)/12</f>
        <v>491666.666666667</v>
      </c>
      <c r="AD48" s="37" t="n">
        <f aca="false">INDEX(Freelance,1,AD$5)/12</f>
        <v>491666.666666667</v>
      </c>
      <c r="AE48" s="37" t="n">
        <f aca="false">INDEX(Freelance,1,AE$5)/12</f>
        <v>491666.666666667</v>
      </c>
      <c r="AF48" s="37" t="n">
        <f aca="false">INDEX(Freelance,1,AF$5)/12</f>
        <v>491666.666666667</v>
      </c>
      <c r="AG48" s="37" t="n">
        <f aca="false">INDEX(Freelance,1,AG$5)/12</f>
        <v>491666.666666667</v>
      </c>
      <c r="AH48" s="37" t="n">
        <f aca="false">INDEX(Freelance,1,AH$5)/12</f>
        <v>491666.666666667</v>
      </c>
      <c r="AI48" s="37" t="n">
        <f aca="false">INDEX(Freelance,1,AI$5)/12</f>
        <v>491666.666666667</v>
      </c>
      <c r="AJ48" s="37" t="n">
        <f aca="false">INDEX(Freelance,1,AJ$5)/12</f>
        <v>491666.666666667</v>
      </c>
      <c r="AK48" s="37" t="n">
        <f aca="false">INDEX(Freelance,1,AK$5)/12</f>
        <v>491666.666666667</v>
      </c>
      <c r="AL48" s="37" t="n">
        <f aca="false">INDEX(Freelance,1,AL$5)/12</f>
        <v>491666.666666667</v>
      </c>
      <c r="AM48" s="37" t="n">
        <f aca="false">INDEX(Freelance,1,AM$5)/12</f>
        <v>491666.666666667</v>
      </c>
      <c r="AN48" s="37" t="n">
        <f aca="false">INDEX(Freelance,1,AN$5)/12</f>
        <v>491666.666666667</v>
      </c>
      <c r="AO48" s="37" t="n">
        <f aca="false">INDEX(Freelance,1,AO$5)/12</f>
        <v>491666.666666667</v>
      </c>
      <c r="AP48" s="37" t="n">
        <f aca="false">INDEX(Freelance,1,AP$5)/12</f>
        <v>491666.666666667</v>
      </c>
      <c r="AQ48" s="37" t="n">
        <f aca="false">INDEX(Freelance,1,AQ$5)/12</f>
        <v>491666.666666667</v>
      </c>
      <c r="AR48" s="37" t="n">
        <f aca="false">INDEX(Freelance,1,AR$5)/12</f>
        <v>491666.666666667</v>
      </c>
      <c r="AS48" s="37" t="n">
        <f aca="false">INDEX(Freelance,1,AS$5)/12</f>
        <v>491666.666666667</v>
      </c>
      <c r="AT48" s="37" t="n">
        <f aca="false">INDEX(Freelance,1,AT$5)/12</f>
        <v>491666.666666667</v>
      </c>
      <c r="AU48" s="37" t="n">
        <f aca="false">INDEX(Freelance,1,AU$5)/12</f>
        <v>491666.666666667</v>
      </c>
      <c r="AV48" s="37" t="n">
        <f aca="false">INDEX(Freelance,1,AV$5)/12</f>
        <v>491666.666666667</v>
      </c>
      <c r="AW48" s="37" t="n">
        <f aca="false">INDEX(Freelance,1,AW$5)/12</f>
        <v>491666.666666667</v>
      </c>
      <c r="AX48" s="37" t="n">
        <f aca="false">INDEX(Freelance,1,AX$5)/12</f>
        <v>491666.666666667</v>
      </c>
      <c r="AY48" s="37" t="n">
        <f aca="false">INDEX(Freelance,1,AY$5)/12</f>
        <v>491666.666666667</v>
      </c>
      <c r="AZ48" s="37" t="n">
        <f aca="false">INDEX(Freelance,1,AZ$5)/12</f>
        <v>491666.666666667</v>
      </c>
      <c r="BA48" s="37" t="n">
        <f aca="false">INDEX(Freelance,1,BA$5)/12</f>
        <v>491666.666666667</v>
      </c>
      <c r="BB48" s="37" t="n">
        <f aca="false">INDEX(Freelance,1,BB$5)/12</f>
        <v>491666.666666667</v>
      </c>
      <c r="BC48" s="37" t="n">
        <f aca="false">INDEX(Freelance,1,BC$5)/12</f>
        <v>491666.666666667</v>
      </c>
      <c r="BD48" s="37" t="n">
        <f aca="false">INDEX(Freelance,1,BD$5)/12</f>
        <v>491666.666666667</v>
      </c>
      <c r="BE48" s="37" t="n">
        <f aca="false">INDEX(Freelance,1,BE$5)/12</f>
        <v>491666.666666667</v>
      </c>
      <c r="BF48" s="37" t="n">
        <f aca="false">INDEX(Freelance,1,BF$5)/12</f>
        <v>491666.666666667</v>
      </c>
      <c r="BG48" s="37" t="n">
        <f aca="false">INDEX(Freelance,1,BG$5)/12</f>
        <v>491666.666666667</v>
      </c>
      <c r="BH48" s="37" t="n">
        <f aca="false">INDEX(Freelance,1,BH$5)/12</f>
        <v>491666.666666667</v>
      </c>
      <c r="BI48" s="37" t="n">
        <f aca="false">INDEX(Freelance,1,BI$5)/12</f>
        <v>491666.666666667</v>
      </c>
      <c r="BJ48" s="37" t="n">
        <f aca="false">INDEX(Freelance,1,BJ$5)/12</f>
        <v>491666.666666667</v>
      </c>
      <c r="BK48" s="37" t="n">
        <f aca="false">INDEX(Freelance,1,BK$5)/12</f>
        <v>491666.666666667</v>
      </c>
      <c r="BL48" s="37" t="n">
        <f aca="false">INDEX(Freelance,1,BL$5)/12</f>
        <v>491666.666666667</v>
      </c>
    </row>
    <row r="49" customFormat="false" ht="15" hidden="false" customHeight="false" outlineLevel="0" collapsed="false">
      <c r="A49" s="12" t="s">
        <v>421</v>
      </c>
      <c r="B49" s="14" t="s">
        <v>71</v>
      </c>
      <c r="D49" s="55" t="n">
        <f aca="false">SUM(E49:BL49)</f>
        <v>29000000</v>
      </c>
      <c r="E49" s="37" t="n">
        <f aca="false">IF(AND(E$3&gt;=Audit_Month,MOD(E$3-Audit_Month,12)=0),Tech_Audit_USD*FX_USD,0)</f>
        <v>0</v>
      </c>
      <c r="F49" s="37" t="n">
        <f aca="false">IF(AND(F$3&gt;=Audit_Month,MOD(F$3-Audit_Month,12)=0),Tech_Audit_USD*FX_USD,0)</f>
        <v>0</v>
      </c>
      <c r="G49" s="37" t="n">
        <f aca="false">IF(AND(G$3&gt;=Audit_Month,MOD(G$3-Audit_Month,12)=0),Tech_Audit_USD*FX_USD,0)</f>
        <v>0</v>
      </c>
      <c r="H49" s="37" t="n">
        <f aca="false">IF(AND(H$3&gt;=Audit_Month,MOD(H$3-Audit_Month,12)=0),Tech_Audit_USD*FX_USD,0)</f>
        <v>5800000</v>
      </c>
      <c r="I49" s="37" t="n">
        <f aca="false">IF(AND(I$3&gt;=Audit_Month,MOD(I$3-Audit_Month,12)=0),Tech_Audit_USD*FX_USD,0)</f>
        <v>0</v>
      </c>
      <c r="J49" s="37" t="n">
        <f aca="false">IF(AND(J$3&gt;=Audit_Month,MOD(J$3-Audit_Month,12)=0),Tech_Audit_USD*FX_USD,0)</f>
        <v>0</v>
      </c>
      <c r="K49" s="37" t="n">
        <f aca="false">IF(AND(K$3&gt;=Audit_Month,MOD(K$3-Audit_Month,12)=0),Tech_Audit_USD*FX_USD,0)</f>
        <v>0</v>
      </c>
      <c r="L49" s="37" t="n">
        <f aca="false">IF(AND(L$3&gt;=Audit_Month,MOD(L$3-Audit_Month,12)=0),Tech_Audit_USD*FX_USD,0)</f>
        <v>0</v>
      </c>
      <c r="M49" s="37" t="n">
        <f aca="false">IF(AND(M$3&gt;=Audit_Month,MOD(M$3-Audit_Month,12)=0),Tech_Audit_USD*FX_USD,0)</f>
        <v>0</v>
      </c>
      <c r="N49" s="37" t="n">
        <f aca="false">IF(AND(N$3&gt;=Audit_Month,MOD(N$3-Audit_Month,12)=0),Tech_Audit_USD*FX_USD,0)</f>
        <v>0</v>
      </c>
      <c r="O49" s="37" t="n">
        <f aca="false">IF(AND(O$3&gt;=Audit_Month,MOD(O$3-Audit_Month,12)=0),Tech_Audit_USD*FX_USD,0)</f>
        <v>0</v>
      </c>
      <c r="P49" s="37" t="n">
        <f aca="false">IF(AND(P$3&gt;=Audit_Month,MOD(P$3-Audit_Month,12)=0),Tech_Audit_USD*FX_USD,0)</f>
        <v>0</v>
      </c>
      <c r="Q49" s="37" t="n">
        <f aca="false">IF(AND(Q$3&gt;=Audit_Month,MOD(Q$3-Audit_Month,12)=0),Tech_Audit_USD*FX_USD,0)</f>
        <v>0</v>
      </c>
      <c r="R49" s="37" t="n">
        <f aca="false">IF(AND(R$3&gt;=Audit_Month,MOD(R$3-Audit_Month,12)=0),Tech_Audit_USD*FX_USD,0)</f>
        <v>0</v>
      </c>
      <c r="S49" s="37" t="n">
        <f aca="false">IF(AND(S$3&gt;=Audit_Month,MOD(S$3-Audit_Month,12)=0),Tech_Audit_USD*FX_USD,0)</f>
        <v>0</v>
      </c>
      <c r="T49" s="37" t="n">
        <f aca="false">IF(AND(T$3&gt;=Audit_Month,MOD(T$3-Audit_Month,12)=0),Tech_Audit_USD*FX_USD,0)</f>
        <v>5800000</v>
      </c>
      <c r="U49" s="37" t="n">
        <f aca="false">IF(AND(U$3&gt;=Audit_Month,MOD(U$3-Audit_Month,12)=0),Tech_Audit_USD*FX_USD,0)</f>
        <v>0</v>
      </c>
      <c r="V49" s="37" t="n">
        <f aca="false">IF(AND(V$3&gt;=Audit_Month,MOD(V$3-Audit_Month,12)=0),Tech_Audit_USD*FX_USD,0)</f>
        <v>0</v>
      </c>
      <c r="W49" s="37" t="n">
        <f aca="false">IF(AND(W$3&gt;=Audit_Month,MOD(W$3-Audit_Month,12)=0),Tech_Audit_USD*FX_USD,0)</f>
        <v>0</v>
      </c>
      <c r="X49" s="37" t="n">
        <f aca="false">IF(AND(X$3&gt;=Audit_Month,MOD(X$3-Audit_Month,12)=0),Tech_Audit_USD*FX_USD,0)</f>
        <v>0</v>
      </c>
      <c r="Y49" s="37" t="n">
        <f aca="false">IF(AND(Y$3&gt;=Audit_Month,MOD(Y$3-Audit_Month,12)=0),Tech_Audit_USD*FX_USD,0)</f>
        <v>0</v>
      </c>
      <c r="Z49" s="37" t="n">
        <f aca="false">IF(AND(Z$3&gt;=Audit_Month,MOD(Z$3-Audit_Month,12)=0),Tech_Audit_USD*FX_USD,0)</f>
        <v>0</v>
      </c>
      <c r="AA49" s="37" t="n">
        <f aca="false">IF(AND(AA$3&gt;=Audit_Month,MOD(AA$3-Audit_Month,12)=0),Tech_Audit_USD*FX_USD,0)</f>
        <v>0</v>
      </c>
      <c r="AB49" s="37" t="n">
        <f aca="false">IF(AND(AB$3&gt;=Audit_Month,MOD(AB$3-Audit_Month,12)=0),Tech_Audit_USD*FX_USD,0)</f>
        <v>0</v>
      </c>
      <c r="AC49" s="37" t="n">
        <f aca="false">IF(AND(AC$3&gt;=Audit_Month,MOD(AC$3-Audit_Month,12)=0),Tech_Audit_USD*FX_USD,0)</f>
        <v>0</v>
      </c>
      <c r="AD49" s="37" t="n">
        <f aca="false">IF(AND(AD$3&gt;=Audit_Month,MOD(AD$3-Audit_Month,12)=0),Tech_Audit_USD*FX_USD,0)</f>
        <v>0</v>
      </c>
      <c r="AE49" s="37" t="n">
        <f aca="false">IF(AND(AE$3&gt;=Audit_Month,MOD(AE$3-Audit_Month,12)=0),Tech_Audit_USD*FX_USD,0)</f>
        <v>0</v>
      </c>
      <c r="AF49" s="37" t="n">
        <f aca="false">IF(AND(AF$3&gt;=Audit_Month,MOD(AF$3-Audit_Month,12)=0),Tech_Audit_USD*FX_USD,0)</f>
        <v>5800000</v>
      </c>
      <c r="AG49" s="37" t="n">
        <f aca="false">IF(AND(AG$3&gt;=Audit_Month,MOD(AG$3-Audit_Month,12)=0),Tech_Audit_USD*FX_USD,0)</f>
        <v>0</v>
      </c>
      <c r="AH49" s="37" t="n">
        <f aca="false">IF(AND(AH$3&gt;=Audit_Month,MOD(AH$3-Audit_Month,12)=0),Tech_Audit_USD*FX_USD,0)</f>
        <v>0</v>
      </c>
      <c r="AI49" s="37" t="n">
        <f aca="false">IF(AND(AI$3&gt;=Audit_Month,MOD(AI$3-Audit_Month,12)=0),Tech_Audit_USD*FX_USD,0)</f>
        <v>0</v>
      </c>
      <c r="AJ49" s="37" t="n">
        <f aca="false">IF(AND(AJ$3&gt;=Audit_Month,MOD(AJ$3-Audit_Month,12)=0),Tech_Audit_USD*FX_USD,0)</f>
        <v>0</v>
      </c>
      <c r="AK49" s="37" t="n">
        <f aca="false">IF(AND(AK$3&gt;=Audit_Month,MOD(AK$3-Audit_Month,12)=0),Tech_Audit_USD*FX_USD,0)</f>
        <v>0</v>
      </c>
      <c r="AL49" s="37" t="n">
        <f aca="false">IF(AND(AL$3&gt;=Audit_Month,MOD(AL$3-Audit_Month,12)=0),Tech_Audit_USD*FX_USD,0)</f>
        <v>0</v>
      </c>
      <c r="AM49" s="37" t="n">
        <f aca="false">IF(AND(AM$3&gt;=Audit_Month,MOD(AM$3-Audit_Month,12)=0),Tech_Audit_USD*FX_USD,0)</f>
        <v>0</v>
      </c>
      <c r="AN49" s="37" t="n">
        <f aca="false">IF(AND(AN$3&gt;=Audit_Month,MOD(AN$3-Audit_Month,12)=0),Tech_Audit_USD*FX_USD,0)</f>
        <v>0</v>
      </c>
      <c r="AO49" s="37" t="n">
        <f aca="false">IF(AND(AO$3&gt;=Audit_Month,MOD(AO$3-Audit_Month,12)=0),Tech_Audit_USD*FX_USD,0)</f>
        <v>0</v>
      </c>
      <c r="AP49" s="37" t="n">
        <f aca="false">IF(AND(AP$3&gt;=Audit_Month,MOD(AP$3-Audit_Month,12)=0),Tech_Audit_USD*FX_USD,0)</f>
        <v>0</v>
      </c>
      <c r="AQ49" s="37" t="n">
        <f aca="false">IF(AND(AQ$3&gt;=Audit_Month,MOD(AQ$3-Audit_Month,12)=0),Tech_Audit_USD*FX_USD,0)</f>
        <v>0</v>
      </c>
      <c r="AR49" s="37" t="n">
        <f aca="false">IF(AND(AR$3&gt;=Audit_Month,MOD(AR$3-Audit_Month,12)=0),Tech_Audit_USD*FX_USD,0)</f>
        <v>5800000</v>
      </c>
      <c r="AS49" s="37" t="n">
        <f aca="false">IF(AND(AS$3&gt;=Audit_Month,MOD(AS$3-Audit_Month,12)=0),Tech_Audit_USD*FX_USD,0)</f>
        <v>0</v>
      </c>
      <c r="AT49" s="37" t="n">
        <f aca="false">IF(AND(AT$3&gt;=Audit_Month,MOD(AT$3-Audit_Month,12)=0),Tech_Audit_USD*FX_USD,0)</f>
        <v>0</v>
      </c>
      <c r="AU49" s="37" t="n">
        <f aca="false">IF(AND(AU$3&gt;=Audit_Month,MOD(AU$3-Audit_Month,12)=0),Tech_Audit_USD*FX_USD,0)</f>
        <v>0</v>
      </c>
      <c r="AV49" s="37" t="n">
        <f aca="false">IF(AND(AV$3&gt;=Audit_Month,MOD(AV$3-Audit_Month,12)=0),Tech_Audit_USD*FX_USD,0)</f>
        <v>0</v>
      </c>
      <c r="AW49" s="37" t="n">
        <f aca="false">IF(AND(AW$3&gt;=Audit_Month,MOD(AW$3-Audit_Month,12)=0),Tech_Audit_USD*FX_USD,0)</f>
        <v>0</v>
      </c>
      <c r="AX49" s="37" t="n">
        <f aca="false">IF(AND(AX$3&gt;=Audit_Month,MOD(AX$3-Audit_Month,12)=0),Tech_Audit_USD*FX_USD,0)</f>
        <v>0</v>
      </c>
      <c r="AY49" s="37" t="n">
        <f aca="false">IF(AND(AY$3&gt;=Audit_Month,MOD(AY$3-Audit_Month,12)=0),Tech_Audit_USD*FX_USD,0)</f>
        <v>0</v>
      </c>
      <c r="AZ49" s="37" t="n">
        <f aca="false">IF(AND(AZ$3&gt;=Audit_Month,MOD(AZ$3-Audit_Month,12)=0),Tech_Audit_USD*FX_USD,0)</f>
        <v>0</v>
      </c>
      <c r="BA49" s="37" t="n">
        <f aca="false">IF(AND(BA$3&gt;=Audit_Month,MOD(BA$3-Audit_Month,12)=0),Tech_Audit_USD*FX_USD,0)</f>
        <v>0</v>
      </c>
      <c r="BB49" s="37" t="n">
        <f aca="false">IF(AND(BB$3&gt;=Audit_Month,MOD(BB$3-Audit_Month,12)=0),Tech_Audit_USD*FX_USD,0)</f>
        <v>0</v>
      </c>
      <c r="BC49" s="37" t="n">
        <f aca="false">IF(AND(BC$3&gt;=Audit_Month,MOD(BC$3-Audit_Month,12)=0),Tech_Audit_USD*FX_USD,0)</f>
        <v>0</v>
      </c>
      <c r="BD49" s="37" t="n">
        <f aca="false">IF(AND(BD$3&gt;=Audit_Month,MOD(BD$3-Audit_Month,12)=0),Tech_Audit_USD*FX_USD,0)</f>
        <v>5800000</v>
      </c>
      <c r="BE49" s="37" t="n">
        <f aca="false">IF(AND(BE$3&gt;=Audit_Month,MOD(BE$3-Audit_Month,12)=0),Tech_Audit_USD*FX_USD,0)</f>
        <v>0</v>
      </c>
      <c r="BF49" s="37" t="n">
        <f aca="false">IF(AND(BF$3&gt;=Audit_Month,MOD(BF$3-Audit_Month,12)=0),Tech_Audit_USD*FX_USD,0)</f>
        <v>0</v>
      </c>
      <c r="BG49" s="37" t="n">
        <f aca="false">IF(AND(BG$3&gt;=Audit_Month,MOD(BG$3-Audit_Month,12)=0),Tech_Audit_USD*FX_USD,0)</f>
        <v>0</v>
      </c>
      <c r="BH49" s="37" t="n">
        <f aca="false">IF(AND(BH$3&gt;=Audit_Month,MOD(BH$3-Audit_Month,12)=0),Tech_Audit_USD*FX_USD,0)</f>
        <v>0</v>
      </c>
      <c r="BI49" s="37" t="n">
        <f aca="false">IF(AND(BI$3&gt;=Audit_Month,MOD(BI$3-Audit_Month,12)=0),Tech_Audit_USD*FX_USD,0)</f>
        <v>0</v>
      </c>
      <c r="BJ49" s="37" t="n">
        <f aca="false">IF(AND(BJ$3&gt;=Audit_Month,MOD(BJ$3-Audit_Month,12)=0),Tech_Audit_USD*FX_USD,0)</f>
        <v>0</v>
      </c>
      <c r="BK49" s="37" t="n">
        <f aca="false">IF(AND(BK$3&gt;=Audit_Month,MOD(BK$3-Audit_Month,12)=0),Tech_Audit_USD*FX_USD,0)</f>
        <v>0</v>
      </c>
      <c r="BL49" s="37" t="n">
        <f aca="false">IF(AND(BL$3&gt;=Audit_Month,MOD(BL$3-Audit_Month,12)=0),Tech_Audit_USD*FX_USD,0)</f>
        <v>0</v>
      </c>
    </row>
    <row r="50" customFormat="false" ht="15" hidden="false" customHeight="false" outlineLevel="0" collapsed="false">
      <c r="A50" s="12" t="s">
        <v>830</v>
      </c>
      <c r="B50" s="14" t="s">
        <v>71</v>
      </c>
      <c r="D50" s="55" t="n">
        <f aca="false">SUM(E50:BL50)</f>
        <v>29000000</v>
      </c>
      <c r="E50" s="37" t="n">
        <f aca="false">IF(E$3=Proc_Setup_Month,Proc_Setup_USD*FX_USD,0)</f>
        <v>0</v>
      </c>
      <c r="F50" s="37" t="n">
        <f aca="false">IF(F$3=Proc_Setup_Month,Proc_Setup_USD*FX_USD,0)</f>
        <v>0</v>
      </c>
      <c r="G50" s="37" t="n">
        <f aca="false">IF(G$3=Proc_Setup_Month,Proc_Setup_USD*FX_USD,0)</f>
        <v>29000000</v>
      </c>
      <c r="H50" s="37" t="n">
        <f aca="false">IF(H$3=Proc_Setup_Month,Proc_Setup_USD*FX_USD,0)</f>
        <v>0</v>
      </c>
      <c r="I50" s="37" t="n">
        <f aca="false">IF(I$3=Proc_Setup_Month,Proc_Setup_USD*FX_USD,0)</f>
        <v>0</v>
      </c>
      <c r="J50" s="37" t="n">
        <f aca="false">IF(J$3=Proc_Setup_Month,Proc_Setup_USD*FX_USD,0)</f>
        <v>0</v>
      </c>
      <c r="K50" s="37" t="n">
        <f aca="false">IF(K$3=Proc_Setup_Month,Proc_Setup_USD*FX_USD,0)</f>
        <v>0</v>
      </c>
      <c r="L50" s="37" t="n">
        <f aca="false">IF(L$3=Proc_Setup_Month,Proc_Setup_USD*FX_USD,0)</f>
        <v>0</v>
      </c>
      <c r="M50" s="37" t="n">
        <f aca="false">IF(M$3=Proc_Setup_Month,Proc_Setup_USD*FX_USD,0)</f>
        <v>0</v>
      </c>
      <c r="N50" s="37" t="n">
        <f aca="false">IF(N$3=Proc_Setup_Month,Proc_Setup_USD*FX_USD,0)</f>
        <v>0</v>
      </c>
      <c r="O50" s="37" t="n">
        <f aca="false">IF(O$3=Proc_Setup_Month,Proc_Setup_USD*FX_USD,0)</f>
        <v>0</v>
      </c>
      <c r="P50" s="37" t="n">
        <f aca="false">IF(P$3=Proc_Setup_Month,Proc_Setup_USD*FX_USD,0)</f>
        <v>0</v>
      </c>
      <c r="Q50" s="37" t="n">
        <f aca="false">IF(Q$3=Proc_Setup_Month,Proc_Setup_USD*FX_USD,0)</f>
        <v>0</v>
      </c>
      <c r="R50" s="37" t="n">
        <f aca="false">IF(R$3=Proc_Setup_Month,Proc_Setup_USD*FX_USD,0)</f>
        <v>0</v>
      </c>
      <c r="S50" s="37" t="n">
        <f aca="false">IF(S$3=Proc_Setup_Month,Proc_Setup_USD*FX_USD,0)</f>
        <v>0</v>
      </c>
      <c r="T50" s="37" t="n">
        <f aca="false">IF(T$3=Proc_Setup_Month,Proc_Setup_USD*FX_USD,0)</f>
        <v>0</v>
      </c>
      <c r="U50" s="37" t="n">
        <f aca="false">IF(U$3=Proc_Setup_Month,Proc_Setup_USD*FX_USD,0)</f>
        <v>0</v>
      </c>
      <c r="V50" s="37" t="n">
        <f aca="false">IF(V$3=Proc_Setup_Month,Proc_Setup_USD*FX_USD,0)</f>
        <v>0</v>
      </c>
      <c r="W50" s="37" t="n">
        <f aca="false">IF(W$3=Proc_Setup_Month,Proc_Setup_USD*FX_USD,0)</f>
        <v>0</v>
      </c>
      <c r="X50" s="37" t="n">
        <f aca="false">IF(X$3=Proc_Setup_Month,Proc_Setup_USD*FX_USD,0)</f>
        <v>0</v>
      </c>
      <c r="Y50" s="37" t="n">
        <f aca="false">IF(Y$3=Proc_Setup_Month,Proc_Setup_USD*FX_USD,0)</f>
        <v>0</v>
      </c>
      <c r="Z50" s="37" t="n">
        <f aca="false">IF(Z$3=Proc_Setup_Month,Proc_Setup_USD*FX_USD,0)</f>
        <v>0</v>
      </c>
      <c r="AA50" s="37" t="n">
        <f aca="false">IF(AA$3=Proc_Setup_Month,Proc_Setup_USD*FX_USD,0)</f>
        <v>0</v>
      </c>
      <c r="AB50" s="37" t="n">
        <f aca="false">IF(AB$3=Proc_Setup_Month,Proc_Setup_USD*FX_USD,0)</f>
        <v>0</v>
      </c>
      <c r="AC50" s="37" t="n">
        <f aca="false">IF(AC$3=Proc_Setup_Month,Proc_Setup_USD*FX_USD,0)</f>
        <v>0</v>
      </c>
      <c r="AD50" s="37" t="n">
        <f aca="false">IF(AD$3=Proc_Setup_Month,Proc_Setup_USD*FX_USD,0)</f>
        <v>0</v>
      </c>
      <c r="AE50" s="37" t="n">
        <f aca="false">IF(AE$3=Proc_Setup_Month,Proc_Setup_USD*FX_USD,0)</f>
        <v>0</v>
      </c>
      <c r="AF50" s="37" t="n">
        <f aca="false">IF(AF$3=Proc_Setup_Month,Proc_Setup_USD*FX_USD,0)</f>
        <v>0</v>
      </c>
      <c r="AG50" s="37" t="n">
        <f aca="false">IF(AG$3=Proc_Setup_Month,Proc_Setup_USD*FX_USD,0)</f>
        <v>0</v>
      </c>
      <c r="AH50" s="37" t="n">
        <f aca="false">IF(AH$3=Proc_Setup_Month,Proc_Setup_USD*FX_USD,0)</f>
        <v>0</v>
      </c>
      <c r="AI50" s="37" t="n">
        <f aca="false">IF(AI$3=Proc_Setup_Month,Proc_Setup_USD*FX_USD,0)</f>
        <v>0</v>
      </c>
      <c r="AJ50" s="37" t="n">
        <f aca="false">IF(AJ$3=Proc_Setup_Month,Proc_Setup_USD*FX_USD,0)</f>
        <v>0</v>
      </c>
      <c r="AK50" s="37" t="n">
        <f aca="false">IF(AK$3=Proc_Setup_Month,Proc_Setup_USD*FX_USD,0)</f>
        <v>0</v>
      </c>
      <c r="AL50" s="37" t="n">
        <f aca="false">IF(AL$3=Proc_Setup_Month,Proc_Setup_USD*FX_USD,0)</f>
        <v>0</v>
      </c>
      <c r="AM50" s="37" t="n">
        <f aca="false">IF(AM$3=Proc_Setup_Month,Proc_Setup_USD*FX_USD,0)</f>
        <v>0</v>
      </c>
      <c r="AN50" s="37" t="n">
        <f aca="false">IF(AN$3=Proc_Setup_Month,Proc_Setup_USD*FX_USD,0)</f>
        <v>0</v>
      </c>
      <c r="AO50" s="37" t="n">
        <f aca="false">IF(AO$3=Proc_Setup_Month,Proc_Setup_USD*FX_USD,0)</f>
        <v>0</v>
      </c>
      <c r="AP50" s="37" t="n">
        <f aca="false">IF(AP$3=Proc_Setup_Month,Proc_Setup_USD*FX_USD,0)</f>
        <v>0</v>
      </c>
      <c r="AQ50" s="37" t="n">
        <f aca="false">IF(AQ$3=Proc_Setup_Month,Proc_Setup_USD*FX_USD,0)</f>
        <v>0</v>
      </c>
      <c r="AR50" s="37" t="n">
        <f aca="false">IF(AR$3=Proc_Setup_Month,Proc_Setup_USD*FX_USD,0)</f>
        <v>0</v>
      </c>
      <c r="AS50" s="37" t="n">
        <f aca="false">IF(AS$3=Proc_Setup_Month,Proc_Setup_USD*FX_USD,0)</f>
        <v>0</v>
      </c>
      <c r="AT50" s="37" t="n">
        <f aca="false">IF(AT$3=Proc_Setup_Month,Proc_Setup_USD*FX_USD,0)</f>
        <v>0</v>
      </c>
      <c r="AU50" s="37" t="n">
        <f aca="false">IF(AU$3=Proc_Setup_Month,Proc_Setup_USD*FX_USD,0)</f>
        <v>0</v>
      </c>
      <c r="AV50" s="37" t="n">
        <f aca="false">IF(AV$3=Proc_Setup_Month,Proc_Setup_USD*FX_USD,0)</f>
        <v>0</v>
      </c>
      <c r="AW50" s="37" t="n">
        <f aca="false">IF(AW$3=Proc_Setup_Month,Proc_Setup_USD*FX_USD,0)</f>
        <v>0</v>
      </c>
      <c r="AX50" s="37" t="n">
        <f aca="false">IF(AX$3=Proc_Setup_Month,Proc_Setup_USD*FX_USD,0)</f>
        <v>0</v>
      </c>
      <c r="AY50" s="37" t="n">
        <f aca="false">IF(AY$3=Proc_Setup_Month,Proc_Setup_USD*FX_USD,0)</f>
        <v>0</v>
      </c>
      <c r="AZ50" s="37" t="n">
        <f aca="false">IF(AZ$3=Proc_Setup_Month,Proc_Setup_USD*FX_USD,0)</f>
        <v>0</v>
      </c>
      <c r="BA50" s="37" t="n">
        <f aca="false">IF(BA$3=Proc_Setup_Month,Proc_Setup_USD*FX_USD,0)</f>
        <v>0</v>
      </c>
      <c r="BB50" s="37" t="n">
        <f aca="false">IF(BB$3=Proc_Setup_Month,Proc_Setup_USD*FX_USD,0)</f>
        <v>0</v>
      </c>
      <c r="BC50" s="37" t="n">
        <f aca="false">IF(BC$3=Proc_Setup_Month,Proc_Setup_USD*FX_USD,0)</f>
        <v>0</v>
      </c>
      <c r="BD50" s="37" t="n">
        <f aca="false">IF(BD$3=Proc_Setup_Month,Proc_Setup_USD*FX_USD,0)</f>
        <v>0</v>
      </c>
      <c r="BE50" s="37" t="n">
        <f aca="false">IF(BE$3=Proc_Setup_Month,Proc_Setup_USD*FX_USD,0)</f>
        <v>0</v>
      </c>
      <c r="BF50" s="37" t="n">
        <f aca="false">IF(BF$3=Proc_Setup_Month,Proc_Setup_USD*FX_USD,0)</f>
        <v>0</v>
      </c>
      <c r="BG50" s="37" t="n">
        <f aca="false">IF(BG$3=Proc_Setup_Month,Proc_Setup_USD*FX_USD,0)</f>
        <v>0</v>
      </c>
      <c r="BH50" s="37" t="n">
        <f aca="false">IF(BH$3=Proc_Setup_Month,Proc_Setup_USD*FX_USD,0)</f>
        <v>0</v>
      </c>
      <c r="BI50" s="37" t="n">
        <f aca="false">IF(BI$3=Proc_Setup_Month,Proc_Setup_USD*FX_USD,0)</f>
        <v>0</v>
      </c>
      <c r="BJ50" s="37" t="n">
        <f aca="false">IF(BJ$3=Proc_Setup_Month,Proc_Setup_USD*FX_USD,0)</f>
        <v>0</v>
      </c>
      <c r="BK50" s="37" t="n">
        <f aca="false">IF(BK$3=Proc_Setup_Month,Proc_Setup_USD*FX_USD,0)</f>
        <v>0</v>
      </c>
      <c r="BL50" s="37" t="n">
        <f aca="false">IF(BL$3=Proc_Setup_Month,Proc_Setup_USD*FX_USD,0)</f>
        <v>0</v>
      </c>
    </row>
    <row r="51" customFormat="false" ht="15" hidden="false" customHeight="false" outlineLevel="0" collapsed="false">
      <c r="A51" s="12" t="s">
        <v>831</v>
      </c>
      <c r="B51" s="14" t="s">
        <v>71</v>
      </c>
      <c r="D51" s="55" t="n">
        <f aca="false">SUM(E51:BL51)</f>
        <v>14582594.5078442</v>
      </c>
      <c r="E51" s="37" t="n">
        <f aca="false">IF(E$3&gt;=Proc_Min_Start,MAX(0,INDEX(Proc_Min_USD,1,E$5)*FX_USD-E11),0)</f>
        <v>0</v>
      </c>
      <c r="F51" s="37" t="n">
        <f aca="false">IF(F$3&gt;=Proc_Min_Start,MAX(0,INDEX(Proc_Min_USD,1,F$5)*FX_USD-F11),0)</f>
        <v>0</v>
      </c>
      <c r="G51" s="37" t="n">
        <f aca="false">IF(G$3&gt;=Proc_Min_Start,MAX(0,INDEX(Proc_Min_USD,1,G$5)*FX_USD-G11),0)</f>
        <v>0</v>
      </c>
      <c r="H51" s="37" t="n">
        <f aca="false">IF(H$3&gt;=Proc_Min_Start,MAX(0,INDEX(Proc_Min_USD,1,H$5)*FX_USD-H11),0)</f>
        <v>0</v>
      </c>
      <c r="I51" s="37" t="n">
        <f aca="false">IF(I$3&gt;=Proc_Min_Start,MAX(0,INDEX(Proc_Min_USD,1,I$5)*FX_USD-I11),0)</f>
        <v>2641400</v>
      </c>
      <c r="J51" s="37" t="n">
        <f aca="false">IF(J$3&gt;=Proc_Min_Start,MAX(0,INDEX(Proc_Min_USD,1,J$5)*FX_USD-J11),0)</f>
        <v>2383418.7</v>
      </c>
      <c r="K51" s="37" t="n">
        <f aca="false">IF(K$3&gt;=Proc_Min_Start,MAX(0,INDEX(Proc_Min_USD,1,K$5)*FX_USD-K11),0)</f>
        <v>2125880.15475</v>
      </c>
      <c r="L51" s="37" t="n">
        <f aca="false">IF(L$3&gt;=Proc_Min_Start,MAX(0,INDEX(Proc_Min_USD,1,L$5)*FX_USD-L11),0)</f>
        <v>1868601.06070187</v>
      </c>
      <c r="M51" s="37" t="n">
        <f aca="false">IF(M$3&gt;=Proc_Min_Start,MAX(0,INDEX(Proc_Min_USD,1,M$5)*FX_USD-M11),0)</f>
        <v>1611390.2615242</v>
      </c>
      <c r="N51" s="37" t="n">
        <f aca="false">IF(N$3&gt;=Proc_Min_Start,MAX(0,INDEX(Proc_Min_USD,1,N$5)*FX_USD-N11),0)</f>
        <v>1354048.22488777</v>
      </c>
      <c r="O51" s="37" t="n">
        <f aca="false">IF(O$3&gt;=Proc_Min_Start,MAX(0,INDEX(Proc_Min_USD,1,O$5)*FX_USD-O11),0)</f>
        <v>1096366.48878051</v>
      </c>
      <c r="P51" s="37" t="n">
        <f aca="false">IF(P$3&gt;=Proc_Min_Start,MAX(0,INDEX(Proc_Min_USD,1,P$5)*FX_USD-P11),0)</f>
        <v>838127.075506676</v>
      </c>
      <c r="Q51" s="37" t="n">
        <f aca="false">IF(Q$3&gt;=Proc_Min_Start,MAX(0,INDEX(Proc_Min_USD,1,Q$5)*FX_USD-Q11),0)</f>
        <v>500501.871414365</v>
      </c>
      <c r="R51" s="37" t="n">
        <f aca="false">IF(R$3&gt;=Proc_Min_Start,MAX(0,INDEX(Proc_Min_USD,1,R$5)*FX_USD-R11),0)</f>
        <v>162860.670278789</v>
      </c>
      <c r="S51" s="37" t="n">
        <f aca="false">IF(S$3&gt;=Proc_Min_Start,MAX(0,INDEX(Proc_Min_USD,1,S$5)*FX_USD-S11),0)</f>
        <v>0</v>
      </c>
      <c r="T51" s="37" t="n">
        <f aca="false">IF(T$3&gt;=Proc_Min_Start,MAX(0,INDEX(Proc_Min_USD,1,T$5)*FX_USD-T11),0)</f>
        <v>0</v>
      </c>
      <c r="U51" s="37" t="n">
        <f aca="false">IF(U$3&gt;=Proc_Min_Start,MAX(0,INDEX(Proc_Min_USD,1,U$5)*FX_USD-U11),0)</f>
        <v>0</v>
      </c>
      <c r="V51" s="37" t="n">
        <f aca="false">IF(V$3&gt;=Proc_Min_Start,MAX(0,INDEX(Proc_Min_USD,1,V$5)*FX_USD-V11),0)</f>
        <v>0</v>
      </c>
      <c r="W51" s="37" t="n">
        <f aca="false">IF(W$3&gt;=Proc_Min_Start,MAX(0,INDEX(Proc_Min_USD,1,W$5)*FX_USD-W11),0)</f>
        <v>0</v>
      </c>
      <c r="X51" s="37" t="n">
        <f aca="false">IF(X$3&gt;=Proc_Min_Start,MAX(0,INDEX(Proc_Min_USD,1,X$5)*FX_USD-X11),0)</f>
        <v>0</v>
      </c>
      <c r="Y51" s="37" t="n">
        <f aca="false">IF(Y$3&gt;=Proc_Min_Start,MAX(0,INDEX(Proc_Min_USD,1,Y$5)*FX_USD-Y11),0)</f>
        <v>0</v>
      </c>
      <c r="Z51" s="37" t="n">
        <f aca="false">IF(Z$3&gt;=Proc_Min_Start,MAX(0,INDEX(Proc_Min_USD,1,Z$5)*FX_USD-Z11),0)</f>
        <v>0</v>
      </c>
      <c r="AA51" s="37" t="n">
        <f aca="false">IF(AA$3&gt;=Proc_Min_Start,MAX(0,INDEX(Proc_Min_USD,1,AA$5)*FX_USD-AA11),0)</f>
        <v>0</v>
      </c>
      <c r="AB51" s="37" t="n">
        <f aca="false">IF(AB$3&gt;=Proc_Min_Start,MAX(0,INDEX(Proc_Min_USD,1,AB$5)*FX_USD-AB11),0)</f>
        <v>0</v>
      </c>
      <c r="AC51" s="37" t="n">
        <f aca="false">IF(AC$3&gt;=Proc_Min_Start,MAX(0,INDEX(Proc_Min_USD,1,AC$5)*FX_USD-AC11),0)</f>
        <v>0</v>
      </c>
      <c r="AD51" s="37" t="n">
        <f aca="false">IF(AD$3&gt;=Proc_Min_Start,MAX(0,INDEX(Proc_Min_USD,1,AD$5)*FX_USD-AD11),0)</f>
        <v>0</v>
      </c>
      <c r="AE51" s="37" t="n">
        <f aca="false">IF(AE$3&gt;=Proc_Min_Start,MAX(0,INDEX(Proc_Min_USD,1,AE$5)*FX_USD-AE11),0)</f>
        <v>0</v>
      </c>
      <c r="AF51" s="37" t="n">
        <f aca="false">IF(AF$3&gt;=Proc_Min_Start,MAX(0,INDEX(Proc_Min_USD,1,AF$5)*FX_USD-AF11),0)</f>
        <v>0</v>
      </c>
      <c r="AG51" s="37" t="n">
        <f aca="false">IF(AG$3&gt;=Proc_Min_Start,MAX(0,INDEX(Proc_Min_USD,1,AG$5)*FX_USD-AG11),0)</f>
        <v>0</v>
      </c>
      <c r="AH51" s="37" t="n">
        <f aca="false">IF(AH$3&gt;=Proc_Min_Start,MAX(0,INDEX(Proc_Min_USD,1,AH$5)*FX_USD-AH11),0)</f>
        <v>0</v>
      </c>
      <c r="AI51" s="37" t="n">
        <f aca="false">IF(AI$3&gt;=Proc_Min_Start,MAX(0,INDEX(Proc_Min_USD,1,AI$5)*FX_USD-AI11),0)</f>
        <v>0</v>
      </c>
      <c r="AJ51" s="37" t="n">
        <f aca="false">IF(AJ$3&gt;=Proc_Min_Start,MAX(0,INDEX(Proc_Min_USD,1,AJ$5)*FX_USD-AJ11),0)</f>
        <v>0</v>
      </c>
      <c r="AK51" s="37" t="n">
        <f aca="false">IF(AK$3&gt;=Proc_Min_Start,MAX(0,INDEX(Proc_Min_USD,1,AK$5)*FX_USD-AK11),0)</f>
        <v>0</v>
      </c>
      <c r="AL51" s="37" t="n">
        <f aca="false">IF(AL$3&gt;=Proc_Min_Start,MAX(0,INDEX(Proc_Min_USD,1,AL$5)*FX_USD-AL11),0)</f>
        <v>0</v>
      </c>
      <c r="AM51" s="37" t="n">
        <f aca="false">IF(AM$3&gt;=Proc_Min_Start,MAX(0,INDEX(Proc_Min_USD,1,AM$5)*FX_USD-AM11),0)</f>
        <v>0</v>
      </c>
      <c r="AN51" s="37" t="n">
        <f aca="false">IF(AN$3&gt;=Proc_Min_Start,MAX(0,INDEX(Proc_Min_USD,1,AN$5)*FX_USD-AN11),0)</f>
        <v>0</v>
      </c>
      <c r="AO51" s="37" t="n">
        <f aca="false">IF(AO$3&gt;=Proc_Min_Start,MAX(0,INDEX(Proc_Min_USD,1,AO$5)*FX_USD-AO11),0)</f>
        <v>0</v>
      </c>
      <c r="AP51" s="37" t="n">
        <f aca="false">IF(AP$3&gt;=Proc_Min_Start,MAX(0,INDEX(Proc_Min_USD,1,AP$5)*FX_USD-AP11),0)</f>
        <v>0</v>
      </c>
      <c r="AQ51" s="37" t="n">
        <f aca="false">IF(AQ$3&gt;=Proc_Min_Start,MAX(0,INDEX(Proc_Min_USD,1,AQ$5)*FX_USD-AQ11),0)</f>
        <v>0</v>
      </c>
      <c r="AR51" s="37" t="n">
        <f aca="false">IF(AR$3&gt;=Proc_Min_Start,MAX(0,INDEX(Proc_Min_USD,1,AR$5)*FX_USD-AR11),0)</f>
        <v>0</v>
      </c>
      <c r="AS51" s="37" t="n">
        <f aca="false">IF(AS$3&gt;=Proc_Min_Start,MAX(0,INDEX(Proc_Min_USD,1,AS$5)*FX_USD-AS11),0)</f>
        <v>0</v>
      </c>
      <c r="AT51" s="37" t="n">
        <f aca="false">IF(AT$3&gt;=Proc_Min_Start,MAX(0,INDEX(Proc_Min_USD,1,AT$5)*FX_USD-AT11),0)</f>
        <v>0</v>
      </c>
      <c r="AU51" s="37" t="n">
        <f aca="false">IF(AU$3&gt;=Proc_Min_Start,MAX(0,INDEX(Proc_Min_USD,1,AU$5)*FX_USD-AU11),0)</f>
        <v>0</v>
      </c>
      <c r="AV51" s="37" t="n">
        <f aca="false">IF(AV$3&gt;=Proc_Min_Start,MAX(0,INDEX(Proc_Min_USD,1,AV$5)*FX_USD-AV11),0)</f>
        <v>0</v>
      </c>
      <c r="AW51" s="37" t="n">
        <f aca="false">IF(AW$3&gt;=Proc_Min_Start,MAX(0,INDEX(Proc_Min_USD,1,AW$5)*FX_USD-AW11),0)</f>
        <v>0</v>
      </c>
      <c r="AX51" s="37" t="n">
        <f aca="false">IF(AX$3&gt;=Proc_Min_Start,MAX(0,INDEX(Proc_Min_USD,1,AX$5)*FX_USD-AX11),0)</f>
        <v>0</v>
      </c>
      <c r="AY51" s="37" t="n">
        <f aca="false">IF(AY$3&gt;=Proc_Min_Start,MAX(0,INDEX(Proc_Min_USD,1,AY$5)*FX_USD-AY11),0)</f>
        <v>0</v>
      </c>
      <c r="AZ51" s="37" t="n">
        <f aca="false">IF(AZ$3&gt;=Proc_Min_Start,MAX(0,INDEX(Proc_Min_USD,1,AZ$5)*FX_USD-AZ11),0)</f>
        <v>0</v>
      </c>
      <c r="BA51" s="37" t="n">
        <f aca="false">IF(BA$3&gt;=Proc_Min_Start,MAX(0,INDEX(Proc_Min_USD,1,BA$5)*FX_USD-BA11),0)</f>
        <v>0</v>
      </c>
      <c r="BB51" s="37" t="n">
        <f aca="false">IF(BB$3&gt;=Proc_Min_Start,MAX(0,INDEX(Proc_Min_USD,1,BB$5)*FX_USD-BB11),0)</f>
        <v>0</v>
      </c>
      <c r="BC51" s="37" t="n">
        <f aca="false">IF(BC$3&gt;=Proc_Min_Start,MAX(0,INDEX(Proc_Min_USD,1,BC$5)*FX_USD-BC11),0)</f>
        <v>0</v>
      </c>
      <c r="BD51" s="37" t="n">
        <f aca="false">IF(BD$3&gt;=Proc_Min_Start,MAX(0,INDEX(Proc_Min_USD,1,BD$5)*FX_USD-BD11),0)</f>
        <v>0</v>
      </c>
      <c r="BE51" s="37" t="n">
        <f aca="false">IF(BE$3&gt;=Proc_Min_Start,MAX(0,INDEX(Proc_Min_USD,1,BE$5)*FX_USD-BE11),0)</f>
        <v>0</v>
      </c>
      <c r="BF51" s="37" t="n">
        <f aca="false">IF(BF$3&gt;=Proc_Min_Start,MAX(0,INDEX(Proc_Min_USD,1,BF$5)*FX_USD-BF11),0)</f>
        <v>0</v>
      </c>
      <c r="BG51" s="37" t="n">
        <f aca="false">IF(BG$3&gt;=Proc_Min_Start,MAX(0,INDEX(Proc_Min_USD,1,BG$5)*FX_USD-BG11),0)</f>
        <v>0</v>
      </c>
      <c r="BH51" s="37" t="n">
        <f aca="false">IF(BH$3&gt;=Proc_Min_Start,MAX(0,INDEX(Proc_Min_USD,1,BH$5)*FX_USD-BH11),0)</f>
        <v>0</v>
      </c>
      <c r="BI51" s="37" t="n">
        <f aca="false">IF(BI$3&gt;=Proc_Min_Start,MAX(0,INDEX(Proc_Min_USD,1,BI$5)*FX_USD-BI11),0)</f>
        <v>0</v>
      </c>
      <c r="BJ51" s="37" t="n">
        <f aca="false">IF(BJ$3&gt;=Proc_Min_Start,MAX(0,INDEX(Proc_Min_USD,1,BJ$5)*FX_USD-BJ11),0)</f>
        <v>0</v>
      </c>
      <c r="BK51" s="37" t="n">
        <f aca="false">IF(BK$3&gt;=Proc_Min_Start,MAX(0,INDEX(Proc_Min_USD,1,BK$5)*FX_USD-BK11),0)</f>
        <v>0</v>
      </c>
      <c r="BL51" s="37" t="n">
        <f aca="false">IF(BL$3&gt;=Proc_Min_Start,MAX(0,INDEX(Proc_Min_USD,1,BL$5)*FX_USD-BL11),0)</f>
        <v>0</v>
      </c>
    </row>
    <row r="52" customFormat="false" ht="15" hidden="false" customHeight="false" outlineLevel="0" collapsed="false">
      <c r="A52" s="8" t="s">
        <v>832</v>
      </c>
      <c r="B52" s="14" t="s">
        <v>71</v>
      </c>
      <c r="D52" s="55" t="n">
        <f aca="false">SUM(E52:BL52)</f>
        <v>710463464.507844</v>
      </c>
      <c r="E52" s="16" t="n">
        <f aca="false">SUM(E42:E51)</f>
        <v>4914915.83333333</v>
      </c>
      <c r="F52" s="16" t="n">
        <f aca="false">SUM(F42:F51)</f>
        <v>6654915.83333333</v>
      </c>
      <c r="G52" s="16" t="n">
        <f aca="false">SUM(G42:G51)</f>
        <v>35654915.8333333</v>
      </c>
      <c r="H52" s="16" t="n">
        <f aca="false">SUM(H42:H51)</f>
        <v>12507115.8333333</v>
      </c>
      <c r="I52" s="16" t="n">
        <f aca="false">SUM(I42:I51)</f>
        <v>9358955.83333333</v>
      </c>
      <c r="J52" s="16" t="n">
        <f aca="false">SUM(J42:J51)</f>
        <v>9100974.53333334</v>
      </c>
      <c r="K52" s="16" t="n">
        <f aca="false">SUM(K42:K51)</f>
        <v>8843435.98808333</v>
      </c>
      <c r="L52" s="16" t="n">
        <f aca="false">SUM(L42:L51)</f>
        <v>8586156.89403521</v>
      </c>
      <c r="M52" s="16" t="n">
        <f aca="false">SUM(M42:M51)</f>
        <v>8328946.09485754</v>
      </c>
      <c r="N52" s="16" t="n">
        <f aca="false">SUM(N42:N51)</f>
        <v>8071604.0582211</v>
      </c>
      <c r="O52" s="16" t="n">
        <f aca="false">SUM(O42:O51)</f>
        <v>7813922.32211384</v>
      </c>
      <c r="P52" s="16" t="n">
        <f aca="false">SUM(P42:P51)</f>
        <v>7555682.90884001</v>
      </c>
      <c r="Q52" s="16" t="n">
        <f aca="false">SUM(Q42:Q51)</f>
        <v>8981831.03808103</v>
      </c>
      <c r="R52" s="16" t="n">
        <f aca="false">SUM(R42:R51)</f>
        <v>8644189.83694546</v>
      </c>
      <c r="S52" s="16" t="n">
        <f aca="false">SUM(S42:S51)</f>
        <v>8481329.16666667</v>
      </c>
      <c r="T52" s="16" t="n">
        <f aca="false">SUM(T42:T51)</f>
        <v>14291769.1666667</v>
      </c>
      <c r="U52" s="16" t="n">
        <f aca="false">SUM(U42:U51)</f>
        <v>8491769.16666667</v>
      </c>
      <c r="V52" s="16" t="n">
        <f aca="false">SUM(V42:V51)</f>
        <v>8533529.16666667</v>
      </c>
      <c r="W52" s="16" t="n">
        <f aca="false">SUM(W42:W51)</f>
        <v>8543969.16666667</v>
      </c>
      <c r="X52" s="16" t="n">
        <f aca="false">SUM(X42:X51)</f>
        <v>8543969.16666667</v>
      </c>
      <c r="Y52" s="16" t="n">
        <f aca="false">SUM(Y42:Y51)</f>
        <v>8543969.16666667</v>
      </c>
      <c r="Z52" s="16" t="n">
        <f aca="false">SUM(Z42:Z51)</f>
        <v>8543969.16666667</v>
      </c>
      <c r="AA52" s="16" t="n">
        <f aca="false">SUM(AA42:AA51)</f>
        <v>8564849.16666667</v>
      </c>
      <c r="AB52" s="16" t="n">
        <f aca="false">SUM(AB42:AB51)</f>
        <v>8575289.16666667</v>
      </c>
      <c r="AC52" s="16" t="n">
        <f aca="false">SUM(AC42:AC51)</f>
        <v>10715289.1666667</v>
      </c>
      <c r="AD52" s="16" t="n">
        <f aca="false">SUM(AD42:AD51)</f>
        <v>10715289.1666667</v>
      </c>
      <c r="AE52" s="16" t="n">
        <f aca="false">SUM(AE42:AE51)</f>
        <v>10761109.1666667</v>
      </c>
      <c r="AF52" s="16" t="n">
        <f aca="false">SUM(AF42:AF51)</f>
        <v>16571549.1666667</v>
      </c>
      <c r="AG52" s="16" t="n">
        <f aca="false">SUM(AG42:AG51)</f>
        <v>10802869.1666667</v>
      </c>
      <c r="AH52" s="16" t="n">
        <f aca="false">SUM(AH42:AH51)</f>
        <v>10802869.1666667</v>
      </c>
      <c r="AI52" s="16" t="n">
        <f aca="false">SUM(AI42:AI51)</f>
        <v>10823749.1666667</v>
      </c>
      <c r="AJ52" s="16" t="n">
        <f aca="false">SUM(AJ42:AJ51)</f>
        <v>10834189.1666667</v>
      </c>
      <c r="AK52" s="16" t="n">
        <f aca="false">SUM(AK42:AK51)</f>
        <v>10844629.1666667</v>
      </c>
      <c r="AL52" s="16" t="n">
        <f aca="false">SUM(AL42:AL51)</f>
        <v>10865509.1666667</v>
      </c>
      <c r="AM52" s="16" t="n">
        <f aca="false">SUM(AM42:AM51)</f>
        <v>10875949.1666667</v>
      </c>
      <c r="AN52" s="16" t="n">
        <f aca="false">SUM(AN42:AN51)</f>
        <v>10886389.1666667</v>
      </c>
      <c r="AO52" s="16" t="n">
        <f aca="false">SUM(AO42:AO51)</f>
        <v>12585982.5</v>
      </c>
      <c r="AP52" s="16" t="n">
        <f aca="false">SUM(AP42:AP51)</f>
        <v>12585982.5</v>
      </c>
      <c r="AQ52" s="16" t="n">
        <f aca="false">SUM(AQ42:AQ51)</f>
        <v>12606862.5</v>
      </c>
      <c r="AR52" s="16" t="n">
        <f aca="false">SUM(AR42:AR51)</f>
        <v>18417302.5</v>
      </c>
      <c r="AS52" s="16" t="n">
        <f aca="false">SUM(AS42:AS51)</f>
        <v>12659062.5</v>
      </c>
      <c r="AT52" s="16" t="n">
        <f aca="false">SUM(AT42:AT51)</f>
        <v>12659062.5</v>
      </c>
      <c r="AU52" s="16" t="n">
        <f aca="false">SUM(AU42:AU51)</f>
        <v>12669502.5</v>
      </c>
      <c r="AV52" s="16" t="n">
        <f aca="false">SUM(AV42:AV51)</f>
        <v>12690382.5</v>
      </c>
      <c r="AW52" s="16" t="n">
        <f aca="false">SUM(AW42:AW51)</f>
        <v>12725762.5</v>
      </c>
      <c r="AX52" s="16" t="n">
        <f aca="false">SUM(AX42:AX51)</f>
        <v>12767522.5</v>
      </c>
      <c r="AY52" s="16" t="n">
        <f aca="false">SUM(AY42:AY51)</f>
        <v>12767522.5</v>
      </c>
      <c r="AZ52" s="16" t="n">
        <f aca="false">SUM(AZ42:AZ51)</f>
        <v>12788402.5</v>
      </c>
      <c r="BA52" s="16" t="n">
        <f aca="false">SUM(BA42:BA51)</f>
        <v>14442175.8333333</v>
      </c>
      <c r="BB52" s="16" t="n">
        <f aca="false">SUM(BB42:BB51)</f>
        <v>14473495.8333333</v>
      </c>
      <c r="BC52" s="16" t="n">
        <f aca="false">SUM(BC42:BC51)</f>
        <v>14494375.8333333</v>
      </c>
      <c r="BD52" s="16" t="n">
        <f aca="false">SUM(BD42:BD51)</f>
        <v>20340195.8333333</v>
      </c>
      <c r="BE52" s="16" t="n">
        <f aca="false">SUM(BE42:BE51)</f>
        <v>14550635.8333333</v>
      </c>
      <c r="BF52" s="16" t="n">
        <f aca="false">SUM(BF42:BF51)</f>
        <v>14592395.8333333</v>
      </c>
      <c r="BG52" s="16" t="n">
        <f aca="false">SUM(BG42:BG51)</f>
        <v>14602835.8333333</v>
      </c>
      <c r="BH52" s="16" t="n">
        <f aca="false">SUM(BH42:BH51)</f>
        <v>14623715.8333333</v>
      </c>
      <c r="BI52" s="16" t="n">
        <f aca="false">SUM(BI42:BI51)</f>
        <v>14634155.8333333</v>
      </c>
      <c r="BJ52" s="16" t="n">
        <f aca="false">SUM(BJ42:BJ51)</f>
        <v>14700855.8333333</v>
      </c>
      <c r="BK52" s="16" t="n">
        <f aca="false">SUM(BK42:BK51)</f>
        <v>14721735.8333333</v>
      </c>
      <c r="BL52" s="16" t="n">
        <f aca="false">SUM(BL42:BL51)</f>
        <v>14732175.8333333</v>
      </c>
    </row>
    <row r="54" customFormat="false" ht="15" hidden="false" customHeight="false" outlineLevel="0" collapsed="false">
      <c r="A54" s="10" t="s">
        <v>446</v>
      </c>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1"/>
      <c r="BK54" s="11"/>
      <c r="BL54" s="11"/>
    </row>
    <row r="55" customFormat="false" ht="15" hidden="false" customHeight="false" outlineLevel="0" collapsed="false">
      <c r="A55" s="12" t="s">
        <v>833</v>
      </c>
      <c r="B55" s="14" t="s">
        <v>71</v>
      </c>
      <c r="D55" s="55" t="n">
        <f aca="false">SUM(E55:BL55)</f>
        <v>15000000</v>
      </c>
      <c r="E55" s="37" t="n">
        <f aca="false">IF(E$3=Bank_Setup_Month,Bank_Setup_SN,0)</f>
        <v>0</v>
      </c>
      <c r="F55" s="37" t="n">
        <f aca="false">IF(F$3=Bank_Setup_Month,Bank_Setup_SN,0)</f>
        <v>15000000</v>
      </c>
      <c r="G55" s="37" t="n">
        <f aca="false">IF(G$3=Bank_Setup_Month,Bank_Setup_SN,0)</f>
        <v>0</v>
      </c>
      <c r="H55" s="37" t="n">
        <f aca="false">IF(H$3=Bank_Setup_Month,Bank_Setup_SN,0)</f>
        <v>0</v>
      </c>
      <c r="I55" s="37" t="n">
        <f aca="false">IF(I$3=Bank_Setup_Month,Bank_Setup_SN,0)</f>
        <v>0</v>
      </c>
      <c r="J55" s="37" t="n">
        <f aca="false">IF(J$3=Bank_Setup_Month,Bank_Setup_SN,0)</f>
        <v>0</v>
      </c>
      <c r="K55" s="37" t="n">
        <f aca="false">IF(K$3=Bank_Setup_Month,Bank_Setup_SN,0)</f>
        <v>0</v>
      </c>
      <c r="L55" s="37" t="n">
        <f aca="false">IF(L$3=Bank_Setup_Month,Bank_Setup_SN,0)</f>
        <v>0</v>
      </c>
      <c r="M55" s="37" t="n">
        <f aca="false">IF(M$3=Bank_Setup_Month,Bank_Setup_SN,0)</f>
        <v>0</v>
      </c>
      <c r="N55" s="37" t="n">
        <f aca="false">IF(N$3=Bank_Setup_Month,Bank_Setup_SN,0)</f>
        <v>0</v>
      </c>
      <c r="O55" s="37" t="n">
        <f aca="false">IF(O$3=Bank_Setup_Month,Bank_Setup_SN,0)</f>
        <v>0</v>
      </c>
      <c r="P55" s="37" t="n">
        <f aca="false">IF(P$3=Bank_Setup_Month,Bank_Setup_SN,0)</f>
        <v>0</v>
      </c>
      <c r="Q55" s="37" t="n">
        <f aca="false">IF(Q$3=Bank_Setup_Month,Bank_Setup_SN,0)</f>
        <v>0</v>
      </c>
      <c r="R55" s="37" t="n">
        <f aca="false">IF(R$3=Bank_Setup_Month,Bank_Setup_SN,0)</f>
        <v>0</v>
      </c>
      <c r="S55" s="37" t="n">
        <f aca="false">IF(S$3=Bank_Setup_Month,Bank_Setup_SN,0)</f>
        <v>0</v>
      </c>
      <c r="T55" s="37" t="n">
        <f aca="false">IF(T$3=Bank_Setup_Month,Bank_Setup_SN,0)</f>
        <v>0</v>
      </c>
      <c r="U55" s="37" t="n">
        <f aca="false">IF(U$3=Bank_Setup_Month,Bank_Setup_SN,0)</f>
        <v>0</v>
      </c>
      <c r="V55" s="37" t="n">
        <f aca="false">IF(V$3=Bank_Setup_Month,Bank_Setup_SN,0)</f>
        <v>0</v>
      </c>
      <c r="W55" s="37" t="n">
        <f aca="false">IF(W$3=Bank_Setup_Month,Bank_Setup_SN,0)</f>
        <v>0</v>
      </c>
      <c r="X55" s="37" t="n">
        <f aca="false">IF(X$3=Bank_Setup_Month,Bank_Setup_SN,0)</f>
        <v>0</v>
      </c>
      <c r="Y55" s="37" t="n">
        <f aca="false">IF(Y$3=Bank_Setup_Month,Bank_Setup_SN,0)</f>
        <v>0</v>
      </c>
      <c r="Z55" s="37" t="n">
        <f aca="false">IF(Z$3=Bank_Setup_Month,Bank_Setup_SN,0)</f>
        <v>0</v>
      </c>
      <c r="AA55" s="37" t="n">
        <f aca="false">IF(AA$3=Bank_Setup_Month,Bank_Setup_SN,0)</f>
        <v>0</v>
      </c>
      <c r="AB55" s="37" t="n">
        <f aca="false">IF(AB$3=Bank_Setup_Month,Bank_Setup_SN,0)</f>
        <v>0</v>
      </c>
      <c r="AC55" s="37" t="n">
        <f aca="false">IF(AC$3=Bank_Setup_Month,Bank_Setup_SN,0)</f>
        <v>0</v>
      </c>
      <c r="AD55" s="37" t="n">
        <f aca="false">IF(AD$3=Bank_Setup_Month,Bank_Setup_SN,0)</f>
        <v>0</v>
      </c>
      <c r="AE55" s="37" t="n">
        <f aca="false">IF(AE$3=Bank_Setup_Month,Bank_Setup_SN,0)</f>
        <v>0</v>
      </c>
      <c r="AF55" s="37" t="n">
        <f aca="false">IF(AF$3=Bank_Setup_Month,Bank_Setup_SN,0)</f>
        <v>0</v>
      </c>
      <c r="AG55" s="37" t="n">
        <f aca="false">IF(AG$3=Bank_Setup_Month,Bank_Setup_SN,0)</f>
        <v>0</v>
      </c>
      <c r="AH55" s="37" t="n">
        <f aca="false">IF(AH$3=Bank_Setup_Month,Bank_Setup_SN,0)</f>
        <v>0</v>
      </c>
      <c r="AI55" s="37" t="n">
        <f aca="false">IF(AI$3=Bank_Setup_Month,Bank_Setup_SN,0)</f>
        <v>0</v>
      </c>
      <c r="AJ55" s="37" t="n">
        <f aca="false">IF(AJ$3=Bank_Setup_Month,Bank_Setup_SN,0)</f>
        <v>0</v>
      </c>
      <c r="AK55" s="37" t="n">
        <f aca="false">IF(AK$3=Bank_Setup_Month,Bank_Setup_SN,0)</f>
        <v>0</v>
      </c>
      <c r="AL55" s="37" t="n">
        <f aca="false">IF(AL$3=Bank_Setup_Month,Bank_Setup_SN,0)</f>
        <v>0</v>
      </c>
      <c r="AM55" s="37" t="n">
        <f aca="false">IF(AM$3=Bank_Setup_Month,Bank_Setup_SN,0)</f>
        <v>0</v>
      </c>
      <c r="AN55" s="37" t="n">
        <f aca="false">IF(AN$3=Bank_Setup_Month,Bank_Setup_SN,0)</f>
        <v>0</v>
      </c>
      <c r="AO55" s="37" t="n">
        <f aca="false">IF(AO$3=Bank_Setup_Month,Bank_Setup_SN,0)</f>
        <v>0</v>
      </c>
      <c r="AP55" s="37" t="n">
        <f aca="false">IF(AP$3=Bank_Setup_Month,Bank_Setup_SN,0)</f>
        <v>0</v>
      </c>
      <c r="AQ55" s="37" t="n">
        <f aca="false">IF(AQ$3=Bank_Setup_Month,Bank_Setup_SN,0)</f>
        <v>0</v>
      </c>
      <c r="AR55" s="37" t="n">
        <f aca="false">IF(AR$3=Bank_Setup_Month,Bank_Setup_SN,0)</f>
        <v>0</v>
      </c>
      <c r="AS55" s="37" t="n">
        <f aca="false">IF(AS$3=Bank_Setup_Month,Bank_Setup_SN,0)</f>
        <v>0</v>
      </c>
      <c r="AT55" s="37" t="n">
        <f aca="false">IF(AT$3=Bank_Setup_Month,Bank_Setup_SN,0)</f>
        <v>0</v>
      </c>
      <c r="AU55" s="37" t="n">
        <f aca="false">IF(AU$3=Bank_Setup_Month,Bank_Setup_SN,0)</f>
        <v>0</v>
      </c>
      <c r="AV55" s="37" t="n">
        <f aca="false">IF(AV$3=Bank_Setup_Month,Bank_Setup_SN,0)</f>
        <v>0</v>
      </c>
      <c r="AW55" s="37" t="n">
        <f aca="false">IF(AW$3=Bank_Setup_Month,Bank_Setup_SN,0)</f>
        <v>0</v>
      </c>
      <c r="AX55" s="37" t="n">
        <f aca="false">IF(AX$3=Bank_Setup_Month,Bank_Setup_SN,0)</f>
        <v>0</v>
      </c>
      <c r="AY55" s="37" t="n">
        <f aca="false">IF(AY$3=Bank_Setup_Month,Bank_Setup_SN,0)</f>
        <v>0</v>
      </c>
      <c r="AZ55" s="37" t="n">
        <f aca="false">IF(AZ$3=Bank_Setup_Month,Bank_Setup_SN,0)</f>
        <v>0</v>
      </c>
      <c r="BA55" s="37" t="n">
        <f aca="false">IF(BA$3=Bank_Setup_Month,Bank_Setup_SN,0)</f>
        <v>0</v>
      </c>
      <c r="BB55" s="37" t="n">
        <f aca="false">IF(BB$3=Bank_Setup_Month,Bank_Setup_SN,0)</f>
        <v>0</v>
      </c>
      <c r="BC55" s="37" t="n">
        <f aca="false">IF(BC$3=Bank_Setup_Month,Bank_Setup_SN,0)</f>
        <v>0</v>
      </c>
      <c r="BD55" s="37" t="n">
        <f aca="false">IF(BD$3=Bank_Setup_Month,Bank_Setup_SN,0)</f>
        <v>0</v>
      </c>
      <c r="BE55" s="37" t="n">
        <f aca="false">IF(BE$3=Bank_Setup_Month,Bank_Setup_SN,0)</f>
        <v>0</v>
      </c>
      <c r="BF55" s="37" t="n">
        <f aca="false">IF(BF$3=Bank_Setup_Month,Bank_Setup_SN,0)</f>
        <v>0</v>
      </c>
      <c r="BG55" s="37" t="n">
        <f aca="false">IF(BG$3=Bank_Setup_Month,Bank_Setup_SN,0)</f>
        <v>0</v>
      </c>
      <c r="BH55" s="37" t="n">
        <f aca="false">IF(BH$3=Bank_Setup_Month,Bank_Setup_SN,0)</f>
        <v>0</v>
      </c>
      <c r="BI55" s="37" t="n">
        <f aca="false">IF(BI$3=Bank_Setup_Month,Bank_Setup_SN,0)</f>
        <v>0</v>
      </c>
      <c r="BJ55" s="37" t="n">
        <f aca="false">IF(BJ$3=Bank_Setup_Month,Bank_Setup_SN,0)</f>
        <v>0</v>
      </c>
      <c r="BK55" s="37" t="n">
        <f aca="false">IF(BK$3=Bank_Setup_Month,Bank_Setup_SN,0)</f>
        <v>0</v>
      </c>
      <c r="BL55" s="37" t="n">
        <f aca="false">IF(BL$3=Bank_Setup_Month,Bank_Setup_SN,0)</f>
        <v>0</v>
      </c>
    </row>
    <row r="56" customFormat="false" ht="15" hidden="false" customHeight="false" outlineLevel="0" collapsed="false">
      <c r="A56" s="12" t="s">
        <v>451</v>
      </c>
      <c r="B56" s="14" t="s">
        <v>71</v>
      </c>
      <c r="D56" s="55" t="n">
        <f aca="false">SUM(E56:BL56)</f>
        <v>102000000</v>
      </c>
      <c r="E56" s="37" t="n">
        <f aca="false">IF(E$3&gt;=Launch_SN,INDEX(Bank_Min_SN,1,E$5),0)</f>
        <v>0</v>
      </c>
      <c r="F56" s="37" t="n">
        <f aca="false">IF(F$3&gt;=Launch_SN,INDEX(Bank_Min_SN,1,F$5),0)</f>
        <v>0</v>
      </c>
      <c r="G56" s="37" t="n">
        <f aca="false">IF(G$3&gt;=Launch_SN,INDEX(Bank_Min_SN,1,G$5),0)</f>
        <v>0</v>
      </c>
      <c r="H56" s="37" t="n">
        <f aca="false">IF(H$3&gt;=Launch_SN,INDEX(Bank_Min_SN,1,H$5),0)</f>
        <v>0</v>
      </c>
      <c r="I56" s="37" t="n">
        <f aca="false">IF(I$3&gt;=Launch_SN,INDEX(Bank_Min_SN,1,I$5),0)</f>
        <v>1500000</v>
      </c>
      <c r="J56" s="37" t="n">
        <f aca="false">IF(J$3&gt;=Launch_SN,INDEX(Bank_Min_SN,1,J$5),0)</f>
        <v>1500000</v>
      </c>
      <c r="K56" s="37" t="n">
        <f aca="false">IF(K$3&gt;=Launch_SN,INDEX(Bank_Min_SN,1,K$5),0)</f>
        <v>1500000</v>
      </c>
      <c r="L56" s="37" t="n">
        <f aca="false">IF(L$3&gt;=Launch_SN,INDEX(Bank_Min_SN,1,L$5),0)</f>
        <v>1500000</v>
      </c>
      <c r="M56" s="37" t="n">
        <f aca="false">IF(M$3&gt;=Launch_SN,INDEX(Bank_Min_SN,1,M$5),0)</f>
        <v>1500000</v>
      </c>
      <c r="N56" s="37" t="n">
        <f aca="false">IF(N$3&gt;=Launch_SN,INDEX(Bank_Min_SN,1,N$5),0)</f>
        <v>1500000</v>
      </c>
      <c r="O56" s="37" t="n">
        <f aca="false">IF(O$3&gt;=Launch_SN,INDEX(Bank_Min_SN,1,O$5),0)</f>
        <v>1500000</v>
      </c>
      <c r="P56" s="37" t="n">
        <f aca="false">IF(P$3&gt;=Launch_SN,INDEX(Bank_Min_SN,1,P$5),0)</f>
        <v>1500000</v>
      </c>
      <c r="Q56" s="37" t="n">
        <f aca="false">IF(Q$3&gt;=Launch_SN,INDEX(Bank_Min_SN,1,Q$5),0)</f>
        <v>1500000</v>
      </c>
      <c r="R56" s="37" t="n">
        <f aca="false">IF(R$3&gt;=Launch_SN,INDEX(Bank_Min_SN,1,R$5),0)</f>
        <v>1500000</v>
      </c>
      <c r="S56" s="37" t="n">
        <f aca="false">IF(S$3&gt;=Launch_SN,INDEX(Bank_Min_SN,1,S$5),0)</f>
        <v>1500000</v>
      </c>
      <c r="T56" s="37" t="n">
        <f aca="false">IF(T$3&gt;=Launch_SN,INDEX(Bank_Min_SN,1,T$5),0)</f>
        <v>1500000</v>
      </c>
      <c r="U56" s="37" t="n">
        <f aca="false">IF(U$3&gt;=Launch_SN,INDEX(Bank_Min_SN,1,U$5),0)</f>
        <v>1500000</v>
      </c>
      <c r="V56" s="37" t="n">
        <f aca="false">IF(V$3&gt;=Launch_SN,INDEX(Bank_Min_SN,1,V$5),0)</f>
        <v>1500000</v>
      </c>
      <c r="W56" s="37" t="n">
        <f aca="false">IF(W$3&gt;=Launch_SN,INDEX(Bank_Min_SN,1,W$5),0)</f>
        <v>1500000</v>
      </c>
      <c r="X56" s="37" t="n">
        <f aca="false">IF(X$3&gt;=Launch_SN,INDEX(Bank_Min_SN,1,X$5),0)</f>
        <v>1500000</v>
      </c>
      <c r="Y56" s="37" t="n">
        <f aca="false">IF(Y$3&gt;=Launch_SN,INDEX(Bank_Min_SN,1,Y$5),0)</f>
        <v>1500000</v>
      </c>
      <c r="Z56" s="37" t="n">
        <f aca="false">IF(Z$3&gt;=Launch_SN,INDEX(Bank_Min_SN,1,Z$5),0)</f>
        <v>1500000</v>
      </c>
      <c r="AA56" s="37" t="n">
        <f aca="false">IF(AA$3&gt;=Launch_SN,INDEX(Bank_Min_SN,1,AA$5),0)</f>
        <v>1500000</v>
      </c>
      <c r="AB56" s="37" t="n">
        <f aca="false">IF(AB$3&gt;=Launch_SN,INDEX(Bank_Min_SN,1,AB$5),0)</f>
        <v>1500000</v>
      </c>
      <c r="AC56" s="37" t="n">
        <f aca="false">IF(AC$3&gt;=Launch_SN,INDEX(Bank_Min_SN,1,AC$5),0)</f>
        <v>2000000</v>
      </c>
      <c r="AD56" s="37" t="n">
        <f aca="false">IF(AD$3&gt;=Launch_SN,INDEX(Bank_Min_SN,1,AD$5),0)</f>
        <v>2000000</v>
      </c>
      <c r="AE56" s="37" t="n">
        <f aca="false">IF(AE$3&gt;=Launch_SN,INDEX(Bank_Min_SN,1,AE$5),0)</f>
        <v>2000000</v>
      </c>
      <c r="AF56" s="37" t="n">
        <f aca="false">IF(AF$3&gt;=Launch_SN,INDEX(Bank_Min_SN,1,AF$5),0)</f>
        <v>2000000</v>
      </c>
      <c r="AG56" s="37" t="n">
        <f aca="false">IF(AG$3&gt;=Launch_SN,INDEX(Bank_Min_SN,1,AG$5),0)</f>
        <v>2000000</v>
      </c>
      <c r="AH56" s="37" t="n">
        <f aca="false">IF(AH$3&gt;=Launch_SN,INDEX(Bank_Min_SN,1,AH$5),0)</f>
        <v>2000000</v>
      </c>
      <c r="AI56" s="37" t="n">
        <f aca="false">IF(AI$3&gt;=Launch_SN,INDEX(Bank_Min_SN,1,AI$5),0)</f>
        <v>2000000</v>
      </c>
      <c r="AJ56" s="37" t="n">
        <f aca="false">IF(AJ$3&gt;=Launch_SN,INDEX(Bank_Min_SN,1,AJ$5),0)</f>
        <v>2000000</v>
      </c>
      <c r="AK56" s="37" t="n">
        <f aca="false">IF(AK$3&gt;=Launch_SN,INDEX(Bank_Min_SN,1,AK$5),0)</f>
        <v>2000000</v>
      </c>
      <c r="AL56" s="37" t="n">
        <f aca="false">IF(AL$3&gt;=Launch_SN,INDEX(Bank_Min_SN,1,AL$5),0)</f>
        <v>2000000</v>
      </c>
      <c r="AM56" s="37" t="n">
        <f aca="false">IF(AM$3&gt;=Launch_SN,INDEX(Bank_Min_SN,1,AM$5),0)</f>
        <v>2000000</v>
      </c>
      <c r="AN56" s="37" t="n">
        <f aca="false">IF(AN$3&gt;=Launch_SN,INDEX(Bank_Min_SN,1,AN$5),0)</f>
        <v>2000000</v>
      </c>
      <c r="AO56" s="37" t="n">
        <f aca="false">IF(AO$3&gt;=Launch_SN,INDEX(Bank_Min_SN,1,AO$5),0)</f>
        <v>2000000</v>
      </c>
      <c r="AP56" s="37" t="n">
        <f aca="false">IF(AP$3&gt;=Launch_SN,INDEX(Bank_Min_SN,1,AP$5),0)</f>
        <v>2000000</v>
      </c>
      <c r="AQ56" s="37" t="n">
        <f aca="false">IF(AQ$3&gt;=Launch_SN,INDEX(Bank_Min_SN,1,AQ$5),0)</f>
        <v>2000000</v>
      </c>
      <c r="AR56" s="37" t="n">
        <f aca="false">IF(AR$3&gt;=Launch_SN,INDEX(Bank_Min_SN,1,AR$5),0)</f>
        <v>2000000</v>
      </c>
      <c r="AS56" s="37" t="n">
        <f aca="false">IF(AS$3&gt;=Launch_SN,INDEX(Bank_Min_SN,1,AS$5),0)</f>
        <v>2000000</v>
      </c>
      <c r="AT56" s="37" t="n">
        <f aca="false">IF(AT$3&gt;=Launch_SN,INDEX(Bank_Min_SN,1,AT$5),0)</f>
        <v>2000000</v>
      </c>
      <c r="AU56" s="37" t="n">
        <f aca="false">IF(AU$3&gt;=Launch_SN,INDEX(Bank_Min_SN,1,AU$5),0)</f>
        <v>2000000</v>
      </c>
      <c r="AV56" s="37" t="n">
        <f aca="false">IF(AV$3&gt;=Launch_SN,INDEX(Bank_Min_SN,1,AV$5),0)</f>
        <v>2000000</v>
      </c>
      <c r="AW56" s="37" t="n">
        <f aca="false">IF(AW$3&gt;=Launch_SN,INDEX(Bank_Min_SN,1,AW$5),0)</f>
        <v>2000000</v>
      </c>
      <c r="AX56" s="37" t="n">
        <f aca="false">IF(AX$3&gt;=Launch_SN,INDEX(Bank_Min_SN,1,AX$5),0)</f>
        <v>2000000</v>
      </c>
      <c r="AY56" s="37" t="n">
        <f aca="false">IF(AY$3&gt;=Launch_SN,INDEX(Bank_Min_SN,1,AY$5),0)</f>
        <v>2000000</v>
      </c>
      <c r="AZ56" s="37" t="n">
        <f aca="false">IF(AZ$3&gt;=Launch_SN,INDEX(Bank_Min_SN,1,AZ$5),0)</f>
        <v>2000000</v>
      </c>
      <c r="BA56" s="37" t="n">
        <f aca="false">IF(BA$3&gt;=Launch_SN,INDEX(Bank_Min_SN,1,BA$5),0)</f>
        <v>2000000</v>
      </c>
      <c r="BB56" s="37" t="n">
        <f aca="false">IF(BB$3&gt;=Launch_SN,INDEX(Bank_Min_SN,1,BB$5),0)</f>
        <v>2000000</v>
      </c>
      <c r="BC56" s="37" t="n">
        <f aca="false">IF(BC$3&gt;=Launch_SN,INDEX(Bank_Min_SN,1,BC$5),0)</f>
        <v>2000000</v>
      </c>
      <c r="BD56" s="37" t="n">
        <f aca="false">IF(BD$3&gt;=Launch_SN,INDEX(Bank_Min_SN,1,BD$5),0)</f>
        <v>2000000</v>
      </c>
      <c r="BE56" s="37" t="n">
        <f aca="false">IF(BE$3&gt;=Launch_SN,INDEX(Bank_Min_SN,1,BE$5),0)</f>
        <v>2000000</v>
      </c>
      <c r="BF56" s="37" t="n">
        <f aca="false">IF(BF$3&gt;=Launch_SN,INDEX(Bank_Min_SN,1,BF$5),0)</f>
        <v>2000000</v>
      </c>
      <c r="BG56" s="37" t="n">
        <f aca="false">IF(BG$3&gt;=Launch_SN,INDEX(Bank_Min_SN,1,BG$5),0)</f>
        <v>2000000</v>
      </c>
      <c r="BH56" s="37" t="n">
        <f aca="false">IF(BH$3&gt;=Launch_SN,INDEX(Bank_Min_SN,1,BH$5),0)</f>
        <v>2000000</v>
      </c>
      <c r="BI56" s="37" t="n">
        <f aca="false">IF(BI$3&gt;=Launch_SN,INDEX(Bank_Min_SN,1,BI$5),0)</f>
        <v>2000000</v>
      </c>
      <c r="BJ56" s="37" t="n">
        <f aca="false">IF(BJ$3&gt;=Launch_SN,INDEX(Bank_Min_SN,1,BJ$5),0)</f>
        <v>2000000</v>
      </c>
      <c r="BK56" s="37" t="n">
        <f aca="false">IF(BK$3&gt;=Launch_SN,INDEX(Bank_Min_SN,1,BK$5),0)</f>
        <v>2000000</v>
      </c>
      <c r="BL56" s="37" t="n">
        <f aca="false">IF(BL$3&gt;=Launch_SN,INDEX(Bank_Min_SN,1,BL$5),0)</f>
        <v>2000000</v>
      </c>
    </row>
    <row r="57" customFormat="false" ht="15" hidden="false" customHeight="false" outlineLevel="0" collapsed="false">
      <c r="A57" s="12" t="s">
        <v>834</v>
      </c>
      <c r="B57" s="14" t="s">
        <v>71</v>
      </c>
      <c r="D57" s="55" t="n">
        <f aca="false">SUM(E57:BL57)</f>
        <v>15000000</v>
      </c>
      <c r="E57" s="37" t="n">
        <f aca="false">IF(E$3=CI_Bank_Setup_Month,Bank_Setup_CI,0)</f>
        <v>0</v>
      </c>
      <c r="F57" s="37" t="n">
        <f aca="false">IF(F$3=CI_Bank_Setup_Month,Bank_Setup_CI,0)</f>
        <v>0</v>
      </c>
      <c r="G57" s="37" t="n">
        <f aca="false">IF(G$3=CI_Bank_Setup_Month,Bank_Setup_CI,0)</f>
        <v>0</v>
      </c>
      <c r="H57" s="37" t="n">
        <f aca="false">IF(H$3=CI_Bank_Setup_Month,Bank_Setup_CI,0)</f>
        <v>0</v>
      </c>
      <c r="I57" s="37" t="n">
        <f aca="false">IF(I$3=CI_Bank_Setup_Month,Bank_Setup_CI,0)</f>
        <v>0</v>
      </c>
      <c r="J57" s="37" t="n">
        <f aca="false">IF(J$3=CI_Bank_Setup_Month,Bank_Setup_CI,0)</f>
        <v>0</v>
      </c>
      <c r="K57" s="37" t="n">
        <f aca="false">IF(K$3=CI_Bank_Setup_Month,Bank_Setup_CI,0)</f>
        <v>0</v>
      </c>
      <c r="L57" s="37" t="n">
        <f aca="false">IF(L$3=CI_Bank_Setup_Month,Bank_Setup_CI,0)</f>
        <v>0</v>
      </c>
      <c r="M57" s="37" t="n">
        <f aca="false">IF(M$3=CI_Bank_Setup_Month,Bank_Setup_CI,0)</f>
        <v>0</v>
      </c>
      <c r="N57" s="37" t="n">
        <f aca="false">IF(N$3=CI_Bank_Setup_Month,Bank_Setup_CI,0)</f>
        <v>0</v>
      </c>
      <c r="O57" s="37" t="n">
        <f aca="false">IF(O$3=CI_Bank_Setup_Month,Bank_Setup_CI,0)</f>
        <v>0</v>
      </c>
      <c r="P57" s="37" t="n">
        <f aca="false">IF(P$3=CI_Bank_Setup_Month,Bank_Setup_CI,0)</f>
        <v>0</v>
      </c>
      <c r="Q57" s="37" t="n">
        <f aca="false">IF(Q$3=CI_Bank_Setup_Month,Bank_Setup_CI,0)</f>
        <v>0</v>
      </c>
      <c r="R57" s="37" t="n">
        <f aca="false">IF(R$3=CI_Bank_Setup_Month,Bank_Setup_CI,0)</f>
        <v>0</v>
      </c>
      <c r="S57" s="37" t="n">
        <f aca="false">IF(S$3=CI_Bank_Setup_Month,Bank_Setup_CI,0)</f>
        <v>0</v>
      </c>
      <c r="T57" s="37" t="n">
        <f aca="false">IF(T$3=CI_Bank_Setup_Month,Bank_Setup_CI,0)</f>
        <v>15000000</v>
      </c>
      <c r="U57" s="37" t="n">
        <f aca="false">IF(U$3=CI_Bank_Setup_Month,Bank_Setup_CI,0)</f>
        <v>0</v>
      </c>
      <c r="V57" s="37" t="n">
        <f aca="false">IF(V$3=CI_Bank_Setup_Month,Bank_Setup_CI,0)</f>
        <v>0</v>
      </c>
      <c r="W57" s="37" t="n">
        <f aca="false">IF(W$3=CI_Bank_Setup_Month,Bank_Setup_CI,0)</f>
        <v>0</v>
      </c>
      <c r="X57" s="37" t="n">
        <f aca="false">IF(X$3=CI_Bank_Setup_Month,Bank_Setup_CI,0)</f>
        <v>0</v>
      </c>
      <c r="Y57" s="37" t="n">
        <f aca="false">IF(Y$3=CI_Bank_Setup_Month,Bank_Setup_CI,0)</f>
        <v>0</v>
      </c>
      <c r="Z57" s="37" t="n">
        <f aca="false">IF(Z$3=CI_Bank_Setup_Month,Bank_Setup_CI,0)</f>
        <v>0</v>
      </c>
      <c r="AA57" s="37" t="n">
        <f aca="false">IF(AA$3=CI_Bank_Setup_Month,Bank_Setup_CI,0)</f>
        <v>0</v>
      </c>
      <c r="AB57" s="37" t="n">
        <f aca="false">IF(AB$3=CI_Bank_Setup_Month,Bank_Setup_CI,0)</f>
        <v>0</v>
      </c>
      <c r="AC57" s="37" t="n">
        <f aca="false">IF(AC$3=CI_Bank_Setup_Month,Bank_Setup_CI,0)</f>
        <v>0</v>
      </c>
      <c r="AD57" s="37" t="n">
        <f aca="false">IF(AD$3=CI_Bank_Setup_Month,Bank_Setup_CI,0)</f>
        <v>0</v>
      </c>
      <c r="AE57" s="37" t="n">
        <f aca="false">IF(AE$3=CI_Bank_Setup_Month,Bank_Setup_CI,0)</f>
        <v>0</v>
      </c>
      <c r="AF57" s="37" t="n">
        <f aca="false">IF(AF$3=CI_Bank_Setup_Month,Bank_Setup_CI,0)</f>
        <v>0</v>
      </c>
      <c r="AG57" s="37" t="n">
        <f aca="false">IF(AG$3=CI_Bank_Setup_Month,Bank_Setup_CI,0)</f>
        <v>0</v>
      </c>
      <c r="AH57" s="37" t="n">
        <f aca="false">IF(AH$3=CI_Bank_Setup_Month,Bank_Setup_CI,0)</f>
        <v>0</v>
      </c>
      <c r="AI57" s="37" t="n">
        <f aca="false">IF(AI$3=CI_Bank_Setup_Month,Bank_Setup_CI,0)</f>
        <v>0</v>
      </c>
      <c r="AJ57" s="37" t="n">
        <f aca="false">IF(AJ$3=CI_Bank_Setup_Month,Bank_Setup_CI,0)</f>
        <v>0</v>
      </c>
      <c r="AK57" s="37" t="n">
        <f aca="false">IF(AK$3=CI_Bank_Setup_Month,Bank_Setup_CI,0)</f>
        <v>0</v>
      </c>
      <c r="AL57" s="37" t="n">
        <f aca="false">IF(AL$3=CI_Bank_Setup_Month,Bank_Setup_CI,0)</f>
        <v>0</v>
      </c>
      <c r="AM57" s="37" t="n">
        <f aca="false">IF(AM$3=CI_Bank_Setup_Month,Bank_Setup_CI,0)</f>
        <v>0</v>
      </c>
      <c r="AN57" s="37" t="n">
        <f aca="false">IF(AN$3=CI_Bank_Setup_Month,Bank_Setup_CI,0)</f>
        <v>0</v>
      </c>
      <c r="AO57" s="37" t="n">
        <f aca="false">IF(AO$3=CI_Bank_Setup_Month,Bank_Setup_CI,0)</f>
        <v>0</v>
      </c>
      <c r="AP57" s="37" t="n">
        <f aca="false">IF(AP$3=CI_Bank_Setup_Month,Bank_Setup_CI,0)</f>
        <v>0</v>
      </c>
      <c r="AQ57" s="37" t="n">
        <f aca="false">IF(AQ$3=CI_Bank_Setup_Month,Bank_Setup_CI,0)</f>
        <v>0</v>
      </c>
      <c r="AR57" s="37" t="n">
        <f aca="false">IF(AR$3=CI_Bank_Setup_Month,Bank_Setup_CI,0)</f>
        <v>0</v>
      </c>
      <c r="AS57" s="37" t="n">
        <f aca="false">IF(AS$3=CI_Bank_Setup_Month,Bank_Setup_CI,0)</f>
        <v>0</v>
      </c>
      <c r="AT57" s="37" t="n">
        <f aca="false">IF(AT$3=CI_Bank_Setup_Month,Bank_Setup_CI,0)</f>
        <v>0</v>
      </c>
      <c r="AU57" s="37" t="n">
        <f aca="false">IF(AU$3=CI_Bank_Setup_Month,Bank_Setup_CI,0)</f>
        <v>0</v>
      </c>
      <c r="AV57" s="37" t="n">
        <f aca="false">IF(AV$3=CI_Bank_Setup_Month,Bank_Setup_CI,0)</f>
        <v>0</v>
      </c>
      <c r="AW57" s="37" t="n">
        <f aca="false">IF(AW$3=CI_Bank_Setup_Month,Bank_Setup_CI,0)</f>
        <v>0</v>
      </c>
      <c r="AX57" s="37" t="n">
        <f aca="false">IF(AX$3=CI_Bank_Setup_Month,Bank_Setup_CI,0)</f>
        <v>0</v>
      </c>
      <c r="AY57" s="37" t="n">
        <f aca="false">IF(AY$3=CI_Bank_Setup_Month,Bank_Setup_CI,0)</f>
        <v>0</v>
      </c>
      <c r="AZ57" s="37" t="n">
        <f aca="false">IF(AZ$3=CI_Bank_Setup_Month,Bank_Setup_CI,0)</f>
        <v>0</v>
      </c>
      <c r="BA57" s="37" t="n">
        <f aca="false">IF(BA$3=CI_Bank_Setup_Month,Bank_Setup_CI,0)</f>
        <v>0</v>
      </c>
      <c r="BB57" s="37" t="n">
        <f aca="false">IF(BB$3=CI_Bank_Setup_Month,Bank_Setup_CI,0)</f>
        <v>0</v>
      </c>
      <c r="BC57" s="37" t="n">
        <f aca="false">IF(BC$3=CI_Bank_Setup_Month,Bank_Setup_CI,0)</f>
        <v>0</v>
      </c>
      <c r="BD57" s="37" t="n">
        <f aca="false">IF(BD$3=CI_Bank_Setup_Month,Bank_Setup_CI,0)</f>
        <v>0</v>
      </c>
      <c r="BE57" s="37" t="n">
        <f aca="false">IF(BE$3=CI_Bank_Setup_Month,Bank_Setup_CI,0)</f>
        <v>0</v>
      </c>
      <c r="BF57" s="37" t="n">
        <f aca="false">IF(BF$3=CI_Bank_Setup_Month,Bank_Setup_CI,0)</f>
        <v>0</v>
      </c>
      <c r="BG57" s="37" t="n">
        <f aca="false">IF(BG$3=CI_Bank_Setup_Month,Bank_Setup_CI,0)</f>
        <v>0</v>
      </c>
      <c r="BH57" s="37" t="n">
        <f aca="false">IF(BH$3=CI_Bank_Setup_Month,Bank_Setup_CI,0)</f>
        <v>0</v>
      </c>
      <c r="BI57" s="37" t="n">
        <f aca="false">IF(BI$3=CI_Bank_Setup_Month,Bank_Setup_CI,0)</f>
        <v>0</v>
      </c>
      <c r="BJ57" s="37" t="n">
        <f aca="false">IF(BJ$3=CI_Bank_Setup_Month,Bank_Setup_CI,0)</f>
        <v>0</v>
      </c>
      <c r="BK57" s="37" t="n">
        <f aca="false">IF(BK$3=CI_Bank_Setup_Month,Bank_Setup_CI,0)</f>
        <v>0</v>
      </c>
      <c r="BL57" s="37" t="n">
        <f aca="false">IF(BL$3=CI_Bank_Setup_Month,Bank_Setup_CI,0)</f>
        <v>0</v>
      </c>
    </row>
    <row r="58" customFormat="false" ht="15" hidden="false" customHeight="false" outlineLevel="0" collapsed="false">
      <c r="A58" s="12" t="s">
        <v>453</v>
      </c>
      <c r="B58" s="14" t="s">
        <v>71</v>
      </c>
      <c r="D58" s="55" t="n">
        <f aca="false">SUM(E58:BL58)</f>
        <v>81000000</v>
      </c>
      <c r="E58" s="37" t="n">
        <f aca="false">IF(E$3&gt;=Launch_CI,INDEX(Bank_Min_CI,1,E$5),0)</f>
        <v>0</v>
      </c>
      <c r="F58" s="37" t="n">
        <f aca="false">IF(F$3&gt;=Launch_CI,INDEX(Bank_Min_CI,1,F$5),0)</f>
        <v>0</v>
      </c>
      <c r="G58" s="37" t="n">
        <f aca="false">IF(G$3&gt;=Launch_CI,INDEX(Bank_Min_CI,1,G$5),0)</f>
        <v>0</v>
      </c>
      <c r="H58" s="37" t="n">
        <f aca="false">IF(H$3&gt;=Launch_CI,INDEX(Bank_Min_CI,1,H$5),0)</f>
        <v>0</v>
      </c>
      <c r="I58" s="37" t="n">
        <f aca="false">IF(I$3&gt;=Launch_CI,INDEX(Bank_Min_CI,1,I$5),0)</f>
        <v>0</v>
      </c>
      <c r="J58" s="37" t="n">
        <f aca="false">IF(J$3&gt;=Launch_CI,INDEX(Bank_Min_CI,1,J$5),0)</f>
        <v>0</v>
      </c>
      <c r="K58" s="37" t="n">
        <f aca="false">IF(K$3&gt;=Launch_CI,INDEX(Bank_Min_CI,1,K$5),0)</f>
        <v>0</v>
      </c>
      <c r="L58" s="37" t="n">
        <f aca="false">IF(L$3&gt;=Launch_CI,INDEX(Bank_Min_CI,1,L$5),0)</f>
        <v>0</v>
      </c>
      <c r="M58" s="37" t="n">
        <f aca="false">IF(M$3&gt;=Launch_CI,INDEX(Bank_Min_CI,1,M$5),0)</f>
        <v>0</v>
      </c>
      <c r="N58" s="37" t="n">
        <f aca="false">IF(N$3&gt;=Launch_CI,INDEX(Bank_Min_CI,1,N$5),0)</f>
        <v>0</v>
      </c>
      <c r="O58" s="37" t="n">
        <f aca="false">IF(O$3&gt;=Launch_CI,INDEX(Bank_Min_CI,1,O$5),0)</f>
        <v>0</v>
      </c>
      <c r="P58" s="37" t="n">
        <f aca="false">IF(P$3&gt;=Launch_CI,INDEX(Bank_Min_CI,1,P$5),0)</f>
        <v>0</v>
      </c>
      <c r="Q58" s="37" t="n">
        <f aca="false">IF(Q$3&gt;=Launch_CI,INDEX(Bank_Min_CI,1,Q$5),0)</f>
        <v>0</v>
      </c>
      <c r="R58" s="37" t="n">
        <f aca="false">IF(R$3&gt;=Launch_CI,INDEX(Bank_Min_CI,1,R$5),0)</f>
        <v>0</v>
      </c>
      <c r="S58" s="37" t="n">
        <f aca="false">IF(S$3&gt;=Launch_CI,INDEX(Bank_Min_CI,1,S$5),0)</f>
        <v>0</v>
      </c>
      <c r="T58" s="37" t="n">
        <f aca="false">IF(T$3&gt;=Launch_CI,INDEX(Bank_Min_CI,1,T$5),0)</f>
        <v>0</v>
      </c>
      <c r="U58" s="37" t="n">
        <f aca="false">IF(U$3&gt;=Launch_CI,INDEX(Bank_Min_CI,1,U$5),0)</f>
        <v>0</v>
      </c>
      <c r="V58" s="37" t="n">
        <f aca="false">IF(V$3&gt;=Launch_CI,INDEX(Bank_Min_CI,1,V$5),0)</f>
        <v>0</v>
      </c>
      <c r="W58" s="37" t="n">
        <f aca="false">IF(W$3&gt;=Launch_CI,INDEX(Bank_Min_CI,1,W$5),0)</f>
        <v>1500000</v>
      </c>
      <c r="X58" s="37" t="n">
        <f aca="false">IF(X$3&gt;=Launch_CI,INDEX(Bank_Min_CI,1,X$5),0)</f>
        <v>1500000</v>
      </c>
      <c r="Y58" s="37" t="n">
        <f aca="false">IF(Y$3&gt;=Launch_CI,INDEX(Bank_Min_CI,1,Y$5),0)</f>
        <v>1500000</v>
      </c>
      <c r="Z58" s="37" t="n">
        <f aca="false">IF(Z$3&gt;=Launch_CI,INDEX(Bank_Min_CI,1,Z$5),0)</f>
        <v>1500000</v>
      </c>
      <c r="AA58" s="37" t="n">
        <f aca="false">IF(AA$3&gt;=Launch_CI,INDEX(Bank_Min_CI,1,AA$5),0)</f>
        <v>1500000</v>
      </c>
      <c r="AB58" s="37" t="n">
        <f aca="false">IF(AB$3&gt;=Launch_CI,INDEX(Bank_Min_CI,1,AB$5),0)</f>
        <v>1500000</v>
      </c>
      <c r="AC58" s="37" t="n">
        <f aca="false">IF(AC$3&gt;=Launch_CI,INDEX(Bank_Min_CI,1,AC$5),0)</f>
        <v>2000000</v>
      </c>
      <c r="AD58" s="37" t="n">
        <f aca="false">IF(AD$3&gt;=Launch_CI,INDEX(Bank_Min_CI,1,AD$5),0)</f>
        <v>2000000</v>
      </c>
      <c r="AE58" s="37" t="n">
        <f aca="false">IF(AE$3&gt;=Launch_CI,INDEX(Bank_Min_CI,1,AE$5),0)</f>
        <v>2000000</v>
      </c>
      <c r="AF58" s="37" t="n">
        <f aca="false">IF(AF$3&gt;=Launch_CI,INDEX(Bank_Min_CI,1,AF$5),0)</f>
        <v>2000000</v>
      </c>
      <c r="AG58" s="37" t="n">
        <f aca="false">IF(AG$3&gt;=Launch_CI,INDEX(Bank_Min_CI,1,AG$5),0)</f>
        <v>2000000</v>
      </c>
      <c r="AH58" s="37" t="n">
        <f aca="false">IF(AH$3&gt;=Launch_CI,INDEX(Bank_Min_CI,1,AH$5),0)</f>
        <v>2000000</v>
      </c>
      <c r="AI58" s="37" t="n">
        <f aca="false">IF(AI$3&gt;=Launch_CI,INDEX(Bank_Min_CI,1,AI$5),0)</f>
        <v>2000000</v>
      </c>
      <c r="AJ58" s="37" t="n">
        <f aca="false">IF(AJ$3&gt;=Launch_CI,INDEX(Bank_Min_CI,1,AJ$5),0)</f>
        <v>2000000</v>
      </c>
      <c r="AK58" s="37" t="n">
        <f aca="false">IF(AK$3&gt;=Launch_CI,INDEX(Bank_Min_CI,1,AK$5),0)</f>
        <v>2000000</v>
      </c>
      <c r="AL58" s="37" t="n">
        <f aca="false">IF(AL$3&gt;=Launch_CI,INDEX(Bank_Min_CI,1,AL$5),0)</f>
        <v>2000000</v>
      </c>
      <c r="AM58" s="37" t="n">
        <f aca="false">IF(AM$3&gt;=Launch_CI,INDEX(Bank_Min_CI,1,AM$5),0)</f>
        <v>2000000</v>
      </c>
      <c r="AN58" s="37" t="n">
        <f aca="false">IF(AN$3&gt;=Launch_CI,INDEX(Bank_Min_CI,1,AN$5),0)</f>
        <v>2000000</v>
      </c>
      <c r="AO58" s="37" t="n">
        <f aca="false">IF(AO$3&gt;=Launch_CI,INDEX(Bank_Min_CI,1,AO$5),0)</f>
        <v>2000000</v>
      </c>
      <c r="AP58" s="37" t="n">
        <f aca="false">IF(AP$3&gt;=Launch_CI,INDEX(Bank_Min_CI,1,AP$5),0)</f>
        <v>2000000</v>
      </c>
      <c r="AQ58" s="37" t="n">
        <f aca="false">IF(AQ$3&gt;=Launch_CI,INDEX(Bank_Min_CI,1,AQ$5),0)</f>
        <v>2000000</v>
      </c>
      <c r="AR58" s="37" t="n">
        <f aca="false">IF(AR$3&gt;=Launch_CI,INDEX(Bank_Min_CI,1,AR$5),0)</f>
        <v>2000000</v>
      </c>
      <c r="AS58" s="37" t="n">
        <f aca="false">IF(AS$3&gt;=Launch_CI,INDEX(Bank_Min_CI,1,AS$5),0)</f>
        <v>2000000</v>
      </c>
      <c r="AT58" s="37" t="n">
        <f aca="false">IF(AT$3&gt;=Launch_CI,INDEX(Bank_Min_CI,1,AT$5),0)</f>
        <v>2000000</v>
      </c>
      <c r="AU58" s="37" t="n">
        <f aca="false">IF(AU$3&gt;=Launch_CI,INDEX(Bank_Min_CI,1,AU$5),0)</f>
        <v>2000000</v>
      </c>
      <c r="AV58" s="37" t="n">
        <f aca="false">IF(AV$3&gt;=Launch_CI,INDEX(Bank_Min_CI,1,AV$5),0)</f>
        <v>2000000</v>
      </c>
      <c r="AW58" s="37" t="n">
        <f aca="false">IF(AW$3&gt;=Launch_CI,INDEX(Bank_Min_CI,1,AW$5),0)</f>
        <v>2000000</v>
      </c>
      <c r="AX58" s="37" t="n">
        <f aca="false">IF(AX$3&gt;=Launch_CI,INDEX(Bank_Min_CI,1,AX$5),0)</f>
        <v>2000000</v>
      </c>
      <c r="AY58" s="37" t="n">
        <f aca="false">IF(AY$3&gt;=Launch_CI,INDEX(Bank_Min_CI,1,AY$5),0)</f>
        <v>2000000</v>
      </c>
      <c r="AZ58" s="37" t="n">
        <f aca="false">IF(AZ$3&gt;=Launch_CI,INDEX(Bank_Min_CI,1,AZ$5),0)</f>
        <v>2000000</v>
      </c>
      <c r="BA58" s="37" t="n">
        <f aca="false">IF(BA$3&gt;=Launch_CI,INDEX(Bank_Min_CI,1,BA$5),0)</f>
        <v>2000000</v>
      </c>
      <c r="BB58" s="37" t="n">
        <f aca="false">IF(BB$3&gt;=Launch_CI,INDEX(Bank_Min_CI,1,BB$5),0)</f>
        <v>2000000</v>
      </c>
      <c r="BC58" s="37" t="n">
        <f aca="false">IF(BC$3&gt;=Launch_CI,INDEX(Bank_Min_CI,1,BC$5),0)</f>
        <v>2000000</v>
      </c>
      <c r="BD58" s="37" t="n">
        <f aca="false">IF(BD$3&gt;=Launch_CI,INDEX(Bank_Min_CI,1,BD$5),0)</f>
        <v>2000000</v>
      </c>
      <c r="BE58" s="37" t="n">
        <f aca="false">IF(BE$3&gt;=Launch_CI,INDEX(Bank_Min_CI,1,BE$5),0)</f>
        <v>2000000</v>
      </c>
      <c r="BF58" s="37" t="n">
        <f aca="false">IF(BF$3&gt;=Launch_CI,INDEX(Bank_Min_CI,1,BF$5),0)</f>
        <v>2000000</v>
      </c>
      <c r="BG58" s="37" t="n">
        <f aca="false">IF(BG$3&gt;=Launch_CI,INDEX(Bank_Min_CI,1,BG$5),0)</f>
        <v>2000000</v>
      </c>
      <c r="BH58" s="37" t="n">
        <f aca="false">IF(BH$3&gt;=Launch_CI,INDEX(Bank_Min_CI,1,BH$5),0)</f>
        <v>2000000</v>
      </c>
      <c r="BI58" s="37" t="n">
        <f aca="false">IF(BI$3&gt;=Launch_CI,INDEX(Bank_Min_CI,1,BI$5),0)</f>
        <v>2000000</v>
      </c>
      <c r="BJ58" s="37" t="n">
        <f aca="false">IF(BJ$3&gt;=Launch_CI,INDEX(Bank_Min_CI,1,BJ$5),0)</f>
        <v>2000000</v>
      </c>
      <c r="BK58" s="37" t="n">
        <f aca="false">IF(BK$3&gt;=Launch_CI,INDEX(Bank_Min_CI,1,BK$5),0)</f>
        <v>2000000</v>
      </c>
      <c r="BL58" s="37" t="n">
        <f aca="false">IF(BL$3&gt;=Launch_CI,INDEX(Bank_Min_CI,1,BL$5),0)</f>
        <v>2000000</v>
      </c>
    </row>
    <row r="59" customFormat="false" ht="15" hidden="false" customHeight="false" outlineLevel="0" collapsed="false">
      <c r="A59" s="12" t="s">
        <v>835</v>
      </c>
      <c r="B59" s="14" t="s">
        <v>71</v>
      </c>
      <c r="D59" s="55" t="n">
        <f aca="false">SUM(E59:BL59)</f>
        <v>17000000</v>
      </c>
      <c r="E59" s="37" t="n">
        <f aca="false">IF(E$3=SFD_Setup_Month,SFD_Setup,0)+INDEX(SFD_Annual,1,E$5)/12</f>
        <v>0</v>
      </c>
      <c r="F59" s="37" t="n">
        <f aca="false">IF(F$3=SFD_Setup_Month,SFD_Setup,0)+INDEX(SFD_Annual,1,F$5)/12</f>
        <v>0</v>
      </c>
      <c r="G59" s="37" t="n">
        <f aca="false">IF(G$3=SFD_Setup_Month,SFD_Setup,0)+INDEX(SFD_Annual,1,G$5)/12</f>
        <v>0</v>
      </c>
      <c r="H59" s="37" t="n">
        <f aca="false">IF(H$3=SFD_Setup_Month,SFD_Setup,0)+INDEX(SFD_Annual,1,H$5)/12</f>
        <v>0</v>
      </c>
      <c r="I59" s="37" t="n">
        <f aca="false">IF(I$3=SFD_Setup_Month,SFD_Setup,0)+INDEX(SFD_Annual,1,I$5)/12</f>
        <v>0</v>
      </c>
      <c r="J59" s="37" t="n">
        <f aca="false">IF(J$3=SFD_Setup_Month,SFD_Setup,0)+INDEX(SFD_Annual,1,J$5)/12</f>
        <v>0</v>
      </c>
      <c r="K59" s="37" t="n">
        <f aca="false">IF(K$3=SFD_Setup_Month,SFD_Setup,0)+INDEX(SFD_Annual,1,K$5)/12</f>
        <v>0</v>
      </c>
      <c r="L59" s="37" t="n">
        <f aca="false">IF(L$3=SFD_Setup_Month,SFD_Setup,0)+INDEX(SFD_Annual,1,L$5)/12</f>
        <v>0</v>
      </c>
      <c r="M59" s="37" t="n">
        <f aca="false">IF(M$3=SFD_Setup_Month,SFD_Setup,0)+INDEX(SFD_Annual,1,M$5)/12</f>
        <v>0</v>
      </c>
      <c r="N59" s="37" t="n">
        <f aca="false">IF(N$3=SFD_Setup_Month,SFD_Setup,0)+INDEX(SFD_Annual,1,N$5)/12</f>
        <v>0</v>
      </c>
      <c r="O59" s="37" t="n">
        <f aca="false">IF(O$3=SFD_Setup_Month,SFD_Setup,0)+INDEX(SFD_Annual,1,O$5)/12</f>
        <v>0</v>
      </c>
      <c r="P59" s="37" t="n">
        <f aca="false">IF(P$3=SFD_Setup_Month,SFD_Setup,0)+INDEX(SFD_Annual,1,P$5)/12</f>
        <v>0</v>
      </c>
      <c r="Q59" s="37" t="n">
        <f aca="false">IF(Q$3=SFD_Setup_Month,SFD_Setup,0)+INDEX(SFD_Annual,1,Q$5)/12</f>
        <v>250000</v>
      </c>
      <c r="R59" s="37" t="n">
        <f aca="false">IF(R$3=SFD_Setup_Month,SFD_Setup,0)+INDEX(SFD_Annual,1,R$5)/12</f>
        <v>250000</v>
      </c>
      <c r="S59" s="37" t="n">
        <f aca="false">IF(S$3=SFD_Setup_Month,SFD_Setup,0)+INDEX(SFD_Annual,1,S$5)/12</f>
        <v>5250000</v>
      </c>
      <c r="T59" s="37" t="n">
        <f aca="false">IF(T$3=SFD_Setup_Month,SFD_Setup,0)+INDEX(SFD_Annual,1,T$5)/12</f>
        <v>250000</v>
      </c>
      <c r="U59" s="37" t="n">
        <f aca="false">IF(U$3=SFD_Setup_Month,SFD_Setup,0)+INDEX(SFD_Annual,1,U$5)/12</f>
        <v>250000</v>
      </c>
      <c r="V59" s="37" t="n">
        <f aca="false">IF(V$3=SFD_Setup_Month,SFD_Setup,0)+INDEX(SFD_Annual,1,V$5)/12</f>
        <v>250000</v>
      </c>
      <c r="W59" s="37" t="n">
        <f aca="false">IF(W$3=SFD_Setup_Month,SFD_Setup,0)+INDEX(SFD_Annual,1,W$5)/12</f>
        <v>250000</v>
      </c>
      <c r="X59" s="37" t="n">
        <f aca="false">IF(X$3=SFD_Setup_Month,SFD_Setup,0)+INDEX(SFD_Annual,1,X$5)/12</f>
        <v>250000</v>
      </c>
      <c r="Y59" s="37" t="n">
        <f aca="false">IF(Y$3=SFD_Setup_Month,SFD_Setup,0)+INDEX(SFD_Annual,1,Y$5)/12</f>
        <v>250000</v>
      </c>
      <c r="Z59" s="37" t="n">
        <f aca="false">IF(Z$3=SFD_Setup_Month,SFD_Setup,0)+INDEX(SFD_Annual,1,Z$5)/12</f>
        <v>250000</v>
      </c>
      <c r="AA59" s="37" t="n">
        <f aca="false">IF(AA$3=SFD_Setup_Month,SFD_Setup,0)+INDEX(SFD_Annual,1,AA$5)/12</f>
        <v>250000</v>
      </c>
      <c r="AB59" s="37" t="n">
        <f aca="false">IF(AB$3=SFD_Setup_Month,SFD_Setup,0)+INDEX(SFD_Annual,1,AB$5)/12</f>
        <v>250000</v>
      </c>
      <c r="AC59" s="37" t="n">
        <f aca="false">IF(AC$3=SFD_Setup_Month,SFD_Setup,0)+INDEX(SFD_Annual,1,AC$5)/12</f>
        <v>250000</v>
      </c>
      <c r="AD59" s="37" t="n">
        <f aca="false">IF(AD$3=SFD_Setup_Month,SFD_Setup,0)+INDEX(SFD_Annual,1,AD$5)/12</f>
        <v>250000</v>
      </c>
      <c r="AE59" s="37" t="n">
        <f aca="false">IF(AE$3=SFD_Setup_Month,SFD_Setup,0)+INDEX(SFD_Annual,1,AE$5)/12</f>
        <v>250000</v>
      </c>
      <c r="AF59" s="37" t="n">
        <f aca="false">IF(AF$3=SFD_Setup_Month,SFD_Setup,0)+INDEX(SFD_Annual,1,AF$5)/12</f>
        <v>250000</v>
      </c>
      <c r="AG59" s="37" t="n">
        <f aca="false">IF(AG$3=SFD_Setup_Month,SFD_Setup,0)+INDEX(SFD_Annual,1,AG$5)/12</f>
        <v>250000</v>
      </c>
      <c r="AH59" s="37" t="n">
        <f aca="false">IF(AH$3=SFD_Setup_Month,SFD_Setup,0)+INDEX(SFD_Annual,1,AH$5)/12</f>
        <v>250000</v>
      </c>
      <c r="AI59" s="37" t="n">
        <f aca="false">IF(AI$3=SFD_Setup_Month,SFD_Setup,0)+INDEX(SFD_Annual,1,AI$5)/12</f>
        <v>250000</v>
      </c>
      <c r="AJ59" s="37" t="n">
        <f aca="false">IF(AJ$3=SFD_Setup_Month,SFD_Setup,0)+INDEX(SFD_Annual,1,AJ$5)/12</f>
        <v>250000</v>
      </c>
      <c r="AK59" s="37" t="n">
        <f aca="false">IF(AK$3=SFD_Setup_Month,SFD_Setup,0)+INDEX(SFD_Annual,1,AK$5)/12</f>
        <v>250000</v>
      </c>
      <c r="AL59" s="37" t="n">
        <f aca="false">IF(AL$3=SFD_Setup_Month,SFD_Setup,0)+INDEX(SFD_Annual,1,AL$5)/12</f>
        <v>250000</v>
      </c>
      <c r="AM59" s="37" t="n">
        <f aca="false">IF(AM$3=SFD_Setup_Month,SFD_Setup,0)+INDEX(SFD_Annual,1,AM$5)/12</f>
        <v>250000</v>
      </c>
      <c r="AN59" s="37" t="n">
        <f aca="false">IF(AN$3=SFD_Setup_Month,SFD_Setup,0)+INDEX(SFD_Annual,1,AN$5)/12</f>
        <v>250000</v>
      </c>
      <c r="AO59" s="37" t="n">
        <f aca="false">IF(AO$3=SFD_Setup_Month,SFD_Setup,0)+INDEX(SFD_Annual,1,AO$5)/12</f>
        <v>250000</v>
      </c>
      <c r="AP59" s="37" t="n">
        <f aca="false">IF(AP$3=SFD_Setup_Month,SFD_Setup,0)+INDEX(SFD_Annual,1,AP$5)/12</f>
        <v>250000</v>
      </c>
      <c r="AQ59" s="37" t="n">
        <f aca="false">IF(AQ$3=SFD_Setup_Month,SFD_Setup,0)+INDEX(SFD_Annual,1,AQ$5)/12</f>
        <v>250000</v>
      </c>
      <c r="AR59" s="37" t="n">
        <f aca="false">IF(AR$3=SFD_Setup_Month,SFD_Setup,0)+INDEX(SFD_Annual,1,AR$5)/12</f>
        <v>250000</v>
      </c>
      <c r="AS59" s="37" t="n">
        <f aca="false">IF(AS$3=SFD_Setup_Month,SFD_Setup,0)+INDEX(SFD_Annual,1,AS$5)/12</f>
        <v>250000</v>
      </c>
      <c r="AT59" s="37" t="n">
        <f aca="false">IF(AT$3=SFD_Setup_Month,SFD_Setup,0)+INDEX(SFD_Annual,1,AT$5)/12</f>
        <v>250000</v>
      </c>
      <c r="AU59" s="37" t="n">
        <f aca="false">IF(AU$3=SFD_Setup_Month,SFD_Setup,0)+INDEX(SFD_Annual,1,AU$5)/12</f>
        <v>250000</v>
      </c>
      <c r="AV59" s="37" t="n">
        <f aca="false">IF(AV$3=SFD_Setup_Month,SFD_Setup,0)+INDEX(SFD_Annual,1,AV$5)/12</f>
        <v>250000</v>
      </c>
      <c r="AW59" s="37" t="n">
        <f aca="false">IF(AW$3=SFD_Setup_Month,SFD_Setup,0)+INDEX(SFD_Annual,1,AW$5)/12</f>
        <v>250000</v>
      </c>
      <c r="AX59" s="37" t="n">
        <f aca="false">IF(AX$3=SFD_Setup_Month,SFD_Setup,0)+INDEX(SFD_Annual,1,AX$5)/12</f>
        <v>250000</v>
      </c>
      <c r="AY59" s="37" t="n">
        <f aca="false">IF(AY$3=SFD_Setup_Month,SFD_Setup,0)+INDEX(SFD_Annual,1,AY$5)/12</f>
        <v>250000</v>
      </c>
      <c r="AZ59" s="37" t="n">
        <f aca="false">IF(AZ$3=SFD_Setup_Month,SFD_Setup,0)+INDEX(SFD_Annual,1,AZ$5)/12</f>
        <v>250000</v>
      </c>
      <c r="BA59" s="37" t="n">
        <f aca="false">IF(BA$3=SFD_Setup_Month,SFD_Setup,0)+INDEX(SFD_Annual,1,BA$5)/12</f>
        <v>250000</v>
      </c>
      <c r="BB59" s="37" t="n">
        <f aca="false">IF(BB$3=SFD_Setup_Month,SFD_Setup,0)+INDEX(SFD_Annual,1,BB$5)/12</f>
        <v>250000</v>
      </c>
      <c r="BC59" s="37" t="n">
        <f aca="false">IF(BC$3=SFD_Setup_Month,SFD_Setup,0)+INDEX(SFD_Annual,1,BC$5)/12</f>
        <v>250000</v>
      </c>
      <c r="BD59" s="37" t="n">
        <f aca="false">IF(BD$3=SFD_Setup_Month,SFD_Setup,0)+INDEX(SFD_Annual,1,BD$5)/12</f>
        <v>250000</v>
      </c>
      <c r="BE59" s="37" t="n">
        <f aca="false">IF(BE$3=SFD_Setup_Month,SFD_Setup,0)+INDEX(SFD_Annual,1,BE$5)/12</f>
        <v>250000</v>
      </c>
      <c r="BF59" s="37" t="n">
        <f aca="false">IF(BF$3=SFD_Setup_Month,SFD_Setup,0)+INDEX(SFD_Annual,1,BF$5)/12</f>
        <v>250000</v>
      </c>
      <c r="BG59" s="37" t="n">
        <f aca="false">IF(BG$3=SFD_Setup_Month,SFD_Setup,0)+INDEX(SFD_Annual,1,BG$5)/12</f>
        <v>250000</v>
      </c>
      <c r="BH59" s="37" t="n">
        <f aca="false">IF(BH$3=SFD_Setup_Month,SFD_Setup,0)+INDEX(SFD_Annual,1,BH$5)/12</f>
        <v>250000</v>
      </c>
      <c r="BI59" s="37" t="n">
        <f aca="false">IF(BI$3=SFD_Setup_Month,SFD_Setup,0)+INDEX(SFD_Annual,1,BI$5)/12</f>
        <v>250000</v>
      </c>
      <c r="BJ59" s="37" t="n">
        <f aca="false">IF(BJ$3=SFD_Setup_Month,SFD_Setup,0)+INDEX(SFD_Annual,1,BJ$5)/12</f>
        <v>250000</v>
      </c>
      <c r="BK59" s="37" t="n">
        <f aca="false">IF(BK$3=SFD_Setup_Month,SFD_Setup,0)+INDEX(SFD_Annual,1,BK$5)/12</f>
        <v>250000</v>
      </c>
      <c r="BL59" s="37" t="n">
        <f aca="false">IF(BL$3=SFD_Setup_Month,SFD_Setup,0)+INDEX(SFD_Annual,1,BL$5)/12</f>
        <v>250000</v>
      </c>
    </row>
    <row r="60" customFormat="false" ht="15" hidden="false" customHeight="false" outlineLevel="0" collapsed="false">
      <c r="A60" s="8" t="s">
        <v>836</v>
      </c>
      <c r="B60" s="14" t="s">
        <v>71</v>
      </c>
      <c r="D60" s="55" t="n">
        <f aca="false">SUM(E60:BL60)</f>
        <v>230000000</v>
      </c>
      <c r="E60" s="16" t="n">
        <f aca="false">SUM(E55:E59)</f>
        <v>0</v>
      </c>
      <c r="F60" s="16" t="n">
        <f aca="false">SUM(F55:F59)</f>
        <v>15000000</v>
      </c>
      <c r="G60" s="16" t="n">
        <f aca="false">SUM(G55:G59)</f>
        <v>0</v>
      </c>
      <c r="H60" s="16" t="n">
        <f aca="false">SUM(H55:H59)</f>
        <v>0</v>
      </c>
      <c r="I60" s="16" t="n">
        <f aca="false">SUM(I55:I59)</f>
        <v>1500000</v>
      </c>
      <c r="J60" s="16" t="n">
        <f aca="false">SUM(J55:J59)</f>
        <v>1500000</v>
      </c>
      <c r="K60" s="16" t="n">
        <f aca="false">SUM(K55:K59)</f>
        <v>1500000</v>
      </c>
      <c r="L60" s="16" t="n">
        <f aca="false">SUM(L55:L59)</f>
        <v>1500000</v>
      </c>
      <c r="M60" s="16" t="n">
        <f aca="false">SUM(M55:M59)</f>
        <v>1500000</v>
      </c>
      <c r="N60" s="16" t="n">
        <f aca="false">SUM(N55:N59)</f>
        <v>1500000</v>
      </c>
      <c r="O60" s="16" t="n">
        <f aca="false">SUM(O55:O59)</f>
        <v>1500000</v>
      </c>
      <c r="P60" s="16" t="n">
        <f aca="false">SUM(P55:P59)</f>
        <v>1500000</v>
      </c>
      <c r="Q60" s="16" t="n">
        <f aca="false">SUM(Q55:Q59)</f>
        <v>1750000</v>
      </c>
      <c r="R60" s="16" t="n">
        <f aca="false">SUM(R55:R59)</f>
        <v>1750000</v>
      </c>
      <c r="S60" s="16" t="n">
        <f aca="false">SUM(S55:S59)</f>
        <v>6750000</v>
      </c>
      <c r="T60" s="16" t="n">
        <f aca="false">SUM(T55:T59)</f>
        <v>16750000</v>
      </c>
      <c r="U60" s="16" t="n">
        <f aca="false">SUM(U55:U59)</f>
        <v>1750000</v>
      </c>
      <c r="V60" s="16" t="n">
        <f aca="false">SUM(V55:V59)</f>
        <v>1750000</v>
      </c>
      <c r="W60" s="16" t="n">
        <f aca="false">SUM(W55:W59)</f>
        <v>3250000</v>
      </c>
      <c r="X60" s="16" t="n">
        <f aca="false">SUM(X55:X59)</f>
        <v>3250000</v>
      </c>
      <c r="Y60" s="16" t="n">
        <f aca="false">SUM(Y55:Y59)</f>
        <v>3250000</v>
      </c>
      <c r="Z60" s="16" t="n">
        <f aca="false">SUM(Z55:Z59)</f>
        <v>3250000</v>
      </c>
      <c r="AA60" s="16" t="n">
        <f aca="false">SUM(AA55:AA59)</f>
        <v>3250000</v>
      </c>
      <c r="AB60" s="16" t="n">
        <f aca="false">SUM(AB55:AB59)</f>
        <v>3250000</v>
      </c>
      <c r="AC60" s="16" t="n">
        <f aca="false">SUM(AC55:AC59)</f>
        <v>4250000</v>
      </c>
      <c r="AD60" s="16" t="n">
        <f aca="false">SUM(AD55:AD59)</f>
        <v>4250000</v>
      </c>
      <c r="AE60" s="16" t="n">
        <f aca="false">SUM(AE55:AE59)</f>
        <v>4250000</v>
      </c>
      <c r="AF60" s="16" t="n">
        <f aca="false">SUM(AF55:AF59)</f>
        <v>4250000</v>
      </c>
      <c r="AG60" s="16" t="n">
        <f aca="false">SUM(AG55:AG59)</f>
        <v>4250000</v>
      </c>
      <c r="AH60" s="16" t="n">
        <f aca="false">SUM(AH55:AH59)</f>
        <v>4250000</v>
      </c>
      <c r="AI60" s="16" t="n">
        <f aca="false">SUM(AI55:AI59)</f>
        <v>4250000</v>
      </c>
      <c r="AJ60" s="16" t="n">
        <f aca="false">SUM(AJ55:AJ59)</f>
        <v>4250000</v>
      </c>
      <c r="AK60" s="16" t="n">
        <f aca="false">SUM(AK55:AK59)</f>
        <v>4250000</v>
      </c>
      <c r="AL60" s="16" t="n">
        <f aca="false">SUM(AL55:AL59)</f>
        <v>4250000</v>
      </c>
      <c r="AM60" s="16" t="n">
        <f aca="false">SUM(AM55:AM59)</f>
        <v>4250000</v>
      </c>
      <c r="AN60" s="16" t="n">
        <f aca="false">SUM(AN55:AN59)</f>
        <v>4250000</v>
      </c>
      <c r="AO60" s="16" t="n">
        <f aca="false">SUM(AO55:AO59)</f>
        <v>4250000</v>
      </c>
      <c r="AP60" s="16" t="n">
        <f aca="false">SUM(AP55:AP59)</f>
        <v>4250000</v>
      </c>
      <c r="AQ60" s="16" t="n">
        <f aca="false">SUM(AQ55:AQ59)</f>
        <v>4250000</v>
      </c>
      <c r="AR60" s="16" t="n">
        <f aca="false">SUM(AR55:AR59)</f>
        <v>4250000</v>
      </c>
      <c r="AS60" s="16" t="n">
        <f aca="false">SUM(AS55:AS59)</f>
        <v>4250000</v>
      </c>
      <c r="AT60" s="16" t="n">
        <f aca="false">SUM(AT55:AT59)</f>
        <v>4250000</v>
      </c>
      <c r="AU60" s="16" t="n">
        <f aca="false">SUM(AU55:AU59)</f>
        <v>4250000</v>
      </c>
      <c r="AV60" s="16" t="n">
        <f aca="false">SUM(AV55:AV59)</f>
        <v>4250000</v>
      </c>
      <c r="AW60" s="16" t="n">
        <f aca="false">SUM(AW55:AW59)</f>
        <v>4250000</v>
      </c>
      <c r="AX60" s="16" t="n">
        <f aca="false">SUM(AX55:AX59)</f>
        <v>4250000</v>
      </c>
      <c r="AY60" s="16" t="n">
        <f aca="false">SUM(AY55:AY59)</f>
        <v>4250000</v>
      </c>
      <c r="AZ60" s="16" t="n">
        <f aca="false">SUM(AZ55:AZ59)</f>
        <v>4250000</v>
      </c>
      <c r="BA60" s="16" t="n">
        <f aca="false">SUM(BA55:BA59)</f>
        <v>4250000</v>
      </c>
      <c r="BB60" s="16" t="n">
        <f aca="false">SUM(BB55:BB59)</f>
        <v>4250000</v>
      </c>
      <c r="BC60" s="16" t="n">
        <f aca="false">SUM(BC55:BC59)</f>
        <v>4250000</v>
      </c>
      <c r="BD60" s="16" t="n">
        <f aca="false">SUM(BD55:BD59)</f>
        <v>4250000</v>
      </c>
      <c r="BE60" s="16" t="n">
        <f aca="false">SUM(BE55:BE59)</f>
        <v>4250000</v>
      </c>
      <c r="BF60" s="16" t="n">
        <f aca="false">SUM(BF55:BF59)</f>
        <v>4250000</v>
      </c>
      <c r="BG60" s="16" t="n">
        <f aca="false">SUM(BG55:BG59)</f>
        <v>4250000</v>
      </c>
      <c r="BH60" s="16" t="n">
        <f aca="false">SUM(BH55:BH59)</f>
        <v>4250000</v>
      </c>
      <c r="BI60" s="16" t="n">
        <f aca="false">SUM(BI55:BI59)</f>
        <v>4250000</v>
      </c>
      <c r="BJ60" s="16" t="n">
        <f aca="false">SUM(BJ55:BJ59)</f>
        <v>4250000</v>
      </c>
      <c r="BK60" s="16" t="n">
        <f aca="false">SUM(BK55:BK59)</f>
        <v>4250000</v>
      </c>
      <c r="BL60" s="16" t="n">
        <f aca="false">SUM(BL55:BL59)</f>
        <v>4250000</v>
      </c>
    </row>
    <row r="62" customFormat="false" ht="15" hidden="false" customHeight="false" outlineLevel="0" collapsed="false">
      <c r="A62" s="10" t="s">
        <v>457</v>
      </c>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c r="BC62" s="11"/>
      <c r="BD62" s="11"/>
      <c r="BE62" s="11"/>
      <c r="BF62" s="11"/>
      <c r="BG62" s="11"/>
      <c r="BH62" s="11"/>
      <c r="BI62" s="11"/>
      <c r="BJ62" s="11"/>
      <c r="BK62" s="11"/>
      <c r="BL62" s="11"/>
    </row>
    <row r="63" customFormat="false" ht="15" hidden="false" customHeight="false" outlineLevel="0" collapsed="false">
      <c r="A63" s="12" t="s">
        <v>837</v>
      </c>
      <c r="B63" s="14" t="s">
        <v>71</v>
      </c>
      <c r="D63" s="55" t="n">
        <f aca="false">SUM(E63:BL63)</f>
        <v>5500000</v>
      </c>
      <c r="E63" s="37" t="n">
        <f aca="false">IF(E$3=1,Company_Setup_SN,0)+IF(E$3=CI_Company_Month,Company_Setup_CI,0)</f>
        <v>2500000</v>
      </c>
      <c r="F63" s="37" t="n">
        <f aca="false">IF(F$3=1,Company_Setup_SN,0)+IF(F$3=CI_Company_Month,Company_Setup_CI,0)</f>
        <v>0</v>
      </c>
      <c r="G63" s="37" t="n">
        <f aca="false">IF(G$3=1,Company_Setup_SN,0)+IF(G$3=CI_Company_Month,Company_Setup_CI,0)</f>
        <v>0</v>
      </c>
      <c r="H63" s="37" t="n">
        <f aca="false">IF(H$3=1,Company_Setup_SN,0)+IF(H$3=CI_Company_Month,Company_Setup_CI,0)</f>
        <v>0</v>
      </c>
      <c r="I63" s="37" t="n">
        <f aca="false">IF(I$3=1,Company_Setup_SN,0)+IF(I$3=CI_Company_Month,Company_Setup_CI,0)</f>
        <v>0</v>
      </c>
      <c r="J63" s="37" t="n">
        <f aca="false">IF(J$3=1,Company_Setup_SN,0)+IF(J$3=CI_Company_Month,Company_Setup_CI,0)</f>
        <v>0</v>
      </c>
      <c r="K63" s="37" t="n">
        <f aca="false">IF(K$3=1,Company_Setup_SN,0)+IF(K$3=CI_Company_Month,Company_Setup_CI,0)</f>
        <v>0</v>
      </c>
      <c r="L63" s="37" t="n">
        <f aca="false">IF(L$3=1,Company_Setup_SN,0)+IF(L$3=CI_Company_Month,Company_Setup_CI,0)</f>
        <v>0</v>
      </c>
      <c r="M63" s="37" t="n">
        <f aca="false">IF(M$3=1,Company_Setup_SN,0)+IF(M$3=CI_Company_Month,Company_Setup_CI,0)</f>
        <v>0</v>
      </c>
      <c r="N63" s="37" t="n">
        <f aca="false">IF(N$3=1,Company_Setup_SN,0)+IF(N$3=CI_Company_Month,Company_Setup_CI,0)</f>
        <v>0</v>
      </c>
      <c r="O63" s="37" t="n">
        <f aca="false">IF(O$3=1,Company_Setup_SN,0)+IF(O$3=CI_Company_Month,Company_Setup_CI,0)</f>
        <v>0</v>
      </c>
      <c r="P63" s="37" t="n">
        <f aca="false">IF(P$3=1,Company_Setup_SN,0)+IF(P$3=CI_Company_Month,Company_Setup_CI,0)</f>
        <v>0</v>
      </c>
      <c r="Q63" s="37" t="n">
        <f aca="false">IF(Q$3=1,Company_Setup_SN,0)+IF(Q$3=CI_Company_Month,Company_Setup_CI,0)</f>
        <v>0</v>
      </c>
      <c r="R63" s="37" t="n">
        <f aca="false">IF(R$3=1,Company_Setup_SN,0)+IF(R$3=CI_Company_Month,Company_Setup_CI,0)</f>
        <v>0</v>
      </c>
      <c r="S63" s="37" t="n">
        <f aca="false">IF(S$3=1,Company_Setup_SN,0)+IF(S$3=CI_Company_Month,Company_Setup_CI,0)</f>
        <v>0</v>
      </c>
      <c r="T63" s="37" t="n">
        <f aca="false">IF(T$3=1,Company_Setup_SN,0)+IF(T$3=CI_Company_Month,Company_Setup_CI,0)</f>
        <v>3000000</v>
      </c>
      <c r="U63" s="37" t="n">
        <f aca="false">IF(U$3=1,Company_Setup_SN,0)+IF(U$3=CI_Company_Month,Company_Setup_CI,0)</f>
        <v>0</v>
      </c>
      <c r="V63" s="37" t="n">
        <f aca="false">IF(V$3=1,Company_Setup_SN,0)+IF(V$3=CI_Company_Month,Company_Setup_CI,0)</f>
        <v>0</v>
      </c>
      <c r="W63" s="37" t="n">
        <f aca="false">IF(W$3=1,Company_Setup_SN,0)+IF(W$3=CI_Company_Month,Company_Setup_CI,0)</f>
        <v>0</v>
      </c>
      <c r="X63" s="37" t="n">
        <f aca="false">IF(X$3=1,Company_Setup_SN,0)+IF(X$3=CI_Company_Month,Company_Setup_CI,0)</f>
        <v>0</v>
      </c>
      <c r="Y63" s="37" t="n">
        <f aca="false">IF(Y$3=1,Company_Setup_SN,0)+IF(Y$3=CI_Company_Month,Company_Setup_CI,0)</f>
        <v>0</v>
      </c>
      <c r="Z63" s="37" t="n">
        <f aca="false">IF(Z$3=1,Company_Setup_SN,0)+IF(Z$3=CI_Company_Month,Company_Setup_CI,0)</f>
        <v>0</v>
      </c>
      <c r="AA63" s="37" t="n">
        <f aca="false">IF(AA$3=1,Company_Setup_SN,0)+IF(AA$3=CI_Company_Month,Company_Setup_CI,0)</f>
        <v>0</v>
      </c>
      <c r="AB63" s="37" t="n">
        <f aca="false">IF(AB$3=1,Company_Setup_SN,0)+IF(AB$3=CI_Company_Month,Company_Setup_CI,0)</f>
        <v>0</v>
      </c>
      <c r="AC63" s="37" t="n">
        <f aca="false">IF(AC$3=1,Company_Setup_SN,0)+IF(AC$3=CI_Company_Month,Company_Setup_CI,0)</f>
        <v>0</v>
      </c>
      <c r="AD63" s="37" t="n">
        <f aca="false">IF(AD$3=1,Company_Setup_SN,0)+IF(AD$3=CI_Company_Month,Company_Setup_CI,0)</f>
        <v>0</v>
      </c>
      <c r="AE63" s="37" t="n">
        <f aca="false">IF(AE$3=1,Company_Setup_SN,0)+IF(AE$3=CI_Company_Month,Company_Setup_CI,0)</f>
        <v>0</v>
      </c>
      <c r="AF63" s="37" t="n">
        <f aca="false">IF(AF$3=1,Company_Setup_SN,0)+IF(AF$3=CI_Company_Month,Company_Setup_CI,0)</f>
        <v>0</v>
      </c>
      <c r="AG63" s="37" t="n">
        <f aca="false">IF(AG$3=1,Company_Setup_SN,0)+IF(AG$3=CI_Company_Month,Company_Setup_CI,0)</f>
        <v>0</v>
      </c>
      <c r="AH63" s="37" t="n">
        <f aca="false">IF(AH$3=1,Company_Setup_SN,0)+IF(AH$3=CI_Company_Month,Company_Setup_CI,0)</f>
        <v>0</v>
      </c>
      <c r="AI63" s="37" t="n">
        <f aca="false">IF(AI$3=1,Company_Setup_SN,0)+IF(AI$3=CI_Company_Month,Company_Setup_CI,0)</f>
        <v>0</v>
      </c>
      <c r="AJ63" s="37" t="n">
        <f aca="false">IF(AJ$3=1,Company_Setup_SN,0)+IF(AJ$3=CI_Company_Month,Company_Setup_CI,0)</f>
        <v>0</v>
      </c>
      <c r="AK63" s="37" t="n">
        <f aca="false">IF(AK$3=1,Company_Setup_SN,0)+IF(AK$3=CI_Company_Month,Company_Setup_CI,0)</f>
        <v>0</v>
      </c>
      <c r="AL63" s="37" t="n">
        <f aca="false">IF(AL$3=1,Company_Setup_SN,0)+IF(AL$3=CI_Company_Month,Company_Setup_CI,0)</f>
        <v>0</v>
      </c>
      <c r="AM63" s="37" t="n">
        <f aca="false">IF(AM$3=1,Company_Setup_SN,0)+IF(AM$3=CI_Company_Month,Company_Setup_CI,0)</f>
        <v>0</v>
      </c>
      <c r="AN63" s="37" t="n">
        <f aca="false">IF(AN$3=1,Company_Setup_SN,0)+IF(AN$3=CI_Company_Month,Company_Setup_CI,0)</f>
        <v>0</v>
      </c>
      <c r="AO63" s="37" t="n">
        <f aca="false">IF(AO$3=1,Company_Setup_SN,0)+IF(AO$3=CI_Company_Month,Company_Setup_CI,0)</f>
        <v>0</v>
      </c>
      <c r="AP63" s="37" t="n">
        <f aca="false">IF(AP$3=1,Company_Setup_SN,0)+IF(AP$3=CI_Company_Month,Company_Setup_CI,0)</f>
        <v>0</v>
      </c>
      <c r="AQ63" s="37" t="n">
        <f aca="false">IF(AQ$3=1,Company_Setup_SN,0)+IF(AQ$3=CI_Company_Month,Company_Setup_CI,0)</f>
        <v>0</v>
      </c>
      <c r="AR63" s="37" t="n">
        <f aca="false">IF(AR$3=1,Company_Setup_SN,0)+IF(AR$3=CI_Company_Month,Company_Setup_CI,0)</f>
        <v>0</v>
      </c>
      <c r="AS63" s="37" t="n">
        <f aca="false">IF(AS$3=1,Company_Setup_SN,0)+IF(AS$3=CI_Company_Month,Company_Setup_CI,0)</f>
        <v>0</v>
      </c>
      <c r="AT63" s="37" t="n">
        <f aca="false">IF(AT$3=1,Company_Setup_SN,0)+IF(AT$3=CI_Company_Month,Company_Setup_CI,0)</f>
        <v>0</v>
      </c>
      <c r="AU63" s="37" t="n">
        <f aca="false">IF(AU$3=1,Company_Setup_SN,0)+IF(AU$3=CI_Company_Month,Company_Setup_CI,0)</f>
        <v>0</v>
      </c>
      <c r="AV63" s="37" t="n">
        <f aca="false">IF(AV$3=1,Company_Setup_SN,0)+IF(AV$3=CI_Company_Month,Company_Setup_CI,0)</f>
        <v>0</v>
      </c>
      <c r="AW63" s="37" t="n">
        <f aca="false">IF(AW$3=1,Company_Setup_SN,0)+IF(AW$3=CI_Company_Month,Company_Setup_CI,0)</f>
        <v>0</v>
      </c>
      <c r="AX63" s="37" t="n">
        <f aca="false">IF(AX$3=1,Company_Setup_SN,0)+IF(AX$3=CI_Company_Month,Company_Setup_CI,0)</f>
        <v>0</v>
      </c>
      <c r="AY63" s="37" t="n">
        <f aca="false">IF(AY$3=1,Company_Setup_SN,0)+IF(AY$3=CI_Company_Month,Company_Setup_CI,0)</f>
        <v>0</v>
      </c>
      <c r="AZ63" s="37" t="n">
        <f aca="false">IF(AZ$3=1,Company_Setup_SN,0)+IF(AZ$3=CI_Company_Month,Company_Setup_CI,0)</f>
        <v>0</v>
      </c>
      <c r="BA63" s="37" t="n">
        <f aca="false">IF(BA$3=1,Company_Setup_SN,0)+IF(BA$3=CI_Company_Month,Company_Setup_CI,0)</f>
        <v>0</v>
      </c>
      <c r="BB63" s="37" t="n">
        <f aca="false">IF(BB$3=1,Company_Setup_SN,0)+IF(BB$3=CI_Company_Month,Company_Setup_CI,0)</f>
        <v>0</v>
      </c>
      <c r="BC63" s="37" t="n">
        <f aca="false">IF(BC$3=1,Company_Setup_SN,0)+IF(BC$3=CI_Company_Month,Company_Setup_CI,0)</f>
        <v>0</v>
      </c>
      <c r="BD63" s="37" t="n">
        <f aca="false">IF(BD$3=1,Company_Setup_SN,0)+IF(BD$3=CI_Company_Month,Company_Setup_CI,0)</f>
        <v>0</v>
      </c>
      <c r="BE63" s="37" t="n">
        <f aca="false">IF(BE$3=1,Company_Setup_SN,0)+IF(BE$3=CI_Company_Month,Company_Setup_CI,0)</f>
        <v>0</v>
      </c>
      <c r="BF63" s="37" t="n">
        <f aca="false">IF(BF$3=1,Company_Setup_SN,0)+IF(BF$3=CI_Company_Month,Company_Setup_CI,0)</f>
        <v>0</v>
      </c>
      <c r="BG63" s="37" t="n">
        <f aca="false">IF(BG$3=1,Company_Setup_SN,0)+IF(BG$3=CI_Company_Month,Company_Setup_CI,0)</f>
        <v>0</v>
      </c>
      <c r="BH63" s="37" t="n">
        <f aca="false">IF(BH$3=1,Company_Setup_SN,0)+IF(BH$3=CI_Company_Month,Company_Setup_CI,0)</f>
        <v>0</v>
      </c>
      <c r="BI63" s="37" t="n">
        <f aca="false">IF(BI$3=1,Company_Setup_SN,0)+IF(BI$3=CI_Company_Month,Company_Setup_CI,0)</f>
        <v>0</v>
      </c>
      <c r="BJ63" s="37" t="n">
        <f aca="false">IF(BJ$3=1,Company_Setup_SN,0)+IF(BJ$3=CI_Company_Month,Company_Setup_CI,0)</f>
        <v>0</v>
      </c>
      <c r="BK63" s="37" t="n">
        <f aca="false">IF(BK$3=1,Company_Setup_SN,0)+IF(BK$3=CI_Company_Month,Company_Setup_CI,0)</f>
        <v>0</v>
      </c>
      <c r="BL63" s="37" t="n">
        <f aca="false">IF(BL$3=1,Company_Setup_SN,0)+IF(BL$3=CI_Company_Month,Company_Setup_CI,0)</f>
        <v>0</v>
      </c>
    </row>
    <row r="64" customFormat="false" ht="15" hidden="false" customHeight="false" outlineLevel="0" collapsed="false">
      <c r="A64" s="12" t="s">
        <v>838</v>
      </c>
      <c r="B64" s="14" t="s">
        <v>71</v>
      </c>
      <c r="D64" s="55" t="n">
        <f aca="false">SUM(E64:BL64)</f>
        <v>50000000</v>
      </c>
      <c r="E64" s="37" t="n">
        <f aca="false">INDEX(SFD_Project,1,E$5)/12</f>
        <v>0</v>
      </c>
      <c r="F64" s="37" t="n">
        <f aca="false">INDEX(SFD_Project,1,F$5)/12</f>
        <v>0</v>
      </c>
      <c r="G64" s="37" t="n">
        <f aca="false">INDEX(SFD_Project,1,G$5)/12</f>
        <v>0</v>
      </c>
      <c r="H64" s="37" t="n">
        <f aca="false">INDEX(SFD_Project,1,H$5)/12</f>
        <v>0</v>
      </c>
      <c r="I64" s="37" t="n">
        <f aca="false">INDEX(SFD_Project,1,I$5)/12</f>
        <v>0</v>
      </c>
      <c r="J64" s="37" t="n">
        <f aca="false">INDEX(SFD_Project,1,J$5)/12</f>
        <v>0</v>
      </c>
      <c r="K64" s="37" t="n">
        <f aca="false">INDEX(SFD_Project,1,K$5)/12</f>
        <v>0</v>
      </c>
      <c r="L64" s="37" t="n">
        <f aca="false">INDEX(SFD_Project,1,L$5)/12</f>
        <v>0</v>
      </c>
      <c r="M64" s="37" t="n">
        <f aca="false">INDEX(SFD_Project,1,M$5)/12</f>
        <v>0</v>
      </c>
      <c r="N64" s="37" t="n">
        <f aca="false">INDEX(SFD_Project,1,N$5)/12</f>
        <v>0</v>
      </c>
      <c r="O64" s="37" t="n">
        <f aca="false">INDEX(SFD_Project,1,O$5)/12</f>
        <v>0</v>
      </c>
      <c r="P64" s="37" t="n">
        <f aca="false">INDEX(SFD_Project,1,P$5)/12</f>
        <v>0</v>
      </c>
      <c r="Q64" s="37" t="n">
        <f aca="false">INDEX(SFD_Project,1,Q$5)/12</f>
        <v>3333333.33333333</v>
      </c>
      <c r="R64" s="37" t="n">
        <f aca="false">INDEX(SFD_Project,1,R$5)/12</f>
        <v>3333333.33333333</v>
      </c>
      <c r="S64" s="37" t="n">
        <f aca="false">INDEX(SFD_Project,1,S$5)/12</f>
        <v>3333333.33333333</v>
      </c>
      <c r="T64" s="37" t="n">
        <f aca="false">INDEX(SFD_Project,1,T$5)/12</f>
        <v>3333333.33333333</v>
      </c>
      <c r="U64" s="37" t="n">
        <f aca="false">INDEX(SFD_Project,1,U$5)/12</f>
        <v>3333333.33333333</v>
      </c>
      <c r="V64" s="37" t="n">
        <f aca="false">INDEX(SFD_Project,1,V$5)/12</f>
        <v>3333333.33333333</v>
      </c>
      <c r="W64" s="37" t="n">
        <f aca="false">INDEX(SFD_Project,1,W$5)/12</f>
        <v>3333333.33333333</v>
      </c>
      <c r="X64" s="37" t="n">
        <f aca="false">INDEX(SFD_Project,1,X$5)/12</f>
        <v>3333333.33333333</v>
      </c>
      <c r="Y64" s="37" t="n">
        <f aca="false">INDEX(SFD_Project,1,Y$5)/12</f>
        <v>3333333.33333333</v>
      </c>
      <c r="Z64" s="37" t="n">
        <f aca="false">INDEX(SFD_Project,1,Z$5)/12</f>
        <v>3333333.33333333</v>
      </c>
      <c r="AA64" s="37" t="n">
        <f aca="false">INDEX(SFD_Project,1,AA$5)/12</f>
        <v>3333333.33333333</v>
      </c>
      <c r="AB64" s="37" t="n">
        <f aca="false">INDEX(SFD_Project,1,AB$5)/12</f>
        <v>3333333.33333333</v>
      </c>
      <c r="AC64" s="37" t="n">
        <f aca="false">INDEX(SFD_Project,1,AC$5)/12</f>
        <v>833333.333333333</v>
      </c>
      <c r="AD64" s="37" t="n">
        <f aca="false">INDEX(SFD_Project,1,AD$5)/12</f>
        <v>833333.333333333</v>
      </c>
      <c r="AE64" s="37" t="n">
        <f aca="false">INDEX(SFD_Project,1,AE$5)/12</f>
        <v>833333.333333333</v>
      </c>
      <c r="AF64" s="37" t="n">
        <f aca="false">INDEX(SFD_Project,1,AF$5)/12</f>
        <v>833333.333333333</v>
      </c>
      <c r="AG64" s="37" t="n">
        <f aca="false">INDEX(SFD_Project,1,AG$5)/12</f>
        <v>833333.333333333</v>
      </c>
      <c r="AH64" s="37" t="n">
        <f aca="false">INDEX(SFD_Project,1,AH$5)/12</f>
        <v>833333.333333333</v>
      </c>
      <c r="AI64" s="37" t="n">
        <f aca="false">INDEX(SFD_Project,1,AI$5)/12</f>
        <v>833333.333333333</v>
      </c>
      <c r="AJ64" s="37" t="n">
        <f aca="false">INDEX(SFD_Project,1,AJ$5)/12</f>
        <v>833333.333333333</v>
      </c>
      <c r="AK64" s="37" t="n">
        <f aca="false">INDEX(SFD_Project,1,AK$5)/12</f>
        <v>833333.333333333</v>
      </c>
      <c r="AL64" s="37" t="n">
        <f aca="false">INDEX(SFD_Project,1,AL$5)/12</f>
        <v>833333.333333333</v>
      </c>
      <c r="AM64" s="37" t="n">
        <f aca="false">INDEX(SFD_Project,1,AM$5)/12</f>
        <v>833333.333333333</v>
      </c>
      <c r="AN64" s="37" t="n">
        <f aca="false">INDEX(SFD_Project,1,AN$5)/12</f>
        <v>833333.333333333</v>
      </c>
      <c r="AO64" s="37" t="n">
        <f aca="false">INDEX(SFD_Project,1,AO$5)/12</f>
        <v>0</v>
      </c>
      <c r="AP64" s="37" t="n">
        <f aca="false">INDEX(SFD_Project,1,AP$5)/12</f>
        <v>0</v>
      </c>
      <c r="AQ64" s="37" t="n">
        <f aca="false">INDEX(SFD_Project,1,AQ$5)/12</f>
        <v>0</v>
      </c>
      <c r="AR64" s="37" t="n">
        <f aca="false">INDEX(SFD_Project,1,AR$5)/12</f>
        <v>0</v>
      </c>
      <c r="AS64" s="37" t="n">
        <f aca="false">INDEX(SFD_Project,1,AS$5)/12</f>
        <v>0</v>
      </c>
      <c r="AT64" s="37" t="n">
        <f aca="false">INDEX(SFD_Project,1,AT$5)/12</f>
        <v>0</v>
      </c>
      <c r="AU64" s="37" t="n">
        <f aca="false">INDEX(SFD_Project,1,AU$5)/12</f>
        <v>0</v>
      </c>
      <c r="AV64" s="37" t="n">
        <f aca="false">INDEX(SFD_Project,1,AV$5)/12</f>
        <v>0</v>
      </c>
      <c r="AW64" s="37" t="n">
        <f aca="false">INDEX(SFD_Project,1,AW$5)/12</f>
        <v>0</v>
      </c>
      <c r="AX64" s="37" t="n">
        <f aca="false">INDEX(SFD_Project,1,AX$5)/12</f>
        <v>0</v>
      </c>
      <c r="AY64" s="37" t="n">
        <f aca="false">INDEX(SFD_Project,1,AY$5)/12</f>
        <v>0</v>
      </c>
      <c r="AZ64" s="37" t="n">
        <f aca="false">INDEX(SFD_Project,1,AZ$5)/12</f>
        <v>0</v>
      </c>
      <c r="BA64" s="37" t="n">
        <f aca="false">INDEX(SFD_Project,1,BA$5)/12</f>
        <v>0</v>
      </c>
      <c r="BB64" s="37" t="n">
        <f aca="false">INDEX(SFD_Project,1,BB$5)/12</f>
        <v>0</v>
      </c>
      <c r="BC64" s="37" t="n">
        <f aca="false">INDEX(SFD_Project,1,BC$5)/12</f>
        <v>0</v>
      </c>
      <c r="BD64" s="37" t="n">
        <f aca="false">INDEX(SFD_Project,1,BD$5)/12</f>
        <v>0</v>
      </c>
      <c r="BE64" s="37" t="n">
        <f aca="false">INDEX(SFD_Project,1,BE$5)/12</f>
        <v>0</v>
      </c>
      <c r="BF64" s="37" t="n">
        <f aca="false">INDEX(SFD_Project,1,BF$5)/12</f>
        <v>0</v>
      </c>
      <c r="BG64" s="37" t="n">
        <f aca="false">INDEX(SFD_Project,1,BG$5)/12</f>
        <v>0</v>
      </c>
      <c r="BH64" s="37" t="n">
        <f aca="false">INDEX(SFD_Project,1,BH$5)/12</f>
        <v>0</v>
      </c>
      <c r="BI64" s="37" t="n">
        <f aca="false">INDEX(SFD_Project,1,BI$5)/12</f>
        <v>0</v>
      </c>
      <c r="BJ64" s="37" t="n">
        <f aca="false">INDEX(SFD_Project,1,BJ$5)/12</f>
        <v>0</v>
      </c>
      <c r="BK64" s="37" t="n">
        <f aca="false">INDEX(SFD_Project,1,BK$5)/12</f>
        <v>0</v>
      </c>
      <c r="BL64" s="37" t="n">
        <f aca="false">INDEX(SFD_Project,1,BL$5)/12</f>
        <v>0</v>
      </c>
    </row>
    <row r="65" customFormat="false" ht="15" hidden="false" customHeight="false" outlineLevel="0" collapsed="false">
      <c r="A65" s="12" t="s">
        <v>839</v>
      </c>
      <c r="B65" s="14" t="s">
        <v>71</v>
      </c>
      <c r="D65" s="55" t="n">
        <f aca="false">SUM(E65:BL65)</f>
        <v>147000000</v>
      </c>
      <c r="E65" s="37" t="n">
        <f aca="false">IF(E$3&gt;=SFD_Acq_Month,INDEX(SFD_Running,1,E$5)/12,0)</f>
        <v>0</v>
      </c>
      <c r="F65" s="37" t="n">
        <f aca="false">IF(F$3&gt;=SFD_Acq_Month,INDEX(SFD_Running,1,F$5)/12,0)</f>
        <v>0</v>
      </c>
      <c r="G65" s="37" t="n">
        <f aca="false">IF(G$3&gt;=SFD_Acq_Month,INDEX(SFD_Running,1,G$5)/12,0)</f>
        <v>0</v>
      </c>
      <c r="H65" s="37" t="n">
        <f aca="false">IF(H$3&gt;=SFD_Acq_Month,INDEX(SFD_Running,1,H$5)/12,0)</f>
        <v>0</v>
      </c>
      <c r="I65" s="37" t="n">
        <f aca="false">IF(I$3&gt;=SFD_Acq_Month,INDEX(SFD_Running,1,I$5)/12,0)</f>
        <v>0</v>
      </c>
      <c r="J65" s="37" t="n">
        <f aca="false">IF(J$3&gt;=SFD_Acq_Month,INDEX(SFD_Running,1,J$5)/12,0)</f>
        <v>0</v>
      </c>
      <c r="K65" s="37" t="n">
        <f aca="false">IF(K$3&gt;=SFD_Acq_Month,INDEX(SFD_Running,1,K$5)/12,0)</f>
        <v>0</v>
      </c>
      <c r="L65" s="37" t="n">
        <f aca="false">IF(L$3&gt;=SFD_Acq_Month,INDEX(SFD_Running,1,L$5)/12,0)</f>
        <v>0</v>
      </c>
      <c r="M65" s="37" t="n">
        <f aca="false">IF(M$3&gt;=SFD_Acq_Month,INDEX(SFD_Running,1,M$5)/12,0)</f>
        <v>0</v>
      </c>
      <c r="N65" s="37" t="n">
        <f aca="false">IF(N$3&gt;=SFD_Acq_Month,INDEX(SFD_Running,1,N$5)/12,0)</f>
        <v>0</v>
      </c>
      <c r="O65" s="37" t="n">
        <f aca="false">IF(O$3&gt;=SFD_Acq_Month,INDEX(SFD_Running,1,O$5)/12,0)</f>
        <v>0</v>
      </c>
      <c r="P65" s="37" t="n">
        <f aca="false">IF(P$3&gt;=SFD_Acq_Month,INDEX(SFD_Running,1,P$5)/12,0)</f>
        <v>0</v>
      </c>
      <c r="Q65" s="37" t="n">
        <f aca="false">IF(Q$3&gt;=SFD_Acq_Month,INDEX(SFD_Running,1,Q$5)/12,0)</f>
        <v>0</v>
      </c>
      <c r="R65" s="37" t="n">
        <f aca="false">IF(R$3&gt;=SFD_Acq_Month,INDEX(SFD_Running,1,R$5)/12,0)</f>
        <v>0</v>
      </c>
      <c r="S65" s="37" t="n">
        <f aca="false">IF(S$3&gt;=SFD_Acq_Month,INDEX(SFD_Running,1,S$5)/12,0)</f>
        <v>0</v>
      </c>
      <c r="T65" s="37" t="n">
        <f aca="false">IF(T$3&gt;=SFD_Acq_Month,INDEX(SFD_Running,1,T$5)/12,0)</f>
        <v>0</v>
      </c>
      <c r="U65" s="37" t="n">
        <f aca="false">IF(U$3&gt;=SFD_Acq_Month,INDEX(SFD_Running,1,U$5)/12,0)</f>
        <v>0</v>
      </c>
      <c r="V65" s="37" t="n">
        <f aca="false">IF(V$3&gt;=SFD_Acq_Month,INDEX(SFD_Running,1,V$5)/12,0)</f>
        <v>0</v>
      </c>
      <c r="W65" s="37" t="n">
        <f aca="false">IF(W$3&gt;=SFD_Acq_Month,INDEX(SFD_Running,1,W$5)/12,0)</f>
        <v>0</v>
      </c>
      <c r="X65" s="37" t="n">
        <f aca="false">IF(X$3&gt;=SFD_Acq_Month,INDEX(SFD_Running,1,X$5)/12,0)</f>
        <v>0</v>
      </c>
      <c r="Y65" s="37" t="n">
        <f aca="false">IF(Y$3&gt;=SFD_Acq_Month,INDEX(SFD_Running,1,Y$5)/12,0)</f>
        <v>0</v>
      </c>
      <c r="Z65" s="37" t="n">
        <f aca="false">IF(Z$3&gt;=SFD_Acq_Month,INDEX(SFD_Running,1,Z$5)/12,0)</f>
        <v>0</v>
      </c>
      <c r="AA65" s="37" t="n">
        <f aca="false">IF(AA$3&gt;=SFD_Acq_Month,INDEX(SFD_Running,1,AA$5)/12,0)</f>
        <v>0</v>
      </c>
      <c r="AB65" s="37" t="n">
        <f aca="false">IF(AB$3&gt;=SFD_Acq_Month,INDEX(SFD_Running,1,AB$5)/12,0)</f>
        <v>3000000</v>
      </c>
      <c r="AC65" s="37" t="n">
        <f aca="false">IF(AC$3&gt;=SFD_Acq_Month,INDEX(SFD_Running,1,AC$5)/12,0)</f>
        <v>3500000</v>
      </c>
      <c r="AD65" s="37" t="n">
        <f aca="false">IF(AD$3&gt;=SFD_Acq_Month,INDEX(SFD_Running,1,AD$5)/12,0)</f>
        <v>3500000</v>
      </c>
      <c r="AE65" s="37" t="n">
        <f aca="false">IF(AE$3&gt;=SFD_Acq_Month,INDEX(SFD_Running,1,AE$5)/12,0)</f>
        <v>3500000</v>
      </c>
      <c r="AF65" s="37" t="n">
        <f aca="false">IF(AF$3&gt;=SFD_Acq_Month,INDEX(SFD_Running,1,AF$5)/12,0)</f>
        <v>3500000</v>
      </c>
      <c r="AG65" s="37" t="n">
        <f aca="false">IF(AG$3&gt;=SFD_Acq_Month,INDEX(SFD_Running,1,AG$5)/12,0)</f>
        <v>3500000</v>
      </c>
      <c r="AH65" s="37" t="n">
        <f aca="false">IF(AH$3&gt;=SFD_Acq_Month,INDEX(SFD_Running,1,AH$5)/12,0)</f>
        <v>3500000</v>
      </c>
      <c r="AI65" s="37" t="n">
        <f aca="false">IF(AI$3&gt;=SFD_Acq_Month,INDEX(SFD_Running,1,AI$5)/12,0)</f>
        <v>3500000</v>
      </c>
      <c r="AJ65" s="37" t="n">
        <f aca="false">IF(AJ$3&gt;=SFD_Acq_Month,INDEX(SFD_Running,1,AJ$5)/12,0)</f>
        <v>3500000</v>
      </c>
      <c r="AK65" s="37" t="n">
        <f aca="false">IF(AK$3&gt;=SFD_Acq_Month,INDEX(SFD_Running,1,AK$5)/12,0)</f>
        <v>3500000</v>
      </c>
      <c r="AL65" s="37" t="n">
        <f aca="false">IF(AL$3&gt;=SFD_Acq_Month,INDEX(SFD_Running,1,AL$5)/12,0)</f>
        <v>3500000</v>
      </c>
      <c r="AM65" s="37" t="n">
        <f aca="false">IF(AM$3&gt;=SFD_Acq_Month,INDEX(SFD_Running,1,AM$5)/12,0)</f>
        <v>3500000</v>
      </c>
      <c r="AN65" s="37" t="n">
        <f aca="false">IF(AN$3&gt;=SFD_Acq_Month,INDEX(SFD_Running,1,AN$5)/12,0)</f>
        <v>3500000</v>
      </c>
      <c r="AO65" s="37" t="n">
        <f aca="false">IF(AO$3&gt;=SFD_Acq_Month,INDEX(SFD_Running,1,AO$5)/12,0)</f>
        <v>4000000</v>
      </c>
      <c r="AP65" s="37" t="n">
        <f aca="false">IF(AP$3&gt;=SFD_Acq_Month,INDEX(SFD_Running,1,AP$5)/12,0)</f>
        <v>4000000</v>
      </c>
      <c r="AQ65" s="37" t="n">
        <f aca="false">IF(AQ$3&gt;=SFD_Acq_Month,INDEX(SFD_Running,1,AQ$5)/12,0)</f>
        <v>4000000</v>
      </c>
      <c r="AR65" s="37" t="n">
        <f aca="false">IF(AR$3&gt;=SFD_Acq_Month,INDEX(SFD_Running,1,AR$5)/12,0)</f>
        <v>4000000</v>
      </c>
      <c r="AS65" s="37" t="n">
        <f aca="false">IF(AS$3&gt;=SFD_Acq_Month,INDEX(SFD_Running,1,AS$5)/12,0)</f>
        <v>4000000</v>
      </c>
      <c r="AT65" s="37" t="n">
        <f aca="false">IF(AT$3&gt;=SFD_Acq_Month,INDEX(SFD_Running,1,AT$5)/12,0)</f>
        <v>4000000</v>
      </c>
      <c r="AU65" s="37" t="n">
        <f aca="false">IF(AU$3&gt;=SFD_Acq_Month,INDEX(SFD_Running,1,AU$5)/12,0)</f>
        <v>4000000</v>
      </c>
      <c r="AV65" s="37" t="n">
        <f aca="false">IF(AV$3&gt;=SFD_Acq_Month,INDEX(SFD_Running,1,AV$5)/12,0)</f>
        <v>4000000</v>
      </c>
      <c r="AW65" s="37" t="n">
        <f aca="false">IF(AW$3&gt;=SFD_Acq_Month,INDEX(SFD_Running,1,AW$5)/12,0)</f>
        <v>4000000</v>
      </c>
      <c r="AX65" s="37" t="n">
        <f aca="false">IF(AX$3&gt;=SFD_Acq_Month,INDEX(SFD_Running,1,AX$5)/12,0)</f>
        <v>4000000</v>
      </c>
      <c r="AY65" s="37" t="n">
        <f aca="false">IF(AY$3&gt;=SFD_Acq_Month,INDEX(SFD_Running,1,AY$5)/12,0)</f>
        <v>4000000</v>
      </c>
      <c r="AZ65" s="37" t="n">
        <f aca="false">IF(AZ$3&gt;=SFD_Acq_Month,INDEX(SFD_Running,1,AZ$5)/12,0)</f>
        <v>4000000</v>
      </c>
      <c r="BA65" s="37" t="n">
        <f aca="false">IF(BA$3&gt;=SFD_Acq_Month,INDEX(SFD_Running,1,BA$5)/12,0)</f>
        <v>4500000</v>
      </c>
      <c r="BB65" s="37" t="n">
        <f aca="false">IF(BB$3&gt;=SFD_Acq_Month,INDEX(SFD_Running,1,BB$5)/12,0)</f>
        <v>4500000</v>
      </c>
      <c r="BC65" s="37" t="n">
        <f aca="false">IF(BC$3&gt;=SFD_Acq_Month,INDEX(SFD_Running,1,BC$5)/12,0)</f>
        <v>4500000</v>
      </c>
      <c r="BD65" s="37" t="n">
        <f aca="false">IF(BD$3&gt;=SFD_Acq_Month,INDEX(SFD_Running,1,BD$5)/12,0)</f>
        <v>4500000</v>
      </c>
      <c r="BE65" s="37" t="n">
        <f aca="false">IF(BE$3&gt;=SFD_Acq_Month,INDEX(SFD_Running,1,BE$5)/12,0)</f>
        <v>4500000</v>
      </c>
      <c r="BF65" s="37" t="n">
        <f aca="false">IF(BF$3&gt;=SFD_Acq_Month,INDEX(SFD_Running,1,BF$5)/12,0)</f>
        <v>4500000</v>
      </c>
      <c r="BG65" s="37" t="n">
        <f aca="false">IF(BG$3&gt;=SFD_Acq_Month,INDEX(SFD_Running,1,BG$5)/12,0)</f>
        <v>4500000</v>
      </c>
      <c r="BH65" s="37" t="n">
        <f aca="false">IF(BH$3&gt;=SFD_Acq_Month,INDEX(SFD_Running,1,BH$5)/12,0)</f>
        <v>4500000</v>
      </c>
      <c r="BI65" s="37" t="n">
        <f aca="false">IF(BI$3&gt;=SFD_Acq_Month,INDEX(SFD_Running,1,BI$5)/12,0)</f>
        <v>4500000</v>
      </c>
      <c r="BJ65" s="37" t="n">
        <f aca="false">IF(BJ$3&gt;=SFD_Acq_Month,INDEX(SFD_Running,1,BJ$5)/12,0)</f>
        <v>4500000</v>
      </c>
      <c r="BK65" s="37" t="n">
        <f aca="false">IF(BK$3&gt;=SFD_Acq_Month,INDEX(SFD_Running,1,BK$5)/12,0)</f>
        <v>4500000</v>
      </c>
      <c r="BL65" s="37" t="n">
        <f aca="false">IF(BL$3&gt;=SFD_Acq_Month,INDEX(SFD_Running,1,BL$5)/12,0)</f>
        <v>4500000</v>
      </c>
    </row>
    <row r="66" customFormat="false" ht="15" hidden="false" customHeight="false" outlineLevel="0" collapsed="false">
      <c r="A66" s="12" t="s">
        <v>465</v>
      </c>
      <c r="B66" s="14" t="s">
        <v>71</v>
      </c>
      <c r="D66" s="55" t="n">
        <f aca="false">SUM(E66:BL66)</f>
        <v>120000000</v>
      </c>
      <c r="E66" s="37" t="n">
        <f aca="false">INDEX(Legal_Counsel,1,E$5)</f>
        <v>1000000</v>
      </c>
      <c r="F66" s="37" t="n">
        <f aca="false">INDEX(Legal_Counsel,1,F$5)</f>
        <v>1000000</v>
      </c>
      <c r="G66" s="37" t="n">
        <f aca="false">INDEX(Legal_Counsel,1,G$5)</f>
        <v>1000000</v>
      </c>
      <c r="H66" s="37" t="n">
        <f aca="false">INDEX(Legal_Counsel,1,H$5)</f>
        <v>1000000</v>
      </c>
      <c r="I66" s="37" t="n">
        <f aca="false">INDEX(Legal_Counsel,1,I$5)</f>
        <v>1000000</v>
      </c>
      <c r="J66" s="37" t="n">
        <f aca="false">INDEX(Legal_Counsel,1,J$5)</f>
        <v>1000000</v>
      </c>
      <c r="K66" s="37" t="n">
        <f aca="false">INDEX(Legal_Counsel,1,K$5)</f>
        <v>1000000</v>
      </c>
      <c r="L66" s="37" t="n">
        <f aca="false">INDEX(Legal_Counsel,1,L$5)</f>
        <v>1000000</v>
      </c>
      <c r="M66" s="37" t="n">
        <f aca="false">INDEX(Legal_Counsel,1,M$5)</f>
        <v>1000000</v>
      </c>
      <c r="N66" s="37" t="n">
        <f aca="false">INDEX(Legal_Counsel,1,N$5)</f>
        <v>1000000</v>
      </c>
      <c r="O66" s="37" t="n">
        <f aca="false">INDEX(Legal_Counsel,1,O$5)</f>
        <v>1000000</v>
      </c>
      <c r="P66" s="37" t="n">
        <f aca="false">INDEX(Legal_Counsel,1,P$5)</f>
        <v>1000000</v>
      </c>
      <c r="Q66" s="37" t="n">
        <f aca="false">INDEX(Legal_Counsel,1,Q$5)</f>
        <v>1500000</v>
      </c>
      <c r="R66" s="37" t="n">
        <f aca="false">INDEX(Legal_Counsel,1,R$5)</f>
        <v>1500000</v>
      </c>
      <c r="S66" s="37" t="n">
        <f aca="false">INDEX(Legal_Counsel,1,S$5)</f>
        <v>1500000</v>
      </c>
      <c r="T66" s="37" t="n">
        <f aca="false">INDEX(Legal_Counsel,1,T$5)</f>
        <v>1500000</v>
      </c>
      <c r="U66" s="37" t="n">
        <f aca="false">INDEX(Legal_Counsel,1,U$5)</f>
        <v>1500000</v>
      </c>
      <c r="V66" s="37" t="n">
        <f aca="false">INDEX(Legal_Counsel,1,V$5)</f>
        <v>1500000</v>
      </c>
      <c r="W66" s="37" t="n">
        <f aca="false">INDEX(Legal_Counsel,1,W$5)</f>
        <v>1500000</v>
      </c>
      <c r="X66" s="37" t="n">
        <f aca="false">INDEX(Legal_Counsel,1,X$5)</f>
        <v>1500000</v>
      </c>
      <c r="Y66" s="37" t="n">
        <f aca="false">INDEX(Legal_Counsel,1,Y$5)</f>
        <v>1500000</v>
      </c>
      <c r="Z66" s="37" t="n">
        <f aca="false">INDEX(Legal_Counsel,1,Z$5)</f>
        <v>1500000</v>
      </c>
      <c r="AA66" s="37" t="n">
        <f aca="false">INDEX(Legal_Counsel,1,AA$5)</f>
        <v>1500000</v>
      </c>
      <c r="AB66" s="37" t="n">
        <f aca="false">INDEX(Legal_Counsel,1,AB$5)</f>
        <v>1500000</v>
      </c>
      <c r="AC66" s="37" t="n">
        <f aca="false">INDEX(Legal_Counsel,1,AC$5)</f>
        <v>2000000</v>
      </c>
      <c r="AD66" s="37" t="n">
        <f aca="false">INDEX(Legal_Counsel,1,AD$5)</f>
        <v>2000000</v>
      </c>
      <c r="AE66" s="37" t="n">
        <f aca="false">INDEX(Legal_Counsel,1,AE$5)</f>
        <v>2000000</v>
      </c>
      <c r="AF66" s="37" t="n">
        <f aca="false">INDEX(Legal_Counsel,1,AF$5)</f>
        <v>2000000</v>
      </c>
      <c r="AG66" s="37" t="n">
        <f aca="false">INDEX(Legal_Counsel,1,AG$5)</f>
        <v>2000000</v>
      </c>
      <c r="AH66" s="37" t="n">
        <f aca="false">INDEX(Legal_Counsel,1,AH$5)</f>
        <v>2000000</v>
      </c>
      <c r="AI66" s="37" t="n">
        <f aca="false">INDEX(Legal_Counsel,1,AI$5)</f>
        <v>2000000</v>
      </c>
      <c r="AJ66" s="37" t="n">
        <f aca="false">INDEX(Legal_Counsel,1,AJ$5)</f>
        <v>2000000</v>
      </c>
      <c r="AK66" s="37" t="n">
        <f aca="false">INDEX(Legal_Counsel,1,AK$5)</f>
        <v>2000000</v>
      </c>
      <c r="AL66" s="37" t="n">
        <f aca="false">INDEX(Legal_Counsel,1,AL$5)</f>
        <v>2000000</v>
      </c>
      <c r="AM66" s="37" t="n">
        <f aca="false">INDEX(Legal_Counsel,1,AM$5)</f>
        <v>2000000</v>
      </c>
      <c r="AN66" s="37" t="n">
        <f aca="false">INDEX(Legal_Counsel,1,AN$5)</f>
        <v>2000000</v>
      </c>
      <c r="AO66" s="37" t="n">
        <f aca="false">INDEX(Legal_Counsel,1,AO$5)</f>
        <v>2500000</v>
      </c>
      <c r="AP66" s="37" t="n">
        <f aca="false">INDEX(Legal_Counsel,1,AP$5)</f>
        <v>2500000</v>
      </c>
      <c r="AQ66" s="37" t="n">
        <f aca="false">INDEX(Legal_Counsel,1,AQ$5)</f>
        <v>2500000</v>
      </c>
      <c r="AR66" s="37" t="n">
        <f aca="false">INDEX(Legal_Counsel,1,AR$5)</f>
        <v>2500000</v>
      </c>
      <c r="AS66" s="37" t="n">
        <f aca="false">INDEX(Legal_Counsel,1,AS$5)</f>
        <v>2500000</v>
      </c>
      <c r="AT66" s="37" t="n">
        <f aca="false">INDEX(Legal_Counsel,1,AT$5)</f>
        <v>2500000</v>
      </c>
      <c r="AU66" s="37" t="n">
        <f aca="false">INDEX(Legal_Counsel,1,AU$5)</f>
        <v>2500000</v>
      </c>
      <c r="AV66" s="37" t="n">
        <f aca="false">INDEX(Legal_Counsel,1,AV$5)</f>
        <v>2500000</v>
      </c>
      <c r="AW66" s="37" t="n">
        <f aca="false">INDEX(Legal_Counsel,1,AW$5)</f>
        <v>2500000</v>
      </c>
      <c r="AX66" s="37" t="n">
        <f aca="false">INDEX(Legal_Counsel,1,AX$5)</f>
        <v>2500000</v>
      </c>
      <c r="AY66" s="37" t="n">
        <f aca="false">INDEX(Legal_Counsel,1,AY$5)</f>
        <v>2500000</v>
      </c>
      <c r="AZ66" s="37" t="n">
        <f aca="false">INDEX(Legal_Counsel,1,AZ$5)</f>
        <v>2500000</v>
      </c>
      <c r="BA66" s="37" t="n">
        <f aca="false">INDEX(Legal_Counsel,1,BA$5)</f>
        <v>3000000</v>
      </c>
      <c r="BB66" s="37" t="n">
        <f aca="false">INDEX(Legal_Counsel,1,BB$5)</f>
        <v>3000000</v>
      </c>
      <c r="BC66" s="37" t="n">
        <f aca="false">INDEX(Legal_Counsel,1,BC$5)</f>
        <v>3000000</v>
      </c>
      <c r="BD66" s="37" t="n">
        <f aca="false">INDEX(Legal_Counsel,1,BD$5)</f>
        <v>3000000</v>
      </c>
      <c r="BE66" s="37" t="n">
        <f aca="false">INDEX(Legal_Counsel,1,BE$5)</f>
        <v>3000000</v>
      </c>
      <c r="BF66" s="37" t="n">
        <f aca="false">INDEX(Legal_Counsel,1,BF$5)</f>
        <v>3000000</v>
      </c>
      <c r="BG66" s="37" t="n">
        <f aca="false">INDEX(Legal_Counsel,1,BG$5)</f>
        <v>3000000</v>
      </c>
      <c r="BH66" s="37" t="n">
        <f aca="false">INDEX(Legal_Counsel,1,BH$5)</f>
        <v>3000000</v>
      </c>
      <c r="BI66" s="37" t="n">
        <f aca="false">INDEX(Legal_Counsel,1,BI$5)</f>
        <v>3000000</v>
      </c>
      <c r="BJ66" s="37" t="n">
        <f aca="false">INDEX(Legal_Counsel,1,BJ$5)</f>
        <v>3000000</v>
      </c>
      <c r="BK66" s="37" t="n">
        <f aca="false">INDEX(Legal_Counsel,1,BK$5)</f>
        <v>3000000</v>
      </c>
      <c r="BL66" s="37" t="n">
        <f aca="false">INDEX(Legal_Counsel,1,BL$5)</f>
        <v>3000000</v>
      </c>
    </row>
    <row r="67" customFormat="false" ht="15" hidden="false" customHeight="false" outlineLevel="0" collapsed="false">
      <c r="A67" s="12" t="s">
        <v>466</v>
      </c>
      <c r="B67" s="14" t="s">
        <v>71</v>
      </c>
      <c r="D67" s="55" t="n">
        <f aca="false">SUM(E67:BL67)</f>
        <v>105000000</v>
      </c>
      <c r="E67" s="37" t="n">
        <f aca="false">INDEX(Auditor,1,E$5)/12</f>
        <v>416666.666666667</v>
      </c>
      <c r="F67" s="37" t="n">
        <f aca="false">INDEX(Auditor,1,F$5)/12</f>
        <v>416666.666666667</v>
      </c>
      <c r="G67" s="37" t="n">
        <f aca="false">INDEX(Auditor,1,G$5)/12</f>
        <v>416666.666666667</v>
      </c>
      <c r="H67" s="37" t="n">
        <f aca="false">INDEX(Auditor,1,H$5)/12</f>
        <v>416666.666666667</v>
      </c>
      <c r="I67" s="37" t="n">
        <f aca="false">INDEX(Auditor,1,I$5)/12</f>
        <v>416666.666666667</v>
      </c>
      <c r="J67" s="37" t="n">
        <f aca="false">INDEX(Auditor,1,J$5)/12</f>
        <v>416666.666666667</v>
      </c>
      <c r="K67" s="37" t="n">
        <f aca="false">INDEX(Auditor,1,K$5)/12</f>
        <v>416666.666666667</v>
      </c>
      <c r="L67" s="37" t="n">
        <f aca="false">INDEX(Auditor,1,L$5)/12</f>
        <v>416666.666666667</v>
      </c>
      <c r="M67" s="37" t="n">
        <f aca="false">INDEX(Auditor,1,M$5)/12</f>
        <v>416666.666666667</v>
      </c>
      <c r="N67" s="37" t="n">
        <f aca="false">INDEX(Auditor,1,N$5)/12</f>
        <v>416666.666666667</v>
      </c>
      <c r="O67" s="37" t="n">
        <f aca="false">INDEX(Auditor,1,O$5)/12</f>
        <v>416666.666666667</v>
      </c>
      <c r="P67" s="37" t="n">
        <f aca="false">INDEX(Auditor,1,P$5)/12</f>
        <v>416666.666666667</v>
      </c>
      <c r="Q67" s="37" t="n">
        <f aca="false">INDEX(Auditor,1,Q$5)/12</f>
        <v>833333.333333333</v>
      </c>
      <c r="R67" s="37" t="n">
        <f aca="false">INDEX(Auditor,1,R$5)/12</f>
        <v>833333.333333333</v>
      </c>
      <c r="S67" s="37" t="n">
        <f aca="false">INDEX(Auditor,1,S$5)/12</f>
        <v>833333.333333333</v>
      </c>
      <c r="T67" s="37" t="n">
        <f aca="false">INDEX(Auditor,1,T$5)/12</f>
        <v>833333.333333333</v>
      </c>
      <c r="U67" s="37" t="n">
        <f aca="false">INDEX(Auditor,1,U$5)/12</f>
        <v>833333.333333333</v>
      </c>
      <c r="V67" s="37" t="n">
        <f aca="false">INDEX(Auditor,1,V$5)/12</f>
        <v>833333.333333333</v>
      </c>
      <c r="W67" s="37" t="n">
        <f aca="false">INDEX(Auditor,1,W$5)/12</f>
        <v>833333.333333333</v>
      </c>
      <c r="X67" s="37" t="n">
        <f aca="false">INDEX(Auditor,1,X$5)/12</f>
        <v>833333.333333333</v>
      </c>
      <c r="Y67" s="37" t="n">
        <f aca="false">INDEX(Auditor,1,Y$5)/12</f>
        <v>833333.333333333</v>
      </c>
      <c r="Z67" s="37" t="n">
        <f aca="false">INDEX(Auditor,1,Z$5)/12</f>
        <v>833333.333333333</v>
      </c>
      <c r="AA67" s="37" t="n">
        <f aca="false">INDEX(Auditor,1,AA$5)/12</f>
        <v>833333.333333333</v>
      </c>
      <c r="AB67" s="37" t="n">
        <f aca="false">INDEX(Auditor,1,AB$5)/12</f>
        <v>833333.333333333</v>
      </c>
      <c r="AC67" s="37" t="n">
        <f aca="false">INDEX(Auditor,1,AC$5)/12</f>
        <v>2083333.33333333</v>
      </c>
      <c r="AD67" s="37" t="n">
        <f aca="false">INDEX(Auditor,1,AD$5)/12</f>
        <v>2083333.33333333</v>
      </c>
      <c r="AE67" s="37" t="n">
        <f aca="false">INDEX(Auditor,1,AE$5)/12</f>
        <v>2083333.33333333</v>
      </c>
      <c r="AF67" s="37" t="n">
        <f aca="false">INDEX(Auditor,1,AF$5)/12</f>
        <v>2083333.33333333</v>
      </c>
      <c r="AG67" s="37" t="n">
        <f aca="false">INDEX(Auditor,1,AG$5)/12</f>
        <v>2083333.33333333</v>
      </c>
      <c r="AH67" s="37" t="n">
        <f aca="false">INDEX(Auditor,1,AH$5)/12</f>
        <v>2083333.33333333</v>
      </c>
      <c r="AI67" s="37" t="n">
        <f aca="false">INDEX(Auditor,1,AI$5)/12</f>
        <v>2083333.33333333</v>
      </c>
      <c r="AJ67" s="37" t="n">
        <f aca="false">INDEX(Auditor,1,AJ$5)/12</f>
        <v>2083333.33333333</v>
      </c>
      <c r="AK67" s="37" t="n">
        <f aca="false">INDEX(Auditor,1,AK$5)/12</f>
        <v>2083333.33333333</v>
      </c>
      <c r="AL67" s="37" t="n">
        <f aca="false">INDEX(Auditor,1,AL$5)/12</f>
        <v>2083333.33333333</v>
      </c>
      <c r="AM67" s="37" t="n">
        <f aca="false">INDEX(Auditor,1,AM$5)/12</f>
        <v>2083333.33333333</v>
      </c>
      <c r="AN67" s="37" t="n">
        <f aca="false">INDEX(Auditor,1,AN$5)/12</f>
        <v>2083333.33333333</v>
      </c>
      <c r="AO67" s="37" t="n">
        <f aca="false">INDEX(Auditor,1,AO$5)/12</f>
        <v>2500000</v>
      </c>
      <c r="AP67" s="37" t="n">
        <f aca="false">INDEX(Auditor,1,AP$5)/12</f>
        <v>2500000</v>
      </c>
      <c r="AQ67" s="37" t="n">
        <f aca="false">INDEX(Auditor,1,AQ$5)/12</f>
        <v>2500000</v>
      </c>
      <c r="AR67" s="37" t="n">
        <f aca="false">INDEX(Auditor,1,AR$5)/12</f>
        <v>2500000</v>
      </c>
      <c r="AS67" s="37" t="n">
        <f aca="false">INDEX(Auditor,1,AS$5)/12</f>
        <v>2500000</v>
      </c>
      <c r="AT67" s="37" t="n">
        <f aca="false">INDEX(Auditor,1,AT$5)/12</f>
        <v>2500000</v>
      </c>
      <c r="AU67" s="37" t="n">
        <f aca="false">INDEX(Auditor,1,AU$5)/12</f>
        <v>2500000</v>
      </c>
      <c r="AV67" s="37" t="n">
        <f aca="false">INDEX(Auditor,1,AV$5)/12</f>
        <v>2500000</v>
      </c>
      <c r="AW67" s="37" t="n">
        <f aca="false">INDEX(Auditor,1,AW$5)/12</f>
        <v>2500000</v>
      </c>
      <c r="AX67" s="37" t="n">
        <f aca="false">INDEX(Auditor,1,AX$5)/12</f>
        <v>2500000</v>
      </c>
      <c r="AY67" s="37" t="n">
        <f aca="false">INDEX(Auditor,1,AY$5)/12</f>
        <v>2500000</v>
      </c>
      <c r="AZ67" s="37" t="n">
        <f aca="false">INDEX(Auditor,1,AZ$5)/12</f>
        <v>2500000</v>
      </c>
      <c r="BA67" s="37" t="n">
        <f aca="false">INDEX(Auditor,1,BA$5)/12</f>
        <v>2916666.66666667</v>
      </c>
      <c r="BB67" s="37" t="n">
        <f aca="false">INDEX(Auditor,1,BB$5)/12</f>
        <v>2916666.66666667</v>
      </c>
      <c r="BC67" s="37" t="n">
        <f aca="false">INDEX(Auditor,1,BC$5)/12</f>
        <v>2916666.66666667</v>
      </c>
      <c r="BD67" s="37" t="n">
        <f aca="false">INDEX(Auditor,1,BD$5)/12</f>
        <v>2916666.66666667</v>
      </c>
      <c r="BE67" s="37" t="n">
        <f aca="false">INDEX(Auditor,1,BE$5)/12</f>
        <v>2916666.66666667</v>
      </c>
      <c r="BF67" s="37" t="n">
        <f aca="false">INDEX(Auditor,1,BF$5)/12</f>
        <v>2916666.66666667</v>
      </c>
      <c r="BG67" s="37" t="n">
        <f aca="false">INDEX(Auditor,1,BG$5)/12</f>
        <v>2916666.66666667</v>
      </c>
      <c r="BH67" s="37" t="n">
        <f aca="false">INDEX(Auditor,1,BH$5)/12</f>
        <v>2916666.66666667</v>
      </c>
      <c r="BI67" s="37" t="n">
        <f aca="false">INDEX(Auditor,1,BI$5)/12</f>
        <v>2916666.66666667</v>
      </c>
      <c r="BJ67" s="37" t="n">
        <f aca="false">INDEX(Auditor,1,BJ$5)/12</f>
        <v>2916666.66666667</v>
      </c>
      <c r="BK67" s="37" t="n">
        <f aca="false">INDEX(Auditor,1,BK$5)/12</f>
        <v>2916666.66666667</v>
      </c>
      <c r="BL67" s="37" t="n">
        <f aca="false">INDEX(Auditor,1,BL$5)/12</f>
        <v>2916666.66666667</v>
      </c>
    </row>
    <row r="68" customFormat="false" ht="15" hidden="false" customHeight="false" outlineLevel="0" collapsed="false">
      <c r="A68" s="12" t="s">
        <v>630</v>
      </c>
      <c r="B68" s="14" t="s">
        <v>71</v>
      </c>
      <c r="D68" s="55" t="n">
        <f aca="false">SUM(E68:BL68)</f>
        <v>43200000</v>
      </c>
      <c r="E68" s="37" t="n">
        <f aca="false">INDEX(Accountant_Ext,1,E$5)</f>
        <v>300000</v>
      </c>
      <c r="F68" s="37" t="n">
        <f aca="false">INDEX(Accountant_Ext,1,F$5)</f>
        <v>300000</v>
      </c>
      <c r="G68" s="37" t="n">
        <f aca="false">INDEX(Accountant_Ext,1,G$5)</f>
        <v>300000</v>
      </c>
      <c r="H68" s="37" t="n">
        <f aca="false">INDEX(Accountant_Ext,1,H$5)</f>
        <v>300000</v>
      </c>
      <c r="I68" s="37" t="n">
        <f aca="false">INDEX(Accountant_Ext,1,I$5)</f>
        <v>300000</v>
      </c>
      <c r="J68" s="37" t="n">
        <f aca="false">INDEX(Accountant_Ext,1,J$5)</f>
        <v>300000</v>
      </c>
      <c r="K68" s="37" t="n">
        <f aca="false">INDEX(Accountant_Ext,1,K$5)</f>
        <v>300000</v>
      </c>
      <c r="L68" s="37" t="n">
        <f aca="false">INDEX(Accountant_Ext,1,L$5)</f>
        <v>300000</v>
      </c>
      <c r="M68" s="37" t="n">
        <f aca="false">INDEX(Accountant_Ext,1,M$5)</f>
        <v>300000</v>
      </c>
      <c r="N68" s="37" t="n">
        <f aca="false">INDEX(Accountant_Ext,1,N$5)</f>
        <v>300000</v>
      </c>
      <c r="O68" s="37" t="n">
        <f aca="false">INDEX(Accountant_Ext,1,O$5)</f>
        <v>300000</v>
      </c>
      <c r="P68" s="37" t="n">
        <f aca="false">INDEX(Accountant_Ext,1,P$5)</f>
        <v>300000</v>
      </c>
      <c r="Q68" s="37" t="n">
        <f aca="false">INDEX(Accountant_Ext,1,Q$5)</f>
        <v>600000</v>
      </c>
      <c r="R68" s="37" t="n">
        <f aca="false">INDEX(Accountant_Ext,1,R$5)</f>
        <v>600000</v>
      </c>
      <c r="S68" s="37" t="n">
        <f aca="false">INDEX(Accountant_Ext,1,S$5)</f>
        <v>600000</v>
      </c>
      <c r="T68" s="37" t="n">
        <f aca="false">INDEX(Accountant_Ext,1,T$5)</f>
        <v>600000</v>
      </c>
      <c r="U68" s="37" t="n">
        <f aca="false">INDEX(Accountant_Ext,1,U$5)</f>
        <v>600000</v>
      </c>
      <c r="V68" s="37" t="n">
        <f aca="false">INDEX(Accountant_Ext,1,V$5)</f>
        <v>600000</v>
      </c>
      <c r="W68" s="37" t="n">
        <f aca="false">INDEX(Accountant_Ext,1,W$5)</f>
        <v>600000</v>
      </c>
      <c r="X68" s="37" t="n">
        <f aca="false">INDEX(Accountant_Ext,1,X$5)</f>
        <v>600000</v>
      </c>
      <c r="Y68" s="37" t="n">
        <f aca="false">INDEX(Accountant_Ext,1,Y$5)</f>
        <v>600000</v>
      </c>
      <c r="Z68" s="37" t="n">
        <f aca="false">INDEX(Accountant_Ext,1,Z$5)</f>
        <v>600000</v>
      </c>
      <c r="AA68" s="37" t="n">
        <f aca="false">INDEX(Accountant_Ext,1,AA$5)</f>
        <v>600000</v>
      </c>
      <c r="AB68" s="37" t="n">
        <f aca="false">INDEX(Accountant_Ext,1,AB$5)</f>
        <v>600000</v>
      </c>
      <c r="AC68" s="37" t="n">
        <f aca="false">INDEX(Accountant_Ext,1,AC$5)</f>
        <v>800000</v>
      </c>
      <c r="AD68" s="37" t="n">
        <f aca="false">INDEX(Accountant_Ext,1,AD$5)</f>
        <v>800000</v>
      </c>
      <c r="AE68" s="37" t="n">
        <f aca="false">INDEX(Accountant_Ext,1,AE$5)</f>
        <v>800000</v>
      </c>
      <c r="AF68" s="37" t="n">
        <f aca="false">INDEX(Accountant_Ext,1,AF$5)</f>
        <v>800000</v>
      </c>
      <c r="AG68" s="37" t="n">
        <f aca="false">INDEX(Accountant_Ext,1,AG$5)</f>
        <v>800000</v>
      </c>
      <c r="AH68" s="37" t="n">
        <f aca="false">INDEX(Accountant_Ext,1,AH$5)</f>
        <v>800000</v>
      </c>
      <c r="AI68" s="37" t="n">
        <f aca="false">INDEX(Accountant_Ext,1,AI$5)</f>
        <v>800000</v>
      </c>
      <c r="AJ68" s="37" t="n">
        <f aca="false">INDEX(Accountant_Ext,1,AJ$5)</f>
        <v>800000</v>
      </c>
      <c r="AK68" s="37" t="n">
        <f aca="false">INDEX(Accountant_Ext,1,AK$5)</f>
        <v>800000</v>
      </c>
      <c r="AL68" s="37" t="n">
        <f aca="false">INDEX(Accountant_Ext,1,AL$5)</f>
        <v>800000</v>
      </c>
      <c r="AM68" s="37" t="n">
        <f aca="false">INDEX(Accountant_Ext,1,AM$5)</f>
        <v>800000</v>
      </c>
      <c r="AN68" s="37" t="n">
        <f aca="false">INDEX(Accountant_Ext,1,AN$5)</f>
        <v>800000</v>
      </c>
      <c r="AO68" s="37" t="n">
        <f aca="false">INDEX(Accountant_Ext,1,AO$5)</f>
        <v>900000</v>
      </c>
      <c r="AP68" s="37" t="n">
        <f aca="false">INDEX(Accountant_Ext,1,AP$5)</f>
        <v>900000</v>
      </c>
      <c r="AQ68" s="37" t="n">
        <f aca="false">INDEX(Accountant_Ext,1,AQ$5)</f>
        <v>900000</v>
      </c>
      <c r="AR68" s="37" t="n">
        <f aca="false">INDEX(Accountant_Ext,1,AR$5)</f>
        <v>900000</v>
      </c>
      <c r="AS68" s="37" t="n">
        <f aca="false">INDEX(Accountant_Ext,1,AS$5)</f>
        <v>900000</v>
      </c>
      <c r="AT68" s="37" t="n">
        <f aca="false">INDEX(Accountant_Ext,1,AT$5)</f>
        <v>900000</v>
      </c>
      <c r="AU68" s="37" t="n">
        <f aca="false">INDEX(Accountant_Ext,1,AU$5)</f>
        <v>900000</v>
      </c>
      <c r="AV68" s="37" t="n">
        <f aca="false">INDEX(Accountant_Ext,1,AV$5)</f>
        <v>900000</v>
      </c>
      <c r="AW68" s="37" t="n">
        <f aca="false">INDEX(Accountant_Ext,1,AW$5)</f>
        <v>900000</v>
      </c>
      <c r="AX68" s="37" t="n">
        <f aca="false">INDEX(Accountant_Ext,1,AX$5)</f>
        <v>900000</v>
      </c>
      <c r="AY68" s="37" t="n">
        <f aca="false">INDEX(Accountant_Ext,1,AY$5)</f>
        <v>900000</v>
      </c>
      <c r="AZ68" s="37" t="n">
        <f aca="false">INDEX(Accountant_Ext,1,AZ$5)</f>
        <v>900000</v>
      </c>
      <c r="BA68" s="37" t="n">
        <f aca="false">INDEX(Accountant_Ext,1,BA$5)</f>
        <v>1000000</v>
      </c>
      <c r="BB68" s="37" t="n">
        <f aca="false">INDEX(Accountant_Ext,1,BB$5)</f>
        <v>1000000</v>
      </c>
      <c r="BC68" s="37" t="n">
        <f aca="false">INDEX(Accountant_Ext,1,BC$5)</f>
        <v>1000000</v>
      </c>
      <c r="BD68" s="37" t="n">
        <f aca="false">INDEX(Accountant_Ext,1,BD$5)</f>
        <v>1000000</v>
      </c>
      <c r="BE68" s="37" t="n">
        <f aca="false">INDEX(Accountant_Ext,1,BE$5)</f>
        <v>1000000</v>
      </c>
      <c r="BF68" s="37" t="n">
        <f aca="false">INDEX(Accountant_Ext,1,BF$5)</f>
        <v>1000000</v>
      </c>
      <c r="BG68" s="37" t="n">
        <f aca="false">INDEX(Accountant_Ext,1,BG$5)</f>
        <v>1000000</v>
      </c>
      <c r="BH68" s="37" t="n">
        <f aca="false">INDEX(Accountant_Ext,1,BH$5)</f>
        <v>1000000</v>
      </c>
      <c r="BI68" s="37" t="n">
        <f aca="false">INDEX(Accountant_Ext,1,BI$5)</f>
        <v>1000000</v>
      </c>
      <c r="BJ68" s="37" t="n">
        <f aca="false">INDEX(Accountant_Ext,1,BJ$5)</f>
        <v>1000000</v>
      </c>
      <c r="BK68" s="37" t="n">
        <f aca="false">INDEX(Accountant_Ext,1,BK$5)</f>
        <v>1000000</v>
      </c>
      <c r="BL68" s="37" t="n">
        <f aca="false">INDEX(Accountant_Ext,1,BL$5)</f>
        <v>1000000</v>
      </c>
    </row>
    <row r="69" customFormat="false" ht="15" hidden="false" customHeight="false" outlineLevel="0" collapsed="false">
      <c r="A69" s="12" t="s">
        <v>469</v>
      </c>
      <c r="B69" s="14" t="s">
        <v>71</v>
      </c>
      <c r="D69" s="55" t="n">
        <f aca="false">SUM(E69:BL69)</f>
        <v>42000000</v>
      </c>
      <c r="E69" s="37" t="n">
        <f aca="false">INDEX(AML_Audit,1,E$5)/12</f>
        <v>0</v>
      </c>
      <c r="F69" s="37" t="n">
        <f aca="false">INDEX(AML_Audit,1,F$5)/12</f>
        <v>0</v>
      </c>
      <c r="G69" s="37" t="n">
        <f aca="false">INDEX(AML_Audit,1,G$5)/12</f>
        <v>0</v>
      </c>
      <c r="H69" s="37" t="n">
        <f aca="false">INDEX(AML_Audit,1,H$5)/12</f>
        <v>0</v>
      </c>
      <c r="I69" s="37" t="n">
        <f aca="false">INDEX(AML_Audit,1,I$5)/12</f>
        <v>0</v>
      </c>
      <c r="J69" s="37" t="n">
        <f aca="false">INDEX(AML_Audit,1,J$5)/12</f>
        <v>0</v>
      </c>
      <c r="K69" s="37" t="n">
        <f aca="false">INDEX(AML_Audit,1,K$5)/12</f>
        <v>0</v>
      </c>
      <c r="L69" s="37" t="n">
        <f aca="false">INDEX(AML_Audit,1,L$5)/12</f>
        <v>0</v>
      </c>
      <c r="M69" s="37" t="n">
        <f aca="false">INDEX(AML_Audit,1,M$5)/12</f>
        <v>0</v>
      </c>
      <c r="N69" s="37" t="n">
        <f aca="false">INDEX(AML_Audit,1,N$5)/12</f>
        <v>0</v>
      </c>
      <c r="O69" s="37" t="n">
        <f aca="false">INDEX(AML_Audit,1,O$5)/12</f>
        <v>0</v>
      </c>
      <c r="P69" s="37" t="n">
        <f aca="false">INDEX(AML_Audit,1,P$5)/12</f>
        <v>0</v>
      </c>
      <c r="Q69" s="37" t="n">
        <f aca="false">INDEX(AML_Audit,1,Q$5)/12</f>
        <v>0</v>
      </c>
      <c r="R69" s="37" t="n">
        <f aca="false">INDEX(AML_Audit,1,R$5)/12</f>
        <v>0</v>
      </c>
      <c r="S69" s="37" t="n">
        <f aca="false">INDEX(AML_Audit,1,S$5)/12</f>
        <v>0</v>
      </c>
      <c r="T69" s="37" t="n">
        <f aca="false">INDEX(AML_Audit,1,T$5)/12</f>
        <v>0</v>
      </c>
      <c r="U69" s="37" t="n">
        <f aca="false">INDEX(AML_Audit,1,U$5)/12</f>
        <v>0</v>
      </c>
      <c r="V69" s="37" t="n">
        <f aca="false">INDEX(AML_Audit,1,V$5)/12</f>
        <v>0</v>
      </c>
      <c r="W69" s="37" t="n">
        <f aca="false">INDEX(AML_Audit,1,W$5)/12</f>
        <v>0</v>
      </c>
      <c r="X69" s="37" t="n">
        <f aca="false">INDEX(AML_Audit,1,X$5)/12</f>
        <v>0</v>
      </c>
      <c r="Y69" s="37" t="n">
        <f aca="false">INDEX(AML_Audit,1,Y$5)/12</f>
        <v>0</v>
      </c>
      <c r="Z69" s="37" t="n">
        <f aca="false">INDEX(AML_Audit,1,Z$5)/12</f>
        <v>0</v>
      </c>
      <c r="AA69" s="37" t="n">
        <f aca="false">INDEX(AML_Audit,1,AA$5)/12</f>
        <v>0</v>
      </c>
      <c r="AB69" s="37" t="n">
        <f aca="false">INDEX(AML_Audit,1,AB$5)/12</f>
        <v>0</v>
      </c>
      <c r="AC69" s="37" t="n">
        <f aca="false">INDEX(AML_Audit,1,AC$5)/12</f>
        <v>1000000</v>
      </c>
      <c r="AD69" s="37" t="n">
        <f aca="false">INDEX(AML_Audit,1,AD$5)/12</f>
        <v>1000000</v>
      </c>
      <c r="AE69" s="37" t="n">
        <f aca="false">INDEX(AML_Audit,1,AE$5)/12</f>
        <v>1000000</v>
      </c>
      <c r="AF69" s="37" t="n">
        <f aca="false">INDEX(AML_Audit,1,AF$5)/12</f>
        <v>1000000</v>
      </c>
      <c r="AG69" s="37" t="n">
        <f aca="false">INDEX(AML_Audit,1,AG$5)/12</f>
        <v>1000000</v>
      </c>
      <c r="AH69" s="37" t="n">
        <f aca="false">INDEX(AML_Audit,1,AH$5)/12</f>
        <v>1000000</v>
      </c>
      <c r="AI69" s="37" t="n">
        <f aca="false">INDEX(AML_Audit,1,AI$5)/12</f>
        <v>1000000</v>
      </c>
      <c r="AJ69" s="37" t="n">
        <f aca="false">INDEX(AML_Audit,1,AJ$5)/12</f>
        <v>1000000</v>
      </c>
      <c r="AK69" s="37" t="n">
        <f aca="false">INDEX(AML_Audit,1,AK$5)/12</f>
        <v>1000000</v>
      </c>
      <c r="AL69" s="37" t="n">
        <f aca="false">INDEX(AML_Audit,1,AL$5)/12</f>
        <v>1000000</v>
      </c>
      <c r="AM69" s="37" t="n">
        <f aca="false">INDEX(AML_Audit,1,AM$5)/12</f>
        <v>1000000</v>
      </c>
      <c r="AN69" s="37" t="n">
        <f aca="false">INDEX(AML_Audit,1,AN$5)/12</f>
        <v>1000000</v>
      </c>
      <c r="AO69" s="37" t="n">
        <f aca="false">INDEX(AML_Audit,1,AO$5)/12</f>
        <v>1166666.66666667</v>
      </c>
      <c r="AP69" s="37" t="n">
        <f aca="false">INDEX(AML_Audit,1,AP$5)/12</f>
        <v>1166666.66666667</v>
      </c>
      <c r="AQ69" s="37" t="n">
        <f aca="false">INDEX(AML_Audit,1,AQ$5)/12</f>
        <v>1166666.66666667</v>
      </c>
      <c r="AR69" s="37" t="n">
        <f aca="false">INDEX(AML_Audit,1,AR$5)/12</f>
        <v>1166666.66666667</v>
      </c>
      <c r="AS69" s="37" t="n">
        <f aca="false">INDEX(AML_Audit,1,AS$5)/12</f>
        <v>1166666.66666667</v>
      </c>
      <c r="AT69" s="37" t="n">
        <f aca="false">INDEX(AML_Audit,1,AT$5)/12</f>
        <v>1166666.66666667</v>
      </c>
      <c r="AU69" s="37" t="n">
        <f aca="false">INDEX(AML_Audit,1,AU$5)/12</f>
        <v>1166666.66666667</v>
      </c>
      <c r="AV69" s="37" t="n">
        <f aca="false">INDEX(AML_Audit,1,AV$5)/12</f>
        <v>1166666.66666667</v>
      </c>
      <c r="AW69" s="37" t="n">
        <f aca="false">INDEX(AML_Audit,1,AW$5)/12</f>
        <v>1166666.66666667</v>
      </c>
      <c r="AX69" s="37" t="n">
        <f aca="false">INDEX(AML_Audit,1,AX$5)/12</f>
        <v>1166666.66666667</v>
      </c>
      <c r="AY69" s="37" t="n">
        <f aca="false">INDEX(AML_Audit,1,AY$5)/12</f>
        <v>1166666.66666667</v>
      </c>
      <c r="AZ69" s="37" t="n">
        <f aca="false">INDEX(AML_Audit,1,AZ$5)/12</f>
        <v>1166666.66666667</v>
      </c>
      <c r="BA69" s="37" t="n">
        <f aca="false">INDEX(AML_Audit,1,BA$5)/12</f>
        <v>1333333.33333333</v>
      </c>
      <c r="BB69" s="37" t="n">
        <f aca="false">INDEX(AML_Audit,1,BB$5)/12</f>
        <v>1333333.33333333</v>
      </c>
      <c r="BC69" s="37" t="n">
        <f aca="false">INDEX(AML_Audit,1,BC$5)/12</f>
        <v>1333333.33333333</v>
      </c>
      <c r="BD69" s="37" t="n">
        <f aca="false">INDEX(AML_Audit,1,BD$5)/12</f>
        <v>1333333.33333333</v>
      </c>
      <c r="BE69" s="37" t="n">
        <f aca="false">INDEX(AML_Audit,1,BE$5)/12</f>
        <v>1333333.33333333</v>
      </c>
      <c r="BF69" s="37" t="n">
        <f aca="false">INDEX(AML_Audit,1,BF$5)/12</f>
        <v>1333333.33333333</v>
      </c>
      <c r="BG69" s="37" t="n">
        <f aca="false">INDEX(AML_Audit,1,BG$5)/12</f>
        <v>1333333.33333333</v>
      </c>
      <c r="BH69" s="37" t="n">
        <f aca="false">INDEX(AML_Audit,1,BH$5)/12</f>
        <v>1333333.33333333</v>
      </c>
      <c r="BI69" s="37" t="n">
        <f aca="false">INDEX(AML_Audit,1,BI$5)/12</f>
        <v>1333333.33333333</v>
      </c>
      <c r="BJ69" s="37" t="n">
        <f aca="false">INDEX(AML_Audit,1,BJ$5)/12</f>
        <v>1333333.33333333</v>
      </c>
      <c r="BK69" s="37" t="n">
        <f aca="false">INDEX(AML_Audit,1,BK$5)/12</f>
        <v>1333333.33333333</v>
      </c>
      <c r="BL69" s="37" t="n">
        <f aca="false">INDEX(AML_Audit,1,BL$5)/12</f>
        <v>1333333.33333333</v>
      </c>
    </row>
    <row r="70" customFormat="false" ht="15" hidden="false" customHeight="false" outlineLevel="0" collapsed="false">
      <c r="A70" s="12" t="s">
        <v>631</v>
      </c>
      <c r="B70" s="14" t="s">
        <v>71</v>
      </c>
      <c r="D70" s="55" t="n">
        <f aca="false">SUM(E70:BL70)</f>
        <v>11000000</v>
      </c>
      <c r="E70" s="37" t="n">
        <f aca="false">INDEX(Data_Protection,1,E$5)/12</f>
        <v>291666.666666667</v>
      </c>
      <c r="F70" s="37" t="n">
        <f aca="false">INDEX(Data_Protection,1,F$5)/12</f>
        <v>291666.666666667</v>
      </c>
      <c r="G70" s="37" t="n">
        <f aca="false">INDEX(Data_Protection,1,G$5)/12</f>
        <v>291666.666666667</v>
      </c>
      <c r="H70" s="37" t="n">
        <f aca="false">INDEX(Data_Protection,1,H$5)/12</f>
        <v>291666.666666667</v>
      </c>
      <c r="I70" s="37" t="n">
        <f aca="false">INDEX(Data_Protection,1,I$5)/12</f>
        <v>291666.666666667</v>
      </c>
      <c r="J70" s="37" t="n">
        <f aca="false">INDEX(Data_Protection,1,J$5)/12</f>
        <v>291666.666666667</v>
      </c>
      <c r="K70" s="37" t="n">
        <f aca="false">INDEX(Data_Protection,1,K$5)/12</f>
        <v>291666.666666667</v>
      </c>
      <c r="L70" s="37" t="n">
        <f aca="false">INDEX(Data_Protection,1,L$5)/12</f>
        <v>291666.666666667</v>
      </c>
      <c r="M70" s="37" t="n">
        <f aca="false">INDEX(Data_Protection,1,M$5)/12</f>
        <v>291666.666666667</v>
      </c>
      <c r="N70" s="37" t="n">
        <f aca="false">INDEX(Data_Protection,1,N$5)/12</f>
        <v>291666.666666667</v>
      </c>
      <c r="O70" s="37" t="n">
        <f aca="false">INDEX(Data_Protection,1,O$5)/12</f>
        <v>291666.666666667</v>
      </c>
      <c r="P70" s="37" t="n">
        <f aca="false">INDEX(Data_Protection,1,P$5)/12</f>
        <v>291666.666666667</v>
      </c>
      <c r="Q70" s="37" t="n">
        <f aca="false">INDEX(Data_Protection,1,Q$5)/12</f>
        <v>250000</v>
      </c>
      <c r="R70" s="37" t="n">
        <f aca="false">INDEX(Data_Protection,1,R$5)/12</f>
        <v>250000</v>
      </c>
      <c r="S70" s="37" t="n">
        <f aca="false">INDEX(Data_Protection,1,S$5)/12</f>
        <v>250000</v>
      </c>
      <c r="T70" s="37" t="n">
        <f aca="false">INDEX(Data_Protection,1,T$5)/12</f>
        <v>250000</v>
      </c>
      <c r="U70" s="37" t="n">
        <f aca="false">INDEX(Data_Protection,1,U$5)/12</f>
        <v>250000</v>
      </c>
      <c r="V70" s="37" t="n">
        <f aca="false">INDEX(Data_Protection,1,V$5)/12</f>
        <v>250000</v>
      </c>
      <c r="W70" s="37" t="n">
        <f aca="false">INDEX(Data_Protection,1,W$5)/12</f>
        <v>250000</v>
      </c>
      <c r="X70" s="37" t="n">
        <f aca="false">INDEX(Data_Protection,1,X$5)/12</f>
        <v>250000</v>
      </c>
      <c r="Y70" s="37" t="n">
        <f aca="false">INDEX(Data_Protection,1,Y$5)/12</f>
        <v>250000</v>
      </c>
      <c r="Z70" s="37" t="n">
        <f aca="false">INDEX(Data_Protection,1,Z$5)/12</f>
        <v>250000</v>
      </c>
      <c r="AA70" s="37" t="n">
        <f aca="false">INDEX(Data_Protection,1,AA$5)/12</f>
        <v>250000</v>
      </c>
      <c r="AB70" s="37" t="n">
        <f aca="false">INDEX(Data_Protection,1,AB$5)/12</f>
        <v>250000</v>
      </c>
      <c r="AC70" s="37" t="n">
        <f aca="false">INDEX(Data_Protection,1,AC$5)/12</f>
        <v>125000</v>
      </c>
      <c r="AD70" s="37" t="n">
        <f aca="false">INDEX(Data_Protection,1,AD$5)/12</f>
        <v>125000</v>
      </c>
      <c r="AE70" s="37" t="n">
        <f aca="false">INDEX(Data_Protection,1,AE$5)/12</f>
        <v>125000</v>
      </c>
      <c r="AF70" s="37" t="n">
        <f aca="false">INDEX(Data_Protection,1,AF$5)/12</f>
        <v>125000</v>
      </c>
      <c r="AG70" s="37" t="n">
        <f aca="false">INDEX(Data_Protection,1,AG$5)/12</f>
        <v>125000</v>
      </c>
      <c r="AH70" s="37" t="n">
        <f aca="false">INDEX(Data_Protection,1,AH$5)/12</f>
        <v>125000</v>
      </c>
      <c r="AI70" s="37" t="n">
        <f aca="false">INDEX(Data_Protection,1,AI$5)/12</f>
        <v>125000</v>
      </c>
      <c r="AJ70" s="37" t="n">
        <f aca="false">INDEX(Data_Protection,1,AJ$5)/12</f>
        <v>125000</v>
      </c>
      <c r="AK70" s="37" t="n">
        <f aca="false">INDEX(Data_Protection,1,AK$5)/12</f>
        <v>125000</v>
      </c>
      <c r="AL70" s="37" t="n">
        <f aca="false">INDEX(Data_Protection,1,AL$5)/12</f>
        <v>125000</v>
      </c>
      <c r="AM70" s="37" t="n">
        <f aca="false">INDEX(Data_Protection,1,AM$5)/12</f>
        <v>125000</v>
      </c>
      <c r="AN70" s="37" t="n">
        <f aca="false">INDEX(Data_Protection,1,AN$5)/12</f>
        <v>125000</v>
      </c>
      <c r="AO70" s="37" t="n">
        <f aca="false">INDEX(Data_Protection,1,AO$5)/12</f>
        <v>125000</v>
      </c>
      <c r="AP70" s="37" t="n">
        <f aca="false">INDEX(Data_Protection,1,AP$5)/12</f>
        <v>125000</v>
      </c>
      <c r="AQ70" s="37" t="n">
        <f aca="false">INDEX(Data_Protection,1,AQ$5)/12</f>
        <v>125000</v>
      </c>
      <c r="AR70" s="37" t="n">
        <f aca="false">INDEX(Data_Protection,1,AR$5)/12</f>
        <v>125000</v>
      </c>
      <c r="AS70" s="37" t="n">
        <f aca="false">INDEX(Data_Protection,1,AS$5)/12</f>
        <v>125000</v>
      </c>
      <c r="AT70" s="37" t="n">
        <f aca="false">INDEX(Data_Protection,1,AT$5)/12</f>
        <v>125000</v>
      </c>
      <c r="AU70" s="37" t="n">
        <f aca="false">INDEX(Data_Protection,1,AU$5)/12</f>
        <v>125000</v>
      </c>
      <c r="AV70" s="37" t="n">
        <f aca="false">INDEX(Data_Protection,1,AV$5)/12</f>
        <v>125000</v>
      </c>
      <c r="AW70" s="37" t="n">
        <f aca="false">INDEX(Data_Protection,1,AW$5)/12</f>
        <v>125000</v>
      </c>
      <c r="AX70" s="37" t="n">
        <f aca="false">INDEX(Data_Protection,1,AX$5)/12</f>
        <v>125000</v>
      </c>
      <c r="AY70" s="37" t="n">
        <f aca="false">INDEX(Data_Protection,1,AY$5)/12</f>
        <v>125000</v>
      </c>
      <c r="AZ70" s="37" t="n">
        <f aca="false">INDEX(Data_Protection,1,AZ$5)/12</f>
        <v>125000</v>
      </c>
      <c r="BA70" s="37" t="n">
        <f aca="false">INDEX(Data_Protection,1,BA$5)/12</f>
        <v>125000</v>
      </c>
      <c r="BB70" s="37" t="n">
        <f aca="false">INDEX(Data_Protection,1,BB$5)/12</f>
        <v>125000</v>
      </c>
      <c r="BC70" s="37" t="n">
        <f aca="false">INDEX(Data_Protection,1,BC$5)/12</f>
        <v>125000</v>
      </c>
      <c r="BD70" s="37" t="n">
        <f aca="false">INDEX(Data_Protection,1,BD$5)/12</f>
        <v>125000</v>
      </c>
      <c r="BE70" s="37" t="n">
        <f aca="false">INDEX(Data_Protection,1,BE$5)/12</f>
        <v>125000</v>
      </c>
      <c r="BF70" s="37" t="n">
        <f aca="false">INDEX(Data_Protection,1,BF$5)/12</f>
        <v>125000</v>
      </c>
      <c r="BG70" s="37" t="n">
        <f aca="false">INDEX(Data_Protection,1,BG$5)/12</f>
        <v>125000</v>
      </c>
      <c r="BH70" s="37" t="n">
        <f aca="false">INDEX(Data_Protection,1,BH$5)/12</f>
        <v>125000</v>
      </c>
      <c r="BI70" s="37" t="n">
        <f aca="false">INDEX(Data_Protection,1,BI$5)/12</f>
        <v>125000</v>
      </c>
      <c r="BJ70" s="37" t="n">
        <f aca="false">INDEX(Data_Protection,1,BJ$5)/12</f>
        <v>125000</v>
      </c>
      <c r="BK70" s="37" t="n">
        <f aca="false">INDEX(Data_Protection,1,BK$5)/12</f>
        <v>125000</v>
      </c>
      <c r="BL70" s="37" t="n">
        <f aca="false">INDEX(Data_Protection,1,BL$5)/12</f>
        <v>125000</v>
      </c>
    </row>
    <row r="71" customFormat="false" ht="15" hidden="false" customHeight="false" outlineLevel="0" collapsed="false">
      <c r="A71" s="12" t="s">
        <v>632</v>
      </c>
      <c r="B71" s="14" t="s">
        <v>71</v>
      </c>
      <c r="D71" s="55" t="n">
        <f aca="false">SUM(E71:BL71)</f>
        <v>104400000</v>
      </c>
      <c r="E71" s="37" t="n">
        <f aca="false">INDEX(Insurance_USD,1,E$5)*FX_USD/12</f>
        <v>966666.666666667</v>
      </c>
      <c r="F71" s="37" t="n">
        <f aca="false">INDEX(Insurance_USD,1,F$5)*FX_USD/12</f>
        <v>966666.666666667</v>
      </c>
      <c r="G71" s="37" t="n">
        <f aca="false">INDEX(Insurance_USD,1,G$5)*FX_USD/12</f>
        <v>966666.666666667</v>
      </c>
      <c r="H71" s="37" t="n">
        <f aca="false">INDEX(Insurance_USD,1,H$5)*FX_USD/12</f>
        <v>966666.666666667</v>
      </c>
      <c r="I71" s="37" t="n">
        <f aca="false">INDEX(Insurance_USD,1,I$5)*FX_USD/12</f>
        <v>966666.666666667</v>
      </c>
      <c r="J71" s="37" t="n">
        <f aca="false">INDEX(Insurance_USD,1,J$5)*FX_USD/12</f>
        <v>966666.666666667</v>
      </c>
      <c r="K71" s="37" t="n">
        <f aca="false">INDEX(Insurance_USD,1,K$5)*FX_USD/12</f>
        <v>966666.666666667</v>
      </c>
      <c r="L71" s="37" t="n">
        <f aca="false">INDEX(Insurance_USD,1,L$5)*FX_USD/12</f>
        <v>966666.666666667</v>
      </c>
      <c r="M71" s="37" t="n">
        <f aca="false">INDEX(Insurance_USD,1,M$5)*FX_USD/12</f>
        <v>966666.666666667</v>
      </c>
      <c r="N71" s="37" t="n">
        <f aca="false">INDEX(Insurance_USD,1,N$5)*FX_USD/12</f>
        <v>966666.666666667</v>
      </c>
      <c r="O71" s="37" t="n">
        <f aca="false">INDEX(Insurance_USD,1,O$5)*FX_USD/12</f>
        <v>966666.666666667</v>
      </c>
      <c r="P71" s="37" t="n">
        <f aca="false">INDEX(Insurance_USD,1,P$5)*FX_USD/12</f>
        <v>966666.666666667</v>
      </c>
      <c r="Q71" s="37" t="n">
        <f aca="false">INDEX(Insurance_USD,1,Q$5)*FX_USD/12</f>
        <v>1208333.33333333</v>
      </c>
      <c r="R71" s="37" t="n">
        <f aca="false">INDEX(Insurance_USD,1,R$5)*FX_USD/12</f>
        <v>1208333.33333333</v>
      </c>
      <c r="S71" s="37" t="n">
        <f aca="false">INDEX(Insurance_USD,1,S$5)*FX_USD/12</f>
        <v>1208333.33333333</v>
      </c>
      <c r="T71" s="37" t="n">
        <f aca="false">INDEX(Insurance_USD,1,T$5)*FX_USD/12</f>
        <v>1208333.33333333</v>
      </c>
      <c r="U71" s="37" t="n">
        <f aca="false">INDEX(Insurance_USD,1,U$5)*FX_USD/12</f>
        <v>1208333.33333333</v>
      </c>
      <c r="V71" s="37" t="n">
        <f aca="false">INDEX(Insurance_USD,1,V$5)*FX_USD/12</f>
        <v>1208333.33333333</v>
      </c>
      <c r="W71" s="37" t="n">
        <f aca="false">INDEX(Insurance_USD,1,W$5)*FX_USD/12</f>
        <v>1208333.33333333</v>
      </c>
      <c r="X71" s="37" t="n">
        <f aca="false">INDEX(Insurance_USD,1,X$5)*FX_USD/12</f>
        <v>1208333.33333333</v>
      </c>
      <c r="Y71" s="37" t="n">
        <f aca="false">INDEX(Insurance_USD,1,Y$5)*FX_USD/12</f>
        <v>1208333.33333333</v>
      </c>
      <c r="Z71" s="37" t="n">
        <f aca="false">INDEX(Insurance_USD,1,Z$5)*FX_USD/12</f>
        <v>1208333.33333333</v>
      </c>
      <c r="AA71" s="37" t="n">
        <f aca="false">INDEX(Insurance_USD,1,AA$5)*FX_USD/12</f>
        <v>1208333.33333333</v>
      </c>
      <c r="AB71" s="37" t="n">
        <f aca="false">INDEX(Insurance_USD,1,AB$5)*FX_USD/12</f>
        <v>1208333.33333333</v>
      </c>
      <c r="AC71" s="37" t="n">
        <f aca="false">INDEX(Insurance_USD,1,AC$5)*FX_USD/12</f>
        <v>1691666.66666667</v>
      </c>
      <c r="AD71" s="37" t="n">
        <f aca="false">INDEX(Insurance_USD,1,AD$5)*FX_USD/12</f>
        <v>1691666.66666667</v>
      </c>
      <c r="AE71" s="37" t="n">
        <f aca="false">INDEX(Insurance_USD,1,AE$5)*FX_USD/12</f>
        <v>1691666.66666667</v>
      </c>
      <c r="AF71" s="37" t="n">
        <f aca="false">INDEX(Insurance_USD,1,AF$5)*FX_USD/12</f>
        <v>1691666.66666667</v>
      </c>
      <c r="AG71" s="37" t="n">
        <f aca="false">INDEX(Insurance_USD,1,AG$5)*FX_USD/12</f>
        <v>1691666.66666667</v>
      </c>
      <c r="AH71" s="37" t="n">
        <f aca="false">INDEX(Insurance_USD,1,AH$5)*FX_USD/12</f>
        <v>1691666.66666667</v>
      </c>
      <c r="AI71" s="37" t="n">
        <f aca="false">INDEX(Insurance_USD,1,AI$5)*FX_USD/12</f>
        <v>1691666.66666667</v>
      </c>
      <c r="AJ71" s="37" t="n">
        <f aca="false">INDEX(Insurance_USD,1,AJ$5)*FX_USD/12</f>
        <v>1691666.66666667</v>
      </c>
      <c r="AK71" s="37" t="n">
        <f aca="false">INDEX(Insurance_USD,1,AK$5)*FX_USD/12</f>
        <v>1691666.66666667</v>
      </c>
      <c r="AL71" s="37" t="n">
        <f aca="false">INDEX(Insurance_USD,1,AL$5)*FX_USD/12</f>
        <v>1691666.66666667</v>
      </c>
      <c r="AM71" s="37" t="n">
        <f aca="false">INDEX(Insurance_USD,1,AM$5)*FX_USD/12</f>
        <v>1691666.66666667</v>
      </c>
      <c r="AN71" s="37" t="n">
        <f aca="false">INDEX(Insurance_USD,1,AN$5)*FX_USD/12</f>
        <v>1691666.66666667</v>
      </c>
      <c r="AO71" s="37" t="n">
        <f aca="false">INDEX(Insurance_USD,1,AO$5)*FX_USD/12</f>
        <v>2175000</v>
      </c>
      <c r="AP71" s="37" t="n">
        <f aca="false">INDEX(Insurance_USD,1,AP$5)*FX_USD/12</f>
        <v>2175000</v>
      </c>
      <c r="AQ71" s="37" t="n">
        <f aca="false">INDEX(Insurance_USD,1,AQ$5)*FX_USD/12</f>
        <v>2175000</v>
      </c>
      <c r="AR71" s="37" t="n">
        <f aca="false">INDEX(Insurance_USD,1,AR$5)*FX_USD/12</f>
        <v>2175000</v>
      </c>
      <c r="AS71" s="37" t="n">
        <f aca="false">INDEX(Insurance_USD,1,AS$5)*FX_USD/12</f>
        <v>2175000</v>
      </c>
      <c r="AT71" s="37" t="n">
        <f aca="false">INDEX(Insurance_USD,1,AT$5)*FX_USD/12</f>
        <v>2175000</v>
      </c>
      <c r="AU71" s="37" t="n">
        <f aca="false">INDEX(Insurance_USD,1,AU$5)*FX_USD/12</f>
        <v>2175000</v>
      </c>
      <c r="AV71" s="37" t="n">
        <f aca="false">INDEX(Insurance_USD,1,AV$5)*FX_USD/12</f>
        <v>2175000</v>
      </c>
      <c r="AW71" s="37" t="n">
        <f aca="false">INDEX(Insurance_USD,1,AW$5)*FX_USD/12</f>
        <v>2175000</v>
      </c>
      <c r="AX71" s="37" t="n">
        <f aca="false">INDEX(Insurance_USD,1,AX$5)*FX_USD/12</f>
        <v>2175000</v>
      </c>
      <c r="AY71" s="37" t="n">
        <f aca="false">INDEX(Insurance_USD,1,AY$5)*FX_USD/12</f>
        <v>2175000</v>
      </c>
      <c r="AZ71" s="37" t="n">
        <f aca="false">INDEX(Insurance_USD,1,AZ$5)*FX_USD/12</f>
        <v>2175000</v>
      </c>
      <c r="BA71" s="37" t="n">
        <f aca="false">INDEX(Insurance_USD,1,BA$5)*FX_USD/12</f>
        <v>2658333.33333333</v>
      </c>
      <c r="BB71" s="37" t="n">
        <f aca="false">INDEX(Insurance_USD,1,BB$5)*FX_USD/12</f>
        <v>2658333.33333333</v>
      </c>
      <c r="BC71" s="37" t="n">
        <f aca="false">INDEX(Insurance_USD,1,BC$5)*FX_USD/12</f>
        <v>2658333.33333333</v>
      </c>
      <c r="BD71" s="37" t="n">
        <f aca="false">INDEX(Insurance_USD,1,BD$5)*FX_USD/12</f>
        <v>2658333.33333333</v>
      </c>
      <c r="BE71" s="37" t="n">
        <f aca="false">INDEX(Insurance_USD,1,BE$5)*FX_USD/12</f>
        <v>2658333.33333333</v>
      </c>
      <c r="BF71" s="37" t="n">
        <f aca="false">INDEX(Insurance_USD,1,BF$5)*FX_USD/12</f>
        <v>2658333.33333333</v>
      </c>
      <c r="BG71" s="37" t="n">
        <f aca="false">INDEX(Insurance_USD,1,BG$5)*FX_USD/12</f>
        <v>2658333.33333333</v>
      </c>
      <c r="BH71" s="37" t="n">
        <f aca="false">INDEX(Insurance_USD,1,BH$5)*FX_USD/12</f>
        <v>2658333.33333333</v>
      </c>
      <c r="BI71" s="37" t="n">
        <f aca="false">INDEX(Insurance_USD,1,BI$5)*FX_USD/12</f>
        <v>2658333.33333333</v>
      </c>
      <c r="BJ71" s="37" t="n">
        <f aca="false">INDEX(Insurance_USD,1,BJ$5)*FX_USD/12</f>
        <v>2658333.33333333</v>
      </c>
      <c r="BK71" s="37" t="n">
        <f aca="false">INDEX(Insurance_USD,1,BK$5)*FX_USD/12</f>
        <v>2658333.33333333</v>
      </c>
      <c r="BL71" s="37" t="n">
        <f aca="false">INDEX(Insurance_USD,1,BL$5)*FX_USD/12</f>
        <v>2658333.33333333</v>
      </c>
    </row>
    <row r="72" customFormat="false" ht="15" hidden="false" customHeight="false" outlineLevel="0" collapsed="false">
      <c r="A72" s="8" t="s">
        <v>840</v>
      </c>
      <c r="B72" s="14" t="s">
        <v>71</v>
      </c>
      <c r="D72" s="55" t="n">
        <f aca="false">SUM(E72:BL72)</f>
        <v>628100000</v>
      </c>
      <c r="E72" s="16" t="n">
        <f aca="false">SUM(E63:E71)</f>
        <v>5475000</v>
      </c>
      <c r="F72" s="16" t="n">
        <f aca="false">SUM(F63:F71)</f>
        <v>2975000</v>
      </c>
      <c r="G72" s="16" t="n">
        <f aca="false">SUM(G63:G71)</f>
        <v>2975000</v>
      </c>
      <c r="H72" s="16" t="n">
        <f aca="false">SUM(H63:H71)</f>
        <v>2975000</v>
      </c>
      <c r="I72" s="16" t="n">
        <f aca="false">SUM(I63:I71)</f>
        <v>2975000</v>
      </c>
      <c r="J72" s="16" t="n">
        <f aca="false">SUM(J63:J71)</f>
        <v>2975000</v>
      </c>
      <c r="K72" s="16" t="n">
        <f aca="false">SUM(K63:K71)</f>
        <v>2975000</v>
      </c>
      <c r="L72" s="16" t="n">
        <f aca="false">SUM(L63:L71)</f>
        <v>2975000</v>
      </c>
      <c r="M72" s="16" t="n">
        <f aca="false">SUM(M63:M71)</f>
        <v>2975000</v>
      </c>
      <c r="N72" s="16" t="n">
        <f aca="false">SUM(N63:N71)</f>
        <v>2975000</v>
      </c>
      <c r="O72" s="16" t="n">
        <f aca="false">SUM(O63:O71)</f>
        <v>2975000</v>
      </c>
      <c r="P72" s="16" t="n">
        <f aca="false">SUM(P63:P71)</f>
        <v>2975000</v>
      </c>
      <c r="Q72" s="16" t="n">
        <f aca="false">SUM(Q63:Q71)</f>
        <v>7725000</v>
      </c>
      <c r="R72" s="16" t="n">
        <f aca="false">SUM(R63:R71)</f>
        <v>7725000</v>
      </c>
      <c r="S72" s="16" t="n">
        <f aca="false">SUM(S63:S71)</f>
        <v>7725000</v>
      </c>
      <c r="T72" s="16" t="n">
        <f aca="false">SUM(T63:T71)</f>
        <v>10725000</v>
      </c>
      <c r="U72" s="16" t="n">
        <f aca="false">SUM(U63:U71)</f>
        <v>7725000</v>
      </c>
      <c r="V72" s="16" t="n">
        <f aca="false">SUM(V63:V71)</f>
        <v>7725000</v>
      </c>
      <c r="W72" s="16" t="n">
        <f aca="false">SUM(W63:W71)</f>
        <v>7725000</v>
      </c>
      <c r="X72" s="16" t="n">
        <f aca="false">SUM(X63:X71)</f>
        <v>7725000</v>
      </c>
      <c r="Y72" s="16" t="n">
        <f aca="false">SUM(Y63:Y71)</f>
        <v>7725000</v>
      </c>
      <c r="Z72" s="16" t="n">
        <f aca="false">SUM(Z63:Z71)</f>
        <v>7725000</v>
      </c>
      <c r="AA72" s="16" t="n">
        <f aca="false">SUM(AA63:AA71)</f>
        <v>7725000</v>
      </c>
      <c r="AB72" s="16" t="n">
        <f aca="false">SUM(AB63:AB71)</f>
        <v>10725000</v>
      </c>
      <c r="AC72" s="16" t="n">
        <f aca="false">SUM(AC63:AC71)</f>
        <v>12033333.3333333</v>
      </c>
      <c r="AD72" s="16" t="n">
        <f aca="false">SUM(AD63:AD71)</f>
        <v>12033333.3333333</v>
      </c>
      <c r="AE72" s="16" t="n">
        <f aca="false">SUM(AE63:AE71)</f>
        <v>12033333.3333333</v>
      </c>
      <c r="AF72" s="16" t="n">
        <f aca="false">SUM(AF63:AF71)</f>
        <v>12033333.3333333</v>
      </c>
      <c r="AG72" s="16" t="n">
        <f aca="false">SUM(AG63:AG71)</f>
        <v>12033333.3333333</v>
      </c>
      <c r="AH72" s="16" t="n">
        <f aca="false">SUM(AH63:AH71)</f>
        <v>12033333.3333333</v>
      </c>
      <c r="AI72" s="16" t="n">
        <f aca="false">SUM(AI63:AI71)</f>
        <v>12033333.3333333</v>
      </c>
      <c r="AJ72" s="16" t="n">
        <f aca="false">SUM(AJ63:AJ71)</f>
        <v>12033333.3333333</v>
      </c>
      <c r="AK72" s="16" t="n">
        <f aca="false">SUM(AK63:AK71)</f>
        <v>12033333.3333333</v>
      </c>
      <c r="AL72" s="16" t="n">
        <f aca="false">SUM(AL63:AL71)</f>
        <v>12033333.3333333</v>
      </c>
      <c r="AM72" s="16" t="n">
        <f aca="false">SUM(AM63:AM71)</f>
        <v>12033333.3333333</v>
      </c>
      <c r="AN72" s="16" t="n">
        <f aca="false">SUM(AN63:AN71)</f>
        <v>12033333.3333333</v>
      </c>
      <c r="AO72" s="16" t="n">
        <f aca="false">SUM(AO63:AO71)</f>
        <v>13366666.6666667</v>
      </c>
      <c r="AP72" s="16" t="n">
        <f aca="false">SUM(AP63:AP71)</f>
        <v>13366666.6666667</v>
      </c>
      <c r="AQ72" s="16" t="n">
        <f aca="false">SUM(AQ63:AQ71)</f>
        <v>13366666.6666667</v>
      </c>
      <c r="AR72" s="16" t="n">
        <f aca="false">SUM(AR63:AR71)</f>
        <v>13366666.6666667</v>
      </c>
      <c r="AS72" s="16" t="n">
        <f aca="false">SUM(AS63:AS71)</f>
        <v>13366666.6666667</v>
      </c>
      <c r="AT72" s="16" t="n">
        <f aca="false">SUM(AT63:AT71)</f>
        <v>13366666.6666667</v>
      </c>
      <c r="AU72" s="16" t="n">
        <f aca="false">SUM(AU63:AU71)</f>
        <v>13366666.6666667</v>
      </c>
      <c r="AV72" s="16" t="n">
        <f aca="false">SUM(AV63:AV71)</f>
        <v>13366666.6666667</v>
      </c>
      <c r="AW72" s="16" t="n">
        <f aca="false">SUM(AW63:AW71)</f>
        <v>13366666.6666667</v>
      </c>
      <c r="AX72" s="16" t="n">
        <f aca="false">SUM(AX63:AX71)</f>
        <v>13366666.6666667</v>
      </c>
      <c r="AY72" s="16" t="n">
        <f aca="false">SUM(AY63:AY71)</f>
        <v>13366666.6666667</v>
      </c>
      <c r="AZ72" s="16" t="n">
        <f aca="false">SUM(AZ63:AZ71)</f>
        <v>13366666.6666667</v>
      </c>
      <c r="BA72" s="16" t="n">
        <f aca="false">SUM(BA63:BA71)</f>
        <v>15533333.3333333</v>
      </c>
      <c r="BB72" s="16" t="n">
        <f aca="false">SUM(BB63:BB71)</f>
        <v>15533333.3333333</v>
      </c>
      <c r="BC72" s="16" t="n">
        <f aca="false">SUM(BC63:BC71)</f>
        <v>15533333.3333333</v>
      </c>
      <c r="BD72" s="16" t="n">
        <f aca="false">SUM(BD63:BD71)</f>
        <v>15533333.3333333</v>
      </c>
      <c r="BE72" s="16" t="n">
        <f aca="false">SUM(BE63:BE71)</f>
        <v>15533333.3333333</v>
      </c>
      <c r="BF72" s="16" t="n">
        <f aca="false">SUM(BF63:BF71)</f>
        <v>15533333.3333333</v>
      </c>
      <c r="BG72" s="16" t="n">
        <f aca="false">SUM(BG63:BG71)</f>
        <v>15533333.3333333</v>
      </c>
      <c r="BH72" s="16" t="n">
        <f aca="false">SUM(BH63:BH71)</f>
        <v>15533333.3333333</v>
      </c>
      <c r="BI72" s="16" t="n">
        <f aca="false">SUM(BI63:BI71)</f>
        <v>15533333.3333333</v>
      </c>
      <c r="BJ72" s="16" t="n">
        <f aca="false">SUM(BJ63:BJ71)</f>
        <v>15533333.3333333</v>
      </c>
      <c r="BK72" s="16" t="n">
        <f aca="false">SUM(BK63:BK71)</f>
        <v>15533333.3333333</v>
      </c>
      <c r="BL72" s="16" t="n">
        <f aca="false">SUM(BL63:BL71)</f>
        <v>15533333.3333333</v>
      </c>
    </row>
    <row r="74" customFormat="false" ht="15" hidden="false" customHeight="false" outlineLevel="0" collapsed="false">
      <c r="A74" s="10" t="s">
        <v>473</v>
      </c>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c r="BC74" s="11"/>
      <c r="BD74" s="11"/>
      <c r="BE74" s="11"/>
      <c r="BF74" s="11"/>
      <c r="BG74" s="11"/>
      <c r="BH74" s="11"/>
      <c r="BI74" s="11"/>
      <c r="BJ74" s="11"/>
      <c r="BK74" s="11"/>
      <c r="BL74" s="11"/>
    </row>
    <row r="75" customFormat="false" ht="15" hidden="false" customHeight="false" outlineLevel="0" collapsed="false">
      <c r="A75" s="12" t="s">
        <v>741</v>
      </c>
      <c r="B75" s="14" t="s">
        <v>71</v>
      </c>
      <c r="D75" s="55" t="n">
        <f aca="false">SUM(E75:BL75)</f>
        <v>333220000</v>
      </c>
      <c r="E75" s="23" t="n">
        <f aca="false">'Sales &amp; marketing'!E40</f>
        <v>0</v>
      </c>
      <c r="F75" s="23" t="n">
        <f aca="false">'Sales &amp; marketing'!F40</f>
        <v>0</v>
      </c>
      <c r="G75" s="23" t="n">
        <f aca="false">'Sales &amp; marketing'!G40</f>
        <v>0</v>
      </c>
      <c r="H75" s="23" t="n">
        <f aca="false">'Sales &amp; marketing'!H40</f>
        <v>0</v>
      </c>
      <c r="I75" s="23" t="n">
        <f aca="false">'Sales &amp; marketing'!I40</f>
        <v>1310000</v>
      </c>
      <c r="J75" s="23" t="n">
        <f aca="false">'Sales &amp; marketing'!J40</f>
        <v>1310000</v>
      </c>
      <c r="K75" s="23" t="n">
        <f aca="false">'Sales &amp; marketing'!K40</f>
        <v>1310000</v>
      </c>
      <c r="L75" s="23" t="n">
        <f aca="false">'Sales &amp; marketing'!L40</f>
        <v>1310000</v>
      </c>
      <c r="M75" s="23" t="n">
        <f aca="false">'Sales &amp; marketing'!M40</f>
        <v>1310000</v>
      </c>
      <c r="N75" s="23" t="n">
        <f aca="false">'Sales &amp; marketing'!N40</f>
        <v>1310000</v>
      </c>
      <c r="O75" s="23" t="n">
        <f aca="false">'Sales &amp; marketing'!O40</f>
        <v>1310000</v>
      </c>
      <c r="P75" s="23" t="n">
        <f aca="false">'Sales &amp; marketing'!P40</f>
        <v>1310000</v>
      </c>
      <c r="Q75" s="23" t="n">
        <f aca="false">'Sales &amp; marketing'!Q40</f>
        <v>2620000</v>
      </c>
      <c r="R75" s="23" t="n">
        <f aca="false">'Sales &amp; marketing'!R40</f>
        <v>2620000</v>
      </c>
      <c r="S75" s="23" t="n">
        <f aca="false">'Sales &amp; marketing'!S40</f>
        <v>2620000</v>
      </c>
      <c r="T75" s="23" t="n">
        <f aca="false">'Sales &amp; marketing'!T40</f>
        <v>2620000</v>
      </c>
      <c r="U75" s="23" t="n">
        <f aca="false">'Sales &amp; marketing'!U40</f>
        <v>2620000</v>
      </c>
      <c r="V75" s="23" t="n">
        <f aca="false">'Sales &amp; marketing'!V40</f>
        <v>2620000</v>
      </c>
      <c r="W75" s="23" t="n">
        <f aca="false">'Sales &amp; marketing'!W40</f>
        <v>3930000</v>
      </c>
      <c r="X75" s="23" t="n">
        <f aca="false">'Sales &amp; marketing'!X40</f>
        <v>3930000</v>
      </c>
      <c r="Y75" s="23" t="n">
        <f aca="false">'Sales &amp; marketing'!Y40</f>
        <v>3930000</v>
      </c>
      <c r="Z75" s="23" t="n">
        <f aca="false">'Sales &amp; marketing'!Z40</f>
        <v>3930000</v>
      </c>
      <c r="AA75" s="23" t="n">
        <f aca="false">'Sales &amp; marketing'!AA40</f>
        <v>3930000</v>
      </c>
      <c r="AB75" s="23" t="n">
        <f aca="false">'Sales &amp; marketing'!AB40</f>
        <v>3930000</v>
      </c>
      <c r="AC75" s="23" t="n">
        <f aca="false">'Sales &amp; marketing'!AC40</f>
        <v>6560000</v>
      </c>
      <c r="AD75" s="23" t="n">
        <f aca="false">'Sales &amp; marketing'!AD40</f>
        <v>6560000</v>
      </c>
      <c r="AE75" s="23" t="n">
        <f aca="false">'Sales &amp; marketing'!AE40</f>
        <v>6560000</v>
      </c>
      <c r="AF75" s="23" t="n">
        <f aca="false">'Sales &amp; marketing'!AF40</f>
        <v>6560000</v>
      </c>
      <c r="AG75" s="23" t="n">
        <f aca="false">'Sales &amp; marketing'!AG40</f>
        <v>6560000</v>
      </c>
      <c r="AH75" s="23" t="n">
        <f aca="false">'Sales &amp; marketing'!AH40</f>
        <v>6560000</v>
      </c>
      <c r="AI75" s="23" t="n">
        <f aca="false">'Sales &amp; marketing'!AI40</f>
        <v>6560000</v>
      </c>
      <c r="AJ75" s="23" t="n">
        <f aca="false">'Sales &amp; marketing'!AJ40</f>
        <v>6560000</v>
      </c>
      <c r="AK75" s="23" t="n">
        <f aca="false">'Sales &amp; marketing'!AK40</f>
        <v>6560000</v>
      </c>
      <c r="AL75" s="23" t="n">
        <f aca="false">'Sales &amp; marketing'!AL40</f>
        <v>6560000</v>
      </c>
      <c r="AM75" s="23" t="n">
        <f aca="false">'Sales &amp; marketing'!AM40</f>
        <v>6560000</v>
      </c>
      <c r="AN75" s="23" t="n">
        <f aca="false">'Sales &amp; marketing'!AN40</f>
        <v>6560000</v>
      </c>
      <c r="AO75" s="23" t="n">
        <f aca="false">'Sales &amp; marketing'!AO40</f>
        <v>7870000</v>
      </c>
      <c r="AP75" s="23" t="n">
        <f aca="false">'Sales &amp; marketing'!AP40</f>
        <v>7870000</v>
      </c>
      <c r="AQ75" s="23" t="n">
        <f aca="false">'Sales &amp; marketing'!AQ40</f>
        <v>7870000</v>
      </c>
      <c r="AR75" s="23" t="n">
        <f aca="false">'Sales &amp; marketing'!AR40</f>
        <v>7870000</v>
      </c>
      <c r="AS75" s="23" t="n">
        <f aca="false">'Sales &amp; marketing'!AS40</f>
        <v>7870000</v>
      </c>
      <c r="AT75" s="23" t="n">
        <f aca="false">'Sales &amp; marketing'!AT40</f>
        <v>7870000</v>
      </c>
      <c r="AU75" s="23" t="n">
        <f aca="false">'Sales &amp; marketing'!AU40</f>
        <v>7870000</v>
      </c>
      <c r="AV75" s="23" t="n">
        <f aca="false">'Sales &amp; marketing'!AV40</f>
        <v>7870000</v>
      </c>
      <c r="AW75" s="23" t="n">
        <f aca="false">'Sales &amp; marketing'!AW40</f>
        <v>7870000</v>
      </c>
      <c r="AX75" s="23" t="n">
        <f aca="false">'Sales &amp; marketing'!AX40</f>
        <v>7870000</v>
      </c>
      <c r="AY75" s="23" t="n">
        <f aca="false">'Sales &amp; marketing'!AY40</f>
        <v>7870000</v>
      </c>
      <c r="AZ75" s="23" t="n">
        <f aca="false">'Sales &amp; marketing'!AZ40</f>
        <v>7870000</v>
      </c>
      <c r="BA75" s="23" t="n">
        <f aca="false">'Sales &amp; marketing'!BA40</f>
        <v>9190000</v>
      </c>
      <c r="BB75" s="23" t="n">
        <f aca="false">'Sales &amp; marketing'!BB40</f>
        <v>9190000</v>
      </c>
      <c r="BC75" s="23" t="n">
        <f aca="false">'Sales &amp; marketing'!BC40</f>
        <v>9190000</v>
      </c>
      <c r="BD75" s="23" t="n">
        <f aca="false">'Sales &amp; marketing'!BD40</f>
        <v>9190000</v>
      </c>
      <c r="BE75" s="23" t="n">
        <f aca="false">'Sales &amp; marketing'!BE40</f>
        <v>9190000</v>
      </c>
      <c r="BF75" s="23" t="n">
        <f aca="false">'Sales &amp; marketing'!BF40</f>
        <v>9190000</v>
      </c>
      <c r="BG75" s="23" t="n">
        <f aca="false">'Sales &amp; marketing'!BG40</f>
        <v>9190000</v>
      </c>
      <c r="BH75" s="23" t="n">
        <f aca="false">'Sales &amp; marketing'!BH40</f>
        <v>9190000</v>
      </c>
      <c r="BI75" s="23" t="n">
        <f aca="false">'Sales &amp; marketing'!BI40</f>
        <v>9190000</v>
      </c>
      <c r="BJ75" s="23" t="n">
        <f aca="false">'Sales &amp; marketing'!BJ40</f>
        <v>9190000</v>
      </c>
      <c r="BK75" s="23" t="n">
        <f aca="false">'Sales &amp; marketing'!BK40</f>
        <v>9190000</v>
      </c>
      <c r="BL75" s="23" t="n">
        <f aca="false">'Sales &amp; marketing'!BL40</f>
        <v>9190000</v>
      </c>
    </row>
    <row r="76" customFormat="false" ht="15" hidden="false" customHeight="false" outlineLevel="0" collapsed="false">
      <c r="A76" s="12" t="s">
        <v>477</v>
      </c>
      <c r="B76" s="14" t="s">
        <v>71</v>
      </c>
      <c r="D76" s="55" t="n">
        <f aca="false">SUM(E76:BL76)</f>
        <v>41330000</v>
      </c>
      <c r="E76" s="23" t="n">
        <f aca="false">'Sales &amp; marketing'!E41</f>
        <v>1366666.66666667</v>
      </c>
      <c r="F76" s="23" t="n">
        <f aca="false">'Sales &amp; marketing'!F41</f>
        <v>1366666.66666667</v>
      </c>
      <c r="G76" s="23" t="n">
        <f aca="false">'Sales &amp; marketing'!G41</f>
        <v>1366666.66666667</v>
      </c>
      <c r="H76" s="23" t="n">
        <f aca="false">'Sales &amp; marketing'!H41</f>
        <v>1366666.66666667</v>
      </c>
      <c r="I76" s="23" t="n">
        <f aca="false">'Sales &amp; marketing'!I41</f>
        <v>1366666.66666667</v>
      </c>
      <c r="J76" s="23" t="n">
        <f aca="false">'Sales &amp; marketing'!J41</f>
        <v>1366666.66666667</v>
      </c>
      <c r="K76" s="23" t="n">
        <f aca="false">'Sales &amp; marketing'!K41</f>
        <v>1366666.66666667</v>
      </c>
      <c r="L76" s="23" t="n">
        <f aca="false">'Sales &amp; marketing'!L41</f>
        <v>1366666.66666667</v>
      </c>
      <c r="M76" s="23" t="n">
        <f aca="false">'Sales &amp; marketing'!M41</f>
        <v>1366666.66666667</v>
      </c>
      <c r="N76" s="23" t="n">
        <f aca="false">'Sales &amp; marketing'!N41</f>
        <v>1366666.66666667</v>
      </c>
      <c r="O76" s="23" t="n">
        <f aca="false">'Sales &amp; marketing'!O41</f>
        <v>1366666.66666667</v>
      </c>
      <c r="P76" s="23" t="n">
        <f aca="false">'Sales &amp; marketing'!P41</f>
        <v>1366666.66666667</v>
      </c>
      <c r="Q76" s="23" t="n">
        <f aca="false">'Sales &amp; marketing'!Q41</f>
        <v>437500</v>
      </c>
      <c r="R76" s="23" t="n">
        <f aca="false">'Sales &amp; marketing'!R41</f>
        <v>437500</v>
      </c>
      <c r="S76" s="23" t="n">
        <f aca="false">'Sales &amp; marketing'!S41</f>
        <v>437500</v>
      </c>
      <c r="T76" s="23" t="n">
        <f aca="false">'Sales &amp; marketing'!T41</f>
        <v>437500</v>
      </c>
      <c r="U76" s="23" t="n">
        <f aca="false">'Sales &amp; marketing'!U41</f>
        <v>437500</v>
      </c>
      <c r="V76" s="23" t="n">
        <f aca="false">'Sales &amp; marketing'!V41</f>
        <v>437500</v>
      </c>
      <c r="W76" s="23" t="n">
        <f aca="false">'Sales &amp; marketing'!W41</f>
        <v>437500</v>
      </c>
      <c r="X76" s="23" t="n">
        <f aca="false">'Sales &amp; marketing'!X41</f>
        <v>437500</v>
      </c>
      <c r="Y76" s="23" t="n">
        <f aca="false">'Sales &amp; marketing'!Y41</f>
        <v>437500</v>
      </c>
      <c r="Z76" s="23" t="n">
        <f aca="false">'Sales &amp; marketing'!Z41</f>
        <v>437500</v>
      </c>
      <c r="AA76" s="23" t="n">
        <f aca="false">'Sales &amp; marketing'!AA41</f>
        <v>437500</v>
      </c>
      <c r="AB76" s="23" t="n">
        <f aca="false">'Sales &amp; marketing'!AB41</f>
        <v>437500</v>
      </c>
      <c r="AC76" s="23" t="n">
        <f aca="false">'Sales &amp; marketing'!AC41</f>
        <v>546666.666666667</v>
      </c>
      <c r="AD76" s="23" t="n">
        <f aca="false">'Sales &amp; marketing'!AD41</f>
        <v>546666.666666667</v>
      </c>
      <c r="AE76" s="23" t="n">
        <f aca="false">'Sales &amp; marketing'!AE41</f>
        <v>546666.666666667</v>
      </c>
      <c r="AF76" s="23" t="n">
        <f aca="false">'Sales &amp; marketing'!AF41</f>
        <v>546666.666666667</v>
      </c>
      <c r="AG76" s="23" t="n">
        <f aca="false">'Sales &amp; marketing'!AG41</f>
        <v>546666.666666667</v>
      </c>
      <c r="AH76" s="23" t="n">
        <f aca="false">'Sales &amp; marketing'!AH41</f>
        <v>546666.666666667</v>
      </c>
      <c r="AI76" s="23" t="n">
        <f aca="false">'Sales &amp; marketing'!AI41</f>
        <v>546666.666666667</v>
      </c>
      <c r="AJ76" s="23" t="n">
        <f aca="false">'Sales &amp; marketing'!AJ41</f>
        <v>546666.666666667</v>
      </c>
      <c r="AK76" s="23" t="n">
        <f aca="false">'Sales &amp; marketing'!AK41</f>
        <v>546666.666666667</v>
      </c>
      <c r="AL76" s="23" t="n">
        <f aca="false">'Sales &amp; marketing'!AL41</f>
        <v>546666.666666667</v>
      </c>
      <c r="AM76" s="23" t="n">
        <f aca="false">'Sales &amp; marketing'!AM41</f>
        <v>546666.666666667</v>
      </c>
      <c r="AN76" s="23" t="n">
        <f aca="false">'Sales &amp; marketing'!AN41</f>
        <v>546666.666666667</v>
      </c>
      <c r="AO76" s="23" t="n">
        <f aca="false">'Sales &amp; marketing'!AO41</f>
        <v>546666.666666667</v>
      </c>
      <c r="AP76" s="23" t="n">
        <f aca="false">'Sales &amp; marketing'!AP41</f>
        <v>546666.666666667</v>
      </c>
      <c r="AQ76" s="23" t="n">
        <f aca="false">'Sales &amp; marketing'!AQ41</f>
        <v>546666.666666667</v>
      </c>
      <c r="AR76" s="23" t="n">
        <f aca="false">'Sales &amp; marketing'!AR41</f>
        <v>546666.666666667</v>
      </c>
      <c r="AS76" s="23" t="n">
        <f aca="false">'Sales &amp; marketing'!AS41</f>
        <v>546666.666666667</v>
      </c>
      <c r="AT76" s="23" t="n">
        <f aca="false">'Sales &amp; marketing'!AT41</f>
        <v>546666.666666667</v>
      </c>
      <c r="AU76" s="23" t="n">
        <f aca="false">'Sales &amp; marketing'!AU41</f>
        <v>546666.666666667</v>
      </c>
      <c r="AV76" s="23" t="n">
        <f aca="false">'Sales &amp; marketing'!AV41</f>
        <v>546666.666666667</v>
      </c>
      <c r="AW76" s="23" t="n">
        <f aca="false">'Sales &amp; marketing'!AW41</f>
        <v>546666.666666667</v>
      </c>
      <c r="AX76" s="23" t="n">
        <f aca="false">'Sales &amp; marketing'!AX41</f>
        <v>546666.666666667</v>
      </c>
      <c r="AY76" s="23" t="n">
        <f aca="false">'Sales &amp; marketing'!AY41</f>
        <v>546666.666666667</v>
      </c>
      <c r="AZ76" s="23" t="n">
        <f aca="false">'Sales &amp; marketing'!AZ41</f>
        <v>546666.666666667</v>
      </c>
      <c r="BA76" s="23" t="n">
        <f aca="false">'Sales &amp; marketing'!BA41</f>
        <v>546666.666666667</v>
      </c>
      <c r="BB76" s="23" t="n">
        <f aca="false">'Sales &amp; marketing'!BB41</f>
        <v>546666.666666667</v>
      </c>
      <c r="BC76" s="23" t="n">
        <f aca="false">'Sales &amp; marketing'!BC41</f>
        <v>546666.666666667</v>
      </c>
      <c r="BD76" s="23" t="n">
        <f aca="false">'Sales &amp; marketing'!BD41</f>
        <v>546666.666666667</v>
      </c>
      <c r="BE76" s="23" t="n">
        <f aca="false">'Sales &amp; marketing'!BE41</f>
        <v>546666.666666667</v>
      </c>
      <c r="BF76" s="23" t="n">
        <f aca="false">'Sales &amp; marketing'!BF41</f>
        <v>546666.666666667</v>
      </c>
      <c r="BG76" s="23" t="n">
        <f aca="false">'Sales &amp; marketing'!BG41</f>
        <v>546666.666666667</v>
      </c>
      <c r="BH76" s="23" t="n">
        <f aca="false">'Sales &amp; marketing'!BH41</f>
        <v>546666.666666667</v>
      </c>
      <c r="BI76" s="23" t="n">
        <f aca="false">'Sales &amp; marketing'!BI41</f>
        <v>546666.666666667</v>
      </c>
      <c r="BJ76" s="23" t="n">
        <f aca="false">'Sales &amp; marketing'!BJ41</f>
        <v>546666.666666667</v>
      </c>
      <c r="BK76" s="23" t="n">
        <f aca="false">'Sales &amp; marketing'!BK41</f>
        <v>546666.666666667</v>
      </c>
      <c r="BL76" s="23" t="n">
        <f aca="false">'Sales &amp; marketing'!BL41</f>
        <v>546666.666666667</v>
      </c>
    </row>
    <row r="77" customFormat="false" ht="15" hidden="false" customHeight="false" outlineLevel="0" collapsed="false">
      <c r="A77" s="12" t="s">
        <v>479</v>
      </c>
      <c r="B77" s="14" t="s">
        <v>71</v>
      </c>
      <c r="D77" s="55" t="n">
        <f aca="false">SUM(E77:BL77)</f>
        <v>137740000</v>
      </c>
      <c r="E77" s="23" t="n">
        <f aca="false">'Sales &amp; marketing'!E42</f>
        <v>820000</v>
      </c>
      <c r="F77" s="23" t="n">
        <f aca="false">'Sales &amp; marketing'!F42</f>
        <v>820000</v>
      </c>
      <c r="G77" s="23" t="n">
        <f aca="false">'Sales &amp; marketing'!G42</f>
        <v>820000</v>
      </c>
      <c r="H77" s="23" t="n">
        <f aca="false">'Sales &amp; marketing'!H42</f>
        <v>820000</v>
      </c>
      <c r="I77" s="23" t="n">
        <f aca="false">'Sales &amp; marketing'!I42</f>
        <v>820000</v>
      </c>
      <c r="J77" s="23" t="n">
        <f aca="false">'Sales &amp; marketing'!J42</f>
        <v>820000</v>
      </c>
      <c r="K77" s="23" t="n">
        <f aca="false">'Sales &amp; marketing'!K42</f>
        <v>820000</v>
      </c>
      <c r="L77" s="23" t="n">
        <f aca="false">'Sales &amp; marketing'!L42</f>
        <v>820000</v>
      </c>
      <c r="M77" s="23" t="n">
        <f aca="false">'Sales &amp; marketing'!M42</f>
        <v>820000</v>
      </c>
      <c r="N77" s="23" t="n">
        <f aca="false">'Sales &amp; marketing'!N42</f>
        <v>820000</v>
      </c>
      <c r="O77" s="23" t="n">
        <f aca="false">'Sales &amp; marketing'!O42</f>
        <v>820000</v>
      </c>
      <c r="P77" s="23" t="n">
        <f aca="false">'Sales &amp; marketing'!P42</f>
        <v>820000</v>
      </c>
      <c r="Q77" s="23" t="n">
        <f aca="false">'Sales &amp; marketing'!Q42</f>
        <v>1641666.66666667</v>
      </c>
      <c r="R77" s="23" t="n">
        <f aca="false">'Sales &amp; marketing'!R42</f>
        <v>1641666.66666667</v>
      </c>
      <c r="S77" s="23" t="n">
        <f aca="false">'Sales &amp; marketing'!S42</f>
        <v>1641666.66666667</v>
      </c>
      <c r="T77" s="23" t="n">
        <f aca="false">'Sales &amp; marketing'!T42</f>
        <v>1641666.66666667</v>
      </c>
      <c r="U77" s="23" t="n">
        <f aca="false">'Sales &amp; marketing'!U42</f>
        <v>1641666.66666667</v>
      </c>
      <c r="V77" s="23" t="n">
        <f aca="false">'Sales &amp; marketing'!V42</f>
        <v>1641666.66666667</v>
      </c>
      <c r="W77" s="23" t="n">
        <f aca="false">'Sales &amp; marketing'!W42</f>
        <v>1641666.66666667</v>
      </c>
      <c r="X77" s="23" t="n">
        <f aca="false">'Sales &amp; marketing'!X42</f>
        <v>1641666.66666667</v>
      </c>
      <c r="Y77" s="23" t="n">
        <f aca="false">'Sales &amp; marketing'!Y42</f>
        <v>1641666.66666667</v>
      </c>
      <c r="Z77" s="23" t="n">
        <f aca="false">'Sales &amp; marketing'!Z42</f>
        <v>1641666.66666667</v>
      </c>
      <c r="AA77" s="23" t="n">
        <f aca="false">'Sales &amp; marketing'!AA42</f>
        <v>1641666.66666667</v>
      </c>
      <c r="AB77" s="23" t="n">
        <f aca="false">'Sales &amp; marketing'!AB42</f>
        <v>1641666.66666667</v>
      </c>
      <c r="AC77" s="23" t="n">
        <f aca="false">'Sales &amp; marketing'!AC42</f>
        <v>2458333.33333333</v>
      </c>
      <c r="AD77" s="23" t="n">
        <f aca="false">'Sales &amp; marketing'!AD42</f>
        <v>2458333.33333333</v>
      </c>
      <c r="AE77" s="23" t="n">
        <f aca="false">'Sales &amp; marketing'!AE42</f>
        <v>2458333.33333333</v>
      </c>
      <c r="AF77" s="23" t="n">
        <f aca="false">'Sales &amp; marketing'!AF42</f>
        <v>2458333.33333333</v>
      </c>
      <c r="AG77" s="23" t="n">
        <f aca="false">'Sales &amp; marketing'!AG42</f>
        <v>2458333.33333333</v>
      </c>
      <c r="AH77" s="23" t="n">
        <f aca="false">'Sales &amp; marketing'!AH42</f>
        <v>2458333.33333333</v>
      </c>
      <c r="AI77" s="23" t="n">
        <f aca="false">'Sales &amp; marketing'!AI42</f>
        <v>2458333.33333333</v>
      </c>
      <c r="AJ77" s="23" t="n">
        <f aca="false">'Sales &amp; marketing'!AJ42</f>
        <v>2458333.33333333</v>
      </c>
      <c r="AK77" s="23" t="n">
        <f aca="false">'Sales &amp; marketing'!AK42</f>
        <v>2458333.33333333</v>
      </c>
      <c r="AL77" s="23" t="n">
        <f aca="false">'Sales &amp; marketing'!AL42</f>
        <v>2458333.33333333</v>
      </c>
      <c r="AM77" s="23" t="n">
        <f aca="false">'Sales &amp; marketing'!AM42</f>
        <v>2458333.33333333</v>
      </c>
      <c r="AN77" s="23" t="n">
        <f aca="false">'Sales &amp; marketing'!AN42</f>
        <v>2458333.33333333</v>
      </c>
      <c r="AO77" s="23" t="n">
        <f aca="false">'Sales &amp; marketing'!AO42</f>
        <v>3008333.33333333</v>
      </c>
      <c r="AP77" s="23" t="n">
        <f aca="false">'Sales &amp; marketing'!AP42</f>
        <v>3008333.33333333</v>
      </c>
      <c r="AQ77" s="23" t="n">
        <f aca="false">'Sales &amp; marketing'!AQ42</f>
        <v>3008333.33333333</v>
      </c>
      <c r="AR77" s="23" t="n">
        <f aca="false">'Sales &amp; marketing'!AR42</f>
        <v>3008333.33333333</v>
      </c>
      <c r="AS77" s="23" t="n">
        <f aca="false">'Sales &amp; marketing'!AS42</f>
        <v>3008333.33333333</v>
      </c>
      <c r="AT77" s="23" t="n">
        <f aca="false">'Sales &amp; marketing'!AT42</f>
        <v>3008333.33333333</v>
      </c>
      <c r="AU77" s="23" t="n">
        <f aca="false">'Sales &amp; marketing'!AU42</f>
        <v>3008333.33333333</v>
      </c>
      <c r="AV77" s="23" t="n">
        <f aca="false">'Sales &amp; marketing'!AV42</f>
        <v>3008333.33333333</v>
      </c>
      <c r="AW77" s="23" t="n">
        <f aca="false">'Sales &amp; marketing'!AW42</f>
        <v>3008333.33333333</v>
      </c>
      <c r="AX77" s="23" t="n">
        <f aca="false">'Sales &amp; marketing'!AX42</f>
        <v>3008333.33333333</v>
      </c>
      <c r="AY77" s="23" t="n">
        <f aca="false">'Sales &amp; marketing'!AY42</f>
        <v>3008333.33333333</v>
      </c>
      <c r="AZ77" s="23" t="n">
        <f aca="false">'Sales &amp; marketing'!AZ42</f>
        <v>3008333.33333333</v>
      </c>
      <c r="BA77" s="23" t="n">
        <f aca="false">'Sales &amp; marketing'!BA42</f>
        <v>3550000</v>
      </c>
      <c r="BB77" s="23" t="n">
        <f aca="false">'Sales &amp; marketing'!BB42</f>
        <v>3550000</v>
      </c>
      <c r="BC77" s="23" t="n">
        <f aca="false">'Sales &amp; marketing'!BC42</f>
        <v>3550000</v>
      </c>
      <c r="BD77" s="23" t="n">
        <f aca="false">'Sales &amp; marketing'!BD42</f>
        <v>3550000</v>
      </c>
      <c r="BE77" s="23" t="n">
        <f aca="false">'Sales &amp; marketing'!BE42</f>
        <v>3550000</v>
      </c>
      <c r="BF77" s="23" t="n">
        <f aca="false">'Sales &amp; marketing'!BF42</f>
        <v>3550000</v>
      </c>
      <c r="BG77" s="23" t="n">
        <f aca="false">'Sales &amp; marketing'!BG42</f>
        <v>3550000</v>
      </c>
      <c r="BH77" s="23" t="n">
        <f aca="false">'Sales &amp; marketing'!BH42</f>
        <v>3550000</v>
      </c>
      <c r="BI77" s="23" t="n">
        <f aca="false">'Sales &amp; marketing'!BI42</f>
        <v>3550000</v>
      </c>
      <c r="BJ77" s="23" t="n">
        <f aca="false">'Sales &amp; marketing'!BJ42</f>
        <v>3550000</v>
      </c>
      <c r="BK77" s="23" t="n">
        <f aca="false">'Sales &amp; marketing'!BK42</f>
        <v>3550000</v>
      </c>
      <c r="BL77" s="23" t="n">
        <f aca="false">'Sales &amp; marketing'!BL42</f>
        <v>3550000</v>
      </c>
    </row>
    <row r="78" customFormat="false" ht="15" hidden="false" customHeight="false" outlineLevel="0" collapsed="false">
      <c r="A78" s="12" t="s">
        <v>742</v>
      </c>
      <c r="B78" s="14" t="s">
        <v>71</v>
      </c>
      <c r="D78" s="55" t="n">
        <f aca="false">SUM(E78:BL78)</f>
        <v>95994511.508861</v>
      </c>
      <c r="E78" s="23" t="n">
        <f aca="false">'Sales &amp; marketing'!E43</f>
        <v>0</v>
      </c>
      <c r="F78" s="23" t="n">
        <f aca="false">'Sales &amp; marketing'!F43</f>
        <v>0</v>
      </c>
      <c r="G78" s="23" t="n">
        <f aca="false">'Sales &amp; marketing'!G43</f>
        <v>0</v>
      </c>
      <c r="H78" s="23" t="n">
        <f aca="false">'Sales &amp; marketing'!H43</f>
        <v>0</v>
      </c>
      <c r="I78" s="23" t="n">
        <f aca="false">'Sales &amp; marketing'!I43</f>
        <v>250000</v>
      </c>
      <c r="J78" s="23" t="n">
        <f aca="false">'Sales &amp; marketing'!J43</f>
        <v>265000</v>
      </c>
      <c r="K78" s="23" t="n">
        <f aca="false">'Sales &amp; marketing'!K43</f>
        <v>280900</v>
      </c>
      <c r="L78" s="23" t="n">
        <f aca="false">'Sales &amp; marketing'!L43</f>
        <v>297754</v>
      </c>
      <c r="M78" s="23" t="n">
        <f aca="false">'Sales &amp; marketing'!M43</f>
        <v>315619.24</v>
      </c>
      <c r="N78" s="23" t="n">
        <f aca="false">'Sales &amp; marketing'!N43</f>
        <v>334556.3944</v>
      </c>
      <c r="O78" s="23" t="n">
        <f aca="false">'Sales &amp; marketing'!O43</f>
        <v>354629.778064</v>
      </c>
      <c r="P78" s="23" t="n">
        <f aca="false">'Sales &amp; marketing'!P43</f>
        <v>375907.56474784</v>
      </c>
      <c r="Q78" s="23" t="n">
        <f aca="false">'Sales &amp; marketing'!Q43</f>
        <v>398462.018632711</v>
      </c>
      <c r="R78" s="23" t="n">
        <f aca="false">'Sales &amp; marketing'!R43</f>
        <v>422369.739750673</v>
      </c>
      <c r="S78" s="23" t="n">
        <f aca="false">'Sales &amp; marketing'!S43</f>
        <v>447711.924135714</v>
      </c>
      <c r="T78" s="23" t="n">
        <f aca="false">'Sales &amp; marketing'!T43</f>
        <v>474574.639583857</v>
      </c>
      <c r="U78" s="23" t="n">
        <f aca="false">'Sales &amp; marketing'!U43</f>
        <v>503049.117958888</v>
      </c>
      <c r="V78" s="23" t="n">
        <f aca="false">'Sales &amp; marketing'!V43</f>
        <v>533232.065036421</v>
      </c>
      <c r="W78" s="23" t="n">
        <f aca="false">'Sales &amp; marketing'!W43</f>
        <v>715225.988938607</v>
      </c>
      <c r="X78" s="23" t="n">
        <f aca="false">'Sales &amp; marketing'!X43</f>
        <v>758139.548274923</v>
      </c>
      <c r="Y78" s="23" t="n">
        <f aca="false">'Sales &amp; marketing'!Y43</f>
        <v>803627.921171418</v>
      </c>
      <c r="Z78" s="23" t="n">
        <f aca="false">'Sales &amp; marketing'!Z43</f>
        <v>851845.596441703</v>
      </c>
      <c r="AA78" s="23" t="n">
        <f aca="false">'Sales &amp; marketing'!AA43</f>
        <v>902956.332228206</v>
      </c>
      <c r="AB78" s="23" t="n">
        <f aca="false">'Sales &amp; marketing'!AB43</f>
        <v>957133.712161898</v>
      </c>
      <c r="AC78" s="23" t="n">
        <f aca="false">'Sales &amp; marketing'!AC43</f>
        <v>1014561.73489161</v>
      </c>
      <c r="AD78" s="23" t="n">
        <f aca="false">'Sales &amp; marketing'!AD43</f>
        <v>1075435.43898511</v>
      </c>
      <c r="AE78" s="23" t="n">
        <f aca="false">'Sales &amp; marketing'!AE43</f>
        <v>1139961.56532422</v>
      </c>
      <c r="AF78" s="23" t="n">
        <f aca="false">'Sales &amp; marketing'!AF43</f>
        <v>1208359.25924367</v>
      </c>
      <c r="AG78" s="23" t="n">
        <f aca="false">'Sales &amp; marketing'!AG43</f>
        <v>1280860.81479829</v>
      </c>
      <c r="AH78" s="23" t="n">
        <f aca="false">'Sales &amp; marketing'!AH43</f>
        <v>1357712.46368619</v>
      </c>
      <c r="AI78" s="23" t="n">
        <f aca="false">'Sales &amp; marketing'!AI43</f>
        <v>1439175.21150736</v>
      </c>
      <c r="AJ78" s="23" t="n">
        <f aca="false">'Sales &amp; marketing'!AJ43</f>
        <v>1525525.7241978</v>
      </c>
      <c r="AK78" s="23" t="n">
        <f aca="false">'Sales &amp; marketing'!AK43</f>
        <v>1617057.26764967</v>
      </c>
      <c r="AL78" s="23" t="n">
        <f aca="false">'Sales &amp; marketing'!AL43</f>
        <v>1714080.70370865</v>
      </c>
      <c r="AM78" s="23" t="n">
        <f aca="false">'Sales &amp; marketing'!AM43</f>
        <v>1816925.54593117</v>
      </c>
      <c r="AN78" s="23" t="n">
        <f aca="false">'Sales &amp; marketing'!AN43</f>
        <v>1925941.07868704</v>
      </c>
      <c r="AO78" s="23" t="n">
        <f aca="false">'Sales &amp; marketing'!AO43</f>
        <v>2041497.54340826</v>
      </c>
      <c r="AP78" s="23" t="n">
        <f aca="false">'Sales &amp; marketing'!AP43</f>
        <v>2163987.39601275</v>
      </c>
      <c r="AQ78" s="23" t="n">
        <f aca="false">'Sales &amp; marketing'!AQ43</f>
        <v>2293826.63977352</v>
      </c>
      <c r="AR78" s="23" t="n">
        <f aca="false">'Sales &amp; marketing'!AR43</f>
        <v>2431456.23815993</v>
      </c>
      <c r="AS78" s="23" t="n">
        <f aca="false">'Sales &amp; marketing'!AS43</f>
        <v>2540530.61248675</v>
      </c>
      <c r="AT78" s="23" t="n">
        <f aca="false">'Sales &amp; marketing'!AT43</f>
        <v>2572962.44923596</v>
      </c>
      <c r="AU78" s="23" t="n">
        <f aca="false">'Sales &amp; marketing'!AU43</f>
        <v>2607340.19619012</v>
      </c>
      <c r="AV78" s="23" t="n">
        <f aca="false">'Sales &amp; marketing'!AV43</f>
        <v>2643780.60796152</v>
      </c>
      <c r="AW78" s="23" t="n">
        <f aca="false">'Sales &amp; marketing'!AW43</f>
        <v>2682407.44443921</v>
      </c>
      <c r="AX78" s="23" t="n">
        <f aca="false">'Sales &amp; marketing'!AX43</f>
        <v>2723351.89110557</v>
      </c>
      <c r="AY78" s="23" t="n">
        <f aca="false">'Sales &amp; marketing'!AY43</f>
        <v>2766753.0045719</v>
      </c>
      <c r="AZ78" s="23" t="n">
        <f aca="false">'Sales &amp; marketing'!AZ43</f>
        <v>2812758.18484622</v>
      </c>
      <c r="BA78" s="23" t="n">
        <f aca="false">'Sales &amp; marketing'!BA43</f>
        <v>2861523.67593699</v>
      </c>
      <c r="BB78" s="23" t="n">
        <f aca="false">'Sales &amp; marketing'!BB43</f>
        <v>2913215.09649321</v>
      </c>
      <c r="BC78" s="23" t="n">
        <f aca="false">'Sales &amp; marketing'!BC43</f>
        <v>2968008.0022828</v>
      </c>
      <c r="BD78" s="23" t="n">
        <f aca="false">'Sales &amp; marketing'!BD43</f>
        <v>3026088.48241977</v>
      </c>
      <c r="BE78" s="23" t="n">
        <f aca="false">'Sales &amp; marketing'!BE43</f>
        <v>3087653.79136496</v>
      </c>
      <c r="BF78" s="23" t="n">
        <f aca="false">'Sales &amp; marketing'!BF43</f>
        <v>3152913.01884685</v>
      </c>
      <c r="BG78" s="23" t="n">
        <f aca="false">'Sales &amp; marketing'!BG43</f>
        <v>3222087.79997766</v>
      </c>
      <c r="BH78" s="23" t="n">
        <f aca="false">'Sales &amp; marketing'!BH43</f>
        <v>3295413.06797632</v>
      </c>
      <c r="BI78" s="23" t="n">
        <f aca="false">'Sales &amp; marketing'!BI43</f>
        <v>3373137.8520549</v>
      </c>
      <c r="BJ78" s="23" t="n">
        <f aca="false">'Sales &amp; marketing'!BJ43</f>
        <v>3455526.1231782</v>
      </c>
      <c r="BK78" s="23" t="n">
        <f aca="false">'Sales &amp; marketing'!BK43</f>
        <v>3500000</v>
      </c>
      <c r="BL78" s="23" t="n">
        <f aca="false">'Sales &amp; marketing'!BL43</f>
        <v>3500000</v>
      </c>
    </row>
    <row r="79" customFormat="false" ht="15" hidden="false" customHeight="false" outlineLevel="0" collapsed="false">
      <c r="A79" s="12" t="s">
        <v>743</v>
      </c>
      <c r="B79" s="14" t="s">
        <v>71</v>
      </c>
      <c r="D79" s="55" t="n">
        <f aca="false">SUM(E79:BL79)</f>
        <v>49575000</v>
      </c>
      <c r="E79" s="23" t="n">
        <f aca="false">'Sales &amp; marketing'!E44</f>
        <v>75000</v>
      </c>
      <c r="F79" s="23" t="n">
        <f aca="false">'Sales &amp; marketing'!F44</f>
        <v>75000</v>
      </c>
      <c r="G79" s="23" t="n">
        <f aca="false">'Sales &amp; marketing'!G44</f>
        <v>75000</v>
      </c>
      <c r="H79" s="23" t="n">
        <f aca="false">'Sales &amp; marketing'!H44</f>
        <v>225000</v>
      </c>
      <c r="I79" s="23" t="n">
        <f aca="false">'Sales &amp; marketing'!I44</f>
        <v>225000</v>
      </c>
      <c r="J79" s="23" t="n">
        <f aca="false">'Sales &amp; marketing'!J44</f>
        <v>225000</v>
      </c>
      <c r="K79" s="23" t="n">
        <f aca="false">'Sales &amp; marketing'!K44</f>
        <v>225000</v>
      </c>
      <c r="L79" s="23" t="n">
        <f aca="false">'Sales &amp; marketing'!L44</f>
        <v>225000</v>
      </c>
      <c r="M79" s="23" t="n">
        <f aca="false">'Sales &amp; marketing'!M44</f>
        <v>225000</v>
      </c>
      <c r="N79" s="23" t="n">
        <f aca="false">'Sales &amp; marketing'!N44</f>
        <v>225000</v>
      </c>
      <c r="O79" s="23" t="n">
        <f aca="false">'Sales &amp; marketing'!O44</f>
        <v>225000</v>
      </c>
      <c r="P79" s="23" t="n">
        <f aca="false">'Sales &amp; marketing'!P44</f>
        <v>225000</v>
      </c>
      <c r="Q79" s="23" t="n">
        <f aca="false">'Sales &amp; marketing'!Q44</f>
        <v>225000</v>
      </c>
      <c r="R79" s="23" t="n">
        <f aca="false">'Sales &amp; marketing'!R44</f>
        <v>225000</v>
      </c>
      <c r="S79" s="23" t="n">
        <f aca="false">'Sales &amp; marketing'!S44</f>
        <v>225000</v>
      </c>
      <c r="T79" s="23" t="n">
        <f aca="false">'Sales &amp; marketing'!T44</f>
        <v>225000</v>
      </c>
      <c r="U79" s="23" t="n">
        <f aca="false">'Sales &amp; marketing'!U44</f>
        <v>225000</v>
      </c>
      <c r="V79" s="23" t="n">
        <f aca="false">'Sales &amp; marketing'!V44</f>
        <v>450000</v>
      </c>
      <c r="W79" s="23" t="n">
        <f aca="false">'Sales &amp; marketing'!W44</f>
        <v>450000</v>
      </c>
      <c r="X79" s="23" t="n">
        <f aca="false">'Sales &amp; marketing'!X44</f>
        <v>450000</v>
      </c>
      <c r="Y79" s="23" t="n">
        <f aca="false">'Sales &amp; marketing'!Y44</f>
        <v>450000</v>
      </c>
      <c r="Z79" s="23" t="n">
        <f aca="false">'Sales &amp; marketing'!Z44</f>
        <v>450000</v>
      </c>
      <c r="AA79" s="23" t="n">
        <f aca="false">'Sales &amp; marketing'!AA44</f>
        <v>525000</v>
      </c>
      <c r="AB79" s="23" t="n">
        <f aca="false">'Sales &amp; marketing'!AB44</f>
        <v>525000</v>
      </c>
      <c r="AC79" s="23" t="n">
        <f aca="false">'Sales &amp; marketing'!AC44</f>
        <v>525000</v>
      </c>
      <c r="AD79" s="23" t="n">
        <f aca="false">'Sales &amp; marketing'!AD44</f>
        <v>525000</v>
      </c>
      <c r="AE79" s="23" t="n">
        <f aca="false">'Sales &amp; marketing'!AE44</f>
        <v>600000</v>
      </c>
      <c r="AF79" s="23" t="n">
        <f aca="false">'Sales &amp; marketing'!AF44</f>
        <v>600000</v>
      </c>
      <c r="AG79" s="23" t="n">
        <f aca="false">'Sales &amp; marketing'!AG44</f>
        <v>600000</v>
      </c>
      <c r="AH79" s="23" t="n">
        <f aca="false">'Sales &amp; marketing'!AH44</f>
        <v>600000</v>
      </c>
      <c r="AI79" s="23" t="n">
        <f aca="false">'Sales &amp; marketing'!AI44</f>
        <v>675000</v>
      </c>
      <c r="AJ79" s="23" t="n">
        <f aca="false">'Sales &amp; marketing'!AJ44</f>
        <v>675000</v>
      </c>
      <c r="AK79" s="23" t="n">
        <f aca="false">'Sales &amp; marketing'!AK44</f>
        <v>675000</v>
      </c>
      <c r="AL79" s="23" t="n">
        <f aca="false">'Sales &amp; marketing'!AL44</f>
        <v>750000</v>
      </c>
      <c r="AM79" s="23" t="n">
        <f aca="false">'Sales &amp; marketing'!AM44</f>
        <v>825000</v>
      </c>
      <c r="AN79" s="23" t="n">
        <f aca="false">'Sales &amp; marketing'!AN44</f>
        <v>825000</v>
      </c>
      <c r="AO79" s="23" t="n">
        <f aca="false">'Sales &amp; marketing'!AO44</f>
        <v>900000</v>
      </c>
      <c r="AP79" s="23" t="n">
        <f aca="false">'Sales &amp; marketing'!AP44</f>
        <v>900000</v>
      </c>
      <c r="AQ79" s="23" t="n">
        <f aca="false">'Sales &amp; marketing'!AQ44</f>
        <v>975000</v>
      </c>
      <c r="AR79" s="23" t="n">
        <f aca="false">'Sales &amp; marketing'!AR44</f>
        <v>975000</v>
      </c>
      <c r="AS79" s="23" t="n">
        <f aca="false">'Sales &amp; marketing'!AS44</f>
        <v>1125000</v>
      </c>
      <c r="AT79" s="23" t="n">
        <f aca="false">'Sales &amp; marketing'!AT44</f>
        <v>1125000</v>
      </c>
      <c r="AU79" s="23" t="n">
        <f aca="false">'Sales &amp; marketing'!AU44</f>
        <v>1125000</v>
      </c>
      <c r="AV79" s="23" t="n">
        <f aca="false">'Sales &amp; marketing'!AV44</f>
        <v>1200000</v>
      </c>
      <c r="AW79" s="23" t="n">
        <f aca="false">'Sales &amp; marketing'!AW44</f>
        <v>1200000</v>
      </c>
      <c r="AX79" s="23" t="n">
        <f aca="false">'Sales &amp; marketing'!AX44</f>
        <v>1350000</v>
      </c>
      <c r="AY79" s="23" t="n">
        <f aca="false">'Sales &amp; marketing'!AY44</f>
        <v>1350000</v>
      </c>
      <c r="AZ79" s="23" t="n">
        <f aca="false">'Sales &amp; marketing'!AZ44</f>
        <v>1425000</v>
      </c>
      <c r="BA79" s="23" t="n">
        <f aca="false">'Sales &amp; marketing'!BA44</f>
        <v>1425000</v>
      </c>
      <c r="BB79" s="23" t="n">
        <f aca="false">'Sales &amp; marketing'!BB44</f>
        <v>1500000</v>
      </c>
      <c r="BC79" s="23" t="n">
        <f aca="false">'Sales &amp; marketing'!BC44</f>
        <v>1575000</v>
      </c>
      <c r="BD79" s="23" t="n">
        <f aca="false">'Sales &amp; marketing'!BD44</f>
        <v>1650000</v>
      </c>
      <c r="BE79" s="23" t="n">
        <f aca="false">'Sales &amp; marketing'!BE44</f>
        <v>1650000</v>
      </c>
      <c r="BF79" s="23" t="n">
        <f aca="false">'Sales &amp; marketing'!BF44</f>
        <v>1800000</v>
      </c>
      <c r="BG79" s="23" t="n">
        <f aca="false">'Sales &amp; marketing'!BG44</f>
        <v>1800000</v>
      </c>
      <c r="BH79" s="23" t="n">
        <f aca="false">'Sales &amp; marketing'!BH44</f>
        <v>1875000</v>
      </c>
      <c r="BI79" s="23" t="n">
        <f aca="false">'Sales &amp; marketing'!BI44</f>
        <v>1875000</v>
      </c>
      <c r="BJ79" s="23" t="n">
        <f aca="false">'Sales &amp; marketing'!BJ44</f>
        <v>2025000</v>
      </c>
      <c r="BK79" s="23" t="n">
        <f aca="false">'Sales &amp; marketing'!BK44</f>
        <v>2100000</v>
      </c>
      <c r="BL79" s="23" t="n">
        <f aca="false">'Sales &amp; marketing'!BL44</f>
        <v>2100000</v>
      </c>
    </row>
    <row r="80" customFormat="false" ht="15" hidden="false" customHeight="false" outlineLevel="0" collapsed="false">
      <c r="A80" s="8" t="s">
        <v>841</v>
      </c>
      <c r="B80" s="14" t="s">
        <v>71</v>
      </c>
      <c r="D80" s="55" t="n">
        <f aca="false">SUM(E80:BL80)</f>
        <v>657859511.508861</v>
      </c>
      <c r="E80" s="16" t="n">
        <f aca="false">SUM(E75:E79)</f>
        <v>2261666.66666667</v>
      </c>
      <c r="F80" s="16" t="n">
        <f aca="false">SUM(F75:F79)</f>
        <v>2261666.66666667</v>
      </c>
      <c r="G80" s="16" t="n">
        <f aca="false">SUM(G75:G79)</f>
        <v>2261666.66666667</v>
      </c>
      <c r="H80" s="16" t="n">
        <f aca="false">SUM(H75:H79)</f>
        <v>2411666.66666667</v>
      </c>
      <c r="I80" s="16" t="n">
        <f aca="false">SUM(I75:I79)</f>
        <v>3971666.66666667</v>
      </c>
      <c r="J80" s="16" t="n">
        <f aca="false">SUM(J75:J79)</f>
        <v>3986666.66666667</v>
      </c>
      <c r="K80" s="16" t="n">
        <f aca="false">SUM(K75:K79)</f>
        <v>4002566.66666667</v>
      </c>
      <c r="L80" s="16" t="n">
        <f aca="false">SUM(L75:L79)</f>
        <v>4019420.66666667</v>
      </c>
      <c r="M80" s="16" t="n">
        <f aca="false">SUM(M75:M79)</f>
        <v>4037285.90666667</v>
      </c>
      <c r="N80" s="16" t="n">
        <f aca="false">SUM(N75:N79)</f>
        <v>4056223.06106667</v>
      </c>
      <c r="O80" s="16" t="n">
        <f aca="false">SUM(O75:O79)</f>
        <v>4076296.44473067</v>
      </c>
      <c r="P80" s="16" t="n">
        <f aca="false">SUM(P75:P79)</f>
        <v>4097574.23141451</v>
      </c>
      <c r="Q80" s="16" t="n">
        <f aca="false">SUM(Q75:Q79)</f>
        <v>5322628.68529938</v>
      </c>
      <c r="R80" s="16" t="n">
        <f aca="false">SUM(R75:R79)</f>
        <v>5346536.40641734</v>
      </c>
      <c r="S80" s="16" t="n">
        <f aca="false">SUM(S75:S79)</f>
        <v>5371878.59080238</v>
      </c>
      <c r="T80" s="16" t="n">
        <f aca="false">SUM(T75:T79)</f>
        <v>5398741.30625052</v>
      </c>
      <c r="U80" s="16" t="n">
        <f aca="false">SUM(U75:U79)</f>
        <v>5427215.78462555</v>
      </c>
      <c r="V80" s="16" t="n">
        <f aca="false">SUM(V75:V79)</f>
        <v>5682398.73170309</v>
      </c>
      <c r="W80" s="16" t="n">
        <f aca="false">SUM(W75:W79)</f>
        <v>7174392.65560527</v>
      </c>
      <c r="X80" s="16" t="n">
        <f aca="false">SUM(X75:X79)</f>
        <v>7217306.21494159</v>
      </c>
      <c r="Y80" s="16" t="n">
        <f aca="false">SUM(Y75:Y79)</f>
        <v>7262794.58783809</v>
      </c>
      <c r="Z80" s="16" t="n">
        <f aca="false">SUM(Z75:Z79)</f>
        <v>7311012.26310837</v>
      </c>
      <c r="AA80" s="16" t="n">
        <f aca="false">SUM(AA75:AA79)</f>
        <v>7437122.99889487</v>
      </c>
      <c r="AB80" s="16" t="n">
        <f aca="false">SUM(AB75:AB79)</f>
        <v>7491300.37882857</v>
      </c>
      <c r="AC80" s="16" t="n">
        <f aca="false">SUM(AC75:AC79)</f>
        <v>11104561.7348916</v>
      </c>
      <c r="AD80" s="16" t="n">
        <f aca="false">SUM(AD75:AD79)</f>
        <v>11165435.4389851</v>
      </c>
      <c r="AE80" s="16" t="n">
        <f aca="false">SUM(AE75:AE79)</f>
        <v>11304961.5653242</v>
      </c>
      <c r="AF80" s="16" t="n">
        <f aca="false">SUM(AF75:AF79)</f>
        <v>11373359.2592437</v>
      </c>
      <c r="AG80" s="16" t="n">
        <f aca="false">SUM(AG75:AG79)</f>
        <v>11445860.8147983</v>
      </c>
      <c r="AH80" s="16" t="n">
        <f aca="false">SUM(AH75:AH79)</f>
        <v>11522712.4636862</v>
      </c>
      <c r="AI80" s="16" t="n">
        <f aca="false">SUM(AI75:AI79)</f>
        <v>11679175.2115074</v>
      </c>
      <c r="AJ80" s="16" t="n">
        <f aca="false">SUM(AJ75:AJ79)</f>
        <v>11765525.7241978</v>
      </c>
      <c r="AK80" s="16" t="n">
        <f aca="false">SUM(AK75:AK79)</f>
        <v>11857057.2676497</v>
      </c>
      <c r="AL80" s="16" t="n">
        <f aca="false">SUM(AL75:AL79)</f>
        <v>12029080.7037086</v>
      </c>
      <c r="AM80" s="16" t="n">
        <f aca="false">SUM(AM75:AM79)</f>
        <v>12206925.5459312</v>
      </c>
      <c r="AN80" s="16" t="n">
        <f aca="false">SUM(AN75:AN79)</f>
        <v>12315941.078687</v>
      </c>
      <c r="AO80" s="16" t="n">
        <f aca="false">SUM(AO75:AO79)</f>
        <v>14366497.5434083</v>
      </c>
      <c r="AP80" s="16" t="n">
        <f aca="false">SUM(AP75:AP79)</f>
        <v>14488987.3960128</v>
      </c>
      <c r="AQ80" s="16" t="n">
        <f aca="false">SUM(AQ75:AQ79)</f>
        <v>14693826.6397735</v>
      </c>
      <c r="AR80" s="16" t="n">
        <f aca="false">SUM(AR75:AR79)</f>
        <v>14831456.2381599</v>
      </c>
      <c r="AS80" s="16" t="n">
        <f aca="false">SUM(AS75:AS79)</f>
        <v>15090530.6124868</v>
      </c>
      <c r="AT80" s="16" t="n">
        <f aca="false">SUM(AT75:AT79)</f>
        <v>15122962.449236</v>
      </c>
      <c r="AU80" s="16" t="n">
        <f aca="false">SUM(AU75:AU79)</f>
        <v>15157340.1961901</v>
      </c>
      <c r="AV80" s="16" t="n">
        <f aca="false">SUM(AV75:AV79)</f>
        <v>15268780.6079615</v>
      </c>
      <c r="AW80" s="16" t="n">
        <f aca="false">SUM(AW75:AW79)</f>
        <v>15307407.4444392</v>
      </c>
      <c r="AX80" s="16" t="n">
        <f aca="false">SUM(AX75:AX79)</f>
        <v>15498351.8911056</v>
      </c>
      <c r="AY80" s="16" t="n">
        <f aca="false">SUM(AY75:AY79)</f>
        <v>15541753.0045719</v>
      </c>
      <c r="AZ80" s="16" t="n">
        <f aca="false">SUM(AZ75:AZ79)</f>
        <v>15662758.1848462</v>
      </c>
      <c r="BA80" s="16" t="n">
        <f aca="false">SUM(BA75:BA79)</f>
        <v>17573190.3426037</v>
      </c>
      <c r="BB80" s="16" t="n">
        <f aca="false">SUM(BB75:BB79)</f>
        <v>17699881.7631599</v>
      </c>
      <c r="BC80" s="16" t="n">
        <f aca="false">SUM(BC75:BC79)</f>
        <v>17829674.6689495</v>
      </c>
      <c r="BD80" s="16" t="n">
        <f aca="false">SUM(BD75:BD79)</f>
        <v>17962755.1490864</v>
      </c>
      <c r="BE80" s="16" t="n">
        <f aca="false">SUM(BE75:BE79)</f>
        <v>18024320.4580316</v>
      </c>
      <c r="BF80" s="16" t="n">
        <f aca="false">SUM(BF75:BF79)</f>
        <v>18239579.6855135</v>
      </c>
      <c r="BG80" s="16" t="n">
        <f aca="false">SUM(BG75:BG79)</f>
        <v>18308754.4666443</v>
      </c>
      <c r="BH80" s="16" t="n">
        <f aca="false">SUM(BH75:BH79)</f>
        <v>18457079.734643</v>
      </c>
      <c r="BI80" s="16" t="n">
        <f aca="false">SUM(BI75:BI79)</f>
        <v>18534804.5187216</v>
      </c>
      <c r="BJ80" s="16" t="n">
        <f aca="false">SUM(BJ75:BJ79)</f>
        <v>18767192.7898449</v>
      </c>
      <c r="BK80" s="16" t="n">
        <f aca="false">SUM(BK75:BK79)</f>
        <v>18886666.6666667</v>
      </c>
      <c r="BL80" s="16" t="n">
        <f aca="false">SUM(BL75:BL79)</f>
        <v>18886666.6666667</v>
      </c>
    </row>
    <row r="82" customFormat="false" ht="15" hidden="false" customHeight="false" outlineLevel="0" collapsed="false">
      <c r="A82" s="10" t="s">
        <v>480</v>
      </c>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c r="BC82" s="11"/>
      <c r="BD82" s="11"/>
      <c r="BE82" s="11"/>
      <c r="BF82" s="11"/>
      <c r="BG82" s="11"/>
      <c r="BH82" s="11"/>
      <c r="BI82" s="11"/>
      <c r="BJ82" s="11"/>
      <c r="BK82" s="11"/>
      <c r="BL82" s="11"/>
    </row>
    <row r="83" customFormat="false" ht="15" hidden="false" customHeight="false" outlineLevel="0" collapsed="false">
      <c r="A83" s="12" t="s">
        <v>842</v>
      </c>
      <c r="B83" s="14" t="s">
        <v>71</v>
      </c>
      <c r="D83" s="55" t="n">
        <f aca="false">SUM(E83:BL83)</f>
        <v>11020077.6</v>
      </c>
      <c r="E83" s="37" t="n">
        <f aca="false">Agency_Fee_EUR*FX_EUR*(SUMPRODUCT(--('Hiring plan'!$G$5:$G$32=E$3),--('Hiring plan'!$J$5:$J$32="Y"),'Hiring plan'!$F$5:$F$32)+Agency_Dev*Staff!E70+Agency_Credit*Staff!E73+Agency_Support*Staff!E69+Agency_Rep*(Staff!E71+Staff!E72))</f>
        <v>2099062.4</v>
      </c>
      <c r="F83" s="37" t="n">
        <f aca="false">Agency_Fee_EUR*FX_EUR*(SUMPRODUCT(--('Hiring plan'!$G$5:$G$32=F$3),--('Hiring plan'!$J$5:$J$32="Y"),'Hiring plan'!$F$5:$F$32)+Agency_Dev*MAX(0,Staff!F70-Staff!E70)+Agency_Credit*MAX(0,Staff!F73-Staff!E73)+Agency_Support*MAX(0,Staff!F69-Staff!E69)+Agency_Rep*(MAX(0,Staff!F71-Staff!E71)+MAX(0,Staff!F72-Staff!E72)))</f>
        <v>0</v>
      </c>
      <c r="G83" s="37" t="n">
        <f aca="false">Agency_Fee_EUR*FX_EUR*(SUMPRODUCT(--('Hiring plan'!$G$5:$G$32=G$3),--('Hiring plan'!$J$5:$J$32="Y"),'Hiring plan'!$F$5:$F$32)+Agency_Dev*MAX(0,Staff!G70-Staff!F70)+Agency_Credit*MAX(0,Staff!G73-Staff!F73)+Agency_Support*MAX(0,Staff!G69-Staff!F69)+Agency_Rep*(MAX(0,Staff!G71-Staff!F71)+MAX(0,Staff!G72-Staff!F72)))</f>
        <v>0</v>
      </c>
      <c r="H83" s="37" t="n">
        <f aca="false">Agency_Fee_EUR*FX_EUR*(SUMPRODUCT(--('Hiring plan'!$G$5:$G$32=H$3),--('Hiring plan'!$J$5:$J$32="Y"),'Hiring plan'!$F$5:$F$32)+Agency_Dev*MAX(0,Staff!H70-Staff!G70)+Agency_Credit*MAX(0,Staff!H73-Staff!G73)+Agency_Support*MAX(0,Staff!H69-Staff!G69)+Agency_Rep*(MAX(0,Staff!H71-Staff!G71)+MAX(0,Staff!H72-Staff!G72)))</f>
        <v>0</v>
      </c>
      <c r="I83" s="37" t="n">
        <f aca="false">Agency_Fee_EUR*FX_EUR*(SUMPRODUCT(--('Hiring plan'!$G$5:$G$32=I$3),--('Hiring plan'!$J$5:$J$32="Y"),'Hiring plan'!$F$5:$F$32)+Agency_Dev*MAX(0,Staff!I70-Staff!H70)+Agency_Credit*MAX(0,Staff!I73-Staff!H73)+Agency_Support*MAX(0,Staff!I69-Staff!H69)+Agency_Rep*(MAX(0,Staff!I71-Staff!H71)+MAX(0,Staff!I72-Staff!H72)))</f>
        <v>0</v>
      </c>
      <c r="J83" s="37" t="n">
        <f aca="false">Agency_Fee_EUR*FX_EUR*(SUMPRODUCT(--('Hiring plan'!$G$5:$G$32=J$3),--('Hiring plan'!$J$5:$J$32="Y"),'Hiring plan'!$F$5:$F$32)+Agency_Dev*MAX(0,Staff!J70-Staff!I70)+Agency_Credit*MAX(0,Staff!J73-Staff!I73)+Agency_Support*MAX(0,Staff!J69-Staff!I69)+Agency_Rep*(MAX(0,Staff!J71-Staff!I71)+MAX(0,Staff!J72-Staff!I72)))</f>
        <v>0</v>
      </c>
      <c r="K83" s="37" t="n">
        <f aca="false">Agency_Fee_EUR*FX_EUR*(SUMPRODUCT(--('Hiring plan'!$G$5:$G$32=K$3),--('Hiring plan'!$J$5:$J$32="Y"),'Hiring plan'!$F$5:$F$32)+Agency_Dev*MAX(0,Staff!K70-Staff!J70)+Agency_Credit*MAX(0,Staff!K73-Staff!J73)+Agency_Support*MAX(0,Staff!K69-Staff!J69)+Agency_Rep*(MAX(0,Staff!K71-Staff!J71)+MAX(0,Staff!K72-Staff!J72)))</f>
        <v>0</v>
      </c>
      <c r="L83" s="37" t="n">
        <f aca="false">Agency_Fee_EUR*FX_EUR*(SUMPRODUCT(--('Hiring plan'!$G$5:$G$32=L$3),--('Hiring plan'!$J$5:$J$32="Y"),'Hiring plan'!$F$5:$F$32)+Agency_Dev*MAX(0,Staff!L70-Staff!K70)+Agency_Credit*MAX(0,Staff!L73-Staff!K73)+Agency_Support*MAX(0,Staff!L69-Staff!K69)+Agency_Rep*(MAX(0,Staff!L71-Staff!K71)+MAX(0,Staff!L72-Staff!K72)))</f>
        <v>0</v>
      </c>
      <c r="M83" s="37" t="n">
        <f aca="false">Agency_Fee_EUR*FX_EUR*(SUMPRODUCT(--('Hiring plan'!$G$5:$G$32=M$3),--('Hiring plan'!$J$5:$J$32="Y"),'Hiring plan'!$F$5:$F$32)+Agency_Dev*MAX(0,Staff!M70-Staff!L70)+Agency_Credit*MAX(0,Staff!M73-Staff!L73)+Agency_Support*MAX(0,Staff!M69-Staff!L69)+Agency_Rep*(MAX(0,Staff!M71-Staff!L71)+MAX(0,Staff!M72-Staff!L72)))</f>
        <v>0</v>
      </c>
      <c r="N83" s="37" t="n">
        <f aca="false">Agency_Fee_EUR*FX_EUR*(SUMPRODUCT(--('Hiring plan'!$G$5:$G$32=N$3),--('Hiring plan'!$J$5:$J$32="Y"),'Hiring plan'!$F$5:$F$32)+Agency_Dev*MAX(0,Staff!N70-Staff!M70)+Agency_Credit*MAX(0,Staff!N73-Staff!M73)+Agency_Support*MAX(0,Staff!N69-Staff!M69)+Agency_Rep*(MAX(0,Staff!N71-Staff!M71)+MAX(0,Staff!N72-Staff!M72)))</f>
        <v>0</v>
      </c>
      <c r="O83" s="37" t="n">
        <f aca="false">Agency_Fee_EUR*FX_EUR*(SUMPRODUCT(--('Hiring plan'!$G$5:$G$32=O$3),--('Hiring plan'!$J$5:$J$32="Y"),'Hiring plan'!$F$5:$F$32)+Agency_Dev*MAX(0,Staff!O70-Staff!N70)+Agency_Credit*MAX(0,Staff!O73-Staff!N73)+Agency_Support*MAX(0,Staff!O69-Staff!N69)+Agency_Rep*(MAX(0,Staff!O71-Staff!N71)+MAX(0,Staff!O72-Staff!N72)))</f>
        <v>0</v>
      </c>
      <c r="P83" s="37" t="n">
        <f aca="false">Agency_Fee_EUR*FX_EUR*(SUMPRODUCT(--('Hiring plan'!$G$5:$G$32=P$3),--('Hiring plan'!$J$5:$J$32="Y"),'Hiring plan'!$F$5:$F$32)+Agency_Dev*MAX(0,Staff!P70-Staff!O70)+Agency_Credit*MAX(0,Staff!P73-Staff!O73)+Agency_Support*MAX(0,Staff!P69-Staff!O69)+Agency_Rep*(MAX(0,Staff!P71-Staff!O71)+MAX(0,Staff!P72-Staff!O72)))</f>
        <v>0</v>
      </c>
      <c r="Q83" s="37" t="n">
        <f aca="false">Agency_Fee_EUR*FX_EUR*(SUMPRODUCT(--('Hiring plan'!$G$5:$G$32=Q$3),--('Hiring plan'!$J$5:$J$32="Y"),'Hiring plan'!$F$5:$F$32)+Agency_Dev*MAX(0,Staff!Q70-Staff!P70)+Agency_Credit*MAX(0,Staff!Q73-Staff!P73)+Agency_Support*MAX(0,Staff!Q69-Staff!P69)+Agency_Rep*(MAX(0,Staff!Q71-Staff!P71)+MAX(0,Staff!Q72-Staff!P72)))</f>
        <v>524765.6</v>
      </c>
      <c r="R83" s="37" t="n">
        <f aca="false">Agency_Fee_EUR*FX_EUR*(SUMPRODUCT(--('Hiring plan'!$G$5:$G$32=R$3),--('Hiring plan'!$J$5:$J$32="Y"),'Hiring plan'!$F$5:$F$32)+Agency_Dev*MAX(0,Staff!R70-Staff!Q70)+Agency_Credit*MAX(0,Staff!R73-Staff!Q73)+Agency_Support*MAX(0,Staff!R69-Staff!Q69)+Agency_Rep*(MAX(0,Staff!R71-Staff!Q71)+MAX(0,Staff!R72-Staff!Q72)))</f>
        <v>0</v>
      </c>
      <c r="S83" s="37" t="n">
        <f aca="false">Agency_Fee_EUR*FX_EUR*(SUMPRODUCT(--('Hiring plan'!$G$5:$G$32=S$3),--('Hiring plan'!$J$5:$J$32="Y"),'Hiring plan'!$F$5:$F$32)+Agency_Dev*MAX(0,Staff!S70-Staff!R70)+Agency_Credit*MAX(0,Staff!S73-Staff!R73)+Agency_Support*MAX(0,Staff!S69-Staff!R69)+Agency_Rep*(MAX(0,Staff!S71-Staff!R71)+MAX(0,Staff!S72-Staff!R72)))</f>
        <v>0</v>
      </c>
      <c r="T83" s="37" t="n">
        <f aca="false">Agency_Fee_EUR*FX_EUR*(SUMPRODUCT(--('Hiring plan'!$G$5:$G$32=T$3),--('Hiring plan'!$J$5:$J$32="Y"),'Hiring plan'!$F$5:$F$32)+Agency_Dev*MAX(0,Staff!T70-Staff!S70)+Agency_Credit*MAX(0,Staff!T73-Staff!S73)+Agency_Support*MAX(0,Staff!T69-Staff!S69)+Agency_Rep*(MAX(0,Staff!T71-Staff!S71)+MAX(0,Staff!T72-Staff!S72)))</f>
        <v>524765.6</v>
      </c>
      <c r="U83" s="37" t="n">
        <f aca="false">Agency_Fee_EUR*FX_EUR*(SUMPRODUCT(--('Hiring plan'!$G$5:$G$32=U$3),--('Hiring plan'!$J$5:$J$32="Y"),'Hiring plan'!$F$5:$F$32)+Agency_Dev*MAX(0,Staff!U70-Staff!T70)+Agency_Credit*MAX(0,Staff!U73-Staff!T73)+Agency_Support*MAX(0,Staff!U69-Staff!T69)+Agency_Rep*(MAX(0,Staff!U71-Staff!T71)+MAX(0,Staff!U72-Staff!T72)))</f>
        <v>0</v>
      </c>
      <c r="V83" s="37" t="n">
        <f aca="false">Agency_Fee_EUR*FX_EUR*(SUMPRODUCT(--('Hiring plan'!$G$5:$G$32=V$3),--('Hiring plan'!$J$5:$J$32="Y"),'Hiring plan'!$F$5:$F$32)+Agency_Dev*MAX(0,Staff!V70-Staff!U70)+Agency_Credit*MAX(0,Staff!V73-Staff!U73)+Agency_Support*MAX(0,Staff!V69-Staff!U69)+Agency_Rep*(MAX(0,Staff!V71-Staff!U71)+MAX(0,Staff!V72-Staff!U72)))</f>
        <v>524765.6</v>
      </c>
      <c r="W83" s="37" t="n">
        <f aca="false">Agency_Fee_EUR*FX_EUR*(SUMPRODUCT(--('Hiring plan'!$G$5:$G$32=W$3),--('Hiring plan'!$J$5:$J$32="Y"),'Hiring plan'!$F$5:$F$32)+Agency_Dev*MAX(0,Staff!W70-Staff!V70)+Agency_Credit*MAX(0,Staff!W73-Staff!V73)+Agency_Support*MAX(0,Staff!W69-Staff!V69)+Agency_Rep*(MAX(0,Staff!W71-Staff!V71)+MAX(0,Staff!W72-Staff!V72)))</f>
        <v>0</v>
      </c>
      <c r="X83" s="37" t="n">
        <f aca="false">Agency_Fee_EUR*FX_EUR*(SUMPRODUCT(--('Hiring plan'!$G$5:$G$32=X$3),--('Hiring plan'!$J$5:$J$32="Y"),'Hiring plan'!$F$5:$F$32)+Agency_Dev*MAX(0,Staff!X70-Staff!W70)+Agency_Credit*MAX(0,Staff!X73-Staff!W73)+Agency_Support*MAX(0,Staff!X69-Staff!W69)+Agency_Rep*(MAX(0,Staff!X71-Staff!W71)+MAX(0,Staff!X72-Staff!W72)))</f>
        <v>0</v>
      </c>
      <c r="Y83" s="37" t="n">
        <f aca="false">Agency_Fee_EUR*FX_EUR*(SUMPRODUCT(--('Hiring plan'!$G$5:$G$32=Y$3),--('Hiring plan'!$J$5:$J$32="Y"),'Hiring plan'!$F$5:$F$32)+Agency_Dev*MAX(0,Staff!Y70-Staff!X70)+Agency_Credit*MAX(0,Staff!Y73-Staff!X73)+Agency_Support*MAX(0,Staff!Y69-Staff!X69)+Agency_Rep*(MAX(0,Staff!Y71-Staff!X71)+MAX(0,Staff!Y72-Staff!X72)))</f>
        <v>0</v>
      </c>
      <c r="Z83" s="37" t="n">
        <f aca="false">Agency_Fee_EUR*FX_EUR*(SUMPRODUCT(--('Hiring plan'!$G$5:$G$32=Z$3),--('Hiring plan'!$J$5:$J$32="Y"),'Hiring plan'!$F$5:$F$32)+Agency_Dev*MAX(0,Staff!Z70-Staff!Y70)+Agency_Credit*MAX(0,Staff!Z73-Staff!Y73)+Agency_Support*MAX(0,Staff!Z69-Staff!Y69)+Agency_Rep*(MAX(0,Staff!Z71-Staff!Y71)+MAX(0,Staff!Z72-Staff!Y72)))</f>
        <v>0</v>
      </c>
      <c r="AA83" s="37" t="n">
        <f aca="false">Agency_Fee_EUR*FX_EUR*(SUMPRODUCT(--('Hiring plan'!$G$5:$G$32=AA$3),--('Hiring plan'!$J$5:$J$32="Y"),'Hiring plan'!$F$5:$F$32)+Agency_Dev*MAX(0,Staff!AA70-Staff!Z70)+Agency_Credit*MAX(0,Staff!AA73-Staff!Z73)+Agency_Support*MAX(0,Staff!AA69-Staff!Z69)+Agency_Rep*(MAX(0,Staff!AA71-Staff!Z71)+MAX(0,Staff!AA72-Staff!Z72)))</f>
        <v>0</v>
      </c>
      <c r="AB83" s="37" t="n">
        <f aca="false">Agency_Fee_EUR*FX_EUR*(SUMPRODUCT(--('Hiring plan'!$G$5:$G$32=AB$3),--('Hiring plan'!$J$5:$J$32="Y"),'Hiring plan'!$F$5:$F$32)+Agency_Dev*MAX(0,Staff!AB70-Staff!AA70)+Agency_Credit*MAX(0,Staff!AB73-Staff!AA73)+Agency_Support*MAX(0,Staff!AB69-Staff!AA69)+Agency_Rep*(MAX(0,Staff!AB71-Staff!AA71)+MAX(0,Staff!AB72-Staff!AA72)))</f>
        <v>524765.6</v>
      </c>
      <c r="AC83" s="37" t="n">
        <f aca="false">Agency_Fee_EUR*FX_EUR*(SUMPRODUCT(--('Hiring plan'!$G$5:$G$32=AC$3),--('Hiring plan'!$J$5:$J$32="Y"),'Hiring plan'!$F$5:$F$32)+Agency_Dev*MAX(0,Staff!AC70-Staff!AB70)+Agency_Credit*MAX(0,Staff!AC73-Staff!AB73)+Agency_Support*MAX(0,Staff!AC69-Staff!AB69)+Agency_Rep*(MAX(0,Staff!AC71-Staff!AB71)+MAX(0,Staff!AC72-Staff!AB72)))</f>
        <v>0</v>
      </c>
      <c r="AD83" s="37" t="n">
        <f aca="false">Agency_Fee_EUR*FX_EUR*(SUMPRODUCT(--('Hiring plan'!$G$5:$G$32=AD$3),--('Hiring plan'!$J$5:$J$32="Y"),'Hiring plan'!$F$5:$F$32)+Agency_Dev*MAX(0,Staff!AD70-Staff!AC70)+Agency_Credit*MAX(0,Staff!AD73-Staff!AC73)+Agency_Support*MAX(0,Staff!AD69-Staff!AC69)+Agency_Rep*(MAX(0,Staff!AD71-Staff!AC71)+MAX(0,Staff!AD72-Staff!AC72)))</f>
        <v>0</v>
      </c>
      <c r="AE83" s="37" t="n">
        <f aca="false">Agency_Fee_EUR*FX_EUR*(SUMPRODUCT(--('Hiring plan'!$G$5:$G$32=AE$3),--('Hiring plan'!$J$5:$J$32="Y"),'Hiring plan'!$F$5:$F$32)+Agency_Dev*MAX(0,Staff!AE70-Staff!AD70)+Agency_Credit*MAX(0,Staff!AE73-Staff!AD73)+Agency_Support*MAX(0,Staff!AE69-Staff!AD69)+Agency_Rep*(MAX(0,Staff!AE71-Staff!AD71)+MAX(0,Staff!AE72-Staff!AD72)))</f>
        <v>524765.6</v>
      </c>
      <c r="AF83" s="37" t="n">
        <f aca="false">Agency_Fee_EUR*FX_EUR*(SUMPRODUCT(--('Hiring plan'!$G$5:$G$32=AF$3),--('Hiring plan'!$J$5:$J$32="Y"),'Hiring plan'!$F$5:$F$32)+Agency_Dev*MAX(0,Staff!AF70-Staff!AE70)+Agency_Credit*MAX(0,Staff!AF73-Staff!AE73)+Agency_Support*MAX(0,Staff!AF69-Staff!AE69)+Agency_Rep*(MAX(0,Staff!AF71-Staff!AE71)+MAX(0,Staff!AF72-Staff!AE72)))</f>
        <v>524765.6</v>
      </c>
      <c r="AG83" s="37" t="n">
        <f aca="false">Agency_Fee_EUR*FX_EUR*(SUMPRODUCT(--('Hiring plan'!$G$5:$G$32=AG$3),--('Hiring plan'!$J$5:$J$32="Y"),'Hiring plan'!$F$5:$F$32)+Agency_Dev*MAX(0,Staff!AG70-Staff!AF70)+Agency_Credit*MAX(0,Staff!AG73-Staff!AF73)+Agency_Support*MAX(0,Staff!AG69-Staff!AF69)+Agency_Rep*(MAX(0,Staff!AG71-Staff!AF71)+MAX(0,Staff!AG72-Staff!AF72)))</f>
        <v>0</v>
      </c>
      <c r="AH83" s="37" t="n">
        <f aca="false">Agency_Fee_EUR*FX_EUR*(SUMPRODUCT(--('Hiring plan'!$G$5:$G$32=AH$3),--('Hiring plan'!$J$5:$J$32="Y"),'Hiring plan'!$F$5:$F$32)+Agency_Dev*MAX(0,Staff!AH70-Staff!AG70)+Agency_Credit*MAX(0,Staff!AH73-Staff!AG73)+Agency_Support*MAX(0,Staff!AH69-Staff!AG69)+Agency_Rep*(MAX(0,Staff!AH71-Staff!AG71)+MAX(0,Staff!AH72-Staff!AG72)))</f>
        <v>0</v>
      </c>
      <c r="AI83" s="37" t="n">
        <f aca="false">Agency_Fee_EUR*FX_EUR*(SUMPRODUCT(--('Hiring plan'!$G$5:$G$32=AI$3),--('Hiring plan'!$J$5:$J$32="Y"),'Hiring plan'!$F$5:$F$32)+Agency_Dev*MAX(0,Staff!AI70-Staff!AH70)+Agency_Credit*MAX(0,Staff!AI73-Staff!AH73)+Agency_Support*MAX(0,Staff!AI69-Staff!AH69)+Agency_Rep*(MAX(0,Staff!AI71-Staff!AH71)+MAX(0,Staff!AI72-Staff!AH72)))</f>
        <v>0</v>
      </c>
      <c r="AJ83" s="37" t="n">
        <f aca="false">Agency_Fee_EUR*FX_EUR*(SUMPRODUCT(--('Hiring plan'!$G$5:$G$32=AJ$3),--('Hiring plan'!$J$5:$J$32="Y"),'Hiring plan'!$F$5:$F$32)+Agency_Dev*MAX(0,Staff!AJ70-Staff!AI70)+Agency_Credit*MAX(0,Staff!AJ73-Staff!AI73)+Agency_Support*MAX(0,Staff!AJ69-Staff!AI69)+Agency_Rep*(MAX(0,Staff!AJ71-Staff!AI71)+MAX(0,Staff!AJ72-Staff!AI72)))</f>
        <v>0</v>
      </c>
      <c r="AK83" s="37" t="n">
        <f aca="false">Agency_Fee_EUR*FX_EUR*(SUMPRODUCT(--('Hiring plan'!$G$5:$G$32=AK$3),--('Hiring plan'!$J$5:$J$32="Y"),'Hiring plan'!$F$5:$F$32)+Agency_Dev*MAX(0,Staff!AK70-Staff!AJ70)+Agency_Credit*MAX(0,Staff!AK73-Staff!AJ73)+Agency_Support*MAX(0,Staff!AK69-Staff!AJ69)+Agency_Rep*(MAX(0,Staff!AK71-Staff!AJ71)+MAX(0,Staff!AK72-Staff!AJ72)))</f>
        <v>524765.6</v>
      </c>
      <c r="AL83" s="37" t="n">
        <f aca="false">Agency_Fee_EUR*FX_EUR*(SUMPRODUCT(--('Hiring plan'!$G$5:$G$32=AL$3),--('Hiring plan'!$J$5:$J$32="Y"),'Hiring plan'!$F$5:$F$32)+Agency_Dev*MAX(0,Staff!AL70-Staff!AK70)+Agency_Credit*MAX(0,Staff!AL73-Staff!AK73)+Agency_Support*MAX(0,Staff!AL69-Staff!AK69)+Agency_Rep*(MAX(0,Staff!AL71-Staff!AK71)+MAX(0,Staff!AL72-Staff!AK72)))</f>
        <v>0</v>
      </c>
      <c r="AM83" s="37" t="n">
        <f aca="false">Agency_Fee_EUR*FX_EUR*(SUMPRODUCT(--('Hiring plan'!$G$5:$G$32=AM$3),--('Hiring plan'!$J$5:$J$32="Y"),'Hiring plan'!$F$5:$F$32)+Agency_Dev*MAX(0,Staff!AM70-Staff!AL70)+Agency_Credit*MAX(0,Staff!AM73-Staff!AL73)+Agency_Support*MAX(0,Staff!AM69-Staff!AL69)+Agency_Rep*(MAX(0,Staff!AM71-Staff!AL71)+MAX(0,Staff!AM72-Staff!AL72)))</f>
        <v>0</v>
      </c>
      <c r="AN83" s="37" t="n">
        <f aca="false">Agency_Fee_EUR*FX_EUR*(SUMPRODUCT(--('Hiring plan'!$G$5:$G$32=AN$3),--('Hiring plan'!$J$5:$J$32="Y"),'Hiring plan'!$F$5:$F$32)+Agency_Dev*MAX(0,Staff!AN70-Staff!AM70)+Agency_Credit*MAX(0,Staff!AN73-Staff!AM73)+Agency_Support*MAX(0,Staff!AN69-Staff!AM69)+Agency_Rep*(MAX(0,Staff!AN71-Staff!AM71)+MAX(0,Staff!AN72-Staff!AM72)))</f>
        <v>0</v>
      </c>
      <c r="AO83" s="37" t="n">
        <f aca="false">Agency_Fee_EUR*FX_EUR*(SUMPRODUCT(--('Hiring plan'!$G$5:$G$32=AO$3),--('Hiring plan'!$J$5:$J$32="Y"),'Hiring plan'!$F$5:$F$32)+Agency_Dev*MAX(0,Staff!AO70-Staff!AN70)+Agency_Credit*MAX(0,Staff!AO73-Staff!AN73)+Agency_Support*MAX(0,Staff!AO69-Staff!AN69)+Agency_Rep*(MAX(0,Staff!AO71-Staff!AN71)+MAX(0,Staff!AO72-Staff!AN72)))</f>
        <v>1049531.2</v>
      </c>
      <c r="AP83" s="37" t="n">
        <f aca="false">Agency_Fee_EUR*FX_EUR*(SUMPRODUCT(--('Hiring plan'!$G$5:$G$32=AP$3),--('Hiring plan'!$J$5:$J$32="Y"),'Hiring plan'!$F$5:$F$32)+Agency_Dev*MAX(0,Staff!AP70-Staff!AO70)+Agency_Credit*MAX(0,Staff!AP73-Staff!AO73)+Agency_Support*MAX(0,Staff!AP69-Staff!AO69)+Agency_Rep*(MAX(0,Staff!AP71-Staff!AO71)+MAX(0,Staff!AP72-Staff!AO72)))</f>
        <v>0</v>
      </c>
      <c r="AQ83" s="37" t="n">
        <f aca="false">Agency_Fee_EUR*FX_EUR*(SUMPRODUCT(--('Hiring plan'!$G$5:$G$32=AQ$3),--('Hiring plan'!$J$5:$J$32="Y"),'Hiring plan'!$F$5:$F$32)+Agency_Dev*MAX(0,Staff!AQ70-Staff!AP70)+Agency_Credit*MAX(0,Staff!AQ73-Staff!AP73)+Agency_Support*MAX(0,Staff!AQ69-Staff!AP69)+Agency_Rep*(MAX(0,Staff!AQ71-Staff!AP71)+MAX(0,Staff!AQ72-Staff!AP72)))</f>
        <v>0</v>
      </c>
      <c r="AR83" s="37" t="n">
        <f aca="false">Agency_Fee_EUR*FX_EUR*(SUMPRODUCT(--('Hiring plan'!$G$5:$G$32=AR$3),--('Hiring plan'!$J$5:$J$32="Y"),'Hiring plan'!$F$5:$F$32)+Agency_Dev*MAX(0,Staff!AR70-Staff!AQ70)+Agency_Credit*MAX(0,Staff!AR73-Staff!AQ73)+Agency_Support*MAX(0,Staff!AR69-Staff!AQ69)+Agency_Rep*(MAX(0,Staff!AR71-Staff!AQ71)+MAX(0,Staff!AR72-Staff!AQ72)))</f>
        <v>0</v>
      </c>
      <c r="AS83" s="37" t="n">
        <f aca="false">Agency_Fee_EUR*FX_EUR*(SUMPRODUCT(--('Hiring plan'!$G$5:$G$32=AS$3),--('Hiring plan'!$J$5:$J$32="Y"),'Hiring plan'!$F$5:$F$32)+Agency_Dev*MAX(0,Staff!AS70-Staff!AR70)+Agency_Credit*MAX(0,Staff!AS73-Staff!AR73)+Agency_Support*MAX(0,Staff!AS69-Staff!AR69)+Agency_Rep*(MAX(0,Staff!AS71-Staff!AR71)+MAX(0,Staff!AS72-Staff!AR72)))</f>
        <v>524765.6</v>
      </c>
      <c r="AT83" s="37" t="n">
        <f aca="false">Agency_Fee_EUR*FX_EUR*(SUMPRODUCT(--('Hiring plan'!$G$5:$G$32=AT$3),--('Hiring plan'!$J$5:$J$32="Y"),'Hiring plan'!$F$5:$F$32)+Agency_Dev*MAX(0,Staff!AT70-Staff!AS70)+Agency_Credit*MAX(0,Staff!AT73-Staff!AS73)+Agency_Support*MAX(0,Staff!AT69-Staff!AS69)+Agency_Rep*(MAX(0,Staff!AT71-Staff!AS71)+MAX(0,Staff!AT72-Staff!AS72)))</f>
        <v>0</v>
      </c>
      <c r="AU83" s="37" t="n">
        <f aca="false">Agency_Fee_EUR*FX_EUR*(SUMPRODUCT(--('Hiring plan'!$G$5:$G$32=AU$3),--('Hiring plan'!$J$5:$J$32="Y"),'Hiring plan'!$F$5:$F$32)+Agency_Dev*MAX(0,Staff!AU70-Staff!AT70)+Agency_Credit*MAX(0,Staff!AU73-Staff!AT73)+Agency_Support*MAX(0,Staff!AU69-Staff!AT69)+Agency_Rep*(MAX(0,Staff!AU71-Staff!AT71)+MAX(0,Staff!AU72-Staff!AT72)))</f>
        <v>0</v>
      </c>
      <c r="AV83" s="37" t="n">
        <f aca="false">Agency_Fee_EUR*FX_EUR*(SUMPRODUCT(--('Hiring plan'!$G$5:$G$32=AV$3),--('Hiring plan'!$J$5:$J$32="Y"),'Hiring plan'!$F$5:$F$32)+Agency_Dev*MAX(0,Staff!AV70-Staff!AU70)+Agency_Credit*MAX(0,Staff!AV73-Staff!AU73)+Agency_Support*MAX(0,Staff!AV69-Staff!AU69)+Agency_Rep*(MAX(0,Staff!AV71-Staff!AU71)+MAX(0,Staff!AV72-Staff!AU72)))</f>
        <v>0</v>
      </c>
      <c r="AW83" s="37" t="n">
        <f aca="false">Agency_Fee_EUR*FX_EUR*(SUMPRODUCT(--('Hiring plan'!$G$5:$G$32=AW$3),--('Hiring plan'!$J$5:$J$32="Y"),'Hiring plan'!$F$5:$F$32)+Agency_Dev*MAX(0,Staff!AW70-Staff!AV70)+Agency_Credit*MAX(0,Staff!AW73-Staff!AV73)+Agency_Support*MAX(0,Staff!AW69-Staff!AV69)+Agency_Rep*(MAX(0,Staff!AW71-Staff!AV71)+MAX(0,Staff!AW72-Staff!AV72)))</f>
        <v>524765.6</v>
      </c>
      <c r="AX83" s="37" t="n">
        <f aca="false">Agency_Fee_EUR*FX_EUR*(SUMPRODUCT(--('Hiring plan'!$G$5:$G$32=AX$3),--('Hiring plan'!$J$5:$J$32="Y"),'Hiring plan'!$F$5:$F$32)+Agency_Dev*MAX(0,Staff!AX70-Staff!AW70)+Agency_Credit*MAX(0,Staff!AX73-Staff!AW73)+Agency_Support*MAX(0,Staff!AX69-Staff!AW69)+Agency_Rep*(MAX(0,Staff!AX71-Staff!AW71)+MAX(0,Staff!AX72-Staff!AW72)))</f>
        <v>524765.6</v>
      </c>
      <c r="AY83" s="37" t="n">
        <f aca="false">Agency_Fee_EUR*FX_EUR*(SUMPRODUCT(--('Hiring plan'!$G$5:$G$32=AY$3),--('Hiring plan'!$J$5:$J$32="Y"),'Hiring plan'!$F$5:$F$32)+Agency_Dev*MAX(0,Staff!AY70-Staff!AX70)+Agency_Credit*MAX(0,Staff!AY73-Staff!AX73)+Agency_Support*MAX(0,Staff!AY69-Staff!AX69)+Agency_Rep*(MAX(0,Staff!AY71-Staff!AX71)+MAX(0,Staff!AY72-Staff!AX72)))</f>
        <v>0</v>
      </c>
      <c r="AZ83" s="37" t="n">
        <f aca="false">Agency_Fee_EUR*FX_EUR*(SUMPRODUCT(--('Hiring plan'!$G$5:$G$32=AZ$3),--('Hiring plan'!$J$5:$J$32="Y"),'Hiring plan'!$F$5:$F$32)+Agency_Dev*MAX(0,Staff!AZ70-Staff!AY70)+Agency_Credit*MAX(0,Staff!AZ73-Staff!AY73)+Agency_Support*MAX(0,Staff!AZ69-Staff!AY69)+Agency_Rep*(MAX(0,Staff!AZ71-Staff!AY71)+MAX(0,Staff!AZ72-Staff!AY72)))</f>
        <v>0</v>
      </c>
      <c r="BA83" s="37" t="n">
        <f aca="false">Agency_Fee_EUR*FX_EUR*(SUMPRODUCT(--('Hiring plan'!$G$5:$G$32=BA$3),--('Hiring plan'!$J$5:$J$32="Y"),'Hiring plan'!$F$5:$F$32)+Agency_Dev*MAX(0,Staff!BA70-Staff!AZ70)+Agency_Credit*MAX(0,Staff!BA73-Staff!AZ73)+Agency_Support*MAX(0,Staff!BA69-Staff!AZ69)+Agency_Rep*(MAX(0,Staff!BA71-Staff!AZ71)+MAX(0,Staff!BA72-Staff!AZ72)))</f>
        <v>0</v>
      </c>
      <c r="BB83" s="37" t="n">
        <f aca="false">Agency_Fee_EUR*FX_EUR*(SUMPRODUCT(--('Hiring plan'!$G$5:$G$32=BB$3),--('Hiring plan'!$J$5:$J$32="Y"),'Hiring plan'!$F$5:$F$32)+Agency_Dev*MAX(0,Staff!BB70-Staff!BA70)+Agency_Credit*MAX(0,Staff!BB73-Staff!BA73)+Agency_Support*MAX(0,Staff!BB69-Staff!BA69)+Agency_Rep*(MAX(0,Staff!BB71-Staff!BA71)+MAX(0,Staff!BB72-Staff!BA72)))</f>
        <v>524765.6</v>
      </c>
      <c r="BC83" s="37" t="n">
        <f aca="false">Agency_Fee_EUR*FX_EUR*(SUMPRODUCT(--('Hiring plan'!$G$5:$G$32=BC$3),--('Hiring plan'!$J$5:$J$32="Y"),'Hiring plan'!$F$5:$F$32)+Agency_Dev*MAX(0,Staff!BC70-Staff!BB70)+Agency_Credit*MAX(0,Staff!BC73-Staff!BB73)+Agency_Support*MAX(0,Staff!BC69-Staff!BB69)+Agency_Rep*(MAX(0,Staff!BC71-Staff!BB71)+MAX(0,Staff!BC72-Staff!BB72)))</f>
        <v>0</v>
      </c>
      <c r="BD83" s="37" t="n">
        <f aca="false">Agency_Fee_EUR*FX_EUR*(SUMPRODUCT(--('Hiring plan'!$G$5:$G$32=BD$3),--('Hiring plan'!$J$5:$J$32="Y"),'Hiring plan'!$F$5:$F$32)+Agency_Dev*MAX(0,Staff!BD70-Staff!BC70)+Agency_Credit*MAX(0,Staff!BD73-Staff!BC73)+Agency_Support*MAX(0,Staff!BD69-Staff!BC69)+Agency_Rep*(MAX(0,Staff!BD71-Staff!BC71)+MAX(0,Staff!BD72-Staff!BC72)))</f>
        <v>524765.6</v>
      </c>
      <c r="BE83" s="37" t="n">
        <f aca="false">Agency_Fee_EUR*FX_EUR*(SUMPRODUCT(--('Hiring plan'!$G$5:$G$32=BE$3),--('Hiring plan'!$J$5:$J$32="Y"),'Hiring plan'!$F$5:$F$32)+Agency_Dev*MAX(0,Staff!BE70-Staff!BD70)+Agency_Credit*MAX(0,Staff!BE73-Staff!BD73)+Agency_Support*MAX(0,Staff!BE69-Staff!BD69)+Agency_Rep*(MAX(0,Staff!BE71-Staff!BD71)+MAX(0,Staff!BE72-Staff!BD72)))</f>
        <v>0</v>
      </c>
      <c r="BF83" s="37" t="n">
        <f aca="false">Agency_Fee_EUR*FX_EUR*(SUMPRODUCT(--('Hiring plan'!$G$5:$G$32=BF$3),--('Hiring plan'!$J$5:$J$32="Y"),'Hiring plan'!$F$5:$F$32)+Agency_Dev*MAX(0,Staff!BF70-Staff!BE70)+Agency_Credit*MAX(0,Staff!BF73-Staff!BE73)+Agency_Support*MAX(0,Staff!BF69-Staff!BE69)+Agency_Rep*(MAX(0,Staff!BF71-Staff!BE71)+MAX(0,Staff!BF72-Staff!BE72)))</f>
        <v>524765.6</v>
      </c>
      <c r="BG83" s="37" t="n">
        <f aca="false">Agency_Fee_EUR*FX_EUR*(SUMPRODUCT(--('Hiring plan'!$G$5:$G$32=BG$3),--('Hiring plan'!$J$5:$J$32="Y"),'Hiring plan'!$F$5:$F$32)+Agency_Dev*MAX(0,Staff!BG70-Staff!BF70)+Agency_Credit*MAX(0,Staff!BG73-Staff!BF73)+Agency_Support*MAX(0,Staff!BG69-Staff!BF69)+Agency_Rep*(MAX(0,Staff!BG71-Staff!BF71)+MAX(0,Staff!BG72-Staff!BF72)))</f>
        <v>0</v>
      </c>
      <c r="BH83" s="37" t="n">
        <f aca="false">Agency_Fee_EUR*FX_EUR*(SUMPRODUCT(--('Hiring plan'!$G$5:$G$32=BH$3),--('Hiring plan'!$J$5:$J$32="Y"),'Hiring plan'!$F$5:$F$32)+Agency_Dev*MAX(0,Staff!BH70-Staff!BG70)+Agency_Credit*MAX(0,Staff!BH73-Staff!BG73)+Agency_Support*MAX(0,Staff!BH69-Staff!BG69)+Agency_Rep*(MAX(0,Staff!BH71-Staff!BG71)+MAX(0,Staff!BH72-Staff!BG72)))</f>
        <v>0</v>
      </c>
      <c r="BI83" s="37" t="n">
        <f aca="false">Agency_Fee_EUR*FX_EUR*(SUMPRODUCT(--('Hiring plan'!$G$5:$G$32=BI$3),--('Hiring plan'!$J$5:$J$32="Y"),'Hiring plan'!$F$5:$F$32)+Agency_Dev*MAX(0,Staff!BI70-Staff!BH70)+Agency_Credit*MAX(0,Staff!BI73-Staff!BH73)+Agency_Support*MAX(0,Staff!BI69-Staff!BH69)+Agency_Rep*(MAX(0,Staff!BI71-Staff!BH71)+MAX(0,Staff!BI72-Staff!BH72)))</f>
        <v>0</v>
      </c>
      <c r="BJ83" s="37" t="n">
        <f aca="false">Agency_Fee_EUR*FX_EUR*(SUMPRODUCT(--('Hiring plan'!$G$5:$G$32=BJ$3),--('Hiring plan'!$J$5:$J$32="Y"),'Hiring plan'!$F$5:$F$32)+Agency_Dev*MAX(0,Staff!BJ70-Staff!BI70)+Agency_Credit*MAX(0,Staff!BJ73-Staff!BI73)+Agency_Support*MAX(0,Staff!BJ69-Staff!BI69)+Agency_Rep*(MAX(0,Staff!BJ71-Staff!BI71)+MAX(0,Staff!BJ72-Staff!BI72)))</f>
        <v>1049531.2</v>
      </c>
      <c r="BK83" s="37" t="n">
        <f aca="false">Agency_Fee_EUR*FX_EUR*(SUMPRODUCT(--('Hiring plan'!$G$5:$G$32=BK$3),--('Hiring plan'!$J$5:$J$32="Y"),'Hiring plan'!$F$5:$F$32)+Agency_Dev*MAX(0,Staff!BK70-Staff!BJ70)+Agency_Credit*MAX(0,Staff!BK73-Staff!BJ73)+Agency_Support*MAX(0,Staff!BK69-Staff!BJ69)+Agency_Rep*(MAX(0,Staff!BK71-Staff!BJ71)+MAX(0,Staff!BK72-Staff!BJ72)))</f>
        <v>0</v>
      </c>
      <c r="BL83" s="37" t="n">
        <f aca="false">Agency_Fee_EUR*FX_EUR*(SUMPRODUCT(--('Hiring plan'!$G$5:$G$32=BL$3),--('Hiring plan'!$J$5:$J$32="Y"),'Hiring plan'!$F$5:$F$32)+Agency_Dev*MAX(0,Staff!BL70-Staff!BK70)+Agency_Credit*MAX(0,Staff!BL73-Staff!BK73)+Agency_Support*MAX(0,Staff!BL69-Staff!BK69)+Agency_Rep*(MAX(0,Staff!BL71-Staff!BK71)+MAX(0,Staff!BL72-Staff!BK72)))</f>
        <v>0</v>
      </c>
    </row>
    <row r="84" customFormat="false" ht="15" hidden="false" customHeight="false" outlineLevel="0" collapsed="false">
      <c r="A84" s="12" t="s">
        <v>638</v>
      </c>
      <c r="B84" s="14" t="s">
        <v>71</v>
      </c>
      <c r="D84" s="55" t="n">
        <f aca="false">SUM(E84:BL84)</f>
        <v>77450000</v>
      </c>
      <c r="E84" s="37" t="n">
        <f aca="false">INDEX(Travel,1,E$5)/12</f>
        <v>437500</v>
      </c>
      <c r="F84" s="37" t="n">
        <f aca="false">INDEX(Travel,1,F$5)/12</f>
        <v>437500</v>
      </c>
      <c r="G84" s="37" t="n">
        <f aca="false">INDEX(Travel,1,G$5)/12</f>
        <v>437500</v>
      </c>
      <c r="H84" s="37" t="n">
        <f aca="false">INDEX(Travel,1,H$5)/12</f>
        <v>437500</v>
      </c>
      <c r="I84" s="37" t="n">
        <f aca="false">INDEX(Travel,1,I$5)/12</f>
        <v>437500</v>
      </c>
      <c r="J84" s="37" t="n">
        <f aca="false">INDEX(Travel,1,J$5)/12</f>
        <v>437500</v>
      </c>
      <c r="K84" s="37" t="n">
        <f aca="false">INDEX(Travel,1,K$5)/12</f>
        <v>437500</v>
      </c>
      <c r="L84" s="37" t="n">
        <f aca="false">INDEX(Travel,1,L$5)/12</f>
        <v>437500</v>
      </c>
      <c r="M84" s="37" t="n">
        <f aca="false">INDEX(Travel,1,M$5)/12</f>
        <v>437500</v>
      </c>
      <c r="N84" s="37" t="n">
        <f aca="false">INDEX(Travel,1,N$5)/12</f>
        <v>437500</v>
      </c>
      <c r="O84" s="37" t="n">
        <f aca="false">INDEX(Travel,1,O$5)/12</f>
        <v>437500</v>
      </c>
      <c r="P84" s="37" t="n">
        <f aca="false">INDEX(Travel,1,P$5)/12</f>
        <v>437500</v>
      </c>
      <c r="Q84" s="37" t="n">
        <f aca="false">INDEX(Travel,1,Q$5)/12</f>
        <v>1091666.66666667</v>
      </c>
      <c r="R84" s="37" t="n">
        <f aca="false">INDEX(Travel,1,R$5)/12</f>
        <v>1091666.66666667</v>
      </c>
      <c r="S84" s="37" t="n">
        <f aca="false">INDEX(Travel,1,S$5)/12</f>
        <v>1091666.66666667</v>
      </c>
      <c r="T84" s="37" t="n">
        <f aca="false">INDEX(Travel,1,T$5)/12</f>
        <v>1091666.66666667</v>
      </c>
      <c r="U84" s="37" t="n">
        <f aca="false">INDEX(Travel,1,U$5)/12</f>
        <v>1091666.66666667</v>
      </c>
      <c r="V84" s="37" t="n">
        <f aca="false">INDEX(Travel,1,V$5)/12</f>
        <v>1091666.66666667</v>
      </c>
      <c r="W84" s="37" t="n">
        <f aca="false">INDEX(Travel,1,W$5)/12</f>
        <v>1091666.66666667</v>
      </c>
      <c r="X84" s="37" t="n">
        <f aca="false">INDEX(Travel,1,X$5)/12</f>
        <v>1091666.66666667</v>
      </c>
      <c r="Y84" s="37" t="n">
        <f aca="false">INDEX(Travel,1,Y$5)/12</f>
        <v>1091666.66666667</v>
      </c>
      <c r="Z84" s="37" t="n">
        <f aca="false">INDEX(Travel,1,Z$5)/12</f>
        <v>1091666.66666667</v>
      </c>
      <c r="AA84" s="37" t="n">
        <f aca="false">INDEX(Travel,1,AA$5)/12</f>
        <v>1091666.66666667</v>
      </c>
      <c r="AB84" s="37" t="n">
        <f aca="false">INDEX(Travel,1,AB$5)/12</f>
        <v>1091666.66666667</v>
      </c>
      <c r="AC84" s="37" t="n">
        <f aca="false">INDEX(Travel,1,AC$5)/12</f>
        <v>1366666.66666667</v>
      </c>
      <c r="AD84" s="37" t="n">
        <f aca="false">INDEX(Travel,1,AD$5)/12</f>
        <v>1366666.66666667</v>
      </c>
      <c r="AE84" s="37" t="n">
        <f aca="false">INDEX(Travel,1,AE$5)/12</f>
        <v>1366666.66666667</v>
      </c>
      <c r="AF84" s="37" t="n">
        <f aca="false">INDEX(Travel,1,AF$5)/12</f>
        <v>1366666.66666667</v>
      </c>
      <c r="AG84" s="37" t="n">
        <f aca="false">INDEX(Travel,1,AG$5)/12</f>
        <v>1366666.66666667</v>
      </c>
      <c r="AH84" s="37" t="n">
        <f aca="false">INDEX(Travel,1,AH$5)/12</f>
        <v>1366666.66666667</v>
      </c>
      <c r="AI84" s="37" t="n">
        <f aca="false">INDEX(Travel,1,AI$5)/12</f>
        <v>1366666.66666667</v>
      </c>
      <c r="AJ84" s="37" t="n">
        <f aca="false">INDEX(Travel,1,AJ$5)/12</f>
        <v>1366666.66666667</v>
      </c>
      <c r="AK84" s="37" t="n">
        <f aca="false">INDEX(Travel,1,AK$5)/12</f>
        <v>1366666.66666667</v>
      </c>
      <c r="AL84" s="37" t="n">
        <f aca="false">INDEX(Travel,1,AL$5)/12</f>
        <v>1366666.66666667</v>
      </c>
      <c r="AM84" s="37" t="n">
        <f aca="false">INDEX(Travel,1,AM$5)/12</f>
        <v>1366666.66666667</v>
      </c>
      <c r="AN84" s="37" t="n">
        <f aca="false">INDEX(Travel,1,AN$5)/12</f>
        <v>1366666.66666667</v>
      </c>
      <c r="AO84" s="37" t="n">
        <f aca="false">INDEX(Travel,1,AO$5)/12</f>
        <v>1641666.66666667</v>
      </c>
      <c r="AP84" s="37" t="n">
        <f aca="false">INDEX(Travel,1,AP$5)/12</f>
        <v>1641666.66666667</v>
      </c>
      <c r="AQ84" s="37" t="n">
        <f aca="false">INDEX(Travel,1,AQ$5)/12</f>
        <v>1641666.66666667</v>
      </c>
      <c r="AR84" s="37" t="n">
        <f aca="false">INDEX(Travel,1,AR$5)/12</f>
        <v>1641666.66666667</v>
      </c>
      <c r="AS84" s="37" t="n">
        <f aca="false">INDEX(Travel,1,AS$5)/12</f>
        <v>1641666.66666667</v>
      </c>
      <c r="AT84" s="37" t="n">
        <f aca="false">INDEX(Travel,1,AT$5)/12</f>
        <v>1641666.66666667</v>
      </c>
      <c r="AU84" s="37" t="n">
        <f aca="false">INDEX(Travel,1,AU$5)/12</f>
        <v>1641666.66666667</v>
      </c>
      <c r="AV84" s="37" t="n">
        <f aca="false">INDEX(Travel,1,AV$5)/12</f>
        <v>1641666.66666667</v>
      </c>
      <c r="AW84" s="37" t="n">
        <f aca="false">INDEX(Travel,1,AW$5)/12</f>
        <v>1641666.66666667</v>
      </c>
      <c r="AX84" s="37" t="n">
        <f aca="false">INDEX(Travel,1,AX$5)/12</f>
        <v>1641666.66666667</v>
      </c>
      <c r="AY84" s="37" t="n">
        <f aca="false">INDEX(Travel,1,AY$5)/12</f>
        <v>1641666.66666667</v>
      </c>
      <c r="AZ84" s="37" t="n">
        <f aca="false">INDEX(Travel,1,AZ$5)/12</f>
        <v>1641666.66666667</v>
      </c>
      <c r="BA84" s="37" t="n">
        <f aca="false">INDEX(Travel,1,BA$5)/12</f>
        <v>1916666.66666667</v>
      </c>
      <c r="BB84" s="37" t="n">
        <f aca="false">INDEX(Travel,1,BB$5)/12</f>
        <v>1916666.66666667</v>
      </c>
      <c r="BC84" s="37" t="n">
        <f aca="false">INDEX(Travel,1,BC$5)/12</f>
        <v>1916666.66666667</v>
      </c>
      <c r="BD84" s="37" t="n">
        <f aca="false">INDEX(Travel,1,BD$5)/12</f>
        <v>1916666.66666667</v>
      </c>
      <c r="BE84" s="37" t="n">
        <f aca="false">INDEX(Travel,1,BE$5)/12</f>
        <v>1916666.66666667</v>
      </c>
      <c r="BF84" s="37" t="n">
        <f aca="false">INDEX(Travel,1,BF$5)/12</f>
        <v>1916666.66666667</v>
      </c>
      <c r="BG84" s="37" t="n">
        <f aca="false">INDEX(Travel,1,BG$5)/12</f>
        <v>1916666.66666667</v>
      </c>
      <c r="BH84" s="37" t="n">
        <f aca="false">INDEX(Travel,1,BH$5)/12</f>
        <v>1916666.66666667</v>
      </c>
      <c r="BI84" s="37" t="n">
        <f aca="false">INDEX(Travel,1,BI$5)/12</f>
        <v>1916666.66666667</v>
      </c>
      <c r="BJ84" s="37" t="n">
        <f aca="false">INDEX(Travel,1,BJ$5)/12</f>
        <v>1916666.66666667</v>
      </c>
      <c r="BK84" s="37" t="n">
        <f aca="false">INDEX(Travel,1,BK$5)/12</f>
        <v>1916666.66666667</v>
      </c>
      <c r="BL84" s="37" t="n">
        <f aca="false">INDEX(Travel,1,BL$5)/12</f>
        <v>1916666.66666667</v>
      </c>
    </row>
    <row r="85" customFormat="false" ht="15" hidden="false" customHeight="false" outlineLevel="0" collapsed="false">
      <c r="A85" s="12" t="s">
        <v>482</v>
      </c>
      <c r="B85" s="14" t="s">
        <v>71</v>
      </c>
      <c r="D85" s="55" t="n">
        <f aca="false">SUM(E85:BL85)</f>
        <v>34200000</v>
      </c>
      <c r="E85" s="37" t="n">
        <f aca="false">INDEX(Misc,1,E$5)</f>
        <v>300000</v>
      </c>
      <c r="F85" s="37" t="n">
        <f aca="false">INDEX(Misc,1,F$5)</f>
        <v>300000</v>
      </c>
      <c r="G85" s="37" t="n">
        <f aca="false">INDEX(Misc,1,G$5)</f>
        <v>300000</v>
      </c>
      <c r="H85" s="37" t="n">
        <f aca="false">INDEX(Misc,1,H$5)</f>
        <v>300000</v>
      </c>
      <c r="I85" s="37" t="n">
        <f aca="false">INDEX(Misc,1,I$5)</f>
        <v>300000</v>
      </c>
      <c r="J85" s="37" t="n">
        <f aca="false">INDEX(Misc,1,J$5)</f>
        <v>300000</v>
      </c>
      <c r="K85" s="37" t="n">
        <f aca="false">INDEX(Misc,1,K$5)</f>
        <v>300000</v>
      </c>
      <c r="L85" s="37" t="n">
        <f aca="false">INDEX(Misc,1,L$5)</f>
        <v>300000</v>
      </c>
      <c r="M85" s="37" t="n">
        <f aca="false">INDEX(Misc,1,M$5)</f>
        <v>300000</v>
      </c>
      <c r="N85" s="37" t="n">
        <f aca="false">INDEX(Misc,1,N$5)</f>
        <v>300000</v>
      </c>
      <c r="O85" s="37" t="n">
        <f aca="false">INDEX(Misc,1,O$5)</f>
        <v>300000</v>
      </c>
      <c r="P85" s="37" t="n">
        <f aca="false">INDEX(Misc,1,P$5)</f>
        <v>300000</v>
      </c>
      <c r="Q85" s="37" t="n">
        <f aca="false">INDEX(Misc,1,Q$5)</f>
        <v>450000</v>
      </c>
      <c r="R85" s="37" t="n">
        <f aca="false">INDEX(Misc,1,R$5)</f>
        <v>450000</v>
      </c>
      <c r="S85" s="37" t="n">
        <f aca="false">INDEX(Misc,1,S$5)</f>
        <v>450000</v>
      </c>
      <c r="T85" s="37" t="n">
        <f aca="false">INDEX(Misc,1,T$5)</f>
        <v>450000</v>
      </c>
      <c r="U85" s="37" t="n">
        <f aca="false">INDEX(Misc,1,U$5)</f>
        <v>450000</v>
      </c>
      <c r="V85" s="37" t="n">
        <f aca="false">INDEX(Misc,1,V$5)</f>
        <v>450000</v>
      </c>
      <c r="W85" s="37" t="n">
        <f aca="false">INDEX(Misc,1,W$5)</f>
        <v>450000</v>
      </c>
      <c r="X85" s="37" t="n">
        <f aca="false">INDEX(Misc,1,X$5)</f>
        <v>450000</v>
      </c>
      <c r="Y85" s="37" t="n">
        <f aca="false">INDEX(Misc,1,Y$5)</f>
        <v>450000</v>
      </c>
      <c r="Z85" s="37" t="n">
        <f aca="false">INDEX(Misc,1,Z$5)</f>
        <v>450000</v>
      </c>
      <c r="AA85" s="37" t="n">
        <f aca="false">INDEX(Misc,1,AA$5)</f>
        <v>450000</v>
      </c>
      <c r="AB85" s="37" t="n">
        <f aca="false">INDEX(Misc,1,AB$5)</f>
        <v>450000</v>
      </c>
      <c r="AC85" s="37" t="n">
        <f aca="false">INDEX(Misc,1,AC$5)</f>
        <v>600000</v>
      </c>
      <c r="AD85" s="37" t="n">
        <f aca="false">INDEX(Misc,1,AD$5)</f>
        <v>600000</v>
      </c>
      <c r="AE85" s="37" t="n">
        <f aca="false">INDEX(Misc,1,AE$5)</f>
        <v>600000</v>
      </c>
      <c r="AF85" s="37" t="n">
        <f aca="false">INDEX(Misc,1,AF$5)</f>
        <v>600000</v>
      </c>
      <c r="AG85" s="37" t="n">
        <f aca="false">INDEX(Misc,1,AG$5)</f>
        <v>600000</v>
      </c>
      <c r="AH85" s="37" t="n">
        <f aca="false">INDEX(Misc,1,AH$5)</f>
        <v>600000</v>
      </c>
      <c r="AI85" s="37" t="n">
        <f aca="false">INDEX(Misc,1,AI$5)</f>
        <v>600000</v>
      </c>
      <c r="AJ85" s="37" t="n">
        <f aca="false">INDEX(Misc,1,AJ$5)</f>
        <v>600000</v>
      </c>
      <c r="AK85" s="37" t="n">
        <f aca="false">INDEX(Misc,1,AK$5)</f>
        <v>600000</v>
      </c>
      <c r="AL85" s="37" t="n">
        <f aca="false">INDEX(Misc,1,AL$5)</f>
        <v>600000</v>
      </c>
      <c r="AM85" s="37" t="n">
        <f aca="false">INDEX(Misc,1,AM$5)</f>
        <v>600000</v>
      </c>
      <c r="AN85" s="37" t="n">
        <f aca="false">INDEX(Misc,1,AN$5)</f>
        <v>600000</v>
      </c>
      <c r="AO85" s="37" t="n">
        <f aca="false">INDEX(Misc,1,AO$5)</f>
        <v>700000</v>
      </c>
      <c r="AP85" s="37" t="n">
        <f aca="false">INDEX(Misc,1,AP$5)</f>
        <v>700000</v>
      </c>
      <c r="AQ85" s="37" t="n">
        <f aca="false">INDEX(Misc,1,AQ$5)</f>
        <v>700000</v>
      </c>
      <c r="AR85" s="37" t="n">
        <f aca="false">INDEX(Misc,1,AR$5)</f>
        <v>700000</v>
      </c>
      <c r="AS85" s="37" t="n">
        <f aca="false">INDEX(Misc,1,AS$5)</f>
        <v>700000</v>
      </c>
      <c r="AT85" s="37" t="n">
        <f aca="false">INDEX(Misc,1,AT$5)</f>
        <v>700000</v>
      </c>
      <c r="AU85" s="37" t="n">
        <f aca="false">INDEX(Misc,1,AU$5)</f>
        <v>700000</v>
      </c>
      <c r="AV85" s="37" t="n">
        <f aca="false">INDEX(Misc,1,AV$5)</f>
        <v>700000</v>
      </c>
      <c r="AW85" s="37" t="n">
        <f aca="false">INDEX(Misc,1,AW$5)</f>
        <v>700000</v>
      </c>
      <c r="AX85" s="37" t="n">
        <f aca="false">INDEX(Misc,1,AX$5)</f>
        <v>700000</v>
      </c>
      <c r="AY85" s="37" t="n">
        <f aca="false">INDEX(Misc,1,AY$5)</f>
        <v>700000</v>
      </c>
      <c r="AZ85" s="37" t="n">
        <f aca="false">INDEX(Misc,1,AZ$5)</f>
        <v>700000</v>
      </c>
      <c r="BA85" s="37" t="n">
        <f aca="false">INDEX(Misc,1,BA$5)</f>
        <v>800000</v>
      </c>
      <c r="BB85" s="37" t="n">
        <f aca="false">INDEX(Misc,1,BB$5)</f>
        <v>800000</v>
      </c>
      <c r="BC85" s="37" t="n">
        <f aca="false">INDEX(Misc,1,BC$5)</f>
        <v>800000</v>
      </c>
      <c r="BD85" s="37" t="n">
        <f aca="false">INDEX(Misc,1,BD$5)</f>
        <v>800000</v>
      </c>
      <c r="BE85" s="37" t="n">
        <f aca="false">INDEX(Misc,1,BE$5)</f>
        <v>800000</v>
      </c>
      <c r="BF85" s="37" t="n">
        <f aca="false">INDEX(Misc,1,BF$5)</f>
        <v>800000</v>
      </c>
      <c r="BG85" s="37" t="n">
        <f aca="false">INDEX(Misc,1,BG$5)</f>
        <v>800000</v>
      </c>
      <c r="BH85" s="37" t="n">
        <f aca="false">INDEX(Misc,1,BH$5)</f>
        <v>800000</v>
      </c>
      <c r="BI85" s="37" t="n">
        <f aca="false">INDEX(Misc,1,BI$5)</f>
        <v>800000</v>
      </c>
      <c r="BJ85" s="37" t="n">
        <f aca="false">INDEX(Misc,1,BJ$5)</f>
        <v>800000</v>
      </c>
      <c r="BK85" s="37" t="n">
        <f aca="false">INDEX(Misc,1,BK$5)</f>
        <v>800000</v>
      </c>
      <c r="BL85" s="37" t="n">
        <f aca="false">INDEX(Misc,1,BL$5)</f>
        <v>800000</v>
      </c>
    </row>
    <row r="86" customFormat="false" ht="15" hidden="false" customHeight="false" outlineLevel="0" collapsed="false">
      <c r="A86" s="8" t="s">
        <v>843</v>
      </c>
      <c r="B86" s="14" t="s">
        <v>71</v>
      </c>
      <c r="D86" s="55" t="n">
        <f aca="false">SUM(E86:BL86)</f>
        <v>122670077.6</v>
      </c>
      <c r="E86" s="16" t="n">
        <f aca="false">SUM(E83:E85)</f>
        <v>2836562.4</v>
      </c>
      <c r="F86" s="16" t="n">
        <f aca="false">SUM(F83:F85)</f>
        <v>737500</v>
      </c>
      <c r="G86" s="16" t="n">
        <f aca="false">SUM(G83:G85)</f>
        <v>737500</v>
      </c>
      <c r="H86" s="16" t="n">
        <f aca="false">SUM(H83:H85)</f>
        <v>737500</v>
      </c>
      <c r="I86" s="16" t="n">
        <f aca="false">SUM(I83:I85)</f>
        <v>737500</v>
      </c>
      <c r="J86" s="16" t="n">
        <f aca="false">SUM(J83:J85)</f>
        <v>737500</v>
      </c>
      <c r="K86" s="16" t="n">
        <f aca="false">SUM(K83:K85)</f>
        <v>737500</v>
      </c>
      <c r="L86" s="16" t="n">
        <f aca="false">SUM(L83:L85)</f>
        <v>737500</v>
      </c>
      <c r="M86" s="16" t="n">
        <f aca="false">SUM(M83:M85)</f>
        <v>737500</v>
      </c>
      <c r="N86" s="16" t="n">
        <f aca="false">SUM(N83:N85)</f>
        <v>737500</v>
      </c>
      <c r="O86" s="16" t="n">
        <f aca="false">SUM(O83:O85)</f>
        <v>737500</v>
      </c>
      <c r="P86" s="16" t="n">
        <f aca="false">SUM(P83:P85)</f>
        <v>737500</v>
      </c>
      <c r="Q86" s="16" t="n">
        <f aca="false">SUM(Q83:Q85)</f>
        <v>2066432.26666667</v>
      </c>
      <c r="R86" s="16" t="n">
        <f aca="false">SUM(R83:R85)</f>
        <v>1541666.66666667</v>
      </c>
      <c r="S86" s="16" t="n">
        <f aca="false">SUM(S83:S85)</f>
        <v>1541666.66666667</v>
      </c>
      <c r="T86" s="16" t="n">
        <f aca="false">SUM(T83:T85)</f>
        <v>2066432.26666667</v>
      </c>
      <c r="U86" s="16" t="n">
        <f aca="false">SUM(U83:U85)</f>
        <v>1541666.66666667</v>
      </c>
      <c r="V86" s="16" t="n">
        <f aca="false">SUM(V83:V85)</f>
        <v>2066432.26666667</v>
      </c>
      <c r="W86" s="16" t="n">
        <f aca="false">SUM(W83:W85)</f>
        <v>1541666.66666667</v>
      </c>
      <c r="X86" s="16" t="n">
        <f aca="false">SUM(X83:X85)</f>
        <v>1541666.66666667</v>
      </c>
      <c r="Y86" s="16" t="n">
        <f aca="false">SUM(Y83:Y85)</f>
        <v>1541666.66666667</v>
      </c>
      <c r="Z86" s="16" t="n">
        <f aca="false">SUM(Z83:Z85)</f>
        <v>1541666.66666667</v>
      </c>
      <c r="AA86" s="16" t="n">
        <f aca="false">SUM(AA83:AA85)</f>
        <v>1541666.66666667</v>
      </c>
      <c r="AB86" s="16" t="n">
        <f aca="false">SUM(AB83:AB85)</f>
        <v>2066432.26666667</v>
      </c>
      <c r="AC86" s="16" t="n">
        <f aca="false">SUM(AC83:AC85)</f>
        <v>1966666.66666667</v>
      </c>
      <c r="AD86" s="16" t="n">
        <f aca="false">SUM(AD83:AD85)</f>
        <v>1966666.66666667</v>
      </c>
      <c r="AE86" s="16" t="n">
        <f aca="false">SUM(AE83:AE85)</f>
        <v>2491432.26666667</v>
      </c>
      <c r="AF86" s="16" t="n">
        <f aca="false">SUM(AF83:AF85)</f>
        <v>2491432.26666667</v>
      </c>
      <c r="AG86" s="16" t="n">
        <f aca="false">SUM(AG83:AG85)</f>
        <v>1966666.66666667</v>
      </c>
      <c r="AH86" s="16" t="n">
        <f aca="false">SUM(AH83:AH85)</f>
        <v>1966666.66666667</v>
      </c>
      <c r="AI86" s="16" t="n">
        <f aca="false">SUM(AI83:AI85)</f>
        <v>1966666.66666667</v>
      </c>
      <c r="AJ86" s="16" t="n">
        <f aca="false">SUM(AJ83:AJ85)</f>
        <v>1966666.66666667</v>
      </c>
      <c r="AK86" s="16" t="n">
        <f aca="false">SUM(AK83:AK85)</f>
        <v>2491432.26666667</v>
      </c>
      <c r="AL86" s="16" t="n">
        <f aca="false">SUM(AL83:AL85)</f>
        <v>1966666.66666667</v>
      </c>
      <c r="AM86" s="16" t="n">
        <f aca="false">SUM(AM83:AM85)</f>
        <v>1966666.66666667</v>
      </c>
      <c r="AN86" s="16" t="n">
        <f aca="false">SUM(AN83:AN85)</f>
        <v>1966666.66666667</v>
      </c>
      <c r="AO86" s="16" t="n">
        <f aca="false">SUM(AO83:AO85)</f>
        <v>3391197.86666667</v>
      </c>
      <c r="AP86" s="16" t="n">
        <f aca="false">SUM(AP83:AP85)</f>
        <v>2341666.66666667</v>
      </c>
      <c r="AQ86" s="16" t="n">
        <f aca="false">SUM(AQ83:AQ85)</f>
        <v>2341666.66666667</v>
      </c>
      <c r="AR86" s="16" t="n">
        <f aca="false">SUM(AR83:AR85)</f>
        <v>2341666.66666667</v>
      </c>
      <c r="AS86" s="16" t="n">
        <f aca="false">SUM(AS83:AS85)</f>
        <v>2866432.26666667</v>
      </c>
      <c r="AT86" s="16" t="n">
        <f aca="false">SUM(AT83:AT85)</f>
        <v>2341666.66666667</v>
      </c>
      <c r="AU86" s="16" t="n">
        <f aca="false">SUM(AU83:AU85)</f>
        <v>2341666.66666667</v>
      </c>
      <c r="AV86" s="16" t="n">
        <f aca="false">SUM(AV83:AV85)</f>
        <v>2341666.66666667</v>
      </c>
      <c r="AW86" s="16" t="n">
        <f aca="false">SUM(AW83:AW85)</f>
        <v>2866432.26666667</v>
      </c>
      <c r="AX86" s="16" t="n">
        <f aca="false">SUM(AX83:AX85)</f>
        <v>2866432.26666667</v>
      </c>
      <c r="AY86" s="16" t="n">
        <f aca="false">SUM(AY83:AY85)</f>
        <v>2341666.66666667</v>
      </c>
      <c r="AZ86" s="16" t="n">
        <f aca="false">SUM(AZ83:AZ85)</f>
        <v>2341666.66666667</v>
      </c>
      <c r="BA86" s="16" t="n">
        <f aca="false">SUM(BA83:BA85)</f>
        <v>2716666.66666667</v>
      </c>
      <c r="BB86" s="16" t="n">
        <f aca="false">SUM(BB83:BB85)</f>
        <v>3241432.26666667</v>
      </c>
      <c r="BC86" s="16" t="n">
        <f aca="false">SUM(BC83:BC85)</f>
        <v>2716666.66666667</v>
      </c>
      <c r="BD86" s="16" t="n">
        <f aca="false">SUM(BD83:BD85)</f>
        <v>3241432.26666667</v>
      </c>
      <c r="BE86" s="16" t="n">
        <f aca="false">SUM(BE83:BE85)</f>
        <v>2716666.66666667</v>
      </c>
      <c r="BF86" s="16" t="n">
        <f aca="false">SUM(BF83:BF85)</f>
        <v>3241432.26666667</v>
      </c>
      <c r="BG86" s="16" t="n">
        <f aca="false">SUM(BG83:BG85)</f>
        <v>2716666.66666667</v>
      </c>
      <c r="BH86" s="16" t="n">
        <f aca="false">SUM(BH83:BH85)</f>
        <v>2716666.66666667</v>
      </c>
      <c r="BI86" s="16" t="n">
        <f aca="false">SUM(BI83:BI85)</f>
        <v>2716666.66666667</v>
      </c>
      <c r="BJ86" s="16" t="n">
        <f aca="false">SUM(BJ83:BJ85)</f>
        <v>3766197.86666667</v>
      </c>
      <c r="BK86" s="16" t="n">
        <f aca="false">SUM(BK83:BK85)</f>
        <v>2716666.66666667</v>
      </c>
      <c r="BL86" s="16" t="n">
        <f aca="false">SUM(BL83:BL85)</f>
        <v>2716666.66666667</v>
      </c>
    </row>
    <row r="88" customFormat="false" ht="15" hidden="false" customHeight="false" outlineLevel="0" collapsed="false">
      <c r="A88" s="10" t="s">
        <v>844</v>
      </c>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c r="BC88" s="11"/>
      <c r="BD88" s="11"/>
      <c r="BE88" s="11"/>
      <c r="BF88" s="11"/>
      <c r="BG88" s="11"/>
      <c r="BH88" s="11"/>
      <c r="BI88" s="11"/>
      <c r="BJ88" s="11"/>
      <c r="BK88" s="11"/>
      <c r="BL88" s="11"/>
    </row>
    <row r="89" customFormat="false" ht="15" hidden="false" customHeight="false" outlineLevel="0" collapsed="false">
      <c r="A89" s="12" t="s">
        <v>845</v>
      </c>
      <c r="B89" s="14" t="s">
        <v>71</v>
      </c>
      <c r="D89" s="55" t="n">
        <f aca="false">SUM(E89:BL89)</f>
        <v>4968562127.72921</v>
      </c>
      <c r="E89" s="37" t="n">
        <f aca="false">E32+E39+E52+E60+E72+E80+E86</f>
        <v>30513037.4</v>
      </c>
      <c r="F89" s="37" t="n">
        <f aca="false">F32+F39+F52+F60+F72+F80+F86</f>
        <v>38518018</v>
      </c>
      <c r="G89" s="37" t="n">
        <f aca="false">G32+G39+G52+G60+G72+G80+G86</f>
        <v>52518018</v>
      </c>
      <c r="H89" s="37" t="n">
        <f aca="false">H32+H39+H52+H60+H72+H80+H86</f>
        <v>35029046</v>
      </c>
      <c r="I89" s="37" t="n">
        <f aca="false">I32+I39+I52+I60+I72+I80+I86</f>
        <v>34350759.1</v>
      </c>
      <c r="J89" s="37" t="n">
        <f aca="false">J32+J39+J52+J60+J72+J80+J86</f>
        <v>33779799.3</v>
      </c>
      <c r="K89" s="37" t="n">
        <f aca="false">K32+K39+K52+K60+K72+K80+K86</f>
        <v>33538160.75475</v>
      </c>
      <c r="L89" s="37" t="n">
        <f aca="false">L32+L39+L52+L60+L72+L80+L86</f>
        <v>33297735.6607019</v>
      </c>
      <c r="M89" s="37" t="n">
        <f aca="false">M32+M39+M52+M60+M72+M80+M86</f>
        <v>33058390.1015242</v>
      </c>
      <c r="N89" s="37" t="n">
        <f aca="false">N32+N39+N52+N60+N72+N80+N86</f>
        <v>32819985.2192878</v>
      </c>
      <c r="O89" s="37" t="n">
        <f aca="false">O32+O39+O52+O60+O72+O80+O86</f>
        <v>32582376.8668445</v>
      </c>
      <c r="P89" s="37" t="n">
        <f aca="false">P32+P39+P52+P60+P72+P80+P86</f>
        <v>32345415.2402545</v>
      </c>
      <c r="Q89" s="37" t="n">
        <f aca="false">Q32+Q39+Q52+Q60+Q72+Q80+Q86</f>
        <v>45930815.6900471</v>
      </c>
      <c r="R89" s="37" t="n">
        <f aca="false">R32+R39+R52+R60+R72+R80+R86</f>
        <v>44764338.1100295</v>
      </c>
      <c r="S89" s="37" t="n">
        <f aca="false">S32+S39+S52+S60+S72+S80+S86</f>
        <v>49626819.6241357</v>
      </c>
      <c r="T89" s="37" t="n">
        <f aca="false">T32+T39+T52+T60+T72+T80+T86</f>
        <v>70337653.5395839</v>
      </c>
      <c r="U89" s="37" t="n">
        <f aca="false">U32+U39+U52+U60+U72+U80+U86</f>
        <v>45713383.9179589</v>
      </c>
      <c r="V89" s="37" t="n">
        <f aca="false">V32+V39+V52+V60+V72+V80+V86</f>
        <v>54250654.8650364</v>
      </c>
      <c r="W89" s="37" t="n">
        <f aca="false">W32+W39+W52+W60+W72+W80+W86</f>
        <v>56287424.7889386</v>
      </c>
      <c r="X89" s="37" t="n">
        <f aca="false">X32+X39+X52+X60+X72+X80+X86</f>
        <v>56002359.8482749</v>
      </c>
      <c r="Y89" s="37" t="n">
        <f aca="false">Y32+Y39+Y52+Y60+Y72+Y80+Y86</f>
        <v>56047848.2211714</v>
      </c>
      <c r="Z89" s="37" t="n">
        <f aca="false">Z32+Z39+Z52+Z60+Z72+Z80+Z86</f>
        <v>56096065.8964417</v>
      </c>
      <c r="AA89" s="37" t="n">
        <f aca="false">AA32+AA39+AA52+AA60+AA72+AA80+AA86</f>
        <v>58189837.8322282</v>
      </c>
      <c r="AB89" s="37" t="n">
        <f aca="false">AB32+AB39+AB52+AB60+AB72+AB80+AB86</f>
        <v>63700529.4121619</v>
      </c>
      <c r="AC89" s="37" t="n">
        <f aca="false">AC32+AC39+AC52+AC60+AC72+AC80+AC86</f>
        <v>72685730.0015583</v>
      </c>
      <c r="AD89" s="37" t="n">
        <f aca="false">AD32+AD39+AD52+AD60+AD72+AD80+AD86</f>
        <v>72746603.7056518</v>
      </c>
      <c r="AE89" s="37" t="n">
        <f aca="false">AE32+AE39+AE52+AE60+AE72+AE80+AE86</f>
        <v>78529546.2319909</v>
      </c>
      <c r="AF89" s="37" t="n">
        <f aca="false">AF32+AF39+AF52+AF60+AF72+AF80+AF86</f>
        <v>83982142.5259103</v>
      </c>
      <c r="AG89" s="37" t="n">
        <f aca="false">AG32+AG39+AG52+AG60+AG72+AG80+AG86</f>
        <v>80097454.281465</v>
      </c>
      <c r="AH89" s="37" t="n">
        <f aca="false">AH32+AH39+AH52+AH60+AH72+AH80+AH86</f>
        <v>79190370.4303529</v>
      </c>
      <c r="AI89" s="37" t="n">
        <f aca="false">AI32+AI39+AI52+AI60+AI72+AI80+AI86</f>
        <v>81358856.878174</v>
      </c>
      <c r="AJ89" s="37" t="n">
        <f aca="false">AJ32+AJ39+AJ52+AJ60+AJ72+AJ80+AJ86</f>
        <v>81687768.4908645</v>
      </c>
      <c r="AK89" s="37" t="n">
        <f aca="false">AK32+AK39+AK52+AK60+AK72+AK80+AK86</f>
        <v>83376242.7343163</v>
      </c>
      <c r="AL89" s="37" t="n">
        <f aca="false">AL32+AL39+AL52+AL60+AL72+AL80+AL86</f>
        <v>84707545.7703753</v>
      </c>
      <c r="AM89" s="37" t="n">
        <f aca="false">AM32+AM39+AM52+AM60+AM72+AM80+AM86</f>
        <v>85414601.7125978</v>
      </c>
      <c r="AN89" s="37" t="n">
        <f aca="false">AN32+AN39+AN52+AN60+AN72+AN80+AN86</f>
        <v>86094156.8453537</v>
      </c>
      <c r="AO89" s="37" t="n">
        <f aca="false">AO32+AO39+AO52+AO60+AO72+AO80+AO86</f>
        <v>100764787.826742</v>
      </c>
      <c r="AP89" s="37" t="n">
        <f aca="false">AP32+AP39+AP52+AP60+AP72+AP80+AP86</f>
        <v>97693810.9793461</v>
      </c>
      <c r="AQ89" s="37" t="n">
        <f aca="false">AQ32+AQ39+AQ52+AQ60+AQ72+AQ80+AQ86</f>
        <v>99957254.5481069</v>
      </c>
      <c r="AR89" s="37" t="n">
        <f aca="false">AR32+AR39+AR52+AR60+AR72+AR80+AR86</f>
        <v>106155360.871493</v>
      </c>
      <c r="AS89" s="37" t="n">
        <f aca="false">AS32+AS39+AS52+AS60+AS72+AS80+AS86</f>
        <v>105530395.99582</v>
      </c>
      <c r="AT89" s="37" t="n">
        <f aca="false">AT32+AT39+AT52+AT60+AT72+AT80+AT86</f>
        <v>103726148.232569</v>
      </c>
      <c r="AU89" s="37" t="n">
        <f aca="false">AU32+AU39+AU52+AU60+AU72+AU80+AU86</f>
        <v>104676959.704523</v>
      </c>
      <c r="AV89" s="37" t="n">
        <f aca="false">AV32+AV39+AV52+AV60+AV72+AV80+AV86</f>
        <v>106519025.941295</v>
      </c>
      <c r="AW89" s="37" t="n">
        <f aca="false">AW32+AW39+AW52+AW60+AW72+AW80+AW86</f>
        <v>110535517.202773</v>
      </c>
      <c r="AX89" s="37" t="n">
        <f aca="false">AX32+AX39+AX52+AX60+AX72+AX80+AX86</f>
        <v>113957656.799439</v>
      </c>
      <c r="AY89" s="37" t="n">
        <f aca="false">AY32+AY39+AY52+AY60+AY72+AY80+AY86</f>
        <v>112164378.312905</v>
      </c>
      <c r="AZ89" s="37" t="n">
        <f aca="false">AZ32+AZ39+AZ52+AZ60+AZ72+AZ80+AZ86</f>
        <v>114343987.81818</v>
      </c>
      <c r="BA89" s="37" t="n">
        <f aca="false">BA32+BA39+BA52+BA60+BA72+BA80+BA86</f>
        <v>123397452.357187</v>
      </c>
      <c r="BB89" s="37" t="n">
        <f aca="false">BB32+BB39+BB52+BB60+BB72+BB80+BB86</f>
        <v>127316745.333993</v>
      </c>
      <c r="BC89" s="37" t="n">
        <f aca="false">BC32+BC39+BC52+BC60+BC72+BC80+BC86</f>
        <v>128124359.027283</v>
      </c>
      <c r="BD89" s="37" t="n">
        <f aca="false">BD32+BD39+BD52+BD60+BD72+BD80+BD86</f>
        <v>139316678.93867</v>
      </c>
      <c r="BE89" s="37" t="n">
        <f aca="false">BE32+BE39+BE52+BE60+BE72+BE80+BE86</f>
        <v>132172766.778865</v>
      </c>
      <c r="BF89" s="37" t="n">
        <f aca="false">BF32+BF39+BF52+BF60+BF72+BF80+BF86</f>
        <v>137431904.318847</v>
      </c>
      <c r="BG89" s="37" t="n">
        <f aca="false">BG32+BG39+BG52+BG60+BG72+BG80+BG86</f>
        <v>136599644.631228</v>
      </c>
      <c r="BH89" s="37" t="n">
        <f aca="false">BH32+BH39+BH52+BH60+BH72+BH80+BH86</f>
        <v>138527505.380476</v>
      </c>
      <c r="BI89" s="37" t="n">
        <f aca="false">BI32+BI39+BI52+BI60+BI72+BI80+BI86</f>
        <v>138884518.295805</v>
      </c>
      <c r="BJ89" s="37" t="n">
        <f aca="false">BJ32+BJ39+BJ52+BJ60+BJ72+BJ80+BJ86</f>
        <v>147968467.329428</v>
      </c>
      <c r="BK89" s="37" t="n">
        <f aca="false">BK32+BK39+BK52+BK60+BK72+BK80+BK86</f>
        <v>146674009.9875</v>
      </c>
      <c r="BL89" s="37" t="n">
        <f aca="false">BL32+BL39+BL52+BL60+BL72+BL80+BL86</f>
        <v>146953298.11875</v>
      </c>
    </row>
    <row r="90" customFormat="false" ht="15" hidden="false" customHeight="false" outlineLevel="0" collapsed="false">
      <c r="A90" s="12" t="s">
        <v>846</v>
      </c>
      <c r="B90" s="14" t="s">
        <v>71</v>
      </c>
      <c r="D90" s="55" t="n">
        <f aca="false">SUM(E90:BL90)</f>
        <v>248428106.38646</v>
      </c>
      <c r="E90" s="37" t="n">
        <f aca="false">E89*Contingency_Pct</f>
        <v>1525651.87</v>
      </c>
      <c r="F90" s="37" t="n">
        <f aca="false">F89*Contingency_Pct</f>
        <v>1925900.9</v>
      </c>
      <c r="G90" s="37" t="n">
        <f aca="false">G89*Contingency_Pct</f>
        <v>2625900.9</v>
      </c>
      <c r="H90" s="37" t="n">
        <f aca="false">H89*Contingency_Pct</f>
        <v>1751452.3</v>
      </c>
      <c r="I90" s="37" t="n">
        <f aca="false">I89*Contingency_Pct</f>
        <v>1717537.955</v>
      </c>
      <c r="J90" s="37" t="n">
        <f aca="false">J89*Contingency_Pct</f>
        <v>1688989.965</v>
      </c>
      <c r="K90" s="37" t="n">
        <f aca="false">K89*Contingency_Pct</f>
        <v>1676908.0377375</v>
      </c>
      <c r="L90" s="37" t="n">
        <f aca="false">L89*Contingency_Pct</f>
        <v>1664886.78303509</v>
      </c>
      <c r="M90" s="37" t="n">
        <f aca="false">M89*Contingency_Pct</f>
        <v>1652919.50507621</v>
      </c>
      <c r="N90" s="37" t="n">
        <f aca="false">N89*Contingency_Pct</f>
        <v>1640999.26096439</v>
      </c>
      <c r="O90" s="37" t="n">
        <f aca="false">O89*Contingency_Pct</f>
        <v>1629118.84334223</v>
      </c>
      <c r="P90" s="37" t="n">
        <f aca="false">P89*Contingency_Pct</f>
        <v>1617270.76201273</v>
      </c>
      <c r="Q90" s="37" t="n">
        <f aca="false">Q89*Contingency_Pct</f>
        <v>2296540.78450235</v>
      </c>
      <c r="R90" s="37" t="n">
        <f aca="false">R89*Contingency_Pct</f>
        <v>2238216.90550147</v>
      </c>
      <c r="S90" s="37" t="n">
        <f aca="false">S89*Contingency_Pct</f>
        <v>2481340.98120679</v>
      </c>
      <c r="T90" s="37" t="n">
        <f aca="false">T89*Contingency_Pct</f>
        <v>3516882.67697919</v>
      </c>
      <c r="U90" s="37" t="n">
        <f aca="false">U89*Contingency_Pct</f>
        <v>2285669.19589794</v>
      </c>
      <c r="V90" s="37" t="n">
        <f aca="false">V89*Contingency_Pct</f>
        <v>2712532.74325182</v>
      </c>
      <c r="W90" s="37" t="n">
        <f aca="false">W89*Contingency_Pct</f>
        <v>2814371.23944693</v>
      </c>
      <c r="X90" s="37" t="n">
        <f aca="false">X89*Contingency_Pct</f>
        <v>2800117.99241375</v>
      </c>
      <c r="Y90" s="37" t="n">
        <f aca="false">Y89*Contingency_Pct</f>
        <v>2802392.41105857</v>
      </c>
      <c r="Z90" s="37" t="n">
        <f aca="false">Z89*Contingency_Pct</f>
        <v>2804803.29482209</v>
      </c>
      <c r="AA90" s="37" t="n">
        <f aca="false">AA89*Contingency_Pct</f>
        <v>2909491.89161141</v>
      </c>
      <c r="AB90" s="37" t="n">
        <f aca="false">AB89*Contingency_Pct</f>
        <v>3185026.47060809</v>
      </c>
      <c r="AC90" s="37" t="n">
        <f aca="false">AC89*Contingency_Pct</f>
        <v>3634286.50007791</v>
      </c>
      <c r="AD90" s="37" t="n">
        <f aca="false">AD89*Contingency_Pct</f>
        <v>3637330.18528259</v>
      </c>
      <c r="AE90" s="37" t="n">
        <f aca="false">AE89*Contingency_Pct</f>
        <v>3926477.31159954</v>
      </c>
      <c r="AF90" s="37" t="n">
        <f aca="false">AF89*Contingency_Pct</f>
        <v>4199107.12629552</v>
      </c>
      <c r="AG90" s="37" t="n">
        <f aca="false">AG89*Contingency_Pct</f>
        <v>4004872.71407325</v>
      </c>
      <c r="AH90" s="37" t="n">
        <f aca="false">AH89*Contingency_Pct</f>
        <v>3959518.52151764</v>
      </c>
      <c r="AI90" s="37" t="n">
        <f aca="false">AI89*Contingency_Pct</f>
        <v>4067942.8439087</v>
      </c>
      <c r="AJ90" s="37" t="n">
        <f aca="false">AJ89*Contingency_Pct</f>
        <v>4084388.42454322</v>
      </c>
      <c r="AK90" s="37" t="n">
        <f aca="false">AK89*Contingency_Pct</f>
        <v>4168812.13671582</v>
      </c>
      <c r="AL90" s="37" t="n">
        <f aca="false">AL89*Contingency_Pct</f>
        <v>4235377.28851877</v>
      </c>
      <c r="AM90" s="37" t="n">
        <f aca="false">AM89*Contingency_Pct</f>
        <v>4270730.08562989</v>
      </c>
      <c r="AN90" s="37" t="n">
        <f aca="false">AN89*Contingency_Pct</f>
        <v>4304707.84226769</v>
      </c>
      <c r="AO90" s="37" t="n">
        <f aca="false">AO89*Contingency_Pct</f>
        <v>5038239.39133708</v>
      </c>
      <c r="AP90" s="37" t="n">
        <f aca="false">AP89*Contingency_Pct</f>
        <v>4884690.54896731</v>
      </c>
      <c r="AQ90" s="37" t="n">
        <f aca="false">AQ89*Contingency_Pct</f>
        <v>4997862.72740534</v>
      </c>
      <c r="AR90" s="37" t="n">
        <f aca="false">AR89*Contingency_Pct</f>
        <v>5307768.04357467</v>
      </c>
      <c r="AS90" s="37" t="n">
        <f aca="false">AS89*Contingency_Pct</f>
        <v>5276519.799791</v>
      </c>
      <c r="AT90" s="37" t="n">
        <f aca="false">AT89*Contingency_Pct</f>
        <v>5186307.41162847</v>
      </c>
      <c r="AU90" s="37" t="n">
        <f aca="false">AU89*Contingency_Pct</f>
        <v>5233847.98522617</v>
      </c>
      <c r="AV90" s="37" t="n">
        <f aca="false">AV89*Contingency_Pct</f>
        <v>5325951.29706474</v>
      </c>
      <c r="AW90" s="37" t="n">
        <f aca="false">AW89*Contingency_Pct</f>
        <v>5526775.86013863</v>
      </c>
      <c r="AX90" s="37" t="n">
        <f aca="false">AX89*Contingency_Pct</f>
        <v>5697882.83997195</v>
      </c>
      <c r="AY90" s="37" t="n">
        <f aca="false">AY89*Contingency_Pct</f>
        <v>5608218.91564526</v>
      </c>
      <c r="AZ90" s="37" t="n">
        <f aca="false">AZ89*Contingency_Pct</f>
        <v>5717199.39090898</v>
      </c>
      <c r="BA90" s="37" t="n">
        <f aca="false">BA89*Contingency_Pct</f>
        <v>6169872.61785935</v>
      </c>
      <c r="BB90" s="37" t="n">
        <f aca="false">BB89*Contingency_Pct</f>
        <v>6365837.26669966</v>
      </c>
      <c r="BC90" s="37" t="n">
        <f aca="false">BC89*Contingency_Pct</f>
        <v>6406217.95136414</v>
      </c>
      <c r="BD90" s="37" t="n">
        <f aca="false">BD89*Contingency_Pct</f>
        <v>6965833.94693349</v>
      </c>
      <c r="BE90" s="37" t="n">
        <f aca="false">BE89*Contingency_Pct</f>
        <v>6608638.33894325</v>
      </c>
      <c r="BF90" s="37" t="n">
        <f aca="false">BF89*Contingency_Pct</f>
        <v>6871595.21594235</v>
      </c>
      <c r="BG90" s="37" t="n">
        <f aca="false">BG89*Contingency_Pct</f>
        <v>6829982.23156138</v>
      </c>
      <c r="BH90" s="37" t="n">
        <f aca="false">BH89*Contingency_Pct</f>
        <v>6926375.26902382</v>
      </c>
      <c r="BI90" s="37" t="n">
        <f aca="false">BI89*Contingency_Pct</f>
        <v>6944225.91479025</v>
      </c>
      <c r="BJ90" s="37" t="n">
        <f aca="false">BJ89*Contingency_Pct</f>
        <v>7398423.36647141</v>
      </c>
      <c r="BK90" s="37" t="n">
        <f aca="false">BK89*Contingency_Pct</f>
        <v>7333700.499375</v>
      </c>
      <c r="BL90" s="37" t="n">
        <f aca="false">BL89*Contingency_Pct</f>
        <v>7347664.9059375</v>
      </c>
    </row>
    <row r="91" customFormat="false" ht="15" hidden="false" customHeight="false" outlineLevel="0" collapsed="false">
      <c r="A91" s="8" t="s">
        <v>847</v>
      </c>
      <c r="B91" s="14" t="s">
        <v>71</v>
      </c>
      <c r="D91" s="55" t="n">
        <f aca="false">SUM(E91:BL91)</f>
        <v>5216990234.11567</v>
      </c>
      <c r="E91" s="16" t="n">
        <f aca="false">E89+E90</f>
        <v>32038689.27</v>
      </c>
      <c r="F91" s="16" t="n">
        <f aca="false">F89+F90</f>
        <v>40443918.9</v>
      </c>
      <c r="G91" s="16" t="n">
        <f aca="false">G89+G90</f>
        <v>55143918.9</v>
      </c>
      <c r="H91" s="16" t="n">
        <f aca="false">H89+H90</f>
        <v>36780498.3</v>
      </c>
      <c r="I91" s="16" t="n">
        <f aca="false">I89+I90</f>
        <v>36068297.055</v>
      </c>
      <c r="J91" s="16" t="n">
        <f aca="false">J89+J90</f>
        <v>35468789.265</v>
      </c>
      <c r="K91" s="16" t="n">
        <f aca="false">K89+K90</f>
        <v>35215068.7924875</v>
      </c>
      <c r="L91" s="16" t="n">
        <f aca="false">L89+L90</f>
        <v>34962622.443737</v>
      </c>
      <c r="M91" s="16" t="n">
        <f aca="false">M89+M90</f>
        <v>34711309.6066004</v>
      </c>
      <c r="N91" s="16" t="n">
        <f aca="false">N89+N90</f>
        <v>34460984.4802522</v>
      </c>
      <c r="O91" s="16" t="n">
        <f aca="false">O89+O90</f>
        <v>34211495.7101867</v>
      </c>
      <c r="P91" s="16" t="n">
        <f aca="false">P89+P90</f>
        <v>33962686.0022672</v>
      </c>
      <c r="Q91" s="16" t="n">
        <f aca="false">Q89+Q90</f>
        <v>48227356.4745494</v>
      </c>
      <c r="R91" s="16" t="n">
        <f aca="false">R89+R90</f>
        <v>47002555.0155309</v>
      </c>
      <c r="S91" s="16" t="n">
        <f aca="false">S89+S90</f>
        <v>52108160.6053425</v>
      </c>
      <c r="T91" s="16" t="n">
        <f aca="false">T89+T90</f>
        <v>73854536.2165631</v>
      </c>
      <c r="U91" s="16" t="n">
        <f aca="false">U89+U90</f>
        <v>47999053.1138568</v>
      </c>
      <c r="V91" s="16" t="n">
        <f aca="false">V89+V90</f>
        <v>56963187.6082882</v>
      </c>
      <c r="W91" s="16" t="n">
        <f aca="false">W89+W90</f>
        <v>59101796.0283855</v>
      </c>
      <c r="X91" s="16" t="n">
        <f aca="false">X89+X90</f>
        <v>58802477.8406887</v>
      </c>
      <c r="Y91" s="16" t="n">
        <f aca="false">Y89+Y90</f>
        <v>58850240.63223</v>
      </c>
      <c r="Z91" s="16" t="n">
        <f aca="false">Z89+Z90</f>
        <v>58900869.1912638</v>
      </c>
      <c r="AA91" s="16" t="n">
        <f aca="false">AA89+AA90</f>
        <v>61099329.7238396</v>
      </c>
      <c r="AB91" s="16" t="n">
        <f aca="false">AB89+AB90</f>
        <v>66885555.88277</v>
      </c>
      <c r="AC91" s="16" t="n">
        <f aca="false">AC89+AC90</f>
        <v>76320016.5016362</v>
      </c>
      <c r="AD91" s="16" t="n">
        <f aca="false">AD89+AD90</f>
        <v>76383933.8909344</v>
      </c>
      <c r="AE91" s="16" t="n">
        <f aca="false">AE89+AE90</f>
        <v>82456023.5435904</v>
      </c>
      <c r="AF91" s="16" t="n">
        <f aca="false">AF89+AF90</f>
        <v>88181249.6522059</v>
      </c>
      <c r="AG91" s="16" t="n">
        <f aca="false">AG89+AG90</f>
        <v>84102326.9955382</v>
      </c>
      <c r="AH91" s="16" t="n">
        <f aca="false">AH89+AH90</f>
        <v>83149888.9518705</v>
      </c>
      <c r="AI91" s="16" t="n">
        <f aca="false">AI89+AI90</f>
        <v>85426799.7220827</v>
      </c>
      <c r="AJ91" s="16" t="n">
        <f aca="false">AJ89+AJ90</f>
        <v>85772156.9154077</v>
      </c>
      <c r="AK91" s="16" t="n">
        <f aca="false">AK89+AK90</f>
        <v>87545054.8710322</v>
      </c>
      <c r="AL91" s="16" t="n">
        <f aca="false">AL89+AL90</f>
        <v>88942923.0588941</v>
      </c>
      <c r="AM91" s="16" t="n">
        <f aca="false">AM89+AM90</f>
        <v>89685331.7982277</v>
      </c>
      <c r="AN91" s="16" t="n">
        <f aca="false">AN89+AN90</f>
        <v>90398864.6876214</v>
      </c>
      <c r="AO91" s="16" t="n">
        <f aca="false">AO89+AO90</f>
        <v>105803027.218079</v>
      </c>
      <c r="AP91" s="16" t="n">
        <f aca="false">AP89+AP90</f>
        <v>102578501.528313</v>
      </c>
      <c r="AQ91" s="16" t="n">
        <f aca="false">AQ89+AQ90</f>
        <v>104955117.275512</v>
      </c>
      <c r="AR91" s="16" t="n">
        <f aca="false">AR89+AR90</f>
        <v>111463128.915068</v>
      </c>
      <c r="AS91" s="16" t="n">
        <f aca="false">AS89+AS90</f>
        <v>110806915.795611</v>
      </c>
      <c r="AT91" s="16" t="n">
        <f aca="false">AT89+AT90</f>
        <v>108912455.644198</v>
      </c>
      <c r="AU91" s="16" t="n">
        <f aca="false">AU89+AU90</f>
        <v>109910807.68975</v>
      </c>
      <c r="AV91" s="16" t="n">
        <f aca="false">AV89+AV90</f>
        <v>111844977.23836</v>
      </c>
      <c r="AW91" s="16" t="n">
        <f aca="false">AW89+AW90</f>
        <v>116062293.062911</v>
      </c>
      <c r="AX91" s="16" t="n">
        <f aca="false">AX89+AX90</f>
        <v>119655539.639411</v>
      </c>
      <c r="AY91" s="16" t="n">
        <f aca="false">AY89+AY90</f>
        <v>117772597.228551</v>
      </c>
      <c r="AZ91" s="16" t="n">
        <f aca="false">AZ89+AZ90</f>
        <v>120061187.209089</v>
      </c>
      <c r="BA91" s="16" t="n">
        <f aca="false">BA89+BA90</f>
        <v>129567324.975046</v>
      </c>
      <c r="BB91" s="16" t="n">
        <f aca="false">BB89+BB90</f>
        <v>133682582.600693</v>
      </c>
      <c r="BC91" s="16" t="n">
        <f aca="false">BC89+BC90</f>
        <v>134530576.978647</v>
      </c>
      <c r="BD91" s="16" t="n">
        <f aca="false">BD89+BD90</f>
        <v>146282512.885603</v>
      </c>
      <c r="BE91" s="16" t="n">
        <f aca="false">BE89+BE90</f>
        <v>138781405.117808</v>
      </c>
      <c r="BF91" s="16" t="n">
        <f aca="false">BF89+BF90</f>
        <v>144303499.534789</v>
      </c>
      <c r="BG91" s="16" t="n">
        <f aca="false">BG89+BG90</f>
        <v>143429626.862789</v>
      </c>
      <c r="BH91" s="16" t="n">
        <f aca="false">BH89+BH90</f>
        <v>145453880.6495</v>
      </c>
      <c r="BI91" s="16" t="n">
        <f aca="false">BI89+BI90</f>
        <v>145828744.210595</v>
      </c>
      <c r="BJ91" s="16" t="n">
        <f aca="false">BJ89+BJ90</f>
        <v>155366890.6959</v>
      </c>
      <c r="BK91" s="16" t="n">
        <f aca="false">BK89+BK90</f>
        <v>154007710.486875</v>
      </c>
      <c r="BL91" s="16" t="n">
        <f aca="false">BL89+BL90</f>
        <v>154300963.024687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L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8"/>
    <col collapsed="false" customWidth="true" hidden="false" outlineLevel="0" max="3" min="3" style="0" width="3"/>
    <col collapsed="false" customWidth="true" hidden="false" outlineLevel="0" max="4" min="4" style="0" width="14"/>
    <col collapsed="false" customWidth="true" hidden="false" outlineLevel="0" max="64" min="5" style="0" width="11"/>
  </cols>
  <sheetData>
    <row r="1" customFormat="false" ht="17.35" hidden="false" customHeight="false" outlineLevel="0" collapsed="false">
      <c r="A1" s="7" t="s">
        <v>848</v>
      </c>
    </row>
    <row r="2" customFormat="false" ht="15" hidden="false" customHeight="false" outlineLevel="0" collapsed="false">
      <c r="A2" s="2" t="s">
        <v>849</v>
      </c>
    </row>
    <row r="3" customFormat="false" ht="15" hidden="false" customHeight="false" outlineLevel="0" collapsed="false">
      <c r="A3" s="8" t="s">
        <v>680</v>
      </c>
      <c r="D3" s="8" t="s">
        <v>681</v>
      </c>
      <c r="E3" s="20" t="n">
        <f aca="false">Costs!E3</f>
        <v>1</v>
      </c>
      <c r="F3" s="20" t="n">
        <f aca="false">Costs!F3</f>
        <v>2</v>
      </c>
      <c r="G3" s="20" t="n">
        <f aca="false">Costs!G3</f>
        <v>3</v>
      </c>
      <c r="H3" s="20" t="n">
        <f aca="false">Costs!H3</f>
        <v>4</v>
      </c>
      <c r="I3" s="20" t="n">
        <f aca="false">Costs!I3</f>
        <v>5</v>
      </c>
      <c r="J3" s="20" t="n">
        <f aca="false">Costs!J3</f>
        <v>6</v>
      </c>
      <c r="K3" s="20" t="n">
        <f aca="false">Costs!K3</f>
        <v>7</v>
      </c>
      <c r="L3" s="20" t="n">
        <f aca="false">Costs!L3</f>
        <v>8</v>
      </c>
      <c r="M3" s="20" t="n">
        <f aca="false">Costs!M3</f>
        <v>9</v>
      </c>
      <c r="N3" s="20" t="n">
        <f aca="false">Costs!N3</f>
        <v>10</v>
      </c>
      <c r="O3" s="20" t="n">
        <f aca="false">Costs!O3</f>
        <v>11</v>
      </c>
      <c r="P3" s="20" t="n">
        <f aca="false">Costs!P3</f>
        <v>12</v>
      </c>
      <c r="Q3" s="20" t="n">
        <f aca="false">Costs!Q3</f>
        <v>13</v>
      </c>
      <c r="R3" s="20" t="n">
        <f aca="false">Costs!R3</f>
        <v>14</v>
      </c>
      <c r="S3" s="20" t="n">
        <f aca="false">Costs!S3</f>
        <v>15</v>
      </c>
      <c r="T3" s="20" t="n">
        <f aca="false">Costs!T3</f>
        <v>16</v>
      </c>
      <c r="U3" s="20" t="n">
        <f aca="false">Costs!U3</f>
        <v>17</v>
      </c>
      <c r="V3" s="20" t="n">
        <f aca="false">Costs!V3</f>
        <v>18</v>
      </c>
      <c r="W3" s="20" t="n">
        <f aca="false">Costs!W3</f>
        <v>19</v>
      </c>
      <c r="X3" s="20" t="n">
        <f aca="false">Costs!X3</f>
        <v>20</v>
      </c>
      <c r="Y3" s="20" t="n">
        <f aca="false">Costs!Y3</f>
        <v>21</v>
      </c>
      <c r="Z3" s="20" t="n">
        <f aca="false">Costs!Z3</f>
        <v>22</v>
      </c>
      <c r="AA3" s="20" t="n">
        <f aca="false">Costs!AA3</f>
        <v>23</v>
      </c>
      <c r="AB3" s="20" t="n">
        <f aca="false">Costs!AB3</f>
        <v>24</v>
      </c>
      <c r="AC3" s="20" t="n">
        <f aca="false">Costs!AC3</f>
        <v>25</v>
      </c>
      <c r="AD3" s="20" t="n">
        <f aca="false">Costs!AD3</f>
        <v>26</v>
      </c>
      <c r="AE3" s="20" t="n">
        <f aca="false">Costs!AE3</f>
        <v>27</v>
      </c>
      <c r="AF3" s="20" t="n">
        <f aca="false">Costs!AF3</f>
        <v>28</v>
      </c>
      <c r="AG3" s="20" t="n">
        <f aca="false">Costs!AG3</f>
        <v>29</v>
      </c>
      <c r="AH3" s="20" t="n">
        <f aca="false">Costs!AH3</f>
        <v>30</v>
      </c>
      <c r="AI3" s="20" t="n">
        <f aca="false">Costs!AI3</f>
        <v>31</v>
      </c>
      <c r="AJ3" s="20" t="n">
        <f aca="false">Costs!AJ3</f>
        <v>32</v>
      </c>
      <c r="AK3" s="20" t="n">
        <f aca="false">Costs!AK3</f>
        <v>33</v>
      </c>
      <c r="AL3" s="20" t="n">
        <f aca="false">Costs!AL3</f>
        <v>34</v>
      </c>
      <c r="AM3" s="20" t="n">
        <f aca="false">Costs!AM3</f>
        <v>35</v>
      </c>
      <c r="AN3" s="20" t="n">
        <f aca="false">Costs!AN3</f>
        <v>36</v>
      </c>
      <c r="AO3" s="20" t="n">
        <f aca="false">Costs!AO3</f>
        <v>37</v>
      </c>
      <c r="AP3" s="20" t="n">
        <f aca="false">Costs!AP3</f>
        <v>38</v>
      </c>
      <c r="AQ3" s="20" t="n">
        <f aca="false">Costs!AQ3</f>
        <v>39</v>
      </c>
      <c r="AR3" s="20" t="n">
        <f aca="false">Costs!AR3</f>
        <v>40</v>
      </c>
      <c r="AS3" s="20" t="n">
        <f aca="false">Costs!AS3</f>
        <v>41</v>
      </c>
      <c r="AT3" s="20" t="n">
        <f aca="false">Costs!AT3</f>
        <v>42</v>
      </c>
      <c r="AU3" s="20" t="n">
        <f aca="false">Costs!AU3</f>
        <v>43</v>
      </c>
      <c r="AV3" s="20" t="n">
        <f aca="false">Costs!AV3</f>
        <v>44</v>
      </c>
      <c r="AW3" s="20" t="n">
        <f aca="false">Costs!AW3</f>
        <v>45</v>
      </c>
      <c r="AX3" s="20" t="n">
        <f aca="false">Costs!AX3</f>
        <v>46</v>
      </c>
      <c r="AY3" s="20" t="n">
        <f aca="false">Costs!AY3</f>
        <v>47</v>
      </c>
      <c r="AZ3" s="20" t="n">
        <f aca="false">Costs!AZ3</f>
        <v>48</v>
      </c>
      <c r="BA3" s="20" t="n">
        <f aca="false">Costs!BA3</f>
        <v>49</v>
      </c>
      <c r="BB3" s="20" t="n">
        <f aca="false">Costs!BB3</f>
        <v>50</v>
      </c>
      <c r="BC3" s="20" t="n">
        <f aca="false">Costs!BC3</f>
        <v>51</v>
      </c>
      <c r="BD3" s="20" t="n">
        <f aca="false">Costs!BD3</f>
        <v>52</v>
      </c>
      <c r="BE3" s="20" t="n">
        <f aca="false">Costs!BE3</f>
        <v>53</v>
      </c>
      <c r="BF3" s="20" t="n">
        <f aca="false">Costs!BF3</f>
        <v>54</v>
      </c>
      <c r="BG3" s="20" t="n">
        <f aca="false">Costs!BG3</f>
        <v>55</v>
      </c>
      <c r="BH3" s="20" t="n">
        <f aca="false">Costs!BH3</f>
        <v>56</v>
      </c>
      <c r="BI3" s="20" t="n">
        <f aca="false">Costs!BI3</f>
        <v>57</v>
      </c>
      <c r="BJ3" s="20" t="n">
        <f aca="false">Costs!BJ3</f>
        <v>58</v>
      </c>
      <c r="BK3" s="20" t="n">
        <f aca="false">Costs!BK3</f>
        <v>59</v>
      </c>
      <c r="BL3" s="20" t="n">
        <f aca="false">Costs!BL3</f>
        <v>60</v>
      </c>
    </row>
    <row r="4" customFormat="false" ht="15" hidden="false" customHeight="false" outlineLevel="0" collapsed="false">
      <c r="A4" s="8" t="s">
        <v>682</v>
      </c>
      <c r="E4" s="53" t="n">
        <f aca="false">Costs!E4</f>
        <v>46388</v>
      </c>
      <c r="F4" s="53" t="n">
        <f aca="false">Costs!F4</f>
        <v>46419</v>
      </c>
      <c r="G4" s="53" t="n">
        <f aca="false">Costs!G4</f>
        <v>46447</v>
      </c>
      <c r="H4" s="53" t="n">
        <f aca="false">Costs!H4</f>
        <v>46478</v>
      </c>
      <c r="I4" s="53" t="n">
        <f aca="false">Costs!I4</f>
        <v>46508</v>
      </c>
      <c r="J4" s="53" t="n">
        <f aca="false">Costs!J4</f>
        <v>46539</v>
      </c>
      <c r="K4" s="53" t="n">
        <f aca="false">Costs!K4</f>
        <v>46569</v>
      </c>
      <c r="L4" s="53" t="n">
        <f aca="false">Costs!L4</f>
        <v>46600</v>
      </c>
      <c r="M4" s="53" t="n">
        <f aca="false">Costs!M4</f>
        <v>46631</v>
      </c>
      <c r="N4" s="53" t="n">
        <f aca="false">Costs!N4</f>
        <v>46661</v>
      </c>
      <c r="O4" s="53" t="n">
        <f aca="false">Costs!O4</f>
        <v>46692</v>
      </c>
      <c r="P4" s="53" t="n">
        <f aca="false">Costs!P4</f>
        <v>46722</v>
      </c>
      <c r="Q4" s="53" t="n">
        <f aca="false">Costs!Q4</f>
        <v>46753</v>
      </c>
      <c r="R4" s="53" t="n">
        <f aca="false">Costs!R4</f>
        <v>46784</v>
      </c>
      <c r="S4" s="53" t="n">
        <f aca="false">Costs!S4</f>
        <v>46813</v>
      </c>
      <c r="T4" s="53" t="n">
        <f aca="false">Costs!T4</f>
        <v>46844</v>
      </c>
      <c r="U4" s="53" t="n">
        <f aca="false">Costs!U4</f>
        <v>46874</v>
      </c>
      <c r="V4" s="53" t="n">
        <f aca="false">Costs!V4</f>
        <v>46905</v>
      </c>
      <c r="W4" s="53" t="n">
        <f aca="false">Costs!W4</f>
        <v>46935</v>
      </c>
      <c r="X4" s="53" t="n">
        <f aca="false">Costs!X4</f>
        <v>46966</v>
      </c>
      <c r="Y4" s="53" t="n">
        <f aca="false">Costs!Y4</f>
        <v>46997</v>
      </c>
      <c r="Z4" s="53" t="n">
        <f aca="false">Costs!Z4</f>
        <v>47027</v>
      </c>
      <c r="AA4" s="53" t="n">
        <f aca="false">Costs!AA4</f>
        <v>47058</v>
      </c>
      <c r="AB4" s="53" t="n">
        <f aca="false">Costs!AB4</f>
        <v>47088</v>
      </c>
      <c r="AC4" s="53" t="n">
        <f aca="false">Costs!AC4</f>
        <v>47119</v>
      </c>
      <c r="AD4" s="53" t="n">
        <f aca="false">Costs!AD4</f>
        <v>47150</v>
      </c>
      <c r="AE4" s="53" t="n">
        <f aca="false">Costs!AE4</f>
        <v>47178</v>
      </c>
      <c r="AF4" s="53" t="n">
        <f aca="false">Costs!AF4</f>
        <v>47209</v>
      </c>
      <c r="AG4" s="53" t="n">
        <f aca="false">Costs!AG4</f>
        <v>47239</v>
      </c>
      <c r="AH4" s="53" t="n">
        <f aca="false">Costs!AH4</f>
        <v>47270</v>
      </c>
      <c r="AI4" s="53" t="n">
        <f aca="false">Costs!AI4</f>
        <v>47300</v>
      </c>
      <c r="AJ4" s="53" t="n">
        <f aca="false">Costs!AJ4</f>
        <v>47331</v>
      </c>
      <c r="AK4" s="53" t="n">
        <f aca="false">Costs!AK4</f>
        <v>47362</v>
      </c>
      <c r="AL4" s="53" t="n">
        <f aca="false">Costs!AL4</f>
        <v>47392</v>
      </c>
      <c r="AM4" s="53" t="n">
        <f aca="false">Costs!AM4</f>
        <v>47423</v>
      </c>
      <c r="AN4" s="53" t="n">
        <f aca="false">Costs!AN4</f>
        <v>47453</v>
      </c>
      <c r="AO4" s="53" t="n">
        <f aca="false">Costs!AO4</f>
        <v>47484</v>
      </c>
      <c r="AP4" s="53" t="n">
        <f aca="false">Costs!AP4</f>
        <v>47515</v>
      </c>
      <c r="AQ4" s="53" t="n">
        <f aca="false">Costs!AQ4</f>
        <v>47543</v>
      </c>
      <c r="AR4" s="53" t="n">
        <f aca="false">Costs!AR4</f>
        <v>47574</v>
      </c>
      <c r="AS4" s="53" t="n">
        <f aca="false">Costs!AS4</f>
        <v>47604</v>
      </c>
      <c r="AT4" s="53" t="n">
        <f aca="false">Costs!AT4</f>
        <v>47635</v>
      </c>
      <c r="AU4" s="53" t="n">
        <f aca="false">Costs!AU4</f>
        <v>47665</v>
      </c>
      <c r="AV4" s="53" t="n">
        <f aca="false">Costs!AV4</f>
        <v>47696</v>
      </c>
      <c r="AW4" s="53" t="n">
        <f aca="false">Costs!AW4</f>
        <v>47727</v>
      </c>
      <c r="AX4" s="53" t="n">
        <f aca="false">Costs!AX4</f>
        <v>47757</v>
      </c>
      <c r="AY4" s="53" t="n">
        <f aca="false">Costs!AY4</f>
        <v>47788</v>
      </c>
      <c r="AZ4" s="53" t="n">
        <f aca="false">Costs!AZ4</f>
        <v>47818</v>
      </c>
      <c r="BA4" s="53" t="n">
        <f aca="false">Costs!BA4</f>
        <v>47849</v>
      </c>
      <c r="BB4" s="53" t="n">
        <f aca="false">Costs!BB4</f>
        <v>47880</v>
      </c>
      <c r="BC4" s="53" t="n">
        <f aca="false">Costs!BC4</f>
        <v>47908</v>
      </c>
      <c r="BD4" s="53" t="n">
        <f aca="false">Costs!BD4</f>
        <v>47939</v>
      </c>
      <c r="BE4" s="53" t="n">
        <f aca="false">Costs!BE4</f>
        <v>47969</v>
      </c>
      <c r="BF4" s="53" t="n">
        <f aca="false">Costs!BF4</f>
        <v>48000</v>
      </c>
      <c r="BG4" s="53" t="n">
        <f aca="false">Costs!BG4</f>
        <v>48030</v>
      </c>
      <c r="BH4" s="53" t="n">
        <f aca="false">Costs!BH4</f>
        <v>48061</v>
      </c>
      <c r="BI4" s="53" t="n">
        <f aca="false">Costs!BI4</f>
        <v>48092</v>
      </c>
      <c r="BJ4" s="53" t="n">
        <f aca="false">Costs!BJ4</f>
        <v>48122</v>
      </c>
      <c r="BK4" s="53" t="n">
        <f aca="false">Costs!BK4</f>
        <v>48153</v>
      </c>
      <c r="BL4" s="53" t="n">
        <f aca="false">Costs!BL4</f>
        <v>48183</v>
      </c>
    </row>
    <row r="5" customFormat="false" ht="15" hidden="false" customHeight="false" outlineLevel="0" collapsed="false">
      <c r="A5" s="8" t="s">
        <v>81</v>
      </c>
      <c r="E5" s="54" t="n">
        <f aca="false">Costs!E5</f>
        <v>1</v>
      </c>
      <c r="F5" s="54" t="n">
        <f aca="false">Costs!F5</f>
        <v>1</v>
      </c>
      <c r="G5" s="54" t="n">
        <f aca="false">Costs!G5</f>
        <v>1</v>
      </c>
      <c r="H5" s="54" t="n">
        <f aca="false">Costs!H5</f>
        <v>1</v>
      </c>
      <c r="I5" s="54" t="n">
        <f aca="false">Costs!I5</f>
        <v>1</v>
      </c>
      <c r="J5" s="54" t="n">
        <f aca="false">Costs!J5</f>
        <v>1</v>
      </c>
      <c r="K5" s="54" t="n">
        <f aca="false">Costs!K5</f>
        <v>1</v>
      </c>
      <c r="L5" s="54" t="n">
        <f aca="false">Costs!L5</f>
        <v>1</v>
      </c>
      <c r="M5" s="54" t="n">
        <f aca="false">Costs!M5</f>
        <v>1</v>
      </c>
      <c r="N5" s="54" t="n">
        <f aca="false">Costs!N5</f>
        <v>1</v>
      </c>
      <c r="O5" s="54" t="n">
        <f aca="false">Costs!O5</f>
        <v>1</v>
      </c>
      <c r="P5" s="54" t="n">
        <f aca="false">Costs!P5</f>
        <v>1</v>
      </c>
      <c r="Q5" s="54" t="n">
        <f aca="false">Costs!Q5</f>
        <v>2</v>
      </c>
      <c r="R5" s="54" t="n">
        <f aca="false">Costs!R5</f>
        <v>2</v>
      </c>
      <c r="S5" s="54" t="n">
        <f aca="false">Costs!S5</f>
        <v>2</v>
      </c>
      <c r="T5" s="54" t="n">
        <f aca="false">Costs!T5</f>
        <v>2</v>
      </c>
      <c r="U5" s="54" t="n">
        <f aca="false">Costs!U5</f>
        <v>2</v>
      </c>
      <c r="V5" s="54" t="n">
        <f aca="false">Costs!V5</f>
        <v>2</v>
      </c>
      <c r="W5" s="54" t="n">
        <f aca="false">Costs!W5</f>
        <v>2</v>
      </c>
      <c r="X5" s="54" t="n">
        <f aca="false">Costs!X5</f>
        <v>2</v>
      </c>
      <c r="Y5" s="54" t="n">
        <f aca="false">Costs!Y5</f>
        <v>2</v>
      </c>
      <c r="Z5" s="54" t="n">
        <f aca="false">Costs!Z5</f>
        <v>2</v>
      </c>
      <c r="AA5" s="54" t="n">
        <f aca="false">Costs!AA5</f>
        <v>2</v>
      </c>
      <c r="AB5" s="54" t="n">
        <f aca="false">Costs!AB5</f>
        <v>2</v>
      </c>
      <c r="AC5" s="54" t="n">
        <f aca="false">Costs!AC5</f>
        <v>3</v>
      </c>
      <c r="AD5" s="54" t="n">
        <f aca="false">Costs!AD5</f>
        <v>3</v>
      </c>
      <c r="AE5" s="54" t="n">
        <f aca="false">Costs!AE5</f>
        <v>3</v>
      </c>
      <c r="AF5" s="54" t="n">
        <f aca="false">Costs!AF5</f>
        <v>3</v>
      </c>
      <c r="AG5" s="54" t="n">
        <f aca="false">Costs!AG5</f>
        <v>3</v>
      </c>
      <c r="AH5" s="54" t="n">
        <f aca="false">Costs!AH5</f>
        <v>3</v>
      </c>
      <c r="AI5" s="54" t="n">
        <f aca="false">Costs!AI5</f>
        <v>3</v>
      </c>
      <c r="AJ5" s="54" t="n">
        <f aca="false">Costs!AJ5</f>
        <v>3</v>
      </c>
      <c r="AK5" s="54" t="n">
        <f aca="false">Costs!AK5</f>
        <v>3</v>
      </c>
      <c r="AL5" s="54" t="n">
        <f aca="false">Costs!AL5</f>
        <v>3</v>
      </c>
      <c r="AM5" s="54" t="n">
        <f aca="false">Costs!AM5</f>
        <v>3</v>
      </c>
      <c r="AN5" s="54" t="n">
        <f aca="false">Costs!AN5</f>
        <v>3</v>
      </c>
      <c r="AO5" s="54" t="n">
        <f aca="false">Costs!AO5</f>
        <v>4</v>
      </c>
      <c r="AP5" s="54" t="n">
        <f aca="false">Costs!AP5</f>
        <v>4</v>
      </c>
      <c r="AQ5" s="54" t="n">
        <f aca="false">Costs!AQ5</f>
        <v>4</v>
      </c>
      <c r="AR5" s="54" t="n">
        <f aca="false">Costs!AR5</f>
        <v>4</v>
      </c>
      <c r="AS5" s="54" t="n">
        <f aca="false">Costs!AS5</f>
        <v>4</v>
      </c>
      <c r="AT5" s="54" t="n">
        <f aca="false">Costs!AT5</f>
        <v>4</v>
      </c>
      <c r="AU5" s="54" t="n">
        <f aca="false">Costs!AU5</f>
        <v>4</v>
      </c>
      <c r="AV5" s="54" t="n">
        <f aca="false">Costs!AV5</f>
        <v>4</v>
      </c>
      <c r="AW5" s="54" t="n">
        <f aca="false">Costs!AW5</f>
        <v>4</v>
      </c>
      <c r="AX5" s="54" t="n">
        <f aca="false">Costs!AX5</f>
        <v>4</v>
      </c>
      <c r="AY5" s="54" t="n">
        <f aca="false">Costs!AY5</f>
        <v>4</v>
      </c>
      <c r="AZ5" s="54" t="n">
        <f aca="false">Costs!AZ5</f>
        <v>4</v>
      </c>
      <c r="BA5" s="54" t="n">
        <f aca="false">Costs!BA5</f>
        <v>5</v>
      </c>
      <c r="BB5" s="54" t="n">
        <f aca="false">Costs!BB5</f>
        <v>5</v>
      </c>
      <c r="BC5" s="54" t="n">
        <f aca="false">Costs!BC5</f>
        <v>5</v>
      </c>
      <c r="BD5" s="54" t="n">
        <f aca="false">Costs!BD5</f>
        <v>5</v>
      </c>
      <c r="BE5" s="54" t="n">
        <f aca="false">Costs!BE5</f>
        <v>5</v>
      </c>
      <c r="BF5" s="54" t="n">
        <f aca="false">Costs!BF5</f>
        <v>5</v>
      </c>
      <c r="BG5" s="54" t="n">
        <f aca="false">Costs!BG5</f>
        <v>5</v>
      </c>
      <c r="BH5" s="54" t="n">
        <f aca="false">Costs!BH5</f>
        <v>5</v>
      </c>
      <c r="BI5" s="54" t="n">
        <f aca="false">Costs!BI5</f>
        <v>5</v>
      </c>
      <c r="BJ5" s="54" t="n">
        <f aca="false">Costs!BJ5</f>
        <v>5</v>
      </c>
      <c r="BK5" s="54" t="n">
        <f aca="false">Costs!BK5</f>
        <v>5</v>
      </c>
      <c r="BL5" s="54" t="n">
        <f aca="false">Costs!BL5</f>
        <v>5</v>
      </c>
    </row>
    <row r="8" customFormat="false" ht="15" hidden="false" customHeight="false" outlineLevel="0" collapsed="false">
      <c r="A8" s="10" t="s">
        <v>813</v>
      </c>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row>
    <row r="9" customFormat="false" ht="15" hidden="false" customHeight="false" outlineLevel="0" collapsed="false">
      <c r="A9" s="12" t="s">
        <v>257</v>
      </c>
      <c r="B9" s="14" t="s">
        <v>73</v>
      </c>
      <c r="D9" s="55" t="n">
        <f aca="false">Costs!D9/FX_EUR</f>
        <v>1019624.43660367</v>
      </c>
      <c r="E9" s="37" t="n">
        <f aca="false">Costs!E9/FX_EUR</f>
        <v>0</v>
      </c>
      <c r="F9" s="37" t="n">
        <f aca="false">Costs!F9/FX_EUR</f>
        <v>0</v>
      </c>
      <c r="G9" s="37" t="n">
        <f aca="false">Costs!G9/FX_EUR</f>
        <v>0</v>
      </c>
      <c r="H9" s="37" t="n">
        <f aca="false">Costs!H9/FX_EUR</f>
        <v>0</v>
      </c>
      <c r="I9" s="37" t="n">
        <f aca="false">Costs!I9/FX_EUR</f>
        <v>262.822105717295</v>
      </c>
      <c r="J9" s="37" t="n">
        <f aca="false">Costs!J9/FX_EUR</f>
        <v>524.051729000529</v>
      </c>
      <c r="K9" s="37" t="n">
        <f aca="false">Costs!K9/FX_EUR</f>
        <v>783.88511289612</v>
      </c>
      <c r="L9" s="37" t="n">
        <f aca="false">Costs!L9/FX_EUR</f>
        <v>1042.52503851815</v>
      </c>
      <c r="M9" s="37" t="n">
        <f aca="false">Costs!M9/FX_EUR</f>
        <v>1300.18131527412</v>
      </c>
      <c r="N9" s="37" t="n">
        <f aca="false">Costs!N9/FX_EUR</f>
        <v>1557.07129862503</v>
      </c>
      <c r="O9" s="37" t="n">
        <f aca="false">Costs!O9/FX_EUR</f>
        <v>1813.42043706837</v>
      </c>
      <c r="P9" s="37" t="n">
        <f aca="false">Costs!P9/FX_EUR</f>
        <v>2069.46285013348</v>
      </c>
      <c r="Q9" s="37" t="n">
        <f aca="false">Costs!Q9/FX_EUR</f>
        <v>2405.32522431747</v>
      </c>
      <c r="R9" s="37" t="n">
        <f aca="false">Costs!R9/FX_EUR</f>
        <v>2740.05952960569</v>
      </c>
      <c r="S9" s="37" t="n">
        <f aca="false">Costs!S9/FX_EUR</f>
        <v>3073.95307170271</v>
      </c>
      <c r="T9" s="37" t="n">
        <f aca="false">Costs!T9/FX_EUR</f>
        <v>3407.30405548839</v>
      </c>
      <c r="U9" s="37" t="n">
        <f aca="false">Costs!U9/FX_EUR</f>
        <v>3740.42235715844</v>
      </c>
      <c r="V9" s="37" t="n">
        <f aca="false">Costs!V9/FX_EUR</f>
        <v>4073.63034043026</v>
      </c>
      <c r="W9" s="37" t="n">
        <f aca="false">Costs!W9/FX_EUR</f>
        <v>4642.64500211648</v>
      </c>
      <c r="X9" s="37" t="n">
        <f aca="false">Costs!X9/FX_EUR</f>
        <v>5210.19769506474</v>
      </c>
      <c r="Y9" s="37" t="n">
        <f aca="false">Costs!Y9/FX_EUR</f>
        <v>5776.79409430934</v>
      </c>
      <c r="Z9" s="37" t="n">
        <f aca="false">Costs!Z9/FX_EUR</f>
        <v>6342.9596252457</v>
      </c>
      <c r="AA9" s="37" t="n">
        <f aca="false">Costs!AA9/FX_EUR</f>
        <v>6909.24084602515</v>
      </c>
      <c r="AB9" s="37" t="n">
        <f aca="false">Costs!AB9/FX_EUR</f>
        <v>7521.94161428595</v>
      </c>
      <c r="AC9" s="37" t="n">
        <f aca="false">Costs!AC9/FX_EUR</f>
        <v>8295.54226068634</v>
      </c>
      <c r="AD9" s="37" t="n">
        <f aca="false">Costs!AD9/FX_EUR</f>
        <v>9067.65265329585</v>
      </c>
      <c r="AE9" s="37" t="n">
        <f aca="false">Costs!AE9/FX_EUR</f>
        <v>9838.9794018693</v>
      </c>
      <c r="AF9" s="37" t="n">
        <f aca="false">Costs!AF9/FX_EUR</f>
        <v>10655.9920403746</v>
      </c>
      <c r="AG9" s="37" t="n">
        <f aca="false">Costs!AG9/FX_EUR</f>
        <v>11472.9662458751</v>
      </c>
      <c r="AH9" s="37" t="n">
        <f aca="false">Costs!AH9/FX_EUR</f>
        <v>12290.7126461201</v>
      </c>
      <c r="AI9" s="37" t="n">
        <f aca="false">Costs!AI9/FX_EUR</f>
        <v>13110.0760547031</v>
      </c>
      <c r="AJ9" s="37" t="n">
        <f aca="false">Costs!AJ9/FX_EUR</f>
        <v>13977.6724960569</v>
      </c>
      <c r="AK9" s="37" t="n">
        <f aca="false">Costs!AK9/FX_EUR</f>
        <v>14847.9329211811</v>
      </c>
      <c r="AL9" s="37" t="n">
        <f aca="false">Costs!AL9/FX_EUR</f>
        <v>15721.8325419027</v>
      </c>
      <c r="AM9" s="37" t="n">
        <f aca="false">Costs!AM9/FX_EUR</f>
        <v>16646.1253294858</v>
      </c>
      <c r="AN9" s="37" t="n">
        <f aca="false">Costs!AN9/FX_EUR</f>
        <v>17616.5494227507</v>
      </c>
      <c r="AO9" s="37" t="n">
        <f aca="false">Costs!AO9/FX_EUR</f>
        <v>18672.2773681425</v>
      </c>
      <c r="AP9" s="37" t="n">
        <f aca="false">Costs!AP9/FX_EUR</f>
        <v>19779.0372675399</v>
      </c>
      <c r="AQ9" s="37" t="n">
        <f aca="false">Costs!AQ9/FX_EUR</f>
        <v>20891.6142078621</v>
      </c>
      <c r="AR9" s="37" t="n">
        <f aca="false">Costs!AR9/FX_EUR</f>
        <v>22057.0902086679</v>
      </c>
      <c r="AS9" s="37" t="n">
        <f aca="false">Costs!AS9/FX_EUR</f>
        <v>23223.6518893126</v>
      </c>
      <c r="AT9" s="37" t="n">
        <f aca="false">Costs!AT9/FX_EUR</f>
        <v>24464.175234401</v>
      </c>
      <c r="AU9" s="37" t="n">
        <f aca="false">Costs!AU9/FX_EUR</f>
        <v>25690.9185488659</v>
      </c>
      <c r="AV9" s="37" t="n">
        <f aca="false">Costs!AV9/FX_EUR</f>
        <v>26904.506429006</v>
      </c>
      <c r="AW9" s="37" t="n">
        <f aca="false">Costs!AW9/FX_EUR</f>
        <v>28151.3099723505</v>
      </c>
      <c r="AX9" s="37" t="n">
        <f aca="false">Costs!AX9/FX_EUR</f>
        <v>29385.4892232305</v>
      </c>
      <c r="AY9" s="37" t="n">
        <f aca="false">Costs!AY9/FX_EUR</f>
        <v>30694.6170964539</v>
      </c>
      <c r="AZ9" s="37" t="n">
        <f aca="false">Costs!AZ9/FX_EUR</f>
        <v>31991.0561328605</v>
      </c>
      <c r="BA9" s="37" t="n">
        <f aca="false">Costs!BA9/FX_EUR</f>
        <v>33401.7684743459</v>
      </c>
      <c r="BB9" s="37" t="n">
        <f aca="false">Costs!BB9/FX_EUR</f>
        <v>34799.1955954257</v>
      </c>
      <c r="BC9" s="37" t="n">
        <f aca="false">Costs!BC9/FX_EUR</f>
        <v>36229.8803540992</v>
      </c>
      <c r="BD9" s="37" t="n">
        <f aca="false">Costs!BD9/FX_EUR</f>
        <v>37689.3229686881</v>
      </c>
      <c r="BE9" s="37" t="n">
        <f aca="false">Costs!BE9/FX_EUR</f>
        <v>39182.2813306147</v>
      </c>
      <c r="BF9" s="37" t="n">
        <f aca="false">Costs!BF9/FX_EUR</f>
        <v>40663.165204946</v>
      </c>
      <c r="BG9" s="37" t="n">
        <f aca="false">Costs!BG9/FX_EUR</f>
        <v>42219.8081826889</v>
      </c>
      <c r="BH9" s="37" t="n">
        <f aca="false">Costs!BH9/FX_EUR</f>
        <v>43764.8451674705</v>
      </c>
      <c r="BI9" s="37" t="n">
        <f aca="false">Costs!BI9/FX_EUR</f>
        <v>45345.0300430556</v>
      </c>
      <c r="BJ9" s="37" t="n">
        <f aca="false">Costs!BJ9/FX_EUR</f>
        <v>46914.923602694</v>
      </c>
      <c r="BK9" s="37" t="n">
        <f aca="false">Costs!BK9/FX_EUR</f>
        <v>48554.6783064757</v>
      </c>
      <c r="BL9" s="37" t="n">
        <f aca="false">Costs!BL9/FX_EUR</f>
        <v>50213.8664371868</v>
      </c>
    </row>
    <row r="10" customFormat="false" ht="15" hidden="false" customHeight="false" outlineLevel="0" collapsed="false">
      <c r="A10" s="12" t="s">
        <v>814</v>
      </c>
      <c r="B10" s="14" t="s">
        <v>73</v>
      </c>
      <c r="D10" s="55" t="n">
        <f aca="false">Costs!D10/FX_EUR</f>
        <v>146728.46188813</v>
      </c>
      <c r="E10" s="37" t="n">
        <f aca="false">Costs!E10/FX_EUR</f>
        <v>0</v>
      </c>
      <c r="F10" s="37" t="n">
        <f aca="false">Costs!F10/FX_EUR</f>
        <v>0</v>
      </c>
      <c r="G10" s="37" t="n">
        <f aca="false">Costs!G10/FX_EUR</f>
        <v>0</v>
      </c>
      <c r="H10" s="37" t="n">
        <f aca="false">Costs!H10/FX_EUR</f>
        <v>0</v>
      </c>
      <c r="I10" s="37" t="n">
        <f aca="false">Costs!I10/FX_EUR</f>
        <v>289.104316289025</v>
      </c>
      <c r="J10" s="37" t="n">
        <f aca="false">Costs!J10/FX_EUR</f>
        <v>292.122806830326</v>
      </c>
      <c r="K10" s="37" t="n">
        <f aca="false">Costs!K10/FX_EUR</f>
        <v>295.322406804105</v>
      </c>
      <c r="L10" s="37" t="n">
        <f aca="false">Costs!L10/FX_EUR</f>
        <v>298.71398277631</v>
      </c>
      <c r="M10" s="37" t="n">
        <f aca="false">Costs!M10/FX_EUR</f>
        <v>302.309053306848</v>
      </c>
      <c r="N10" s="37" t="n">
        <f aca="false">Costs!N10/FX_EUR</f>
        <v>306.119828069218</v>
      </c>
      <c r="O10" s="37" t="n">
        <f aca="false">Costs!O10/FX_EUR</f>
        <v>310.15924931733</v>
      </c>
      <c r="P10" s="37" t="n">
        <f aca="false">Costs!P10/FX_EUR</f>
        <v>314.441035840329</v>
      </c>
      <c r="Q10" s="37" t="n">
        <f aca="false">Costs!Q10/FX_EUR</f>
        <v>406.851343090352</v>
      </c>
      <c r="R10" s="37" t="n">
        <f aca="false">Costs!R10/FX_EUR</f>
        <v>411.662358427593</v>
      </c>
      <c r="S10" s="37" t="n">
        <f aca="false">Costs!S10/FX_EUR</f>
        <v>416.76203468507</v>
      </c>
      <c r="T10" s="37" t="n">
        <f aca="false">Costs!T10/FX_EUR</f>
        <v>422.167691517994</v>
      </c>
      <c r="U10" s="37" t="n">
        <f aca="false">Costs!U10/FX_EUR</f>
        <v>427.897687760895</v>
      </c>
      <c r="V10" s="37" t="n">
        <f aca="false">Costs!V10/FX_EUR</f>
        <v>433.971483778369</v>
      </c>
      <c r="W10" s="37" t="n">
        <f aca="false">Costs!W10/FX_EUR</f>
        <v>699.32911843291</v>
      </c>
      <c r="X10" s="37" t="n">
        <f aca="false">Costs!X10/FX_EUR</f>
        <v>707.964729962924</v>
      </c>
      <c r="Y10" s="37" t="n">
        <f aca="false">Costs!Y10/FX_EUR</f>
        <v>717.11847818474</v>
      </c>
      <c r="Z10" s="37" t="n">
        <f aca="false">Costs!Z10/FX_EUR</f>
        <v>726.821451299864</v>
      </c>
      <c r="AA10" s="37" t="n">
        <f aca="false">Costs!AA10/FX_EUR</f>
        <v>737.106602801896</v>
      </c>
      <c r="AB10" s="37" t="n">
        <f aca="false">Costs!AB10/FX_EUR</f>
        <v>798.317039082395</v>
      </c>
      <c r="AC10" s="37" t="n">
        <f aca="false">Costs!AC10/FX_EUR</f>
        <v>986.287438057209</v>
      </c>
      <c r="AD10" s="37" t="n">
        <f aca="false">Costs!AD10/FX_EUR</f>
        <v>998.537218058553</v>
      </c>
      <c r="AE10" s="37" t="n">
        <f aca="false">Costs!AE10/FX_EUR</f>
        <v>1011.52198485998</v>
      </c>
      <c r="AF10" s="37" t="n">
        <f aca="false">Costs!AF10/FX_EUR</f>
        <v>1075.59401335783</v>
      </c>
      <c r="AG10" s="37" t="n">
        <f aca="false">Costs!AG10/FX_EUR</f>
        <v>17311.5253432653</v>
      </c>
      <c r="AH10" s="37" t="n">
        <f aca="false">Costs!AH10/FX_EUR</f>
        <v>2289.20561728866</v>
      </c>
      <c r="AI10" s="37" t="n">
        <f aca="false">Costs!AI10/FX_EUR</f>
        <v>2313.15194694997</v>
      </c>
      <c r="AJ10" s="37" t="n">
        <f aca="false">Costs!AJ10/FX_EUR</f>
        <v>2451.27459679615</v>
      </c>
      <c r="AK10" s="37" t="n">
        <f aca="false">Costs!AK10/FX_EUR</f>
        <v>2478.92357354169</v>
      </c>
      <c r="AL10" s="37" t="n">
        <f aca="false">Costs!AL10/FX_EUR</f>
        <v>2508.95232819666</v>
      </c>
      <c r="AM10" s="37" t="n">
        <f aca="false">Costs!AM10/FX_EUR</f>
        <v>2653.54465478949</v>
      </c>
      <c r="AN10" s="37" t="n">
        <f aca="false">Costs!AN10/FX_EUR</f>
        <v>2788.91857467755</v>
      </c>
      <c r="AO10" s="37" t="n">
        <f aca="false">Costs!AO10/FX_EUR</f>
        <v>3021.37392654303</v>
      </c>
      <c r="AP10" s="37" t="n">
        <f aca="false">Costs!AP10/FX_EUR</f>
        <v>3171.97848503256</v>
      </c>
      <c r="AQ10" s="37" t="n">
        <f aca="false">Costs!AQ10/FX_EUR</f>
        <v>3213.02947450545</v>
      </c>
      <c r="AR10" s="37" t="n">
        <f aca="false">Costs!AR10/FX_EUR</f>
        <v>3369.48346733905</v>
      </c>
      <c r="AS10" s="37" t="n">
        <f aca="false">Costs!AS10/FX_EUR</f>
        <v>3400.26202310194</v>
      </c>
      <c r="AT10" s="37" t="n">
        <f aca="false">Costs!AT10/FX_EUR</f>
        <v>3609.5127771801</v>
      </c>
      <c r="AU10" s="37" t="n">
        <f aca="false">Costs!AU10/FX_EUR</f>
        <v>3605.60374762051</v>
      </c>
      <c r="AV10" s="37" t="n">
        <f aca="false">Costs!AV10/FX_EUR</f>
        <v>3602.7618515298</v>
      </c>
      <c r="AW10" s="37" t="n">
        <f aca="false">Costs!AW10/FX_EUR</f>
        <v>3713.08493972136</v>
      </c>
      <c r="AX10" s="37" t="n">
        <f aca="false">Costs!AX10/FX_EUR</f>
        <v>3711.85501092024</v>
      </c>
      <c r="AY10" s="37" t="n">
        <f aca="false">Costs!AY10/FX_EUR</f>
        <v>3924.74858377321</v>
      </c>
      <c r="AZ10" s="37" t="n">
        <f aca="false">Costs!AZ10/FX_EUR</f>
        <v>3924.76226423633</v>
      </c>
      <c r="BA10" s="37" t="n">
        <f aca="false">Costs!BA10/FX_EUR</f>
        <v>4235.39716790354</v>
      </c>
      <c r="BB10" s="37" t="n">
        <f aca="false">Costs!BB10/FX_EUR</f>
        <v>4236.3559816428</v>
      </c>
      <c r="BC10" s="37" t="n">
        <f aca="false">Costs!BC10/FX_EUR</f>
        <v>4350.88502298233</v>
      </c>
      <c r="BD10" s="37" t="n">
        <f aca="false">Costs!BD10/FX_EUR</f>
        <v>4455.13349587858</v>
      </c>
      <c r="BE10" s="37" t="n">
        <f aca="false">Costs!BE10/FX_EUR</f>
        <v>4571.66440193199</v>
      </c>
      <c r="BF10" s="37" t="n">
        <f aca="false">Costs!BF10/FX_EUR</f>
        <v>4577.2458949778</v>
      </c>
      <c r="BG10" s="37" t="n">
        <f aca="false">Costs!BG10/FX_EUR</f>
        <v>4797.5879359757</v>
      </c>
      <c r="BH10" s="37" t="n">
        <f aca="false">Costs!BH10/FX_EUR</f>
        <v>4805.72261803276</v>
      </c>
      <c r="BI10" s="37" t="n">
        <f aca="false">Costs!BI10/FX_EUR</f>
        <v>4927.98066212819</v>
      </c>
      <c r="BJ10" s="37" t="n">
        <f aca="false">Costs!BJ10/FX_EUR</f>
        <v>4939.69801428409</v>
      </c>
      <c r="BK10" s="37" t="n">
        <f aca="false">Costs!BK10/FX_EUR</f>
        <v>5147.39960413956</v>
      </c>
      <c r="BL10" s="37" t="n">
        <f aca="false">Costs!BL10/FX_EUR</f>
        <v>5233.23454865165</v>
      </c>
    </row>
    <row r="11" customFormat="false" ht="15" hidden="false" customHeight="false" outlineLevel="0" collapsed="false">
      <c r="A11" s="12" t="s">
        <v>815</v>
      </c>
      <c r="B11" s="14" t="s">
        <v>73</v>
      </c>
      <c r="D11" s="55" t="n">
        <f aca="false">Costs!D11/FX_EUR</f>
        <v>1600723.88726599</v>
      </c>
      <c r="E11" s="37" t="n">
        <f aca="false">Costs!E11/FX_EUR</f>
        <v>0</v>
      </c>
      <c r="F11" s="37" t="n">
        <f aca="false">Costs!F11/FX_EUR</f>
        <v>0</v>
      </c>
      <c r="G11" s="37" t="n">
        <f aca="false">Costs!G11/FX_EUR</f>
        <v>0</v>
      </c>
      <c r="H11" s="37" t="n">
        <f aca="false">Costs!H11/FX_EUR</f>
        <v>0</v>
      </c>
      <c r="I11" s="37" t="n">
        <f aca="false">Costs!I11/FX_EUR</f>
        <v>394.233158575943</v>
      </c>
      <c r="J11" s="37" t="n">
        <f aca="false">Costs!J11/FX_EUR</f>
        <v>787.523115082239</v>
      </c>
      <c r="K11" s="37" t="n">
        <f aca="false">Costs!K11/FX_EUR</f>
        <v>1180.13809632339</v>
      </c>
      <c r="L11" s="37" t="n">
        <f aca="false">Costs!L11/FX_EUR</f>
        <v>1572.35754675707</v>
      </c>
      <c r="M11" s="37" t="n">
        <f aca="false">Costs!M11/FX_EUR</f>
        <v>1964.47288233191</v>
      </c>
      <c r="N11" s="37" t="n">
        <f aca="false">Costs!N11/FX_EUR</f>
        <v>2356.7882881229</v>
      </c>
      <c r="O11" s="37" t="n">
        <f aca="false">Costs!O11/FX_EUR</f>
        <v>2749.62156241871</v>
      </c>
      <c r="P11" s="37" t="n">
        <f aca="false">Costs!P11/FX_EUR</f>
        <v>3143.30501007433</v>
      </c>
      <c r="Q11" s="37" t="n">
        <f aca="false">Costs!Q11/FX_EUR</f>
        <v>3658.01131565885</v>
      </c>
      <c r="R11" s="37" t="n">
        <f aca="false">Costs!R11/FX_EUR</f>
        <v>4172.74200857863</v>
      </c>
      <c r="S11" s="37" t="n">
        <f aca="false">Costs!S11/FX_EUR</f>
        <v>4687.90132905903</v>
      </c>
      <c r="T11" s="37" t="n">
        <f aca="false">Costs!T11/FX_EUR</f>
        <v>5203.91178623421</v>
      </c>
      <c r="U11" s="37" t="n">
        <f aca="false">Costs!U11/FX_EUR</f>
        <v>5721.21535268942</v>
      </c>
      <c r="V11" s="37" t="n">
        <f aca="false">Costs!V11/FX_EUR</f>
        <v>6240.27472893965</v>
      </c>
      <c r="W11" s="37" t="n">
        <f aca="false">Costs!W11/FX_EUR</f>
        <v>7114.64660599481</v>
      </c>
      <c r="X11" s="37" t="n">
        <f aca="false">Costs!X11/FX_EUR</f>
        <v>7989.70589527238</v>
      </c>
      <c r="Y11" s="37" t="n">
        <f aca="false">Costs!Y11/FX_EUR</f>
        <v>8866.16866666311</v>
      </c>
      <c r="Z11" s="37" t="n">
        <f aca="false">Costs!Z11/FX_EUR</f>
        <v>9744.78393828175</v>
      </c>
      <c r="AA11" s="37" t="n">
        <f aca="false">Costs!AA11/FX_EUR</f>
        <v>10626.3358178823</v>
      </c>
      <c r="AB11" s="37" t="n">
        <f aca="false">Costs!AB11/FX_EUR</f>
        <v>11580.2478276142</v>
      </c>
      <c r="AC11" s="37" t="n">
        <f aca="false">Costs!AC11/FX_EUR</f>
        <v>12778.46328705</v>
      </c>
      <c r="AD11" s="37" t="n">
        <f aca="false">Costs!AD11/FX_EUR</f>
        <v>13978.2468128129</v>
      </c>
      <c r="AE11" s="37" t="n">
        <f aca="false">Costs!AE11/FX_EUR</f>
        <v>15180.604801596</v>
      </c>
      <c r="AF11" s="37" t="n">
        <f aca="false">Costs!AF11/FX_EUR</f>
        <v>16455.1926061797</v>
      </c>
      <c r="AG11" s="37" t="n">
        <f aca="false">Costs!AG11/FX_EUR</f>
        <v>17733.6310038103</v>
      </c>
      <c r="AH11" s="37" t="n">
        <f aca="false">Costs!AH11/FX_EUR</f>
        <v>19017.0892600111</v>
      </c>
      <c r="AI11" s="37" t="n">
        <f aca="false">Costs!AI11/FX_EUR</f>
        <v>20306.7929785711</v>
      </c>
      <c r="AJ11" s="37" t="n">
        <f aca="false">Costs!AJ11/FX_EUR</f>
        <v>21672.6297652249</v>
      </c>
      <c r="AK11" s="37" t="n">
        <f aca="false">Costs!AK11/FX_EUR</f>
        <v>23046.4664796234</v>
      </c>
      <c r="AL11" s="37" t="n">
        <f aca="false">Costs!AL11/FX_EUR</f>
        <v>24429.7331297507</v>
      </c>
      <c r="AM11" s="37" t="n">
        <f aca="false">Costs!AM11/FX_EUR</f>
        <v>25892.5336601065</v>
      </c>
      <c r="AN11" s="37" t="n">
        <f aca="false">Costs!AN11/FX_EUR</f>
        <v>27428.7057765247</v>
      </c>
      <c r="AO11" s="37" t="n">
        <f aca="false">Costs!AO11/FX_EUR</f>
        <v>29097.212622469</v>
      </c>
      <c r="AP11" s="37" t="n">
        <f aca="false">Costs!AP11/FX_EUR</f>
        <v>30847.0637069418</v>
      </c>
      <c r="AQ11" s="37" t="n">
        <f aca="false">Costs!AQ11/FX_EUR</f>
        <v>32610.660545159</v>
      </c>
      <c r="AR11" s="37" t="n">
        <f aca="false">Costs!AR11/FX_EUR</f>
        <v>34458.5987238386</v>
      </c>
      <c r="AS11" s="37" t="n">
        <f aca="false">Costs!AS11/FX_EUR</f>
        <v>36313.3900588041</v>
      </c>
      <c r="AT11" s="37" t="n">
        <f aca="false">Costs!AT11/FX_EUR</f>
        <v>38284.2926997386</v>
      </c>
      <c r="AU11" s="37" t="n">
        <f aca="false">Costs!AU11/FX_EUR</f>
        <v>40240.0398155952</v>
      </c>
      <c r="AV11" s="37" t="n">
        <f aca="false">Costs!AV11/FX_EUR</f>
        <v>42181.4273251</v>
      </c>
      <c r="AW11" s="37" t="n">
        <f aca="false">Costs!AW11/FX_EUR</f>
        <v>44177.8760809605</v>
      </c>
      <c r="AX11" s="37" t="n">
        <f aca="false">Costs!AX11/FX_EUR</f>
        <v>46160.7470794263</v>
      </c>
      <c r="AY11" s="37" t="n">
        <f aca="false">Costs!AY11/FX_EUR</f>
        <v>48261.2670963295</v>
      </c>
      <c r="AZ11" s="37" t="n">
        <f aca="false">Costs!AZ11/FX_EUR</f>
        <v>50348.3306401541</v>
      </c>
      <c r="BA11" s="37" t="n">
        <f aca="false">Costs!BA11/FX_EUR</f>
        <v>52612.2454448966</v>
      </c>
      <c r="BB11" s="37" t="n">
        <f aca="false">Costs!BB11/FX_EUR</f>
        <v>54862.238213965</v>
      </c>
      <c r="BC11" s="37" t="n">
        <f aca="false">Costs!BC11/FX_EUR</f>
        <v>57167.9794150871</v>
      </c>
      <c r="BD11" s="37" t="n">
        <f aca="false">Costs!BD11/FX_EUR</f>
        <v>59522.8333250855</v>
      </c>
      <c r="BE11" s="37" t="n">
        <f aca="false">Costs!BE11/FX_EUR</f>
        <v>61934.024663138</v>
      </c>
      <c r="BF11" s="37" t="n">
        <f aca="false">Costs!BF11/FX_EUR</f>
        <v>64333.2811229441</v>
      </c>
      <c r="BG11" s="37" t="n">
        <f aca="false">Costs!BG11/FX_EUR</f>
        <v>66852.2140843636</v>
      </c>
      <c r="BH11" s="37" t="n">
        <f aca="false">Costs!BH11/FX_EUR</f>
        <v>69360.1217055631</v>
      </c>
      <c r="BI11" s="37" t="n">
        <f aca="false">Costs!BI11/FX_EUR</f>
        <v>71926.9960005376</v>
      </c>
      <c r="BJ11" s="37" t="n">
        <f aca="false">Costs!BJ11/FX_EUR</f>
        <v>74484.7982173797</v>
      </c>
      <c r="BK11" s="37" t="n">
        <f aca="false">Costs!BK11/FX_EUR</f>
        <v>77153.625797737</v>
      </c>
      <c r="BL11" s="37" t="n">
        <f aca="false">Costs!BL11/FX_EUR</f>
        <v>79858.1483869639</v>
      </c>
    </row>
    <row r="12" customFormat="false" ht="15" hidden="false" customHeight="false" outlineLevel="0" collapsed="false">
      <c r="A12" s="12" t="s">
        <v>570</v>
      </c>
      <c r="B12" s="14" t="s">
        <v>73</v>
      </c>
      <c r="D12" s="55" t="n">
        <f aca="false">Costs!D12/FX_EUR</f>
        <v>227584.182750803</v>
      </c>
      <c r="E12" s="37" t="n">
        <f aca="false">Costs!E12/FX_EUR</f>
        <v>0</v>
      </c>
      <c r="F12" s="37" t="n">
        <f aca="false">Costs!F12/FX_EUR</f>
        <v>0</v>
      </c>
      <c r="G12" s="37" t="n">
        <f aca="false">Costs!G12/FX_EUR</f>
        <v>0</v>
      </c>
      <c r="H12" s="37" t="n">
        <f aca="false">Costs!H12/FX_EUR</f>
        <v>0</v>
      </c>
      <c r="I12" s="37" t="n">
        <f aca="false">Costs!I12/FX_EUR</f>
        <v>906.736264724669</v>
      </c>
      <c r="J12" s="37" t="n">
        <f aca="false">Costs!J12/FX_EUR</f>
        <v>916.203348695113</v>
      </c>
      <c r="K12" s="37" t="n">
        <f aca="false">Costs!K12/FX_EUR</f>
        <v>926.238457703783</v>
      </c>
      <c r="L12" s="37" t="n">
        <f aca="false">Costs!L12/FX_EUR</f>
        <v>936.875673252973</v>
      </c>
      <c r="M12" s="37" t="n">
        <f aca="false">Costs!M12/FX_EUR</f>
        <v>948.151121735114</v>
      </c>
      <c r="N12" s="37" t="n">
        <f aca="false">Costs!N12/FX_EUR</f>
        <v>960.103097126184</v>
      </c>
      <c r="O12" s="37" t="n">
        <f aca="false">Costs!O12/FX_EUR</f>
        <v>972.772191040717</v>
      </c>
      <c r="P12" s="37" t="n">
        <f aca="false">Costs!P12/FX_EUR</f>
        <v>986.201430590124</v>
      </c>
      <c r="Q12" s="37" t="n">
        <f aca="false">Costs!Q12/FX_EUR</f>
        <v>1276.03375787429</v>
      </c>
      <c r="R12" s="37" t="n">
        <f aca="false">Costs!R12/FX_EUR</f>
        <v>1291.122851432</v>
      </c>
      <c r="S12" s="37" t="n">
        <f aca="false">Costs!S12/FX_EUR</f>
        <v>1307.11729060317</v>
      </c>
      <c r="T12" s="37" t="n">
        <f aca="false">Costs!T12/FX_EUR</f>
        <v>1324.07139612462</v>
      </c>
      <c r="U12" s="37" t="n">
        <f aca="false">Costs!U12/FX_EUR</f>
        <v>1342.04274797735</v>
      </c>
      <c r="V12" s="37" t="n">
        <f aca="false">Costs!V12/FX_EUR</f>
        <v>1361.09238094125</v>
      </c>
      <c r="W12" s="37" t="n">
        <f aca="false">Costs!W12/FX_EUR</f>
        <v>2193.35041690322</v>
      </c>
      <c r="X12" s="37" t="n">
        <f aca="false">Costs!X12/FX_EUR</f>
        <v>2220.43483488372</v>
      </c>
      <c r="Y12" s="37" t="n">
        <f aca="false">Costs!Y12/FX_EUR</f>
        <v>2249.14431794305</v>
      </c>
      <c r="Z12" s="37" t="n">
        <f aca="false">Costs!Z12/FX_EUR</f>
        <v>2279.57636998594</v>
      </c>
      <c r="AA12" s="37" t="n">
        <f aca="false">Costs!AA12/FX_EUR</f>
        <v>2311.8343451514</v>
      </c>
      <c r="AB12" s="37" t="n">
        <f aca="false">Costs!AB12/FX_EUR</f>
        <v>2503.81253166751</v>
      </c>
      <c r="AC12" s="37" t="n">
        <f aca="false">Costs!AC12/FX_EUR</f>
        <v>3093.35605572488</v>
      </c>
      <c r="AD12" s="37" t="n">
        <f aca="false">Costs!AD12/FX_EUR</f>
        <v>3131.77582027455</v>
      </c>
      <c r="AE12" s="37" t="n">
        <f aca="false">Costs!AE12/FX_EUR</f>
        <v>3172.5007706972</v>
      </c>
      <c r="AF12" s="37" t="n">
        <f aca="false">Costs!AF12/FX_EUR</f>
        <v>3373.45395098593</v>
      </c>
      <c r="AG12" s="37" t="n">
        <f aca="false">Costs!AG12/FX_EUR</f>
        <v>3419.21250528082</v>
      </c>
      <c r="AH12" s="37" t="n">
        <f aca="false">Costs!AH12/FX_EUR</f>
        <v>3467.7165728334</v>
      </c>
      <c r="AI12" s="37" t="n">
        <f aca="false">Costs!AI12/FX_EUR</f>
        <v>3519.13088443914</v>
      </c>
      <c r="AJ12" s="37" t="n">
        <f aca="false">Costs!AJ12/FX_EUR</f>
        <v>3731.41478758194</v>
      </c>
      <c r="AK12" s="37" t="n">
        <f aca="false">Costs!AK12/FX_EUR</f>
        <v>3789.18390810215</v>
      </c>
      <c r="AL12" s="37" t="n">
        <f aca="false">Costs!AL12/FX_EUR</f>
        <v>3850.41917585357</v>
      </c>
      <c r="AM12" s="37" t="n">
        <f aca="false">Costs!AM12/FX_EUR</f>
        <v>4073.11329251079</v>
      </c>
      <c r="AN12" s="37" t="n">
        <f aca="false">Costs!AN12/FX_EUR</f>
        <v>4283.92349891294</v>
      </c>
      <c r="AO12" s="37" t="n">
        <f aca="false">Costs!AO12/FX_EUR</f>
        <v>4632.45301593095</v>
      </c>
      <c r="AP12" s="37" t="n">
        <f aca="false">Costs!AP12/FX_EUR</f>
        <v>4867.54586344727</v>
      </c>
      <c r="AQ12" s="37" t="n">
        <f aca="false">Costs!AQ12/FX_EUR</f>
        <v>4949.4924650034</v>
      </c>
      <c r="AR12" s="37" t="n">
        <f aca="false">Costs!AR12/FX_EUR</f>
        <v>5194.14059549362</v>
      </c>
      <c r="AS12" s="37" t="n">
        <f aca="false">Costs!AS12/FX_EUR</f>
        <v>5262.98167954533</v>
      </c>
      <c r="AT12" s="37" t="n">
        <f aca="false">Costs!AT12/FX_EUR</f>
        <v>5583.24166673073</v>
      </c>
      <c r="AU12" s="37" t="n">
        <f aca="false">Costs!AU12/FX_EUR</f>
        <v>5604.93880120604</v>
      </c>
      <c r="AV12" s="37" t="n">
        <f aca="false">Costs!AV12/FX_EUR</f>
        <v>5627.93776374987</v>
      </c>
      <c r="AW12" s="37" t="n">
        <f aca="false">Costs!AW12/FX_EUR</f>
        <v>5810.10139688704</v>
      </c>
      <c r="AX12" s="37" t="n">
        <f aca="false">Costs!AX12/FX_EUR</f>
        <v>5835.94303120129</v>
      </c>
      <c r="AY12" s="37" t="n">
        <f aca="false">Costs!AY12/FX_EUR</f>
        <v>6163.12615597176</v>
      </c>
      <c r="AZ12" s="37" t="n">
        <f aca="false">Costs!AZ12/FX_EUR</f>
        <v>6192.16181628725</v>
      </c>
      <c r="BA12" s="37" t="n">
        <f aca="false">Costs!BA12/FX_EUR</f>
        <v>6658.42547886205</v>
      </c>
      <c r="BB12" s="37" t="n">
        <f aca="false">Costs!BB12/FX_EUR</f>
        <v>6691.04994679253</v>
      </c>
      <c r="BC12" s="37" t="n">
        <f aca="false">Costs!BC12/FX_EUR</f>
        <v>6883.41661563956</v>
      </c>
      <c r="BD12" s="37" t="n">
        <f aca="false">Costs!BD12/FX_EUR</f>
        <v>7062.0797273629</v>
      </c>
      <c r="BE12" s="37" t="n">
        <f aca="false">Costs!BE12/FX_EUR</f>
        <v>7258.72072350031</v>
      </c>
      <c r="BF12" s="37" t="n">
        <f aca="false">Costs!BF12/FX_EUR</f>
        <v>7299.9083625948</v>
      </c>
      <c r="BG12" s="37" t="n">
        <f aca="false">Costs!BG12/FX_EUR</f>
        <v>7643.35825243233</v>
      </c>
      <c r="BH12" s="37" t="n">
        <f aca="false">Costs!BH12/FX_EUR</f>
        <v>7689.6366837189</v>
      </c>
      <c r="BI12" s="37" t="n">
        <f aca="false">Costs!BI12/FX_EUR</f>
        <v>7896.47655372338</v>
      </c>
      <c r="BJ12" s="37" t="n">
        <f aca="false">Costs!BJ12/FX_EUR</f>
        <v>7948.47499911698</v>
      </c>
      <c r="BK12" s="37" t="n">
        <f aca="false">Costs!BK12/FX_EUR</f>
        <v>8276.33518660522</v>
      </c>
      <c r="BL12" s="37" t="n">
        <f aca="false">Costs!BL12/FX_EUR</f>
        <v>8434.11991944594</v>
      </c>
    </row>
    <row r="13" customFormat="false" ht="15" hidden="false" customHeight="false" outlineLevel="0" collapsed="false">
      <c r="A13" s="12" t="s">
        <v>270</v>
      </c>
      <c r="B13" s="14" t="s">
        <v>73</v>
      </c>
      <c r="D13" s="55" t="n">
        <f aca="false">Costs!D13/FX_EUR</f>
        <v>1598115.33430873</v>
      </c>
      <c r="E13" s="37" t="n">
        <f aca="false">Costs!E13/FX_EUR</f>
        <v>0</v>
      </c>
      <c r="F13" s="37" t="n">
        <f aca="false">Costs!F13/FX_EUR</f>
        <v>0</v>
      </c>
      <c r="G13" s="37" t="n">
        <f aca="false">Costs!G13/FX_EUR</f>
        <v>0</v>
      </c>
      <c r="H13" s="37" t="n">
        <f aca="false">Costs!H13/FX_EUR</f>
        <v>0</v>
      </c>
      <c r="I13" s="37" t="n">
        <f aca="false">Costs!I13/FX_EUR</f>
        <v>389.852790147322</v>
      </c>
      <c r="J13" s="37" t="n">
        <f aca="false">Costs!J13/FX_EUR</f>
        <v>779.078023915186</v>
      </c>
      <c r="K13" s="37" t="n">
        <f aca="false">Costs!K13/FX_EUR</f>
        <v>1167.93567623335</v>
      </c>
      <c r="L13" s="37" t="n">
        <f aca="false">Costs!L13/FX_EUR</f>
        <v>1556.69710554404</v>
      </c>
      <c r="M13" s="37" t="n">
        <f aca="false">Costs!M13/FX_EUR</f>
        <v>1945.64580349317</v>
      </c>
      <c r="N13" s="37" t="n">
        <f aca="false">Costs!N13/FX_EUR</f>
        <v>2335.07818845886</v>
      </c>
      <c r="O13" s="37" t="n">
        <f aca="false">Costs!O13/FX_EUR</f>
        <v>2725.30444556837</v>
      </c>
      <c r="P13" s="37" t="n">
        <f aca="false">Costs!P13/FX_EUR</f>
        <v>3116.64941601298</v>
      </c>
      <c r="Q13" s="37" t="n">
        <f aca="false">Costs!Q13/FX_EUR</f>
        <v>3627.94707810341</v>
      </c>
      <c r="R13" s="37" t="n">
        <f aca="false">Costs!R13/FX_EUR</f>
        <v>4139.63301217842</v>
      </c>
      <c r="S13" s="37" t="n">
        <f aca="false">Costs!S13/FX_EUR</f>
        <v>4652.1015984612</v>
      </c>
      <c r="T13" s="37" t="n">
        <f aca="false">Costs!T13/FX_EUR</f>
        <v>5165.76568078281</v>
      </c>
      <c r="U13" s="37" t="n">
        <f aca="false">Costs!U13/FX_EUR</f>
        <v>5681.05775593721</v>
      </c>
      <c r="V13" s="37" t="n">
        <f aca="false">Costs!V13/FX_EUR</f>
        <v>6198.43123300731</v>
      </c>
      <c r="W13" s="37" t="n">
        <f aca="false">Costs!W13/FX_EUR</f>
        <v>7067.51066943042</v>
      </c>
      <c r="X13" s="37" t="n">
        <f aca="false">Costs!X13/FX_EUR</f>
        <v>7937.88126838413</v>
      </c>
      <c r="Y13" s="37" t="n">
        <f aca="false">Costs!Y13/FX_EUR</f>
        <v>8810.24263627882</v>
      </c>
      <c r="Z13" s="37" t="n">
        <f aca="false">Costs!Z13/FX_EUR</f>
        <v>9685.32765067923</v>
      </c>
      <c r="AA13" s="37" t="n">
        <f aca="false">Costs!AA13/FX_EUR</f>
        <v>10563.9045929535</v>
      </c>
      <c r="AB13" s="37" t="n">
        <f aca="false">Costs!AB13/FX_EUR</f>
        <v>11514.6192192284</v>
      </c>
      <c r="AC13" s="37" t="n">
        <f aca="false">Costs!AC13/FX_EUR</f>
        <v>12707.5518157871</v>
      </c>
      <c r="AD13" s="37" t="n">
        <f aca="false">Costs!AD13/FX_EUR</f>
        <v>13902.8439051644</v>
      </c>
      <c r="AE13" s="37" t="n">
        <f aca="false">Costs!AE13/FX_EUR</f>
        <v>15101.4799842407</v>
      </c>
      <c r="AF13" s="37" t="n">
        <f aca="false">Costs!AF13/FX_EUR</f>
        <v>16372.3316887474</v>
      </c>
      <c r="AG13" s="37" t="n">
        <f aca="false">Costs!AG13/FX_EUR</f>
        <v>17647.8238703023</v>
      </c>
      <c r="AH13" s="37" t="n">
        <f aca="false">Costs!AH13/FX_EUR</f>
        <v>18929.1035277547</v>
      </c>
      <c r="AI13" s="37" t="n">
        <f aca="false">Costs!AI13/FX_EUR</f>
        <v>20217.3744257537</v>
      </c>
      <c r="AJ13" s="37" t="n">
        <f aca="false">Costs!AJ13/FX_EUR</f>
        <v>21581.7405009455</v>
      </c>
      <c r="AK13" s="37" t="n">
        <f aca="false">Costs!AK13/FX_EUR</f>
        <v>22954.872722065</v>
      </c>
      <c r="AL13" s="37" t="n">
        <f aca="false">Costs!AL13/FX_EUR</f>
        <v>24338.1788513135</v>
      </c>
      <c r="AM13" s="37" t="n">
        <f aca="false">Costs!AM13/FX_EUR</f>
        <v>25800.9787554247</v>
      </c>
      <c r="AN13" s="37" t="n">
        <f aca="false">Costs!AN13/FX_EUR</f>
        <v>27337.2278173371</v>
      </c>
      <c r="AO13" s="37" t="n">
        <f aca="false">Costs!AO13/FX_EUR</f>
        <v>29005.2777490799</v>
      </c>
      <c r="AP13" s="37" t="n">
        <f aca="false">Costs!AP13/FX_EUR</f>
        <v>30754.7933369506</v>
      </c>
      <c r="AQ13" s="37" t="n">
        <f aca="false">Costs!AQ13/FX_EUR</f>
        <v>32518.9751269384</v>
      </c>
      <c r="AR13" s="37" t="n">
        <f aca="false">Costs!AR13/FX_EUR</f>
        <v>34367.629219283</v>
      </c>
      <c r="AS13" s="37" t="n">
        <f aca="false">Costs!AS13/FX_EUR</f>
        <v>36224.1780531424</v>
      </c>
      <c r="AT13" s="37" t="n">
        <f aca="false">Costs!AT13/FX_EUR</f>
        <v>38196.6547342553</v>
      </c>
      <c r="AU13" s="37" t="n">
        <f aca="false">Costs!AU13/FX_EUR</f>
        <v>40155.3246389194</v>
      </c>
      <c r="AV13" s="37" t="n">
        <f aca="false">Costs!AV13/FX_EUR</f>
        <v>42100.9458350822</v>
      </c>
      <c r="AW13" s="37" t="n">
        <f aca="false">Costs!AW13/FX_EUR</f>
        <v>44102.1398867254</v>
      </c>
      <c r="AX13" s="37" t="n">
        <f aca="false">Costs!AX13/FX_EUR</f>
        <v>46091.0566654983</v>
      </c>
      <c r="AY13" s="37" t="n">
        <f aca="false">Costs!AY13/FX_EUR</f>
        <v>48197.4375822562</v>
      </c>
      <c r="AZ13" s="37" t="n">
        <f aca="false">Costs!AZ13/FX_EUR</f>
        <v>50291.7085814583</v>
      </c>
      <c r="BA13" s="37" t="n">
        <f aca="false">Costs!BA13/FX_EUR</f>
        <v>52562.0349899067</v>
      </c>
      <c r="BB13" s="37" t="n">
        <f aca="false">Costs!BB13/FX_EUR</f>
        <v>54819.8830776291</v>
      </c>
      <c r="BC13" s="37" t="n">
        <f aca="false">Costs!BC13/FX_EUR</f>
        <v>57134.1196153347</v>
      </c>
      <c r="BD13" s="37" t="n">
        <f aca="false">Costs!BD13/FX_EUR</f>
        <v>59498.2074137311</v>
      </c>
      <c r="BE13" s="37" t="n">
        <f aca="false">Costs!BE13/FX_EUR</f>
        <v>61919.3102287127</v>
      </c>
      <c r="BF13" s="37" t="n">
        <f aca="false">Costs!BF13/FX_EUR</f>
        <v>64329.9389652202</v>
      </c>
      <c r="BG13" s="37" t="n">
        <f aca="false">Costs!BG13/FX_EUR</f>
        <v>66860.2140838635</v>
      </c>
      <c r="BH13" s="37" t="n">
        <f aca="false">Costs!BH13/FX_EUR</f>
        <v>69380.9597309661</v>
      </c>
      <c r="BI13" s="37" t="n">
        <f aca="false">Costs!BI13/FX_EUR</f>
        <v>71961.3617198879</v>
      </c>
      <c r="BJ13" s="37" t="n">
        <f aca="false">Costs!BJ13/FX_EUR</f>
        <v>74534.1633908057</v>
      </c>
      <c r="BK13" s="37" t="n">
        <f aca="false">Costs!BK13/FX_EUR</f>
        <v>77218.1008334009</v>
      </c>
      <c r="BL13" s="37" t="n">
        <f aca="false">Costs!BL13/FX_EUR</f>
        <v>79938.7471400491</v>
      </c>
    </row>
    <row r="14" customFormat="false" ht="15" hidden="false" customHeight="false" outlineLevel="0" collapsed="false">
      <c r="A14" s="12" t="s">
        <v>273</v>
      </c>
      <c r="B14" s="14" t="s">
        <v>73</v>
      </c>
      <c r="D14" s="55" t="n">
        <f aca="false">Costs!D14/FX_EUR</f>
        <v>837809.01143093</v>
      </c>
      <c r="E14" s="37" t="n">
        <f aca="false">Costs!E14/FX_EUR</f>
        <v>0</v>
      </c>
      <c r="F14" s="37" t="n">
        <f aca="false">Costs!F14/FX_EUR</f>
        <v>0</v>
      </c>
      <c r="G14" s="37" t="n">
        <f aca="false">Costs!G14/FX_EUR</f>
        <v>0</v>
      </c>
      <c r="H14" s="37" t="n">
        <f aca="false">Costs!H14/FX_EUR</f>
        <v>0</v>
      </c>
      <c r="I14" s="37" t="n">
        <f aca="false">Costs!I14/FX_EUR</f>
        <v>205.001242459491</v>
      </c>
      <c r="J14" s="37" t="n">
        <f aca="false">Costs!J14/FX_EUR</f>
        <v>409.619776906108</v>
      </c>
      <c r="K14" s="37" t="n">
        <f aca="false">Costs!K14/FX_EUR</f>
        <v>613.993361302647</v>
      </c>
      <c r="L14" s="37" t="n">
        <f aca="false">Costs!L14/FX_EUR</f>
        <v>818.265685188206</v>
      </c>
      <c r="M14" s="37" t="n">
        <f aca="false">Costs!M14/FX_EUR</f>
        <v>1022.58676335333</v>
      </c>
      <c r="N14" s="37" t="n">
        <f aca="false">Costs!N14/FX_EUR</f>
        <v>1227.11335247544</v>
      </c>
      <c r="O14" s="37" t="n">
        <f aca="false">Costs!O14/FX_EUR</f>
        <v>1432.00939210431</v>
      </c>
      <c r="P14" s="37" t="n">
        <f aca="false">Costs!P14/FX_EUR</f>
        <v>1637.44647147052</v>
      </c>
      <c r="Q14" s="37" t="n">
        <f aca="false">Costs!Q14/FX_EUR</f>
        <v>1905.91328600312</v>
      </c>
      <c r="R14" s="37" t="n">
        <f aca="false">Costs!R14/FX_EUR</f>
        <v>2174.52239404846</v>
      </c>
      <c r="S14" s="37" t="n">
        <f aca="false">Costs!S14/FX_EUR</f>
        <v>2443.48226109756</v>
      </c>
      <c r="T14" s="37" t="n">
        <f aca="false">Costs!T14/FX_EUR</f>
        <v>2713.01098849331</v>
      </c>
      <c r="U14" s="37" t="n">
        <f aca="false">Costs!U14/FX_EUR</f>
        <v>2983.33693768607</v>
      </c>
      <c r="V14" s="37" t="n">
        <f aca="false">Costs!V14/FX_EUR</f>
        <v>3254.69939114355</v>
      </c>
      <c r="W14" s="37" t="n">
        <f aca="false">Costs!W14/FX_EUR</f>
        <v>3710.94665256844</v>
      </c>
      <c r="X14" s="37" t="n">
        <f aca="false">Costs!X14/FX_EUR</f>
        <v>4167.76915678137</v>
      </c>
      <c r="Y14" s="37" t="n">
        <f aca="false">Costs!Y14/FX_EUR</f>
        <v>4625.5365162439</v>
      </c>
      <c r="Z14" s="37" t="n">
        <f aca="false">Costs!Z14/FX_EUR</f>
        <v>5084.63571265578</v>
      </c>
      <c r="AA14" s="37" t="n">
        <f aca="false">Costs!AA14/FX_EUR</f>
        <v>5545.47221620431</v>
      </c>
      <c r="AB14" s="37" t="n">
        <f aca="false">Costs!AB14/FX_EUR</f>
        <v>6044.14424066371</v>
      </c>
      <c r="AC14" s="37" t="n">
        <f aca="false">Costs!AC14/FX_EUR</f>
        <v>6670.07930056515</v>
      </c>
      <c r="AD14" s="37" t="n">
        <f aca="false">Costs!AD14/FX_EUR</f>
        <v>7297.11875511232</v>
      </c>
      <c r="AE14" s="37" t="n">
        <f aca="false">Costs!AE14/FX_EUR</f>
        <v>7925.78247944512</v>
      </c>
      <c r="AF14" s="37" t="n">
        <f aca="false">Costs!AF14/FX_EUR</f>
        <v>8592.28813188623</v>
      </c>
      <c r="AG14" s="37" t="n">
        <f aca="false">Costs!AG14/FX_EUR</f>
        <v>9261.09447701051</v>
      </c>
      <c r="AH14" s="37" t="n">
        <f aca="false">Costs!AH14/FX_EUR</f>
        <v>9932.80659029776</v>
      </c>
      <c r="AI14" s="37" t="n">
        <f aca="false">Costs!AI14/FX_EUR</f>
        <v>10608.0592067489</v>
      </c>
      <c r="AJ14" s="37" t="n">
        <f aca="false">Costs!AJ14/FX_EUR</f>
        <v>11323.1916763615</v>
      </c>
      <c r="AK14" s="37" t="n">
        <f aca="false">Costs!AK14/FX_EUR</f>
        <v>12042.7916975974</v>
      </c>
      <c r="AL14" s="37" t="n">
        <f aca="false">Costs!AL14/FX_EUR</f>
        <v>12767.6009570567</v>
      </c>
      <c r="AM14" s="37" t="n">
        <f aca="false">Costs!AM14/FX_EUR</f>
        <v>13534.0720092451</v>
      </c>
      <c r="AN14" s="37" t="n">
        <f aca="false">Costs!AN14/FX_EUR</f>
        <v>14339.018150559</v>
      </c>
      <c r="AO14" s="37" t="n">
        <f aca="false">Costs!AO14/FX_EUR</f>
        <v>15213.1159844388</v>
      </c>
      <c r="AP14" s="37" t="n">
        <f aca="false">Costs!AP14/FX_EUR</f>
        <v>16129.882131128</v>
      </c>
      <c r="AQ14" s="37" t="n">
        <f aca="false">Costs!AQ14/FX_EUR</f>
        <v>17054.18269119</v>
      </c>
      <c r="AR14" s="37" t="n">
        <f aca="false">Costs!AR14/FX_EUR</f>
        <v>18022.7259752857</v>
      </c>
      <c r="AS14" s="37" t="n">
        <f aca="false">Costs!AS14/FX_EUR</f>
        <v>18995.2360532268</v>
      </c>
      <c r="AT14" s="37" t="n">
        <f aca="false">Costs!AT14/FX_EUR</f>
        <v>20028.5236699723</v>
      </c>
      <c r="AU14" s="37" t="n">
        <f aca="false">Costs!AU14/FX_EUR</f>
        <v>21054.3564968924</v>
      </c>
      <c r="AV14" s="37" t="n">
        <f aca="false">Costs!AV14/FX_EUR</f>
        <v>22073.1386020709</v>
      </c>
      <c r="AW14" s="37" t="n">
        <f aca="false">Costs!AW14/FX_EUR</f>
        <v>23120.9593752569</v>
      </c>
      <c r="AX14" s="37" t="n">
        <f aca="false">Costs!AX14/FX_EUR</f>
        <v>24162.1361892558</v>
      </c>
      <c r="AY14" s="37" t="n">
        <f aca="false">Costs!AY14/FX_EUR</f>
        <v>25264.8977348039</v>
      </c>
      <c r="AZ14" s="37" t="n">
        <f aca="false">Costs!AZ14/FX_EUR</f>
        <v>26361.0959225198</v>
      </c>
      <c r="BA14" s="37" t="n">
        <f aca="false">Costs!BA14/FX_EUR</f>
        <v>27549.6813463482</v>
      </c>
      <c r="BB14" s="37" t="n">
        <f aca="false">Costs!BB14/FX_EUR</f>
        <v>28731.4946148243</v>
      </c>
      <c r="BC14" s="37" t="n">
        <f aca="false">Costs!BC14/FX_EUR</f>
        <v>29942.7543744196</v>
      </c>
      <c r="BD14" s="37" t="n">
        <f aca="false">Costs!BD14/FX_EUR</f>
        <v>31180.0192367678</v>
      </c>
      <c r="BE14" s="37" t="n">
        <f aca="false">Costs!BE14/FX_EUR</f>
        <v>32447.053310383</v>
      </c>
      <c r="BF14" s="37" t="n">
        <f aca="false">Costs!BF14/FX_EUR</f>
        <v>33708.3641322142</v>
      </c>
      <c r="BG14" s="37" t="n">
        <f aca="false">Costs!BG14/FX_EUR</f>
        <v>35032.3799763557</v>
      </c>
      <c r="BH14" s="37" t="n">
        <f aca="false">Costs!BH14/FX_EUR</f>
        <v>36351.162351735</v>
      </c>
      <c r="BI14" s="37" t="n">
        <f aca="false">Costs!BI14/FX_EUR</f>
        <v>37701.097493264</v>
      </c>
      <c r="BJ14" s="37" t="n">
        <f aca="false">Costs!BJ14/FX_EUR</f>
        <v>39046.8149047765</v>
      </c>
      <c r="BK14" s="37" t="n">
        <f aca="false">Costs!BK14/FX_EUR</f>
        <v>40450.7561878672</v>
      </c>
      <c r="BL14" s="37" t="n">
        <f aca="false">Costs!BL14/FX_EUR</f>
        <v>41873.7734451982</v>
      </c>
    </row>
    <row r="15" customFormat="false" ht="15" hidden="false" customHeight="false" outlineLevel="0" collapsed="false">
      <c r="A15" s="12" t="s">
        <v>816</v>
      </c>
      <c r="B15" s="14" t="s">
        <v>73</v>
      </c>
      <c r="D15" s="55" t="n">
        <f aca="false">Costs!D15/FX_EUR</f>
        <v>2460805.28843795</v>
      </c>
      <c r="E15" s="37" t="n">
        <f aca="false">Costs!E15/FX_EUR</f>
        <v>0</v>
      </c>
      <c r="F15" s="37" t="n">
        <f aca="false">Costs!F15/FX_EUR</f>
        <v>0</v>
      </c>
      <c r="G15" s="37" t="n">
        <f aca="false">Costs!G15/FX_EUR</f>
        <v>0</v>
      </c>
      <c r="H15" s="37" t="n">
        <f aca="false">Costs!H15/FX_EUR</f>
        <v>0</v>
      </c>
      <c r="I15" s="37" t="n">
        <f aca="false">Costs!I15/FX_EUR</f>
        <v>591.349737863915</v>
      </c>
      <c r="J15" s="37" t="n">
        <f aca="false">Costs!J15/FX_EUR</f>
        <v>1182.46737209909</v>
      </c>
      <c r="K15" s="37" t="n">
        <f aca="false">Costs!K15/FX_EUR</f>
        <v>1773.73654542142</v>
      </c>
      <c r="L15" s="37" t="n">
        <f aca="false">Costs!L15/FX_EUR</f>
        <v>2365.55880166069</v>
      </c>
      <c r="M15" s="37" t="n">
        <f aca="false">Costs!M15/FX_EUR</f>
        <v>2958.35473518765</v>
      </c>
      <c r="N15" s="37" t="n">
        <f aca="false">Costs!N15/FX_EUR</f>
        <v>3552.56520807383</v>
      </c>
      <c r="O15" s="37" t="n">
        <f aca="false">Costs!O15/FX_EUR</f>
        <v>4148.65263906928</v>
      </c>
      <c r="P15" s="37" t="n">
        <f aca="false">Costs!P15/FX_EUR</f>
        <v>4747.10236872912</v>
      </c>
      <c r="Q15" s="37" t="n">
        <f aca="false">Costs!Q15/FX_EUR</f>
        <v>5528.16149660122</v>
      </c>
      <c r="R15" s="37" t="n">
        <f aca="false">Costs!R15/FX_EUR</f>
        <v>6310.68108365296</v>
      </c>
      <c r="S15" s="37" t="n">
        <f aca="false">Costs!S15/FX_EUR</f>
        <v>7095.24859805135</v>
      </c>
      <c r="T15" s="37" t="n">
        <f aca="false">Costs!T15/FX_EUR</f>
        <v>7882.48039860438</v>
      </c>
      <c r="U15" s="37" t="n">
        <f aca="false">Costs!U15/FX_EUR</f>
        <v>8673.02356083191</v>
      </c>
      <c r="V15" s="37" t="n">
        <f aca="false">Costs!V15/FX_EUR</f>
        <v>9467.55781109732</v>
      </c>
      <c r="W15" s="37" t="n">
        <f aca="false">Costs!W15/FX_EUR</f>
        <v>10796.4054611926</v>
      </c>
      <c r="X15" s="37" t="n">
        <f aca="false">Costs!X15/FX_EUR</f>
        <v>12128.6770132186</v>
      </c>
      <c r="Y15" s="37" t="n">
        <f aca="false">Costs!Y15/FX_EUR</f>
        <v>13465.416787678</v>
      </c>
      <c r="Z15" s="37" t="n">
        <f aca="false">Costs!Z15/FX_EUR</f>
        <v>14807.721110331</v>
      </c>
      <c r="AA15" s="37" t="n">
        <f aca="false">Costs!AA15/FX_EUR</f>
        <v>16156.7415875446</v>
      </c>
      <c r="AB15" s="37" t="n">
        <f aca="false">Costs!AB15/FX_EUR</f>
        <v>17616.5916622851</v>
      </c>
      <c r="AC15" s="37" t="n">
        <f aca="false">Costs!AC15/FX_EUR</f>
        <v>19445.3730696227</v>
      </c>
      <c r="AD15" s="37" t="n">
        <f aca="false">Costs!AD15/FX_EUR</f>
        <v>21279.6828461049</v>
      </c>
      <c r="AE15" s="37" t="n">
        <f aca="false">Costs!AE15/FX_EUR</f>
        <v>23120.9931332322</v>
      </c>
      <c r="AF15" s="37" t="n">
        <f aca="false">Costs!AF15/FX_EUR</f>
        <v>25073.7530733249</v>
      </c>
      <c r="AG15" s="37" t="n">
        <f aca="false">Costs!AG15/FX_EUR</f>
        <v>27035.5694098823</v>
      </c>
      <c r="AH15" s="37" t="n">
        <f aca="false">Costs!AH15/FX_EUR</f>
        <v>29008.164168109</v>
      </c>
      <c r="AI15" s="37" t="n">
        <f aca="false">Costs!AI15/FX_EUR</f>
        <v>30993.3478609082</v>
      </c>
      <c r="AJ15" s="37" t="n">
        <f aca="false">Costs!AJ15/FX_EUR</f>
        <v>33095.9280988824</v>
      </c>
      <c r="AK15" s="37" t="n">
        <f aca="false">Costs!AK15/FX_EUR</f>
        <v>35213.8913983058</v>
      </c>
      <c r="AL15" s="37" t="n">
        <f aca="false">Costs!AL15/FX_EUR</f>
        <v>37349.3621417065</v>
      </c>
      <c r="AM15" s="37" t="n">
        <f aca="false">Costs!AM15/FX_EUR</f>
        <v>39607.4802273403</v>
      </c>
      <c r="AN15" s="37" t="n">
        <f aca="false">Costs!AN15/FX_EUR</f>
        <v>41979.196765424</v>
      </c>
      <c r="AO15" s="37" t="n">
        <f aca="false">Costs!AO15/FX_EUR</f>
        <v>44553.1299678633</v>
      </c>
      <c r="AP15" s="37" t="n">
        <f aca="false">Costs!AP15/FX_EUR</f>
        <v>47253.1422014722</v>
      </c>
      <c r="AQ15" s="37" t="n">
        <f aca="false">Costs!AQ15/FX_EUR</f>
        <v>49978.0262476268</v>
      </c>
      <c r="AR15" s="37" t="n">
        <f aca="false">Costs!AR15/FX_EUR</f>
        <v>52833.6606955866</v>
      </c>
      <c r="AS15" s="37" t="n">
        <f aca="false">Costs!AS15/FX_EUR</f>
        <v>55704.0105179063</v>
      </c>
      <c r="AT15" s="37" t="n">
        <f aca="false">Costs!AT15/FX_EUR</f>
        <v>58752.9251304027</v>
      </c>
      <c r="AU15" s="37" t="n">
        <f aca="false">Costs!AU15/FX_EUR</f>
        <v>61783.7948154095</v>
      </c>
      <c r="AV15" s="37" t="n">
        <f aca="false">Costs!AV15/FX_EUR</f>
        <v>64797.7063360148</v>
      </c>
      <c r="AW15" s="37" t="n">
        <f aca="false">Costs!AW15/FX_EUR</f>
        <v>67898.6877396201</v>
      </c>
      <c r="AX15" s="37" t="n">
        <f aca="false">Costs!AX15/FX_EUR</f>
        <v>70983.8869924479</v>
      </c>
      <c r="AY15" s="37" t="n">
        <f aca="false">Costs!AY15/FX_EUR</f>
        <v>74250.0434380752</v>
      </c>
      <c r="AZ15" s="37" t="n">
        <f aca="false">Costs!AZ15/FX_EUR</f>
        <v>77500.793106529</v>
      </c>
      <c r="BA15" s="37" t="n">
        <f aca="false">Costs!BA15/FX_EUR</f>
        <v>81021.4946536396</v>
      </c>
      <c r="BB15" s="37" t="n">
        <f aca="false">Costs!BB15/FX_EUR</f>
        <v>84526.4575498695</v>
      </c>
      <c r="BC15" s="37" t="n">
        <f aca="false">Costs!BC15/FX_EUR</f>
        <v>88120.0783479785</v>
      </c>
      <c r="BD15" s="37" t="n">
        <f aca="false">Costs!BD15/FX_EUR</f>
        <v>91792.5048507233</v>
      </c>
      <c r="BE15" s="37" t="n">
        <f aca="false">Costs!BE15/FX_EUR</f>
        <v>95554.6543148852</v>
      </c>
      <c r="BF15" s="37" t="n">
        <f aca="false">Costs!BF15/FX_EUR</f>
        <v>99304.2191162471</v>
      </c>
      <c r="BG15" s="37" t="n">
        <f aca="false">Costs!BG15/FX_EUR</f>
        <v>103238.51104931</v>
      </c>
      <c r="BH15" s="37" t="n">
        <f aca="false">Costs!BH15/FX_EUR</f>
        <v>107161.768382703</v>
      </c>
      <c r="BI15" s="37" t="n">
        <f aca="false">Costs!BI15/FX_EUR</f>
        <v>111178.874216155</v>
      </c>
      <c r="BJ15" s="37" t="n">
        <f aca="false">Costs!BJ15/FX_EUR</f>
        <v>115187.876945745</v>
      </c>
      <c r="BK15" s="37" t="n">
        <f aca="false">Costs!BK15/FX_EUR</f>
        <v>119368.823771357</v>
      </c>
      <c r="BL15" s="37" t="n">
        <f aca="false">Costs!BL15/FX_EUR</f>
        <v>123608.981878341</v>
      </c>
    </row>
    <row r="16" customFormat="false" ht="15" hidden="false" customHeight="false" outlineLevel="0" collapsed="false">
      <c r="A16" s="12" t="s">
        <v>555</v>
      </c>
      <c r="B16" s="14" t="s">
        <v>73</v>
      </c>
      <c r="D16" s="55" t="n">
        <f aca="false">Costs!D16/FX_EUR</f>
        <v>328107.371791726</v>
      </c>
      <c r="E16" s="37" t="n">
        <f aca="false">Costs!E16/FX_EUR</f>
        <v>0</v>
      </c>
      <c r="F16" s="37" t="n">
        <f aca="false">Costs!F16/FX_EUR</f>
        <v>0</v>
      </c>
      <c r="G16" s="37" t="n">
        <f aca="false">Costs!G16/FX_EUR</f>
        <v>0</v>
      </c>
      <c r="H16" s="37" t="n">
        <f aca="false">Costs!H16/FX_EUR</f>
        <v>0</v>
      </c>
      <c r="I16" s="37" t="n">
        <f aca="false">Costs!I16/FX_EUR</f>
        <v>78.8466317151887</v>
      </c>
      <c r="J16" s="37" t="n">
        <f aca="false">Costs!J16/FX_EUR</f>
        <v>157.662316279878</v>
      </c>
      <c r="K16" s="37" t="n">
        <f aca="false">Costs!K16/FX_EUR</f>
        <v>236.49820605619</v>
      </c>
      <c r="L16" s="37" t="n">
        <f aca="false">Costs!L16/FX_EUR</f>
        <v>315.407840221425</v>
      </c>
      <c r="M16" s="37" t="n">
        <f aca="false">Costs!M16/FX_EUR</f>
        <v>394.447298025021</v>
      </c>
      <c r="N16" s="37" t="n">
        <f aca="false">Costs!N16/FX_EUR</f>
        <v>473.675361076511</v>
      </c>
      <c r="O16" s="37" t="n">
        <f aca="false">Costs!O16/FX_EUR</f>
        <v>553.153685209238</v>
      </c>
      <c r="P16" s="37" t="n">
        <f aca="false">Costs!P16/FX_EUR</f>
        <v>632.946982497216</v>
      </c>
      <c r="Q16" s="37" t="n">
        <f aca="false">Costs!Q16/FX_EUR</f>
        <v>737.088199546829</v>
      </c>
      <c r="R16" s="37" t="n">
        <f aca="false">Costs!R16/FX_EUR</f>
        <v>841.424144487061</v>
      </c>
      <c r="S16" s="37" t="n">
        <f aca="false">Costs!S16/FX_EUR</f>
        <v>946.033146406847</v>
      </c>
      <c r="T16" s="37" t="n">
        <f aca="false">Costs!T16/FX_EUR</f>
        <v>1050.99738648058</v>
      </c>
      <c r="U16" s="37" t="n">
        <f aca="false">Costs!U16/FX_EUR</f>
        <v>1156.40314144426</v>
      </c>
      <c r="V16" s="37" t="n">
        <f aca="false">Costs!V16/FX_EUR</f>
        <v>1262.34104147964</v>
      </c>
      <c r="W16" s="37" t="n">
        <f aca="false">Costs!W16/FX_EUR</f>
        <v>1439.52072815902</v>
      </c>
      <c r="X16" s="37" t="n">
        <f aca="false">Costs!X16/FX_EUR</f>
        <v>1617.15693509581</v>
      </c>
      <c r="Y16" s="37" t="n">
        <f aca="false">Costs!Y16/FX_EUR</f>
        <v>1795.38890502373</v>
      </c>
      <c r="Z16" s="37" t="n">
        <f aca="false">Costs!Z16/FX_EUR</f>
        <v>1974.36281471079</v>
      </c>
      <c r="AA16" s="37" t="n">
        <f aca="false">Costs!AA16/FX_EUR</f>
        <v>2154.23221167261</v>
      </c>
      <c r="AB16" s="37" t="n">
        <f aca="false">Costs!AB16/FX_EUR</f>
        <v>2348.87888830468</v>
      </c>
      <c r="AC16" s="37" t="n">
        <f aca="false">Costs!AC16/FX_EUR</f>
        <v>2592.71640928303</v>
      </c>
      <c r="AD16" s="37" t="n">
        <f aca="false">Costs!AD16/FX_EUR</f>
        <v>2837.29104614732</v>
      </c>
      <c r="AE16" s="37" t="n">
        <f aca="false">Costs!AE16/FX_EUR</f>
        <v>3082.79908443096</v>
      </c>
      <c r="AF16" s="37" t="n">
        <f aca="false">Costs!AF16/FX_EUR</f>
        <v>3343.16707644332</v>
      </c>
      <c r="AG16" s="37" t="n">
        <f aca="false">Costs!AG16/FX_EUR</f>
        <v>3604.74258798431</v>
      </c>
      <c r="AH16" s="37" t="n">
        <f aca="false">Costs!AH16/FX_EUR</f>
        <v>3867.75522241453</v>
      </c>
      <c r="AI16" s="37" t="n">
        <f aca="false">Costs!AI16/FX_EUR</f>
        <v>4132.44638145442</v>
      </c>
      <c r="AJ16" s="37" t="n">
        <f aca="false">Costs!AJ16/FX_EUR</f>
        <v>4412.79041318432</v>
      </c>
      <c r="AK16" s="37" t="n">
        <f aca="false">Costs!AK16/FX_EUR</f>
        <v>4695.1855197741</v>
      </c>
      <c r="AL16" s="37" t="n">
        <f aca="false">Costs!AL16/FX_EUR</f>
        <v>4979.91495222754</v>
      </c>
      <c r="AM16" s="37" t="n">
        <f aca="false">Costs!AM16/FX_EUR</f>
        <v>5280.99736364537</v>
      </c>
      <c r="AN16" s="37" t="n">
        <f aca="false">Costs!AN16/FX_EUR</f>
        <v>5597.22623538987</v>
      </c>
      <c r="AO16" s="37" t="n">
        <f aca="false">Costs!AO16/FX_EUR</f>
        <v>5940.41732904845</v>
      </c>
      <c r="AP16" s="37" t="n">
        <f aca="false">Costs!AP16/FX_EUR</f>
        <v>6300.41896019629</v>
      </c>
      <c r="AQ16" s="37" t="n">
        <f aca="false">Costs!AQ16/FX_EUR</f>
        <v>6663.73683301691</v>
      </c>
      <c r="AR16" s="37" t="n">
        <f aca="false">Costs!AR16/FX_EUR</f>
        <v>7044.48809274488</v>
      </c>
      <c r="AS16" s="37" t="n">
        <f aca="false">Costs!AS16/FX_EUR</f>
        <v>7427.20140238751</v>
      </c>
      <c r="AT16" s="37" t="n">
        <f aca="false">Costs!AT16/FX_EUR</f>
        <v>7833.72335072036</v>
      </c>
      <c r="AU16" s="37" t="n">
        <f aca="false">Costs!AU16/FX_EUR</f>
        <v>8237.83930872127</v>
      </c>
      <c r="AV16" s="37" t="n">
        <f aca="false">Costs!AV16/FX_EUR</f>
        <v>8639.69417813531</v>
      </c>
      <c r="AW16" s="37" t="n">
        <f aca="false">Costs!AW16/FX_EUR</f>
        <v>9053.15836528268</v>
      </c>
      <c r="AX16" s="37" t="n">
        <f aca="false">Costs!AX16/FX_EUR</f>
        <v>9464.51826565972</v>
      </c>
      <c r="AY16" s="37" t="n">
        <f aca="false">Costs!AY16/FX_EUR</f>
        <v>9900.00579174336</v>
      </c>
      <c r="AZ16" s="37" t="n">
        <f aca="false">Costs!AZ16/FX_EUR</f>
        <v>10333.4390808705</v>
      </c>
      <c r="BA16" s="37" t="n">
        <f aca="false">Costs!BA16/FX_EUR</f>
        <v>10802.8659538186</v>
      </c>
      <c r="BB16" s="37" t="n">
        <f aca="false">Costs!BB16/FX_EUR</f>
        <v>11270.1943399826</v>
      </c>
      <c r="BC16" s="37" t="n">
        <f aca="false">Costs!BC16/FX_EUR</f>
        <v>11749.3437797305</v>
      </c>
      <c r="BD16" s="37" t="n">
        <f aca="false">Costs!BD16/FX_EUR</f>
        <v>12239.0006467631</v>
      </c>
      <c r="BE16" s="37" t="n">
        <f aca="false">Costs!BE16/FX_EUR</f>
        <v>12740.620575318</v>
      </c>
      <c r="BF16" s="37" t="n">
        <f aca="false">Costs!BF16/FX_EUR</f>
        <v>13240.562548833</v>
      </c>
      <c r="BG16" s="37" t="n">
        <f aca="false">Costs!BG16/FX_EUR</f>
        <v>13765.1348065747</v>
      </c>
      <c r="BH16" s="37" t="n">
        <f aca="false">Costs!BH16/FX_EUR</f>
        <v>14288.2357843603</v>
      </c>
      <c r="BI16" s="37" t="n">
        <f aca="false">Costs!BI16/FX_EUR</f>
        <v>14823.8498954873</v>
      </c>
      <c r="BJ16" s="37" t="n">
        <f aca="false">Costs!BJ16/FX_EUR</f>
        <v>15358.383592766</v>
      </c>
      <c r="BK16" s="37" t="n">
        <f aca="false">Costs!BK16/FX_EUR</f>
        <v>15915.8431695142</v>
      </c>
      <c r="BL16" s="37" t="n">
        <f aca="false">Costs!BL16/FX_EUR</f>
        <v>16481.1975837788</v>
      </c>
    </row>
    <row r="17" customFormat="false" ht="15" hidden="false" customHeight="false" outlineLevel="0" collapsed="false">
      <c r="A17" s="12" t="s">
        <v>557</v>
      </c>
      <c r="B17" s="14" t="s">
        <v>73</v>
      </c>
      <c r="D17" s="55" t="n">
        <f aca="false">Costs!D17/FX_EUR</f>
        <v>1191972.81750377</v>
      </c>
      <c r="E17" s="37" t="n">
        <f aca="false">Costs!E17/FX_EUR</f>
        <v>0</v>
      </c>
      <c r="F17" s="37" t="n">
        <f aca="false">Costs!F17/FX_EUR</f>
        <v>0</v>
      </c>
      <c r="G17" s="37" t="n">
        <f aca="false">Costs!G17/FX_EUR</f>
        <v>0</v>
      </c>
      <c r="H17" s="37" t="n">
        <f aca="false">Costs!H17/FX_EUR</f>
        <v>0</v>
      </c>
      <c r="I17" s="37" t="n">
        <f aca="false">Costs!I17/FX_EUR</f>
        <v>289.104316289025</v>
      </c>
      <c r="J17" s="37" t="n">
        <f aca="false">Costs!J17/FX_EUR</f>
        <v>577.876141271455</v>
      </c>
      <c r="K17" s="37" t="n">
        <f aca="false">Costs!K17/FX_EUR</f>
        <v>866.506441352101</v>
      </c>
      <c r="L17" s="37" t="n">
        <f aca="false">Costs!L17/FX_EUR</f>
        <v>1155.19473720362</v>
      </c>
      <c r="M17" s="37" t="n">
        <f aca="false">Costs!M17/FX_EUR</f>
        <v>1444.14966217919</v>
      </c>
      <c r="N17" s="37" t="n">
        <f aca="false">Costs!N17/FX_EUR</f>
        <v>1733.5895534619</v>
      </c>
      <c r="O17" s="37" t="n">
        <f aca="false">Costs!O17/FX_EUR</f>
        <v>2023.743077929</v>
      </c>
      <c r="P17" s="37" t="n">
        <f aca="false">Costs!P17/FX_EUR</f>
        <v>2314.8498948274</v>
      </c>
      <c r="Q17" s="37" t="n">
        <f aca="false">Costs!Q17/FX_EUR</f>
        <v>2695.0329710182</v>
      </c>
      <c r="R17" s="37" t="n">
        <f aca="false">Costs!R17/FX_EUR</f>
        <v>3075.66597158292</v>
      </c>
      <c r="S17" s="37" t="n">
        <f aca="false">Costs!S17/FX_EUR</f>
        <v>3457.03954126617</v>
      </c>
      <c r="T17" s="37" t="n">
        <f aca="false">Costs!T17/FX_EUR</f>
        <v>3839.45817541015</v>
      </c>
      <c r="U17" s="37" t="n">
        <f aca="false">Costs!U17/FX_EUR</f>
        <v>4223.24110626414</v>
      </c>
      <c r="V17" s="37" t="n">
        <f aca="false">Costs!V17/FX_EUR</f>
        <v>4608.72324153887</v>
      </c>
      <c r="W17" s="37" t="n">
        <f aca="false">Costs!W17/FX_EUR</f>
        <v>5255.17556923331</v>
      </c>
      <c r="X17" s="37" t="n">
        <f aca="false">Costs!X17/FX_EUR</f>
        <v>5902.8579606655</v>
      </c>
      <c r="Y17" s="37" t="n">
        <f aca="false">Costs!Y17/FX_EUR</f>
        <v>6552.28638748321</v>
      </c>
      <c r="Z17" s="37" t="n">
        <f aca="false">Costs!Z17/FX_EUR</f>
        <v>7204.00177057086</v>
      </c>
      <c r="AA17" s="37" t="n">
        <f aca="false">Costs!AA17/FX_EUR</f>
        <v>7858.57156946541</v>
      </c>
      <c r="AB17" s="37" t="n">
        <f aca="false">Costs!AB17/FX_EUR</f>
        <v>8566.89964126489</v>
      </c>
      <c r="AC17" s="37" t="n">
        <f aca="false">Costs!AC17/FX_EUR</f>
        <v>9455.13438150052</v>
      </c>
      <c r="AD17" s="37" t="n">
        <f aca="false">Costs!AD17/FX_EUR</f>
        <v>10345.4823708949</v>
      </c>
      <c r="AE17" s="37" t="n">
        <f aca="false">Costs!AE17/FX_EUR</f>
        <v>11238.6701298878</v>
      </c>
      <c r="AF17" s="37" t="n">
        <f aca="false">Costs!AF17/FX_EUR</f>
        <v>12185.7678334411</v>
      </c>
      <c r="AG17" s="37" t="n">
        <f aca="false">Costs!AG17/FX_EUR</f>
        <v>13136.6839195581</v>
      </c>
      <c r="AH17" s="37" t="n">
        <f aca="false">Costs!AH17/FX_EUR</f>
        <v>14092.2660409815</v>
      </c>
      <c r="AI17" s="37" t="n">
        <f aca="false">Costs!AI17/FX_EUR</f>
        <v>15053.4043772587</v>
      </c>
      <c r="AJ17" s="37" t="n">
        <f aca="false">Costs!AJ17/FX_EUR</f>
        <v>16071.3424893133</v>
      </c>
      <c r="AK17" s="37" t="n">
        <f aca="false">Costs!AK17/FX_EUR</f>
        <v>17096.1725123681</v>
      </c>
      <c r="AL17" s="37" t="n">
        <f aca="false">Costs!AL17/FX_EUR</f>
        <v>18128.9367271049</v>
      </c>
      <c r="AM17" s="37" t="n">
        <f aca="false">Costs!AM17/FX_EUR</f>
        <v>19221.0397040439</v>
      </c>
      <c r="AN17" s="37" t="n">
        <f aca="false">Costs!AN17/FX_EUR</f>
        <v>20368.0213920052</v>
      </c>
      <c r="AO17" s="37" t="n">
        <f aca="false">Costs!AO17/FX_EUR</f>
        <v>21613.1739923268</v>
      </c>
      <c r="AP17" s="37" t="n">
        <f aca="false">Costs!AP17/FX_EUR</f>
        <v>22919.2100634847</v>
      </c>
      <c r="AQ17" s="37" t="n">
        <f aca="false">Costs!AQ17/FX_EUR</f>
        <v>24236.615092141</v>
      </c>
      <c r="AR17" s="37" t="n">
        <f aca="false">Costs!AR17/FX_EUR</f>
        <v>25617.1545271137</v>
      </c>
      <c r="AS17" s="37" t="n">
        <f aca="false">Costs!AS17/FX_EUR</f>
        <v>27004.063451952</v>
      </c>
      <c r="AT17" s="37" t="n">
        <f aca="false">Costs!AT17/FX_EUR</f>
        <v>28477.4528668358</v>
      </c>
      <c r="AU17" s="37" t="n">
        <f aca="false">Costs!AU17/FX_EUR</f>
        <v>29941.1485073795</v>
      </c>
      <c r="AV17" s="37" t="n">
        <f aca="false">Costs!AV17/FX_EUR</f>
        <v>31395.7013484699</v>
      </c>
      <c r="AW17" s="37" t="n">
        <f aca="false">Costs!AW17/FX_EUR</f>
        <v>32891.9885032291</v>
      </c>
      <c r="AX17" s="37" t="n">
        <f aca="false">Costs!AX17/FX_EUR</f>
        <v>34379.7068847597</v>
      </c>
      <c r="AY17" s="37" t="n">
        <f aca="false">Costs!AY17/FX_EUR</f>
        <v>35955.0586863504</v>
      </c>
      <c r="AZ17" s="37" t="n">
        <f aca="false">Costs!AZ17/FX_EUR</f>
        <v>37521.9891015785</v>
      </c>
      <c r="BA17" s="37" t="n">
        <f aca="false">Costs!BA17/FX_EUR</f>
        <v>39220.0257095973</v>
      </c>
      <c r="BB17" s="37" t="n">
        <f aca="false">Costs!BB17/FX_EUR</f>
        <v>40909.410502116</v>
      </c>
      <c r="BC17" s="37" t="n">
        <f aca="false">Costs!BC17/FX_EUR</f>
        <v>42641.2018329781</v>
      </c>
      <c r="BD17" s="37" t="n">
        <f aca="false">Costs!BD17/FX_EUR</f>
        <v>44410.5641308072</v>
      </c>
      <c r="BE17" s="37" t="n">
        <f aca="false">Costs!BE17/FX_EUR</f>
        <v>46222.8197048053</v>
      </c>
      <c r="BF17" s="37" t="n">
        <f aca="false">Costs!BF17/FX_EUR</f>
        <v>48027.9326511032</v>
      </c>
      <c r="BG17" s="37" t="n">
        <f aca="false">Costs!BG17/FX_EUR</f>
        <v>49922.3858368222</v>
      </c>
      <c r="BH17" s="37" t="n">
        <f aca="false">Costs!BH17/FX_EUR</f>
        <v>51810.419466887</v>
      </c>
      <c r="BI17" s="37" t="n">
        <f aca="false">Costs!BI17/FX_EUR</f>
        <v>53743.3289770089</v>
      </c>
      <c r="BJ17" s="37" t="n">
        <f aca="false">Costs!BJ17/FX_EUR</f>
        <v>55671.2514652088</v>
      </c>
      <c r="BK17" s="37" t="n">
        <f aca="false">Costs!BK17/FX_EUR</f>
        <v>57682.2281618203</v>
      </c>
      <c r="BL17" s="37" t="n">
        <f aca="false">Costs!BL17/FX_EUR</f>
        <v>59721.0964303635</v>
      </c>
    </row>
    <row r="18" customFormat="false" ht="15" hidden="false" customHeight="false" outlineLevel="0" collapsed="false">
      <c r="A18" s="12" t="s">
        <v>559</v>
      </c>
      <c r="B18" s="14" t="s">
        <v>73</v>
      </c>
      <c r="D18" s="55" t="n">
        <f aca="false">Costs!D18/FX_EUR</f>
        <v>991231.926975827</v>
      </c>
      <c r="E18" s="37" t="n">
        <f aca="false">Costs!E18/FX_EUR</f>
        <v>0</v>
      </c>
      <c r="F18" s="37" t="n">
        <f aca="false">Costs!F18/FX_EUR</f>
        <v>0</v>
      </c>
      <c r="G18" s="37" t="n">
        <f aca="false">Costs!G18/FX_EUR</f>
        <v>0</v>
      </c>
      <c r="H18" s="37" t="n">
        <f aca="false">Costs!H18/FX_EUR</f>
        <v>0</v>
      </c>
      <c r="I18" s="37" t="n">
        <f aca="false">Costs!I18/FX_EUR</f>
        <v>0</v>
      </c>
      <c r="J18" s="37" t="n">
        <f aca="false">Costs!J18/FX_EUR</f>
        <v>0</v>
      </c>
      <c r="K18" s="37" t="n">
        <f aca="false">Costs!K18/FX_EUR</f>
        <v>0</v>
      </c>
      <c r="L18" s="37" t="n">
        <f aca="false">Costs!L18/FX_EUR</f>
        <v>0</v>
      </c>
      <c r="M18" s="37" t="n">
        <f aca="false">Costs!M18/FX_EUR</f>
        <v>0</v>
      </c>
      <c r="N18" s="37" t="n">
        <f aca="false">Costs!N18/FX_EUR</f>
        <v>0</v>
      </c>
      <c r="O18" s="37" t="n">
        <f aca="false">Costs!O18/FX_EUR</f>
        <v>0</v>
      </c>
      <c r="P18" s="37" t="n">
        <f aca="false">Costs!P18/FX_EUR</f>
        <v>0</v>
      </c>
      <c r="Q18" s="37" t="n">
        <f aca="false">Costs!Q18/FX_EUR</f>
        <v>0</v>
      </c>
      <c r="R18" s="37" t="n">
        <f aca="false">Costs!R18/FX_EUR</f>
        <v>0</v>
      </c>
      <c r="S18" s="37" t="n">
        <f aca="false">Costs!S18/FX_EUR</f>
        <v>0</v>
      </c>
      <c r="T18" s="37" t="n">
        <f aca="false">Costs!T18/FX_EUR</f>
        <v>0</v>
      </c>
      <c r="U18" s="37" t="n">
        <f aca="false">Costs!U18/FX_EUR</f>
        <v>0</v>
      </c>
      <c r="V18" s="37" t="n">
        <f aca="false">Costs!V18/FX_EUR</f>
        <v>338.691680603067</v>
      </c>
      <c r="W18" s="37" t="n">
        <f aca="false">Costs!W18/FX_EUR</f>
        <v>772.371633129909</v>
      </c>
      <c r="X18" s="37" t="n">
        <f aca="false">Costs!X18/FX_EUR</f>
        <v>1301.2699695912</v>
      </c>
      <c r="Y18" s="37" t="n">
        <f aca="false">Costs!Y18/FX_EUR</f>
        <v>1925.76941857017</v>
      </c>
      <c r="Z18" s="37" t="n">
        <f aca="false">Costs!Z18/FX_EUR</f>
        <v>2646.41443569788</v>
      </c>
      <c r="AA18" s="37" t="n">
        <f aca="false">Costs!AA18/FX_EUR</f>
        <v>3463.9210139976</v>
      </c>
      <c r="AB18" s="37" t="n">
        <f aca="false">Costs!AB18/FX_EUR</f>
        <v>4405.11437361653</v>
      </c>
      <c r="AC18" s="37" t="n">
        <f aca="false">Costs!AC18/FX_EUR</f>
        <v>5556.11978526647</v>
      </c>
      <c r="AD18" s="37" t="n">
        <f aca="false">Costs!AD18/FX_EUR</f>
        <v>6838.78557743101</v>
      </c>
      <c r="AE18" s="37" t="n">
        <f aca="false">Costs!AE18/FX_EUR</f>
        <v>8254.06024613801</v>
      </c>
      <c r="AF18" s="37" t="n">
        <f aca="false">Costs!AF18/FX_EUR</f>
        <v>9843.87822395356</v>
      </c>
      <c r="AG18" s="37" t="n">
        <f aca="false">Costs!AG18/FX_EUR</f>
        <v>11575.8252327352</v>
      </c>
      <c r="AH18" s="37" t="n">
        <f aca="false">Costs!AH18/FX_EUR</f>
        <v>12416.7702715923</v>
      </c>
      <c r="AI18" s="37" t="n">
        <f aca="false">Costs!AI18/FX_EUR</f>
        <v>13262.3996699936</v>
      </c>
      <c r="AJ18" s="37" t="n">
        <f aca="false">Costs!AJ18/FX_EUR</f>
        <v>14157.9879048398</v>
      </c>
      <c r="AK18" s="37" t="n">
        <f aca="false">Costs!AK18/FX_EUR</f>
        <v>15059.4291496497</v>
      </c>
      <c r="AL18" s="37" t="n">
        <f aca="false">Costs!AL18/FX_EUR</f>
        <v>15967.645588497</v>
      </c>
      <c r="AM18" s="37" t="n">
        <f aca="false">Costs!AM18/FX_EUR</f>
        <v>16928.0534077568</v>
      </c>
      <c r="AN18" s="37" t="n">
        <f aca="false">Costs!AN18/FX_EUR</f>
        <v>17936.6986575909</v>
      </c>
      <c r="AO18" s="37" t="n">
        <f aca="false">Costs!AO18/FX_EUR</f>
        <v>19031.8172337849</v>
      </c>
      <c r="AP18" s="37" t="n">
        <f aca="false">Costs!AP18/FX_EUR</f>
        <v>20180.4420353728</v>
      </c>
      <c r="AQ18" s="37" t="n">
        <f aca="false">Costs!AQ18/FX_EUR</f>
        <v>21338.8144393747</v>
      </c>
      <c r="AR18" s="37" t="n">
        <f aca="false">Costs!AR18/FX_EUR</f>
        <v>22552.6693561038</v>
      </c>
      <c r="AS18" s="37" t="n">
        <f aca="false">Costs!AS18/FX_EUR</f>
        <v>23771.842071602</v>
      </c>
      <c r="AT18" s="37" t="n">
        <f aca="false">Costs!AT18/FX_EUR</f>
        <v>25067.1119535075</v>
      </c>
      <c r="AU18" s="37" t="n">
        <f aca="false">Costs!AU18/FX_EUR</f>
        <v>26353.490260371</v>
      </c>
      <c r="AV18" s="37" t="n">
        <f aca="false">Costs!AV18/FX_EUR</f>
        <v>27631.4710804663</v>
      </c>
      <c r="AW18" s="37" t="n">
        <f aca="false">Costs!AW18/FX_EUR</f>
        <v>28946.0106184465</v>
      </c>
      <c r="AX18" s="37" t="n">
        <f aca="false">Costs!AX18/FX_EUR</f>
        <v>30252.659378977</v>
      </c>
      <c r="AY18" s="37" t="n">
        <f aca="false">Costs!AY18/FX_EUR</f>
        <v>31636.4174239774</v>
      </c>
      <c r="AZ18" s="37" t="n">
        <f aca="false">Costs!AZ18/FX_EUR</f>
        <v>33012.4012968927</v>
      </c>
      <c r="BA18" s="37" t="n">
        <f aca="false">Costs!BA18/FX_EUR</f>
        <v>34503.8885256789</v>
      </c>
      <c r="BB18" s="37" t="n">
        <f aca="false">Costs!BB18/FX_EUR</f>
        <v>35987.3723975117</v>
      </c>
      <c r="BC18" s="37" t="n">
        <f aca="false">Costs!BC18/FX_EUR</f>
        <v>37507.9696416558</v>
      </c>
      <c r="BD18" s="37" t="n">
        <f aca="false">Costs!BD18/FX_EUR</f>
        <v>39061.4009676125</v>
      </c>
      <c r="BE18" s="37" t="n">
        <f aca="false">Costs!BE18/FX_EUR</f>
        <v>40652.3628865256</v>
      </c>
      <c r="BF18" s="37" t="n">
        <f aca="false">Costs!BF18/FX_EUR</f>
        <v>42236.6423347208</v>
      </c>
      <c r="BG18" s="37" t="n">
        <f aca="false">Costs!BG18/FX_EUR</f>
        <v>43899.487643156</v>
      </c>
      <c r="BH18" s="37" t="n">
        <f aca="false">Costs!BH18/FX_EUR</f>
        <v>45556.2762070963</v>
      </c>
      <c r="BI18" s="37" t="n">
        <f aca="false">Costs!BI18/FX_EUR</f>
        <v>47252.3339193283</v>
      </c>
      <c r="BJ18" s="37" t="n">
        <f aca="false">Costs!BJ18/FX_EUR</f>
        <v>48943.6001671991</v>
      </c>
      <c r="BK18" s="37" t="n">
        <f aca="false">Costs!BK18/FX_EUR</f>
        <v>50707.8647865178</v>
      </c>
      <c r="BL18" s="37" t="n">
        <f aca="false">Costs!BL18/FX_EUR</f>
        <v>52496.374109297</v>
      </c>
    </row>
    <row r="19" customFormat="false" ht="15" hidden="false" customHeight="false" outlineLevel="0" collapsed="false">
      <c r="A19" s="12" t="s">
        <v>561</v>
      </c>
      <c r="B19" s="14" t="s">
        <v>73</v>
      </c>
      <c r="D19" s="55" t="n">
        <f aca="false">Costs!D19/FX_EUR</f>
        <v>209971.157958371</v>
      </c>
      <c r="E19" s="37" t="n">
        <f aca="false">Costs!E19/FX_EUR</f>
        <v>0</v>
      </c>
      <c r="F19" s="37" t="n">
        <f aca="false">Costs!F19/FX_EUR</f>
        <v>0</v>
      </c>
      <c r="G19" s="37" t="n">
        <f aca="false">Costs!G19/FX_EUR</f>
        <v>0</v>
      </c>
      <c r="H19" s="37" t="n">
        <f aca="false">Costs!H19/FX_EUR</f>
        <v>0</v>
      </c>
      <c r="I19" s="37" t="n">
        <f aca="false">Costs!I19/FX_EUR</f>
        <v>35.0429474289727</v>
      </c>
      <c r="J19" s="37" t="n">
        <f aca="false">Costs!J19/FX_EUR</f>
        <v>69.8735638667372</v>
      </c>
      <c r="K19" s="37" t="n">
        <f aca="false">Costs!K19/FX_EUR</f>
        <v>104.518015052816</v>
      </c>
      <c r="L19" s="37" t="n">
        <f aca="false">Costs!L19/FX_EUR</f>
        <v>139.003338469087</v>
      </c>
      <c r="M19" s="37" t="n">
        <f aca="false">Costs!M19/FX_EUR</f>
        <v>173.357508703217</v>
      </c>
      <c r="N19" s="37" t="n">
        <f aca="false">Costs!N19/FX_EUR</f>
        <v>207.609506483337</v>
      </c>
      <c r="O19" s="37" t="n">
        <f aca="false">Costs!O19/FX_EUR</f>
        <v>241.789391609115</v>
      </c>
      <c r="P19" s="37" t="n">
        <f aca="false">Costs!P19/FX_EUR</f>
        <v>275.928380017797</v>
      </c>
      <c r="Q19" s="37" t="n">
        <f aca="false">Costs!Q19/FX_EUR</f>
        <v>320.710029908995</v>
      </c>
      <c r="R19" s="37" t="n">
        <f aca="false">Costs!R19/FX_EUR</f>
        <v>365.341270614091</v>
      </c>
      <c r="S19" s="37" t="n">
        <f aca="false">Costs!S19/FX_EUR</f>
        <v>409.860409560361</v>
      </c>
      <c r="T19" s="37" t="n">
        <f aca="false">Costs!T19/FX_EUR</f>
        <v>454.307207398452</v>
      </c>
      <c r="U19" s="37" t="n">
        <f aca="false">Costs!U19/FX_EUR</f>
        <v>498.722980954458</v>
      </c>
      <c r="V19" s="37" t="n">
        <f aca="false">Costs!V19/FX_EUR</f>
        <v>543.150712057368</v>
      </c>
      <c r="W19" s="37" t="n">
        <f aca="false">Costs!W19/FX_EUR</f>
        <v>619.019333615531</v>
      </c>
      <c r="X19" s="37" t="n">
        <f aca="false">Costs!X19/FX_EUR</f>
        <v>694.693026008632</v>
      </c>
      <c r="Y19" s="37" t="n">
        <f aca="false">Costs!Y19/FX_EUR</f>
        <v>770.239212574578</v>
      </c>
      <c r="Z19" s="37" t="n">
        <f aca="false">Costs!Z19/FX_EUR</f>
        <v>845.72795003276</v>
      </c>
      <c r="AA19" s="37" t="n">
        <f aca="false">Costs!AA19/FX_EUR</f>
        <v>921.232112803353</v>
      </c>
      <c r="AB19" s="37" t="n">
        <f aca="false">Costs!AB19/FX_EUR</f>
        <v>1002.92554857146</v>
      </c>
      <c r="AC19" s="37" t="n">
        <f aca="false">Costs!AC19/FX_EUR</f>
        <v>1106.07230142485</v>
      </c>
      <c r="AD19" s="37" t="n">
        <f aca="false">Costs!AD19/FX_EUR</f>
        <v>1209.02035377278</v>
      </c>
      <c r="AE19" s="37" t="n">
        <f aca="false">Costs!AE19/FX_EUR</f>
        <v>1311.86392024924</v>
      </c>
      <c r="AF19" s="37" t="n">
        <f aca="false">Costs!AF19/FX_EUR</f>
        <v>1420.79893871662</v>
      </c>
      <c r="AG19" s="37" t="n">
        <f aca="false">Costs!AG19/FX_EUR</f>
        <v>2430.91447977943</v>
      </c>
      <c r="AH19" s="37" t="n">
        <f aca="false">Costs!AH19/FX_EUR</f>
        <v>2605.70049175298</v>
      </c>
      <c r="AI19" s="37" t="n">
        <f aca="false">Costs!AI19/FX_EUR</f>
        <v>2781.12173599069</v>
      </c>
      <c r="AJ19" s="37" t="n">
        <f aca="false">Costs!AJ19/FX_EUR</f>
        <v>2966.887269437</v>
      </c>
      <c r="AK19" s="37" t="n">
        <f aca="false">Costs!AK19/FX_EUR</f>
        <v>3153.52076943434</v>
      </c>
      <c r="AL19" s="37" t="n">
        <f aca="false">Costs!AL19/FX_EUR</f>
        <v>3341.22307697724</v>
      </c>
      <c r="AM19" s="37" t="n">
        <f aca="false">Costs!AM19/FX_EUR</f>
        <v>3539.73271817612</v>
      </c>
      <c r="AN19" s="37" t="n">
        <f aca="false">Costs!AN19/FX_EUR</f>
        <v>3748.17981521423</v>
      </c>
      <c r="AO19" s="37" t="n">
        <f aca="false">Costs!AO19/FX_EUR</f>
        <v>3974.74131468111</v>
      </c>
      <c r="AP19" s="37" t="n">
        <f aca="false">Costs!AP19/FX_EUR</f>
        <v>4212.3097090544</v>
      </c>
      <c r="AQ19" s="37" t="n">
        <f aca="false">Costs!AQ19/FX_EUR</f>
        <v>4451.48276930251</v>
      </c>
      <c r="AR19" s="37" t="n">
        <f aca="false">Costs!AR19/FX_EUR</f>
        <v>4702.06738434194</v>
      </c>
      <c r="AS19" s="37" t="n">
        <f aca="false">Costs!AS19/FX_EUR</f>
        <v>4953.28726917189</v>
      </c>
      <c r="AT19" s="37" t="n">
        <f aca="false">Costs!AT19/FX_EUR</f>
        <v>5220.32086893356</v>
      </c>
      <c r="AU19" s="37" t="n">
        <f aca="false">Costs!AU19/FX_EUR</f>
        <v>5484.91563369577</v>
      </c>
      <c r="AV19" s="37" t="n">
        <f aca="false">Costs!AV19/FX_EUR</f>
        <v>5747.19106840129</v>
      </c>
      <c r="AW19" s="37" t="n">
        <f aca="false">Costs!AW19/FX_EUR</f>
        <v>6016.79758763407</v>
      </c>
      <c r="AX19" s="37" t="n">
        <f aca="false">Costs!AX19/FX_EUR</f>
        <v>6284.194796179</v>
      </c>
      <c r="AY19" s="37" t="n">
        <f aca="false">Costs!AY19/FX_EUR</f>
        <v>6567.61706079636</v>
      </c>
      <c r="AZ19" s="37" t="n">
        <f aca="false">Costs!AZ19/FX_EUR</f>
        <v>6848.8339212657</v>
      </c>
      <c r="BA19" s="37" t="n">
        <f aca="false">Costs!BA19/FX_EUR</f>
        <v>7154.28561836744</v>
      </c>
      <c r="BB19" s="37" t="n">
        <f aca="false">Costs!BB19/FX_EUR</f>
        <v>7457.44133105241</v>
      </c>
      <c r="BC19" s="37" t="n">
        <f aca="false">Costs!BC19/FX_EUR</f>
        <v>7767.9866588125</v>
      </c>
      <c r="BD19" s="37" t="n">
        <f aca="false">Costs!BD19/FX_EUR</f>
        <v>8084.99322418253</v>
      </c>
      <c r="BE19" s="37" t="n">
        <f aca="false">Costs!BE19/FX_EUR</f>
        <v>8409.4593212448</v>
      </c>
      <c r="BF19" s="37" t="n">
        <f aca="false">Costs!BF19/FX_EUR</f>
        <v>8731.8959978677</v>
      </c>
      <c r="BG19" s="37" t="n">
        <f aca="false">Costs!BG19/FX_EUR</f>
        <v>9070.59145933553</v>
      </c>
      <c r="BH19" s="37" t="n">
        <f aca="false">Costs!BH19/FX_EUR</f>
        <v>9407.37163508615</v>
      </c>
      <c r="BI19" s="37" t="n">
        <f aca="false">Costs!BI19/FX_EUR</f>
        <v>9751.96647961258</v>
      </c>
      <c r="BJ19" s="37" t="n">
        <f aca="false">Costs!BJ19/FX_EUR</f>
        <v>10094.9190452174</v>
      </c>
      <c r="BK19" s="37" t="n">
        <f aca="false">Costs!BK19/FX_EUR</f>
        <v>10452.9178999086</v>
      </c>
      <c r="BL19" s="37" t="n">
        <f aca="false">Costs!BL19/FX_EUR</f>
        <v>10815.4815875696</v>
      </c>
    </row>
    <row r="20" customFormat="false" ht="15" hidden="false" customHeight="false" outlineLevel="0" collapsed="false">
      <c r="A20" s="12" t="s">
        <v>817</v>
      </c>
      <c r="B20" s="14" t="s">
        <v>73</v>
      </c>
      <c r="D20" s="55" t="n">
        <f aca="false">Costs!D20/FX_EUR</f>
        <v>222063.699233647</v>
      </c>
      <c r="E20" s="37" t="n">
        <f aca="false">Costs!E20/FX_EUR</f>
        <v>0</v>
      </c>
      <c r="F20" s="37" t="n">
        <f aca="false">Costs!F20/FX_EUR</f>
        <v>0</v>
      </c>
      <c r="G20" s="37" t="n">
        <f aca="false">Costs!G20/FX_EUR</f>
        <v>0</v>
      </c>
      <c r="H20" s="37" t="n">
        <f aca="false">Costs!H20/FX_EUR</f>
        <v>0</v>
      </c>
      <c r="I20" s="37" t="n">
        <f aca="false">Costs!I20/FX_EUR</f>
        <v>0</v>
      </c>
      <c r="J20" s="37" t="n">
        <f aca="false">Costs!J20/FX_EUR</f>
        <v>0</v>
      </c>
      <c r="K20" s="37" t="n">
        <f aca="false">Costs!K20/FX_EUR</f>
        <v>0</v>
      </c>
      <c r="L20" s="37" t="n">
        <f aca="false">Costs!L20/FX_EUR</f>
        <v>0</v>
      </c>
      <c r="M20" s="37" t="n">
        <f aca="false">Costs!M20/FX_EUR</f>
        <v>0</v>
      </c>
      <c r="N20" s="37" t="n">
        <f aca="false">Costs!N20/FX_EUR</f>
        <v>0</v>
      </c>
      <c r="O20" s="37" t="n">
        <f aca="false">Costs!O20/FX_EUR</f>
        <v>0</v>
      </c>
      <c r="P20" s="37" t="n">
        <f aca="false">Costs!P20/FX_EUR</f>
        <v>0</v>
      </c>
      <c r="Q20" s="37" t="n">
        <f aca="false">Costs!Q20/FX_EUR</f>
        <v>0</v>
      </c>
      <c r="R20" s="37" t="n">
        <f aca="false">Costs!R20/FX_EUR</f>
        <v>0</v>
      </c>
      <c r="S20" s="37" t="n">
        <f aca="false">Costs!S20/FX_EUR</f>
        <v>0</v>
      </c>
      <c r="T20" s="37" t="n">
        <f aca="false">Costs!T20/FX_EUR</f>
        <v>0</v>
      </c>
      <c r="U20" s="37" t="n">
        <f aca="false">Costs!U20/FX_EUR</f>
        <v>0</v>
      </c>
      <c r="V20" s="37" t="n">
        <f aca="false">Costs!V20/FX_EUR</f>
        <v>0</v>
      </c>
      <c r="W20" s="37" t="n">
        <f aca="false">Costs!W20/FX_EUR</f>
        <v>0</v>
      </c>
      <c r="X20" s="37" t="n">
        <f aca="false">Costs!X20/FX_EUR</f>
        <v>0</v>
      </c>
      <c r="Y20" s="37" t="n">
        <f aca="false">Costs!Y20/FX_EUR</f>
        <v>0</v>
      </c>
      <c r="Z20" s="37" t="n">
        <f aca="false">Costs!Z20/FX_EUR</f>
        <v>0</v>
      </c>
      <c r="AA20" s="37" t="n">
        <f aca="false">Costs!AA20/FX_EUR</f>
        <v>0</v>
      </c>
      <c r="AB20" s="37" t="n">
        <f aca="false">Costs!AB20/FX_EUR</f>
        <v>0</v>
      </c>
      <c r="AC20" s="37" t="n">
        <f aca="false">Costs!AC20/FX_EUR</f>
        <v>0</v>
      </c>
      <c r="AD20" s="37" t="n">
        <f aca="false">Costs!AD20/FX_EUR</f>
        <v>0</v>
      </c>
      <c r="AE20" s="37" t="n">
        <f aca="false">Costs!AE20/FX_EUR</f>
        <v>0</v>
      </c>
      <c r="AF20" s="37" t="n">
        <f aca="false">Costs!AF20/FX_EUR</f>
        <v>0</v>
      </c>
      <c r="AG20" s="37" t="n">
        <f aca="false">Costs!AG20/FX_EUR</f>
        <v>2703.55694098823</v>
      </c>
      <c r="AH20" s="37" t="n">
        <f aca="false">Costs!AH20/FX_EUR</f>
        <v>2900.8164168109</v>
      </c>
      <c r="AI20" s="37" t="n">
        <f aca="false">Costs!AI20/FX_EUR</f>
        <v>3099.33478609082</v>
      </c>
      <c r="AJ20" s="37" t="n">
        <f aca="false">Costs!AJ20/FX_EUR</f>
        <v>3309.59280988824</v>
      </c>
      <c r="AK20" s="37" t="n">
        <f aca="false">Costs!AK20/FX_EUR</f>
        <v>3521.38913983058</v>
      </c>
      <c r="AL20" s="37" t="n">
        <f aca="false">Costs!AL20/FX_EUR</f>
        <v>3734.93621417065</v>
      </c>
      <c r="AM20" s="37" t="n">
        <f aca="false">Costs!AM20/FX_EUR</f>
        <v>3960.74802273403</v>
      </c>
      <c r="AN20" s="37" t="n">
        <f aca="false">Costs!AN20/FX_EUR</f>
        <v>4197.9196765424</v>
      </c>
      <c r="AO20" s="37" t="n">
        <f aca="false">Costs!AO20/FX_EUR</f>
        <v>4455.31299678633</v>
      </c>
      <c r="AP20" s="37" t="n">
        <f aca="false">Costs!AP20/FX_EUR</f>
        <v>4725.31422014722</v>
      </c>
      <c r="AQ20" s="37" t="n">
        <f aca="false">Costs!AQ20/FX_EUR</f>
        <v>4997.80262476268</v>
      </c>
      <c r="AR20" s="37" t="n">
        <f aca="false">Costs!AR20/FX_EUR</f>
        <v>5283.36606955866</v>
      </c>
      <c r="AS20" s="37" t="n">
        <f aca="false">Costs!AS20/FX_EUR</f>
        <v>5570.40105179063</v>
      </c>
      <c r="AT20" s="37" t="n">
        <f aca="false">Costs!AT20/FX_EUR</f>
        <v>5875.29251304027</v>
      </c>
      <c r="AU20" s="37" t="n">
        <f aca="false">Costs!AU20/FX_EUR</f>
        <v>6178.37948154095</v>
      </c>
      <c r="AV20" s="37" t="n">
        <f aca="false">Costs!AV20/FX_EUR</f>
        <v>6479.77063360148</v>
      </c>
      <c r="AW20" s="37" t="n">
        <f aca="false">Costs!AW20/FX_EUR</f>
        <v>6789.86877396201</v>
      </c>
      <c r="AX20" s="37" t="n">
        <f aca="false">Costs!AX20/FX_EUR</f>
        <v>7098.38869924479</v>
      </c>
      <c r="AY20" s="37" t="n">
        <f aca="false">Costs!AY20/FX_EUR</f>
        <v>7425.00434380752</v>
      </c>
      <c r="AZ20" s="37" t="n">
        <f aca="false">Costs!AZ20/FX_EUR</f>
        <v>7750.0793106529</v>
      </c>
      <c r="BA20" s="37" t="n">
        <f aca="false">Costs!BA20/FX_EUR</f>
        <v>8102.14946536396</v>
      </c>
      <c r="BB20" s="37" t="n">
        <f aca="false">Costs!BB20/FX_EUR</f>
        <v>8452.64575498695</v>
      </c>
      <c r="BC20" s="37" t="n">
        <f aca="false">Costs!BC20/FX_EUR</f>
        <v>8812.00783479785</v>
      </c>
      <c r="BD20" s="37" t="n">
        <f aca="false">Costs!BD20/FX_EUR</f>
        <v>9179.25048507234</v>
      </c>
      <c r="BE20" s="37" t="n">
        <f aca="false">Costs!BE20/FX_EUR</f>
        <v>9555.46543148852</v>
      </c>
      <c r="BF20" s="37" t="n">
        <f aca="false">Costs!BF20/FX_EUR</f>
        <v>9930.42191162471</v>
      </c>
      <c r="BG20" s="37" t="n">
        <f aca="false">Costs!BG20/FX_EUR</f>
        <v>10323.851104931</v>
      </c>
      <c r="BH20" s="37" t="n">
        <f aca="false">Costs!BH20/FX_EUR</f>
        <v>10716.1768382703</v>
      </c>
      <c r="BI20" s="37" t="n">
        <f aca="false">Costs!BI20/FX_EUR</f>
        <v>11117.8874216155</v>
      </c>
      <c r="BJ20" s="37" t="n">
        <f aca="false">Costs!BJ20/FX_EUR</f>
        <v>11518.7876945745</v>
      </c>
      <c r="BK20" s="37" t="n">
        <f aca="false">Costs!BK20/FX_EUR</f>
        <v>11936.8823771357</v>
      </c>
      <c r="BL20" s="37" t="n">
        <f aca="false">Costs!BL20/FX_EUR</f>
        <v>12360.8981878341</v>
      </c>
    </row>
    <row r="21" customFormat="false" ht="15" hidden="false" customHeight="false" outlineLevel="0" collapsed="false">
      <c r="A21" s="8" t="s">
        <v>818</v>
      </c>
      <c r="B21" s="14" t="s">
        <v>73</v>
      </c>
      <c r="D21" s="55" t="n">
        <f aca="false">Costs!D21/FX_EUR</f>
        <v>10834737.5761495</v>
      </c>
      <c r="E21" s="16" t="n">
        <f aca="false">Costs!E21/FX_EUR</f>
        <v>0</v>
      </c>
      <c r="F21" s="16" t="n">
        <f aca="false">Costs!F21/FX_EUR</f>
        <v>0</v>
      </c>
      <c r="G21" s="16" t="n">
        <f aca="false">Costs!G21/FX_EUR</f>
        <v>0</v>
      </c>
      <c r="H21" s="16" t="n">
        <f aca="false">Costs!H21/FX_EUR</f>
        <v>0</v>
      </c>
      <c r="I21" s="16" t="n">
        <f aca="false">Costs!I21/FX_EUR</f>
        <v>3442.09351121085</v>
      </c>
      <c r="J21" s="16" t="n">
        <f aca="false">Costs!J21/FX_EUR</f>
        <v>5696.47819394666</v>
      </c>
      <c r="K21" s="16" t="n">
        <f aca="false">Costs!K21/FX_EUR</f>
        <v>7948.77231914592</v>
      </c>
      <c r="L21" s="16" t="n">
        <f aca="false">Costs!L21/FX_EUR</f>
        <v>10200.5997495916</v>
      </c>
      <c r="M21" s="16" t="n">
        <f aca="false">Costs!M21/FX_EUR</f>
        <v>12453.6561435896</v>
      </c>
      <c r="N21" s="16" t="n">
        <f aca="false">Costs!N21/FX_EUR</f>
        <v>14709.7136819732</v>
      </c>
      <c r="O21" s="16" t="n">
        <f aca="false">Costs!O21/FX_EUR</f>
        <v>16970.6260713345</v>
      </c>
      <c r="P21" s="16" t="n">
        <f aca="false">Costs!P21/FX_EUR</f>
        <v>19238.3338401933</v>
      </c>
      <c r="Q21" s="16" t="n">
        <f aca="false">Costs!Q21/FX_EUR</f>
        <v>22561.0747021227</v>
      </c>
      <c r="R21" s="16" t="n">
        <f aca="false">Costs!R21/FX_EUR</f>
        <v>25522.8546246078</v>
      </c>
      <c r="S21" s="16" t="n">
        <f aca="false">Costs!S21/FX_EUR</f>
        <v>28489.4992808935</v>
      </c>
      <c r="T21" s="16" t="n">
        <f aca="false">Costs!T21/FX_EUR</f>
        <v>31463.4747665349</v>
      </c>
      <c r="U21" s="16" t="n">
        <f aca="false">Costs!U21/FX_EUR</f>
        <v>34447.3636287041</v>
      </c>
      <c r="V21" s="16" t="n">
        <f aca="false">Costs!V21/FX_EUR</f>
        <v>37782.5640450167</v>
      </c>
      <c r="W21" s="16" t="n">
        <f aca="false">Costs!W21/FX_EUR</f>
        <v>44310.9211907767</v>
      </c>
      <c r="X21" s="16" t="n">
        <f aca="false">Costs!X21/FX_EUR</f>
        <v>49878.608484929</v>
      </c>
      <c r="Y21" s="16" t="n">
        <f aca="false">Costs!Y21/FX_EUR</f>
        <v>55554.1054209526</v>
      </c>
      <c r="Z21" s="16" t="n">
        <f aca="false">Costs!Z21/FX_EUR</f>
        <v>61342.3328294915</v>
      </c>
      <c r="AA21" s="16" t="n">
        <f aca="false">Costs!AA21/FX_EUR</f>
        <v>67248.5929165021</v>
      </c>
      <c r="AB21" s="16" t="n">
        <f aca="false">Costs!AB21/FX_EUR</f>
        <v>73903.4925865848</v>
      </c>
      <c r="AC21" s="16" t="n">
        <f aca="false">Costs!AC21/FX_EUR</f>
        <v>82686.6961049683</v>
      </c>
      <c r="AD21" s="16" t="n">
        <f aca="false">Costs!AD21/FX_EUR</f>
        <v>90886.4373590695</v>
      </c>
      <c r="AE21" s="16" t="n">
        <f aca="false">Costs!AE21/FX_EUR</f>
        <v>99239.2559366464</v>
      </c>
      <c r="AF21" s="16" t="n">
        <f aca="false">Costs!AF21/FX_EUR</f>
        <v>108392.217577411</v>
      </c>
      <c r="AG21" s="16" t="n">
        <f aca="false">Costs!AG21/FX_EUR</f>
        <v>137333.546016472</v>
      </c>
      <c r="AH21" s="16" t="n">
        <f aca="false">Costs!AH21/FX_EUR</f>
        <v>130818.106825967</v>
      </c>
      <c r="AI21" s="16" t="n">
        <f aca="false">Costs!AI21/FX_EUR</f>
        <v>139396.640308862</v>
      </c>
      <c r="AJ21" s="16" t="n">
        <f aca="false">Costs!AJ21/FX_EUR</f>
        <v>148752.452808512</v>
      </c>
      <c r="AK21" s="16" t="n">
        <f aca="false">Costs!AK21/FX_EUR</f>
        <v>157899.759791473</v>
      </c>
      <c r="AL21" s="16" t="n">
        <f aca="false">Costs!AL21/FX_EUR</f>
        <v>167118.735684758</v>
      </c>
      <c r="AM21" s="16" t="n">
        <f aca="false">Costs!AM21/FX_EUR</f>
        <v>177138.419145259</v>
      </c>
      <c r="AN21" s="16" t="n">
        <f aca="false">Costs!AN21/FX_EUR</f>
        <v>187621.585782929</v>
      </c>
      <c r="AO21" s="16" t="n">
        <f aca="false">Costs!AO21/FX_EUR</f>
        <v>199210.303501095</v>
      </c>
      <c r="AP21" s="16" t="n">
        <f aca="false">Costs!AP21/FX_EUR</f>
        <v>211141.137980768</v>
      </c>
      <c r="AQ21" s="16" t="n">
        <f aca="false">Costs!AQ21/FX_EUR</f>
        <v>222904.432516883</v>
      </c>
      <c r="AR21" s="16" t="n">
        <f aca="false">Costs!AR21/FX_EUR</f>
        <v>235503.074315357</v>
      </c>
      <c r="AS21" s="16" t="n">
        <f aca="false">Costs!AS21/FX_EUR</f>
        <v>247850.505521943</v>
      </c>
      <c r="AT21" s="16" t="n">
        <f aca="false">Costs!AT21/FX_EUR</f>
        <v>261393.227465718</v>
      </c>
      <c r="AU21" s="16" t="n">
        <f aca="false">Costs!AU21/FX_EUR</f>
        <v>274330.750056217</v>
      </c>
      <c r="AV21" s="16" t="n">
        <f aca="false">Costs!AV21/FX_EUR</f>
        <v>287182.252451628</v>
      </c>
      <c r="AW21" s="16" t="n">
        <f aca="false">Costs!AW21/FX_EUR</f>
        <v>300671.983240076</v>
      </c>
      <c r="AX21" s="16" t="n">
        <f aca="false">Costs!AX21/FX_EUR</f>
        <v>313810.582216801</v>
      </c>
      <c r="AY21" s="16" t="n">
        <f aca="false">Costs!AY21/FX_EUR</f>
        <v>328240.240994339</v>
      </c>
      <c r="AZ21" s="16" t="n">
        <f aca="false">Costs!AZ21/FX_EUR</f>
        <v>342076.651175306</v>
      </c>
      <c r="BA21" s="16" t="n">
        <f aca="false">Costs!BA21/FX_EUR</f>
        <v>357824.262828729</v>
      </c>
      <c r="BB21" s="16" t="n">
        <f aca="false">Costs!BB21/FX_EUR</f>
        <v>372743.739305799</v>
      </c>
      <c r="BC21" s="16" t="n">
        <f aca="false">Costs!BC21/FX_EUR</f>
        <v>388307.623493516</v>
      </c>
      <c r="BD21" s="16" t="n">
        <f aca="false">Costs!BD21/FX_EUR</f>
        <v>404175.310472675</v>
      </c>
      <c r="BE21" s="16" t="n">
        <f aca="false">Costs!BE21/FX_EUR</f>
        <v>420448.436892548</v>
      </c>
      <c r="BF21" s="16" t="n">
        <f aca="false">Costs!BF21/FX_EUR</f>
        <v>436383.578243294</v>
      </c>
      <c r="BG21" s="16" t="n">
        <f aca="false">Costs!BG21/FX_EUR</f>
        <v>453625.524415809</v>
      </c>
      <c r="BH21" s="16" t="n">
        <f aca="false">Costs!BH21/FX_EUR</f>
        <v>470292.696571889</v>
      </c>
      <c r="BI21" s="16" t="n">
        <f aca="false">Costs!BI21/FX_EUR</f>
        <v>487627.183381804</v>
      </c>
      <c r="BJ21" s="16" t="n">
        <f aca="false">Costs!BJ21/FX_EUR</f>
        <v>504643.692039768</v>
      </c>
      <c r="BK21" s="16" t="n">
        <f aca="false">Costs!BK21/FX_EUR</f>
        <v>522865.456082479</v>
      </c>
      <c r="BL21" s="16" t="n">
        <f aca="false">Costs!BL21/FX_EUR</f>
        <v>541035.91965468</v>
      </c>
    </row>
    <row r="23" customFormat="false" ht="15" hidden="false" customHeight="false" outlineLevel="0" collapsed="false">
      <c r="A23" s="10" t="s">
        <v>20</v>
      </c>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1"/>
      <c r="BF23" s="11"/>
      <c r="BG23" s="11"/>
      <c r="BH23" s="11"/>
      <c r="BI23" s="11"/>
      <c r="BJ23" s="11"/>
      <c r="BK23" s="11"/>
      <c r="BL23" s="11"/>
    </row>
    <row r="24" customFormat="false" ht="15" hidden="false" customHeight="false" outlineLevel="0" collapsed="false">
      <c r="A24" s="12" t="s">
        <v>653</v>
      </c>
      <c r="B24" s="14" t="s">
        <v>73</v>
      </c>
      <c r="D24" s="55" t="n">
        <f aca="false">Costs!D24/FX_EUR</f>
        <v>541299.493335691</v>
      </c>
      <c r="E24" s="37" t="n">
        <f aca="false">Costs!E24/FX_EUR</f>
        <v>0</v>
      </c>
      <c r="F24" s="37" t="n">
        <f aca="false">Costs!F24/FX_EUR</f>
        <v>0</v>
      </c>
      <c r="G24" s="37" t="n">
        <f aca="false">Costs!G24/FX_EUR</f>
        <v>0</v>
      </c>
      <c r="H24" s="37" t="n">
        <f aca="false">Costs!H24/FX_EUR</f>
        <v>0</v>
      </c>
      <c r="I24" s="37" t="n">
        <f aca="false">Costs!I24/FX_EUR</f>
        <v>0</v>
      </c>
      <c r="J24" s="37" t="n">
        <f aca="false">Costs!J24/FX_EUR</f>
        <v>0</v>
      </c>
      <c r="K24" s="37" t="n">
        <f aca="false">Costs!K24/FX_EUR</f>
        <v>0</v>
      </c>
      <c r="L24" s="37" t="n">
        <f aca="false">Costs!L24/FX_EUR</f>
        <v>0</v>
      </c>
      <c r="M24" s="37" t="n">
        <f aca="false">Costs!M24/FX_EUR</f>
        <v>0</v>
      </c>
      <c r="N24" s="37" t="n">
        <f aca="false">Costs!N24/FX_EUR</f>
        <v>0</v>
      </c>
      <c r="O24" s="37" t="n">
        <f aca="false">Costs!O24/FX_EUR</f>
        <v>0</v>
      </c>
      <c r="P24" s="37" t="n">
        <f aca="false">Costs!P24/FX_EUR</f>
        <v>0</v>
      </c>
      <c r="Q24" s="37" t="n">
        <f aca="false">Costs!Q24/FX_EUR</f>
        <v>5202.32271322663</v>
      </c>
      <c r="R24" s="37" t="n">
        <f aca="false">Costs!R24/FX_EUR</f>
        <v>5202.32271322663</v>
      </c>
      <c r="S24" s="37" t="n">
        <f aca="false">Costs!S24/FX_EUR</f>
        <v>5202.32271322663</v>
      </c>
      <c r="T24" s="37" t="n">
        <f aca="false">Costs!T24/FX_EUR</f>
        <v>5202.32271322663</v>
      </c>
      <c r="U24" s="37" t="n">
        <f aca="false">Costs!U24/FX_EUR</f>
        <v>5202.32271322663</v>
      </c>
      <c r="V24" s="37" t="n">
        <f aca="false">Costs!V24/FX_EUR</f>
        <v>11028.9241520405</v>
      </c>
      <c r="W24" s="37" t="n">
        <f aca="false">Costs!W24/FX_EUR</f>
        <v>11028.9241520405</v>
      </c>
      <c r="X24" s="37" t="n">
        <f aca="false">Costs!X24/FX_EUR</f>
        <v>11028.9241520405</v>
      </c>
      <c r="Y24" s="37" t="n">
        <f aca="false">Costs!Y24/FX_EUR</f>
        <v>11028.9241520405</v>
      </c>
      <c r="Z24" s="37" t="n">
        <f aca="false">Costs!Z24/FX_EUR</f>
        <v>11028.9241520405</v>
      </c>
      <c r="AA24" s="37" t="n">
        <f aca="false">Costs!AA24/FX_EUR</f>
        <v>11028.9241520405</v>
      </c>
      <c r="AB24" s="37" t="n">
        <f aca="false">Costs!AB24/FX_EUR</f>
        <v>11028.9241520405</v>
      </c>
      <c r="AC24" s="37" t="n">
        <f aca="false">Costs!AC24/FX_EUR</f>
        <v>11580.3703596425</v>
      </c>
      <c r="AD24" s="37" t="n">
        <f aca="false">Costs!AD24/FX_EUR</f>
        <v>11580.3703596425</v>
      </c>
      <c r="AE24" s="37" t="n">
        <f aca="false">Costs!AE24/FX_EUR</f>
        <v>11580.3703596425</v>
      </c>
      <c r="AF24" s="37" t="n">
        <f aca="false">Costs!AF24/FX_EUR</f>
        <v>11580.3703596425</v>
      </c>
      <c r="AG24" s="37" t="n">
        <f aca="false">Costs!AG24/FX_EUR</f>
        <v>11580.3703596425</v>
      </c>
      <c r="AH24" s="37" t="n">
        <f aca="false">Costs!AH24/FX_EUR</f>
        <v>11580.3703596425</v>
      </c>
      <c r="AI24" s="37" t="n">
        <f aca="false">Costs!AI24/FX_EUR</f>
        <v>11580.3703596425</v>
      </c>
      <c r="AJ24" s="37" t="n">
        <f aca="false">Costs!AJ24/FX_EUR</f>
        <v>11580.3703596425</v>
      </c>
      <c r="AK24" s="37" t="n">
        <f aca="false">Costs!AK24/FX_EUR</f>
        <v>11580.3703596425</v>
      </c>
      <c r="AL24" s="37" t="n">
        <f aca="false">Costs!AL24/FX_EUR</f>
        <v>11580.3703596425</v>
      </c>
      <c r="AM24" s="37" t="n">
        <f aca="false">Costs!AM24/FX_EUR</f>
        <v>11580.3703596425</v>
      </c>
      <c r="AN24" s="37" t="n">
        <f aca="false">Costs!AN24/FX_EUR</f>
        <v>11580.3703596425</v>
      </c>
      <c r="AO24" s="37" t="n">
        <f aca="false">Costs!AO24/FX_EUR</f>
        <v>12159.3888776246</v>
      </c>
      <c r="AP24" s="37" t="n">
        <f aca="false">Costs!AP24/FX_EUR</f>
        <v>12159.3888776246</v>
      </c>
      <c r="AQ24" s="37" t="n">
        <f aca="false">Costs!AQ24/FX_EUR</f>
        <v>12159.3888776246</v>
      </c>
      <c r="AR24" s="37" t="n">
        <f aca="false">Costs!AR24/FX_EUR</f>
        <v>12159.3888776246</v>
      </c>
      <c r="AS24" s="37" t="n">
        <f aca="false">Costs!AS24/FX_EUR</f>
        <v>12159.3888776246</v>
      </c>
      <c r="AT24" s="37" t="n">
        <f aca="false">Costs!AT24/FX_EUR</f>
        <v>12159.3888776246</v>
      </c>
      <c r="AU24" s="37" t="n">
        <f aca="false">Costs!AU24/FX_EUR</f>
        <v>12159.3888776246</v>
      </c>
      <c r="AV24" s="37" t="n">
        <f aca="false">Costs!AV24/FX_EUR</f>
        <v>12159.3888776246</v>
      </c>
      <c r="AW24" s="37" t="n">
        <f aca="false">Costs!AW24/FX_EUR</f>
        <v>12159.3888776246</v>
      </c>
      <c r="AX24" s="37" t="n">
        <f aca="false">Costs!AX24/FX_EUR</f>
        <v>12159.3888776246</v>
      </c>
      <c r="AY24" s="37" t="n">
        <f aca="false">Costs!AY24/FX_EUR</f>
        <v>12159.3888776246</v>
      </c>
      <c r="AZ24" s="37" t="n">
        <f aca="false">Costs!AZ24/FX_EUR</f>
        <v>12159.3888776246</v>
      </c>
      <c r="BA24" s="37" t="n">
        <f aca="false">Costs!BA24/FX_EUR</f>
        <v>12767.3583215058</v>
      </c>
      <c r="BB24" s="37" t="n">
        <f aca="false">Costs!BB24/FX_EUR</f>
        <v>12767.3583215058</v>
      </c>
      <c r="BC24" s="37" t="n">
        <f aca="false">Costs!BC24/FX_EUR</f>
        <v>12767.3583215058</v>
      </c>
      <c r="BD24" s="37" t="n">
        <f aca="false">Costs!BD24/FX_EUR</f>
        <v>12767.3583215058</v>
      </c>
      <c r="BE24" s="37" t="n">
        <f aca="false">Costs!BE24/FX_EUR</f>
        <v>12767.3583215058</v>
      </c>
      <c r="BF24" s="37" t="n">
        <f aca="false">Costs!BF24/FX_EUR</f>
        <v>12767.3583215058</v>
      </c>
      <c r="BG24" s="37" t="n">
        <f aca="false">Costs!BG24/FX_EUR</f>
        <v>12767.3583215058</v>
      </c>
      <c r="BH24" s="37" t="n">
        <f aca="false">Costs!BH24/FX_EUR</f>
        <v>12767.3583215058</v>
      </c>
      <c r="BI24" s="37" t="n">
        <f aca="false">Costs!BI24/FX_EUR</f>
        <v>12767.3583215058</v>
      </c>
      <c r="BJ24" s="37" t="n">
        <f aca="false">Costs!BJ24/FX_EUR</f>
        <v>12767.3583215058</v>
      </c>
      <c r="BK24" s="37" t="n">
        <f aca="false">Costs!BK24/FX_EUR</f>
        <v>12767.3583215058</v>
      </c>
      <c r="BL24" s="37" t="n">
        <f aca="false">Costs!BL24/FX_EUR</f>
        <v>12767.3583215058</v>
      </c>
    </row>
    <row r="25" customFormat="false" ht="15" hidden="false" customHeight="false" outlineLevel="0" collapsed="false">
      <c r="A25" s="12" t="s">
        <v>657</v>
      </c>
      <c r="B25" s="14" t="s">
        <v>73</v>
      </c>
      <c r="D25" s="55" t="n">
        <f aca="false">Costs!D25/FX_EUR</f>
        <v>885973.350006174</v>
      </c>
      <c r="E25" s="37" t="n">
        <f aca="false">Costs!E25/FX_EUR</f>
        <v>9711.00239802304</v>
      </c>
      <c r="F25" s="37" t="n">
        <f aca="false">Costs!F25/FX_EUR</f>
        <v>9711.00239802304</v>
      </c>
      <c r="G25" s="37" t="n">
        <f aca="false">Costs!G25/FX_EUR</f>
        <v>9711.00239802304</v>
      </c>
      <c r="H25" s="37" t="n">
        <f aca="false">Costs!H25/FX_EUR</f>
        <v>9711.00239802304</v>
      </c>
      <c r="I25" s="37" t="n">
        <f aca="false">Costs!I25/FX_EUR</f>
        <v>9711.00239802304</v>
      </c>
      <c r="J25" s="37" t="n">
        <f aca="false">Costs!J25/FX_EUR</f>
        <v>9711.00239802304</v>
      </c>
      <c r="K25" s="37" t="n">
        <f aca="false">Costs!K25/FX_EUR</f>
        <v>9711.00239802304</v>
      </c>
      <c r="L25" s="37" t="n">
        <f aca="false">Costs!L25/FX_EUR</f>
        <v>9711.00239802304</v>
      </c>
      <c r="M25" s="37" t="n">
        <f aca="false">Costs!M25/FX_EUR</f>
        <v>9711.00239802304</v>
      </c>
      <c r="N25" s="37" t="n">
        <f aca="false">Costs!N25/FX_EUR</f>
        <v>9711.00239802304</v>
      </c>
      <c r="O25" s="37" t="n">
        <f aca="false">Costs!O25/FX_EUR</f>
        <v>9711.00239802304</v>
      </c>
      <c r="P25" s="37" t="n">
        <f aca="false">Costs!P25/FX_EUR</f>
        <v>9711.00239802304</v>
      </c>
      <c r="Q25" s="37" t="n">
        <f aca="false">Costs!Q25/FX_EUR</f>
        <v>10196.5525179242</v>
      </c>
      <c r="R25" s="37" t="n">
        <f aca="false">Costs!R25/FX_EUR</f>
        <v>10196.5525179242</v>
      </c>
      <c r="S25" s="37" t="n">
        <f aca="false">Costs!S25/FX_EUR</f>
        <v>10196.5525179242</v>
      </c>
      <c r="T25" s="37" t="n">
        <f aca="false">Costs!T25/FX_EUR</f>
        <v>10196.5525179242</v>
      </c>
      <c r="U25" s="37" t="n">
        <f aca="false">Costs!U25/FX_EUR</f>
        <v>10196.5525179242</v>
      </c>
      <c r="V25" s="37" t="n">
        <f aca="false">Costs!V25/FX_EUR</f>
        <v>10196.5525179242</v>
      </c>
      <c r="W25" s="37" t="n">
        <f aca="false">Costs!W25/FX_EUR</f>
        <v>10196.5525179242</v>
      </c>
      <c r="X25" s="37" t="n">
        <f aca="false">Costs!X25/FX_EUR</f>
        <v>10196.5525179242</v>
      </c>
      <c r="Y25" s="37" t="n">
        <f aca="false">Costs!Y25/FX_EUR</f>
        <v>10196.5525179242</v>
      </c>
      <c r="Z25" s="37" t="n">
        <f aca="false">Costs!Z25/FX_EUR</f>
        <v>10196.5525179242</v>
      </c>
      <c r="AA25" s="37" t="n">
        <f aca="false">Costs!AA25/FX_EUR</f>
        <v>10196.5525179242</v>
      </c>
      <c r="AB25" s="37" t="n">
        <f aca="false">Costs!AB25/FX_EUR</f>
        <v>10196.5525179242</v>
      </c>
      <c r="AC25" s="37" t="n">
        <f aca="false">Costs!AC25/FX_EUR</f>
        <v>10706.3801438204</v>
      </c>
      <c r="AD25" s="37" t="n">
        <f aca="false">Costs!AD25/FX_EUR</f>
        <v>10706.3801438204</v>
      </c>
      <c r="AE25" s="37" t="n">
        <f aca="false">Costs!AE25/FX_EUR</f>
        <v>13328.3507912866</v>
      </c>
      <c r="AF25" s="37" t="n">
        <f aca="false">Costs!AF25/FX_EUR</f>
        <v>13328.3507912866</v>
      </c>
      <c r="AG25" s="37" t="n">
        <f aca="false">Costs!AG25/FX_EUR</f>
        <v>13328.3507912866</v>
      </c>
      <c r="AH25" s="37" t="n">
        <f aca="false">Costs!AH25/FX_EUR</f>
        <v>13328.3507912866</v>
      </c>
      <c r="AI25" s="37" t="n">
        <f aca="false">Costs!AI25/FX_EUR</f>
        <v>13328.3507912866</v>
      </c>
      <c r="AJ25" s="37" t="n">
        <f aca="false">Costs!AJ25/FX_EUR</f>
        <v>13328.3507912866</v>
      </c>
      <c r="AK25" s="37" t="n">
        <f aca="false">Costs!AK25/FX_EUR</f>
        <v>13328.3507912866</v>
      </c>
      <c r="AL25" s="37" t="n">
        <f aca="false">Costs!AL25/FX_EUR</f>
        <v>13328.3507912866</v>
      </c>
      <c r="AM25" s="37" t="n">
        <f aca="false">Costs!AM25/FX_EUR</f>
        <v>13328.3507912866</v>
      </c>
      <c r="AN25" s="37" t="n">
        <f aca="false">Costs!AN25/FX_EUR</f>
        <v>13328.3507912866</v>
      </c>
      <c r="AO25" s="37" t="n">
        <f aca="false">Costs!AO25/FX_EUR</f>
        <v>16747.8375106905</v>
      </c>
      <c r="AP25" s="37" t="n">
        <f aca="false">Costs!AP25/FX_EUR</f>
        <v>16747.8375106905</v>
      </c>
      <c r="AQ25" s="37" t="n">
        <f aca="false">Costs!AQ25/FX_EUR</f>
        <v>16747.8375106905</v>
      </c>
      <c r="AR25" s="37" t="n">
        <f aca="false">Costs!AR25/FX_EUR</f>
        <v>16747.8375106905</v>
      </c>
      <c r="AS25" s="37" t="n">
        <f aca="false">Costs!AS25/FX_EUR</f>
        <v>16747.8375106905</v>
      </c>
      <c r="AT25" s="37" t="n">
        <f aca="false">Costs!AT25/FX_EUR</f>
        <v>16747.8375106905</v>
      </c>
      <c r="AU25" s="37" t="n">
        <f aca="false">Costs!AU25/FX_EUR</f>
        <v>16747.8375106905</v>
      </c>
      <c r="AV25" s="37" t="n">
        <f aca="false">Costs!AV25/FX_EUR</f>
        <v>16747.8375106905</v>
      </c>
      <c r="AW25" s="37" t="n">
        <f aca="false">Costs!AW25/FX_EUR</f>
        <v>19500.90669053</v>
      </c>
      <c r="AX25" s="37" t="n">
        <f aca="false">Costs!AX25/FX_EUR</f>
        <v>19500.90669053</v>
      </c>
      <c r="AY25" s="37" t="n">
        <f aca="false">Costs!AY25/FX_EUR</f>
        <v>19500.90669053</v>
      </c>
      <c r="AZ25" s="37" t="n">
        <f aca="false">Costs!AZ25/FX_EUR</f>
        <v>19500.90669053</v>
      </c>
      <c r="BA25" s="37" t="n">
        <f aca="false">Costs!BA25/FX_EUR</f>
        <v>20475.9520250565</v>
      </c>
      <c r="BB25" s="37" t="n">
        <f aca="false">Costs!BB25/FX_EUR</f>
        <v>20475.9520250565</v>
      </c>
      <c r="BC25" s="37" t="n">
        <f aca="false">Costs!BC25/FX_EUR</f>
        <v>20475.9520250565</v>
      </c>
      <c r="BD25" s="37" t="n">
        <f aca="false">Costs!BD25/FX_EUR</f>
        <v>23366.674663888</v>
      </c>
      <c r="BE25" s="37" t="n">
        <f aca="false">Costs!BE25/FX_EUR</f>
        <v>23366.674663888</v>
      </c>
      <c r="BF25" s="37" t="n">
        <f aca="false">Costs!BF25/FX_EUR</f>
        <v>23366.674663888</v>
      </c>
      <c r="BG25" s="37" t="n">
        <f aca="false">Costs!BG25/FX_EUR</f>
        <v>23366.674663888</v>
      </c>
      <c r="BH25" s="37" t="n">
        <f aca="false">Costs!BH25/FX_EUR</f>
        <v>23366.674663888</v>
      </c>
      <c r="BI25" s="37" t="n">
        <f aca="false">Costs!BI25/FX_EUR</f>
        <v>23366.674663888</v>
      </c>
      <c r="BJ25" s="37" t="n">
        <f aca="false">Costs!BJ25/FX_EUR</f>
        <v>26257.3973027195</v>
      </c>
      <c r="BK25" s="37" t="n">
        <f aca="false">Costs!BK25/FX_EUR</f>
        <v>26257.3973027195</v>
      </c>
      <c r="BL25" s="37" t="n">
        <f aca="false">Costs!BL25/FX_EUR</f>
        <v>26257.3973027195</v>
      </c>
    </row>
    <row r="26" customFormat="false" ht="15" hidden="false" customHeight="false" outlineLevel="0" collapsed="false">
      <c r="A26" s="12" t="s">
        <v>675</v>
      </c>
      <c r="B26" s="14" t="s">
        <v>73</v>
      </c>
      <c r="D26" s="55" t="n">
        <f aca="false">Costs!D26/FX_EUR</f>
        <v>127107.830619995</v>
      </c>
      <c r="E26" s="37" t="n">
        <f aca="false">Costs!E26/FX_EUR</f>
        <v>0</v>
      </c>
      <c r="F26" s="37" t="n">
        <f aca="false">Costs!F26/FX_EUR</f>
        <v>0</v>
      </c>
      <c r="G26" s="37" t="n">
        <f aca="false">Costs!G26/FX_EUR</f>
        <v>0</v>
      </c>
      <c r="H26" s="37" t="n">
        <f aca="false">Costs!H26/FX_EUR</f>
        <v>0</v>
      </c>
      <c r="I26" s="37" t="n">
        <f aca="false">Costs!I26/FX_EUR</f>
        <v>0</v>
      </c>
      <c r="J26" s="37" t="n">
        <f aca="false">Costs!J26/FX_EUR</f>
        <v>0</v>
      </c>
      <c r="K26" s="37" t="n">
        <f aca="false">Costs!K26/FX_EUR</f>
        <v>0</v>
      </c>
      <c r="L26" s="37" t="n">
        <f aca="false">Costs!L26/FX_EUR</f>
        <v>0</v>
      </c>
      <c r="M26" s="37" t="n">
        <f aca="false">Costs!M26/FX_EUR</f>
        <v>0</v>
      </c>
      <c r="N26" s="37" t="n">
        <f aca="false">Costs!N26/FX_EUR</f>
        <v>0</v>
      </c>
      <c r="O26" s="37" t="n">
        <f aca="false">Costs!O26/FX_EUR</f>
        <v>0</v>
      </c>
      <c r="P26" s="37" t="n">
        <f aca="false">Costs!P26/FX_EUR</f>
        <v>0</v>
      </c>
      <c r="Q26" s="37" t="n">
        <f aca="false">Costs!Q26/FX_EUR</f>
        <v>0</v>
      </c>
      <c r="R26" s="37" t="n">
        <f aca="false">Costs!R26/FX_EUR</f>
        <v>0</v>
      </c>
      <c r="S26" s="37" t="n">
        <f aca="false">Costs!S26/FX_EUR</f>
        <v>0</v>
      </c>
      <c r="T26" s="37" t="n">
        <f aca="false">Costs!T26/FX_EUR</f>
        <v>0</v>
      </c>
      <c r="U26" s="37" t="n">
        <f aca="false">Costs!U26/FX_EUR</f>
        <v>0</v>
      </c>
      <c r="V26" s="37" t="n">
        <f aca="false">Costs!V26/FX_EUR</f>
        <v>0</v>
      </c>
      <c r="W26" s="37" t="n">
        <f aca="false">Costs!W26/FX_EUR</f>
        <v>0</v>
      </c>
      <c r="X26" s="37" t="n">
        <f aca="false">Costs!X26/FX_EUR</f>
        <v>0</v>
      </c>
      <c r="Y26" s="37" t="n">
        <f aca="false">Costs!Y26/FX_EUR</f>
        <v>0</v>
      </c>
      <c r="Z26" s="37" t="n">
        <f aca="false">Costs!Z26/FX_EUR</f>
        <v>0</v>
      </c>
      <c r="AA26" s="37" t="n">
        <f aca="false">Costs!AA26/FX_EUR</f>
        <v>0</v>
      </c>
      <c r="AB26" s="37" t="n">
        <f aca="false">Costs!AB26/FX_EUR</f>
        <v>3121.39362793598</v>
      </c>
      <c r="AC26" s="37" t="n">
        <f aca="false">Costs!AC26/FX_EUR</f>
        <v>3277.46330933278</v>
      </c>
      <c r="AD26" s="37" t="n">
        <f aca="false">Costs!AD26/FX_EUR</f>
        <v>3277.46330933278</v>
      </c>
      <c r="AE26" s="37" t="n">
        <f aca="false">Costs!AE26/FX_EUR</f>
        <v>3277.46330933278</v>
      </c>
      <c r="AF26" s="37" t="n">
        <f aca="false">Costs!AF26/FX_EUR</f>
        <v>3277.46330933278</v>
      </c>
      <c r="AG26" s="37" t="n">
        <f aca="false">Costs!AG26/FX_EUR</f>
        <v>3277.46330933278</v>
      </c>
      <c r="AH26" s="37" t="n">
        <f aca="false">Costs!AH26/FX_EUR</f>
        <v>3277.46330933278</v>
      </c>
      <c r="AI26" s="37" t="n">
        <f aca="false">Costs!AI26/FX_EUR</f>
        <v>3277.46330933278</v>
      </c>
      <c r="AJ26" s="37" t="n">
        <f aca="false">Costs!AJ26/FX_EUR</f>
        <v>3277.46330933278</v>
      </c>
      <c r="AK26" s="37" t="n">
        <f aca="false">Costs!AK26/FX_EUR</f>
        <v>3277.46330933278</v>
      </c>
      <c r="AL26" s="37" t="n">
        <f aca="false">Costs!AL26/FX_EUR</f>
        <v>3277.46330933278</v>
      </c>
      <c r="AM26" s="37" t="n">
        <f aca="false">Costs!AM26/FX_EUR</f>
        <v>3277.46330933278</v>
      </c>
      <c r="AN26" s="37" t="n">
        <f aca="false">Costs!AN26/FX_EUR</f>
        <v>3277.46330933278</v>
      </c>
      <c r="AO26" s="37" t="n">
        <f aca="false">Costs!AO26/FX_EUR</f>
        <v>3441.33647479942</v>
      </c>
      <c r="AP26" s="37" t="n">
        <f aca="false">Costs!AP26/FX_EUR</f>
        <v>3441.33647479942</v>
      </c>
      <c r="AQ26" s="37" t="n">
        <f aca="false">Costs!AQ26/FX_EUR</f>
        <v>3441.33647479942</v>
      </c>
      <c r="AR26" s="37" t="n">
        <f aca="false">Costs!AR26/FX_EUR</f>
        <v>3441.33647479942</v>
      </c>
      <c r="AS26" s="37" t="n">
        <f aca="false">Costs!AS26/FX_EUR</f>
        <v>3441.33647479942</v>
      </c>
      <c r="AT26" s="37" t="n">
        <f aca="false">Costs!AT26/FX_EUR</f>
        <v>3441.33647479942</v>
      </c>
      <c r="AU26" s="37" t="n">
        <f aca="false">Costs!AU26/FX_EUR</f>
        <v>3441.33647479942</v>
      </c>
      <c r="AV26" s="37" t="n">
        <f aca="false">Costs!AV26/FX_EUR</f>
        <v>3441.33647479942</v>
      </c>
      <c r="AW26" s="37" t="n">
        <f aca="false">Costs!AW26/FX_EUR</f>
        <v>3441.33647479942</v>
      </c>
      <c r="AX26" s="37" t="n">
        <f aca="false">Costs!AX26/FX_EUR</f>
        <v>3441.33647479942</v>
      </c>
      <c r="AY26" s="37" t="n">
        <f aca="false">Costs!AY26/FX_EUR</f>
        <v>3441.33647479942</v>
      </c>
      <c r="AZ26" s="37" t="n">
        <f aca="false">Costs!AZ26/FX_EUR</f>
        <v>3441.33647479942</v>
      </c>
      <c r="BA26" s="37" t="n">
        <f aca="false">Costs!BA26/FX_EUR</f>
        <v>3613.40329853939</v>
      </c>
      <c r="BB26" s="37" t="n">
        <f aca="false">Costs!BB26/FX_EUR</f>
        <v>3613.40329853939</v>
      </c>
      <c r="BC26" s="37" t="n">
        <f aca="false">Costs!BC26/FX_EUR</f>
        <v>3613.40329853939</v>
      </c>
      <c r="BD26" s="37" t="n">
        <f aca="false">Costs!BD26/FX_EUR</f>
        <v>3613.40329853939</v>
      </c>
      <c r="BE26" s="37" t="n">
        <f aca="false">Costs!BE26/FX_EUR</f>
        <v>3613.40329853939</v>
      </c>
      <c r="BF26" s="37" t="n">
        <f aca="false">Costs!BF26/FX_EUR</f>
        <v>3613.40329853939</v>
      </c>
      <c r="BG26" s="37" t="n">
        <f aca="false">Costs!BG26/FX_EUR</f>
        <v>3613.40329853939</v>
      </c>
      <c r="BH26" s="37" t="n">
        <f aca="false">Costs!BH26/FX_EUR</f>
        <v>3613.40329853939</v>
      </c>
      <c r="BI26" s="37" t="n">
        <f aca="false">Costs!BI26/FX_EUR</f>
        <v>3613.40329853939</v>
      </c>
      <c r="BJ26" s="37" t="n">
        <f aca="false">Costs!BJ26/FX_EUR</f>
        <v>3613.40329853939</v>
      </c>
      <c r="BK26" s="37" t="n">
        <f aca="false">Costs!BK26/FX_EUR</f>
        <v>3613.40329853939</v>
      </c>
      <c r="BL26" s="37" t="n">
        <f aca="false">Costs!BL26/FX_EUR</f>
        <v>3613.40329853939</v>
      </c>
    </row>
    <row r="27" customFormat="false" ht="15" hidden="false" customHeight="false" outlineLevel="0" collapsed="false">
      <c r="A27" s="12" t="s">
        <v>26</v>
      </c>
      <c r="B27" s="14" t="s">
        <v>73</v>
      </c>
      <c r="D27" s="55" t="n">
        <f aca="false">Costs!D27/FX_EUR</f>
        <v>259645.793664829</v>
      </c>
      <c r="E27" s="37" t="n">
        <f aca="false">Costs!E27/FX_EUR</f>
        <v>0</v>
      </c>
      <c r="F27" s="37" t="n">
        <f aca="false">Costs!F27/FX_EUR</f>
        <v>0</v>
      </c>
      <c r="G27" s="37" t="n">
        <f aca="false">Costs!G27/FX_EUR</f>
        <v>0</v>
      </c>
      <c r="H27" s="37" t="n">
        <f aca="false">Costs!H27/FX_EUR</f>
        <v>0</v>
      </c>
      <c r="I27" s="37" t="n">
        <f aca="false">Costs!I27/FX_EUR</f>
        <v>0</v>
      </c>
      <c r="J27" s="37" t="n">
        <f aca="false">Costs!J27/FX_EUR</f>
        <v>0</v>
      </c>
      <c r="K27" s="37" t="n">
        <f aca="false">Costs!K27/FX_EUR</f>
        <v>0</v>
      </c>
      <c r="L27" s="37" t="n">
        <f aca="false">Costs!L27/FX_EUR</f>
        <v>0</v>
      </c>
      <c r="M27" s="37" t="n">
        <f aca="false">Costs!M27/FX_EUR</f>
        <v>0</v>
      </c>
      <c r="N27" s="37" t="n">
        <f aca="false">Costs!N27/FX_EUR</f>
        <v>0</v>
      </c>
      <c r="O27" s="37" t="n">
        <f aca="false">Costs!O27/FX_EUR</f>
        <v>0</v>
      </c>
      <c r="P27" s="37" t="n">
        <f aca="false">Costs!P27/FX_EUR</f>
        <v>0</v>
      </c>
      <c r="Q27" s="37" t="n">
        <f aca="false">Costs!Q27/FX_EUR</f>
        <v>0</v>
      </c>
      <c r="R27" s="37" t="n">
        <f aca="false">Costs!R27/FX_EUR</f>
        <v>0</v>
      </c>
      <c r="S27" s="37" t="n">
        <f aca="false">Costs!S27/FX_EUR</f>
        <v>0</v>
      </c>
      <c r="T27" s="37" t="n">
        <f aca="false">Costs!T27/FX_EUR</f>
        <v>1248.55745117439</v>
      </c>
      <c r="U27" s="37" t="n">
        <f aca="false">Costs!U27/FX_EUR</f>
        <v>1248.55745117439</v>
      </c>
      <c r="V27" s="37" t="n">
        <f aca="false">Costs!V27/FX_EUR</f>
        <v>1248.55745117439</v>
      </c>
      <c r="W27" s="37" t="n">
        <f aca="false">Costs!W27/FX_EUR</f>
        <v>1248.55745117439</v>
      </c>
      <c r="X27" s="37" t="n">
        <f aca="false">Costs!X27/FX_EUR</f>
        <v>1248.55745117439</v>
      </c>
      <c r="Y27" s="37" t="n">
        <f aca="false">Costs!Y27/FX_EUR</f>
        <v>1248.55745117439</v>
      </c>
      <c r="Z27" s="37" t="n">
        <f aca="false">Costs!Z27/FX_EUR</f>
        <v>1248.55745117439</v>
      </c>
      <c r="AA27" s="37" t="n">
        <f aca="false">Costs!AA27/FX_EUR</f>
        <v>1248.55745117439</v>
      </c>
      <c r="AB27" s="37" t="n">
        <f aca="false">Costs!AB27/FX_EUR</f>
        <v>1248.55745117439</v>
      </c>
      <c r="AC27" s="37" t="n">
        <f aca="false">Costs!AC27/FX_EUR</f>
        <v>1310.98532373311</v>
      </c>
      <c r="AD27" s="37" t="n">
        <f aca="false">Costs!AD27/FX_EUR</f>
        <v>1310.98532373311</v>
      </c>
      <c r="AE27" s="37" t="n">
        <f aca="false">Costs!AE27/FX_EUR</f>
        <v>1310.98532373311</v>
      </c>
      <c r="AF27" s="37" t="n">
        <f aca="false">Costs!AF27/FX_EUR</f>
        <v>2621.97064746622</v>
      </c>
      <c r="AG27" s="37" t="n">
        <f aca="false">Costs!AG27/FX_EUR</f>
        <v>2621.97064746622</v>
      </c>
      <c r="AH27" s="37" t="n">
        <f aca="false">Costs!AH27/FX_EUR</f>
        <v>2621.97064746622</v>
      </c>
      <c r="AI27" s="37" t="n">
        <f aca="false">Costs!AI27/FX_EUR</f>
        <v>2621.97064746622</v>
      </c>
      <c r="AJ27" s="37" t="n">
        <f aca="false">Costs!AJ27/FX_EUR</f>
        <v>2621.97064746622</v>
      </c>
      <c r="AK27" s="37" t="n">
        <f aca="false">Costs!AK27/FX_EUR</f>
        <v>3932.95597119933</v>
      </c>
      <c r="AL27" s="37" t="n">
        <f aca="false">Costs!AL27/FX_EUR</f>
        <v>3932.95597119933</v>
      </c>
      <c r="AM27" s="37" t="n">
        <f aca="false">Costs!AM27/FX_EUR</f>
        <v>3932.95597119933</v>
      </c>
      <c r="AN27" s="37" t="n">
        <f aca="false">Costs!AN27/FX_EUR</f>
        <v>3932.95597119933</v>
      </c>
      <c r="AO27" s="37" t="n">
        <f aca="false">Costs!AO27/FX_EUR</f>
        <v>5506.13835967907</v>
      </c>
      <c r="AP27" s="37" t="n">
        <f aca="false">Costs!AP27/FX_EUR</f>
        <v>5506.13835967907</v>
      </c>
      <c r="AQ27" s="37" t="n">
        <f aca="false">Costs!AQ27/FX_EUR</f>
        <v>5506.13835967907</v>
      </c>
      <c r="AR27" s="37" t="n">
        <f aca="false">Costs!AR27/FX_EUR</f>
        <v>5506.13835967907</v>
      </c>
      <c r="AS27" s="37" t="n">
        <f aca="false">Costs!AS27/FX_EUR</f>
        <v>6882.67294959883</v>
      </c>
      <c r="AT27" s="37" t="n">
        <f aca="false">Costs!AT27/FX_EUR</f>
        <v>6882.67294959883</v>
      </c>
      <c r="AU27" s="37" t="n">
        <f aca="false">Costs!AU27/FX_EUR</f>
        <v>6882.67294959883</v>
      </c>
      <c r="AV27" s="37" t="n">
        <f aca="false">Costs!AV27/FX_EUR</f>
        <v>6882.67294959883</v>
      </c>
      <c r="AW27" s="37" t="n">
        <f aca="false">Costs!AW27/FX_EUR</f>
        <v>6882.67294959883</v>
      </c>
      <c r="AX27" s="37" t="n">
        <f aca="false">Costs!AX27/FX_EUR</f>
        <v>8259.2075395186</v>
      </c>
      <c r="AY27" s="37" t="n">
        <f aca="false">Costs!AY27/FX_EUR</f>
        <v>8259.2075395186</v>
      </c>
      <c r="AZ27" s="37" t="n">
        <f aca="false">Costs!AZ27/FX_EUR</f>
        <v>8259.2075395186</v>
      </c>
      <c r="BA27" s="37" t="n">
        <f aca="false">Costs!BA27/FX_EUR</f>
        <v>8672.16791649453</v>
      </c>
      <c r="BB27" s="37" t="n">
        <f aca="false">Costs!BB27/FX_EUR</f>
        <v>10117.5292359103</v>
      </c>
      <c r="BC27" s="37" t="n">
        <f aca="false">Costs!BC27/FX_EUR</f>
        <v>10117.5292359103</v>
      </c>
      <c r="BD27" s="37" t="n">
        <f aca="false">Costs!BD27/FX_EUR</f>
        <v>10117.5292359103</v>
      </c>
      <c r="BE27" s="37" t="n">
        <f aca="false">Costs!BE27/FX_EUR</f>
        <v>10117.5292359103</v>
      </c>
      <c r="BF27" s="37" t="n">
        <f aca="false">Costs!BF27/FX_EUR</f>
        <v>11562.890555326</v>
      </c>
      <c r="BG27" s="37" t="n">
        <f aca="false">Costs!BG27/FX_EUR</f>
        <v>11562.890555326</v>
      </c>
      <c r="BH27" s="37" t="n">
        <f aca="false">Costs!BH27/FX_EUR</f>
        <v>11562.890555326</v>
      </c>
      <c r="BI27" s="37" t="n">
        <f aca="false">Costs!BI27/FX_EUR</f>
        <v>11562.890555326</v>
      </c>
      <c r="BJ27" s="37" t="n">
        <f aca="false">Costs!BJ27/FX_EUR</f>
        <v>13008.2518747418</v>
      </c>
      <c r="BK27" s="37" t="n">
        <f aca="false">Costs!BK27/FX_EUR</f>
        <v>13008.2518747418</v>
      </c>
      <c r="BL27" s="37" t="n">
        <f aca="false">Costs!BL27/FX_EUR</f>
        <v>13008.2518747418</v>
      </c>
    </row>
    <row r="28" customFormat="false" ht="15" hidden="false" customHeight="false" outlineLevel="0" collapsed="false">
      <c r="A28" s="12" t="s">
        <v>819</v>
      </c>
      <c r="B28" s="14" t="s">
        <v>73</v>
      </c>
      <c r="D28" s="55" t="n">
        <f aca="false">Costs!D28/FX_EUR</f>
        <v>393146.866429507</v>
      </c>
      <c r="E28" s="37" t="n">
        <f aca="false">Costs!E28/FX_EUR</f>
        <v>0</v>
      </c>
      <c r="F28" s="37" t="n">
        <f aca="false">Costs!F28/FX_EUR</f>
        <v>0</v>
      </c>
      <c r="G28" s="37" t="n">
        <f aca="false">Costs!G28/FX_EUR</f>
        <v>0</v>
      </c>
      <c r="H28" s="37" t="n">
        <f aca="false">Costs!H28/FX_EUR</f>
        <v>990.918612043168</v>
      </c>
      <c r="I28" s="37" t="n">
        <f aca="false">Costs!I28/FX_EUR</f>
        <v>990.918612043168</v>
      </c>
      <c r="J28" s="37" t="n">
        <f aca="false">Costs!J28/FX_EUR</f>
        <v>990.918612043168</v>
      </c>
      <c r="K28" s="37" t="n">
        <f aca="false">Costs!K28/FX_EUR</f>
        <v>990.918612043168</v>
      </c>
      <c r="L28" s="37" t="n">
        <f aca="false">Costs!L28/FX_EUR</f>
        <v>990.918612043168</v>
      </c>
      <c r="M28" s="37" t="n">
        <f aca="false">Costs!M28/FX_EUR</f>
        <v>990.918612043168</v>
      </c>
      <c r="N28" s="37" t="n">
        <f aca="false">Costs!N28/FX_EUR</f>
        <v>990.918612043168</v>
      </c>
      <c r="O28" s="37" t="n">
        <f aca="false">Costs!O28/FX_EUR</f>
        <v>990.918612043168</v>
      </c>
      <c r="P28" s="37" t="n">
        <f aca="false">Costs!P28/FX_EUR</f>
        <v>990.918612043168</v>
      </c>
      <c r="Q28" s="37" t="n">
        <f aca="false">Costs!Q28/FX_EUR</f>
        <v>1040.46454264533</v>
      </c>
      <c r="R28" s="37" t="n">
        <f aca="false">Costs!R28/FX_EUR</f>
        <v>1040.46454264533</v>
      </c>
      <c r="S28" s="37" t="n">
        <f aca="false">Costs!S28/FX_EUR</f>
        <v>1040.46454264533</v>
      </c>
      <c r="T28" s="37" t="n">
        <f aca="false">Costs!T28/FX_EUR</f>
        <v>1040.46454264533</v>
      </c>
      <c r="U28" s="37" t="n">
        <f aca="false">Costs!U28/FX_EUR</f>
        <v>1040.46454264533</v>
      </c>
      <c r="V28" s="37" t="n">
        <f aca="false">Costs!V28/FX_EUR</f>
        <v>1040.46454264533</v>
      </c>
      <c r="W28" s="37" t="n">
        <f aca="false">Costs!W28/FX_EUR</f>
        <v>1560.69681396799</v>
      </c>
      <c r="X28" s="37" t="n">
        <f aca="false">Costs!X28/FX_EUR</f>
        <v>1560.69681396799</v>
      </c>
      <c r="Y28" s="37" t="n">
        <f aca="false">Costs!Y28/FX_EUR</f>
        <v>1560.69681396799</v>
      </c>
      <c r="Z28" s="37" t="n">
        <f aca="false">Costs!Z28/FX_EUR</f>
        <v>1560.69681396799</v>
      </c>
      <c r="AA28" s="37" t="n">
        <f aca="false">Costs!AA28/FX_EUR</f>
        <v>2080.92908529065</v>
      </c>
      <c r="AB28" s="37" t="n">
        <f aca="false">Costs!AB28/FX_EUR</f>
        <v>2080.92908529065</v>
      </c>
      <c r="AC28" s="37" t="n">
        <f aca="false">Costs!AC28/FX_EUR</f>
        <v>2184.97553955518</v>
      </c>
      <c r="AD28" s="37" t="n">
        <f aca="false">Costs!AD28/FX_EUR</f>
        <v>2184.97553955518</v>
      </c>
      <c r="AE28" s="37" t="n">
        <f aca="false">Costs!AE28/FX_EUR</f>
        <v>2731.21942444398</v>
      </c>
      <c r="AF28" s="37" t="n">
        <f aca="false">Costs!AF28/FX_EUR</f>
        <v>2731.21942444398</v>
      </c>
      <c r="AG28" s="37" t="n">
        <f aca="false">Costs!AG28/FX_EUR</f>
        <v>4369.95107911037</v>
      </c>
      <c r="AH28" s="37" t="n">
        <f aca="false">Costs!AH28/FX_EUR</f>
        <v>4369.95107911037</v>
      </c>
      <c r="AI28" s="37" t="n">
        <f aca="false">Costs!AI28/FX_EUR</f>
        <v>4916.19496399916</v>
      </c>
      <c r="AJ28" s="37" t="n">
        <f aca="false">Costs!AJ28/FX_EUR</f>
        <v>5462.43884888796</v>
      </c>
      <c r="AK28" s="37" t="n">
        <f aca="false">Costs!AK28/FX_EUR</f>
        <v>5462.43884888796</v>
      </c>
      <c r="AL28" s="37" t="n">
        <f aca="false">Costs!AL28/FX_EUR</f>
        <v>6008.68273377676</v>
      </c>
      <c r="AM28" s="37" t="n">
        <f aca="false">Costs!AM28/FX_EUR</f>
        <v>6008.68273377676</v>
      </c>
      <c r="AN28" s="37" t="n">
        <f aca="false">Costs!AN28/FX_EUR</f>
        <v>6554.92661866555</v>
      </c>
      <c r="AO28" s="37" t="n">
        <f aca="false">Costs!AO28/FX_EUR</f>
        <v>7456.22902873207</v>
      </c>
      <c r="AP28" s="37" t="n">
        <f aca="false">Costs!AP28/FX_EUR</f>
        <v>7456.22902873207</v>
      </c>
      <c r="AQ28" s="37" t="n">
        <f aca="false">Costs!AQ28/FX_EUR</f>
        <v>8029.7851078653</v>
      </c>
      <c r="AR28" s="37" t="n">
        <f aca="false">Costs!AR28/FX_EUR</f>
        <v>8603.34118699854</v>
      </c>
      <c r="AS28" s="37" t="n">
        <f aca="false">Costs!AS28/FX_EUR</f>
        <v>9176.89726613178</v>
      </c>
      <c r="AT28" s="37" t="n">
        <f aca="false">Costs!AT28/FX_EUR</f>
        <v>9176.89726613178</v>
      </c>
      <c r="AU28" s="37" t="n">
        <f aca="false">Costs!AU28/FX_EUR</f>
        <v>9750.45334526501</v>
      </c>
      <c r="AV28" s="37" t="n">
        <f aca="false">Costs!AV28/FX_EUR</f>
        <v>10324.0094243982</v>
      </c>
      <c r="AW28" s="37" t="n">
        <f aca="false">Costs!AW28/FX_EUR</f>
        <v>10897.5655035315</v>
      </c>
      <c r="AX28" s="37" t="n">
        <f aca="false">Costs!AX28/FX_EUR</f>
        <v>11471.1215826647</v>
      </c>
      <c r="AY28" s="37" t="n">
        <f aca="false">Costs!AY28/FX_EUR</f>
        <v>11471.1215826647</v>
      </c>
      <c r="AZ28" s="37" t="n">
        <f aca="false">Costs!AZ28/FX_EUR</f>
        <v>12044.677661798</v>
      </c>
      <c r="BA28" s="37" t="n">
        <f aca="false">Costs!BA28/FX_EUR</f>
        <v>13249.1454279778</v>
      </c>
      <c r="BB28" s="37" t="n">
        <f aca="false">Costs!BB28/FX_EUR</f>
        <v>13851.3793110676</v>
      </c>
      <c r="BC28" s="37" t="n">
        <f aca="false">Costs!BC28/FX_EUR</f>
        <v>14453.6131941575</v>
      </c>
      <c r="BD28" s="37" t="n">
        <f aca="false">Costs!BD28/FX_EUR</f>
        <v>15055.8470772474</v>
      </c>
      <c r="BE28" s="37" t="n">
        <f aca="false">Costs!BE28/FX_EUR</f>
        <v>15658.0809603373</v>
      </c>
      <c r="BF28" s="37" t="n">
        <f aca="false">Costs!BF28/FX_EUR</f>
        <v>16260.3148434272</v>
      </c>
      <c r="BG28" s="37" t="n">
        <f aca="false">Costs!BG28/FX_EUR</f>
        <v>16862.5487265171</v>
      </c>
      <c r="BH28" s="37" t="n">
        <f aca="false">Costs!BH28/FX_EUR</f>
        <v>17464.782609607</v>
      </c>
      <c r="BI28" s="37" t="n">
        <f aca="false">Costs!BI28/FX_EUR</f>
        <v>18067.0164926969</v>
      </c>
      <c r="BJ28" s="37" t="n">
        <f aca="false">Costs!BJ28/FX_EUR</f>
        <v>18669.2503757868</v>
      </c>
      <c r="BK28" s="37" t="n">
        <f aca="false">Costs!BK28/FX_EUR</f>
        <v>19271.4842588767</v>
      </c>
      <c r="BL28" s="37" t="n">
        <f aca="false">Costs!BL28/FX_EUR</f>
        <v>19873.7181419666</v>
      </c>
    </row>
    <row r="29" customFormat="false" ht="15" hidden="false" customHeight="false" outlineLevel="0" collapsed="false">
      <c r="A29" s="12" t="s">
        <v>663</v>
      </c>
      <c r="B29" s="14" t="s">
        <v>73</v>
      </c>
      <c r="D29" s="55" t="n">
        <f aca="false">Costs!D29/FX_EUR</f>
        <v>730752.070829338</v>
      </c>
      <c r="E29" s="37" t="n">
        <f aca="false">Costs!E29/FX_EUR</f>
        <v>2378.2046689036</v>
      </c>
      <c r="F29" s="37" t="n">
        <f aca="false">Costs!F29/FX_EUR</f>
        <v>2378.2046689036</v>
      </c>
      <c r="G29" s="37" t="n">
        <f aca="false">Costs!G29/FX_EUR</f>
        <v>2378.2046689036</v>
      </c>
      <c r="H29" s="37" t="n">
        <f aca="false">Costs!H29/FX_EUR</f>
        <v>3963.67444817267</v>
      </c>
      <c r="I29" s="37" t="n">
        <f aca="false">Costs!I29/FX_EUR</f>
        <v>3963.67444817267</v>
      </c>
      <c r="J29" s="37" t="n">
        <f aca="false">Costs!J29/FX_EUR</f>
        <v>3963.67444817267</v>
      </c>
      <c r="K29" s="37" t="n">
        <f aca="false">Costs!K29/FX_EUR</f>
        <v>3963.67444817267</v>
      </c>
      <c r="L29" s="37" t="n">
        <f aca="false">Costs!L29/FX_EUR</f>
        <v>3963.67444817267</v>
      </c>
      <c r="M29" s="37" t="n">
        <f aca="false">Costs!M29/FX_EUR</f>
        <v>3963.67444817267</v>
      </c>
      <c r="N29" s="37" t="n">
        <f aca="false">Costs!N29/FX_EUR</f>
        <v>3963.67444817267</v>
      </c>
      <c r="O29" s="37" t="n">
        <f aca="false">Costs!O29/FX_EUR</f>
        <v>3963.67444817267</v>
      </c>
      <c r="P29" s="37" t="n">
        <f aca="false">Costs!P29/FX_EUR</f>
        <v>3963.67444817267</v>
      </c>
      <c r="Q29" s="37" t="n">
        <f aca="false">Costs!Q29/FX_EUR</f>
        <v>4161.8581705813</v>
      </c>
      <c r="R29" s="37" t="n">
        <f aca="false">Costs!R29/FX_EUR</f>
        <v>4161.8581705813</v>
      </c>
      <c r="S29" s="37" t="n">
        <f aca="false">Costs!S29/FX_EUR</f>
        <v>4161.8581705813</v>
      </c>
      <c r="T29" s="37" t="n">
        <f aca="false">Costs!T29/FX_EUR</f>
        <v>4161.8581705813</v>
      </c>
      <c r="U29" s="37" t="n">
        <f aca="false">Costs!U29/FX_EUR</f>
        <v>4161.8581705813</v>
      </c>
      <c r="V29" s="37" t="n">
        <f aca="false">Costs!V29/FX_EUR</f>
        <v>6867.06598145915</v>
      </c>
      <c r="W29" s="37" t="n">
        <f aca="false">Costs!W29/FX_EUR</f>
        <v>6867.06598145915</v>
      </c>
      <c r="X29" s="37" t="n">
        <f aca="false">Costs!X29/FX_EUR</f>
        <v>6867.06598145915</v>
      </c>
      <c r="Y29" s="37" t="n">
        <f aca="false">Costs!Y29/FX_EUR</f>
        <v>6867.06598145915</v>
      </c>
      <c r="Z29" s="37" t="n">
        <f aca="false">Costs!Z29/FX_EUR</f>
        <v>6867.06598145915</v>
      </c>
      <c r="AA29" s="37" t="n">
        <f aca="false">Costs!AA29/FX_EUR</f>
        <v>7699.43761557541</v>
      </c>
      <c r="AB29" s="37" t="n">
        <f aca="false">Costs!AB29/FX_EUR</f>
        <v>7699.43761557541</v>
      </c>
      <c r="AC29" s="37" t="n">
        <f aca="false">Costs!AC29/FX_EUR</f>
        <v>8084.40949635418</v>
      </c>
      <c r="AD29" s="37" t="n">
        <f aca="false">Costs!AD29/FX_EUR</f>
        <v>8084.40949635418</v>
      </c>
      <c r="AE29" s="37" t="n">
        <f aca="false">Costs!AE29/FX_EUR</f>
        <v>8958.39971217626</v>
      </c>
      <c r="AF29" s="37" t="n">
        <f aca="false">Costs!AF29/FX_EUR</f>
        <v>8958.39971217626</v>
      </c>
      <c r="AG29" s="37" t="n">
        <f aca="false">Costs!AG29/FX_EUR</f>
        <v>8958.39971217626</v>
      </c>
      <c r="AH29" s="37" t="n">
        <f aca="false">Costs!AH29/FX_EUR</f>
        <v>8958.39971217626</v>
      </c>
      <c r="AI29" s="37" t="n">
        <f aca="false">Costs!AI29/FX_EUR</f>
        <v>9832.38992799833</v>
      </c>
      <c r="AJ29" s="37" t="n">
        <f aca="false">Costs!AJ29/FX_EUR</f>
        <v>9832.38992799833</v>
      </c>
      <c r="AK29" s="37" t="n">
        <f aca="false">Costs!AK29/FX_EUR</f>
        <v>9832.38992799833</v>
      </c>
      <c r="AL29" s="37" t="n">
        <f aca="false">Costs!AL29/FX_EUR</f>
        <v>10706.3801438204</v>
      </c>
      <c r="AM29" s="37" t="n">
        <f aca="false">Costs!AM29/FX_EUR</f>
        <v>11689.6191366202</v>
      </c>
      <c r="AN29" s="37" t="n">
        <f aca="false">Costs!AN29/FX_EUR</f>
        <v>11689.6191366202</v>
      </c>
      <c r="AO29" s="37" t="n">
        <f aca="false">Costs!AO29/FX_EUR</f>
        <v>13191.7898200644</v>
      </c>
      <c r="AP29" s="37" t="n">
        <f aca="false">Costs!AP29/FX_EUR</f>
        <v>13191.7898200644</v>
      </c>
      <c r="AQ29" s="37" t="n">
        <f aca="false">Costs!AQ29/FX_EUR</f>
        <v>14109.4795466776</v>
      </c>
      <c r="AR29" s="37" t="n">
        <f aca="false">Costs!AR29/FX_EUR</f>
        <v>14109.4795466776</v>
      </c>
      <c r="AS29" s="37" t="n">
        <f aca="false">Costs!AS29/FX_EUR</f>
        <v>16059.5702157306</v>
      </c>
      <c r="AT29" s="37" t="n">
        <f aca="false">Costs!AT29/FX_EUR</f>
        <v>16059.5702157306</v>
      </c>
      <c r="AU29" s="37" t="n">
        <f aca="false">Costs!AU29/FX_EUR</f>
        <v>16059.5702157306</v>
      </c>
      <c r="AV29" s="37" t="n">
        <f aca="false">Costs!AV29/FX_EUR</f>
        <v>16977.2599423438</v>
      </c>
      <c r="AW29" s="37" t="n">
        <f aca="false">Costs!AW29/FX_EUR</f>
        <v>16977.2599423438</v>
      </c>
      <c r="AX29" s="37" t="n">
        <f aca="false">Costs!AX29/FX_EUR</f>
        <v>18927.3506113968</v>
      </c>
      <c r="AY29" s="37" t="n">
        <f aca="false">Costs!AY29/FX_EUR</f>
        <v>18927.3506113968</v>
      </c>
      <c r="AZ29" s="37" t="n">
        <f aca="false">Costs!AZ29/FX_EUR</f>
        <v>19845.04033801</v>
      </c>
      <c r="BA29" s="37" t="n">
        <f aca="false">Costs!BA29/FX_EUR</f>
        <v>20837.2923549105</v>
      </c>
      <c r="BB29" s="37" t="n">
        <f aca="false">Costs!BB29/FX_EUR</f>
        <v>21800.8665678543</v>
      </c>
      <c r="BC29" s="37" t="n">
        <f aca="false">Costs!BC29/FX_EUR</f>
        <v>22884.8875574161</v>
      </c>
      <c r="BD29" s="37" t="n">
        <f aca="false">Costs!BD29/FX_EUR</f>
        <v>23848.46177036</v>
      </c>
      <c r="BE29" s="37" t="n">
        <f aca="false">Costs!BE29/FX_EUR</f>
        <v>23848.46177036</v>
      </c>
      <c r="BF29" s="37" t="n">
        <f aca="false">Costs!BF29/FX_EUR</f>
        <v>25896.0569728656</v>
      </c>
      <c r="BG29" s="37" t="n">
        <f aca="false">Costs!BG29/FX_EUR</f>
        <v>25896.0569728656</v>
      </c>
      <c r="BH29" s="37" t="n">
        <f aca="false">Costs!BH29/FX_EUR</f>
        <v>26859.6311858094</v>
      </c>
      <c r="BI29" s="37" t="n">
        <f aca="false">Costs!BI29/FX_EUR</f>
        <v>26859.6311858094</v>
      </c>
      <c r="BJ29" s="37" t="n">
        <f aca="false">Costs!BJ29/FX_EUR</f>
        <v>28907.2263883151</v>
      </c>
      <c r="BK29" s="37" t="n">
        <f aca="false">Costs!BK29/FX_EUR</f>
        <v>29870.8006012589</v>
      </c>
      <c r="BL29" s="37" t="n">
        <f aca="false">Costs!BL29/FX_EUR</f>
        <v>29870.8006012589</v>
      </c>
    </row>
    <row r="30" customFormat="false" ht="15" hidden="false" customHeight="false" outlineLevel="0" collapsed="false">
      <c r="A30" s="12" t="s">
        <v>668</v>
      </c>
      <c r="B30" s="14" t="s">
        <v>73</v>
      </c>
      <c r="D30" s="55" t="n">
        <f aca="false">Costs!D30/FX_EUR</f>
        <v>162312.166422494</v>
      </c>
      <c r="E30" s="37" t="n">
        <f aca="false">Costs!E30/FX_EUR</f>
        <v>0</v>
      </c>
      <c r="F30" s="37" t="n">
        <f aca="false">Costs!F30/FX_EUR</f>
        <v>0</v>
      </c>
      <c r="G30" s="37" t="n">
        <f aca="false">Costs!G30/FX_EUR</f>
        <v>0</v>
      </c>
      <c r="H30" s="37" t="n">
        <f aca="false">Costs!H30/FX_EUR</f>
        <v>1783.6535016777</v>
      </c>
      <c r="I30" s="37" t="n">
        <f aca="false">Costs!I30/FX_EUR</f>
        <v>2576.38839131224</v>
      </c>
      <c r="J30" s="37" t="n">
        <f aca="false">Costs!J30/FX_EUR</f>
        <v>2576.38839131224</v>
      </c>
      <c r="K30" s="37" t="n">
        <f aca="false">Costs!K30/FX_EUR</f>
        <v>2576.38839131224</v>
      </c>
      <c r="L30" s="37" t="n">
        <f aca="false">Costs!L30/FX_EUR</f>
        <v>2576.38839131224</v>
      </c>
      <c r="M30" s="37" t="n">
        <f aca="false">Costs!M30/FX_EUR</f>
        <v>2576.38839131224</v>
      </c>
      <c r="N30" s="37" t="n">
        <f aca="false">Costs!N30/FX_EUR</f>
        <v>2576.38839131224</v>
      </c>
      <c r="O30" s="37" t="n">
        <f aca="false">Costs!O30/FX_EUR</f>
        <v>2576.38839131224</v>
      </c>
      <c r="P30" s="37" t="n">
        <f aca="false">Costs!P30/FX_EUR</f>
        <v>2576.38839131224</v>
      </c>
      <c r="Q30" s="37" t="n">
        <f aca="false">Costs!Q30/FX_EUR</f>
        <v>2705.20781087785</v>
      </c>
      <c r="R30" s="37" t="n">
        <f aca="false">Costs!R30/FX_EUR</f>
        <v>2705.20781087785</v>
      </c>
      <c r="S30" s="37" t="n">
        <f aca="false">Costs!S30/FX_EUR</f>
        <v>2705.20781087785</v>
      </c>
      <c r="T30" s="37" t="n">
        <f aca="false">Costs!T30/FX_EUR</f>
        <v>2705.20781087785</v>
      </c>
      <c r="U30" s="37" t="n">
        <f aca="false">Costs!U30/FX_EUR</f>
        <v>2705.20781087785</v>
      </c>
      <c r="V30" s="37" t="n">
        <f aca="false">Costs!V30/FX_EUR</f>
        <v>2705.20781087785</v>
      </c>
      <c r="W30" s="37" t="n">
        <f aca="false">Costs!W30/FX_EUR</f>
        <v>2705.20781087785</v>
      </c>
      <c r="X30" s="37" t="n">
        <f aca="false">Costs!X30/FX_EUR</f>
        <v>2705.20781087785</v>
      </c>
      <c r="Y30" s="37" t="n">
        <f aca="false">Costs!Y30/FX_EUR</f>
        <v>2705.20781087785</v>
      </c>
      <c r="Z30" s="37" t="n">
        <f aca="false">Costs!Z30/FX_EUR</f>
        <v>2705.20781087785</v>
      </c>
      <c r="AA30" s="37" t="n">
        <f aca="false">Costs!AA30/FX_EUR</f>
        <v>2705.20781087785</v>
      </c>
      <c r="AB30" s="37" t="n">
        <f aca="false">Costs!AB30/FX_EUR</f>
        <v>2705.20781087785</v>
      </c>
      <c r="AC30" s="37" t="n">
        <f aca="false">Costs!AC30/FX_EUR</f>
        <v>2840.46820142174</v>
      </c>
      <c r="AD30" s="37" t="n">
        <f aca="false">Costs!AD30/FX_EUR</f>
        <v>2840.46820142174</v>
      </c>
      <c r="AE30" s="37" t="n">
        <f aca="false">Costs!AE30/FX_EUR</f>
        <v>2840.46820142174</v>
      </c>
      <c r="AF30" s="37" t="n">
        <f aca="false">Costs!AF30/FX_EUR</f>
        <v>2840.46820142174</v>
      </c>
      <c r="AG30" s="37" t="n">
        <f aca="false">Costs!AG30/FX_EUR</f>
        <v>2840.46820142174</v>
      </c>
      <c r="AH30" s="37" t="n">
        <f aca="false">Costs!AH30/FX_EUR</f>
        <v>2840.46820142174</v>
      </c>
      <c r="AI30" s="37" t="n">
        <f aca="false">Costs!AI30/FX_EUR</f>
        <v>2840.46820142174</v>
      </c>
      <c r="AJ30" s="37" t="n">
        <f aca="false">Costs!AJ30/FX_EUR</f>
        <v>2840.46820142174</v>
      </c>
      <c r="AK30" s="37" t="n">
        <f aca="false">Costs!AK30/FX_EUR</f>
        <v>2840.46820142174</v>
      </c>
      <c r="AL30" s="37" t="n">
        <f aca="false">Costs!AL30/FX_EUR</f>
        <v>2840.46820142174</v>
      </c>
      <c r="AM30" s="37" t="n">
        <f aca="false">Costs!AM30/FX_EUR</f>
        <v>2840.46820142174</v>
      </c>
      <c r="AN30" s="37" t="n">
        <f aca="false">Costs!AN30/FX_EUR</f>
        <v>2840.46820142174</v>
      </c>
      <c r="AO30" s="37" t="n">
        <f aca="false">Costs!AO30/FX_EUR</f>
        <v>2982.49161149283</v>
      </c>
      <c r="AP30" s="37" t="n">
        <f aca="false">Costs!AP30/FX_EUR</f>
        <v>2982.49161149283</v>
      </c>
      <c r="AQ30" s="37" t="n">
        <f aca="false">Costs!AQ30/FX_EUR</f>
        <v>2982.49161149283</v>
      </c>
      <c r="AR30" s="37" t="n">
        <f aca="false">Costs!AR30/FX_EUR</f>
        <v>2982.49161149283</v>
      </c>
      <c r="AS30" s="37" t="n">
        <f aca="false">Costs!AS30/FX_EUR</f>
        <v>2982.49161149283</v>
      </c>
      <c r="AT30" s="37" t="n">
        <f aca="false">Costs!AT30/FX_EUR</f>
        <v>2982.49161149283</v>
      </c>
      <c r="AU30" s="37" t="n">
        <f aca="false">Costs!AU30/FX_EUR</f>
        <v>2982.49161149283</v>
      </c>
      <c r="AV30" s="37" t="n">
        <f aca="false">Costs!AV30/FX_EUR</f>
        <v>2982.49161149283</v>
      </c>
      <c r="AW30" s="37" t="n">
        <f aca="false">Costs!AW30/FX_EUR</f>
        <v>2982.49161149283</v>
      </c>
      <c r="AX30" s="37" t="n">
        <f aca="false">Costs!AX30/FX_EUR</f>
        <v>2982.49161149283</v>
      </c>
      <c r="AY30" s="37" t="n">
        <f aca="false">Costs!AY30/FX_EUR</f>
        <v>2982.49161149283</v>
      </c>
      <c r="AZ30" s="37" t="n">
        <f aca="false">Costs!AZ30/FX_EUR</f>
        <v>2982.49161149283</v>
      </c>
      <c r="BA30" s="37" t="n">
        <f aca="false">Costs!BA30/FX_EUR</f>
        <v>3131.61619206747</v>
      </c>
      <c r="BB30" s="37" t="n">
        <f aca="false">Costs!BB30/FX_EUR</f>
        <v>3131.61619206747</v>
      </c>
      <c r="BC30" s="37" t="n">
        <f aca="false">Costs!BC30/FX_EUR</f>
        <v>3131.61619206747</v>
      </c>
      <c r="BD30" s="37" t="n">
        <f aca="false">Costs!BD30/FX_EUR</f>
        <v>3131.61619206747</v>
      </c>
      <c r="BE30" s="37" t="n">
        <f aca="false">Costs!BE30/FX_EUR</f>
        <v>3131.61619206747</v>
      </c>
      <c r="BF30" s="37" t="n">
        <f aca="false">Costs!BF30/FX_EUR</f>
        <v>3131.61619206747</v>
      </c>
      <c r="BG30" s="37" t="n">
        <f aca="false">Costs!BG30/FX_EUR</f>
        <v>3131.61619206747</v>
      </c>
      <c r="BH30" s="37" t="n">
        <f aca="false">Costs!BH30/FX_EUR</f>
        <v>3131.61619206747</v>
      </c>
      <c r="BI30" s="37" t="n">
        <f aca="false">Costs!BI30/FX_EUR</f>
        <v>3131.61619206747</v>
      </c>
      <c r="BJ30" s="37" t="n">
        <f aca="false">Costs!BJ30/FX_EUR</f>
        <v>3131.61619206747</v>
      </c>
      <c r="BK30" s="37" t="n">
        <f aca="false">Costs!BK30/FX_EUR</f>
        <v>3131.61619206747</v>
      </c>
      <c r="BL30" s="37" t="n">
        <f aca="false">Costs!BL30/FX_EUR</f>
        <v>3131.61619206747</v>
      </c>
    </row>
    <row r="31" customFormat="false" ht="15" hidden="false" customHeight="false" outlineLevel="0" collapsed="false">
      <c r="A31" s="12" t="s">
        <v>660</v>
      </c>
      <c r="B31" s="14" t="s">
        <v>73</v>
      </c>
      <c r="D31" s="55" t="n">
        <f aca="false">Costs!D31/FX_EUR</f>
        <v>197116.230560845</v>
      </c>
      <c r="E31" s="37" t="n">
        <f aca="false">Costs!E31/FX_EUR</f>
        <v>2972.7558361295</v>
      </c>
      <c r="F31" s="37" t="n">
        <f aca="false">Costs!F31/FX_EUR</f>
        <v>2972.7558361295</v>
      </c>
      <c r="G31" s="37" t="n">
        <f aca="false">Costs!G31/FX_EUR</f>
        <v>2972.7558361295</v>
      </c>
      <c r="H31" s="37" t="n">
        <f aca="false">Costs!H31/FX_EUR</f>
        <v>2972.7558361295</v>
      </c>
      <c r="I31" s="37" t="n">
        <f aca="false">Costs!I31/FX_EUR</f>
        <v>2972.7558361295</v>
      </c>
      <c r="J31" s="37" t="n">
        <f aca="false">Costs!J31/FX_EUR</f>
        <v>2972.7558361295</v>
      </c>
      <c r="K31" s="37" t="n">
        <f aca="false">Costs!K31/FX_EUR</f>
        <v>2972.7558361295</v>
      </c>
      <c r="L31" s="37" t="n">
        <f aca="false">Costs!L31/FX_EUR</f>
        <v>2972.7558361295</v>
      </c>
      <c r="M31" s="37" t="n">
        <f aca="false">Costs!M31/FX_EUR</f>
        <v>2972.7558361295</v>
      </c>
      <c r="N31" s="37" t="n">
        <f aca="false">Costs!N31/FX_EUR</f>
        <v>2972.7558361295</v>
      </c>
      <c r="O31" s="37" t="n">
        <f aca="false">Costs!O31/FX_EUR</f>
        <v>2972.7558361295</v>
      </c>
      <c r="P31" s="37" t="n">
        <f aca="false">Costs!P31/FX_EUR</f>
        <v>2972.7558361295</v>
      </c>
      <c r="Q31" s="37" t="n">
        <f aca="false">Costs!Q31/FX_EUR</f>
        <v>3121.39362793598</v>
      </c>
      <c r="R31" s="37" t="n">
        <f aca="false">Costs!R31/FX_EUR</f>
        <v>3121.39362793598</v>
      </c>
      <c r="S31" s="37" t="n">
        <f aca="false">Costs!S31/FX_EUR</f>
        <v>3121.39362793598</v>
      </c>
      <c r="T31" s="37" t="n">
        <f aca="false">Costs!T31/FX_EUR</f>
        <v>3121.39362793598</v>
      </c>
      <c r="U31" s="37" t="n">
        <f aca="false">Costs!U31/FX_EUR</f>
        <v>3121.39362793598</v>
      </c>
      <c r="V31" s="37" t="n">
        <f aca="false">Costs!V31/FX_EUR</f>
        <v>3121.39362793598</v>
      </c>
      <c r="W31" s="37" t="n">
        <f aca="false">Costs!W31/FX_EUR</f>
        <v>3121.39362793598</v>
      </c>
      <c r="X31" s="37" t="n">
        <f aca="false">Costs!X31/FX_EUR</f>
        <v>3121.39362793598</v>
      </c>
      <c r="Y31" s="37" t="n">
        <f aca="false">Costs!Y31/FX_EUR</f>
        <v>3121.39362793598</v>
      </c>
      <c r="Z31" s="37" t="n">
        <f aca="false">Costs!Z31/FX_EUR</f>
        <v>3121.39362793598</v>
      </c>
      <c r="AA31" s="37" t="n">
        <f aca="false">Costs!AA31/FX_EUR</f>
        <v>3121.39362793598</v>
      </c>
      <c r="AB31" s="37" t="n">
        <f aca="false">Costs!AB31/FX_EUR</f>
        <v>3121.39362793598</v>
      </c>
      <c r="AC31" s="37" t="n">
        <f aca="false">Costs!AC31/FX_EUR</f>
        <v>3277.46330933278</v>
      </c>
      <c r="AD31" s="37" t="n">
        <f aca="false">Costs!AD31/FX_EUR</f>
        <v>3277.46330933278</v>
      </c>
      <c r="AE31" s="37" t="n">
        <f aca="false">Costs!AE31/FX_EUR</f>
        <v>3277.46330933278</v>
      </c>
      <c r="AF31" s="37" t="n">
        <f aca="false">Costs!AF31/FX_EUR</f>
        <v>3277.46330933278</v>
      </c>
      <c r="AG31" s="37" t="n">
        <f aca="false">Costs!AG31/FX_EUR</f>
        <v>3277.46330933278</v>
      </c>
      <c r="AH31" s="37" t="n">
        <f aca="false">Costs!AH31/FX_EUR</f>
        <v>3277.46330933278</v>
      </c>
      <c r="AI31" s="37" t="n">
        <f aca="false">Costs!AI31/FX_EUR</f>
        <v>3277.46330933278</v>
      </c>
      <c r="AJ31" s="37" t="n">
        <f aca="false">Costs!AJ31/FX_EUR</f>
        <v>3277.46330933278</v>
      </c>
      <c r="AK31" s="37" t="n">
        <f aca="false">Costs!AK31/FX_EUR</f>
        <v>3277.46330933278</v>
      </c>
      <c r="AL31" s="37" t="n">
        <f aca="false">Costs!AL31/FX_EUR</f>
        <v>3277.46330933278</v>
      </c>
      <c r="AM31" s="37" t="n">
        <f aca="false">Costs!AM31/FX_EUR</f>
        <v>3277.46330933278</v>
      </c>
      <c r="AN31" s="37" t="n">
        <f aca="false">Costs!AN31/FX_EUR</f>
        <v>3277.46330933278</v>
      </c>
      <c r="AO31" s="37" t="n">
        <f aca="false">Costs!AO31/FX_EUR</f>
        <v>3441.33647479942</v>
      </c>
      <c r="AP31" s="37" t="n">
        <f aca="false">Costs!AP31/FX_EUR</f>
        <v>3441.33647479942</v>
      </c>
      <c r="AQ31" s="37" t="n">
        <f aca="false">Costs!AQ31/FX_EUR</f>
        <v>3441.33647479942</v>
      </c>
      <c r="AR31" s="37" t="n">
        <f aca="false">Costs!AR31/FX_EUR</f>
        <v>3441.33647479942</v>
      </c>
      <c r="AS31" s="37" t="n">
        <f aca="false">Costs!AS31/FX_EUR</f>
        <v>3441.33647479942</v>
      </c>
      <c r="AT31" s="37" t="n">
        <f aca="false">Costs!AT31/FX_EUR</f>
        <v>3441.33647479942</v>
      </c>
      <c r="AU31" s="37" t="n">
        <f aca="false">Costs!AU31/FX_EUR</f>
        <v>3441.33647479942</v>
      </c>
      <c r="AV31" s="37" t="n">
        <f aca="false">Costs!AV31/FX_EUR</f>
        <v>3441.33647479942</v>
      </c>
      <c r="AW31" s="37" t="n">
        <f aca="false">Costs!AW31/FX_EUR</f>
        <v>3441.33647479942</v>
      </c>
      <c r="AX31" s="37" t="n">
        <f aca="false">Costs!AX31/FX_EUR</f>
        <v>3441.33647479942</v>
      </c>
      <c r="AY31" s="37" t="n">
        <f aca="false">Costs!AY31/FX_EUR</f>
        <v>3441.33647479942</v>
      </c>
      <c r="AZ31" s="37" t="n">
        <f aca="false">Costs!AZ31/FX_EUR</f>
        <v>3441.33647479942</v>
      </c>
      <c r="BA31" s="37" t="n">
        <f aca="false">Costs!BA31/FX_EUR</f>
        <v>3613.40329853939</v>
      </c>
      <c r="BB31" s="37" t="n">
        <f aca="false">Costs!BB31/FX_EUR</f>
        <v>3613.40329853939</v>
      </c>
      <c r="BC31" s="37" t="n">
        <f aca="false">Costs!BC31/FX_EUR</f>
        <v>3613.40329853939</v>
      </c>
      <c r="BD31" s="37" t="n">
        <f aca="false">Costs!BD31/FX_EUR</f>
        <v>3613.40329853939</v>
      </c>
      <c r="BE31" s="37" t="n">
        <f aca="false">Costs!BE31/FX_EUR</f>
        <v>3613.40329853939</v>
      </c>
      <c r="BF31" s="37" t="n">
        <f aca="false">Costs!BF31/FX_EUR</f>
        <v>3613.40329853939</v>
      </c>
      <c r="BG31" s="37" t="n">
        <f aca="false">Costs!BG31/FX_EUR</f>
        <v>3613.40329853939</v>
      </c>
      <c r="BH31" s="37" t="n">
        <f aca="false">Costs!BH31/FX_EUR</f>
        <v>3613.40329853939</v>
      </c>
      <c r="BI31" s="37" t="n">
        <f aca="false">Costs!BI31/FX_EUR</f>
        <v>3613.40329853939</v>
      </c>
      <c r="BJ31" s="37" t="n">
        <f aca="false">Costs!BJ31/FX_EUR</f>
        <v>3613.40329853939</v>
      </c>
      <c r="BK31" s="37" t="n">
        <f aca="false">Costs!BK31/FX_EUR</f>
        <v>3613.40329853939</v>
      </c>
      <c r="BL31" s="37" t="n">
        <f aca="false">Costs!BL31/FX_EUR</f>
        <v>3613.40329853939</v>
      </c>
    </row>
    <row r="32" customFormat="false" ht="15" hidden="false" customHeight="false" outlineLevel="0" collapsed="false">
      <c r="A32" s="8" t="s">
        <v>820</v>
      </c>
      <c r="B32" s="14" t="s">
        <v>73</v>
      </c>
      <c r="D32" s="55" t="n">
        <f aca="false">Costs!D32/FX_EUR</f>
        <v>3297353.80186887</v>
      </c>
      <c r="E32" s="16" t="n">
        <f aca="false">Costs!E32/FX_EUR</f>
        <v>15061.9629030561</v>
      </c>
      <c r="F32" s="16" t="n">
        <f aca="false">Costs!F32/FX_EUR</f>
        <v>15061.9629030561</v>
      </c>
      <c r="G32" s="16" t="n">
        <f aca="false">Costs!G32/FX_EUR</f>
        <v>15061.9629030561</v>
      </c>
      <c r="H32" s="16" t="n">
        <f aca="false">Costs!H32/FX_EUR</f>
        <v>19422.0047960461</v>
      </c>
      <c r="I32" s="16" t="n">
        <f aca="false">Costs!I32/FX_EUR</f>
        <v>20214.7396856806</v>
      </c>
      <c r="J32" s="16" t="n">
        <f aca="false">Costs!J32/FX_EUR</f>
        <v>20214.7396856806</v>
      </c>
      <c r="K32" s="16" t="n">
        <f aca="false">Costs!K32/FX_EUR</f>
        <v>20214.7396856806</v>
      </c>
      <c r="L32" s="16" t="n">
        <f aca="false">Costs!L32/FX_EUR</f>
        <v>20214.7396856806</v>
      </c>
      <c r="M32" s="16" t="n">
        <f aca="false">Costs!M32/FX_EUR</f>
        <v>20214.7396856806</v>
      </c>
      <c r="N32" s="16" t="n">
        <f aca="false">Costs!N32/FX_EUR</f>
        <v>20214.7396856806</v>
      </c>
      <c r="O32" s="16" t="n">
        <f aca="false">Costs!O32/FX_EUR</f>
        <v>20214.7396856806</v>
      </c>
      <c r="P32" s="16" t="n">
        <f aca="false">Costs!P32/FX_EUR</f>
        <v>20214.7396856806</v>
      </c>
      <c r="Q32" s="16" t="n">
        <f aca="false">Costs!Q32/FX_EUR</f>
        <v>26427.7993831913</v>
      </c>
      <c r="R32" s="16" t="n">
        <f aca="false">Costs!R32/FX_EUR</f>
        <v>26427.7993831913</v>
      </c>
      <c r="S32" s="16" t="n">
        <f aca="false">Costs!S32/FX_EUR</f>
        <v>26427.7993831913</v>
      </c>
      <c r="T32" s="16" t="n">
        <f aca="false">Costs!T32/FX_EUR</f>
        <v>27676.3568343657</v>
      </c>
      <c r="U32" s="16" t="n">
        <f aca="false">Costs!U32/FX_EUR</f>
        <v>27676.3568343657</v>
      </c>
      <c r="V32" s="16" t="n">
        <f aca="false">Costs!V32/FX_EUR</f>
        <v>36208.1660840573</v>
      </c>
      <c r="W32" s="16" t="n">
        <f aca="false">Costs!W32/FX_EUR</f>
        <v>36728.39835538</v>
      </c>
      <c r="X32" s="16" t="n">
        <f aca="false">Costs!X32/FX_EUR</f>
        <v>36728.39835538</v>
      </c>
      <c r="Y32" s="16" t="n">
        <f aca="false">Costs!Y32/FX_EUR</f>
        <v>36728.39835538</v>
      </c>
      <c r="Z32" s="16" t="n">
        <f aca="false">Costs!Z32/FX_EUR</f>
        <v>36728.39835538</v>
      </c>
      <c r="AA32" s="16" t="n">
        <f aca="false">Costs!AA32/FX_EUR</f>
        <v>38081.0022608189</v>
      </c>
      <c r="AB32" s="16" t="n">
        <f aca="false">Costs!AB32/FX_EUR</f>
        <v>41202.3958887549</v>
      </c>
      <c r="AC32" s="16" t="n">
        <f aca="false">Costs!AC32/FX_EUR</f>
        <v>43262.5156831927</v>
      </c>
      <c r="AD32" s="16" t="n">
        <f aca="false">Costs!AD32/FX_EUR</f>
        <v>43262.5156831927</v>
      </c>
      <c r="AE32" s="16" t="n">
        <f aca="false">Costs!AE32/FX_EUR</f>
        <v>47304.7204313697</v>
      </c>
      <c r="AF32" s="16" t="n">
        <f aca="false">Costs!AF32/FX_EUR</f>
        <v>48615.7057551029</v>
      </c>
      <c r="AG32" s="16" t="n">
        <f aca="false">Costs!AG32/FX_EUR</f>
        <v>50254.4374097692</v>
      </c>
      <c r="AH32" s="16" t="n">
        <f aca="false">Costs!AH32/FX_EUR</f>
        <v>50254.4374097692</v>
      </c>
      <c r="AI32" s="16" t="n">
        <f aca="false">Costs!AI32/FX_EUR</f>
        <v>51674.6715104801</v>
      </c>
      <c r="AJ32" s="16" t="n">
        <f aca="false">Costs!AJ32/FX_EUR</f>
        <v>52220.9153953689</v>
      </c>
      <c r="AK32" s="16" t="n">
        <f aca="false">Costs!AK32/FX_EUR</f>
        <v>53531.900719102</v>
      </c>
      <c r="AL32" s="16" t="n">
        <f aca="false">Costs!AL32/FX_EUR</f>
        <v>54952.1348198129</v>
      </c>
      <c r="AM32" s="16" t="n">
        <f aca="false">Costs!AM32/FX_EUR</f>
        <v>55935.3738126127</v>
      </c>
      <c r="AN32" s="16" t="n">
        <f aca="false">Costs!AN32/FX_EUR</f>
        <v>56481.6176975015</v>
      </c>
      <c r="AO32" s="16" t="n">
        <f aca="false">Costs!AO32/FX_EUR</f>
        <v>64926.5481578823</v>
      </c>
      <c r="AP32" s="16" t="n">
        <f aca="false">Costs!AP32/FX_EUR</f>
        <v>64926.5481578823</v>
      </c>
      <c r="AQ32" s="16" t="n">
        <f aca="false">Costs!AQ32/FX_EUR</f>
        <v>66417.7939636287</v>
      </c>
      <c r="AR32" s="16" t="n">
        <f aca="false">Costs!AR32/FX_EUR</f>
        <v>66991.350042762</v>
      </c>
      <c r="AS32" s="16" t="n">
        <f aca="false">Costs!AS32/FX_EUR</f>
        <v>70891.531380868</v>
      </c>
      <c r="AT32" s="16" t="n">
        <f aca="false">Costs!AT32/FX_EUR</f>
        <v>70891.531380868</v>
      </c>
      <c r="AU32" s="16" t="n">
        <f aca="false">Costs!AU32/FX_EUR</f>
        <v>71465.0874600012</v>
      </c>
      <c r="AV32" s="16" t="n">
        <f aca="false">Costs!AV32/FX_EUR</f>
        <v>72956.3332657476</v>
      </c>
      <c r="AW32" s="16" t="n">
        <f aca="false">Costs!AW32/FX_EUR</f>
        <v>76282.9585247204</v>
      </c>
      <c r="AX32" s="16" t="n">
        <f aca="false">Costs!AX32/FX_EUR</f>
        <v>80183.1398628264</v>
      </c>
      <c r="AY32" s="16" t="n">
        <f aca="false">Costs!AY32/FX_EUR</f>
        <v>80183.1398628264</v>
      </c>
      <c r="AZ32" s="16" t="n">
        <f aca="false">Costs!AZ32/FX_EUR</f>
        <v>81674.3856685728</v>
      </c>
      <c r="BA32" s="16" t="n">
        <f aca="false">Costs!BA32/FX_EUR</f>
        <v>86360.3388350913</v>
      </c>
      <c r="BB32" s="16" t="n">
        <f aca="false">Costs!BB32/FX_EUR</f>
        <v>89371.5082505408</v>
      </c>
      <c r="BC32" s="16" t="n">
        <f aca="false">Costs!BC32/FX_EUR</f>
        <v>91057.7631231926</v>
      </c>
      <c r="BD32" s="16" t="n">
        <f aca="false">Costs!BD32/FX_EUR</f>
        <v>95514.2938580578</v>
      </c>
      <c r="BE32" s="16" t="n">
        <f aca="false">Costs!BE32/FX_EUR</f>
        <v>96116.5277411477</v>
      </c>
      <c r="BF32" s="16" t="n">
        <f aca="false">Costs!BF32/FX_EUR</f>
        <v>100211.718146159</v>
      </c>
      <c r="BG32" s="16" t="n">
        <f aca="false">Costs!BG32/FX_EUR</f>
        <v>100813.952029249</v>
      </c>
      <c r="BH32" s="16" t="n">
        <f aca="false">Costs!BH32/FX_EUR</f>
        <v>102379.760125283</v>
      </c>
      <c r="BI32" s="16" t="n">
        <f aca="false">Costs!BI32/FX_EUR</f>
        <v>102981.994008373</v>
      </c>
      <c r="BJ32" s="16" t="n">
        <f aca="false">Costs!BJ32/FX_EUR</f>
        <v>109967.907052215</v>
      </c>
      <c r="BK32" s="16" t="n">
        <f aca="false">Costs!BK32/FX_EUR</f>
        <v>111533.715148249</v>
      </c>
      <c r="BL32" s="16" t="n">
        <f aca="false">Costs!BL32/FX_EUR</f>
        <v>112135.949031339</v>
      </c>
    </row>
    <row r="34" customFormat="false" ht="15" hidden="false" customHeight="false" outlineLevel="0" collapsed="false">
      <c r="A34" s="10" t="s">
        <v>821</v>
      </c>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c r="BC34" s="11"/>
      <c r="BD34" s="11"/>
      <c r="BE34" s="11"/>
      <c r="BF34" s="11"/>
      <c r="BG34" s="11"/>
      <c r="BH34" s="11"/>
      <c r="BI34" s="11"/>
      <c r="BJ34" s="11"/>
      <c r="BK34" s="11"/>
      <c r="BL34" s="11"/>
    </row>
    <row r="35" customFormat="false" ht="15" hidden="false" customHeight="false" outlineLevel="0" collapsed="false">
      <c r="A35" s="12" t="s">
        <v>822</v>
      </c>
      <c r="B35" s="14" t="s">
        <v>73</v>
      </c>
      <c r="D35" s="55" t="n">
        <f aca="false">Costs!D35/FX_EUR</f>
        <v>564900</v>
      </c>
      <c r="E35" s="37" t="n">
        <f aca="false">Costs!E35/FX_EUR</f>
        <v>1500</v>
      </c>
      <c r="F35" s="37" t="n">
        <f aca="false">Costs!F35/FX_EUR</f>
        <v>1500</v>
      </c>
      <c r="G35" s="37" t="n">
        <f aca="false">Costs!G35/FX_EUR</f>
        <v>1500</v>
      </c>
      <c r="H35" s="37" t="n">
        <f aca="false">Costs!H35/FX_EUR</f>
        <v>3000</v>
      </c>
      <c r="I35" s="37" t="n">
        <f aca="false">Costs!I35/FX_EUR</f>
        <v>3300</v>
      </c>
      <c r="J35" s="37" t="n">
        <f aca="false">Costs!J35/FX_EUR</f>
        <v>3300</v>
      </c>
      <c r="K35" s="37" t="n">
        <f aca="false">Costs!K35/FX_EUR</f>
        <v>3300</v>
      </c>
      <c r="L35" s="37" t="n">
        <f aca="false">Costs!L35/FX_EUR</f>
        <v>3300</v>
      </c>
      <c r="M35" s="37" t="n">
        <f aca="false">Costs!M35/FX_EUR</f>
        <v>3300</v>
      </c>
      <c r="N35" s="37" t="n">
        <f aca="false">Costs!N35/FX_EUR</f>
        <v>3300</v>
      </c>
      <c r="O35" s="37" t="n">
        <f aca="false">Costs!O35/FX_EUR</f>
        <v>3300</v>
      </c>
      <c r="P35" s="37" t="n">
        <f aca="false">Costs!P35/FX_EUR</f>
        <v>3300</v>
      </c>
      <c r="Q35" s="37" t="n">
        <f aca="false">Costs!Q35/FX_EUR</f>
        <v>3600</v>
      </c>
      <c r="R35" s="37" t="n">
        <f aca="false">Costs!R35/FX_EUR</f>
        <v>3600</v>
      </c>
      <c r="S35" s="37" t="n">
        <f aca="false">Costs!S35/FX_EUR</f>
        <v>3600</v>
      </c>
      <c r="T35" s="37" t="n">
        <f aca="false">Costs!T35/FX_EUR</f>
        <v>3900</v>
      </c>
      <c r="U35" s="37" t="n">
        <f aca="false">Costs!U35/FX_EUR</f>
        <v>3900</v>
      </c>
      <c r="V35" s="37" t="n">
        <f aca="false">Costs!V35/FX_EUR</f>
        <v>4200</v>
      </c>
      <c r="W35" s="37" t="n">
        <f aca="false">Costs!W35/FX_EUR</f>
        <v>4500</v>
      </c>
      <c r="X35" s="37" t="n">
        <f aca="false">Costs!X35/FX_EUR</f>
        <v>4500</v>
      </c>
      <c r="Y35" s="37" t="n">
        <f aca="false">Costs!Y35/FX_EUR</f>
        <v>4500</v>
      </c>
      <c r="Z35" s="37" t="n">
        <f aca="false">Costs!Z35/FX_EUR</f>
        <v>4500</v>
      </c>
      <c r="AA35" s="37" t="n">
        <f aca="false">Costs!AA35/FX_EUR</f>
        <v>5100</v>
      </c>
      <c r="AB35" s="37" t="n">
        <f aca="false">Costs!AB35/FX_EUR</f>
        <v>5400</v>
      </c>
      <c r="AC35" s="37" t="n">
        <f aca="false">Costs!AC35/FX_EUR</f>
        <v>5400</v>
      </c>
      <c r="AD35" s="37" t="n">
        <f aca="false">Costs!AD35/FX_EUR</f>
        <v>5400</v>
      </c>
      <c r="AE35" s="37" t="n">
        <f aca="false">Costs!AE35/FX_EUR</f>
        <v>6300</v>
      </c>
      <c r="AF35" s="37" t="n">
        <f aca="false">Costs!AF35/FX_EUR</f>
        <v>6600</v>
      </c>
      <c r="AG35" s="37" t="n">
        <f aca="false">Costs!AG35/FX_EUR</f>
        <v>7500</v>
      </c>
      <c r="AH35" s="37" t="n">
        <f aca="false">Costs!AH35/FX_EUR</f>
        <v>7500</v>
      </c>
      <c r="AI35" s="37" t="n">
        <f aca="false">Costs!AI35/FX_EUR</f>
        <v>8100</v>
      </c>
      <c r="AJ35" s="37" t="n">
        <f aca="false">Costs!AJ35/FX_EUR</f>
        <v>8400</v>
      </c>
      <c r="AK35" s="37" t="n">
        <f aca="false">Costs!AK35/FX_EUR</f>
        <v>8700</v>
      </c>
      <c r="AL35" s="37" t="n">
        <f aca="false">Costs!AL35/FX_EUR</f>
        <v>9300</v>
      </c>
      <c r="AM35" s="37" t="n">
        <f aca="false">Costs!AM35/FX_EUR</f>
        <v>9300</v>
      </c>
      <c r="AN35" s="37" t="n">
        <f aca="false">Costs!AN35/FX_EUR</f>
        <v>9600</v>
      </c>
      <c r="AO35" s="37" t="n">
        <f aca="false">Costs!AO35/FX_EUR</f>
        <v>10800</v>
      </c>
      <c r="AP35" s="37" t="n">
        <f aca="false">Costs!AP35/FX_EUR</f>
        <v>10800</v>
      </c>
      <c r="AQ35" s="37" t="n">
        <f aca="false">Costs!AQ35/FX_EUR</f>
        <v>11400</v>
      </c>
      <c r="AR35" s="37" t="n">
        <f aca="false">Costs!AR35/FX_EUR</f>
        <v>11700</v>
      </c>
      <c r="AS35" s="37" t="n">
        <f aca="false">Costs!AS35/FX_EUR</f>
        <v>12600</v>
      </c>
      <c r="AT35" s="37" t="n">
        <f aca="false">Costs!AT35/FX_EUR</f>
        <v>12600</v>
      </c>
      <c r="AU35" s="37" t="n">
        <f aca="false">Costs!AU35/FX_EUR</f>
        <v>12900</v>
      </c>
      <c r="AV35" s="37" t="n">
        <f aca="false">Costs!AV35/FX_EUR</f>
        <v>13500</v>
      </c>
      <c r="AW35" s="37" t="n">
        <f aca="false">Costs!AW35/FX_EUR</f>
        <v>14100</v>
      </c>
      <c r="AX35" s="37" t="n">
        <f aca="false">Costs!AX35/FX_EUR</f>
        <v>15000</v>
      </c>
      <c r="AY35" s="37" t="n">
        <f aca="false">Costs!AY35/FX_EUR</f>
        <v>15000</v>
      </c>
      <c r="AZ35" s="37" t="n">
        <f aca="false">Costs!AZ35/FX_EUR</f>
        <v>15600</v>
      </c>
      <c r="BA35" s="37" t="n">
        <f aca="false">Costs!BA35/FX_EUR</f>
        <v>15900</v>
      </c>
      <c r="BB35" s="37" t="n">
        <f aca="false">Costs!BB35/FX_EUR</f>
        <v>16800</v>
      </c>
      <c r="BC35" s="37" t="n">
        <f aca="false">Costs!BC35/FX_EUR</f>
        <v>17100</v>
      </c>
      <c r="BD35" s="37" t="n">
        <f aca="false">Costs!BD35/FX_EUR</f>
        <v>18000</v>
      </c>
      <c r="BE35" s="37" t="n">
        <f aca="false">Costs!BE35/FX_EUR</f>
        <v>18300</v>
      </c>
      <c r="BF35" s="37" t="n">
        <f aca="false">Costs!BF35/FX_EUR</f>
        <v>19200</v>
      </c>
      <c r="BG35" s="37" t="n">
        <f aca="false">Costs!BG35/FX_EUR</f>
        <v>19500</v>
      </c>
      <c r="BH35" s="37" t="n">
        <f aca="false">Costs!BH35/FX_EUR</f>
        <v>20100</v>
      </c>
      <c r="BI35" s="37" t="n">
        <f aca="false">Costs!BI35/FX_EUR</f>
        <v>20400</v>
      </c>
      <c r="BJ35" s="37" t="n">
        <f aca="false">Costs!BJ35/FX_EUR</f>
        <v>21600</v>
      </c>
      <c r="BK35" s="37" t="n">
        <f aca="false">Costs!BK35/FX_EUR</f>
        <v>22200</v>
      </c>
      <c r="BL35" s="37" t="n">
        <f aca="false">Costs!BL35/FX_EUR</f>
        <v>22500</v>
      </c>
    </row>
    <row r="36" customFormat="false" ht="15" hidden="false" customHeight="false" outlineLevel="0" collapsed="false">
      <c r="A36" s="12" t="s">
        <v>823</v>
      </c>
      <c r="B36" s="14" t="s">
        <v>73</v>
      </c>
      <c r="D36" s="55" t="n">
        <f aca="false">Costs!D36/FX_EUR</f>
        <v>63000</v>
      </c>
      <c r="E36" s="37" t="n">
        <f aca="false">Costs!E36/FX_EUR</f>
        <v>0</v>
      </c>
      <c r="F36" s="37" t="n">
        <f aca="false">Costs!F36/FX_EUR</f>
        <v>0</v>
      </c>
      <c r="G36" s="37" t="n">
        <f aca="false">Costs!G36/FX_EUR</f>
        <v>0</v>
      </c>
      <c r="H36" s="37" t="n">
        <f aca="false">Costs!H36/FX_EUR</f>
        <v>0</v>
      </c>
      <c r="I36" s="37" t="n">
        <f aca="false">Costs!I36/FX_EUR</f>
        <v>0</v>
      </c>
      <c r="J36" s="37" t="n">
        <f aca="false">Costs!J36/FX_EUR</f>
        <v>0</v>
      </c>
      <c r="K36" s="37" t="n">
        <f aca="false">Costs!K36/FX_EUR</f>
        <v>0</v>
      </c>
      <c r="L36" s="37" t="n">
        <f aca="false">Costs!L36/FX_EUR</f>
        <v>0</v>
      </c>
      <c r="M36" s="37" t="n">
        <f aca="false">Costs!M36/FX_EUR</f>
        <v>0</v>
      </c>
      <c r="N36" s="37" t="n">
        <f aca="false">Costs!N36/FX_EUR</f>
        <v>0</v>
      </c>
      <c r="O36" s="37" t="n">
        <f aca="false">Costs!O36/FX_EUR</f>
        <v>0</v>
      </c>
      <c r="P36" s="37" t="n">
        <f aca="false">Costs!P36/FX_EUR</f>
        <v>0</v>
      </c>
      <c r="Q36" s="37" t="n">
        <f aca="false">Costs!Q36/FX_EUR</f>
        <v>0</v>
      </c>
      <c r="R36" s="37" t="n">
        <f aca="false">Costs!R36/FX_EUR</f>
        <v>0</v>
      </c>
      <c r="S36" s="37" t="n">
        <f aca="false">Costs!S36/FX_EUR</f>
        <v>0</v>
      </c>
      <c r="T36" s="37" t="n">
        <f aca="false">Costs!T36/FX_EUR</f>
        <v>0</v>
      </c>
      <c r="U36" s="37" t="n">
        <f aca="false">Costs!U36/FX_EUR</f>
        <v>0</v>
      </c>
      <c r="V36" s="37" t="n">
        <f aca="false">Costs!V36/FX_EUR</f>
        <v>900</v>
      </c>
      <c r="W36" s="37" t="n">
        <f aca="false">Costs!W36/FX_EUR</f>
        <v>900</v>
      </c>
      <c r="X36" s="37" t="n">
        <f aca="false">Costs!X36/FX_EUR</f>
        <v>900</v>
      </c>
      <c r="Y36" s="37" t="n">
        <f aca="false">Costs!Y36/FX_EUR</f>
        <v>900</v>
      </c>
      <c r="Z36" s="37" t="n">
        <f aca="false">Costs!Z36/FX_EUR</f>
        <v>900</v>
      </c>
      <c r="AA36" s="37" t="n">
        <f aca="false">Costs!AA36/FX_EUR</f>
        <v>900</v>
      </c>
      <c r="AB36" s="37" t="n">
        <f aca="false">Costs!AB36/FX_EUR</f>
        <v>900</v>
      </c>
      <c r="AC36" s="37" t="n">
        <f aca="false">Costs!AC36/FX_EUR</f>
        <v>900</v>
      </c>
      <c r="AD36" s="37" t="n">
        <f aca="false">Costs!AD36/FX_EUR</f>
        <v>900</v>
      </c>
      <c r="AE36" s="37" t="n">
        <f aca="false">Costs!AE36/FX_EUR</f>
        <v>900</v>
      </c>
      <c r="AF36" s="37" t="n">
        <f aca="false">Costs!AF36/FX_EUR</f>
        <v>900</v>
      </c>
      <c r="AG36" s="37" t="n">
        <f aca="false">Costs!AG36/FX_EUR</f>
        <v>900</v>
      </c>
      <c r="AH36" s="37" t="n">
        <f aca="false">Costs!AH36/FX_EUR</f>
        <v>900</v>
      </c>
      <c r="AI36" s="37" t="n">
        <f aca="false">Costs!AI36/FX_EUR</f>
        <v>900</v>
      </c>
      <c r="AJ36" s="37" t="n">
        <f aca="false">Costs!AJ36/FX_EUR</f>
        <v>900</v>
      </c>
      <c r="AK36" s="37" t="n">
        <f aca="false">Costs!AK36/FX_EUR</f>
        <v>900</v>
      </c>
      <c r="AL36" s="37" t="n">
        <f aca="false">Costs!AL36/FX_EUR</f>
        <v>900</v>
      </c>
      <c r="AM36" s="37" t="n">
        <f aca="false">Costs!AM36/FX_EUR</f>
        <v>1200</v>
      </c>
      <c r="AN36" s="37" t="n">
        <f aca="false">Costs!AN36/FX_EUR</f>
        <v>1200</v>
      </c>
      <c r="AO36" s="37" t="n">
        <f aca="false">Costs!AO36/FX_EUR</f>
        <v>1200</v>
      </c>
      <c r="AP36" s="37" t="n">
        <f aca="false">Costs!AP36/FX_EUR</f>
        <v>1200</v>
      </c>
      <c r="AQ36" s="37" t="n">
        <f aca="false">Costs!AQ36/FX_EUR</f>
        <v>1200</v>
      </c>
      <c r="AR36" s="37" t="n">
        <f aca="false">Costs!AR36/FX_EUR</f>
        <v>1200</v>
      </c>
      <c r="AS36" s="37" t="n">
        <f aca="false">Costs!AS36/FX_EUR</f>
        <v>1500</v>
      </c>
      <c r="AT36" s="37" t="n">
        <f aca="false">Costs!AT36/FX_EUR</f>
        <v>1500</v>
      </c>
      <c r="AU36" s="37" t="n">
        <f aca="false">Costs!AU36/FX_EUR</f>
        <v>1500</v>
      </c>
      <c r="AV36" s="37" t="n">
        <f aca="false">Costs!AV36/FX_EUR</f>
        <v>1500</v>
      </c>
      <c r="AW36" s="37" t="n">
        <f aca="false">Costs!AW36/FX_EUR</f>
        <v>1500</v>
      </c>
      <c r="AX36" s="37" t="n">
        <f aca="false">Costs!AX36/FX_EUR</f>
        <v>1800</v>
      </c>
      <c r="AY36" s="37" t="n">
        <f aca="false">Costs!AY36/FX_EUR</f>
        <v>1800</v>
      </c>
      <c r="AZ36" s="37" t="n">
        <f aca="false">Costs!AZ36/FX_EUR</f>
        <v>1800</v>
      </c>
      <c r="BA36" s="37" t="n">
        <f aca="false">Costs!BA36/FX_EUR</f>
        <v>1800</v>
      </c>
      <c r="BB36" s="37" t="n">
        <f aca="false">Costs!BB36/FX_EUR</f>
        <v>1800</v>
      </c>
      <c r="BC36" s="37" t="n">
        <f aca="false">Costs!BC36/FX_EUR</f>
        <v>2100</v>
      </c>
      <c r="BD36" s="37" t="n">
        <f aca="false">Costs!BD36/FX_EUR</f>
        <v>2100</v>
      </c>
      <c r="BE36" s="37" t="n">
        <f aca="false">Costs!BE36/FX_EUR</f>
        <v>2100</v>
      </c>
      <c r="BF36" s="37" t="n">
        <f aca="false">Costs!BF36/FX_EUR</f>
        <v>2400</v>
      </c>
      <c r="BG36" s="37" t="n">
        <f aca="false">Costs!BG36/FX_EUR</f>
        <v>2400</v>
      </c>
      <c r="BH36" s="37" t="n">
        <f aca="false">Costs!BH36/FX_EUR</f>
        <v>2400</v>
      </c>
      <c r="BI36" s="37" t="n">
        <f aca="false">Costs!BI36/FX_EUR</f>
        <v>2400</v>
      </c>
      <c r="BJ36" s="37" t="n">
        <f aca="false">Costs!BJ36/FX_EUR</f>
        <v>2700</v>
      </c>
      <c r="BK36" s="37" t="n">
        <f aca="false">Costs!BK36/FX_EUR</f>
        <v>2700</v>
      </c>
      <c r="BL36" s="37" t="n">
        <f aca="false">Costs!BL36/FX_EUR</f>
        <v>2700</v>
      </c>
    </row>
    <row r="37" customFormat="false" ht="15" hidden="false" customHeight="false" outlineLevel="0" collapsed="false">
      <c r="A37" s="12" t="s">
        <v>824</v>
      </c>
      <c r="B37" s="14" t="s">
        <v>73</v>
      </c>
      <c r="D37" s="55" t="n">
        <f aca="false">Costs!D37/FX_EUR</f>
        <v>15953.789653895</v>
      </c>
      <c r="E37" s="37" t="n">
        <f aca="false">Costs!E37/FX_EUR</f>
        <v>38.1122543093526</v>
      </c>
      <c r="F37" s="37" t="n">
        <f aca="false">Costs!F37/FX_EUR</f>
        <v>38.1122543093526</v>
      </c>
      <c r="G37" s="37" t="n">
        <f aca="false">Costs!G37/FX_EUR</f>
        <v>38.1122543093526</v>
      </c>
      <c r="H37" s="37" t="n">
        <f aca="false">Costs!H37/FX_EUR</f>
        <v>76.2245086187052</v>
      </c>
      <c r="I37" s="37" t="n">
        <f aca="false">Costs!I37/FX_EUR</f>
        <v>83.8469594805757</v>
      </c>
      <c r="J37" s="37" t="n">
        <f aca="false">Costs!J37/FX_EUR</f>
        <v>83.8469594805757</v>
      </c>
      <c r="K37" s="37" t="n">
        <f aca="false">Costs!K37/FX_EUR</f>
        <v>83.8469594805757</v>
      </c>
      <c r="L37" s="37" t="n">
        <f aca="false">Costs!L37/FX_EUR</f>
        <v>83.8469594805757</v>
      </c>
      <c r="M37" s="37" t="n">
        <f aca="false">Costs!M37/FX_EUR</f>
        <v>83.8469594805757</v>
      </c>
      <c r="N37" s="37" t="n">
        <f aca="false">Costs!N37/FX_EUR</f>
        <v>83.8469594805757</v>
      </c>
      <c r="O37" s="37" t="n">
        <f aca="false">Costs!O37/FX_EUR</f>
        <v>83.8469594805757</v>
      </c>
      <c r="P37" s="37" t="n">
        <f aca="false">Costs!P37/FX_EUR</f>
        <v>83.8469594805757</v>
      </c>
      <c r="Q37" s="37" t="n">
        <f aca="false">Costs!Q37/FX_EUR</f>
        <v>91.4694103424462</v>
      </c>
      <c r="R37" s="37" t="n">
        <f aca="false">Costs!R37/FX_EUR</f>
        <v>91.4694103424462</v>
      </c>
      <c r="S37" s="37" t="n">
        <f aca="false">Costs!S37/FX_EUR</f>
        <v>91.4694103424462</v>
      </c>
      <c r="T37" s="37" t="n">
        <f aca="false">Costs!T37/FX_EUR</f>
        <v>99.0918612043167</v>
      </c>
      <c r="U37" s="37" t="n">
        <f aca="false">Costs!U37/FX_EUR</f>
        <v>99.0918612043167</v>
      </c>
      <c r="V37" s="37" t="n">
        <f aca="false">Costs!V37/FX_EUR</f>
        <v>129.581664651799</v>
      </c>
      <c r="W37" s="37" t="n">
        <f aca="false">Costs!W37/FX_EUR</f>
        <v>137.204115513669</v>
      </c>
      <c r="X37" s="37" t="n">
        <f aca="false">Costs!X37/FX_EUR</f>
        <v>137.204115513669</v>
      </c>
      <c r="Y37" s="37" t="n">
        <f aca="false">Costs!Y37/FX_EUR</f>
        <v>137.204115513669</v>
      </c>
      <c r="Z37" s="37" t="n">
        <f aca="false">Costs!Z37/FX_EUR</f>
        <v>137.204115513669</v>
      </c>
      <c r="AA37" s="37" t="n">
        <f aca="false">Costs!AA37/FX_EUR</f>
        <v>152.44901723741</v>
      </c>
      <c r="AB37" s="37" t="n">
        <f aca="false">Costs!AB37/FX_EUR</f>
        <v>160.071468099281</v>
      </c>
      <c r="AC37" s="37" t="n">
        <f aca="false">Costs!AC37/FX_EUR</f>
        <v>160.071468099281</v>
      </c>
      <c r="AD37" s="37" t="n">
        <f aca="false">Costs!AD37/FX_EUR</f>
        <v>160.071468099281</v>
      </c>
      <c r="AE37" s="37" t="n">
        <f aca="false">Costs!AE37/FX_EUR</f>
        <v>182.938820684892</v>
      </c>
      <c r="AF37" s="37" t="n">
        <f aca="false">Costs!AF37/FX_EUR</f>
        <v>190.561271546763</v>
      </c>
      <c r="AG37" s="37" t="n">
        <f aca="false">Costs!AG37/FX_EUR</f>
        <v>213.428624132375</v>
      </c>
      <c r="AH37" s="37" t="n">
        <f aca="false">Costs!AH37/FX_EUR</f>
        <v>213.428624132375</v>
      </c>
      <c r="AI37" s="37" t="n">
        <f aca="false">Costs!AI37/FX_EUR</f>
        <v>228.673525856116</v>
      </c>
      <c r="AJ37" s="37" t="n">
        <f aca="false">Costs!AJ37/FX_EUR</f>
        <v>236.295976717986</v>
      </c>
      <c r="AK37" s="37" t="n">
        <f aca="false">Costs!AK37/FX_EUR</f>
        <v>243.918427579857</v>
      </c>
      <c r="AL37" s="37" t="n">
        <f aca="false">Costs!AL37/FX_EUR</f>
        <v>259.163329303598</v>
      </c>
      <c r="AM37" s="37" t="n">
        <f aca="false">Costs!AM37/FX_EUR</f>
        <v>266.785780165468</v>
      </c>
      <c r="AN37" s="37" t="n">
        <f aca="false">Costs!AN37/FX_EUR</f>
        <v>274.408231027339</v>
      </c>
      <c r="AO37" s="37" t="n">
        <f aca="false">Costs!AO37/FX_EUR</f>
        <v>304.898034474821</v>
      </c>
      <c r="AP37" s="37" t="n">
        <f aca="false">Costs!AP37/FX_EUR</f>
        <v>304.898034474821</v>
      </c>
      <c r="AQ37" s="37" t="n">
        <f aca="false">Costs!AQ37/FX_EUR</f>
        <v>320.142936198562</v>
      </c>
      <c r="AR37" s="37" t="n">
        <f aca="false">Costs!AR37/FX_EUR</f>
        <v>327.765387060432</v>
      </c>
      <c r="AS37" s="37" t="n">
        <f aca="false">Costs!AS37/FX_EUR</f>
        <v>358.255190507914</v>
      </c>
      <c r="AT37" s="37" t="n">
        <f aca="false">Costs!AT37/FX_EUR</f>
        <v>358.255190507914</v>
      </c>
      <c r="AU37" s="37" t="n">
        <f aca="false">Costs!AU37/FX_EUR</f>
        <v>365.877641369785</v>
      </c>
      <c r="AV37" s="37" t="n">
        <f aca="false">Costs!AV37/FX_EUR</f>
        <v>381.122543093526</v>
      </c>
      <c r="AW37" s="37" t="n">
        <f aca="false">Costs!AW37/FX_EUR</f>
        <v>396.367444817267</v>
      </c>
      <c r="AX37" s="37" t="n">
        <f aca="false">Costs!AX37/FX_EUR</f>
        <v>426.857248264749</v>
      </c>
      <c r="AY37" s="37" t="n">
        <f aca="false">Costs!AY37/FX_EUR</f>
        <v>426.857248264749</v>
      </c>
      <c r="AZ37" s="37" t="n">
        <f aca="false">Costs!AZ37/FX_EUR</f>
        <v>442.10214998849</v>
      </c>
      <c r="BA37" s="37" t="n">
        <f aca="false">Costs!BA37/FX_EUR</f>
        <v>449.724600850361</v>
      </c>
      <c r="BB37" s="37" t="n">
        <f aca="false">Costs!BB37/FX_EUR</f>
        <v>472.591953435972</v>
      </c>
      <c r="BC37" s="37" t="n">
        <f aca="false">Costs!BC37/FX_EUR</f>
        <v>487.836855159713</v>
      </c>
      <c r="BD37" s="37" t="n">
        <f aca="false">Costs!BD37/FX_EUR</f>
        <v>510.704207745325</v>
      </c>
      <c r="BE37" s="37" t="n">
        <f aca="false">Costs!BE37/FX_EUR</f>
        <v>518.326658607195</v>
      </c>
      <c r="BF37" s="37" t="n">
        <f aca="false">Costs!BF37/FX_EUR</f>
        <v>548.816462054677</v>
      </c>
      <c r="BG37" s="37" t="n">
        <f aca="false">Costs!BG37/FX_EUR</f>
        <v>556.438912916548</v>
      </c>
      <c r="BH37" s="37" t="n">
        <f aca="false">Costs!BH37/FX_EUR</f>
        <v>571.683814640289</v>
      </c>
      <c r="BI37" s="37" t="n">
        <f aca="false">Costs!BI37/FX_EUR</f>
        <v>579.30626550216</v>
      </c>
      <c r="BJ37" s="37" t="n">
        <f aca="false">Costs!BJ37/FX_EUR</f>
        <v>617.418519811512</v>
      </c>
      <c r="BK37" s="37" t="n">
        <f aca="false">Costs!BK37/FX_EUR</f>
        <v>632.663421535253</v>
      </c>
      <c r="BL37" s="37" t="n">
        <f aca="false">Costs!BL37/FX_EUR</f>
        <v>640.285872397124</v>
      </c>
    </row>
    <row r="38" customFormat="false" ht="15" hidden="false" customHeight="false" outlineLevel="0" collapsed="false">
      <c r="A38" s="12" t="s">
        <v>825</v>
      </c>
      <c r="B38" s="14" t="s">
        <v>73</v>
      </c>
      <c r="D38" s="55" t="n">
        <f aca="false">Costs!D38/FX_EUR</f>
        <v>52147.2687996317</v>
      </c>
      <c r="E38" s="37" t="n">
        <f aca="false">Costs!E38/FX_EUR</f>
        <v>6305.22579986188</v>
      </c>
      <c r="F38" s="37" t="n">
        <f aca="false">Costs!F38/FX_EUR</f>
        <v>0</v>
      </c>
      <c r="G38" s="37" t="n">
        <f aca="false">Costs!G38/FX_EUR</f>
        <v>0</v>
      </c>
      <c r="H38" s="37" t="n">
        <f aca="false">Costs!H38/FX_EUR</f>
        <v>2500</v>
      </c>
      <c r="I38" s="37" t="n">
        <f aca="false">Costs!I38/FX_EUR</f>
        <v>500</v>
      </c>
      <c r="J38" s="37" t="n">
        <f aca="false">Costs!J38/FX_EUR</f>
        <v>0</v>
      </c>
      <c r="K38" s="37" t="n">
        <f aca="false">Costs!K38/FX_EUR</f>
        <v>0</v>
      </c>
      <c r="L38" s="37" t="n">
        <f aca="false">Costs!L38/FX_EUR</f>
        <v>0</v>
      </c>
      <c r="M38" s="37" t="n">
        <f aca="false">Costs!M38/FX_EUR</f>
        <v>0</v>
      </c>
      <c r="N38" s="37" t="n">
        <f aca="false">Costs!N38/FX_EUR</f>
        <v>0</v>
      </c>
      <c r="O38" s="37" t="n">
        <f aca="false">Costs!O38/FX_EUR</f>
        <v>0</v>
      </c>
      <c r="P38" s="37" t="n">
        <f aca="false">Costs!P38/FX_EUR</f>
        <v>0</v>
      </c>
      <c r="Q38" s="37" t="n">
        <f aca="false">Costs!Q38/FX_EUR</f>
        <v>500</v>
      </c>
      <c r="R38" s="37" t="n">
        <f aca="false">Costs!R38/FX_EUR</f>
        <v>0</v>
      </c>
      <c r="S38" s="37" t="n">
        <f aca="false">Costs!S38/FX_EUR</f>
        <v>0</v>
      </c>
      <c r="T38" s="37" t="n">
        <f aca="false">Costs!T38/FX_EUR</f>
        <v>500</v>
      </c>
      <c r="U38" s="37" t="n">
        <f aca="false">Costs!U38/FX_EUR</f>
        <v>0</v>
      </c>
      <c r="V38" s="37" t="n">
        <f aca="false">Costs!V38/FX_EUR</f>
        <v>2000</v>
      </c>
      <c r="W38" s="37" t="n">
        <f aca="false">Costs!W38/FX_EUR</f>
        <v>500</v>
      </c>
      <c r="X38" s="37" t="n">
        <f aca="false">Costs!X38/FX_EUR</f>
        <v>0</v>
      </c>
      <c r="Y38" s="37" t="n">
        <f aca="false">Costs!Y38/FX_EUR</f>
        <v>0</v>
      </c>
      <c r="Z38" s="37" t="n">
        <f aca="false">Costs!Z38/FX_EUR</f>
        <v>0</v>
      </c>
      <c r="AA38" s="37" t="n">
        <f aca="false">Costs!AA38/FX_EUR</f>
        <v>1000</v>
      </c>
      <c r="AB38" s="37" t="n">
        <f aca="false">Costs!AB38/FX_EUR</f>
        <v>500</v>
      </c>
      <c r="AC38" s="37" t="n">
        <f aca="false">Costs!AC38/FX_EUR</f>
        <v>0</v>
      </c>
      <c r="AD38" s="37" t="n">
        <f aca="false">Costs!AD38/FX_EUR</f>
        <v>0</v>
      </c>
      <c r="AE38" s="37" t="n">
        <f aca="false">Costs!AE38/FX_EUR</f>
        <v>2768.40859995396</v>
      </c>
      <c r="AF38" s="37" t="n">
        <f aca="false">Costs!AF38/FX_EUR</f>
        <v>500</v>
      </c>
      <c r="AG38" s="37" t="n">
        <f aca="false">Costs!AG38/FX_EUR</f>
        <v>1500</v>
      </c>
      <c r="AH38" s="37" t="n">
        <f aca="false">Costs!AH38/FX_EUR</f>
        <v>0</v>
      </c>
      <c r="AI38" s="37" t="n">
        <f aca="false">Costs!AI38/FX_EUR</f>
        <v>1000</v>
      </c>
      <c r="AJ38" s="37" t="n">
        <f aca="false">Costs!AJ38/FX_EUR</f>
        <v>500</v>
      </c>
      <c r="AK38" s="37" t="n">
        <f aca="false">Costs!AK38/FX_EUR</f>
        <v>500</v>
      </c>
      <c r="AL38" s="37" t="n">
        <f aca="false">Costs!AL38/FX_EUR</f>
        <v>1000</v>
      </c>
      <c r="AM38" s="37" t="n">
        <f aca="false">Costs!AM38/FX_EUR</f>
        <v>500</v>
      </c>
      <c r="AN38" s="37" t="n">
        <f aca="false">Costs!AN38/FX_EUR</f>
        <v>500</v>
      </c>
      <c r="AO38" s="37" t="n">
        <f aca="false">Costs!AO38/FX_EUR</f>
        <v>3268.40859995396</v>
      </c>
      <c r="AP38" s="37" t="n">
        <f aca="false">Costs!AP38/FX_EUR</f>
        <v>0</v>
      </c>
      <c r="AQ38" s="37" t="n">
        <f aca="false">Costs!AQ38/FX_EUR</f>
        <v>1000</v>
      </c>
      <c r="AR38" s="37" t="n">
        <f aca="false">Costs!AR38/FX_EUR</f>
        <v>500</v>
      </c>
      <c r="AS38" s="37" t="n">
        <f aca="false">Costs!AS38/FX_EUR</f>
        <v>2000</v>
      </c>
      <c r="AT38" s="37" t="n">
        <f aca="false">Costs!AT38/FX_EUR</f>
        <v>0</v>
      </c>
      <c r="AU38" s="37" t="n">
        <f aca="false">Costs!AU38/FX_EUR</f>
        <v>500</v>
      </c>
      <c r="AV38" s="37" t="n">
        <f aca="false">Costs!AV38/FX_EUR</f>
        <v>1000</v>
      </c>
      <c r="AW38" s="37" t="n">
        <f aca="false">Costs!AW38/FX_EUR</f>
        <v>2268.40859995396</v>
      </c>
      <c r="AX38" s="37" t="n">
        <f aca="false">Costs!AX38/FX_EUR</f>
        <v>2000</v>
      </c>
      <c r="AY38" s="37" t="n">
        <f aca="false">Costs!AY38/FX_EUR</f>
        <v>0</v>
      </c>
      <c r="AZ38" s="37" t="n">
        <f aca="false">Costs!AZ38/FX_EUR</f>
        <v>1000</v>
      </c>
      <c r="BA38" s="37" t="n">
        <f aca="false">Costs!BA38/FX_EUR</f>
        <v>500</v>
      </c>
      <c r="BB38" s="37" t="n">
        <f aca="false">Costs!BB38/FX_EUR</f>
        <v>1500</v>
      </c>
      <c r="BC38" s="37" t="n">
        <f aca="false">Costs!BC38/FX_EUR</f>
        <v>1000</v>
      </c>
      <c r="BD38" s="37" t="n">
        <f aca="false">Costs!BD38/FX_EUR</f>
        <v>2768.40859995396</v>
      </c>
      <c r="BE38" s="37" t="n">
        <f aca="false">Costs!BE38/FX_EUR</f>
        <v>500</v>
      </c>
      <c r="BF38" s="37" t="n">
        <f aca="false">Costs!BF38/FX_EUR</f>
        <v>2000</v>
      </c>
      <c r="BG38" s="37" t="n">
        <f aca="false">Costs!BG38/FX_EUR</f>
        <v>500</v>
      </c>
      <c r="BH38" s="37" t="n">
        <f aca="false">Costs!BH38/FX_EUR</f>
        <v>1000</v>
      </c>
      <c r="BI38" s="37" t="n">
        <f aca="false">Costs!BI38/FX_EUR</f>
        <v>500</v>
      </c>
      <c r="BJ38" s="37" t="n">
        <f aca="false">Costs!BJ38/FX_EUR</f>
        <v>3768.40859995396</v>
      </c>
      <c r="BK38" s="37" t="n">
        <f aca="false">Costs!BK38/FX_EUR</f>
        <v>1000</v>
      </c>
      <c r="BL38" s="37" t="n">
        <f aca="false">Costs!BL38/FX_EUR</f>
        <v>500</v>
      </c>
    </row>
    <row r="39" customFormat="false" ht="15" hidden="false" customHeight="false" outlineLevel="0" collapsed="false">
      <c r="A39" s="8" t="s">
        <v>826</v>
      </c>
      <c r="B39" s="14" t="s">
        <v>73</v>
      </c>
      <c r="D39" s="55" t="n">
        <f aca="false">Costs!D39/FX_EUR</f>
        <v>696001.058453527</v>
      </c>
      <c r="E39" s="16" t="n">
        <f aca="false">Costs!E39/FX_EUR</f>
        <v>7843.33805417123</v>
      </c>
      <c r="F39" s="16" t="n">
        <f aca="false">Costs!F39/FX_EUR</f>
        <v>1538.11225430935</v>
      </c>
      <c r="G39" s="16" t="n">
        <f aca="false">Costs!G39/FX_EUR</f>
        <v>1538.11225430935</v>
      </c>
      <c r="H39" s="16" t="n">
        <f aca="false">Costs!H39/FX_EUR</f>
        <v>5576.22450861871</v>
      </c>
      <c r="I39" s="16" t="n">
        <f aca="false">Costs!I39/FX_EUR</f>
        <v>3883.84695948058</v>
      </c>
      <c r="J39" s="16" t="n">
        <f aca="false">Costs!J39/FX_EUR</f>
        <v>3383.84695948058</v>
      </c>
      <c r="K39" s="16" t="n">
        <f aca="false">Costs!K39/FX_EUR</f>
        <v>3383.84695948058</v>
      </c>
      <c r="L39" s="16" t="n">
        <f aca="false">Costs!L39/FX_EUR</f>
        <v>3383.84695948058</v>
      </c>
      <c r="M39" s="16" t="n">
        <f aca="false">Costs!M39/FX_EUR</f>
        <v>3383.84695948058</v>
      </c>
      <c r="N39" s="16" t="n">
        <f aca="false">Costs!N39/FX_EUR</f>
        <v>3383.84695948058</v>
      </c>
      <c r="O39" s="16" t="n">
        <f aca="false">Costs!O39/FX_EUR</f>
        <v>3383.84695948058</v>
      </c>
      <c r="P39" s="16" t="n">
        <f aca="false">Costs!P39/FX_EUR</f>
        <v>3383.84695948058</v>
      </c>
      <c r="Q39" s="16" t="n">
        <f aca="false">Costs!Q39/FX_EUR</f>
        <v>4191.46941034245</v>
      </c>
      <c r="R39" s="16" t="n">
        <f aca="false">Costs!R39/FX_EUR</f>
        <v>3691.46941034245</v>
      </c>
      <c r="S39" s="16" t="n">
        <f aca="false">Costs!S39/FX_EUR</f>
        <v>3691.46941034245</v>
      </c>
      <c r="T39" s="16" t="n">
        <f aca="false">Costs!T39/FX_EUR</f>
        <v>4499.09186120432</v>
      </c>
      <c r="U39" s="16" t="n">
        <f aca="false">Costs!U39/FX_EUR</f>
        <v>3999.09186120432</v>
      </c>
      <c r="V39" s="16" t="n">
        <f aca="false">Costs!V39/FX_EUR</f>
        <v>7229.5816646518</v>
      </c>
      <c r="W39" s="16" t="n">
        <f aca="false">Costs!W39/FX_EUR</f>
        <v>6037.20411551367</v>
      </c>
      <c r="X39" s="16" t="n">
        <f aca="false">Costs!X39/FX_EUR</f>
        <v>5537.20411551367</v>
      </c>
      <c r="Y39" s="16" t="n">
        <f aca="false">Costs!Y39/FX_EUR</f>
        <v>5537.20411551367</v>
      </c>
      <c r="Z39" s="16" t="n">
        <f aca="false">Costs!Z39/FX_EUR</f>
        <v>5537.20411551367</v>
      </c>
      <c r="AA39" s="16" t="n">
        <f aca="false">Costs!AA39/FX_EUR</f>
        <v>7152.44901723741</v>
      </c>
      <c r="AB39" s="16" t="n">
        <f aca="false">Costs!AB39/FX_EUR</f>
        <v>6960.07146809928</v>
      </c>
      <c r="AC39" s="16" t="n">
        <f aca="false">Costs!AC39/FX_EUR</f>
        <v>6460.07146809928</v>
      </c>
      <c r="AD39" s="16" t="n">
        <f aca="false">Costs!AD39/FX_EUR</f>
        <v>6460.07146809928</v>
      </c>
      <c r="AE39" s="16" t="n">
        <f aca="false">Costs!AE39/FX_EUR</f>
        <v>10151.3474206389</v>
      </c>
      <c r="AF39" s="16" t="n">
        <f aca="false">Costs!AF39/FX_EUR</f>
        <v>8190.56127154676</v>
      </c>
      <c r="AG39" s="16" t="n">
        <f aca="false">Costs!AG39/FX_EUR</f>
        <v>10113.4286241324</v>
      </c>
      <c r="AH39" s="16" t="n">
        <f aca="false">Costs!AH39/FX_EUR</f>
        <v>8613.42862413237</v>
      </c>
      <c r="AI39" s="16" t="n">
        <f aca="false">Costs!AI39/FX_EUR</f>
        <v>10228.6735258561</v>
      </c>
      <c r="AJ39" s="16" t="n">
        <f aca="false">Costs!AJ39/FX_EUR</f>
        <v>10036.295976718</v>
      </c>
      <c r="AK39" s="16" t="n">
        <f aca="false">Costs!AK39/FX_EUR</f>
        <v>10343.9184275799</v>
      </c>
      <c r="AL39" s="16" t="n">
        <f aca="false">Costs!AL39/FX_EUR</f>
        <v>11459.1633293036</v>
      </c>
      <c r="AM39" s="16" t="n">
        <f aca="false">Costs!AM39/FX_EUR</f>
        <v>11266.7857801655</v>
      </c>
      <c r="AN39" s="16" t="n">
        <f aca="false">Costs!AN39/FX_EUR</f>
        <v>11574.4082310273</v>
      </c>
      <c r="AO39" s="16" t="n">
        <f aca="false">Costs!AO39/FX_EUR</f>
        <v>15573.3066344288</v>
      </c>
      <c r="AP39" s="16" t="n">
        <f aca="false">Costs!AP39/FX_EUR</f>
        <v>12304.8980344748</v>
      </c>
      <c r="AQ39" s="16" t="n">
        <f aca="false">Costs!AQ39/FX_EUR</f>
        <v>13920.1429361986</v>
      </c>
      <c r="AR39" s="16" t="n">
        <f aca="false">Costs!AR39/FX_EUR</f>
        <v>13727.7653870604</v>
      </c>
      <c r="AS39" s="16" t="n">
        <f aca="false">Costs!AS39/FX_EUR</f>
        <v>16458.2551905079</v>
      </c>
      <c r="AT39" s="16" t="n">
        <f aca="false">Costs!AT39/FX_EUR</f>
        <v>14458.2551905079</v>
      </c>
      <c r="AU39" s="16" t="n">
        <f aca="false">Costs!AU39/FX_EUR</f>
        <v>15265.8776413698</v>
      </c>
      <c r="AV39" s="16" t="n">
        <f aca="false">Costs!AV39/FX_EUR</f>
        <v>16381.1225430935</v>
      </c>
      <c r="AW39" s="16" t="n">
        <f aca="false">Costs!AW39/FX_EUR</f>
        <v>18264.7760447712</v>
      </c>
      <c r="AX39" s="16" t="n">
        <f aca="false">Costs!AX39/FX_EUR</f>
        <v>19226.8572482647</v>
      </c>
      <c r="AY39" s="16" t="n">
        <f aca="false">Costs!AY39/FX_EUR</f>
        <v>17226.8572482647</v>
      </c>
      <c r="AZ39" s="16" t="n">
        <f aca="false">Costs!AZ39/FX_EUR</f>
        <v>18842.1021499885</v>
      </c>
      <c r="BA39" s="16" t="n">
        <f aca="false">Costs!BA39/FX_EUR</f>
        <v>18649.7246008504</v>
      </c>
      <c r="BB39" s="16" t="n">
        <f aca="false">Costs!BB39/FX_EUR</f>
        <v>20572.591953436</v>
      </c>
      <c r="BC39" s="16" t="n">
        <f aca="false">Costs!BC39/FX_EUR</f>
        <v>20687.8368551597</v>
      </c>
      <c r="BD39" s="16" t="n">
        <f aca="false">Costs!BD39/FX_EUR</f>
        <v>23379.1128076993</v>
      </c>
      <c r="BE39" s="16" t="n">
        <f aca="false">Costs!BE39/FX_EUR</f>
        <v>21418.3266586072</v>
      </c>
      <c r="BF39" s="16" t="n">
        <f aca="false">Costs!BF39/FX_EUR</f>
        <v>24148.8164620547</v>
      </c>
      <c r="BG39" s="16" t="n">
        <f aca="false">Costs!BG39/FX_EUR</f>
        <v>22956.4389129166</v>
      </c>
      <c r="BH39" s="16" t="n">
        <f aca="false">Costs!BH39/FX_EUR</f>
        <v>24071.6838146403</v>
      </c>
      <c r="BI39" s="16" t="n">
        <f aca="false">Costs!BI39/FX_EUR</f>
        <v>23879.3062655022</v>
      </c>
      <c r="BJ39" s="16" t="n">
        <f aca="false">Costs!BJ39/FX_EUR</f>
        <v>28685.8271197655</v>
      </c>
      <c r="BK39" s="16" t="n">
        <f aca="false">Costs!BK39/FX_EUR</f>
        <v>26532.6634215353</v>
      </c>
      <c r="BL39" s="16" t="n">
        <f aca="false">Costs!BL39/FX_EUR</f>
        <v>26340.2858723971</v>
      </c>
    </row>
    <row r="41" customFormat="false" ht="15" hidden="false" customHeight="false" outlineLevel="0" collapsed="false">
      <c r="A41" s="10" t="s">
        <v>435</v>
      </c>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c r="BK41" s="11"/>
      <c r="BL41" s="11"/>
    </row>
    <row r="42" customFormat="false" ht="15" hidden="false" customHeight="false" outlineLevel="0" collapsed="false">
      <c r="A42" s="12" t="s">
        <v>614</v>
      </c>
      <c r="B42" s="14" t="s">
        <v>73</v>
      </c>
      <c r="D42" s="55" t="n">
        <f aca="false">Costs!D42/FX_EUR</f>
        <v>350000</v>
      </c>
      <c r="E42" s="37" t="n">
        <f aca="false">Costs!E42/FX_EUR</f>
        <v>5833.33333333333</v>
      </c>
      <c r="F42" s="37" t="n">
        <f aca="false">Costs!F42/FX_EUR</f>
        <v>5833.33333333333</v>
      </c>
      <c r="G42" s="37" t="n">
        <f aca="false">Costs!G42/FX_EUR</f>
        <v>5833.33333333333</v>
      </c>
      <c r="H42" s="37" t="n">
        <f aca="false">Costs!H42/FX_EUR</f>
        <v>5833.33333333333</v>
      </c>
      <c r="I42" s="37" t="n">
        <f aca="false">Costs!I42/FX_EUR</f>
        <v>5833.33333333333</v>
      </c>
      <c r="J42" s="37" t="n">
        <f aca="false">Costs!J42/FX_EUR</f>
        <v>5833.33333333333</v>
      </c>
      <c r="K42" s="37" t="n">
        <f aca="false">Costs!K42/FX_EUR</f>
        <v>5833.33333333333</v>
      </c>
      <c r="L42" s="37" t="n">
        <f aca="false">Costs!L42/FX_EUR</f>
        <v>5833.33333333333</v>
      </c>
      <c r="M42" s="37" t="n">
        <f aca="false">Costs!M42/FX_EUR</f>
        <v>5833.33333333333</v>
      </c>
      <c r="N42" s="37" t="n">
        <f aca="false">Costs!N42/FX_EUR</f>
        <v>5833.33333333333</v>
      </c>
      <c r="O42" s="37" t="n">
        <f aca="false">Costs!O42/FX_EUR</f>
        <v>5833.33333333333</v>
      </c>
      <c r="P42" s="37" t="n">
        <f aca="false">Costs!P42/FX_EUR</f>
        <v>5833.33333333333</v>
      </c>
      <c r="Q42" s="37" t="n">
        <f aca="false">Costs!Q42/FX_EUR</f>
        <v>5833.33333333333</v>
      </c>
      <c r="R42" s="37" t="n">
        <f aca="false">Costs!R42/FX_EUR</f>
        <v>5833.33333333333</v>
      </c>
      <c r="S42" s="37" t="n">
        <f aca="false">Costs!S42/FX_EUR</f>
        <v>5833.33333333333</v>
      </c>
      <c r="T42" s="37" t="n">
        <f aca="false">Costs!T42/FX_EUR</f>
        <v>5833.33333333333</v>
      </c>
      <c r="U42" s="37" t="n">
        <f aca="false">Costs!U42/FX_EUR</f>
        <v>5833.33333333333</v>
      </c>
      <c r="V42" s="37" t="n">
        <f aca="false">Costs!V42/FX_EUR</f>
        <v>5833.33333333333</v>
      </c>
      <c r="W42" s="37" t="n">
        <f aca="false">Costs!W42/FX_EUR</f>
        <v>5833.33333333333</v>
      </c>
      <c r="X42" s="37" t="n">
        <f aca="false">Costs!X42/FX_EUR</f>
        <v>5833.33333333333</v>
      </c>
      <c r="Y42" s="37" t="n">
        <f aca="false">Costs!Y42/FX_EUR</f>
        <v>5833.33333333333</v>
      </c>
      <c r="Z42" s="37" t="n">
        <f aca="false">Costs!Z42/FX_EUR</f>
        <v>5833.33333333333</v>
      </c>
      <c r="AA42" s="37" t="n">
        <f aca="false">Costs!AA42/FX_EUR</f>
        <v>5833.33333333333</v>
      </c>
      <c r="AB42" s="37" t="n">
        <f aca="false">Costs!AB42/FX_EUR</f>
        <v>5833.33333333333</v>
      </c>
      <c r="AC42" s="37" t="n">
        <f aca="false">Costs!AC42/FX_EUR</f>
        <v>5833.33333333333</v>
      </c>
      <c r="AD42" s="37" t="n">
        <f aca="false">Costs!AD42/FX_EUR</f>
        <v>5833.33333333333</v>
      </c>
      <c r="AE42" s="37" t="n">
        <f aca="false">Costs!AE42/FX_EUR</f>
        <v>5833.33333333333</v>
      </c>
      <c r="AF42" s="37" t="n">
        <f aca="false">Costs!AF42/FX_EUR</f>
        <v>5833.33333333333</v>
      </c>
      <c r="AG42" s="37" t="n">
        <f aca="false">Costs!AG42/FX_EUR</f>
        <v>5833.33333333333</v>
      </c>
      <c r="AH42" s="37" t="n">
        <f aca="false">Costs!AH42/FX_EUR</f>
        <v>5833.33333333333</v>
      </c>
      <c r="AI42" s="37" t="n">
        <f aca="false">Costs!AI42/FX_EUR</f>
        <v>5833.33333333333</v>
      </c>
      <c r="AJ42" s="37" t="n">
        <f aca="false">Costs!AJ42/FX_EUR</f>
        <v>5833.33333333333</v>
      </c>
      <c r="AK42" s="37" t="n">
        <f aca="false">Costs!AK42/FX_EUR</f>
        <v>5833.33333333333</v>
      </c>
      <c r="AL42" s="37" t="n">
        <f aca="false">Costs!AL42/FX_EUR</f>
        <v>5833.33333333333</v>
      </c>
      <c r="AM42" s="37" t="n">
        <f aca="false">Costs!AM42/FX_EUR</f>
        <v>5833.33333333333</v>
      </c>
      <c r="AN42" s="37" t="n">
        <f aca="false">Costs!AN42/FX_EUR</f>
        <v>5833.33333333333</v>
      </c>
      <c r="AO42" s="37" t="n">
        <f aca="false">Costs!AO42/FX_EUR</f>
        <v>5833.33333333333</v>
      </c>
      <c r="AP42" s="37" t="n">
        <f aca="false">Costs!AP42/FX_EUR</f>
        <v>5833.33333333333</v>
      </c>
      <c r="AQ42" s="37" t="n">
        <f aca="false">Costs!AQ42/FX_EUR</f>
        <v>5833.33333333333</v>
      </c>
      <c r="AR42" s="37" t="n">
        <f aca="false">Costs!AR42/FX_EUR</f>
        <v>5833.33333333333</v>
      </c>
      <c r="AS42" s="37" t="n">
        <f aca="false">Costs!AS42/FX_EUR</f>
        <v>5833.33333333333</v>
      </c>
      <c r="AT42" s="37" t="n">
        <f aca="false">Costs!AT42/FX_EUR</f>
        <v>5833.33333333333</v>
      </c>
      <c r="AU42" s="37" t="n">
        <f aca="false">Costs!AU42/FX_EUR</f>
        <v>5833.33333333333</v>
      </c>
      <c r="AV42" s="37" t="n">
        <f aca="false">Costs!AV42/FX_EUR</f>
        <v>5833.33333333333</v>
      </c>
      <c r="AW42" s="37" t="n">
        <f aca="false">Costs!AW42/FX_EUR</f>
        <v>5833.33333333333</v>
      </c>
      <c r="AX42" s="37" t="n">
        <f aca="false">Costs!AX42/FX_EUR</f>
        <v>5833.33333333333</v>
      </c>
      <c r="AY42" s="37" t="n">
        <f aca="false">Costs!AY42/FX_EUR</f>
        <v>5833.33333333333</v>
      </c>
      <c r="AZ42" s="37" t="n">
        <f aca="false">Costs!AZ42/FX_EUR</f>
        <v>5833.33333333333</v>
      </c>
      <c r="BA42" s="37" t="n">
        <f aca="false">Costs!BA42/FX_EUR</f>
        <v>5833.33333333333</v>
      </c>
      <c r="BB42" s="37" t="n">
        <f aca="false">Costs!BB42/FX_EUR</f>
        <v>5833.33333333333</v>
      </c>
      <c r="BC42" s="37" t="n">
        <f aca="false">Costs!BC42/FX_EUR</f>
        <v>5833.33333333333</v>
      </c>
      <c r="BD42" s="37" t="n">
        <f aca="false">Costs!BD42/FX_EUR</f>
        <v>5833.33333333333</v>
      </c>
      <c r="BE42" s="37" t="n">
        <f aca="false">Costs!BE42/FX_EUR</f>
        <v>5833.33333333333</v>
      </c>
      <c r="BF42" s="37" t="n">
        <f aca="false">Costs!BF42/FX_EUR</f>
        <v>5833.33333333333</v>
      </c>
      <c r="BG42" s="37" t="n">
        <f aca="false">Costs!BG42/FX_EUR</f>
        <v>5833.33333333333</v>
      </c>
      <c r="BH42" s="37" t="n">
        <f aca="false">Costs!BH42/FX_EUR</f>
        <v>5833.33333333333</v>
      </c>
      <c r="BI42" s="37" t="n">
        <f aca="false">Costs!BI42/FX_EUR</f>
        <v>5833.33333333333</v>
      </c>
      <c r="BJ42" s="37" t="n">
        <f aca="false">Costs!BJ42/FX_EUR</f>
        <v>5833.33333333333</v>
      </c>
      <c r="BK42" s="37" t="n">
        <f aca="false">Costs!BK42/FX_EUR</f>
        <v>5833.33333333333</v>
      </c>
      <c r="BL42" s="37" t="n">
        <f aca="false">Costs!BL42/FX_EUR</f>
        <v>5833.33333333333</v>
      </c>
    </row>
    <row r="43" customFormat="false" ht="15" hidden="false" customHeight="false" outlineLevel="0" collapsed="false">
      <c r="A43" s="12" t="s">
        <v>436</v>
      </c>
      <c r="B43" s="14" t="s">
        <v>73</v>
      </c>
      <c r="D43" s="55" t="n">
        <f aca="false">Costs!D43/FX_EUR</f>
        <v>400544.547889572</v>
      </c>
      <c r="E43" s="37" t="n">
        <f aca="false">Costs!E43/FX_EUR</f>
        <v>0</v>
      </c>
      <c r="F43" s="37" t="n">
        <f aca="false">Costs!F43/FX_EUR</f>
        <v>2652.61289993094</v>
      </c>
      <c r="G43" s="37" t="n">
        <f aca="false">Costs!G43/FX_EUR</f>
        <v>2652.61289993094</v>
      </c>
      <c r="H43" s="37" t="n">
        <f aca="false">Costs!H43/FX_EUR</f>
        <v>2652.61289993094</v>
      </c>
      <c r="I43" s="37" t="n">
        <f aca="false">Costs!I43/FX_EUR</f>
        <v>2652.61289993094</v>
      </c>
      <c r="J43" s="37" t="n">
        <f aca="false">Costs!J43/FX_EUR</f>
        <v>2652.61289993094</v>
      </c>
      <c r="K43" s="37" t="n">
        <f aca="false">Costs!K43/FX_EUR</f>
        <v>2652.61289993094</v>
      </c>
      <c r="L43" s="37" t="n">
        <f aca="false">Costs!L43/FX_EUR</f>
        <v>2652.61289993094</v>
      </c>
      <c r="M43" s="37" t="n">
        <f aca="false">Costs!M43/FX_EUR</f>
        <v>2652.61289993094</v>
      </c>
      <c r="N43" s="37" t="n">
        <f aca="false">Costs!N43/FX_EUR</f>
        <v>2652.61289993094</v>
      </c>
      <c r="O43" s="37" t="n">
        <f aca="false">Costs!O43/FX_EUR</f>
        <v>2652.61289993094</v>
      </c>
      <c r="P43" s="37" t="n">
        <f aca="false">Costs!P43/FX_EUR</f>
        <v>2652.61289993094</v>
      </c>
      <c r="Q43" s="37" t="n">
        <f aca="false">Costs!Q43/FX_EUR</f>
        <v>4421.0214998849</v>
      </c>
      <c r="R43" s="37" t="n">
        <f aca="false">Costs!R43/FX_EUR</f>
        <v>4421.0214998849</v>
      </c>
      <c r="S43" s="37" t="n">
        <f aca="false">Costs!S43/FX_EUR</f>
        <v>4421.0214998849</v>
      </c>
      <c r="T43" s="37" t="n">
        <f aca="false">Costs!T43/FX_EUR</f>
        <v>4421.0214998849</v>
      </c>
      <c r="U43" s="37" t="n">
        <f aca="false">Costs!U43/FX_EUR</f>
        <v>4421.0214998849</v>
      </c>
      <c r="V43" s="37" t="n">
        <f aca="false">Costs!V43/FX_EUR</f>
        <v>4421.0214998849</v>
      </c>
      <c r="W43" s="37" t="n">
        <f aca="false">Costs!W43/FX_EUR</f>
        <v>4421.0214998849</v>
      </c>
      <c r="X43" s="37" t="n">
        <f aca="false">Costs!X43/FX_EUR</f>
        <v>4421.0214998849</v>
      </c>
      <c r="Y43" s="37" t="n">
        <f aca="false">Costs!Y43/FX_EUR</f>
        <v>4421.0214998849</v>
      </c>
      <c r="Z43" s="37" t="n">
        <f aca="false">Costs!Z43/FX_EUR</f>
        <v>4421.0214998849</v>
      </c>
      <c r="AA43" s="37" t="n">
        <f aca="false">Costs!AA43/FX_EUR</f>
        <v>4421.0214998849</v>
      </c>
      <c r="AB43" s="37" t="n">
        <f aca="false">Costs!AB43/FX_EUR</f>
        <v>4421.0214998849</v>
      </c>
      <c r="AC43" s="37" t="n">
        <f aca="false">Costs!AC43/FX_EUR</f>
        <v>7073.63439981584</v>
      </c>
      <c r="AD43" s="37" t="n">
        <f aca="false">Costs!AD43/FX_EUR</f>
        <v>7073.63439981584</v>
      </c>
      <c r="AE43" s="37" t="n">
        <f aca="false">Costs!AE43/FX_EUR</f>
        <v>7073.63439981584</v>
      </c>
      <c r="AF43" s="37" t="n">
        <f aca="false">Costs!AF43/FX_EUR</f>
        <v>7073.63439981584</v>
      </c>
      <c r="AG43" s="37" t="n">
        <f aca="false">Costs!AG43/FX_EUR</f>
        <v>7073.63439981584</v>
      </c>
      <c r="AH43" s="37" t="n">
        <f aca="false">Costs!AH43/FX_EUR</f>
        <v>7073.63439981584</v>
      </c>
      <c r="AI43" s="37" t="n">
        <f aca="false">Costs!AI43/FX_EUR</f>
        <v>7073.63439981584</v>
      </c>
      <c r="AJ43" s="37" t="n">
        <f aca="false">Costs!AJ43/FX_EUR</f>
        <v>7073.63439981584</v>
      </c>
      <c r="AK43" s="37" t="n">
        <f aca="false">Costs!AK43/FX_EUR</f>
        <v>7073.63439981584</v>
      </c>
      <c r="AL43" s="37" t="n">
        <f aca="false">Costs!AL43/FX_EUR</f>
        <v>7073.63439981584</v>
      </c>
      <c r="AM43" s="37" t="n">
        <f aca="false">Costs!AM43/FX_EUR</f>
        <v>7073.63439981584</v>
      </c>
      <c r="AN43" s="37" t="n">
        <f aca="false">Costs!AN43/FX_EUR</f>
        <v>7073.63439981584</v>
      </c>
      <c r="AO43" s="37" t="n">
        <f aca="false">Costs!AO43/FX_EUR</f>
        <v>8842.0429997698</v>
      </c>
      <c r="AP43" s="37" t="n">
        <f aca="false">Costs!AP43/FX_EUR</f>
        <v>8842.0429997698</v>
      </c>
      <c r="AQ43" s="37" t="n">
        <f aca="false">Costs!AQ43/FX_EUR</f>
        <v>8842.0429997698</v>
      </c>
      <c r="AR43" s="37" t="n">
        <f aca="false">Costs!AR43/FX_EUR</f>
        <v>8842.0429997698</v>
      </c>
      <c r="AS43" s="37" t="n">
        <f aca="false">Costs!AS43/FX_EUR</f>
        <v>8842.0429997698</v>
      </c>
      <c r="AT43" s="37" t="n">
        <f aca="false">Costs!AT43/FX_EUR</f>
        <v>8842.0429997698</v>
      </c>
      <c r="AU43" s="37" t="n">
        <f aca="false">Costs!AU43/FX_EUR</f>
        <v>8842.0429997698</v>
      </c>
      <c r="AV43" s="37" t="n">
        <f aca="false">Costs!AV43/FX_EUR</f>
        <v>8842.0429997698</v>
      </c>
      <c r="AW43" s="37" t="n">
        <f aca="false">Costs!AW43/FX_EUR</f>
        <v>8842.0429997698</v>
      </c>
      <c r="AX43" s="37" t="n">
        <f aca="false">Costs!AX43/FX_EUR</f>
        <v>8842.0429997698</v>
      </c>
      <c r="AY43" s="37" t="n">
        <f aca="false">Costs!AY43/FX_EUR</f>
        <v>8842.0429997698</v>
      </c>
      <c r="AZ43" s="37" t="n">
        <f aca="false">Costs!AZ43/FX_EUR</f>
        <v>8842.0429997698</v>
      </c>
      <c r="BA43" s="37" t="n">
        <f aca="false">Costs!BA43/FX_EUR</f>
        <v>10610.4515997238</v>
      </c>
      <c r="BB43" s="37" t="n">
        <f aca="false">Costs!BB43/FX_EUR</f>
        <v>10610.4515997238</v>
      </c>
      <c r="BC43" s="37" t="n">
        <f aca="false">Costs!BC43/FX_EUR</f>
        <v>10610.4515997238</v>
      </c>
      <c r="BD43" s="37" t="n">
        <f aca="false">Costs!BD43/FX_EUR</f>
        <v>10610.4515997238</v>
      </c>
      <c r="BE43" s="37" t="n">
        <f aca="false">Costs!BE43/FX_EUR</f>
        <v>10610.4515997238</v>
      </c>
      <c r="BF43" s="37" t="n">
        <f aca="false">Costs!BF43/FX_EUR</f>
        <v>10610.4515997238</v>
      </c>
      <c r="BG43" s="37" t="n">
        <f aca="false">Costs!BG43/FX_EUR</f>
        <v>10610.4515997238</v>
      </c>
      <c r="BH43" s="37" t="n">
        <f aca="false">Costs!BH43/FX_EUR</f>
        <v>10610.4515997238</v>
      </c>
      <c r="BI43" s="37" t="n">
        <f aca="false">Costs!BI43/FX_EUR</f>
        <v>10610.4515997238</v>
      </c>
      <c r="BJ43" s="37" t="n">
        <f aca="false">Costs!BJ43/FX_EUR</f>
        <v>10610.4515997238</v>
      </c>
      <c r="BK43" s="37" t="n">
        <f aca="false">Costs!BK43/FX_EUR</f>
        <v>10610.4515997238</v>
      </c>
      <c r="BL43" s="37" t="n">
        <f aca="false">Costs!BL43/FX_EUR</f>
        <v>10610.4515997238</v>
      </c>
    </row>
    <row r="44" customFormat="false" ht="15" hidden="false" customHeight="false" outlineLevel="0" collapsed="false">
      <c r="A44" s="12" t="s">
        <v>438</v>
      </c>
      <c r="B44" s="14" t="s">
        <v>73</v>
      </c>
      <c r="D44" s="55" t="n">
        <f aca="false">Costs!D44/FX_EUR</f>
        <v>124672.806296754</v>
      </c>
      <c r="E44" s="37" t="n">
        <f aca="false">Costs!E44/FX_EUR</f>
        <v>442.10214998849</v>
      </c>
      <c r="F44" s="37" t="n">
        <f aca="false">Costs!F44/FX_EUR</f>
        <v>442.10214998849</v>
      </c>
      <c r="G44" s="37" t="n">
        <f aca="false">Costs!G44/FX_EUR</f>
        <v>442.10214998849</v>
      </c>
      <c r="H44" s="37" t="n">
        <f aca="false">Costs!H44/FX_EUR</f>
        <v>442.10214998849</v>
      </c>
      <c r="I44" s="37" t="n">
        <f aca="false">Costs!I44/FX_EUR</f>
        <v>442.10214998849</v>
      </c>
      <c r="J44" s="37" t="n">
        <f aca="false">Costs!J44/FX_EUR</f>
        <v>442.10214998849</v>
      </c>
      <c r="K44" s="37" t="n">
        <f aca="false">Costs!K44/FX_EUR</f>
        <v>442.10214998849</v>
      </c>
      <c r="L44" s="37" t="n">
        <f aca="false">Costs!L44/FX_EUR</f>
        <v>442.10214998849</v>
      </c>
      <c r="M44" s="37" t="n">
        <f aca="false">Costs!M44/FX_EUR</f>
        <v>442.10214998849</v>
      </c>
      <c r="N44" s="37" t="n">
        <f aca="false">Costs!N44/FX_EUR</f>
        <v>442.10214998849</v>
      </c>
      <c r="O44" s="37" t="n">
        <f aca="false">Costs!O44/FX_EUR</f>
        <v>442.10214998849</v>
      </c>
      <c r="P44" s="37" t="n">
        <f aca="false">Costs!P44/FX_EUR</f>
        <v>442.10214998849</v>
      </c>
      <c r="Q44" s="37" t="n">
        <f aca="false">Costs!Q44/FX_EUR</f>
        <v>1105.25537497123</v>
      </c>
      <c r="R44" s="37" t="n">
        <f aca="false">Costs!R44/FX_EUR</f>
        <v>1105.25537497123</v>
      </c>
      <c r="S44" s="37" t="n">
        <f aca="false">Costs!S44/FX_EUR</f>
        <v>1105.25537497123</v>
      </c>
      <c r="T44" s="37" t="n">
        <f aca="false">Costs!T44/FX_EUR</f>
        <v>1105.25537497123</v>
      </c>
      <c r="U44" s="37" t="n">
        <f aca="false">Costs!U44/FX_EUR</f>
        <v>1105.25537497123</v>
      </c>
      <c r="V44" s="37" t="n">
        <f aca="false">Costs!V44/FX_EUR</f>
        <v>1105.25537497123</v>
      </c>
      <c r="W44" s="37" t="n">
        <f aca="false">Costs!W44/FX_EUR</f>
        <v>1105.25537497123</v>
      </c>
      <c r="X44" s="37" t="n">
        <f aca="false">Costs!X44/FX_EUR</f>
        <v>1105.25537497123</v>
      </c>
      <c r="Y44" s="37" t="n">
        <f aca="false">Costs!Y44/FX_EUR</f>
        <v>1105.25537497123</v>
      </c>
      <c r="Z44" s="37" t="n">
        <f aca="false">Costs!Z44/FX_EUR</f>
        <v>1105.25537497123</v>
      </c>
      <c r="AA44" s="37" t="n">
        <f aca="false">Costs!AA44/FX_EUR</f>
        <v>1105.25537497123</v>
      </c>
      <c r="AB44" s="37" t="n">
        <f aca="false">Costs!AB44/FX_EUR</f>
        <v>1105.25537497123</v>
      </c>
      <c r="AC44" s="37" t="n">
        <f aca="false">Costs!AC44/FX_EUR</f>
        <v>2210.51074994245</v>
      </c>
      <c r="AD44" s="37" t="n">
        <f aca="false">Costs!AD44/FX_EUR</f>
        <v>2210.51074994245</v>
      </c>
      <c r="AE44" s="37" t="n">
        <f aca="false">Costs!AE44/FX_EUR</f>
        <v>2210.51074994245</v>
      </c>
      <c r="AF44" s="37" t="n">
        <f aca="false">Costs!AF44/FX_EUR</f>
        <v>2210.51074994245</v>
      </c>
      <c r="AG44" s="37" t="n">
        <f aca="false">Costs!AG44/FX_EUR</f>
        <v>2210.51074994245</v>
      </c>
      <c r="AH44" s="37" t="n">
        <f aca="false">Costs!AH44/FX_EUR</f>
        <v>2210.51074994245</v>
      </c>
      <c r="AI44" s="37" t="n">
        <f aca="false">Costs!AI44/FX_EUR</f>
        <v>2210.51074994245</v>
      </c>
      <c r="AJ44" s="37" t="n">
        <f aca="false">Costs!AJ44/FX_EUR</f>
        <v>2210.51074994245</v>
      </c>
      <c r="AK44" s="37" t="n">
        <f aca="false">Costs!AK44/FX_EUR</f>
        <v>2210.51074994245</v>
      </c>
      <c r="AL44" s="37" t="n">
        <f aca="false">Costs!AL44/FX_EUR</f>
        <v>2210.51074994245</v>
      </c>
      <c r="AM44" s="37" t="n">
        <f aca="false">Costs!AM44/FX_EUR</f>
        <v>2210.51074994245</v>
      </c>
      <c r="AN44" s="37" t="n">
        <f aca="false">Costs!AN44/FX_EUR</f>
        <v>2210.51074994245</v>
      </c>
      <c r="AO44" s="37" t="n">
        <f aca="false">Costs!AO44/FX_EUR</f>
        <v>2947.34766658993</v>
      </c>
      <c r="AP44" s="37" t="n">
        <f aca="false">Costs!AP44/FX_EUR</f>
        <v>2947.34766658993</v>
      </c>
      <c r="AQ44" s="37" t="n">
        <f aca="false">Costs!AQ44/FX_EUR</f>
        <v>2947.34766658993</v>
      </c>
      <c r="AR44" s="37" t="n">
        <f aca="false">Costs!AR44/FX_EUR</f>
        <v>2947.34766658993</v>
      </c>
      <c r="AS44" s="37" t="n">
        <f aca="false">Costs!AS44/FX_EUR</f>
        <v>2947.34766658993</v>
      </c>
      <c r="AT44" s="37" t="n">
        <f aca="false">Costs!AT44/FX_EUR</f>
        <v>2947.34766658993</v>
      </c>
      <c r="AU44" s="37" t="n">
        <f aca="false">Costs!AU44/FX_EUR</f>
        <v>2947.34766658993</v>
      </c>
      <c r="AV44" s="37" t="n">
        <f aca="false">Costs!AV44/FX_EUR</f>
        <v>2947.34766658993</v>
      </c>
      <c r="AW44" s="37" t="n">
        <f aca="false">Costs!AW44/FX_EUR</f>
        <v>2947.34766658993</v>
      </c>
      <c r="AX44" s="37" t="n">
        <f aca="false">Costs!AX44/FX_EUR</f>
        <v>2947.34766658993</v>
      </c>
      <c r="AY44" s="37" t="n">
        <f aca="false">Costs!AY44/FX_EUR</f>
        <v>2947.34766658993</v>
      </c>
      <c r="AZ44" s="37" t="n">
        <f aca="false">Costs!AZ44/FX_EUR</f>
        <v>2947.34766658993</v>
      </c>
      <c r="BA44" s="37" t="n">
        <f aca="false">Costs!BA44/FX_EUR</f>
        <v>3684.18458323742</v>
      </c>
      <c r="BB44" s="37" t="n">
        <f aca="false">Costs!BB44/FX_EUR</f>
        <v>3684.18458323742</v>
      </c>
      <c r="BC44" s="37" t="n">
        <f aca="false">Costs!BC44/FX_EUR</f>
        <v>3684.18458323742</v>
      </c>
      <c r="BD44" s="37" t="n">
        <f aca="false">Costs!BD44/FX_EUR</f>
        <v>3684.18458323742</v>
      </c>
      <c r="BE44" s="37" t="n">
        <f aca="false">Costs!BE44/FX_EUR</f>
        <v>3684.18458323742</v>
      </c>
      <c r="BF44" s="37" t="n">
        <f aca="false">Costs!BF44/FX_EUR</f>
        <v>3684.18458323742</v>
      </c>
      <c r="BG44" s="37" t="n">
        <f aca="false">Costs!BG44/FX_EUR</f>
        <v>3684.18458323742</v>
      </c>
      <c r="BH44" s="37" t="n">
        <f aca="false">Costs!BH44/FX_EUR</f>
        <v>3684.18458323742</v>
      </c>
      <c r="BI44" s="37" t="n">
        <f aca="false">Costs!BI44/FX_EUR</f>
        <v>3684.18458323742</v>
      </c>
      <c r="BJ44" s="37" t="n">
        <f aca="false">Costs!BJ44/FX_EUR</f>
        <v>3684.18458323742</v>
      </c>
      <c r="BK44" s="37" t="n">
        <f aca="false">Costs!BK44/FX_EUR</f>
        <v>3684.18458323742</v>
      </c>
      <c r="BL44" s="37" t="n">
        <f aca="false">Costs!BL44/FX_EUR</f>
        <v>3684.18458323742</v>
      </c>
    </row>
    <row r="45" customFormat="false" ht="15" hidden="false" customHeight="false" outlineLevel="0" collapsed="false">
      <c r="A45" s="12" t="s">
        <v>827</v>
      </c>
      <c r="B45" s="14" t="s">
        <v>73</v>
      </c>
      <c r="D45" s="55" t="n">
        <f aca="false">Costs!D45/FX_EUR</f>
        <v>33311.5127973328</v>
      </c>
      <c r="E45" s="37" t="n">
        <f aca="false">Costs!E45/FX_EUR</f>
        <v>79.5783869979282</v>
      </c>
      <c r="F45" s="37" t="n">
        <f aca="false">Costs!F45/FX_EUR</f>
        <v>79.5783869979282</v>
      </c>
      <c r="G45" s="37" t="n">
        <f aca="false">Costs!G45/FX_EUR</f>
        <v>79.5783869979282</v>
      </c>
      <c r="H45" s="37" t="n">
        <f aca="false">Costs!H45/FX_EUR</f>
        <v>159.156773995856</v>
      </c>
      <c r="I45" s="37" t="n">
        <f aca="false">Costs!I45/FX_EUR</f>
        <v>175.072451395442</v>
      </c>
      <c r="J45" s="37" t="n">
        <f aca="false">Costs!J45/FX_EUR</f>
        <v>175.072451395442</v>
      </c>
      <c r="K45" s="37" t="n">
        <f aca="false">Costs!K45/FX_EUR</f>
        <v>175.072451395442</v>
      </c>
      <c r="L45" s="37" t="n">
        <f aca="false">Costs!L45/FX_EUR</f>
        <v>175.072451395442</v>
      </c>
      <c r="M45" s="37" t="n">
        <f aca="false">Costs!M45/FX_EUR</f>
        <v>175.072451395442</v>
      </c>
      <c r="N45" s="37" t="n">
        <f aca="false">Costs!N45/FX_EUR</f>
        <v>175.072451395442</v>
      </c>
      <c r="O45" s="37" t="n">
        <f aca="false">Costs!O45/FX_EUR</f>
        <v>175.072451395442</v>
      </c>
      <c r="P45" s="37" t="n">
        <f aca="false">Costs!P45/FX_EUR</f>
        <v>175.072451395442</v>
      </c>
      <c r="Q45" s="37" t="n">
        <f aca="false">Costs!Q45/FX_EUR</f>
        <v>190.988128795028</v>
      </c>
      <c r="R45" s="37" t="n">
        <f aca="false">Costs!R45/FX_EUR</f>
        <v>190.988128795028</v>
      </c>
      <c r="S45" s="37" t="n">
        <f aca="false">Costs!S45/FX_EUR</f>
        <v>190.988128795028</v>
      </c>
      <c r="T45" s="37" t="n">
        <f aca="false">Costs!T45/FX_EUR</f>
        <v>206.903806194613</v>
      </c>
      <c r="U45" s="37" t="n">
        <f aca="false">Costs!U45/FX_EUR</f>
        <v>206.903806194613</v>
      </c>
      <c r="V45" s="37" t="n">
        <f aca="false">Costs!V45/FX_EUR</f>
        <v>270.566515792956</v>
      </c>
      <c r="W45" s="37" t="n">
        <f aca="false">Costs!W45/FX_EUR</f>
        <v>286.482193192542</v>
      </c>
      <c r="X45" s="37" t="n">
        <f aca="false">Costs!X45/FX_EUR</f>
        <v>286.482193192542</v>
      </c>
      <c r="Y45" s="37" t="n">
        <f aca="false">Costs!Y45/FX_EUR</f>
        <v>286.482193192542</v>
      </c>
      <c r="Z45" s="37" t="n">
        <f aca="false">Costs!Z45/FX_EUR</f>
        <v>286.482193192542</v>
      </c>
      <c r="AA45" s="37" t="n">
        <f aca="false">Costs!AA45/FX_EUR</f>
        <v>318.313547991713</v>
      </c>
      <c r="AB45" s="37" t="n">
        <f aca="false">Costs!AB45/FX_EUR</f>
        <v>334.229225391299</v>
      </c>
      <c r="AC45" s="37" t="n">
        <f aca="false">Costs!AC45/FX_EUR</f>
        <v>334.229225391299</v>
      </c>
      <c r="AD45" s="37" t="n">
        <f aca="false">Costs!AD45/FX_EUR</f>
        <v>334.229225391299</v>
      </c>
      <c r="AE45" s="37" t="n">
        <f aca="false">Costs!AE45/FX_EUR</f>
        <v>381.976257590055</v>
      </c>
      <c r="AF45" s="37" t="n">
        <f aca="false">Costs!AF45/FX_EUR</f>
        <v>397.891934989641</v>
      </c>
      <c r="AG45" s="37" t="n">
        <f aca="false">Costs!AG45/FX_EUR</f>
        <v>445.638967188398</v>
      </c>
      <c r="AH45" s="37" t="n">
        <f aca="false">Costs!AH45/FX_EUR</f>
        <v>445.638967188398</v>
      </c>
      <c r="AI45" s="37" t="n">
        <f aca="false">Costs!AI45/FX_EUR</f>
        <v>477.470321987569</v>
      </c>
      <c r="AJ45" s="37" t="n">
        <f aca="false">Costs!AJ45/FX_EUR</f>
        <v>493.385999387155</v>
      </c>
      <c r="AK45" s="37" t="n">
        <f aca="false">Costs!AK45/FX_EUR</f>
        <v>509.301676786741</v>
      </c>
      <c r="AL45" s="37" t="n">
        <f aca="false">Costs!AL45/FX_EUR</f>
        <v>541.133031585912</v>
      </c>
      <c r="AM45" s="37" t="n">
        <f aca="false">Costs!AM45/FX_EUR</f>
        <v>557.048708985498</v>
      </c>
      <c r="AN45" s="37" t="n">
        <f aca="false">Costs!AN45/FX_EUR</f>
        <v>572.964386385083</v>
      </c>
      <c r="AO45" s="37" t="n">
        <f aca="false">Costs!AO45/FX_EUR</f>
        <v>636.627095983426</v>
      </c>
      <c r="AP45" s="37" t="n">
        <f aca="false">Costs!AP45/FX_EUR</f>
        <v>636.627095983426</v>
      </c>
      <c r="AQ45" s="37" t="n">
        <f aca="false">Costs!AQ45/FX_EUR</f>
        <v>668.458450782597</v>
      </c>
      <c r="AR45" s="37" t="n">
        <f aca="false">Costs!AR45/FX_EUR</f>
        <v>684.374128182183</v>
      </c>
      <c r="AS45" s="37" t="n">
        <f aca="false">Costs!AS45/FX_EUR</f>
        <v>748.036837780525</v>
      </c>
      <c r="AT45" s="37" t="n">
        <f aca="false">Costs!AT45/FX_EUR</f>
        <v>748.036837780525</v>
      </c>
      <c r="AU45" s="37" t="n">
        <f aca="false">Costs!AU45/FX_EUR</f>
        <v>763.952515180111</v>
      </c>
      <c r="AV45" s="37" t="n">
        <f aca="false">Costs!AV45/FX_EUR</f>
        <v>795.783869979282</v>
      </c>
      <c r="AW45" s="37" t="n">
        <f aca="false">Costs!AW45/FX_EUR</f>
        <v>827.615224778454</v>
      </c>
      <c r="AX45" s="37" t="n">
        <f aca="false">Costs!AX45/FX_EUR</f>
        <v>891.277934376796</v>
      </c>
      <c r="AY45" s="37" t="n">
        <f aca="false">Costs!AY45/FX_EUR</f>
        <v>891.277934376796</v>
      </c>
      <c r="AZ45" s="37" t="n">
        <f aca="false">Costs!AZ45/FX_EUR</f>
        <v>923.109289175967</v>
      </c>
      <c r="BA45" s="37" t="n">
        <f aca="false">Costs!BA45/FX_EUR</f>
        <v>939.024966575553</v>
      </c>
      <c r="BB45" s="37" t="n">
        <f aca="false">Costs!BB45/FX_EUR</f>
        <v>986.77199877431</v>
      </c>
      <c r="BC45" s="37" t="n">
        <f aca="false">Costs!BC45/FX_EUR</f>
        <v>1018.60335357348</v>
      </c>
      <c r="BD45" s="37" t="n">
        <f aca="false">Costs!BD45/FX_EUR</f>
        <v>1066.35038577224</v>
      </c>
      <c r="BE45" s="37" t="n">
        <f aca="false">Costs!BE45/FX_EUR</f>
        <v>1082.26606317182</v>
      </c>
      <c r="BF45" s="37" t="n">
        <f aca="false">Costs!BF45/FX_EUR</f>
        <v>1145.92877277017</v>
      </c>
      <c r="BG45" s="37" t="n">
        <f aca="false">Costs!BG45/FX_EUR</f>
        <v>1161.84445016975</v>
      </c>
      <c r="BH45" s="37" t="n">
        <f aca="false">Costs!BH45/FX_EUR</f>
        <v>1193.67580496892</v>
      </c>
      <c r="BI45" s="37" t="n">
        <f aca="false">Costs!BI45/FX_EUR</f>
        <v>1209.59148236851</v>
      </c>
      <c r="BJ45" s="37" t="n">
        <f aca="false">Costs!BJ45/FX_EUR</f>
        <v>1289.16986936644</v>
      </c>
      <c r="BK45" s="37" t="n">
        <f aca="false">Costs!BK45/FX_EUR</f>
        <v>1321.00122416561</v>
      </c>
      <c r="BL45" s="37" t="n">
        <f aca="false">Costs!BL45/FX_EUR</f>
        <v>1336.91690156519</v>
      </c>
    </row>
    <row r="46" customFormat="false" ht="15" hidden="false" customHeight="false" outlineLevel="0" collapsed="false">
      <c r="A46" s="12" t="s">
        <v>828</v>
      </c>
      <c r="B46" s="14" t="s">
        <v>73</v>
      </c>
      <c r="D46" s="55" t="n">
        <f aca="false">Costs!D46/FX_EUR</f>
        <v>8532.57149477786</v>
      </c>
      <c r="E46" s="37" t="n">
        <f aca="false">Costs!E46/FX_EUR</f>
        <v>110.525537497123</v>
      </c>
      <c r="F46" s="37" t="n">
        <f aca="false">Costs!F46/FX_EUR</f>
        <v>110.525537497123</v>
      </c>
      <c r="G46" s="37" t="n">
        <f aca="false">Costs!G46/FX_EUR</f>
        <v>110.525537497123</v>
      </c>
      <c r="H46" s="37" t="n">
        <f aca="false">Costs!H46/FX_EUR</f>
        <v>110.525537497123</v>
      </c>
      <c r="I46" s="37" t="n">
        <f aca="false">Costs!I46/FX_EUR</f>
        <v>110.525537497123</v>
      </c>
      <c r="J46" s="37" t="n">
        <f aca="false">Costs!J46/FX_EUR</f>
        <v>110.525537497123</v>
      </c>
      <c r="K46" s="37" t="n">
        <f aca="false">Costs!K46/FX_EUR</f>
        <v>110.525537497123</v>
      </c>
      <c r="L46" s="37" t="n">
        <f aca="false">Costs!L46/FX_EUR</f>
        <v>110.525537497123</v>
      </c>
      <c r="M46" s="37" t="n">
        <f aca="false">Costs!M46/FX_EUR</f>
        <v>110.525537497123</v>
      </c>
      <c r="N46" s="37" t="n">
        <f aca="false">Costs!N46/FX_EUR</f>
        <v>110.525537497123</v>
      </c>
      <c r="O46" s="37" t="n">
        <f aca="false">Costs!O46/FX_EUR</f>
        <v>110.525537497123</v>
      </c>
      <c r="P46" s="37" t="n">
        <f aca="false">Costs!P46/FX_EUR</f>
        <v>110.525537497123</v>
      </c>
      <c r="Q46" s="37" t="n">
        <f aca="false">Costs!Q46/FX_EUR</f>
        <v>110.525537497123</v>
      </c>
      <c r="R46" s="37" t="n">
        <f aca="false">Costs!R46/FX_EUR</f>
        <v>110.525537497123</v>
      </c>
      <c r="S46" s="37" t="n">
        <f aca="false">Costs!S46/FX_EUR</f>
        <v>110.525537497123</v>
      </c>
      <c r="T46" s="37" t="n">
        <f aca="false">Costs!T46/FX_EUR</f>
        <v>110.525537497123</v>
      </c>
      <c r="U46" s="37" t="n">
        <f aca="false">Costs!U46/FX_EUR</f>
        <v>110.525537497123</v>
      </c>
      <c r="V46" s="37" t="n">
        <f aca="false">Costs!V46/FX_EUR</f>
        <v>110.525537497123</v>
      </c>
      <c r="W46" s="37" t="n">
        <f aca="false">Costs!W46/FX_EUR</f>
        <v>110.525537497123</v>
      </c>
      <c r="X46" s="37" t="n">
        <f aca="false">Costs!X46/FX_EUR</f>
        <v>110.525537497123</v>
      </c>
      <c r="Y46" s="37" t="n">
        <f aca="false">Costs!Y46/FX_EUR</f>
        <v>110.525537497123</v>
      </c>
      <c r="Z46" s="37" t="n">
        <f aca="false">Costs!Z46/FX_EUR</f>
        <v>110.525537497123</v>
      </c>
      <c r="AA46" s="37" t="n">
        <f aca="false">Costs!AA46/FX_EUR</f>
        <v>110.525537497123</v>
      </c>
      <c r="AB46" s="37" t="n">
        <f aca="false">Costs!AB46/FX_EUR</f>
        <v>110.525537497123</v>
      </c>
      <c r="AC46" s="37" t="n">
        <f aca="false">Costs!AC46/FX_EUR</f>
        <v>110.525537497123</v>
      </c>
      <c r="AD46" s="37" t="n">
        <f aca="false">Costs!AD46/FX_EUR</f>
        <v>110.525537497123</v>
      </c>
      <c r="AE46" s="37" t="n">
        <f aca="false">Costs!AE46/FX_EUR</f>
        <v>132.630644996547</v>
      </c>
      <c r="AF46" s="37" t="n">
        <f aca="false">Costs!AF46/FX_EUR</f>
        <v>132.630644996547</v>
      </c>
      <c r="AG46" s="37" t="n">
        <f aca="false">Costs!AG46/FX_EUR</f>
        <v>132.630644996547</v>
      </c>
      <c r="AH46" s="37" t="n">
        <f aca="false">Costs!AH46/FX_EUR</f>
        <v>132.630644996547</v>
      </c>
      <c r="AI46" s="37" t="n">
        <f aca="false">Costs!AI46/FX_EUR</f>
        <v>132.630644996547</v>
      </c>
      <c r="AJ46" s="37" t="n">
        <f aca="false">Costs!AJ46/FX_EUR</f>
        <v>132.630644996547</v>
      </c>
      <c r="AK46" s="37" t="n">
        <f aca="false">Costs!AK46/FX_EUR</f>
        <v>132.630644996547</v>
      </c>
      <c r="AL46" s="37" t="n">
        <f aca="false">Costs!AL46/FX_EUR</f>
        <v>132.630644996547</v>
      </c>
      <c r="AM46" s="37" t="n">
        <f aca="false">Costs!AM46/FX_EUR</f>
        <v>132.630644996547</v>
      </c>
      <c r="AN46" s="37" t="n">
        <f aca="false">Costs!AN46/FX_EUR</f>
        <v>132.630644996547</v>
      </c>
      <c r="AO46" s="37" t="n">
        <f aca="false">Costs!AO46/FX_EUR</f>
        <v>154.735752495972</v>
      </c>
      <c r="AP46" s="37" t="n">
        <f aca="false">Costs!AP46/FX_EUR</f>
        <v>154.735752495972</v>
      </c>
      <c r="AQ46" s="37" t="n">
        <f aca="false">Costs!AQ46/FX_EUR</f>
        <v>154.735752495972</v>
      </c>
      <c r="AR46" s="37" t="n">
        <f aca="false">Costs!AR46/FX_EUR</f>
        <v>154.735752495972</v>
      </c>
      <c r="AS46" s="37" t="n">
        <f aca="false">Costs!AS46/FX_EUR</f>
        <v>154.735752495972</v>
      </c>
      <c r="AT46" s="37" t="n">
        <f aca="false">Costs!AT46/FX_EUR</f>
        <v>154.735752495972</v>
      </c>
      <c r="AU46" s="37" t="n">
        <f aca="false">Costs!AU46/FX_EUR</f>
        <v>154.735752495972</v>
      </c>
      <c r="AV46" s="37" t="n">
        <f aca="false">Costs!AV46/FX_EUR</f>
        <v>154.735752495972</v>
      </c>
      <c r="AW46" s="37" t="n">
        <f aca="false">Costs!AW46/FX_EUR</f>
        <v>176.840859995396</v>
      </c>
      <c r="AX46" s="37" t="n">
        <f aca="false">Costs!AX46/FX_EUR</f>
        <v>176.840859995396</v>
      </c>
      <c r="AY46" s="37" t="n">
        <f aca="false">Costs!AY46/FX_EUR</f>
        <v>176.840859995396</v>
      </c>
      <c r="AZ46" s="37" t="n">
        <f aca="false">Costs!AZ46/FX_EUR</f>
        <v>176.840859995396</v>
      </c>
      <c r="BA46" s="37" t="n">
        <f aca="false">Costs!BA46/FX_EUR</f>
        <v>176.840859995396</v>
      </c>
      <c r="BB46" s="37" t="n">
        <f aca="false">Costs!BB46/FX_EUR</f>
        <v>176.840859995396</v>
      </c>
      <c r="BC46" s="37" t="n">
        <f aca="false">Costs!BC46/FX_EUR</f>
        <v>176.840859995396</v>
      </c>
      <c r="BD46" s="37" t="n">
        <f aca="false">Costs!BD46/FX_EUR</f>
        <v>198.945967494821</v>
      </c>
      <c r="BE46" s="37" t="n">
        <f aca="false">Costs!BE46/FX_EUR</f>
        <v>198.945967494821</v>
      </c>
      <c r="BF46" s="37" t="n">
        <f aca="false">Costs!BF46/FX_EUR</f>
        <v>198.945967494821</v>
      </c>
      <c r="BG46" s="37" t="n">
        <f aca="false">Costs!BG46/FX_EUR</f>
        <v>198.945967494821</v>
      </c>
      <c r="BH46" s="37" t="n">
        <f aca="false">Costs!BH46/FX_EUR</f>
        <v>198.945967494821</v>
      </c>
      <c r="BI46" s="37" t="n">
        <f aca="false">Costs!BI46/FX_EUR</f>
        <v>198.945967494821</v>
      </c>
      <c r="BJ46" s="37" t="n">
        <f aca="false">Costs!BJ46/FX_EUR</f>
        <v>221.051074994245</v>
      </c>
      <c r="BK46" s="37" t="n">
        <f aca="false">Costs!BK46/FX_EUR</f>
        <v>221.051074994245</v>
      </c>
      <c r="BL46" s="37" t="n">
        <f aca="false">Costs!BL46/FX_EUR</f>
        <v>221.051074994245</v>
      </c>
    </row>
    <row r="47" customFormat="false" ht="15" hidden="false" customHeight="false" outlineLevel="0" collapsed="false">
      <c r="A47" s="12" t="s">
        <v>829</v>
      </c>
      <c r="B47" s="14" t="s">
        <v>73</v>
      </c>
      <c r="D47" s="55" t="n">
        <f aca="false">Costs!D47/FX_EUR</f>
        <v>1414.72687996317</v>
      </c>
      <c r="E47" s="37" t="n">
        <f aca="false">Costs!E47/FX_EUR</f>
        <v>23.5787813327195</v>
      </c>
      <c r="F47" s="37" t="n">
        <f aca="false">Costs!F47/FX_EUR</f>
        <v>23.5787813327195</v>
      </c>
      <c r="G47" s="37" t="n">
        <f aca="false">Costs!G47/FX_EUR</f>
        <v>23.5787813327195</v>
      </c>
      <c r="H47" s="37" t="n">
        <f aca="false">Costs!H47/FX_EUR</f>
        <v>23.5787813327195</v>
      </c>
      <c r="I47" s="37" t="n">
        <f aca="false">Costs!I47/FX_EUR</f>
        <v>23.5787813327195</v>
      </c>
      <c r="J47" s="37" t="n">
        <f aca="false">Costs!J47/FX_EUR</f>
        <v>23.5787813327195</v>
      </c>
      <c r="K47" s="37" t="n">
        <f aca="false">Costs!K47/FX_EUR</f>
        <v>23.5787813327195</v>
      </c>
      <c r="L47" s="37" t="n">
        <f aca="false">Costs!L47/FX_EUR</f>
        <v>23.5787813327195</v>
      </c>
      <c r="M47" s="37" t="n">
        <f aca="false">Costs!M47/FX_EUR</f>
        <v>23.5787813327195</v>
      </c>
      <c r="N47" s="37" t="n">
        <f aca="false">Costs!N47/FX_EUR</f>
        <v>23.5787813327195</v>
      </c>
      <c r="O47" s="37" t="n">
        <f aca="false">Costs!O47/FX_EUR</f>
        <v>23.5787813327195</v>
      </c>
      <c r="P47" s="37" t="n">
        <f aca="false">Costs!P47/FX_EUR</f>
        <v>23.5787813327195</v>
      </c>
      <c r="Q47" s="37" t="n">
        <f aca="false">Costs!Q47/FX_EUR</f>
        <v>23.5787813327195</v>
      </c>
      <c r="R47" s="37" t="n">
        <f aca="false">Costs!R47/FX_EUR</f>
        <v>23.5787813327195</v>
      </c>
      <c r="S47" s="37" t="n">
        <f aca="false">Costs!S47/FX_EUR</f>
        <v>23.5787813327195</v>
      </c>
      <c r="T47" s="37" t="n">
        <f aca="false">Costs!T47/FX_EUR</f>
        <v>23.5787813327195</v>
      </c>
      <c r="U47" s="37" t="n">
        <f aca="false">Costs!U47/FX_EUR</f>
        <v>23.5787813327195</v>
      </c>
      <c r="V47" s="37" t="n">
        <f aca="false">Costs!V47/FX_EUR</f>
        <v>23.5787813327195</v>
      </c>
      <c r="W47" s="37" t="n">
        <f aca="false">Costs!W47/FX_EUR</f>
        <v>23.5787813327195</v>
      </c>
      <c r="X47" s="37" t="n">
        <f aca="false">Costs!X47/FX_EUR</f>
        <v>23.5787813327195</v>
      </c>
      <c r="Y47" s="37" t="n">
        <f aca="false">Costs!Y47/FX_EUR</f>
        <v>23.5787813327195</v>
      </c>
      <c r="Z47" s="37" t="n">
        <f aca="false">Costs!Z47/FX_EUR</f>
        <v>23.5787813327195</v>
      </c>
      <c r="AA47" s="37" t="n">
        <f aca="false">Costs!AA47/FX_EUR</f>
        <v>23.5787813327195</v>
      </c>
      <c r="AB47" s="37" t="n">
        <f aca="false">Costs!AB47/FX_EUR</f>
        <v>23.5787813327195</v>
      </c>
      <c r="AC47" s="37" t="n">
        <f aca="false">Costs!AC47/FX_EUR</f>
        <v>23.5787813327195</v>
      </c>
      <c r="AD47" s="37" t="n">
        <f aca="false">Costs!AD47/FX_EUR</f>
        <v>23.5787813327195</v>
      </c>
      <c r="AE47" s="37" t="n">
        <f aca="false">Costs!AE47/FX_EUR</f>
        <v>23.5787813327195</v>
      </c>
      <c r="AF47" s="37" t="n">
        <f aca="false">Costs!AF47/FX_EUR</f>
        <v>23.5787813327195</v>
      </c>
      <c r="AG47" s="37" t="n">
        <f aca="false">Costs!AG47/FX_EUR</f>
        <v>23.5787813327195</v>
      </c>
      <c r="AH47" s="37" t="n">
        <f aca="false">Costs!AH47/FX_EUR</f>
        <v>23.5787813327195</v>
      </c>
      <c r="AI47" s="37" t="n">
        <f aca="false">Costs!AI47/FX_EUR</f>
        <v>23.5787813327195</v>
      </c>
      <c r="AJ47" s="37" t="n">
        <f aca="false">Costs!AJ47/FX_EUR</f>
        <v>23.5787813327195</v>
      </c>
      <c r="AK47" s="37" t="n">
        <f aca="false">Costs!AK47/FX_EUR</f>
        <v>23.5787813327195</v>
      </c>
      <c r="AL47" s="37" t="n">
        <f aca="false">Costs!AL47/FX_EUR</f>
        <v>23.5787813327195</v>
      </c>
      <c r="AM47" s="37" t="n">
        <f aca="false">Costs!AM47/FX_EUR</f>
        <v>23.5787813327195</v>
      </c>
      <c r="AN47" s="37" t="n">
        <f aca="false">Costs!AN47/FX_EUR</f>
        <v>23.5787813327195</v>
      </c>
      <c r="AO47" s="37" t="n">
        <f aca="false">Costs!AO47/FX_EUR</f>
        <v>23.5787813327195</v>
      </c>
      <c r="AP47" s="37" t="n">
        <f aca="false">Costs!AP47/FX_EUR</f>
        <v>23.5787813327195</v>
      </c>
      <c r="AQ47" s="37" t="n">
        <f aca="false">Costs!AQ47/FX_EUR</f>
        <v>23.5787813327195</v>
      </c>
      <c r="AR47" s="37" t="n">
        <f aca="false">Costs!AR47/FX_EUR</f>
        <v>23.5787813327195</v>
      </c>
      <c r="AS47" s="37" t="n">
        <f aca="false">Costs!AS47/FX_EUR</f>
        <v>23.5787813327195</v>
      </c>
      <c r="AT47" s="37" t="n">
        <f aca="false">Costs!AT47/FX_EUR</f>
        <v>23.5787813327195</v>
      </c>
      <c r="AU47" s="37" t="n">
        <f aca="false">Costs!AU47/FX_EUR</f>
        <v>23.5787813327195</v>
      </c>
      <c r="AV47" s="37" t="n">
        <f aca="false">Costs!AV47/FX_EUR</f>
        <v>23.5787813327195</v>
      </c>
      <c r="AW47" s="37" t="n">
        <f aca="false">Costs!AW47/FX_EUR</f>
        <v>23.5787813327195</v>
      </c>
      <c r="AX47" s="37" t="n">
        <f aca="false">Costs!AX47/FX_EUR</f>
        <v>23.5787813327195</v>
      </c>
      <c r="AY47" s="37" t="n">
        <f aca="false">Costs!AY47/FX_EUR</f>
        <v>23.5787813327195</v>
      </c>
      <c r="AZ47" s="37" t="n">
        <f aca="false">Costs!AZ47/FX_EUR</f>
        <v>23.5787813327195</v>
      </c>
      <c r="BA47" s="37" t="n">
        <f aca="false">Costs!BA47/FX_EUR</f>
        <v>23.5787813327195</v>
      </c>
      <c r="BB47" s="37" t="n">
        <f aca="false">Costs!BB47/FX_EUR</f>
        <v>23.5787813327195</v>
      </c>
      <c r="BC47" s="37" t="n">
        <f aca="false">Costs!BC47/FX_EUR</f>
        <v>23.5787813327195</v>
      </c>
      <c r="BD47" s="37" t="n">
        <f aca="false">Costs!BD47/FX_EUR</f>
        <v>23.5787813327195</v>
      </c>
      <c r="BE47" s="37" t="n">
        <f aca="false">Costs!BE47/FX_EUR</f>
        <v>23.5787813327195</v>
      </c>
      <c r="BF47" s="37" t="n">
        <f aca="false">Costs!BF47/FX_EUR</f>
        <v>23.5787813327195</v>
      </c>
      <c r="BG47" s="37" t="n">
        <f aca="false">Costs!BG47/FX_EUR</f>
        <v>23.5787813327195</v>
      </c>
      <c r="BH47" s="37" t="n">
        <f aca="false">Costs!BH47/FX_EUR</f>
        <v>23.5787813327195</v>
      </c>
      <c r="BI47" s="37" t="n">
        <f aca="false">Costs!BI47/FX_EUR</f>
        <v>23.5787813327195</v>
      </c>
      <c r="BJ47" s="37" t="n">
        <f aca="false">Costs!BJ47/FX_EUR</f>
        <v>23.5787813327195</v>
      </c>
      <c r="BK47" s="37" t="n">
        <f aca="false">Costs!BK47/FX_EUR</f>
        <v>23.5787813327195</v>
      </c>
      <c r="BL47" s="37" t="n">
        <f aca="false">Costs!BL47/FX_EUR</f>
        <v>23.5787813327195</v>
      </c>
    </row>
    <row r="48" customFormat="false" ht="15" hidden="false" customHeight="false" outlineLevel="0" collapsed="false">
      <c r="A48" s="12" t="s">
        <v>439</v>
      </c>
      <c r="B48" s="14" t="s">
        <v>73</v>
      </c>
      <c r="D48" s="55" t="n">
        <f aca="false">Costs!D48/FX_EUR</f>
        <v>53966.9521020433</v>
      </c>
      <c r="E48" s="37" t="n">
        <f aca="false">Costs!E48/FX_EUR</f>
        <v>1003.62269681295</v>
      </c>
      <c r="F48" s="37" t="n">
        <f aca="false">Costs!F48/FX_EUR</f>
        <v>1003.62269681295</v>
      </c>
      <c r="G48" s="37" t="n">
        <f aca="false">Costs!G48/FX_EUR</f>
        <v>1003.62269681295</v>
      </c>
      <c r="H48" s="37" t="n">
        <f aca="false">Costs!H48/FX_EUR</f>
        <v>1003.62269681295</v>
      </c>
      <c r="I48" s="37" t="n">
        <f aca="false">Costs!I48/FX_EUR</f>
        <v>1003.62269681295</v>
      </c>
      <c r="J48" s="37" t="n">
        <f aca="false">Costs!J48/FX_EUR</f>
        <v>1003.62269681295</v>
      </c>
      <c r="K48" s="37" t="n">
        <f aca="false">Costs!K48/FX_EUR</f>
        <v>1003.62269681295</v>
      </c>
      <c r="L48" s="37" t="n">
        <f aca="false">Costs!L48/FX_EUR</f>
        <v>1003.62269681295</v>
      </c>
      <c r="M48" s="37" t="n">
        <f aca="false">Costs!M48/FX_EUR</f>
        <v>1003.62269681295</v>
      </c>
      <c r="N48" s="37" t="n">
        <f aca="false">Costs!N48/FX_EUR</f>
        <v>1003.62269681295</v>
      </c>
      <c r="O48" s="37" t="n">
        <f aca="false">Costs!O48/FX_EUR</f>
        <v>1003.62269681295</v>
      </c>
      <c r="P48" s="37" t="n">
        <f aca="false">Costs!P48/FX_EUR</f>
        <v>1003.62269681295</v>
      </c>
      <c r="Q48" s="37" t="n">
        <f aca="false">Costs!Q48/FX_EUR</f>
        <v>1245.00030743885</v>
      </c>
      <c r="R48" s="37" t="n">
        <f aca="false">Costs!R48/FX_EUR</f>
        <v>1245.00030743885</v>
      </c>
      <c r="S48" s="37" t="n">
        <f aca="false">Costs!S48/FX_EUR</f>
        <v>1245.00030743885</v>
      </c>
      <c r="T48" s="37" t="n">
        <f aca="false">Costs!T48/FX_EUR</f>
        <v>1245.00030743885</v>
      </c>
      <c r="U48" s="37" t="n">
        <f aca="false">Costs!U48/FX_EUR</f>
        <v>1245.00030743885</v>
      </c>
      <c r="V48" s="37" t="n">
        <f aca="false">Costs!V48/FX_EUR</f>
        <v>1245.00030743885</v>
      </c>
      <c r="W48" s="37" t="n">
        <f aca="false">Costs!W48/FX_EUR</f>
        <v>1245.00030743885</v>
      </c>
      <c r="X48" s="37" t="n">
        <f aca="false">Costs!X48/FX_EUR</f>
        <v>1245.00030743885</v>
      </c>
      <c r="Y48" s="37" t="n">
        <f aca="false">Costs!Y48/FX_EUR</f>
        <v>1245.00030743885</v>
      </c>
      <c r="Z48" s="37" t="n">
        <f aca="false">Costs!Z48/FX_EUR</f>
        <v>1245.00030743885</v>
      </c>
      <c r="AA48" s="37" t="n">
        <f aca="false">Costs!AA48/FX_EUR</f>
        <v>1245.00030743885</v>
      </c>
      <c r="AB48" s="37" t="n">
        <f aca="false">Costs!AB48/FX_EUR</f>
        <v>1245.00030743885</v>
      </c>
      <c r="AC48" s="37" t="n">
        <f aca="false">Costs!AC48/FX_EUR</f>
        <v>749.541001417268</v>
      </c>
      <c r="AD48" s="37" t="n">
        <f aca="false">Costs!AD48/FX_EUR</f>
        <v>749.541001417268</v>
      </c>
      <c r="AE48" s="37" t="n">
        <f aca="false">Costs!AE48/FX_EUR</f>
        <v>749.541001417268</v>
      </c>
      <c r="AF48" s="37" t="n">
        <f aca="false">Costs!AF48/FX_EUR</f>
        <v>749.541001417268</v>
      </c>
      <c r="AG48" s="37" t="n">
        <f aca="false">Costs!AG48/FX_EUR</f>
        <v>749.541001417268</v>
      </c>
      <c r="AH48" s="37" t="n">
        <f aca="false">Costs!AH48/FX_EUR</f>
        <v>749.541001417268</v>
      </c>
      <c r="AI48" s="37" t="n">
        <f aca="false">Costs!AI48/FX_EUR</f>
        <v>749.541001417268</v>
      </c>
      <c r="AJ48" s="37" t="n">
        <f aca="false">Costs!AJ48/FX_EUR</f>
        <v>749.541001417268</v>
      </c>
      <c r="AK48" s="37" t="n">
        <f aca="false">Costs!AK48/FX_EUR</f>
        <v>749.541001417268</v>
      </c>
      <c r="AL48" s="37" t="n">
        <f aca="false">Costs!AL48/FX_EUR</f>
        <v>749.541001417268</v>
      </c>
      <c r="AM48" s="37" t="n">
        <f aca="false">Costs!AM48/FX_EUR</f>
        <v>749.541001417268</v>
      </c>
      <c r="AN48" s="37" t="n">
        <f aca="false">Costs!AN48/FX_EUR</f>
        <v>749.541001417268</v>
      </c>
      <c r="AO48" s="37" t="n">
        <f aca="false">Costs!AO48/FX_EUR</f>
        <v>749.541001417268</v>
      </c>
      <c r="AP48" s="37" t="n">
        <f aca="false">Costs!AP48/FX_EUR</f>
        <v>749.541001417268</v>
      </c>
      <c r="AQ48" s="37" t="n">
        <f aca="false">Costs!AQ48/FX_EUR</f>
        <v>749.541001417268</v>
      </c>
      <c r="AR48" s="37" t="n">
        <f aca="false">Costs!AR48/FX_EUR</f>
        <v>749.541001417268</v>
      </c>
      <c r="AS48" s="37" t="n">
        <f aca="false">Costs!AS48/FX_EUR</f>
        <v>749.541001417268</v>
      </c>
      <c r="AT48" s="37" t="n">
        <f aca="false">Costs!AT48/FX_EUR</f>
        <v>749.541001417268</v>
      </c>
      <c r="AU48" s="37" t="n">
        <f aca="false">Costs!AU48/FX_EUR</f>
        <v>749.541001417268</v>
      </c>
      <c r="AV48" s="37" t="n">
        <f aca="false">Costs!AV48/FX_EUR</f>
        <v>749.541001417268</v>
      </c>
      <c r="AW48" s="37" t="n">
        <f aca="false">Costs!AW48/FX_EUR</f>
        <v>749.541001417268</v>
      </c>
      <c r="AX48" s="37" t="n">
        <f aca="false">Costs!AX48/FX_EUR</f>
        <v>749.541001417268</v>
      </c>
      <c r="AY48" s="37" t="n">
        <f aca="false">Costs!AY48/FX_EUR</f>
        <v>749.541001417268</v>
      </c>
      <c r="AZ48" s="37" t="n">
        <f aca="false">Costs!AZ48/FX_EUR</f>
        <v>749.541001417268</v>
      </c>
      <c r="BA48" s="37" t="n">
        <f aca="false">Costs!BA48/FX_EUR</f>
        <v>749.541001417268</v>
      </c>
      <c r="BB48" s="37" t="n">
        <f aca="false">Costs!BB48/FX_EUR</f>
        <v>749.541001417268</v>
      </c>
      <c r="BC48" s="37" t="n">
        <f aca="false">Costs!BC48/FX_EUR</f>
        <v>749.541001417268</v>
      </c>
      <c r="BD48" s="37" t="n">
        <f aca="false">Costs!BD48/FX_EUR</f>
        <v>749.541001417268</v>
      </c>
      <c r="BE48" s="37" t="n">
        <f aca="false">Costs!BE48/FX_EUR</f>
        <v>749.541001417268</v>
      </c>
      <c r="BF48" s="37" t="n">
        <f aca="false">Costs!BF48/FX_EUR</f>
        <v>749.541001417268</v>
      </c>
      <c r="BG48" s="37" t="n">
        <f aca="false">Costs!BG48/FX_EUR</f>
        <v>749.541001417268</v>
      </c>
      <c r="BH48" s="37" t="n">
        <f aca="false">Costs!BH48/FX_EUR</f>
        <v>749.541001417268</v>
      </c>
      <c r="BI48" s="37" t="n">
        <f aca="false">Costs!BI48/FX_EUR</f>
        <v>749.541001417268</v>
      </c>
      <c r="BJ48" s="37" t="n">
        <f aca="false">Costs!BJ48/FX_EUR</f>
        <v>749.541001417268</v>
      </c>
      <c r="BK48" s="37" t="n">
        <f aca="false">Costs!BK48/FX_EUR</f>
        <v>749.541001417268</v>
      </c>
      <c r="BL48" s="37" t="n">
        <f aca="false">Costs!BL48/FX_EUR</f>
        <v>749.541001417268</v>
      </c>
    </row>
    <row r="49" customFormat="false" ht="15" hidden="false" customHeight="false" outlineLevel="0" collapsed="false">
      <c r="A49" s="12" t="s">
        <v>421</v>
      </c>
      <c r="B49" s="14" t="s">
        <v>73</v>
      </c>
      <c r="D49" s="55" t="n">
        <f aca="false">Costs!D49/FX_EUR</f>
        <v>44210.214998849</v>
      </c>
      <c r="E49" s="37" t="n">
        <f aca="false">Costs!E49/FX_EUR</f>
        <v>0</v>
      </c>
      <c r="F49" s="37" t="n">
        <f aca="false">Costs!F49/FX_EUR</f>
        <v>0</v>
      </c>
      <c r="G49" s="37" t="n">
        <f aca="false">Costs!G49/FX_EUR</f>
        <v>0</v>
      </c>
      <c r="H49" s="37" t="n">
        <f aca="false">Costs!H49/FX_EUR</f>
        <v>8842.0429997698</v>
      </c>
      <c r="I49" s="37" t="n">
        <f aca="false">Costs!I49/FX_EUR</f>
        <v>0</v>
      </c>
      <c r="J49" s="37" t="n">
        <f aca="false">Costs!J49/FX_EUR</f>
        <v>0</v>
      </c>
      <c r="K49" s="37" t="n">
        <f aca="false">Costs!K49/FX_EUR</f>
        <v>0</v>
      </c>
      <c r="L49" s="37" t="n">
        <f aca="false">Costs!L49/FX_EUR</f>
        <v>0</v>
      </c>
      <c r="M49" s="37" t="n">
        <f aca="false">Costs!M49/FX_EUR</f>
        <v>0</v>
      </c>
      <c r="N49" s="37" t="n">
        <f aca="false">Costs!N49/FX_EUR</f>
        <v>0</v>
      </c>
      <c r="O49" s="37" t="n">
        <f aca="false">Costs!O49/FX_EUR</f>
        <v>0</v>
      </c>
      <c r="P49" s="37" t="n">
        <f aca="false">Costs!P49/FX_EUR</f>
        <v>0</v>
      </c>
      <c r="Q49" s="37" t="n">
        <f aca="false">Costs!Q49/FX_EUR</f>
        <v>0</v>
      </c>
      <c r="R49" s="37" t="n">
        <f aca="false">Costs!R49/FX_EUR</f>
        <v>0</v>
      </c>
      <c r="S49" s="37" t="n">
        <f aca="false">Costs!S49/FX_EUR</f>
        <v>0</v>
      </c>
      <c r="T49" s="37" t="n">
        <f aca="false">Costs!T49/FX_EUR</f>
        <v>8842.0429997698</v>
      </c>
      <c r="U49" s="37" t="n">
        <f aca="false">Costs!U49/FX_EUR</f>
        <v>0</v>
      </c>
      <c r="V49" s="37" t="n">
        <f aca="false">Costs!V49/FX_EUR</f>
        <v>0</v>
      </c>
      <c r="W49" s="37" t="n">
        <f aca="false">Costs!W49/FX_EUR</f>
        <v>0</v>
      </c>
      <c r="X49" s="37" t="n">
        <f aca="false">Costs!X49/FX_EUR</f>
        <v>0</v>
      </c>
      <c r="Y49" s="37" t="n">
        <f aca="false">Costs!Y49/FX_EUR</f>
        <v>0</v>
      </c>
      <c r="Z49" s="37" t="n">
        <f aca="false">Costs!Z49/FX_EUR</f>
        <v>0</v>
      </c>
      <c r="AA49" s="37" t="n">
        <f aca="false">Costs!AA49/FX_EUR</f>
        <v>0</v>
      </c>
      <c r="AB49" s="37" t="n">
        <f aca="false">Costs!AB49/FX_EUR</f>
        <v>0</v>
      </c>
      <c r="AC49" s="37" t="n">
        <f aca="false">Costs!AC49/FX_EUR</f>
        <v>0</v>
      </c>
      <c r="AD49" s="37" t="n">
        <f aca="false">Costs!AD49/FX_EUR</f>
        <v>0</v>
      </c>
      <c r="AE49" s="37" t="n">
        <f aca="false">Costs!AE49/FX_EUR</f>
        <v>0</v>
      </c>
      <c r="AF49" s="37" t="n">
        <f aca="false">Costs!AF49/FX_EUR</f>
        <v>8842.0429997698</v>
      </c>
      <c r="AG49" s="37" t="n">
        <f aca="false">Costs!AG49/FX_EUR</f>
        <v>0</v>
      </c>
      <c r="AH49" s="37" t="n">
        <f aca="false">Costs!AH49/FX_EUR</f>
        <v>0</v>
      </c>
      <c r="AI49" s="37" t="n">
        <f aca="false">Costs!AI49/FX_EUR</f>
        <v>0</v>
      </c>
      <c r="AJ49" s="37" t="n">
        <f aca="false">Costs!AJ49/FX_EUR</f>
        <v>0</v>
      </c>
      <c r="AK49" s="37" t="n">
        <f aca="false">Costs!AK49/FX_EUR</f>
        <v>0</v>
      </c>
      <c r="AL49" s="37" t="n">
        <f aca="false">Costs!AL49/FX_EUR</f>
        <v>0</v>
      </c>
      <c r="AM49" s="37" t="n">
        <f aca="false">Costs!AM49/FX_EUR</f>
        <v>0</v>
      </c>
      <c r="AN49" s="37" t="n">
        <f aca="false">Costs!AN49/FX_EUR</f>
        <v>0</v>
      </c>
      <c r="AO49" s="37" t="n">
        <f aca="false">Costs!AO49/FX_EUR</f>
        <v>0</v>
      </c>
      <c r="AP49" s="37" t="n">
        <f aca="false">Costs!AP49/FX_EUR</f>
        <v>0</v>
      </c>
      <c r="AQ49" s="37" t="n">
        <f aca="false">Costs!AQ49/FX_EUR</f>
        <v>0</v>
      </c>
      <c r="AR49" s="37" t="n">
        <f aca="false">Costs!AR49/FX_EUR</f>
        <v>8842.0429997698</v>
      </c>
      <c r="AS49" s="37" t="n">
        <f aca="false">Costs!AS49/FX_EUR</f>
        <v>0</v>
      </c>
      <c r="AT49" s="37" t="n">
        <f aca="false">Costs!AT49/FX_EUR</f>
        <v>0</v>
      </c>
      <c r="AU49" s="37" t="n">
        <f aca="false">Costs!AU49/FX_EUR</f>
        <v>0</v>
      </c>
      <c r="AV49" s="37" t="n">
        <f aca="false">Costs!AV49/FX_EUR</f>
        <v>0</v>
      </c>
      <c r="AW49" s="37" t="n">
        <f aca="false">Costs!AW49/FX_EUR</f>
        <v>0</v>
      </c>
      <c r="AX49" s="37" t="n">
        <f aca="false">Costs!AX49/FX_EUR</f>
        <v>0</v>
      </c>
      <c r="AY49" s="37" t="n">
        <f aca="false">Costs!AY49/FX_EUR</f>
        <v>0</v>
      </c>
      <c r="AZ49" s="37" t="n">
        <f aca="false">Costs!AZ49/FX_EUR</f>
        <v>0</v>
      </c>
      <c r="BA49" s="37" t="n">
        <f aca="false">Costs!BA49/FX_EUR</f>
        <v>0</v>
      </c>
      <c r="BB49" s="37" t="n">
        <f aca="false">Costs!BB49/FX_EUR</f>
        <v>0</v>
      </c>
      <c r="BC49" s="37" t="n">
        <f aca="false">Costs!BC49/FX_EUR</f>
        <v>0</v>
      </c>
      <c r="BD49" s="37" t="n">
        <f aca="false">Costs!BD49/FX_EUR</f>
        <v>8842.0429997698</v>
      </c>
      <c r="BE49" s="37" t="n">
        <f aca="false">Costs!BE49/FX_EUR</f>
        <v>0</v>
      </c>
      <c r="BF49" s="37" t="n">
        <f aca="false">Costs!BF49/FX_EUR</f>
        <v>0</v>
      </c>
      <c r="BG49" s="37" t="n">
        <f aca="false">Costs!BG49/FX_EUR</f>
        <v>0</v>
      </c>
      <c r="BH49" s="37" t="n">
        <f aca="false">Costs!BH49/FX_EUR</f>
        <v>0</v>
      </c>
      <c r="BI49" s="37" t="n">
        <f aca="false">Costs!BI49/FX_EUR</f>
        <v>0</v>
      </c>
      <c r="BJ49" s="37" t="n">
        <f aca="false">Costs!BJ49/FX_EUR</f>
        <v>0</v>
      </c>
      <c r="BK49" s="37" t="n">
        <f aca="false">Costs!BK49/FX_EUR</f>
        <v>0</v>
      </c>
      <c r="BL49" s="37" t="n">
        <f aca="false">Costs!BL49/FX_EUR</f>
        <v>0</v>
      </c>
    </row>
    <row r="50" customFormat="false" ht="15" hidden="false" customHeight="false" outlineLevel="0" collapsed="false">
      <c r="A50" s="12" t="s">
        <v>830</v>
      </c>
      <c r="B50" s="14" t="s">
        <v>73</v>
      </c>
      <c r="D50" s="55" t="n">
        <f aca="false">Costs!D50/FX_EUR</f>
        <v>44210.214998849</v>
      </c>
      <c r="E50" s="37" t="n">
        <f aca="false">Costs!E50/FX_EUR</f>
        <v>0</v>
      </c>
      <c r="F50" s="37" t="n">
        <f aca="false">Costs!F50/FX_EUR</f>
        <v>0</v>
      </c>
      <c r="G50" s="37" t="n">
        <f aca="false">Costs!G50/FX_EUR</f>
        <v>44210.214998849</v>
      </c>
      <c r="H50" s="37" t="n">
        <f aca="false">Costs!H50/FX_EUR</f>
        <v>0</v>
      </c>
      <c r="I50" s="37" t="n">
        <f aca="false">Costs!I50/FX_EUR</f>
        <v>0</v>
      </c>
      <c r="J50" s="37" t="n">
        <f aca="false">Costs!J50/FX_EUR</f>
        <v>0</v>
      </c>
      <c r="K50" s="37" t="n">
        <f aca="false">Costs!K50/FX_EUR</f>
        <v>0</v>
      </c>
      <c r="L50" s="37" t="n">
        <f aca="false">Costs!L50/FX_EUR</f>
        <v>0</v>
      </c>
      <c r="M50" s="37" t="n">
        <f aca="false">Costs!M50/FX_EUR</f>
        <v>0</v>
      </c>
      <c r="N50" s="37" t="n">
        <f aca="false">Costs!N50/FX_EUR</f>
        <v>0</v>
      </c>
      <c r="O50" s="37" t="n">
        <f aca="false">Costs!O50/FX_EUR</f>
        <v>0</v>
      </c>
      <c r="P50" s="37" t="n">
        <f aca="false">Costs!P50/FX_EUR</f>
        <v>0</v>
      </c>
      <c r="Q50" s="37" t="n">
        <f aca="false">Costs!Q50/FX_EUR</f>
        <v>0</v>
      </c>
      <c r="R50" s="37" t="n">
        <f aca="false">Costs!R50/FX_EUR</f>
        <v>0</v>
      </c>
      <c r="S50" s="37" t="n">
        <f aca="false">Costs!S50/FX_EUR</f>
        <v>0</v>
      </c>
      <c r="T50" s="37" t="n">
        <f aca="false">Costs!T50/FX_EUR</f>
        <v>0</v>
      </c>
      <c r="U50" s="37" t="n">
        <f aca="false">Costs!U50/FX_EUR</f>
        <v>0</v>
      </c>
      <c r="V50" s="37" t="n">
        <f aca="false">Costs!V50/FX_EUR</f>
        <v>0</v>
      </c>
      <c r="W50" s="37" t="n">
        <f aca="false">Costs!W50/FX_EUR</f>
        <v>0</v>
      </c>
      <c r="X50" s="37" t="n">
        <f aca="false">Costs!X50/FX_EUR</f>
        <v>0</v>
      </c>
      <c r="Y50" s="37" t="n">
        <f aca="false">Costs!Y50/FX_EUR</f>
        <v>0</v>
      </c>
      <c r="Z50" s="37" t="n">
        <f aca="false">Costs!Z50/FX_EUR</f>
        <v>0</v>
      </c>
      <c r="AA50" s="37" t="n">
        <f aca="false">Costs!AA50/FX_EUR</f>
        <v>0</v>
      </c>
      <c r="AB50" s="37" t="n">
        <f aca="false">Costs!AB50/FX_EUR</f>
        <v>0</v>
      </c>
      <c r="AC50" s="37" t="n">
        <f aca="false">Costs!AC50/FX_EUR</f>
        <v>0</v>
      </c>
      <c r="AD50" s="37" t="n">
        <f aca="false">Costs!AD50/FX_EUR</f>
        <v>0</v>
      </c>
      <c r="AE50" s="37" t="n">
        <f aca="false">Costs!AE50/FX_EUR</f>
        <v>0</v>
      </c>
      <c r="AF50" s="37" t="n">
        <f aca="false">Costs!AF50/FX_EUR</f>
        <v>0</v>
      </c>
      <c r="AG50" s="37" t="n">
        <f aca="false">Costs!AG50/FX_EUR</f>
        <v>0</v>
      </c>
      <c r="AH50" s="37" t="n">
        <f aca="false">Costs!AH50/FX_EUR</f>
        <v>0</v>
      </c>
      <c r="AI50" s="37" t="n">
        <f aca="false">Costs!AI50/FX_EUR</f>
        <v>0</v>
      </c>
      <c r="AJ50" s="37" t="n">
        <f aca="false">Costs!AJ50/FX_EUR</f>
        <v>0</v>
      </c>
      <c r="AK50" s="37" t="n">
        <f aca="false">Costs!AK50/FX_EUR</f>
        <v>0</v>
      </c>
      <c r="AL50" s="37" t="n">
        <f aca="false">Costs!AL50/FX_EUR</f>
        <v>0</v>
      </c>
      <c r="AM50" s="37" t="n">
        <f aca="false">Costs!AM50/FX_EUR</f>
        <v>0</v>
      </c>
      <c r="AN50" s="37" t="n">
        <f aca="false">Costs!AN50/FX_EUR</f>
        <v>0</v>
      </c>
      <c r="AO50" s="37" t="n">
        <f aca="false">Costs!AO50/FX_EUR</f>
        <v>0</v>
      </c>
      <c r="AP50" s="37" t="n">
        <f aca="false">Costs!AP50/FX_EUR</f>
        <v>0</v>
      </c>
      <c r="AQ50" s="37" t="n">
        <f aca="false">Costs!AQ50/FX_EUR</f>
        <v>0</v>
      </c>
      <c r="AR50" s="37" t="n">
        <f aca="false">Costs!AR50/FX_EUR</f>
        <v>0</v>
      </c>
      <c r="AS50" s="37" t="n">
        <f aca="false">Costs!AS50/FX_EUR</f>
        <v>0</v>
      </c>
      <c r="AT50" s="37" t="n">
        <f aca="false">Costs!AT50/FX_EUR</f>
        <v>0</v>
      </c>
      <c r="AU50" s="37" t="n">
        <f aca="false">Costs!AU50/FX_EUR</f>
        <v>0</v>
      </c>
      <c r="AV50" s="37" t="n">
        <f aca="false">Costs!AV50/FX_EUR</f>
        <v>0</v>
      </c>
      <c r="AW50" s="37" t="n">
        <f aca="false">Costs!AW50/FX_EUR</f>
        <v>0</v>
      </c>
      <c r="AX50" s="37" t="n">
        <f aca="false">Costs!AX50/FX_EUR</f>
        <v>0</v>
      </c>
      <c r="AY50" s="37" t="n">
        <f aca="false">Costs!AY50/FX_EUR</f>
        <v>0</v>
      </c>
      <c r="AZ50" s="37" t="n">
        <f aca="false">Costs!AZ50/FX_EUR</f>
        <v>0</v>
      </c>
      <c r="BA50" s="37" t="n">
        <f aca="false">Costs!BA50/FX_EUR</f>
        <v>0</v>
      </c>
      <c r="BB50" s="37" t="n">
        <f aca="false">Costs!BB50/FX_EUR</f>
        <v>0</v>
      </c>
      <c r="BC50" s="37" t="n">
        <f aca="false">Costs!BC50/FX_EUR</f>
        <v>0</v>
      </c>
      <c r="BD50" s="37" t="n">
        <f aca="false">Costs!BD50/FX_EUR</f>
        <v>0</v>
      </c>
      <c r="BE50" s="37" t="n">
        <f aca="false">Costs!BE50/FX_EUR</f>
        <v>0</v>
      </c>
      <c r="BF50" s="37" t="n">
        <f aca="false">Costs!BF50/FX_EUR</f>
        <v>0</v>
      </c>
      <c r="BG50" s="37" t="n">
        <f aca="false">Costs!BG50/FX_EUR</f>
        <v>0</v>
      </c>
      <c r="BH50" s="37" t="n">
        <f aca="false">Costs!BH50/FX_EUR</f>
        <v>0</v>
      </c>
      <c r="BI50" s="37" t="n">
        <f aca="false">Costs!BI50/FX_EUR</f>
        <v>0</v>
      </c>
      <c r="BJ50" s="37" t="n">
        <f aca="false">Costs!BJ50/FX_EUR</f>
        <v>0</v>
      </c>
      <c r="BK50" s="37" t="n">
        <f aca="false">Costs!BK50/FX_EUR</f>
        <v>0</v>
      </c>
      <c r="BL50" s="37" t="n">
        <f aca="false">Costs!BL50/FX_EUR</f>
        <v>0</v>
      </c>
    </row>
    <row r="51" customFormat="false" ht="15" hidden="false" customHeight="false" outlineLevel="0" collapsed="false">
      <c r="A51" s="12" t="s">
        <v>831</v>
      </c>
      <c r="B51" s="14" t="s">
        <v>73</v>
      </c>
      <c r="D51" s="55" t="n">
        <f aca="false">Costs!D51/FX_EUR</f>
        <v>22231.022014925</v>
      </c>
      <c r="E51" s="37" t="n">
        <f aca="false">Costs!E51/FX_EUR</f>
        <v>0</v>
      </c>
      <c r="F51" s="37" t="n">
        <f aca="false">Costs!F51/FX_EUR</f>
        <v>0</v>
      </c>
      <c r="G51" s="37" t="n">
        <f aca="false">Costs!G51/FX_EUR</f>
        <v>0</v>
      </c>
      <c r="H51" s="37" t="n">
        <f aca="false">Costs!H51/FX_EUR</f>
        <v>0</v>
      </c>
      <c r="I51" s="37" t="n">
        <f aca="false">Costs!I51/FX_EUR</f>
        <v>4026.78834130896</v>
      </c>
      <c r="J51" s="37" t="n">
        <f aca="false">Costs!J51/FX_EUR</f>
        <v>3633.49838480266</v>
      </c>
      <c r="K51" s="37" t="n">
        <f aca="false">Costs!K51/FX_EUR</f>
        <v>3240.88340356151</v>
      </c>
      <c r="L51" s="37" t="n">
        <f aca="false">Costs!L51/FX_EUR</f>
        <v>2848.66395312783</v>
      </c>
      <c r="M51" s="37" t="n">
        <f aca="false">Costs!M51/FX_EUR</f>
        <v>2456.54861755299</v>
      </c>
      <c r="N51" s="37" t="n">
        <f aca="false">Costs!N51/FX_EUR</f>
        <v>2064.233211762</v>
      </c>
      <c r="O51" s="37" t="n">
        <f aca="false">Costs!O51/FX_EUR</f>
        <v>1671.39993746619</v>
      </c>
      <c r="P51" s="37" t="n">
        <f aca="false">Costs!P51/FX_EUR</f>
        <v>1277.71648981058</v>
      </c>
      <c r="Q51" s="37" t="n">
        <f aca="false">Costs!Q51/FX_EUR</f>
        <v>763.010184226047</v>
      </c>
      <c r="R51" s="37" t="n">
        <f aca="false">Costs!R51/FX_EUR</f>
        <v>248.279491306273</v>
      </c>
      <c r="S51" s="37" t="n">
        <f aca="false">Costs!S51/FX_EUR</f>
        <v>0</v>
      </c>
      <c r="T51" s="37" t="n">
        <f aca="false">Costs!T51/FX_EUR</f>
        <v>0</v>
      </c>
      <c r="U51" s="37" t="n">
        <f aca="false">Costs!U51/FX_EUR</f>
        <v>0</v>
      </c>
      <c r="V51" s="37" t="n">
        <f aca="false">Costs!V51/FX_EUR</f>
        <v>0</v>
      </c>
      <c r="W51" s="37" t="n">
        <f aca="false">Costs!W51/FX_EUR</f>
        <v>0</v>
      </c>
      <c r="X51" s="37" t="n">
        <f aca="false">Costs!X51/FX_EUR</f>
        <v>0</v>
      </c>
      <c r="Y51" s="37" t="n">
        <f aca="false">Costs!Y51/FX_EUR</f>
        <v>0</v>
      </c>
      <c r="Z51" s="37" t="n">
        <f aca="false">Costs!Z51/FX_EUR</f>
        <v>0</v>
      </c>
      <c r="AA51" s="37" t="n">
        <f aca="false">Costs!AA51/FX_EUR</f>
        <v>0</v>
      </c>
      <c r="AB51" s="37" t="n">
        <f aca="false">Costs!AB51/FX_EUR</f>
        <v>0</v>
      </c>
      <c r="AC51" s="37" t="n">
        <f aca="false">Costs!AC51/FX_EUR</f>
        <v>0</v>
      </c>
      <c r="AD51" s="37" t="n">
        <f aca="false">Costs!AD51/FX_EUR</f>
        <v>0</v>
      </c>
      <c r="AE51" s="37" t="n">
        <f aca="false">Costs!AE51/FX_EUR</f>
        <v>0</v>
      </c>
      <c r="AF51" s="37" t="n">
        <f aca="false">Costs!AF51/FX_EUR</f>
        <v>0</v>
      </c>
      <c r="AG51" s="37" t="n">
        <f aca="false">Costs!AG51/FX_EUR</f>
        <v>0</v>
      </c>
      <c r="AH51" s="37" t="n">
        <f aca="false">Costs!AH51/FX_EUR</f>
        <v>0</v>
      </c>
      <c r="AI51" s="37" t="n">
        <f aca="false">Costs!AI51/FX_EUR</f>
        <v>0</v>
      </c>
      <c r="AJ51" s="37" t="n">
        <f aca="false">Costs!AJ51/FX_EUR</f>
        <v>0</v>
      </c>
      <c r="AK51" s="37" t="n">
        <f aca="false">Costs!AK51/FX_EUR</f>
        <v>0</v>
      </c>
      <c r="AL51" s="37" t="n">
        <f aca="false">Costs!AL51/FX_EUR</f>
        <v>0</v>
      </c>
      <c r="AM51" s="37" t="n">
        <f aca="false">Costs!AM51/FX_EUR</f>
        <v>0</v>
      </c>
      <c r="AN51" s="37" t="n">
        <f aca="false">Costs!AN51/FX_EUR</f>
        <v>0</v>
      </c>
      <c r="AO51" s="37" t="n">
        <f aca="false">Costs!AO51/FX_EUR</f>
        <v>0</v>
      </c>
      <c r="AP51" s="37" t="n">
        <f aca="false">Costs!AP51/FX_EUR</f>
        <v>0</v>
      </c>
      <c r="AQ51" s="37" t="n">
        <f aca="false">Costs!AQ51/FX_EUR</f>
        <v>0</v>
      </c>
      <c r="AR51" s="37" t="n">
        <f aca="false">Costs!AR51/FX_EUR</f>
        <v>0</v>
      </c>
      <c r="AS51" s="37" t="n">
        <f aca="false">Costs!AS51/FX_EUR</f>
        <v>0</v>
      </c>
      <c r="AT51" s="37" t="n">
        <f aca="false">Costs!AT51/FX_EUR</f>
        <v>0</v>
      </c>
      <c r="AU51" s="37" t="n">
        <f aca="false">Costs!AU51/FX_EUR</f>
        <v>0</v>
      </c>
      <c r="AV51" s="37" t="n">
        <f aca="false">Costs!AV51/FX_EUR</f>
        <v>0</v>
      </c>
      <c r="AW51" s="37" t="n">
        <f aca="false">Costs!AW51/FX_EUR</f>
        <v>0</v>
      </c>
      <c r="AX51" s="37" t="n">
        <f aca="false">Costs!AX51/FX_EUR</f>
        <v>0</v>
      </c>
      <c r="AY51" s="37" t="n">
        <f aca="false">Costs!AY51/FX_EUR</f>
        <v>0</v>
      </c>
      <c r="AZ51" s="37" t="n">
        <f aca="false">Costs!AZ51/FX_EUR</f>
        <v>0</v>
      </c>
      <c r="BA51" s="37" t="n">
        <f aca="false">Costs!BA51/FX_EUR</f>
        <v>0</v>
      </c>
      <c r="BB51" s="37" t="n">
        <f aca="false">Costs!BB51/FX_EUR</f>
        <v>0</v>
      </c>
      <c r="BC51" s="37" t="n">
        <f aca="false">Costs!BC51/FX_EUR</f>
        <v>0</v>
      </c>
      <c r="BD51" s="37" t="n">
        <f aca="false">Costs!BD51/FX_EUR</f>
        <v>0</v>
      </c>
      <c r="BE51" s="37" t="n">
        <f aca="false">Costs!BE51/FX_EUR</f>
        <v>0</v>
      </c>
      <c r="BF51" s="37" t="n">
        <f aca="false">Costs!BF51/FX_EUR</f>
        <v>0</v>
      </c>
      <c r="BG51" s="37" t="n">
        <f aca="false">Costs!BG51/FX_EUR</f>
        <v>0</v>
      </c>
      <c r="BH51" s="37" t="n">
        <f aca="false">Costs!BH51/FX_EUR</f>
        <v>0</v>
      </c>
      <c r="BI51" s="37" t="n">
        <f aca="false">Costs!BI51/FX_EUR</f>
        <v>0</v>
      </c>
      <c r="BJ51" s="37" t="n">
        <f aca="false">Costs!BJ51/FX_EUR</f>
        <v>0</v>
      </c>
      <c r="BK51" s="37" t="n">
        <f aca="false">Costs!BK51/FX_EUR</f>
        <v>0</v>
      </c>
      <c r="BL51" s="37" t="n">
        <f aca="false">Costs!BL51/FX_EUR</f>
        <v>0</v>
      </c>
    </row>
    <row r="52" customFormat="false" ht="15" hidden="false" customHeight="false" outlineLevel="0" collapsed="false">
      <c r="A52" s="8" t="s">
        <v>832</v>
      </c>
      <c r="B52" s="14" t="s">
        <v>73</v>
      </c>
      <c r="D52" s="55" t="n">
        <f aca="false">Costs!D52/FX_EUR</f>
        <v>1083094.56947307</v>
      </c>
      <c r="E52" s="16" t="n">
        <f aca="false">Costs!E52/FX_EUR</f>
        <v>7492.74088596255</v>
      </c>
      <c r="F52" s="16" t="n">
        <f aca="false">Costs!F52/FX_EUR</f>
        <v>10145.3537858935</v>
      </c>
      <c r="G52" s="16" t="n">
        <f aca="false">Costs!G52/FX_EUR</f>
        <v>54355.5687847425</v>
      </c>
      <c r="H52" s="16" t="n">
        <f aca="false">Costs!H52/FX_EUR</f>
        <v>19066.9751726612</v>
      </c>
      <c r="I52" s="16" t="n">
        <f aca="false">Costs!I52/FX_EUR</f>
        <v>14267.6361916</v>
      </c>
      <c r="J52" s="16" t="n">
        <f aca="false">Costs!J52/FX_EUR</f>
        <v>13874.3462350937</v>
      </c>
      <c r="K52" s="16" t="n">
        <f aca="false">Costs!K52/FX_EUR</f>
        <v>13481.7312538525</v>
      </c>
      <c r="L52" s="16" t="n">
        <f aca="false">Costs!L52/FX_EUR</f>
        <v>13089.5118034188</v>
      </c>
      <c r="M52" s="16" t="n">
        <f aca="false">Costs!M52/FX_EUR</f>
        <v>12697.396467844</v>
      </c>
      <c r="N52" s="16" t="n">
        <f aca="false">Costs!N52/FX_EUR</f>
        <v>12305.081062053</v>
      </c>
      <c r="O52" s="16" t="n">
        <f aca="false">Costs!O52/FX_EUR</f>
        <v>11912.2477877572</v>
      </c>
      <c r="P52" s="16" t="n">
        <f aca="false">Costs!P52/FX_EUR</f>
        <v>11518.5643401016</v>
      </c>
      <c r="Q52" s="16" t="n">
        <f aca="false">Costs!Q52/FX_EUR</f>
        <v>13692.7131474792</v>
      </c>
      <c r="R52" s="16" t="n">
        <f aca="false">Costs!R52/FX_EUR</f>
        <v>13177.9824545595</v>
      </c>
      <c r="S52" s="16" t="n">
        <f aca="false">Costs!S52/FX_EUR</f>
        <v>12929.7029632532</v>
      </c>
      <c r="T52" s="16" t="n">
        <f aca="false">Costs!T52/FX_EUR</f>
        <v>21787.6616404226</v>
      </c>
      <c r="U52" s="16" t="n">
        <f aca="false">Costs!U52/FX_EUR</f>
        <v>12945.6186406528</v>
      </c>
      <c r="V52" s="16" t="n">
        <f aca="false">Costs!V52/FX_EUR</f>
        <v>13009.2813502511</v>
      </c>
      <c r="W52" s="16" t="n">
        <f aca="false">Costs!W52/FX_EUR</f>
        <v>13025.1970276507</v>
      </c>
      <c r="X52" s="16" t="n">
        <f aca="false">Costs!X52/FX_EUR</f>
        <v>13025.1970276507</v>
      </c>
      <c r="Y52" s="16" t="n">
        <f aca="false">Costs!Y52/FX_EUR</f>
        <v>13025.1970276507</v>
      </c>
      <c r="Z52" s="16" t="n">
        <f aca="false">Costs!Z52/FX_EUR</f>
        <v>13025.1970276507</v>
      </c>
      <c r="AA52" s="16" t="n">
        <f aca="false">Costs!AA52/FX_EUR</f>
        <v>13057.0283824499</v>
      </c>
      <c r="AB52" s="16" t="n">
        <f aca="false">Costs!AB52/FX_EUR</f>
        <v>13072.9440598495</v>
      </c>
      <c r="AC52" s="16" t="n">
        <f aca="false">Costs!AC52/FX_EUR</f>
        <v>16335.35302873</v>
      </c>
      <c r="AD52" s="16" t="n">
        <f aca="false">Costs!AD52/FX_EUR</f>
        <v>16335.35302873</v>
      </c>
      <c r="AE52" s="16" t="n">
        <f aca="false">Costs!AE52/FX_EUR</f>
        <v>16405.2051684282</v>
      </c>
      <c r="AF52" s="16" t="n">
        <f aca="false">Costs!AF52/FX_EUR</f>
        <v>25263.1638455976</v>
      </c>
      <c r="AG52" s="16" t="n">
        <f aca="false">Costs!AG52/FX_EUR</f>
        <v>16468.8678780266</v>
      </c>
      <c r="AH52" s="16" t="n">
        <f aca="false">Costs!AH52/FX_EUR</f>
        <v>16468.8678780266</v>
      </c>
      <c r="AI52" s="16" t="n">
        <f aca="false">Costs!AI52/FX_EUR</f>
        <v>16500.6992328257</v>
      </c>
      <c r="AJ52" s="16" t="n">
        <f aca="false">Costs!AJ52/FX_EUR</f>
        <v>16516.6149102253</v>
      </c>
      <c r="AK52" s="16" t="n">
        <f aca="false">Costs!AK52/FX_EUR</f>
        <v>16532.5305876249</v>
      </c>
      <c r="AL52" s="16" t="n">
        <f aca="false">Costs!AL52/FX_EUR</f>
        <v>16564.3619424241</v>
      </c>
      <c r="AM52" s="16" t="n">
        <f aca="false">Costs!AM52/FX_EUR</f>
        <v>16580.2776198237</v>
      </c>
      <c r="AN52" s="16" t="n">
        <f aca="false">Costs!AN52/FX_EUR</f>
        <v>16596.1932972232</v>
      </c>
      <c r="AO52" s="16" t="n">
        <f aca="false">Costs!AO52/FX_EUR</f>
        <v>19187.2066309225</v>
      </c>
      <c r="AP52" s="16" t="n">
        <f aca="false">Costs!AP52/FX_EUR</f>
        <v>19187.2066309225</v>
      </c>
      <c r="AQ52" s="16" t="n">
        <f aca="false">Costs!AQ52/FX_EUR</f>
        <v>19219.0379857216</v>
      </c>
      <c r="AR52" s="16" t="n">
        <f aca="false">Costs!AR52/FX_EUR</f>
        <v>28076.996662891</v>
      </c>
      <c r="AS52" s="16" t="n">
        <f aca="false">Costs!AS52/FX_EUR</f>
        <v>19298.6163727196</v>
      </c>
      <c r="AT52" s="16" t="n">
        <f aca="false">Costs!AT52/FX_EUR</f>
        <v>19298.6163727196</v>
      </c>
      <c r="AU52" s="16" t="n">
        <f aca="false">Costs!AU52/FX_EUR</f>
        <v>19314.5320501191</v>
      </c>
      <c r="AV52" s="16" t="n">
        <f aca="false">Costs!AV52/FX_EUR</f>
        <v>19346.3634049183</v>
      </c>
      <c r="AW52" s="16" t="n">
        <f aca="false">Costs!AW52/FX_EUR</f>
        <v>19400.2998672169</v>
      </c>
      <c r="AX52" s="16" t="n">
        <f aca="false">Costs!AX52/FX_EUR</f>
        <v>19463.9625768152</v>
      </c>
      <c r="AY52" s="16" t="n">
        <f aca="false">Costs!AY52/FX_EUR</f>
        <v>19463.9625768152</v>
      </c>
      <c r="AZ52" s="16" t="n">
        <f aca="false">Costs!AZ52/FX_EUR</f>
        <v>19495.7939316144</v>
      </c>
      <c r="BA52" s="16" t="n">
        <f aca="false">Costs!BA52/FX_EUR</f>
        <v>22016.9551256155</v>
      </c>
      <c r="BB52" s="16" t="n">
        <f aca="false">Costs!BB52/FX_EUR</f>
        <v>22064.7021578142</v>
      </c>
      <c r="BC52" s="16" t="n">
        <f aca="false">Costs!BC52/FX_EUR</f>
        <v>22096.5335126134</v>
      </c>
      <c r="BD52" s="16" t="n">
        <f aca="false">Costs!BD52/FX_EUR</f>
        <v>31008.4286520814</v>
      </c>
      <c r="BE52" s="16" t="n">
        <f aca="false">Costs!BE52/FX_EUR</f>
        <v>22182.3013297111</v>
      </c>
      <c r="BF52" s="16" t="n">
        <f aca="false">Costs!BF52/FX_EUR</f>
        <v>22245.9640393095</v>
      </c>
      <c r="BG52" s="16" t="n">
        <f aca="false">Costs!BG52/FX_EUR</f>
        <v>22261.8797167091</v>
      </c>
      <c r="BH52" s="16" t="n">
        <f aca="false">Costs!BH52/FX_EUR</f>
        <v>22293.7110715082</v>
      </c>
      <c r="BI52" s="16" t="n">
        <f aca="false">Costs!BI52/FX_EUR</f>
        <v>22309.6267489078</v>
      </c>
      <c r="BJ52" s="16" t="n">
        <f aca="false">Costs!BJ52/FX_EUR</f>
        <v>22411.3102434052</v>
      </c>
      <c r="BK52" s="16" t="n">
        <f aca="false">Costs!BK52/FX_EUR</f>
        <v>22443.1415982044</v>
      </c>
      <c r="BL52" s="16" t="n">
        <f aca="false">Costs!BL52/FX_EUR</f>
        <v>22459.0572756039</v>
      </c>
    </row>
    <row r="54" customFormat="false" ht="15" hidden="false" customHeight="false" outlineLevel="0" collapsed="false">
      <c r="A54" s="10" t="s">
        <v>446</v>
      </c>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1"/>
      <c r="BK54" s="11"/>
      <c r="BL54" s="11"/>
    </row>
    <row r="55" customFormat="false" ht="15" hidden="false" customHeight="false" outlineLevel="0" collapsed="false">
      <c r="A55" s="12" t="s">
        <v>833</v>
      </c>
      <c r="B55" s="14" t="s">
        <v>73</v>
      </c>
      <c r="D55" s="55" t="n">
        <f aca="false">Costs!D55/FX_EUR</f>
        <v>22867.3525856116</v>
      </c>
      <c r="E55" s="37" t="n">
        <f aca="false">Costs!E55/FX_EUR</f>
        <v>0</v>
      </c>
      <c r="F55" s="37" t="n">
        <f aca="false">Costs!F55/FX_EUR</f>
        <v>22867.3525856116</v>
      </c>
      <c r="G55" s="37" t="n">
        <f aca="false">Costs!G55/FX_EUR</f>
        <v>0</v>
      </c>
      <c r="H55" s="37" t="n">
        <f aca="false">Costs!H55/FX_EUR</f>
        <v>0</v>
      </c>
      <c r="I55" s="37" t="n">
        <f aca="false">Costs!I55/FX_EUR</f>
        <v>0</v>
      </c>
      <c r="J55" s="37" t="n">
        <f aca="false">Costs!J55/FX_EUR</f>
        <v>0</v>
      </c>
      <c r="K55" s="37" t="n">
        <f aca="false">Costs!K55/FX_EUR</f>
        <v>0</v>
      </c>
      <c r="L55" s="37" t="n">
        <f aca="false">Costs!L55/FX_EUR</f>
        <v>0</v>
      </c>
      <c r="M55" s="37" t="n">
        <f aca="false">Costs!M55/FX_EUR</f>
        <v>0</v>
      </c>
      <c r="N55" s="37" t="n">
        <f aca="false">Costs!N55/FX_EUR</f>
        <v>0</v>
      </c>
      <c r="O55" s="37" t="n">
        <f aca="false">Costs!O55/FX_EUR</f>
        <v>0</v>
      </c>
      <c r="P55" s="37" t="n">
        <f aca="false">Costs!P55/FX_EUR</f>
        <v>0</v>
      </c>
      <c r="Q55" s="37" t="n">
        <f aca="false">Costs!Q55/FX_EUR</f>
        <v>0</v>
      </c>
      <c r="R55" s="37" t="n">
        <f aca="false">Costs!R55/FX_EUR</f>
        <v>0</v>
      </c>
      <c r="S55" s="37" t="n">
        <f aca="false">Costs!S55/FX_EUR</f>
        <v>0</v>
      </c>
      <c r="T55" s="37" t="n">
        <f aca="false">Costs!T55/FX_EUR</f>
        <v>0</v>
      </c>
      <c r="U55" s="37" t="n">
        <f aca="false">Costs!U55/FX_EUR</f>
        <v>0</v>
      </c>
      <c r="V55" s="37" t="n">
        <f aca="false">Costs!V55/FX_EUR</f>
        <v>0</v>
      </c>
      <c r="W55" s="37" t="n">
        <f aca="false">Costs!W55/FX_EUR</f>
        <v>0</v>
      </c>
      <c r="X55" s="37" t="n">
        <f aca="false">Costs!X55/FX_EUR</f>
        <v>0</v>
      </c>
      <c r="Y55" s="37" t="n">
        <f aca="false">Costs!Y55/FX_EUR</f>
        <v>0</v>
      </c>
      <c r="Z55" s="37" t="n">
        <f aca="false">Costs!Z55/FX_EUR</f>
        <v>0</v>
      </c>
      <c r="AA55" s="37" t="n">
        <f aca="false">Costs!AA55/FX_EUR</f>
        <v>0</v>
      </c>
      <c r="AB55" s="37" t="n">
        <f aca="false">Costs!AB55/FX_EUR</f>
        <v>0</v>
      </c>
      <c r="AC55" s="37" t="n">
        <f aca="false">Costs!AC55/FX_EUR</f>
        <v>0</v>
      </c>
      <c r="AD55" s="37" t="n">
        <f aca="false">Costs!AD55/FX_EUR</f>
        <v>0</v>
      </c>
      <c r="AE55" s="37" t="n">
        <f aca="false">Costs!AE55/FX_EUR</f>
        <v>0</v>
      </c>
      <c r="AF55" s="37" t="n">
        <f aca="false">Costs!AF55/FX_EUR</f>
        <v>0</v>
      </c>
      <c r="AG55" s="37" t="n">
        <f aca="false">Costs!AG55/FX_EUR</f>
        <v>0</v>
      </c>
      <c r="AH55" s="37" t="n">
        <f aca="false">Costs!AH55/FX_EUR</f>
        <v>0</v>
      </c>
      <c r="AI55" s="37" t="n">
        <f aca="false">Costs!AI55/FX_EUR</f>
        <v>0</v>
      </c>
      <c r="AJ55" s="37" t="n">
        <f aca="false">Costs!AJ55/FX_EUR</f>
        <v>0</v>
      </c>
      <c r="AK55" s="37" t="n">
        <f aca="false">Costs!AK55/FX_EUR</f>
        <v>0</v>
      </c>
      <c r="AL55" s="37" t="n">
        <f aca="false">Costs!AL55/FX_EUR</f>
        <v>0</v>
      </c>
      <c r="AM55" s="37" t="n">
        <f aca="false">Costs!AM55/FX_EUR</f>
        <v>0</v>
      </c>
      <c r="AN55" s="37" t="n">
        <f aca="false">Costs!AN55/FX_EUR</f>
        <v>0</v>
      </c>
      <c r="AO55" s="37" t="n">
        <f aca="false">Costs!AO55/FX_EUR</f>
        <v>0</v>
      </c>
      <c r="AP55" s="37" t="n">
        <f aca="false">Costs!AP55/FX_EUR</f>
        <v>0</v>
      </c>
      <c r="AQ55" s="37" t="n">
        <f aca="false">Costs!AQ55/FX_EUR</f>
        <v>0</v>
      </c>
      <c r="AR55" s="37" t="n">
        <f aca="false">Costs!AR55/FX_EUR</f>
        <v>0</v>
      </c>
      <c r="AS55" s="37" t="n">
        <f aca="false">Costs!AS55/FX_EUR</f>
        <v>0</v>
      </c>
      <c r="AT55" s="37" t="n">
        <f aca="false">Costs!AT55/FX_EUR</f>
        <v>0</v>
      </c>
      <c r="AU55" s="37" t="n">
        <f aca="false">Costs!AU55/FX_EUR</f>
        <v>0</v>
      </c>
      <c r="AV55" s="37" t="n">
        <f aca="false">Costs!AV55/FX_EUR</f>
        <v>0</v>
      </c>
      <c r="AW55" s="37" t="n">
        <f aca="false">Costs!AW55/FX_EUR</f>
        <v>0</v>
      </c>
      <c r="AX55" s="37" t="n">
        <f aca="false">Costs!AX55/FX_EUR</f>
        <v>0</v>
      </c>
      <c r="AY55" s="37" t="n">
        <f aca="false">Costs!AY55/FX_EUR</f>
        <v>0</v>
      </c>
      <c r="AZ55" s="37" t="n">
        <f aca="false">Costs!AZ55/FX_EUR</f>
        <v>0</v>
      </c>
      <c r="BA55" s="37" t="n">
        <f aca="false">Costs!BA55/FX_EUR</f>
        <v>0</v>
      </c>
      <c r="BB55" s="37" t="n">
        <f aca="false">Costs!BB55/FX_EUR</f>
        <v>0</v>
      </c>
      <c r="BC55" s="37" t="n">
        <f aca="false">Costs!BC55/FX_EUR</f>
        <v>0</v>
      </c>
      <c r="BD55" s="37" t="n">
        <f aca="false">Costs!BD55/FX_EUR</f>
        <v>0</v>
      </c>
      <c r="BE55" s="37" t="n">
        <f aca="false">Costs!BE55/FX_EUR</f>
        <v>0</v>
      </c>
      <c r="BF55" s="37" t="n">
        <f aca="false">Costs!BF55/FX_EUR</f>
        <v>0</v>
      </c>
      <c r="BG55" s="37" t="n">
        <f aca="false">Costs!BG55/FX_EUR</f>
        <v>0</v>
      </c>
      <c r="BH55" s="37" t="n">
        <f aca="false">Costs!BH55/FX_EUR</f>
        <v>0</v>
      </c>
      <c r="BI55" s="37" t="n">
        <f aca="false">Costs!BI55/FX_EUR</f>
        <v>0</v>
      </c>
      <c r="BJ55" s="37" t="n">
        <f aca="false">Costs!BJ55/FX_EUR</f>
        <v>0</v>
      </c>
      <c r="BK55" s="37" t="n">
        <f aca="false">Costs!BK55/FX_EUR</f>
        <v>0</v>
      </c>
      <c r="BL55" s="37" t="n">
        <f aca="false">Costs!BL55/FX_EUR</f>
        <v>0</v>
      </c>
    </row>
    <row r="56" customFormat="false" ht="15" hidden="false" customHeight="false" outlineLevel="0" collapsed="false">
      <c r="A56" s="12" t="s">
        <v>451</v>
      </c>
      <c r="B56" s="14" t="s">
        <v>73</v>
      </c>
      <c r="D56" s="55" t="n">
        <f aca="false">Costs!D56/FX_EUR</f>
        <v>155497.997582159</v>
      </c>
      <c r="E56" s="37" t="n">
        <f aca="false">Costs!E56/FX_EUR</f>
        <v>0</v>
      </c>
      <c r="F56" s="37" t="n">
        <f aca="false">Costs!F56/FX_EUR</f>
        <v>0</v>
      </c>
      <c r="G56" s="37" t="n">
        <f aca="false">Costs!G56/FX_EUR</f>
        <v>0</v>
      </c>
      <c r="H56" s="37" t="n">
        <f aca="false">Costs!H56/FX_EUR</f>
        <v>0</v>
      </c>
      <c r="I56" s="37" t="n">
        <f aca="false">Costs!I56/FX_EUR</f>
        <v>2286.73525856116</v>
      </c>
      <c r="J56" s="37" t="n">
        <f aca="false">Costs!J56/FX_EUR</f>
        <v>2286.73525856116</v>
      </c>
      <c r="K56" s="37" t="n">
        <f aca="false">Costs!K56/FX_EUR</f>
        <v>2286.73525856116</v>
      </c>
      <c r="L56" s="37" t="n">
        <f aca="false">Costs!L56/FX_EUR</f>
        <v>2286.73525856116</v>
      </c>
      <c r="M56" s="37" t="n">
        <f aca="false">Costs!M56/FX_EUR</f>
        <v>2286.73525856116</v>
      </c>
      <c r="N56" s="37" t="n">
        <f aca="false">Costs!N56/FX_EUR</f>
        <v>2286.73525856116</v>
      </c>
      <c r="O56" s="37" t="n">
        <f aca="false">Costs!O56/FX_EUR</f>
        <v>2286.73525856116</v>
      </c>
      <c r="P56" s="37" t="n">
        <f aca="false">Costs!P56/FX_EUR</f>
        <v>2286.73525856116</v>
      </c>
      <c r="Q56" s="37" t="n">
        <f aca="false">Costs!Q56/FX_EUR</f>
        <v>2286.73525856116</v>
      </c>
      <c r="R56" s="37" t="n">
        <f aca="false">Costs!R56/FX_EUR</f>
        <v>2286.73525856116</v>
      </c>
      <c r="S56" s="37" t="n">
        <f aca="false">Costs!S56/FX_EUR</f>
        <v>2286.73525856116</v>
      </c>
      <c r="T56" s="37" t="n">
        <f aca="false">Costs!T56/FX_EUR</f>
        <v>2286.73525856116</v>
      </c>
      <c r="U56" s="37" t="n">
        <f aca="false">Costs!U56/FX_EUR</f>
        <v>2286.73525856116</v>
      </c>
      <c r="V56" s="37" t="n">
        <f aca="false">Costs!V56/FX_EUR</f>
        <v>2286.73525856116</v>
      </c>
      <c r="W56" s="37" t="n">
        <f aca="false">Costs!W56/FX_EUR</f>
        <v>2286.73525856116</v>
      </c>
      <c r="X56" s="37" t="n">
        <f aca="false">Costs!X56/FX_EUR</f>
        <v>2286.73525856116</v>
      </c>
      <c r="Y56" s="37" t="n">
        <f aca="false">Costs!Y56/FX_EUR</f>
        <v>2286.73525856116</v>
      </c>
      <c r="Z56" s="37" t="n">
        <f aca="false">Costs!Z56/FX_EUR</f>
        <v>2286.73525856116</v>
      </c>
      <c r="AA56" s="37" t="n">
        <f aca="false">Costs!AA56/FX_EUR</f>
        <v>2286.73525856116</v>
      </c>
      <c r="AB56" s="37" t="n">
        <f aca="false">Costs!AB56/FX_EUR</f>
        <v>2286.73525856116</v>
      </c>
      <c r="AC56" s="37" t="n">
        <f aca="false">Costs!AC56/FX_EUR</f>
        <v>3048.98034474821</v>
      </c>
      <c r="AD56" s="37" t="n">
        <f aca="false">Costs!AD56/FX_EUR</f>
        <v>3048.98034474821</v>
      </c>
      <c r="AE56" s="37" t="n">
        <f aca="false">Costs!AE56/FX_EUR</f>
        <v>3048.98034474821</v>
      </c>
      <c r="AF56" s="37" t="n">
        <f aca="false">Costs!AF56/FX_EUR</f>
        <v>3048.98034474821</v>
      </c>
      <c r="AG56" s="37" t="n">
        <f aca="false">Costs!AG56/FX_EUR</f>
        <v>3048.98034474821</v>
      </c>
      <c r="AH56" s="37" t="n">
        <f aca="false">Costs!AH56/FX_EUR</f>
        <v>3048.98034474821</v>
      </c>
      <c r="AI56" s="37" t="n">
        <f aca="false">Costs!AI56/FX_EUR</f>
        <v>3048.98034474821</v>
      </c>
      <c r="AJ56" s="37" t="n">
        <f aca="false">Costs!AJ56/FX_EUR</f>
        <v>3048.98034474821</v>
      </c>
      <c r="AK56" s="37" t="n">
        <f aca="false">Costs!AK56/FX_EUR</f>
        <v>3048.98034474821</v>
      </c>
      <c r="AL56" s="37" t="n">
        <f aca="false">Costs!AL56/FX_EUR</f>
        <v>3048.98034474821</v>
      </c>
      <c r="AM56" s="37" t="n">
        <f aca="false">Costs!AM56/FX_EUR</f>
        <v>3048.98034474821</v>
      </c>
      <c r="AN56" s="37" t="n">
        <f aca="false">Costs!AN56/FX_EUR</f>
        <v>3048.98034474821</v>
      </c>
      <c r="AO56" s="37" t="n">
        <f aca="false">Costs!AO56/FX_EUR</f>
        <v>3048.98034474821</v>
      </c>
      <c r="AP56" s="37" t="n">
        <f aca="false">Costs!AP56/FX_EUR</f>
        <v>3048.98034474821</v>
      </c>
      <c r="AQ56" s="37" t="n">
        <f aca="false">Costs!AQ56/FX_EUR</f>
        <v>3048.98034474821</v>
      </c>
      <c r="AR56" s="37" t="n">
        <f aca="false">Costs!AR56/FX_EUR</f>
        <v>3048.98034474821</v>
      </c>
      <c r="AS56" s="37" t="n">
        <f aca="false">Costs!AS56/FX_EUR</f>
        <v>3048.98034474821</v>
      </c>
      <c r="AT56" s="37" t="n">
        <f aca="false">Costs!AT56/FX_EUR</f>
        <v>3048.98034474821</v>
      </c>
      <c r="AU56" s="37" t="n">
        <f aca="false">Costs!AU56/FX_EUR</f>
        <v>3048.98034474821</v>
      </c>
      <c r="AV56" s="37" t="n">
        <f aca="false">Costs!AV56/FX_EUR</f>
        <v>3048.98034474821</v>
      </c>
      <c r="AW56" s="37" t="n">
        <f aca="false">Costs!AW56/FX_EUR</f>
        <v>3048.98034474821</v>
      </c>
      <c r="AX56" s="37" t="n">
        <f aca="false">Costs!AX56/FX_EUR</f>
        <v>3048.98034474821</v>
      </c>
      <c r="AY56" s="37" t="n">
        <f aca="false">Costs!AY56/FX_EUR</f>
        <v>3048.98034474821</v>
      </c>
      <c r="AZ56" s="37" t="n">
        <f aca="false">Costs!AZ56/FX_EUR</f>
        <v>3048.98034474821</v>
      </c>
      <c r="BA56" s="37" t="n">
        <f aca="false">Costs!BA56/FX_EUR</f>
        <v>3048.98034474821</v>
      </c>
      <c r="BB56" s="37" t="n">
        <f aca="false">Costs!BB56/FX_EUR</f>
        <v>3048.98034474821</v>
      </c>
      <c r="BC56" s="37" t="n">
        <f aca="false">Costs!BC56/FX_EUR</f>
        <v>3048.98034474821</v>
      </c>
      <c r="BD56" s="37" t="n">
        <f aca="false">Costs!BD56/FX_EUR</f>
        <v>3048.98034474821</v>
      </c>
      <c r="BE56" s="37" t="n">
        <f aca="false">Costs!BE56/FX_EUR</f>
        <v>3048.98034474821</v>
      </c>
      <c r="BF56" s="37" t="n">
        <f aca="false">Costs!BF56/FX_EUR</f>
        <v>3048.98034474821</v>
      </c>
      <c r="BG56" s="37" t="n">
        <f aca="false">Costs!BG56/FX_EUR</f>
        <v>3048.98034474821</v>
      </c>
      <c r="BH56" s="37" t="n">
        <f aca="false">Costs!BH56/FX_EUR</f>
        <v>3048.98034474821</v>
      </c>
      <c r="BI56" s="37" t="n">
        <f aca="false">Costs!BI56/FX_EUR</f>
        <v>3048.98034474821</v>
      </c>
      <c r="BJ56" s="37" t="n">
        <f aca="false">Costs!BJ56/FX_EUR</f>
        <v>3048.98034474821</v>
      </c>
      <c r="BK56" s="37" t="n">
        <f aca="false">Costs!BK56/FX_EUR</f>
        <v>3048.98034474821</v>
      </c>
      <c r="BL56" s="37" t="n">
        <f aca="false">Costs!BL56/FX_EUR</f>
        <v>3048.98034474821</v>
      </c>
    </row>
    <row r="57" customFormat="false" ht="15" hidden="false" customHeight="false" outlineLevel="0" collapsed="false">
      <c r="A57" s="12" t="s">
        <v>834</v>
      </c>
      <c r="B57" s="14" t="s">
        <v>73</v>
      </c>
      <c r="D57" s="55" t="n">
        <f aca="false">Costs!D57/FX_EUR</f>
        <v>22867.3525856116</v>
      </c>
      <c r="E57" s="37" t="n">
        <f aca="false">Costs!E57/FX_EUR</f>
        <v>0</v>
      </c>
      <c r="F57" s="37" t="n">
        <f aca="false">Costs!F57/FX_EUR</f>
        <v>0</v>
      </c>
      <c r="G57" s="37" t="n">
        <f aca="false">Costs!G57/FX_EUR</f>
        <v>0</v>
      </c>
      <c r="H57" s="37" t="n">
        <f aca="false">Costs!H57/FX_EUR</f>
        <v>0</v>
      </c>
      <c r="I57" s="37" t="n">
        <f aca="false">Costs!I57/FX_EUR</f>
        <v>0</v>
      </c>
      <c r="J57" s="37" t="n">
        <f aca="false">Costs!J57/FX_EUR</f>
        <v>0</v>
      </c>
      <c r="K57" s="37" t="n">
        <f aca="false">Costs!K57/FX_EUR</f>
        <v>0</v>
      </c>
      <c r="L57" s="37" t="n">
        <f aca="false">Costs!L57/FX_EUR</f>
        <v>0</v>
      </c>
      <c r="M57" s="37" t="n">
        <f aca="false">Costs!M57/FX_EUR</f>
        <v>0</v>
      </c>
      <c r="N57" s="37" t="n">
        <f aca="false">Costs!N57/FX_EUR</f>
        <v>0</v>
      </c>
      <c r="O57" s="37" t="n">
        <f aca="false">Costs!O57/FX_EUR</f>
        <v>0</v>
      </c>
      <c r="P57" s="37" t="n">
        <f aca="false">Costs!P57/FX_EUR</f>
        <v>0</v>
      </c>
      <c r="Q57" s="37" t="n">
        <f aca="false">Costs!Q57/FX_EUR</f>
        <v>0</v>
      </c>
      <c r="R57" s="37" t="n">
        <f aca="false">Costs!R57/FX_EUR</f>
        <v>0</v>
      </c>
      <c r="S57" s="37" t="n">
        <f aca="false">Costs!S57/FX_EUR</f>
        <v>0</v>
      </c>
      <c r="T57" s="37" t="n">
        <f aca="false">Costs!T57/FX_EUR</f>
        <v>22867.3525856116</v>
      </c>
      <c r="U57" s="37" t="n">
        <f aca="false">Costs!U57/FX_EUR</f>
        <v>0</v>
      </c>
      <c r="V57" s="37" t="n">
        <f aca="false">Costs!V57/FX_EUR</f>
        <v>0</v>
      </c>
      <c r="W57" s="37" t="n">
        <f aca="false">Costs!W57/FX_EUR</f>
        <v>0</v>
      </c>
      <c r="X57" s="37" t="n">
        <f aca="false">Costs!X57/FX_EUR</f>
        <v>0</v>
      </c>
      <c r="Y57" s="37" t="n">
        <f aca="false">Costs!Y57/FX_EUR</f>
        <v>0</v>
      </c>
      <c r="Z57" s="37" t="n">
        <f aca="false">Costs!Z57/FX_EUR</f>
        <v>0</v>
      </c>
      <c r="AA57" s="37" t="n">
        <f aca="false">Costs!AA57/FX_EUR</f>
        <v>0</v>
      </c>
      <c r="AB57" s="37" t="n">
        <f aca="false">Costs!AB57/FX_EUR</f>
        <v>0</v>
      </c>
      <c r="AC57" s="37" t="n">
        <f aca="false">Costs!AC57/FX_EUR</f>
        <v>0</v>
      </c>
      <c r="AD57" s="37" t="n">
        <f aca="false">Costs!AD57/FX_EUR</f>
        <v>0</v>
      </c>
      <c r="AE57" s="37" t="n">
        <f aca="false">Costs!AE57/FX_EUR</f>
        <v>0</v>
      </c>
      <c r="AF57" s="37" t="n">
        <f aca="false">Costs!AF57/FX_EUR</f>
        <v>0</v>
      </c>
      <c r="AG57" s="37" t="n">
        <f aca="false">Costs!AG57/FX_EUR</f>
        <v>0</v>
      </c>
      <c r="AH57" s="37" t="n">
        <f aca="false">Costs!AH57/FX_EUR</f>
        <v>0</v>
      </c>
      <c r="AI57" s="37" t="n">
        <f aca="false">Costs!AI57/FX_EUR</f>
        <v>0</v>
      </c>
      <c r="AJ57" s="37" t="n">
        <f aca="false">Costs!AJ57/FX_EUR</f>
        <v>0</v>
      </c>
      <c r="AK57" s="37" t="n">
        <f aca="false">Costs!AK57/FX_EUR</f>
        <v>0</v>
      </c>
      <c r="AL57" s="37" t="n">
        <f aca="false">Costs!AL57/FX_EUR</f>
        <v>0</v>
      </c>
      <c r="AM57" s="37" t="n">
        <f aca="false">Costs!AM57/FX_EUR</f>
        <v>0</v>
      </c>
      <c r="AN57" s="37" t="n">
        <f aca="false">Costs!AN57/FX_EUR</f>
        <v>0</v>
      </c>
      <c r="AO57" s="37" t="n">
        <f aca="false">Costs!AO57/FX_EUR</f>
        <v>0</v>
      </c>
      <c r="AP57" s="37" t="n">
        <f aca="false">Costs!AP57/FX_EUR</f>
        <v>0</v>
      </c>
      <c r="AQ57" s="37" t="n">
        <f aca="false">Costs!AQ57/FX_EUR</f>
        <v>0</v>
      </c>
      <c r="AR57" s="37" t="n">
        <f aca="false">Costs!AR57/FX_EUR</f>
        <v>0</v>
      </c>
      <c r="AS57" s="37" t="n">
        <f aca="false">Costs!AS57/FX_EUR</f>
        <v>0</v>
      </c>
      <c r="AT57" s="37" t="n">
        <f aca="false">Costs!AT57/FX_EUR</f>
        <v>0</v>
      </c>
      <c r="AU57" s="37" t="n">
        <f aca="false">Costs!AU57/FX_EUR</f>
        <v>0</v>
      </c>
      <c r="AV57" s="37" t="n">
        <f aca="false">Costs!AV57/FX_EUR</f>
        <v>0</v>
      </c>
      <c r="AW57" s="37" t="n">
        <f aca="false">Costs!AW57/FX_EUR</f>
        <v>0</v>
      </c>
      <c r="AX57" s="37" t="n">
        <f aca="false">Costs!AX57/FX_EUR</f>
        <v>0</v>
      </c>
      <c r="AY57" s="37" t="n">
        <f aca="false">Costs!AY57/FX_EUR</f>
        <v>0</v>
      </c>
      <c r="AZ57" s="37" t="n">
        <f aca="false">Costs!AZ57/FX_EUR</f>
        <v>0</v>
      </c>
      <c r="BA57" s="37" t="n">
        <f aca="false">Costs!BA57/FX_EUR</f>
        <v>0</v>
      </c>
      <c r="BB57" s="37" t="n">
        <f aca="false">Costs!BB57/FX_EUR</f>
        <v>0</v>
      </c>
      <c r="BC57" s="37" t="n">
        <f aca="false">Costs!BC57/FX_EUR</f>
        <v>0</v>
      </c>
      <c r="BD57" s="37" t="n">
        <f aca="false">Costs!BD57/FX_EUR</f>
        <v>0</v>
      </c>
      <c r="BE57" s="37" t="n">
        <f aca="false">Costs!BE57/FX_EUR</f>
        <v>0</v>
      </c>
      <c r="BF57" s="37" t="n">
        <f aca="false">Costs!BF57/FX_EUR</f>
        <v>0</v>
      </c>
      <c r="BG57" s="37" t="n">
        <f aca="false">Costs!BG57/FX_EUR</f>
        <v>0</v>
      </c>
      <c r="BH57" s="37" t="n">
        <f aca="false">Costs!BH57/FX_EUR</f>
        <v>0</v>
      </c>
      <c r="BI57" s="37" t="n">
        <f aca="false">Costs!BI57/FX_EUR</f>
        <v>0</v>
      </c>
      <c r="BJ57" s="37" t="n">
        <f aca="false">Costs!BJ57/FX_EUR</f>
        <v>0</v>
      </c>
      <c r="BK57" s="37" t="n">
        <f aca="false">Costs!BK57/FX_EUR</f>
        <v>0</v>
      </c>
      <c r="BL57" s="37" t="n">
        <f aca="false">Costs!BL57/FX_EUR</f>
        <v>0</v>
      </c>
    </row>
    <row r="58" customFormat="false" ht="15" hidden="false" customHeight="false" outlineLevel="0" collapsed="false">
      <c r="A58" s="12" t="s">
        <v>453</v>
      </c>
      <c r="B58" s="14" t="s">
        <v>73</v>
      </c>
      <c r="D58" s="55" t="n">
        <f aca="false">Costs!D58/FX_EUR</f>
        <v>123483.703962302</v>
      </c>
      <c r="E58" s="37" t="n">
        <f aca="false">Costs!E58/FX_EUR</f>
        <v>0</v>
      </c>
      <c r="F58" s="37" t="n">
        <f aca="false">Costs!F58/FX_EUR</f>
        <v>0</v>
      </c>
      <c r="G58" s="37" t="n">
        <f aca="false">Costs!G58/FX_EUR</f>
        <v>0</v>
      </c>
      <c r="H58" s="37" t="n">
        <f aca="false">Costs!H58/FX_EUR</f>
        <v>0</v>
      </c>
      <c r="I58" s="37" t="n">
        <f aca="false">Costs!I58/FX_EUR</f>
        <v>0</v>
      </c>
      <c r="J58" s="37" t="n">
        <f aca="false">Costs!J58/FX_EUR</f>
        <v>0</v>
      </c>
      <c r="K58" s="37" t="n">
        <f aca="false">Costs!K58/FX_EUR</f>
        <v>0</v>
      </c>
      <c r="L58" s="37" t="n">
        <f aca="false">Costs!L58/FX_EUR</f>
        <v>0</v>
      </c>
      <c r="M58" s="37" t="n">
        <f aca="false">Costs!M58/FX_EUR</f>
        <v>0</v>
      </c>
      <c r="N58" s="37" t="n">
        <f aca="false">Costs!N58/FX_EUR</f>
        <v>0</v>
      </c>
      <c r="O58" s="37" t="n">
        <f aca="false">Costs!O58/FX_EUR</f>
        <v>0</v>
      </c>
      <c r="P58" s="37" t="n">
        <f aca="false">Costs!P58/FX_EUR</f>
        <v>0</v>
      </c>
      <c r="Q58" s="37" t="n">
        <f aca="false">Costs!Q58/FX_EUR</f>
        <v>0</v>
      </c>
      <c r="R58" s="37" t="n">
        <f aca="false">Costs!R58/FX_EUR</f>
        <v>0</v>
      </c>
      <c r="S58" s="37" t="n">
        <f aca="false">Costs!S58/FX_EUR</f>
        <v>0</v>
      </c>
      <c r="T58" s="37" t="n">
        <f aca="false">Costs!T58/FX_EUR</f>
        <v>0</v>
      </c>
      <c r="U58" s="37" t="n">
        <f aca="false">Costs!U58/FX_EUR</f>
        <v>0</v>
      </c>
      <c r="V58" s="37" t="n">
        <f aca="false">Costs!V58/FX_EUR</f>
        <v>0</v>
      </c>
      <c r="W58" s="37" t="n">
        <f aca="false">Costs!W58/FX_EUR</f>
        <v>2286.73525856116</v>
      </c>
      <c r="X58" s="37" t="n">
        <f aca="false">Costs!X58/FX_EUR</f>
        <v>2286.73525856116</v>
      </c>
      <c r="Y58" s="37" t="n">
        <f aca="false">Costs!Y58/FX_EUR</f>
        <v>2286.73525856116</v>
      </c>
      <c r="Z58" s="37" t="n">
        <f aca="false">Costs!Z58/FX_EUR</f>
        <v>2286.73525856116</v>
      </c>
      <c r="AA58" s="37" t="n">
        <f aca="false">Costs!AA58/FX_EUR</f>
        <v>2286.73525856116</v>
      </c>
      <c r="AB58" s="37" t="n">
        <f aca="false">Costs!AB58/FX_EUR</f>
        <v>2286.73525856116</v>
      </c>
      <c r="AC58" s="37" t="n">
        <f aca="false">Costs!AC58/FX_EUR</f>
        <v>3048.98034474821</v>
      </c>
      <c r="AD58" s="37" t="n">
        <f aca="false">Costs!AD58/FX_EUR</f>
        <v>3048.98034474821</v>
      </c>
      <c r="AE58" s="37" t="n">
        <f aca="false">Costs!AE58/FX_EUR</f>
        <v>3048.98034474821</v>
      </c>
      <c r="AF58" s="37" t="n">
        <f aca="false">Costs!AF58/FX_EUR</f>
        <v>3048.98034474821</v>
      </c>
      <c r="AG58" s="37" t="n">
        <f aca="false">Costs!AG58/FX_EUR</f>
        <v>3048.98034474821</v>
      </c>
      <c r="AH58" s="37" t="n">
        <f aca="false">Costs!AH58/FX_EUR</f>
        <v>3048.98034474821</v>
      </c>
      <c r="AI58" s="37" t="n">
        <f aca="false">Costs!AI58/FX_EUR</f>
        <v>3048.98034474821</v>
      </c>
      <c r="AJ58" s="37" t="n">
        <f aca="false">Costs!AJ58/FX_EUR</f>
        <v>3048.98034474821</v>
      </c>
      <c r="AK58" s="37" t="n">
        <f aca="false">Costs!AK58/FX_EUR</f>
        <v>3048.98034474821</v>
      </c>
      <c r="AL58" s="37" t="n">
        <f aca="false">Costs!AL58/FX_EUR</f>
        <v>3048.98034474821</v>
      </c>
      <c r="AM58" s="37" t="n">
        <f aca="false">Costs!AM58/FX_EUR</f>
        <v>3048.98034474821</v>
      </c>
      <c r="AN58" s="37" t="n">
        <f aca="false">Costs!AN58/FX_EUR</f>
        <v>3048.98034474821</v>
      </c>
      <c r="AO58" s="37" t="n">
        <f aca="false">Costs!AO58/FX_EUR</f>
        <v>3048.98034474821</v>
      </c>
      <c r="AP58" s="37" t="n">
        <f aca="false">Costs!AP58/FX_EUR</f>
        <v>3048.98034474821</v>
      </c>
      <c r="AQ58" s="37" t="n">
        <f aca="false">Costs!AQ58/FX_EUR</f>
        <v>3048.98034474821</v>
      </c>
      <c r="AR58" s="37" t="n">
        <f aca="false">Costs!AR58/FX_EUR</f>
        <v>3048.98034474821</v>
      </c>
      <c r="AS58" s="37" t="n">
        <f aca="false">Costs!AS58/FX_EUR</f>
        <v>3048.98034474821</v>
      </c>
      <c r="AT58" s="37" t="n">
        <f aca="false">Costs!AT58/FX_EUR</f>
        <v>3048.98034474821</v>
      </c>
      <c r="AU58" s="37" t="n">
        <f aca="false">Costs!AU58/FX_EUR</f>
        <v>3048.98034474821</v>
      </c>
      <c r="AV58" s="37" t="n">
        <f aca="false">Costs!AV58/FX_EUR</f>
        <v>3048.98034474821</v>
      </c>
      <c r="AW58" s="37" t="n">
        <f aca="false">Costs!AW58/FX_EUR</f>
        <v>3048.98034474821</v>
      </c>
      <c r="AX58" s="37" t="n">
        <f aca="false">Costs!AX58/FX_EUR</f>
        <v>3048.98034474821</v>
      </c>
      <c r="AY58" s="37" t="n">
        <f aca="false">Costs!AY58/FX_EUR</f>
        <v>3048.98034474821</v>
      </c>
      <c r="AZ58" s="37" t="n">
        <f aca="false">Costs!AZ58/FX_EUR</f>
        <v>3048.98034474821</v>
      </c>
      <c r="BA58" s="37" t="n">
        <f aca="false">Costs!BA58/FX_EUR</f>
        <v>3048.98034474821</v>
      </c>
      <c r="BB58" s="37" t="n">
        <f aca="false">Costs!BB58/FX_EUR</f>
        <v>3048.98034474821</v>
      </c>
      <c r="BC58" s="37" t="n">
        <f aca="false">Costs!BC58/FX_EUR</f>
        <v>3048.98034474821</v>
      </c>
      <c r="BD58" s="37" t="n">
        <f aca="false">Costs!BD58/FX_EUR</f>
        <v>3048.98034474821</v>
      </c>
      <c r="BE58" s="37" t="n">
        <f aca="false">Costs!BE58/FX_EUR</f>
        <v>3048.98034474821</v>
      </c>
      <c r="BF58" s="37" t="n">
        <f aca="false">Costs!BF58/FX_EUR</f>
        <v>3048.98034474821</v>
      </c>
      <c r="BG58" s="37" t="n">
        <f aca="false">Costs!BG58/FX_EUR</f>
        <v>3048.98034474821</v>
      </c>
      <c r="BH58" s="37" t="n">
        <f aca="false">Costs!BH58/FX_EUR</f>
        <v>3048.98034474821</v>
      </c>
      <c r="BI58" s="37" t="n">
        <f aca="false">Costs!BI58/FX_EUR</f>
        <v>3048.98034474821</v>
      </c>
      <c r="BJ58" s="37" t="n">
        <f aca="false">Costs!BJ58/FX_EUR</f>
        <v>3048.98034474821</v>
      </c>
      <c r="BK58" s="37" t="n">
        <f aca="false">Costs!BK58/FX_EUR</f>
        <v>3048.98034474821</v>
      </c>
      <c r="BL58" s="37" t="n">
        <f aca="false">Costs!BL58/FX_EUR</f>
        <v>3048.98034474821</v>
      </c>
    </row>
    <row r="59" customFormat="false" ht="15" hidden="false" customHeight="false" outlineLevel="0" collapsed="false">
      <c r="A59" s="12" t="s">
        <v>835</v>
      </c>
      <c r="B59" s="14" t="s">
        <v>73</v>
      </c>
      <c r="D59" s="55" t="n">
        <f aca="false">Costs!D59/FX_EUR</f>
        <v>25916.3329303598</v>
      </c>
      <c r="E59" s="37" t="n">
        <f aca="false">Costs!E59/FX_EUR</f>
        <v>0</v>
      </c>
      <c r="F59" s="37" t="n">
        <f aca="false">Costs!F59/FX_EUR</f>
        <v>0</v>
      </c>
      <c r="G59" s="37" t="n">
        <f aca="false">Costs!G59/FX_EUR</f>
        <v>0</v>
      </c>
      <c r="H59" s="37" t="n">
        <f aca="false">Costs!H59/FX_EUR</f>
        <v>0</v>
      </c>
      <c r="I59" s="37" t="n">
        <f aca="false">Costs!I59/FX_EUR</f>
        <v>0</v>
      </c>
      <c r="J59" s="37" t="n">
        <f aca="false">Costs!J59/FX_EUR</f>
        <v>0</v>
      </c>
      <c r="K59" s="37" t="n">
        <f aca="false">Costs!K59/FX_EUR</f>
        <v>0</v>
      </c>
      <c r="L59" s="37" t="n">
        <f aca="false">Costs!L59/FX_EUR</f>
        <v>0</v>
      </c>
      <c r="M59" s="37" t="n">
        <f aca="false">Costs!M59/FX_EUR</f>
        <v>0</v>
      </c>
      <c r="N59" s="37" t="n">
        <f aca="false">Costs!N59/FX_EUR</f>
        <v>0</v>
      </c>
      <c r="O59" s="37" t="n">
        <f aca="false">Costs!O59/FX_EUR</f>
        <v>0</v>
      </c>
      <c r="P59" s="37" t="n">
        <f aca="false">Costs!P59/FX_EUR</f>
        <v>0</v>
      </c>
      <c r="Q59" s="37" t="n">
        <f aca="false">Costs!Q59/FX_EUR</f>
        <v>381.122543093526</v>
      </c>
      <c r="R59" s="37" t="n">
        <f aca="false">Costs!R59/FX_EUR</f>
        <v>381.122543093526</v>
      </c>
      <c r="S59" s="37" t="n">
        <f aca="false">Costs!S59/FX_EUR</f>
        <v>8003.57340496405</v>
      </c>
      <c r="T59" s="37" t="n">
        <f aca="false">Costs!T59/FX_EUR</f>
        <v>381.122543093526</v>
      </c>
      <c r="U59" s="37" t="n">
        <f aca="false">Costs!U59/FX_EUR</f>
        <v>381.122543093526</v>
      </c>
      <c r="V59" s="37" t="n">
        <f aca="false">Costs!V59/FX_EUR</f>
        <v>381.122543093526</v>
      </c>
      <c r="W59" s="37" t="n">
        <f aca="false">Costs!W59/FX_EUR</f>
        <v>381.122543093526</v>
      </c>
      <c r="X59" s="37" t="n">
        <f aca="false">Costs!X59/FX_EUR</f>
        <v>381.122543093526</v>
      </c>
      <c r="Y59" s="37" t="n">
        <f aca="false">Costs!Y59/FX_EUR</f>
        <v>381.122543093526</v>
      </c>
      <c r="Z59" s="37" t="n">
        <f aca="false">Costs!Z59/FX_EUR</f>
        <v>381.122543093526</v>
      </c>
      <c r="AA59" s="37" t="n">
        <f aca="false">Costs!AA59/FX_EUR</f>
        <v>381.122543093526</v>
      </c>
      <c r="AB59" s="37" t="n">
        <f aca="false">Costs!AB59/FX_EUR</f>
        <v>381.122543093526</v>
      </c>
      <c r="AC59" s="37" t="n">
        <f aca="false">Costs!AC59/FX_EUR</f>
        <v>381.122543093526</v>
      </c>
      <c r="AD59" s="37" t="n">
        <f aca="false">Costs!AD59/FX_EUR</f>
        <v>381.122543093526</v>
      </c>
      <c r="AE59" s="37" t="n">
        <f aca="false">Costs!AE59/FX_EUR</f>
        <v>381.122543093526</v>
      </c>
      <c r="AF59" s="37" t="n">
        <f aca="false">Costs!AF59/FX_EUR</f>
        <v>381.122543093526</v>
      </c>
      <c r="AG59" s="37" t="n">
        <f aca="false">Costs!AG59/FX_EUR</f>
        <v>381.122543093526</v>
      </c>
      <c r="AH59" s="37" t="n">
        <f aca="false">Costs!AH59/FX_EUR</f>
        <v>381.122543093526</v>
      </c>
      <c r="AI59" s="37" t="n">
        <f aca="false">Costs!AI59/FX_EUR</f>
        <v>381.122543093526</v>
      </c>
      <c r="AJ59" s="37" t="n">
        <f aca="false">Costs!AJ59/FX_EUR</f>
        <v>381.122543093526</v>
      </c>
      <c r="AK59" s="37" t="n">
        <f aca="false">Costs!AK59/FX_EUR</f>
        <v>381.122543093526</v>
      </c>
      <c r="AL59" s="37" t="n">
        <f aca="false">Costs!AL59/FX_EUR</f>
        <v>381.122543093526</v>
      </c>
      <c r="AM59" s="37" t="n">
        <f aca="false">Costs!AM59/FX_EUR</f>
        <v>381.122543093526</v>
      </c>
      <c r="AN59" s="37" t="n">
        <f aca="false">Costs!AN59/FX_EUR</f>
        <v>381.122543093526</v>
      </c>
      <c r="AO59" s="37" t="n">
        <f aca="false">Costs!AO59/FX_EUR</f>
        <v>381.122543093526</v>
      </c>
      <c r="AP59" s="37" t="n">
        <f aca="false">Costs!AP59/FX_EUR</f>
        <v>381.122543093526</v>
      </c>
      <c r="AQ59" s="37" t="n">
        <f aca="false">Costs!AQ59/FX_EUR</f>
        <v>381.122543093526</v>
      </c>
      <c r="AR59" s="37" t="n">
        <f aca="false">Costs!AR59/FX_EUR</f>
        <v>381.122543093526</v>
      </c>
      <c r="AS59" s="37" t="n">
        <f aca="false">Costs!AS59/FX_EUR</f>
        <v>381.122543093526</v>
      </c>
      <c r="AT59" s="37" t="n">
        <f aca="false">Costs!AT59/FX_EUR</f>
        <v>381.122543093526</v>
      </c>
      <c r="AU59" s="37" t="n">
        <f aca="false">Costs!AU59/FX_EUR</f>
        <v>381.122543093526</v>
      </c>
      <c r="AV59" s="37" t="n">
        <f aca="false">Costs!AV59/FX_EUR</f>
        <v>381.122543093526</v>
      </c>
      <c r="AW59" s="37" t="n">
        <f aca="false">Costs!AW59/FX_EUR</f>
        <v>381.122543093526</v>
      </c>
      <c r="AX59" s="37" t="n">
        <f aca="false">Costs!AX59/FX_EUR</f>
        <v>381.122543093526</v>
      </c>
      <c r="AY59" s="37" t="n">
        <f aca="false">Costs!AY59/FX_EUR</f>
        <v>381.122543093526</v>
      </c>
      <c r="AZ59" s="37" t="n">
        <f aca="false">Costs!AZ59/FX_EUR</f>
        <v>381.122543093526</v>
      </c>
      <c r="BA59" s="37" t="n">
        <f aca="false">Costs!BA59/FX_EUR</f>
        <v>381.122543093526</v>
      </c>
      <c r="BB59" s="37" t="n">
        <f aca="false">Costs!BB59/FX_EUR</f>
        <v>381.122543093526</v>
      </c>
      <c r="BC59" s="37" t="n">
        <f aca="false">Costs!BC59/FX_EUR</f>
        <v>381.122543093526</v>
      </c>
      <c r="BD59" s="37" t="n">
        <f aca="false">Costs!BD59/FX_EUR</f>
        <v>381.122543093526</v>
      </c>
      <c r="BE59" s="37" t="n">
        <f aca="false">Costs!BE59/FX_EUR</f>
        <v>381.122543093526</v>
      </c>
      <c r="BF59" s="37" t="n">
        <f aca="false">Costs!BF59/FX_EUR</f>
        <v>381.122543093526</v>
      </c>
      <c r="BG59" s="37" t="n">
        <f aca="false">Costs!BG59/FX_EUR</f>
        <v>381.122543093526</v>
      </c>
      <c r="BH59" s="37" t="n">
        <f aca="false">Costs!BH59/FX_EUR</f>
        <v>381.122543093526</v>
      </c>
      <c r="BI59" s="37" t="n">
        <f aca="false">Costs!BI59/FX_EUR</f>
        <v>381.122543093526</v>
      </c>
      <c r="BJ59" s="37" t="n">
        <f aca="false">Costs!BJ59/FX_EUR</f>
        <v>381.122543093526</v>
      </c>
      <c r="BK59" s="37" t="n">
        <f aca="false">Costs!BK59/FX_EUR</f>
        <v>381.122543093526</v>
      </c>
      <c r="BL59" s="37" t="n">
        <f aca="false">Costs!BL59/FX_EUR</f>
        <v>381.122543093526</v>
      </c>
    </row>
    <row r="60" customFormat="false" ht="15" hidden="false" customHeight="false" outlineLevel="0" collapsed="false">
      <c r="A60" s="8" t="s">
        <v>836</v>
      </c>
      <c r="B60" s="14" t="s">
        <v>73</v>
      </c>
      <c r="D60" s="55" t="n">
        <f aca="false">Costs!D60/FX_EUR</f>
        <v>350632.739646044</v>
      </c>
      <c r="E60" s="16" t="n">
        <f aca="false">Costs!E60/FX_EUR</f>
        <v>0</v>
      </c>
      <c r="F60" s="16" t="n">
        <f aca="false">Costs!F60/FX_EUR</f>
        <v>22867.3525856116</v>
      </c>
      <c r="G60" s="16" t="n">
        <f aca="false">Costs!G60/FX_EUR</f>
        <v>0</v>
      </c>
      <c r="H60" s="16" t="n">
        <f aca="false">Costs!H60/FX_EUR</f>
        <v>0</v>
      </c>
      <c r="I60" s="16" t="n">
        <f aca="false">Costs!I60/FX_EUR</f>
        <v>2286.73525856116</v>
      </c>
      <c r="J60" s="16" t="n">
        <f aca="false">Costs!J60/FX_EUR</f>
        <v>2286.73525856116</v>
      </c>
      <c r="K60" s="16" t="n">
        <f aca="false">Costs!K60/FX_EUR</f>
        <v>2286.73525856116</v>
      </c>
      <c r="L60" s="16" t="n">
        <f aca="false">Costs!L60/FX_EUR</f>
        <v>2286.73525856116</v>
      </c>
      <c r="M60" s="16" t="n">
        <f aca="false">Costs!M60/FX_EUR</f>
        <v>2286.73525856116</v>
      </c>
      <c r="N60" s="16" t="n">
        <f aca="false">Costs!N60/FX_EUR</f>
        <v>2286.73525856116</v>
      </c>
      <c r="O60" s="16" t="n">
        <f aca="false">Costs!O60/FX_EUR</f>
        <v>2286.73525856116</v>
      </c>
      <c r="P60" s="16" t="n">
        <f aca="false">Costs!P60/FX_EUR</f>
        <v>2286.73525856116</v>
      </c>
      <c r="Q60" s="16" t="n">
        <f aca="false">Costs!Q60/FX_EUR</f>
        <v>2667.85780165468</v>
      </c>
      <c r="R60" s="16" t="n">
        <f aca="false">Costs!R60/FX_EUR</f>
        <v>2667.85780165468</v>
      </c>
      <c r="S60" s="16" t="n">
        <f aca="false">Costs!S60/FX_EUR</f>
        <v>10290.3086635252</v>
      </c>
      <c r="T60" s="16" t="n">
        <f aca="false">Costs!T60/FX_EUR</f>
        <v>25535.2103872662</v>
      </c>
      <c r="U60" s="16" t="n">
        <f aca="false">Costs!U60/FX_EUR</f>
        <v>2667.85780165468</v>
      </c>
      <c r="V60" s="16" t="n">
        <f aca="false">Costs!V60/FX_EUR</f>
        <v>2667.85780165468</v>
      </c>
      <c r="W60" s="16" t="n">
        <f aca="false">Costs!W60/FX_EUR</f>
        <v>4954.59306021584</v>
      </c>
      <c r="X60" s="16" t="n">
        <f aca="false">Costs!X60/FX_EUR</f>
        <v>4954.59306021584</v>
      </c>
      <c r="Y60" s="16" t="n">
        <f aca="false">Costs!Y60/FX_EUR</f>
        <v>4954.59306021584</v>
      </c>
      <c r="Z60" s="16" t="n">
        <f aca="false">Costs!Z60/FX_EUR</f>
        <v>4954.59306021584</v>
      </c>
      <c r="AA60" s="16" t="n">
        <f aca="false">Costs!AA60/FX_EUR</f>
        <v>4954.59306021584</v>
      </c>
      <c r="AB60" s="16" t="n">
        <f aca="false">Costs!AB60/FX_EUR</f>
        <v>4954.59306021584</v>
      </c>
      <c r="AC60" s="16" t="n">
        <f aca="false">Costs!AC60/FX_EUR</f>
        <v>6479.08323258994</v>
      </c>
      <c r="AD60" s="16" t="n">
        <f aca="false">Costs!AD60/FX_EUR</f>
        <v>6479.08323258994</v>
      </c>
      <c r="AE60" s="16" t="n">
        <f aca="false">Costs!AE60/FX_EUR</f>
        <v>6479.08323258994</v>
      </c>
      <c r="AF60" s="16" t="n">
        <f aca="false">Costs!AF60/FX_EUR</f>
        <v>6479.08323258994</v>
      </c>
      <c r="AG60" s="16" t="n">
        <f aca="false">Costs!AG60/FX_EUR</f>
        <v>6479.08323258994</v>
      </c>
      <c r="AH60" s="16" t="n">
        <f aca="false">Costs!AH60/FX_EUR</f>
        <v>6479.08323258994</v>
      </c>
      <c r="AI60" s="16" t="n">
        <f aca="false">Costs!AI60/FX_EUR</f>
        <v>6479.08323258994</v>
      </c>
      <c r="AJ60" s="16" t="n">
        <f aca="false">Costs!AJ60/FX_EUR</f>
        <v>6479.08323258994</v>
      </c>
      <c r="AK60" s="16" t="n">
        <f aca="false">Costs!AK60/FX_EUR</f>
        <v>6479.08323258994</v>
      </c>
      <c r="AL60" s="16" t="n">
        <f aca="false">Costs!AL60/FX_EUR</f>
        <v>6479.08323258994</v>
      </c>
      <c r="AM60" s="16" t="n">
        <f aca="false">Costs!AM60/FX_EUR</f>
        <v>6479.08323258994</v>
      </c>
      <c r="AN60" s="16" t="n">
        <f aca="false">Costs!AN60/FX_EUR</f>
        <v>6479.08323258994</v>
      </c>
      <c r="AO60" s="16" t="n">
        <f aca="false">Costs!AO60/FX_EUR</f>
        <v>6479.08323258994</v>
      </c>
      <c r="AP60" s="16" t="n">
        <f aca="false">Costs!AP60/FX_EUR</f>
        <v>6479.08323258994</v>
      </c>
      <c r="AQ60" s="16" t="n">
        <f aca="false">Costs!AQ60/FX_EUR</f>
        <v>6479.08323258994</v>
      </c>
      <c r="AR60" s="16" t="n">
        <f aca="false">Costs!AR60/FX_EUR</f>
        <v>6479.08323258994</v>
      </c>
      <c r="AS60" s="16" t="n">
        <f aca="false">Costs!AS60/FX_EUR</f>
        <v>6479.08323258994</v>
      </c>
      <c r="AT60" s="16" t="n">
        <f aca="false">Costs!AT60/FX_EUR</f>
        <v>6479.08323258994</v>
      </c>
      <c r="AU60" s="16" t="n">
        <f aca="false">Costs!AU60/FX_EUR</f>
        <v>6479.08323258994</v>
      </c>
      <c r="AV60" s="16" t="n">
        <f aca="false">Costs!AV60/FX_EUR</f>
        <v>6479.08323258994</v>
      </c>
      <c r="AW60" s="16" t="n">
        <f aca="false">Costs!AW60/FX_EUR</f>
        <v>6479.08323258994</v>
      </c>
      <c r="AX60" s="16" t="n">
        <f aca="false">Costs!AX60/FX_EUR</f>
        <v>6479.08323258994</v>
      </c>
      <c r="AY60" s="16" t="n">
        <f aca="false">Costs!AY60/FX_EUR</f>
        <v>6479.08323258994</v>
      </c>
      <c r="AZ60" s="16" t="n">
        <f aca="false">Costs!AZ60/FX_EUR</f>
        <v>6479.08323258994</v>
      </c>
      <c r="BA60" s="16" t="n">
        <f aca="false">Costs!BA60/FX_EUR</f>
        <v>6479.08323258994</v>
      </c>
      <c r="BB60" s="16" t="n">
        <f aca="false">Costs!BB60/FX_EUR</f>
        <v>6479.08323258994</v>
      </c>
      <c r="BC60" s="16" t="n">
        <f aca="false">Costs!BC60/FX_EUR</f>
        <v>6479.08323258994</v>
      </c>
      <c r="BD60" s="16" t="n">
        <f aca="false">Costs!BD60/FX_EUR</f>
        <v>6479.08323258994</v>
      </c>
      <c r="BE60" s="16" t="n">
        <f aca="false">Costs!BE60/FX_EUR</f>
        <v>6479.08323258994</v>
      </c>
      <c r="BF60" s="16" t="n">
        <f aca="false">Costs!BF60/FX_EUR</f>
        <v>6479.08323258994</v>
      </c>
      <c r="BG60" s="16" t="n">
        <f aca="false">Costs!BG60/FX_EUR</f>
        <v>6479.08323258994</v>
      </c>
      <c r="BH60" s="16" t="n">
        <f aca="false">Costs!BH60/FX_EUR</f>
        <v>6479.08323258994</v>
      </c>
      <c r="BI60" s="16" t="n">
        <f aca="false">Costs!BI60/FX_EUR</f>
        <v>6479.08323258994</v>
      </c>
      <c r="BJ60" s="16" t="n">
        <f aca="false">Costs!BJ60/FX_EUR</f>
        <v>6479.08323258994</v>
      </c>
      <c r="BK60" s="16" t="n">
        <f aca="false">Costs!BK60/FX_EUR</f>
        <v>6479.08323258994</v>
      </c>
      <c r="BL60" s="16" t="n">
        <f aca="false">Costs!BL60/FX_EUR</f>
        <v>6479.08323258994</v>
      </c>
    </row>
    <row r="62" customFormat="false" ht="15" hidden="false" customHeight="false" outlineLevel="0" collapsed="false">
      <c r="A62" s="10" t="s">
        <v>457</v>
      </c>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c r="BC62" s="11"/>
      <c r="BD62" s="11"/>
      <c r="BE62" s="11"/>
      <c r="BF62" s="11"/>
      <c r="BG62" s="11"/>
      <c r="BH62" s="11"/>
      <c r="BI62" s="11"/>
      <c r="BJ62" s="11"/>
      <c r="BK62" s="11"/>
      <c r="BL62" s="11"/>
    </row>
    <row r="63" customFormat="false" ht="15" hidden="false" customHeight="false" outlineLevel="0" collapsed="false">
      <c r="A63" s="12" t="s">
        <v>837</v>
      </c>
      <c r="B63" s="14" t="s">
        <v>73</v>
      </c>
      <c r="D63" s="55" t="n">
        <f aca="false">Costs!D63/FX_EUR</f>
        <v>8384.69594805757</v>
      </c>
      <c r="E63" s="37" t="n">
        <f aca="false">Costs!E63/FX_EUR</f>
        <v>3811.22543093526</v>
      </c>
      <c r="F63" s="37" t="n">
        <f aca="false">Costs!F63/FX_EUR</f>
        <v>0</v>
      </c>
      <c r="G63" s="37" t="n">
        <f aca="false">Costs!G63/FX_EUR</f>
        <v>0</v>
      </c>
      <c r="H63" s="37" t="n">
        <f aca="false">Costs!H63/FX_EUR</f>
        <v>0</v>
      </c>
      <c r="I63" s="37" t="n">
        <f aca="false">Costs!I63/FX_EUR</f>
        <v>0</v>
      </c>
      <c r="J63" s="37" t="n">
        <f aca="false">Costs!J63/FX_EUR</f>
        <v>0</v>
      </c>
      <c r="K63" s="37" t="n">
        <f aca="false">Costs!K63/FX_EUR</f>
        <v>0</v>
      </c>
      <c r="L63" s="37" t="n">
        <f aca="false">Costs!L63/FX_EUR</f>
        <v>0</v>
      </c>
      <c r="M63" s="37" t="n">
        <f aca="false">Costs!M63/FX_EUR</f>
        <v>0</v>
      </c>
      <c r="N63" s="37" t="n">
        <f aca="false">Costs!N63/FX_EUR</f>
        <v>0</v>
      </c>
      <c r="O63" s="37" t="n">
        <f aca="false">Costs!O63/FX_EUR</f>
        <v>0</v>
      </c>
      <c r="P63" s="37" t="n">
        <f aca="false">Costs!P63/FX_EUR</f>
        <v>0</v>
      </c>
      <c r="Q63" s="37" t="n">
        <f aca="false">Costs!Q63/FX_EUR</f>
        <v>0</v>
      </c>
      <c r="R63" s="37" t="n">
        <f aca="false">Costs!R63/FX_EUR</f>
        <v>0</v>
      </c>
      <c r="S63" s="37" t="n">
        <f aca="false">Costs!S63/FX_EUR</f>
        <v>0</v>
      </c>
      <c r="T63" s="37" t="n">
        <f aca="false">Costs!T63/FX_EUR</f>
        <v>4573.47051712231</v>
      </c>
      <c r="U63" s="37" t="n">
        <f aca="false">Costs!U63/FX_EUR</f>
        <v>0</v>
      </c>
      <c r="V63" s="37" t="n">
        <f aca="false">Costs!V63/FX_EUR</f>
        <v>0</v>
      </c>
      <c r="W63" s="37" t="n">
        <f aca="false">Costs!W63/FX_EUR</f>
        <v>0</v>
      </c>
      <c r="X63" s="37" t="n">
        <f aca="false">Costs!X63/FX_EUR</f>
        <v>0</v>
      </c>
      <c r="Y63" s="37" t="n">
        <f aca="false">Costs!Y63/FX_EUR</f>
        <v>0</v>
      </c>
      <c r="Z63" s="37" t="n">
        <f aca="false">Costs!Z63/FX_EUR</f>
        <v>0</v>
      </c>
      <c r="AA63" s="37" t="n">
        <f aca="false">Costs!AA63/FX_EUR</f>
        <v>0</v>
      </c>
      <c r="AB63" s="37" t="n">
        <f aca="false">Costs!AB63/FX_EUR</f>
        <v>0</v>
      </c>
      <c r="AC63" s="37" t="n">
        <f aca="false">Costs!AC63/FX_EUR</f>
        <v>0</v>
      </c>
      <c r="AD63" s="37" t="n">
        <f aca="false">Costs!AD63/FX_EUR</f>
        <v>0</v>
      </c>
      <c r="AE63" s="37" t="n">
        <f aca="false">Costs!AE63/FX_EUR</f>
        <v>0</v>
      </c>
      <c r="AF63" s="37" t="n">
        <f aca="false">Costs!AF63/FX_EUR</f>
        <v>0</v>
      </c>
      <c r="AG63" s="37" t="n">
        <f aca="false">Costs!AG63/FX_EUR</f>
        <v>0</v>
      </c>
      <c r="AH63" s="37" t="n">
        <f aca="false">Costs!AH63/FX_EUR</f>
        <v>0</v>
      </c>
      <c r="AI63" s="37" t="n">
        <f aca="false">Costs!AI63/FX_EUR</f>
        <v>0</v>
      </c>
      <c r="AJ63" s="37" t="n">
        <f aca="false">Costs!AJ63/FX_EUR</f>
        <v>0</v>
      </c>
      <c r="AK63" s="37" t="n">
        <f aca="false">Costs!AK63/FX_EUR</f>
        <v>0</v>
      </c>
      <c r="AL63" s="37" t="n">
        <f aca="false">Costs!AL63/FX_EUR</f>
        <v>0</v>
      </c>
      <c r="AM63" s="37" t="n">
        <f aca="false">Costs!AM63/FX_EUR</f>
        <v>0</v>
      </c>
      <c r="AN63" s="37" t="n">
        <f aca="false">Costs!AN63/FX_EUR</f>
        <v>0</v>
      </c>
      <c r="AO63" s="37" t="n">
        <f aca="false">Costs!AO63/FX_EUR</f>
        <v>0</v>
      </c>
      <c r="AP63" s="37" t="n">
        <f aca="false">Costs!AP63/FX_EUR</f>
        <v>0</v>
      </c>
      <c r="AQ63" s="37" t="n">
        <f aca="false">Costs!AQ63/FX_EUR</f>
        <v>0</v>
      </c>
      <c r="AR63" s="37" t="n">
        <f aca="false">Costs!AR63/FX_EUR</f>
        <v>0</v>
      </c>
      <c r="AS63" s="37" t="n">
        <f aca="false">Costs!AS63/FX_EUR</f>
        <v>0</v>
      </c>
      <c r="AT63" s="37" t="n">
        <f aca="false">Costs!AT63/FX_EUR</f>
        <v>0</v>
      </c>
      <c r="AU63" s="37" t="n">
        <f aca="false">Costs!AU63/FX_EUR</f>
        <v>0</v>
      </c>
      <c r="AV63" s="37" t="n">
        <f aca="false">Costs!AV63/FX_EUR</f>
        <v>0</v>
      </c>
      <c r="AW63" s="37" t="n">
        <f aca="false">Costs!AW63/FX_EUR</f>
        <v>0</v>
      </c>
      <c r="AX63" s="37" t="n">
        <f aca="false">Costs!AX63/FX_EUR</f>
        <v>0</v>
      </c>
      <c r="AY63" s="37" t="n">
        <f aca="false">Costs!AY63/FX_EUR</f>
        <v>0</v>
      </c>
      <c r="AZ63" s="37" t="n">
        <f aca="false">Costs!AZ63/FX_EUR</f>
        <v>0</v>
      </c>
      <c r="BA63" s="37" t="n">
        <f aca="false">Costs!BA63/FX_EUR</f>
        <v>0</v>
      </c>
      <c r="BB63" s="37" t="n">
        <f aca="false">Costs!BB63/FX_EUR</f>
        <v>0</v>
      </c>
      <c r="BC63" s="37" t="n">
        <f aca="false">Costs!BC63/FX_EUR</f>
        <v>0</v>
      </c>
      <c r="BD63" s="37" t="n">
        <f aca="false">Costs!BD63/FX_EUR</f>
        <v>0</v>
      </c>
      <c r="BE63" s="37" t="n">
        <f aca="false">Costs!BE63/FX_EUR</f>
        <v>0</v>
      </c>
      <c r="BF63" s="37" t="n">
        <f aca="false">Costs!BF63/FX_EUR</f>
        <v>0</v>
      </c>
      <c r="BG63" s="37" t="n">
        <f aca="false">Costs!BG63/FX_EUR</f>
        <v>0</v>
      </c>
      <c r="BH63" s="37" t="n">
        <f aca="false">Costs!BH63/FX_EUR</f>
        <v>0</v>
      </c>
      <c r="BI63" s="37" t="n">
        <f aca="false">Costs!BI63/FX_EUR</f>
        <v>0</v>
      </c>
      <c r="BJ63" s="37" t="n">
        <f aca="false">Costs!BJ63/FX_EUR</f>
        <v>0</v>
      </c>
      <c r="BK63" s="37" t="n">
        <f aca="false">Costs!BK63/FX_EUR</f>
        <v>0</v>
      </c>
      <c r="BL63" s="37" t="n">
        <f aca="false">Costs!BL63/FX_EUR</f>
        <v>0</v>
      </c>
    </row>
    <row r="64" customFormat="false" ht="15" hidden="false" customHeight="false" outlineLevel="0" collapsed="false">
      <c r="A64" s="12" t="s">
        <v>838</v>
      </c>
      <c r="B64" s="14" t="s">
        <v>73</v>
      </c>
      <c r="D64" s="55" t="n">
        <f aca="false">Costs!D64/FX_EUR</f>
        <v>76224.5086187052</v>
      </c>
      <c r="E64" s="37" t="n">
        <f aca="false">Costs!E64/FX_EUR</f>
        <v>0</v>
      </c>
      <c r="F64" s="37" t="n">
        <f aca="false">Costs!F64/FX_EUR</f>
        <v>0</v>
      </c>
      <c r="G64" s="37" t="n">
        <f aca="false">Costs!G64/FX_EUR</f>
        <v>0</v>
      </c>
      <c r="H64" s="37" t="n">
        <f aca="false">Costs!H64/FX_EUR</f>
        <v>0</v>
      </c>
      <c r="I64" s="37" t="n">
        <f aca="false">Costs!I64/FX_EUR</f>
        <v>0</v>
      </c>
      <c r="J64" s="37" t="n">
        <f aca="false">Costs!J64/FX_EUR</f>
        <v>0</v>
      </c>
      <c r="K64" s="37" t="n">
        <f aca="false">Costs!K64/FX_EUR</f>
        <v>0</v>
      </c>
      <c r="L64" s="37" t="n">
        <f aca="false">Costs!L64/FX_EUR</f>
        <v>0</v>
      </c>
      <c r="M64" s="37" t="n">
        <f aca="false">Costs!M64/FX_EUR</f>
        <v>0</v>
      </c>
      <c r="N64" s="37" t="n">
        <f aca="false">Costs!N64/FX_EUR</f>
        <v>0</v>
      </c>
      <c r="O64" s="37" t="n">
        <f aca="false">Costs!O64/FX_EUR</f>
        <v>0</v>
      </c>
      <c r="P64" s="37" t="n">
        <f aca="false">Costs!P64/FX_EUR</f>
        <v>0</v>
      </c>
      <c r="Q64" s="37" t="n">
        <f aca="false">Costs!Q64/FX_EUR</f>
        <v>5081.63390791368</v>
      </c>
      <c r="R64" s="37" t="n">
        <f aca="false">Costs!R64/FX_EUR</f>
        <v>5081.63390791368</v>
      </c>
      <c r="S64" s="37" t="n">
        <f aca="false">Costs!S64/FX_EUR</f>
        <v>5081.63390791368</v>
      </c>
      <c r="T64" s="37" t="n">
        <f aca="false">Costs!T64/FX_EUR</f>
        <v>5081.63390791368</v>
      </c>
      <c r="U64" s="37" t="n">
        <f aca="false">Costs!U64/FX_EUR</f>
        <v>5081.63390791368</v>
      </c>
      <c r="V64" s="37" t="n">
        <f aca="false">Costs!V64/FX_EUR</f>
        <v>5081.63390791368</v>
      </c>
      <c r="W64" s="37" t="n">
        <f aca="false">Costs!W64/FX_EUR</f>
        <v>5081.63390791368</v>
      </c>
      <c r="X64" s="37" t="n">
        <f aca="false">Costs!X64/FX_EUR</f>
        <v>5081.63390791368</v>
      </c>
      <c r="Y64" s="37" t="n">
        <f aca="false">Costs!Y64/FX_EUR</f>
        <v>5081.63390791368</v>
      </c>
      <c r="Z64" s="37" t="n">
        <f aca="false">Costs!Z64/FX_EUR</f>
        <v>5081.63390791368</v>
      </c>
      <c r="AA64" s="37" t="n">
        <f aca="false">Costs!AA64/FX_EUR</f>
        <v>5081.63390791368</v>
      </c>
      <c r="AB64" s="37" t="n">
        <f aca="false">Costs!AB64/FX_EUR</f>
        <v>5081.63390791368</v>
      </c>
      <c r="AC64" s="37" t="n">
        <f aca="false">Costs!AC64/FX_EUR</f>
        <v>1270.40847697842</v>
      </c>
      <c r="AD64" s="37" t="n">
        <f aca="false">Costs!AD64/FX_EUR</f>
        <v>1270.40847697842</v>
      </c>
      <c r="AE64" s="37" t="n">
        <f aca="false">Costs!AE64/FX_EUR</f>
        <v>1270.40847697842</v>
      </c>
      <c r="AF64" s="37" t="n">
        <f aca="false">Costs!AF64/FX_EUR</f>
        <v>1270.40847697842</v>
      </c>
      <c r="AG64" s="37" t="n">
        <f aca="false">Costs!AG64/FX_EUR</f>
        <v>1270.40847697842</v>
      </c>
      <c r="AH64" s="37" t="n">
        <f aca="false">Costs!AH64/FX_EUR</f>
        <v>1270.40847697842</v>
      </c>
      <c r="AI64" s="37" t="n">
        <f aca="false">Costs!AI64/FX_EUR</f>
        <v>1270.40847697842</v>
      </c>
      <c r="AJ64" s="37" t="n">
        <f aca="false">Costs!AJ64/FX_EUR</f>
        <v>1270.40847697842</v>
      </c>
      <c r="AK64" s="37" t="n">
        <f aca="false">Costs!AK64/FX_EUR</f>
        <v>1270.40847697842</v>
      </c>
      <c r="AL64" s="37" t="n">
        <f aca="false">Costs!AL64/FX_EUR</f>
        <v>1270.40847697842</v>
      </c>
      <c r="AM64" s="37" t="n">
        <f aca="false">Costs!AM64/FX_EUR</f>
        <v>1270.40847697842</v>
      </c>
      <c r="AN64" s="37" t="n">
        <f aca="false">Costs!AN64/FX_EUR</f>
        <v>1270.40847697842</v>
      </c>
      <c r="AO64" s="37" t="n">
        <f aca="false">Costs!AO64/FX_EUR</f>
        <v>0</v>
      </c>
      <c r="AP64" s="37" t="n">
        <f aca="false">Costs!AP64/FX_EUR</f>
        <v>0</v>
      </c>
      <c r="AQ64" s="37" t="n">
        <f aca="false">Costs!AQ64/FX_EUR</f>
        <v>0</v>
      </c>
      <c r="AR64" s="37" t="n">
        <f aca="false">Costs!AR64/FX_EUR</f>
        <v>0</v>
      </c>
      <c r="AS64" s="37" t="n">
        <f aca="false">Costs!AS64/FX_EUR</f>
        <v>0</v>
      </c>
      <c r="AT64" s="37" t="n">
        <f aca="false">Costs!AT64/FX_EUR</f>
        <v>0</v>
      </c>
      <c r="AU64" s="37" t="n">
        <f aca="false">Costs!AU64/FX_EUR</f>
        <v>0</v>
      </c>
      <c r="AV64" s="37" t="n">
        <f aca="false">Costs!AV64/FX_EUR</f>
        <v>0</v>
      </c>
      <c r="AW64" s="37" t="n">
        <f aca="false">Costs!AW64/FX_EUR</f>
        <v>0</v>
      </c>
      <c r="AX64" s="37" t="n">
        <f aca="false">Costs!AX64/FX_EUR</f>
        <v>0</v>
      </c>
      <c r="AY64" s="37" t="n">
        <f aca="false">Costs!AY64/FX_EUR</f>
        <v>0</v>
      </c>
      <c r="AZ64" s="37" t="n">
        <f aca="false">Costs!AZ64/FX_EUR</f>
        <v>0</v>
      </c>
      <c r="BA64" s="37" t="n">
        <f aca="false">Costs!BA64/FX_EUR</f>
        <v>0</v>
      </c>
      <c r="BB64" s="37" t="n">
        <f aca="false">Costs!BB64/FX_EUR</f>
        <v>0</v>
      </c>
      <c r="BC64" s="37" t="n">
        <f aca="false">Costs!BC64/FX_EUR</f>
        <v>0</v>
      </c>
      <c r="BD64" s="37" t="n">
        <f aca="false">Costs!BD64/FX_EUR</f>
        <v>0</v>
      </c>
      <c r="BE64" s="37" t="n">
        <f aca="false">Costs!BE64/FX_EUR</f>
        <v>0</v>
      </c>
      <c r="BF64" s="37" t="n">
        <f aca="false">Costs!BF64/FX_EUR</f>
        <v>0</v>
      </c>
      <c r="BG64" s="37" t="n">
        <f aca="false">Costs!BG64/FX_EUR</f>
        <v>0</v>
      </c>
      <c r="BH64" s="37" t="n">
        <f aca="false">Costs!BH64/FX_EUR</f>
        <v>0</v>
      </c>
      <c r="BI64" s="37" t="n">
        <f aca="false">Costs!BI64/FX_EUR</f>
        <v>0</v>
      </c>
      <c r="BJ64" s="37" t="n">
        <f aca="false">Costs!BJ64/FX_EUR</f>
        <v>0</v>
      </c>
      <c r="BK64" s="37" t="n">
        <f aca="false">Costs!BK64/FX_EUR</f>
        <v>0</v>
      </c>
      <c r="BL64" s="37" t="n">
        <f aca="false">Costs!BL64/FX_EUR</f>
        <v>0</v>
      </c>
    </row>
    <row r="65" customFormat="false" ht="15" hidden="false" customHeight="false" outlineLevel="0" collapsed="false">
      <c r="A65" s="12" t="s">
        <v>839</v>
      </c>
      <c r="B65" s="14" t="s">
        <v>73</v>
      </c>
      <c r="D65" s="55" t="n">
        <f aca="false">Costs!D65/FX_EUR</f>
        <v>224100.055338993</v>
      </c>
      <c r="E65" s="37" t="n">
        <f aca="false">Costs!E65/FX_EUR</f>
        <v>0</v>
      </c>
      <c r="F65" s="37" t="n">
        <f aca="false">Costs!F65/FX_EUR</f>
        <v>0</v>
      </c>
      <c r="G65" s="37" t="n">
        <f aca="false">Costs!G65/FX_EUR</f>
        <v>0</v>
      </c>
      <c r="H65" s="37" t="n">
        <f aca="false">Costs!H65/FX_EUR</f>
        <v>0</v>
      </c>
      <c r="I65" s="37" t="n">
        <f aca="false">Costs!I65/FX_EUR</f>
        <v>0</v>
      </c>
      <c r="J65" s="37" t="n">
        <f aca="false">Costs!J65/FX_EUR</f>
        <v>0</v>
      </c>
      <c r="K65" s="37" t="n">
        <f aca="false">Costs!K65/FX_EUR</f>
        <v>0</v>
      </c>
      <c r="L65" s="37" t="n">
        <f aca="false">Costs!L65/FX_EUR</f>
        <v>0</v>
      </c>
      <c r="M65" s="37" t="n">
        <f aca="false">Costs!M65/FX_EUR</f>
        <v>0</v>
      </c>
      <c r="N65" s="37" t="n">
        <f aca="false">Costs!N65/FX_EUR</f>
        <v>0</v>
      </c>
      <c r="O65" s="37" t="n">
        <f aca="false">Costs!O65/FX_EUR</f>
        <v>0</v>
      </c>
      <c r="P65" s="37" t="n">
        <f aca="false">Costs!P65/FX_EUR</f>
        <v>0</v>
      </c>
      <c r="Q65" s="37" t="n">
        <f aca="false">Costs!Q65/FX_EUR</f>
        <v>0</v>
      </c>
      <c r="R65" s="37" t="n">
        <f aca="false">Costs!R65/FX_EUR</f>
        <v>0</v>
      </c>
      <c r="S65" s="37" t="n">
        <f aca="false">Costs!S65/FX_EUR</f>
        <v>0</v>
      </c>
      <c r="T65" s="37" t="n">
        <f aca="false">Costs!T65/FX_EUR</f>
        <v>0</v>
      </c>
      <c r="U65" s="37" t="n">
        <f aca="false">Costs!U65/FX_EUR</f>
        <v>0</v>
      </c>
      <c r="V65" s="37" t="n">
        <f aca="false">Costs!V65/FX_EUR</f>
        <v>0</v>
      </c>
      <c r="W65" s="37" t="n">
        <f aca="false">Costs!W65/FX_EUR</f>
        <v>0</v>
      </c>
      <c r="X65" s="37" t="n">
        <f aca="false">Costs!X65/FX_EUR</f>
        <v>0</v>
      </c>
      <c r="Y65" s="37" t="n">
        <f aca="false">Costs!Y65/FX_EUR</f>
        <v>0</v>
      </c>
      <c r="Z65" s="37" t="n">
        <f aca="false">Costs!Z65/FX_EUR</f>
        <v>0</v>
      </c>
      <c r="AA65" s="37" t="n">
        <f aca="false">Costs!AA65/FX_EUR</f>
        <v>0</v>
      </c>
      <c r="AB65" s="37" t="n">
        <f aca="false">Costs!AB65/FX_EUR</f>
        <v>4573.47051712231</v>
      </c>
      <c r="AC65" s="37" t="n">
        <f aca="false">Costs!AC65/FX_EUR</f>
        <v>5335.71560330936</v>
      </c>
      <c r="AD65" s="37" t="n">
        <f aca="false">Costs!AD65/FX_EUR</f>
        <v>5335.71560330936</v>
      </c>
      <c r="AE65" s="37" t="n">
        <f aca="false">Costs!AE65/FX_EUR</f>
        <v>5335.71560330936</v>
      </c>
      <c r="AF65" s="37" t="n">
        <f aca="false">Costs!AF65/FX_EUR</f>
        <v>5335.71560330936</v>
      </c>
      <c r="AG65" s="37" t="n">
        <f aca="false">Costs!AG65/FX_EUR</f>
        <v>5335.71560330936</v>
      </c>
      <c r="AH65" s="37" t="n">
        <f aca="false">Costs!AH65/FX_EUR</f>
        <v>5335.71560330936</v>
      </c>
      <c r="AI65" s="37" t="n">
        <f aca="false">Costs!AI65/FX_EUR</f>
        <v>5335.71560330936</v>
      </c>
      <c r="AJ65" s="37" t="n">
        <f aca="false">Costs!AJ65/FX_EUR</f>
        <v>5335.71560330936</v>
      </c>
      <c r="AK65" s="37" t="n">
        <f aca="false">Costs!AK65/FX_EUR</f>
        <v>5335.71560330936</v>
      </c>
      <c r="AL65" s="37" t="n">
        <f aca="false">Costs!AL65/FX_EUR</f>
        <v>5335.71560330936</v>
      </c>
      <c r="AM65" s="37" t="n">
        <f aca="false">Costs!AM65/FX_EUR</f>
        <v>5335.71560330936</v>
      </c>
      <c r="AN65" s="37" t="n">
        <f aca="false">Costs!AN65/FX_EUR</f>
        <v>5335.71560330936</v>
      </c>
      <c r="AO65" s="37" t="n">
        <f aca="false">Costs!AO65/FX_EUR</f>
        <v>6097.96068949642</v>
      </c>
      <c r="AP65" s="37" t="n">
        <f aca="false">Costs!AP65/FX_EUR</f>
        <v>6097.96068949642</v>
      </c>
      <c r="AQ65" s="37" t="n">
        <f aca="false">Costs!AQ65/FX_EUR</f>
        <v>6097.96068949642</v>
      </c>
      <c r="AR65" s="37" t="n">
        <f aca="false">Costs!AR65/FX_EUR</f>
        <v>6097.96068949642</v>
      </c>
      <c r="AS65" s="37" t="n">
        <f aca="false">Costs!AS65/FX_EUR</f>
        <v>6097.96068949642</v>
      </c>
      <c r="AT65" s="37" t="n">
        <f aca="false">Costs!AT65/FX_EUR</f>
        <v>6097.96068949642</v>
      </c>
      <c r="AU65" s="37" t="n">
        <f aca="false">Costs!AU65/FX_EUR</f>
        <v>6097.96068949642</v>
      </c>
      <c r="AV65" s="37" t="n">
        <f aca="false">Costs!AV65/FX_EUR</f>
        <v>6097.96068949642</v>
      </c>
      <c r="AW65" s="37" t="n">
        <f aca="false">Costs!AW65/FX_EUR</f>
        <v>6097.96068949642</v>
      </c>
      <c r="AX65" s="37" t="n">
        <f aca="false">Costs!AX65/FX_EUR</f>
        <v>6097.96068949642</v>
      </c>
      <c r="AY65" s="37" t="n">
        <f aca="false">Costs!AY65/FX_EUR</f>
        <v>6097.96068949642</v>
      </c>
      <c r="AZ65" s="37" t="n">
        <f aca="false">Costs!AZ65/FX_EUR</f>
        <v>6097.96068949642</v>
      </c>
      <c r="BA65" s="37" t="n">
        <f aca="false">Costs!BA65/FX_EUR</f>
        <v>6860.20577568347</v>
      </c>
      <c r="BB65" s="37" t="n">
        <f aca="false">Costs!BB65/FX_EUR</f>
        <v>6860.20577568347</v>
      </c>
      <c r="BC65" s="37" t="n">
        <f aca="false">Costs!BC65/FX_EUR</f>
        <v>6860.20577568347</v>
      </c>
      <c r="BD65" s="37" t="n">
        <f aca="false">Costs!BD65/FX_EUR</f>
        <v>6860.20577568347</v>
      </c>
      <c r="BE65" s="37" t="n">
        <f aca="false">Costs!BE65/FX_EUR</f>
        <v>6860.20577568347</v>
      </c>
      <c r="BF65" s="37" t="n">
        <f aca="false">Costs!BF65/FX_EUR</f>
        <v>6860.20577568347</v>
      </c>
      <c r="BG65" s="37" t="n">
        <f aca="false">Costs!BG65/FX_EUR</f>
        <v>6860.20577568347</v>
      </c>
      <c r="BH65" s="37" t="n">
        <f aca="false">Costs!BH65/FX_EUR</f>
        <v>6860.20577568347</v>
      </c>
      <c r="BI65" s="37" t="n">
        <f aca="false">Costs!BI65/FX_EUR</f>
        <v>6860.20577568347</v>
      </c>
      <c r="BJ65" s="37" t="n">
        <f aca="false">Costs!BJ65/FX_EUR</f>
        <v>6860.20577568347</v>
      </c>
      <c r="BK65" s="37" t="n">
        <f aca="false">Costs!BK65/FX_EUR</f>
        <v>6860.20577568347</v>
      </c>
      <c r="BL65" s="37" t="n">
        <f aca="false">Costs!BL65/FX_EUR</f>
        <v>6860.20577568347</v>
      </c>
    </row>
    <row r="66" customFormat="false" ht="15" hidden="false" customHeight="false" outlineLevel="0" collapsed="false">
      <c r="A66" s="12" t="s">
        <v>465</v>
      </c>
      <c r="B66" s="14" t="s">
        <v>73</v>
      </c>
      <c r="D66" s="55" t="n">
        <f aca="false">Costs!D66/FX_EUR</f>
        <v>182938.820684892</v>
      </c>
      <c r="E66" s="37" t="n">
        <f aca="false">Costs!E66/FX_EUR</f>
        <v>1524.4901723741</v>
      </c>
      <c r="F66" s="37" t="n">
        <f aca="false">Costs!F66/FX_EUR</f>
        <v>1524.4901723741</v>
      </c>
      <c r="G66" s="37" t="n">
        <f aca="false">Costs!G66/FX_EUR</f>
        <v>1524.4901723741</v>
      </c>
      <c r="H66" s="37" t="n">
        <f aca="false">Costs!H66/FX_EUR</f>
        <v>1524.4901723741</v>
      </c>
      <c r="I66" s="37" t="n">
        <f aca="false">Costs!I66/FX_EUR</f>
        <v>1524.4901723741</v>
      </c>
      <c r="J66" s="37" t="n">
        <f aca="false">Costs!J66/FX_EUR</f>
        <v>1524.4901723741</v>
      </c>
      <c r="K66" s="37" t="n">
        <f aca="false">Costs!K66/FX_EUR</f>
        <v>1524.4901723741</v>
      </c>
      <c r="L66" s="37" t="n">
        <f aca="false">Costs!L66/FX_EUR</f>
        <v>1524.4901723741</v>
      </c>
      <c r="M66" s="37" t="n">
        <f aca="false">Costs!M66/FX_EUR</f>
        <v>1524.4901723741</v>
      </c>
      <c r="N66" s="37" t="n">
        <f aca="false">Costs!N66/FX_EUR</f>
        <v>1524.4901723741</v>
      </c>
      <c r="O66" s="37" t="n">
        <f aca="false">Costs!O66/FX_EUR</f>
        <v>1524.4901723741</v>
      </c>
      <c r="P66" s="37" t="n">
        <f aca="false">Costs!P66/FX_EUR</f>
        <v>1524.4901723741</v>
      </c>
      <c r="Q66" s="37" t="n">
        <f aca="false">Costs!Q66/FX_EUR</f>
        <v>2286.73525856116</v>
      </c>
      <c r="R66" s="37" t="n">
        <f aca="false">Costs!R66/FX_EUR</f>
        <v>2286.73525856116</v>
      </c>
      <c r="S66" s="37" t="n">
        <f aca="false">Costs!S66/FX_EUR</f>
        <v>2286.73525856116</v>
      </c>
      <c r="T66" s="37" t="n">
        <f aca="false">Costs!T66/FX_EUR</f>
        <v>2286.73525856116</v>
      </c>
      <c r="U66" s="37" t="n">
        <f aca="false">Costs!U66/FX_EUR</f>
        <v>2286.73525856116</v>
      </c>
      <c r="V66" s="37" t="n">
        <f aca="false">Costs!V66/FX_EUR</f>
        <v>2286.73525856116</v>
      </c>
      <c r="W66" s="37" t="n">
        <f aca="false">Costs!W66/FX_EUR</f>
        <v>2286.73525856116</v>
      </c>
      <c r="X66" s="37" t="n">
        <f aca="false">Costs!X66/FX_EUR</f>
        <v>2286.73525856116</v>
      </c>
      <c r="Y66" s="37" t="n">
        <f aca="false">Costs!Y66/FX_EUR</f>
        <v>2286.73525856116</v>
      </c>
      <c r="Z66" s="37" t="n">
        <f aca="false">Costs!Z66/FX_EUR</f>
        <v>2286.73525856116</v>
      </c>
      <c r="AA66" s="37" t="n">
        <f aca="false">Costs!AA66/FX_EUR</f>
        <v>2286.73525856116</v>
      </c>
      <c r="AB66" s="37" t="n">
        <f aca="false">Costs!AB66/FX_EUR</f>
        <v>2286.73525856116</v>
      </c>
      <c r="AC66" s="37" t="n">
        <f aca="false">Costs!AC66/FX_EUR</f>
        <v>3048.98034474821</v>
      </c>
      <c r="AD66" s="37" t="n">
        <f aca="false">Costs!AD66/FX_EUR</f>
        <v>3048.98034474821</v>
      </c>
      <c r="AE66" s="37" t="n">
        <f aca="false">Costs!AE66/FX_EUR</f>
        <v>3048.98034474821</v>
      </c>
      <c r="AF66" s="37" t="n">
        <f aca="false">Costs!AF66/FX_EUR</f>
        <v>3048.98034474821</v>
      </c>
      <c r="AG66" s="37" t="n">
        <f aca="false">Costs!AG66/FX_EUR</f>
        <v>3048.98034474821</v>
      </c>
      <c r="AH66" s="37" t="n">
        <f aca="false">Costs!AH66/FX_EUR</f>
        <v>3048.98034474821</v>
      </c>
      <c r="AI66" s="37" t="n">
        <f aca="false">Costs!AI66/FX_EUR</f>
        <v>3048.98034474821</v>
      </c>
      <c r="AJ66" s="37" t="n">
        <f aca="false">Costs!AJ66/FX_EUR</f>
        <v>3048.98034474821</v>
      </c>
      <c r="AK66" s="37" t="n">
        <f aca="false">Costs!AK66/FX_EUR</f>
        <v>3048.98034474821</v>
      </c>
      <c r="AL66" s="37" t="n">
        <f aca="false">Costs!AL66/FX_EUR</f>
        <v>3048.98034474821</v>
      </c>
      <c r="AM66" s="37" t="n">
        <f aca="false">Costs!AM66/FX_EUR</f>
        <v>3048.98034474821</v>
      </c>
      <c r="AN66" s="37" t="n">
        <f aca="false">Costs!AN66/FX_EUR</f>
        <v>3048.98034474821</v>
      </c>
      <c r="AO66" s="37" t="n">
        <f aca="false">Costs!AO66/FX_EUR</f>
        <v>3811.22543093526</v>
      </c>
      <c r="AP66" s="37" t="n">
        <f aca="false">Costs!AP66/FX_EUR</f>
        <v>3811.22543093526</v>
      </c>
      <c r="AQ66" s="37" t="n">
        <f aca="false">Costs!AQ66/FX_EUR</f>
        <v>3811.22543093526</v>
      </c>
      <c r="AR66" s="37" t="n">
        <f aca="false">Costs!AR66/FX_EUR</f>
        <v>3811.22543093526</v>
      </c>
      <c r="AS66" s="37" t="n">
        <f aca="false">Costs!AS66/FX_EUR</f>
        <v>3811.22543093526</v>
      </c>
      <c r="AT66" s="37" t="n">
        <f aca="false">Costs!AT66/FX_EUR</f>
        <v>3811.22543093526</v>
      </c>
      <c r="AU66" s="37" t="n">
        <f aca="false">Costs!AU66/FX_EUR</f>
        <v>3811.22543093526</v>
      </c>
      <c r="AV66" s="37" t="n">
        <f aca="false">Costs!AV66/FX_EUR</f>
        <v>3811.22543093526</v>
      </c>
      <c r="AW66" s="37" t="n">
        <f aca="false">Costs!AW66/FX_EUR</f>
        <v>3811.22543093526</v>
      </c>
      <c r="AX66" s="37" t="n">
        <f aca="false">Costs!AX66/FX_EUR</f>
        <v>3811.22543093526</v>
      </c>
      <c r="AY66" s="37" t="n">
        <f aca="false">Costs!AY66/FX_EUR</f>
        <v>3811.22543093526</v>
      </c>
      <c r="AZ66" s="37" t="n">
        <f aca="false">Costs!AZ66/FX_EUR</f>
        <v>3811.22543093526</v>
      </c>
      <c r="BA66" s="37" t="n">
        <f aca="false">Costs!BA66/FX_EUR</f>
        <v>4573.47051712231</v>
      </c>
      <c r="BB66" s="37" t="n">
        <f aca="false">Costs!BB66/FX_EUR</f>
        <v>4573.47051712231</v>
      </c>
      <c r="BC66" s="37" t="n">
        <f aca="false">Costs!BC66/FX_EUR</f>
        <v>4573.47051712231</v>
      </c>
      <c r="BD66" s="37" t="n">
        <f aca="false">Costs!BD66/FX_EUR</f>
        <v>4573.47051712231</v>
      </c>
      <c r="BE66" s="37" t="n">
        <f aca="false">Costs!BE66/FX_EUR</f>
        <v>4573.47051712231</v>
      </c>
      <c r="BF66" s="37" t="n">
        <f aca="false">Costs!BF66/FX_EUR</f>
        <v>4573.47051712231</v>
      </c>
      <c r="BG66" s="37" t="n">
        <f aca="false">Costs!BG66/FX_EUR</f>
        <v>4573.47051712231</v>
      </c>
      <c r="BH66" s="37" t="n">
        <f aca="false">Costs!BH66/FX_EUR</f>
        <v>4573.47051712231</v>
      </c>
      <c r="BI66" s="37" t="n">
        <f aca="false">Costs!BI66/FX_EUR</f>
        <v>4573.47051712231</v>
      </c>
      <c r="BJ66" s="37" t="n">
        <f aca="false">Costs!BJ66/FX_EUR</f>
        <v>4573.47051712231</v>
      </c>
      <c r="BK66" s="37" t="n">
        <f aca="false">Costs!BK66/FX_EUR</f>
        <v>4573.47051712231</v>
      </c>
      <c r="BL66" s="37" t="n">
        <f aca="false">Costs!BL66/FX_EUR</f>
        <v>4573.47051712231</v>
      </c>
    </row>
    <row r="67" customFormat="false" ht="15" hidden="false" customHeight="false" outlineLevel="0" collapsed="false">
      <c r="A67" s="12" t="s">
        <v>466</v>
      </c>
      <c r="B67" s="14" t="s">
        <v>73</v>
      </c>
      <c r="D67" s="55" t="n">
        <f aca="false">Costs!D67/FX_EUR</f>
        <v>160071.468099281</v>
      </c>
      <c r="E67" s="37" t="n">
        <f aca="false">Costs!E67/FX_EUR</f>
        <v>635.20423848921</v>
      </c>
      <c r="F67" s="37" t="n">
        <f aca="false">Costs!F67/FX_EUR</f>
        <v>635.20423848921</v>
      </c>
      <c r="G67" s="37" t="n">
        <f aca="false">Costs!G67/FX_EUR</f>
        <v>635.20423848921</v>
      </c>
      <c r="H67" s="37" t="n">
        <f aca="false">Costs!H67/FX_EUR</f>
        <v>635.20423848921</v>
      </c>
      <c r="I67" s="37" t="n">
        <f aca="false">Costs!I67/FX_EUR</f>
        <v>635.20423848921</v>
      </c>
      <c r="J67" s="37" t="n">
        <f aca="false">Costs!J67/FX_EUR</f>
        <v>635.20423848921</v>
      </c>
      <c r="K67" s="37" t="n">
        <f aca="false">Costs!K67/FX_EUR</f>
        <v>635.20423848921</v>
      </c>
      <c r="L67" s="37" t="n">
        <f aca="false">Costs!L67/FX_EUR</f>
        <v>635.20423848921</v>
      </c>
      <c r="M67" s="37" t="n">
        <f aca="false">Costs!M67/FX_EUR</f>
        <v>635.20423848921</v>
      </c>
      <c r="N67" s="37" t="n">
        <f aca="false">Costs!N67/FX_EUR</f>
        <v>635.20423848921</v>
      </c>
      <c r="O67" s="37" t="n">
        <f aca="false">Costs!O67/FX_EUR</f>
        <v>635.20423848921</v>
      </c>
      <c r="P67" s="37" t="n">
        <f aca="false">Costs!P67/FX_EUR</f>
        <v>635.20423848921</v>
      </c>
      <c r="Q67" s="37" t="n">
        <f aca="false">Costs!Q67/FX_EUR</f>
        <v>1270.40847697842</v>
      </c>
      <c r="R67" s="37" t="n">
        <f aca="false">Costs!R67/FX_EUR</f>
        <v>1270.40847697842</v>
      </c>
      <c r="S67" s="37" t="n">
        <f aca="false">Costs!S67/FX_EUR</f>
        <v>1270.40847697842</v>
      </c>
      <c r="T67" s="37" t="n">
        <f aca="false">Costs!T67/FX_EUR</f>
        <v>1270.40847697842</v>
      </c>
      <c r="U67" s="37" t="n">
        <f aca="false">Costs!U67/FX_EUR</f>
        <v>1270.40847697842</v>
      </c>
      <c r="V67" s="37" t="n">
        <f aca="false">Costs!V67/FX_EUR</f>
        <v>1270.40847697842</v>
      </c>
      <c r="W67" s="37" t="n">
        <f aca="false">Costs!W67/FX_EUR</f>
        <v>1270.40847697842</v>
      </c>
      <c r="X67" s="37" t="n">
        <f aca="false">Costs!X67/FX_EUR</f>
        <v>1270.40847697842</v>
      </c>
      <c r="Y67" s="37" t="n">
        <f aca="false">Costs!Y67/FX_EUR</f>
        <v>1270.40847697842</v>
      </c>
      <c r="Z67" s="37" t="n">
        <f aca="false">Costs!Z67/FX_EUR</f>
        <v>1270.40847697842</v>
      </c>
      <c r="AA67" s="37" t="n">
        <f aca="false">Costs!AA67/FX_EUR</f>
        <v>1270.40847697842</v>
      </c>
      <c r="AB67" s="37" t="n">
        <f aca="false">Costs!AB67/FX_EUR</f>
        <v>1270.40847697842</v>
      </c>
      <c r="AC67" s="37" t="n">
        <f aca="false">Costs!AC67/FX_EUR</f>
        <v>3176.02119244605</v>
      </c>
      <c r="AD67" s="37" t="n">
        <f aca="false">Costs!AD67/FX_EUR</f>
        <v>3176.02119244605</v>
      </c>
      <c r="AE67" s="37" t="n">
        <f aca="false">Costs!AE67/FX_EUR</f>
        <v>3176.02119244605</v>
      </c>
      <c r="AF67" s="37" t="n">
        <f aca="false">Costs!AF67/FX_EUR</f>
        <v>3176.02119244605</v>
      </c>
      <c r="AG67" s="37" t="n">
        <f aca="false">Costs!AG67/FX_EUR</f>
        <v>3176.02119244605</v>
      </c>
      <c r="AH67" s="37" t="n">
        <f aca="false">Costs!AH67/FX_EUR</f>
        <v>3176.02119244605</v>
      </c>
      <c r="AI67" s="37" t="n">
        <f aca="false">Costs!AI67/FX_EUR</f>
        <v>3176.02119244605</v>
      </c>
      <c r="AJ67" s="37" t="n">
        <f aca="false">Costs!AJ67/FX_EUR</f>
        <v>3176.02119244605</v>
      </c>
      <c r="AK67" s="37" t="n">
        <f aca="false">Costs!AK67/FX_EUR</f>
        <v>3176.02119244605</v>
      </c>
      <c r="AL67" s="37" t="n">
        <f aca="false">Costs!AL67/FX_EUR</f>
        <v>3176.02119244605</v>
      </c>
      <c r="AM67" s="37" t="n">
        <f aca="false">Costs!AM67/FX_EUR</f>
        <v>3176.02119244605</v>
      </c>
      <c r="AN67" s="37" t="n">
        <f aca="false">Costs!AN67/FX_EUR</f>
        <v>3176.02119244605</v>
      </c>
      <c r="AO67" s="37" t="n">
        <f aca="false">Costs!AO67/FX_EUR</f>
        <v>3811.22543093526</v>
      </c>
      <c r="AP67" s="37" t="n">
        <f aca="false">Costs!AP67/FX_EUR</f>
        <v>3811.22543093526</v>
      </c>
      <c r="AQ67" s="37" t="n">
        <f aca="false">Costs!AQ67/FX_EUR</f>
        <v>3811.22543093526</v>
      </c>
      <c r="AR67" s="37" t="n">
        <f aca="false">Costs!AR67/FX_EUR</f>
        <v>3811.22543093526</v>
      </c>
      <c r="AS67" s="37" t="n">
        <f aca="false">Costs!AS67/FX_EUR</f>
        <v>3811.22543093526</v>
      </c>
      <c r="AT67" s="37" t="n">
        <f aca="false">Costs!AT67/FX_EUR</f>
        <v>3811.22543093526</v>
      </c>
      <c r="AU67" s="37" t="n">
        <f aca="false">Costs!AU67/FX_EUR</f>
        <v>3811.22543093526</v>
      </c>
      <c r="AV67" s="37" t="n">
        <f aca="false">Costs!AV67/FX_EUR</f>
        <v>3811.22543093526</v>
      </c>
      <c r="AW67" s="37" t="n">
        <f aca="false">Costs!AW67/FX_EUR</f>
        <v>3811.22543093526</v>
      </c>
      <c r="AX67" s="37" t="n">
        <f aca="false">Costs!AX67/FX_EUR</f>
        <v>3811.22543093526</v>
      </c>
      <c r="AY67" s="37" t="n">
        <f aca="false">Costs!AY67/FX_EUR</f>
        <v>3811.22543093526</v>
      </c>
      <c r="AZ67" s="37" t="n">
        <f aca="false">Costs!AZ67/FX_EUR</f>
        <v>3811.22543093526</v>
      </c>
      <c r="BA67" s="37" t="n">
        <f aca="false">Costs!BA67/FX_EUR</f>
        <v>4446.42966942447</v>
      </c>
      <c r="BB67" s="37" t="n">
        <f aca="false">Costs!BB67/FX_EUR</f>
        <v>4446.42966942447</v>
      </c>
      <c r="BC67" s="37" t="n">
        <f aca="false">Costs!BC67/FX_EUR</f>
        <v>4446.42966942447</v>
      </c>
      <c r="BD67" s="37" t="n">
        <f aca="false">Costs!BD67/FX_EUR</f>
        <v>4446.42966942447</v>
      </c>
      <c r="BE67" s="37" t="n">
        <f aca="false">Costs!BE67/FX_EUR</f>
        <v>4446.42966942447</v>
      </c>
      <c r="BF67" s="37" t="n">
        <f aca="false">Costs!BF67/FX_EUR</f>
        <v>4446.42966942447</v>
      </c>
      <c r="BG67" s="37" t="n">
        <f aca="false">Costs!BG67/FX_EUR</f>
        <v>4446.42966942447</v>
      </c>
      <c r="BH67" s="37" t="n">
        <f aca="false">Costs!BH67/FX_EUR</f>
        <v>4446.42966942447</v>
      </c>
      <c r="BI67" s="37" t="n">
        <f aca="false">Costs!BI67/FX_EUR</f>
        <v>4446.42966942447</v>
      </c>
      <c r="BJ67" s="37" t="n">
        <f aca="false">Costs!BJ67/FX_EUR</f>
        <v>4446.42966942447</v>
      </c>
      <c r="BK67" s="37" t="n">
        <f aca="false">Costs!BK67/FX_EUR</f>
        <v>4446.42966942447</v>
      </c>
      <c r="BL67" s="37" t="n">
        <f aca="false">Costs!BL67/FX_EUR</f>
        <v>4446.42966942447</v>
      </c>
    </row>
    <row r="68" customFormat="false" ht="15" hidden="false" customHeight="false" outlineLevel="0" collapsed="false">
      <c r="A68" s="12" t="s">
        <v>630</v>
      </c>
      <c r="B68" s="14" t="s">
        <v>73</v>
      </c>
      <c r="D68" s="55" t="n">
        <f aca="false">Costs!D68/FX_EUR</f>
        <v>65857.9754465613</v>
      </c>
      <c r="E68" s="37" t="n">
        <f aca="false">Costs!E68/FX_EUR</f>
        <v>457.347051712231</v>
      </c>
      <c r="F68" s="37" t="n">
        <f aca="false">Costs!F68/FX_EUR</f>
        <v>457.347051712231</v>
      </c>
      <c r="G68" s="37" t="n">
        <f aca="false">Costs!G68/FX_EUR</f>
        <v>457.347051712231</v>
      </c>
      <c r="H68" s="37" t="n">
        <f aca="false">Costs!H68/FX_EUR</f>
        <v>457.347051712231</v>
      </c>
      <c r="I68" s="37" t="n">
        <f aca="false">Costs!I68/FX_EUR</f>
        <v>457.347051712231</v>
      </c>
      <c r="J68" s="37" t="n">
        <f aca="false">Costs!J68/FX_EUR</f>
        <v>457.347051712231</v>
      </c>
      <c r="K68" s="37" t="n">
        <f aca="false">Costs!K68/FX_EUR</f>
        <v>457.347051712231</v>
      </c>
      <c r="L68" s="37" t="n">
        <f aca="false">Costs!L68/FX_EUR</f>
        <v>457.347051712231</v>
      </c>
      <c r="M68" s="37" t="n">
        <f aca="false">Costs!M68/FX_EUR</f>
        <v>457.347051712231</v>
      </c>
      <c r="N68" s="37" t="n">
        <f aca="false">Costs!N68/FX_EUR</f>
        <v>457.347051712231</v>
      </c>
      <c r="O68" s="37" t="n">
        <f aca="false">Costs!O68/FX_EUR</f>
        <v>457.347051712231</v>
      </c>
      <c r="P68" s="37" t="n">
        <f aca="false">Costs!P68/FX_EUR</f>
        <v>457.347051712231</v>
      </c>
      <c r="Q68" s="37" t="n">
        <f aca="false">Costs!Q68/FX_EUR</f>
        <v>914.694103424462</v>
      </c>
      <c r="R68" s="37" t="n">
        <f aca="false">Costs!R68/FX_EUR</f>
        <v>914.694103424462</v>
      </c>
      <c r="S68" s="37" t="n">
        <f aca="false">Costs!S68/FX_EUR</f>
        <v>914.694103424462</v>
      </c>
      <c r="T68" s="37" t="n">
        <f aca="false">Costs!T68/FX_EUR</f>
        <v>914.694103424462</v>
      </c>
      <c r="U68" s="37" t="n">
        <f aca="false">Costs!U68/FX_EUR</f>
        <v>914.694103424462</v>
      </c>
      <c r="V68" s="37" t="n">
        <f aca="false">Costs!V68/FX_EUR</f>
        <v>914.694103424462</v>
      </c>
      <c r="W68" s="37" t="n">
        <f aca="false">Costs!W68/FX_EUR</f>
        <v>914.694103424462</v>
      </c>
      <c r="X68" s="37" t="n">
        <f aca="false">Costs!X68/FX_EUR</f>
        <v>914.694103424462</v>
      </c>
      <c r="Y68" s="37" t="n">
        <f aca="false">Costs!Y68/FX_EUR</f>
        <v>914.694103424462</v>
      </c>
      <c r="Z68" s="37" t="n">
        <f aca="false">Costs!Z68/FX_EUR</f>
        <v>914.694103424462</v>
      </c>
      <c r="AA68" s="37" t="n">
        <f aca="false">Costs!AA68/FX_EUR</f>
        <v>914.694103424462</v>
      </c>
      <c r="AB68" s="37" t="n">
        <f aca="false">Costs!AB68/FX_EUR</f>
        <v>914.694103424462</v>
      </c>
      <c r="AC68" s="37" t="n">
        <f aca="false">Costs!AC68/FX_EUR</f>
        <v>1219.59213789928</v>
      </c>
      <c r="AD68" s="37" t="n">
        <f aca="false">Costs!AD68/FX_EUR</f>
        <v>1219.59213789928</v>
      </c>
      <c r="AE68" s="37" t="n">
        <f aca="false">Costs!AE68/FX_EUR</f>
        <v>1219.59213789928</v>
      </c>
      <c r="AF68" s="37" t="n">
        <f aca="false">Costs!AF68/FX_EUR</f>
        <v>1219.59213789928</v>
      </c>
      <c r="AG68" s="37" t="n">
        <f aca="false">Costs!AG68/FX_EUR</f>
        <v>1219.59213789928</v>
      </c>
      <c r="AH68" s="37" t="n">
        <f aca="false">Costs!AH68/FX_EUR</f>
        <v>1219.59213789928</v>
      </c>
      <c r="AI68" s="37" t="n">
        <f aca="false">Costs!AI68/FX_EUR</f>
        <v>1219.59213789928</v>
      </c>
      <c r="AJ68" s="37" t="n">
        <f aca="false">Costs!AJ68/FX_EUR</f>
        <v>1219.59213789928</v>
      </c>
      <c r="AK68" s="37" t="n">
        <f aca="false">Costs!AK68/FX_EUR</f>
        <v>1219.59213789928</v>
      </c>
      <c r="AL68" s="37" t="n">
        <f aca="false">Costs!AL68/FX_EUR</f>
        <v>1219.59213789928</v>
      </c>
      <c r="AM68" s="37" t="n">
        <f aca="false">Costs!AM68/FX_EUR</f>
        <v>1219.59213789928</v>
      </c>
      <c r="AN68" s="37" t="n">
        <f aca="false">Costs!AN68/FX_EUR</f>
        <v>1219.59213789928</v>
      </c>
      <c r="AO68" s="37" t="n">
        <f aca="false">Costs!AO68/FX_EUR</f>
        <v>1372.04115513669</v>
      </c>
      <c r="AP68" s="37" t="n">
        <f aca="false">Costs!AP68/FX_EUR</f>
        <v>1372.04115513669</v>
      </c>
      <c r="AQ68" s="37" t="n">
        <f aca="false">Costs!AQ68/FX_EUR</f>
        <v>1372.04115513669</v>
      </c>
      <c r="AR68" s="37" t="n">
        <f aca="false">Costs!AR68/FX_EUR</f>
        <v>1372.04115513669</v>
      </c>
      <c r="AS68" s="37" t="n">
        <f aca="false">Costs!AS68/FX_EUR</f>
        <v>1372.04115513669</v>
      </c>
      <c r="AT68" s="37" t="n">
        <f aca="false">Costs!AT68/FX_EUR</f>
        <v>1372.04115513669</v>
      </c>
      <c r="AU68" s="37" t="n">
        <f aca="false">Costs!AU68/FX_EUR</f>
        <v>1372.04115513669</v>
      </c>
      <c r="AV68" s="37" t="n">
        <f aca="false">Costs!AV68/FX_EUR</f>
        <v>1372.04115513669</v>
      </c>
      <c r="AW68" s="37" t="n">
        <f aca="false">Costs!AW68/FX_EUR</f>
        <v>1372.04115513669</v>
      </c>
      <c r="AX68" s="37" t="n">
        <f aca="false">Costs!AX68/FX_EUR</f>
        <v>1372.04115513669</v>
      </c>
      <c r="AY68" s="37" t="n">
        <f aca="false">Costs!AY68/FX_EUR</f>
        <v>1372.04115513669</v>
      </c>
      <c r="AZ68" s="37" t="n">
        <f aca="false">Costs!AZ68/FX_EUR</f>
        <v>1372.04115513669</v>
      </c>
      <c r="BA68" s="37" t="n">
        <f aca="false">Costs!BA68/FX_EUR</f>
        <v>1524.4901723741</v>
      </c>
      <c r="BB68" s="37" t="n">
        <f aca="false">Costs!BB68/FX_EUR</f>
        <v>1524.4901723741</v>
      </c>
      <c r="BC68" s="37" t="n">
        <f aca="false">Costs!BC68/FX_EUR</f>
        <v>1524.4901723741</v>
      </c>
      <c r="BD68" s="37" t="n">
        <f aca="false">Costs!BD68/FX_EUR</f>
        <v>1524.4901723741</v>
      </c>
      <c r="BE68" s="37" t="n">
        <f aca="false">Costs!BE68/FX_EUR</f>
        <v>1524.4901723741</v>
      </c>
      <c r="BF68" s="37" t="n">
        <f aca="false">Costs!BF68/FX_EUR</f>
        <v>1524.4901723741</v>
      </c>
      <c r="BG68" s="37" t="n">
        <f aca="false">Costs!BG68/FX_EUR</f>
        <v>1524.4901723741</v>
      </c>
      <c r="BH68" s="37" t="n">
        <f aca="false">Costs!BH68/FX_EUR</f>
        <v>1524.4901723741</v>
      </c>
      <c r="BI68" s="37" t="n">
        <f aca="false">Costs!BI68/FX_EUR</f>
        <v>1524.4901723741</v>
      </c>
      <c r="BJ68" s="37" t="n">
        <f aca="false">Costs!BJ68/FX_EUR</f>
        <v>1524.4901723741</v>
      </c>
      <c r="BK68" s="37" t="n">
        <f aca="false">Costs!BK68/FX_EUR</f>
        <v>1524.4901723741</v>
      </c>
      <c r="BL68" s="37" t="n">
        <f aca="false">Costs!BL68/FX_EUR</f>
        <v>1524.4901723741</v>
      </c>
    </row>
    <row r="69" customFormat="false" ht="15" hidden="false" customHeight="false" outlineLevel="0" collapsed="false">
      <c r="A69" s="12" t="s">
        <v>469</v>
      </c>
      <c r="B69" s="14" t="s">
        <v>73</v>
      </c>
      <c r="D69" s="55" t="n">
        <f aca="false">Costs!D69/FX_EUR</f>
        <v>64028.5872397124</v>
      </c>
      <c r="E69" s="37" t="n">
        <f aca="false">Costs!E69/FX_EUR</f>
        <v>0</v>
      </c>
      <c r="F69" s="37" t="n">
        <f aca="false">Costs!F69/FX_EUR</f>
        <v>0</v>
      </c>
      <c r="G69" s="37" t="n">
        <f aca="false">Costs!G69/FX_EUR</f>
        <v>0</v>
      </c>
      <c r="H69" s="37" t="n">
        <f aca="false">Costs!H69/FX_EUR</f>
        <v>0</v>
      </c>
      <c r="I69" s="37" t="n">
        <f aca="false">Costs!I69/FX_EUR</f>
        <v>0</v>
      </c>
      <c r="J69" s="37" t="n">
        <f aca="false">Costs!J69/FX_EUR</f>
        <v>0</v>
      </c>
      <c r="K69" s="37" t="n">
        <f aca="false">Costs!K69/FX_EUR</f>
        <v>0</v>
      </c>
      <c r="L69" s="37" t="n">
        <f aca="false">Costs!L69/FX_EUR</f>
        <v>0</v>
      </c>
      <c r="M69" s="37" t="n">
        <f aca="false">Costs!M69/FX_EUR</f>
        <v>0</v>
      </c>
      <c r="N69" s="37" t="n">
        <f aca="false">Costs!N69/FX_EUR</f>
        <v>0</v>
      </c>
      <c r="O69" s="37" t="n">
        <f aca="false">Costs!O69/FX_EUR</f>
        <v>0</v>
      </c>
      <c r="P69" s="37" t="n">
        <f aca="false">Costs!P69/FX_EUR</f>
        <v>0</v>
      </c>
      <c r="Q69" s="37" t="n">
        <f aca="false">Costs!Q69/FX_EUR</f>
        <v>0</v>
      </c>
      <c r="R69" s="37" t="n">
        <f aca="false">Costs!R69/FX_EUR</f>
        <v>0</v>
      </c>
      <c r="S69" s="37" t="n">
        <f aca="false">Costs!S69/FX_EUR</f>
        <v>0</v>
      </c>
      <c r="T69" s="37" t="n">
        <f aca="false">Costs!T69/FX_EUR</f>
        <v>0</v>
      </c>
      <c r="U69" s="37" t="n">
        <f aca="false">Costs!U69/FX_EUR</f>
        <v>0</v>
      </c>
      <c r="V69" s="37" t="n">
        <f aca="false">Costs!V69/FX_EUR</f>
        <v>0</v>
      </c>
      <c r="W69" s="37" t="n">
        <f aca="false">Costs!W69/FX_EUR</f>
        <v>0</v>
      </c>
      <c r="X69" s="37" t="n">
        <f aca="false">Costs!X69/FX_EUR</f>
        <v>0</v>
      </c>
      <c r="Y69" s="37" t="n">
        <f aca="false">Costs!Y69/FX_EUR</f>
        <v>0</v>
      </c>
      <c r="Z69" s="37" t="n">
        <f aca="false">Costs!Z69/FX_EUR</f>
        <v>0</v>
      </c>
      <c r="AA69" s="37" t="n">
        <f aca="false">Costs!AA69/FX_EUR</f>
        <v>0</v>
      </c>
      <c r="AB69" s="37" t="n">
        <f aca="false">Costs!AB69/FX_EUR</f>
        <v>0</v>
      </c>
      <c r="AC69" s="37" t="n">
        <f aca="false">Costs!AC69/FX_EUR</f>
        <v>1524.4901723741</v>
      </c>
      <c r="AD69" s="37" t="n">
        <f aca="false">Costs!AD69/FX_EUR</f>
        <v>1524.4901723741</v>
      </c>
      <c r="AE69" s="37" t="n">
        <f aca="false">Costs!AE69/FX_EUR</f>
        <v>1524.4901723741</v>
      </c>
      <c r="AF69" s="37" t="n">
        <f aca="false">Costs!AF69/FX_EUR</f>
        <v>1524.4901723741</v>
      </c>
      <c r="AG69" s="37" t="n">
        <f aca="false">Costs!AG69/FX_EUR</f>
        <v>1524.4901723741</v>
      </c>
      <c r="AH69" s="37" t="n">
        <f aca="false">Costs!AH69/FX_EUR</f>
        <v>1524.4901723741</v>
      </c>
      <c r="AI69" s="37" t="n">
        <f aca="false">Costs!AI69/FX_EUR</f>
        <v>1524.4901723741</v>
      </c>
      <c r="AJ69" s="37" t="n">
        <f aca="false">Costs!AJ69/FX_EUR</f>
        <v>1524.4901723741</v>
      </c>
      <c r="AK69" s="37" t="n">
        <f aca="false">Costs!AK69/FX_EUR</f>
        <v>1524.4901723741</v>
      </c>
      <c r="AL69" s="37" t="n">
        <f aca="false">Costs!AL69/FX_EUR</f>
        <v>1524.4901723741</v>
      </c>
      <c r="AM69" s="37" t="n">
        <f aca="false">Costs!AM69/FX_EUR</f>
        <v>1524.4901723741</v>
      </c>
      <c r="AN69" s="37" t="n">
        <f aca="false">Costs!AN69/FX_EUR</f>
        <v>1524.4901723741</v>
      </c>
      <c r="AO69" s="37" t="n">
        <f aca="false">Costs!AO69/FX_EUR</f>
        <v>1778.57186776979</v>
      </c>
      <c r="AP69" s="37" t="n">
        <f aca="false">Costs!AP69/FX_EUR</f>
        <v>1778.57186776979</v>
      </c>
      <c r="AQ69" s="37" t="n">
        <f aca="false">Costs!AQ69/FX_EUR</f>
        <v>1778.57186776979</v>
      </c>
      <c r="AR69" s="37" t="n">
        <f aca="false">Costs!AR69/FX_EUR</f>
        <v>1778.57186776979</v>
      </c>
      <c r="AS69" s="37" t="n">
        <f aca="false">Costs!AS69/FX_EUR</f>
        <v>1778.57186776979</v>
      </c>
      <c r="AT69" s="37" t="n">
        <f aca="false">Costs!AT69/FX_EUR</f>
        <v>1778.57186776979</v>
      </c>
      <c r="AU69" s="37" t="n">
        <f aca="false">Costs!AU69/FX_EUR</f>
        <v>1778.57186776979</v>
      </c>
      <c r="AV69" s="37" t="n">
        <f aca="false">Costs!AV69/FX_EUR</f>
        <v>1778.57186776979</v>
      </c>
      <c r="AW69" s="37" t="n">
        <f aca="false">Costs!AW69/FX_EUR</f>
        <v>1778.57186776979</v>
      </c>
      <c r="AX69" s="37" t="n">
        <f aca="false">Costs!AX69/FX_EUR</f>
        <v>1778.57186776979</v>
      </c>
      <c r="AY69" s="37" t="n">
        <f aca="false">Costs!AY69/FX_EUR</f>
        <v>1778.57186776979</v>
      </c>
      <c r="AZ69" s="37" t="n">
        <f aca="false">Costs!AZ69/FX_EUR</f>
        <v>1778.57186776979</v>
      </c>
      <c r="BA69" s="37" t="n">
        <f aca="false">Costs!BA69/FX_EUR</f>
        <v>2032.65356316547</v>
      </c>
      <c r="BB69" s="37" t="n">
        <f aca="false">Costs!BB69/FX_EUR</f>
        <v>2032.65356316547</v>
      </c>
      <c r="BC69" s="37" t="n">
        <f aca="false">Costs!BC69/FX_EUR</f>
        <v>2032.65356316547</v>
      </c>
      <c r="BD69" s="37" t="n">
        <f aca="false">Costs!BD69/FX_EUR</f>
        <v>2032.65356316547</v>
      </c>
      <c r="BE69" s="37" t="n">
        <f aca="false">Costs!BE69/FX_EUR</f>
        <v>2032.65356316547</v>
      </c>
      <c r="BF69" s="37" t="n">
        <f aca="false">Costs!BF69/FX_EUR</f>
        <v>2032.65356316547</v>
      </c>
      <c r="BG69" s="37" t="n">
        <f aca="false">Costs!BG69/FX_EUR</f>
        <v>2032.65356316547</v>
      </c>
      <c r="BH69" s="37" t="n">
        <f aca="false">Costs!BH69/FX_EUR</f>
        <v>2032.65356316547</v>
      </c>
      <c r="BI69" s="37" t="n">
        <f aca="false">Costs!BI69/FX_EUR</f>
        <v>2032.65356316547</v>
      </c>
      <c r="BJ69" s="37" t="n">
        <f aca="false">Costs!BJ69/FX_EUR</f>
        <v>2032.65356316547</v>
      </c>
      <c r="BK69" s="37" t="n">
        <f aca="false">Costs!BK69/FX_EUR</f>
        <v>2032.65356316547</v>
      </c>
      <c r="BL69" s="37" t="n">
        <f aca="false">Costs!BL69/FX_EUR</f>
        <v>2032.65356316547</v>
      </c>
    </row>
    <row r="70" customFormat="false" ht="15" hidden="false" customHeight="false" outlineLevel="0" collapsed="false">
      <c r="A70" s="12" t="s">
        <v>631</v>
      </c>
      <c r="B70" s="14" t="s">
        <v>73</v>
      </c>
      <c r="D70" s="55" t="n">
        <f aca="false">Costs!D70/FX_EUR</f>
        <v>16769.3918961151</v>
      </c>
      <c r="E70" s="37" t="n">
        <f aca="false">Costs!E70/FX_EUR</f>
        <v>444.642966942447</v>
      </c>
      <c r="F70" s="37" t="n">
        <f aca="false">Costs!F70/FX_EUR</f>
        <v>444.642966942447</v>
      </c>
      <c r="G70" s="37" t="n">
        <f aca="false">Costs!G70/FX_EUR</f>
        <v>444.642966942447</v>
      </c>
      <c r="H70" s="37" t="n">
        <f aca="false">Costs!H70/FX_EUR</f>
        <v>444.642966942447</v>
      </c>
      <c r="I70" s="37" t="n">
        <f aca="false">Costs!I70/FX_EUR</f>
        <v>444.642966942447</v>
      </c>
      <c r="J70" s="37" t="n">
        <f aca="false">Costs!J70/FX_EUR</f>
        <v>444.642966942447</v>
      </c>
      <c r="K70" s="37" t="n">
        <f aca="false">Costs!K70/FX_EUR</f>
        <v>444.642966942447</v>
      </c>
      <c r="L70" s="37" t="n">
        <f aca="false">Costs!L70/FX_EUR</f>
        <v>444.642966942447</v>
      </c>
      <c r="M70" s="37" t="n">
        <f aca="false">Costs!M70/FX_EUR</f>
        <v>444.642966942447</v>
      </c>
      <c r="N70" s="37" t="n">
        <f aca="false">Costs!N70/FX_EUR</f>
        <v>444.642966942447</v>
      </c>
      <c r="O70" s="37" t="n">
        <f aca="false">Costs!O70/FX_EUR</f>
        <v>444.642966942447</v>
      </c>
      <c r="P70" s="37" t="n">
        <f aca="false">Costs!P70/FX_EUR</f>
        <v>444.642966942447</v>
      </c>
      <c r="Q70" s="37" t="n">
        <f aca="false">Costs!Q70/FX_EUR</f>
        <v>381.122543093526</v>
      </c>
      <c r="R70" s="37" t="n">
        <f aca="false">Costs!R70/FX_EUR</f>
        <v>381.122543093526</v>
      </c>
      <c r="S70" s="37" t="n">
        <f aca="false">Costs!S70/FX_EUR</f>
        <v>381.122543093526</v>
      </c>
      <c r="T70" s="37" t="n">
        <f aca="false">Costs!T70/FX_EUR</f>
        <v>381.122543093526</v>
      </c>
      <c r="U70" s="37" t="n">
        <f aca="false">Costs!U70/FX_EUR</f>
        <v>381.122543093526</v>
      </c>
      <c r="V70" s="37" t="n">
        <f aca="false">Costs!V70/FX_EUR</f>
        <v>381.122543093526</v>
      </c>
      <c r="W70" s="37" t="n">
        <f aca="false">Costs!W70/FX_EUR</f>
        <v>381.122543093526</v>
      </c>
      <c r="X70" s="37" t="n">
        <f aca="false">Costs!X70/FX_EUR</f>
        <v>381.122543093526</v>
      </c>
      <c r="Y70" s="37" t="n">
        <f aca="false">Costs!Y70/FX_EUR</f>
        <v>381.122543093526</v>
      </c>
      <c r="Z70" s="37" t="n">
        <f aca="false">Costs!Z70/FX_EUR</f>
        <v>381.122543093526</v>
      </c>
      <c r="AA70" s="37" t="n">
        <f aca="false">Costs!AA70/FX_EUR</f>
        <v>381.122543093526</v>
      </c>
      <c r="AB70" s="37" t="n">
        <f aca="false">Costs!AB70/FX_EUR</f>
        <v>381.122543093526</v>
      </c>
      <c r="AC70" s="37" t="n">
        <f aca="false">Costs!AC70/FX_EUR</f>
        <v>190.561271546763</v>
      </c>
      <c r="AD70" s="37" t="n">
        <f aca="false">Costs!AD70/FX_EUR</f>
        <v>190.561271546763</v>
      </c>
      <c r="AE70" s="37" t="n">
        <f aca="false">Costs!AE70/FX_EUR</f>
        <v>190.561271546763</v>
      </c>
      <c r="AF70" s="37" t="n">
        <f aca="false">Costs!AF70/FX_EUR</f>
        <v>190.561271546763</v>
      </c>
      <c r="AG70" s="37" t="n">
        <f aca="false">Costs!AG70/FX_EUR</f>
        <v>190.561271546763</v>
      </c>
      <c r="AH70" s="37" t="n">
        <f aca="false">Costs!AH70/FX_EUR</f>
        <v>190.561271546763</v>
      </c>
      <c r="AI70" s="37" t="n">
        <f aca="false">Costs!AI70/FX_EUR</f>
        <v>190.561271546763</v>
      </c>
      <c r="AJ70" s="37" t="n">
        <f aca="false">Costs!AJ70/FX_EUR</f>
        <v>190.561271546763</v>
      </c>
      <c r="AK70" s="37" t="n">
        <f aca="false">Costs!AK70/FX_EUR</f>
        <v>190.561271546763</v>
      </c>
      <c r="AL70" s="37" t="n">
        <f aca="false">Costs!AL70/FX_EUR</f>
        <v>190.561271546763</v>
      </c>
      <c r="AM70" s="37" t="n">
        <f aca="false">Costs!AM70/FX_EUR</f>
        <v>190.561271546763</v>
      </c>
      <c r="AN70" s="37" t="n">
        <f aca="false">Costs!AN70/FX_EUR</f>
        <v>190.561271546763</v>
      </c>
      <c r="AO70" s="37" t="n">
        <f aca="false">Costs!AO70/FX_EUR</f>
        <v>190.561271546763</v>
      </c>
      <c r="AP70" s="37" t="n">
        <f aca="false">Costs!AP70/FX_EUR</f>
        <v>190.561271546763</v>
      </c>
      <c r="AQ70" s="37" t="n">
        <f aca="false">Costs!AQ70/FX_EUR</f>
        <v>190.561271546763</v>
      </c>
      <c r="AR70" s="37" t="n">
        <f aca="false">Costs!AR70/FX_EUR</f>
        <v>190.561271546763</v>
      </c>
      <c r="AS70" s="37" t="n">
        <f aca="false">Costs!AS70/FX_EUR</f>
        <v>190.561271546763</v>
      </c>
      <c r="AT70" s="37" t="n">
        <f aca="false">Costs!AT70/FX_EUR</f>
        <v>190.561271546763</v>
      </c>
      <c r="AU70" s="37" t="n">
        <f aca="false">Costs!AU70/FX_EUR</f>
        <v>190.561271546763</v>
      </c>
      <c r="AV70" s="37" t="n">
        <f aca="false">Costs!AV70/FX_EUR</f>
        <v>190.561271546763</v>
      </c>
      <c r="AW70" s="37" t="n">
        <f aca="false">Costs!AW70/FX_EUR</f>
        <v>190.561271546763</v>
      </c>
      <c r="AX70" s="37" t="n">
        <f aca="false">Costs!AX70/FX_EUR</f>
        <v>190.561271546763</v>
      </c>
      <c r="AY70" s="37" t="n">
        <f aca="false">Costs!AY70/FX_EUR</f>
        <v>190.561271546763</v>
      </c>
      <c r="AZ70" s="37" t="n">
        <f aca="false">Costs!AZ70/FX_EUR</f>
        <v>190.561271546763</v>
      </c>
      <c r="BA70" s="37" t="n">
        <f aca="false">Costs!BA70/FX_EUR</f>
        <v>190.561271546763</v>
      </c>
      <c r="BB70" s="37" t="n">
        <f aca="false">Costs!BB70/FX_EUR</f>
        <v>190.561271546763</v>
      </c>
      <c r="BC70" s="37" t="n">
        <f aca="false">Costs!BC70/FX_EUR</f>
        <v>190.561271546763</v>
      </c>
      <c r="BD70" s="37" t="n">
        <f aca="false">Costs!BD70/FX_EUR</f>
        <v>190.561271546763</v>
      </c>
      <c r="BE70" s="37" t="n">
        <f aca="false">Costs!BE70/FX_EUR</f>
        <v>190.561271546763</v>
      </c>
      <c r="BF70" s="37" t="n">
        <f aca="false">Costs!BF70/FX_EUR</f>
        <v>190.561271546763</v>
      </c>
      <c r="BG70" s="37" t="n">
        <f aca="false">Costs!BG70/FX_EUR</f>
        <v>190.561271546763</v>
      </c>
      <c r="BH70" s="37" t="n">
        <f aca="false">Costs!BH70/FX_EUR</f>
        <v>190.561271546763</v>
      </c>
      <c r="BI70" s="37" t="n">
        <f aca="false">Costs!BI70/FX_EUR</f>
        <v>190.561271546763</v>
      </c>
      <c r="BJ70" s="37" t="n">
        <f aca="false">Costs!BJ70/FX_EUR</f>
        <v>190.561271546763</v>
      </c>
      <c r="BK70" s="37" t="n">
        <f aca="false">Costs!BK70/FX_EUR</f>
        <v>190.561271546763</v>
      </c>
      <c r="BL70" s="37" t="n">
        <f aca="false">Costs!BL70/FX_EUR</f>
        <v>190.561271546763</v>
      </c>
    </row>
    <row r="71" customFormat="false" ht="15" hidden="false" customHeight="false" outlineLevel="0" collapsed="false">
      <c r="A71" s="12" t="s">
        <v>632</v>
      </c>
      <c r="B71" s="14" t="s">
        <v>73</v>
      </c>
      <c r="D71" s="55" t="n">
        <f aca="false">Costs!D71/FX_EUR</f>
        <v>159156.773995856</v>
      </c>
      <c r="E71" s="37" t="n">
        <f aca="false">Costs!E71/FX_EUR</f>
        <v>1473.67383329497</v>
      </c>
      <c r="F71" s="37" t="n">
        <f aca="false">Costs!F71/FX_EUR</f>
        <v>1473.67383329497</v>
      </c>
      <c r="G71" s="37" t="n">
        <f aca="false">Costs!G71/FX_EUR</f>
        <v>1473.67383329497</v>
      </c>
      <c r="H71" s="37" t="n">
        <f aca="false">Costs!H71/FX_EUR</f>
        <v>1473.67383329497</v>
      </c>
      <c r="I71" s="37" t="n">
        <f aca="false">Costs!I71/FX_EUR</f>
        <v>1473.67383329497</v>
      </c>
      <c r="J71" s="37" t="n">
        <f aca="false">Costs!J71/FX_EUR</f>
        <v>1473.67383329497</v>
      </c>
      <c r="K71" s="37" t="n">
        <f aca="false">Costs!K71/FX_EUR</f>
        <v>1473.67383329497</v>
      </c>
      <c r="L71" s="37" t="n">
        <f aca="false">Costs!L71/FX_EUR</f>
        <v>1473.67383329497</v>
      </c>
      <c r="M71" s="37" t="n">
        <f aca="false">Costs!M71/FX_EUR</f>
        <v>1473.67383329497</v>
      </c>
      <c r="N71" s="37" t="n">
        <f aca="false">Costs!N71/FX_EUR</f>
        <v>1473.67383329497</v>
      </c>
      <c r="O71" s="37" t="n">
        <f aca="false">Costs!O71/FX_EUR</f>
        <v>1473.67383329497</v>
      </c>
      <c r="P71" s="37" t="n">
        <f aca="false">Costs!P71/FX_EUR</f>
        <v>1473.67383329497</v>
      </c>
      <c r="Q71" s="37" t="n">
        <f aca="false">Costs!Q71/FX_EUR</f>
        <v>1842.09229161871</v>
      </c>
      <c r="R71" s="37" t="n">
        <f aca="false">Costs!R71/FX_EUR</f>
        <v>1842.09229161871</v>
      </c>
      <c r="S71" s="37" t="n">
        <f aca="false">Costs!S71/FX_EUR</f>
        <v>1842.09229161871</v>
      </c>
      <c r="T71" s="37" t="n">
        <f aca="false">Costs!T71/FX_EUR</f>
        <v>1842.09229161871</v>
      </c>
      <c r="U71" s="37" t="n">
        <f aca="false">Costs!U71/FX_EUR</f>
        <v>1842.09229161871</v>
      </c>
      <c r="V71" s="37" t="n">
        <f aca="false">Costs!V71/FX_EUR</f>
        <v>1842.09229161871</v>
      </c>
      <c r="W71" s="37" t="n">
        <f aca="false">Costs!W71/FX_EUR</f>
        <v>1842.09229161871</v>
      </c>
      <c r="X71" s="37" t="n">
        <f aca="false">Costs!X71/FX_EUR</f>
        <v>1842.09229161871</v>
      </c>
      <c r="Y71" s="37" t="n">
        <f aca="false">Costs!Y71/FX_EUR</f>
        <v>1842.09229161871</v>
      </c>
      <c r="Z71" s="37" t="n">
        <f aca="false">Costs!Z71/FX_EUR</f>
        <v>1842.09229161871</v>
      </c>
      <c r="AA71" s="37" t="n">
        <f aca="false">Costs!AA71/FX_EUR</f>
        <v>1842.09229161871</v>
      </c>
      <c r="AB71" s="37" t="n">
        <f aca="false">Costs!AB71/FX_EUR</f>
        <v>1842.09229161871</v>
      </c>
      <c r="AC71" s="37" t="n">
        <f aca="false">Costs!AC71/FX_EUR</f>
        <v>2578.92920826619</v>
      </c>
      <c r="AD71" s="37" t="n">
        <f aca="false">Costs!AD71/FX_EUR</f>
        <v>2578.92920826619</v>
      </c>
      <c r="AE71" s="37" t="n">
        <f aca="false">Costs!AE71/FX_EUR</f>
        <v>2578.92920826619</v>
      </c>
      <c r="AF71" s="37" t="n">
        <f aca="false">Costs!AF71/FX_EUR</f>
        <v>2578.92920826619</v>
      </c>
      <c r="AG71" s="37" t="n">
        <f aca="false">Costs!AG71/FX_EUR</f>
        <v>2578.92920826619</v>
      </c>
      <c r="AH71" s="37" t="n">
        <f aca="false">Costs!AH71/FX_EUR</f>
        <v>2578.92920826619</v>
      </c>
      <c r="AI71" s="37" t="n">
        <f aca="false">Costs!AI71/FX_EUR</f>
        <v>2578.92920826619</v>
      </c>
      <c r="AJ71" s="37" t="n">
        <f aca="false">Costs!AJ71/FX_EUR</f>
        <v>2578.92920826619</v>
      </c>
      <c r="AK71" s="37" t="n">
        <f aca="false">Costs!AK71/FX_EUR</f>
        <v>2578.92920826619</v>
      </c>
      <c r="AL71" s="37" t="n">
        <f aca="false">Costs!AL71/FX_EUR</f>
        <v>2578.92920826619</v>
      </c>
      <c r="AM71" s="37" t="n">
        <f aca="false">Costs!AM71/FX_EUR</f>
        <v>2578.92920826619</v>
      </c>
      <c r="AN71" s="37" t="n">
        <f aca="false">Costs!AN71/FX_EUR</f>
        <v>2578.92920826619</v>
      </c>
      <c r="AO71" s="37" t="n">
        <f aca="false">Costs!AO71/FX_EUR</f>
        <v>3315.76612491368</v>
      </c>
      <c r="AP71" s="37" t="n">
        <f aca="false">Costs!AP71/FX_EUR</f>
        <v>3315.76612491368</v>
      </c>
      <c r="AQ71" s="37" t="n">
        <f aca="false">Costs!AQ71/FX_EUR</f>
        <v>3315.76612491368</v>
      </c>
      <c r="AR71" s="37" t="n">
        <f aca="false">Costs!AR71/FX_EUR</f>
        <v>3315.76612491368</v>
      </c>
      <c r="AS71" s="37" t="n">
        <f aca="false">Costs!AS71/FX_EUR</f>
        <v>3315.76612491368</v>
      </c>
      <c r="AT71" s="37" t="n">
        <f aca="false">Costs!AT71/FX_EUR</f>
        <v>3315.76612491368</v>
      </c>
      <c r="AU71" s="37" t="n">
        <f aca="false">Costs!AU71/FX_EUR</f>
        <v>3315.76612491368</v>
      </c>
      <c r="AV71" s="37" t="n">
        <f aca="false">Costs!AV71/FX_EUR</f>
        <v>3315.76612491368</v>
      </c>
      <c r="AW71" s="37" t="n">
        <f aca="false">Costs!AW71/FX_EUR</f>
        <v>3315.76612491368</v>
      </c>
      <c r="AX71" s="37" t="n">
        <f aca="false">Costs!AX71/FX_EUR</f>
        <v>3315.76612491368</v>
      </c>
      <c r="AY71" s="37" t="n">
        <f aca="false">Costs!AY71/FX_EUR</f>
        <v>3315.76612491368</v>
      </c>
      <c r="AZ71" s="37" t="n">
        <f aca="false">Costs!AZ71/FX_EUR</f>
        <v>3315.76612491368</v>
      </c>
      <c r="BA71" s="37" t="n">
        <f aca="false">Costs!BA71/FX_EUR</f>
        <v>4052.60304156116</v>
      </c>
      <c r="BB71" s="37" t="n">
        <f aca="false">Costs!BB71/FX_EUR</f>
        <v>4052.60304156116</v>
      </c>
      <c r="BC71" s="37" t="n">
        <f aca="false">Costs!BC71/FX_EUR</f>
        <v>4052.60304156116</v>
      </c>
      <c r="BD71" s="37" t="n">
        <f aca="false">Costs!BD71/FX_EUR</f>
        <v>4052.60304156116</v>
      </c>
      <c r="BE71" s="37" t="n">
        <f aca="false">Costs!BE71/FX_EUR</f>
        <v>4052.60304156116</v>
      </c>
      <c r="BF71" s="37" t="n">
        <f aca="false">Costs!BF71/FX_EUR</f>
        <v>4052.60304156116</v>
      </c>
      <c r="BG71" s="37" t="n">
        <f aca="false">Costs!BG71/FX_EUR</f>
        <v>4052.60304156116</v>
      </c>
      <c r="BH71" s="37" t="n">
        <f aca="false">Costs!BH71/FX_EUR</f>
        <v>4052.60304156116</v>
      </c>
      <c r="BI71" s="37" t="n">
        <f aca="false">Costs!BI71/FX_EUR</f>
        <v>4052.60304156116</v>
      </c>
      <c r="BJ71" s="37" t="n">
        <f aca="false">Costs!BJ71/FX_EUR</f>
        <v>4052.60304156116</v>
      </c>
      <c r="BK71" s="37" t="n">
        <f aca="false">Costs!BK71/FX_EUR</f>
        <v>4052.60304156116</v>
      </c>
      <c r="BL71" s="37" t="n">
        <f aca="false">Costs!BL71/FX_EUR</f>
        <v>4052.60304156116</v>
      </c>
    </row>
    <row r="72" customFormat="false" ht="15" hidden="false" customHeight="false" outlineLevel="0" collapsed="false">
      <c r="A72" s="8" t="s">
        <v>840</v>
      </c>
      <c r="B72" s="14" t="s">
        <v>73</v>
      </c>
      <c r="D72" s="55" t="n">
        <f aca="false">Costs!D72/FX_EUR</f>
        <v>957532.277268175</v>
      </c>
      <c r="E72" s="16" t="n">
        <f aca="false">Costs!E72/FX_EUR</f>
        <v>8346.58369374822</v>
      </c>
      <c r="F72" s="16" t="n">
        <f aca="false">Costs!F72/FX_EUR</f>
        <v>4535.35826281296</v>
      </c>
      <c r="G72" s="16" t="n">
        <f aca="false">Costs!G72/FX_EUR</f>
        <v>4535.35826281296</v>
      </c>
      <c r="H72" s="16" t="n">
        <f aca="false">Costs!H72/FX_EUR</f>
        <v>4535.35826281296</v>
      </c>
      <c r="I72" s="16" t="n">
        <f aca="false">Costs!I72/FX_EUR</f>
        <v>4535.35826281296</v>
      </c>
      <c r="J72" s="16" t="n">
        <f aca="false">Costs!J72/FX_EUR</f>
        <v>4535.35826281296</v>
      </c>
      <c r="K72" s="16" t="n">
        <f aca="false">Costs!K72/FX_EUR</f>
        <v>4535.35826281296</v>
      </c>
      <c r="L72" s="16" t="n">
        <f aca="false">Costs!L72/FX_EUR</f>
        <v>4535.35826281296</v>
      </c>
      <c r="M72" s="16" t="n">
        <f aca="false">Costs!M72/FX_EUR</f>
        <v>4535.35826281296</v>
      </c>
      <c r="N72" s="16" t="n">
        <f aca="false">Costs!N72/FX_EUR</f>
        <v>4535.35826281296</v>
      </c>
      <c r="O72" s="16" t="n">
        <f aca="false">Costs!O72/FX_EUR</f>
        <v>4535.35826281296</v>
      </c>
      <c r="P72" s="16" t="n">
        <f aca="false">Costs!P72/FX_EUR</f>
        <v>4535.35826281296</v>
      </c>
      <c r="Q72" s="16" t="n">
        <f aca="false">Costs!Q72/FX_EUR</f>
        <v>11776.68658159</v>
      </c>
      <c r="R72" s="16" t="n">
        <f aca="false">Costs!R72/FX_EUR</f>
        <v>11776.68658159</v>
      </c>
      <c r="S72" s="16" t="n">
        <f aca="false">Costs!S72/FX_EUR</f>
        <v>11776.68658159</v>
      </c>
      <c r="T72" s="16" t="n">
        <f aca="false">Costs!T72/FX_EUR</f>
        <v>16350.1570987123</v>
      </c>
      <c r="U72" s="16" t="n">
        <f aca="false">Costs!U72/FX_EUR</f>
        <v>11776.68658159</v>
      </c>
      <c r="V72" s="16" t="n">
        <f aca="false">Costs!V72/FX_EUR</f>
        <v>11776.68658159</v>
      </c>
      <c r="W72" s="16" t="n">
        <f aca="false">Costs!W72/FX_EUR</f>
        <v>11776.68658159</v>
      </c>
      <c r="X72" s="16" t="n">
        <f aca="false">Costs!X72/FX_EUR</f>
        <v>11776.68658159</v>
      </c>
      <c r="Y72" s="16" t="n">
        <f aca="false">Costs!Y72/FX_EUR</f>
        <v>11776.68658159</v>
      </c>
      <c r="Z72" s="16" t="n">
        <f aca="false">Costs!Z72/FX_EUR</f>
        <v>11776.68658159</v>
      </c>
      <c r="AA72" s="16" t="n">
        <f aca="false">Costs!AA72/FX_EUR</f>
        <v>11776.68658159</v>
      </c>
      <c r="AB72" s="16" t="n">
        <f aca="false">Costs!AB72/FX_EUR</f>
        <v>16350.1570987123</v>
      </c>
      <c r="AC72" s="16" t="n">
        <f aca="false">Costs!AC72/FX_EUR</f>
        <v>18344.6984075684</v>
      </c>
      <c r="AD72" s="16" t="n">
        <f aca="false">Costs!AD72/FX_EUR</f>
        <v>18344.6984075684</v>
      </c>
      <c r="AE72" s="16" t="n">
        <f aca="false">Costs!AE72/FX_EUR</f>
        <v>18344.6984075684</v>
      </c>
      <c r="AF72" s="16" t="n">
        <f aca="false">Costs!AF72/FX_EUR</f>
        <v>18344.6984075684</v>
      </c>
      <c r="AG72" s="16" t="n">
        <f aca="false">Costs!AG72/FX_EUR</f>
        <v>18344.6984075684</v>
      </c>
      <c r="AH72" s="16" t="n">
        <f aca="false">Costs!AH72/FX_EUR</f>
        <v>18344.6984075684</v>
      </c>
      <c r="AI72" s="16" t="n">
        <f aca="false">Costs!AI72/FX_EUR</f>
        <v>18344.6984075684</v>
      </c>
      <c r="AJ72" s="16" t="n">
        <f aca="false">Costs!AJ72/FX_EUR</f>
        <v>18344.6984075684</v>
      </c>
      <c r="AK72" s="16" t="n">
        <f aca="false">Costs!AK72/FX_EUR</f>
        <v>18344.6984075684</v>
      </c>
      <c r="AL72" s="16" t="n">
        <f aca="false">Costs!AL72/FX_EUR</f>
        <v>18344.6984075684</v>
      </c>
      <c r="AM72" s="16" t="n">
        <f aca="false">Costs!AM72/FX_EUR</f>
        <v>18344.6984075684</v>
      </c>
      <c r="AN72" s="16" t="n">
        <f aca="false">Costs!AN72/FX_EUR</f>
        <v>18344.6984075684</v>
      </c>
      <c r="AO72" s="16" t="n">
        <f aca="false">Costs!AO72/FX_EUR</f>
        <v>20377.3519707339</v>
      </c>
      <c r="AP72" s="16" t="n">
        <f aca="false">Costs!AP72/FX_EUR</f>
        <v>20377.3519707339</v>
      </c>
      <c r="AQ72" s="16" t="n">
        <f aca="false">Costs!AQ72/FX_EUR</f>
        <v>20377.3519707339</v>
      </c>
      <c r="AR72" s="16" t="n">
        <f aca="false">Costs!AR72/FX_EUR</f>
        <v>20377.3519707339</v>
      </c>
      <c r="AS72" s="16" t="n">
        <f aca="false">Costs!AS72/FX_EUR</f>
        <v>20377.3519707339</v>
      </c>
      <c r="AT72" s="16" t="n">
        <f aca="false">Costs!AT72/FX_EUR</f>
        <v>20377.3519707339</v>
      </c>
      <c r="AU72" s="16" t="n">
        <f aca="false">Costs!AU72/FX_EUR</f>
        <v>20377.3519707339</v>
      </c>
      <c r="AV72" s="16" t="n">
        <f aca="false">Costs!AV72/FX_EUR</f>
        <v>20377.3519707339</v>
      </c>
      <c r="AW72" s="16" t="n">
        <f aca="false">Costs!AW72/FX_EUR</f>
        <v>20377.3519707339</v>
      </c>
      <c r="AX72" s="16" t="n">
        <f aca="false">Costs!AX72/FX_EUR</f>
        <v>20377.3519707339</v>
      </c>
      <c r="AY72" s="16" t="n">
        <f aca="false">Costs!AY72/FX_EUR</f>
        <v>20377.3519707339</v>
      </c>
      <c r="AZ72" s="16" t="n">
        <f aca="false">Costs!AZ72/FX_EUR</f>
        <v>20377.3519707339</v>
      </c>
      <c r="BA72" s="16" t="n">
        <f aca="false">Costs!BA72/FX_EUR</f>
        <v>23680.4140108777</v>
      </c>
      <c r="BB72" s="16" t="n">
        <f aca="false">Costs!BB72/FX_EUR</f>
        <v>23680.4140108777</v>
      </c>
      <c r="BC72" s="16" t="n">
        <f aca="false">Costs!BC72/FX_EUR</f>
        <v>23680.4140108777</v>
      </c>
      <c r="BD72" s="16" t="n">
        <f aca="false">Costs!BD72/FX_EUR</f>
        <v>23680.4140108777</v>
      </c>
      <c r="BE72" s="16" t="n">
        <f aca="false">Costs!BE72/FX_EUR</f>
        <v>23680.4140108777</v>
      </c>
      <c r="BF72" s="16" t="n">
        <f aca="false">Costs!BF72/FX_EUR</f>
        <v>23680.4140108777</v>
      </c>
      <c r="BG72" s="16" t="n">
        <f aca="false">Costs!BG72/FX_EUR</f>
        <v>23680.4140108777</v>
      </c>
      <c r="BH72" s="16" t="n">
        <f aca="false">Costs!BH72/FX_EUR</f>
        <v>23680.4140108777</v>
      </c>
      <c r="BI72" s="16" t="n">
        <f aca="false">Costs!BI72/FX_EUR</f>
        <v>23680.4140108777</v>
      </c>
      <c r="BJ72" s="16" t="n">
        <f aca="false">Costs!BJ72/FX_EUR</f>
        <v>23680.4140108777</v>
      </c>
      <c r="BK72" s="16" t="n">
        <f aca="false">Costs!BK72/FX_EUR</f>
        <v>23680.4140108777</v>
      </c>
      <c r="BL72" s="16" t="n">
        <f aca="false">Costs!BL72/FX_EUR</f>
        <v>23680.4140108777</v>
      </c>
    </row>
    <row r="74" customFormat="false" ht="15" hidden="false" customHeight="false" outlineLevel="0" collapsed="false">
      <c r="A74" s="10" t="s">
        <v>473</v>
      </c>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c r="BC74" s="11"/>
      <c r="BD74" s="11"/>
      <c r="BE74" s="11"/>
      <c r="BF74" s="11"/>
      <c r="BG74" s="11"/>
      <c r="BH74" s="11"/>
      <c r="BI74" s="11"/>
      <c r="BJ74" s="11"/>
      <c r="BK74" s="11"/>
      <c r="BL74" s="11"/>
    </row>
    <row r="75" customFormat="false" ht="15" hidden="false" customHeight="false" outlineLevel="0" collapsed="false">
      <c r="A75" s="12" t="s">
        <v>741</v>
      </c>
      <c r="B75" s="14" t="s">
        <v>73</v>
      </c>
      <c r="D75" s="55" t="n">
        <f aca="false">Costs!D75/FX_EUR</f>
        <v>507990.615238499</v>
      </c>
      <c r="E75" s="37" t="n">
        <f aca="false">Costs!E75/FX_EUR</f>
        <v>0</v>
      </c>
      <c r="F75" s="37" t="n">
        <f aca="false">Costs!F75/FX_EUR</f>
        <v>0</v>
      </c>
      <c r="G75" s="37" t="n">
        <f aca="false">Costs!G75/FX_EUR</f>
        <v>0</v>
      </c>
      <c r="H75" s="37" t="n">
        <f aca="false">Costs!H75/FX_EUR</f>
        <v>0</v>
      </c>
      <c r="I75" s="37" t="n">
        <f aca="false">Costs!I75/FX_EUR</f>
        <v>1997.08212581008</v>
      </c>
      <c r="J75" s="37" t="n">
        <f aca="false">Costs!J75/FX_EUR</f>
        <v>1997.08212581008</v>
      </c>
      <c r="K75" s="37" t="n">
        <f aca="false">Costs!K75/FX_EUR</f>
        <v>1997.08212581008</v>
      </c>
      <c r="L75" s="37" t="n">
        <f aca="false">Costs!L75/FX_EUR</f>
        <v>1997.08212581008</v>
      </c>
      <c r="M75" s="37" t="n">
        <f aca="false">Costs!M75/FX_EUR</f>
        <v>1997.08212581008</v>
      </c>
      <c r="N75" s="37" t="n">
        <f aca="false">Costs!N75/FX_EUR</f>
        <v>1997.08212581008</v>
      </c>
      <c r="O75" s="37" t="n">
        <f aca="false">Costs!O75/FX_EUR</f>
        <v>1997.08212581008</v>
      </c>
      <c r="P75" s="37" t="n">
        <f aca="false">Costs!P75/FX_EUR</f>
        <v>1997.08212581008</v>
      </c>
      <c r="Q75" s="37" t="n">
        <f aca="false">Costs!Q75/FX_EUR</f>
        <v>3994.16425162015</v>
      </c>
      <c r="R75" s="37" t="n">
        <f aca="false">Costs!R75/FX_EUR</f>
        <v>3994.16425162015</v>
      </c>
      <c r="S75" s="37" t="n">
        <f aca="false">Costs!S75/FX_EUR</f>
        <v>3994.16425162015</v>
      </c>
      <c r="T75" s="37" t="n">
        <f aca="false">Costs!T75/FX_EUR</f>
        <v>3994.16425162015</v>
      </c>
      <c r="U75" s="37" t="n">
        <f aca="false">Costs!U75/FX_EUR</f>
        <v>3994.16425162015</v>
      </c>
      <c r="V75" s="37" t="n">
        <f aca="false">Costs!V75/FX_EUR</f>
        <v>3994.16425162015</v>
      </c>
      <c r="W75" s="37" t="n">
        <f aca="false">Costs!W75/FX_EUR</f>
        <v>5991.24637743023</v>
      </c>
      <c r="X75" s="37" t="n">
        <f aca="false">Costs!X75/FX_EUR</f>
        <v>5991.24637743023</v>
      </c>
      <c r="Y75" s="37" t="n">
        <f aca="false">Costs!Y75/FX_EUR</f>
        <v>5991.24637743023</v>
      </c>
      <c r="Z75" s="37" t="n">
        <f aca="false">Costs!Z75/FX_EUR</f>
        <v>5991.24637743023</v>
      </c>
      <c r="AA75" s="37" t="n">
        <f aca="false">Costs!AA75/FX_EUR</f>
        <v>5991.24637743023</v>
      </c>
      <c r="AB75" s="37" t="n">
        <f aca="false">Costs!AB75/FX_EUR</f>
        <v>5991.24637743023</v>
      </c>
      <c r="AC75" s="37" t="n">
        <f aca="false">Costs!AC75/FX_EUR</f>
        <v>10000.6555307741</v>
      </c>
      <c r="AD75" s="37" t="n">
        <f aca="false">Costs!AD75/FX_EUR</f>
        <v>10000.6555307741</v>
      </c>
      <c r="AE75" s="37" t="n">
        <f aca="false">Costs!AE75/FX_EUR</f>
        <v>10000.6555307741</v>
      </c>
      <c r="AF75" s="37" t="n">
        <f aca="false">Costs!AF75/FX_EUR</f>
        <v>10000.6555307741</v>
      </c>
      <c r="AG75" s="37" t="n">
        <f aca="false">Costs!AG75/FX_EUR</f>
        <v>10000.6555307741</v>
      </c>
      <c r="AH75" s="37" t="n">
        <f aca="false">Costs!AH75/FX_EUR</f>
        <v>10000.6555307741</v>
      </c>
      <c r="AI75" s="37" t="n">
        <f aca="false">Costs!AI75/FX_EUR</f>
        <v>10000.6555307741</v>
      </c>
      <c r="AJ75" s="37" t="n">
        <f aca="false">Costs!AJ75/FX_EUR</f>
        <v>10000.6555307741</v>
      </c>
      <c r="AK75" s="37" t="n">
        <f aca="false">Costs!AK75/FX_EUR</f>
        <v>10000.6555307741</v>
      </c>
      <c r="AL75" s="37" t="n">
        <f aca="false">Costs!AL75/FX_EUR</f>
        <v>10000.6555307741</v>
      </c>
      <c r="AM75" s="37" t="n">
        <f aca="false">Costs!AM75/FX_EUR</f>
        <v>10000.6555307741</v>
      </c>
      <c r="AN75" s="37" t="n">
        <f aca="false">Costs!AN75/FX_EUR</f>
        <v>10000.6555307741</v>
      </c>
      <c r="AO75" s="37" t="n">
        <f aca="false">Costs!AO75/FX_EUR</f>
        <v>11997.7376565842</v>
      </c>
      <c r="AP75" s="37" t="n">
        <f aca="false">Costs!AP75/FX_EUR</f>
        <v>11997.7376565842</v>
      </c>
      <c r="AQ75" s="37" t="n">
        <f aca="false">Costs!AQ75/FX_EUR</f>
        <v>11997.7376565842</v>
      </c>
      <c r="AR75" s="37" t="n">
        <f aca="false">Costs!AR75/FX_EUR</f>
        <v>11997.7376565842</v>
      </c>
      <c r="AS75" s="37" t="n">
        <f aca="false">Costs!AS75/FX_EUR</f>
        <v>11997.7376565842</v>
      </c>
      <c r="AT75" s="37" t="n">
        <f aca="false">Costs!AT75/FX_EUR</f>
        <v>11997.7376565842</v>
      </c>
      <c r="AU75" s="37" t="n">
        <f aca="false">Costs!AU75/FX_EUR</f>
        <v>11997.7376565842</v>
      </c>
      <c r="AV75" s="37" t="n">
        <f aca="false">Costs!AV75/FX_EUR</f>
        <v>11997.7376565842</v>
      </c>
      <c r="AW75" s="37" t="n">
        <f aca="false">Costs!AW75/FX_EUR</f>
        <v>11997.7376565842</v>
      </c>
      <c r="AX75" s="37" t="n">
        <f aca="false">Costs!AX75/FX_EUR</f>
        <v>11997.7376565842</v>
      </c>
      <c r="AY75" s="37" t="n">
        <f aca="false">Costs!AY75/FX_EUR</f>
        <v>11997.7376565842</v>
      </c>
      <c r="AZ75" s="37" t="n">
        <f aca="false">Costs!AZ75/FX_EUR</f>
        <v>11997.7376565842</v>
      </c>
      <c r="BA75" s="37" t="n">
        <f aca="false">Costs!BA75/FX_EUR</f>
        <v>14010.064684118</v>
      </c>
      <c r="BB75" s="37" t="n">
        <f aca="false">Costs!BB75/FX_EUR</f>
        <v>14010.064684118</v>
      </c>
      <c r="BC75" s="37" t="n">
        <f aca="false">Costs!BC75/FX_EUR</f>
        <v>14010.064684118</v>
      </c>
      <c r="BD75" s="37" t="n">
        <f aca="false">Costs!BD75/FX_EUR</f>
        <v>14010.064684118</v>
      </c>
      <c r="BE75" s="37" t="n">
        <f aca="false">Costs!BE75/FX_EUR</f>
        <v>14010.064684118</v>
      </c>
      <c r="BF75" s="37" t="n">
        <f aca="false">Costs!BF75/FX_EUR</f>
        <v>14010.064684118</v>
      </c>
      <c r="BG75" s="37" t="n">
        <f aca="false">Costs!BG75/FX_EUR</f>
        <v>14010.064684118</v>
      </c>
      <c r="BH75" s="37" t="n">
        <f aca="false">Costs!BH75/FX_EUR</f>
        <v>14010.064684118</v>
      </c>
      <c r="BI75" s="37" t="n">
        <f aca="false">Costs!BI75/FX_EUR</f>
        <v>14010.064684118</v>
      </c>
      <c r="BJ75" s="37" t="n">
        <f aca="false">Costs!BJ75/FX_EUR</f>
        <v>14010.064684118</v>
      </c>
      <c r="BK75" s="37" t="n">
        <f aca="false">Costs!BK75/FX_EUR</f>
        <v>14010.064684118</v>
      </c>
      <c r="BL75" s="37" t="n">
        <f aca="false">Costs!BL75/FX_EUR</f>
        <v>14010.064684118</v>
      </c>
    </row>
    <row r="76" customFormat="false" ht="15" hidden="false" customHeight="false" outlineLevel="0" collapsed="false">
      <c r="A76" s="12" t="s">
        <v>477</v>
      </c>
      <c r="B76" s="14" t="s">
        <v>73</v>
      </c>
      <c r="D76" s="55" t="n">
        <f aca="false">Costs!D76/FX_EUR</f>
        <v>63007.1788242217</v>
      </c>
      <c r="E76" s="37" t="n">
        <f aca="false">Costs!E76/FX_EUR</f>
        <v>2083.46990224461</v>
      </c>
      <c r="F76" s="37" t="n">
        <f aca="false">Costs!F76/FX_EUR</f>
        <v>2083.46990224461</v>
      </c>
      <c r="G76" s="37" t="n">
        <f aca="false">Costs!G76/FX_EUR</f>
        <v>2083.46990224461</v>
      </c>
      <c r="H76" s="37" t="n">
        <f aca="false">Costs!H76/FX_EUR</f>
        <v>2083.46990224461</v>
      </c>
      <c r="I76" s="37" t="n">
        <f aca="false">Costs!I76/FX_EUR</f>
        <v>2083.46990224461</v>
      </c>
      <c r="J76" s="37" t="n">
        <f aca="false">Costs!J76/FX_EUR</f>
        <v>2083.46990224461</v>
      </c>
      <c r="K76" s="37" t="n">
        <f aca="false">Costs!K76/FX_EUR</f>
        <v>2083.46990224461</v>
      </c>
      <c r="L76" s="37" t="n">
        <f aca="false">Costs!L76/FX_EUR</f>
        <v>2083.46990224461</v>
      </c>
      <c r="M76" s="37" t="n">
        <f aca="false">Costs!M76/FX_EUR</f>
        <v>2083.46990224461</v>
      </c>
      <c r="N76" s="37" t="n">
        <f aca="false">Costs!N76/FX_EUR</f>
        <v>2083.46990224461</v>
      </c>
      <c r="O76" s="37" t="n">
        <f aca="false">Costs!O76/FX_EUR</f>
        <v>2083.46990224461</v>
      </c>
      <c r="P76" s="37" t="n">
        <f aca="false">Costs!P76/FX_EUR</f>
        <v>2083.46990224461</v>
      </c>
      <c r="Q76" s="37" t="n">
        <f aca="false">Costs!Q76/FX_EUR</f>
        <v>666.96445041367</v>
      </c>
      <c r="R76" s="37" t="n">
        <f aca="false">Costs!R76/FX_EUR</f>
        <v>666.96445041367</v>
      </c>
      <c r="S76" s="37" t="n">
        <f aca="false">Costs!S76/FX_EUR</f>
        <v>666.96445041367</v>
      </c>
      <c r="T76" s="37" t="n">
        <f aca="false">Costs!T76/FX_EUR</f>
        <v>666.96445041367</v>
      </c>
      <c r="U76" s="37" t="n">
        <f aca="false">Costs!U76/FX_EUR</f>
        <v>666.96445041367</v>
      </c>
      <c r="V76" s="37" t="n">
        <f aca="false">Costs!V76/FX_EUR</f>
        <v>666.96445041367</v>
      </c>
      <c r="W76" s="37" t="n">
        <f aca="false">Costs!W76/FX_EUR</f>
        <v>666.96445041367</v>
      </c>
      <c r="X76" s="37" t="n">
        <f aca="false">Costs!X76/FX_EUR</f>
        <v>666.96445041367</v>
      </c>
      <c r="Y76" s="37" t="n">
        <f aca="false">Costs!Y76/FX_EUR</f>
        <v>666.96445041367</v>
      </c>
      <c r="Z76" s="37" t="n">
        <f aca="false">Costs!Z76/FX_EUR</f>
        <v>666.96445041367</v>
      </c>
      <c r="AA76" s="37" t="n">
        <f aca="false">Costs!AA76/FX_EUR</f>
        <v>666.96445041367</v>
      </c>
      <c r="AB76" s="37" t="n">
        <f aca="false">Costs!AB76/FX_EUR</f>
        <v>666.96445041367</v>
      </c>
      <c r="AC76" s="37" t="n">
        <f aca="false">Costs!AC76/FX_EUR</f>
        <v>833.387960897843</v>
      </c>
      <c r="AD76" s="37" t="n">
        <f aca="false">Costs!AD76/FX_EUR</f>
        <v>833.387960897843</v>
      </c>
      <c r="AE76" s="37" t="n">
        <f aca="false">Costs!AE76/FX_EUR</f>
        <v>833.387960897843</v>
      </c>
      <c r="AF76" s="37" t="n">
        <f aca="false">Costs!AF76/FX_EUR</f>
        <v>833.387960897843</v>
      </c>
      <c r="AG76" s="37" t="n">
        <f aca="false">Costs!AG76/FX_EUR</f>
        <v>833.387960897843</v>
      </c>
      <c r="AH76" s="37" t="n">
        <f aca="false">Costs!AH76/FX_EUR</f>
        <v>833.387960897843</v>
      </c>
      <c r="AI76" s="37" t="n">
        <f aca="false">Costs!AI76/FX_EUR</f>
        <v>833.387960897843</v>
      </c>
      <c r="AJ76" s="37" t="n">
        <f aca="false">Costs!AJ76/FX_EUR</f>
        <v>833.387960897843</v>
      </c>
      <c r="AK76" s="37" t="n">
        <f aca="false">Costs!AK76/FX_EUR</f>
        <v>833.387960897843</v>
      </c>
      <c r="AL76" s="37" t="n">
        <f aca="false">Costs!AL76/FX_EUR</f>
        <v>833.387960897843</v>
      </c>
      <c r="AM76" s="37" t="n">
        <f aca="false">Costs!AM76/FX_EUR</f>
        <v>833.387960897843</v>
      </c>
      <c r="AN76" s="37" t="n">
        <f aca="false">Costs!AN76/FX_EUR</f>
        <v>833.387960897843</v>
      </c>
      <c r="AO76" s="37" t="n">
        <f aca="false">Costs!AO76/FX_EUR</f>
        <v>833.387960897843</v>
      </c>
      <c r="AP76" s="37" t="n">
        <f aca="false">Costs!AP76/FX_EUR</f>
        <v>833.387960897843</v>
      </c>
      <c r="AQ76" s="37" t="n">
        <f aca="false">Costs!AQ76/FX_EUR</f>
        <v>833.387960897843</v>
      </c>
      <c r="AR76" s="37" t="n">
        <f aca="false">Costs!AR76/FX_EUR</f>
        <v>833.387960897843</v>
      </c>
      <c r="AS76" s="37" t="n">
        <f aca="false">Costs!AS76/FX_EUR</f>
        <v>833.387960897843</v>
      </c>
      <c r="AT76" s="37" t="n">
        <f aca="false">Costs!AT76/FX_EUR</f>
        <v>833.387960897843</v>
      </c>
      <c r="AU76" s="37" t="n">
        <f aca="false">Costs!AU76/FX_EUR</f>
        <v>833.387960897843</v>
      </c>
      <c r="AV76" s="37" t="n">
        <f aca="false">Costs!AV76/FX_EUR</f>
        <v>833.387960897843</v>
      </c>
      <c r="AW76" s="37" t="n">
        <f aca="false">Costs!AW76/FX_EUR</f>
        <v>833.387960897843</v>
      </c>
      <c r="AX76" s="37" t="n">
        <f aca="false">Costs!AX76/FX_EUR</f>
        <v>833.387960897843</v>
      </c>
      <c r="AY76" s="37" t="n">
        <f aca="false">Costs!AY76/FX_EUR</f>
        <v>833.387960897843</v>
      </c>
      <c r="AZ76" s="37" t="n">
        <f aca="false">Costs!AZ76/FX_EUR</f>
        <v>833.387960897843</v>
      </c>
      <c r="BA76" s="37" t="n">
        <f aca="false">Costs!BA76/FX_EUR</f>
        <v>833.387960897843</v>
      </c>
      <c r="BB76" s="37" t="n">
        <f aca="false">Costs!BB76/FX_EUR</f>
        <v>833.387960897843</v>
      </c>
      <c r="BC76" s="37" t="n">
        <f aca="false">Costs!BC76/FX_EUR</f>
        <v>833.387960897843</v>
      </c>
      <c r="BD76" s="37" t="n">
        <f aca="false">Costs!BD76/FX_EUR</f>
        <v>833.387960897843</v>
      </c>
      <c r="BE76" s="37" t="n">
        <f aca="false">Costs!BE76/FX_EUR</f>
        <v>833.387960897843</v>
      </c>
      <c r="BF76" s="37" t="n">
        <f aca="false">Costs!BF76/FX_EUR</f>
        <v>833.387960897843</v>
      </c>
      <c r="BG76" s="37" t="n">
        <f aca="false">Costs!BG76/FX_EUR</f>
        <v>833.387960897843</v>
      </c>
      <c r="BH76" s="37" t="n">
        <f aca="false">Costs!BH76/FX_EUR</f>
        <v>833.387960897843</v>
      </c>
      <c r="BI76" s="37" t="n">
        <f aca="false">Costs!BI76/FX_EUR</f>
        <v>833.387960897843</v>
      </c>
      <c r="BJ76" s="37" t="n">
        <f aca="false">Costs!BJ76/FX_EUR</f>
        <v>833.387960897843</v>
      </c>
      <c r="BK76" s="37" t="n">
        <f aca="false">Costs!BK76/FX_EUR</f>
        <v>833.387960897843</v>
      </c>
      <c r="BL76" s="37" t="n">
        <f aca="false">Costs!BL76/FX_EUR</f>
        <v>833.387960897843</v>
      </c>
    </row>
    <row r="77" customFormat="false" ht="15" hidden="false" customHeight="false" outlineLevel="0" collapsed="false">
      <c r="A77" s="12" t="s">
        <v>479</v>
      </c>
      <c r="B77" s="14" t="s">
        <v>73</v>
      </c>
      <c r="D77" s="55" t="n">
        <f aca="false">Costs!D77/FX_EUR</f>
        <v>209983.276342809</v>
      </c>
      <c r="E77" s="37" t="n">
        <f aca="false">Costs!E77/FX_EUR</f>
        <v>1250.08194134677</v>
      </c>
      <c r="F77" s="37" t="n">
        <f aca="false">Costs!F77/FX_EUR</f>
        <v>1250.08194134677</v>
      </c>
      <c r="G77" s="37" t="n">
        <f aca="false">Costs!G77/FX_EUR</f>
        <v>1250.08194134677</v>
      </c>
      <c r="H77" s="37" t="n">
        <f aca="false">Costs!H77/FX_EUR</f>
        <v>1250.08194134677</v>
      </c>
      <c r="I77" s="37" t="n">
        <f aca="false">Costs!I77/FX_EUR</f>
        <v>1250.08194134677</v>
      </c>
      <c r="J77" s="37" t="n">
        <f aca="false">Costs!J77/FX_EUR</f>
        <v>1250.08194134677</v>
      </c>
      <c r="K77" s="37" t="n">
        <f aca="false">Costs!K77/FX_EUR</f>
        <v>1250.08194134677</v>
      </c>
      <c r="L77" s="37" t="n">
        <f aca="false">Costs!L77/FX_EUR</f>
        <v>1250.08194134677</v>
      </c>
      <c r="M77" s="37" t="n">
        <f aca="false">Costs!M77/FX_EUR</f>
        <v>1250.08194134677</v>
      </c>
      <c r="N77" s="37" t="n">
        <f aca="false">Costs!N77/FX_EUR</f>
        <v>1250.08194134677</v>
      </c>
      <c r="O77" s="37" t="n">
        <f aca="false">Costs!O77/FX_EUR</f>
        <v>1250.08194134677</v>
      </c>
      <c r="P77" s="37" t="n">
        <f aca="false">Costs!P77/FX_EUR</f>
        <v>1250.08194134677</v>
      </c>
      <c r="Q77" s="37" t="n">
        <f aca="false">Costs!Q77/FX_EUR</f>
        <v>2502.70469964749</v>
      </c>
      <c r="R77" s="37" t="n">
        <f aca="false">Costs!R77/FX_EUR</f>
        <v>2502.70469964749</v>
      </c>
      <c r="S77" s="37" t="n">
        <f aca="false">Costs!S77/FX_EUR</f>
        <v>2502.70469964749</v>
      </c>
      <c r="T77" s="37" t="n">
        <f aca="false">Costs!T77/FX_EUR</f>
        <v>2502.70469964749</v>
      </c>
      <c r="U77" s="37" t="n">
        <f aca="false">Costs!U77/FX_EUR</f>
        <v>2502.70469964749</v>
      </c>
      <c r="V77" s="37" t="n">
        <f aca="false">Costs!V77/FX_EUR</f>
        <v>2502.70469964749</v>
      </c>
      <c r="W77" s="37" t="n">
        <f aca="false">Costs!W77/FX_EUR</f>
        <v>2502.70469964749</v>
      </c>
      <c r="X77" s="37" t="n">
        <f aca="false">Costs!X77/FX_EUR</f>
        <v>2502.70469964749</v>
      </c>
      <c r="Y77" s="37" t="n">
        <f aca="false">Costs!Y77/FX_EUR</f>
        <v>2502.70469964749</v>
      </c>
      <c r="Z77" s="37" t="n">
        <f aca="false">Costs!Z77/FX_EUR</f>
        <v>2502.70469964749</v>
      </c>
      <c r="AA77" s="37" t="n">
        <f aca="false">Costs!AA77/FX_EUR</f>
        <v>2502.70469964749</v>
      </c>
      <c r="AB77" s="37" t="n">
        <f aca="false">Costs!AB77/FX_EUR</f>
        <v>2502.70469964749</v>
      </c>
      <c r="AC77" s="37" t="n">
        <f aca="false">Costs!AC77/FX_EUR</f>
        <v>3747.70500708634</v>
      </c>
      <c r="AD77" s="37" t="n">
        <f aca="false">Costs!AD77/FX_EUR</f>
        <v>3747.70500708634</v>
      </c>
      <c r="AE77" s="37" t="n">
        <f aca="false">Costs!AE77/FX_EUR</f>
        <v>3747.70500708634</v>
      </c>
      <c r="AF77" s="37" t="n">
        <f aca="false">Costs!AF77/FX_EUR</f>
        <v>3747.70500708634</v>
      </c>
      <c r="AG77" s="37" t="n">
        <f aca="false">Costs!AG77/FX_EUR</f>
        <v>3747.70500708634</v>
      </c>
      <c r="AH77" s="37" t="n">
        <f aca="false">Costs!AH77/FX_EUR</f>
        <v>3747.70500708634</v>
      </c>
      <c r="AI77" s="37" t="n">
        <f aca="false">Costs!AI77/FX_EUR</f>
        <v>3747.70500708634</v>
      </c>
      <c r="AJ77" s="37" t="n">
        <f aca="false">Costs!AJ77/FX_EUR</f>
        <v>3747.70500708634</v>
      </c>
      <c r="AK77" s="37" t="n">
        <f aca="false">Costs!AK77/FX_EUR</f>
        <v>3747.70500708634</v>
      </c>
      <c r="AL77" s="37" t="n">
        <f aca="false">Costs!AL77/FX_EUR</f>
        <v>3747.70500708634</v>
      </c>
      <c r="AM77" s="37" t="n">
        <f aca="false">Costs!AM77/FX_EUR</f>
        <v>3747.70500708634</v>
      </c>
      <c r="AN77" s="37" t="n">
        <f aca="false">Costs!AN77/FX_EUR</f>
        <v>3747.70500708634</v>
      </c>
      <c r="AO77" s="37" t="n">
        <f aca="false">Costs!AO77/FX_EUR</f>
        <v>4586.1746018921</v>
      </c>
      <c r="AP77" s="37" t="n">
        <f aca="false">Costs!AP77/FX_EUR</f>
        <v>4586.1746018921</v>
      </c>
      <c r="AQ77" s="37" t="n">
        <f aca="false">Costs!AQ77/FX_EUR</f>
        <v>4586.1746018921</v>
      </c>
      <c r="AR77" s="37" t="n">
        <f aca="false">Costs!AR77/FX_EUR</f>
        <v>4586.1746018921</v>
      </c>
      <c r="AS77" s="37" t="n">
        <f aca="false">Costs!AS77/FX_EUR</f>
        <v>4586.1746018921</v>
      </c>
      <c r="AT77" s="37" t="n">
        <f aca="false">Costs!AT77/FX_EUR</f>
        <v>4586.1746018921</v>
      </c>
      <c r="AU77" s="37" t="n">
        <f aca="false">Costs!AU77/FX_EUR</f>
        <v>4586.1746018921</v>
      </c>
      <c r="AV77" s="37" t="n">
        <f aca="false">Costs!AV77/FX_EUR</f>
        <v>4586.1746018921</v>
      </c>
      <c r="AW77" s="37" t="n">
        <f aca="false">Costs!AW77/FX_EUR</f>
        <v>4586.1746018921</v>
      </c>
      <c r="AX77" s="37" t="n">
        <f aca="false">Costs!AX77/FX_EUR</f>
        <v>4586.1746018921</v>
      </c>
      <c r="AY77" s="37" t="n">
        <f aca="false">Costs!AY77/FX_EUR</f>
        <v>4586.1746018921</v>
      </c>
      <c r="AZ77" s="37" t="n">
        <f aca="false">Costs!AZ77/FX_EUR</f>
        <v>4586.1746018921</v>
      </c>
      <c r="BA77" s="37" t="n">
        <f aca="false">Costs!BA77/FX_EUR</f>
        <v>5411.94011192807</v>
      </c>
      <c r="BB77" s="37" t="n">
        <f aca="false">Costs!BB77/FX_EUR</f>
        <v>5411.94011192807</v>
      </c>
      <c r="BC77" s="37" t="n">
        <f aca="false">Costs!BC77/FX_EUR</f>
        <v>5411.94011192807</v>
      </c>
      <c r="BD77" s="37" t="n">
        <f aca="false">Costs!BD77/FX_EUR</f>
        <v>5411.94011192807</v>
      </c>
      <c r="BE77" s="37" t="n">
        <f aca="false">Costs!BE77/FX_EUR</f>
        <v>5411.94011192807</v>
      </c>
      <c r="BF77" s="37" t="n">
        <f aca="false">Costs!BF77/FX_EUR</f>
        <v>5411.94011192807</v>
      </c>
      <c r="BG77" s="37" t="n">
        <f aca="false">Costs!BG77/FX_EUR</f>
        <v>5411.94011192807</v>
      </c>
      <c r="BH77" s="37" t="n">
        <f aca="false">Costs!BH77/FX_EUR</f>
        <v>5411.94011192807</v>
      </c>
      <c r="BI77" s="37" t="n">
        <f aca="false">Costs!BI77/FX_EUR</f>
        <v>5411.94011192807</v>
      </c>
      <c r="BJ77" s="37" t="n">
        <f aca="false">Costs!BJ77/FX_EUR</f>
        <v>5411.94011192807</v>
      </c>
      <c r="BK77" s="37" t="n">
        <f aca="false">Costs!BK77/FX_EUR</f>
        <v>5411.94011192807</v>
      </c>
      <c r="BL77" s="37" t="n">
        <f aca="false">Costs!BL77/FX_EUR</f>
        <v>5411.94011192807</v>
      </c>
    </row>
    <row r="78" customFormat="false" ht="15" hidden="false" customHeight="false" outlineLevel="0" collapsed="false">
      <c r="A78" s="12" t="s">
        <v>742</v>
      </c>
      <c r="B78" s="14" t="s">
        <v>73</v>
      </c>
      <c r="D78" s="55" t="n">
        <f aca="false">Costs!D78/FX_EUR</f>
        <v>146342.689397111</v>
      </c>
      <c r="E78" s="37" t="n">
        <f aca="false">Costs!E78/FX_EUR</f>
        <v>0</v>
      </c>
      <c r="F78" s="37" t="n">
        <f aca="false">Costs!F78/FX_EUR</f>
        <v>0</v>
      </c>
      <c r="G78" s="37" t="n">
        <f aca="false">Costs!G78/FX_EUR</f>
        <v>0</v>
      </c>
      <c r="H78" s="37" t="n">
        <f aca="false">Costs!H78/FX_EUR</f>
        <v>0</v>
      </c>
      <c r="I78" s="37" t="n">
        <f aca="false">Costs!I78/FX_EUR</f>
        <v>381.122543093526</v>
      </c>
      <c r="J78" s="37" t="n">
        <f aca="false">Costs!J78/FX_EUR</f>
        <v>403.989895679138</v>
      </c>
      <c r="K78" s="37" t="n">
        <f aca="false">Costs!K78/FX_EUR</f>
        <v>428.229289419886</v>
      </c>
      <c r="L78" s="37" t="n">
        <f aca="false">Costs!L78/FX_EUR</f>
        <v>453.923046785079</v>
      </c>
      <c r="M78" s="37" t="n">
        <f aca="false">Costs!M78/FX_EUR</f>
        <v>481.158429592184</v>
      </c>
      <c r="N78" s="37" t="n">
        <f aca="false">Costs!N78/FX_EUR</f>
        <v>510.027935367715</v>
      </c>
      <c r="O78" s="37" t="n">
        <f aca="false">Costs!O78/FX_EUR</f>
        <v>540.629611489778</v>
      </c>
      <c r="P78" s="37" t="n">
        <f aca="false">Costs!P78/FX_EUR</f>
        <v>573.067388179165</v>
      </c>
      <c r="Q78" s="37" t="n">
        <f aca="false">Costs!Q78/FX_EUR</f>
        <v>607.451431469914</v>
      </c>
      <c r="R78" s="37" t="n">
        <f aca="false">Costs!R78/FX_EUR</f>
        <v>643.898517358109</v>
      </c>
      <c r="S78" s="37" t="n">
        <f aca="false">Costs!S78/FX_EUR</f>
        <v>682.532428399596</v>
      </c>
      <c r="T78" s="37" t="n">
        <f aca="false">Costs!T78/FX_EUR</f>
        <v>723.484374103572</v>
      </c>
      <c r="U78" s="37" t="n">
        <f aca="false">Costs!U78/FX_EUR</f>
        <v>766.893436549786</v>
      </c>
      <c r="V78" s="37" t="n">
        <f aca="false">Costs!V78/FX_EUR</f>
        <v>812.907042742773</v>
      </c>
      <c r="W78" s="37" t="n">
        <f aca="false">Costs!W78/FX_EUR</f>
        <v>1090.35499116346</v>
      </c>
      <c r="X78" s="37" t="n">
        <f aca="false">Costs!X78/FX_EUR</f>
        <v>1155.77629063326</v>
      </c>
      <c r="Y78" s="37" t="n">
        <f aca="false">Costs!Y78/FX_EUR</f>
        <v>1225.12286807126</v>
      </c>
      <c r="Z78" s="37" t="n">
        <f aca="false">Costs!Z78/FX_EUR</f>
        <v>1298.63024015553</v>
      </c>
      <c r="AA78" s="37" t="n">
        <f aca="false">Costs!AA78/FX_EUR</f>
        <v>1376.54805456487</v>
      </c>
      <c r="AB78" s="37" t="n">
        <f aca="false">Costs!AB78/FX_EUR</f>
        <v>1459.14093783876</v>
      </c>
      <c r="AC78" s="37" t="n">
        <f aca="false">Costs!AC78/FX_EUR</f>
        <v>1546.68939410908</v>
      </c>
      <c r="AD78" s="37" t="n">
        <f aca="false">Costs!AD78/FX_EUR</f>
        <v>1639.49075775563</v>
      </c>
      <c r="AE78" s="37" t="n">
        <f aca="false">Costs!AE78/FX_EUR</f>
        <v>1737.86020322097</v>
      </c>
      <c r="AF78" s="37" t="n">
        <f aca="false">Costs!AF78/FX_EUR</f>
        <v>1842.13181541422</v>
      </c>
      <c r="AG78" s="37" t="n">
        <f aca="false">Costs!AG78/FX_EUR</f>
        <v>1952.65972433908</v>
      </c>
      <c r="AH78" s="37" t="n">
        <f aca="false">Costs!AH78/FX_EUR</f>
        <v>2069.81930779942</v>
      </c>
      <c r="AI78" s="37" t="n">
        <f aca="false">Costs!AI78/FX_EUR</f>
        <v>2194.00846626739</v>
      </c>
      <c r="AJ78" s="37" t="n">
        <f aca="false">Costs!AJ78/FX_EUR</f>
        <v>2325.64897424343</v>
      </c>
      <c r="AK78" s="37" t="n">
        <f aca="false">Costs!AK78/FX_EUR</f>
        <v>2465.18791269804</v>
      </c>
      <c r="AL78" s="37" t="n">
        <f aca="false">Costs!AL78/FX_EUR</f>
        <v>2613.09918745992</v>
      </c>
      <c r="AM78" s="37" t="n">
        <f aca="false">Costs!AM78/FX_EUR</f>
        <v>2769.88513870752</v>
      </c>
      <c r="AN78" s="37" t="n">
        <f aca="false">Costs!AN78/FX_EUR</f>
        <v>2936.07824702997</v>
      </c>
      <c r="AO78" s="37" t="n">
        <f aca="false">Costs!AO78/FX_EUR</f>
        <v>3112.24294185176</v>
      </c>
      <c r="AP78" s="37" t="n">
        <f aca="false">Costs!AP78/FX_EUR</f>
        <v>3298.97751836287</v>
      </c>
      <c r="AQ78" s="37" t="n">
        <f aca="false">Costs!AQ78/FX_EUR</f>
        <v>3496.91616946464</v>
      </c>
      <c r="AR78" s="37" t="n">
        <f aca="false">Costs!AR78/FX_EUR</f>
        <v>3706.73113963252</v>
      </c>
      <c r="AS78" s="37" t="n">
        <f aca="false">Costs!AS78/FX_EUR</f>
        <v>3873.01395135162</v>
      </c>
      <c r="AT78" s="37" t="n">
        <f aca="false">Costs!AT78/FX_EUR</f>
        <v>3922.45596774782</v>
      </c>
      <c r="AU78" s="37" t="n">
        <f aca="false">Costs!AU78/FX_EUR</f>
        <v>3974.8645051278</v>
      </c>
      <c r="AV78" s="37" t="n">
        <f aca="false">Costs!AV78/FX_EUR</f>
        <v>4030.41755475058</v>
      </c>
      <c r="AW78" s="37" t="n">
        <f aca="false">Costs!AW78/FX_EUR</f>
        <v>4089.30378735072</v>
      </c>
      <c r="AX78" s="37" t="n">
        <f aca="false">Costs!AX78/FX_EUR</f>
        <v>4151.72319390687</v>
      </c>
      <c r="AY78" s="37" t="n">
        <f aca="false">Costs!AY78/FX_EUR</f>
        <v>4217.88776485639</v>
      </c>
      <c r="AZ78" s="37" t="n">
        <f aca="false">Costs!AZ78/FX_EUR</f>
        <v>4288.02221006288</v>
      </c>
      <c r="BA78" s="37" t="n">
        <f aca="false">Costs!BA78/FX_EUR</f>
        <v>4362.36472198176</v>
      </c>
      <c r="BB78" s="37" t="n">
        <f aca="false">Costs!BB78/FX_EUR</f>
        <v>4441.16778461577</v>
      </c>
      <c r="BC78" s="37" t="n">
        <f aca="false">Costs!BC78/FX_EUR</f>
        <v>4524.69903100783</v>
      </c>
      <c r="BD78" s="37" t="n">
        <f aca="false">Costs!BD78/FX_EUR</f>
        <v>4613.2421521834</v>
      </c>
      <c r="BE78" s="37" t="n">
        <f aca="false">Costs!BE78/FX_EUR</f>
        <v>4707.09786062952</v>
      </c>
      <c r="BF78" s="37" t="n">
        <f aca="false">Costs!BF78/FX_EUR</f>
        <v>4806.58491158239</v>
      </c>
      <c r="BG78" s="37" t="n">
        <f aca="false">Costs!BG78/FX_EUR</f>
        <v>4912.04118559245</v>
      </c>
      <c r="BH78" s="37" t="n">
        <f aca="false">Costs!BH78/FX_EUR</f>
        <v>5023.8248360431</v>
      </c>
      <c r="BI78" s="37" t="n">
        <f aca="false">Costs!BI78/FX_EUR</f>
        <v>5142.31550552079</v>
      </c>
      <c r="BJ78" s="37" t="n">
        <f aca="false">Costs!BJ78/FX_EUR</f>
        <v>5267.91561516715</v>
      </c>
      <c r="BK78" s="37" t="n">
        <f aca="false">Costs!BK78/FX_EUR</f>
        <v>5335.71560330936</v>
      </c>
      <c r="BL78" s="37" t="n">
        <f aca="false">Costs!BL78/FX_EUR</f>
        <v>5335.71560330936</v>
      </c>
    </row>
    <row r="79" customFormat="false" ht="15" hidden="false" customHeight="false" outlineLevel="0" collapsed="false">
      <c r="A79" s="12" t="s">
        <v>743</v>
      </c>
      <c r="B79" s="14" t="s">
        <v>73</v>
      </c>
      <c r="D79" s="55" t="n">
        <f aca="false">Costs!D79/FX_EUR</f>
        <v>75576.6002954462</v>
      </c>
      <c r="E79" s="37" t="n">
        <f aca="false">Costs!E79/FX_EUR</f>
        <v>114.336762928058</v>
      </c>
      <c r="F79" s="37" t="n">
        <f aca="false">Costs!F79/FX_EUR</f>
        <v>114.336762928058</v>
      </c>
      <c r="G79" s="37" t="n">
        <f aca="false">Costs!G79/FX_EUR</f>
        <v>114.336762928058</v>
      </c>
      <c r="H79" s="37" t="n">
        <f aca="false">Costs!H79/FX_EUR</f>
        <v>343.010288784173</v>
      </c>
      <c r="I79" s="37" t="n">
        <f aca="false">Costs!I79/FX_EUR</f>
        <v>343.010288784173</v>
      </c>
      <c r="J79" s="37" t="n">
        <f aca="false">Costs!J79/FX_EUR</f>
        <v>343.010288784173</v>
      </c>
      <c r="K79" s="37" t="n">
        <f aca="false">Costs!K79/FX_EUR</f>
        <v>343.010288784173</v>
      </c>
      <c r="L79" s="37" t="n">
        <f aca="false">Costs!L79/FX_EUR</f>
        <v>343.010288784173</v>
      </c>
      <c r="M79" s="37" t="n">
        <f aca="false">Costs!M79/FX_EUR</f>
        <v>343.010288784173</v>
      </c>
      <c r="N79" s="37" t="n">
        <f aca="false">Costs!N79/FX_EUR</f>
        <v>343.010288784173</v>
      </c>
      <c r="O79" s="37" t="n">
        <f aca="false">Costs!O79/FX_EUR</f>
        <v>343.010288784173</v>
      </c>
      <c r="P79" s="37" t="n">
        <f aca="false">Costs!P79/FX_EUR</f>
        <v>343.010288784173</v>
      </c>
      <c r="Q79" s="37" t="n">
        <f aca="false">Costs!Q79/FX_EUR</f>
        <v>343.010288784173</v>
      </c>
      <c r="R79" s="37" t="n">
        <f aca="false">Costs!R79/FX_EUR</f>
        <v>343.010288784173</v>
      </c>
      <c r="S79" s="37" t="n">
        <f aca="false">Costs!S79/FX_EUR</f>
        <v>343.010288784173</v>
      </c>
      <c r="T79" s="37" t="n">
        <f aca="false">Costs!T79/FX_EUR</f>
        <v>343.010288784173</v>
      </c>
      <c r="U79" s="37" t="n">
        <f aca="false">Costs!U79/FX_EUR</f>
        <v>343.010288784173</v>
      </c>
      <c r="V79" s="37" t="n">
        <f aca="false">Costs!V79/FX_EUR</f>
        <v>686.020577568347</v>
      </c>
      <c r="W79" s="37" t="n">
        <f aca="false">Costs!W79/FX_EUR</f>
        <v>686.020577568347</v>
      </c>
      <c r="X79" s="37" t="n">
        <f aca="false">Costs!X79/FX_EUR</f>
        <v>686.020577568347</v>
      </c>
      <c r="Y79" s="37" t="n">
        <f aca="false">Costs!Y79/FX_EUR</f>
        <v>686.020577568347</v>
      </c>
      <c r="Z79" s="37" t="n">
        <f aca="false">Costs!Z79/FX_EUR</f>
        <v>686.020577568347</v>
      </c>
      <c r="AA79" s="37" t="n">
        <f aca="false">Costs!AA79/FX_EUR</f>
        <v>800.357340496405</v>
      </c>
      <c r="AB79" s="37" t="n">
        <f aca="false">Costs!AB79/FX_EUR</f>
        <v>800.357340496405</v>
      </c>
      <c r="AC79" s="37" t="n">
        <f aca="false">Costs!AC79/FX_EUR</f>
        <v>800.357340496405</v>
      </c>
      <c r="AD79" s="37" t="n">
        <f aca="false">Costs!AD79/FX_EUR</f>
        <v>800.357340496405</v>
      </c>
      <c r="AE79" s="37" t="n">
        <f aca="false">Costs!AE79/FX_EUR</f>
        <v>914.694103424462</v>
      </c>
      <c r="AF79" s="37" t="n">
        <f aca="false">Costs!AF79/FX_EUR</f>
        <v>914.694103424462</v>
      </c>
      <c r="AG79" s="37" t="n">
        <f aca="false">Costs!AG79/FX_EUR</f>
        <v>914.694103424462</v>
      </c>
      <c r="AH79" s="37" t="n">
        <f aca="false">Costs!AH79/FX_EUR</f>
        <v>914.694103424462</v>
      </c>
      <c r="AI79" s="37" t="n">
        <f aca="false">Costs!AI79/FX_EUR</f>
        <v>1029.03086635252</v>
      </c>
      <c r="AJ79" s="37" t="n">
        <f aca="false">Costs!AJ79/FX_EUR</f>
        <v>1029.03086635252</v>
      </c>
      <c r="AK79" s="37" t="n">
        <f aca="false">Costs!AK79/FX_EUR</f>
        <v>1029.03086635252</v>
      </c>
      <c r="AL79" s="37" t="n">
        <f aca="false">Costs!AL79/FX_EUR</f>
        <v>1143.36762928058</v>
      </c>
      <c r="AM79" s="37" t="n">
        <f aca="false">Costs!AM79/FX_EUR</f>
        <v>1257.70439220864</v>
      </c>
      <c r="AN79" s="37" t="n">
        <f aca="false">Costs!AN79/FX_EUR</f>
        <v>1257.70439220864</v>
      </c>
      <c r="AO79" s="37" t="n">
        <f aca="false">Costs!AO79/FX_EUR</f>
        <v>1372.04115513669</v>
      </c>
      <c r="AP79" s="37" t="n">
        <f aca="false">Costs!AP79/FX_EUR</f>
        <v>1372.04115513669</v>
      </c>
      <c r="AQ79" s="37" t="n">
        <f aca="false">Costs!AQ79/FX_EUR</f>
        <v>1486.37791806475</v>
      </c>
      <c r="AR79" s="37" t="n">
        <f aca="false">Costs!AR79/FX_EUR</f>
        <v>1486.37791806475</v>
      </c>
      <c r="AS79" s="37" t="n">
        <f aca="false">Costs!AS79/FX_EUR</f>
        <v>1715.05144392087</v>
      </c>
      <c r="AT79" s="37" t="n">
        <f aca="false">Costs!AT79/FX_EUR</f>
        <v>1715.05144392087</v>
      </c>
      <c r="AU79" s="37" t="n">
        <f aca="false">Costs!AU79/FX_EUR</f>
        <v>1715.05144392087</v>
      </c>
      <c r="AV79" s="37" t="n">
        <f aca="false">Costs!AV79/FX_EUR</f>
        <v>1829.38820684892</v>
      </c>
      <c r="AW79" s="37" t="n">
        <f aca="false">Costs!AW79/FX_EUR</f>
        <v>1829.38820684892</v>
      </c>
      <c r="AX79" s="37" t="n">
        <f aca="false">Costs!AX79/FX_EUR</f>
        <v>2058.06173270504</v>
      </c>
      <c r="AY79" s="37" t="n">
        <f aca="false">Costs!AY79/FX_EUR</f>
        <v>2058.06173270504</v>
      </c>
      <c r="AZ79" s="37" t="n">
        <f aca="false">Costs!AZ79/FX_EUR</f>
        <v>2172.3984956331</v>
      </c>
      <c r="BA79" s="37" t="n">
        <f aca="false">Costs!BA79/FX_EUR</f>
        <v>2172.3984956331</v>
      </c>
      <c r="BB79" s="37" t="n">
        <f aca="false">Costs!BB79/FX_EUR</f>
        <v>2286.73525856116</v>
      </c>
      <c r="BC79" s="37" t="n">
        <f aca="false">Costs!BC79/FX_EUR</f>
        <v>2401.07202148921</v>
      </c>
      <c r="BD79" s="37" t="n">
        <f aca="false">Costs!BD79/FX_EUR</f>
        <v>2515.40878441727</v>
      </c>
      <c r="BE79" s="37" t="n">
        <f aca="false">Costs!BE79/FX_EUR</f>
        <v>2515.40878441727</v>
      </c>
      <c r="BF79" s="37" t="n">
        <f aca="false">Costs!BF79/FX_EUR</f>
        <v>2744.08231027339</v>
      </c>
      <c r="BG79" s="37" t="n">
        <f aca="false">Costs!BG79/FX_EUR</f>
        <v>2744.08231027339</v>
      </c>
      <c r="BH79" s="37" t="n">
        <f aca="false">Costs!BH79/FX_EUR</f>
        <v>2858.41907320144</v>
      </c>
      <c r="BI79" s="37" t="n">
        <f aca="false">Costs!BI79/FX_EUR</f>
        <v>2858.41907320144</v>
      </c>
      <c r="BJ79" s="37" t="n">
        <f aca="false">Costs!BJ79/FX_EUR</f>
        <v>3087.09259905756</v>
      </c>
      <c r="BK79" s="37" t="n">
        <f aca="false">Costs!BK79/FX_EUR</f>
        <v>3201.42936198562</v>
      </c>
      <c r="BL79" s="37" t="n">
        <f aca="false">Costs!BL79/FX_EUR</f>
        <v>3201.42936198562</v>
      </c>
    </row>
    <row r="80" customFormat="false" ht="15" hidden="false" customHeight="false" outlineLevel="0" collapsed="false">
      <c r="A80" s="8" t="s">
        <v>841</v>
      </c>
      <c r="B80" s="14" t="s">
        <v>73</v>
      </c>
      <c r="D80" s="55" t="n">
        <f aca="false">Costs!D80/FX_EUR</f>
        <v>1002900.36009809</v>
      </c>
      <c r="E80" s="16" t="n">
        <f aca="false">Costs!E80/FX_EUR</f>
        <v>3447.88860651943</v>
      </c>
      <c r="F80" s="16" t="n">
        <f aca="false">Costs!F80/FX_EUR</f>
        <v>3447.88860651943</v>
      </c>
      <c r="G80" s="16" t="n">
        <f aca="false">Costs!G80/FX_EUR</f>
        <v>3447.88860651943</v>
      </c>
      <c r="H80" s="16" t="n">
        <f aca="false">Costs!H80/FX_EUR</f>
        <v>3676.56213237555</v>
      </c>
      <c r="I80" s="16" t="n">
        <f aca="false">Costs!I80/FX_EUR</f>
        <v>6054.76680127915</v>
      </c>
      <c r="J80" s="16" t="n">
        <f aca="false">Costs!J80/FX_EUR</f>
        <v>6077.63415386476</v>
      </c>
      <c r="K80" s="16" t="n">
        <f aca="false">Costs!K80/FX_EUR</f>
        <v>6101.87354760551</v>
      </c>
      <c r="L80" s="16" t="n">
        <f aca="false">Costs!L80/FX_EUR</f>
        <v>6127.5673049707</v>
      </c>
      <c r="M80" s="16" t="n">
        <f aca="false">Costs!M80/FX_EUR</f>
        <v>6154.80268777781</v>
      </c>
      <c r="N80" s="16" t="n">
        <f aca="false">Costs!N80/FX_EUR</f>
        <v>6183.67219355334</v>
      </c>
      <c r="O80" s="16" t="n">
        <f aca="false">Costs!O80/FX_EUR</f>
        <v>6214.2738696754</v>
      </c>
      <c r="P80" s="16" t="n">
        <f aca="false">Costs!P80/FX_EUR</f>
        <v>6246.71164636479</v>
      </c>
      <c r="Q80" s="16" t="n">
        <f aca="false">Costs!Q80/FX_EUR</f>
        <v>8114.2951219354</v>
      </c>
      <c r="R80" s="16" t="n">
        <f aca="false">Costs!R80/FX_EUR</f>
        <v>8150.74220782359</v>
      </c>
      <c r="S80" s="16" t="n">
        <f aca="false">Costs!S80/FX_EUR</f>
        <v>8189.37611886508</v>
      </c>
      <c r="T80" s="16" t="n">
        <f aca="false">Costs!T80/FX_EUR</f>
        <v>8230.32806456905</v>
      </c>
      <c r="U80" s="16" t="n">
        <f aca="false">Costs!U80/FX_EUR</f>
        <v>8273.73712701527</v>
      </c>
      <c r="V80" s="16" t="n">
        <f aca="false">Costs!V80/FX_EUR</f>
        <v>8662.76102199243</v>
      </c>
      <c r="W80" s="16" t="n">
        <f aca="false">Costs!W80/FX_EUR</f>
        <v>10937.2910962232</v>
      </c>
      <c r="X80" s="16" t="n">
        <f aca="false">Costs!X80/FX_EUR</f>
        <v>11002.712395693</v>
      </c>
      <c r="Y80" s="16" t="n">
        <f aca="false">Costs!Y80/FX_EUR</f>
        <v>11072.058973131</v>
      </c>
      <c r="Z80" s="16" t="n">
        <f aca="false">Costs!Z80/FX_EUR</f>
        <v>11145.5663452153</v>
      </c>
      <c r="AA80" s="16" t="n">
        <f aca="false">Costs!AA80/FX_EUR</f>
        <v>11337.8209225527</v>
      </c>
      <c r="AB80" s="16" t="n">
        <f aca="false">Costs!AB80/FX_EUR</f>
        <v>11420.4138058265</v>
      </c>
      <c r="AC80" s="16" t="n">
        <f aca="false">Costs!AC80/FX_EUR</f>
        <v>16928.7952333638</v>
      </c>
      <c r="AD80" s="16" t="n">
        <f aca="false">Costs!AD80/FX_EUR</f>
        <v>17021.5965970103</v>
      </c>
      <c r="AE80" s="16" t="n">
        <f aca="false">Costs!AE80/FX_EUR</f>
        <v>17234.3028054037</v>
      </c>
      <c r="AF80" s="16" t="n">
        <f aca="false">Costs!AF80/FX_EUR</f>
        <v>17338.574417597</v>
      </c>
      <c r="AG80" s="16" t="n">
        <f aca="false">Costs!AG80/FX_EUR</f>
        <v>17449.1023265218</v>
      </c>
      <c r="AH80" s="16" t="n">
        <f aca="false">Costs!AH80/FX_EUR</f>
        <v>17566.2619099822</v>
      </c>
      <c r="AI80" s="16" t="n">
        <f aca="false">Costs!AI80/FX_EUR</f>
        <v>17804.7878313782</v>
      </c>
      <c r="AJ80" s="16" t="n">
        <f aca="false">Costs!AJ80/FX_EUR</f>
        <v>17936.4283393543</v>
      </c>
      <c r="AK80" s="16" t="n">
        <f aca="false">Costs!AK80/FX_EUR</f>
        <v>18075.9672778089</v>
      </c>
      <c r="AL80" s="16" t="n">
        <f aca="false">Costs!AL80/FX_EUR</f>
        <v>18338.2153154988</v>
      </c>
      <c r="AM80" s="16" t="n">
        <f aca="false">Costs!AM80/FX_EUR</f>
        <v>18609.3380296745</v>
      </c>
      <c r="AN80" s="16" t="n">
        <f aca="false">Costs!AN80/FX_EUR</f>
        <v>18775.5311379969</v>
      </c>
      <c r="AO80" s="16" t="n">
        <f aca="false">Costs!AO80/FX_EUR</f>
        <v>21901.5843163626</v>
      </c>
      <c r="AP80" s="16" t="n">
        <f aca="false">Costs!AP80/FX_EUR</f>
        <v>22088.3188928737</v>
      </c>
      <c r="AQ80" s="16" t="n">
        <f aca="false">Costs!AQ80/FX_EUR</f>
        <v>22400.5943069035</v>
      </c>
      <c r="AR80" s="16" t="n">
        <f aca="false">Costs!AR80/FX_EUR</f>
        <v>22610.4092770714</v>
      </c>
      <c r="AS80" s="16" t="n">
        <f aca="false">Costs!AS80/FX_EUR</f>
        <v>23005.3656146466</v>
      </c>
      <c r="AT80" s="16" t="n">
        <f aca="false">Costs!AT80/FX_EUR</f>
        <v>23054.8076310428</v>
      </c>
      <c r="AU80" s="16" t="n">
        <f aca="false">Costs!AU80/FX_EUR</f>
        <v>23107.2161684228</v>
      </c>
      <c r="AV80" s="16" t="n">
        <f aca="false">Costs!AV80/FX_EUR</f>
        <v>23277.1059809736</v>
      </c>
      <c r="AW80" s="16" t="n">
        <f aca="false">Costs!AW80/FX_EUR</f>
        <v>23335.9922135738</v>
      </c>
      <c r="AX80" s="16" t="n">
        <f aca="false">Costs!AX80/FX_EUR</f>
        <v>23627.085145986</v>
      </c>
      <c r="AY80" s="16" t="n">
        <f aca="false">Costs!AY80/FX_EUR</f>
        <v>23693.2497169356</v>
      </c>
      <c r="AZ80" s="16" t="n">
        <f aca="false">Costs!AZ80/FX_EUR</f>
        <v>23877.7209250701</v>
      </c>
      <c r="BA80" s="16" t="n">
        <f aca="false">Costs!BA80/FX_EUR</f>
        <v>26790.1559745588</v>
      </c>
      <c r="BB80" s="16" t="n">
        <f aca="false">Costs!BB80/FX_EUR</f>
        <v>26983.2958001209</v>
      </c>
      <c r="BC80" s="16" t="n">
        <f aca="false">Costs!BC80/FX_EUR</f>
        <v>27181.163809441</v>
      </c>
      <c r="BD80" s="16" t="n">
        <f aca="false">Costs!BD80/FX_EUR</f>
        <v>27384.0436935446</v>
      </c>
      <c r="BE80" s="16" t="n">
        <f aca="false">Costs!BE80/FX_EUR</f>
        <v>27477.8994019907</v>
      </c>
      <c r="BF80" s="16" t="n">
        <f aca="false">Costs!BF80/FX_EUR</f>
        <v>27806.0599787997</v>
      </c>
      <c r="BG80" s="16" t="n">
        <f aca="false">Costs!BG80/FX_EUR</f>
        <v>27911.5162528098</v>
      </c>
      <c r="BH80" s="16" t="n">
        <f aca="false">Costs!BH80/FX_EUR</f>
        <v>28137.6366661885</v>
      </c>
      <c r="BI80" s="16" t="n">
        <f aca="false">Costs!BI80/FX_EUR</f>
        <v>28256.1273356662</v>
      </c>
      <c r="BJ80" s="16" t="n">
        <f aca="false">Costs!BJ80/FX_EUR</f>
        <v>28610.4009711686</v>
      </c>
      <c r="BK80" s="16" t="n">
        <f aca="false">Costs!BK80/FX_EUR</f>
        <v>28792.5377222389</v>
      </c>
      <c r="BL80" s="16" t="n">
        <f aca="false">Costs!BL80/FX_EUR</f>
        <v>28792.5377222389</v>
      </c>
    </row>
    <row r="82" customFormat="false" ht="15" hidden="false" customHeight="false" outlineLevel="0" collapsed="false">
      <c r="A82" s="10" t="s">
        <v>480</v>
      </c>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c r="BC82" s="11"/>
      <c r="BD82" s="11"/>
      <c r="BE82" s="11"/>
      <c r="BF82" s="11"/>
      <c r="BG82" s="11"/>
      <c r="BH82" s="11"/>
      <c r="BI82" s="11"/>
      <c r="BJ82" s="11"/>
      <c r="BK82" s="11"/>
      <c r="BL82" s="11"/>
    </row>
    <row r="83" customFormat="false" ht="15" hidden="false" customHeight="false" outlineLevel="0" collapsed="false">
      <c r="A83" s="12" t="s">
        <v>842</v>
      </c>
      <c r="B83" s="14" t="s">
        <v>73</v>
      </c>
      <c r="D83" s="55" t="n">
        <f aca="false">Costs!D83/FX_EUR</f>
        <v>16800</v>
      </c>
      <c r="E83" s="37" t="n">
        <f aca="false">Costs!E83/FX_EUR</f>
        <v>3200</v>
      </c>
      <c r="F83" s="37" t="n">
        <f aca="false">Costs!F83/FX_EUR</f>
        <v>0</v>
      </c>
      <c r="G83" s="37" t="n">
        <f aca="false">Costs!G83/FX_EUR</f>
        <v>0</v>
      </c>
      <c r="H83" s="37" t="n">
        <f aca="false">Costs!H83/FX_EUR</f>
        <v>0</v>
      </c>
      <c r="I83" s="37" t="n">
        <f aca="false">Costs!I83/FX_EUR</f>
        <v>0</v>
      </c>
      <c r="J83" s="37" t="n">
        <f aca="false">Costs!J83/FX_EUR</f>
        <v>0</v>
      </c>
      <c r="K83" s="37" t="n">
        <f aca="false">Costs!K83/FX_EUR</f>
        <v>0</v>
      </c>
      <c r="L83" s="37" t="n">
        <f aca="false">Costs!L83/FX_EUR</f>
        <v>0</v>
      </c>
      <c r="M83" s="37" t="n">
        <f aca="false">Costs!M83/FX_EUR</f>
        <v>0</v>
      </c>
      <c r="N83" s="37" t="n">
        <f aca="false">Costs!N83/FX_EUR</f>
        <v>0</v>
      </c>
      <c r="O83" s="37" t="n">
        <f aca="false">Costs!O83/FX_EUR</f>
        <v>0</v>
      </c>
      <c r="P83" s="37" t="n">
        <f aca="false">Costs!P83/FX_EUR</f>
        <v>0</v>
      </c>
      <c r="Q83" s="37" t="n">
        <f aca="false">Costs!Q83/FX_EUR</f>
        <v>800</v>
      </c>
      <c r="R83" s="37" t="n">
        <f aca="false">Costs!R83/FX_EUR</f>
        <v>0</v>
      </c>
      <c r="S83" s="37" t="n">
        <f aca="false">Costs!S83/FX_EUR</f>
        <v>0</v>
      </c>
      <c r="T83" s="37" t="n">
        <f aca="false">Costs!T83/FX_EUR</f>
        <v>800</v>
      </c>
      <c r="U83" s="37" t="n">
        <f aca="false">Costs!U83/FX_EUR</f>
        <v>0</v>
      </c>
      <c r="V83" s="37" t="n">
        <f aca="false">Costs!V83/FX_EUR</f>
        <v>800</v>
      </c>
      <c r="W83" s="37" t="n">
        <f aca="false">Costs!W83/FX_EUR</f>
        <v>0</v>
      </c>
      <c r="X83" s="37" t="n">
        <f aca="false">Costs!X83/FX_EUR</f>
        <v>0</v>
      </c>
      <c r="Y83" s="37" t="n">
        <f aca="false">Costs!Y83/FX_EUR</f>
        <v>0</v>
      </c>
      <c r="Z83" s="37" t="n">
        <f aca="false">Costs!Z83/FX_EUR</f>
        <v>0</v>
      </c>
      <c r="AA83" s="37" t="n">
        <f aca="false">Costs!AA83/FX_EUR</f>
        <v>0</v>
      </c>
      <c r="AB83" s="37" t="n">
        <f aca="false">Costs!AB83/FX_EUR</f>
        <v>800</v>
      </c>
      <c r="AC83" s="37" t="n">
        <f aca="false">Costs!AC83/FX_EUR</f>
        <v>0</v>
      </c>
      <c r="AD83" s="37" t="n">
        <f aca="false">Costs!AD83/FX_EUR</f>
        <v>0</v>
      </c>
      <c r="AE83" s="37" t="n">
        <f aca="false">Costs!AE83/FX_EUR</f>
        <v>800</v>
      </c>
      <c r="AF83" s="37" t="n">
        <f aca="false">Costs!AF83/FX_EUR</f>
        <v>800</v>
      </c>
      <c r="AG83" s="37" t="n">
        <f aca="false">Costs!AG83/FX_EUR</f>
        <v>0</v>
      </c>
      <c r="AH83" s="37" t="n">
        <f aca="false">Costs!AH83/FX_EUR</f>
        <v>0</v>
      </c>
      <c r="AI83" s="37" t="n">
        <f aca="false">Costs!AI83/FX_EUR</f>
        <v>0</v>
      </c>
      <c r="AJ83" s="37" t="n">
        <f aca="false">Costs!AJ83/FX_EUR</f>
        <v>0</v>
      </c>
      <c r="AK83" s="37" t="n">
        <f aca="false">Costs!AK83/FX_EUR</f>
        <v>800</v>
      </c>
      <c r="AL83" s="37" t="n">
        <f aca="false">Costs!AL83/FX_EUR</f>
        <v>0</v>
      </c>
      <c r="AM83" s="37" t="n">
        <f aca="false">Costs!AM83/FX_EUR</f>
        <v>0</v>
      </c>
      <c r="AN83" s="37" t="n">
        <f aca="false">Costs!AN83/FX_EUR</f>
        <v>0</v>
      </c>
      <c r="AO83" s="37" t="n">
        <f aca="false">Costs!AO83/FX_EUR</f>
        <v>1600</v>
      </c>
      <c r="AP83" s="37" t="n">
        <f aca="false">Costs!AP83/FX_EUR</f>
        <v>0</v>
      </c>
      <c r="AQ83" s="37" t="n">
        <f aca="false">Costs!AQ83/FX_EUR</f>
        <v>0</v>
      </c>
      <c r="AR83" s="37" t="n">
        <f aca="false">Costs!AR83/FX_EUR</f>
        <v>0</v>
      </c>
      <c r="AS83" s="37" t="n">
        <f aca="false">Costs!AS83/FX_EUR</f>
        <v>800</v>
      </c>
      <c r="AT83" s="37" t="n">
        <f aca="false">Costs!AT83/FX_EUR</f>
        <v>0</v>
      </c>
      <c r="AU83" s="37" t="n">
        <f aca="false">Costs!AU83/FX_EUR</f>
        <v>0</v>
      </c>
      <c r="AV83" s="37" t="n">
        <f aca="false">Costs!AV83/FX_EUR</f>
        <v>0</v>
      </c>
      <c r="AW83" s="37" t="n">
        <f aca="false">Costs!AW83/FX_EUR</f>
        <v>800</v>
      </c>
      <c r="AX83" s="37" t="n">
        <f aca="false">Costs!AX83/FX_EUR</f>
        <v>800</v>
      </c>
      <c r="AY83" s="37" t="n">
        <f aca="false">Costs!AY83/FX_EUR</f>
        <v>0</v>
      </c>
      <c r="AZ83" s="37" t="n">
        <f aca="false">Costs!AZ83/FX_EUR</f>
        <v>0</v>
      </c>
      <c r="BA83" s="37" t="n">
        <f aca="false">Costs!BA83/FX_EUR</f>
        <v>0</v>
      </c>
      <c r="BB83" s="37" t="n">
        <f aca="false">Costs!BB83/FX_EUR</f>
        <v>800</v>
      </c>
      <c r="BC83" s="37" t="n">
        <f aca="false">Costs!BC83/FX_EUR</f>
        <v>0</v>
      </c>
      <c r="BD83" s="37" t="n">
        <f aca="false">Costs!BD83/FX_EUR</f>
        <v>800</v>
      </c>
      <c r="BE83" s="37" t="n">
        <f aca="false">Costs!BE83/FX_EUR</f>
        <v>0</v>
      </c>
      <c r="BF83" s="37" t="n">
        <f aca="false">Costs!BF83/FX_EUR</f>
        <v>800</v>
      </c>
      <c r="BG83" s="37" t="n">
        <f aca="false">Costs!BG83/FX_EUR</f>
        <v>0</v>
      </c>
      <c r="BH83" s="37" t="n">
        <f aca="false">Costs!BH83/FX_EUR</f>
        <v>0</v>
      </c>
      <c r="BI83" s="37" t="n">
        <f aca="false">Costs!BI83/FX_EUR</f>
        <v>0</v>
      </c>
      <c r="BJ83" s="37" t="n">
        <f aca="false">Costs!BJ83/FX_EUR</f>
        <v>1600</v>
      </c>
      <c r="BK83" s="37" t="n">
        <f aca="false">Costs!BK83/FX_EUR</f>
        <v>0</v>
      </c>
      <c r="BL83" s="37" t="n">
        <f aca="false">Costs!BL83/FX_EUR</f>
        <v>0</v>
      </c>
    </row>
    <row r="84" customFormat="false" ht="15" hidden="false" customHeight="false" outlineLevel="0" collapsed="false">
      <c r="A84" s="12" t="s">
        <v>638</v>
      </c>
      <c r="B84" s="14" t="s">
        <v>73</v>
      </c>
      <c r="D84" s="55" t="n">
        <f aca="false">Costs!D84/FX_EUR</f>
        <v>118071.763850374</v>
      </c>
      <c r="E84" s="37" t="n">
        <f aca="false">Costs!E84/FX_EUR</f>
        <v>666.96445041367</v>
      </c>
      <c r="F84" s="37" t="n">
        <f aca="false">Costs!F84/FX_EUR</f>
        <v>666.96445041367</v>
      </c>
      <c r="G84" s="37" t="n">
        <f aca="false">Costs!G84/FX_EUR</f>
        <v>666.96445041367</v>
      </c>
      <c r="H84" s="37" t="n">
        <f aca="false">Costs!H84/FX_EUR</f>
        <v>666.96445041367</v>
      </c>
      <c r="I84" s="37" t="n">
        <f aca="false">Costs!I84/FX_EUR</f>
        <v>666.96445041367</v>
      </c>
      <c r="J84" s="37" t="n">
        <f aca="false">Costs!J84/FX_EUR</f>
        <v>666.96445041367</v>
      </c>
      <c r="K84" s="37" t="n">
        <f aca="false">Costs!K84/FX_EUR</f>
        <v>666.96445041367</v>
      </c>
      <c r="L84" s="37" t="n">
        <f aca="false">Costs!L84/FX_EUR</f>
        <v>666.96445041367</v>
      </c>
      <c r="M84" s="37" t="n">
        <f aca="false">Costs!M84/FX_EUR</f>
        <v>666.96445041367</v>
      </c>
      <c r="N84" s="37" t="n">
        <f aca="false">Costs!N84/FX_EUR</f>
        <v>666.96445041367</v>
      </c>
      <c r="O84" s="37" t="n">
        <f aca="false">Costs!O84/FX_EUR</f>
        <v>666.96445041367</v>
      </c>
      <c r="P84" s="37" t="n">
        <f aca="false">Costs!P84/FX_EUR</f>
        <v>666.96445041367</v>
      </c>
      <c r="Q84" s="37" t="n">
        <f aca="false">Costs!Q84/FX_EUR</f>
        <v>1664.23510484173</v>
      </c>
      <c r="R84" s="37" t="n">
        <f aca="false">Costs!R84/FX_EUR</f>
        <v>1664.23510484173</v>
      </c>
      <c r="S84" s="37" t="n">
        <f aca="false">Costs!S84/FX_EUR</f>
        <v>1664.23510484173</v>
      </c>
      <c r="T84" s="37" t="n">
        <f aca="false">Costs!T84/FX_EUR</f>
        <v>1664.23510484173</v>
      </c>
      <c r="U84" s="37" t="n">
        <f aca="false">Costs!U84/FX_EUR</f>
        <v>1664.23510484173</v>
      </c>
      <c r="V84" s="37" t="n">
        <f aca="false">Costs!V84/FX_EUR</f>
        <v>1664.23510484173</v>
      </c>
      <c r="W84" s="37" t="n">
        <f aca="false">Costs!W84/FX_EUR</f>
        <v>1664.23510484173</v>
      </c>
      <c r="X84" s="37" t="n">
        <f aca="false">Costs!X84/FX_EUR</f>
        <v>1664.23510484173</v>
      </c>
      <c r="Y84" s="37" t="n">
        <f aca="false">Costs!Y84/FX_EUR</f>
        <v>1664.23510484173</v>
      </c>
      <c r="Z84" s="37" t="n">
        <f aca="false">Costs!Z84/FX_EUR</f>
        <v>1664.23510484173</v>
      </c>
      <c r="AA84" s="37" t="n">
        <f aca="false">Costs!AA84/FX_EUR</f>
        <v>1664.23510484173</v>
      </c>
      <c r="AB84" s="37" t="n">
        <f aca="false">Costs!AB84/FX_EUR</f>
        <v>1664.23510484173</v>
      </c>
      <c r="AC84" s="37" t="n">
        <f aca="false">Costs!AC84/FX_EUR</f>
        <v>2083.46990224461</v>
      </c>
      <c r="AD84" s="37" t="n">
        <f aca="false">Costs!AD84/FX_EUR</f>
        <v>2083.46990224461</v>
      </c>
      <c r="AE84" s="37" t="n">
        <f aca="false">Costs!AE84/FX_EUR</f>
        <v>2083.46990224461</v>
      </c>
      <c r="AF84" s="37" t="n">
        <f aca="false">Costs!AF84/FX_EUR</f>
        <v>2083.46990224461</v>
      </c>
      <c r="AG84" s="37" t="n">
        <f aca="false">Costs!AG84/FX_EUR</f>
        <v>2083.46990224461</v>
      </c>
      <c r="AH84" s="37" t="n">
        <f aca="false">Costs!AH84/FX_EUR</f>
        <v>2083.46990224461</v>
      </c>
      <c r="AI84" s="37" t="n">
        <f aca="false">Costs!AI84/FX_EUR</f>
        <v>2083.46990224461</v>
      </c>
      <c r="AJ84" s="37" t="n">
        <f aca="false">Costs!AJ84/FX_EUR</f>
        <v>2083.46990224461</v>
      </c>
      <c r="AK84" s="37" t="n">
        <f aca="false">Costs!AK84/FX_EUR</f>
        <v>2083.46990224461</v>
      </c>
      <c r="AL84" s="37" t="n">
        <f aca="false">Costs!AL84/FX_EUR</f>
        <v>2083.46990224461</v>
      </c>
      <c r="AM84" s="37" t="n">
        <f aca="false">Costs!AM84/FX_EUR</f>
        <v>2083.46990224461</v>
      </c>
      <c r="AN84" s="37" t="n">
        <f aca="false">Costs!AN84/FX_EUR</f>
        <v>2083.46990224461</v>
      </c>
      <c r="AO84" s="37" t="n">
        <f aca="false">Costs!AO84/FX_EUR</f>
        <v>2502.70469964749</v>
      </c>
      <c r="AP84" s="37" t="n">
        <f aca="false">Costs!AP84/FX_EUR</f>
        <v>2502.70469964749</v>
      </c>
      <c r="AQ84" s="37" t="n">
        <f aca="false">Costs!AQ84/FX_EUR</f>
        <v>2502.70469964749</v>
      </c>
      <c r="AR84" s="37" t="n">
        <f aca="false">Costs!AR84/FX_EUR</f>
        <v>2502.70469964749</v>
      </c>
      <c r="AS84" s="37" t="n">
        <f aca="false">Costs!AS84/FX_EUR</f>
        <v>2502.70469964749</v>
      </c>
      <c r="AT84" s="37" t="n">
        <f aca="false">Costs!AT84/FX_EUR</f>
        <v>2502.70469964749</v>
      </c>
      <c r="AU84" s="37" t="n">
        <f aca="false">Costs!AU84/FX_EUR</f>
        <v>2502.70469964749</v>
      </c>
      <c r="AV84" s="37" t="n">
        <f aca="false">Costs!AV84/FX_EUR</f>
        <v>2502.70469964749</v>
      </c>
      <c r="AW84" s="37" t="n">
        <f aca="false">Costs!AW84/FX_EUR</f>
        <v>2502.70469964749</v>
      </c>
      <c r="AX84" s="37" t="n">
        <f aca="false">Costs!AX84/FX_EUR</f>
        <v>2502.70469964749</v>
      </c>
      <c r="AY84" s="37" t="n">
        <f aca="false">Costs!AY84/FX_EUR</f>
        <v>2502.70469964749</v>
      </c>
      <c r="AZ84" s="37" t="n">
        <f aca="false">Costs!AZ84/FX_EUR</f>
        <v>2502.70469964749</v>
      </c>
      <c r="BA84" s="37" t="n">
        <f aca="false">Costs!BA84/FX_EUR</f>
        <v>2921.93949705037</v>
      </c>
      <c r="BB84" s="37" t="n">
        <f aca="false">Costs!BB84/FX_EUR</f>
        <v>2921.93949705037</v>
      </c>
      <c r="BC84" s="37" t="n">
        <f aca="false">Costs!BC84/FX_EUR</f>
        <v>2921.93949705037</v>
      </c>
      <c r="BD84" s="37" t="n">
        <f aca="false">Costs!BD84/FX_EUR</f>
        <v>2921.93949705037</v>
      </c>
      <c r="BE84" s="37" t="n">
        <f aca="false">Costs!BE84/FX_EUR</f>
        <v>2921.93949705037</v>
      </c>
      <c r="BF84" s="37" t="n">
        <f aca="false">Costs!BF84/FX_EUR</f>
        <v>2921.93949705037</v>
      </c>
      <c r="BG84" s="37" t="n">
        <f aca="false">Costs!BG84/FX_EUR</f>
        <v>2921.93949705037</v>
      </c>
      <c r="BH84" s="37" t="n">
        <f aca="false">Costs!BH84/FX_EUR</f>
        <v>2921.93949705037</v>
      </c>
      <c r="BI84" s="37" t="n">
        <f aca="false">Costs!BI84/FX_EUR</f>
        <v>2921.93949705037</v>
      </c>
      <c r="BJ84" s="37" t="n">
        <f aca="false">Costs!BJ84/FX_EUR</f>
        <v>2921.93949705037</v>
      </c>
      <c r="BK84" s="37" t="n">
        <f aca="false">Costs!BK84/FX_EUR</f>
        <v>2921.93949705037</v>
      </c>
      <c r="BL84" s="37" t="n">
        <f aca="false">Costs!BL84/FX_EUR</f>
        <v>2921.93949705037</v>
      </c>
    </row>
    <row r="85" customFormat="false" ht="15" hidden="false" customHeight="false" outlineLevel="0" collapsed="false">
      <c r="A85" s="12" t="s">
        <v>482</v>
      </c>
      <c r="B85" s="14" t="s">
        <v>73</v>
      </c>
      <c r="D85" s="55" t="n">
        <f aca="false">Costs!D85/FX_EUR</f>
        <v>52137.5638951944</v>
      </c>
      <c r="E85" s="37" t="n">
        <f aca="false">Costs!E85/FX_EUR</f>
        <v>457.347051712231</v>
      </c>
      <c r="F85" s="37" t="n">
        <f aca="false">Costs!F85/FX_EUR</f>
        <v>457.347051712231</v>
      </c>
      <c r="G85" s="37" t="n">
        <f aca="false">Costs!G85/FX_EUR</f>
        <v>457.347051712231</v>
      </c>
      <c r="H85" s="37" t="n">
        <f aca="false">Costs!H85/FX_EUR</f>
        <v>457.347051712231</v>
      </c>
      <c r="I85" s="37" t="n">
        <f aca="false">Costs!I85/FX_EUR</f>
        <v>457.347051712231</v>
      </c>
      <c r="J85" s="37" t="n">
        <f aca="false">Costs!J85/FX_EUR</f>
        <v>457.347051712231</v>
      </c>
      <c r="K85" s="37" t="n">
        <f aca="false">Costs!K85/FX_EUR</f>
        <v>457.347051712231</v>
      </c>
      <c r="L85" s="37" t="n">
        <f aca="false">Costs!L85/FX_EUR</f>
        <v>457.347051712231</v>
      </c>
      <c r="M85" s="37" t="n">
        <f aca="false">Costs!M85/FX_EUR</f>
        <v>457.347051712231</v>
      </c>
      <c r="N85" s="37" t="n">
        <f aca="false">Costs!N85/FX_EUR</f>
        <v>457.347051712231</v>
      </c>
      <c r="O85" s="37" t="n">
        <f aca="false">Costs!O85/FX_EUR</f>
        <v>457.347051712231</v>
      </c>
      <c r="P85" s="37" t="n">
        <f aca="false">Costs!P85/FX_EUR</f>
        <v>457.347051712231</v>
      </c>
      <c r="Q85" s="37" t="n">
        <f aca="false">Costs!Q85/FX_EUR</f>
        <v>686.020577568347</v>
      </c>
      <c r="R85" s="37" t="n">
        <f aca="false">Costs!R85/FX_EUR</f>
        <v>686.020577568347</v>
      </c>
      <c r="S85" s="37" t="n">
        <f aca="false">Costs!S85/FX_EUR</f>
        <v>686.020577568347</v>
      </c>
      <c r="T85" s="37" t="n">
        <f aca="false">Costs!T85/FX_EUR</f>
        <v>686.020577568347</v>
      </c>
      <c r="U85" s="37" t="n">
        <f aca="false">Costs!U85/FX_EUR</f>
        <v>686.020577568347</v>
      </c>
      <c r="V85" s="37" t="n">
        <f aca="false">Costs!V85/FX_EUR</f>
        <v>686.020577568347</v>
      </c>
      <c r="W85" s="37" t="n">
        <f aca="false">Costs!W85/FX_EUR</f>
        <v>686.020577568347</v>
      </c>
      <c r="X85" s="37" t="n">
        <f aca="false">Costs!X85/FX_EUR</f>
        <v>686.020577568347</v>
      </c>
      <c r="Y85" s="37" t="n">
        <f aca="false">Costs!Y85/FX_EUR</f>
        <v>686.020577568347</v>
      </c>
      <c r="Z85" s="37" t="n">
        <f aca="false">Costs!Z85/FX_EUR</f>
        <v>686.020577568347</v>
      </c>
      <c r="AA85" s="37" t="n">
        <f aca="false">Costs!AA85/FX_EUR</f>
        <v>686.020577568347</v>
      </c>
      <c r="AB85" s="37" t="n">
        <f aca="false">Costs!AB85/FX_EUR</f>
        <v>686.020577568347</v>
      </c>
      <c r="AC85" s="37" t="n">
        <f aca="false">Costs!AC85/FX_EUR</f>
        <v>914.694103424462</v>
      </c>
      <c r="AD85" s="37" t="n">
        <f aca="false">Costs!AD85/FX_EUR</f>
        <v>914.694103424462</v>
      </c>
      <c r="AE85" s="37" t="n">
        <f aca="false">Costs!AE85/FX_EUR</f>
        <v>914.694103424462</v>
      </c>
      <c r="AF85" s="37" t="n">
        <f aca="false">Costs!AF85/FX_EUR</f>
        <v>914.694103424462</v>
      </c>
      <c r="AG85" s="37" t="n">
        <f aca="false">Costs!AG85/FX_EUR</f>
        <v>914.694103424462</v>
      </c>
      <c r="AH85" s="37" t="n">
        <f aca="false">Costs!AH85/FX_EUR</f>
        <v>914.694103424462</v>
      </c>
      <c r="AI85" s="37" t="n">
        <f aca="false">Costs!AI85/FX_EUR</f>
        <v>914.694103424462</v>
      </c>
      <c r="AJ85" s="37" t="n">
        <f aca="false">Costs!AJ85/FX_EUR</f>
        <v>914.694103424462</v>
      </c>
      <c r="AK85" s="37" t="n">
        <f aca="false">Costs!AK85/FX_EUR</f>
        <v>914.694103424462</v>
      </c>
      <c r="AL85" s="37" t="n">
        <f aca="false">Costs!AL85/FX_EUR</f>
        <v>914.694103424462</v>
      </c>
      <c r="AM85" s="37" t="n">
        <f aca="false">Costs!AM85/FX_EUR</f>
        <v>914.694103424462</v>
      </c>
      <c r="AN85" s="37" t="n">
        <f aca="false">Costs!AN85/FX_EUR</f>
        <v>914.694103424462</v>
      </c>
      <c r="AO85" s="37" t="n">
        <f aca="false">Costs!AO85/FX_EUR</f>
        <v>1067.14312066187</v>
      </c>
      <c r="AP85" s="37" t="n">
        <f aca="false">Costs!AP85/FX_EUR</f>
        <v>1067.14312066187</v>
      </c>
      <c r="AQ85" s="37" t="n">
        <f aca="false">Costs!AQ85/FX_EUR</f>
        <v>1067.14312066187</v>
      </c>
      <c r="AR85" s="37" t="n">
        <f aca="false">Costs!AR85/FX_EUR</f>
        <v>1067.14312066187</v>
      </c>
      <c r="AS85" s="37" t="n">
        <f aca="false">Costs!AS85/FX_EUR</f>
        <v>1067.14312066187</v>
      </c>
      <c r="AT85" s="37" t="n">
        <f aca="false">Costs!AT85/FX_EUR</f>
        <v>1067.14312066187</v>
      </c>
      <c r="AU85" s="37" t="n">
        <f aca="false">Costs!AU85/FX_EUR</f>
        <v>1067.14312066187</v>
      </c>
      <c r="AV85" s="37" t="n">
        <f aca="false">Costs!AV85/FX_EUR</f>
        <v>1067.14312066187</v>
      </c>
      <c r="AW85" s="37" t="n">
        <f aca="false">Costs!AW85/FX_EUR</f>
        <v>1067.14312066187</v>
      </c>
      <c r="AX85" s="37" t="n">
        <f aca="false">Costs!AX85/FX_EUR</f>
        <v>1067.14312066187</v>
      </c>
      <c r="AY85" s="37" t="n">
        <f aca="false">Costs!AY85/FX_EUR</f>
        <v>1067.14312066187</v>
      </c>
      <c r="AZ85" s="37" t="n">
        <f aca="false">Costs!AZ85/FX_EUR</f>
        <v>1067.14312066187</v>
      </c>
      <c r="BA85" s="37" t="n">
        <f aca="false">Costs!BA85/FX_EUR</f>
        <v>1219.59213789928</v>
      </c>
      <c r="BB85" s="37" t="n">
        <f aca="false">Costs!BB85/FX_EUR</f>
        <v>1219.59213789928</v>
      </c>
      <c r="BC85" s="37" t="n">
        <f aca="false">Costs!BC85/FX_EUR</f>
        <v>1219.59213789928</v>
      </c>
      <c r="BD85" s="37" t="n">
        <f aca="false">Costs!BD85/FX_EUR</f>
        <v>1219.59213789928</v>
      </c>
      <c r="BE85" s="37" t="n">
        <f aca="false">Costs!BE85/FX_EUR</f>
        <v>1219.59213789928</v>
      </c>
      <c r="BF85" s="37" t="n">
        <f aca="false">Costs!BF85/FX_EUR</f>
        <v>1219.59213789928</v>
      </c>
      <c r="BG85" s="37" t="n">
        <f aca="false">Costs!BG85/FX_EUR</f>
        <v>1219.59213789928</v>
      </c>
      <c r="BH85" s="37" t="n">
        <f aca="false">Costs!BH85/FX_EUR</f>
        <v>1219.59213789928</v>
      </c>
      <c r="BI85" s="37" t="n">
        <f aca="false">Costs!BI85/FX_EUR</f>
        <v>1219.59213789928</v>
      </c>
      <c r="BJ85" s="37" t="n">
        <f aca="false">Costs!BJ85/FX_EUR</f>
        <v>1219.59213789928</v>
      </c>
      <c r="BK85" s="37" t="n">
        <f aca="false">Costs!BK85/FX_EUR</f>
        <v>1219.59213789928</v>
      </c>
      <c r="BL85" s="37" t="n">
        <f aca="false">Costs!BL85/FX_EUR</f>
        <v>1219.59213789928</v>
      </c>
    </row>
    <row r="86" customFormat="false" ht="15" hidden="false" customHeight="false" outlineLevel="0" collapsed="false">
      <c r="A86" s="8" t="s">
        <v>843</v>
      </c>
      <c r="B86" s="14" t="s">
        <v>73</v>
      </c>
      <c r="D86" s="55" t="n">
        <f aca="false">Costs!D86/FX_EUR</f>
        <v>187009.327745569</v>
      </c>
      <c r="E86" s="16" t="n">
        <f aca="false">Costs!E86/FX_EUR</f>
        <v>4324.3115021259</v>
      </c>
      <c r="F86" s="16" t="n">
        <f aca="false">Costs!F86/FX_EUR</f>
        <v>1124.3115021259</v>
      </c>
      <c r="G86" s="16" t="n">
        <f aca="false">Costs!G86/FX_EUR</f>
        <v>1124.3115021259</v>
      </c>
      <c r="H86" s="16" t="n">
        <f aca="false">Costs!H86/FX_EUR</f>
        <v>1124.3115021259</v>
      </c>
      <c r="I86" s="16" t="n">
        <f aca="false">Costs!I86/FX_EUR</f>
        <v>1124.3115021259</v>
      </c>
      <c r="J86" s="16" t="n">
        <f aca="false">Costs!J86/FX_EUR</f>
        <v>1124.3115021259</v>
      </c>
      <c r="K86" s="16" t="n">
        <f aca="false">Costs!K86/FX_EUR</f>
        <v>1124.3115021259</v>
      </c>
      <c r="L86" s="16" t="n">
        <f aca="false">Costs!L86/FX_EUR</f>
        <v>1124.3115021259</v>
      </c>
      <c r="M86" s="16" t="n">
        <f aca="false">Costs!M86/FX_EUR</f>
        <v>1124.3115021259</v>
      </c>
      <c r="N86" s="16" t="n">
        <f aca="false">Costs!N86/FX_EUR</f>
        <v>1124.3115021259</v>
      </c>
      <c r="O86" s="16" t="n">
        <f aca="false">Costs!O86/FX_EUR</f>
        <v>1124.3115021259</v>
      </c>
      <c r="P86" s="16" t="n">
        <f aca="false">Costs!P86/FX_EUR</f>
        <v>1124.3115021259</v>
      </c>
      <c r="Q86" s="16" t="n">
        <f aca="false">Costs!Q86/FX_EUR</f>
        <v>3150.25568241008</v>
      </c>
      <c r="R86" s="16" t="n">
        <f aca="false">Costs!R86/FX_EUR</f>
        <v>2350.25568241008</v>
      </c>
      <c r="S86" s="16" t="n">
        <f aca="false">Costs!S86/FX_EUR</f>
        <v>2350.25568241008</v>
      </c>
      <c r="T86" s="16" t="n">
        <f aca="false">Costs!T86/FX_EUR</f>
        <v>3150.25568241008</v>
      </c>
      <c r="U86" s="16" t="n">
        <f aca="false">Costs!U86/FX_EUR</f>
        <v>2350.25568241008</v>
      </c>
      <c r="V86" s="16" t="n">
        <f aca="false">Costs!V86/FX_EUR</f>
        <v>3150.25568241008</v>
      </c>
      <c r="W86" s="16" t="n">
        <f aca="false">Costs!W86/FX_EUR</f>
        <v>2350.25568241008</v>
      </c>
      <c r="X86" s="16" t="n">
        <f aca="false">Costs!X86/FX_EUR</f>
        <v>2350.25568241008</v>
      </c>
      <c r="Y86" s="16" t="n">
        <f aca="false">Costs!Y86/FX_EUR</f>
        <v>2350.25568241008</v>
      </c>
      <c r="Z86" s="16" t="n">
        <f aca="false">Costs!Z86/FX_EUR</f>
        <v>2350.25568241008</v>
      </c>
      <c r="AA86" s="16" t="n">
        <f aca="false">Costs!AA86/FX_EUR</f>
        <v>2350.25568241008</v>
      </c>
      <c r="AB86" s="16" t="n">
        <f aca="false">Costs!AB86/FX_EUR</f>
        <v>3150.25568241008</v>
      </c>
      <c r="AC86" s="16" t="n">
        <f aca="false">Costs!AC86/FX_EUR</f>
        <v>2998.16400566907</v>
      </c>
      <c r="AD86" s="16" t="n">
        <f aca="false">Costs!AD86/FX_EUR</f>
        <v>2998.16400566907</v>
      </c>
      <c r="AE86" s="16" t="n">
        <f aca="false">Costs!AE86/FX_EUR</f>
        <v>3798.16400566907</v>
      </c>
      <c r="AF86" s="16" t="n">
        <f aca="false">Costs!AF86/FX_EUR</f>
        <v>3798.16400566907</v>
      </c>
      <c r="AG86" s="16" t="n">
        <f aca="false">Costs!AG86/FX_EUR</f>
        <v>2998.16400566907</v>
      </c>
      <c r="AH86" s="16" t="n">
        <f aca="false">Costs!AH86/FX_EUR</f>
        <v>2998.16400566907</v>
      </c>
      <c r="AI86" s="16" t="n">
        <f aca="false">Costs!AI86/FX_EUR</f>
        <v>2998.16400566907</v>
      </c>
      <c r="AJ86" s="16" t="n">
        <f aca="false">Costs!AJ86/FX_EUR</f>
        <v>2998.16400566907</v>
      </c>
      <c r="AK86" s="16" t="n">
        <f aca="false">Costs!AK86/FX_EUR</f>
        <v>3798.16400566907</v>
      </c>
      <c r="AL86" s="16" t="n">
        <f aca="false">Costs!AL86/FX_EUR</f>
        <v>2998.16400566907</v>
      </c>
      <c r="AM86" s="16" t="n">
        <f aca="false">Costs!AM86/FX_EUR</f>
        <v>2998.16400566907</v>
      </c>
      <c r="AN86" s="16" t="n">
        <f aca="false">Costs!AN86/FX_EUR</f>
        <v>2998.16400566907</v>
      </c>
      <c r="AO86" s="16" t="n">
        <f aca="false">Costs!AO86/FX_EUR</f>
        <v>5169.84782030936</v>
      </c>
      <c r="AP86" s="16" t="n">
        <f aca="false">Costs!AP86/FX_EUR</f>
        <v>3569.84782030936</v>
      </c>
      <c r="AQ86" s="16" t="n">
        <f aca="false">Costs!AQ86/FX_EUR</f>
        <v>3569.84782030936</v>
      </c>
      <c r="AR86" s="16" t="n">
        <f aca="false">Costs!AR86/FX_EUR</f>
        <v>3569.84782030936</v>
      </c>
      <c r="AS86" s="16" t="n">
        <f aca="false">Costs!AS86/FX_EUR</f>
        <v>4369.84782030936</v>
      </c>
      <c r="AT86" s="16" t="n">
        <f aca="false">Costs!AT86/FX_EUR</f>
        <v>3569.84782030936</v>
      </c>
      <c r="AU86" s="16" t="n">
        <f aca="false">Costs!AU86/FX_EUR</f>
        <v>3569.84782030936</v>
      </c>
      <c r="AV86" s="16" t="n">
        <f aca="false">Costs!AV86/FX_EUR</f>
        <v>3569.84782030936</v>
      </c>
      <c r="AW86" s="16" t="n">
        <f aca="false">Costs!AW86/FX_EUR</f>
        <v>4369.84782030936</v>
      </c>
      <c r="AX86" s="16" t="n">
        <f aca="false">Costs!AX86/FX_EUR</f>
        <v>4369.84782030936</v>
      </c>
      <c r="AY86" s="16" t="n">
        <f aca="false">Costs!AY86/FX_EUR</f>
        <v>3569.84782030936</v>
      </c>
      <c r="AZ86" s="16" t="n">
        <f aca="false">Costs!AZ86/FX_EUR</f>
        <v>3569.84782030936</v>
      </c>
      <c r="BA86" s="16" t="n">
        <f aca="false">Costs!BA86/FX_EUR</f>
        <v>4141.53163494965</v>
      </c>
      <c r="BB86" s="16" t="n">
        <f aca="false">Costs!BB86/FX_EUR</f>
        <v>4941.53163494965</v>
      </c>
      <c r="BC86" s="16" t="n">
        <f aca="false">Costs!BC86/FX_EUR</f>
        <v>4141.53163494965</v>
      </c>
      <c r="BD86" s="16" t="n">
        <f aca="false">Costs!BD86/FX_EUR</f>
        <v>4941.53163494965</v>
      </c>
      <c r="BE86" s="16" t="n">
        <f aca="false">Costs!BE86/FX_EUR</f>
        <v>4141.53163494965</v>
      </c>
      <c r="BF86" s="16" t="n">
        <f aca="false">Costs!BF86/FX_EUR</f>
        <v>4941.53163494965</v>
      </c>
      <c r="BG86" s="16" t="n">
        <f aca="false">Costs!BG86/FX_EUR</f>
        <v>4141.53163494965</v>
      </c>
      <c r="BH86" s="16" t="n">
        <f aca="false">Costs!BH86/FX_EUR</f>
        <v>4141.53163494965</v>
      </c>
      <c r="BI86" s="16" t="n">
        <f aca="false">Costs!BI86/FX_EUR</f>
        <v>4141.53163494965</v>
      </c>
      <c r="BJ86" s="16" t="n">
        <f aca="false">Costs!BJ86/FX_EUR</f>
        <v>5741.53163494965</v>
      </c>
      <c r="BK86" s="16" t="n">
        <f aca="false">Costs!BK86/FX_EUR</f>
        <v>4141.53163494965</v>
      </c>
      <c r="BL86" s="16" t="n">
        <f aca="false">Costs!BL86/FX_EUR</f>
        <v>4141.53163494965</v>
      </c>
    </row>
    <row r="88" customFormat="false" ht="15" hidden="false" customHeight="false" outlineLevel="0" collapsed="false">
      <c r="A88" s="10" t="s">
        <v>844</v>
      </c>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c r="BC88" s="11"/>
      <c r="BD88" s="11"/>
      <c r="BE88" s="11"/>
      <c r="BF88" s="11"/>
      <c r="BG88" s="11"/>
      <c r="BH88" s="11"/>
      <c r="BI88" s="11"/>
      <c r="BJ88" s="11"/>
      <c r="BK88" s="11"/>
      <c r="BL88" s="11"/>
    </row>
    <row r="89" customFormat="false" ht="15" hidden="false" customHeight="false" outlineLevel="0" collapsed="false">
      <c r="A89" s="12" t="s">
        <v>845</v>
      </c>
      <c r="B89" s="14" t="s">
        <v>73</v>
      </c>
      <c r="D89" s="55" t="n">
        <f aca="false">Costs!D89/FX_EUR</f>
        <v>7574524.13455334</v>
      </c>
      <c r="E89" s="37" t="n">
        <f aca="false">Costs!E89/FX_EUR</f>
        <v>46516.8256455835</v>
      </c>
      <c r="F89" s="37" t="n">
        <f aca="false">Costs!F89/FX_EUR</f>
        <v>58720.3399003288</v>
      </c>
      <c r="G89" s="37" t="n">
        <f aca="false">Costs!G89/FX_EUR</f>
        <v>80063.2023135663</v>
      </c>
      <c r="H89" s="37" t="n">
        <f aca="false">Costs!H89/FX_EUR</f>
        <v>53401.4363746404</v>
      </c>
      <c r="I89" s="37" t="n">
        <f aca="false">Costs!I89/FX_EUR</f>
        <v>52367.3946615403</v>
      </c>
      <c r="J89" s="37" t="n">
        <f aca="false">Costs!J89/FX_EUR</f>
        <v>51496.9720576196</v>
      </c>
      <c r="K89" s="37" t="n">
        <f aca="false">Costs!K89/FX_EUR</f>
        <v>51128.5964701192</v>
      </c>
      <c r="L89" s="37" t="n">
        <f aca="false">Costs!L89/FX_EUR</f>
        <v>50762.0707770507</v>
      </c>
      <c r="M89" s="37" t="n">
        <f aca="false">Costs!M89/FX_EUR</f>
        <v>50397.190824283</v>
      </c>
      <c r="N89" s="37" t="n">
        <f aca="false">Costs!N89/FX_EUR</f>
        <v>50033.7449242676</v>
      </c>
      <c r="O89" s="37" t="n">
        <f aca="false">Costs!O89/FX_EUR</f>
        <v>49671.5133260938</v>
      </c>
      <c r="P89" s="37" t="n">
        <f aca="false">Costs!P89/FX_EUR</f>
        <v>49310.2676551276</v>
      </c>
      <c r="Q89" s="37" t="n">
        <f aca="false">Costs!Q89/FX_EUR</f>
        <v>70021.0771286031</v>
      </c>
      <c r="R89" s="37" t="n">
        <f aca="false">Costs!R89/FX_EUR</f>
        <v>68242.7935215715</v>
      </c>
      <c r="S89" s="37" t="n">
        <f aca="false">Costs!S89/FX_EUR</f>
        <v>75655.5988031772</v>
      </c>
      <c r="T89" s="37" t="n">
        <f aca="false">Costs!T89/FX_EUR</f>
        <v>107229.06156895</v>
      </c>
      <c r="U89" s="37" t="n">
        <f aca="false">Costs!U89/FX_EUR</f>
        <v>69689.6045288927</v>
      </c>
      <c r="V89" s="37" t="n">
        <f aca="false">Costs!V89/FX_EUR</f>
        <v>82704.5901866074</v>
      </c>
      <c r="W89" s="37" t="n">
        <f aca="false">Costs!W89/FX_EUR</f>
        <v>85809.6259189834</v>
      </c>
      <c r="X89" s="37" t="n">
        <f aca="false">Costs!X89/FX_EUR</f>
        <v>85375.0472184532</v>
      </c>
      <c r="Y89" s="37" t="n">
        <f aca="false">Costs!Y89/FX_EUR</f>
        <v>85444.3937958912</v>
      </c>
      <c r="Z89" s="37" t="n">
        <f aca="false">Costs!Z89/FX_EUR</f>
        <v>85517.9011679755</v>
      </c>
      <c r="AA89" s="37" t="n">
        <f aca="false">Costs!AA89/FX_EUR</f>
        <v>88709.8359072747</v>
      </c>
      <c r="AB89" s="37" t="n">
        <f aca="false">Costs!AB89/FX_EUR</f>
        <v>97110.8310638684</v>
      </c>
      <c r="AC89" s="37" t="n">
        <f aca="false">Costs!AC89/FX_EUR</f>
        <v>110808.681059213</v>
      </c>
      <c r="AD89" s="37" t="n">
        <f aca="false">Costs!AD89/FX_EUR</f>
        <v>110901.48242286</v>
      </c>
      <c r="AE89" s="37" t="n">
        <f aca="false">Costs!AE89/FX_EUR</f>
        <v>119717.521471668</v>
      </c>
      <c r="AF89" s="37" t="n">
        <f aca="false">Costs!AF89/FX_EUR</f>
        <v>128029.950935672</v>
      </c>
      <c r="AG89" s="37" t="n">
        <f aca="false">Costs!AG89/FX_EUR</f>
        <v>122107.781884277</v>
      </c>
      <c r="AH89" s="37" t="n">
        <f aca="false">Costs!AH89/FX_EUR</f>
        <v>120724.941467738</v>
      </c>
      <c r="AI89" s="37" t="n">
        <f aca="false">Costs!AI89/FX_EUR</f>
        <v>124030.777746368</v>
      </c>
      <c r="AJ89" s="37" t="n">
        <f aca="false">Costs!AJ89/FX_EUR</f>
        <v>124532.200267494</v>
      </c>
      <c r="AK89" s="37" t="n">
        <f aca="false">Costs!AK89/FX_EUR</f>
        <v>127106.262657943</v>
      </c>
      <c r="AL89" s="37" t="n">
        <f aca="false">Costs!AL89/FX_EUR</f>
        <v>129135.821052867</v>
      </c>
      <c r="AM89" s="37" t="n">
        <f aca="false">Costs!AM89/FX_EUR</f>
        <v>130213.720888104</v>
      </c>
      <c r="AN89" s="37" t="n">
        <f aca="false">Costs!AN89/FX_EUR</f>
        <v>131249.696009576</v>
      </c>
      <c r="AO89" s="37" t="n">
        <f aca="false">Costs!AO89/FX_EUR</f>
        <v>153614.928763229</v>
      </c>
      <c r="AP89" s="37" t="n">
        <f aca="false">Costs!AP89/FX_EUR</f>
        <v>148933.254739786</v>
      </c>
      <c r="AQ89" s="37" t="n">
        <f aca="false">Costs!AQ89/FX_EUR</f>
        <v>152383.852216086</v>
      </c>
      <c r="AR89" s="37" t="n">
        <f aca="false">Costs!AR89/FX_EUR</f>
        <v>161832.804393418</v>
      </c>
      <c r="AS89" s="37" t="n">
        <f aca="false">Costs!AS89/FX_EUR</f>
        <v>160880.051582375</v>
      </c>
      <c r="AT89" s="37" t="n">
        <f aca="false">Costs!AT89/FX_EUR</f>
        <v>158129.493598771</v>
      </c>
      <c r="AU89" s="37" t="n">
        <f aca="false">Costs!AU89/FX_EUR</f>
        <v>159578.996343546</v>
      </c>
      <c r="AV89" s="37" t="n">
        <f aca="false">Costs!AV89/FX_EUR</f>
        <v>162387.208218366</v>
      </c>
      <c r="AW89" s="37" t="n">
        <f aca="false">Costs!AW89/FX_EUR</f>
        <v>168510.309673915</v>
      </c>
      <c r="AX89" s="37" t="n">
        <f aca="false">Costs!AX89/FX_EUR</f>
        <v>173727.327857526</v>
      </c>
      <c r="AY89" s="37" t="n">
        <f aca="false">Costs!AY89/FX_EUR</f>
        <v>170993.492428475</v>
      </c>
      <c r="AZ89" s="37" t="n">
        <f aca="false">Costs!AZ89/FX_EUR</f>
        <v>174316.285698879</v>
      </c>
      <c r="BA89" s="37" t="n">
        <f aca="false">Costs!BA89/FX_EUR</f>
        <v>188118.203414533</v>
      </c>
      <c r="BB89" s="37" t="n">
        <f aca="false">Costs!BB89/FX_EUR</f>
        <v>194093.127040329</v>
      </c>
      <c r="BC89" s="37" t="n">
        <f aca="false">Costs!BC89/FX_EUR</f>
        <v>195324.326178824</v>
      </c>
      <c r="BD89" s="37" t="n">
        <f aca="false">Costs!BD89/FX_EUR</f>
        <v>212386.9078898</v>
      </c>
      <c r="BE89" s="37" t="n">
        <f aca="false">Costs!BE89/FX_EUR</f>
        <v>201496.084009874</v>
      </c>
      <c r="BF89" s="37" t="n">
        <f aca="false">Costs!BF89/FX_EUR</f>
        <v>209513.58750474</v>
      </c>
      <c r="BG89" s="37" t="n">
        <f aca="false">Costs!BG89/FX_EUR</f>
        <v>208244.815790102</v>
      </c>
      <c r="BH89" s="37" t="n">
        <f aca="false">Costs!BH89/FX_EUR</f>
        <v>211183.820556037</v>
      </c>
      <c r="BI89" s="37" t="n">
        <f aca="false">Costs!BI89/FX_EUR</f>
        <v>211728.083236866</v>
      </c>
      <c r="BJ89" s="37" t="n">
        <f aca="false">Costs!BJ89/FX_EUR</f>
        <v>225576.474264972</v>
      </c>
      <c r="BK89" s="37" t="n">
        <f aca="false">Costs!BK89/FX_EUR</f>
        <v>223603.086768645</v>
      </c>
      <c r="BL89" s="37" t="n">
        <f aca="false">Costs!BL89/FX_EUR</f>
        <v>224028.858779996</v>
      </c>
    </row>
    <row r="90" customFormat="false" ht="15" hidden="false" customHeight="false" outlineLevel="0" collapsed="false">
      <c r="A90" s="12" t="s">
        <v>846</v>
      </c>
      <c r="B90" s="14" t="s">
        <v>73</v>
      </c>
      <c r="D90" s="55" t="n">
        <f aca="false">Costs!D90/FX_EUR</f>
        <v>378726.206727667</v>
      </c>
      <c r="E90" s="37" t="n">
        <f aca="false">Costs!E90/FX_EUR</f>
        <v>2325.84128227917</v>
      </c>
      <c r="F90" s="37" t="n">
        <f aca="false">Costs!F90/FX_EUR</f>
        <v>2936.01699501644</v>
      </c>
      <c r="G90" s="37" t="n">
        <f aca="false">Costs!G90/FX_EUR</f>
        <v>4003.16011567832</v>
      </c>
      <c r="H90" s="37" t="n">
        <f aca="false">Costs!H90/FX_EUR</f>
        <v>2670.07181873202</v>
      </c>
      <c r="I90" s="37" t="n">
        <f aca="false">Costs!I90/FX_EUR</f>
        <v>2618.36973307702</v>
      </c>
      <c r="J90" s="37" t="n">
        <f aca="false">Costs!J90/FX_EUR</f>
        <v>2574.84860288098</v>
      </c>
      <c r="K90" s="37" t="n">
        <f aca="false">Costs!K90/FX_EUR</f>
        <v>2556.42982350596</v>
      </c>
      <c r="L90" s="37" t="n">
        <f aca="false">Costs!L90/FX_EUR</f>
        <v>2538.10353885254</v>
      </c>
      <c r="M90" s="37" t="n">
        <f aca="false">Costs!M90/FX_EUR</f>
        <v>2519.85954121415</v>
      </c>
      <c r="N90" s="37" t="n">
        <f aca="false">Costs!N90/FX_EUR</f>
        <v>2501.68724621338</v>
      </c>
      <c r="O90" s="37" t="n">
        <f aca="false">Costs!O90/FX_EUR</f>
        <v>2483.57566630469</v>
      </c>
      <c r="P90" s="37" t="n">
        <f aca="false">Costs!P90/FX_EUR</f>
        <v>2465.51338275638</v>
      </c>
      <c r="Q90" s="37" t="n">
        <f aca="false">Costs!Q90/FX_EUR</f>
        <v>3501.05385643015</v>
      </c>
      <c r="R90" s="37" t="n">
        <f aca="false">Costs!R90/FX_EUR</f>
        <v>3412.13967607857</v>
      </c>
      <c r="S90" s="37" t="n">
        <f aca="false">Costs!S90/FX_EUR</f>
        <v>3782.77994015886</v>
      </c>
      <c r="T90" s="37" t="n">
        <f aca="false">Costs!T90/FX_EUR</f>
        <v>5361.45307844751</v>
      </c>
      <c r="U90" s="37" t="n">
        <f aca="false">Costs!U90/FX_EUR</f>
        <v>3484.48022644464</v>
      </c>
      <c r="V90" s="37" t="n">
        <f aca="false">Costs!V90/FX_EUR</f>
        <v>4135.22950933037</v>
      </c>
      <c r="W90" s="37" t="n">
        <f aca="false">Costs!W90/FX_EUR</f>
        <v>4290.48129594917</v>
      </c>
      <c r="X90" s="37" t="n">
        <f aca="false">Costs!X90/FX_EUR</f>
        <v>4268.75236092266</v>
      </c>
      <c r="Y90" s="37" t="n">
        <f aca="false">Costs!Y90/FX_EUR</f>
        <v>4272.21968979456</v>
      </c>
      <c r="Z90" s="37" t="n">
        <f aca="false">Costs!Z90/FX_EUR</f>
        <v>4275.89505839878</v>
      </c>
      <c r="AA90" s="37" t="n">
        <f aca="false">Costs!AA90/FX_EUR</f>
        <v>4435.49179536374</v>
      </c>
      <c r="AB90" s="37" t="n">
        <f aca="false">Costs!AB90/FX_EUR</f>
        <v>4855.54155319342</v>
      </c>
      <c r="AC90" s="37" t="n">
        <f aca="false">Costs!AC90/FX_EUR</f>
        <v>5540.43405296066</v>
      </c>
      <c r="AD90" s="37" t="n">
        <f aca="false">Costs!AD90/FX_EUR</f>
        <v>5545.07412114299</v>
      </c>
      <c r="AE90" s="37" t="n">
        <f aca="false">Costs!AE90/FX_EUR</f>
        <v>5985.8760735834</v>
      </c>
      <c r="AF90" s="37" t="n">
        <f aca="false">Costs!AF90/FX_EUR</f>
        <v>6401.49754678358</v>
      </c>
      <c r="AG90" s="37" t="n">
        <f aca="false">Costs!AG90/FX_EUR</f>
        <v>6105.38909421387</v>
      </c>
      <c r="AH90" s="37" t="n">
        <f aca="false">Costs!AH90/FX_EUR</f>
        <v>6036.24707338689</v>
      </c>
      <c r="AI90" s="37" t="n">
        <f aca="false">Costs!AI90/FX_EUR</f>
        <v>6201.53888731838</v>
      </c>
      <c r="AJ90" s="37" t="n">
        <f aca="false">Costs!AJ90/FX_EUR</f>
        <v>6226.61001337469</v>
      </c>
      <c r="AK90" s="37" t="n">
        <f aca="false">Costs!AK90/FX_EUR</f>
        <v>6355.31313289715</v>
      </c>
      <c r="AL90" s="37" t="n">
        <f aca="false">Costs!AL90/FX_EUR</f>
        <v>6456.79105264334</v>
      </c>
      <c r="AM90" s="37" t="n">
        <f aca="false">Costs!AM90/FX_EUR</f>
        <v>6510.68604440518</v>
      </c>
      <c r="AN90" s="37" t="n">
        <f aca="false">Costs!AN90/FX_EUR</f>
        <v>6562.48480047882</v>
      </c>
      <c r="AO90" s="37" t="n">
        <f aca="false">Costs!AO90/FX_EUR</f>
        <v>7680.74643816146</v>
      </c>
      <c r="AP90" s="37" t="n">
        <f aca="false">Costs!AP90/FX_EUR</f>
        <v>7446.66273698932</v>
      </c>
      <c r="AQ90" s="37" t="n">
        <f aca="false">Costs!AQ90/FX_EUR</f>
        <v>7619.19261080428</v>
      </c>
      <c r="AR90" s="37" t="n">
        <f aca="false">Costs!AR90/FX_EUR</f>
        <v>8091.6402196709</v>
      </c>
      <c r="AS90" s="37" t="n">
        <f aca="false">Costs!AS90/FX_EUR</f>
        <v>8044.00257911876</v>
      </c>
      <c r="AT90" s="37" t="n">
        <f aca="false">Costs!AT90/FX_EUR</f>
        <v>7906.47467993857</v>
      </c>
      <c r="AU90" s="37" t="n">
        <f aca="false">Costs!AU90/FX_EUR</f>
        <v>7978.94981717731</v>
      </c>
      <c r="AV90" s="37" t="n">
        <f aca="false">Costs!AV90/FX_EUR</f>
        <v>8119.36041091831</v>
      </c>
      <c r="AW90" s="37" t="n">
        <f aca="false">Costs!AW90/FX_EUR</f>
        <v>8425.51548369577</v>
      </c>
      <c r="AX90" s="37" t="n">
        <f aca="false">Costs!AX90/FX_EUR</f>
        <v>8686.36639287628</v>
      </c>
      <c r="AY90" s="37" t="n">
        <f aca="false">Costs!AY90/FX_EUR</f>
        <v>8549.67462142376</v>
      </c>
      <c r="AZ90" s="37" t="n">
        <f aca="false">Costs!AZ90/FX_EUR</f>
        <v>8715.81428494395</v>
      </c>
      <c r="BA90" s="37" t="n">
        <f aca="false">Costs!BA90/FX_EUR</f>
        <v>9405.91017072666</v>
      </c>
      <c r="BB90" s="37" t="n">
        <f aca="false">Costs!BB90/FX_EUR</f>
        <v>9704.65635201646</v>
      </c>
      <c r="BC90" s="37" t="n">
        <f aca="false">Costs!BC90/FX_EUR</f>
        <v>9766.2163089412</v>
      </c>
      <c r="BD90" s="37" t="n">
        <f aca="false">Costs!BD90/FX_EUR</f>
        <v>10619.34539449</v>
      </c>
      <c r="BE90" s="37" t="n">
        <f aca="false">Costs!BE90/FX_EUR</f>
        <v>10074.8042004937</v>
      </c>
      <c r="BF90" s="37" t="n">
        <f aca="false">Costs!BF90/FX_EUR</f>
        <v>10475.679375237</v>
      </c>
      <c r="BG90" s="37" t="n">
        <f aca="false">Costs!BG90/FX_EUR</f>
        <v>10412.2407895051</v>
      </c>
      <c r="BH90" s="37" t="n">
        <f aca="false">Costs!BH90/FX_EUR</f>
        <v>10559.1910278018</v>
      </c>
      <c r="BI90" s="37" t="n">
        <f aca="false">Costs!BI90/FX_EUR</f>
        <v>10586.4041618433</v>
      </c>
      <c r="BJ90" s="37" t="n">
        <f aca="false">Costs!BJ90/FX_EUR</f>
        <v>11278.8237132486</v>
      </c>
      <c r="BK90" s="37" t="n">
        <f aca="false">Costs!BK90/FX_EUR</f>
        <v>11180.1543384322</v>
      </c>
      <c r="BL90" s="37" t="n">
        <f aca="false">Costs!BL90/FX_EUR</f>
        <v>11201.4429389998</v>
      </c>
    </row>
    <row r="91" customFormat="false" ht="15" hidden="false" customHeight="false" outlineLevel="0" collapsed="false">
      <c r="A91" s="8" t="s">
        <v>847</v>
      </c>
      <c r="B91" s="14" t="s">
        <v>73</v>
      </c>
      <c r="D91" s="55" t="n">
        <f aca="false">Costs!D91/FX_EUR</f>
        <v>7953250.34128101</v>
      </c>
      <c r="E91" s="16" t="n">
        <f aca="false">Costs!E91/FX_EUR</f>
        <v>48842.6669278627</v>
      </c>
      <c r="F91" s="16" t="n">
        <f aca="false">Costs!F91/FX_EUR</f>
        <v>61656.3568953453</v>
      </c>
      <c r="G91" s="16" t="n">
        <f aca="false">Costs!G91/FX_EUR</f>
        <v>84066.3624292446</v>
      </c>
      <c r="H91" s="16" t="n">
        <f aca="false">Costs!H91/FX_EUR</f>
        <v>56071.5081933724</v>
      </c>
      <c r="I91" s="16" t="n">
        <f aca="false">Costs!I91/FX_EUR</f>
        <v>54985.7643946173</v>
      </c>
      <c r="J91" s="16" t="n">
        <f aca="false">Costs!J91/FX_EUR</f>
        <v>54071.8206605006</v>
      </c>
      <c r="K91" s="16" t="n">
        <f aca="false">Costs!K91/FX_EUR</f>
        <v>53685.0262936252</v>
      </c>
      <c r="L91" s="16" t="n">
        <f aca="false">Costs!L91/FX_EUR</f>
        <v>53300.1743159033</v>
      </c>
      <c r="M91" s="16" t="n">
        <f aca="false">Costs!M91/FX_EUR</f>
        <v>52917.0503654972</v>
      </c>
      <c r="N91" s="16" t="n">
        <f aca="false">Costs!N91/FX_EUR</f>
        <v>52535.4321704809</v>
      </c>
      <c r="O91" s="16" t="n">
        <f aca="false">Costs!O91/FX_EUR</f>
        <v>52155.0889923985</v>
      </c>
      <c r="P91" s="16" t="n">
        <f aca="false">Costs!P91/FX_EUR</f>
        <v>51775.781037884</v>
      </c>
      <c r="Q91" s="16" t="n">
        <f aca="false">Costs!Q91/FX_EUR</f>
        <v>73522.1309850332</v>
      </c>
      <c r="R91" s="16" t="n">
        <f aca="false">Costs!R91/FX_EUR</f>
        <v>71654.93319765</v>
      </c>
      <c r="S91" s="16" t="n">
        <f aca="false">Costs!S91/FX_EUR</f>
        <v>79438.3787433361</v>
      </c>
      <c r="T91" s="16" t="n">
        <f aca="false">Costs!T91/FX_EUR</f>
        <v>112590.514647398</v>
      </c>
      <c r="U91" s="16" t="n">
        <f aca="false">Costs!U91/FX_EUR</f>
        <v>73174.0847553374</v>
      </c>
      <c r="V91" s="16" t="n">
        <f aca="false">Costs!V91/FX_EUR</f>
        <v>86839.8196959378</v>
      </c>
      <c r="W91" s="16" t="n">
        <f aca="false">Costs!W91/FX_EUR</f>
        <v>90100.1072149326</v>
      </c>
      <c r="X91" s="16" t="n">
        <f aca="false">Costs!X91/FX_EUR</f>
        <v>89643.7995793759</v>
      </c>
      <c r="Y91" s="16" t="n">
        <f aca="false">Costs!Y91/FX_EUR</f>
        <v>89716.6134856858</v>
      </c>
      <c r="Z91" s="16" t="n">
        <f aca="false">Costs!Z91/FX_EUR</f>
        <v>89793.7962263743</v>
      </c>
      <c r="AA91" s="16" t="n">
        <f aca="false">Costs!AA91/FX_EUR</f>
        <v>93145.3277026385</v>
      </c>
      <c r="AB91" s="16" t="n">
        <f aca="false">Costs!AB91/FX_EUR</f>
        <v>101966.372617062</v>
      </c>
      <c r="AC91" s="16" t="n">
        <f aca="false">Costs!AC91/FX_EUR</f>
        <v>116349.115112174</v>
      </c>
      <c r="AD91" s="16" t="n">
        <f aca="false">Costs!AD91/FX_EUR</f>
        <v>116446.556544003</v>
      </c>
      <c r="AE91" s="16" t="n">
        <f aca="false">Costs!AE91/FX_EUR</f>
        <v>125703.397545251</v>
      </c>
      <c r="AF91" s="16" t="n">
        <f aca="false">Costs!AF91/FX_EUR</f>
        <v>134431.448482455</v>
      </c>
      <c r="AG91" s="16" t="n">
        <f aca="false">Costs!AG91/FX_EUR</f>
        <v>128213.170978491</v>
      </c>
      <c r="AH91" s="16" t="n">
        <f aca="false">Costs!AH91/FX_EUR</f>
        <v>126761.188541125</v>
      </c>
      <c r="AI91" s="16" t="n">
        <f aca="false">Costs!AI91/FX_EUR</f>
        <v>130232.316633686</v>
      </c>
      <c r="AJ91" s="16" t="n">
        <f aca="false">Costs!AJ91/FX_EUR</f>
        <v>130758.810280869</v>
      </c>
      <c r="AK91" s="16" t="n">
        <f aca="false">Costs!AK91/FX_EUR</f>
        <v>133461.57579084</v>
      </c>
      <c r="AL91" s="16" t="n">
        <f aca="false">Costs!AL91/FX_EUR</f>
        <v>135592.61210551</v>
      </c>
      <c r="AM91" s="16" t="n">
        <f aca="false">Costs!AM91/FX_EUR</f>
        <v>136724.406932509</v>
      </c>
      <c r="AN91" s="16" t="n">
        <f aca="false">Costs!AN91/FX_EUR</f>
        <v>137812.180810055</v>
      </c>
      <c r="AO91" s="16" t="n">
        <f aca="false">Costs!AO91/FX_EUR</f>
        <v>161295.675201391</v>
      </c>
      <c r="AP91" s="16" t="n">
        <f aca="false">Costs!AP91/FX_EUR</f>
        <v>156379.917476776</v>
      </c>
      <c r="AQ91" s="16" t="n">
        <f aca="false">Costs!AQ91/FX_EUR</f>
        <v>160003.04482689</v>
      </c>
      <c r="AR91" s="16" t="n">
        <f aca="false">Costs!AR91/FX_EUR</f>
        <v>169924.444613089</v>
      </c>
      <c r="AS91" s="16" t="n">
        <f aca="false">Costs!AS91/FX_EUR</f>
        <v>168924.054161494</v>
      </c>
      <c r="AT91" s="16" t="n">
        <f aca="false">Costs!AT91/FX_EUR</f>
        <v>166035.96827871</v>
      </c>
      <c r="AU91" s="16" t="n">
        <f aca="false">Costs!AU91/FX_EUR</f>
        <v>167557.946160723</v>
      </c>
      <c r="AV91" s="16" t="n">
        <f aca="false">Costs!AV91/FX_EUR</f>
        <v>170506.568629285</v>
      </c>
      <c r="AW91" s="16" t="n">
        <f aca="false">Costs!AW91/FX_EUR</f>
        <v>176935.825157611</v>
      </c>
      <c r="AX91" s="16" t="n">
        <f aca="false">Costs!AX91/FX_EUR</f>
        <v>182413.694250402</v>
      </c>
      <c r="AY91" s="16" t="n">
        <f aca="false">Costs!AY91/FX_EUR</f>
        <v>179543.167049899</v>
      </c>
      <c r="AZ91" s="16" t="n">
        <f aca="false">Costs!AZ91/FX_EUR</f>
        <v>183032.099983823</v>
      </c>
      <c r="BA91" s="16" t="n">
        <f aca="false">Costs!BA91/FX_EUR</f>
        <v>197524.11358526</v>
      </c>
      <c r="BB91" s="16" t="n">
        <f aca="false">Costs!BB91/FX_EUR</f>
        <v>203797.783392346</v>
      </c>
      <c r="BC91" s="16" t="n">
        <f aca="false">Costs!BC91/FX_EUR</f>
        <v>205090.542487765</v>
      </c>
      <c r="BD91" s="16" t="n">
        <f aca="false">Costs!BD91/FX_EUR</f>
        <v>223006.25328429</v>
      </c>
      <c r="BE91" s="16" t="n">
        <f aca="false">Costs!BE91/FX_EUR</f>
        <v>211570.888210368</v>
      </c>
      <c r="BF91" s="16" t="n">
        <f aca="false">Costs!BF91/FX_EUR</f>
        <v>219989.266879977</v>
      </c>
      <c r="BG91" s="16" t="n">
        <f aca="false">Costs!BG91/FX_EUR</f>
        <v>218657.056579607</v>
      </c>
      <c r="BH91" s="16" t="n">
        <f aca="false">Costs!BH91/FX_EUR</f>
        <v>221743.011583839</v>
      </c>
      <c r="BI91" s="16" t="n">
        <f aca="false">Costs!BI91/FX_EUR</f>
        <v>222314.487398709</v>
      </c>
      <c r="BJ91" s="16" t="n">
        <f aca="false">Costs!BJ91/FX_EUR</f>
        <v>236855.297978221</v>
      </c>
      <c r="BK91" s="16" t="n">
        <f aca="false">Costs!BK91/FX_EUR</f>
        <v>234783.241107077</v>
      </c>
      <c r="BL91" s="16" t="n">
        <f aca="false">Costs!BL91/FX_EUR</f>
        <v>235230.301718996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L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16"/>
    <col collapsed="false" customWidth="true" hidden="false" outlineLevel="0" max="3" min="3" style="0" width="3"/>
    <col collapsed="false" customWidth="true" hidden="false" outlineLevel="0" max="4" min="4" style="0" width="16"/>
    <col collapsed="false" customWidth="true" hidden="false" outlineLevel="0" max="64" min="5" style="0" width="12"/>
  </cols>
  <sheetData>
    <row r="1" customFormat="false" ht="17.35" hidden="false" customHeight="false" outlineLevel="0" collapsed="false">
      <c r="A1" s="7" t="s">
        <v>30</v>
      </c>
    </row>
    <row r="2" customFormat="false" ht="15" hidden="false" customHeight="false" outlineLevel="0" collapsed="false">
      <c r="A2" s="2" t="s">
        <v>850</v>
      </c>
    </row>
    <row r="3" customFormat="false" ht="15" hidden="false" customHeight="false" outlineLevel="0" collapsed="false">
      <c r="A3" s="8" t="s">
        <v>680</v>
      </c>
      <c r="D3" s="8" t="s">
        <v>681</v>
      </c>
      <c r="E3" s="20" t="n">
        <v>1</v>
      </c>
      <c r="F3" s="20" t="n">
        <f aca="false">E3+1</f>
        <v>2</v>
      </c>
      <c r="G3" s="20" t="n">
        <f aca="false">F3+1</f>
        <v>3</v>
      </c>
      <c r="H3" s="20" t="n">
        <f aca="false">G3+1</f>
        <v>4</v>
      </c>
      <c r="I3" s="20" t="n">
        <f aca="false">H3+1</f>
        <v>5</v>
      </c>
      <c r="J3" s="20" t="n">
        <f aca="false">I3+1</f>
        <v>6</v>
      </c>
      <c r="K3" s="20" t="n">
        <f aca="false">J3+1</f>
        <v>7</v>
      </c>
      <c r="L3" s="20" t="n">
        <f aca="false">K3+1</f>
        <v>8</v>
      </c>
      <c r="M3" s="20" t="n">
        <f aca="false">L3+1</f>
        <v>9</v>
      </c>
      <c r="N3" s="20" t="n">
        <f aca="false">M3+1</f>
        <v>10</v>
      </c>
      <c r="O3" s="20" t="n">
        <f aca="false">N3+1</f>
        <v>11</v>
      </c>
      <c r="P3" s="20" t="n">
        <f aca="false">O3+1</f>
        <v>12</v>
      </c>
      <c r="Q3" s="20" t="n">
        <f aca="false">P3+1</f>
        <v>13</v>
      </c>
      <c r="R3" s="20" t="n">
        <f aca="false">Q3+1</f>
        <v>14</v>
      </c>
      <c r="S3" s="20" t="n">
        <f aca="false">R3+1</f>
        <v>15</v>
      </c>
      <c r="T3" s="20" t="n">
        <f aca="false">S3+1</f>
        <v>16</v>
      </c>
      <c r="U3" s="20" t="n">
        <f aca="false">T3+1</f>
        <v>17</v>
      </c>
      <c r="V3" s="20" t="n">
        <f aca="false">U3+1</f>
        <v>18</v>
      </c>
      <c r="W3" s="20" t="n">
        <f aca="false">V3+1</f>
        <v>19</v>
      </c>
      <c r="X3" s="20" t="n">
        <f aca="false">W3+1</f>
        <v>20</v>
      </c>
      <c r="Y3" s="20" t="n">
        <f aca="false">X3+1</f>
        <v>21</v>
      </c>
      <c r="Z3" s="20" t="n">
        <f aca="false">Y3+1</f>
        <v>22</v>
      </c>
      <c r="AA3" s="20" t="n">
        <f aca="false">Z3+1</f>
        <v>23</v>
      </c>
      <c r="AB3" s="20" t="n">
        <f aca="false">AA3+1</f>
        <v>24</v>
      </c>
      <c r="AC3" s="20" t="n">
        <f aca="false">AB3+1</f>
        <v>25</v>
      </c>
      <c r="AD3" s="20" t="n">
        <f aca="false">AC3+1</f>
        <v>26</v>
      </c>
      <c r="AE3" s="20" t="n">
        <f aca="false">AD3+1</f>
        <v>27</v>
      </c>
      <c r="AF3" s="20" t="n">
        <f aca="false">AE3+1</f>
        <v>28</v>
      </c>
      <c r="AG3" s="20" t="n">
        <f aca="false">AF3+1</f>
        <v>29</v>
      </c>
      <c r="AH3" s="20" t="n">
        <f aca="false">AG3+1</f>
        <v>30</v>
      </c>
      <c r="AI3" s="20" t="n">
        <f aca="false">AH3+1</f>
        <v>31</v>
      </c>
      <c r="AJ3" s="20" t="n">
        <f aca="false">AI3+1</f>
        <v>32</v>
      </c>
      <c r="AK3" s="20" t="n">
        <f aca="false">AJ3+1</f>
        <v>33</v>
      </c>
      <c r="AL3" s="20" t="n">
        <f aca="false">AK3+1</f>
        <v>34</v>
      </c>
      <c r="AM3" s="20" t="n">
        <f aca="false">AL3+1</f>
        <v>35</v>
      </c>
      <c r="AN3" s="20" t="n">
        <f aca="false">AM3+1</f>
        <v>36</v>
      </c>
      <c r="AO3" s="20" t="n">
        <f aca="false">AN3+1</f>
        <v>37</v>
      </c>
      <c r="AP3" s="20" t="n">
        <f aca="false">AO3+1</f>
        <v>38</v>
      </c>
      <c r="AQ3" s="20" t="n">
        <f aca="false">AP3+1</f>
        <v>39</v>
      </c>
      <c r="AR3" s="20" t="n">
        <f aca="false">AQ3+1</f>
        <v>40</v>
      </c>
      <c r="AS3" s="20" t="n">
        <f aca="false">AR3+1</f>
        <v>41</v>
      </c>
      <c r="AT3" s="20" t="n">
        <f aca="false">AS3+1</f>
        <v>42</v>
      </c>
      <c r="AU3" s="20" t="n">
        <f aca="false">AT3+1</f>
        <v>43</v>
      </c>
      <c r="AV3" s="20" t="n">
        <f aca="false">AU3+1</f>
        <v>44</v>
      </c>
      <c r="AW3" s="20" t="n">
        <f aca="false">AV3+1</f>
        <v>45</v>
      </c>
      <c r="AX3" s="20" t="n">
        <f aca="false">AW3+1</f>
        <v>46</v>
      </c>
      <c r="AY3" s="20" t="n">
        <f aca="false">AX3+1</f>
        <v>47</v>
      </c>
      <c r="AZ3" s="20" t="n">
        <f aca="false">AY3+1</f>
        <v>48</v>
      </c>
      <c r="BA3" s="20" t="n">
        <f aca="false">AZ3+1</f>
        <v>49</v>
      </c>
      <c r="BB3" s="20" t="n">
        <f aca="false">BA3+1</f>
        <v>50</v>
      </c>
      <c r="BC3" s="20" t="n">
        <f aca="false">BB3+1</f>
        <v>51</v>
      </c>
      <c r="BD3" s="20" t="n">
        <f aca="false">BC3+1</f>
        <v>52</v>
      </c>
      <c r="BE3" s="20" t="n">
        <f aca="false">BD3+1</f>
        <v>53</v>
      </c>
      <c r="BF3" s="20" t="n">
        <f aca="false">BE3+1</f>
        <v>54</v>
      </c>
      <c r="BG3" s="20" t="n">
        <f aca="false">BF3+1</f>
        <v>55</v>
      </c>
      <c r="BH3" s="20" t="n">
        <f aca="false">BG3+1</f>
        <v>56</v>
      </c>
      <c r="BI3" s="20" t="n">
        <f aca="false">BH3+1</f>
        <v>57</v>
      </c>
      <c r="BJ3" s="20" t="n">
        <f aca="false">BI3+1</f>
        <v>58</v>
      </c>
      <c r="BK3" s="20" t="n">
        <f aca="false">BJ3+1</f>
        <v>59</v>
      </c>
      <c r="BL3" s="20" t="n">
        <f aca="false">BK3+1</f>
        <v>60</v>
      </c>
    </row>
    <row r="4" customFormat="false" ht="15" hidden="false" customHeight="false" outlineLevel="0" collapsed="false">
      <c r="A4" s="8" t="s">
        <v>682</v>
      </c>
      <c r="E4" s="53" t="n">
        <f aca="false">DATE(YEAR(Start_Date),MONTH(Start_Date)+E3-1,1)</f>
        <v>46388</v>
      </c>
      <c r="F4" s="53" t="n">
        <f aca="false">DATE(YEAR(Start_Date),MONTH(Start_Date)+F3-1,1)</f>
        <v>46419</v>
      </c>
      <c r="G4" s="53" t="n">
        <f aca="false">DATE(YEAR(Start_Date),MONTH(Start_Date)+G3-1,1)</f>
        <v>46447</v>
      </c>
      <c r="H4" s="53" t="n">
        <f aca="false">DATE(YEAR(Start_Date),MONTH(Start_Date)+H3-1,1)</f>
        <v>46478</v>
      </c>
      <c r="I4" s="53" t="n">
        <f aca="false">DATE(YEAR(Start_Date),MONTH(Start_Date)+I3-1,1)</f>
        <v>46508</v>
      </c>
      <c r="J4" s="53" t="n">
        <f aca="false">DATE(YEAR(Start_Date),MONTH(Start_Date)+J3-1,1)</f>
        <v>46539</v>
      </c>
      <c r="K4" s="53" t="n">
        <f aca="false">DATE(YEAR(Start_Date),MONTH(Start_Date)+K3-1,1)</f>
        <v>46569</v>
      </c>
      <c r="L4" s="53" t="n">
        <f aca="false">DATE(YEAR(Start_Date),MONTH(Start_Date)+L3-1,1)</f>
        <v>46600</v>
      </c>
      <c r="M4" s="53" t="n">
        <f aca="false">DATE(YEAR(Start_Date),MONTH(Start_Date)+M3-1,1)</f>
        <v>46631</v>
      </c>
      <c r="N4" s="53" t="n">
        <f aca="false">DATE(YEAR(Start_Date),MONTH(Start_Date)+N3-1,1)</f>
        <v>46661</v>
      </c>
      <c r="O4" s="53" t="n">
        <f aca="false">DATE(YEAR(Start_Date),MONTH(Start_Date)+O3-1,1)</f>
        <v>46692</v>
      </c>
      <c r="P4" s="53" t="n">
        <f aca="false">DATE(YEAR(Start_Date),MONTH(Start_Date)+P3-1,1)</f>
        <v>46722</v>
      </c>
      <c r="Q4" s="53" t="n">
        <f aca="false">DATE(YEAR(Start_Date),MONTH(Start_Date)+Q3-1,1)</f>
        <v>46753</v>
      </c>
      <c r="R4" s="53" t="n">
        <f aca="false">DATE(YEAR(Start_Date),MONTH(Start_Date)+R3-1,1)</f>
        <v>46784</v>
      </c>
      <c r="S4" s="53" t="n">
        <f aca="false">DATE(YEAR(Start_Date),MONTH(Start_Date)+S3-1,1)</f>
        <v>46813</v>
      </c>
      <c r="T4" s="53" t="n">
        <f aca="false">DATE(YEAR(Start_Date),MONTH(Start_Date)+T3-1,1)</f>
        <v>46844</v>
      </c>
      <c r="U4" s="53" t="n">
        <f aca="false">DATE(YEAR(Start_Date),MONTH(Start_Date)+U3-1,1)</f>
        <v>46874</v>
      </c>
      <c r="V4" s="53" t="n">
        <f aca="false">DATE(YEAR(Start_Date),MONTH(Start_Date)+V3-1,1)</f>
        <v>46905</v>
      </c>
      <c r="W4" s="53" t="n">
        <f aca="false">DATE(YEAR(Start_Date),MONTH(Start_Date)+W3-1,1)</f>
        <v>46935</v>
      </c>
      <c r="X4" s="53" t="n">
        <f aca="false">DATE(YEAR(Start_Date),MONTH(Start_Date)+X3-1,1)</f>
        <v>46966</v>
      </c>
      <c r="Y4" s="53" t="n">
        <f aca="false">DATE(YEAR(Start_Date),MONTH(Start_Date)+Y3-1,1)</f>
        <v>46997</v>
      </c>
      <c r="Z4" s="53" t="n">
        <f aca="false">DATE(YEAR(Start_Date),MONTH(Start_Date)+Z3-1,1)</f>
        <v>47027</v>
      </c>
      <c r="AA4" s="53" t="n">
        <f aca="false">DATE(YEAR(Start_Date),MONTH(Start_Date)+AA3-1,1)</f>
        <v>47058</v>
      </c>
      <c r="AB4" s="53" t="n">
        <f aca="false">DATE(YEAR(Start_Date),MONTH(Start_Date)+AB3-1,1)</f>
        <v>47088</v>
      </c>
      <c r="AC4" s="53" t="n">
        <f aca="false">DATE(YEAR(Start_Date),MONTH(Start_Date)+AC3-1,1)</f>
        <v>47119</v>
      </c>
      <c r="AD4" s="53" t="n">
        <f aca="false">DATE(YEAR(Start_Date),MONTH(Start_Date)+AD3-1,1)</f>
        <v>47150</v>
      </c>
      <c r="AE4" s="53" t="n">
        <f aca="false">DATE(YEAR(Start_Date),MONTH(Start_Date)+AE3-1,1)</f>
        <v>47178</v>
      </c>
      <c r="AF4" s="53" t="n">
        <f aca="false">DATE(YEAR(Start_Date),MONTH(Start_Date)+AF3-1,1)</f>
        <v>47209</v>
      </c>
      <c r="AG4" s="53" t="n">
        <f aca="false">DATE(YEAR(Start_Date),MONTH(Start_Date)+AG3-1,1)</f>
        <v>47239</v>
      </c>
      <c r="AH4" s="53" t="n">
        <f aca="false">DATE(YEAR(Start_Date),MONTH(Start_Date)+AH3-1,1)</f>
        <v>47270</v>
      </c>
      <c r="AI4" s="53" t="n">
        <f aca="false">DATE(YEAR(Start_Date),MONTH(Start_Date)+AI3-1,1)</f>
        <v>47300</v>
      </c>
      <c r="AJ4" s="53" t="n">
        <f aca="false">DATE(YEAR(Start_Date),MONTH(Start_Date)+AJ3-1,1)</f>
        <v>47331</v>
      </c>
      <c r="AK4" s="53" t="n">
        <f aca="false">DATE(YEAR(Start_Date),MONTH(Start_Date)+AK3-1,1)</f>
        <v>47362</v>
      </c>
      <c r="AL4" s="53" t="n">
        <f aca="false">DATE(YEAR(Start_Date),MONTH(Start_Date)+AL3-1,1)</f>
        <v>47392</v>
      </c>
      <c r="AM4" s="53" t="n">
        <f aca="false">DATE(YEAR(Start_Date),MONTH(Start_Date)+AM3-1,1)</f>
        <v>47423</v>
      </c>
      <c r="AN4" s="53" t="n">
        <f aca="false">DATE(YEAR(Start_Date),MONTH(Start_Date)+AN3-1,1)</f>
        <v>47453</v>
      </c>
      <c r="AO4" s="53" t="n">
        <f aca="false">DATE(YEAR(Start_Date),MONTH(Start_Date)+AO3-1,1)</f>
        <v>47484</v>
      </c>
      <c r="AP4" s="53" t="n">
        <f aca="false">DATE(YEAR(Start_Date),MONTH(Start_Date)+AP3-1,1)</f>
        <v>47515</v>
      </c>
      <c r="AQ4" s="53" t="n">
        <f aca="false">DATE(YEAR(Start_Date),MONTH(Start_Date)+AQ3-1,1)</f>
        <v>47543</v>
      </c>
      <c r="AR4" s="53" t="n">
        <f aca="false">DATE(YEAR(Start_Date),MONTH(Start_Date)+AR3-1,1)</f>
        <v>47574</v>
      </c>
      <c r="AS4" s="53" t="n">
        <f aca="false">DATE(YEAR(Start_Date),MONTH(Start_Date)+AS3-1,1)</f>
        <v>47604</v>
      </c>
      <c r="AT4" s="53" t="n">
        <f aca="false">DATE(YEAR(Start_Date),MONTH(Start_Date)+AT3-1,1)</f>
        <v>47635</v>
      </c>
      <c r="AU4" s="53" t="n">
        <f aca="false">DATE(YEAR(Start_Date),MONTH(Start_Date)+AU3-1,1)</f>
        <v>47665</v>
      </c>
      <c r="AV4" s="53" t="n">
        <f aca="false">DATE(YEAR(Start_Date),MONTH(Start_Date)+AV3-1,1)</f>
        <v>47696</v>
      </c>
      <c r="AW4" s="53" t="n">
        <f aca="false">DATE(YEAR(Start_Date),MONTH(Start_Date)+AW3-1,1)</f>
        <v>47727</v>
      </c>
      <c r="AX4" s="53" t="n">
        <f aca="false">DATE(YEAR(Start_Date),MONTH(Start_Date)+AX3-1,1)</f>
        <v>47757</v>
      </c>
      <c r="AY4" s="53" t="n">
        <f aca="false">DATE(YEAR(Start_Date),MONTH(Start_Date)+AY3-1,1)</f>
        <v>47788</v>
      </c>
      <c r="AZ4" s="53" t="n">
        <f aca="false">DATE(YEAR(Start_Date),MONTH(Start_Date)+AZ3-1,1)</f>
        <v>47818</v>
      </c>
      <c r="BA4" s="53" t="n">
        <f aca="false">DATE(YEAR(Start_Date),MONTH(Start_Date)+BA3-1,1)</f>
        <v>47849</v>
      </c>
      <c r="BB4" s="53" t="n">
        <f aca="false">DATE(YEAR(Start_Date),MONTH(Start_Date)+BB3-1,1)</f>
        <v>47880</v>
      </c>
      <c r="BC4" s="53" t="n">
        <f aca="false">DATE(YEAR(Start_Date),MONTH(Start_Date)+BC3-1,1)</f>
        <v>47908</v>
      </c>
      <c r="BD4" s="53" t="n">
        <f aca="false">DATE(YEAR(Start_Date),MONTH(Start_Date)+BD3-1,1)</f>
        <v>47939</v>
      </c>
      <c r="BE4" s="53" t="n">
        <f aca="false">DATE(YEAR(Start_Date),MONTH(Start_Date)+BE3-1,1)</f>
        <v>47969</v>
      </c>
      <c r="BF4" s="53" t="n">
        <f aca="false">DATE(YEAR(Start_Date),MONTH(Start_Date)+BF3-1,1)</f>
        <v>48000</v>
      </c>
      <c r="BG4" s="53" t="n">
        <f aca="false">DATE(YEAR(Start_Date),MONTH(Start_Date)+BG3-1,1)</f>
        <v>48030</v>
      </c>
      <c r="BH4" s="53" t="n">
        <f aca="false">DATE(YEAR(Start_Date),MONTH(Start_Date)+BH3-1,1)</f>
        <v>48061</v>
      </c>
      <c r="BI4" s="53" t="n">
        <f aca="false">DATE(YEAR(Start_Date),MONTH(Start_Date)+BI3-1,1)</f>
        <v>48092</v>
      </c>
      <c r="BJ4" s="53" t="n">
        <f aca="false">DATE(YEAR(Start_Date),MONTH(Start_Date)+BJ3-1,1)</f>
        <v>48122</v>
      </c>
      <c r="BK4" s="53" t="n">
        <f aca="false">DATE(YEAR(Start_Date),MONTH(Start_Date)+BK3-1,1)</f>
        <v>48153</v>
      </c>
      <c r="BL4" s="53" t="n">
        <f aca="false">DATE(YEAR(Start_Date),MONTH(Start_Date)+BL3-1,1)</f>
        <v>48183</v>
      </c>
    </row>
    <row r="5" customFormat="false" ht="15" hidden="false" customHeight="false" outlineLevel="0" collapsed="false">
      <c r="A5" s="8" t="s">
        <v>81</v>
      </c>
      <c r="E5" s="54" t="n">
        <f aca="false">INT((E3-1)/12)+1</f>
        <v>1</v>
      </c>
      <c r="F5" s="54" t="n">
        <f aca="false">INT((F3-1)/12)+1</f>
        <v>1</v>
      </c>
      <c r="G5" s="54" t="n">
        <f aca="false">INT((G3-1)/12)+1</f>
        <v>1</v>
      </c>
      <c r="H5" s="54" t="n">
        <f aca="false">INT((H3-1)/12)+1</f>
        <v>1</v>
      </c>
      <c r="I5" s="54" t="n">
        <f aca="false">INT((I3-1)/12)+1</f>
        <v>1</v>
      </c>
      <c r="J5" s="54" t="n">
        <f aca="false">INT((J3-1)/12)+1</f>
        <v>1</v>
      </c>
      <c r="K5" s="54" t="n">
        <f aca="false">INT((K3-1)/12)+1</f>
        <v>1</v>
      </c>
      <c r="L5" s="54" t="n">
        <f aca="false">INT((L3-1)/12)+1</f>
        <v>1</v>
      </c>
      <c r="M5" s="54" t="n">
        <f aca="false">INT((M3-1)/12)+1</f>
        <v>1</v>
      </c>
      <c r="N5" s="54" t="n">
        <f aca="false">INT((N3-1)/12)+1</f>
        <v>1</v>
      </c>
      <c r="O5" s="54" t="n">
        <f aca="false">INT((O3-1)/12)+1</f>
        <v>1</v>
      </c>
      <c r="P5" s="54" t="n">
        <f aca="false">INT((P3-1)/12)+1</f>
        <v>1</v>
      </c>
      <c r="Q5" s="54" t="n">
        <f aca="false">INT((Q3-1)/12)+1</f>
        <v>2</v>
      </c>
      <c r="R5" s="54" t="n">
        <f aca="false">INT((R3-1)/12)+1</f>
        <v>2</v>
      </c>
      <c r="S5" s="54" t="n">
        <f aca="false">INT((S3-1)/12)+1</f>
        <v>2</v>
      </c>
      <c r="T5" s="54" t="n">
        <f aca="false">INT((T3-1)/12)+1</f>
        <v>2</v>
      </c>
      <c r="U5" s="54" t="n">
        <f aca="false">INT((U3-1)/12)+1</f>
        <v>2</v>
      </c>
      <c r="V5" s="54" t="n">
        <f aca="false">INT((V3-1)/12)+1</f>
        <v>2</v>
      </c>
      <c r="W5" s="54" t="n">
        <f aca="false">INT((W3-1)/12)+1</f>
        <v>2</v>
      </c>
      <c r="X5" s="54" t="n">
        <f aca="false">INT((X3-1)/12)+1</f>
        <v>2</v>
      </c>
      <c r="Y5" s="54" t="n">
        <f aca="false">INT((Y3-1)/12)+1</f>
        <v>2</v>
      </c>
      <c r="Z5" s="54" t="n">
        <f aca="false">INT((Z3-1)/12)+1</f>
        <v>2</v>
      </c>
      <c r="AA5" s="54" t="n">
        <f aca="false">INT((AA3-1)/12)+1</f>
        <v>2</v>
      </c>
      <c r="AB5" s="54" t="n">
        <f aca="false">INT((AB3-1)/12)+1</f>
        <v>2</v>
      </c>
      <c r="AC5" s="54" t="n">
        <f aca="false">INT((AC3-1)/12)+1</f>
        <v>3</v>
      </c>
      <c r="AD5" s="54" t="n">
        <f aca="false">INT((AD3-1)/12)+1</f>
        <v>3</v>
      </c>
      <c r="AE5" s="54" t="n">
        <f aca="false">INT((AE3-1)/12)+1</f>
        <v>3</v>
      </c>
      <c r="AF5" s="54" t="n">
        <f aca="false">INT((AF3-1)/12)+1</f>
        <v>3</v>
      </c>
      <c r="AG5" s="54" t="n">
        <f aca="false">INT((AG3-1)/12)+1</f>
        <v>3</v>
      </c>
      <c r="AH5" s="54" t="n">
        <f aca="false">INT((AH3-1)/12)+1</f>
        <v>3</v>
      </c>
      <c r="AI5" s="54" t="n">
        <f aca="false">INT((AI3-1)/12)+1</f>
        <v>3</v>
      </c>
      <c r="AJ5" s="54" t="n">
        <f aca="false">INT((AJ3-1)/12)+1</f>
        <v>3</v>
      </c>
      <c r="AK5" s="54" t="n">
        <f aca="false">INT((AK3-1)/12)+1</f>
        <v>3</v>
      </c>
      <c r="AL5" s="54" t="n">
        <f aca="false">INT((AL3-1)/12)+1</f>
        <v>3</v>
      </c>
      <c r="AM5" s="54" t="n">
        <f aca="false">INT((AM3-1)/12)+1</f>
        <v>3</v>
      </c>
      <c r="AN5" s="54" t="n">
        <f aca="false">INT((AN3-1)/12)+1</f>
        <v>3</v>
      </c>
      <c r="AO5" s="54" t="n">
        <f aca="false">INT((AO3-1)/12)+1</f>
        <v>4</v>
      </c>
      <c r="AP5" s="54" t="n">
        <f aca="false">INT((AP3-1)/12)+1</f>
        <v>4</v>
      </c>
      <c r="AQ5" s="54" t="n">
        <f aca="false">INT((AQ3-1)/12)+1</f>
        <v>4</v>
      </c>
      <c r="AR5" s="54" t="n">
        <f aca="false">INT((AR3-1)/12)+1</f>
        <v>4</v>
      </c>
      <c r="AS5" s="54" t="n">
        <f aca="false">INT((AS3-1)/12)+1</f>
        <v>4</v>
      </c>
      <c r="AT5" s="54" t="n">
        <f aca="false">INT((AT3-1)/12)+1</f>
        <v>4</v>
      </c>
      <c r="AU5" s="54" t="n">
        <f aca="false">INT((AU3-1)/12)+1</f>
        <v>4</v>
      </c>
      <c r="AV5" s="54" t="n">
        <f aca="false">INT((AV3-1)/12)+1</f>
        <v>4</v>
      </c>
      <c r="AW5" s="54" t="n">
        <f aca="false">INT((AW3-1)/12)+1</f>
        <v>4</v>
      </c>
      <c r="AX5" s="54" t="n">
        <f aca="false">INT((AX3-1)/12)+1</f>
        <v>4</v>
      </c>
      <c r="AY5" s="54" t="n">
        <f aca="false">INT((AY3-1)/12)+1</f>
        <v>4</v>
      </c>
      <c r="AZ5" s="54" t="n">
        <f aca="false">INT((AZ3-1)/12)+1</f>
        <v>4</v>
      </c>
      <c r="BA5" s="54" t="n">
        <f aca="false">INT((BA3-1)/12)+1</f>
        <v>5</v>
      </c>
      <c r="BB5" s="54" t="n">
        <f aca="false">INT((BB3-1)/12)+1</f>
        <v>5</v>
      </c>
      <c r="BC5" s="54" t="n">
        <f aca="false">INT((BC3-1)/12)+1</f>
        <v>5</v>
      </c>
      <c r="BD5" s="54" t="n">
        <f aca="false">INT((BD3-1)/12)+1</f>
        <v>5</v>
      </c>
      <c r="BE5" s="54" t="n">
        <f aca="false">INT((BE3-1)/12)+1</f>
        <v>5</v>
      </c>
      <c r="BF5" s="54" t="n">
        <f aca="false">INT((BF3-1)/12)+1</f>
        <v>5</v>
      </c>
      <c r="BG5" s="54" t="n">
        <f aca="false">INT((BG3-1)/12)+1</f>
        <v>5</v>
      </c>
      <c r="BH5" s="54" t="n">
        <f aca="false">INT((BH3-1)/12)+1</f>
        <v>5</v>
      </c>
      <c r="BI5" s="54" t="n">
        <f aca="false">INT((BI3-1)/12)+1</f>
        <v>5</v>
      </c>
      <c r="BJ5" s="54" t="n">
        <f aca="false">INT((BJ3-1)/12)+1</f>
        <v>5</v>
      </c>
      <c r="BK5" s="54" t="n">
        <f aca="false">INT((BK3-1)/12)+1</f>
        <v>5</v>
      </c>
      <c r="BL5" s="54" t="n">
        <f aca="false">INT((BL3-1)/12)+1</f>
        <v>5</v>
      </c>
    </row>
    <row r="8" customFormat="false" ht="15" hidden="false" customHeight="false" outlineLevel="0" collapsed="false">
      <c r="A8" s="10" t="s">
        <v>533</v>
      </c>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row>
    <row r="9" customFormat="false" ht="15" hidden="false" customHeight="false" outlineLevel="0" collapsed="false">
      <c r="A9" s="12" t="s">
        <v>788</v>
      </c>
      <c r="B9" s="14" t="s">
        <v>71</v>
      </c>
      <c r="D9" s="55" t="n">
        <f aca="false">SUM(E9:BL9)</f>
        <v>4178020569.45488</v>
      </c>
      <c r="E9" s="23" t="n">
        <f aca="false">'Clients &amp; revenue'!E50</f>
        <v>0</v>
      </c>
      <c r="F9" s="23" t="n">
        <f aca="false">'Clients &amp; revenue'!F50</f>
        <v>0</v>
      </c>
      <c r="G9" s="23" t="n">
        <f aca="false">'Clients &amp; revenue'!G50</f>
        <v>0</v>
      </c>
      <c r="H9" s="23" t="n">
        <f aca="false">'Clients &amp; revenue'!H50</f>
        <v>0</v>
      </c>
      <c r="I9" s="23" t="n">
        <f aca="false">'Clients &amp; revenue'!I50</f>
        <v>0</v>
      </c>
      <c r="J9" s="23" t="n">
        <f aca="false">'Clients &amp; revenue'!J50</f>
        <v>0</v>
      </c>
      <c r="K9" s="23" t="n">
        <f aca="false">'Clients &amp; revenue'!K50</f>
        <v>0</v>
      </c>
      <c r="L9" s="23" t="n">
        <f aca="false">'Clients &amp; revenue'!L50</f>
        <v>1155165.16098634</v>
      </c>
      <c r="M9" s="23" t="n">
        <f aca="false">'Clients &amp; revenue'!M50</f>
        <v>2355235.98369831</v>
      </c>
      <c r="N9" s="23" t="n">
        <f aca="false">'Clients &amp; revenue'!N50</f>
        <v>3553455.07280295</v>
      </c>
      <c r="O9" s="23" t="n">
        <f aca="false">'Clients &amp; revenue'!O50</f>
        <v>4750669.81302719</v>
      </c>
      <c r="P9" s="23" t="n">
        <f aca="false">'Clients &amp; revenue'!P50</f>
        <v>5947764.23586006</v>
      </c>
      <c r="Q9" s="23" t="n">
        <f aca="false">'Clients &amp; revenue'!Q50</f>
        <v>7145661.45143735</v>
      </c>
      <c r="R9" s="23" t="n">
        <f aca="false">'Clients &amp; revenue'!R50</f>
        <v>8340500.0512286</v>
      </c>
      <c r="S9" s="23" t="n">
        <f aca="false">'Clients &amp; revenue'!S50</f>
        <v>9533359.31413029</v>
      </c>
      <c r="T9" s="23" t="n">
        <f aca="false">'Clients &amp; revenue'!T50</f>
        <v>11105351.9771813</v>
      </c>
      <c r="U9" s="23" t="n">
        <f aca="false">'Clients &amp; revenue'!U50</f>
        <v>12677665.3080698</v>
      </c>
      <c r="V9" s="23" t="n">
        <f aca="false">'Clients &amp; revenue'!V50</f>
        <v>14251526.3566219</v>
      </c>
      <c r="W9" s="23" t="n">
        <f aca="false">'Clients &amp; revenue'!W50</f>
        <v>15828218.0627761</v>
      </c>
      <c r="X9" s="23" t="n">
        <f aca="false">'Clients &amp; revenue'!X50</f>
        <v>17394862.2731968</v>
      </c>
      <c r="Y9" s="23" t="n">
        <f aca="false">'Clients &amp; revenue'!Y50</f>
        <v>18952972.050788</v>
      </c>
      <c r="Z9" s="23" t="n">
        <f aca="false">'Clients &amp; revenue'!Z50</f>
        <v>21623777.3956647</v>
      </c>
      <c r="AA9" s="23" t="n">
        <f aca="false">'Clients &amp; revenue'!AA50</f>
        <v>24297089.131344</v>
      </c>
      <c r="AB9" s="23" t="n">
        <f aca="false">'Clients &amp; revenue'!AB50</f>
        <v>26975081.5351357</v>
      </c>
      <c r="AC9" s="23" t="n">
        <f aca="false">'Clients &amp; revenue'!AC50</f>
        <v>29657266.589219</v>
      </c>
      <c r="AD9" s="23" t="n">
        <f aca="false">'Clients &amp; revenue'!AD50</f>
        <v>32336377.6344738</v>
      </c>
      <c r="AE9" s="23" t="n">
        <f aca="false">'Clients &amp; revenue'!AE50</f>
        <v>35232641.5842106</v>
      </c>
      <c r="AF9" s="23" t="n">
        <f aca="false">'Clients &amp; revenue'!AF50</f>
        <v>38894179.3115782</v>
      </c>
      <c r="AG9" s="23" t="n">
        <f aca="false">'Clients &amp; revenue'!AG50</f>
        <v>42558274.3767003</v>
      </c>
      <c r="AH9" s="23" t="n">
        <f aca="false">'Clients &amp; revenue'!AH50</f>
        <v>46228023.5914239</v>
      </c>
      <c r="AI9" s="23" t="n">
        <f aca="false">'Clients &amp; revenue'!AI50</f>
        <v>50124216.5465385</v>
      </c>
      <c r="AJ9" s="23" t="n">
        <f aca="false">'Clients &amp; revenue'!AJ50</f>
        <v>54032694.878016</v>
      </c>
      <c r="AK9" s="23" t="n">
        <f aca="false">'Clients &amp; revenue'!AK50</f>
        <v>57954249.0019721</v>
      </c>
      <c r="AL9" s="23" t="n">
        <f aca="false">'Clients &amp; revenue'!AL50</f>
        <v>61892644.8076974</v>
      </c>
      <c r="AM9" s="23" t="n">
        <f aca="false">'Clients &amp; revenue'!AM50</f>
        <v>66069380.7741765</v>
      </c>
      <c r="AN9" s="23" t="n">
        <f aca="false">'Clients &amp; revenue'!AN50</f>
        <v>70268286.5526399</v>
      </c>
      <c r="AO9" s="23" t="n">
        <f aca="false">'Clients &amp; revenue'!AO50</f>
        <v>74491264.8503024</v>
      </c>
      <c r="AP9" s="23" t="n">
        <f aca="false">'Clients &amp; revenue'!AP50</f>
        <v>78955684.1271981</v>
      </c>
      <c r="AQ9" s="23" t="n">
        <f aca="false">'Clients &amp; revenue'!AQ50</f>
        <v>83641973.3672568</v>
      </c>
      <c r="AR9" s="23" t="n">
        <f aca="false">'Clients &amp; revenue'!AR50</f>
        <v>88739557.9584388</v>
      </c>
      <c r="AS9" s="23" t="n">
        <f aca="false">'Clients &amp; revenue'!AS50</f>
        <v>94088731.3107607</v>
      </c>
      <c r="AT9" s="23" t="n">
        <f aca="false">'Clients &amp; revenue'!AT50</f>
        <v>99478161.5369781</v>
      </c>
      <c r="AU9" s="23" t="n">
        <f aca="false">'Clients &amp; revenue'!AU50</f>
        <v>105127598.914899</v>
      </c>
      <c r="AV9" s="23" t="n">
        <f aca="false">'Clients &amp; revenue'!AV50</f>
        <v>110795359.324297</v>
      </c>
      <c r="AW9" s="23" t="n">
        <f aca="false">'Clients &amp; revenue'!AW50</f>
        <v>116828773.433264</v>
      </c>
      <c r="AX9" s="23" t="n">
        <f aca="false">'Clients &amp; revenue'!AX50</f>
        <v>122814071.043566</v>
      </c>
      <c r="AY9" s="23" t="n">
        <f aca="false">'Clients &amp; revenue'!AY50</f>
        <v>128753695.431184</v>
      </c>
      <c r="AZ9" s="23" t="n">
        <f aca="false">'Clients &amp; revenue'!AZ50</f>
        <v>134862459.744541</v>
      </c>
      <c r="BA9" s="23" t="n">
        <f aca="false">'Clients &amp; revenue'!BA50</f>
        <v>140925478.406644</v>
      </c>
      <c r="BB9" s="23" t="n">
        <f aca="false">'Clients &amp; revenue'!BB50</f>
        <v>147351214.376902</v>
      </c>
      <c r="BC9" s="23" t="n">
        <f aca="false">'Clients &amp; revenue'!BC50</f>
        <v>153729263.224394</v>
      </c>
      <c r="BD9" s="23" t="n">
        <f aca="false">'Clients &amp; revenue'!BD50</f>
        <v>160660330.749159</v>
      </c>
      <c r="BE9" s="23" t="n">
        <f aca="false">'Clients &amp; revenue'!BE50</f>
        <v>167544660.323995</v>
      </c>
      <c r="BF9" s="23" t="n">
        <f aca="false">'Clients &amp; revenue'!BF50</f>
        <v>174600346.800822</v>
      </c>
      <c r="BG9" s="23" t="n">
        <f aca="false">'Clients &amp; revenue'!BG50</f>
        <v>181809093.929771</v>
      </c>
      <c r="BH9" s="23" t="n">
        <f aca="false">'Clients &amp; revenue'!BH50</f>
        <v>189190983.683628</v>
      </c>
      <c r="BI9" s="23" t="n">
        <f aca="false">'Clients &amp; revenue'!BI50</f>
        <v>196532245.758329</v>
      </c>
      <c r="BJ9" s="23" t="n">
        <f aca="false">'Clients &amp; revenue'!BJ50</f>
        <v>204247376.127667</v>
      </c>
      <c r="BK9" s="23" t="n">
        <f aca="false">'Clients &amp; revenue'!BK50</f>
        <v>211927127.891548</v>
      </c>
      <c r="BL9" s="23" t="n">
        <f aca="false">'Clients &amp; revenue'!BL50</f>
        <v>219788526.316737</v>
      </c>
    </row>
    <row r="10" customFormat="false" ht="15" hidden="false" customHeight="false" outlineLevel="0" collapsed="false">
      <c r="A10" s="12" t="s">
        <v>536</v>
      </c>
      <c r="B10" s="14" t="s">
        <v>71</v>
      </c>
      <c r="D10" s="55" t="n">
        <f aca="false">SUM(E10:BL10)</f>
        <v>2096589880.69431</v>
      </c>
      <c r="E10" s="23" t="n">
        <f aca="false">'Clients &amp; revenue'!E51</f>
        <v>0</v>
      </c>
      <c r="F10" s="23" t="n">
        <f aca="false">'Clients &amp; revenue'!F51</f>
        <v>0</v>
      </c>
      <c r="G10" s="23" t="n">
        <f aca="false">'Clients &amp; revenue'!G51</f>
        <v>0</v>
      </c>
      <c r="H10" s="23" t="n">
        <f aca="false">'Clients &amp; revenue'!H51</f>
        <v>0</v>
      </c>
      <c r="I10" s="23" t="n">
        <f aca="false">'Clients &amp; revenue'!I51</f>
        <v>511453.333333333</v>
      </c>
      <c r="J10" s="23" t="n">
        <f aca="false">'Clients &amp; revenue'!J51</f>
        <v>1022083.36666667</v>
      </c>
      <c r="K10" s="23" t="n">
        <f aca="false">'Clients &amp; revenue'!K51</f>
        <v>1532231.16475</v>
      </c>
      <c r="L10" s="23" t="n">
        <f aca="false">'Clients &amp; revenue'!L51</f>
        <v>2042252.72652271</v>
      </c>
      <c r="M10" s="23" t="n">
        <f aca="false">'Clients &amp; revenue'!M51</f>
        <v>2552519.96864393</v>
      </c>
      <c r="N10" s="23" t="n">
        <f aca="false">'Clients &amp; revenue'!N51</f>
        <v>3063421.76653381</v>
      </c>
      <c r="O10" s="23" t="n">
        <f aca="false">'Clients &amp; revenue'!O51</f>
        <v>3575365.05640338</v>
      </c>
      <c r="P10" s="23" t="n">
        <f aca="false">'Clients &amp; revenue'!P51</f>
        <v>4088776.00195925</v>
      </c>
      <c r="Q10" s="23" t="n">
        <f aca="false">'Clients &amp; revenue'!Q51</f>
        <v>4759554.56302296</v>
      </c>
      <c r="R10" s="23" t="n">
        <f aca="false">'Clients &amp; revenue'!R51</f>
        <v>5430842.50353904</v>
      </c>
      <c r="S10" s="23" t="n">
        <f aca="false">'Clients &amp; revenue'!S51</f>
        <v>6103157.21644362</v>
      </c>
      <c r="T10" s="23" t="n">
        <f aca="false">'Clients &amp; revenue'!T51</f>
        <v>6777040.3173385</v>
      </c>
      <c r="U10" s="23" t="n">
        <f aca="false">'Clients &amp; revenue'!U51</f>
        <v>7453059.20482261</v>
      </c>
      <c r="V10" s="23" t="n">
        <f aca="false">'Clients &amp; revenue'!V51</f>
        <v>8131808.71261955</v>
      </c>
      <c r="W10" s="23" t="n">
        <f aca="false">'Clients &amp; revenue'!W51</f>
        <v>9271966.19237514</v>
      </c>
      <c r="X10" s="23" t="n">
        <f aca="false">'Clients &amp; revenue'!X51</f>
        <v>10413817.5663309</v>
      </c>
      <c r="Y10" s="23" t="n">
        <f aca="false">'Clients &amp; revenue'!Y51</f>
        <v>11558280.6579311</v>
      </c>
      <c r="Z10" s="23" t="n">
        <f aca="false">'Clients &amp; revenue'!Z51</f>
        <v>12706316.9395132</v>
      </c>
      <c r="AA10" s="23" t="n">
        <f aca="false">'Clients &amp; revenue'!AA51</f>
        <v>13858934.33016</v>
      </c>
      <c r="AB10" s="23" t="n">
        <f aca="false">'Clients &amp; revenue'!AB51</f>
        <v>15106190.1583748</v>
      </c>
      <c r="AC10" s="23" t="n">
        <f aca="false">'Clients &amp; revenue'!AC51</f>
        <v>16671215.1328566</v>
      </c>
      <c r="AD10" s="23" t="n">
        <f aca="false">'Clients &amp; revenue'!AD51</f>
        <v>18239335.5589999</v>
      </c>
      <c r="AE10" s="23" t="n">
        <f aca="false">'Clients &amp; revenue'!AE51</f>
        <v>19811843.0120451</v>
      </c>
      <c r="AF10" s="23" t="n">
        <f aca="false">'Clients &amp; revenue'!AF51</f>
        <v>21479091.1551114</v>
      </c>
      <c r="AG10" s="23" t="n">
        <f aca="false">'Clients &amp; revenue'!AG51</f>
        <v>23152427.2049838</v>
      </c>
      <c r="AH10" s="23" t="n">
        <f aca="false">'Clients &amp; revenue'!AH51</f>
        <v>24833355.9255108</v>
      </c>
      <c r="AI10" s="23" t="n">
        <f aca="false">'Clients &amp; revenue'!AI51</f>
        <v>26523456.5523882</v>
      </c>
      <c r="AJ10" s="23" t="n">
        <f aca="false">'Clients &amp; revenue'!AJ51</f>
        <v>28313387.5075574</v>
      </c>
      <c r="AK10" s="23" t="n">
        <f aca="false">'Clients &amp; revenue'!AK51</f>
        <v>30114818.8922952</v>
      </c>
      <c r="AL10" s="23" t="n">
        <f aca="false">'Clients &amp; revenue'!AL51</f>
        <v>31929597.5695421</v>
      </c>
      <c r="AM10" s="23" t="n">
        <f aca="false">'Clients &amp; revenue'!AM51</f>
        <v>33848665.2429442</v>
      </c>
      <c r="AN10" s="23" t="n">
        <f aca="false">'Clients &amp; revenue'!AN51</f>
        <v>35864091.894754</v>
      </c>
      <c r="AO10" s="23" t="n">
        <f aca="false">'Clients &amp; revenue'!AO51</f>
        <v>38052429.9529064</v>
      </c>
      <c r="AP10" s="23" t="n">
        <f aca="false">'Clients &amp; revenue'!AP51</f>
        <v>40347643.9458522</v>
      </c>
      <c r="AQ10" s="23" t="n">
        <f aca="false">'Clients &amp; revenue'!AQ51</f>
        <v>42662098.7346823</v>
      </c>
      <c r="AR10" s="23" t="n">
        <f aca="false">'Clients &amp; revenue'!AR51</f>
        <v>45087373.9195864</v>
      </c>
      <c r="AS10" s="23" t="n">
        <f aca="false">'Clients &amp; revenue'!AS51</f>
        <v>47523006.3264103</v>
      </c>
      <c r="AT10" s="23" t="n">
        <f aca="false">'Clients &amp; revenue'!AT51</f>
        <v>50110726.0990357</v>
      </c>
      <c r="AU10" s="23" t="n">
        <f aca="false">'Clients &amp; revenue'!AU51</f>
        <v>52680332.5683433</v>
      </c>
      <c r="AV10" s="23" t="n">
        <f aca="false">'Clients &amp; revenue'!AV51</f>
        <v>55232820.254286</v>
      </c>
      <c r="AW10" s="23" t="n">
        <f aca="false">'Clients &amp; revenue'!AW51</f>
        <v>57858214.7473535</v>
      </c>
      <c r="AX10" s="23" t="n">
        <f aca="false">'Clients &amp; revenue'!AX51</f>
        <v>60467502.5142605</v>
      </c>
      <c r="AY10" s="23" t="n">
        <f aca="false">'Clients &amp; revenue'!AY51</f>
        <v>63230893.1282881</v>
      </c>
      <c r="AZ10" s="23" t="n">
        <f aca="false">'Clients &amp; revenue'!AZ51</f>
        <v>65978396.5719353</v>
      </c>
      <c r="BA10" s="23" t="n">
        <f aca="false">'Clients &amp; revenue'!BA51</f>
        <v>68956869.5717485</v>
      </c>
      <c r="BB10" s="23" t="n">
        <f aca="false">'Clients &amp; revenue'!BB51</f>
        <v>71918972.0879047</v>
      </c>
      <c r="BC10" s="23" t="n">
        <f aca="false">'Clients &amp; revenue'!BC51</f>
        <v>74955051.4010322</v>
      </c>
      <c r="BD10" s="23" t="n">
        <f aca="false">'Clients &amp; revenue'!BD51</f>
        <v>78056531.2809776</v>
      </c>
      <c r="BE10" s="23" t="n">
        <f aca="false">'Clients &amp; revenue'!BE51</f>
        <v>81232809.9593914</v>
      </c>
      <c r="BF10" s="23" t="n">
        <f aca="false">'Clients &amp; revenue'!BF51</f>
        <v>84395347.5476179</v>
      </c>
      <c r="BG10" s="23" t="n">
        <f aca="false">'Clients &amp; revenue'!BG51</f>
        <v>87714850.8996177</v>
      </c>
      <c r="BH10" s="23" t="n">
        <f aca="false">'Clients &amp; revenue'!BH51</f>
        <v>91021852.4044907</v>
      </c>
      <c r="BI10" s="23" t="n">
        <f aca="false">'Clients &amp; revenue'!BI51</f>
        <v>94407117.899385</v>
      </c>
      <c r="BJ10" s="23" t="n">
        <f aca="false">'Clients &amp; revenue'!BJ51</f>
        <v>97782412.4306855</v>
      </c>
      <c r="BK10" s="23" t="n">
        <f aca="false">'Clients &amp; revenue'!BK51</f>
        <v>101303507.53675</v>
      </c>
      <c r="BL10" s="23" t="n">
        <f aca="false">'Clients &amp; revenue'!BL51</f>
        <v>104872761.51549</v>
      </c>
    </row>
    <row r="11" customFormat="false" ht="15" hidden="false" customHeight="false" outlineLevel="0" collapsed="false">
      <c r="A11" s="12" t="s">
        <v>538</v>
      </c>
      <c r="B11" s="14" t="s">
        <v>71</v>
      </c>
      <c r="D11" s="55" t="n">
        <f aca="false">SUM(E11:BL11)</f>
        <v>783594012.02351</v>
      </c>
      <c r="E11" s="23" t="n">
        <f aca="false">'Clients &amp; revenue'!E52</f>
        <v>0</v>
      </c>
      <c r="F11" s="23" t="n">
        <f aca="false">'Clients &amp; revenue'!F52</f>
        <v>0</v>
      </c>
      <c r="G11" s="23" t="n">
        <f aca="false">'Clients &amp; revenue'!G52</f>
        <v>0</v>
      </c>
      <c r="H11" s="23" t="n">
        <f aca="false">'Clients &amp; revenue'!H52</f>
        <v>0</v>
      </c>
      <c r="I11" s="23" t="n">
        <f aca="false">'Clients &amp; revenue'!I52</f>
        <v>192513.333333333</v>
      </c>
      <c r="J11" s="23" t="n">
        <f aca="false">'Clients &amp; revenue'!J52</f>
        <v>384601.516666667</v>
      </c>
      <c r="K11" s="23" t="n">
        <f aca="false">'Clients &amp; revenue'!K52</f>
        <v>576395.228625</v>
      </c>
      <c r="L11" s="23" t="n">
        <f aca="false">'Clients &amp; revenue'!L52</f>
        <v>768030.650268646</v>
      </c>
      <c r="M11" s="23" t="n">
        <f aca="false">'Clients &amp; revenue'!M52</f>
        <v>959649.834107902</v>
      </c>
      <c r="N11" s="23" t="n">
        <f aca="false">'Clients &amp; revenue'!N52</f>
        <v>1151401.09456554</v>
      </c>
      <c r="O11" s="23" t="n">
        <f aca="false">'Clients &amp; revenue'!O52</f>
        <v>1343439.42118687</v>
      </c>
      <c r="P11" s="23" t="n">
        <f aca="false">'Clients &amp; revenue'!P52</f>
        <v>1535926.915975</v>
      </c>
      <c r="Q11" s="23" t="n">
        <f aca="false">'Clients &amp; revenue'!Q52</f>
        <v>1787546.58964434</v>
      </c>
      <c r="R11" s="23" t="n">
        <f aca="false">'Clients &amp; revenue'!R52</f>
        <v>2039222.70167331</v>
      </c>
      <c r="S11" s="23" t="n">
        <f aca="false">'Clients &amp; revenue'!S52</f>
        <v>2291152.37025409</v>
      </c>
      <c r="T11" s="23" t="n">
        <f aca="false">'Clients &amp; revenue'!T52</f>
        <v>2543541.6712611</v>
      </c>
      <c r="U11" s="23" t="n">
        <f aca="false">'Clients &amp; revenue'!U52</f>
        <v>2796606.2230345</v>
      </c>
      <c r="V11" s="23" t="n">
        <f aca="false">'Clients &amp; revenue'!V52</f>
        <v>3050571.8054114</v>
      </c>
      <c r="W11" s="23" t="n">
        <f aca="false">'Clients &amp; revenue'!W52</f>
        <v>3478088.34840855</v>
      </c>
      <c r="X11" s="23" t="n">
        <f aca="false">'Clients &amp; revenue'!X52</f>
        <v>3906015.726084</v>
      </c>
      <c r="Y11" s="23" t="n">
        <f aca="false">'Clients &amp; revenue'!Y52</f>
        <v>4334703.19298711</v>
      </c>
      <c r="Z11" s="23" t="n">
        <f aca="false">'Clients &amp; revenue'!Z52</f>
        <v>4764516.15746523</v>
      </c>
      <c r="AA11" s="23" t="n">
        <f aca="false">'Clients &amp; revenue'!AA52</f>
        <v>5195837.23000241</v>
      </c>
      <c r="AB11" s="23" t="n">
        <f aca="false">'Clients &amp; revenue'!AB52</f>
        <v>5662567.33305609</v>
      </c>
      <c r="AC11" s="23" t="n">
        <f aca="false">'Clients &amp; revenue'!AC52</f>
        <v>6248676.45944109</v>
      </c>
      <c r="AD11" s="23" t="n">
        <f aca="false">'Clients &amp; revenue'!AD52</f>
        <v>6835652.64465743</v>
      </c>
      <c r="AE11" s="23" t="n">
        <f aca="false">'Clients &amp; revenue'!AE52</f>
        <v>7423986.82020872</v>
      </c>
      <c r="AF11" s="23" t="n">
        <f aca="false">'Clients &amp; revenue'!AF52</f>
        <v>8047692.90953665</v>
      </c>
      <c r="AG11" s="23" t="n">
        <f aca="false">'Clients &amp; revenue'!AG52</f>
        <v>8673385.56369604</v>
      </c>
      <c r="AH11" s="23" t="n">
        <f aca="false">'Clients &amp; revenue'!AH52</f>
        <v>9301635.41241775</v>
      </c>
      <c r="AI11" s="23" t="n">
        <f aca="false">'Clients &amp; revenue'!AI52</f>
        <v>9933040.70074395</v>
      </c>
      <c r="AJ11" s="23" t="n">
        <f aca="false">'Clients &amp; revenue'!AJ52</f>
        <v>10601729.0543914</v>
      </c>
      <c r="AK11" s="23" t="n">
        <f aca="false">'Clients &amp; revenue'!AK52</f>
        <v>11274435.5991222</v>
      </c>
      <c r="AL11" s="23" t="n">
        <f aca="false">'Clients &amp; revenue'!AL52</f>
        <v>11951858.6185224</v>
      </c>
      <c r="AM11" s="23" t="n">
        <f aca="false">'Clients &amp; revenue'!AM52</f>
        <v>12668231.6217559</v>
      </c>
      <c r="AN11" s="23" t="n">
        <f aca="false">'Clients &amp; revenue'!AN52</f>
        <v>13420551.8159104</v>
      </c>
      <c r="AO11" s="23" t="n">
        <f aca="false">'Clients &amp; revenue'!AO52</f>
        <v>14237618.0962284</v>
      </c>
      <c r="AP11" s="23" t="n">
        <f aca="false">'Clients &amp; revenue'!AP52</f>
        <v>15094541.6707016</v>
      </c>
      <c r="AQ11" s="23" t="n">
        <f aca="false">'Clients &amp; revenue'!AQ52</f>
        <v>15958319.0178753</v>
      </c>
      <c r="AR11" s="23" t="n">
        <f aca="false">'Clients &amp; revenue'!AR52</f>
        <v>16863423.9154417</v>
      </c>
      <c r="AS11" s="23" t="n">
        <f aca="false">'Clients &amp; revenue'!AS52</f>
        <v>17772023.6893498</v>
      </c>
      <c r="AT11" s="23" t="n">
        <f aca="false">'Clients &amp; revenue'!AT52</f>
        <v>18737471.2870956</v>
      </c>
      <c r="AU11" s="23" t="n">
        <f aca="false">'Clients &amp; revenue'!AU52</f>
        <v>19695675.4646019</v>
      </c>
      <c r="AV11" s="23" t="n">
        <f aca="false">'Clients &amp; revenue'!AV52</f>
        <v>20647022.4661858</v>
      </c>
      <c r="AW11" s="23" t="n">
        <f aca="false">'Clients &amp; revenue'!AW52</f>
        <v>21625409.7893745</v>
      </c>
      <c r="AX11" s="23" t="n">
        <f aca="false">'Clients &amp; revenue'!AX52</f>
        <v>22597323.3038553</v>
      </c>
      <c r="AY11" s="23" t="n">
        <f aca="false">'Clients &amp; revenue'!AY52</f>
        <v>23626841.8472853</v>
      </c>
      <c r="AZ11" s="23" t="n">
        <f aca="false">'Clients &amp; revenue'!AZ52</f>
        <v>24649953.04086</v>
      </c>
      <c r="BA11" s="23" t="n">
        <f aca="false">'Clients &amp; revenue'!BA52</f>
        <v>25759586.3038141</v>
      </c>
      <c r="BB11" s="23" t="n">
        <f aca="false">'Clients &amp; revenue'!BB52</f>
        <v>26862597.332902</v>
      </c>
      <c r="BC11" s="23" t="n">
        <f aca="false">'Clients &amp; revenue'!BC52</f>
        <v>27993005.403421</v>
      </c>
      <c r="BD11" s="23" t="n">
        <f aca="false">'Clients &amp; revenue'!BD52</f>
        <v>29147573.9544862</v>
      </c>
      <c r="BE11" s="23" t="n">
        <f aca="false">'Clients &amp; revenue'!BE52</f>
        <v>30329834.1813672</v>
      </c>
      <c r="BF11" s="23" t="n">
        <f aca="false">'Clients &amp; revenue'!BF52</f>
        <v>31506450.9297738</v>
      </c>
      <c r="BG11" s="23" t="n">
        <f aca="false">'Clients &amp; revenue'!BG52</f>
        <v>32741690.7906924</v>
      </c>
      <c r="BH11" s="23" t="n">
        <f aca="false">'Clients &amp; revenue'!BH52</f>
        <v>33971738.4736115</v>
      </c>
      <c r="BI11" s="23" t="n">
        <f aca="false">'Clients &amp; revenue'!BI52</f>
        <v>35230770.411604</v>
      </c>
      <c r="BJ11" s="23" t="n">
        <f aca="false">'Clients &amp; revenue'!BJ52</f>
        <v>36485565.666299</v>
      </c>
      <c r="BK11" s="23" t="n">
        <f aca="false">'Clients &amp; revenue'!BK52</f>
        <v>37794768.4873742</v>
      </c>
      <c r="BL11" s="23" t="n">
        <f aca="false">'Clients &amp; revenue'!BL52</f>
        <v>39121601.9348944</v>
      </c>
    </row>
    <row r="12" customFormat="false" ht="15" hidden="false" customHeight="false" outlineLevel="0" collapsed="false">
      <c r="A12" s="12" t="s">
        <v>208</v>
      </c>
      <c r="B12" s="14" t="s">
        <v>71</v>
      </c>
      <c r="D12" s="55" t="n">
        <f aca="false">SUM(E12:BL12)</f>
        <v>2601184765.03791</v>
      </c>
      <c r="E12" s="23" t="n">
        <f aca="false">'Clients &amp; revenue'!E53</f>
        <v>0</v>
      </c>
      <c r="F12" s="23" t="n">
        <f aca="false">'Clients &amp; revenue'!F53</f>
        <v>0</v>
      </c>
      <c r="G12" s="23" t="n">
        <f aca="false">'Clients &amp; revenue'!G53</f>
        <v>0</v>
      </c>
      <c r="H12" s="23" t="n">
        <f aca="false">'Clients &amp; revenue'!H53</f>
        <v>0</v>
      </c>
      <c r="I12" s="23" t="n">
        <f aca="false">'Clients &amp; revenue'!I53</f>
        <v>632133.333333333</v>
      </c>
      <c r="J12" s="23" t="n">
        <f aca="false">'Clients &amp; revenue'!J53</f>
        <v>1263431.91666667</v>
      </c>
      <c r="K12" s="23" t="n">
        <f aca="false">'Clients &amp; revenue'!K53</f>
        <v>1894315.679375</v>
      </c>
      <c r="L12" s="23" t="n">
        <f aca="false">'Clients &amp; revenue'!L53</f>
        <v>2525223.13712865</v>
      </c>
      <c r="M12" s="23" t="n">
        <f aca="false">'Clients &amp; revenue'!M53</f>
        <v>3156612.61206019</v>
      </c>
      <c r="N12" s="23" t="n">
        <f aca="false">'Clients &amp; revenue'!N53</f>
        <v>3788963.52432407</v>
      </c>
      <c r="O12" s="23" t="n">
        <f aca="false">'Clients &amp; revenue'!O53</f>
        <v>4422777.75936551</v>
      </c>
      <c r="P12" s="23" t="n">
        <f aca="false">'Clients &amp; revenue'!P53</f>
        <v>5058581.11547408</v>
      </c>
      <c r="Q12" s="23" t="n">
        <f aca="false">'Clients &amp; revenue'!Q53</f>
        <v>5889058.16980428</v>
      </c>
      <c r="R12" s="23" t="n">
        <f aca="false">'Clients &amp; revenue'!R53</f>
        <v>6720394.15133579</v>
      </c>
      <c r="S12" s="23" t="n">
        <f aca="false">'Clients &amp; revenue'!S53</f>
        <v>7553227.02642909</v>
      </c>
      <c r="T12" s="23" t="n">
        <f aca="false">'Clients &amp; revenue'!T53</f>
        <v>8388224.88961801</v>
      </c>
      <c r="U12" s="23" t="n">
        <f aca="false">'Clients &amp; revenue'!U53</f>
        <v>9226087.89956039</v>
      </c>
      <c r="V12" s="23" t="n">
        <f aca="false">'Clients &amp; revenue'!V53</f>
        <v>10067550.3289399</v>
      </c>
      <c r="W12" s="23" t="n">
        <f aca="false">'Clients &amp; revenue'!W53</f>
        <v>11479516.0685296</v>
      </c>
      <c r="X12" s="23" t="n">
        <f aca="false">'Clients &amp; revenue'!X53</f>
        <v>12893962.4260392</v>
      </c>
      <c r="Y12" s="23" t="n">
        <f aca="false">'Clients &amp; revenue'!Y53</f>
        <v>14312021.5370557</v>
      </c>
      <c r="Z12" s="23" t="n">
        <f aca="false">'Clients &amp; revenue'!Z53</f>
        <v>15734879.8199546</v>
      </c>
      <c r="AA12" s="23" t="n">
        <f aca="false">'Clients &amp; revenue'!AA53</f>
        <v>17163781.4473723</v>
      </c>
      <c r="AB12" s="23" t="n">
        <f aca="false">'Clients &amp; revenue'!AB53</f>
        <v>18710032.0222803</v>
      </c>
      <c r="AC12" s="23" t="n">
        <f aca="false">'Clients &amp; revenue'!AC53</f>
        <v>20649442.0543383</v>
      </c>
      <c r="AD12" s="23" t="n">
        <f aca="false">'Clients &amp; revenue'!AD53</f>
        <v>22593199.5048159</v>
      </c>
      <c r="AE12" s="23" t="n">
        <f aca="false">'Clients &amp; revenue'!AE53</f>
        <v>24542897.9266981</v>
      </c>
      <c r="AF12" s="23" t="n">
        <f aca="false">'Clients &amp; revenue'!AF53</f>
        <v>26610208.0801782</v>
      </c>
      <c r="AG12" s="23" t="n">
        <f aca="false">'Clients &amp; revenue'!AG53</f>
        <v>28685589.1033361</v>
      </c>
      <c r="AH12" s="23" t="n">
        <f aca="false">'Clients &amp; revenue'!AH53</f>
        <v>30770898.8949932</v>
      </c>
      <c r="AI12" s="23" t="n">
        <f aca="false">'Clients &amp; revenue'!AI53</f>
        <v>32868087.9372878</v>
      </c>
      <c r="AJ12" s="23" t="n">
        <f aca="false">'Clients &amp; revenue'!AJ53</f>
        <v>35089205.1455003</v>
      </c>
      <c r="AK12" s="23" t="n">
        <f aca="false">'Clients &amp; revenue'!AK53</f>
        <v>37325110.313826</v>
      </c>
      <c r="AL12" s="23" t="n">
        <f aca="false">'Clients &amp; revenue'!AL53</f>
        <v>39578085.8498201</v>
      </c>
      <c r="AM12" s="23" t="n">
        <f aca="false">'Clients &amp; revenue'!AM53</f>
        <v>41960532.0296504</v>
      </c>
      <c r="AN12" s="23" t="n">
        <f aca="false">'Clients &amp; revenue'!AN53</f>
        <v>44462680.6165502</v>
      </c>
      <c r="AO12" s="23" t="n">
        <f aca="false">'Clients &amp; revenue'!AO53</f>
        <v>47179176.7965368</v>
      </c>
      <c r="AP12" s="23" t="n">
        <f aca="false">'Clients &amp; revenue'!AP53</f>
        <v>50028460.655769</v>
      </c>
      <c r="AQ12" s="23" t="n">
        <f aca="false">'Clients &amp; revenue'!AQ53</f>
        <v>52902252.035651</v>
      </c>
      <c r="AR12" s="23" t="n">
        <f aca="false">'Clients &amp; revenue'!AR53</f>
        <v>55913740.5650928</v>
      </c>
      <c r="AS12" s="23" t="n">
        <f aca="false">'Clients &amp; revenue'!AS53</f>
        <v>58938792.3442511</v>
      </c>
      <c r="AT12" s="23" t="n">
        <f aca="false">'Clients &amp; revenue'!AT53</f>
        <v>62152577.3601134</v>
      </c>
      <c r="AU12" s="23" t="n">
        <f aca="false">'Clients &amp; revenue'!AU53</f>
        <v>65344783.7934946</v>
      </c>
      <c r="AV12" s="23" t="n">
        <f aca="false">'Clients &amp; revenue'!AV53</f>
        <v>68516628.184197</v>
      </c>
      <c r="AW12" s="23" t="n">
        <f aca="false">'Clients &amp; revenue'!AW53</f>
        <v>71779365.9044196</v>
      </c>
      <c r="AX12" s="23" t="n">
        <f aca="false">'Clients &amp; revenue'!AX53</f>
        <v>75023000.2671799</v>
      </c>
      <c r="AY12" s="23" t="n">
        <f aca="false">'Clients &amp; revenue'!AY53</f>
        <v>78457890.7191353</v>
      </c>
      <c r="AZ12" s="23" t="n">
        <f aca="false">'Clients &amp; revenue'!AZ53</f>
        <v>81873986.2127558</v>
      </c>
      <c r="BA12" s="23" t="n">
        <f aca="false">'Clients &amp; revenue'!BA53</f>
        <v>85576378.4138885</v>
      </c>
      <c r="BB12" s="23" t="n">
        <f aca="false">'Clients &amp; revenue'!BB53</f>
        <v>89259442.303949</v>
      </c>
      <c r="BC12" s="23" t="n">
        <f aca="false">'Clients &amp; revenue'!BC53</f>
        <v>93034830.2439617</v>
      </c>
      <c r="BD12" s="23" t="n">
        <f aca="false">'Clients &amp; revenue'!BD53</f>
        <v>96891961.9508164</v>
      </c>
      <c r="BE12" s="23" t="n">
        <f aca="false">'Clients &amp; revenue'!BE53</f>
        <v>100842469.546233</v>
      </c>
      <c r="BF12" s="23" t="n">
        <f aca="false">'Clients &amp; revenue'!BF53</f>
        <v>104776941.26253</v>
      </c>
      <c r="BG12" s="23" t="n">
        <f aca="false">'Clients &amp; revenue'!BG53</f>
        <v>108906350.849971</v>
      </c>
      <c r="BH12" s="23" t="n">
        <f aca="false">'Clients &amp; revenue'!BH53</f>
        <v>113021292.797611</v>
      </c>
      <c r="BI12" s="23" t="n">
        <f aca="false">'Clients &amp; revenue'!BI53</f>
        <v>117233937.499034</v>
      </c>
      <c r="BJ12" s="23" t="n">
        <f aca="false">'Clients &amp; revenue'!BJ53</f>
        <v>121435250.92881</v>
      </c>
      <c r="BK12" s="23" t="n">
        <f aca="false">'Clients &amp; revenue'!BK53</f>
        <v>125817748.417536</v>
      </c>
      <c r="BL12" s="23" t="n">
        <f aca="false">'Clients &amp; revenue'!BL53</f>
        <v>130260793.663331</v>
      </c>
    </row>
    <row r="13" customFormat="false" ht="15" hidden="false" customHeight="false" outlineLevel="0" collapsed="false">
      <c r="A13" s="12" t="s">
        <v>790</v>
      </c>
      <c r="B13" s="14" t="s">
        <v>71</v>
      </c>
      <c r="D13" s="55" t="n">
        <f aca="false">SUM(E13:BL13)</f>
        <v>93754139.6589705</v>
      </c>
      <c r="E13" s="23" t="n">
        <f aca="false">'Clients &amp; revenue'!E54</f>
        <v>0</v>
      </c>
      <c r="F13" s="23" t="n">
        <f aca="false">'Clients &amp; revenue'!F54</f>
        <v>0</v>
      </c>
      <c r="G13" s="23" t="n">
        <f aca="false">'Clients &amp; revenue'!G54</f>
        <v>0</v>
      </c>
      <c r="H13" s="23" t="n">
        <f aca="false">'Clients &amp; revenue'!H54</f>
        <v>0</v>
      </c>
      <c r="I13" s="23" t="n">
        <f aca="false">'Clients &amp; revenue'!I54</f>
        <v>373533.333333333</v>
      </c>
      <c r="J13" s="23" t="n">
        <f aca="false">'Clients &amp; revenue'!J54</f>
        <v>377433.333333333</v>
      </c>
      <c r="K13" s="23" t="n">
        <f aca="false">'Clients &amp; revenue'!K54</f>
        <v>381567.333333333</v>
      </c>
      <c r="L13" s="23" t="n">
        <f aca="false">'Clients &amp; revenue'!L54</f>
        <v>385949.373333333</v>
      </c>
      <c r="M13" s="23" t="n">
        <f aca="false">'Clients &amp; revenue'!M54</f>
        <v>390594.335733333</v>
      </c>
      <c r="N13" s="23" t="n">
        <f aca="false">'Clients &amp; revenue'!N54</f>
        <v>395517.995877333</v>
      </c>
      <c r="O13" s="23" t="n">
        <f aca="false">'Clients &amp; revenue'!O54</f>
        <v>400737.075629973</v>
      </c>
      <c r="P13" s="23" t="n">
        <f aca="false">'Clients &amp; revenue'!P54</f>
        <v>406269.300167772</v>
      </c>
      <c r="Q13" s="23" t="n">
        <f aca="false">'Clients &amp; revenue'!Q54</f>
        <v>525666.791511171</v>
      </c>
      <c r="R13" s="23" t="n">
        <f aca="false">'Clients &amp; revenue'!R54</f>
        <v>531882.799001842</v>
      </c>
      <c r="S13" s="23" t="n">
        <f aca="false">'Clients &amp; revenue'!S54</f>
        <v>538471.766941952</v>
      </c>
      <c r="T13" s="23" t="n">
        <f aca="false">'Clients &amp; revenue'!T54</f>
        <v>545456.072958469</v>
      </c>
      <c r="U13" s="23" t="n">
        <f aca="false">'Clients &amp; revenue'!U54</f>
        <v>552859.437335978</v>
      </c>
      <c r="V13" s="23" t="n">
        <f aca="false">'Clients &amp; revenue'!V54</f>
        <v>560707.003576136</v>
      </c>
      <c r="W13" s="23" t="n">
        <f aca="false">'Clients &amp; revenue'!W54</f>
        <v>903558.757124038</v>
      </c>
      <c r="X13" s="23" t="n">
        <f aca="false">'Clients &amp; revenue'!X54</f>
        <v>914716.28255148</v>
      </c>
      <c r="Y13" s="23" t="n">
        <f aca="false">'Clients &amp; revenue'!Y54</f>
        <v>926543.259504569</v>
      </c>
      <c r="Z13" s="23" t="n">
        <f aca="false">'Clients &amp; revenue'!Z54</f>
        <v>939079.855074843</v>
      </c>
      <c r="AA13" s="23" t="n">
        <f aca="false">'Clients &amp; revenue'!AA54</f>
        <v>952368.646379334</v>
      </c>
      <c r="AB13" s="23" t="n">
        <f aca="false">'Clients &amp; revenue'!AB54</f>
        <v>1031454.76516209</v>
      </c>
      <c r="AC13" s="23" t="n">
        <f aca="false">'Clients &amp; revenue'!AC54</f>
        <v>1274319.38440515</v>
      </c>
      <c r="AD13" s="23" t="n">
        <f aca="false">'Clients &amp; revenue'!AD54</f>
        <v>1290146.54746946</v>
      </c>
      <c r="AE13" s="23" t="n">
        <f aca="false">'Clients &amp; revenue'!AE54</f>
        <v>1306923.34031763</v>
      </c>
      <c r="AF13" s="23" t="n">
        <f aca="false">'Clients &amp; revenue'!AF54</f>
        <v>1389706.74073669</v>
      </c>
      <c r="AG13" s="23" t="n">
        <f aca="false">'Clients &amp; revenue'!AG54</f>
        <v>1408557.14518089</v>
      </c>
      <c r="AH13" s="23" t="n">
        <f aca="false">'Clients &amp; revenue'!AH54</f>
        <v>1428538.57389174</v>
      </c>
      <c r="AI13" s="23" t="n">
        <f aca="false">'Clients &amp; revenue'!AI54</f>
        <v>1449718.88832525</v>
      </c>
      <c r="AJ13" s="23" t="n">
        <f aca="false">'Clients &amp; revenue'!AJ54</f>
        <v>1537170.02162476</v>
      </c>
      <c r="AK13" s="23" t="n">
        <f aca="false">'Clients &amp; revenue'!AK54</f>
        <v>1560968.22292225</v>
      </c>
      <c r="AL13" s="23" t="n">
        <f aca="false">'Clients &amp; revenue'!AL54</f>
        <v>1586194.31629758</v>
      </c>
      <c r="AM13" s="23" t="n">
        <f aca="false">'Clients &amp; revenue'!AM54</f>
        <v>1677933.97527544</v>
      </c>
      <c r="AN13" s="23" t="n">
        <f aca="false">'Clients &amp; revenue'!AN54</f>
        <v>1764778.01379196</v>
      </c>
      <c r="AO13" s="23" t="n">
        <f aca="false">'Clients &amp; revenue'!AO54</f>
        <v>1908356.02795281</v>
      </c>
      <c r="AP13" s="23" t="n">
        <f aca="false">'Clients &amp; revenue'!AP54</f>
        <v>2005203.38962998</v>
      </c>
      <c r="AQ13" s="23" t="n">
        <f aca="false">'Clients &amp; revenue'!AQ54</f>
        <v>2038961.59300778</v>
      </c>
      <c r="AR13" s="23" t="n">
        <f aca="false">'Clients &amp; revenue'!AR54</f>
        <v>2139745.28858825</v>
      </c>
      <c r="AS13" s="23" t="n">
        <f aca="false">'Clients &amp; revenue'!AS54</f>
        <v>2168104.62591322</v>
      </c>
      <c r="AT13" s="23" t="n">
        <f aca="false">'Clients &amp; revenue'!AT54</f>
        <v>2300036.90346802</v>
      </c>
      <c r="AU13" s="23" t="n">
        <f aca="false">'Clients &amp; revenue'!AU54</f>
        <v>2308975.1176761</v>
      </c>
      <c r="AV13" s="23" t="n">
        <f aca="false">'Clients &amp; revenue'!AV54</f>
        <v>2318449.62473666</v>
      </c>
      <c r="AW13" s="23" t="n">
        <f aca="false">'Clients &amp; revenue'!AW54</f>
        <v>2393492.60222086</v>
      </c>
      <c r="AX13" s="23" t="n">
        <f aca="false">'Clients &amp; revenue'!AX54</f>
        <v>2404138.15835411</v>
      </c>
      <c r="AY13" s="23" t="n">
        <f aca="false">'Clients &amp; revenue'!AY54</f>
        <v>2538922.44785536</v>
      </c>
      <c r="AZ13" s="23" t="n">
        <f aca="false">'Clients &amp; revenue'!AZ54</f>
        <v>2550883.79472668</v>
      </c>
      <c r="BA13" s="23" t="n">
        <f aca="false">'Clients &amp; revenue'!BA54</f>
        <v>2742962.82241028</v>
      </c>
      <c r="BB13" s="23" t="n">
        <f aca="false">'Clients &amp; revenue'!BB54</f>
        <v>2756402.5917549</v>
      </c>
      <c r="BC13" s="23" t="n">
        <f aca="false">'Clients &amp; revenue'!BC54</f>
        <v>2835648.74726019</v>
      </c>
      <c r="BD13" s="23" t="n">
        <f aca="false">'Clients &amp; revenue'!BD54</f>
        <v>2909249.67209581</v>
      </c>
      <c r="BE13" s="23" t="n">
        <f aca="false">'Clients &amp; revenue'!BE54</f>
        <v>2990256.65242156</v>
      </c>
      <c r="BF13" s="23" t="n">
        <f aca="false">'Clients &amp; revenue'!BF54</f>
        <v>3007224.05156685</v>
      </c>
      <c r="BG13" s="23" t="n">
        <f aca="false">'Clients &amp; revenue'!BG54</f>
        <v>3148709.49466086</v>
      </c>
      <c r="BH13" s="23" t="n">
        <f aca="false">'Clients &amp; revenue'!BH54</f>
        <v>3167774.06434051</v>
      </c>
      <c r="BI13" s="23" t="n">
        <f aca="false">'Clients &amp; revenue'!BI54</f>
        <v>3252982.50820094</v>
      </c>
      <c r="BJ13" s="23" t="n">
        <f aca="false">'Clients &amp; revenue'!BJ54</f>
        <v>3274403.458693</v>
      </c>
      <c r="BK13" s="23" t="n">
        <f aca="false">'Clients &amp; revenue'!BK54</f>
        <v>3409466.66666667</v>
      </c>
      <c r="BL13" s="23" t="n">
        <f aca="false">'Clients &amp; revenue'!BL54</f>
        <v>3474466.66666667</v>
      </c>
    </row>
    <row r="14" customFormat="false" ht="15" hidden="false" customHeight="false" outlineLevel="0" collapsed="false">
      <c r="A14" s="12" t="s">
        <v>851</v>
      </c>
      <c r="B14" s="14" t="s">
        <v>71</v>
      </c>
      <c r="D14" s="55" t="n">
        <f aca="false">SUM(E14:BL14)</f>
        <v>134666418.487318</v>
      </c>
      <c r="E14" s="23" t="n">
        <f aca="false">'Clients &amp; revenue'!E55</f>
        <v>0</v>
      </c>
      <c r="F14" s="23" t="n">
        <f aca="false">'Clients &amp; revenue'!F55</f>
        <v>0</v>
      </c>
      <c r="G14" s="23" t="n">
        <f aca="false">'Clients &amp; revenue'!G55</f>
        <v>0</v>
      </c>
      <c r="H14" s="23" t="n">
        <f aca="false">'Clients &amp; revenue'!H55</f>
        <v>0</v>
      </c>
      <c r="I14" s="23" t="n">
        <f aca="false">'Clients &amp; revenue'!I55</f>
        <v>31606.6666666667</v>
      </c>
      <c r="J14" s="23" t="n">
        <f aca="false">'Clients &amp; revenue'!J55</f>
        <v>63263.1833333333</v>
      </c>
      <c r="K14" s="23" t="n">
        <f aca="false">'Clients &amp; revenue'!K55</f>
        <v>94989.064875</v>
      </c>
      <c r="L14" s="23" t="n">
        <f aca="false">'Clients &amp; revenue'!L55</f>
        <v>126804.839695729</v>
      </c>
      <c r="M14" s="23" t="n">
        <f aca="false">'Clients &amp; revenue'!M55</f>
        <v>158732.112138545</v>
      </c>
      <c r="N14" s="23" t="n">
        <f aca="false">'Clients &amp; revenue'!N55</f>
        <v>190793.628622717</v>
      </c>
      <c r="O14" s="23" t="n">
        <f aca="false">'Clients &amp; revenue'!O55</f>
        <v>223013.347732261</v>
      </c>
      <c r="P14" s="23" t="n">
        <f aca="false">'Clients &amp; revenue'!P55</f>
        <v>255416.514492934</v>
      </c>
      <c r="Q14" s="23" t="n">
        <f aca="false">'Clients &amp; revenue'!Q55</f>
        <v>297636.405755875</v>
      </c>
      <c r="R14" s="23" t="n">
        <f aca="false">'Clients &amp; revenue'!R55</f>
        <v>340009.26362115</v>
      </c>
      <c r="S14" s="23" t="n">
        <f aca="false">'Clients &amp; revenue'!S55</f>
        <v>382565.486225456</v>
      </c>
      <c r="T14" s="23" t="n">
        <f aca="false">'Clients &amp; revenue'!T55</f>
        <v>425337.094337151</v>
      </c>
      <c r="U14" s="23" t="n">
        <f aca="false">'Clients &amp; revenue'!U55</f>
        <v>468357.830749894</v>
      </c>
      <c r="V14" s="23" t="n">
        <f aca="false">'Clients &amp; revenue'!V55</f>
        <v>511663.26561806</v>
      </c>
      <c r="W14" s="23" t="n">
        <f aca="false">'Clients &amp; revenue'!W55</f>
        <v>583597.574757345</v>
      </c>
      <c r="X14" s="23" t="n">
        <f aca="false">'Clients &amp; revenue'!X55</f>
        <v>655840.757955382</v>
      </c>
      <c r="Y14" s="23" t="n">
        <f aca="false">'Clients &amp; revenue'!Y55</f>
        <v>728447.053609874</v>
      </c>
      <c r="Z14" s="23" t="n">
        <f aca="false">'Clients &amp; revenue'!Z55</f>
        <v>801473.615976852</v>
      </c>
      <c r="AA14" s="23" t="n">
        <f aca="false">'Clients &amp; revenue'!AA55</f>
        <v>874980.693543646</v>
      </c>
      <c r="AB14" s="23" t="n">
        <f aca="false">'Clients &amp; revenue'!AB55</f>
        <v>954531.818067543</v>
      </c>
      <c r="AC14" s="23" t="n">
        <f aca="false">'Clients &amp; revenue'!AC55</f>
        <v>1053931.92158714</v>
      </c>
      <c r="AD14" s="23" t="n">
        <f aca="false">'Clients &amp; revenue'!AD55</f>
        <v>1153794.55812685</v>
      </c>
      <c r="AE14" s="23" t="n">
        <f aca="false">'Clients &amp; revenue'!AE55</f>
        <v>1254196.42561345</v>
      </c>
      <c r="AF14" s="23" t="n">
        <f aca="false">'Clients &amp; revenue'!AF55</f>
        <v>1360718.36069356</v>
      </c>
      <c r="AG14" s="23" t="n">
        <f aca="false">'Clients &amp; revenue'!AG55</f>
        <v>1467896.84173122</v>
      </c>
      <c r="AH14" s="23" t="n">
        <f aca="false">'Clients &amp; revenue'!AH55</f>
        <v>1575822.21631031</v>
      </c>
      <c r="AI14" s="23" t="n">
        <f aca="false">'Clients &amp; revenue'!AI55</f>
        <v>1684589.7714079</v>
      </c>
      <c r="AJ14" s="23" t="n">
        <f aca="false">'Clients &amp; revenue'!AJ55</f>
        <v>1799800.0346101</v>
      </c>
      <c r="AK14" s="23" t="n">
        <f aca="false">'Clients &amp; revenue'!AK55</f>
        <v>1916010.3433489</v>
      </c>
      <c r="AL14" s="23" t="n">
        <f aca="false">'Clients &amp; revenue'!AL55</f>
        <v>2033333.14261688</v>
      </c>
      <c r="AM14" s="23" t="n">
        <f aca="false">'Clients &amp; revenue'!AM55</f>
        <v>2157387.12956444</v>
      </c>
      <c r="AN14" s="23" t="n">
        <f aca="false">'Clients &amp; revenue'!AN55</f>
        <v>2287698.88360365</v>
      </c>
      <c r="AO14" s="23" t="n">
        <f aca="false">'Clients &amp; revenue'!AO55</f>
        <v>2429014.02030683</v>
      </c>
      <c r="AP14" s="23" t="n">
        <f aca="false">'Clients &amp; revenue'!AP55</f>
        <v>2577281.4178277</v>
      </c>
      <c r="AQ14" s="23" t="n">
        <f aca="false">'Clients &amp; revenue'!AQ55</f>
        <v>2727101.72927518</v>
      </c>
      <c r="AR14" s="23" t="n">
        <f aca="false">'Clients &amp; revenue'!AR55</f>
        <v>2884133.1947187</v>
      </c>
      <c r="AS14" s="23" t="n">
        <f aca="false">'Clients &amp; revenue'!AS55</f>
        <v>3042184.29974644</v>
      </c>
      <c r="AT14" s="23" t="n">
        <f aca="false">'Clients &amp; revenue'!AT55</f>
        <v>3210010.51726183</v>
      </c>
      <c r="AU14" s="23" t="n">
        <f aca="false">'Clients &amp; revenue'!AU55</f>
        <v>3377118.65854852</v>
      </c>
      <c r="AV14" s="23" t="n">
        <f aca="false">'Clients &amp; revenue'!AV55</f>
        <v>3543561.1525972</v>
      </c>
      <c r="AW14" s="23" t="n">
        <f aca="false">'Clients &amp; revenue'!AW55</f>
        <v>3714892.67520879</v>
      </c>
      <c r="AX14" s="23" t="n">
        <f aca="false">'Clients &amp; revenue'!AX55</f>
        <v>3885621.5428273</v>
      </c>
      <c r="AY14" s="23" t="n">
        <f aca="false">'Clients &amp; revenue'!AY55</f>
        <v>4066257.82428139</v>
      </c>
      <c r="AZ14" s="23" t="n">
        <f aca="false">'Clients &amp; revenue'!AZ55</f>
        <v>4246321.66320558</v>
      </c>
      <c r="BA14" s="23" t="n">
        <f aca="false">'Clients &amp; revenue'!BA55</f>
        <v>4441059.57190622</v>
      </c>
      <c r="BB14" s="23" t="n">
        <f aca="false">'Clients &amp; revenue'!BB55</f>
        <v>4635226.55599642</v>
      </c>
      <c r="BC14" s="23" t="n">
        <f aca="false">'Clients &amp; revenue'!BC55</f>
        <v>4834396.67436263</v>
      </c>
      <c r="BD14" s="23" t="n">
        <f aca="false">'Clients &amp; revenue'!BD55</f>
        <v>5038048.66206213</v>
      </c>
      <c r="BE14" s="23" t="n">
        <f aca="false">'Clients &amp; revenue'!BE55</f>
        <v>5246770.23046107</v>
      </c>
      <c r="BF14" s="23" t="n">
        <f aca="false">'Clients &amp; revenue'!BF55</f>
        <v>5455098.49528012</v>
      </c>
      <c r="BG14" s="23" t="n">
        <f aca="false">'Clients &amp; revenue'!BG55</f>
        <v>5673573.88563484</v>
      </c>
      <c r="BH14" s="23" t="n">
        <f aca="false">'Clients &amp; revenue'!BH55</f>
        <v>5891748.56177217</v>
      </c>
      <c r="BI14" s="23" t="n">
        <f aca="false">'Clients &amp; revenue'!BI55</f>
        <v>6115222.80995302</v>
      </c>
      <c r="BJ14" s="23" t="n">
        <f aca="false">'Clients &amp; revenue'!BJ55</f>
        <v>6338553.07414772</v>
      </c>
      <c r="BK14" s="23" t="n">
        <f aca="false">'Clients &amp; revenue'!BK55</f>
        <v>6571357.35177702</v>
      </c>
      <c r="BL14" s="23" t="n">
        <f aca="false">'Clients &amp; revenue'!BL55</f>
        <v>6807624.0711697</v>
      </c>
    </row>
    <row r="15" customFormat="false" ht="15" hidden="false" customHeight="false" outlineLevel="0" collapsed="false">
      <c r="A15" s="12" t="s">
        <v>791</v>
      </c>
      <c r="B15" s="14" t="s">
        <v>71</v>
      </c>
      <c r="D15" s="55" t="n">
        <f aca="false">SUM(E15:BL15)</f>
        <v>928865030.176118</v>
      </c>
      <c r="E15" s="23" t="n">
        <f aca="false">'Clients &amp; revenue'!E56</f>
        <v>0</v>
      </c>
      <c r="F15" s="23" t="n">
        <f aca="false">'Clients &amp; revenue'!F56</f>
        <v>0</v>
      </c>
      <c r="G15" s="23" t="n">
        <f aca="false">'Clients &amp; revenue'!G56</f>
        <v>0</v>
      </c>
      <c r="H15" s="23" t="n">
        <f aca="false">'Clients &amp; revenue'!H56</f>
        <v>0</v>
      </c>
      <c r="I15" s="23" t="n">
        <f aca="false">'Clients &amp; revenue'!I56</f>
        <v>0</v>
      </c>
      <c r="J15" s="23" t="n">
        <f aca="false">'Clients &amp; revenue'!J56</f>
        <v>0</v>
      </c>
      <c r="K15" s="23" t="n">
        <f aca="false">'Clients &amp; revenue'!K56</f>
        <v>0</v>
      </c>
      <c r="L15" s="23" t="n">
        <f aca="false">'Clients &amp; revenue'!L56</f>
        <v>0</v>
      </c>
      <c r="M15" s="23" t="n">
        <f aca="false">'Clients &amp; revenue'!M56</f>
        <v>0</v>
      </c>
      <c r="N15" s="23" t="n">
        <f aca="false">'Clients &amp; revenue'!N56</f>
        <v>0</v>
      </c>
      <c r="O15" s="23" t="n">
        <f aca="false">'Clients &amp; revenue'!O56</f>
        <v>0</v>
      </c>
      <c r="P15" s="23" t="n">
        <f aca="false">'Clients &amp; revenue'!P56</f>
        <v>0</v>
      </c>
      <c r="Q15" s="23" t="n">
        <f aca="false">'Clients &amp; revenue'!Q56</f>
        <v>0</v>
      </c>
      <c r="R15" s="23" t="n">
        <f aca="false">'Clients &amp; revenue'!R56</f>
        <v>0</v>
      </c>
      <c r="S15" s="23" t="n">
        <f aca="false">'Clients &amp; revenue'!S56</f>
        <v>0</v>
      </c>
      <c r="T15" s="23" t="n">
        <f aca="false">'Clients &amp; revenue'!T56</f>
        <v>0</v>
      </c>
      <c r="U15" s="23" t="n">
        <f aca="false">'Clients &amp; revenue'!U56</f>
        <v>0</v>
      </c>
      <c r="V15" s="23" t="n">
        <f aca="false">'Clients &amp; revenue'!V56</f>
        <v>317381.68390478</v>
      </c>
      <c r="W15" s="23" t="n">
        <f aca="false">'Clients &amp; revenue'!W56</f>
        <v>723775.113361423</v>
      </c>
      <c r="X15" s="23" t="n">
        <f aca="false">'Clients &amp; revenue'!X56</f>
        <v>1219395.92206162</v>
      </c>
      <c r="Y15" s="23" t="n">
        <f aca="false">'Clients &amp; revenue'!Y56</f>
        <v>1804602.7578529</v>
      </c>
      <c r="Z15" s="23" t="n">
        <f aca="false">'Clients &amp; revenue'!Z56</f>
        <v>2479905.81999582</v>
      </c>
      <c r="AA15" s="23" t="n">
        <f aca="false">'Clients &amp; revenue'!AA56</f>
        <v>3245976.05225546</v>
      </c>
      <c r="AB15" s="23" t="n">
        <f aca="false">'Clients &amp; revenue'!AB56</f>
        <v>4127950.87024911</v>
      </c>
      <c r="AC15" s="23" t="n">
        <f aca="false">'Clients &amp; revenue'!AC56</f>
        <v>5206536.66569148</v>
      </c>
      <c r="AD15" s="23" t="n">
        <f aca="false">'Clients &amp; revenue'!AD56</f>
        <v>6408498.95859273</v>
      </c>
      <c r="AE15" s="23" t="n">
        <f aca="false">'Clients &amp; revenue'!AE56</f>
        <v>7734726.56696564</v>
      </c>
      <c r="AF15" s="23" t="n">
        <f aca="false">'Clients &amp; revenue'!AF56</f>
        <v>9224515.46878558</v>
      </c>
      <c r="AG15" s="23" t="n">
        <f aca="false">'Clients &amp; revenue'!AG56</f>
        <v>10847490.8459847</v>
      </c>
      <c r="AH15" s="23" t="n">
        <f aca="false">'Clients &amp; revenue'!AH56</f>
        <v>11635524.824347</v>
      </c>
      <c r="AI15" s="23" t="n">
        <f aca="false">'Clients &amp; revenue'!AI56</f>
        <v>12427948.4290429</v>
      </c>
      <c r="AJ15" s="23" t="n">
        <f aca="false">'Clients &amp; revenue'!AJ56</f>
        <v>13267187.5315643</v>
      </c>
      <c r="AK15" s="23" t="n">
        <f aca="false">'Clients &amp; revenue'!AK56</f>
        <v>14111911.381024</v>
      </c>
      <c r="AL15" s="23" t="n">
        <f aca="false">'Clients &amp; revenue'!AL56</f>
        <v>14962984.138991</v>
      </c>
      <c r="AM15" s="23" t="n">
        <f aca="false">'Clients &amp; revenue'!AM56</f>
        <v>15862964.4702742</v>
      </c>
      <c r="AN15" s="23" t="n">
        <f aca="false">'Clients &amp; revenue'!AN56</f>
        <v>16808147.2019106</v>
      </c>
      <c r="AO15" s="23" t="n">
        <f aca="false">'Clients &amp; revenue'!AO56</f>
        <v>17834362.4817455</v>
      </c>
      <c r="AP15" s="23" t="n">
        <f aca="false">'Clients &amp; revenue'!AP56</f>
        <v>18910717.45171</v>
      </c>
      <c r="AQ15" s="23" t="n">
        <f aca="false">'Clients &amp; revenue'!AQ56</f>
        <v>19996206.7188699</v>
      </c>
      <c r="AR15" s="23" t="n">
        <f aca="false">'Clients &amp; revenue'!AR56</f>
        <v>21133687.6183168</v>
      </c>
      <c r="AS15" s="23" t="n">
        <f aca="false">'Clients &amp; revenue'!AS56</f>
        <v>22276151.7282312</v>
      </c>
      <c r="AT15" s="23" t="n">
        <f aca="false">'Clients &amp; revenue'!AT56</f>
        <v>23489925.0795527</v>
      </c>
      <c r="AU15" s="23" t="n">
        <f aca="false">'Clients &amp; revenue'!AU56</f>
        <v>24695366.3010317</v>
      </c>
      <c r="AV15" s="23" t="n">
        <f aca="false">'Clients &amp; revenue'!AV56</f>
        <v>25892938.3936135</v>
      </c>
      <c r="AW15" s="23" t="n">
        <f aca="false">'Clients &amp; revenue'!AW56</f>
        <v>27124768.9817776</v>
      </c>
      <c r="AX15" s="23" t="n">
        <f aca="false">'Clients &amp; revenue'!AX56</f>
        <v>28349205.2689366</v>
      </c>
      <c r="AY15" s="23" t="n">
        <f aca="false">'Clients &amp; revenue'!AY56</f>
        <v>29645899.2345428</v>
      </c>
      <c r="AZ15" s="23" t="n">
        <f aca="false">'Clients &amp; revenue'!AZ56</f>
        <v>30935308.1678654</v>
      </c>
      <c r="BA15" s="23" t="n">
        <f aca="false">'Clients &amp; revenue'!BA56</f>
        <v>32332953.1509125</v>
      </c>
      <c r="BB15" s="23" t="n">
        <f aca="false">'Clients &amp; revenue'!BB56</f>
        <v>33723098.3367923</v>
      </c>
      <c r="BC15" s="23" t="n">
        <f aca="false">'Clients &amp; revenue'!BC56</f>
        <v>35148021.7746166</v>
      </c>
      <c r="BD15" s="23" t="n">
        <f aca="false">'Clients &amp; revenue'!BD56</f>
        <v>36603713.4207317</v>
      </c>
      <c r="BE15" s="23" t="n">
        <f aca="false">'Clients &amp; revenue'!BE56</f>
        <v>38094574.2885095</v>
      </c>
      <c r="BF15" s="23" t="n">
        <f aca="false">'Clients &amp; revenue'!BF56</f>
        <v>39579173.1370806</v>
      </c>
      <c r="BG15" s="23" t="n">
        <f aca="false">'Clients &amp; revenue'!BG56</f>
        <v>41137394.5942024</v>
      </c>
      <c r="BH15" s="23" t="n">
        <f aca="false">'Clients &amp; revenue'!BH56</f>
        <v>42689940.3885404</v>
      </c>
      <c r="BI15" s="23" t="n">
        <f aca="false">'Clients &amp; revenue'!BI56</f>
        <v>44279284.5724583</v>
      </c>
      <c r="BJ15" s="23" t="n">
        <f aca="false">'Clients &amp; revenue'!BJ56</f>
        <v>45864138.7641077</v>
      </c>
      <c r="BK15" s="23" t="n">
        <f aca="false">'Clients &amp; revenue'!BK56</f>
        <v>47517398.373957</v>
      </c>
      <c r="BL15" s="23" t="n">
        <f aca="false">'Clients &amp; revenue'!BL56</f>
        <v>49193377.2451602</v>
      </c>
    </row>
    <row r="16" customFormat="false" ht="15" hidden="false" customHeight="false" outlineLevel="0" collapsed="false">
      <c r="A16" s="12" t="s">
        <v>852</v>
      </c>
      <c r="B16" s="14" t="s">
        <v>71</v>
      </c>
      <c r="D16" s="55" t="n">
        <f aca="false">SUM(E16:BL16)</f>
        <v>1250063418.55489</v>
      </c>
      <c r="E16" s="23" t="n">
        <f aca="false">Credit!E43</f>
        <v>0</v>
      </c>
      <c r="F16" s="23" t="n">
        <f aca="false">Credit!F43</f>
        <v>0</v>
      </c>
      <c r="G16" s="23" t="n">
        <f aca="false">Credit!G43</f>
        <v>0</v>
      </c>
      <c r="H16" s="23" t="n">
        <f aca="false">Credit!H43</f>
        <v>0</v>
      </c>
      <c r="I16" s="23" t="n">
        <f aca="false">Credit!I43</f>
        <v>0</v>
      </c>
      <c r="J16" s="23" t="n">
        <f aca="false">Credit!J43</f>
        <v>0</v>
      </c>
      <c r="K16" s="23" t="n">
        <f aca="false">Credit!K43</f>
        <v>0</v>
      </c>
      <c r="L16" s="23" t="n">
        <f aca="false">Credit!L43</f>
        <v>0</v>
      </c>
      <c r="M16" s="23" t="n">
        <f aca="false">Credit!M43</f>
        <v>0</v>
      </c>
      <c r="N16" s="23" t="n">
        <f aca="false">Credit!N43</f>
        <v>0</v>
      </c>
      <c r="O16" s="23" t="n">
        <f aca="false">Credit!O43</f>
        <v>0</v>
      </c>
      <c r="P16" s="23" t="n">
        <f aca="false">Credit!P43</f>
        <v>0</v>
      </c>
      <c r="Q16" s="23" t="n">
        <f aca="false">Credit!Q43</f>
        <v>0</v>
      </c>
      <c r="R16" s="23" t="n">
        <f aca="false">Credit!R43</f>
        <v>0</v>
      </c>
      <c r="S16" s="23" t="n">
        <f aca="false">Credit!S43</f>
        <v>0</v>
      </c>
      <c r="T16" s="23" t="n">
        <f aca="false">Credit!T43</f>
        <v>0</v>
      </c>
      <c r="U16" s="23" t="n">
        <f aca="false">Credit!U43</f>
        <v>0</v>
      </c>
      <c r="V16" s="23" t="n">
        <f aca="false">Credit!V43</f>
        <v>86442.0499134634</v>
      </c>
      <c r="W16" s="23" t="n">
        <f aca="false">Credit!W43</f>
        <v>283475.024172515</v>
      </c>
      <c r="X16" s="23" t="n">
        <f aca="false">Credit!X43</f>
        <v>528712.678781451</v>
      </c>
      <c r="Y16" s="23" t="n">
        <f aca="false">Credit!Y43</f>
        <v>845695.101490092</v>
      </c>
      <c r="Z16" s="23" t="n">
        <f aca="false">Credit!Z43</f>
        <v>1239009.26832925</v>
      </c>
      <c r="AA16" s="23" t="n">
        <f aca="false">Credit!AA43</f>
        <v>1689652.58047647</v>
      </c>
      <c r="AB16" s="23" t="n">
        <f aca="false">Credit!AB43</f>
        <v>2205314.68481341</v>
      </c>
      <c r="AC16" s="23" t="n">
        <f aca="false">Credit!AC43</f>
        <v>5168326.5517334</v>
      </c>
      <c r="AD16" s="23" t="n">
        <f aca="false">Credit!AD43</f>
        <v>6426092.41826096</v>
      </c>
      <c r="AE16" s="23" t="n">
        <f aca="false">Credit!AE43</f>
        <v>7935413.55821994</v>
      </c>
      <c r="AF16" s="23" t="n">
        <f aca="false">Credit!AF43</f>
        <v>9741437.27091955</v>
      </c>
      <c r="AG16" s="23" t="n">
        <f aca="false">Credit!AG43</f>
        <v>11743266.4166401</v>
      </c>
      <c r="AH16" s="23" t="n">
        <f aca="false">Credit!AH43</f>
        <v>13481415.9697141</v>
      </c>
      <c r="AI16" s="23" t="n">
        <f aca="false">Credit!AI43</f>
        <v>14902898.6778527</v>
      </c>
      <c r="AJ16" s="23" t="n">
        <f aca="false">Credit!AJ43</f>
        <v>16429224.1989978</v>
      </c>
      <c r="AK16" s="23" t="n">
        <f aca="false">Credit!AK43</f>
        <v>17949229.7906258</v>
      </c>
      <c r="AL16" s="23" t="n">
        <f aca="false">Credit!AL43</f>
        <v>19425733.2962614</v>
      </c>
      <c r="AM16" s="23" t="n">
        <f aca="false">Credit!AM43</f>
        <v>20993381.7408769</v>
      </c>
      <c r="AN16" s="23" t="n">
        <f aca="false">Credit!AN43</f>
        <v>22651820.3178279</v>
      </c>
      <c r="AO16" s="23" t="n">
        <f aca="false">Credit!AO43</f>
        <v>24435568.5152124</v>
      </c>
      <c r="AP16" s="23" t="n">
        <f aca="false">Credit!AP43</f>
        <v>26376714.5433564</v>
      </c>
      <c r="AQ16" s="23" t="n">
        <f aca="false">Credit!AQ43</f>
        <v>28167056.8134861</v>
      </c>
      <c r="AR16" s="23" t="n">
        <f aca="false">Credit!AR43</f>
        <v>29793033.8602993</v>
      </c>
      <c r="AS16" s="23" t="n">
        <f aca="false">Credit!AS43</f>
        <v>31465009.2844411</v>
      </c>
      <c r="AT16" s="23" t="n">
        <f aca="false">Credit!AT43</f>
        <v>33135377.9485904</v>
      </c>
      <c r="AU16" s="23" t="n">
        <f aca="false">Credit!AU43</f>
        <v>34804436.7269006</v>
      </c>
      <c r="AV16" s="23" t="n">
        <f aca="false">Credit!AV43</f>
        <v>36451810.6597857</v>
      </c>
      <c r="AW16" s="23" t="n">
        <f aca="false">Credit!AW43</f>
        <v>38119171.6222137</v>
      </c>
      <c r="AX16" s="23" t="n">
        <f aca="false">Credit!AX43</f>
        <v>39797219.1042806</v>
      </c>
      <c r="AY16" s="23" t="n">
        <f aca="false">Credit!AY43</f>
        <v>41500315.6803008</v>
      </c>
      <c r="AZ16" s="23" t="n">
        <f aca="false">Credit!AZ43</f>
        <v>43242580.7453746</v>
      </c>
      <c r="BA16" s="23" t="n">
        <f aca="false">Credit!BA43</f>
        <v>45045885.8912675</v>
      </c>
      <c r="BB16" s="23" t="n">
        <f aca="false">Credit!BB43</f>
        <v>46914461.7560907</v>
      </c>
      <c r="BC16" s="23" t="n">
        <f aca="false">Credit!BC43</f>
        <v>48802079.4580461</v>
      </c>
      <c r="BD16" s="23" t="n">
        <f aca="false">Credit!BD43</f>
        <v>50703951.9913728</v>
      </c>
      <c r="BE16" s="23" t="n">
        <f aca="false">Credit!BE43</f>
        <v>52653617.1932064</v>
      </c>
      <c r="BF16" s="23" t="n">
        <f aca="false">Credit!BF43</f>
        <v>54612581.3298085</v>
      </c>
      <c r="BG16" s="23" t="n">
        <f aca="false">Credit!BG43</f>
        <v>56596409.5757832</v>
      </c>
      <c r="BH16" s="23" t="n">
        <f aca="false">Credit!BH43</f>
        <v>58618127.9156045</v>
      </c>
      <c r="BI16" s="23" t="n">
        <f aca="false">Credit!BI43</f>
        <v>60660051.8633819</v>
      </c>
      <c r="BJ16" s="23" t="n">
        <f aca="false">Credit!BJ43</f>
        <v>62712069.6062646</v>
      </c>
      <c r="BK16" s="23" t="n">
        <f aca="false">Credit!BK43</f>
        <v>64789443.2568157</v>
      </c>
      <c r="BL16" s="23" t="n">
        <f aca="false">Credit!BL43</f>
        <v>66939901.6170976</v>
      </c>
    </row>
    <row r="17" customFormat="false" ht="15" hidden="false" customHeight="false" outlineLevel="0" collapsed="false">
      <c r="A17" s="8" t="s">
        <v>87</v>
      </c>
      <c r="B17" s="14" t="s">
        <v>71</v>
      </c>
      <c r="D17" s="55" t="n">
        <f aca="false">SUM(E17:BL17)</f>
        <v>12066738234.0879</v>
      </c>
      <c r="E17" s="55" t="n">
        <f aca="false">SUM(E9:E16)</f>
        <v>0</v>
      </c>
      <c r="F17" s="55" t="n">
        <f aca="false">SUM(F9:F16)</f>
        <v>0</v>
      </c>
      <c r="G17" s="55" t="n">
        <f aca="false">SUM(G9:G16)</f>
        <v>0</v>
      </c>
      <c r="H17" s="55" t="n">
        <f aca="false">SUM(H9:H16)</f>
        <v>0</v>
      </c>
      <c r="I17" s="55" t="n">
        <f aca="false">SUM(I9:I16)</f>
        <v>1741240</v>
      </c>
      <c r="J17" s="55" t="n">
        <f aca="false">SUM(J9:J16)</f>
        <v>3110813.31666667</v>
      </c>
      <c r="K17" s="55" t="n">
        <f aca="false">SUM(K9:K16)</f>
        <v>4479498.47095833</v>
      </c>
      <c r="L17" s="55" t="n">
        <f aca="false">SUM(L9:L16)</f>
        <v>7003425.8879354</v>
      </c>
      <c r="M17" s="55" t="n">
        <f aca="false">SUM(M9:M16)</f>
        <v>9573344.84638222</v>
      </c>
      <c r="N17" s="55" t="n">
        <f aca="false">SUM(N9:N16)</f>
        <v>12143553.0827264</v>
      </c>
      <c r="O17" s="55" t="n">
        <f aca="false">SUM(O9:O16)</f>
        <v>14716002.4733452</v>
      </c>
      <c r="P17" s="55" t="n">
        <f aca="false">SUM(P9:P16)</f>
        <v>17292734.0839291</v>
      </c>
      <c r="Q17" s="55" t="n">
        <f aca="false">SUM(Q9:Q16)</f>
        <v>20405123.971176</v>
      </c>
      <c r="R17" s="55" t="n">
        <f aca="false">SUM(R9:R16)</f>
        <v>23402851.4703997</v>
      </c>
      <c r="S17" s="55" t="n">
        <f aca="false">SUM(S9:S16)</f>
        <v>26401933.1804245</v>
      </c>
      <c r="T17" s="55" t="n">
        <f aca="false">SUM(T9:T16)</f>
        <v>29784952.0226945</v>
      </c>
      <c r="U17" s="55" t="n">
        <f aca="false">SUM(U9:U16)</f>
        <v>33174635.9035731</v>
      </c>
      <c r="V17" s="55" t="n">
        <f aca="false">SUM(V9:V16)</f>
        <v>36977651.2066052</v>
      </c>
      <c r="W17" s="55" t="n">
        <f aca="false">SUM(W9:W16)</f>
        <v>42552195.1415047</v>
      </c>
      <c r="X17" s="55" t="n">
        <f aca="false">SUM(X9:X16)</f>
        <v>47927323.6330008</v>
      </c>
      <c r="Y17" s="55" t="n">
        <f aca="false">SUM(Y9:Y16)</f>
        <v>53463265.6112193</v>
      </c>
      <c r="Z17" s="55" t="n">
        <f aca="false">SUM(Z9:Z16)</f>
        <v>60288958.8719745</v>
      </c>
      <c r="AA17" s="55" t="n">
        <f aca="false">SUM(AA9:AA16)</f>
        <v>67278620.1115336</v>
      </c>
      <c r="AB17" s="55" t="n">
        <f aca="false">SUM(AB9:AB16)</f>
        <v>74773123.1871391</v>
      </c>
      <c r="AC17" s="55" t="n">
        <f aca="false">SUM(AC9:AC16)</f>
        <v>85929714.7592721</v>
      </c>
      <c r="AD17" s="55" t="n">
        <f aca="false">SUM(AD9:AD16)</f>
        <v>95283097.825397</v>
      </c>
      <c r="AE17" s="55" t="n">
        <f aca="false">SUM(AE9:AE16)</f>
        <v>105242629.234279</v>
      </c>
      <c r="AF17" s="55" t="n">
        <f aca="false">SUM(AF9:AF16)</f>
        <v>116747549.29754</v>
      </c>
      <c r="AG17" s="55" t="n">
        <f aca="false">SUM(AG9:AG16)</f>
        <v>128536887.498253</v>
      </c>
      <c r="AH17" s="55" t="n">
        <f aca="false">SUM(AH9:AH16)</f>
        <v>139255215.408609</v>
      </c>
      <c r="AI17" s="55" t="n">
        <f aca="false">SUM(AI9:AI16)</f>
        <v>149913957.503587</v>
      </c>
      <c r="AJ17" s="55" t="n">
        <f aca="false">SUM(AJ9:AJ16)</f>
        <v>161070398.372262</v>
      </c>
      <c r="AK17" s="55" t="n">
        <f aca="false">SUM(AK9:AK16)</f>
        <v>172206733.545136</v>
      </c>
      <c r="AL17" s="55" t="n">
        <f aca="false">SUM(AL9:AL16)</f>
        <v>183360431.739749</v>
      </c>
      <c r="AM17" s="55" t="n">
        <f aca="false">SUM(AM9:AM16)</f>
        <v>195238476.984518</v>
      </c>
      <c r="AN17" s="55" t="n">
        <f aca="false">SUM(AN9:AN16)</f>
        <v>207528055.296989</v>
      </c>
      <c r="AO17" s="55" t="n">
        <f aca="false">SUM(AO9:AO16)</f>
        <v>220567790.741192</v>
      </c>
      <c r="AP17" s="55" t="n">
        <f aca="false">SUM(AP9:AP16)</f>
        <v>234296247.202045</v>
      </c>
      <c r="AQ17" s="55" t="n">
        <f aca="false">SUM(AQ9:AQ16)</f>
        <v>248093970.010104</v>
      </c>
      <c r="AR17" s="55" t="n">
        <f aca="false">SUM(AR9:AR16)</f>
        <v>262554696.320483</v>
      </c>
      <c r="AS17" s="55" t="n">
        <f aca="false">SUM(AS9:AS16)</f>
        <v>277274003.609104</v>
      </c>
      <c r="AT17" s="55" t="n">
        <f aca="false">SUM(AT9:AT16)</f>
        <v>292614286.732096</v>
      </c>
      <c r="AU17" s="55" t="n">
        <f aca="false">SUM(AU9:AU16)</f>
        <v>308034287.545496</v>
      </c>
      <c r="AV17" s="55" t="n">
        <f aca="false">SUM(AV9:AV16)</f>
        <v>323398590.059699</v>
      </c>
      <c r="AW17" s="55" t="n">
        <f aca="false">SUM(AW9:AW16)</f>
        <v>339444089.755833</v>
      </c>
      <c r="AX17" s="55" t="n">
        <f aca="false">SUM(AX9:AX16)</f>
        <v>355338081.203261</v>
      </c>
      <c r="AY17" s="55" t="n">
        <f aca="false">SUM(AY9:AY16)</f>
        <v>371820716.312873</v>
      </c>
      <c r="AZ17" s="55" t="n">
        <f aca="false">SUM(AZ9:AZ16)</f>
        <v>388339889.941264</v>
      </c>
      <c r="BA17" s="55" t="n">
        <f aca="false">SUM(BA9:BA16)</f>
        <v>405781174.132591</v>
      </c>
      <c r="BB17" s="55" t="n">
        <f aca="false">SUM(BB9:BB16)</f>
        <v>423421415.342292</v>
      </c>
      <c r="BC17" s="55" t="n">
        <f aca="false">SUM(BC9:BC16)</f>
        <v>441332296.927094</v>
      </c>
      <c r="BD17" s="55" t="n">
        <f aca="false">SUM(BD9:BD16)</f>
        <v>460011361.681702</v>
      </c>
      <c r="BE17" s="55" t="n">
        <f aca="false">SUM(BE9:BE16)</f>
        <v>478934992.375585</v>
      </c>
      <c r="BF17" s="55" t="n">
        <f aca="false">SUM(BF9:BF16)</f>
        <v>497933163.55448</v>
      </c>
      <c r="BG17" s="55" t="n">
        <f aca="false">SUM(BG9:BG16)</f>
        <v>517728074.020333</v>
      </c>
      <c r="BH17" s="55" t="n">
        <f aca="false">SUM(BH9:BH16)</f>
        <v>537573458.289598</v>
      </c>
      <c r="BI17" s="55" t="n">
        <f aca="false">SUM(BI9:BI16)</f>
        <v>557711613.322346</v>
      </c>
      <c r="BJ17" s="55" t="n">
        <f aca="false">SUM(BJ9:BJ16)</f>
        <v>578139770.056675</v>
      </c>
      <c r="BK17" s="55" t="n">
        <f aca="false">SUM(BK9:BK16)</f>
        <v>599130817.982425</v>
      </c>
      <c r="BL17" s="55" t="n">
        <f aca="false">SUM(BL9:BL16)</f>
        <v>620459053.030547</v>
      </c>
    </row>
    <row r="19" customFormat="false" ht="15" hidden="false" customHeight="false" outlineLevel="0" collapsed="false">
      <c r="A19" s="10" t="s">
        <v>853</v>
      </c>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1"/>
      <c r="BL19" s="11"/>
    </row>
    <row r="20" customFormat="false" ht="15" hidden="false" customHeight="false" outlineLevel="0" collapsed="false">
      <c r="A20" s="12" t="s">
        <v>854</v>
      </c>
      <c r="B20" s="14" t="s">
        <v>71</v>
      </c>
      <c r="D20" s="55" t="n">
        <f aca="false">SUM(E20:BL20)</f>
        <v>765077348.235985</v>
      </c>
      <c r="E20" s="37" t="n">
        <f aca="false">Costs!E9+Costs!E10</f>
        <v>0</v>
      </c>
      <c r="F20" s="37" t="n">
        <f aca="false">Costs!F9+Costs!F10</f>
        <v>0</v>
      </c>
      <c r="G20" s="37" t="n">
        <f aca="false">Costs!G9+Costs!G10</f>
        <v>0</v>
      </c>
      <c r="H20" s="37" t="n">
        <f aca="false">Costs!H9+Costs!H10</f>
        <v>0</v>
      </c>
      <c r="I20" s="37" t="n">
        <f aca="false">Costs!I9+Costs!I10</f>
        <v>362040</v>
      </c>
      <c r="J20" s="37" t="n">
        <f aca="false">Costs!J9+Costs!J10</f>
        <v>535375.4</v>
      </c>
      <c r="K20" s="37" t="n">
        <f aca="false">Costs!K9+Costs!K10</f>
        <v>707913.727</v>
      </c>
      <c r="L20" s="37" t="n">
        <f aca="false">Costs!L9+Costs!L10</f>
        <v>879795.12469125</v>
      </c>
      <c r="M20" s="37" t="n">
        <f aca="false">Costs!M9+Costs!M10</f>
        <v>1051164.77470327</v>
      </c>
      <c r="N20" s="37" t="n">
        <f aca="false">Costs!N9+Costs!N10</f>
        <v>1222173.26189298</v>
      </c>
      <c r="O20" s="37" t="n">
        <f aca="false">Costs!O9+Costs!O10</f>
        <v>1392976.9603425</v>
      </c>
      <c r="P20" s="37" t="n">
        <f aca="false">Costs!P9+Costs!P10</f>
        <v>1563738.44133172</v>
      </c>
      <c r="Q20" s="37" t="n">
        <f aca="false">Costs!Q9+Costs!Q10</f>
        <v>1844666.90462713</v>
      </c>
      <c r="R20" s="37" t="n">
        <f aca="false">Costs!R9+Costs!R10</f>
        <v>2067394.03450865</v>
      </c>
      <c r="S20" s="37" t="n">
        <f aca="false">Costs!S9+Costs!S10</f>
        <v>2289759.00904081</v>
      </c>
      <c r="T20" s="37" t="n">
        <f aca="false">Costs!T9+Costs!T10</f>
        <v>2511968.79875106</v>
      </c>
      <c r="U20" s="37" t="n">
        <f aca="false">Costs!U9+Costs!U10</f>
        <v>2734238.71170515</v>
      </c>
      <c r="V20" s="37" t="n">
        <f aca="false">Costs!V9+Costs!V10</f>
        <v>2956792.96980242</v>
      </c>
      <c r="W20" s="37" t="n">
        <f aca="false">Costs!W9+Costs!W10</f>
        <v>3504105.31819322</v>
      </c>
      <c r="X20" s="37" t="n">
        <f aca="false">Costs!X9+Costs!X10</f>
        <v>3882060.06983387</v>
      </c>
      <c r="Y20" s="37" t="n">
        <f aca="false">Costs!Y9+Costs!Y10</f>
        <v>4259727.4093155</v>
      </c>
      <c r="Z20" s="37" t="n">
        <f aca="false">Costs!Z9+Costs!Z10</f>
        <v>4637472.3856276</v>
      </c>
      <c r="AA20" s="37" t="n">
        <f aca="false">Costs!AA9+Costs!AA10</f>
        <v>5015675.13349024</v>
      </c>
      <c r="AB20" s="37" t="n">
        <f aca="false">Costs!AB9+Costs!AB10</f>
        <v>5457731.90548754</v>
      </c>
      <c r="AC20" s="37" t="n">
        <f aca="false">Costs!AC9+Costs!AC10</f>
        <v>6088481.16369872</v>
      </c>
      <c r="AD20" s="37" t="n">
        <f aca="false">Costs!AD9+Costs!AD10</f>
        <v>6602987.70944402</v>
      </c>
      <c r="AE20" s="37" t="n">
        <f aca="false">Costs!AE9+Costs!AE10</f>
        <v>7117462.33813478</v>
      </c>
      <c r="AF20" s="37" t="n">
        <f aca="false">Costs!AF9+Costs!AF10</f>
        <v>7695415.99304819</v>
      </c>
      <c r="AG20" s="37" t="n">
        <f aca="false">Costs!AG9+Costs!AG10</f>
        <v>18881388.7493378</v>
      </c>
      <c r="AH20" s="37" t="n">
        <f aca="false">Costs!AH9+Costs!AH10</f>
        <v>9563799.44431081</v>
      </c>
      <c r="AI20" s="37" t="n">
        <f aca="false">Costs!AI9+Costs!AI10</f>
        <v>10116974.3702804</v>
      </c>
      <c r="AJ20" s="37" t="n">
        <f aca="false">Costs!AJ9+Costs!AJ10</f>
        <v>10776682.8481866</v>
      </c>
      <c r="AK20" s="37" t="n">
        <f aca="false">Costs!AK9+Costs!AK10</f>
        <v>11365672.8057089</v>
      </c>
      <c r="AL20" s="37" t="n">
        <f aca="false">Costs!AL9+Costs!AL10</f>
        <v>11958610.9510357</v>
      </c>
      <c r="AM20" s="37" t="n">
        <f aca="false">Costs!AM9+Costs!AM10</f>
        <v>12659753.6238753</v>
      </c>
      <c r="AN20" s="37" t="n">
        <f aca="false">Costs!AN9+Costs!AN10</f>
        <v>13385109.5711891</v>
      </c>
      <c r="AO20" s="37" t="n">
        <f aca="false">Costs!AO9+Costs!AO10</f>
        <v>14230102.422308</v>
      </c>
      <c r="AP20" s="37" t="n">
        <f aca="false">Costs!AP9+Costs!AP10</f>
        <v>15054879.4400102</v>
      </c>
      <c r="AQ20" s="37" t="n">
        <f aca="false">Costs!AQ9+Costs!AQ10</f>
        <v>15811609.7559548</v>
      </c>
      <c r="AR20" s="37" t="n">
        <f aca="false">Costs!AR9+Costs!AR10</f>
        <v>16678738.9887925</v>
      </c>
      <c r="AS20" s="37" t="n">
        <f aca="false">Costs!AS9+Costs!AS10</f>
        <v>17464142.6982457</v>
      </c>
      <c r="AT20" s="37" t="n">
        <f aca="false">Costs!AT9+Costs!AT10</f>
        <v>18415132.1670127</v>
      </c>
      <c r="AU20" s="37" t="n">
        <f aca="false">Costs!AU9+Costs!AU10</f>
        <v>19217258.8760363</v>
      </c>
      <c r="AV20" s="37" t="n">
        <f aca="false">Costs!AV9+Costs!AV10</f>
        <v>20011456.1794954</v>
      </c>
      <c r="AW20" s="37" t="n">
        <f aca="false">Costs!AW9+Costs!AW10</f>
        <v>20901672.8933379</v>
      </c>
      <c r="AX20" s="37" t="n">
        <f aca="false">Costs!AX9+Costs!AX10</f>
        <v>21710434.6318008</v>
      </c>
      <c r="AY20" s="37" t="n">
        <f aca="false">Costs!AY9+Costs!AY10</f>
        <v>22708815.2535047</v>
      </c>
      <c r="AZ20" s="37" t="n">
        <f aca="false">Costs!AZ9+Costs!AZ10</f>
        <v>23559232.4883045</v>
      </c>
      <c r="BA20" s="37" t="n">
        <f aca="false">Costs!BA9+Costs!BA10</f>
        <v>24688362.263193</v>
      </c>
      <c r="BB20" s="37" t="n">
        <f aca="false">Costs!BB9+Costs!BB10</f>
        <v>25605643.3058391</v>
      </c>
      <c r="BC20" s="37" t="n">
        <f aca="false">Costs!BC9+Costs!BC10</f>
        <v>26619237.1144542</v>
      </c>
      <c r="BD20" s="37" t="n">
        <f aca="false">Costs!BD9+Costs!BD10</f>
        <v>27644951.2291278</v>
      </c>
      <c r="BE20" s="37" t="n">
        <f aca="false">Costs!BE9+Costs!BE10</f>
        <v>28700706.9808841</v>
      </c>
      <c r="BF20" s="37" t="n">
        <f aca="false">Costs!BF9+Costs!BF10</f>
        <v>29675764.3438727</v>
      </c>
      <c r="BG20" s="37" t="n">
        <f aca="false">Costs!BG9+Costs!BG10</f>
        <v>30841390.1058109</v>
      </c>
      <c r="BH20" s="37" t="n">
        <f aca="false">Costs!BH9+Costs!BH10</f>
        <v>31860203.9328754</v>
      </c>
      <c r="BI20" s="37" t="n">
        <f aca="false">Costs!BI9+Costs!BI10</f>
        <v>32976933.2831402</v>
      </c>
      <c r="BJ20" s="37" t="n">
        <f aca="false">Costs!BJ9+Costs!BJ10</f>
        <v>34014402.0320081</v>
      </c>
      <c r="BK20" s="37" t="n">
        <f aca="false">Costs!BK9+Costs!BK10</f>
        <v>35226253.9200134</v>
      </c>
      <c r="BL20" s="37" t="n">
        <f aca="false">Costs!BL9+Costs!BL10</f>
        <v>36370914.0213676</v>
      </c>
    </row>
    <row r="21" customFormat="false" ht="15" hidden="false" customHeight="false" outlineLevel="0" collapsed="false">
      <c r="A21" s="12" t="s">
        <v>855</v>
      </c>
      <c r="B21" s="14" t="s">
        <v>71</v>
      </c>
      <c r="D21" s="55" t="n">
        <f aca="false">SUM(E21:BL21)</f>
        <v>2797153102.74236</v>
      </c>
      <c r="E21" s="37" t="n">
        <f aca="false">Costs!E11+Costs!E12+Costs!E13+Costs!E14</f>
        <v>0</v>
      </c>
      <c r="F21" s="37" t="n">
        <f aca="false">Costs!F11+Costs!F12+Costs!F13+Costs!F14</f>
        <v>0</v>
      </c>
      <c r="G21" s="37" t="n">
        <f aca="false">Costs!G11+Costs!G12+Costs!G13+Costs!G14</f>
        <v>0</v>
      </c>
      <c r="H21" s="37" t="n">
        <f aca="false">Costs!H11+Costs!H12+Costs!H13+Costs!H14</f>
        <v>0</v>
      </c>
      <c r="I21" s="37" t="n">
        <f aca="false">Costs!I11+Costs!I12+Costs!I13+Costs!I14</f>
        <v>1243578.66666667</v>
      </c>
      <c r="J21" s="37" t="n">
        <f aca="false">Costs!J11+Costs!J12+Costs!J13+Costs!J14</f>
        <v>1897305.94333333</v>
      </c>
      <c r="K21" s="37" t="n">
        <f aca="false">Costs!K11+Costs!K12+Costs!K13+Costs!K14</f>
        <v>2550561.270925</v>
      </c>
      <c r="L21" s="37" t="n">
        <f aca="false">Costs!L11+Costs!L12+Costs!L13+Costs!L14</f>
        <v>3203822.56261848</v>
      </c>
      <c r="M21" s="37" t="n">
        <f aca="false">Costs!M11+Costs!M12+Costs!M13+Costs!M14</f>
        <v>3857589.03368672</v>
      </c>
      <c r="N21" s="37" t="n">
        <f aca="false">Costs!N11+Costs!N12+Costs!N13+Costs!N14</f>
        <v>4512382.59901047</v>
      </c>
      <c r="O21" s="37" t="n">
        <f aca="false">Costs!O11+Costs!O12+Costs!O13+Costs!O14</f>
        <v>5168749.35235625</v>
      </c>
      <c r="P21" s="37" t="n">
        <f aca="false">Costs!P11+Costs!P12+Costs!P13+Costs!P14</f>
        <v>5827261.13236494</v>
      </c>
      <c r="Q21" s="37" t="n">
        <f aca="false">Costs!Q11+Costs!Q12+Costs!Q13+Costs!Q14</f>
        <v>6866495.8471578</v>
      </c>
      <c r="R21" s="37" t="n">
        <f aca="false">Costs!R11+Costs!R12+Costs!R13+Costs!R14</f>
        <v>7725874.83978036</v>
      </c>
      <c r="S21" s="37" t="n">
        <f aca="false">Costs!S11+Costs!S12+Costs!S13+Costs!S14</f>
        <v>8586872.33046234</v>
      </c>
      <c r="T21" s="37" t="n">
        <f aca="false">Costs!T11+Costs!T12+Costs!T13+Costs!T14</f>
        <v>9450214.97199891</v>
      </c>
      <c r="U21" s="37" t="n">
        <f aca="false">Costs!U11+Costs!U12+Costs!U13+Costs!U14</f>
        <v>10316663.9439841</v>
      </c>
      <c r="V21" s="37" t="n">
        <f aca="false">Costs!V11+Costs!V12+Costs!V13+Costs!V14</f>
        <v>11187017.1701223</v>
      </c>
      <c r="W21" s="37" t="n">
        <f aca="false">Costs!W11+Costs!W12+Costs!W13+Costs!W14</f>
        <v>13175850.3327155</v>
      </c>
      <c r="X21" s="37" t="n">
        <f aca="false">Costs!X11+Costs!X12+Costs!X13+Costs!X14</f>
        <v>14638199.4188713</v>
      </c>
      <c r="Y21" s="37" t="n">
        <f aca="false">Costs!Y11+Costs!Y12+Costs!Y13+Costs!Y14</f>
        <v>16104460.7449946</v>
      </c>
      <c r="Z21" s="37" t="n">
        <f aca="false">Costs!Z11+Costs!Z12+Costs!Z13+Costs!Z14</f>
        <v>17575924.1726535</v>
      </c>
      <c r="AA21" s="37" t="n">
        <f aca="false">Costs!AA11+Costs!AA12+Costs!AA13+Costs!AA14</f>
        <v>19053941.7692378</v>
      </c>
      <c r="AB21" s="37" t="n">
        <f aca="false">Costs!AB11+Costs!AB12+Costs!AB13+Costs!AB14</f>
        <v>20756331.7839538</v>
      </c>
      <c r="AC21" s="37" t="n">
        <f aca="false">Costs!AC11+Costs!AC12+Costs!AC13+Costs!AC14</f>
        <v>23122123.7748176</v>
      </c>
      <c r="AD21" s="37" t="n">
        <f aca="false">Costs!AD11+Costs!AD12+Costs!AD13+Costs!AD14</f>
        <v>25129703.0230793</v>
      </c>
      <c r="AE21" s="37" t="n">
        <f aca="false">Costs!AE11+Costs!AE12+Costs!AE13+Costs!AE14</f>
        <v>27143742.0757766</v>
      </c>
      <c r="AF21" s="37" t="n">
        <f aca="false">Costs!AF11+Costs!AF12+Costs!AF13+Costs!AF14</f>
        <v>29382456.6333821</v>
      </c>
      <c r="AG21" s="37" t="n">
        <f aca="false">Costs!AG11+Costs!AG12+Costs!AG13+Costs!AG14</f>
        <v>31526449.1220412</v>
      </c>
      <c r="AH21" s="37" t="n">
        <f aca="false">Costs!AH11+Costs!AH12+Costs!AH13+Costs!AH14</f>
        <v>33681237.7550025</v>
      </c>
      <c r="AI21" s="37" t="n">
        <f aca="false">Costs!AI11+Costs!AI12+Costs!AI13+Costs!AI14</f>
        <v>35848940.5086841</v>
      </c>
      <c r="AJ21" s="37" t="n">
        <f aca="false">Costs!AJ11+Costs!AJ12+Costs!AJ13+Costs!AJ14</f>
        <v>38248181.4489552</v>
      </c>
      <c r="AK21" s="37" t="n">
        <f aca="false">Costs!AK11+Costs!AK12+Costs!AK13+Costs!AK14</f>
        <v>40559995.6811098</v>
      </c>
      <c r="AL21" s="37" t="n">
        <f aca="false">Costs!AL11+Costs!AL12+Costs!AL13+Costs!AL14</f>
        <v>42890359.8716864</v>
      </c>
      <c r="AM21" s="37" t="n">
        <f aca="false">Costs!AM11+Costs!AM12+Costs!AM13+Costs!AM14</f>
        <v>45458277.7725385</v>
      </c>
      <c r="AN21" s="37" t="n">
        <f aca="false">Costs!AN11+Costs!AN12+Costs!AN13+Costs!AN14</f>
        <v>48139946.4379915</v>
      </c>
      <c r="AO21" s="37" t="n">
        <f aca="false">Costs!AO11+Costs!AO12+Costs!AO13+Costs!AO14</f>
        <v>51130575.1814256</v>
      </c>
      <c r="AP21" s="37" t="n">
        <f aca="false">Costs!AP11+Costs!AP12+Costs!AP13+Costs!AP14</f>
        <v>54181579.2159781</v>
      </c>
      <c r="AQ21" s="37" t="n">
        <f aca="false">Costs!AQ11+Costs!AQ12+Costs!AQ13+Costs!AQ14</f>
        <v>57155705.1709931</v>
      </c>
      <c r="AR21" s="37" t="n">
        <f aca="false">Costs!AR11+Costs!AR12+Costs!AR13+Costs!AR14</f>
        <v>60376312.1480549</v>
      </c>
      <c r="AS21" s="37" t="n">
        <f aca="false">Costs!AS11+Costs!AS12+Costs!AS13+Costs!AS14</f>
        <v>63493873.2953441</v>
      </c>
      <c r="AT21" s="37" t="n">
        <f aca="false">Costs!AT11+Costs!AT12+Costs!AT13+Costs!AT14</f>
        <v>66968429.590928</v>
      </c>
      <c r="AU21" s="37" t="n">
        <f aca="false">Costs!AU11+Costs!AU12+Costs!AU13+Costs!AU14</f>
        <v>70223253.4473448</v>
      </c>
      <c r="AV21" s="37" t="n">
        <f aca="false">Costs!AV11+Costs!AV12+Costs!AV13+Costs!AV14</f>
        <v>73456327.6007283</v>
      </c>
      <c r="AW21" s="37" t="n">
        <f aca="false">Costs!AW11+Costs!AW12+Costs!AW13+Costs!AW14</f>
        <v>76885426.2650285</v>
      </c>
      <c r="AX21" s="37" t="n">
        <f aca="false">Costs!AX11+Costs!AX12+Costs!AX13+Costs!AX14</f>
        <v>80190666.4803229</v>
      </c>
      <c r="AY21" s="37" t="n">
        <f aca="false">Costs!AY11+Costs!AY12+Costs!AY13+Costs!AY14</f>
        <v>83888194.8121726</v>
      </c>
      <c r="AZ21" s="37" t="n">
        <f aca="false">Costs!AZ11+Costs!AZ12+Costs!AZ13+Costs!AZ14</f>
        <v>87369075.4942659</v>
      </c>
      <c r="BA21" s="37" t="n">
        <f aca="false">Costs!BA11+Costs!BA12+Costs!BA13+Costs!BA14</f>
        <v>91428852.5999166</v>
      </c>
      <c r="BB21" s="37" t="n">
        <f aca="false">Costs!BB11+Costs!BB12+Costs!BB13+Costs!BB14</f>
        <v>95182421.2990747</v>
      </c>
      <c r="BC21" s="37" t="n">
        <f aca="false">Costs!BC11+Costs!BC12+Costs!BC13+Costs!BC14</f>
        <v>99133646.6178246</v>
      </c>
      <c r="BD21" s="37" t="n">
        <f aca="false">Costs!BD11+Costs!BD12+Costs!BD13+Costs!BD14</f>
        <v>103157857.330126</v>
      </c>
      <c r="BE21" s="37" t="n">
        <f aca="false">Costs!BE11+Costs!BE12+Costs!BE13+Costs!BE14</f>
        <v>107287742.413598</v>
      </c>
      <c r="BF21" s="37" t="n">
        <f aca="false">Costs!BF11+Costs!BF12+Costs!BF13+Costs!BF14</f>
        <v>111297203.260249</v>
      </c>
      <c r="BG21" s="37" t="n">
        <f aca="false">Costs!BG11+Costs!BG12+Costs!BG13+Costs!BG14</f>
        <v>115703052.465287</v>
      </c>
      <c r="BH21" s="37" t="n">
        <f aca="false">Costs!BH11+Costs!BH12+Costs!BH13+Costs!BH14</f>
        <v>119897053.968761</v>
      </c>
      <c r="BI21" s="37" t="n">
        <f aca="false">Costs!BI11+Costs!BI12+Costs!BI13+Costs!BI14</f>
        <v>124294623.344357</v>
      </c>
      <c r="BJ21" s="37" t="n">
        <f aca="false">Costs!BJ11+Costs!BJ12+Costs!BJ13+Costs!BJ14</f>
        <v>128576920.379109</v>
      </c>
      <c r="BK21" s="37" t="n">
        <f aca="false">Costs!BK11+Costs!BK12+Costs!BK13+Costs!BK14</f>
        <v>133224091.362506</v>
      </c>
      <c r="BL21" s="37" t="n">
        <f aca="false">Costs!BL11+Costs!BL12+Costs!BL13+Costs!BL14</f>
        <v>137819707.007005</v>
      </c>
    </row>
    <row r="22" customFormat="false" ht="15" hidden="false" customHeight="false" outlineLevel="0" collapsed="false">
      <c r="A22" s="12" t="s">
        <v>856</v>
      </c>
      <c r="B22" s="14" t="s">
        <v>71</v>
      </c>
      <c r="D22" s="55" t="n">
        <f aca="false">SUM(E22:BL22)</f>
        <v>3261495216.44088</v>
      </c>
      <c r="E22" s="37" t="n">
        <f aca="false">Costs!E15+Costs!E16+Costs!E17+Costs!E18</f>
        <v>0</v>
      </c>
      <c r="F22" s="37" t="n">
        <f aca="false">Costs!F15+Costs!F16+Costs!F17+Costs!F18</f>
        <v>0</v>
      </c>
      <c r="G22" s="37" t="n">
        <f aca="false">Costs!G15+Costs!G16+Costs!G17+Costs!G18</f>
        <v>0</v>
      </c>
      <c r="H22" s="37" t="n">
        <f aca="false">Costs!H15+Costs!H16+Costs!H17+Costs!H18</f>
        <v>0</v>
      </c>
      <c r="I22" s="37" t="n">
        <f aca="false">Costs!I15+Costs!I16+Costs!I17+Costs!I18</f>
        <v>629260</v>
      </c>
      <c r="J22" s="37" t="n">
        <f aca="false">Costs!J15+Costs!J16+Costs!J17+Costs!J18</f>
        <v>1258129.35</v>
      </c>
      <c r="K22" s="37" t="n">
        <f aca="false">Costs!K15+Costs!K16+Costs!K17+Costs!K18</f>
        <v>1887018.522625</v>
      </c>
      <c r="L22" s="37" t="n">
        <f aca="false">Costs!L15+Costs!L16+Costs!L17+Costs!L18</f>
        <v>2516356.90974094</v>
      </c>
      <c r="M22" s="37" t="n">
        <f aca="false">Costs!M15+Costs!M16+Costs!M17+Costs!M18</f>
        <v>3146594.04325416</v>
      </c>
      <c r="N22" s="37" t="n">
        <f aca="false">Costs!N15+Costs!N16+Costs!N17+Costs!N18</f>
        <v>3778200.88773836</v>
      </c>
      <c r="O22" s="37" t="n">
        <f aca="false">Costs!O15+Costs!O16+Costs!O17+Costs!O18</f>
        <v>4411671.20922384</v>
      </c>
      <c r="P22" s="37" t="n">
        <f aca="false">Costs!P15+Costs!P16+Costs!P17+Costs!P18</f>
        <v>5047523.02474367</v>
      </c>
      <c r="Q22" s="37" t="n">
        <f aca="false">Costs!Q15+Costs!Q16+Costs!Q17+Costs!Q18</f>
        <v>5877560.13750637</v>
      </c>
      <c r="R22" s="37" t="n">
        <f aca="false">Costs!R15+Costs!R16+Costs!R17+Costs!R18</f>
        <v>6708978.11285666</v>
      </c>
      <c r="S22" s="37" t="n">
        <f aca="false">Costs!S15+Costs!S16+Costs!S17+Costs!S18</f>
        <v>7542404.3356199</v>
      </c>
      <c r="T22" s="37" t="n">
        <f aca="false">Costs!T15+Costs!T16+Costs!T17+Costs!T18</f>
        <v>8378496.7538385</v>
      </c>
      <c r="U22" s="37" t="n">
        <f aca="false">Costs!U15+Costs!U16+Costs!U17+Costs!U18</f>
        <v>9217945.81768668</v>
      </c>
      <c r="V22" s="37" t="n">
        <f aca="false">Costs!V15+Costs!V16+Costs!V17+Costs!V18</f>
        <v>10283643.7117233</v>
      </c>
      <c r="W22" s="37" t="n">
        <f aca="false">Costs!W15+Costs!W16+Costs!W17+Costs!W18</f>
        <v>11980053.2156091</v>
      </c>
      <c r="X22" s="37" t="n">
        <f aca="false">Costs!X15+Costs!X16+Costs!X17+Costs!X18</f>
        <v>13742274.1439819</v>
      </c>
      <c r="Y22" s="37" t="n">
        <f aca="false">Costs!Y15+Costs!Y16+Costs!Y17+Costs!Y18</f>
        <v>15571672.3721389</v>
      </c>
      <c r="Z22" s="37" t="n">
        <f aca="false">Costs!Z15+Costs!Z16+Costs!Z17+Costs!Z18</f>
        <v>17469774.888634</v>
      </c>
      <c r="AA22" s="37" t="n">
        <f aca="false">Costs!AA15+Costs!AA16+Costs!AA17+Costs!AA18</f>
        <v>19438279.7079838</v>
      </c>
      <c r="AB22" s="37" t="n">
        <f aca="false">Costs!AB15+Costs!AB16+Costs!AB17+Costs!AB18</f>
        <v>21605573.5631128</v>
      </c>
      <c r="AC22" s="37" t="n">
        <f aca="false">Costs!AC15+Costs!AC16+Costs!AC17+Costs!AC18</f>
        <v>24302776.3097846</v>
      </c>
      <c r="AD22" s="37" t="n">
        <f aca="false">Costs!AD15+Costs!AD16+Costs!AD17+Costs!AD18</f>
        <v>27091838.6940201</v>
      </c>
      <c r="AE22" s="37" t="n">
        <f aca="false">Costs!AE15+Costs!AE16+Costs!AE17+Costs!AE18</f>
        <v>29974953.8709884</v>
      </c>
      <c r="AF22" s="37" t="n">
        <f aca="false">Costs!AF15+Costs!AF16+Costs!AF17+Costs!AF18</f>
        <v>33090778.229552</v>
      </c>
      <c r="AG22" s="37" t="n">
        <f aca="false">Costs!AG15+Costs!AG16+Costs!AG17+Costs!AG18</f>
        <v>36309070.5031955</v>
      </c>
      <c r="AH22" s="37" t="n">
        <f aca="false">Costs!AH15+Costs!AH16+Costs!AH17+Costs!AH18</f>
        <v>38953977.3881366</v>
      </c>
      <c r="AI22" s="37" t="n">
        <f aca="false">Costs!AI15+Costs!AI16+Costs!AI17+Costs!AI18</f>
        <v>41614960.4892609</v>
      </c>
      <c r="AJ22" s="37" t="n">
        <f aca="false">Costs!AJ15+Costs!AJ16+Costs!AJ17+Costs!AJ18</f>
        <v>44433247.3463773</v>
      </c>
      <c r="AK22" s="37" t="n">
        <f aca="false">Costs!AK15+Costs!AK16+Costs!AK17+Costs!AK18</f>
        <v>47271330.3673651</v>
      </c>
      <c r="AL22" s="37" t="n">
        <f aca="false">Costs!AL15+Costs!AL16+Costs!AL17+Costs!AL18</f>
        <v>50132077.460701</v>
      </c>
      <c r="AM22" s="37" t="n">
        <f aca="false">Costs!AM15+Costs!AM16+Costs!AM17+Costs!AM18</f>
        <v>53157161.7654876</v>
      </c>
      <c r="AN22" s="37" t="n">
        <f aca="false">Costs!AN15+Costs!AN16+Costs!AN17+Costs!AN18</f>
        <v>56334336.9519178</v>
      </c>
      <c r="AO22" s="37" t="n">
        <f aca="false">Costs!AO15+Costs!AO16+Costs!AO17+Costs!AO18</f>
        <v>59782962.3139469</v>
      </c>
      <c r="AP22" s="37" t="n">
        <f aca="false">Costs!AP15+Costs!AP16+Costs!AP17+Costs!AP18</f>
        <v>63400351.8107348</v>
      </c>
      <c r="AQ22" s="37" t="n">
        <f aca="false">Costs!AQ15+Costs!AQ16+Costs!AQ17+Costs!AQ18</f>
        <v>67050083.0142943</v>
      </c>
      <c r="AR22" s="37" t="n">
        <f aca="false">Costs!AR15+Costs!AR16+Costs!AR17+Costs!AR18</f>
        <v>70874824.0097113</v>
      </c>
      <c r="AS22" s="37" t="n">
        <f aca="false">Costs!AS15+Costs!AS16+Costs!AS17+Costs!AS18</f>
        <v>74718171.037114</v>
      </c>
      <c r="AT22" s="37" t="n">
        <f aca="false">Costs!AT15+Costs!AT16+Costs!AT17+Costs!AT18</f>
        <v>78800910.28359</v>
      </c>
      <c r="AU22" s="37" t="n">
        <f aca="false">Costs!AU15+Costs!AU16+Costs!AU17+Costs!AU18</f>
        <v>82858043.4173398</v>
      </c>
      <c r="AV22" s="37" t="n">
        <f aca="false">Costs!AV15+Costs!AV16+Costs!AV17+Costs!AV18</f>
        <v>86891063.8740281</v>
      </c>
      <c r="AW22" s="37" t="n">
        <f aca="false">Costs!AW15+Costs!AW16+Costs!AW17+Costs!AW18</f>
        <v>91040170.5052907</v>
      </c>
      <c r="AX22" s="37" t="n">
        <f aca="false">Costs!AX15+Costs!AX16+Costs!AX17+Costs!AX18</f>
        <v>95166747.6451544</v>
      </c>
      <c r="AY22" s="37" t="n">
        <f aca="false">Costs!AY15+Costs!AY16+Costs!AY17+Costs!AY18</f>
        <v>99535915.7375464</v>
      </c>
      <c r="AZ22" s="37" t="n">
        <f aca="false">Costs!AZ15+Costs!AZ16+Costs!AZ17+Costs!AZ18</f>
        <v>103883006.56556</v>
      </c>
      <c r="BA22" s="37" t="n">
        <f aca="false">Costs!BA15+Costs!BA16+Costs!BA17+Costs!BA18</f>
        <v>108592549.721016</v>
      </c>
      <c r="BB22" s="37" t="n">
        <f aca="false">Costs!BB15+Costs!BB16+Costs!BB17+Costs!BB18</f>
        <v>113279467.404203</v>
      </c>
      <c r="BC22" s="37" t="n">
        <f aca="false">Costs!BC15+Costs!BC16+Costs!BC17+Costs!BC18</f>
        <v>118084456.603612</v>
      </c>
      <c r="BD22" s="37" t="n">
        <f aca="false">Costs!BD15+Costs!BD16+Costs!BD17+Costs!BD18</f>
        <v>122994214.061679</v>
      </c>
      <c r="BE22" s="37" t="n">
        <f aca="false">Costs!BE15+Costs!BE16+Costs!BE17+Costs!BE18</f>
        <v>128023427.778215</v>
      </c>
      <c r="BF22" s="37" t="n">
        <f aca="false">Costs!BF15+Costs!BF16+Costs!BF17+Costs!BF18</f>
        <v>133034217.160657</v>
      </c>
      <c r="BG22" s="37" t="n">
        <f aca="false">Costs!BG15+Costs!BG16+Costs!BG17+Costs!BG18</f>
        <v>138292475.186995</v>
      </c>
      <c r="BH22" s="37" t="n">
        <f aca="false">Costs!BH15+Costs!BH16+Costs!BH17+Costs!BH18</f>
        <v>143534345.977633</v>
      </c>
      <c r="BI22" s="37" t="n">
        <f aca="false">Costs!BI15+Costs!BI16+Costs!BI17+Costs!BI18</f>
        <v>148901180.946593</v>
      </c>
      <c r="BJ22" s="37" t="n">
        <f aca="false">Costs!BJ15+Costs!BJ16+Costs!BJ17+Costs!BJ18</f>
        <v>154255577.656299</v>
      </c>
      <c r="BK22" s="37" t="n">
        <f aca="false">Costs!BK15+Costs!BK16+Costs!BK17+Costs!BK18</f>
        <v>159840164.472646</v>
      </c>
      <c r="BL22" s="37" t="n">
        <f aca="false">Costs!BL15+Costs!BL16+Costs!BL17+Costs!BL18</f>
        <v>165502969.172218</v>
      </c>
    </row>
    <row r="23" customFormat="false" ht="15" hidden="false" customHeight="false" outlineLevel="0" collapsed="false">
      <c r="A23" s="12" t="s">
        <v>857</v>
      </c>
      <c r="B23" s="14" t="s">
        <v>71</v>
      </c>
      <c r="D23" s="55" t="n">
        <f aca="false">SUM(E23:BL23)</f>
        <v>283396288.819105</v>
      </c>
      <c r="E23" s="37" t="n">
        <f aca="false">Costs!E19+Costs!E20</f>
        <v>0</v>
      </c>
      <c r="F23" s="37" t="n">
        <f aca="false">Costs!F19+Costs!F20</f>
        <v>0</v>
      </c>
      <c r="G23" s="37" t="n">
        <f aca="false">Costs!G19+Costs!G20</f>
        <v>0</v>
      </c>
      <c r="H23" s="37" t="n">
        <f aca="false">Costs!H19+Costs!H20</f>
        <v>0</v>
      </c>
      <c r="I23" s="37" t="n">
        <f aca="false">Costs!I19+Costs!I20</f>
        <v>22986.6666666667</v>
      </c>
      <c r="J23" s="37" t="n">
        <f aca="false">Costs!J19+Costs!J20</f>
        <v>45834.0533333333</v>
      </c>
      <c r="K23" s="37" t="n">
        <f aca="false">Costs!K19+Costs!K20</f>
        <v>68559.3236</v>
      </c>
      <c r="L23" s="37" t="n">
        <f aca="false">Costs!L19+Costs!L20</f>
        <v>91180.2128921667</v>
      </c>
      <c r="M23" s="37" t="n">
        <f aca="false">Costs!M19+Costs!M20</f>
        <v>113715.071336436</v>
      </c>
      <c r="N23" s="37" t="n">
        <f aca="false">Costs!N19+Costs!N20</f>
        <v>136182.90904429</v>
      </c>
      <c r="O23" s="37" t="n">
        <f aca="false">Costs!O19+Costs!O20</f>
        <v>158603.443951741</v>
      </c>
      <c r="P23" s="37" t="n">
        <f aca="false">Costs!P19+Costs!P20</f>
        <v>180997.152371334</v>
      </c>
      <c r="Q23" s="37" t="n">
        <f aca="false">Costs!Q19+Costs!Q20</f>
        <v>210371.989089015</v>
      </c>
      <c r="R23" s="37" t="n">
        <f aca="false">Costs!R19+Costs!R20</f>
        <v>239648.163848208</v>
      </c>
      <c r="S23" s="37" t="n">
        <f aca="false">Costs!S19+Costs!S20</f>
        <v>268850.804673986</v>
      </c>
      <c r="T23" s="37" t="n">
        <f aca="false">Costs!T19+Costs!T20</f>
        <v>298005.992843466</v>
      </c>
      <c r="U23" s="37" t="n">
        <f aca="false">Costs!U19+Costs!U20</f>
        <v>327140.830417944</v>
      </c>
      <c r="V23" s="37" t="n">
        <f aca="false">Costs!V19+Costs!V20</f>
        <v>356283.511629015</v>
      </c>
      <c r="W23" s="37" t="n">
        <f aca="false">Costs!W19+Costs!W20</f>
        <v>406050.065020443</v>
      </c>
      <c r="X23" s="37" t="n">
        <f aca="false">Costs!X19+Costs!X20</f>
        <v>455688.753261544</v>
      </c>
      <c r="Y23" s="37" t="n">
        <f aca="false">Costs!Y19+Costs!Y20</f>
        <v>505243.803162783</v>
      </c>
      <c r="Z23" s="37" t="n">
        <f aca="false">Costs!Z19+Costs!Z20</f>
        <v>554761.168919639</v>
      </c>
      <c r="AA23" s="37" t="n">
        <f aca="false">Costs!AA19+Costs!AA20</f>
        <v>604288.653018149</v>
      </c>
      <c r="AB23" s="37" t="n">
        <f aca="false">Costs!AB19+Costs!AB20</f>
        <v>657876.034064289</v>
      </c>
      <c r="AC23" s="37" t="n">
        <f aca="false">Costs!AC19+Costs!AC20</f>
        <v>725535.868625737</v>
      </c>
      <c r="AD23" s="37" t="n">
        <f aca="false">Costs!AD19+Costs!AD20</f>
        <v>793065.364199731</v>
      </c>
      <c r="AE23" s="37" t="n">
        <f aca="false">Costs!AE19+Costs!AE20</f>
        <v>860526.321534931</v>
      </c>
      <c r="AF23" s="37" t="n">
        <f aca="false">Costs!AF19+Costs!AF20</f>
        <v>931983.009443737</v>
      </c>
      <c r="AG23" s="37" t="n">
        <f aca="false">Costs!AG19+Costs!AG20</f>
        <v>3367992.46975249</v>
      </c>
      <c r="AH23" s="37" t="n">
        <f aca="false">Costs!AH19+Costs!AH20</f>
        <v>3612038.31179083</v>
      </c>
      <c r="AI23" s="37" t="n">
        <f aca="false">Costs!AI19+Costs!AI20</f>
        <v>3857326.61885502</v>
      </c>
      <c r="AJ23" s="37" t="n">
        <f aca="false">Costs!AJ19+Costs!AJ20</f>
        <v>4117101.04339394</v>
      </c>
      <c r="AK23" s="37" t="n">
        <f aca="false">Costs!AK19+Costs!AK20</f>
        <v>4378453.87935169</v>
      </c>
      <c r="AL23" s="37" t="n">
        <f aca="false">Costs!AL19+Costs!AL20</f>
        <v>4641656.2201435</v>
      </c>
      <c r="AM23" s="37" t="n">
        <f aca="false">Costs!AM19+Costs!AM20</f>
        <v>4919992.8453652</v>
      </c>
      <c r="AN23" s="37" t="n">
        <f aca="false">Costs!AN19+Costs!AN20</f>
        <v>5212299.58431421</v>
      </c>
      <c r="AO23" s="37" t="n">
        <f aca="false">Costs!AO19+Costs!AO20</f>
        <v>5529753.13598725</v>
      </c>
      <c r="AP23" s="37" t="n">
        <f aca="false">Costs!AP19+Costs!AP20</f>
        <v>5862696.9797273</v>
      </c>
      <c r="AQ23" s="37" t="n">
        <f aca="false">Costs!AQ19+Costs!AQ20</f>
        <v>6198324.89923482</v>
      </c>
      <c r="AR23" s="37" t="n">
        <f aca="false">Costs!AR19+Costs!AR20</f>
        <v>6550014.97212027</v>
      </c>
      <c r="AS23" s="37" t="n">
        <f aca="false">Costs!AS19+Costs!AS20</f>
        <v>6903087.01995361</v>
      </c>
      <c r="AT23" s="37" t="n">
        <f aca="false">Costs!AT19+Costs!AT20</f>
        <v>7278245.26719941</v>
      </c>
      <c r="AU23" s="37" t="n">
        <f aca="false">Costs!AU19+Costs!AU20</f>
        <v>7650620.07390533</v>
      </c>
      <c r="AV23" s="37" t="n">
        <f aca="false">Costs!AV19+Costs!AV20</f>
        <v>8020361.11716064</v>
      </c>
      <c r="AW23" s="37" t="n">
        <f aca="false">Costs!AW19+Costs!AW20</f>
        <v>8400622.44655348</v>
      </c>
      <c r="AX23" s="37" t="n">
        <f aca="false">Costs!AX19+Costs!AX20</f>
        <v>8778399.3219077</v>
      </c>
      <c r="AY23" s="37" t="n">
        <f aca="false">Costs!AY19+Costs!AY20</f>
        <v>9178557.95869975</v>
      </c>
      <c r="AZ23" s="37" t="n">
        <f aca="false">Costs!AZ19+Costs!AZ20</f>
        <v>9576259.32686963</v>
      </c>
      <c r="BA23" s="37" t="n">
        <f aca="false">Costs!BA19+Costs!BA20</f>
        <v>10007565.3882192</v>
      </c>
      <c r="BB23" s="37" t="n">
        <f aca="false">Costs!BB19+Costs!BB20</f>
        <v>10436332.9946971</v>
      </c>
      <c r="BC23" s="37" t="n">
        <f aca="false">Costs!BC19+Costs!BC20</f>
        <v>10875763.4480452</v>
      </c>
      <c r="BD23" s="37" t="n">
        <f aca="false">Costs!BD19+Costs!BD20</f>
        <v>11324601.5107917</v>
      </c>
      <c r="BE23" s="37" t="n">
        <f aca="false">Costs!BE19+Costs!BE20</f>
        <v>11784218.1460287</v>
      </c>
      <c r="BF23" s="37" t="n">
        <f aca="false">Costs!BF19+Costs!BF20</f>
        <v>12241678.0689569</v>
      </c>
      <c r="BG23" s="37" t="n">
        <f aca="false">Costs!BG19+Costs!BG20</f>
        <v>12721920.3611286</v>
      </c>
      <c r="BH23" s="37" t="n">
        <f aca="false">Costs!BH19+Costs!BH20</f>
        <v>13200182.4859375</v>
      </c>
      <c r="BI23" s="37" t="n">
        <f aca="false">Costs!BI19+Costs!BI20</f>
        <v>13689726.7554879</v>
      </c>
      <c r="BJ23" s="37" t="n">
        <f aca="false">Costs!BJ19+Costs!BJ20</f>
        <v>14177662.2319137</v>
      </c>
      <c r="BK23" s="37" t="n">
        <f aca="false">Costs!BK19+Costs!BK20</f>
        <v>14686746.2203291</v>
      </c>
      <c r="BL23" s="37" t="n">
        <f aca="false">Costs!BL19+Costs!BL20</f>
        <v>15202708.5483345</v>
      </c>
    </row>
    <row r="24" customFormat="false" ht="15" hidden="false" customHeight="false" outlineLevel="0" collapsed="false">
      <c r="A24" s="8" t="s">
        <v>858</v>
      </c>
      <c r="B24" s="14" t="s">
        <v>71</v>
      </c>
      <c r="D24" s="55" t="n">
        <f aca="false">SUM(E24:BL24)</f>
        <v>7107121956.23833</v>
      </c>
      <c r="E24" s="16" t="n">
        <f aca="false">SUM(E20:E23)</f>
        <v>0</v>
      </c>
      <c r="F24" s="16" t="n">
        <f aca="false">SUM(F20:F23)</f>
        <v>0</v>
      </c>
      <c r="G24" s="16" t="n">
        <f aca="false">SUM(G20:G23)</f>
        <v>0</v>
      </c>
      <c r="H24" s="16" t="n">
        <f aca="false">SUM(H20:H23)</f>
        <v>0</v>
      </c>
      <c r="I24" s="16" t="n">
        <f aca="false">SUM(I20:I23)</f>
        <v>2257865.33333333</v>
      </c>
      <c r="J24" s="16" t="n">
        <f aca="false">SUM(J20:J23)</f>
        <v>3736644.74666667</v>
      </c>
      <c r="K24" s="16" t="n">
        <f aca="false">SUM(K20:K23)</f>
        <v>5214052.84415</v>
      </c>
      <c r="L24" s="16" t="n">
        <f aca="false">SUM(L20:L23)</f>
        <v>6691154.80994283</v>
      </c>
      <c r="M24" s="16" t="n">
        <f aca="false">SUM(M20:M23)</f>
        <v>8169062.92298059</v>
      </c>
      <c r="N24" s="16" t="n">
        <f aca="false">SUM(N20:N23)</f>
        <v>9648939.6576861</v>
      </c>
      <c r="O24" s="16" t="n">
        <f aca="false">SUM(O20:O23)</f>
        <v>11132000.9658743</v>
      </c>
      <c r="P24" s="16" t="n">
        <f aca="false">SUM(P20:P23)</f>
        <v>12619519.7508117</v>
      </c>
      <c r="Q24" s="16" t="n">
        <f aca="false">SUM(Q20:Q23)</f>
        <v>14799094.8783803</v>
      </c>
      <c r="R24" s="16" t="n">
        <f aca="false">SUM(R20:R23)</f>
        <v>16741895.1509939</v>
      </c>
      <c r="S24" s="16" t="n">
        <f aca="false">SUM(S20:S23)</f>
        <v>18687886.479797</v>
      </c>
      <c r="T24" s="16" t="n">
        <f aca="false">SUM(T20:T23)</f>
        <v>20638686.5174319</v>
      </c>
      <c r="U24" s="16" t="n">
        <f aca="false">SUM(U20:U23)</f>
        <v>22595989.3037939</v>
      </c>
      <c r="V24" s="16" t="n">
        <f aca="false">SUM(V20:V23)</f>
        <v>24783737.363277</v>
      </c>
      <c r="W24" s="16" t="n">
        <f aca="false">SUM(W20:W23)</f>
        <v>29066058.9315383</v>
      </c>
      <c r="X24" s="16" t="n">
        <f aca="false">SUM(X20:X23)</f>
        <v>32718222.3859486</v>
      </c>
      <c r="Y24" s="16" t="n">
        <f aca="false">SUM(Y20:Y23)</f>
        <v>36441104.3296118</v>
      </c>
      <c r="Z24" s="16" t="n">
        <f aca="false">SUM(Z20:Z23)</f>
        <v>40237932.6158348</v>
      </c>
      <c r="AA24" s="16" t="n">
        <f aca="false">SUM(AA20:AA23)</f>
        <v>44112185.26373</v>
      </c>
      <c r="AB24" s="16" t="n">
        <f aca="false">SUM(AB20:AB23)</f>
        <v>48477513.2866184</v>
      </c>
      <c r="AC24" s="16" t="n">
        <f aca="false">SUM(AC20:AC23)</f>
        <v>54238917.1169267</v>
      </c>
      <c r="AD24" s="16" t="n">
        <f aca="false">SUM(AD20:AD23)</f>
        <v>59617594.7907431</v>
      </c>
      <c r="AE24" s="16" t="n">
        <f aca="false">SUM(AE20:AE23)</f>
        <v>65096684.6064348</v>
      </c>
      <c r="AF24" s="16" t="n">
        <f aca="false">SUM(AF20:AF23)</f>
        <v>71100633.8654259</v>
      </c>
      <c r="AG24" s="16" t="n">
        <f aca="false">SUM(AG20:AG23)</f>
        <v>90084900.8443269</v>
      </c>
      <c r="AH24" s="16" t="n">
        <f aca="false">SUM(AH20:AH23)</f>
        <v>85811052.8992408</v>
      </c>
      <c r="AI24" s="16" t="n">
        <f aca="false">SUM(AI20:AI23)</f>
        <v>91438201.9870804</v>
      </c>
      <c r="AJ24" s="16" t="n">
        <f aca="false">SUM(AJ20:AJ23)</f>
        <v>97575212.686913</v>
      </c>
      <c r="AK24" s="16" t="n">
        <f aca="false">SUM(AK20:AK23)</f>
        <v>103575452.733536</v>
      </c>
      <c r="AL24" s="16" t="n">
        <f aca="false">SUM(AL20:AL23)</f>
        <v>109622704.503567</v>
      </c>
      <c r="AM24" s="16" t="n">
        <f aca="false">SUM(AM20:AM23)</f>
        <v>116195186.007267</v>
      </c>
      <c r="AN24" s="16" t="n">
        <f aca="false">SUM(AN20:AN23)</f>
        <v>123071692.545413</v>
      </c>
      <c r="AO24" s="16" t="n">
        <f aca="false">SUM(AO20:AO23)</f>
        <v>130673393.053668</v>
      </c>
      <c r="AP24" s="16" t="n">
        <f aca="false">SUM(AP20:AP23)</f>
        <v>138499507.44645</v>
      </c>
      <c r="AQ24" s="16" t="n">
        <f aca="false">SUM(AQ20:AQ23)</f>
        <v>146215722.840477</v>
      </c>
      <c r="AR24" s="16" t="n">
        <f aca="false">SUM(AR20:AR23)</f>
        <v>154479890.118679</v>
      </c>
      <c r="AS24" s="16" t="n">
        <f aca="false">SUM(AS20:AS23)</f>
        <v>162579274.050657</v>
      </c>
      <c r="AT24" s="16" t="n">
        <f aca="false">SUM(AT20:AT23)</f>
        <v>171462717.30873</v>
      </c>
      <c r="AU24" s="16" t="n">
        <f aca="false">SUM(AU20:AU23)</f>
        <v>179949175.814626</v>
      </c>
      <c r="AV24" s="16" t="n">
        <f aca="false">SUM(AV20:AV23)</f>
        <v>188379208.771412</v>
      </c>
      <c r="AW24" s="16" t="n">
        <f aca="false">SUM(AW20:AW23)</f>
        <v>197227892.110211</v>
      </c>
      <c r="AX24" s="16" t="n">
        <f aca="false">SUM(AX20:AX23)</f>
        <v>205846248.079186</v>
      </c>
      <c r="AY24" s="16" t="n">
        <f aca="false">SUM(AY20:AY23)</f>
        <v>215311483.761923</v>
      </c>
      <c r="AZ24" s="16" t="n">
        <f aca="false">SUM(AZ20:AZ23)</f>
        <v>224387573.875</v>
      </c>
      <c r="BA24" s="16" t="n">
        <f aca="false">SUM(BA20:BA23)</f>
        <v>234717329.972344</v>
      </c>
      <c r="BB24" s="16" t="n">
        <f aca="false">SUM(BB20:BB23)</f>
        <v>244503865.003814</v>
      </c>
      <c r="BC24" s="16" t="n">
        <f aca="false">SUM(BC20:BC23)</f>
        <v>254713103.783936</v>
      </c>
      <c r="BD24" s="16" t="n">
        <f aca="false">SUM(BD20:BD23)</f>
        <v>265121624.131724</v>
      </c>
      <c r="BE24" s="16" t="n">
        <f aca="false">SUM(BE20:BE23)</f>
        <v>275796095.318725</v>
      </c>
      <c r="BF24" s="16" t="n">
        <f aca="false">SUM(BF20:BF23)</f>
        <v>286248862.833736</v>
      </c>
      <c r="BG24" s="16" t="n">
        <f aca="false">SUM(BG20:BG23)</f>
        <v>297558838.119221</v>
      </c>
      <c r="BH24" s="16" t="n">
        <f aca="false">SUM(BH20:BH23)</f>
        <v>308491786.365207</v>
      </c>
      <c r="BI24" s="16" t="n">
        <f aca="false">SUM(BI20:BI23)</f>
        <v>319862464.329578</v>
      </c>
      <c r="BJ24" s="16" t="n">
        <f aca="false">SUM(BJ20:BJ23)</f>
        <v>331024562.29933</v>
      </c>
      <c r="BK24" s="16" t="n">
        <f aca="false">SUM(BK20:BK23)</f>
        <v>342977255.975495</v>
      </c>
      <c r="BL24" s="16" t="n">
        <f aca="false">SUM(BL20:BL23)</f>
        <v>354896298.748925</v>
      </c>
    </row>
    <row r="25" customFormat="false" ht="15" hidden="false" customHeight="false" outlineLevel="0" collapsed="false">
      <c r="A25" s="8" t="s">
        <v>88</v>
      </c>
      <c r="B25" s="14" t="s">
        <v>71</v>
      </c>
      <c r="D25" s="55" t="n">
        <f aca="false">SUM(E25:BL25)</f>
        <v>4959616277.84957</v>
      </c>
      <c r="E25" s="55" t="n">
        <f aca="false">E17-E24</f>
        <v>0</v>
      </c>
      <c r="F25" s="55" t="n">
        <f aca="false">F17-F24</f>
        <v>0</v>
      </c>
      <c r="G25" s="55" t="n">
        <f aca="false">G17-G24</f>
        <v>0</v>
      </c>
      <c r="H25" s="55" t="n">
        <f aca="false">H17-H24</f>
        <v>0</v>
      </c>
      <c r="I25" s="55" t="n">
        <f aca="false">I17-I24</f>
        <v>-516625.333333333</v>
      </c>
      <c r="J25" s="55" t="n">
        <f aca="false">J17-J24</f>
        <v>-625831.43</v>
      </c>
      <c r="K25" s="55" t="n">
        <f aca="false">K17-K24</f>
        <v>-734554.373191666</v>
      </c>
      <c r="L25" s="55" t="n">
        <f aca="false">L17-L24</f>
        <v>312271.077992569</v>
      </c>
      <c r="M25" s="55" t="n">
        <f aca="false">M17-M24</f>
        <v>1404281.92340163</v>
      </c>
      <c r="N25" s="55" t="n">
        <f aca="false">N17-N24</f>
        <v>2494613.42504032</v>
      </c>
      <c r="O25" s="55" t="n">
        <f aca="false">O17-O24</f>
        <v>3584001.50747086</v>
      </c>
      <c r="P25" s="55" t="n">
        <f aca="false">P17-P24</f>
        <v>4673214.33311743</v>
      </c>
      <c r="Q25" s="55" t="n">
        <f aca="false">Q17-Q24</f>
        <v>5606029.09279566</v>
      </c>
      <c r="R25" s="55" t="n">
        <f aca="false">R17-R24</f>
        <v>6660956.31940586</v>
      </c>
      <c r="S25" s="55" t="n">
        <f aca="false">S17-S24</f>
        <v>7714046.70062747</v>
      </c>
      <c r="T25" s="55" t="n">
        <f aca="false">T17-T24</f>
        <v>9146265.50526256</v>
      </c>
      <c r="U25" s="55" t="n">
        <f aca="false">U17-U24</f>
        <v>10578646.5997793</v>
      </c>
      <c r="V25" s="55" t="n">
        <f aca="false">V17-V24</f>
        <v>12193913.8433282</v>
      </c>
      <c r="W25" s="55" t="n">
        <f aca="false">W17-W24</f>
        <v>13486136.2099664</v>
      </c>
      <c r="X25" s="55" t="n">
        <f aca="false">X17-X24</f>
        <v>15209101.2470523</v>
      </c>
      <c r="Y25" s="55" t="n">
        <f aca="false">Y17-Y24</f>
        <v>17022161.2816075</v>
      </c>
      <c r="Z25" s="55" t="n">
        <f aca="false">Z17-Z24</f>
        <v>20051026.2561398</v>
      </c>
      <c r="AA25" s="55" t="n">
        <f aca="false">AA17-AA24</f>
        <v>23166434.8478037</v>
      </c>
      <c r="AB25" s="55" t="n">
        <f aca="false">AB17-AB24</f>
        <v>26295609.9005207</v>
      </c>
      <c r="AC25" s="55" t="n">
        <f aca="false">AC17-AC24</f>
        <v>31690797.6423455</v>
      </c>
      <c r="AD25" s="55" t="n">
        <f aca="false">AD17-AD24</f>
        <v>35665503.0346539</v>
      </c>
      <c r="AE25" s="55" t="n">
        <f aca="false">AE17-AE24</f>
        <v>40145944.6278444</v>
      </c>
      <c r="AF25" s="55" t="n">
        <f aca="false">AF17-AF24</f>
        <v>45646915.4321138</v>
      </c>
      <c r="AG25" s="55" t="n">
        <f aca="false">AG17-AG24</f>
        <v>38451986.6539263</v>
      </c>
      <c r="AH25" s="55" t="n">
        <f aca="false">AH17-AH24</f>
        <v>53444162.509368</v>
      </c>
      <c r="AI25" s="55" t="n">
        <f aca="false">AI17-AI24</f>
        <v>58475755.5165068</v>
      </c>
      <c r="AJ25" s="55" t="n">
        <f aca="false">AJ17-AJ24</f>
        <v>63495185.6853491</v>
      </c>
      <c r="AK25" s="55" t="n">
        <f aca="false">AK17-AK24</f>
        <v>68631280.8116008</v>
      </c>
      <c r="AL25" s="55" t="n">
        <f aca="false">AL17-AL24</f>
        <v>73737727.2361824</v>
      </c>
      <c r="AM25" s="55" t="n">
        <f aca="false">AM17-AM24</f>
        <v>79043290.9772514</v>
      </c>
      <c r="AN25" s="55" t="n">
        <f aca="false">AN17-AN24</f>
        <v>84456362.751576</v>
      </c>
      <c r="AO25" s="55" t="n">
        <f aca="false">AO17-AO24</f>
        <v>89894397.6875237</v>
      </c>
      <c r="AP25" s="55" t="n">
        <f aca="false">AP17-AP24</f>
        <v>95796739.7555945</v>
      </c>
      <c r="AQ25" s="55" t="n">
        <f aca="false">AQ17-AQ24</f>
        <v>101878247.169627</v>
      </c>
      <c r="AR25" s="55" t="n">
        <f aca="false">AR17-AR24</f>
        <v>108074806.201804</v>
      </c>
      <c r="AS25" s="55" t="n">
        <f aca="false">AS17-AS24</f>
        <v>114694729.558446</v>
      </c>
      <c r="AT25" s="55" t="n">
        <f aca="false">AT17-AT24</f>
        <v>121151569.423366</v>
      </c>
      <c r="AU25" s="55" t="n">
        <f aca="false">AU17-AU24</f>
        <v>128085111.73087</v>
      </c>
      <c r="AV25" s="55" t="n">
        <f aca="false">AV17-AV24</f>
        <v>135019381.288287</v>
      </c>
      <c r="AW25" s="55" t="n">
        <f aca="false">AW17-AW24</f>
        <v>142216197.645622</v>
      </c>
      <c r="AX25" s="55" t="n">
        <f aca="false">AX17-AX24</f>
        <v>149491833.124075</v>
      </c>
      <c r="AY25" s="55" t="n">
        <f aca="false">AY17-AY24</f>
        <v>156509232.55095</v>
      </c>
      <c r="AZ25" s="55" t="n">
        <f aca="false">AZ17-AZ24</f>
        <v>163952316.066264</v>
      </c>
      <c r="BA25" s="55" t="n">
        <f aca="false">BA17-BA24</f>
        <v>171063844.160247</v>
      </c>
      <c r="BB25" s="55" t="n">
        <f aca="false">BB17-BB24</f>
        <v>178917550.338478</v>
      </c>
      <c r="BC25" s="55" t="n">
        <f aca="false">BC17-BC24</f>
        <v>186619193.143158</v>
      </c>
      <c r="BD25" s="55" t="n">
        <f aca="false">BD17-BD24</f>
        <v>194889737.549977</v>
      </c>
      <c r="BE25" s="55" t="n">
        <f aca="false">BE17-BE24</f>
        <v>203138897.05686</v>
      </c>
      <c r="BF25" s="55" t="n">
        <f aca="false">BF17-BF24</f>
        <v>211684300.720744</v>
      </c>
      <c r="BG25" s="55" t="n">
        <f aca="false">BG17-BG24</f>
        <v>220169235.901112</v>
      </c>
      <c r="BH25" s="55" t="n">
        <f aca="false">BH17-BH24</f>
        <v>229081671.924391</v>
      </c>
      <c r="BI25" s="55" t="n">
        <f aca="false">BI17-BI24</f>
        <v>237849148.992767</v>
      </c>
      <c r="BJ25" s="55" t="n">
        <f aca="false">BJ17-BJ24</f>
        <v>247115207.757345</v>
      </c>
      <c r="BK25" s="55" t="n">
        <f aca="false">BK17-BK24</f>
        <v>256153562.00693</v>
      </c>
      <c r="BL25" s="55" t="n">
        <f aca="false">BL17-BL24</f>
        <v>265562754.281623</v>
      </c>
    </row>
    <row r="26" customFormat="false" ht="15" hidden="false" customHeight="false" outlineLevel="0" collapsed="false">
      <c r="A26" s="12" t="s">
        <v>89</v>
      </c>
      <c r="B26" s="14" t="s">
        <v>90</v>
      </c>
      <c r="E26" s="49" t="n">
        <f aca="false">IFERROR(E25/E17,0)</f>
        <v>0</v>
      </c>
      <c r="F26" s="49" t="n">
        <f aca="false">IFERROR(F25/F17,0)</f>
        <v>0</v>
      </c>
      <c r="G26" s="49" t="n">
        <f aca="false">IFERROR(G25/G17,0)</f>
        <v>0</v>
      </c>
      <c r="H26" s="49" t="n">
        <f aca="false">IFERROR(H25/H17,0)</f>
        <v>0</v>
      </c>
      <c r="I26" s="49" t="n">
        <f aca="false">IFERROR(I25/I17,0)</f>
        <v>-0.296699669966997</v>
      </c>
      <c r="J26" s="49" t="n">
        <f aca="false">IFERROR(J25/J17,0)</f>
        <v>-0.201179359316424</v>
      </c>
      <c r="K26" s="49" t="n">
        <f aca="false">IFERROR(K25/K17,0)</f>
        <v>-0.163981387191883</v>
      </c>
      <c r="L26" s="49" t="n">
        <f aca="false">IFERROR(L25/L17,0)</f>
        <v>0.0445883319091745</v>
      </c>
      <c r="M26" s="49" t="n">
        <f aca="false">IFERROR(M25/M17,0)</f>
        <v>0.146686654031095</v>
      </c>
      <c r="N26" s="49" t="n">
        <f aca="false">IFERROR(N25/N17,0)</f>
        <v>0.205426979076559</v>
      </c>
      <c r="O26" s="49" t="n">
        <f aca="false">IFERROR(O25/O17,0)</f>
        <v>0.243544502928869</v>
      </c>
      <c r="P26" s="49" t="n">
        <f aca="false">IFERROR(P25/P17,0)</f>
        <v>0.270241496251333</v>
      </c>
      <c r="Q26" s="49" t="n">
        <f aca="false">IFERROR(Q25/Q17,0)</f>
        <v>0.274736340769831</v>
      </c>
      <c r="R26" s="49" t="n">
        <f aca="false">IFERROR(R25/R17,0)</f>
        <v>0.284621569633544</v>
      </c>
      <c r="S26" s="49" t="n">
        <f aca="false">IFERROR(S25/S17,0)</f>
        <v>0.292177343526761</v>
      </c>
      <c r="T26" s="49" t="n">
        <f aca="false">IFERROR(T25/T17,0)</f>
        <v>0.307076724457827</v>
      </c>
      <c r="U26" s="49" t="n">
        <f aca="false">IFERROR(U25/U17,0)</f>
        <v>0.318877549418406</v>
      </c>
      <c r="V26" s="49" t="n">
        <f aca="false">IFERROR(V25/V17,0)</f>
        <v>0.329764423792014</v>
      </c>
      <c r="W26" s="49" t="n">
        <f aca="false">IFERROR(W25/W17,0)</f>
        <v>0.316931621626548</v>
      </c>
      <c r="X26" s="49" t="n">
        <f aca="false">IFERROR(X25/X17,0)</f>
        <v>0.317336752694864</v>
      </c>
      <c r="Y26" s="49" t="n">
        <f aca="false">IFERROR(Y25/Y17,0)</f>
        <v>0.318389853051464</v>
      </c>
      <c r="Z26" s="49" t="n">
        <f aca="false">IFERROR(Z25/Z17,0)</f>
        <v>0.332582061977861</v>
      </c>
      <c r="AA26" s="49" t="n">
        <f aca="false">IFERROR(AA25/AA17,0)</f>
        <v>0.344335760891032</v>
      </c>
      <c r="AB26" s="49" t="n">
        <f aca="false">IFERROR(AB25/AB17,0)</f>
        <v>0.351671948150529</v>
      </c>
      <c r="AC26" s="49" t="n">
        <f aca="false">IFERROR(AC25/AC17,0)</f>
        <v>0.368799055496992</v>
      </c>
      <c r="AD26" s="49" t="n">
        <f aca="false">IFERROR(AD25/AD17,0)</f>
        <v>0.374310909790209</v>
      </c>
      <c r="AE26" s="49" t="n">
        <f aca="false">IFERROR(AE25/AE17,0)</f>
        <v>0.381460867330443</v>
      </c>
      <c r="AF26" s="49" t="n">
        <f aca="false">IFERROR(AF25/AF17,0)</f>
        <v>0.390988210945476</v>
      </c>
      <c r="AG26" s="49" t="n">
        <f aca="false">IFERROR(AG25/AG17,0)</f>
        <v>0.299151375160293</v>
      </c>
      <c r="AH26" s="49" t="n">
        <f aca="false">IFERROR(AH25/AH17,0)</f>
        <v>0.383785715691508</v>
      </c>
      <c r="AI26" s="49" t="n">
        <f aca="false">IFERROR(AI25/AI17,0)</f>
        <v>0.390062116231623</v>
      </c>
      <c r="AJ26" s="49" t="n">
        <f aca="false">IFERROR(AJ25/AJ17,0)</f>
        <v>0.394207665263238</v>
      </c>
      <c r="AK26" s="49" t="n">
        <f aca="false">IFERROR(AK25/AK17,0)</f>
        <v>0.398540053566559</v>
      </c>
      <c r="AL26" s="49" t="n">
        <f aca="false">IFERROR(AL25/AL17,0)</f>
        <v>0.402146343878822</v>
      </c>
      <c r="AM26" s="49" t="n">
        <f aca="false">IFERROR(AM25/AM17,0)</f>
        <v>0.404855089007478</v>
      </c>
      <c r="AN26" s="49" t="n">
        <f aca="false">IFERROR(AN25/AN17,0)</f>
        <v>0.40696359164891</v>
      </c>
      <c r="AO26" s="49" t="n">
        <f aca="false">IFERROR(AO25/AO17,0)</f>
        <v>0.407559042893091</v>
      </c>
      <c r="AP26" s="49" t="n">
        <f aca="false">IFERROR(AP25/AP17,0)</f>
        <v>0.408870141539162</v>
      </c>
      <c r="AQ26" s="49" t="n">
        <f aca="false">IFERROR(AQ25/AQ17,0)</f>
        <v>0.410643786164888</v>
      </c>
      <c r="AR26" s="49" t="n">
        <f aca="false">IFERROR(AR25/AR17,0)</f>
        <v>0.411627777816948</v>
      </c>
      <c r="AS26" s="49" t="n">
        <f aca="false">IFERROR(AS25/AS17,0)</f>
        <v>0.413651218886503</v>
      </c>
      <c r="AT26" s="49" t="n">
        <f aca="false">IFERROR(AT25/AT17,0)</f>
        <v>0.414031627697955</v>
      </c>
      <c r="AU26" s="49" t="n">
        <f aca="false">IFERROR(AU25/AU17,0)</f>
        <v>0.415814462576514</v>
      </c>
      <c r="AV26" s="49" t="n">
        <f aca="false">IFERROR(AV25/AV17,0)</f>
        <v>0.417501453124338</v>
      </c>
      <c r="AW26" s="49" t="n">
        <f aca="false">IFERROR(AW25/AW17,0)</f>
        <v>0.418967959489059</v>
      </c>
      <c r="AX26" s="49" t="n">
        <f aca="false">IFERROR(AX25/AX17,0)</f>
        <v>0.420703102290245</v>
      </c>
      <c r="AY26" s="49" t="n">
        <f aca="false">IFERROR(AY25/AY17,0)</f>
        <v>0.420926607056647</v>
      </c>
      <c r="AZ26" s="49" t="n">
        <f aca="false">IFERROR(AZ25/AZ17,0)</f>
        <v>0.422187677117233</v>
      </c>
      <c r="BA26" s="49" t="n">
        <f aca="false">IFERROR(BA25/BA17,0)</f>
        <v>0.42156673366111</v>
      </c>
      <c r="BB26" s="49" t="n">
        <f aca="false">IFERROR(BB25/BB17,0)</f>
        <v>0.422551963258263</v>
      </c>
      <c r="BC26" s="49" t="n">
        <f aca="false">IFERROR(BC25/BC17,0)</f>
        <v>0.42285414967939</v>
      </c>
      <c r="BD26" s="49" t="n">
        <f aca="false">IFERROR(BD25/BD17,0)</f>
        <v>0.42366287832001</v>
      </c>
      <c r="BE26" s="49" t="n">
        <f aca="false">IFERROR(BE25/BE17,0)</f>
        <v>0.42414711869196</v>
      </c>
      <c r="BF26" s="49" t="n">
        <f aca="false">IFERROR(BF25/BF17,0)</f>
        <v>0.42512593298595</v>
      </c>
      <c r="BG26" s="49" t="n">
        <f aca="false">IFERROR(BG25/BG17,0)</f>
        <v>0.42526037692224</v>
      </c>
      <c r="BH26" s="49" t="n">
        <f aca="false">IFERROR(BH25/BH17,0)</f>
        <v>0.426140220265455</v>
      </c>
      <c r="BI26" s="49" t="n">
        <f aca="false">IFERROR(BI25/BI17,0)</f>
        <v>0.4264733660034</v>
      </c>
      <c r="BJ26" s="49" t="n">
        <f aca="false">IFERROR(BJ25/BJ17,0)</f>
        <v>0.427431601415555</v>
      </c>
      <c r="BK26" s="49" t="n">
        <f aca="false">IFERROR(BK25/BK17,0)</f>
        <v>0.427541956311859</v>
      </c>
      <c r="BL26" s="49" t="n">
        <f aca="false">IFERROR(BL25/BL17,0)</f>
        <v>0.428010120868602</v>
      </c>
    </row>
    <row r="28" customFormat="false" ht="15" hidden="false" customHeight="false" outlineLevel="0" collapsed="false">
      <c r="A28" s="10" t="s">
        <v>859</v>
      </c>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c r="BL28" s="11"/>
    </row>
    <row r="29" customFormat="false" ht="15" hidden="false" customHeight="false" outlineLevel="0" collapsed="false">
      <c r="A29" s="12" t="s">
        <v>20</v>
      </c>
      <c r="B29" s="14" t="s">
        <v>71</v>
      </c>
      <c r="D29" s="55" t="n">
        <f aca="false">SUM(E29:BL29)</f>
        <v>2162922307.8125</v>
      </c>
      <c r="E29" s="23" t="n">
        <f aca="false">Costs!E32</f>
        <v>9880000</v>
      </c>
      <c r="F29" s="23" t="n">
        <f aca="false">Costs!F32</f>
        <v>9880000</v>
      </c>
      <c r="G29" s="23" t="n">
        <f aca="false">Costs!G32</f>
        <v>9880000</v>
      </c>
      <c r="H29" s="23" t="n">
        <f aca="false">Costs!H32</f>
        <v>12740000</v>
      </c>
      <c r="I29" s="23" t="n">
        <f aca="false">Costs!I32</f>
        <v>13260000</v>
      </c>
      <c r="J29" s="23" t="n">
        <f aca="false">Costs!J32</f>
        <v>13260000</v>
      </c>
      <c r="K29" s="23" t="n">
        <f aca="false">Costs!K32</f>
        <v>13260000</v>
      </c>
      <c r="L29" s="23" t="n">
        <f aca="false">Costs!L32</f>
        <v>13260000</v>
      </c>
      <c r="M29" s="23" t="n">
        <f aca="false">Costs!M32</f>
        <v>13260000</v>
      </c>
      <c r="N29" s="23" t="n">
        <f aca="false">Costs!N32</f>
        <v>13260000</v>
      </c>
      <c r="O29" s="23" t="n">
        <f aca="false">Costs!O32</f>
        <v>13260000</v>
      </c>
      <c r="P29" s="23" t="n">
        <f aca="false">Costs!P32</f>
        <v>13260000</v>
      </c>
      <c r="Q29" s="23" t="n">
        <f aca="false">Costs!Q32</f>
        <v>17335500</v>
      </c>
      <c r="R29" s="23" t="n">
        <f aca="false">Costs!R32</f>
        <v>17335500</v>
      </c>
      <c r="S29" s="23" t="n">
        <f aca="false">Costs!S32</f>
        <v>17335500</v>
      </c>
      <c r="T29" s="23" t="n">
        <f aca="false">Costs!T32</f>
        <v>18154500</v>
      </c>
      <c r="U29" s="23" t="n">
        <f aca="false">Costs!U32</f>
        <v>18154500</v>
      </c>
      <c r="V29" s="23" t="n">
        <f aca="false">Costs!V32</f>
        <v>23751000</v>
      </c>
      <c r="W29" s="23" t="n">
        <f aca="false">Costs!W32</f>
        <v>24092250</v>
      </c>
      <c r="X29" s="23" t="n">
        <f aca="false">Costs!X32</f>
        <v>24092250</v>
      </c>
      <c r="Y29" s="23" t="n">
        <f aca="false">Costs!Y32</f>
        <v>24092250</v>
      </c>
      <c r="Z29" s="23" t="n">
        <f aca="false">Costs!Z32</f>
        <v>24092250</v>
      </c>
      <c r="AA29" s="23" t="n">
        <f aca="false">Costs!AA32</f>
        <v>24979500</v>
      </c>
      <c r="AB29" s="23" t="n">
        <f aca="false">Costs!AB32</f>
        <v>27027000</v>
      </c>
      <c r="AC29" s="23" t="n">
        <f aca="false">Costs!AC32</f>
        <v>28378350</v>
      </c>
      <c r="AD29" s="23" t="n">
        <f aca="false">Costs!AD32</f>
        <v>28378350</v>
      </c>
      <c r="AE29" s="23" t="n">
        <f aca="false">Costs!AE32</f>
        <v>31029862.5</v>
      </c>
      <c r="AF29" s="23" t="n">
        <f aca="false">Costs!AF32</f>
        <v>31889812.5</v>
      </c>
      <c r="AG29" s="23" t="n">
        <f aca="false">Costs!AG32</f>
        <v>32964750</v>
      </c>
      <c r="AH29" s="23" t="n">
        <f aca="false">Costs!AH32</f>
        <v>32964750</v>
      </c>
      <c r="AI29" s="23" t="n">
        <f aca="false">Costs!AI32</f>
        <v>33896362.5</v>
      </c>
      <c r="AJ29" s="23" t="n">
        <f aca="false">Costs!AJ32</f>
        <v>34254675</v>
      </c>
      <c r="AK29" s="23" t="n">
        <f aca="false">Costs!AK32</f>
        <v>35114625</v>
      </c>
      <c r="AL29" s="23" t="n">
        <f aca="false">Costs!AL32</f>
        <v>36046237.5</v>
      </c>
      <c r="AM29" s="23" t="n">
        <f aca="false">Costs!AM32</f>
        <v>36691200</v>
      </c>
      <c r="AN29" s="23" t="n">
        <f aca="false">Costs!AN32</f>
        <v>37049512.5</v>
      </c>
      <c r="AO29" s="23" t="n">
        <f aca="false">Costs!AO32</f>
        <v>42589023.75</v>
      </c>
      <c r="AP29" s="23" t="n">
        <f aca="false">Costs!AP32</f>
        <v>42589023.75</v>
      </c>
      <c r="AQ29" s="23" t="n">
        <f aca="false">Costs!AQ32</f>
        <v>43567216.875</v>
      </c>
      <c r="AR29" s="23" t="n">
        <f aca="false">Costs!AR32</f>
        <v>43943445</v>
      </c>
      <c r="AS29" s="23" t="n">
        <f aca="false">Costs!AS32</f>
        <v>46501796.25</v>
      </c>
      <c r="AT29" s="23" t="n">
        <f aca="false">Costs!AT32</f>
        <v>46501796.25</v>
      </c>
      <c r="AU29" s="23" t="n">
        <f aca="false">Costs!AU32</f>
        <v>46878024.375</v>
      </c>
      <c r="AV29" s="23" t="n">
        <f aca="false">Costs!AV32</f>
        <v>47856217.5</v>
      </c>
      <c r="AW29" s="23" t="n">
        <f aca="false">Costs!AW32</f>
        <v>50038340.625</v>
      </c>
      <c r="AX29" s="23" t="n">
        <f aca="false">Costs!AX32</f>
        <v>52596691.875</v>
      </c>
      <c r="AY29" s="23" t="n">
        <f aca="false">Costs!AY32</f>
        <v>52596691.875</v>
      </c>
      <c r="AZ29" s="23" t="n">
        <f aca="false">Costs!AZ32</f>
        <v>53574885</v>
      </c>
      <c r="BA29" s="23" t="n">
        <f aca="false">Costs!BA32</f>
        <v>56648668.78125</v>
      </c>
      <c r="BB29" s="23" t="n">
        <f aca="false">Costs!BB32</f>
        <v>58623866.4375</v>
      </c>
      <c r="BC29" s="23" t="n">
        <f aca="false">Costs!BC32</f>
        <v>59729977.125</v>
      </c>
      <c r="BD29" s="23" t="n">
        <f aca="false">Costs!BD32</f>
        <v>62653269.65625</v>
      </c>
      <c r="BE29" s="23" t="n">
        <f aca="false">Costs!BE32</f>
        <v>63048309.1875</v>
      </c>
      <c r="BF29" s="23" t="n">
        <f aca="false">Costs!BF32</f>
        <v>65734578</v>
      </c>
      <c r="BG29" s="23" t="n">
        <f aca="false">Costs!BG32</f>
        <v>66129617.53125</v>
      </c>
      <c r="BH29" s="23" t="n">
        <f aca="false">Costs!BH32</f>
        <v>67156720.3125</v>
      </c>
      <c r="BI29" s="23" t="n">
        <f aca="false">Costs!BI32</f>
        <v>67551759.84375</v>
      </c>
      <c r="BJ29" s="23" t="n">
        <f aca="false">Costs!BJ32</f>
        <v>72134218.40625</v>
      </c>
      <c r="BK29" s="23" t="n">
        <f aca="false">Costs!BK32</f>
        <v>73161321.1875</v>
      </c>
      <c r="BL29" s="23" t="n">
        <f aca="false">Costs!BL32</f>
        <v>73556360.71875</v>
      </c>
    </row>
    <row r="30" customFormat="false" ht="15" hidden="false" customHeight="false" outlineLevel="0" collapsed="false">
      <c r="A30" s="12" t="s">
        <v>821</v>
      </c>
      <c r="B30" s="14" t="s">
        <v>71</v>
      </c>
      <c r="D30" s="55" t="n">
        <f aca="false">SUM(E30:BL30)</f>
        <v>456546766.3</v>
      </c>
      <c r="E30" s="23" t="n">
        <f aca="false">Costs!E39</f>
        <v>5144892.5</v>
      </c>
      <c r="F30" s="23" t="n">
        <f aca="false">Costs!F39</f>
        <v>1008935.5</v>
      </c>
      <c r="G30" s="23" t="n">
        <f aca="false">Costs!G39</f>
        <v>1008935.5</v>
      </c>
      <c r="H30" s="23" t="n">
        <f aca="false">Costs!H39</f>
        <v>3657763.5</v>
      </c>
      <c r="I30" s="23" t="n">
        <f aca="false">Costs!I39</f>
        <v>2547636.6</v>
      </c>
      <c r="J30" s="23" t="n">
        <f aca="false">Costs!J39</f>
        <v>2219658.1</v>
      </c>
      <c r="K30" s="23" t="n">
        <f aca="false">Costs!K39</f>
        <v>2219658.1</v>
      </c>
      <c r="L30" s="23" t="n">
        <f aca="false">Costs!L39</f>
        <v>2219658.1</v>
      </c>
      <c r="M30" s="23" t="n">
        <f aca="false">Costs!M39</f>
        <v>2219658.1</v>
      </c>
      <c r="N30" s="23" t="n">
        <f aca="false">Costs!N39</f>
        <v>2219658.1</v>
      </c>
      <c r="O30" s="23" t="n">
        <f aca="false">Costs!O39</f>
        <v>2219658.1</v>
      </c>
      <c r="P30" s="23" t="n">
        <f aca="false">Costs!P39</f>
        <v>2219658.1</v>
      </c>
      <c r="Q30" s="23" t="n">
        <f aca="false">Costs!Q39</f>
        <v>2749423.7</v>
      </c>
      <c r="R30" s="23" t="n">
        <f aca="false">Costs!R39</f>
        <v>2421445.2</v>
      </c>
      <c r="S30" s="23" t="n">
        <f aca="false">Costs!S39</f>
        <v>2421445.2</v>
      </c>
      <c r="T30" s="23" t="n">
        <f aca="false">Costs!T39</f>
        <v>2951210.8</v>
      </c>
      <c r="U30" s="23" t="n">
        <f aca="false">Costs!U39</f>
        <v>2623232.3</v>
      </c>
      <c r="V30" s="23" t="n">
        <f aca="false">Costs!V39</f>
        <v>4742294.7</v>
      </c>
      <c r="W30" s="23" t="n">
        <f aca="false">Costs!W39</f>
        <v>3960146.3</v>
      </c>
      <c r="X30" s="23" t="n">
        <f aca="false">Costs!X39</f>
        <v>3632167.8</v>
      </c>
      <c r="Y30" s="23" t="n">
        <f aca="false">Costs!Y39</f>
        <v>3632167.8</v>
      </c>
      <c r="Z30" s="23" t="n">
        <f aca="false">Costs!Z39</f>
        <v>3632167.8</v>
      </c>
      <c r="AA30" s="23" t="n">
        <f aca="false">Costs!AA39</f>
        <v>4691699</v>
      </c>
      <c r="AB30" s="23" t="n">
        <f aca="false">Costs!AB39</f>
        <v>4565507.6</v>
      </c>
      <c r="AC30" s="23" t="n">
        <f aca="false">Costs!AC39</f>
        <v>4237529.1</v>
      </c>
      <c r="AD30" s="23" t="n">
        <f aca="false">Costs!AD39</f>
        <v>4237529.1</v>
      </c>
      <c r="AE30" s="23" t="n">
        <f aca="false">Costs!AE39</f>
        <v>6658847.4</v>
      </c>
      <c r="AF30" s="23" t="n">
        <f aca="false">Costs!AF39</f>
        <v>5372656</v>
      </c>
      <c r="AG30" s="23" t="n">
        <f aca="false">Costs!AG39</f>
        <v>6633974.3</v>
      </c>
      <c r="AH30" s="23" t="n">
        <f aca="false">Costs!AH39</f>
        <v>5650038.8</v>
      </c>
      <c r="AI30" s="23" t="n">
        <f aca="false">Costs!AI39</f>
        <v>6709570</v>
      </c>
      <c r="AJ30" s="23" t="n">
        <f aca="false">Costs!AJ39</f>
        <v>6583378.6</v>
      </c>
      <c r="AK30" s="23" t="n">
        <f aca="false">Costs!AK39</f>
        <v>6785165.7</v>
      </c>
      <c r="AL30" s="23" t="n">
        <f aca="false">Costs!AL39</f>
        <v>7516718.4</v>
      </c>
      <c r="AM30" s="23" t="n">
        <f aca="false">Costs!AM39</f>
        <v>7390527</v>
      </c>
      <c r="AN30" s="23" t="n">
        <f aca="false">Costs!AN39</f>
        <v>7592314.1</v>
      </c>
      <c r="AO30" s="23" t="n">
        <f aca="false">Costs!AO39</f>
        <v>10215419.5</v>
      </c>
      <c r="AP30" s="23" t="n">
        <f aca="false">Costs!AP39</f>
        <v>8071484</v>
      </c>
      <c r="AQ30" s="23" t="n">
        <f aca="false">Costs!AQ39</f>
        <v>9131015.2</v>
      </c>
      <c r="AR30" s="23" t="n">
        <f aca="false">Costs!AR39</f>
        <v>9004823.8</v>
      </c>
      <c r="AS30" s="23" t="n">
        <f aca="false">Costs!AS39</f>
        <v>10795907.7</v>
      </c>
      <c r="AT30" s="23" t="n">
        <f aca="false">Costs!AT39</f>
        <v>9483993.7</v>
      </c>
      <c r="AU30" s="23" t="n">
        <f aca="false">Costs!AU39</f>
        <v>10013759.3</v>
      </c>
      <c r="AV30" s="23" t="n">
        <f aca="false">Costs!AV39</f>
        <v>10745312</v>
      </c>
      <c r="AW30" s="23" t="n">
        <f aca="false">Costs!AW39</f>
        <v>11980907.7</v>
      </c>
      <c r="AX30" s="23" t="n">
        <f aca="false">Costs!AX39</f>
        <v>12611991.6</v>
      </c>
      <c r="AY30" s="23" t="n">
        <f aca="false">Costs!AY39</f>
        <v>11300077.6</v>
      </c>
      <c r="AZ30" s="23" t="n">
        <f aca="false">Costs!AZ39</f>
        <v>12359608.8</v>
      </c>
      <c r="BA30" s="23" t="n">
        <f aca="false">Costs!BA39</f>
        <v>12233417.4</v>
      </c>
      <c r="BB30" s="23" t="n">
        <f aca="false">Costs!BB39</f>
        <v>13494735.7</v>
      </c>
      <c r="BC30" s="23" t="n">
        <f aca="false">Costs!BC39</f>
        <v>13570331.4</v>
      </c>
      <c r="BD30" s="23" t="n">
        <f aca="false">Costs!BD39</f>
        <v>15335692.7</v>
      </c>
      <c r="BE30" s="23" t="n">
        <f aca="false">Costs!BE39</f>
        <v>14049501.3</v>
      </c>
      <c r="BF30" s="23" t="n">
        <f aca="false">Costs!BF39</f>
        <v>15840585.2</v>
      </c>
      <c r="BG30" s="23" t="n">
        <f aca="false">Costs!BG39</f>
        <v>15058436.8</v>
      </c>
      <c r="BH30" s="23" t="n">
        <f aca="false">Costs!BH39</f>
        <v>15789989.5</v>
      </c>
      <c r="BI30" s="23" t="n">
        <f aca="false">Costs!BI39</f>
        <v>15663798.1</v>
      </c>
      <c r="BJ30" s="23" t="n">
        <f aca="false">Costs!BJ39</f>
        <v>18816669.1</v>
      </c>
      <c r="BK30" s="23" t="n">
        <f aca="false">Costs!BK39</f>
        <v>17404286.3</v>
      </c>
      <c r="BL30" s="23" t="n">
        <f aca="false">Costs!BL39</f>
        <v>17278094.9</v>
      </c>
    </row>
    <row r="31" customFormat="false" ht="15" hidden="false" customHeight="false" outlineLevel="0" collapsed="false">
      <c r="A31" s="12" t="s">
        <v>435</v>
      </c>
      <c r="B31" s="14" t="s">
        <v>71</v>
      </c>
      <c r="D31" s="55" t="n">
        <f aca="false">SUM(E31:BL31)</f>
        <v>710463464.507844</v>
      </c>
      <c r="E31" s="23" t="n">
        <f aca="false">Costs!E52</f>
        <v>4914915.83333333</v>
      </c>
      <c r="F31" s="23" t="n">
        <f aca="false">Costs!F52</f>
        <v>6654915.83333333</v>
      </c>
      <c r="G31" s="23" t="n">
        <f aca="false">Costs!G52</f>
        <v>35654915.8333333</v>
      </c>
      <c r="H31" s="23" t="n">
        <f aca="false">Costs!H52</f>
        <v>12507115.8333333</v>
      </c>
      <c r="I31" s="23" t="n">
        <f aca="false">Costs!I52</f>
        <v>9358955.83333333</v>
      </c>
      <c r="J31" s="23" t="n">
        <f aca="false">Costs!J52</f>
        <v>9100974.53333334</v>
      </c>
      <c r="K31" s="23" t="n">
        <f aca="false">Costs!K52</f>
        <v>8843435.98808333</v>
      </c>
      <c r="L31" s="23" t="n">
        <f aca="false">Costs!L52</f>
        <v>8586156.89403521</v>
      </c>
      <c r="M31" s="23" t="n">
        <f aca="false">Costs!M52</f>
        <v>8328946.09485754</v>
      </c>
      <c r="N31" s="23" t="n">
        <f aca="false">Costs!N52</f>
        <v>8071604.0582211</v>
      </c>
      <c r="O31" s="23" t="n">
        <f aca="false">Costs!O52</f>
        <v>7813922.32211384</v>
      </c>
      <c r="P31" s="23" t="n">
        <f aca="false">Costs!P52</f>
        <v>7555682.90884001</v>
      </c>
      <c r="Q31" s="23" t="n">
        <f aca="false">Costs!Q52</f>
        <v>8981831.03808103</v>
      </c>
      <c r="R31" s="23" t="n">
        <f aca="false">Costs!R52</f>
        <v>8644189.83694546</v>
      </c>
      <c r="S31" s="23" t="n">
        <f aca="false">Costs!S52</f>
        <v>8481329.16666667</v>
      </c>
      <c r="T31" s="23" t="n">
        <f aca="false">Costs!T52</f>
        <v>14291769.1666667</v>
      </c>
      <c r="U31" s="23" t="n">
        <f aca="false">Costs!U52</f>
        <v>8491769.16666667</v>
      </c>
      <c r="V31" s="23" t="n">
        <f aca="false">Costs!V52</f>
        <v>8533529.16666667</v>
      </c>
      <c r="W31" s="23" t="n">
        <f aca="false">Costs!W52</f>
        <v>8543969.16666667</v>
      </c>
      <c r="X31" s="23" t="n">
        <f aca="false">Costs!X52</f>
        <v>8543969.16666667</v>
      </c>
      <c r="Y31" s="23" t="n">
        <f aca="false">Costs!Y52</f>
        <v>8543969.16666667</v>
      </c>
      <c r="Z31" s="23" t="n">
        <f aca="false">Costs!Z52</f>
        <v>8543969.16666667</v>
      </c>
      <c r="AA31" s="23" t="n">
        <f aca="false">Costs!AA52</f>
        <v>8564849.16666667</v>
      </c>
      <c r="AB31" s="23" t="n">
        <f aca="false">Costs!AB52</f>
        <v>8575289.16666667</v>
      </c>
      <c r="AC31" s="23" t="n">
        <f aca="false">Costs!AC52</f>
        <v>10715289.1666667</v>
      </c>
      <c r="AD31" s="23" t="n">
        <f aca="false">Costs!AD52</f>
        <v>10715289.1666667</v>
      </c>
      <c r="AE31" s="23" t="n">
        <f aca="false">Costs!AE52</f>
        <v>10761109.1666667</v>
      </c>
      <c r="AF31" s="23" t="n">
        <f aca="false">Costs!AF52</f>
        <v>16571549.1666667</v>
      </c>
      <c r="AG31" s="23" t="n">
        <f aca="false">Costs!AG52</f>
        <v>10802869.1666667</v>
      </c>
      <c r="AH31" s="23" t="n">
        <f aca="false">Costs!AH52</f>
        <v>10802869.1666667</v>
      </c>
      <c r="AI31" s="23" t="n">
        <f aca="false">Costs!AI52</f>
        <v>10823749.1666667</v>
      </c>
      <c r="AJ31" s="23" t="n">
        <f aca="false">Costs!AJ52</f>
        <v>10834189.1666667</v>
      </c>
      <c r="AK31" s="23" t="n">
        <f aca="false">Costs!AK52</f>
        <v>10844629.1666667</v>
      </c>
      <c r="AL31" s="23" t="n">
        <f aca="false">Costs!AL52</f>
        <v>10865509.1666667</v>
      </c>
      <c r="AM31" s="23" t="n">
        <f aca="false">Costs!AM52</f>
        <v>10875949.1666667</v>
      </c>
      <c r="AN31" s="23" t="n">
        <f aca="false">Costs!AN52</f>
        <v>10886389.1666667</v>
      </c>
      <c r="AO31" s="23" t="n">
        <f aca="false">Costs!AO52</f>
        <v>12585982.5</v>
      </c>
      <c r="AP31" s="23" t="n">
        <f aca="false">Costs!AP52</f>
        <v>12585982.5</v>
      </c>
      <c r="AQ31" s="23" t="n">
        <f aca="false">Costs!AQ52</f>
        <v>12606862.5</v>
      </c>
      <c r="AR31" s="23" t="n">
        <f aca="false">Costs!AR52</f>
        <v>18417302.5</v>
      </c>
      <c r="AS31" s="23" t="n">
        <f aca="false">Costs!AS52</f>
        <v>12659062.5</v>
      </c>
      <c r="AT31" s="23" t="n">
        <f aca="false">Costs!AT52</f>
        <v>12659062.5</v>
      </c>
      <c r="AU31" s="23" t="n">
        <f aca="false">Costs!AU52</f>
        <v>12669502.5</v>
      </c>
      <c r="AV31" s="23" t="n">
        <f aca="false">Costs!AV52</f>
        <v>12690382.5</v>
      </c>
      <c r="AW31" s="23" t="n">
        <f aca="false">Costs!AW52</f>
        <v>12725762.5</v>
      </c>
      <c r="AX31" s="23" t="n">
        <f aca="false">Costs!AX52</f>
        <v>12767522.5</v>
      </c>
      <c r="AY31" s="23" t="n">
        <f aca="false">Costs!AY52</f>
        <v>12767522.5</v>
      </c>
      <c r="AZ31" s="23" t="n">
        <f aca="false">Costs!AZ52</f>
        <v>12788402.5</v>
      </c>
      <c r="BA31" s="23" t="n">
        <f aca="false">Costs!BA52</f>
        <v>14442175.8333333</v>
      </c>
      <c r="BB31" s="23" t="n">
        <f aca="false">Costs!BB52</f>
        <v>14473495.8333333</v>
      </c>
      <c r="BC31" s="23" t="n">
        <f aca="false">Costs!BC52</f>
        <v>14494375.8333333</v>
      </c>
      <c r="BD31" s="23" t="n">
        <f aca="false">Costs!BD52</f>
        <v>20340195.8333333</v>
      </c>
      <c r="BE31" s="23" t="n">
        <f aca="false">Costs!BE52</f>
        <v>14550635.8333333</v>
      </c>
      <c r="BF31" s="23" t="n">
        <f aca="false">Costs!BF52</f>
        <v>14592395.8333333</v>
      </c>
      <c r="BG31" s="23" t="n">
        <f aca="false">Costs!BG52</f>
        <v>14602835.8333333</v>
      </c>
      <c r="BH31" s="23" t="n">
        <f aca="false">Costs!BH52</f>
        <v>14623715.8333333</v>
      </c>
      <c r="BI31" s="23" t="n">
        <f aca="false">Costs!BI52</f>
        <v>14634155.8333333</v>
      </c>
      <c r="BJ31" s="23" t="n">
        <f aca="false">Costs!BJ52</f>
        <v>14700855.8333333</v>
      </c>
      <c r="BK31" s="23" t="n">
        <f aca="false">Costs!BK52</f>
        <v>14721735.8333333</v>
      </c>
      <c r="BL31" s="23" t="n">
        <f aca="false">Costs!BL52</f>
        <v>14732175.8333333</v>
      </c>
    </row>
    <row r="32" customFormat="false" ht="15" hidden="false" customHeight="false" outlineLevel="0" collapsed="false">
      <c r="A32" s="12" t="s">
        <v>446</v>
      </c>
      <c r="B32" s="14" t="s">
        <v>71</v>
      </c>
      <c r="D32" s="55" t="n">
        <f aca="false">SUM(E32:BL32)</f>
        <v>230000000</v>
      </c>
      <c r="E32" s="23" t="n">
        <f aca="false">Costs!E60</f>
        <v>0</v>
      </c>
      <c r="F32" s="23" t="n">
        <f aca="false">Costs!F60</f>
        <v>15000000</v>
      </c>
      <c r="G32" s="23" t="n">
        <f aca="false">Costs!G60</f>
        <v>0</v>
      </c>
      <c r="H32" s="23" t="n">
        <f aca="false">Costs!H60</f>
        <v>0</v>
      </c>
      <c r="I32" s="23" t="n">
        <f aca="false">Costs!I60</f>
        <v>1500000</v>
      </c>
      <c r="J32" s="23" t="n">
        <f aca="false">Costs!J60</f>
        <v>1500000</v>
      </c>
      <c r="K32" s="23" t="n">
        <f aca="false">Costs!K60</f>
        <v>1500000</v>
      </c>
      <c r="L32" s="23" t="n">
        <f aca="false">Costs!L60</f>
        <v>1500000</v>
      </c>
      <c r="M32" s="23" t="n">
        <f aca="false">Costs!M60</f>
        <v>1500000</v>
      </c>
      <c r="N32" s="23" t="n">
        <f aca="false">Costs!N60</f>
        <v>1500000</v>
      </c>
      <c r="O32" s="23" t="n">
        <f aca="false">Costs!O60</f>
        <v>1500000</v>
      </c>
      <c r="P32" s="23" t="n">
        <f aca="false">Costs!P60</f>
        <v>1500000</v>
      </c>
      <c r="Q32" s="23" t="n">
        <f aca="false">Costs!Q60</f>
        <v>1750000</v>
      </c>
      <c r="R32" s="23" t="n">
        <f aca="false">Costs!R60</f>
        <v>1750000</v>
      </c>
      <c r="S32" s="23" t="n">
        <f aca="false">Costs!S60</f>
        <v>6750000</v>
      </c>
      <c r="T32" s="23" t="n">
        <f aca="false">Costs!T60</f>
        <v>16750000</v>
      </c>
      <c r="U32" s="23" t="n">
        <f aca="false">Costs!U60</f>
        <v>1750000</v>
      </c>
      <c r="V32" s="23" t="n">
        <f aca="false">Costs!V60</f>
        <v>1750000</v>
      </c>
      <c r="W32" s="23" t="n">
        <f aca="false">Costs!W60</f>
        <v>3250000</v>
      </c>
      <c r="X32" s="23" t="n">
        <f aca="false">Costs!X60</f>
        <v>3250000</v>
      </c>
      <c r="Y32" s="23" t="n">
        <f aca="false">Costs!Y60</f>
        <v>3250000</v>
      </c>
      <c r="Z32" s="23" t="n">
        <f aca="false">Costs!Z60</f>
        <v>3250000</v>
      </c>
      <c r="AA32" s="23" t="n">
        <f aca="false">Costs!AA60</f>
        <v>3250000</v>
      </c>
      <c r="AB32" s="23" t="n">
        <f aca="false">Costs!AB60</f>
        <v>3250000</v>
      </c>
      <c r="AC32" s="23" t="n">
        <f aca="false">Costs!AC60</f>
        <v>4250000</v>
      </c>
      <c r="AD32" s="23" t="n">
        <f aca="false">Costs!AD60</f>
        <v>4250000</v>
      </c>
      <c r="AE32" s="23" t="n">
        <f aca="false">Costs!AE60</f>
        <v>4250000</v>
      </c>
      <c r="AF32" s="23" t="n">
        <f aca="false">Costs!AF60</f>
        <v>4250000</v>
      </c>
      <c r="AG32" s="23" t="n">
        <f aca="false">Costs!AG60</f>
        <v>4250000</v>
      </c>
      <c r="AH32" s="23" t="n">
        <f aca="false">Costs!AH60</f>
        <v>4250000</v>
      </c>
      <c r="AI32" s="23" t="n">
        <f aca="false">Costs!AI60</f>
        <v>4250000</v>
      </c>
      <c r="AJ32" s="23" t="n">
        <f aca="false">Costs!AJ60</f>
        <v>4250000</v>
      </c>
      <c r="AK32" s="23" t="n">
        <f aca="false">Costs!AK60</f>
        <v>4250000</v>
      </c>
      <c r="AL32" s="23" t="n">
        <f aca="false">Costs!AL60</f>
        <v>4250000</v>
      </c>
      <c r="AM32" s="23" t="n">
        <f aca="false">Costs!AM60</f>
        <v>4250000</v>
      </c>
      <c r="AN32" s="23" t="n">
        <f aca="false">Costs!AN60</f>
        <v>4250000</v>
      </c>
      <c r="AO32" s="23" t="n">
        <f aca="false">Costs!AO60</f>
        <v>4250000</v>
      </c>
      <c r="AP32" s="23" t="n">
        <f aca="false">Costs!AP60</f>
        <v>4250000</v>
      </c>
      <c r="AQ32" s="23" t="n">
        <f aca="false">Costs!AQ60</f>
        <v>4250000</v>
      </c>
      <c r="AR32" s="23" t="n">
        <f aca="false">Costs!AR60</f>
        <v>4250000</v>
      </c>
      <c r="AS32" s="23" t="n">
        <f aca="false">Costs!AS60</f>
        <v>4250000</v>
      </c>
      <c r="AT32" s="23" t="n">
        <f aca="false">Costs!AT60</f>
        <v>4250000</v>
      </c>
      <c r="AU32" s="23" t="n">
        <f aca="false">Costs!AU60</f>
        <v>4250000</v>
      </c>
      <c r="AV32" s="23" t="n">
        <f aca="false">Costs!AV60</f>
        <v>4250000</v>
      </c>
      <c r="AW32" s="23" t="n">
        <f aca="false">Costs!AW60</f>
        <v>4250000</v>
      </c>
      <c r="AX32" s="23" t="n">
        <f aca="false">Costs!AX60</f>
        <v>4250000</v>
      </c>
      <c r="AY32" s="23" t="n">
        <f aca="false">Costs!AY60</f>
        <v>4250000</v>
      </c>
      <c r="AZ32" s="23" t="n">
        <f aca="false">Costs!AZ60</f>
        <v>4250000</v>
      </c>
      <c r="BA32" s="23" t="n">
        <f aca="false">Costs!BA60</f>
        <v>4250000</v>
      </c>
      <c r="BB32" s="23" t="n">
        <f aca="false">Costs!BB60</f>
        <v>4250000</v>
      </c>
      <c r="BC32" s="23" t="n">
        <f aca="false">Costs!BC60</f>
        <v>4250000</v>
      </c>
      <c r="BD32" s="23" t="n">
        <f aca="false">Costs!BD60</f>
        <v>4250000</v>
      </c>
      <c r="BE32" s="23" t="n">
        <f aca="false">Costs!BE60</f>
        <v>4250000</v>
      </c>
      <c r="BF32" s="23" t="n">
        <f aca="false">Costs!BF60</f>
        <v>4250000</v>
      </c>
      <c r="BG32" s="23" t="n">
        <f aca="false">Costs!BG60</f>
        <v>4250000</v>
      </c>
      <c r="BH32" s="23" t="n">
        <f aca="false">Costs!BH60</f>
        <v>4250000</v>
      </c>
      <c r="BI32" s="23" t="n">
        <f aca="false">Costs!BI60</f>
        <v>4250000</v>
      </c>
      <c r="BJ32" s="23" t="n">
        <f aca="false">Costs!BJ60</f>
        <v>4250000</v>
      </c>
      <c r="BK32" s="23" t="n">
        <f aca="false">Costs!BK60</f>
        <v>4250000</v>
      </c>
      <c r="BL32" s="23" t="n">
        <f aca="false">Costs!BL60</f>
        <v>4250000</v>
      </c>
    </row>
    <row r="33" customFormat="false" ht="15" hidden="false" customHeight="false" outlineLevel="0" collapsed="false">
      <c r="A33" s="12" t="s">
        <v>457</v>
      </c>
      <c r="B33" s="14" t="s">
        <v>71</v>
      </c>
      <c r="D33" s="55" t="n">
        <f aca="false">SUM(E33:BL33)</f>
        <v>628100000</v>
      </c>
      <c r="E33" s="23" t="n">
        <f aca="false">Costs!E72</f>
        <v>5475000</v>
      </c>
      <c r="F33" s="23" t="n">
        <f aca="false">Costs!F72</f>
        <v>2975000</v>
      </c>
      <c r="G33" s="23" t="n">
        <f aca="false">Costs!G72</f>
        <v>2975000</v>
      </c>
      <c r="H33" s="23" t="n">
        <f aca="false">Costs!H72</f>
        <v>2975000</v>
      </c>
      <c r="I33" s="23" t="n">
        <f aca="false">Costs!I72</f>
        <v>2975000</v>
      </c>
      <c r="J33" s="23" t="n">
        <f aca="false">Costs!J72</f>
        <v>2975000</v>
      </c>
      <c r="K33" s="23" t="n">
        <f aca="false">Costs!K72</f>
        <v>2975000</v>
      </c>
      <c r="L33" s="23" t="n">
        <f aca="false">Costs!L72</f>
        <v>2975000</v>
      </c>
      <c r="M33" s="23" t="n">
        <f aca="false">Costs!M72</f>
        <v>2975000</v>
      </c>
      <c r="N33" s="23" t="n">
        <f aca="false">Costs!N72</f>
        <v>2975000</v>
      </c>
      <c r="O33" s="23" t="n">
        <f aca="false">Costs!O72</f>
        <v>2975000</v>
      </c>
      <c r="P33" s="23" t="n">
        <f aca="false">Costs!P72</f>
        <v>2975000</v>
      </c>
      <c r="Q33" s="23" t="n">
        <f aca="false">Costs!Q72</f>
        <v>7725000</v>
      </c>
      <c r="R33" s="23" t="n">
        <f aca="false">Costs!R72</f>
        <v>7725000</v>
      </c>
      <c r="S33" s="23" t="n">
        <f aca="false">Costs!S72</f>
        <v>7725000</v>
      </c>
      <c r="T33" s="23" t="n">
        <f aca="false">Costs!T72</f>
        <v>10725000</v>
      </c>
      <c r="U33" s="23" t="n">
        <f aca="false">Costs!U72</f>
        <v>7725000</v>
      </c>
      <c r="V33" s="23" t="n">
        <f aca="false">Costs!V72</f>
        <v>7725000</v>
      </c>
      <c r="W33" s="23" t="n">
        <f aca="false">Costs!W72</f>
        <v>7725000</v>
      </c>
      <c r="X33" s="23" t="n">
        <f aca="false">Costs!X72</f>
        <v>7725000</v>
      </c>
      <c r="Y33" s="23" t="n">
        <f aca="false">Costs!Y72</f>
        <v>7725000</v>
      </c>
      <c r="Z33" s="23" t="n">
        <f aca="false">Costs!Z72</f>
        <v>7725000</v>
      </c>
      <c r="AA33" s="23" t="n">
        <f aca="false">Costs!AA72</f>
        <v>7725000</v>
      </c>
      <c r="AB33" s="23" t="n">
        <f aca="false">Costs!AB72</f>
        <v>10725000</v>
      </c>
      <c r="AC33" s="23" t="n">
        <f aca="false">Costs!AC72</f>
        <v>12033333.3333333</v>
      </c>
      <c r="AD33" s="23" t="n">
        <f aca="false">Costs!AD72</f>
        <v>12033333.3333333</v>
      </c>
      <c r="AE33" s="23" t="n">
        <f aca="false">Costs!AE72</f>
        <v>12033333.3333333</v>
      </c>
      <c r="AF33" s="23" t="n">
        <f aca="false">Costs!AF72</f>
        <v>12033333.3333333</v>
      </c>
      <c r="AG33" s="23" t="n">
        <f aca="false">Costs!AG72</f>
        <v>12033333.3333333</v>
      </c>
      <c r="AH33" s="23" t="n">
        <f aca="false">Costs!AH72</f>
        <v>12033333.3333333</v>
      </c>
      <c r="AI33" s="23" t="n">
        <f aca="false">Costs!AI72</f>
        <v>12033333.3333333</v>
      </c>
      <c r="AJ33" s="23" t="n">
        <f aca="false">Costs!AJ72</f>
        <v>12033333.3333333</v>
      </c>
      <c r="AK33" s="23" t="n">
        <f aca="false">Costs!AK72</f>
        <v>12033333.3333333</v>
      </c>
      <c r="AL33" s="23" t="n">
        <f aca="false">Costs!AL72</f>
        <v>12033333.3333333</v>
      </c>
      <c r="AM33" s="23" t="n">
        <f aca="false">Costs!AM72</f>
        <v>12033333.3333333</v>
      </c>
      <c r="AN33" s="23" t="n">
        <f aca="false">Costs!AN72</f>
        <v>12033333.3333333</v>
      </c>
      <c r="AO33" s="23" t="n">
        <f aca="false">Costs!AO72</f>
        <v>13366666.6666667</v>
      </c>
      <c r="AP33" s="23" t="n">
        <f aca="false">Costs!AP72</f>
        <v>13366666.6666667</v>
      </c>
      <c r="AQ33" s="23" t="n">
        <f aca="false">Costs!AQ72</f>
        <v>13366666.6666667</v>
      </c>
      <c r="AR33" s="23" t="n">
        <f aca="false">Costs!AR72</f>
        <v>13366666.6666667</v>
      </c>
      <c r="AS33" s="23" t="n">
        <f aca="false">Costs!AS72</f>
        <v>13366666.6666667</v>
      </c>
      <c r="AT33" s="23" t="n">
        <f aca="false">Costs!AT72</f>
        <v>13366666.6666667</v>
      </c>
      <c r="AU33" s="23" t="n">
        <f aca="false">Costs!AU72</f>
        <v>13366666.6666667</v>
      </c>
      <c r="AV33" s="23" t="n">
        <f aca="false">Costs!AV72</f>
        <v>13366666.6666667</v>
      </c>
      <c r="AW33" s="23" t="n">
        <f aca="false">Costs!AW72</f>
        <v>13366666.6666667</v>
      </c>
      <c r="AX33" s="23" t="n">
        <f aca="false">Costs!AX72</f>
        <v>13366666.6666667</v>
      </c>
      <c r="AY33" s="23" t="n">
        <f aca="false">Costs!AY72</f>
        <v>13366666.6666667</v>
      </c>
      <c r="AZ33" s="23" t="n">
        <f aca="false">Costs!AZ72</f>
        <v>13366666.6666667</v>
      </c>
      <c r="BA33" s="23" t="n">
        <f aca="false">Costs!BA72</f>
        <v>15533333.3333333</v>
      </c>
      <c r="BB33" s="23" t="n">
        <f aca="false">Costs!BB72</f>
        <v>15533333.3333333</v>
      </c>
      <c r="BC33" s="23" t="n">
        <f aca="false">Costs!BC72</f>
        <v>15533333.3333333</v>
      </c>
      <c r="BD33" s="23" t="n">
        <f aca="false">Costs!BD72</f>
        <v>15533333.3333333</v>
      </c>
      <c r="BE33" s="23" t="n">
        <f aca="false">Costs!BE72</f>
        <v>15533333.3333333</v>
      </c>
      <c r="BF33" s="23" t="n">
        <f aca="false">Costs!BF72</f>
        <v>15533333.3333333</v>
      </c>
      <c r="BG33" s="23" t="n">
        <f aca="false">Costs!BG72</f>
        <v>15533333.3333333</v>
      </c>
      <c r="BH33" s="23" t="n">
        <f aca="false">Costs!BH72</f>
        <v>15533333.3333333</v>
      </c>
      <c r="BI33" s="23" t="n">
        <f aca="false">Costs!BI72</f>
        <v>15533333.3333333</v>
      </c>
      <c r="BJ33" s="23" t="n">
        <f aca="false">Costs!BJ72</f>
        <v>15533333.3333333</v>
      </c>
      <c r="BK33" s="23" t="n">
        <f aca="false">Costs!BK72</f>
        <v>15533333.3333333</v>
      </c>
      <c r="BL33" s="23" t="n">
        <f aca="false">Costs!BL72</f>
        <v>15533333.3333333</v>
      </c>
    </row>
    <row r="34" customFormat="false" ht="15" hidden="false" customHeight="false" outlineLevel="0" collapsed="false">
      <c r="A34" s="12" t="s">
        <v>473</v>
      </c>
      <c r="B34" s="14" t="s">
        <v>71</v>
      </c>
      <c r="D34" s="55" t="n">
        <f aca="false">SUM(E34:BL34)</f>
        <v>657859511.508861</v>
      </c>
      <c r="E34" s="23" t="n">
        <f aca="false">Costs!E80</f>
        <v>2261666.66666667</v>
      </c>
      <c r="F34" s="23" t="n">
        <f aca="false">Costs!F80</f>
        <v>2261666.66666667</v>
      </c>
      <c r="G34" s="23" t="n">
        <f aca="false">Costs!G80</f>
        <v>2261666.66666667</v>
      </c>
      <c r="H34" s="23" t="n">
        <f aca="false">Costs!H80</f>
        <v>2411666.66666667</v>
      </c>
      <c r="I34" s="23" t="n">
        <f aca="false">Costs!I80</f>
        <v>3971666.66666667</v>
      </c>
      <c r="J34" s="23" t="n">
        <f aca="false">Costs!J80</f>
        <v>3986666.66666667</v>
      </c>
      <c r="K34" s="23" t="n">
        <f aca="false">Costs!K80</f>
        <v>4002566.66666667</v>
      </c>
      <c r="L34" s="23" t="n">
        <f aca="false">Costs!L80</f>
        <v>4019420.66666667</v>
      </c>
      <c r="M34" s="23" t="n">
        <f aca="false">Costs!M80</f>
        <v>4037285.90666667</v>
      </c>
      <c r="N34" s="23" t="n">
        <f aca="false">Costs!N80</f>
        <v>4056223.06106667</v>
      </c>
      <c r="O34" s="23" t="n">
        <f aca="false">Costs!O80</f>
        <v>4076296.44473067</v>
      </c>
      <c r="P34" s="23" t="n">
        <f aca="false">Costs!P80</f>
        <v>4097574.23141451</v>
      </c>
      <c r="Q34" s="23" t="n">
        <f aca="false">Costs!Q80</f>
        <v>5322628.68529938</v>
      </c>
      <c r="R34" s="23" t="n">
        <f aca="false">Costs!R80</f>
        <v>5346536.40641734</v>
      </c>
      <c r="S34" s="23" t="n">
        <f aca="false">Costs!S80</f>
        <v>5371878.59080238</v>
      </c>
      <c r="T34" s="23" t="n">
        <f aca="false">Costs!T80</f>
        <v>5398741.30625052</v>
      </c>
      <c r="U34" s="23" t="n">
        <f aca="false">Costs!U80</f>
        <v>5427215.78462555</v>
      </c>
      <c r="V34" s="23" t="n">
        <f aca="false">Costs!V80</f>
        <v>5682398.73170309</v>
      </c>
      <c r="W34" s="23" t="n">
        <f aca="false">Costs!W80</f>
        <v>7174392.65560527</v>
      </c>
      <c r="X34" s="23" t="n">
        <f aca="false">Costs!X80</f>
        <v>7217306.21494159</v>
      </c>
      <c r="Y34" s="23" t="n">
        <f aca="false">Costs!Y80</f>
        <v>7262794.58783809</v>
      </c>
      <c r="Z34" s="23" t="n">
        <f aca="false">Costs!Z80</f>
        <v>7311012.26310837</v>
      </c>
      <c r="AA34" s="23" t="n">
        <f aca="false">Costs!AA80</f>
        <v>7437122.99889487</v>
      </c>
      <c r="AB34" s="23" t="n">
        <f aca="false">Costs!AB80</f>
        <v>7491300.37882857</v>
      </c>
      <c r="AC34" s="23" t="n">
        <f aca="false">Costs!AC80</f>
        <v>11104561.7348916</v>
      </c>
      <c r="AD34" s="23" t="n">
        <f aca="false">Costs!AD80</f>
        <v>11165435.4389851</v>
      </c>
      <c r="AE34" s="23" t="n">
        <f aca="false">Costs!AE80</f>
        <v>11304961.5653242</v>
      </c>
      <c r="AF34" s="23" t="n">
        <f aca="false">Costs!AF80</f>
        <v>11373359.2592437</v>
      </c>
      <c r="AG34" s="23" t="n">
        <f aca="false">Costs!AG80</f>
        <v>11445860.8147983</v>
      </c>
      <c r="AH34" s="23" t="n">
        <f aca="false">Costs!AH80</f>
        <v>11522712.4636862</v>
      </c>
      <c r="AI34" s="23" t="n">
        <f aca="false">Costs!AI80</f>
        <v>11679175.2115074</v>
      </c>
      <c r="AJ34" s="23" t="n">
        <f aca="false">Costs!AJ80</f>
        <v>11765525.7241978</v>
      </c>
      <c r="AK34" s="23" t="n">
        <f aca="false">Costs!AK80</f>
        <v>11857057.2676497</v>
      </c>
      <c r="AL34" s="23" t="n">
        <f aca="false">Costs!AL80</f>
        <v>12029080.7037086</v>
      </c>
      <c r="AM34" s="23" t="n">
        <f aca="false">Costs!AM80</f>
        <v>12206925.5459312</v>
      </c>
      <c r="AN34" s="23" t="n">
        <f aca="false">Costs!AN80</f>
        <v>12315941.078687</v>
      </c>
      <c r="AO34" s="23" t="n">
        <f aca="false">Costs!AO80</f>
        <v>14366497.5434083</v>
      </c>
      <c r="AP34" s="23" t="n">
        <f aca="false">Costs!AP80</f>
        <v>14488987.3960128</v>
      </c>
      <c r="AQ34" s="23" t="n">
        <f aca="false">Costs!AQ80</f>
        <v>14693826.6397735</v>
      </c>
      <c r="AR34" s="23" t="n">
        <f aca="false">Costs!AR80</f>
        <v>14831456.2381599</v>
      </c>
      <c r="AS34" s="23" t="n">
        <f aca="false">Costs!AS80</f>
        <v>15090530.6124868</v>
      </c>
      <c r="AT34" s="23" t="n">
        <f aca="false">Costs!AT80</f>
        <v>15122962.449236</v>
      </c>
      <c r="AU34" s="23" t="n">
        <f aca="false">Costs!AU80</f>
        <v>15157340.1961901</v>
      </c>
      <c r="AV34" s="23" t="n">
        <f aca="false">Costs!AV80</f>
        <v>15268780.6079615</v>
      </c>
      <c r="AW34" s="23" t="n">
        <f aca="false">Costs!AW80</f>
        <v>15307407.4444392</v>
      </c>
      <c r="AX34" s="23" t="n">
        <f aca="false">Costs!AX80</f>
        <v>15498351.8911056</v>
      </c>
      <c r="AY34" s="23" t="n">
        <f aca="false">Costs!AY80</f>
        <v>15541753.0045719</v>
      </c>
      <c r="AZ34" s="23" t="n">
        <f aca="false">Costs!AZ80</f>
        <v>15662758.1848462</v>
      </c>
      <c r="BA34" s="23" t="n">
        <f aca="false">Costs!BA80</f>
        <v>17573190.3426037</v>
      </c>
      <c r="BB34" s="23" t="n">
        <f aca="false">Costs!BB80</f>
        <v>17699881.7631599</v>
      </c>
      <c r="BC34" s="23" t="n">
        <f aca="false">Costs!BC80</f>
        <v>17829674.6689495</v>
      </c>
      <c r="BD34" s="23" t="n">
        <f aca="false">Costs!BD80</f>
        <v>17962755.1490864</v>
      </c>
      <c r="BE34" s="23" t="n">
        <f aca="false">Costs!BE80</f>
        <v>18024320.4580316</v>
      </c>
      <c r="BF34" s="23" t="n">
        <f aca="false">Costs!BF80</f>
        <v>18239579.6855135</v>
      </c>
      <c r="BG34" s="23" t="n">
        <f aca="false">Costs!BG80</f>
        <v>18308754.4666443</v>
      </c>
      <c r="BH34" s="23" t="n">
        <f aca="false">Costs!BH80</f>
        <v>18457079.734643</v>
      </c>
      <c r="BI34" s="23" t="n">
        <f aca="false">Costs!BI80</f>
        <v>18534804.5187216</v>
      </c>
      <c r="BJ34" s="23" t="n">
        <f aca="false">Costs!BJ80</f>
        <v>18767192.7898449</v>
      </c>
      <c r="BK34" s="23" t="n">
        <f aca="false">Costs!BK80</f>
        <v>18886666.6666667</v>
      </c>
      <c r="BL34" s="23" t="n">
        <f aca="false">Costs!BL80</f>
        <v>18886666.6666667</v>
      </c>
    </row>
    <row r="35" customFormat="false" ht="15" hidden="false" customHeight="false" outlineLevel="0" collapsed="false">
      <c r="A35" s="12" t="s">
        <v>480</v>
      </c>
      <c r="B35" s="14" t="s">
        <v>71</v>
      </c>
      <c r="D35" s="55" t="n">
        <f aca="false">SUM(E35:BL35)</f>
        <v>122670077.6</v>
      </c>
      <c r="E35" s="23" t="n">
        <f aca="false">Costs!E86</f>
        <v>2836562.4</v>
      </c>
      <c r="F35" s="23" t="n">
        <f aca="false">Costs!F86</f>
        <v>737500</v>
      </c>
      <c r="G35" s="23" t="n">
        <f aca="false">Costs!G86</f>
        <v>737500</v>
      </c>
      <c r="H35" s="23" t="n">
        <f aca="false">Costs!H86</f>
        <v>737500</v>
      </c>
      <c r="I35" s="23" t="n">
        <f aca="false">Costs!I86</f>
        <v>737500</v>
      </c>
      <c r="J35" s="23" t="n">
        <f aca="false">Costs!J86</f>
        <v>737500</v>
      </c>
      <c r="K35" s="23" t="n">
        <f aca="false">Costs!K86</f>
        <v>737500</v>
      </c>
      <c r="L35" s="23" t="n">
        <f aca="false">Costs!L86</f>
        <v>737500</v>
      </c>
      <c r="M35" s="23" t="n">
        <f aca="false">Costs!M86</f>
        <v>737500</v>
      </c>
      <c r="N35" s="23" t="n">
        <f aca="false">Costs!N86</f>
        <v>737500</v>
      </c>
      <c r="O35" s="23" t="n">
        <f aca="false">Costs!O86</f>
        <v>737500</v>
      </c>
      <c r="P35" s="23" t="n">
        <f aca="false">Costs!P86</f>
        <v>737500</v>
      </c>
      <c r="Q35" s="23" t="n">
        <f aca="false">Costs!Q86</f>
        <v>2066432.26666667</v>
      </c>
      <c r="R35" s="23" t="n">
        <f aca="false">Costs!R86</f>
        <v>1541666.66666667</v>
      </c>
      <c r="S35" s="23" t="n">
        <f aca="false">Costs!S86</f>
        <v>1541666.66666667</v>
      </c>
      <c r="T35" s="23" t="n">
        <f aca="false">Costs!T86</f>
        <v>2066432.26666667</v>
      </c>
      <c r="U35" s="23" t="n">
        <f aca="false">Costs!U86</f>
        <v>1541666.66666667</v>
      </c>
      <c r="V35" s="23" t="n">
        <f aca="false">Costs!V86</f>
        <v>2066432.26666667</v>
      </c>
      <c r="W35" s="23" t="n">
        <f aca="false">Costs!W86</f>
        <v>1541666.66666667</v>
      </c>
      <c r="X35" s="23" t="n">
        <f aca="false">Costs!X86</f>
        <v>1541666.66666667</v>
      </c>
      <c r="Y35" s="23" t="n">
        <f aca="false">Costs!Y86</f>
        <v>1541666.66666667</v>
      </c>
      <c r="Z35" s="23" t="n">
        <f aca="false">Costs!Z86</f>
        <v>1541666.66666667</v>
      </c>
      <c r="AA35" s="23" t="n">
        <f aca="false">Costs!AA86</f>
        <v>1541666.66666667</v>
      </c>
      <c r="AB35" s="23" t="n">
        <f aca="false">Costs!AB86</f>
        <v>2066432.26666667</v>
      </c>
      <c r="AC35" s="23" t="n">
        <f aca="false">Costs!AC86</f>
        <v>1966666.66666667</v>
      </c>
      <c r="AD35" s="23" t="n">
        <f aca="false">Costs!AD86</f>
        <v>1966666.66666667</v>
      </c>
      <c r="AE35" s="23" t="n">
        <f aca="false">Costs!AE86</f>
        <v>2491432.26666667</v>
      </c>
      <c r="AF35" s="23" t="n">
        <f aca="false">Costs!AF86</f>
        <v>2491432.26666667</v>
      </c>
      <c r="AG35" s="23" t="n">
        <f aca="false">Costs!AG86</f>
        <v>1966666.66666667</v>
      </c>
      <c r="AH35" s="23" t="n">
        <f aca="false">Costs!AH86</f>
        <v>1966666.66666667</v>
      </c>
      <c r="AI35" s="23" t="n">
        <f aca="false">Costs!AI86</f>
        <v>1966666.66666667</v>
      </c>
      <c r="AJ35" s="23" t="n">
        <f aca="false">Costs!AJ86</f>
        <v>1966666.66666667</v>
      </c>
      <c r="AK35" s="23" t="n">
        <f aca="false">Costs!AK86</f>
        <v>2491432.26666667</v>
      </c>
      <c r="AL35" s="23" t="n">
        <f aca="false">Costs!AL86</f>
        <v>1966666.66666667</v>
      </c>
      <c r="AM35" s="23" t="n">
        <f aca="false">Costs!AM86</f>
        <v>1966666.66666667</v>
      </c>
      <c r="AN35" s="23" t="n">
        <f aca="false">Costs!AN86</f>
        <v>1966666.66666667</v>
      </c>
      <c r="AO35" s="23" t="n">
        <f aca="false">Costs!AO86</f>
        <v>3391197.86666667</v>
      </c>
      <c r="AP35" s="23" t="n">
        <f aca="false">Costs!AP86</f>
        <v>2341666.66666667</v>
      </c>
      <c r="AQ35" s="23" t="n">
        <f aca="false">Costs!AQ86</f>
        <v>2341666.66666667</v>
      </c>
      <c r="AR35" s="23" t="n">
        <f aca="false">Costs!AR86</f>
        <v>2341666.66666667</v>
      </c>
      <c r="AS35" s="23" t="n">
        <f aca="false">Costs!AS86</f>
        <v>2866432.26666667</v>
      </c>
      <c r="AT35" s="23" t="n">
        <f aca="false">Costs!AT86</f>
        <v>2341666.66666667</v>
      </c>
      <c r="AU35" s="23" t="n">
        <f aca="false">Costs!AU86</f>
        <v>2341666.66666667</v>
      </c>
      <c r="AV35" s="23" t="n">
        <f aca="false">Costs!AV86</f>
        <v>2341666.66666667</v>
      </c>
      <c r="AW35" s="23" t="n">
        <f aca="false">Costs!AW86</f>
        <v>2866432.26666667</v>
      </c>
      <c r="AX35" s="23" t="n">
        <f aca="false">Costs!AX86</f>
        <v>2866432.26666667</v>
      </c>
      <c r="AY35" s="23" t="n">
        <f aca="false">Costs!AY86</f>
        <v>2341666.66666667</v>
      </c>
      <c r="AZ35" s="23" t="n">
        <f aca="false">Costs!AZ86</f>
        <v>2341666.66666667</v>
      </c>
      <c r="BA35" s="23" t="n">
        <f aca="false">Costs!BA86</f>
        <v>2716666.66666667</v>
      </c>
      <c r="BB35" s="23" t="n">
        <f aca="false">Costs!BB86</f>
        <v>3241432.26666667</v>
      </c>
      <c r="BC35" s="23" t="n">
        <f aca="false">Costs!BC86</f>
        <v>2716666.66666667</v>
      </c>
      <c r="BD35" s="23" t="n">
        <f aca="false">Costs!BD86</f>
        <v>3241432.26666667</v>
      </c>
      <c r="BE35" s="23" t="n">
        <f aca="false">Costs!BE86</f>
        <v>2716666.66666667</v>
      </c>
      <c r="BF35" s="23" t="n">
        <f aca="false">Costs!BF86</f>
        <v>3241432.26666667</v>
      </c>
      <c r="BG35" s="23" t="n">
        <f aca="false">Costs!BG86</f>
        <v>2716666.66666667</v>
      </c>
      <c r="BH35" s="23" t="n">
        <f aca="false">Costs!BH86</f>
        <v>2716666.66666667</v>
      </c>
      <c r="BI35" s="23" t="n">
        <f aca="false">Costs!BI86</f>
        <v>2716666.66666667</v>
      </c>
      <c r="BJ35" s="23" t="n">
        <f aca="false">Costs!BJ86</f>
        <v>3766197.86666667</v>
      </c>
      <c r="BK35" s="23" t="n">
        <f aca="false">Costs!BK86</f>
        <v>2716666.66666667</v>
      </c>
      <c r="BL35" s="23" t="n">
        <f aca="false">Costs!BL86</f>
        <v>2716666.66666667</v>
      </c>
    </row>
    <row r="36" customFormat="false" ht="15" hidden="false" customHeight="false" outlineLevel="0" collapsed="false">
      <c r="A36" s="12" t="s">
        <v>860</v>
      </c>
      <c r="B36" s="14" t="s">
        <v>71</v>
      </c>
      <c r="D36" s="55" t="n">
        <f aca="false">SUM(E36:BL36)</f>
        <v>248428106.38646</v>
      </c>
      <c r="E36" s="23" t="n">
        <f aca="false">Costs!E90</f>
        <v>1525651.87</v>
      </c>
      <c r="F36" s="23" t="n">
        <f aca="false">Costs!F90</f>
        <v>1925900.9</v>
      </c>
      <c r="G36" s="23" t="n">
        <f aca="false">Costs!G90</f>
        <v>2625900.9</v>
      </c>
      <c r="H36" s="23" t="n">
        <f aca="false">Costs!H90</f>
        <v>1751452.3</v>
      </c>
      <c r="I36" s="23" t="n">
        <f aca="false">Costs!I90</f>
        <v>1717537.955</v>
      </c>
      <c r="J36" s="23" t="n">
        <f aca="false">Costs!J90</f>
        <v>1688989.965</v>
      </c>
      <c r="K36" s="23" t="n">
        <f aca="false">Costs!K90</f>
        <v>1676908.0377375</v>
      </c>
      <c r="L36" s="23" t="n">
        <f aca="false">Costs!L90</f>
        <v>1664886.78303509</v>
      </c>
      <c r="M36" s="23" t="n">
        <f aca="false">Costs!M90</f>
        <v>1652919.50507621</v>
      </c>
      <c r="N36" s="23" t="n">
        <f aca="false">Costs!N90</f>
        <v>1640999.26096439</v>
      </c>
      <c r="O36" s="23" t="n">
        <f aca="false">Costs!O90</f>
        <v>1629118.84334223</v>
      </c>
      <c r="P36" s="23" t="n">
        <f aca="false">Costs!P90</f>
        <v>1617270.76201273</v>
      </c>
      <c r="Q36" s="23" t="n">
        <f aca="false">Costs!Q90</f>
        <v>2296540.78450235</v>
      </c>
      <c r="R36" s="23" t="n">
        <f aca="false">Costs!R90</f>
        <v>2238216.90550147</v>
      </c>
      <c r="S36" s="23" t="n">
        <f aca="false">Costs!S90</f>
        <v>2481340.98120679</v>
      </c>
      <c r="T36" s="23" t="n">
        <f aca="false">Costs!T90</f>
        <v>3516882.67697919</v>
      </c>
      <c r="U36" s="23" t="n">
        <f aca="false">Costs!U90</f>
        <v>2285669.19589794</v>
      </c>
      <c r="V36" s="23" t="n">
        <f aca="false">Costs!V90</f>
        <v>2712532.74325182</v>
      </c>
      <c r="W36" s="23" t="n">
        <f aca="false">Costs!W90</f>
        <v>2814371.23944693</v>
      </c>
      <c r="X36" s="23" t="n">
        <f aca="false">Costs!X90</f>
        <v>2800117.99241375</v>
      </c>
      <c r="Y36" s="23" t="n">
        <f aca="false">Costs!Y90</f>
        <v>2802392.41105857</v>
      </c>
      <c r="Z36" s="23" t="n">
        <f aca="false">Costs!Z90</f>
        <v>2804803.29482209</v>
      </c>
      <c r="AA36" s="23" t="n">
        <f aca="false">Costs!AA90</f>
        <v>2909491.89161141</v>
      </c>
      <c r="AB36" s="23" t="n">
        <f aca="false">Costs!AB90</f>
        <v>3185026.47060809</v>
      </c>
      <c r="AC36" s="23" t="n">
        <f aca="false">Costs!AC90</f>
        <v>3634286.50007791</v>
      </c>
      <c r="AD36" s="23" t="n">
        <f aca="false">Costs!AD90</f>
        <v>3637330.18528259</v>
      </c>
      <c r="AE36" s="23" t="n">
        <f aca="false">Costs!AE90</f>
        <v>3926477.31159954</v>
      </c>
      <c r="AF36" s="23" t="n">
        <f aca="false">Costs!AF90</f>
        <v>4199107.12629552</v>
      </c>
      <c r="AG36" s="23" t="n">
        <f aca="false">Costs!AG90</f>
        <v>4004872.71407325</v>
      </c>
      <c r="AH36" s="23" t="n">
        <f aca="false">Costs!AH90</f>
        <v>3959518.52151764</v>
      </c>
      <c r="AI36" s="23" t="n">
        <f aca="false">Costs!AI90</f>
        <v>4067942.8439087</v>
      </c>
      <c r="AJ36" s="23" t="n">
        <f aca="false">Costs!AJ90</f>
        <v>4084388.42454322</v>
      </c>
      <c r="AK36" s="23" t="n">
        <f aca="false">Costs!AK90</f>
        <v>4168812.13671582</v>
      </c>
      <c r="AL36" s="23" t="n">
        <f aca="false">Costs!AL90</f>
        <v>4235377.28851877</v>
      </c>
      <c r="AM36" s="23" t="n">
        <f aca="false">Costs!AM90</f>
        <v>4270730.08562989</v>
      </c>
      <c r="AN36" s="23" t="n">
        <f aca="false">Costs!AN90</f>
        <v>4304707.84226769</v>
      </c>
      <c r="AO36" s="23" t="n">
        <f aca="false">Costs!AO90</f>
        <v>5038239.39133708</v>
      </c>
      <c r="AP36" s="23" t="n">
        <f aca="false">Costs!AP90</f>
        <v>4884690.54896731</v>
      </c>
      <c r="AQ36" s="23" t="n">
        <f aca="false">Costs!AQ90</f>
        <v>4997862.72740534</v>
      </c>
      <c r="AR36" s="23" t="n">
        <f aca="false">Costs!AR90</f>
        <v>5307768.04357467</v>
      </c>
      <c r="AS36" s="23" t="n">
        <f aca="false">Costs!AS90</f>
        <v>5276519.799791</v>
      </c>
      <c r="AT36" s="23" t="n">
        <f aca="false">Costs!AT90</f>
        <v>5186307.41162847</v>
      </c>
      <c r="AU36" s="23" t="n">
        <f aca="false">Costs!AU90</f>
        <v>5233847.98522617</v>
      </c>
      <c r="AV36" s="23" t="n">
        <f aca="false">Costs!AV90</f>
        <v>5325951.29706474</v>
      </c>
      <c r="AW36" s="23" t="n">
        <f aca="false">Costs!AW90</f>
        <v>5526775.86013863</v>
      </c>
      <c r="AX36" s="23" t="n">
        <f aca="false">Costs!AX90</f>
        <v>5697882.83997195</v>
      </c>
      <c r="AY36" s="23" t="n">
        <f aca="false">Costs!AY90</f>
        <v>5608218.91564526</v>
      </c>
      <c r="AZ36" s="23" t="n">
        <f aca="false">Costs!AZ90</f>
        <v>5717199.39090898</v>
      </c>
      <c r="BA36" s="23" t="n">
        <f aca="false">Costs!BA90</f>
        <v>6169872.61785935</v>
      </c>
      <c r="BB36" s="23" t="n">
        <f aca="false">Costs!BB90</f>
        <v>6365837.26669966</v>
      </c>
      <c r="BC36" s="23" t="n">
        <f aca="false">Costs!BC90</f>
        <v>6406217.95136414</v>
      </c>
      <c r="BD36" s="23" t="n">
        <f aca="false">Costs!BD90</f>
        <v>6965833.94693349</v>
      </c>
      <c r="BE36" s="23" t="n">
        <f aca="false">Costs!BE90</f>
        <v>6608638.33894325</v>
      </c>
      <c r="BF36" s="23" t="n">
        <f aca="false">Costs!BF90</f>
        <v>6871595.21594235</v>
      </c>
      <c r="BG36" s="23" t="n">
        <f aca="false">Costs!BG90</f>
        <v>6829982.23156138</v>
      </c>
      <c r="BH36" s="23" t="n">
        <f aca="false">Costs!BH90</f>
        <v>6926375.26902382</v>
      </c>
      <c r="BI36" s="23" t="n">
        <f aca="false">Costs!BI90</f>
        <v>6944225.91479025</v>
      </c>
      <c r="BJ36" s="23" t="n">
        <f aca="false">Costs!BJ90</f>
        <v>7398423.36647141</v>
      </c>
      <c r="BK36" s="23" t="n">
        <f aca="false">Costs!BK90</f>
        <v>7333700.499375</v>
      </c>
      <c r="BL36" s="23" t="n">
        <f aca="false">Costs!BL90</f>
        <v>7347664.9059375</v>
      </c>
    </row>
    <row r="37" customFormat="false" ht="15" hidden="false" customHeight="false" outlineLevel="0" collapsed="false">
      <c r="A37" s="8" t="s">
        <v>91</v>
      </c>
      <c r="B37" s="14" t="s">
        <v>71</v>
      </c>
      <c r="D37" s="55" t="n">
        <f aca="false">SUM(E37:BL37)</f>
        <v>5216990234.11567</v>
      </c>
      <c r="E37" s="16" t="n">
        <f aca="false">SUM(E29:E36)</f>
        <v>32038689.27</v>
      </c>
      <c r="F37" s="16" t="n">
        <f aca="false">SUM(F29:F36)</f>
        <v>40443918.9</v>
      </c>
      <c r="G37" s="16" t="n">
        <f aca="false">SUM(G29:G36)</f>
        <v>55143918.9</v>
      </c>
      <c r="H37" s="16" t="n">
        <f aca="false">SUM(H29:H36)</f>
        <v>36780498.3</v>
      </c>
      <c r="I37" s="16" t="n">
        <f aca="false">SUM(I29:I36)</f>
        <v>36068297.055</v>
      </c>
      <c r="J37" s="16" t="n">
        <f aca="false">SUM(J29:J36)</f>
        <v>35468789.265</v>
      </c>
      <c r="K37" s="16" t="n">
        <f aca="false">SUM(K29:K36)</f>
        <v>35215068.7924875</v>
      </c>
      <c r="L37" s="16" t="n">
        <f aca="false">SUM(L29:L36)</f>
        <v>34962622.443737</v>
      </c>
      <c r="M37" s="16" t="n">
        <f aca="false">SUM(M29:M36)</f>
        <v>34711309.6066004</v>
      </c>
      <c r="N37" s="16" t="n">
        <f aca="false">SUM(N29:N36)</f>
        <v>34460984.4802522</v>
      </c>
      <c r="O37" s="16" t="n">
        <f aca="false">SUM(O29:O36)</f>
        <v>34211495.7101867</v>
      </c>
      <c r="P37" s="16" t="n">
        <f aca="false">SUM(P29:P36)</f>
        <v>33962686.0022672</v>
      </c>
      <c r="Q37" s="16" t="n">
        <f aca="false">SUM(Q29:Q36)</f>
        <v>48227356.4745494</v>
      </c>
      <c r="R37" s="16" t="n">
        <f aca="false">SUM(R29:R36)</f>
        <v>47002555.0155309</v>
      </c>
      <c r="S37" s="16" t="n">
        <f aca="false">SUM(S29:S36)</f>
        <v>52108160.6053425</v>
      </c>
      <c r="T37" s="16" t="n">
        <f aca="false">SUM(T29:T36)</f>
        <v>73854536.2165631</v>
      </c>
      <c r="U37" s="16" t="n">
        <f aca="false">SUM(U29:U36)</f>
        <v>47999053.1138568</v>
      </c>
      <c r="V37" s="16" t="n">
        <f aca="false">SUM(V29:V36)</f>
        <v>56963187.6082882</v>
      </c>
      <c r="W37" s="16" t="n">
        <f aca="false">SUM(W29:W36)</f>
        <v>59101796.0283855</v>
      </c>
      <c r="X37" s="16" t="n">
        <f aca="false">SUM(X29:X36)</f>
        <v>58802477.8406887</v>
      </c>
      <c r="Y37" s="16" t="n">
        <f aca="false">SUM(Y29:Y36)</f>
        <v>58850240.63223</v>
      </c>
      <c r="Z37" s="16" t="n">
        <f aca="false">SUM(Z29:Z36)</f>
        <v>58900869.1912638</v>
      </c>
      <c r="AA37" s="16" t="n">
        <f aca="false">SUM(AA29:AA36)</f>
        <v>61099329.7238396</v>
      </c>
      <c r="AB37" s="16" t="n">
        <f aca="false">SUM(AB29:AB36)</f>
        <v>66885555.88277</v>
      </c>
      <c r="AC37" s="16" t="n">
        <f aca="false">SUM(AC29:AC36)</f>
        <v>76320016.5016362</v>
      </c>
      <c r="AD37" s="16" t="n">
        <f aca="false">SUM(AD29:AD36)</f>
        <v>76383933.8909344</v>
      </c>
      <c r="AE37" s="16" t="n">
        <f aca="false">SUM(AE29:AE36)</f>
        <v>82456023.5435904</v>
      </c>
      <c r="AF37" s="16" t="n">
        <f aca="false">SUM(AF29:AF36)</f>
        <v>88181249.6522059</v>
      </c>
      <c r="AG37" s="16" t="n">
        <f aca="false">SUM(AG29:AG36)</f>
        <v>84102326.9955382</v>
      </c>
      <c r="AH37" s="16" t="n">
        <f aca="false">SUM(AH29:AH36)</f>
        <v>83149888.9518705</v>
      </c>
      <c r="AI37" s="16" t="n">
        <f aca="false">SUM(AI29:AI36)</f>
        <v>85426799.7220827</v>
      </c>
      <c r="AJ37" s="16" t="n">
        <f aca="false">SUM(AJ29:AJ36)</f>
        <v>85772156.9154077</v>
      </c>
      <c r="AK37" s="16" t="n">
        <f aca="false">SUM(AK29:AK36)</f>
        <v>87545054.8710322</v>
      </c>
      <c r="AL37" s="16" t="n">
        <f aca="false">SUM(AL29:AL36)</f>
        <v>88942923.0588941</v>
      </c>
      <c r="AM37" s="16" t="n">
        <f aca="false">SUM(AM29:AM36)</f>
        <v>89685331.7982277</v>
      </c>
      <c r="AN37" s="16" t="n">
        <f aca="false">SUM(AN29:AN36)</f>
        <v>90398864.6876214</v>
      </c>
      <c r="AO37" s="16" t="n">
        <f aca="false">SUM(AO29:AO36)</f>
        <v>105803027.218079</v>
      </c>
      <c r="AP37" s="16" t="n">
        <f aca="false">SUM(AP29:AP36)</f>
        <v>102578501.528313</v>
      </c>
      <c r="AQ37" s="16" t="n">
        <f aca="false">SUM(AQ29:AQ36)</f>
        <v>104955117.275512</v>
      </c>
      <c r="AR37" s="16" t="n">
        <f aca="false">SUM(AR29:AR36)</f>
        <v>111463128.915068</v>
      </c>
      <c r="AS37" s="16" t="n">
        <f aca="false">SUM(AS29:AS36)</f>
        <v>110806915.795611</v>
      </c>
      <c r="AT37" s="16" t="n">
        <f aca="false">SUM(AT29:AT36)</f>
        <v>108912455.644198</v>
      </c>
      <c r="AU37" s="16" t="n">
        <f aca="false">SUM(AU29:AU36)</f>
        <v>109910807.68975</v>
      </c>
      <c r="AV37" s="16" t="n">
        <f aca="false">SUM(AV29:AV36)</f>
        <v>111844977.23836</v>
      </c>
      <c r="AW37" s="16" t="n">
        <f aca="false">SUM(AW29:AW36)</f>
        <v>116062293.062911</v>
      </c>
      <c r="AX37" s="16" t="n">
        <f aca="false">SUM(AX29:AX36)</f>
        <v>119655539.639411</v>
      </c>
      <c r="AY37" s="16" t="n">
        <f aca="false">SUM(AY29:AY36)</f>
        <v>117772597.228551</v>
      </c>
      <c r="AZ37" s="16" t="n">
        <f aca="false">SUM(AZ29:AZ36)</f>
        <v>120061187.209089</v>
      </c>
      <c r="BA37" s="16" t="n">
        <f aca="false">SUM(BA29:BA36)</f>
        <v>129567324.975046</v>
      </c>
      <c r="BB37" s="16" t="n">
        <f aca="false">SUM(BB29:BB36)</f>
        <v>133682582.600693</v>
      </c>
      <c r="BC37" s="16" t="n">
        <f aca="false">SUM(BC29:BC36)</f>
        <v>134530576.978647</v>
      </c>
      <c r="BD37" s="16" t="n">
        <f aca="false">SUM(BD29:BD36)</f>
        <v>146282512.885603</v>
      </c>
      <c r="BE37" s="16" t="n">
        <f aca="false">SUM(BE29:BE36)</f>
        <v>138781405.117808</v>
      </c>
      <c r="BF37" s="16" t="n">
        <f aca="false">SUM(BF29:BF36)</f>
        <v>144303499.534789</v>
      </c>
      <c r="BG37" s="16" t="n">
        <f aca="false">SUM(BG29:BG36)</f>
        <v>143429626.862789</v>
      </c>
      <c r="BH37" s="16" t="n">
        <f aca="false">SUM(BH29:BH36)</f>
        <v>145453880.6495</v>
      </c>
      <c r="BI37" s="16" t="n">
        <f aca="false">SUM(BI29:BI36)</f>
        <v>145828744.210595</v>
      </c>
      <c r="BJ37" s="16" t="n">
        <f aca="false">SUM(BJ29:BJ36)</f>
        <v>155366890.6959</v>
      </c>
      <c r="BK37" s="16" t="n">
        <f aca="false">SUM(BK29:BK36)</f>
        <v>154007710.486875</v>
      </c>
      <c r="BL37" s="16" t="n">
        <f aca="false">SUM(BL29:BL36)</f>
        <v>154300963.024688</v>
      </c>
    </row>
    <row r="38" customFormat="false" ht="15" hidden="false" customHeight="false" outlineLevel="0" collapsed="false">
      <c r="A38" s="8" t="s">
        <v>92</v>
      </c>
      <c r="B38" s="14" t="s">
        <v>71</v>
      </c>
      <c r="D38" s="55" t="n">
        <f aca="false">SUM(E38:BL38)</f>
        <v>-257373956.266098</v>
      </c>
      <c r="E38" s="55" t="n">
        <f aca="false">E25-E37</f>
        <v>-32038689.27</v>
      </c>
      <c r="F38" s="55" t="n">
        <f aca="false">F25-F37</f>
        <v>-40443918.9</v>
      </c>
      <c r="G38" s="55" t="n">
        <f aca="false">G25-G37</f>
        <v>-55143918.9</v>
      </c>
      <c r="H38" s="55" t="n">
        <f aca="false">H25-H37</f>
        <v>-36780498.3</v>
      </c>
      <c r="I38" s="55" t="n">
        <f aca="false">I25-I37</f>
        <v>-36584922.3883333</v>
      </c>
      <c r="J38" s="55" t="n">
        <f aca="false">J25-J37</f>
        <v>-36094620.695</v>
      </c>
      <c r="K38" s="55" t="n">
        <f aca="false">K25-K37</f>
        <v>-35949623.1656792</v>
      </c>
      <c r="L38" s="55" t="n">
        <f aca="false">L25-L37</f>
        <v>-34650351.3657444</v>
      </c>
      <c r="M38" s="55" t="n">
        <f aca="false">M25-M37</f>
        <v>-33307027.6831988</v>
      </c>
      <c r="N38" s="55" t="n">
        <f aca="false">N25-N37</f>
        <v>-31966371.0552118</v>
      </c>
      <c r="O38" s="55" t="n">
        <f aca="false">O25-O37</f>
        <v>-30627494.2027159</v>
      </c>
      <c r="P38" s="55" t="n">
        <f aca="false">P25-P37</f>
        <v>-29289471.6691498</v>
      </c>
      <c r="Q38" s="55" t="n">
        <f aca="false">Q25-Q37</f>
        <v>-42621327.3817538</v>
      </c>
      <c r="R38" s="55" t="n">
        <f aca="false">R25-R37</f>
        <v>-40341598.6961251</v>
      </c>
      <c r="S38" s="55" t="n">
        <f aca="false">S25-S37</f>
        <v>-44394113.904715</v>
      </c>
      <c r="T38" s="55" t="n">
        <f aca="false">T25-T37</f>
        <v>-64708270.7113005</v>
      </c>
      <c r="U38" s="55" t="n">
        <f aca="false">U25-U37</f>
        <v>-37420406.5140776</v>
      </c>
      <c r="V38" s="55" t="n">
        <f aca="false">V25-V37</f>
        <v>-44769273.76496</v>
      </c>
      <c r="W38" s="55" t="n">
        <f aca="false">W25-W37</f>
        <v>-45615659.8184191</v>
      </c>
      <c r="X38" s="55" t="n">
        <f aca="false">X25-X37</f>
        <v>-43593376.5936364</v>
      </c>
      <c r="Y38" s="55" t="n">
        <f aca="false">Y25-Y37</f>
        <v>-41828079.3506225</v>
      </c>
      <c r="Z38" s="55" t="n">
        <f aca="false">Z25-Z37</f>
        <v>-38849842.935124</v>
      </c>
      <c r="AA38" s="55" t="n">
        <f aca="false">AA25-AA37</f>
        <v>-37932894.876036</v>
      </c>
      <c r="AB38" s="55" t="n">
        <f aca="false">AB25-AB37</f>
        <v>-40589945.9822493</v>
      </c>
      <c r="AC38" s="55" t="n">
        <f aca="false">AC25-AC37</f>
        <v>-44629218.8592907</v>
      </c>
      <c r="AD38" s="55" t="n">
        <f aca="false">AD25-AD37</f>
        <v>-40718430.8562805</v>
      </c>
      <c r="AE38" s="55" t="n">
        <f aca="false">AE25-AE37</f>
        <v>-42310078.915746</v>
      </c>
      <c r="AF38" s="55" t="n">
        <f aca="false">AF25-AF37</f>
        <v>-42534334.220092</v>
      </c>
      <c r="AG38" s="55" t="n">
        <f aca="false">AG25-AG37</f>
        <v>-45650340.3416119</v>
      </c>
      <c r="AH38" s="55" t="n">
        <f aca="false">AH25-AH37</f>
        <v>-29705726.4425025</v>
      </c>
      <c r="AI38" s="55" t="n">
        <f aca="false">AI25-AI37</f>
        <v>-26951044.205576</v>
      </c>
      <c r="AJ38" s="55" t="n">
        <f aca="false">AJ25-AJ37</f>
        <v>-22276971.2300586</v>
      </c>
      <c r="AK38" s="55" t="n">
        <f aca="false">AK25-AK37</f>
        <v>-18913774.0594313</v>
      </c>
      <c r="AL38" s="55" t="n">
        <f aca="false">AL25-AL37</f>
        <v>-15205195.8227117</v>
      </c>
      <c r="AM38" s="55" t="n">
        <f aca="false">AM25-AM37</f>
        <v>-10642040.8209763</v>
      </c>
      <c r="AN38" s="55" t="n">
        <f aca="false">AN25-AN37</f>
        <v>-5942501.93604539</v>
      </c>
      <c r="AO38" s="55" t="n">
        <f aca="false">AO25-AO37</f>
        <v>-15908629.530555</v>
      </c>
      <c r="AP38" s="55" t="n">
        <f aca="false">AP25-AP37</f>
        <v>-6781761.77271888</v>
      </c>
      <c r="AQ38" s="55" t="n">
        <f aca="false">AQ25-AQ37</f>
        <v>-3076870.10588487</v>
      </c>
      <c r="AR38" s="55" t="n">
        <f aca="false">AR25-AR37</f>
        <v>-3388322.71326409</v>
      </c>
      <c r="AS38" s="55" t="n">
        <f aca="false">AS25-AS37</f>
        <v>3887813.76283531</v>
      </c>
      <c r="AT38" s="55" t="n">
        <f aca="false">AT25-AT37</f>
        <v>12239113.7791679</v>
      </c>
      <c r="AU38" s="55" t="n">
        <f aca="false">AU25-AU37</f>
        <v>18174304.0411203</v>
      </c>
      <c r="AV38" s="55" t="n">
        <f aca="false">AV25-AV37</f>
        <v>23174404.0499269</v>
      </c>
      <c r="AW38" s="55" t="n">
        <f aca="false">AW25-AW37</f>
        <v>26153904.582711</v>
      </c>
      <c r="AX38" s="55" t="n">
        <f aca="false">AX25-AX37</f>
        <v>29836293.484664</v>
      </c>
      <c r="AY38" s="55" t="n">
        <f aca="false">AY25-AY37</f>
        <v>38736635.3223993</v>
      </c>
      <c r="AZ38" s="55" t="n">
        <f aca="false">AZ25-AZ37</f>
        <v>43891128.8571759</v>
      </c>
      <c r="BA38" s="55" t="n">
        <f aca="false">BA25-BA37</f>
        <v>41496519.1852003</v>
      </c>
      <c r="BB38" s="55" t="n">
        <f aca="false">BB25-BB37</f>
        <v>45234967.7377851</v>
      </c>
      <c r="BC38" s="55" t="n">
        <f aca="false">BC25-BC37</f>
        <v>52088616.1645114</v>
      </c>
      <c r="BD38" s="55" t="n">
        <f aca="false">BD25-BD37</f>
        <v>48607224.6643737</v>
      </c>
      <c r="BE38" s="55" t="n">
        <f aca="false">BE25-BE37</f>
        <v>64357491.939052</v>
      </c>
      <c r="BF38" s="55" t="n">
        <f aca="false">BF25-BF37</f>
        <v>67380801.1859545</v>
      </c>
      <c r="BG38" s="55" t="n">
        <f aca="false">BG25-BG37</f>
        <v>76739609.0383233</v>
      </c>
      <c r="BH38" s="55" t="n">
        <f aca="false">BH25-BH37</f>
        <v>83627791.2748913</v>
      </c>
      <c r="BI38" s="55" t="n">
        <f aca="false">BI25-BI37</f>
        <v>92020404.7821723</v>
      </c>
      <c r="BJ38" s="55" t="n">
        <f aca="false">BJ25-BJ37</f>
        <v>91748317.0614453</v>
      </c>
      <c r="BK38" s="55" t="n">
        <f aca="false">BK25-BK37</f>
        <v>102145851.520055</v>
      </c>
      <c r="BL38" s="55" t="n">
        <f aca="false">BL25-BL37</f>
        <v>111261791.256935</v>
      </c>
    </row>
    <row r="39" customFormat="false" ht="15" hidden="false" customHeight="false" outlineLevel="0" collapsed="false">
      <c r="A39" s="12" t="s">
        <v>93</v>
      </c>
      <c r="B39" s="14" t="s">
        <v>90</v>
      </c>
      <c r="E39" s="49" t="n">
        <f aca="false">IFERROR(E38/E17,0)</f>
        <v>0</v>
      </c>
      <c r="F39" s="49" t="n">
        <f aca="false">IFERROR(F38/F17,0)</f>
        <v>0</v>
      </c>
      <c r="G39" s="49" t="n">
        <f aca="false">IFERROR(G38/G17,0)</f>
        <v>0</v>
      </c>
      <c r="H39" s="49" t="n">
        <f aca="false">IFERROR(H38/H17,0)</f>
        <v>0</v>
      </c>
      <c r="I39" s="49" t="n">
        <f aca="false">IFERROR(I38/I17,0)</f>
        <v>-21.0108442192537</v>
      </c>
      <c r="J39" s="49" t="n">
        <f aca="false">IFERROR(J38/J17,0)</f>
        <v>-11.6029529967669</v>
      </c>
      <c r="K39" s="49" t="n">
        <f aca="false">IFERROR(K38/K17,0)</f>
        <v>-8.02536788409444</v>
      </c>
      <c r="L39" s="49" t="n">
        <f aca="false">IFERROR(L38/L17,0)</f>
        <v>-4.94762876343641</v>
      </c>
      <c r="M39" s="49" t="n">
        <f aca="false">IFERROR(M38/M17,0)</f>
        <v>-3.47914216166417</v>
      </c>
      <c r="N39" s="49" t="n">
        <f aca="false">IFERROR(N38/N17,0)</f>
        <v>-2.63237380669768</v>
      </c>
      <c r="O39" s="49" t="n">
        <f aca="false">IFERROR(O38/O17,0)</f>
        <v>-2.08123736443989</v>
      </c>
      <c r="P39" s="49" t="n">
        <f aca="false">IFERROR(P38/P17,0)</f>
        <v>-1.69374440889424</v>
      </c>
      <c r="Q39" s="49" t="n">
        <f aca="false">IFERROR(Q38/Q17,0)</f>
        <v>-2.08875611057106</v>
      </c>
      <c r="R39" s="49" t="n">
        <f aca="false">IFERROR(R38/R17,0)</f>
        <v>-1.72378988719173</v>
      </c>
      <c r="S39" s="49" t="n">
        <f aca="false">IFERROR(S38/S17,0)</f>
        <v>-1.68147209529455</v>
      </c>
      <c r="T39" s="49" t="n">
        <f aca="false">IFERROR(T38/T17,0)</f>
        <v>-2.17251552602792</v>
      </c>
      <c r="U39" s="49" t="n">
        <f aca="false">IFERROR(U38/U17,0)</f>
        <v>-1.12798243280937</v>
      </c>
      <c r="V39" s="49" t="n">
        <f aca="false">IFERROR(V38/V17,0)</f>
        <v>-1.21071166783473</v>
      </c>
      <c r="W39" s="49" t="n">
        <f aca="false">IFERROR(W38/W17,0)</f>
        <v>-1.07199310556664</v>
      </c>
      <c r="X39" s="49" t="n">
        <f aca="false">IFERROR(X38/X17,0)</f>
        <v>-0.909572521250065</v>
      </c>
      <c r="Y39" s="49" t="n">
        <f aca="false">IFERROR(Y38/Y17,0)</f>
        <v>-0.782370453290172</v>
      </c>
      <c r="Z39" s="49" t="n">
        <f aca="false">IFERROR(Z38/Z17,0)</f>
        <v>-0.644393992897155</v>
      </c>
      <c r="AA39" s="49" t="n">
        <f aca="false">IFERROR(AA38/AA17,0)</f>
        <v>-0.563817967924302</v>
      </c>
      <c r="AB39" s="49" t="n">
        <f aca="false">IFERROR(AB38/AB17,0)</f>
        <v>-0.542841388083556</v>
      </c>
      <c r="AC39" s="49" t="n">
        <f aca="false">IFERROR(AC38/AC17,0)</f>
        <v>-0.519368870062205</v>
      </c>
      <c r="AD39" s="49" t="n">
        <f aca="false">IFERROR(AD38/AD17,0)</f>
        <v>-0.427341593478579</v>
      </c>
      <c r="AE39" s="49" t="n">
        <f aca="false">IFERROR(AE38/AE17,0)</f>
        <v>-0.402024153364319</v>
      </c>
      <c r="AF39" s="49" t="n">
        <f aca="false">IFERROR(AF38/AF17,0)</f>
        <v>-0.364327426794117</v>
      </c>
      <c r="AG39" s="49" t="n">
        <f aca="false">IFERROR(AG38/AG17,0)</f>
        <v>-0.355153615667193</v>
      </c>
      <c r="AH39" s="49" t="n">
        <f aca="false">IFERROR(AH38/AH17,0)</f>
        <v>-0.213318591733449</v>
      </c>
      <c r="AI39" s="49" t="n">
        <f aca="false">IFERROR(AI38/AI17,0)</f>
        <v>-0.179776750973511</v>
      </c>
      <c r="AJ39" s="49" t="n">
        <f aca="false">IFERROR(AJ38/AJ17,0)</f>
        <v>-0.138305805754405</v>
      </c>
      <c r="AK39" s="49" t="n">
        <f aca="false">IFERROR(AK38/AK17,0)</f>
        <v>-0.109831791533714</v>
      </c>
      <c r="AL39" s="49" t="n">
        <f aca="false">IFERROR(AL38/AL17,0)</f>
        <v>-0.0829251746325132</v>
      </c>
      <c r="AM39" s="49" t="n">
        <f aca="false">IFERROR(AM38/AM17,0)</f>
        <v>-0.0545079073825198</v>
      </c>
      <c r="AN39" s="49" t="n">
        <f aca="false">IFERROR(AN38/AN17,0)</f>
        <v>-0.0286346919578715</v>
      </c>
      <c r="AO39" s="49" t="n">
        <f aca="false">IFERROR(AO38/AO17,0)</f>
        <v>-0.0721258053004745</v>
      </c>
      <c r="AP39" s="49" t="n">
        <f aca="false">IFERROR(AP38/AP17,0)</f>
        <v>-0.0289452428440761</v>
      </c>
      <c r="AQ39" s="49" t="n">
        <f aca="false">IFERROR(AQ38/AQ17,0)</f>
        <v>-0.0124020350263231</v>
      </c>
      <c r="AR39" s="49" t="n">
        <f aca="false">IFERROR(AR38/AR17,0)</f>
        <v>-0.0129052070320928</v>
      </c>
      <c r="AS39" s="49" t="n">
        <f aca="false">IFERROR(AS38/AS17,0)</f>
        <v>0.0140215588631824</v>
      </c>
      <c r="AT39" s="49" t="n">
        <f aca="false">IFERROR(AT38/AT17,0)</f>
        <v>0.0418267813094631</v>
      </c>
      <c r="AU39" s="49" t="n">
        <f aca="false">IFERROR(AU38/AU17,0)</f>
        <v>0.0590009124826273</v>
      </c>
      <c r="AV39" s="49" t="n">
        <f aca="false">IFERROR(AV38/AV17,0)</f>
        <v>0.0716589520246485</v>
      </c>
      <c r="AW39" s="49" t="n">
        <f aca="false">IFERROR(AW38/AW17,0)</f>
        <v>0.0770492265796229</v>
      </c>
      <c r="AX39" s="49" t="n">
        <f aca="false">IFERROR(AX38/AX17,0)</f>
        <v>0.0839659329043234</v>
      </c>
      <c r="AY39" s="49" t="n">
        <f aca="false">IFERROR(AY38/AY17,0)</f>
        <v>0.104180949642956</v>
      </c>
      <c r="AZ39" s="49" t="n">
        <f aca="false">IFERROR(AZ38/AZ17,0)</f>
        <v>0.113022457888151</v>
      </c>
      <c r="BA39" s="49" t="n">
        <f aca="false">IFERROR(BA38/BA17,0)</f>
        <v>0.102263293199603</v>
      </c>
      <c r="BB39" s="49" t="n">
        <f aca="false">IFERROR(BB38/BB17,0)</f>
        <v>0.1068320262007</v>
      </c>
      <c r="BC39" s="49" t="n">
        <f aca="false">IFERROR(BC38/BC17,0)</f>
        <v>0.118025842493726</v>
      </c>
      <c r="BD39" s="49" t="n">
        <f aca="false">IFERROR(BD38/BD17,0)</f>
        <v>0.105665269846111</v>
      </c>
      <c r="BE39" s="49" t="n">
        <f aca="false">IFERROR(BE38/BE17,0)</f>
        <v>0.134376257662506</v>
      </c>
      <c r="BF39" s="49" t="n">
        <f aca="false">IFERROR(BF38/BF17,0)</f>
        <v>0.13532097501793</v>
      </c>
      <c r="BG39" s="49" t="n">
        <f aca="false">IFERROR(BG38/BG17,0)</f>
        <v>0.148223774002469</v>
      </c>
      <c r="BH39" s="49" t="n">
        <f aca="false">IFERROR(BH38/BH17,0)</f>
        <v>0.155565327836256</v>
      </c>
      <c r="BI39" s="49" t="n">
        <f aca="false">IFERROR(BI38/BI17,0)</f>
        <v>0.164996393447856</v>
      </c>
      <c r="BJ39" s="49" t="n">
        <f aca="false">IFERROR(BJ38/BJ17,0)</f>
        <v>0.158695737282442</v>
      </c>
      <c r="BK39" s="49" t="n">
        <f aca="false">IFERROR(BK38/BK17,0)</f>
        <v>0.170490064029808</v>
      </c>
      <c r="BL39" s="49" t="n">
        <f aca="false">IFERROR(BL38/BL17,0)</f>
        <v>0.17932173076288</v>
      </c>
    </row>
    <row r="40" customFormat="false" ht="15" hidden="false" customHeight="false" outlineLevel="0" collapsed="false">
      <c r="A40" s="12" t="s">
        <v>861</v>
      </c>
      <c r="B40" s="14" t="s">
        <v>71</v>
      </c>
      <c r="D40" s="55" t="n">
        <f aca="false">BL40</f>
        <v>-257373956.266098</v>
      </c>
      <c r="E40" s="37" t="n">
        <f aca="false">E38</f>
        <v>-32038689.27</v>
      </c>
      <c r="F40" s="37" t="n">
        <f aca="false">E40+F38</f>
        <v>-72482608.17</v>
      </c>
      <c r="G40" s="37" t="n">
        <f aca="false">F40+G38</f>
        <v>-127626527.07</v>
      </c>
      <c r="H40" s="37" t="n">
        <f aca="false">G40+H38</f>
        <v>-164407025.37</v>
      </c>
      <c r="I40" s="37" t="n">
        <f aca="false">H40+I38</f>
        <v>-200991947.758333</v>
      </c>
      <c r="J40" s="37" t="n">
        <f aca="false">I40+J38</f>
        <v>-237086568.453333</v>
      </c>
      <c r="K40" s="37" t="n">
        <f aca="false">J40+K38</f>
        <v>-273036191.619013</v>
      </c>
      <c r="L40" s="37" t="n">
        <f aca="false">K40+L38</f>
        <v>-307686542.984757</v>
      </c>
      <c r="M40" s="37" t="n">
        <f aca="false">L40+M38</f>
        <v>-340993570.667956</v>
      </c>
      <c r="N40" s="37" t="n">
        <f aca="false">M40+N38</f>
        <v>-372959941.723168</v>
      </c>
      <c r="O40" s="37" t="n">
        <f aca="false">N40+O38</f>
        <v>-403587435.925883</v>
      </c>
      <c r="P40" s="37" t="n">
        <f aca="false">O40+P38</f>
        <v>-432876907.595033</v>
      </c>
      <c r="Q40" s="37" t="n">
        <f aca="false">P40+Q38</f>
        <v>-475498234.976787</v>
      </c>
      <c r="R40" s="37" t="n">
        <f aca="false">Q40+R38</f>
        <v>-515839833.672912</v>
      </c>
      <c r="S40" s="37" t="n">
        <f aca="false">R40+S38</f>
        <v>-560233947.577627</v>
      </c>
      <c r="T40" s="37" t="n">
        <f aca="false">S40+T38</f>
        <v>-624942218.288928</v>
      </c>
      <c r="U40" s="37" t="n">
        <f aca="false">T40+U38</f>
        <v>-662362624.803005</v>
      </c>
      <c r="V40" s="37" t="n">
        <f aca="false">U40+V38</f>
        <v>-707131898.567965</v>
      </c>
      <c r="W40" s="37" t="n">
        <f aca="false">V40+W38</f>
        <v>-752747558.386384</v>
      </c>
      <c r="X40" s="37" t="n">
        <f aca="false">W40+X38</f>
        <v>-796340934.980021</v>
      </c>
      <c r="Y40" s="37" t="n">
        <f aca="false">X40+Y38</f>
        <v>-838169014.330643</v>
      </c>
      <c r="Z40" s="37" t="n">
        <f aca="false">Y40+Z38</f>
        <v>-877018857.265767</v>
      </c>
      <c r="AA40" s="37" t="n">
        <f aca="false">Z40+AA38</f>
        <v>-914951752.141803</v>
      </c>
      <c r="AB40" s="37" t="n">
        <f aca="false">AA40+AB38</f>
        <v>-955541698.124052</v>
      </c>
      <c r="AC40" s="37" t="n">
        <f aca="false">AB40+AC38</f>
        <v>-1000170916.98334</v>
      </c>
      <c r="AD40" s="37" t="n">
        <f aca="false">AC40+AD38</f>
        <v>-1040889347.83962</v>
      </c>
      <c r="AE40" s="37" t="n">
        <f aca="false">AD40+AE38</f>
        <v>-1083199426.75537</v>
      </c>
      <c r="AF40" s="37" t="n">
        <f aca="false">AE40+AF38</f>
        <v>-1125733760.97546</v>
      </c>
      <c r="AG40" s="37" t="n">
        <f aca="false">AF40+AG38</f>
        <v>-1171384101.31707</v>
      </c>
      <c r="AH40" s="37" t="n">
        <f aca="false">AG40+AH38</f>
        <v>-1201089827.75958</v>
      </c>
      <c r="AI40" s="37" t="n">
        <f aca="false">AH40+AI38</f>
        <v>-1228040871.96515</v>
      </c>
      <c r="AJ40" s="37" t="n">
        <f aca="false">AI40+AJ38</f>
        <v>-1250317843.19521</v>
      </c>
      <c r="AK40" s="37" t="n">
        <f aca="false">AJ40+AK38</f>
        <v>-1269231617.25464</v>
      </c>
      <c r="AL40" s="37" t="n">
        <f aca="false">AK40+AL38</f>
        <v>-1284436813.07735</v>
      </c>
      <c r="AM40" s="37" t="n">
        <f aca="false">AL40+AM38</f>
        <v>-1295078853.89833</v>
      </c>
      <c r="AN40" s="37" t="n">
        <f aca="false">AM40+AN38</f>
        <v>-1301021355.83438</v>
      </c>
      <c r="AO40" s="37" t="n">
        <f aca="false">AN40+AO38</f>
        <v>-1316929985.36493</v>
      </c>
      <c r="AP40" s="37" t="n">
        <f aca="false">AO40+AP38</f>
        <v>-1323711747.13765</v>
      </c>
      <c r="AQ40" s="37" t="n">
        <f aca="false">AP40+AQ38</f>
        <v>-1326788617.24353</v>
      </c>
      <c r="AR40" s="37" t="n">
        <f aca="false">AQ40+AR38</f>
        <v>-1330176939.9568</v>
      </c>
      <c r="AS40" s="37" t="n">
        <f aca="false">AR40+AS38</f>
        <v>-1326289126.19396</v>
      </c>
      <c r="AT40" s="37" t="n">
        <f aca="false">AS40+AT38</f>
        <v>-1314050012.4148</v>
      </c>
      <c r="AU40" s="37" t="n">
        <f aca="false">AT40+AU38</f>
        <v>-1295875708.37367</v>
      </c>
      <c r="AV40" s="37" t="n">
        <f aca="false">AU40+AV38</f>
        <v>-1272701304.32375</v>
      </c>
      <c r="AW40" s="37" t="n">
        <f aca="false">AV40+AW38</f>
        <v>-1246547399.74104</v>
      </c>
      <c r="AX40" s="37" t="n">
        <f aca="false">AW40+AX38</f>
        <v>-1216711106.25637</v>
      </c>
      <c r="AY40" s="37" t="n">
        <f aca="false">AX40+AY38</f>
        <v>-1177974470.93397</v>
      </c>
      <c r="AZ40" s="37" t="n">
        <f aca="false">AY40+AZ38</f>
        <v>-1134083342.0768</v>
      </c>
      <c r="BA40" s="37" t="n">
        <f aca="false">AZ40+BA38</f>
        <v>-1092586822.8916</v>
      </c>
      <c r="BB40" s="37" t="n">
        <f aca="false">BA40+BB38</f>
        <v>-1047351855.15381</v>
      </c>
      <c r="BC40" s="37" t="n">
        <f aca="false">BB40+BC38</f>
        <v>-995263238.989301</v>
      </c>
      <c r="BD40" s="37" t="n">
        <f aca="false">BC40+BD38</f>
        <v>-946656014.324927</v>
      </c>
      <c r="BE40" s="37" t="n">
        <f aca="false">BD40+BE38</f>
        <v>-882298522.385875</v>
      </c>
      <c r="BF40" s="37" t="n">
        <f aca="false">BE40+BF38</f>
        <v>-814917721.19992</v>
      </c>
      <c r="BG40" s="37" t="n">
        <f aca="false">BF40+BG38</f>
        <v>-738178112.161597</v>
      </c>
      <c r="BH40" s="37" t="n">
        <f aca="false">BG40+BH38</f>
        <v>-654550320.886706</v>
      </c>
      <c r="BI40" s="37" t="n">
        <f aca="false">BH40+BI38</f>
        <v>-562529916.104534</v>
      </c>
      <c r="BJ40" s="37" t="n">
        <f aca="false">BI40+BJ38</f>
        <v>-470781599.043088</v>
      </c>
      <c r="BK40" s="37" t="n">
        <f aca="false">BJ40+BK38</f>
        <v>-368635747.523033</v>
      </c>
      <c r="BL40" s="37" t="n">
        <f aca="false">BK40+BL38</f>
        <v>-257373956.266098</v>
      </c>
    </row>
    <row r="41" customFormat="false" ht="15" hidden="false" customHeight="false" outlineLevel="0" collapsed="false">
      <c r="A41" s="12" t="s">
        <v>862</v>
      </c>
      <c r="B41" s="14" t="s">
        <v>71</v>
      </c>
      <c r="D41" s="55" t="n">
        <f aca="false">SUM(E41:BL41)</f>
        <v>0</v>
      </c>
      <c r="E41" s="37" t="n">
        <f aca="false">Tax_Rate*MAX(0,E40)</f>
        <v>0</v>
      </c>
      <c r="F41" s="37" t="n">
        <f aca="false">Tax_Rate*MAX(0,F40)-Tax_Rate*MAX(0,E40)</f>
        <v>0</v>
      </c>
      <c r="G41" s="37" t="n">
        <f aca="false">Tax_Rate*MAX(0,G40)-Tax_Rate*MAX(0,F40)</f>
        <v>0</v>
      </c>
      <c r="H41" s="37" t="n">
        <f aca="false">Tax_Rate*MAX(0,H40)-Tax_Rate*MAX(0,G40)</f>
        <v>0</v>
      </c>
      <c r="I41" s="37" t="n">
        <f aca="false">Tax_Rate*MAX(0,I40)-Tax_Rate*MAX(0,H40)</f>
        <v>0</v>
      </c>
      <c r="J41" s="37" t="n">
        <f aca="false">Tax_Rate*MAX(0,J40)-Tax_Rate*MAX(0,I40)</f>
        <v>0</v>
      </c>
      <c r="K41" s="37" t="n">
        <f aca="false">Tax_Rate*MAX(0,K40)-Tax_Rate*MAX(0,J40)</f>
        <v>0</v>
      </c>
      <c r="L41" s="37" t="n">
        <f aca="false">Tax_Rate*MAX(0,L40)-Tax_Rate*MAX(0,K40)</f>
        <v>0</v>
      </c>
      <c r="M41" s="37" t="n">
        <f aca="false">Tax_Rate*MAX(0,M40)-Tax_Rate*MAX(0,L40)</f>
        <v>0</v>
      </c>
      <c r="N41" s="37" t="n">
        <f aca="false">Tax_Rate*MAX(0,N40)-Tax_Rate*MAX(0,M40)</f>
        <v>0</v>
      </c>
      <c r="O41" s="37" t="n">
        <f aca="false">Tax_Rate*MAX(0,O40)-Tax_Rate*MAX(0,N40)</f>
        <v>0</v>
      </c>
      <c r="P41" s="37" t="n">
        <f aca="false">Tax_Rate*MAX(0,P40)-Tax_Rate*MAX(0,O40)</f>
        <v>0</v>
      </c>
      <c r="Q41" s="37" t="n">
        <f aca="false">Tax_Rate*MAX(0,Q40)-Tax_Rate*MAX(0,P40)</f>
        <v>0</v>
      </c>
      <c r="R41" s="37" t="n">
        <f aca="false">Tax_Rate*MAX(0,R40)-Tax_Rate*MAX(0,Q40)</f>
        <v>0</v>
      </c>
      <c r="S41" s="37" t="n">
        <f aca="false">Tax_Rate*MAX(0,S40)-Tax_Rate*MAX(0,R40)</f>
        <v>0</v>
      </c>
      <c r="T41" s="37" t="n">
        <f aca="false">Tax_Rate*MAX(0,T40)-Tax_Rate*MAX(0,S40)</f>
        <v>0</v>
      </c>
      <c r="U41" s="37" t="n">
        <f aca="false">Tax_Rate*MAX(0,U40)-Tax_Rate*MAX(0,T40)</f>
        <v>0</v>
      </c>
      <c r="V41" s="37" t="n">
        <f aca="false">Tax_Rate*MAX(0,V40)-Tax_Rate*MAX(0,U40)</f>
        <v>0</v>
      </c>
      <c r="W41" s="37" t="n">
        <f aca="false">Tax_Rate*MAX(0,W40)-Tax_Rate*MAX(0,V40)</f>
        <v>0</v>
      </c>
      <c r="X41" s="37" t="n">
        <f aca="false">Tax_Rate*MAX(0,X40)-Tax_Rate*MAX(0,W40)</f>
        <v>0</v>
      </c>
      <c r="Y41" s="37" t="n">
        <f aca="false">Tax_Rate*MAX(0,Y40)-Tax_Rate*MAX(0,X40)</f>
        <v>0</v>
      </c>
      <c r="Z41" s="37" t="n">
        <f aca="false">Tax_Rate*MAX(0,Z40)-Tax_Rate*MAX(0,Y40)</f>
        <v>0</v>
      </c>
      <c r="AA41" s="37" t="n">
        <f aca="false">Tax_Rate*MAX(0,AA40)-Tax_Rate*MAX(0,Z40)</f>
        <v>0</v>
      </c>
      <c r="AB41" s="37" t="n">
        <f aca="false">Tax_Rate*MAX(0,AB40)-Tax_Rate*MAX(0,AA40)</f>
        <v>0</v>
      </c>
      <c r="AC41" s="37" t="n">
        <f aca="false">Tax_Rate*MAX(0,AC40)-Tax_Rate*MAX(0,AB40)</f>
        <v>0</v>
      </c>
      <c r="AD41" s="37" t="n">
        <f aca="false">Tax_Rate*MAX(0,AD40)-Tax_Rate*MAX(0,AC40)</f>
        <v>0</v>
      </c>
      <c r="AE41" s="37" t="n">
        <f aca="false">Tax_Rate*MAX(0,AE40)-Tax_Rate*MAX(0,AD40)</f>
        <v>0</v>
      </c>
      <c r="AF41" s="37" t="n">
        <f aca="false">Tax_Rate*MAX(0,AF40)-Tax_Rate*MAX(0,AE40)</f>
        <v>0</v>
      </c>
      <c r="AG41" s="37" t="n">
        <f aca="false">Tax_Rate*MAX(0,AG40)-Tax_Rate*MAX(0,AF40)</f>
        <v>0</v>
      </c>
      <c r="AH41" s="37" t="n">
        <f aca="false">Tax_Rate*MAX(0,AH40)-Tax_Rate*MAX(0,AG40)</f>
        <v>0</v>
      </c>
      <c r="AI41" s="37" t="n">
        <f aca="false">Tax_Rate*MAX(0,AI40)-Tax_Rate*MAX(0,AH40)</f>
        <v>0</v>
      </c>
      <c r="AJ41" s="37" t="n">
        <f aca="false">Tax_Rate*MAX(0,AJ40)-Tax_Rate*MAX(0,AI40)</f>
        <v>0</v>
      </c>
      <c r="AK41" s="37" t="n">
        <f aca="false">Tax_Rate*MAX(0,AK40)-Tax_Rate*MAX(0,AJ40)</f>
        <v>0</v>
      </c>
      <c r="AL41" s="37" t="n">
        <f aca="false">Tax_Rate*MAX(0,AL40)-Tax_Rate*MAX(0,AK40)</f>
        <v>0</v>
      </c>
      <c r="AM41" s="37" t="n">
        <f aca="false">Tax_Rate*MAX(0,AM40)-Tax_Rate*MAX(0,AL40)</f>
        <v>0</v>
      </c>
      <c r="AN41" s="37" t="n">
        <f aca="false">Tax_Rate*MAX(0,AN40)-Tax_Rate*MAX(0,AM40)</f>
        <v>0</v>
      </c>
      <c r="AO41" s="37" t="n">
        <f aca="false">Tax_Rate*MAX(0,AO40)-Tax_Rate*MAX(0,AN40)</f>
        <v>0</v>
      </c>
      <c r="AP41" s="37" t="n">
        <f aca="false">Tax_Rate*MAX(0,AP40)-Tax_Rate*MAX(0,AO40)</f>
        <v>0</v>
      </c>
      <c r="AQ41" s="37" t="n">
        <f aca="false">Tax_Rate*MAX(0,AQ40)-Tax_Rate*MAX(0,AP40)</f>
        <v>0</v>
      </c>
      <c r="AR41" s="37" t="n">
        <f aca="false">Tax_Rate*MAX(0,AR40)-Tax_Rate*MAX(0,AQ40)</f>
        <v>0</v>
      </c>
      <c r="AS41" s="37" t="n">
        <f aca="false">Tax_Rate*MAX(0,AS40)-Tax_Rate*MAX(0,AR40)</f>
        <v>0</v>
      </c>
      <c r="AT41" s="37" t="n">
        <f aca="false">Tax_Rate*MAX(0,AT40)-Tax_Rate*MAX(0,AS40)</f>
        <v>0</v>
      </c>
      <c r="AU41" s="37" t="n">
        <f aca="false">Tax_Rate*MAX(0,AU40)-Tax_Rate*MAX(0,AT40)</f>
        <v>0</v>
      </c>
      <c r="AV41" s="37" t="n">
        <f aca="false">Tax_Rate*MAX(0,AV40)-Tax_Rate*MAX(0,AU40)</f>
        <v>0</v>
      </c>
      <c r="AW41" s="37" t="n">
        <f aca="false">Tax_Rate*MAX(0,AW40)-Tax_Rate*MAX(0,AV40)</f>
        <v>0</v>
      </c>
      <c r="AX41" s="37" t="n">
        <f aca="false">Tax_Rate*MAX(0,AX40)-Tax_Rate*MAX(0,AW40)</f>
        <v>0</v>
      </c>
      <c r="AY41" s="37" t="n">
        <f aca="false">Tax_Rate*MAX(0,AY40)-Tax_Rate*MAX(0,AX40)</f>
        <v>0</v>
      </c>
      <c r="AZ41" s="37" t="n">
        <f aca="false">Tax_Rate*MAX(0,AZ40)-Tax_Rate*MAX(0,AY40)</f>
        <v>0</v>
      </c>
      <c r="BA41" s="37" t="n">
        <f aca="false">Tax_Rate*MAX(0,BA40)-Tax_Rate*MAX(0,AZ40)</f>
        <v>0</v>
      </c>
      <c r="BB41" s="37" t="n">
        <f aca="false">Tax_Rate*MAX(0,BB40)-Tax_Rate*MAX(0,BA40)</f>
        <v>0</v>
      </c>
      <c r="BC41" s="37" t="n">
        <f aca="false">Tax_Rate*MAX(0,BC40)-Tax_Rate*MAX(0,BB40)</f>
        <v>0</v>
      </c>
      <c r="BD41" s="37" t="n">
        <f aca="false">Tax_Rate*MAX(0,BD40)-Tax_Rate*MAX(0,BC40)</f>
        <v>0</v>
      </c>
      <c r="BE41" s="37" t="n">
        <f aca="false">Tax_Rate*MAX(0,BE40)-Tax_Rate*MAX(0,BD40)</f>
        <v>0</v>
      </c>
      <c r="BF41" s="37" t="n">
        <f aca="false">Tax_Rate*MAX(0,BF40)-Tax_Rate*MAX(0,BE40)</f>
        <v>0</v>
      </c>
      <c r="BG41" s="37" t="n">
        <f aca="false">Tax_Rate*MAX(0,BG40)-Tax_Rate*MAX(0,BF40)</f>
        <v>0</v>
      </c>
      <c r="BH41" s="37" t="n">
        <f aca="false">Tax_Rate*MAX(0,BH40)-Tax_Rate*MAX(0,BG40)</f>
        <v>0</v>
      </c>
      <c r="BI41" s="37" t="n">
        <f aca="false">Tax_Rate*MAX(0,BI40)-Tax_Rate*MAX(0,BH40)</f>
        <v>0</v>
      </c>
      <c r="BJ41" s="37" t="n">
        <f aca="false">Tax_Rate*MAX(0,BJ40)-Tax_Rate*MAX(0,BI40)</f>
        <v>0</v>
      </c>
      <c r="BK41" s="37" t="n">
        <f aca="false">Tax_Rate*MAX(0,BK40)-Tax_Rate*MAX(0,BJ40)</f>
        <v>0</v>
      </c>
      <c r="BL41" s="37" t="n">
        <f aca="false">Tax_Rate*MAX(0,BL40)-Tax_Rate*MAX(0,BK40)</f>
        <v>0</v>
      </c>
    </row>
    <row r="42" customFormat="false" ht="15" hidden="false" customHeight="false" outlineLevel="0" collapsed="false">
      <c r="A42" s="8" t="s">
        <v>94</v>
      </c>
      <c r="B42" s="14" t="s">
        <v>71</v>
      </c>
      <c r="D42" s="55" t="n">
        <f aca="false">SUM(E42:BL42)</f>
        <v>-257373956.266098</v>
      </c>
      <c r="E42" s="55" t="n">
        <f aca="false">E38-E41</f>
        <v>-32038689.27</v>
      </c>
      <c r="F42" s="55" t="n">
        <f aca="false">F38-F41</f>
        <v>-40443918.9</v>
      </c>
      <c r="G42" s="55" t="n">
        <f aca="false">G38-G41</f>
        <v>-55143918.9</v>
      </c>
      <c r="H42" s="55" t="n">
        <f aca="false">H38-H41</f>
        <v>-36780498.3</v>
      </c>
      <c r="I42" s="55" t="n">
        <f aca="false">I38-I41</f>
        <v>-36584922.3883333</v>
      </c>
      <c r="J42" s="55" t="n">
        <f aca="false">J38-J41</f>
        <v>-36094620.695</v>
      </c>
      <c r="K42" s="55" t="n">
        <f aca="false">K38-K41</f>
        <v>-35949623.1656792</v>
      </c>
      <c r="L42" s="55" t="n">
        <f aca="false">L38-L41</f>
        <v>-34650351.3657444</v>
      </c>
      <c r="M42" s="55" t="n">
        <f aca="false">M38-M41</f>
        <v>-33307027.6831988</v>
      </c>
      <c r="N42" s="55" t="n">
        <f aca="false">N38-N41</f>
        <v>-31966371.0552118</v>
      </c>
      <c r="O42" s="55" t="n">
        <f aca="false">O38-O41</f>
        <v>-30627494.2027159</v>
      </c>
      <c r="P42" s="55" t="n">
        <f aca="false">P38-P41</f>
        <v>-29289471.6691498</v>
      </c>
      <c r="Q42" s="55" t="n">
        <f aca="false">Q38-Q41</f>
        <v>-42621327.3817538</v>
      </c>
      <c r="R42" s="55" t="n">
        <f aca="false">R38-R41</f>
        <v>-40341598.6961251</v>
      </c>
      <c r="S42" s="55" t="n">
        <f aca="false">S38-S41</f>
        <v>-44394113.904715</v>
      </c>
      <c r="T42" s="55" t="n">
        <f aca="false">T38-T41</f>
        <v>-64708270.7113005</v>
      </c>
      <c r="U42" s="55" t="n">
        <f aca="false">U38-U41</f>
        <v>-37420406.5140776</v>
      </c>
      <c r="V42" s="55" t="n">
        <f aca="false">V38-V41</f>
        <v>-44769273.76496</v>
      </c>
      <c r="W42" s="55" t="n">
        <f aca="false">W38-W41</f>
        <v>-45615659.8184191</v>
      </c>
      <c r="X42" s="55" t="n">
        <f aca="false">X38-X41</f>
        <v>-43593376.5936364</v>
      </c>
      <c r="Y42" s="55" t="n">
        <f aca="false">Y38-Y41</f>
        <v>-41828079.3506225</v>
      </c>
      <c r="Z42" s="55" t="n">
        <f aca="false">Z38-Z41</f>
        <v>-38849842.935124</v>
      </c>
      <c r="AA42" s="55" t="n">
        <f aca="false">AA38-AA41</f>
        <v>-37932894.876036</v>
      </c>
      <c r="AB42" s="55" t="n">
        <f aca="false">AB38-AB41</f>
        <v>-40589945.9822493</v>
      </c>
      <c r="AC42" s="55" t="n">
        <f aca="false">AC38-AC41</f>
        <v>-44629218.8592907</v>
      </c>
      <c r="AD42" s="55" t="n">
        <f aca="false">AD38-AD41</f>
        <v>-40718430.8562805</v>
      </c>
      <c r="AE42" s="55" t="n">
        <f aca="false">AE38-AE41</f>
        <v>-42310078.915746</v>
      </c>
      <c r="AF42" s="55" t="n">
        <f aca="false">AF38-AF41</f>
        <v>-42534334.220092</v>
      </c>
      <c r="AG42" s="55" t="n">
        <f aca="false">AG38-AG41</f>
        <v>-45650340.3416119</v>
      </c>
      <c r="AH42" s="55" t="n">
        <f aca="false">AH38-AH41</f>
        <v>-29705726.4425025</v>
      </c>
      <c r="AI42" s="55" t="n">
        <f aca="false">AI38-AI41</f>
        <v>-26951044.205576</v>
      </c>
      <c r="AJ42" s="55" t="n">
        <f aca="false">AJ38-AJ41</f>
        <v>-22276971.2300586</v>
      </c>
      <c r="AK42" s="55" t="n">
        <f aca="false">AK38-AK41</f>
        <v>-18913774.0594313</v>
      </c>
      <c r="AL42" s="55" t="n">
        <f aca="false">AL38-AL41</f>
        <v>-15205195.8227117</v>
      </c>
      <c r="AM42" s="55" t="n">
        <f aca="false">AM38-AM41</f>
        <v>-10642040.8209763</v>
      </c>
      <c r="AN42" s="55" t="n">
        <f aca="false">AN38-AN41</f>
        <v>-5942501.93604539</v>
      </c>
      <c r="AO42" s="55" t="n">
        <f aca="false">AO38-AO41</f>
        <v>-15908629.530555</v>
      </c>
      <c r="AP42" s="55" t="n">
        <f aca="false">AP38-AP41</f>
        <v>-6781761.77271888</v>
      </c>
      <c r="AQ42" s="55" t="n">
        <f aca="false">AQ38-AQ41</f>
        <v>-3076870.10588487</v>
      </c>
      <c r="AR42" s="55" t="n">
        <f aca="false">AR38-AR41</f>
        <v>-3388322.71326409</v>
      </c>
      <c r="AS42" s="55" t="n">
        <f aca="false">AS38-AS41</f>
        <v>3887813.76283531</v>
      </c>
      <c r="AT42" s="55" t="n">
        <f aca="false">AT38-AT41</f>
        <v>12239113.7791679</v>
      </c>
      <c r="AU42" s="55" t="n">
        <f aca="false">AU38-AU41</f>
        <v>18174304.0411203</v>
      </c>
      <c r="AV42" s="55" t="n">
        <f aca="false">AV38-AV41</f>
        <v>23174404.0499269</v>
      </c>
      <c r="AW42" s="55" t="n">
        <f aca="false">AW38-AW41</f>
        <v>26153904.582711</v>
      </c>
      <c r="AX42" s="55" t="n">
        <f aca="false">AX38-AX41</f>
        <v>29836293.484664</v>
      </c>
      <c r="AY42" s="55" t="n">
        <f aca="false">AY38-AY41</f>
        <v>38736635.3223993</v>
      </c>
      <c r="AZ42" s="55" t="n">
        <f aca="false">AZ38-AZ41</f>
        <v>43891128.8571759</v>
      </c>
      <c r="BA42" s="55" t="n">
        <f aca="false">BA38-BA41</f>
        <v>41496519.1852003</v>
      </c>
      <c r="BB42" s="55" t="n">
        <f aca="false">BB38-BB41</f>
        <v>45234967.7377851</v>
      </c>
      <c r="BC42" s="55" t="n">
        <f aca="false">BC38-BC41</f>
        <v>52088616.1645114</v>
      </c>
      <c r="BD42" s="55" t="n">
        <f aca="false">BD38-BD41</f>
        <v>48607224.6643737</v>
      </c>
      <c r="BE42" s="55" t="n">
        <f aca="false">BE38-BE41</f>
        <v>64357491.939052</v>
      </c>
      <c r="BF42" s="55" t="n">
        <f aca="false">BF38-BF41</f>
        <v>67380801.1859545</v>
      </c>
      <c r="BG42" s="55" t="n">
        <f aca="false">BG38-BG41</f>
        <v>76739609.0383233</v>
      </c>
      <c r="BH42" s="55" t="n">
        <f aca="false">BH38-BH41</f>
        <v>83627791.2748913</v>
      </c>
      <c r="BI42" s="55" t="n">
        <f aca="false">BI38-BI41</f>
        <v>92020404.7821723</v>
      </c>
      <c r="BJ42" s="55" t="n">
        <f aca="false">BJ38-BJ41</f>
        <v>91748317.0614453</v>
      </c>
      <c r="BK42" s="55" t="n">
        <f aca="false">BK38-BK41</f>
        <v>102145851.520055</v>
      </c>
      <c r="BL42" s="55" t="n">
        <f aca="false">BL38-BL41</f>
        <v>111261791.256935</v>
      </c>
    </row>
    <row r="43" customFormat="false" ht="15" hidden="false" customHeight="false" outlineLevel="0" collapsed="false">
      <c r="A43" s="12" t="s">
        <v>863</v>
      </c>
      <c r="B43" s="14" t="s">
        <v>71</v>
      </c>
      <c r="D43" s="55" t="n">
        <f aca="false">BL43</f>
        <v>-257373956.266098</v>
      </c>
      <c r="E43" s="37" t="n">
        <f aca="false">E42</f>
        <v>-32038689.27</v>
      </c>
      <c r="F43" s="37" t="n">
        <f aca="false">E43+F42</f>
        <v>-72482608.17</v>
      </c>
      <c r="G43" s="37" t="n">
        <f aca="false">F43+G42</f>
        <v>-127626527.07</v>
      </c>
      <c r="H43" s="37" t="n">
        <f aca="false">G43+H42</f>
        <v>-164407025.37</v>
      </c>
      <c r="I43" s="37" t="n">
        <f aca="false">H43+I42</f>
        <v>-200991947.758333</v>
      </c>
      <c r="J43" s="37" t="n">
        <f aca="false">I43+J42</f>
        <v>-237086568.453333</v>
      </c>
      <c r="K43" s="37" t="n">
        <f aca="false">J43+K42</f>
        <v>-273036191.619013</v>
      </c>
      <c r="L43" s="37" t="n">
        <f aca="false">K43+L42</f>
        <v>-307686542.984757</v>
      </c>
      <c r="M43" s="37" t="n">
        <f aca="false">L43+M42</f>
        <v>-340993570.667956</v>
      </c>
      <c r="N43" s="37" t="n">
        <f aca="false">M43+N42</f>
        <v>-372959941.723168</v>
      </c>
      <c r="O43" s="37" t="n">
        <f aca="false">N43+O42</f>
        <v>-403587435.925883</v>
      </c>
      <c r="P43" s="37" t="n">
        <f aca="false">O43+P42</f>
        <v>-432876907.595033</v>
      </c>
      <c r="Q43" s="37" t="n">
        <f aca="false">P43+Q42</f>
        <v>-475498234.976787</v>
      </c>
      <c r="R43" s="37" t="n">
        <f aca="false">Q43+R42</f>
        <v>-515839833.672912</v>
      </c>
      <c r="S43" s="37" t="n">
        <f aca="false">R43+S42</f>
        <v>-560233947.577627</v>
      </c>
      <c r="T43" s="37" t="n">
        <f aca="false">S43+T42</f>
        <v>-624942218.288928</v>
      </c>
      <c r="U43" s="37" t="n">
        <f aca="false">T43+U42</f>
        <v>-662362624.803005</v>
      </c>
      <c r="V43" s="37" t="n">
        <f aca="false">U43+V42</f>
        <v>-707131898.567965</v>
      </c>
      <c r="W43" s="37" t="n">
        <f aca="false">V43+W42</f>
        <v>-752747558.386384</v>
      </c>
      <c r="X43" s="37" t="n">
        <f aca="false">W43+X42</f>
        <v>-796340934.980021</v>
      </c>
      <c r="Y43" s="37" t="n">
        <f aca="false">X43+Y42</f>
        <v>-838169014.330643</v>
      </c>
      <c r="Z43" s="37" t="n">
        <f aca="false">Y43+Z42</f>
        <v>-877018857.265767</v>
      </c>
      <c r="AA43" s="37" t="n">
        <f aca="false">Z43+AA42</f>
        <v>-914951752.141803</v>
      </c>
      <c r="AB43" s="37" t="n">
        <f aca="false">AA43+AB42</f>
        <v>-955541698.124052</v>
      </c>
      <c r="AC43" s="37" t="n">
        <f aca="false">AB43+AC42</f>
        <v>-1000170916.98334</v>
      </c>
      <c r="AD43" s="37" t="n">
        <f aca="false">AC43+AD42</f>
        <v>-1040889347.83962</v>
      </c>
      <c r="AE43" s="37" t="n">
        <f aca="false">AD43+AE42</f>
        <v>-1083199426.75537</v>
      </c>
      <c r="AF43" s="37" t="n">
        <f aca="false">AE43+AF42</f>
        <v>-1125733760.97546</v>
      </c>
      <c r="AG43" s="37" t="n">
        <f aca="false">AF43+AG42</f>
        <v>-1171384101.31707</v>
      </c>
      <c r="AH43" s="37" t="n">
        <f aca="false">AG43+AH42</f>
        <v>-1201089827.75958</v>
      </c>
      <c r="AI43" s="37" t="n">
        <f aca="false">AH43+AI42</f>
        <v>-1228040871.96515</v>
      </c>
      <c r="AJ43" s="37" t="n">
        <f aca="false">AI43+AJ42</f>
        <v>-1250317843.19521</v>
      </c>
      <c r="AK43" s="37" t="n">
        <f aca="false">AJ43+AK42</f>
        <v>-1269231617.25464</v>
      </c>
      <c r="AL43" s="37" t="n">
        <f aca="false">AK43+AL42</f>
        <v>-1284436813.07735</v>
      </c>
      <c r="AM43" s="37" t="n">
        <f aca="false">AL43+AM42</f>
        <v>-1295078853.89833</v>
      </c>
      <c r="AN43" s="37" t="n">
        <f aca="false">AM43+AN42</f>
        <v>-1301021355.83438</v>
      </c>
      <c r="AO43" s="37" t="n">
        <f aca="false">AN43+AO42</f>
        <v>-1316929985.36493</v>
      </c>
      <c r="AP43" s="37" t="n">
        <f aca="false">AO43+AP42</f>
        <v>-1323711747.13765</v>
      </c>
      <c r="AQ43" s="37" t="n">
        <f aca="false">AP43+AQ42</f>
        <v>-1326788617.24353</v>
      </c>
      <c r="AR43" s="37" t="n">
        <f aca="false">AQ43+AR42</f>
        <v>-1330176939.9568</v>
      </c>
      <c r="AS43" s="37" t="n">
        <f aca="false">AR43+AS42</f>
        <v>-1326289126.19396</v>
      </c>
      <c r="AT43" s="37" t="n">
        <f aca="false">AS43+AT42</f>
        <v>-1314050012.4148</v>
      </c>
      <c r="AU43" s="37" t="n">
        <f aca="false">AT43+AU42</f>
        <v>-1295875708.37367</v>
      </c>
      <c r="AV43" s="37" t="n">
        <f aca="false">AU43+AV42</f>
        <v>-1272701304.32375</v>
      </c>
      <c r="AW43" s="37" t="n">
        <f aca="false">AV43+AW42</f>
        <v>-1246547399.74104</v>
      </c>
      <c r="AX43" s="37" t="n">
        <f aca="false">AW43+AX42</f>
        <v>-1216711106.25637</v>
      </c>
      <c r="AY43" s="37" t="n">
        <f aca="false">AX43+AY42</f>
        <v>-1177974470.93397</v>
      </c>
      <c r="AZ43" s="37" t="n">
        <f aca="false">AY43+AZ42</f>
        <v>-1134083342.0768</v>
      </c>
      <c r="BA43" s="37" t="n">
        <f aca="false">AZ43+BA42</f>
        <v>-1092586822.8916</v>
      </c>
      <c r="BB43" s="37" t="n">
        <f aca="false">BA43+BB42</f>
        <v>-1047351855.15381</v>
      </c>
      <c r="BC43" s="37" t="n">
        <f aca="false">BB43+BC42</f>
        <v>-995263238.989301</v>
      </c>
      <c r="BD43" s="37" t="n">
        <f aca="false">BC43+BD42</f>
        <v>-946656014.324927</v>
      </c>
      <c r="BE43" s="37" t="n">
        <f aca="false">BD43+BE42</f>
        <v>-882298522.385875</v>
      </c>
      <c r="BF43" s="37" t="n">
        <f aca="false">BE43+BF42</f>
        <v>-814917721.19992</v>
      </c>
      <c r="BG43" s="37" t="n">
        <f aca="false">BF43+BG42</f>
        <v>-738178112.161597</v>
      </c>
      <c r="BH43" s="37" t="n">
        <f aca="false">BG43+BH42</f>
        <v>-654550320.886706</v>
      </c>
      <c r="BI43" s="37" t="n">
        <f aca="false">BH43+BI42</f>
        <v>-562529916.104534</v>
      </c>
      <c r="BJ43" s="37" t="n">
        <f aca="false">BI43+BJ42</f>
        <v>-470781599.043088</v>
      </c>
      <c r="BK43" s="37" t="n">
        <f aca="false">BJ43+BK42</f>
        <v>-368635747.523033</v>
      </c>
      <c r="BL43" s="37" t="n">
        <f aca="false">BK43+BL42</f>
        <v>-257373956.266098</v>
      </c>
    </row>
    <row r="45" customFormat="false" ht="15" hidden="false" customHeight="false" outlineLevel="0" collapsed="false">
      <c r="A45" s="10" t="s">
        <v>864</v>
      </c>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11"/>
      <c r="BK45" s="11"/>
      <c r="BL45" s="11"/>
    </row>
    <row r="46" customFormat="false" ht="15" hidden="false" customHeight="false" outlineLevel="0" collapsed="false">
      <c r="A46" s="12" t="s">
        <v>865</v>
      </c>
      <c r="B46" s="14" t="s">
        <v>68</v>
      </c>
      <c r="E46" s="56" t="n">
        <f aca="false">IF(E38&gt;0,E$3,999)</f>
        <v>999</v>
      </c>
      <c r="F46" s="56" t="n">
        <f aca="false">IF(F38&gt;0,F$3,999)</f>
        <v>999</v>
      </c>
      <c r="G46" s="56" t="n">
        <f aca="false">IF(G38&gt;0,G$3,999)</f>
        <v>999</v>
      </c>
      <c r="H46" s="56" t="n">
        <f aca="false">IF(H38&gt;0,H$3,999)</f>
        <v>999</v>
      </c>
      <c r="I46" s="56" t="n">
        <f aca="false">IF(I38&gt;0,I$3,999)</f>
        <v>999</v>
      </c>
      <c r="J46" s="56" t="n">
        <f aca="false">IF(J38&gt;0,J$3,999)</f>
        <v>999</v>
      </c>
      <c r="K46" s="56" t="n">
        <f aca="false">IF(K38&gt;0,K$3,999)</f>
        <v>999</v>
      </c>
      <c r="L46" s="56" t="n">
        <f aca="false">IF(L38&gt;0,L$3,999)</f>
        <v>999</v>
      </c>
      <c r="M46" s="56" t="n">
        <f aca="false">IF(M38&gt;0,M$3,999)</f>
        <v>999</v>
      </c>
      <c r="N46" s="56" t="n">
        <f aca="false">IF(N38&gt;0,N$3,999)</f>
        <v>999</v>
      </c>
      <c r="O46" s="56" t="n">
        <f aca="false">IF(O38&gt;0,O$3,999)</f>
        <v>999</v>
      </c>
      <c r="P46" s="56" t="n">
        <f aca="false">IF(P38&gt;0,P$3,999)</f>
        <v>999</v>
      </c>
      <c r="Q46" s="56" t="n">
        <f aca="false">IF(Q38&gt;0,Q$3,999)</f>
        <v>999</v>
      </c>
      <c r="R46" s="56" t="n">
        <f aca="false">IF(R38&gt;0,R$3,999)</f>
        <v>999</v>
      </c>
      <c r="S46" s="56" t="n">
        <f aca="false">IF(S38&gt;0,S$3,999)</f>
        <v>999</v>
      </c>
      <c r="T46" s="56" t="n">
        <f aca="false">IF(T38&gt;0,T$3,999)</f>
        <v>999</v>
      </c>
      <c r="U46" s="56" t="n">
        <f aca="false">IF(U38&gt;0,U$3,999)</f>
        <v>999</v>
      </c>
      <c r="V46" s="56" t="n">
        <f aca="false">IF(V38&gt;0,V$3,999)</f>
        <v>999</v>
      </c>
      <c r="W46" s="56" t="n">
        <f aca="false">IF(W38&gt;0,W$3,999)</f>
        <v>999</v>
      </c>
      <c r="X46" s="56" t="n">
        <f aca="false">IF(X38&gt;0,X$3,999)</f>
        <v>999</v>
      </c>
      <c r="Y46" s="56" t="n">
        <f aca="false">IF(Y38&gt;0,Y$3,999)</f>
        <v>999</v>
      </c>
      <c r="Z46" s="56" t="n">
        <f aca="false">IF(Z38&gt;0,Z$3,999)</f>
        <v>999</v>
      </c>
      <c r="AA46" s="56" t="n">
        <f aca="false">IF(AA38&gt;0,AA$3,999)</f>
        <v>999</v>
      </c>
      <c r="AB46" s="56" t="n">
        <f aca="false">IF(AB38&gt;0,AB$3,999)</f>
        <v>999</v>
      </c>
      <c r="AC46" s="56" t="n">
        <f aca="false">IF(AC38&gt;0,AC$3,999)</f>
        <v>999</v>
      </c>
      <c r="AD46" s="56" t="n">
        <f aca="false">IF(AD38&gt;0,AD$3,999)</f>
        <v>999</v>
      </c>
      <c r="AE46" s="56" t="n">
        <f aca="false">IF(AE38&gt;0,AE$3,999)</f>
        <v>999</v>
      </c>
      <c r="AF46" s="56" t="n">
        <f aca="false">IF(AF38&gt;0,AF$3,999)</f>
        <v>999</v>
      </c>
      <c r="AG46" s="56" t="n">
        <f aca="false">IF(AG38&gt;0,AG$3,999)</f>
        <v>999</v>
      </c>
      <c r="AH46" s="56" t="n">
        <f aca="false">IF(AH38&gt;0,AH$3,999)</f>
        <v>999</v>
      </c>
      <c r="AI46" s="56" t="n">
        <f aca="false">IF(AI38&gt;0,AI$3,999)</f>
        <v>999</v>
      </c>
      <c r="AJ46" s="56" t="n">
        <f aca="false">IF(AJ38&gt;0,AJ$3,999)</f>
        <v>999</v>
      </c>
      <c r="AK46" s="56" t="n">
        <f aca="false">IF(AK38&gt;0,AK$3,999)</f>
        <v>999</v>
      </c>
      <c r="AL46" s="56" t="n">
        <f aca="false">IF(AL38&gt;0,AL$3,999)</f>
        <v>999</v>
      </c>
      <c r="AM46" s="56" t="n">
        <f aca="false">IF(AM38&gt;0,AM$3,999)</f>
        <v>999</v>
      </c>
      <c r="AN46" s="56" t="n">
        <f aca="false">IF(AN38&gt;0,AN$3,999)</f>
        <v>999</v>
      </c>
      <c r="AO46" s="56" t="n">
        <f aca="false">IF(AO38&gt;0,AO$3,999)</f>
        <v>999</v>
      </c>
      <c r="AP46" s="56" t="n">
        <f aca="false">IF(AP38&gt;0,AP$3,999)</f>
        <v>999</v>
      </c>
      <c r="AQ46" s="56" t="n">
        <f aca="false">IF(AQ38&gt;0,AQ$3,999)</f>
        <v>999</v>
      </c>
      <c r="AR46" s="56" t="n">
        <f aca="false">IF(AR38&gt;0,AR$3,999)</f>
        <v>999</v>
      </c>
      <c r="AS46" s="56" t="n">
        <f aca="false">IF(AS38&gt;0,AS$3,999)</f>
        <v>41</v>
      </c>
      <c r="AT46" s="56" t="n">
        <f aca="false">IF(AT38&gt;0,AT$3,999)</f>
        <v>42</v>
      </c>
      <c r="AU46" s="56" t="n">
        <f aca="false">IF(AU38&gt;0,AU$3,999)</f>
        <v>43</v>
      </c>
      <c r="AV46" s="56" t="n">
        <f aca="false">IF(AV38&gt;0,AV$3,999)</f>
        <v>44</v>
      </c>
      <c r="AW46" s="56" t="n">
        <f aca="false">IF(AW38&gt;0,AW$3,999)</f>
        <v>45</v>
      </c>
      <c r="AX46" s="56" t="n">
        <f aca="false">IF(AX38&gt;0,AX$3,999)</f>
        <v>46</v>
      </c>
      <c r="AY46" s="56" t="n">
        <f aca="false">IF(AY38&gt;0,AY$3,999)</f>
        <v>47</v>
      </c>
      <c r="AZ46" s="56" t="n">
        <f aca="false">IF(AZ38&gt;0,AZ$3,999)</f>
        <v>48</v>
      </c>
      <c r="BA46" s="56" t="n">
        <f aca="false">IF(BA38&gt;0,BA$3,999)</f>
        <v>49</v>
      </c>
      <c r="BB46" s="56" t="n">
        <f aca="false">IF(BB38&gt;0,BB$3,999)</f>
        <v>50</v>
      </c>
      <c r="BC46" s="56" t="n">
        <f aca="false">IF(BC38&gt;0,BC$3,999)</f>
        <v>51</v>
      </c>
      <c r="BD46" s="56" t="n">
        <f aca="false">IF(BD38&gt;0,BD$3,999)</f>
        <v>52</v>
      </c>
      <c r="BE46" s="56" t="n">
        <f aca="false">IF(BE38&gt;0,BE$3,999)</f>
        <v>53</v>
      </c>
      <c r="BF46" s="56" t="n">
        <f aca="false">IF(BF38&gt;0,BF$3,999)</f>
        <v>54</v>
      </c>
      <c r="BG46" s="56" t="n">
        <f aca="false">IF(BG38&gt;0,BG$3,999)</f>
        <v>55</v>
      </c>
      <c r="BH46" s="56" t="n">
        <f aca="false">IF(BH38&gt;0,BH$3,999)</f>
        <v>56</v>
      </c>
      <c r="BI46" s="56" t="n">
        <f aca="false">IF(BI38&gt;0,BI$3,999)</f>
        <v>57</v>
      </c>
      <c r="BJ46" s="56" t="n">
        <f aca="false">IF(BJ38&gt;0,BJ$3,999)</f>
        <v>58</v>
      </c>
      <c r="BK46" s="56" t="n">
        <f aca="false">IF(BK38&gt;0,BK$3,999)</f>
        <v>59</v>
      </c>
      <c r="BL46" s="56" t="n">
        <f aca="false">IF(BL38&gt;0,BL$3,999)</f>
        <v>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L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8"/>
    <col collapsed="false" customWidth="true" hidden="false" outlineLevel="0" max="3" min="3" style="0" width="3"/>
    <col collapsed="false" customWidth="true" hidden="false" outlineLevel="0" max="4" min="4" style="0" width="14"/>
    <col collapsed="false" customWidth="true" hidden="false" outlineLevel="0" max="64" min="5" style="0" width="11"/>
  </cols>
  <sheetData>
    <row r="1" customFormat="false" ht="17.35" hidden="false" customHeight="false" outlineLevel="0" collapsed="false">
      <c r="A1" s="7" t="s">
        <v>866</v>
      </c>
    </row>
    <row r="2" customFormat="false" ht="15" hidden="false" customHeight="false" outlineLevel="0" collapsed="false">
      <c r="A2" s="2" t="s">
        <v>867</v>
      </c>
    </row>
    <row r="3" customFormat="false" ht="15" hidden="false" customHeight="false" outlineLevel="0" collapsed="false">
      <c r="A3" s="8" t="s">
        <v>680</v>
      </c>
      <c r="D3" s="8" t="s">
        <v>681</v>
      </c>
      <c r="E3" s="20" t="n">
        <f aca="false">'P&amp;L monthly'!E3</f>
        <v>1</v>
      </c>
      <c r="F3" s="20" t="n">
        <f aca="false">'P&amp;L monthly'!F3</f>
        <v>2</v>
      </c>
      <c r="G3" s="20" t="n">
        <f aca="false">'P&amp;L monthly'!G3</f>
        <v>3</v>
      </c>
      <c r="H3" s="20" t="n">
        <f aca="false">'P&amp;L monthly'!H3</f>
        <v>4</v>
      </c>
      <c r="I3" s="20" t="n">
        <f aca="false">'P&amp;L monthly'!I3</f>
        <v>5</v>
      </c>
      <c r="J3" s="20" t="n">
        <f aca="false">'P&amp;L monthly'!J3</f>
        <v>6</v>
      </c>
      <c r="K3" s="20" t="n">
        <f aca="false">'P&amp;L monthly'!K3</f>
        <v>7</v>
      </c>
      <c r="L3" s="20" t="n">
        <f aca="false">'P&amp;L monthly'!L3</f>
        <v>8</v>
      </c>
      <c r="M3" s="20" t="n">
        <f aca="false">'P&amp;L monthly'!M3</f>
        <v>9</v>
      </c>
      <c r="N3" s="20" t="n">
        <f aca="false">'P&amp;L monthly'!N3</f>
        <v>10</v>
      </c>
      <c r="O3" s="20" t="n">
        <f aca="false">'P&amp;L monthly'!O3</f>
        <v>11</v>
      </c>
      <c r="P3" s="20" t="n">
        <f aca="false">'P&amp;L monthly'!P3</f>
        <v>12</v>
      </c>
      <c r="Q3" s="20" t="n">
        <f aca="false">'P&amp;L monthly'!Q3</f>
        <v>13</v>
      </c>
      <c r="R3" s="20" t="n">
        <f aca="false">'P&amp;L monthly'!R3</f>
        <v>14</v>
      </c>
      <c r="S3" s="20" t="n">
        <f aca="false">'P&amp;L monthly'!S3</f>
        <v>15</v>
      </c>
      <c r="T3" s="20" t="n">
        <f aca="false">'P&amp;L monthly'!T3</f>
        <v>16</v>
      </c>
      <c r="U3" s="20" t="n">
        <f aca="false">'P&amp;L monthly'!U3</f>
        <v>17</v>
      </c>
      <c r="V3" s="20" t="n">
        <f aca="false">'P&amp;L monthly'!V3</f>
        <v>18</v>
      </c>
      <c r="W3" s="20" t="n">
        <f aca="false">'P&amp;L monthly'!W3</f>
        <v>19</v>
      </c>
      <c r="X3" s="20" t="n">
        <f aca="false">'P&amp;L monthly'!X3</f>
        <v>20</v>
      </c>
      <c r="Y3" s="20" t="n">
        <f aca="false">'P&amp;L monthly'!Y3</f>
        <v>21</v>
      </c>
      <c r="Z3" s="20" t="n">
        <f aca="false">'P&amp;L monthly'!Z3</f>
        <v>22</v>
      </c>
      <c r="AA3" s="20" t="n">
        <f aca="false">'P&amp;L monthly'!AA3</f>
        <v>23</v>
      </c>
      <c r="AB3" s="20" t="n">
        <f aca="false">'P&amp;L monthly'!AB3</f>
        <v>24</v>
      </c>
      <c r="AC3" s="20" t="n">
        <f aca="false">'P&amp;L monthly'!AC3</f>
        <v>25</v>
      </c>
      <c r="AD3" s="20" t="n">
        <f aca="false">'P&amp;L monthly'!AD3</f>
        <v>26</v>
      </c>
      <c r="AE3" s="20" t="n">
        <f aca="false">'P&amp;L monthly'!AE3</f>
        <v>27</v>
      </c>
      <c r="AF3" s="20" t="n">
        <f aca="false">'P&amp;L monthly'!AF3</f>
        <v>28</v>
      </c>
      <c r="AG3" s="20" t="n">
        <f aca="false">'P&amp;L monthly'!AG3</f>
        <v>29</v>
      </c>
      <c r="AH3" s="20" t="n">
        <f aca="false">'P&amp;L monthly'!AH3</f>
        <v>30</v>
      </c>
      <c r="AI3" s="20" t="n">
        <f aca="false">'P&amp;L monthly'!AI3</f>
        <v>31</v>
      </c>
      <c r="AJ3" s="20" t="n">
        <f aca="false">'P&amp;L monthly'!AJ3</f>
        <v>32</v>
      </c>
      <c r="AK3" s="20" t="n">
        <f aca="false">'P&amp;L monthly'!AK3</f>
        <v>33</v>
      </c>
      <c r="AL3" s="20" t="n">
        <f aca="false">'P&amp;L monthly'!AL3</f>
        <v>34</v>
      </c>
      <c r="AM3" s="20" t="n">
        <f aca="false">'P&amp;L monthly'!AM3</f>
        <v>35</v>
      </c>
      <c r="AN3" s="20" t="n">
        <f aca="false">'P&amp;L monthly'!AN3</f>
        <v>36</v>
      </c>
      <c r="AO3" s="20" t="n">
        <f aca="false">'P&amp;L monthly'!AO3</f>
        <v>37</v>
      </c>
      <c r="AP3" s="20" t="n">
        <f aca="false">'P&amp;L monthly'!AP3</f>
        <v>38</v>
      </c>
      <c r="AQ3" s="20" t="n">
        <f aca="false">'P&amp;L monthly'!AQ3</f>
        <v>39</v>
      </c>
      <c r="AR3" s="20" t="n">
        <f aca="false">'P&amp;L monthly'!AR3</f>
        <v>40</v>
      </c>
      <c r="AS3" s="20" t="n">
        <f aca="false">'P&amp;L monthly'!AS3</f>
        <v>41</v>
      </c>
      <c r="AT3" s="20" t="n">
        <f aca="false">'P&amp;L monthly'!AT3</f>
        <v>42</v>
      </c>
      <c r="AU3" s="20" t="n">
        <f aca="false">'P&amp;L monthly'!AU3</f>
        <v>43</v>
      </c>
      <c r="AV3" s="20" t="n">
        <f aca="false">'P&amp;L monthly'!AV3</f>
        <v>44</v>
      </c>
      <c r="AW3" s="20" t="n">
        <f aca="false">'P&amp;L monthly'!AW3</f>
        <v>45</v>
      </c>
      <c r="AX3" s="20" t="n">
        <f aca="false">'P&amp;L monthly'!AX3</f>
        <v>46</v>
      </c>
      <c r="AY3" s="20" t="n">
        <f aca="false">'P&amp;L monthly'!AY3</f>
        <v>47</v>
      </c>
      <c r="AZ3" s="20" t="n">
        <f aca="false">'P&amp;L monthly'!AZ3</f>
        <v>48</v>
      </c>
      <c r="BA3" s="20" t="n">
        <f aca="false">'P&amp;L monthly'!BA3</f>
        <v>49</v>
      </c>
      <c r="BB3" s="20" t="n">
        <f aca="false">'P&amp;L monthly'!BB3</f>
        <v>50</v>
      </c>
      <c r="BC3" s="20" t="n">
        <f aca="false">'P&amp;L monthly'!BC3</f>
        <v>51</v>
      </c>
      <c r="BD3" s="20" t="n">
        <f aca="false">'P&amp;L monthly'!BD3</f>
        <v>52</v>
      </c>
      <c r="BE3" s="20" t="n">
        <f aca="false">'P&amp;L monthly'!BE3</f>
        <v>53</v>
      </c>
      <c r="BF3" s="20" t="n">
        <f aca="false">'P&amp;L monthly'!BF3</f>
        <v>54</v>
      </c>
      <c r="BG3" s="20" t="n">
        <f aca="false">'P&amp;L monthly'!BG3</f>
        <v>55</v>
      </c>
      <c r="BH3" s="20" t="n">
        <f aca="false">'P&amp;L monthly'!BH3</f>
        <v>56</v>
      </c>
      <c r="BI3" s="20" t="n">
        <f aca="false">'P&amp;L monthly'!BI3</f>
        <v>57</v>
      </c>
      <c r="BJ3" s="20" t="n">
        <f aca="false">'P&amp;L monthly'!BJ3</f>
        <v>58</v>
      </c>
      <c r="BK3" s="20" t="n">
        <f aca="false">'P&amp;L monthly'!BK3</f>
        <v>59</v>
      </c>
      <c r="BL3" s="20" t="n">
        <f aca="false">'P&amp;L monthly'!BL3</f>
        <v>60</v>
      </c>
    </row>
    <row r="4" customFormat="false" ht="15" hidden="false" customHeight="false" outlineLevel="0" collapsed="false">
      <c r="A4" s="8" t="s">
        <v>682</v>
      </c>
      <c r="E4" s="53" t="n">
        <f aca="false">'P&amp;L monthly'!E4</f>
        <v>46388</v>
      </c>
      <c r="F4" s="53" t="n">
        <f aca="false">'P&amp;L monthly'!F4</f>
        <v>46419</v>
      </c>
      <c r="G4" s="53" t="n">
        <f aca="false">'P&amp;L monthly'!G4</f>
        <v>46447</v>
      </c>
      <c r="H4" s="53" t="n">
        <f aca="false">'P&amp;L monthly'!H4</f>
        <v>46478</v>
      </c>
      <c r="I4" s="53" t="n">
        <f aca="false">'P&amp;L monthly'!I4</f>
        <v>46508</v>
      </c>
      <c r="J4" s="53" t="n">
        <f aca="false">'P&amp;L monthly'!J4</f>
        <v>46539</v>
      </c>
      <c r="K4" s="53" t="n">
        <f aca="false">'P&amp;L monthly'!K4</f>
        <v>46569</v>
      </c>
      <c r="L4" s="53" t="n">
        <f aca="false">'P&amp;L monthly'!L4</f>
        <v>46600</v>
      </c>
      <c r="M4" s="53" t="n">
        <f aca="false">'P&amp;L monthly'!M4</f>
        <v>46631</v>
      </c>
      <c r="N4" s="53" t="n">
        <f aca="false">'P&amp;L monthly'!N4</f>
        <v>46661</v>
      </c>
      <c r="O4" s="53" t="n">
        <f aca="false">'P&amp;L monthly'!O4</f>
        <v>46692</v>
      </c>
      <c r="P4" s="53" t="n">
        <f aca="false">'P&amp;L monthly'!P4</f>
        <v>46722</v>
      </c>
      <c r="Q4" s="53" t="n">
        <f aca="false">'P&amp;L monthly'!Q4</f>
        <v>46753</v>
      </c>
      <c r="R4" s="53" t="n">
        <f aca="false">'P&amp;L monthly'!R4</f>
        <v>46784</v>
      </c>
      <c r="S4" s="53" t="n">
        <f aca="false">'P&amp;L monthly'!S4</f>
        <v>46813</v>
      </c>
      <c r="T4" s="53" t="n">
        <f aca="false">'P&amp;L monthly'!T4</f>
        <v>46844</v>
      </c>
      <c r="U4" s="53" t="n">
        <f aca="false">'P&amp;L monthly'!U4</f>
        <v>46874</v>
      </c>
      <c r="V4" s="53" t="n">
        <f aca="false">'P&amp;L monthly'!V4</f>
        <v>46905</v>
      </c>
      <c r="W4" s="53" t="n">
        <f aca="false">'P&amp;L monthly'!W4</f>
        <v>46935</v>
      </c>
      <c r="X4" s="53" t="n">
        <f aca="false">'P&amp;L monthly'!X4</f>
        <v>46966</v>
      </c>
      <c r="Y4" s="53" t="n">
        <f aca="false">'P&amp;L monthly'!Y4</f>
        <v>46997</v>
      </c>
      <c r="Z4" s="53" t="n">
        <f aca="false">'P&amp;L monthly'!Z4</f>
        <v>47027</v>
      </c>
      <c r="AA4" s="53" t="n">
        <f aca="false">'P&amp;L monthly'!AA4</f>
        <v>47058</v>
      </c>
      <c r="AB4" s="53" t="n">
        <f aca="false">'P&amp;L monthly'!AB4</f>
        <v>47088</v>
      </c>
      <c r="AC4" s="53" t="n">
        <f aca="false">'P&amp;L monthly'!AC4</f>
        <v>47119</v>
      </c>
      <c r="AD4" s="53" t="n">
        <f aca="false">'P&amp;L monthly'!AD4</f>
        <v>47150</v>
      </c>
      <c r="AE4" s="53" t="n">
        <f aca="false">'P&amp;L monthly'!AE4</f>
        <v>47178</v>
      </c>
      <c r="AF4" s="53" t="n">
        <f aca="false">'P&amp;L monthly'!AF4</f>
        <v>47209</v>
      </c>
      <c r="AG4" s="53" t="n">
        <f aca="false">'P&amp;L monthly'!AG4</f>
        <v>47239</v>
      </c>
      <c r="AH4" s="53" t="n">
        <f aca="false">'P&amp;L monthly'!AH4</f>
        <v>47270</v>
      </c>
      <c r="AI4" s="53" t="n">
        <f aca="false">'P&amp;L monthly'!AI4</f>
        <v>47300</v>
      </c>
      <c r="AJ4" s="53" t="n">
        <f aca="false">'P&amp;L monthly'!AJ4</f>
        <v>47331</v>
      </c>
      <c r="AK4" s="53" t="n">
        <f aca="false">'P&amp;L monthly'!AK4</f>
        <v>47362</v>
      </c>
      <c r="AL4" s="53" t="n">
        <f aca="false">'P&amp;L monthly'!AL4</f>
        <v>47392</v>
      </c>
      <c r="AM4" s="53" t="n">
        <f aca="false">'P&amp;L monthly'!AM4</f>
        <v>47423</v>
      </c>
      <c r="AN4" s="53" t="n">
        <f aca="false">'P&amp;L monthly'!AN4</f>
        <v>47453</v>
      </c>
      <c r="AO4" s="53" t="n">
        <f aca="false">'P&amp;L monthly'!AO4</f>
        <v>47484</v>
      </c>
      <c r="AP4" s="53" t="n">
        <f aca="false">'P&amp;L monthly'!AP4</f>
        <v>47515</v>
      </c>
      <c r="AQ4" s="53" t="n">
        <f aca="false">'P&amp;L monthly'!AQ4</f>
        <v>47543</v>
      </c>
      <c r="AR4" s="53" t="n">
        <f aca="false">'P&amp;L monthly'!AR4</f>
        <v>47574</v>
      </c>
      <c r="AS4" s="53" t="n">
        <f aca="false">'P&amp;L monthly'!AS4</f>
        <v>47604</v>
      </c>
      <c r="AT4" s="53" t="n">
        <f aca="false">'P&amp;L monthly'!AT4</f>
        <v>47635</v>
      </c>
      <c r="AU4" s="53" t="n">
        <f aca="false">'P&amp;L monthly'!AU4</f>
        <v>47665</v>
      </c>
      <c r="AV4" s="53" t="n">
        <f aca="false">'P&amp;L monthly'!AV4</f>
        <v>47696</v>
      </c>
      <c r="AW4" s="53" t="n">
        <f aca="false">'P&amp;L monthly'!AW4</f>
        <v>47727</v>
      </c>
      <c r="AX4" s="53" t="n">
        <f aca="false">'P&amp;L monthly'!AX4</f>
        <v>47757</v>
      </c>
      <c r="AY4" s="53" t="n">
        <f aca="false">'P&amp;L monthly'!AY4</f>
        <v>47788</v>
      </c>
      <c r="AZ4" s="53" t="n">
        <f aca="false">'P&amp;L monthly'!AZ4</f>
        <v>47818</v>
      </c>
      <c r="BA4" s="53" t="n">
        <f aca="false">'P&amp;L monthly'!BA4</f>
        <v>47849</v>
      </c>
      <c r="BB4" s="53" t="n">
        <f aca="false">'P&amp;L monthly'!BB4</f>
        <v>47880</v>
      </c>
      <c r="BC4" s="53" t="n">
        <f aca="false">'P&amp;L monthly'!BC4</f>
        <v>47908</v>
      </c>
      <c r="BD4" s="53" t="n">
        <f aca="false">'P&amp;L monthly'!BD4</f>
        <v>47939</v>
      </c>
      <c r="BE4" s="53" t="n">
        <f aca="false">'P&amp;L monthly'!BE4</f>
        <v>47969</v>
      </c>
      <c r="BF4" s="53" t="n">
        <f aca="false">'P&amp;L monthly'!BF4</f>
        <v>48000</v>
      </c>
      <c r="BG4" s="53" t="n">
        <f aca="false">'P&amp;L monthly'!BG4</f>
        <v>48030</v>
      </c>
      <c r="BH4" s="53" t="n">
        <f aca="false">'P&amp;L monthly'!BH4</f>
        <v>48061</v>
      </c>
      <c r="BI4" s="53" t="n">
        <f aca="false">'P&amp;L monthly'!BI4</f>
        <v>48092</v>
      </c>
      <c r="BJ4" s="53" t="n">
        <f aca="false">'P&amp;L monthly'!BJ4</f>
        <v>48122</v>
      </c>
      <c r="BK4" s="53" t="n">
        <f aca="false">'P&amp;L monthly'!BK4</f>
        <v>48153</v>
      </c>
      <c r="BL4" s="53" t="n">
        <f aca="false">'P&amp;L monthly'!BL4</f>
        <v>48183</v>
      </c>
    </row>
    <row r="5" customFormat="false" ht="15" hidden="false" customHeight="false" outlineLevel="0" collapsed="false">
      <c r="A5" s="8" t="s">
        <v>81</v>
      </c>
      <c r="E5" s="54" t="n">
        <f aca="false">'P&amp;L monthly'!E5</f>
        <v>1</v>
      </c>
      <c r="F5" s="54" t="n">
        <f aca="false">'P&amp;L monthly'!F5</f>
        <v>1</v>
      </c>
      <c r="G5" s="54" t="n">
        <f aca="false">'P&amp;L monthly'!G5</f>
        <v>1</v>
      </c>
      <c r="H5" s="54" t="n">
        <f aca="false">'P&amp;L monthly'!H5</f>
        <v>1</v>
      </c>
      <c r="I5" s="54" t="n">
        <f aca="false">'P&amp;L monthly'!I5</f>
        <v>1</v>
      </c>
      <c r="J5" s="54" t="n">
        <f aca="false">'P&amp;L monthly'!J5</f>
        <v>1</v>
      </c>
      <c r="K5" s="54" t="n">
        <f aca="false">'P&amp;L monthly'!K5</f>
        <v>1</v>
      </c>
      <c r="L5" s="54" t="n">
        <f aca="false">'P&amp;L monthly'!L5</f>
        <v>1</v>
      </c>
      <c r="M5" s="54" t="n">
        <f aca="false">'P&amp;L monthly'!M5</f>
        <v>1</v>
      </c>
      <c r="N5" s="54" t="n">
        <f aca="false">'P&amp;L monthly'!N5</f>
        <v>1</v>
      </c>
      <c r="O5" s="54" t="n">
        <f aca="false">'P&amp;L monthly'!O5</f>
        <v>1</v>
      </c>
      <c r="P5" s="54" t="n">
        <f aca="false">'P&amp;L monthly'!P5</f>
        <v>1</v>
      </c>
      <c r="Q5" s="54" t="n">
        <f aca="false">'P&amp;L monthly'!Q5</f>
        <v>2</v>
      </c>
      <c r="R5" s="54" t="n">
        <f aca="false">'P&amp;L monthly'!R5</f>
        <v>2</v>
      </c>
      <c r="S5" s="54" t="n">
        <f aca="false">'P&amp;L monthly'!S5</f>
        <v>2</v>
      </c>
      <c r="T5" s="54" t="n">
        <f aca="false">'P&amp;L monthly'!T5</f>
        <v>2</v>
      </c>
      <c r="U5" s="54" t="n">
        <f aca="false">'P&amp;L monthly'!U5</f>
        <v>2</v>
      </c>
      <c r="V5" s="54" t="n">
        <f aca="false">'P&amp;L monthly'!V5</f>
        <v>2</v>
      </c>
      <c r="W5" s="54" t="n">
        <f aca="false">'P&amp;L monthly'!W5</f>
        <v>2</v>
      </c>
      <c r="X5" s="54" t="n">
        <f aca="false">'P&amp;L monthly'!X5</f>
        <v>2</v>
      </c>
      <c r="Y5" s="54" t="n">
        <f aca="false">'P&amp;L monthly'!Y5</f>
        <v>2</v>
      </c>
      <c r="Z5" s="54" t="n">
        <f aca="false">'P&amp;L monthly'!Z5</f>
        <v>2</v>
      </c>
      <c r="AA5" s="54" t="n">
        <f aca="false">'P&amp;L monthly'!AA5</f>
        <v>2</v>
      </c>
      <c r="AB5" s="54" t="n">
        <f aca="false">'P&amp;L monthly'!AB5</f>
        <v>2</v>
      </c>
      <c r="AC5" s="54" t="n">
        <f aca="false">'P&amp;L monthly'!AC5</f>
        <v>3</v>
      </c>
      <c r="AD5" s="54" t="n">
        <f aca="false">'P&amp;L monthly'!AD5</f>
        <v>3</v>
      </c>
      <c r="AE5" s="54" t="n">
        <f aca="false">'P&amp;L monthly'!AE5</f>
        <v>3</v>
      </c>
      <c r="AF5" s="54" t="n">
        <f aca="false">'P&amp;L monthly'!AF5</f>
        <v>3</v>
      </c>
      <c r="AG5" s="54" t="n">
        <f aca="false">'P&amp;L monthly'!AG5</f>
        <v>3</v>
      </c>
      <c r="AH5" s="54" t="n">
        <f aca="false">'P&amp;L monthly'!AH5</f>
        <v>3</v>
      </c>
      <c r="AI5" s="54" t="n">
        <f aca="false">'P&amp;L monthly'!AI5</f>
        <v>3</v>
      </c>
      <c r="AJ5" s="54" t="n">
        <f aca="false">'P&amp;L monthly'!AJ5</f>
        <v>3</v>
      </c>
      <c r="AK5" s="54" t="n">
        <f aca="false">'P&amp;L monthly'!AK5</f>
        <v>3</v>
      </c>
      <c r="AL5" s="54" t="n">
        <f aca="false">'P&amp;L monthly'!AL5</f>
        <v>3</v>
      </c>
      <c r="AM5" s="54" t="n">
        <f aca="false">'P&amp;L monthly'!AM5</f>
        <v>3</v>
      </c>
      <c r="AN5" s="54" t="n">
        <f aca="false">'P&amp;L monthly'!AN5</f>
        <v>3</v>
      </c>
      <c r="AO5" s="54" t="n">
        <f aca="false">'P&amp;L monthly'!AO5</f>
        <v>4</v>
      </c>
      <c r="AP5" s="54" t="n">
        <f aca="false">'P&amp;L monthly'!AP5</f>
        <v>4</v>
      </c>
      <c r="AQ5" s="54" t="n">
        <f aca="false">'P&amp;L monthly'!AQ5</f>
        <v>4</v>
      </c>
      <c r="AR5" s="54" t="n">
        <f aca="false">'P&amp;L monthly'!AR5</f>
        <v>4</v>
      </c>
      <c r="AS5" s="54" t="n">
        <f aca="false">'P&amp;L monthly'!AS5</f>
        <v>4</v>
      </c>
      <c r="AT5" s="54" t="n">
        <f aca="false">'P&amp;L monthly'!AT5</f>
        <v>4</v>
      </c>
      <c r="AU5" s="54" t="n">
        <f aca="false">'P&amp;L monthly'!AU5</f>
        <v>4</v>
      </c>
      <c r="AV5" s="54" t="n">
        <f aca="false">'P&amp;L monthly'!AV5</f>
        <v>4</v>
      </c>
      <c r="AW5" s="54" t="n">
        <f aca="false">'P&amp;L monthly'!AW5</f>
        <v>4</v>
      </c>
      <c r="AX5" s="54" t="n">
        <f aca="false">'P&amp;L monthly'!AX5</f>
        <v>4</v>
      </c>
      <c r="AY5" s="54" t="n">
        <f aca="false">'P&amp;L monthly'!AY5</f>
        <v>4</v>
      </c>
      <c r="AZ5" s="54" t="n">
        <f aca="false">'P&amp;L monthly'!AZ5</f>
        <v>4</v>
      </c>
      <c r="BA5" s="54" t="n">
        <f aca="false">'P&amp;L monthly'!BA5</f>
        <v>5</v>
      </c>
      <c r="BB5" s="54" t="n">
        <f aca="false">'P&amp;L monthly'!BB5</f>
        <v>5</v>
      </c>
      <c r="BC5" s="54" t="n">
        <f aca="false">'P&amp;L monthly'!BC5</f>
        <v>5</v>
      </c>
      <c r="BD5" s="54" t="n">
        <f aca="false">'P&amp;L monthly'!BD5</f>
        <v>5</v>
      </c>
      <c r="BE5" s="54" t="n">
        <f aca="false">'P&amp;L monthly'!BE5</f>
        <v>5</v>
      </c>
      <c r="BF5" s="54" t="n">
        <f aca="false">'P&amp;L monthly'!BF5</f>
        <v>5</v>
      </c>
      <c r="BG5" s="54" t="n">
        <f aca="false">'P&amp;L monthly'!BG5</f>
        <v>5</v>
      </c>
      <c r="BH5" s="54" t="n">
        <f aca="false">'P&amp;L monthly'!BH5</f>
        <v>5</v>
      </c>
      <c r="BI5" s="54" t="n">
        <f aca="false">'P&amp;L monthly'!BI5</f>
        <v>5</v>
      </c>
      <c r="BJ5" s="54" t="n">
        <f aca="false">'P&amp;L monthly'!BJ5</f>
        <v>5</v>
      </c>
      <c r="BK5" s="54" t="n">
        <f aca="false">'P&amp;L monthly'!BK5</f>
        <v>5</v>
      </c>
      <c r="BL5" s="54" t="n">
        <f aca="false">'P&amp;L monthly'!BL5</f>
        <v>5</v>
      </c>
    </row>
    <row r="8" customFormat="false" ht="15" hidden="false" customHeight="false" outlineLevel="0" collapsed="false">
      <c r="A8" s="10" t="s">
        <v>533</v>
      </c>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row>
    <row r="9" customFormat="false" ht="15" hidden="false" customHeight="false" outlineLevel="0" collapsed="false">
      <c r="A9" s="12" t="s">
        <v>788</v>
      </c>
      <c r="B9" s="14" t="s">
        <v>73</v>
      </c>
      <c r="D9" s="55" t="n">
        <f aca="false">'P&amp;L monthly'!D9/FX_EUR</f>
        <v>6369351.29811082</v>
      </c>
      <c r="E9" s="37" t="n">
        <f aca="false">'P&amp;L monthly'!E9/FX_EUR</f>
        <v>0</v>
      </c>
      <c r="F9" s="37" t="n">
        <f aca="false">'P&amp;L monthly'!F9/FX_EUR</f>
        <v>0</v>
      </c>
      <c r="G9" s="37" t="n">
        <f aca="false">'P&amp;L monthly'!G9/FX_EUR</f>
        <v>0</v>
      </c>
      <c r="H9" s="37" t="n">
        <f aca="false">'P&amp;L monthly'!H9/FX_EUR</f>
        <v>0</v>
      </c>
      <c r="I9" s="37" t="n">
        <f aca="false">'P&amp;L monthly'!I9/FX_EUR</f>
        <v>0</v>
      </c>
      <c r="J9" s="37" t="n">
        <f aca="false">'P&amp;L monthly'!J9/FX_EUR</f>
        <v>0</v>
      </c>
      <c r="K9" s="37" t="n">
        <f aca="false">'P&amp;L monthly'!K9/FX_EUR</f>
        <v>0</v>
      </c>
      <c r="L9" s="37" t="n">
        <f aca="false">'P&amp;L monthly'!L9/FX_EUR</f>
        <v>1761.03793539262</v>
      </c>
      <c r="M9" s="37" t="n">
        <f aca="false">'P&amp;L monthly'!M9/FX_EUR</f>
        <v>3590.53411076993</v>
      </c>
      <c r="N9" s="37" t="n">
        <f aca="false">'P&amp;L monthly'!N9/FX_EUR</f>
        <v>5417.207336461</v>
      </c>
      <c r="O9" s="37" t="n">
        <f aca="false">'P&amp;L monthly'!O9/FX_EUR</f>
        <v>7242.34944215428</v>
      </c>
      <c r="P9" s="37" t="n">
        <f aca="false">'P&amp;L monthly'!P9/FX_EUR</f>
        <v>9067.30812516683</v>
      </c>
      <c r="Q9" s="37" t="n">
        <f aca="false">'P&amp;L monthly'!Q9/FX_EUR</f>
        <v>10893.4906578287</v>
      </c>
      <c r="R9" s="37" t="n">
        <f aca="false">'P&amp;L monthly'!R9/FX_EUR</f>
        <v>12715.0103607837</v>
      </c>
      <c r="S9" s="37" t="n">
        <f aca="false">'P&amp;L monthly'!S9/FX_EUR</f>
        <v>14533.5125841028</v>
      </c>
      <c r="T9" s="37" t="n">
        <f aca="false">'P&amp;L monthly'!T9/FX_EUR</f>
        <v>16929.9999499682</v>
      </c>
      <c r="U9" s="37" t="n">
        <f aca="false">'P&amp;L monthly'!U9/FX_EUR</f>
        <v>19326.9761708005</v>
      </c>
      <c r="V9" s="37" t="n">
        <f aca="false">'P&amp;L monthly'!V9/FX_EUR</f>
        <v>21726.3118720006</v>
      </c>
      <c r="W9" s="37" t="n">
        <f aca="false">'P&amp;L monthly'!W9/FX_EUR</f>
        <v>24129.9628828964</v>
      </c>
      <c r="X9" s="37" t="n">
        <f aca="false">'P&amp;L monthly'!X9/FX_EUR</f>
        <v>26518.2965852897</v>
      </c>
      <c r="Y9" s="37" t="n">
        <f aca="false">'P&amp;L monthly'!Y9/FX_EUR</f>
        <v>28893.6196287074</v>
      </c>
      <c r="Z9" s="37" t="n">
        <f aca="false">'P&amp;L monthly'!Z9/FX_EUR</f>
        <v>32965.2361292962</v>
      </c>
      <c r="AA9" s="37" t="n">
        <f aca="false">'P&amp;L monthly'!AA9/FX_EUR</f>
        <v>37040.6735980315</v>
      </c>
      <c r="AB9" s="37" t="n">
        <f aca="false">'P&amp;L monthly'!AB9/FX_EUR</f>
        <v>41123.2466993045</v>
      </c>
      <c r="AC9" s="37" t="n">
        <f aca="false">'P&amp;L monthly'!AC9/FX_EUR</f>
        <v>45212.2114547432</v>
      </c>
      <c r="AD9" s="37" t="n">
        <f aca="false">'P&amp;L monthly'!AD9/FX_EUR</f>
        <v>49296.4899139331</v>
      </c>
      <c r="AE9" s="37" t="n">
        <f aca="false">'P&amp;L monthly'!AE9/FX_EUR</f>
        <v>53711.8158419082</v>
      </c>
      <c r="AF9" s="37" t="n">
        <f aca="false">'P&amp;L monthly'!AF9/FX_EUR</f>
        <v>59293.7941230572</v>
      </c>
      <c r="AG9" s="37" t="n">
        <f aca="false">'P&amp;L monthly'!AG9/FX_EUR</f>
        <v>64879.6710404802</v>
      </c>
      <c r="AH9" s="37" t="n">
        <f aca="false">'P&amp;L monthly'!AH9/FX_EUR</f>
        <v>70474.1676534039</v>
      </c>
      <c r="AI9" s="37" t="n">
        <f aca="false">'P&amp;L monthly'!AI9/FX_EUR</f>
        <v>76413.8755231494</v>
      </c>
      <c r="AJ9" s="37" t="n">
        <f aca="false">'P&amp;L monthly'!AJ9/FX_EUR</f>
        <v>82372.312328424</v>
      </c>
      <c r="AK9" s="37" t="n">
        <f aca="false">'P&amp;L monthly'!AK9/FX_EUR</f>
        <v>88350.6830508282</v>
      </c>
      <c r="AL9" s="37" t="n">
        <f aca="false">'P&amp;L monthly'!AL9/FX_EUR</f>
        <v>94354.7287515758</v>
      </c>
      <c r="AM9" s="37" t="n">
        <f aca="false">'P&amp;L monthly'!AM9/FX_EUR</f>
        <v>100722.121685075</v>
      </c>
      <c r="AN9" s="37" t="n">
        <f aca="false">'P&amp;L monthly'!AN9/FX_EUR</f>
        <v>107123.312279067</v>
      </c>
      <c r="AO9" s="37" t="n">
        <f aca="false">'P&amp;L monthly'!AO9/FX_EUR</f>
        <v>113561.201192002</v>
      </c>
      <c r="AP9" s="37" t="n">
        <f aca="false">'P&amp;L monthly'!AP9/FX_EUR</f>
        <v>120367.164504987</v>
      </c>
      <c r="AQ9" s="37" t="n">
        <f aca="false">'P&amp;L monthly'!AQ9/FX_EUR</f>
        <v>127511.36639636</v>
      </c>
      <c r="AR9" s="37" t="n">
        <f aca="false">'P&amp;L monthly'!AR9/FX_EUR</f>
        <v>135282.584008462</v>
      </c>
      <c r="AS9" s="37" t="n">
        <f aca="false">'P&amp;L monthly'!AS9/FX_EUR</f>
        <v>143437.346214402</v>
      </c>
      <c r="AT9" s="37" t="n">
        <f aca="false">'P&amp;L monthly'!AT9/FX_EUR</f>
        <v>151653.479628967</v>
      </c>
      <c r="AU9" s="37" t="n">
        <f aca="false">'P&amp;L monthly'!AU9/FX_EUR</f>
        <v>160265.991391051</v>
      </c>
      <c r="AV9" s="37" t="n">
        <f aca="false">'P&amp;L monthly'!AV9/FX_EUR</f>
        <v>168906.436434548</v>
      </c>
      <c r="AW9" s="37" t="n">
        <f aca="false">'P&amp;L monthly'!AW9/FX_EUR</f>
        <v>178104.316949532</v>
      </c>
      <c r="AX9" s="37" t="n">
        <f aca="false">'P&amp;L monthly'!AX9/FX_EUR</f>
        <v>187228.844335172</v>
      </c>
      <c r="AY9" s="37" t="n">
        <f aca="false">'P&amp;L monthly'!AY9/FX_EUR</f>
        <v>196283.743341689</v>
      </c>
      <c r="AZ9" s="37" t="n">
        <f aca="false">'P&amp;L monthly'!AZ9/FX_EUR</f>
        <v>205596.494502751</v>
      </c>
      <c r="BA9" s="37" t="n">
        <f aca="false">'P&amp;L monthly'!BA9/FX_EUR</f>
        <v>214839.506868047</v>
      </c>
      <c r="BB9" s="37" t="n">
        <f aca="false">'P&amp;L monthly'!BB9/FX_EUR</f>
        <v>224635.478204976</v>
      </c>
      <c r="BC9" s="37" t="n">
        <f aca="false">'P&amp;L monthly'!BC9/FX_EUR</f>
        <v>234358.7509919</v>
      </c>
      <c r="BD9" s="37" t="n">
        <f aca="false">'P&amp;L monthly'!BD9/FX_EUR</f>
        <v>244925.095317466</v>
      </c>
      <c r="BE9" s="37" t="n">
        <f aca="false">'P&amp;L monthly'!BE9/FX_EUR</f>
        <v>255420.188097688</v>
      </c>
      <c r="BF9" s="37" t="n">
        <f aca="false">'P&amp;L monthly'!BF9/FX_EUR</f>
        <v>266176.512790964</v>
      </c>
      <c r="BG9" s="37" t="n">
        <f aca="false">'P&amp;L monthly'!BG9/FX_EUR</f>
        <v>277166.176944177</v>
      </c>
      <c r="BH9" s="37" t="n">
        <f aca="false">'P&amp;L monthly'!BH9/FX_EUR</f>
        <v>288419.79532748</v>
      </c>
      <c r="BI9" s="37" t="n">
        <f aca="false">'P&amp;L monthly'!BI9/FX_EUR</f>
        <v>299611.477213184</v>
      </c>
      <c r="BJ9" s="37" t="n">
        <f aca="false">'P&amp;L monthly'!BJ9/FX_EUR</f>
        <v>311373.117639826</v>
      </c>
      <c r="BK9" s="37" t="n">
        <f aca="false">'P&amp;L monthly'!BK9/FX_EUR</f>
        <v>323080.823730135</v>
      </c>
      <c r="BL9" s="37" t="n">
        <f aca="false">'P&amp;L monthly'!BL9/FX_EUR</f>
        <v>335065.448370452</v>
      </c>
    </row>
    <row r="10" customFormat="false" ht="15" hidden="false" customHeight="false" outlineLevel="0" collapsed="false">
      <c r="A10" s="12" t="s">
        <v>536</v>
      </c>
      <c r="B10" s="14" t="s">
        <v>73</v>
      </c>
      <c r="D10" s="55" t="n">
        <f aca="false">'P&amp;L monthly'!D10/FX_EUR</f>
        <v>3196230.66861746</v>
      </c>
      <c r="E10" s="37" t="n">
        <f aca="false">'P&amp;L monthly'!E10/FX_EUR</f>
        <v>0</v>
      </c>
      <c r="F10" s="37" t="n">
        <f aca="false">'P&amp;L monthly'!F10/FX_EUR</f>
        <v>0</v>
      </c>
      <c r="G10" s="37" t="n">
        <f aca="false">'P&amp;L monthly'!G10/FX_EUR</f>
        <v>0</v>
      </c>
      <c r="H10" s="37" t="n">
        <f aca="false">'P&amp;L monthly'!H10/FX_EUR</f>
        <v>0</v>
      </c>
      <c r="I10" s="37" t="n">
        <f aca="false">'P&amp;L monthly'!I10/FX_EUR</f>
        <v>779.705580294643</v>
      </c>
      <c r="J10" s="37" t="n">
        <f aca="false">'P&amp;L monthly'!J10/FX_EUR</f>
        <v>1558.15604783037</v>
      </c>
      <c r="K10" s="37" t="n">
        <f aca="false">'P&amp;L monthly'!K10/FX_EUR</f>
        <v>2335.8713524667</v>
      </c>
      <c r="L10" s="37" t="n">
        <f aca="false">'P&amp;L monthly'!L10/FX_EUR</f>
        <v>3113.39421108809</v>
      </c>
      <c r="M10" s="37" t="n">
        <f aca="false">'P&amp;L monthly'!M10/FX_EUR</f>
        <v>3891.29160698633</v>
      </c>
      <c r="N10" s="37" t="n">
        <f aca="false">'P&amp;L monthly'!N10/FX_EUR</f>
        <v>4670.15637691771</v>
      </c>
      <c r="O10" s="37" t="n">
        <f aca="false">'P&amp;L monthly'!O10/FX_EUR</f>
        <v>5450.60889113674</v>
      </c>
      <c r="P10" s="37" t="n">
        <f aca="false">'P&amp;L monthly'!P10/FX_EUR</f>
        <v>6233.29883202596</v>
      </c>
      <c r="Q10" s="37" t="n">
        <f aca="false">'P&amp;L monthly'!Q10/FX_EUR</f>
        <v>7255.89415620683</v>
      </c>
      <c r="R10" s="37" t="n">
        <f aca="false">'P&amp;L monthly'!R10/FX_EUR</f>
        <v>8279.26602435684</v>
      </c>
      <c r="S10" s="37" t="n">
        <f aca="false">'P&amp;L monthly'!S10/FX_EUR</f>
        <v>9304.20319692239</v>
      </c>
      <c r="T10" s="37" t="n">
        <f aca="false">'P&amp;L monthly'!T10/FX_EUR</f>
        <v>10331.5313615656</v>
      </c>
      <c r="U10" s="37" t="n">
        <f aca="false">'P&amp;L monthly'!U10/FX_EUR</f>
        <v>11362.1155118744</v>
      </c>
      <c r="V10" s="37" t="n">
        <f aca="false">'P&amp;L monthly'!V10/FX_EUR</f>
        <v>12396.8624660146</v>
      </c>
      <c r="W10" s="37" t="n">
        <f aca="false">'P&amp;L monthly'!W10/FX_EUR</f>
        <v>14135.0213388608</v>
      </c>
      <c r="X10" s="37" t="n">
        <f aca="false">'P&amp;L monthly'!X10/FX_EUR</f>
        <v>15875.7625367683</v>
      </c>
      <c r="Y10" s="37" t="n">
        <f aca="false">'P&amp;L monthly'!Y10/FX_EUR</f>
        <v>17620.4852725576</v>
      </c>
      <c r="Z10" s="37" t="n">
        <f aca="false">'P&amp;L monthly'!Z10/FX_EUR</f>
        <v>19370.6553013585</v>
      </c>
      <c r="AA10" s="37" t="n">
        <f aca="false">'P&amp;L monthly'!AA10/FX_EUR</f>
        <v>21127.8091859071</v>
      </c>
      <c r="AB10" s="37" t="n">
        <f aca="false">'P&amp;L monthly'!AB10/FX_EUR</f>
        <v>23029.2384384568</v>
      </c>
      <c r="AC10" s="37" t="n">
        <f aca="false">'P&amp;L monthly'!AC10/FX_EUR</f>
        <v>25415.1036315743</v>
      </c>
      <c r="AD10" s="37" t="n">
        <f aca="false">'P&amp;L monthly'!AD10/FX_EUR</f>
        <v>27805.6878103289</v>
      </c>
      <c r="AE10" s="37" t="n">
        <f aca="false">'P&amp;L monthly'!AE10/FX_EUR</f>
        <v>30202.9599684813</v>
      </c>
      <c r="AF10" s="37" t="n">
        <f aca="false">'P&amp;L monthly'!AF10/FX_EUR</f>
        <v>32744.6633774948</v>
      </c>
      <c r="AG10" s="37" t="n">
        <f aca="false">'P&amp;L monthly'!AG10/FX_EUR</f>
        <v>35295.6477406047</v>
      </c>
      <c r="AH10" s="37" t="n">
        <f aca="false">'P&amp;L monthly'!AH10/FX_EUR</f>
        <v>37858.2070555095</v>
      </c>
      <c r="AI10" s="37" t="n">
        <f aca="false">'P&amp;L monthly'!AI10/FX_EUR</f>
        <v>40434.7488515073</v>
      </c>
      <c r="AJ10" s="37" t="n">
        <f aca="false">'P&amp;L monthly'!AJ10/FX_EUR</f>
        <v>43163.481001891</v>
      </c>
      <c r="AK10" s="37" t="n">
        <f aca="false">'P&amp;L monthly'!AK10/FX_EUR</f>
        <v>45909.74544413</v>
      </c>
      <c r="AL10" s="37" t="n">
        <f aca="false">'P&amp;L monthly'!AL10/FX_EUR</f>
        <v>48676.357702627</v>
      </c>
      <c r="AM10" s="37" t="n">
        <f aca="false">'P&amp;L monthly'!AM10/FX_EUR</f>
        <v>51601.9575108494</v>
      </c>
      <c r="AN10" s="37" t="n">
        <f aca="false">'P&amp;L monthly'!AN10/FX_EUR</f>
        <v>54674.4556346742</v>
      </c>
      <c r="AO10" s="37" t="n">
        <f aca="false">'P&amp;L monthly'!AO10/FX_EUR</f>
        <v>58010.5554981597</v>
      </c>
      <c r="AP10" s="37" t="n">
        <f aca="false">'P&amp;L monthly'!AP10/FX_EUR</f>
        <v>61509.5866739012</v>
      </c>
      <c r="AQ10" s="37" t="n">
        <f aca="false">'P&amp;L monthly'!AQ10/FX_EUR</f>
        <v>65037.9502538768</v>
      </c>
      <c r="AR10" s="37" t="n">
        <f aca="false">'P&amp;L monthly'!AR10/FX_EUR</f>
        <v>68735.258438566</v>
      </c>
      <c r="AS10" s="37" t="n">
        <f aca="false">'P&amp;L monthly'!AS10/FX_EUR</f>
        <v>72448.3561062849</v>
      </c>
      <c r="AT10" s="37" t="n">
        <f aca="false">'P&amp;L monthly'!AT10/FX_EUR</f>
        <v>76393.3094685105</v>
      </c>
      <c r="AU10" s="37" t="n">
        <f aca="false">'P&amp;L monthly'!AU10/FX_EUR</f>
        <v>80310.6492778387</v>
      </c>
      <c r="AV10" s="37" t="n">
        <f aca="false">'P&amp;L monthly'!AV10/FX_EUR</f>
        <v>84201.8916701643</v>
      </c>
      <c r="AW10" s="37" t="n">
        <f aca="false">'P&amp;L monthly'!AW10/FX_EUR</f>
        <v>88204.2797734508</v>
      </c>
      <c r="AX10" s="37" t="n">
        <f aca="false">'P&amp;L monthly'!AX10/FX_EUR</f>
        <v>92182.1133309966</v>
      </c>
      <c r="AY10" s="37" t="n">
        <f aca="false">'P&amp;L monthly'!AY10/FX_EUR</f>
        <v>96394.8751645124</v>
      </c>
      <c r="AZ10" s="37" t="n">
        <f aca="false">'P&amp;L monthly'!AZ10/FX_EUR</f>
        <v>100583.417162917</v>
      </c>
      <c r="BA10" s="37" t="n">
        <f aca="false">'P&amp;L monthly'!BA10/FX_EUR</f>
        <v>105124.069979813</v>
      </c>
      <c r="BB10" s="37" t="n">
        <f aca="false">'P&amp;L monthly'!BB10/FX_EUR</f>
        <v>109639.766155258</v>
      </c>
      <c r="BC10" s="37" t="n">
        <f aca="false">'P&amp;L monthly'!BC10/FX_EUR</f>
        <v>114268.239230669</v>
      </c>
      <c r="BD10" s="37" t="n">
        <f aca="false">'P&amp;L monthly'!BD10/FX_EUR</f>
        <v>118996.414827462</v>
      </c>
      <c r="BE10" s="37" t="n">
        <f aca="false">'P&amp;L monthly'!BE10/FX_EUR</f>
        <v>123838.620457425</v>
      </c>
      <c r="BF10" s="37" t="n">
        <f aca="false">'P&amp;L monthly'!BF10/FX_EUR</f>
        <v>128659.87793044</v>
      </c>
      <c r="BG10" s="37" t="n">
        <f aca="false">'P&amp;L monthly'!BG10/FX_EUR</f>
        <v>133720.428167727</v>
      </c>
      <c r="BH10" s="37" t="n">
        <f aca="false">'P&amp;L monthly'!BH10/FX_EUR</f>
        <v>138761.919461932</v>
      </c>
      <c r="BI10" s="37" t="n">
        <f aca="false">'P&amp;L monthly'!BI10/FX_EUR</f>
        <v>143922.723439776</v>
      </c>
      <c r="BJ10" s="37" t="n">
        <f aca="false">'P&amp;L monthly'!BJ10/FX_EUR</f>
        <v>149068.326781611</v>
      </c>
      <c r="BK10" s="37" t="n">
        <f aca="false">'P&amp;L monthly'!BK10/FX_EUR</f>
        <v>154436.201666802</v>
      </c>
      <c r="BL10" s="37" t="n">
        <f aca="false">'P&amp;L monthly'!BL10/FX_EUR</f>
        <v>159877.494280098</v>
      </c>
    </row>
    <row r="11" customFormat="false" ht="15" hidden="false" customHeight="false" outlineLevel="0" collapsed="false">
      <c r="A11" s="12" t="s">
        <v>538</v>
      </c>
      <c r="B11" s="14" t="s">
        <v>73</v>
      </c>
      <c r="D11" s="55" t="n">
        <f aca="false">'P&amp;L monthly'!D11/FX_EUR</f>
        <v>1194581.37046104</v>
      </c>
      <c r="E11" s="37" t="n">
        <f aca="false">'P&amp;L monthly'!E11/FX_EUR</f>
        <v>0</v>
      </c>
      <c r="F11" s="37" t="n">
        <f aca="false">'P&amp;L monthly'!F11/FX_EUR</f>
        <v>0</v>
      </c>
      <c r="G11" s="37" t="n">
        <f aca="false">'P&amp;L monthly'!G11/FX_EUR</f>
        <v>0</v>
      </c>
      <c r="H11" s="37" t="n">
        <f aca="false">'P&amp;L monthly'!H11/FX_EUR</f>
        <v>0</v>
      </c>
      <c r="I11" s="37" t="n">
        <f aca="false">'P&amp;L monthly'!I11/FX_EUR</f>
        <v>293.484684717647</v>
      </c>
      <c r="J11" s="37" t="n">
        <f aca="false">'P&amp;L monthly'!J11/FX_EUR</f>
        <v>586.321232438509</v>
      </c>
      <c r="K11" s="37" t="n">
        <f aca="false">'P&amp;L monthly'!K11/FX_EUR</f>
        <v>878.708861442137</v>
      </c>
      <c r="L11" s="37" t="n">
        <f aca="false">'P&amp;L monthly'!L11/FX_EUR</f>
        <v>1170.85517841664</v>
      </c>
      <c r="M11" s="37" t="n">
        <f aca="false">'P&amp;L monthly'!M11/FX_EUR</f>
        <v>1462.97674101794</v>
      </c>
      <c r="N11" s="37" t="n">
        <f aca="false">'P&amp;L monthly'!N11/FX_EUR</f>
        <v>1755.29965312595</v>
      </c>
      <c r="O11" s="37" t="n">
        <f aca="false">'P&amp;L monthly'!O11/FX_EUR</f>
        <v>2048.06019477934</v>
      </c>
      <c r="P11" s="37" t="n">
        <f aca="false">'P&amp;L monthly'!P11/FX_EUR</f>
        <v>2341.50548888875</v>
      </c>
      <c r="Q11" s="37" t="n">
        <f aca="false">'P&amp;L monthly'!Q11/FX_EUR</f>
        <v>2725.09720857364</v>
      </c>
      <c r="R11" s="37" t="n">
        <f aca="false">'P&amp;L monthly'!R11/FX_EUR</f>
        <v>3108.77496798312</v>
      </c>
      <c r="S11" s="37" t="n">
        <f aca="false">'P&amp;L monthly'!S11/FX_EUR</f>
        <v>3492.839271864</v>
      </c>
      <c r="T11" s="37" t="n">
        <f aca="false">'P&amp;L monthly'!T11/FX_EUR</f>
        <v>3877.60428086156</v>
      </c>
      <c r="U11" s="37" t="n">
        <f aca="false">'P&amp;L monthly'!U11/FX_EUR</f>
        <v>4263.39870301635</v>
      </c>
      <c r="V11" s="37" t="n">
        <f aca="false">'P&amp;L monthly'!V11/FX_EUR</f>
        <v>4650.56673747121</v>
      </c>
      <c r="W11" s="37" t="n">
        <f aca="false">'P&amp;L monthly'!W11/FX_EUR</f>
        <v>5302.31150579771</v>
      </c>
      <c r="X11" s="37" t="n">
        <f aca="false">'P&amp;L monthly'!X11/FX_EUR</f>
        <v>5954.68258755376</v>
      </c>
      <c r="Y11" s="37" t="n">
        <f aca="false">'P&amp;L monthly'!Y11/FX_EUR</f>
        <v>6608.2124178675</v>
      </c>
      <c r="Z11" s="37" t="n">
        <f aca="false">'P&amp;L monthly'!Z11/FX_EUR</f>
        <v>7263.45805817338</v>
      </c>
      <c r="AA11" s="37" t="n">
        <f aca="false">'P&amp;L monthly'!AA11/FX_EUR</f>
        <v>7921.00279439415</v>
      </c>
      <c r="AB11" s="37" t="n">
        <f aca="false">'P&amp;L monthly'!AB11/FX_EUR</f>
        <v>8632.52824965065</v>
      </c>
      <c r="AC11" s="37" t="n">
        <f aca="false">'P&amp;L monthly'!AC11/FX_EUR</f>
        <v>9526.04585276336</v>
      </c>
      <c r="AD11" s="37" t="n">
        <f aca="false">'P&amp;L monthly'!AD11/FX_EUR</f>
        <v>10420.8852785433</v>
      </c>
      <c r="AE11" s="37" t="n">
        <f aca="false">'P&amp;L monthly'!AE11/FX_EUR</f>
        <v>11317.7949472431</v>
      </c>
      <c r="AF11" s="37" t="n">
        <f aca="false">'P&amp;L monthly'!AF11/FX_EUR</f>
        <v>12268.6287508734</v>
      </c>
      <c r="AG11" s="37" t="n">
        <f aca="false">'P&amp;L monthly'!AG11/FX_EUR</f>
        <v>13222.491053066</v>
      </c>
      <c r="AH11" s="37" t="n">
        <f aca="false">'P&amp;L monthly'!AH11/FX_EUR</f>
        <v>14180.2517732378</v>
      </c>
      <c r="AI11" s="37" t="n">
        <f aca="false">'P&amp;L monthly'!AI11/FX_EUR</f>
        <v>15142.8229300761</v>
      </c>
      <c r="AJ11" s="37" t="n">
        <f aca="false">'P&amp;L monthly'!AJ11/FX_EUR</f>
        <v>16162.2317535927</v>
      </c>
      <c r="AK11" s="37" t="n">
        <f aca="false">'P&amp;L monthly'!AK11/FX_EUR</f>
        <v>17187.7662699265</v>
      </c>
      <c r="AL11" s="37" t="n">
        <f aca="false">'P&amp;L monthly'!AL11/FX_EUR</f>
        <v>18220.4910055422</v>
      </c>
      <c r="AM11" s="37" t="n">
        <f aca="false">'P&amp;L monthly'!AM11/FX_EUR</f>
        <v>19312.5946087257</v>
      </c>
      <c r="AN11" s="37" t="n">
        <f aca="false">'P&amp;L monthly'!AN11/FX_EUR</f>
        <v>20459.4993511929</v>
      </c>
      <c r="AO11" s="37" t="n">
        <f aca="false">'P&amp;L monthly'!AO11/FX_EUR</f>
        <v>21705.108865716</v>
      </c>
      <c r="AP11" s="37" t="n">
        <f aca="false">'P&amp;L monthly'!AP11/FX_EUR</f>
        <v>23011.4804334759</v>
      </c>
      <c r="AQ11" s="37" t="n">
        <f aca="false">'P&amp;L monthly'!AQ11/FX_EUR</f>
        <v>24328.3005103616</v>
      </c>
      <c r="AR11" s="37" t="n">
        <f aca="false">'P&amp;L monthly'!AR11/FX_EUR</f>
        <v>25708.1240316693</v>
      </c>
      <c r="AS11" s="37" t="n">
        <f aca="false">'P&amp;L monthly'!AS11/FX_EUR</f>
        <v>27093.2754576136</v>
      </c>
      <c r="AT11" s="37" t="n">
        <f aca="false">'P&amp;L monthly'!AT11/FX_EUR</f>
        <v>28565.0908323192</v>
      </c>
      <c r="AU11" s="37" t="n">
        <f aca="false">'P&amp;L monthly'!AU11/FX_EUR</f>
        <v>30025.8636840553</v>
      </c>
      <c r="AV11" s="37" t="n">
        <f aca="false">'P&amp;L monthly'!AV11/FX_EUR</f>
        <v>31476.1828384876</v>
      </c>
      <c r="AW11" s="37" t="n">
        <f aca="false">'P&amp;L monthly'!AW11/FX_EUR</f>
        <v>32967.7246974641</v>
      </c>
      <c r="AX11" s="37" t="n">
        <f aca="false">'P&amp;L monthly'!AX11/FX_EUR</f>
        <v>34449.3972986877</v>
      </c>
      <c r="AY11" s="37" t="n">
        <f aca="false">'P&amp;L monthly'!AY11/FX_EUR</f>
        <v>36018.8882004236</v>
      </c>
      <c r="AZ11" s="37" t="n">
        <f aca="false">'P&amp;L monthly'!AZ11/FX_EUR</f>
        <v>37578.6111602743</v>
      </c>
      <c r="BA11" s="37" t="n">
        <f aca="false">'P&amp;L monthly'!BA11/FX_EUR</f>
        <v>39270.2361645872</v>
      </c>
      <c r="BB11" s="37" t="n">
        <f aca="false">'P&amp;L monthly'!BB11/FX_EUR</f>
        <v>40951.765638452</v>
      </c>
      <c r="BC11" s="37" t="n">
        <f aca="false">'P&amp;L monthly'!BC11/FX_EUR</f>
        <v>42675.0616327306</v>
      </c>
      <c r="BD11" s="37" t="n">
        <f aca="false">'P&amp;L monthly'!BD11/FX_EUR</f>
        <v>44435.1900421616</v>
      </c>
      <c r="BE11" s="37" t="n">
        <f aca="false">'P&amp;L monthly'!BE11/FX_EUR</f>
        <v>46237.5341392305</v>
      </c>
      <c r="BF11" s="37" t="n">
        <f aca="false">'P&amp;L monthly'!BF11/FX_EUR</f>
        <v>48031.2748088272</v>
      </c>
      <c r="BG11" s="37" t="n">
        <f aca="false">'P&amp;L monthly'!BG11/FX_EUR</f>
        <v>49914.3858373223</v>
      </c>
      <c r="BH11" s="37" t="n">
        <f aca="false">'P&amp;L monthly'!BH11/FX_EUR</f>
        <v>51789.581441484</v>
      </c>
      <c r="BI11" s="37" t="n">
        <f aca="false">'P&amp;L monthly'!BI11/FX_EUR</f>
        <v>53708.9632576586</v>
      </c>
      <c r="BJ11" s="37" t="n">
        <f aca="false">'P&amp;L monthly'!BJ11/FX_EUR</f>
        <v>55621.8862917828</v>
      </c>
      <c r="BK11" s="37" t="n">
        <f aca="false">'P&amp;L monthly'!BK11/FX_EUR</f>
        <v>57617.7531261565</v>
      </c>
      <c r="BL11" s="37" t="n">
        <f aca="false">'P&amp;L monthly'!BL11/FX_EUR</f>
        <v>59640.4976772783</v>
      </c>
    </row>
    <row r="12" customFormat="false" ht="15" hidden="false" customHeight="false" outlineLevel="0" collapsed="false">
      <c r="A12" s="12" t="s">
        <v>208</v>
      </c>
      <c r="B12" s="14" t="s">
        <v>73</v>
      </c>
      <c r="D12" s="55" t="n">
        <f aca="false">'P&amp;L monthly'!D12/FX_EUR</f>
        <v>3965480.61082953</v>
      </c>
      <c r="E12" s="37" t="n">
        <f aca="false">'P&amp;L monthly'!E12/FX_EUR</f>
        <v>0</v>
      </c>
      <c r="F12" s="37" t="n">
        <f aca="false">'P&amp;L monthly'!F12/FX_EUR</f>
        <v>0</v>
      </c>
      <c r="G12" s="37" t="n">
        <f aca="false">'P&amp;L monthly'!G12/FX_EUR</f>
        <v>0</v>
      </c>
      <c r="H12" s="37" t="n">
        <f aca="false">'P&amp;L monthly'!H12/FX_EUR</f>
        <v>0</v>
      </c>
      <c r="I12" s="37" t="n">
        <f aca="false">'P&amp;L monthly'!I12/FX_EUR</f>
        <v>963.68105429675</v>
      </c>
      <c r="J12" s="37" t="n">
        <f aca="false">'P&amp;L monthly'!J12/FX_EUR</f>
        <v>1926.08954042211</v>
      </c>
      <c r="K12" s="37" t="n">
        <f aca="false">'P&amp;L monthly'!K12/FX_EUR</f>
        <v>2887.86563658136</v>
      </c>
      <c r="L12" s="37" t="n">
        <f aca="false">'P&amp;L monthly'!L12/FX_EUR</f>
        <v>3849.67785560432</v>
      </c>
      <c r="M12" s="37" t="n">
        <f aca="false">'P&amp;L monthly'!M12/FX_EUR</f>
        <v>4812.22490507792</v>
      </c>
      <c r="N12" s="37" t="n">
        <f aca="false">'P&amp;L monthly'!N12/FX_EUR</f>
        <v>5776.237656316</v>
      </c>
      <c r="O12" s="37" t="n">
        <f aca="false">'P&amp;L monthly'!O12/FX_EUR</f>
        <v>6742.48122874748</v>
      </c>
      <c r="P12" s="37" t="n">
        <f aca="false">'P&amp;L monthly'!P12/FX_EUR</f>
        <v>7711.75719669747</v>
      </c>
      <c r="Q12" s="37" t="n">
        <f aca="false">'P&amp;L monthly'!Q12/FX_EUR</f>
        <v>8977.81130440605</v>
      </c>
      <c r="R12" s="37" t="n">
        <f aca="false">'P&amp;L monthly'!R12/FX_EUR</f>
        <v>10245.1748381918</v>
      </c>
      <c r="S12" s="37" t="n">
        <f aca="false">'P&amp;L monthly'!S12/FX_EUR</f>
        <v>11514.8203715016</v>
      </c>
      <c r="T12" s="37" t="n">
        <f aca="false">'P&amp;L monthly'!T12/FX_EUR</f>
        <v>12787.7664078865</v>
      </c>
      <c r="U12" s="37" t="n">
        <f aca="false">'P&amp;L monthly'!U12/FX_EUR</f>
        <v>14065.0803323395</v>
      </c>
      <c r="V12" s="37" t="n">
        <f aca="false">'P&amp;L monthly'!V12/FX_EUR</f>
        <v>15347.8815363506</v>
      </c>
      <c r="W12" s="37" t="n">
        <f aca="false">'P&amp;L monthly'!W12/FX_EUR</f>
        <v>17500.409430084</v>
      </c>
      <c r="X12" s="37" t="n">
        <f aca="false">'P&amp;L monthly'!X12/FX_EUR</f>
        <v>19656.7190014577</v>
      </c>
      <c r="Y12" s="37" t="n">
        <f aca="false">'P&amp;L monthly'!Y12/FX_EUR</f>
        <v>21818.5361800479</v>
      </c>
      <c r="Z12" s="37" t="n">
        <f aca="false">'P&amp;L monthly'!Z12/FX_EUR</f>
        <v>23987.6696490084</v>
      </c>
      <c r="AA12" s="37" t="n">
        <f aca="false">'P&amp;L monthly'!AA12/FX_EUR</f>
        <v>26166.0161372961</v>
      </c>
      <c r="AB12" s="37" t="n">
        <f aca="false">'P&amp;L monthly'!AB12/FX_EUR</f>
        <v>28523.2599427712</v>
      </c>
      <c r="AC12" s="37" t="n">
        <f aca="false">'P&amp;L monthly'!AC12/FX_EUR</f>
        <v>31479.8714768472</v>
      </c>
      <c r="AD12" s="37" t="n">
        <f aca="false">'P&amp;L monthly'!AD12/FX_EUR</f>
        <v>34443.1106075793</v>
      </c>
      <c r="AE12" s="37" t="n">
        <f aca="false">'P&amp;L monthly'!AE12/FX_EUR</f>
        <v>37415.4066908321</v>
      </c>
      <c r="AF12" s="37" t="n">
        <f aca="false">'P&amp;L monthly'!AF12/FX_EUR</f>
        <v>40567.0007030616</v>
      </c>
      <c r="AG12" s="37" t="n">
        <f aca="false">'P&amp;L monthly'!AG12/FX_EUR</f>
        <v>43730.8986767976</v>
      </c>
      <c r="AH12" s="37" t="n">
        <f aca="false">'P&amp;L monthly'!AH12/FX_EUR</f>
        <v>46909.9329605343</v>
      </c>
      <c r="AI12" s="37" t="n">
        <f aca="false">'P&amp;L monthly'!AI12/FX_EUR</f>
        <v>50107.0770451231</v>
      </c>
      <c r="AJ12" s="37" t="n">
        <f aca="false">'P&amp;L monthly'!AJ12/FX_EUR</f>
        <v>53493.148400734</v>
      </c>
      <c r="AK12" s="37" t="n">
        <f aca="false">'P&amp;L monthly'!AK12/FX_EUR</f>
        <v>56901.763856207</v>
      </c>
      <c r="AL12" s="37" t="n">
        <f aca="false">'P&amp;L monthly'!AL12/FX_EUR</f>
        <v>60336.4029194294</v>
      </c>
      <c r="AM12" s="37" t="n">
        <f aca="false">'P&amp;L monthly'!AM12/FX_EUR</f>
        <v>63968.4187067909</v>
      </c>
      <c r="AN12" s="37" t="n">
        <f aca="false">'P&amp;L monthly'!AN12/FX_EUR</f>
        <v>67782.9196373394</v>
      </c>
      <c r="AO12" s="37" t="n">
        <f aca="false">'P&amp;L monthly'!AO12/FX_EUR</f>
        <v>71924.1913670207</v>
      </c>
      <c r="AP12" s="37" t="n">
        <f aca="false">'P&amp;L monthly'!AP12/FX_EUR</f>
        <v>76267.8966087244</v>
      </c>
      <c r="AQ12" s="37" t="n">
        <f aca="false">'P&amp;L monthly'!AQ12/FX_EUR</f>
        <v>80648.9633248079</v>
      </c>
      <c r="AR12" s="37" t="n">
        <f aca="false">'P&amp;L monthly'!AR12/FX_EUR</f>
        <v>85239.9479921592</v>
      </c>
      <c r="AS12" s="37" t="n">
        <f aca="false">'P&amp;L monthly'!AS12/FX_EUR</f>
        <v>89851.6097004088</v>
      </c>
      <c r="AT12" s="37" t="n">
        <f aca="false">'P&amp;L monthly'!AT12/FX_EUR</f>
        <v>94750.9933732141</v>
      </c>
      <c r="AU12" s="37" t="n">
        <f aca="false">'P&amp;L monthly'!AU12/FX_EUR</f>
        <v>99617.4807090931</v>
      </c>
      <c r="AV12" s="37" t="n">
        <f aca="false">'P&amp;L monthly'!AV12/FX_EUR</f>
        <v>104452.926311019</v>
      </c>
      <c r="AW12" s="37" t="n">
        <f aca="false">'P&amp;L monthly'!AW12/FX_EUR</f>
        <v>109426.937900532</v>
      </c>
      <c r="AX12" s="37" t="n">
        <f aca="false">'P&amp;L monthly'!AX12/FX_EUR</f>
        <v>114371.826609336</v>
      </c>
      <c r="AY12" s="37" t="n">
        <f aca="false">'P&amp;L monthly'!AY12/FX_EUR</f>
        <v>119608.283346523</v>
      </c>
      <c r="AZ12" s="37" t="n">
        <f aca="false">'P&amp;L monthly'!AZ12/FX_EUR</f>
        <v>124816.087354439</v>
      </c>
      <c r="BA12" s="37" t="n">
        <f aca="false">'P&amp;L monthly'!BA12/FX_EUR</f>
        <v>130460.34787934</v>
      </c>
      <c r="BB12" s="37" t="n">
        <f aca="false">'P&amp;L monthly'!BB12/FX_EUR</f>
        <v>136075.142583964</v>
      </c>
      <c r="BC12" s="37" t="n">
        <f aca="false">'P&amp;L monthly'!BC12/FX_EUR</f>
        <v>141830.684395413</v>
      </c>
      <c r="BD12" s="37" t="n">
        <f aca="false">'P&amp;L monthly'!BD12/FX_EUR</f>
        <v>147710.843776065</v>
      </c>
      <c r="BE12" s="37" t="n">
        <f aca="false">'P&amp;L monthly'!BE12/FX_EUR</f>
        <v>153733.353781167</v>
      </c>
      <c r="BF12" s="37" t="n">
        <f aca="false">'P&amp;L monthly'!BF12/FX_EUR</f>
        <v>159731.417246146</v>
      </c>
      <c r="BG12" s="37" t="n">
        <f aca="false">'P&amp;L monthly'!BG12/FX_EUR</f>
        <v>166026.661579907</v>
      </c>
      <c r="BH12" s="37" t="n">
        <f aca="false">'P&amp;L monthly'!BH12/FX_EUR</f>
        <v>172299.850138974</v>
      </c>
      <c r="BI12" s="37" t="n">
        <f aca="false">'P&amp;L monthly'!BI12/FX_EUR</f>
        <v>178721.985585997</v>
      </c>
      <c r="BJ12" s="37" t="n">
        <f aca="false">'P&amp;L monthly'!BJ12/FX_EUR</f>
        <v>185126.846620754</v>
      </c>
      <c r="BK12" s="37" t="n">
        <f aca="false">'P&amp;L monthly'!BK12/FX_EUR</f>
        <v>191807.920972771</v>
      </c>
      <c r="BL12" s="37" t="n">
        <f aca="false">'P&amp;L monthly'!BL12/FX_EUR</f>
        <v>198581.2997854</v>
      </c>
    </row>
    <row r="13" customFormat="false" ht="15" hidden="false" customHeight="false" outlineLevel="0" collapsed="false">
      <c r="A13" s="12" t="s">
        <v>790</v>
      </c>
      <c r="B13" s="14" t="s">
        <v>73</v>
      </c>
      <c r="D13" s="55" t="n">
        <f aca="false">'P&amp;L monthly'!D13/FX_EUR</f>
        <v>142927.26452949</v>
      </c>
      <c r="E13" s="37" t="n">
        <f aca="false">'P&amp;L monthly'!E13/FX_EUR</f>
        <v>0</v>
      </c>
      <c r="F13" s="37" t="n">
        <f aca="false">'P&amp;L monthly'!F13/FX_EUR</f>
        <v>0</v>
      </c>
      <c r="G13" s="37" t="n">
        <f aca="false">'P&amp;L monthly'!G13/FX_EUR</f>
        <v>0</v>
      </c>
      <c r="H13" s="37" t="n">
        <f aca="false">'P&amp;L monthly'!H13/FX_EUR</f>
        <v>0</v>
      </c>
      <c r="I13" s="37" t="n">
        <f aca="false">'P&amp;L monthly'!I13/FX_EUR</f>
        <v>569.447895720807</v>
      </c>
      <c r="J13" s="37" t="n">
        <f aca="false">'P&amp;L monthly'!J13/FX_EUR</f>
        <v>575.393407393066</v>
      </c>
      <c r="K13" s="37" t="n">
        <f aca="false">'P&amp;L monthly'!K13/FX_EUR</f>
        <v>581.695649765661</v>
      </c>
      <c r="L13" s="37" t="n">
        <f aca="false">'P&amp;L monthly'!L13/FX_EUR</f>
        <v>588.376026680611</v>
      </c>
      <c r="M13" s="37" t="n">
        <f aca="false">'P&amp;L monthly'!M13/FX_EUR</f>
        <v>595.457226210458</v>
      </c>
      <c r="N13" s="37" t="n">
        <f aca="false">'P&amp;L monthly'!N13/FX_EUR</f>
        <v>602.963297712096</v>
      </c>
      <c r="O13" s="37" t="n">
        <f aca="false">'P&amp;L monthly'!O13/FX_EUR</f>
        <v>610.919733503832</v>
      </c>
      <c r="P13" s="37" t="n">
        <f aca="false">'P&amp;L monthly'!P13/FX_EUR</f>
        <v>619.353555443073</v>
      </c>
      <c r="Q13" s="37" t="n">
        <f aca="false">'P&amp;L monthly'!Q13/FX_EUR</f>
        <v>801.373857602208</v>
      </c>
      <c r="R13" s="37" t="n">
        <f aca="false">'P&amp;L monthly'!R13/FX_EUR</f>
        <v>810.850099933139</v>
      </c>
      <c r="S13" s="37" t="n">
        <f aca="false">'P&amp;L monthly'!S13/FX_EUR</f>
        <v>820.894916803925</v>
      </c>
      <c r="T13" s="37" t="n">
        <f aca="false">'P&amp;L monthly'!T13/FX_EUR</f>
        <v>831.542422686959</v>
      </c>
      <c r="U13" s="37" t="n">
        <f aca="false">'P&amp;L monthly'!U13/FX_EUR</f>
        <v>842.828778922975</v>
      </c>
      <c r="V13" s="37" t="n">
        <f aca="false">'P&amp;L monthly'!V13/FX_EUR</f>
        <v>854.792316533151</v>
      </c>
      <c r="W13" s="37" t="n">
        <f aca="false">'P&amp;L monthly'!W13/FX_EUR</f>
        <v>1377.46644539816</v>
      </c>
      <c r="X13" s="37" t="n">
        <f aca="false">'P&amp;L monthly'!X13/FX_EUR</f>
        <v>1394.47598326031</v>
      </c>
      <c r="Y13" s="37" t="n">
        <f aca="false">'P&amp;L monthly'!Y13/FX_EUR</f>
        <v>1412.50609339418</v>
      </c>
      <c r="Z13" s="37" t="n">
        <f aca="false">'P&amp;L monthly'!Z13/FX_EUR</f>
        <v>1431.6180101361</v>
      </c>
      <c r="AA13" s="37" t="n">
        <f aca="false">'P&amp;L monthly'!AA13/FX_EUR</f>
        <v>1451.87664188252</v>
      </c>
      <c r="AB13" s="37" t="n">
        <f aca="false">'P&amp;L monthly'!AB13/FX_EUR</f>
        <v>1572.44265273805</v>
      </c>
      <c r="AC13" s="37" t="n">
        <f aca="false">'P&amp;L monthly'!AC13/FX_EUR</f>
        <v>1942.68737799147</v>
      </c>
      <c r="AD13" s="37" t="n">
        <f aca="false">'P&amp;L monthly'!AD13/FX_EUR</f>
        <v>1966.81573253957</v>
      </c>
      <c r="AE13" s="37" t="n">
        <f aca="false">'P&amp;L monthly'!AE13/FX_EUR</f>
        <v>1992.39178836056</v>
      </c>
      <c r="AF13" s="37" t="n">
        <f aca="false">'P&amp;L monthly'!AF13/FX_EUR</f>
        <v>2118.59426873513</v>
      </c>
      <c r="AG13" s="37" t="n">
        <f aca="false">'P&amp;L monthly'!AG13/FX_EUR</f>
        <v>2147.33152505559</v>
      </c>
      <c r="AH13" s="37" t="n">
        <f aca="false">'P&amp;L monthly'!AH13/FX_EUR</f>
        <v>2177.79301675528</v>
      </c>
      <c r="AI13" s="37" t="n">
        <f aca="false">'P&amp;L monthly'!AI13/FX_EUR</f>
        <v>2210.08219795695</v>
      </c>
      <c r="AJ13" s="37" t="n">
        <f aca="false">'P&amp;L monthly'!AJ13/FX_EUR</f>
        <v>2343.40059123504</v>
      </c>
      <c r="AK13" s="37" t="n">
        <f aca="false">'P&amp;L monthly'!AK13/FX_EUR</f>
        <v>2379.68071523323</v>
      </c>
      <c r="AL13" s="37" t="n">
        <f aca="false">'P&amp;L monthly'!AL13/FX_EUR</f>
        <v>2418.13764667132</v>
      </c>
      <c r="AM13" s="37" t="n">
        <f aca="false">'P&amp;L monthly'!AM13/FX_EUR</f>
        <v>2557.99385520002</v>
      </c>
      <c r="AN13" s="37" t="n">
        <f aca="false">'P&amp;L monthly'!AN13/FX_EUR</f>
        <v>2690.38673844774</v>
      </c>
      <c r="AO13" s="37" t="n">
        <f aca="false">'P&amp;L monthly'!AO13/FX_EUR</f>
        <v>2909.27001000494</v>
      </c>
      <c r="AP13" s="37" t="n">
        <f aca="false">'P&amp;L monthly'!AP13/FX_EUR</f>
        <v>3056.91286110215</v>
      </c>
      <c r="AQ13" s="37" t="n">
        <f aca="false">'P&amp;L monthly'!AQ13/FX_EUR</f>
        <v>3108.37691038861</v>
      </c>
      <c r="AR13" s="37" t="n">
        <f aca="false">'P&amp;L monthly'!AR13/FX_EUR</f>
        <v>3262.02066383658</v>
      </c>
      <c r="AS13" s="37" t="n">
        <f aca="false">'P&amp;L monthly'!AS13/FX_EUR</f>
        <v>3305.25419488354</v>
      </c>
      <c r="AT13" s="37" t="n">
        <f aca="false">'P&amp;L monthly'!AT13/FX_EUR</f>
        <v>3506.38365543476</v>
      </c>
      <c r="AU13" s="37" t="n">
        <f aca="false">'P&amp;L monthly'!AU13/FX_EUR</f>
        <v>3520.00987515355</v>
      </c>
      <c r="AV13" s="37" t="n">
        <f aca="false">'P&amp;L monthly'!AV13/FX_EUR</f>
        <v>3534.45366805547</v>
      </c>
      <c r="AW13" s="37" t="n">
        <f aca="false">'P&amp;L monthly'!AW13/FX_EUR</f>
        <v>3648.85594973582</v>
      </c>
      <c r="AX13" s="37" t="n">
        <f aca="false">'P&amp;L monthly'!AX13/FX_EUR</f>
        <v>3665.08499544042</v>
      </c>
      <c r="AY13" s="37" t="n">
        <f aca="false">'P&amp;L monthly'!AY13/FX_EUR</f>
        <v>3870.5623201755</v>
      </c>
      <c r="AZ13" s="37" t="n">
        <f aca="false">'P&amp;L monthly'!AZ13/FX_EUR</f>
        <v>3888.79727592919</v>
      </c>
      <c r="BA13" s="37" t="n">
        <f aca="false">'P&amp;L monthly'!BA13/FX_EUR</f>
        <v>4181.61986595201</v>
      </c>
      <c r="BB13" s="37" t="n">
        <f aca="false">'P&amp;L monthly'!BB13/FX_EUR</f>
        <v>4202.10866223686</v>
      </c>
      <c r="BC13" s="37" t="n">
        <f aca="false">'P&amp;L monthly'!BC13/FX_EUR</f>
        <v>4322.91864750311</v>
      </c>
      <c r="BD13" s="37" t="n">
        <f aca="false">'P&amp;L monthly'!BD13/FX_EUR</f>
        <v>4435.12253409264</v>
      </c>
      <c r="BE13" s="37" t="n">
        <f aca="false">'P&amp;L monthly'!BE13/FX_EUR</f>
        <v>4558.61687949295</v>
      </c>
      <c r="BF13" s="37" t="n">
        <f aca="false">'P&amp;L monthly'!BF13/FX_EUR</f>
        <v>4584.4835127407</v>
      </c>
      <c r="BG13" s="37" t="n">
        <f aca="false">'P&amp;L monthly'!BG13/FX_EUR</f>
        <v>4800.17668027151</v>
      </c>
      <c r="BH13" s="37" t="n">
        <f aca="false">'P&amp;L monthly'!BH13/FX_EUR</f>
        <v>4829.24042938868</v>
      </c>
      <c r="BI13" s="37" t="n">
        <f aca="false">'P&amp;L monthly'!BI13/FX_EUR</f>
        <v>4959.1398646572</v>
      </c>
      <c r="BJ13" s="37" t="n">
        <f aca="false">'P&amp;L monthly'!BJ13/FX_EUR</f>
        <v>4991.79589316525</v>
      </c>
      <c r="BK13" s="37" t="n">
        <f aca="false">'P&amp;L monthly'!BK13/FX_EUR</f>
        <v>5197.69842637043</v>
      </c>
      <c r="BL13" s="37" t="n">
        <f aca="false">'P&amp;L monthly'!BL13/FX_EUR</f>
        <v>5296.79028757474</v>
      </c>
    </row>
    <row r="14" customFormat="false" ht="15" hidden="false" customHeight="false" outlineLevel="0" collapsed="false">
      <c r="A14" s="12" t="s">
        <v>851</v>
      </c>
      <c r="B14" s="14" t="s">
        <v>73</v>
      </c>
      <c r="D14" s="55" t="n">
        <f aca="false">'P&amp;L monthly'!D14/FX_EUR</f>
        <v>205297.631532735</v>
      </c>
      <c r="E14" s="37" t="n">
        <f aca="false">'P&amp;L monthly'!E14/FX_EUR</f>
        <v>0</v>
      </c>
      <c r="F14" s="37" t="n">
        <f aca="false">'P&amp;L monthly'!F14/FX_EUR</f>
        <v>0</v>
      </c>
      <c r="G14" s="37" t="n">
        <f aca="false">'P&amp;L monthly'!G14/FX_EUR</f>
        <v>0</v>
      </c>
      <c r="H14" s="37" t="n">
        <f aca="false">'P&amp;L monthly'!H14/FX_EUR</f>
        <v>0</v>
      </c>
      <c r="I14" s="37" t="n">
        <f aca="false">'P&amp;L monthly'!I14/FX_EUR</f>
        <v>48.1840527148375</v>
      </c>
      <c r="J14" s="37" t="n">
        <f aca="false">'P&amp;L monthly'!J14/FX_EUR</f>
        <v>96.4441012647679</v>
      </c>
      <c r="K14" s="37" t="n">
        <f aca="false">'P&amp;L monthly'!K14/FX_EUR</f>
        <v>144.809895884944</v>
      </c>
      <c r="L14" s="37" t="n">
        <f aca="false">'P&amp;L monthly'!L14/FX_EUR</f>
        <v>193.312731925613</v>
      </c>
      <c r="M14" s="37" t="n">
        <f aca="false">'P&amp;L monthly'!M14/FX_EUR</f>
        <v>241.985544995396</v>
      </c>
      <c r="N14" s="37" t="n">
        <f aca="false">'P&amp;L monthly'!N14/FX_EUR</f>
        <v>290.863011786926</v>
      </c>
      <c r="O14" s="37" t="n">
        <f aca="false">'P&amp;L monthly'!O14/FX_EUR</f>
        <v>339.98165692608</v>
      </c>
      <c r="P14" s="37" t="n">
        <f aca="false">'P&amp;L monthly'!P14/FX_EUR</f>
        <v>389.379966206527</v>
      </c>
      <c r="Q14" s="37" t="n">
        <f aca="false">'P&amp;L monthly'!Q14/FX_EUR</f>
        <v>453.743775515583</v>
      </c>
      <c r="R14" s="37" t="n">
        <f aca="false">'P&amp;L monthly'!R14/FX_EUR</f>
        <v>518.340780906599</v>
      </c>
      <c r="S14" s="37" t="n">
        <f aca="false">'P&amp;L monthly'!S14/FX_EUR</f>
        <v>583.217324040229</v>
      </c>
      <c r="T14" s="37" t="n">
        <f aca="false">'P&amp;L monthly'!T14/FX_EUR</f>
        <v>648.422220263144</v>
      </c>
      <c r="U14" s="37" t="n">
        <f aca="false">'P&amp;L monthly'!U14/FX_EUR</f>
        <v>714.006910132667</v>
      </c>
      <c r="V14" s="37" t="n">
        <f aca="false">'P&amp;L monthly'!V14/FX_EUR</f>
        <v>780.025619999573</v>
      </c>
      <c r="W14" s="37" t="n">
        <f aca="false">'P&amp;L monthly'!W14/FX_EUR</f>
        <v>889.688767338934</v>
      </c>
      <c r="X14" s="37" t="n">
        <f aca="false">'P&amp;L monthly'!X14/FX_EUR</f>
        <v>999.822790145362</v>
      </c>
      <c r="Y14" s="37" t="n">
        <f aca="false">'P&amp;L monthly'!Y14/FX_EUR</f>
        <v>1110.51037432313</v>
      </c>
      <c r="Z14" s="37" t="n">
        <f aca="false">'P&amp;L monthly'!Z14/FX_EUR</f>
        <v>1221.83865097385</v>
      </c>
      <c r="AA14" s="37" t="n">
        <f aca="false">'P&amp;L monthly'!AA14/FX_EUR</f>
        <v>1333.89946832437</v>
      </c>
      <c r="AB14" s="37" t="n">
        <f aca="false">'P&amp;L monthly'!AB14/FX_EUR</f>
        <v>1455.17437586236</v>
      </c>
      <c r="AC14" s="37" t="n">
        <f aca="false">'P&amp;L monthly'!AC14/FX_EUR</f>
        <v>1606.70885681095</v>
      </c>
      <c r="AD14" s="37" t="n">
        <f aca="false">'P&amp;L monthly'!AD14/FX_EUR</f>
        <v>1758.9484648031</v>
      </c>
      <c r="AE14" s="37" t="n">
        <f aca="false">'P&amp;L monthly'!AE14/FX_EUR</f>
        <v>1912.01012507443</v>
      </c>
      <c r="AF14" s="37" t="n">
        <f aca="false">'P&amp;L monthly'!AF14/FX_EUR</f>
        <v>2074.40176824634</v>
      </c>
      <c r="AG14" s="37" t="n">
        <f aca="false">'P&amp;L monthly'!AG14/FX_EUR</f>
        <v>2237.79430927824</v>
      </c>
      <c r="AH14" s="37" t="n">
        <f aca="false">'P&amp;L monthly'!AH14/FX_EUR</f>
        <v>2402.32548217384</v>
      </c>
      <c r="AI14" s="37" t="n">
        <f aca="false">'P&amp;L monthly'!AI14/FX_EUR</f>
        <v>2568.14055099328</v>
      </c>
      <c r="AJ14" s="37" t="n">
        <f aca="false">'P&amp;L monthly'!AJ14/FX_EUR</f>
        <v>2743.77746500168</v>
      </c>
      <c r="AK14" s="37" t="n">
        <f aca="false">'P&amp;L monthly'!AK14/FX_EUR</f>
        <v>2920.93893860253</v>
      </c>
      <c r="AL14" s="37" t="n">
        <f aca="false">'P&amp;L monthly'!AL14/FX_EUR</f>
        <v>3099.79639308198</v>
      </c>
      <c r="AM14" s="37" t="n">
        <f aca="false">'P&amp;L monthly'!AM14/FX_EUR</f>
        <v>3288.91547702737</v>
      </c>
      <c r="AN14" s="37" t="n">
        <f aca="false">'P&amp;L monthly'!AN14/FX_EUR</f>
        <v>3487.57446540498</v>
      </c>
      <c r="AO14" s="37" t="n">
        <f aca="false">'P&amp;L monthly'!AO14/FX_EUR</f>
        <v>3703.00800251667</v>
      </c>
      <c r="AP14" s="37" t="n">
        <f aca="false">'P&amp;L monthly'!AP14/FX_EUR</f>
        <v>3929.04019292073</v>
      </c>
      <c r="AQ14" s="37" t="n">
        <f aca="false">'P&amp;L monthly'!AQ14/FX_EUR</f>
        <v>4157.43978534444</v>
      </c>
      <c r="AR14" s="37" t="n">
        <f aca="false">'P&amp;L monthly'!AR14/FX_EUR</f>
        <v>4396.83271116659</v>
      </c>
      <c r="AS14" s="37" t="n">
        <f aca="false">'P&amp;L monthly'!AS14/FX_EUR</f>
        <v>4637.78006751424</v>
      </c>
      <c r="AT14" s="37" t="n">
        <f aca="false">'P&amp;L monthly'!AT14/FX_EUR</f>
        <v>4893.62948678317</v>
      </c>
      <c r="AU14" s="37" t="n">
        <f aca="false">'P&amp;L monthly'!AU14/FX_EUR</f>
        <v>5148.38420589844</v>
      </c>
      <c r="AV14" s="37" t="n">
        <f aca="false">'P&amp;L monthly'!AV14/FX_EUR</f>
        <v>5402.12415234108</v>
      </c>
      <c r="AW14" s="37" t="n">
        <f aca="false">'P&amp;L monthly'!AW14/FX_EUR</f>
        <v>5663.31737478034</v>
      </c>
      <c r="AX14" s="37" t="n">
        <f aca="false">'P&amp;L monthly'!AX14/FX_EUR</f>
        <v>5923.59185560532</v>
      </c>
      <c r="AY14" s="37" t="n">
        <f aca="false">'P&amp;L monthly'!AY14/FX_EUR</f>
        <v>6198.97009145629</v>
      </c>
      <c r="AZ14" s="37" t="n">
        <f aca="false">'P&amp;L monthly'!AZ14/FX_EUR</f>
        <v>6473.47564429617</v>
      </c>
      <c r="BA14" s="37" t="n">
        <f aca="false">'P&amp;L monthly'!BA14/FX_EUR</f>
        <v>6770.35167229897</v>
      </c>
      <c r="BB14" s="37" t="n">
        <f aca="false">'P&amp;L monthly'!BB14/FX_EUR</f>
        <v>7066.357331344</v>
      </c>
      <c r="BC14" s="37" t="n">
        <f aca="false">'P&amp;L monthly'!BC14/FX_EUR</f>
        <v>7369.99021942387</v>
      </c>
      <c r="BD14" s="37" t="n">
        <f aca="false">'P&amp;L monthly'!BD14/FX_EUR</f>
        <v>7680.45567325621</v>
      </c>
      <c r="BE14" s="37" t="n">
        <f aca="false">'P&amp;L monthly'!BE14/FX_EUR</f>
        <v>7998.64965304291</v>
      </c>
      <c r="BF14" s="37" t="n">
        <f aca="false">'P&amp;L monthly'!BF14/FX_EUR</f>
        <v>8316.2440453873</v>
      </c>
      <c r="BG14" s="37" t="n">
        <f aca="false">'P&amp;L monthly'!BG14/FX_EUR</f>
        <v>8649.30763088867</v>
      </c>
      <c r="BH14" s="37" t="n">
        <f aca="false">'P&amp;L monthly'!BH14/FX_EUR</f>
        <v>8981.91278052093</v>
      </c>
      <c r="BI14" s="37" t="n">
        <f aca="false">'P&amp;L monthly'!BI14/FX_EUR</f>
        <v>9322.59707565133</v>
      </c>
      <c r="BJ14" s="37" t="n">
        <f aca="false">'P&amp;L monthly'!BJ14/FX_EUR</f>
        <v>9663.06186860987</v>
      </c>
      <c r="BK14" s="37" t="n">
        <f aca="false">'P&amp;L monthly'!BK14/FX_EUR</f>
        <v>10017.9697019424</v>
      </c>
      <c r="BL14" s="37" t="n">
        <f aca="false">'P&amp;L monthly'!BL14/FX_EUR</f>
        <v>10378.1559937156</v>
      </c>
    </row>
    <row r="15" customFormat="false" ht="15" hidden="false" customHeight="false" outlineLevel="0" collapsed="false">
      <c r="A15" s="12" t="s">
        <v>791</v>
      </c>
      <c r="B15" s="14" t="s">
        <v>73</v>
      </c>
      <c r="D15" s="55" t="n">
        <f aca="false">'P&amp;L monthly'!D15/FX_EUR</f>
        <v>1416045.60996547</v>
      </c>
      <c r="E15" s="37" t="n">
        <f aca="false">'P&amp;L monthly'!E15/FX_EUR</f>
        <v>0</v>
      </c>
      <c r="F15" s="37" t="n">
        <f aca="false">'P&amp;L monthly'!F15/FX_EUR</f>
        <v>0</v>
      </c>
      <c r="G15" s="37" t="n">
        <f aca="false">'P&amp;L monthly'!G15/FX_EUR</f>
        <v>0</v>
      </c>
      <c r="H15" s="37" t="n">
        <f aca="false">'P&amp;L monthly'!H15/FX_EUR</f>
        <v>0</v>
      </c>
      <c r="I15" s="37" t="n">
        <f aca="false">'P&amp;L monthly'!I15/FX_EUR</f>
        <v>0</v>
      </c>
      <c r="J15" s="37" t="n">
        <f aca="false">'P&amp;L monthly'!J15/FX_EUR</f>
        <v>0</v>
      </c>
      <c r="K15" s="37" t="n">
        <f aca="false">'P&amp;L monthly'!K15/FX_EUR</f>
        <v>0</v>
      </c>
      <c r="L15" s="37" t="n">
        <f aca="false">'P&amp;L monthly'!L15/FX_EUR</f>
        <v>0</v>
      </c>
      <c r="M15" s="37" t="n">
        <f aca="false">'P&amp;L monthly'!M15/FX_EUR</f>
        <v>0</v>
      </c>
      <c r="N15" s="37" t="n">
        <f aca="false">'P&amp;L monthly'!N15/FX_EUR</f>
        <v>0</v>
      </c>
      <c r="O15" s="37" t="n">
        <f aca="false">'P&amp;L monthly'!O15/FX_EUR</f>
        <v>0</v>
      </c>
      <c r="P15" s="37" t="n">
        <f aca="false">'P&amp;L monthly'!P15/FX_EUR</f>
        <v>0</v>
      </c>
      <c r="Q15" s="37" t="n">
        <f aca="false">'P&amp;L monthly'!Q15/FX_EUR</f>
        <v>0</v>
      </c>
      <c r="R15" s="37" t="n">
        <f aca="false">'P&amp;L monthly'!R15/FX_EUR</f>
        <v>0</v>
      </c>
      <c r="S15" s="37" t="n">
        <f aca="false">'P&amp;L monthly'!S15/FX_EUR</f>
        <v>0</v>
      </c>
      <c r="T15" s="37" t="n">
        <f aca="false">'P&amp;L monthly'!T15/FX_EUR</f>
        <v>0</v>
      </c>
      <c r="U15" s="37" t="n">
        <f aca="false">'P&amp;L monthly'!U15/FX_EUR</f>
        <v>0</v>
      </c>
      <c r="V15" s="37" t="n">
        <f aca="false">'P&amp;L monthly'!V15/FX_EUR</f>
        <v>483.845258004381</v>
      </c>
      <c r="W15" s="37" t="n">
        <f aca="false">'P&amp;L monthly'!W15/FX_EUR</f>
        <v>1103.38804732844</v>
      </c>
      <c r="X15" s="37" t="n">
        <f aca="false">'P&amp;L monthly'!X15/FX_EUR</f>
        <v>1858.95709941599</v>
      </c>
      <c r="Y15" s="37" t="n">
        <f aca="false">'P&amp;L monthly'!Y15/FX_EUR</f>
        <v>2751.09916938595</v>
      </c>
      <c r="Z15" s="37" t="n">
        <f aca="false">'P&amp;L monthly'!Z15/FX_EUR</f>
        <v>3780.59205099697</v>
      </c>
      <c r="AA15" s="37" t="n">
        <f aca="false">'P&amp;L monthly'!AA15/FX_EUR</f>
        <v>4948.45859142514</v>
      </c>
      <c r="AB15" s="37" t="n">
        <f aca="false">'P&amp;L monthly'!AB15/FX_EUR</f>
        <v>6293.0205337379</v>
      </c>
      <c r="AC15" s="37" t="n">
        <f aca="false">'P&amp;L monthly'!AC15/FX_EUR</f>
        <v>7937.3139789521</v>
      </c>
      <c r="AD15" s="37" t="n">
        <f aca="false">'P&amp;L monthly'!AD15/FX_EUR</f>
        <v>9769.6936820443</v>
      </c>
      <c r="AE15" s="37" t="n">
        <f aca="false">'P&amp;L monthly'!AE15/FX_EUR</f>
        <v>11791.51463734</v>
      </c>
      <c r="AF15" s="37" t="n">
        <f aca="false">'P&amp;L monthly'!AF15/FX_EUR</f>
        <v>14062.6831770765</v>
      </c>
      <c r="AG15" s="37" t="n">
        <f aca="false">'P&amp;L monthly'!AG15/FX_EUR</f>
        <v>16536.8931896217</v>
      </c>
      <c r="AH15" s="37" t="n">
        <f aca="false">'P&amp;L monthly'!AH15/FX_EUR</f>
        <v>17738.2432451319</v>
      </c>
      <c r="AI15" s="37" t="n">
        <f aca="false">'P&amp;L monthly'!AI15/FX_EUR</f>
        <v>18946.285242848</v>
      </c>
      <c r="AJ15" s="37" t="n">
        <f aca="false">'P&amp;L monthly'!AJ15/FX_EUR</f>
        <v>20225.6970069141</v>
      </c>
      <c r="AK15" s="37" t="n">
        <f aca="false">'P&amp;L monthly'!AK15/FX_EUR</f>
        <v>21513.4702137853</v>
      </c>
      <c r="AL15" s="37" t="n">
        <f aca="false">'P&amp;L monthly'!AL15/FX_EUR</f>
        <v>22810.9222692814</v>
      </c>
      <c r="AM15" s="37" t="n">
        <f aca="false">'P&amp;L monthly'!AM15/FX_EUR</f>
        <v>24182.9334396525</v>
      </c>
      <c r="AN15" s="37" t="n">
        <f aca="false">'P&amp;L monthly'!AN15/FX_EUR</f>
        <v>25623.8552251299</v>
      </c>
      <c r="AO15" s="37" t="n">
        <f aca="false">'P&amp;L monthly'!AO15/FX_EUR</f>
        <v>27188.3103339784</v>
      </c>
      <c r="AP15" s="37" t="n">
        <f aca="false">'P&amp;L monthly'!AP15/FX_EUR</f>
        <v>28829.2029076754</v>
      </c>
      <c r="AQ15" s="37" t="n">
        <f aca="false">'P&amp;L monthly'!AQ15/FX_EUR</f>
        <v>30484.0206276781</v>
      </c>
      <c r="AR15" s="37" t="n">
        <f aca="false">'P&amp;L monthly'!AR15/FX_EUR</f>
        <v>32218.0990801483</v>
      </c>
      <c r="AS15" s="37" t="n">
        <f aca="false">'P&amp;L monthly'!AS15/FX_EUR</f>
        <v>33959.7743880028</v>
      </c>
      <c r="AT15" s="37" t="n">
        <f aca="false">'P&amp;L monthly'!AT15/FX_EUR</f>
        <v>35810.1599335821</v>
      </c>
      <c r="AU15" s="37" t="n">
        <f aca="false">'P&amp;L monthly'!AU15/FX_EUR</f>
        <v>37647.8432291014</v>
      </c>
      <c r="AV15" s="37" t="n">
        <f aca="false">'P&amp;L monthly'!AV15/FX_EUR</f>
        <v>39473.5301149519</v>
      </c>
      <c r="AW15" s="37" t="n">
        <f aca="false">'P&amp;L monthly'!AW15/FX_EUR</f>
        <v>41351.4437406379</v>
      </c>
      <c r="AX15" s="37" t="n">
        <f aca="false">'P&amp;L monthly'!AX15/FX_EUR</f>
        <v>43218.0848271101</v>
      </c>
      <c r="AY15" s="37" t="n">
        <f aca="false">'P&amp;L monthly'!AY15/FX_EUR</f>
        <v>45194.8820342534</v>
      </c>
      <c r="AZ15" s="37" t="n">
        <f aca="false">'P&amp;L monthly'!AZ15/FX_EUR</f>
        <v>47160.5732812752</v>
      </c>
      <c r="BA15" s="37" t="n">
        <f aca="false">'P&amp;L monthly'!BA15/FX_EUR</f>
        <v>49291.2693223984</v>
      </c>
      <c r="BB15" s="37" t="n">
        <f aca="false">'P&amp;L monthly'!BB15/FX_EUR</f>
        <v>51410.5319964453</v>
      </c>
      <c r="BC15" s="37" t="n">
        <f aca="false">'P&amp;L monthly'!BC15/FX_EUR</f>
        <v>53582.813773794</v>
      </c>
      <c r="BD15" s="37" t="n">
        <f aca="false">'P&amp;L monthly'!BD15/FX_EUR</f>
        <v>55802.0013823036</v>
      </c>
      <c r="BE15" s="37" t="n">
        <f aca="false">'P&amp;L monthly'!BE15/FX_EUR</f>
        <v>58074.804123608</v>
      </c>
      <c r="BF15" s="37" t="n">
        <f aca="false">'P&amp;L monthly'!BF15/FX_EUR</f>
        <v>60338.0604781725</v>
      </c>
      <c r="BG15" s="37" t="n">
        <f aca="false">'P&amp;L monthly'!BG15/FX_EUR</f>
        <v>62713.5537759372</v>
      </c>
      <c r="BH15" s="37" t="n">
        <f aca="false">'P&amp;L monthly'!BH15/FX_EUR</f>
        <v>65080.3945815661</v>
      </c>
      <c r="BI15" s="37" t="n">
        <f aca="false">'P&amp;L monthly'!BI15/FX_EUR</f>
        <v>67503.334170469</v>
      </c>
      <c r="BJ15" s="37" t="n">
        <f aca="false">'P&amp;L monthly'!BJ15/FX_EUR</f>
        <v>69919.4288102844</v>
      </c>
      <c r="BK15" s="37" t="n">
        <f aca="false">'P&amp;L monthly'!BK15/FX_EUR</f>
        <v>72439.8068378826</v>
      </c>
      <c r="BL15" s="37" t="n">
        <f aca="false">'P&amp;L monthly'!BL15/FX_EUR</f>
        <v>74994.8201561386</v>
      </c>
    </row>
    <row r="16" customFormat="false" ht="15" hidden="false" customHeight="false" outlineLevel="0" collapsed="false">
      <c r="A16" s="12" t="s">
        <v>852</v>
      </c>
      <c r="B16" s="14" t="s">
        <v>73</v>
      </c>
      <c r="D16" s="55" t="n">
        <f aca="false">'P&amp;L monthly'!D16/FX_EUR</f>
        <v>1905709.3964313</v>
      </c>
      <c r="E16" s="37" t="n">
        <f aca="false">'P&amp;L monthly'!E16/FX_EUR</f>
        <v>0</v>
      </c>
      <c r="F16" s="37" t="n">
        <f aca="false">'P&amp;L monthly'!F16/FX_EUR</f>
        <v>0</v>
      </c>
      <c r="G16" s="37" t="n">
        <f aca="false">'P&amp;L monthly'!G16/FX_EUR</f>
        <v>0</v>
      </c>
      <c r="H16" s="37" t="n">
        <f aca="false">'P&amp;L monthly'!H16/FX_EUR</f>
        <v>0</v>
      </c>
      <c r="I16" s="37" t="n">
        <f aca="false">'P&amp;L monthly'!I16/FX_EUR</f>
        <v>0</v>
      </c>
      <c r="J16" s="37" t="n">
        <f aca="false">'P&amp;L monthly'!J16/FX_EUR</f>
        <v>0</v>
      </c>
      <c r="K16" s="37" t="n">
        <f aca="false">'P&amp;L monthly'!K16/FX_EUR</f>
        <v>0</v>
      </c>
      <c r="L16" s="37" t="n">
        <f aca="false">'P&amp;L monthly'!L16/FX_EUR</f>
        <v>0</v>
      </c>
      <c r="M16" s="37" t="n">
        <f aca="false">'P&amp;L monthly'!M16/FX_EUR</f>
        <v>0</v>
      </c>
      <c r="N16" s="37" t="n">
        <f aca="false">'P&amp;L monthly'!N16/FX_EUR</f>
        <v>0</v>
      </c>
      <c r="O16" s="37" t="n">
        <f aca="false">'P&amp;L monthly'!O16/FX_EUR</f>
        <v>0</v>
      </c>
      <c r="P16" s="37" t="n">
        <f aca="false">'P&amp;L monthly'!P16/FX_EUR</f>
        <v>0</v>
      </c>
      <c r="Q16" s="37" t="n">
        <f aca="false">'P&amp;L monthly'!Q16/FX_EUR</f>
        <v>0</v>
      </c>
      <c r="R16" s="37" t="n">
        <f aca="false">'P&amp;L monthly'!R16/FX_EUR</f>
        <v>0</v>
      </c>
      <c r="S16" s="37" t="n">
        <f aca="false">'P&amp;L monthly'!S16/FX_EUR</f>
        <v>0</v>
      </c>
      <c r="T16" s="37" t="n">
        <f aca="false">'P&amp;L monthly'!T16/FX_EUR</f>
        <v>0</v>
      </c>
      <c r="U16" s="37" t="n">
        <f aca="false">'P&amp;L monthly'!U16/FX_EUR</f>
        <v>0</v>
      </c>
      <c r="V16" s="37" t="n">
        <f aca="false">'P&amp;L monthly'!V16/FX_EUR</f>
        <v>131.780055572947</v>
      </c>
      <c r="W16" s="37" t="n">
        <f aca="false">'P&amp;L monthly'!W16/FX_EUR</f>
        <v>432.154888464511</v>
      </c>
      <c r="X16" s="37" t="n">
        <f aca="false">'P&amp;L monthly'!X16/FX_EUR</f>
        <v>806.017282811909</v>
      </c>
      <c r="Y16" s="37" t="n">
        <f aca="false">'P&amp;L monthly'!Y16/FX_EUR</f>
        <v>1289.25387104657</v>
      </c>
      <c r="Z16" s="37" t="n">
        <f aca="false">'P&amp;L monthly'!Z16/FX_EUR</f>
        <v>1888.85745304837</v>
      </c>
      <c r="AA16" s="37" t="n">
        <f aca="false">'P&amp;L monthly'!AA16/FX_EUR</f>
        <v>2575.85875366292</v>
      </c>
      <c r="AB16" s="37" t="n">
        <f aca="false">'P&amp;L monthly'!AB16/FX_EUR</f>
        <v>3361.98056399033</v>
      </c>
      <c r="AC16" s="37" t="n">
        <f aca="false">'P&amp;L monthly'!AC16/FX_EUR</f>
        <v>7879.06303573771</v>
      </c>
      <c r="AD16" s="37" t="n">
        <f aca="false">'P&amp;L monthly'!AD16/FX_EUR</f>
        <v>9796.51473840657</v>
      </c>
      <c r="AE16" s="37" t="n">
        <f aca="false">'P&amp;L monthly'!AE16/FX_EUR</f>
        <v>12097.4599832305</v>
      </c>
      <c r="AF16" s="37" t="n">
        <f aca="false">'P&amp;L monthly'!AF16/FX_EUR</f>
        <v>14850.7253843157</v>
      </c>
      <c r="AG16" s="37" t="n">
        <f aca="false">'P&amp;L monthly'!AG16/FX_EUR</f>
        <v>17902.4942437388</v>
      </c>
      <c r="AH16" s="37" t="n">
        <f aca="false">'P&amp;L monthly'!AH16/FX_EUR</f>
        <v>20552.2861555164</v>
      </c>
      <c r="AI16" s="37" t="n">
        <f aca="false">'P&amp;L monthly'!AI16/FX_EUR</f>
        <v>22719.3225742735</v>
      </c>
      <c r="AJ16" s="37" t="n">
        <f aca="false">'P&amp;L monthly'!AJ16/FX_EUR</f>
        <v>25046.1908311029</v>
      </c>
      <c r="AK16" s="37" t="n">
        <f aca="false">'P&amp;L monthly'!AK16/FX_EUR</f>
        <v>27363.4244174935</v>
      </c>
      <c r="AL16" s="37" t="n">
        <f aca="false">'P&amp;L monthly'!AL16/FX_EUR</f>
        <v>29614.3395013109</v>
      </c>
      <c r="AM16" s="37" t="n">
        <f aca="false">'P&amp;L monthly'!AM16/FX_EUR</f>
        <v>32004.2041488648</v>
      </c>
      <c r="AN16" s="37" t="n">
        <f aca="false">'P&amp;L monthly'!AN16/FX_EUR</f>
        <v>34532.4774609127</v>
      </c>
      <c r="AO16" s="37" t="n">
        <f aca="false">'P&amp;L monthly'!AO16/FX_EUR</f>
        <v>37251.7840578154</v>
      </c>
      <c r="AP16" s="37" t="n">
        <f aca="false">'P&amp;L monthly'!AP16/FX_EUR</f>
        <v>40211.0421008639</v>
      </c>
      <c r="AQ16" s="37" t="n">
        <f aca="false">'P&amp;L monthly'!AQ16/FX_EUR</f>
        <v>42940.4012968627</v>
      </c>
      <c r="AR16" s="37" t="n">
        <f aca="false">'P&amp;L monthly'!AR16/FX_EUR</f>
        <v>45419.1873252351</v>
      </c>
      <c r="AS16" s="37" t="n">
        <f aca="false">'P&amp;L monthly'!AS16/FX_EUR</f>
        <v>47968.0974277903</v>
      </c>
      <c r="AT16" s="37" t="n">
        <f aca="false">'P&amp;L monthly'!AT16/FX_EUR</f>
        <v>50514.5580405277</v>
      </c>
      <c r="AU16" s="37" t="n">
        <f aca="false">'P&amp;L monthly'!AU16/FX_EUR</f>
        <v>53059.0217451763</v>
      </c>
      <c r="AV16" s="37" t="n">
        <f aca="false">'P&amp;L monthly'!AV16/FX_EUR</f>
        <v>55570.427116085</v>
      </c>
      <c r="AW16" s="37" t="n">
        <f aca="false">'P&amp;L monthly'!AW16/FX_EUR</f>
        <v>58112.3025171065</v>
      </c>
      <c r="AX16" s="37" t="n">
        <f aca="false">'P&amp;L monthly'!AX16/FX_EUR</f>
        <v>60670.4694122947</v>
      </c>
      <c r="AY16" s="37" t="n">
        <f aca="false">'P&amp;L monthly'!AY16/FX_EUR</f>
        <v>63266.8234050414</v>
      </c>
      <c r="AZ16" s="37" t="n">
        <f aca="false">'P&amp;L monthly'!AZ16/FX_EUR</f>
        <v>65922.8893744173</v>
      </c>
      <c r="BA16" s="37" t="n">
        <f aca="false">'P&amp;L monthly'!BA16/FX_EUR</f>
        <v>68672.0103471226</v>
      </c>
      <c r="BB16" s="37" t="n">
        <f aca="false">'P&amp;L monthly'!BB16/FX_EUR</f>
        <v>71520.635889381</v>
      </c>
      <c r="BC16" s="37" t="n">
        <f aca="false">'P&amp;L monthly'!BC16/FX_EUR</f>
        <v>74398.2905252114</v>
      </c>
      <c r="BD16" s="37" t="n">
        <f aca="false">'P&amp;L monthly'!BD16/FX_EUR</f>
        <v>77297.6765113762</v>
      </c>
      <c r="BE16" s="37" t="n">
        <f aca="false">'P&amp;L monthly'!BE16/FX_EUR</f>
        <v>80269.9219509913</v>
      </c>
      <c r="BF16" s="37" t="n">
        <f aca="false">'P&amp;L monthly'!BF16/FX_EUR</f>
        <v>83256.3435252746</v>
      </c>
      <c r="BG16" s="37" t="n">
        <f aca="false">'P&amp;L monthly'!BG16/FX_EUR</f>
        <v>86280.6701899411</v>
      </c>
      <c r="BH16" s="37" t="n">
        <f aca="false">'P&amp;L monthly'!BH16/FX_EUR</f>
        <v>89362.7599303071</v>
      </c>
      <c r="BI16" s="37" t="n">
        <f aca="false">'P&amp;L monthly'!BI16/FX_EUR</f>
        <v>92475.6529214292</v>
      </c>
      <c r="BJ16" s="37" t="n">
        <f aca="false">'P&amp;L monthly'!BJ16/FX_EUR</f>
        <v>95603.9338039911</v>
      </c>
      <c r="BK16" s="37" t="n">
        <f aca="false">'P&amp;L monthly'!BK16/FX_EUR</f>
        <v>98770.8695186052</v>
      </c>
      <c r="BL16" s="37" t="n">
        <f aca="false">'P&amp;L monthly'!BL16/FX_EUR</f>
        <v>102049.222154955</v>
      </c>
    </row>
    <row r="17" customFormat="false" ht="15" hidden="false" customHeight="false" outlineLevel="0" collapsed="false">
      <c r="A17" s="8" t="s">
        <v>87</v>
      </c>
      <c r="B17" s="14" t="s">
        <v>73</v>
      </c>
      <c r="D17" s="55" t="n">
        <f aca="false">'P&amp;L monthly'!D17/FX_EUR</f>
        <v>18395623.8504779</v>
      </c>
      <c r="E17" s="16" t="n">
        <f aca="false">'P&amp;L monthly'!E17/FX_EUR</f>
        <v>0</v>
      </c>
      <c r="F17" s="16" t="n">
        <f aca="false">'P&amp;L monthly'!F17/FX_EUR</f>
        <v>0</v>
      </c>
      <c r="G17" s="16" t="n">
        <f aca="false">'P&amp;L monthly'!G17/FX_EUR</f>
        <v>0</v>
      </c>
      <c r="H17" s="16" t="n">
        <f aca="false">'P&amp;L monthly'!H17/FX_EUR</f>
        <v>0</v>
      </c>
      <c r="I17" s="16" t="n">
        <f aca="false">'P&amp;L monthly'!I17/FX_EUR</f>
        <v>2654.50326774468</v>
      </c>
      <c r="J17" s="16" t="n">
        <f aca="false">'P&amp;L monthly'!J17/FX_EUR</f>
        <v>4742.40432934882</v>
      </c>
      <c r="K17" s="16" t="n">
        <f aca="false">'P&amp;L monthly'!K17/FX_EUR</f>
        <v>6828.95139614081</v>
      </c>
      <c r="L17" s="16" t="n">
        <f aca="false">'P&amp;L monthly'!L17/FX_EUR</f>
        <v>10676.6539391079</v>
      </c>
      <c r="M17" s="16" t="n">
        <f aca="false">'P&amp;L monthly'!M17/FX_EUR</f>
        <v>14594.470135058</v>
      </c>
      <c r="N17" s="16" t="n">
        <f aca="false">'P&amp;L monthly'!N17/FX_EUR</f>
        <v>18512.7273323197</v>
      </c>
      <c r="O17" s="16" t="n">
        <f aca="false">'P&amp;L monthly'!O17/FX_EUR</f>
        <v>22434.4011472478</v>
      </c>
      <c r="P17" s="16" t="n">
        <f aca="false">'P&amp;L monthly'!P17/FX_EUR</f>
        <v>26362.6031644286</v>
      </c>
      <c r="Q17" s="16" t="n">
        <f aca="false">'P&amp;L monthly'!Q17/FX_EUR</f>
        <v>31107.410960133</v>
      </c>
      <c r="R17" s="16" t="n">
        <f aca="false">'P&amp;L monthly'!R17/FX_EUR</f>
        <v>35677.4170721552</v>
      </c>
      <c r="S17" s="16" t="n">
        <f aca="false">'P&amp;L monthly'!S17/FX_EUR</f>
        <v>40249.4876652349</v>
      </c>
      <c r="T17" s="16" t="n">
        <f aca="false">'P&amp;L monthly'!T17/FX_EUR</f>
        <v>45406.8666432319</v>
      </c>
      <c r="U17" s="16" t="n">
        <f aca="false">'P&amp;L monthly'!U17/FX_EUR</f>
        <v>50574.4064070864</v>
      </c>
      <c r="V17" s="16" t="n">
        <f aca="false">'P&amp;L monthly'!V17/FX_EUR</f>
        <v>56372.0658619471</v>
      </c>
      <c r="W17" s="16" t="n">
        <f aca="false">'P&amp;L monthly'!W17/FX_EUR</f>
        <v>64870.403306169</v>
      </c>
      <c r="X17" s="16" t="n">
        <f aca="false">'P&amp;L monthly'!X17/FX_EUR</f>
        <v>73064.7338667029</v>
      </c>
      <c r="Y17" s="16" t="n">
        <f aca="false">'P&amp;L monthly'!Y17/FX_EUR</f>
        <v>81504.2230073302</v>
      </c>
      <c r="Z17" s="16" t="n">
        <f aca="false">'P&amp;L monthly'!Z17/FX_EUR</f>
        <v>91909.9253029917</v>
      </c>
      <c r="AA17" s="16" t="n">
        <f aca="false">'P&amp;L monthly'!AA17/FX_EUR</f>
        <v>102565.595170924</v>
      </c>
      <c r="AB17" s="16" t="n">
        <f aca="false">'P&amp;L monthly'!AB17/FX_EUR</f>
        <v>113990.891456512</v>
      </c>
      <c r="AC17" s="16" t="n">
        <f aca="false">'P&amp;L monthly'!AC17/FX_EUR</f>
        <v>130999.00566542</v>
      </c>
      <c r="AD17" s="16" t="n">
        <f aca="false">'P&amp;L monthly'!AD17/FX_EUR</f>
        <v>145258.146228178</v>
      </c>
      <c r="AE17" s="16" t="n">
        <f aca="false">'P&amp;L monthly'!AE17/FX_EUR</f>
        <v>160441.35398247</v>
      </c>
      <c r="AF17" s="16" t="n">
        <f aca="false">'P&amp;L monthly'!AF17/FX_EUR</f>
        <v>177980.491552861</v>
      </c>
      <c r="AG17" s="16" t="n">
        <f aca="false">'P&amp;L monthly'!AG17/FX_EUR</f>
        <v>195953.221778643</v>
      </c>
      <c r="AH17" s="16" t="n">
        <f aca="false">'P&amp;L monthly'!AH17/FX_EUR</f>
        <v>212293.207342263</v>
      </c>
      <c r="AI17" s="16" t="n">
        <f aca="false">'P&amp;L monthly'!AI17/FX_EUR</f>
        <v>228542.354915928</v>
      </c>
      <c r="AJ17" s="16" t="n">
        <f aca="false">'P&amp;L monthly'!AJ17/FX_EUR</f>
        <v>245550.239378895</v>
      </c>
      <c r="AK17" s="16" t="n">
        <f aca="false">'P&amp;L monthly'!AK17/FX_EUR</f>
        <v>262527.472906206</v>
      </c>
      <c r="AL17" s="16" t="n">
        <f aca="false">'P&amp;L monthly'!AL17/FX_EUR</f>
        <v>279531.17618952</v>
      </c>
      <c r="AM17" s="16" t="n">
        <f aca="false">'P&amp;L monthly'!AM17/FX_EUR</f>
        <v>297639.139432185</v>
      </c>
      <c r="AN17" s="16" t="n">
        <f aca="false">'P&amp;L monthly'!AN17/FX_EUR</f>
        <v>316374.480792169</v>
      </c>
      <c r="AO17" s="16" t="n">
        <f aca="false">'P&amp;L monthly'!AO17/FX_EUR</f>
        <v>336253.429327214</v>
      </c>
      <c r="AP17" s="16" t="n">
        <f aca="false">'P&amp;L monthly'!AP17/FX_EUR</f>
        <v>357182.326283651</v>
      </c>
      <c r="AQ17" s="16" t="n">
        <f aca="false">'P&amp;L monthly'!AQ17/FX_EUR</f>
        <v>378216.81910568</v>
      </c>
      <c r="AR17" s="16" t="n">
        <f aca="false">'P&amp;L monthly'!AR17/FX_EUR</f>
        <v>400262.054251243</v>
      </c>
      <c r="AS17" s="16" t="n">
        <f aca="false">'P&amp;L monthly'!AS17/FX_EUR</f>
        <v>422701.493556901</v>
      </c>
      <c r="AT17" s="16" t="n">
        <f aca="false">'P&amp;L monthly'!AT17/FX_EUR</f>
        <v>446087.604419338</v>
      </c>
      <c r="AU17" s="16" t="n">
        <f aca="false">'P&amp;L monthly'!AU17/FX_EUR</f>
        <v>469595.244117368</v>
      </c>
      <c r="AV17" s="16" t="n">
        <f aca="false">'P&amp;L monthly'!AV17/FX_EUR</f>
        <v>493017.972305653</v>
      </c>
      <c r="AW17" s="16" t="n">
        <f aca="false">'P&amp;L monthly'!AW17/FX_EUR</f>
        <v>517479.17890324</v>
      </c>
      <c r="AX17" s="16" t="n">
        <f aca="false">'P&amp;L monthly'!AX17/FX_EUR</f>
        <v>541709.412664642</v>
      </c>
      <c r="AY17" s="16" t="n">
        <f aca="false">'P&amp;L monthly'!AY17/FX_EUR</f>
        <v>566837.027904075</v>
      </c>
      <c r="AZ17" s="16" t="n">
        <f aca="false">'P&amp;L monthly'!AZ17/FX_EUR</f>
        <v>592020.345756299</v>
      </c>
      <c r="BA17" s="16" t="n">
        <f aca="false">'P&amp;L monthly'!BA17/FX_EUR</f>
        <v>618609.41209956</v>
      </c>
      <c r="BB17" s="16" t="n">
        <f aca="false">'P&amp;L monthly'!BB17/FX_EUR</f>
        <v>645501.786462057</v>
      </c>
      <c r="BC17" s="16" t="n">
        <f aca="false">'P&amp;L monthly'!BC17/FX_EUR</f>
        <v>672806.749416645</v>
      </c>
      <c r="BD17" s="16" t="n">
        <f aca="false">'P&amp;L monthly'!BD17/FX_EUR</f>
        <v>701282.800064183</v>
      </c>
      <c r="BE17" s="16" t="n">
        <f aca="false">'P&amp;L monthly'!BE17/FX_EUR</f>
        <v>730131.689082646</v>
      </c>
      <c r="BF17" s="16" t="n">
        <f aca="false">'P&amp;L monthly'!BF17/FX_EUR</f>
        <v>759094.214337952</v>
      </c>
      <c r="BG17" s="16" t="n">
        <f aca="false">'P&amp;L monthly'!BG17/FX_EUR</f>
        <v>789271.360806171</v>
      </c>
      <c r="BH17" s="16" t="n">
        <f aca="false">'P&amp;L monthly'!BH17/FX_EUR</f>
        <v>819525.454091653</v>
      </c>
      <c r="BI17" s="16" t="n">
        <f aca="false">'P&amp;L monthly'!BI17/FX_EUR</f>
        <v>850225.873528822</v>
      </c>
      <c r="BJ17" s="16" t="n">
        <f aca="false">'P&amp;L monthly'!BJ17/FX_EUR</f>
        <v>881368.397710025</v>
      </c>
      <c r="BK17" s="16" t="n">
        <f aca="false">'P&amp;L monthly'!BK17/FX_EUR</f>
        <v>913369.043980664</v>
      </c>
      <c r="BL17" s="16" t="n">
        <f aca="false">'P&amp;L monthly'!BL17/FX_EUR</f>
        <v>945883.728705612</v>
      </c>
    </row>
    <row r="19" customFormat="false" ht="15" hidden="false" customHeight="false" outlineLevel="0" collapsed="false">
      <c r="A19" s="10" t="s">
        <v>853</v>
      </c>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1"/>
      <c r="BL19" s="11"/>
    </row>
    <row r="20" customFormat="false" ht="15" hidden="false" customHeight="false" outlineLevel="0" collapsed="false">
      <c r="A20" s="12" t="s">
        <v>854</v>
      </c>
      <c r="B20" s="14" t="s">
        <v>73</v>
      </c>
      <c r="D20" s="55" t="n">
        <f aca="false">'P&amp;L monthly'!D20/FX_EUR</f>
        <v>1166352.8984918</v>
      </c>
      <c r="E20" s="37" t="n">
        <f aca="false">'P&amp;L monthly'!E20/FX_EUR</f>
        <v>0</v>
      </c>
      <c r="F20" s="37" t="n">
        <f aca="false">'P&amp;L monthly'!F20/FX_EUR</f>
        <v>0</v>
      </c>
      <c r="G20" s="37" t="n">
        <f aca="false">'P&amp;L monthly'!G20/FX_EUR</f>
        <v>0</v>
      </c>
      <c r="H20" s="37" t="n">
        <f aca="false">'P&amp;L monthly'!H20/FX_EUR</f>
        <v>0</v>
      </c>
      <c r="I20" s="37" t="n">
        <f aca="false">'P&amp;L monthly'!I20/FX_EUR</f>
        <v>551.926422006321</v>
      </c>
      <c r="J20" s="37" t="n">
        <f aca="false">'P&amp;L monthly'!J20/FX_EUR</f>
        <v>816.174535830855</v>
      </c>
      <c r="K20" s="37" t="n">
        <f aca="false">'P&amp;L monthly'!K20/FX_EUR</f>
        <v>1079.20751970022</v>
      </c>
      <c r="L20" s="37" t="n">
        <f aca="false">'P&amp;L monthly'!L20/FX_EUR</f>
        <v>1341.23902129446</v>
      </c>
      <c r="M20" s="37" t="n">
        <f aca="false">'P&amp;L monthly'!M20/FX_EUR</f>
        <v>1602.49036858097</v>
      </c>
      <c r="N20" s="37" t="n">
        <f aca="false">'P&amp;L monthly'!N20/FX_EUR</f>
        <v>1863.19112669425</v>
      </c>
      <c r="O20" s="37" t="n">
        <f aca="false">'P&amp;L monthly'!O20/FX_EUR</f>
        <v>2123.5796863857</v>
      </c>
      <c r="P20" s="37" t="n">
        <f aca="false">'P&amp;L monthly'!P20/FX_EUR</f>
        <v>2383.90388597381</v>
      </c>
      <c r="Q20" s="37" t="n">
        <f aca="false">'P&amp;L monthly'!Q20/FX_EUR</f>
        <v>2812.17656740782</v>
      </c>
      <c r="R20" s="37" t="n">
        <f aca="false">'P&amp;L monthly'!R20/FX_EUR</f>
        <v>3151.72188803328</v>
      </c>
      <c r="S20" s="37" t="n">
        <f aca="false">'P&amp;L monthly'!S20/FX_EUR</f>
        <v>3490.71510638778</v>
      </c>
      <c r="T20" s="37" t="n">
        <f aca="false">'P&amp;L monthly'!T20/FX_EUR</f>
        <v>3829.47174700638</v>
      </c>
      <c r="U20" s="37" t="n">
        <f aca="false">'P&amp;L monthly'!U20/FX_EUR</f>
        <v>4168.32004491933</v>
      </c>
      <c r="V20" s="37" t="n">
        <f aca="false">'P&amp;L monthly'!V20/FX_EUR</f>
        <v>4507.60182420863</v>
      </c>
      <c r="W20" s="37" t="n">
        <f aca="false">'P&amp;L monthly'!W20/FX_EUR</f>
        <v>5341.97412054939</v>
      </c>
      <c r="X20" s="37" t="n">
        <f aca="false">'P&amp;L monthly'!X20/FX_EUR</f>
        <v>5918.16242502766</v>
      </c>
      <c r="Y20" s="37" t="n">
        <f aca="false">'P&amp;L monthly'!Y20/FX_EUR</f>
        <v>6493.91257249408</v>
      </c>
      <c r="Z20" s="37" t="n">
        <f aca="false">'P&amp;L monthly'!Z20/FX_EUR</f>
        <v>7069.78107654556</v>
      </c>
      <c r="AA20" s="37" t="n">
        <f aca="false">'P&amp;L monthly'!AA20/FX_EUR</f>
        <v>7646.34744882704</v>
      </c>
      <c r="AB20" s="37" t="n">
        <f aca="false">'P&amp;L monthly'!AB20/FX_EUR</f>
        <v>8320.25865336834</v>
      </c>
      <c r="AC20" s="37" t="n">
        <f aca="false">'P&amp;L monthly'!AC20/FX_EUR</f>
        <v>9281.82969874355</v>
      </c>
      <c r="AD20" s="37" t="n">
        <f aca="false">'P&amp;L monthly'!AD20/FX_EUR</f>
        <v>10066.1898713544</v>
      </c>
      <c r="AE20" s="37" t="n">
        <f aca="false">'P&amp;L monthly'!AE20/FX_EUR</f>
        <v>10850.5013867293</v>
      </c>
      <c r="AF20" s="37" t="n">
        <f aca="false">'P&amp;L monthly'!AF20/FX_EUR</f>
        <v>11731.5860537325</v>
      </c>
      <c r="AG20" s="37" t="n">
        <f aca="false">'P&amp;L monthly'!AG20/FX_EUR</f>
        <v>28784.4915891404</v>
      </c>
      <c r="AH20" s="37" t="n">
        <f aca="false">'P&amp;L monthly'!AH20/FX_EUR</f>
        <v>14579.9182634087</v>
      </c>
      <c r="AI20" s="37" t="n">
        <f aca="false">'P&amp;L monthly'!AI20/FX_EUR</f>
        <v>15423.2280016531</v>
      </c>
      <c r="AJ20" s="37" t="n">
        <f aca="false">'P&amp;L monthly'!AJ20/FX_EUR</f>
        <v>16428.947092853</v>
      </c>
      <c r="AK20" s="37" t="n">
        <f aca="false">'P&amp;L monthly'!AK20/FX_EUR</f>
        <v>17326.8564947228</v>
      </c>
      <c r="AL20" s="37" t="n">
        <f aca="false">'P&amp;L monthly'!AL20/FX_EUR</f>
        <v>18230.7848700993</v>
      </c>
      <c r="AM20" s="37" t="n">
        <f aca="false">'P&amp;L monthly'!AM20/FX_EUR</f>
        <v>19299.6699842753</v>
      </c>
      <c r="AN20" s="37" t="n">
        <f aca="false">'P&amp;L monthly'!AN20/FX_EUR</f>
        <v>20405.4679974283</v>
      </c>
      <c r="AO20" s="37" t="n">
        <f aca="false">'P&amp;L monthly'!AO20/FX_EUR</f>
        <v>21693.6512946855</v>
      </c>
      <c r="AP20" s="37" t="n">
        <f aca="false">'P&amp;L monthly'!AP20/FX_EUR</f>
        <v>22951.0157525725</v>
      </c>
      <c r="AQ20" s="37" t="n">
        <f aca="false">'P&amp;L monthly'!AQ20/FX_EUR</f>
        <v>24104.6436823676</v>
      </c>
      <c r="AR20" s="37" t="n">
        <f aca="false">'P&amp;L monthly'!AR20/FX_EUR</f>
        <v>25426.5736760069</v>
      </c>
      <c r="AS20" s="37" t="n">
        <f aca="false">'P&amp;L monthly'!AS20/FX_EUR</f>
        <v>26623.9139124145</v>
      </c>
      <c r="AT20" s="37" t="n">
        <f aca="false">'P&amp;L monthly'!AT20/FX_EUR</f>
        <v>28073.6880115811</v>
      </c>
      <c r="AU20" s="37" t="n">
        <f aca="false">'P&amp;L monthly'!AU20/FX_EUR</f>
        <v>29296.5222964864</v>
      </c>
      <c r="AV20" s="37" t="n">
        <f aca="false">'P&amp;L monthly'!AV20/FX_EUR</f>
        <v>30507.2682805358</v>
      </c>
      <c r="AW20" s="37" t="n">
        <f aca="false">'P&amp;L monthly'!AW20/FX_EUR</f>
        <v>31864.3949120719</v>
      </c>
      <c r="AX20" s="37" t="n">
        <f aca="false">'P&amp;L monthly'!AX20/FX_EUR</f>
        <v>33097.3442341508</v>
      </c>
      <c r="AY20" s="37" t="n">
        <f aca="false">'P&amp;L monthly'!AY20/FX_EUR</f>
        <v>34619.3656802271</v>
      </c>
      <c r="AZ20" s="37" t="n">
        <f aca="false">'P&amp;L monthly'!AZ20/FX_EUR</f>
        <v>35915.8183970968</v>
      </c>
      <c r="BA20" s="37" t="n">
        <f aca="false">'P&amp;L monthly'!BA20/FX_EUR</f>
        <v>37637.1656422494</v>
      </c>
      <c r="BB20" s="37" t="n">
        <f aca="false">'P&amp;L monthly'!BB20/FX_EUR</f>
        <v>39035.5515770685</v>
      </c>
      <c r="BC20" s="37" t="n">
        <f aca="false">'P&amp;L monthly'!BC20/FX_EUR</f>
        <v>40580.7653770815</v>
      </c>
      <c r="BD20" s="37" t="n">
        <f aca="false">'P&amp;L monthly'!BD20/FX_EUR</f>
        <v>42144.4564645667</v>
      </c>
      <c r="BE20" s="37" t="n">
        <f aca="false">'P&amp;L monthly'!BE20/FX_EUR</f>
        <v>43753.9457325467</v>
      </c>
      <c r="BF20" s="37" t="n">
        <f aca="false">'P&amp;L monthly'!BF20/FX_EUR</f>
        <v>45240.4110999238</v>
      </c>
      <c r="BG20" s="37" t="n">
        <f aca="false">'P&amp;L monthly'!BG20/FX_EUR</f>
        <v>47017.3961186646</v>
      </c>
      <c r="BH20" s="37" t="n">
        <f aca="false">'P&amp;L monthly'!BH20/FX_EUR</f>
        <v>48570.5677855033</v>
      </c>
      <c r="BI20" s="37" t="n">
        <f aca="false">'P&amp;L monthly'!BI20/FX_EUR</f>
        <v>50273.0107051838</v>
      </c>
      <c r="BJ20" s="37" t="n">
        <f aca="false">'P&amp;L monthly'!BJ20/FX_EUR</f>
        <v>51854.6216169781</v>
      </c>
      <c r="BK20" s="37" t="n">
        <f aca="false">'P&amp;L monthly'!BK20/FX_EUR</f>
        <v>53702.0779106152</v>
      </c>
      <c r="BL20" s="37" t="n">
        <f aca="false">'P&amp;L monthly'!BL20/FX_EUR</f>
        <v>55447.1009858385</v>
      </c>
    </row>
    <row r="21" customFormat="false" ht="15" hidden="false" customHeight="false" outlineLevel="0" collapsed="false">
      <c r="A21" s="12" t="s">
        <v>855</v>
      </c>
      <c r="B21" s="14" t="s">
        <v>73</v>
      </c>
      <c r="D21" s="55" t="n">
        <f aca="false">'P&amp;L monthly'!D21/FX_EUR</f>
        <v>4264232.41575646</v>
      </c>
      <c r="E21" s="37" t="n">
        <f aca="false">'P&amp;L monthly'!E21/FX_EUR</f>
        <v>0</v>
      </c>
      <c r="F21" s="37" t="n">
        <f aca="false">'P&amp;L monthly'!F21/FX_EUR</f>
        <v>0</v>
      </c>
      <c r="G21" s="37" t="n">
        <f aca="false">'P&amp;L monthly'!G21/FX_EUR</f>
        <v>0</v>
      </c>
      <c r="H21" s="37" t="n">
        <f aca="false">'P&amp;L monthly'!H21/FX_EUR</f>
        <v>0</v>
      </c>
      <c r="I21" s="37" t="n">
        <f aca="false">'P&amp;L monthly'!I21/FX_EUR</f>
        <v>1895.82345590742</v>
      </c>
      <c r="J21" s="37" t="n">
        <f aca="false">'P&amp;L monthly'!J21/FX_EUR</f>
        <v>2892.42426459864</v>
      </c>
      <c r="K21" s="37" t="n">
        <f aca="false">'P&amp;L monthly'!K21/FX_EUR</f>
        <v>3888.30559156317</v>
      </c>
      <c r="L21" s="37" t="n">
        <f aca="false">'P&amp;L monthly'!L21/FX_EUR</f>
        <v>4884.19601074229</v>
      </c>
      <c r="M21" s="37" t="n">
        <f aca="false">'P&amp;L monthly'!M21/FX_EUR</f>
        <v>5880.85657091353</v>
      </c>
      <c r="N21" s="37" t="n">
        <f aca="false">'P&amp;L monthly'!N21/FX_EUR</f>
        <v>6879.08292618338</v>
      </c>
      <c r="O21" s="37" t="n">
        <f aca="false">'P&amp;L monthly'!O21/FX_EUR</f>
        <v>7879.70759113211</v>
      </c>
      <c r="P21" s="37" t="n">
        <f aca="false">'P&amp;L monthly'!P21/FX_EUR</f>
        <v>8883.60232814795</v>
      </c>
      <c r="Q21" s="37" t="n">
        <f aca="false">'P&amp;L monthly'!Q21/FX_EUR</f>
        <v>10467.9054376397</v>
      </c>
      <c r="R21" s="37" t="n">
        <f aca="false">'P&amp;L monthly'!R21/FX_EUR</f>
        <v>11778.0202662375</v>
      </c>
      <c r="S21" s="37" t="n">
        <f aca="false">'P&amp;L monthly'!S21/FX_EUR</f>
        <v>13090.602479221</v>
      </c>
      <c r="T21" s="37" t="n">
        <f aca="false">'P&amp;L monthly'!T21/FX_EUR</f>
        <v>14406.7598516349</v>
      </c>
      <c r="U21" s="37" t="n">
        <f aca="false">'P&amp;L monthly'!U21/FX_EUR</f>
        <v>15727.65279429</v>
      </c>
      <c r="V21" s="37" t="n">
        <f aca="false">'P&amp;L monthly'!V21/FX_EUR</f>
        <v>17054.4977340318</v>
      </c>
      <c r="W21" s="37" t="n">
        <f aca="false">'P&amp;L monthly'!W21/FX_EUR</f>
        <v>20086.4543448969</v>
      </c>
      <c r="X21" s="37" t="n">
        <f aca="false">'P&amp;L monthly'!X21/FX_EUR</f>
        <v>22315.7911553216</v>
      </c>
      <c r="Y21" s="37" t="n">
        <f aca="false">'P&amp;L monthly'!Y21/FX_EUR</f>
        <v>24551.0921371289</v>
      </c>
      <c r="Z21" s="37" t="n">
        <f aca="false">'P&amp;L monthly'!Z21/FX_EUR</f>
        <v>26794.3236716027</v>
      </c>
      <c r="AA21" s="37" t="n">
        <f aca="false">'P&amp;L monthly'!AA21/FX_EUR</f>
        <v>29047.5469721915</v>
      </c>
      <c r="AB21" s="37" t="n">
        <f aca="false">'P&amp;L monthly'!AB21/FX_EUR</f>
        <v>31642.8238191738</v>
      </c>
      <c r="AC21" s="37" t="n">
        <f aca="false">'P&amp;L monthly'!AC21/FX_EUR</f>
        <v>35249.4504591271</v>
      </c>
      <c r="AD21" s="37" t="n">
        <f aca="false">'P&amp;L monthly'!AD21/FX_EUR</f>
        <v>38309.9852933642</v>
      </c>
      <c r="AE21" s="37" t="n">
        <f aca="false">'P&amp;L monthly'!AE21/FX_EUR</f>
        <v>41380.368035979</v>
      </c>
      <c r="AF21" s="37" t="n">
        <f aca="false">'P&amp;L monthly'!AF21/FX_EUR</f>
        <v>44793.2663777993</v>
      </c>
      <c r="AG21" s="37" t="n">
        <f aca="false">'P&amp;L monthly'!AG21/FX_EUR</f>
        <v>48061.7618564039</v>
      </c>
      <c r="AH21" s="37" t="n">
        <f aca="false">'P&amp;L monthly'!AH21/FX_EUR</f>
        <v>51346.7159508969</v>
      </c>
      <c r="AI21" s="37" t="n">
        <f aca="false">'P&amp;L monthly'!AI21/FX_EUR</f>
        <v>54651.3574955129</v>
      </c>
      <c r="AJ21" s="37" t="n">
        <f aca="false">'P&amp;L monthly'!AJ21/FX_EUR</f>
        <v>58308.9767301138</v>
      </c>
      <c r="AK21" s="37" t="n">
        <f aca="false">'P&amp;L monthly'!AK21/FX_EUR</f>
        <v>61833.314807388</v>
      </c>
      <c r="AL21" s="37" t="n">
        <f aca="false">'P&amp;L monthly'!AL21/FX_EUR</f>
        <v>65385.9321139745</v>
      </c>
      <c r="AM21" s="37" t="n">
        <f aca="false">'P&amp;L monthly'!AM21/FX_EUR</f>
        <v>69300.6977172871</v>
      </c>
      <c r="AN21" s="37" t="n">
        <f aca="false">'P&amp;L monthly'!AN21/FX_EUR</f>
        <v>73388.8752433337</v>
      </c>
      <c r="AO21" s="37" t="n">
        <f aca="false">'P&amp;L monthly'!AO21/FX_EUR</f>
        <v>77948.0593719186</v>
      </c>
      <c r="AP21" s="37" t="n">
        <f aca="false">'P&amp;L monthly'!AP21/FX_EUR</f>
        <v>82599.2850384676</v>
      </c>
      <c r="AQ21" s="37" t="n">
        <f aca="false">'P&amp;L monthly'!AQ21/FX_EUR</f>
        <v>87133.3108282908</v>
      </c>
      <c r="AR21" s="37" t="n">
        <f aca="false">'P&amp;L monthly'!AR21/FX_EUR</f>
        <v>92043.0945139008</v>
      </c>
      <c r="AS21" s="37" t="n">
        <f aca="false">'P&amp;L monthly'!AS21/FX_EUR</f>
        <v>96795.7858447186</v>
      </c>
      <c r="AT21" s="37" t="n">
        <f aca="false">'P&amp;L monthly'!AT21/FX_EUR</f>
        <v>102092.712770697</v>
      </c>
      <c r="AU21" s="37" t="n">
        <f aca="false">'P&amp;L monthly'!AU21/FX_EUR</f>
        <v>107054.659752613</v>
      </c>
      <c r="AV21" s="37" t="n">
        <f aca="false">'P&amp;L monthly'!AV21/FX_EUR</f>
        <v>111983.449526003</v>
      </c>
      <c r="AW21" s="37" t="n">
        <f aca="false">'P&amp;L monthly'!AW21/FX_EUR</f>
        <v>117211.07673983</v>
      </c>
      <c r="AX21" s="37" t="n">
        <f aca="false">'P&amp;L monthly'!AX21/FX_EUR</f>
        <v>122249.882965382</v>
      </c>
      <c r="AY21" s="37" t="n">
        <f aca="false">'P&amp;L monthly'!AY21/FX_EUR</f>
        <v>127886.728569361</v>
      </c>
      <c r="AZ21" s="37" t="n">
        <f aca="false">'P&amp;L monthly'!AZ21/FX_EUR</f>
        <v>133193.296960419</v>
      </c>
      <c r="BA21" s="37" t="n">
        <f aca="false">'P&amp;L monthly'!BA21/FX_EUR</f>
        <v>139382.387260013</v>
      </c>
      <c r="BB21" s="37" t="n">
        <f aca="false">'P&amp;L monthly'!BB21/FX_EUR</f>
        <v>145104.665853211</v>
      </c>
      <c r="BC21" s="37" t="n">
        <f aca="false">'P&amp;L monthly'!BC21/FX_EUR</f>
        <v>151128.270020481</v>
      </c>
      <c r="BD21" s="37" t="n">
        <f aca="false">'P&amp;L monthly'!BD21/FX_EUR</f>
        <v>157263.139702947</v>
      </c>
      <c r="BE21" s="37" t="n">
        <f aca="false">'P&amp;L monthly'!BE21/FX_EUR</f>
        <v>163559.108925734</v>
      </c>
      <c r="BF21" s="37" t="n">
        <f aca="false">'P&amp;L monthly'!BF21/FX_EUR</f>
        <v>169671.492582973</v>
      </c>
      <c r="BG21" s="37" t="n">
        <f aca="false">'P&amp;L monthly'!BG21/FX_EUR</f>
        <v>176388.166397015</v>
      </c>
      <c r="BH21" s="37" t="n">
        <f aca="false">'P&amp;L monthly'!BH21/FX_EUR</f>
        <v>182781.880471983</v>
      </c>
      <c r="BI21" s="37" t="n">
        <f aca="false">'P&amp;L monthly'!BI21/FX_EUR</f>
        <v>189485.931767413</v>
      </c>
      <c r="BJ21" s="37" t="n">
        <f aca="false">'P&amp;L monthly'!BJ21/FX_EUR</f>
        <v>196014.251512079</v>
      </c>
      <c r="BK21" s="37" t="n">
        <f aca="false">'P&amp;L monthly'!BK21/FX_EUR</f>
        <v>203098.81800561</v>
      </c>
      <c r="BL21" s="37" t="n">
        <f aca="false">'P&amp;L monthly'!BL21/FX_EUR</f>
        <v>210104.788891657</v>
      </c>
    </row>
    <row r="22" customFormat="false" ht="15" hidden="false" customHeight="false" outlineLevel="0" collapsed="false">
      <c r="A22" s="12" t="s">
        <v>856</v>
      </c>
      <c r="B22" s="14" t="s">
        <v>73</v>
      </c>
      <c r="D22" s="55" t="n">
        <f aca="false">'P&amp;L monthly'!D22/FX_EUR</f>
        <v>4972117.40470927</v>
      </c>
      <c r="E22" s="37" t="n">
        <f aca="false">'P&amp;L monthly'!E22/FX_EUR</f>
        <v>0</v>
      </c>
      <c r="F22" s="37" t="n">
        <f aca="false">'P&amp;L monthly'!F22/FX_EUR</f>
        <v>0</v>
      </c>
      <c r="G22" s="37" t="n">
        <f aca="false">'P&amp;L monthly'!G22/FX_EUR</f>
        <v>0</v>
      </c>
      <c r="H22" s="37" t="n">
        <f aca="false">'P&amp;L monthly'!H22/FX_EUR</f>
        <v>0</v>
      </c>
      <c r="I22" s="37" t="n">
        <f aca="false">'P&amp;L monthly'!I22/FX_EUR</f>
        <v>959.300685868129</v>
      </c>
      <c r="J22" s="37" t="n">
        <f aca="false">'P&amp;L monthly'!J22/FX_EUR</f>
        <v>1918.00582965042</v>
      </c>
      <c r="K22" s="37" t="n">
        <f aca="false">'P&amp;L monthly'!K22/FX_EUR</f>
        <v>2876.74119282971</v>
      </c>
      <c r="L22" s="37" t="n">
        <f aca="false">'P&amp;L monthly'!L22/FX_EUR</f>
        <v>3836.16137908573</v>
      </c>
      <c r="M22" s="37" t="n">
        <f aca="false">'P&amp;L monthly'!M22/FX_EUR</f>
        <v>4796.95169539186</v>
      </c>
      <c r="N22" s="37" t="n">
        <f aca="false">'P&amp;L monthly'!N22/FX_EUR</f>
        <v>5759.83012261224</v>
      </c>
      <c r="O22" s="37" t="n">
        <f aca="false">'P&amp;L monthly'!O22/FX_EUR</f>
        <v>6725.54940220752</v>
      </c>
      <c r="P22" s="37" t="n">
        <f aca="false">'P&amp;L monthly'!P22/FX_EUR</f>
        <v>7694.89924605374</v>
      </c>
      <c r="Q22" s="37" t="n">
        <f aca="false">'P&amp;L monthly'!Q22/FX_EUR</f>
        <v>8960.28266716625</v>
      </c>
      <c r="R22" s="37" t="n">
        <f aca="false">'P&amp;L monthly'!R22/FX_EUR</f>
        <v>10227.7711997229</v>
      </c>
      <c r="S22" s="37" t="n">
        <f aca="false">'P&amp;L monthly'!S22/FX_EUR</f>
        <v>11498.3212857244</v>
      </c>
      <c r="T22" s="37" t="n">
        <f aca="false">'P&amp;L monthly'!T22/FX_EUR</f>
        <v>12772.9359604951</v>
      </c>
      <c r="U22" s="37" t="n">
        <f aca="false">'P&amp;L monthly'!U22/FX_EUR</f>
        <v>14052.6678085403</v>
      </c>
      <c r="V22" s="37" t="n">
        <f aca="false">'P&amp;L monthly'!V22/FX_EUR</f>
        <v>15677.3137747189</v>
      </c>
      <c r="W22" s="37" t="n">
        <f aca="false">'P&amp;L monthly'!W22/FX_EUR</f>
        <v>18263.4733917149</v>
      </c>
      <c r="X22" s="37" t="n">
        <f aca="false">'P&amp;L monthly'!X22/FX_EUR</f>
        <v>20949.9618785711</v>
      </c>
      <c r="Y22" s="37" t="n">
        <f aca="false">'P&amp;L monthly'!Y22/FX_EUR</f>
        <v>23738.8614987551</v>
      </c>
      <c r="Z22" s="37" t="n">
        <f aca="false">'P&amp;L monthly'!Z22/FX_EUR</f>
        <v>26632.5001313105</v>
      </c>
      <c r="AA22" s="37" t="n">
        <f aca="false">'P&amp;L monthly'!AA22/FX_EUR</f>
        <v>29633.4663826802</v>
      </c>
      <c r="AB22" s="37" t="n">
        <f aca="false">'P&amp;L monthly'!AB22/FX_EUR</f>
        <v>32937.4845654712</v>
      </c>
      <c r="AC22" s="37" t="n">
        <f aca="false">'P&amp;L monthly'!AC22/FX_EUR</f>
        <v>37049.3436456728</v>
      </c>
      <c r="AD22" s="37" t="n">
        <f aca="false">'P&amp;L monthly'!AD22/FX_EUR</f>
        <v>41301.2418405781</v>
      </c>
      <c r="AE22" s="37" t="n">
        <f aca="false">'P&amp;L monthly'!AE22/FX_EUR</f>
        <v>45696.522593689</v>
      </c>
      <c r="AF22" s="37" t="n">
        <f aca="false">'P&amp;L monthly'!AF22/FX_EUR</f>
        <v>50446.5662071629</v>
      </c>
      <c r="AG22" s="37" t="n">
        <f aca="false">'P&amp;L monthly'!AG22/FX_EUR</f>
        <v>55352.82115016</v>
      </c>
      <c r="AH22" s="37" t="n">
        <f aca="false">'P&amp;L monthly'!AH22/FX_EUR</f>
        <v>59384.9557030973</v>
      </c>
      <c r="AI22" s="37" t="n">
        <f aca="false">'P&amp;L monthly'!AI22/FX_EUR</f>
        <v>63441.5982896149</v>
      </c>
      <c r="AJ22" s="37" t="n">
        <f aca="false">'P&amp;L monthly'!AJ22/FX_EUR</f>
        <v>67738.0489062199</v>
      </c>
      <c r="AK22" s="37" t="n">
        <f aca="false">'P&amp;L monthly'!AK22/FX_EUR</f>
        <v>72064.6785800977</v>
      </c>
      <c r="AL22" s="37" t="n">
        <f aca="false">'P&amp;L monthly'!AL22/FX_EUR</f>
        <v>76425.859409536</v>
      </c>
      <c r="AM22" s="37" t="n">
        <f aca="false">'P&amp;L monthly'!AM22/FX_EUR</f>
        <v>81037.5707027863</v>
      </c>
      <c r="AN22" s="37" t="n">
        <f aca="false">'P&amp;L monthly'!AN22/FX_EUR</f>
        <v>85881.1430504101</v>
      </c>
      <c r="AO22" s="37" t="n">
        <f aca="false">'P&amp;L monthly'!AO22/FX_EUR</f>
        <v>91138.5385230235</v>
      </c>
      <c r="AP22" s="37" t="n">
        <f aca="false">'P&amp;L monthly'!AP22/FX_EUR</f>
        <v>96653.213260526</v>
      </c>
      <c r="AQ22" s="37" t="n">
        <f aca="false">'P&amp;L monthly'!AQ22/FX_EUR</f>
        <v>102217.192612159</v>
      </c>
      <c r="AR22" s="37" t="n">
        <f aca="false">'P&amp;L monthly'!AR22/FX_EUR</f>
        <v>108047.972671549</v>
      </c>
      <c r="AS22" s="37" t="n">
        <f aca="false">'P&amp;L monthly'!AS22/FX_EUR</f>
        <v>113907.117443848</v>
      </c>
      <c r="AT22" s="37" t="n">
        <f aca="false">'P&amp;L monthly'!AT22/FX_EUR</f>
        <v>120131.213301466</v>
      </c>
      <c r="AU22" s="37" t="n">
        <f aca="false">'P&amp;L monthly'!AU22/FX_EUR</f>
        <v>126316.272891881</v>
      </c>
      <c r="AV22" s="37" t="n">
        <f aca="false">'P&amp;L monthly'!AV22/FX_EUR</f>
        <v>132464.572943086</v>
      </c>
      <c r="AW22" s="37" t="n">
        <f aca="false">'P&amp;L monthly'!AW22/FX_EUR</f>
        <v>138789.845226578</v>
      </c>
      <c r="AX22" s="37" t="n">
        <f aca="false">'P&amp;L monthly'!AX22/FX_EUR</f>
        <v>145080.771521844</v>
      </c>
      <c r="AY22" s="37" t="n">
        <f aca="false">'P&amp;L monthly'!AY22/FX_EUR</f>
        <v>151741.525340146</v>
      </c>
      <c r="AZ22" s="37" t="n">
        <f aca="false">'P&amp;L monthly'!AZ22/FX_EUR</f>
        <v>158368.622585871</v>
      </c>
      <c r="BA22" s="37" t="n">
        <f aca="false">'P&amp;L monthly'!BA22/FX_EUR</f>
        <v>165548.274842734</v>
      </c>
      <c r="BB22" s="37" t="n">
        <f aca="false">'P&amp;L monthly'!BB22/FX_EUR</f>
        <v>172693.43478948</v>
      </c>
      <c r="BC22" s="37" t="n">
        <f aca="false">'P&amp;L monthly'!BC22/FX_EUR</f>
        <v>180018.593602343</v>
      </c>
      <c r="BD22" s="37" t="n">
        <f aca="false">'P&amp;L monthly'!BD22/FX_EUR</f>
        <v>187503.470595906</v>
      </c>
      <c r="BE22" s="37" t="n">
        <f aca="false">'P&amp;L monthly'!BE22/FX_EUR</f>
        <v>195170.457481534</v>
      </c>
      <c r="BF22" s="37" t="n">
        <f aca="false">'P&amp;L monthly'!BF22/FX_EUR</f>
        <v>202809.356650904</v>
      </c>
      <c r="BG22" s="37" t="n">
        <f aca="false">'P&amp;L monthly'!BG22/FX_EUR</f>
        <v>210825.519335863</v>
      </c>
      <c r="BH22" s="37" t="n">
        <f aca="false">'P&amp;L monthly'!BH22/FX_EUR</f>
        <v>218816.699841046</v>
      </c>
      <c r="BI22" s="37" t="n">
        <f aca="false">'P&amp;L monthly'!BI22/FX_EUR</f>
        <v>226998.38700798</v>
      </c>
      <c r="BJ22" s="37" t="n">
        <f aca="false">'P&amp;L monthly'!BJ22/FX_EUR</f>
        <v>235161.112170919</v>
      </c>
      <c r="BK22" s="37" t="n">
        <f aca="false">'P&amp;L monthly'!BK22/FX_EUR</f>
        <v>243674.759889209</v>
      </c>
      <c r="BL22" s="37" t="n">
        <f aca="false">'P&amp;L monthly'!BL22/FX_EUR</f>
        <v>252307.65000178</v>
      </c>
    </row>
    <row r="23" customFormat="false" ht="15" hidden="false" customHeight="false" outlineLevel="0" collapsed="false">
      <c r="A23" s="12" t="s">
        <v>857</v>
      </c>
      <c r="B23" s="14" t="s">
        <v>73</v>
      </c>
      <c r="D23" s="55" t="n">
        <f aca="false">'P&amp;L monthly'!D23/FX_EUR</f>
        <v>432034.857192018</v>
      </c>
      <c r="E23" s="37" t="n">
        <f aca="false">'P&amp;L monthly'!E23/FX_EUR</f>
        <v>0</v>
      </c>
      <c r="F23" s="37" t="n">
        <f aca="false">'P&amp;L monthly'!F23/FX_EUR</f>
        <v>0</v>
      </c>
      <c r="G23" s="37" t="n">
        <f aca="false">'P&amp;L monthly'!G23/FX_EUR</f>
        <v>0</v>
      </c>
      <c r="H23" s="37" t="n">
        <f aca="false">'P&amp;L monthly'!H23/FX_EUR</f>
        <v>0</v>
      </c>
      <c r="I23" s="37" t="n">
        <f aca="false">'P&amp;L monthly'!I23/FX_EUR</f>
        <v>35.0429474289727</v>
      </c>
      <c r="J23" s="37" t="n">
        <f aca="false">'P&amp;L monthly'!J23/FX_EUR</f>
        <v>69.8735638667372</v>
      </c>
      <c r="K23" s="37" t="n">
        <f aca="false">'P&amp;L monthly'!K23/FX_EUR</f>
        <v>104.518015052816</v>
      </c>
      <c r="L23" s="37" t="n">
        <f aca="false">'P&amp;L monthly'!L23/FX_EUR</f>
        <v>139.003338469087</v>
      </c>
      <c r="M23" s="37" t="n">
        <f aca="false">'P&amp;L monthly'!M23/FX_EUR</f>
        <v>173.357508703217</v>
      </c>
      <c r="N23" s="37" t="n">
        <f aca="false">'P&amp;L monthly'!N23/FX_EUR</f>
        <v>207.609506483337</v>
      </c>
      <c r="O23" s="37" t="n">
        <f aca="false">'P&amp;L monthly'!O23/FX_EUR</f>
        <v>241.789391609115</v>
      </c>
      <c r="P23" s="37" t="n">
        <f aca="false">'P&amp;L monthly'!P23/FX_EUR</f>
        <v>275.928380017797</v>
      </c>
      <c r="Q23" s="37" t="n">
        <f aca="false">'P&amp;L monthly'!Q23/FX_EUR</f>
        <v>320.710029908995</v>
      </c>
      <c r="R23" s="37" t="n">
        <f aca="false">'P&amp;L monthly'!R23/FX_EUR</f>
        <v>365.341270614091</v>
      </c>
      <c r="S23" s="37" t="n">
        <f aca="false">'P&amp;L monthly'!S23/FX_EUR</f>
        <v>409.860409560361</v>
      </c>
      <c r="T23" s="37" t="n">
        <f aca="false">'P&amp;L monthly'!T23/FX_EUR</f>
        <v>454.307207398452</v>
      </c>
      <c r="U23" s="37" t="n">
        <f aca="false">'P&amp;L monthly'!U23/FX_EUR</f>
        <v>498.722980954458</v>
      </c>
      <c r="V23" s="37" t="n">
        <f aca="false">'P&amp;L monthly'!V23/FX_EUR</f>
        <v>543.150712057368</v>
      </c>
      <c r="W23" s="37" t="n">
        <f aca="false">'P&amp;L monthly'!W23/FX_EUR</f>
        <v>619.019333615531</v>
      </c>
      <c r="X23" s="37" t="n">
        <f aca="false">'P&amp;L monthly'!X23/FX_EUR</f>
        <v>694.693026008632</v>
      </c>
      <c r="Y23" s="37" t="n">
        <f aca="false">'P&amp;L monthly'!Y23/FX_EUR</f>
        <v>770.239212574578</v>
      </c>
      <c r="Z23" s="37" t="n">
        <f aca="false">'P&amp;L monthly'!Z23/FX_EUR</f>
        <v>845.72795003276</v>
      </c>
      <c r="AA23" s="37" t="n">
        <f aca="false">'P&amp;L monthly'!AA23/FX_EUR</f>
        <v>921.232112803353</v>
      </c>
      <c r="AB23" s="37" t="n">
        <f aca="false">'P&amp;L monthly'!AB23/FX_EUR</f>
        <v>1002.92554857146</v>
      </c>
      <c r="AC23" s="37" t="n">
        <f aca="false">'P&amp;L monthly'!AC23/FX_EUR</f>
        <v>1106.07230142485</v>
      </c>
      <c r="AD23" s="37" t="n">
        <f aca="false">'P&amp;L monthly'!AD23/FX_EUR</f>
        <v>1209.02035377278</v>
      </c>
      <c r="AE23" s="37" t="n">
        <f aca="false">'P&amp;L monthly'!AE23/FX_EUR</f>
        <v>1311.86392024924</v>
      </c>
      <c r="AF23" s="37" t="n">
        <f aca="false">'P&amp;L monthly'!AF23/FX_EUR</f>
        <v>1420.79893871662</v>
      </c>
      <c r="AG23" s="37" t="n">
        <f aca="false">'P&amp;L monthly'!AG23/FX_EUR</f>
        <v>5134.47142076766</v>
      </c>
      <c r="AH23" s="37" t="n">
        <f aca="false">'P&amp;L monthly'!AH23/FX_EUR</f>
        <v>5506.51690856387</v>
      </c>
      <c r="AI23" s="37" t="n">
        <f aca="false">'P&amp;L monthly'!AI23/FX_EUR</f>
        <v>5880.45652208151</v>
      </c>
      <c r="AJ23" s="37" t="n">
        <f aca="false">'P&amp;L monthly'!AJ23/FX_EUR</f>
        <v>6276.48007932523</v>
      </c>
      <c r="AK23" s="37" t="n">
        <f aca="false">'P&amp;L monthly'!AK23/FX_EUR</f>
        <v>6674.90990926492</v>
      </c>
      <c r="AL23" s="37" t="n">
        <f aca="false">'P&amp;L monthly'!AL23/FX_EUR</f>
        <v>7076.15929114789</v>
      </c>
      <c r="AM23" s="37" t="n">
        <f aca="false">'P&amp;L monthly'!AM23/FX_EUR</f>
        <v>7500.48074091015</v>
      </c>
      <c r="AN23" s="37" t="n">
        <f aca="false">'P&amp;L monthly'!AN23/FX_EUR</f>
        <v>7946.09949175663</v>
      </c>
      <c r="AO23" s="37" t="n">
        <f aca="false">'P&amp;L monthly'!AO23/FX_EUR</f>
        <v>8430.05431146744</v>
      </c>
      <c r="AP23" s="37" t="n">
        <f aca="false">'P&amp;L monthly'!AP23/FX_EUR</f>
        <v>8937.62392920161</v>
      </c>
      <c r="AQ23" s="37" t="n">
        <f aca="false">'P&amp;L monthly'!AQ23/FX_EUR</f>
        <v>9449.28539406519</v>
      </c>
      <c r="AR23" s="37" t="n">
        <f aca="false">'P&amp;L monthly'!AR23/FX_EUR</f>
        <v>9985.4334539006</v>
      </c>
      <c r="AS23" s="37" t="n">
        <f aca="false">'P&amp;L monthly'!AS23/FX_EUR</f>
        <v>10523.6883209625</v>
      </c>
      <c r="AT23" s="37" t="n">
        <f aca="false">'P&amp;L monthly'!AT23/FX_EUR</f>
        <v>11095.6133819738</v>
      </c>
      <c r="AU23" s="37" t="n">
        <f aca="false">'P&amp;L monthly'!AU23/FX_EUR</f>
        <v>11663.2951152367</v>
      </c>
      <c r="AV23" s="37" t="n">
        <f aca="false">'P&amp;L monthly'!AV23/FX_EUR</f>
        <v>12226.9617020028</v>
      </c>
      <c r="AW23" s="37" t="n">
        <f aca="false">'P&amp;L monthly'!AW23/FX_EUR</f>
        <v>12806.6663615961</v>
      </c>
      <c r="AX23" s="37" t="n">
        <f aca="false">'P&amp;L monthly'!AX23/FX_EUR</f>
        <v>13382.5834954238</v>
      </c>
      <c r="AY23" s="37" t="n">
        <f aca="false">'P&amp;L monthly'!AY23/FX_EUR</f>
        <v>13992.6214046039</v>
      </c>
      <c r="AZ23" s="37" t="n">
        <f aca="false">'P&amp;L monthly'!AZ23/FX_EUR</f>
        <v>14598.9132319186</v>
      </c>
      <c r="BA23" s="37" t="n">
        <f aca="false">'P&amp;L monthly'!BA23/FX_EUR</f>
        <v>15256.4350837314</v>
      </c>
      <c r="BB23" s="37" t="n">
        <f aca="false">'P&amp;L monthly'!BB23/FX_EUR</f>
        <v>15910.0870860394</v>
      </c>
      <c r="BC23" s="37" t="n">
        <f aca="false">'P&amp;L monthly'!BC23/FX_EUR</f>
        <v>16579.9944936104</v>
      </c>
      <c r="BD23" s="37" t="n">
        <f aca="false">'P&amp;L monthly'!BD23/FX_EUR</f>
        <v>17264.2437092549</v>
      </c>
      <c r="BE23" s="37" t="n">
        <f aca="false">'P&amp;L monthly'!BE23/FX_EUR</f>
        <v>17964.9247527333</v>
      </c>
      <c r="BF23" s="37" t="n">
        <f aca="false">'P&amp;L monthly'!BF23/FX_EUR</f>
        <v>18662.3179094924</v>
      </c>
      <c r="BG23" s="37" t="n">
        <f aca="false">'P&amp;L monthly'!BG23/FX_EUR</f>
        <v>19394.4425642666</v>
      </c>
      <c r="BH23" s="37" t="n">
        <f aca="false">'P&amp;L monthly'!BH23/FX_EUR</f>
        <v>20123.5484733564</v>
      </c>
      <c r="BI23" s="37" t="n">
        <f aca="false">'P&amp;L monthly'!BI23/FX_EUR</f>
        <v>20869.8539012281</v>
      </c>
      <c r="BJ23" s="37" t="n">
        <f aca="false">'P&amp;L monthly'!BJ23/FX_EUR</f>
        <v>21613.7067397919</v>
      </c>
      <c r="BK23" s="37" t="n">
        <f aca="false">'P&amp;L monthly'!BK23/FX_EUR</f>
        <v>22389.8002770443</v>
      </c>
      <c r="BL23" s="37" t="n">
        <f aca="false">'P&amp;L monthly'!BL23/FX_EUR</f>
        <v>23176.3797754037</v>
      </c>
    </row>
    <row r="24" customFormat="false" ht="15" hidden="false" customHeight="false" outlineLevel="0" collapsed="false">
      <c r="A24" s="8" t="s">
        <v>858</v>
      </c>
      <c r="B24" s="14" t="s">
        <v>73</v>
      </c>
      <c r="D24" s="55" t="n">
        <f aca="false">'P&amp;L monthly'!D24/FX_EUR</f>
        <v>10834737.5761495</v>
      </c>
      <c r="E24" s="16" t="n">
        <f aca="false">'P&amp;L monthly'!E24/FX_EUR</f>
        <v>0</v>
      </c>
      <c r="F24" s="16" t="n">
        <f aca="false">'P&amp;L monthly'!F24/FX_EUR</f>
        <v>0</v>
      </c>
      <c r="G24" s="16" t="n">
        <f aca="false">'P&amp;L monthly'!G24/FX_EUR</f>
        <v>0</v>
      </c>
      <c r="H24" s="16" t="n">
        <f aca="false">'P&amp;L monthly'!H24/FX_EUR</f>
        <v>0</v>
      </c>
      <c r="I24" s="16" t="n">
        <f aca="false">'P&amp;L monthly'!I24/FX_EUR</f>
        <v>3442.09351121085</v>
      </c>
      <c r="J24" s="16" t="n">
        <f aca="false">'P&amp;L monthly'!J24/FX_EUR</f>
        <v>5696.47819394666</v>
      </c>
      <c r="K24" s="16" t="n">
        <f aca="false">'P&amp;L monthly'!K24/FX_EUR</f>
        <v>7948.77231914592</v>
      </c>
      <c r="L24" s="16" t="n">
        <f aca="false">'P&amp;L monthly'!L24/FX_EUR</f>
        <v>10200.5997495916</v>
      </c>
      <c r="M24" s="16" t="n">
        <f aca="false">'P&amp;L monthly'!M24/FX_EUR</f>
        <v>12453.6561435896</v>
      </c>
      <c r="N24" s="16" t="n">
        <f aca="false">'P&amp;L monthly'!N24/FX_EUR</f>
        <v>14709.7136819732</v>
      </c>
      <c r="O24" s="16" t="n">
        <f aca="false">'P&amp;L monthly'!O24/FX_EUR</f>
        <v>16970.6260713345</v>
      </c>
      <c r="P24" s="16" t="n">
        <f aca="false">'P&amp;L monthly'!P24/FX_EUR</f>
        <v>19238.3338401933</v>
      </c>
      <c r="Q24" s="16" t="n">
        <f aca="false">'P&amp;L monthly'!Q24/FX_EUR</f>
        <v>22561.0747021227</v>
      </c>
      <c r="R24" s="16" t="n">
        <f aca="false">'P&amp;L monthly'!R24/FX_EUR</f>
        <v>25522.8546246078</v>
      </c>
      <c r="S24" s="16" t="n">
        <f aca="false">'P&amp;L monthly'!S24/FX_EUR</f>
        <v>28489.4992808935</v>
      </c>
      <c r="T24" s="16" t="n">
        <f aca="false">'P&amp;L monthly'!T24/FX_EUR</f>
        <v>31463.4747665349</v>
      </c>
      <c r="U24" s="16" t="n">
        <f aca="false">'P&amp;L monthly'!U24/FX_EUR</f>
        <v>34447.3636287041</v>
      </c>
      <c r="V24" s="16" t="n">
        <f aca="false">'P&amp;L monthly'!V24/FX_EUR</f>
        <v>37782.5640450167</v>
      </c>
      <c r="W24" s="16" t="n">
        <f aca="false">'P&amp;L monthly'!W24/FX_EUR</f>
        <v>44310.9211907767</v>
      </c>
      <c r="X24" s="16" t="n">
        <f aca="false">'P&amp;L monthly'!X24/FX_EUR</f>
        <v>49878.608484929</v>
      </c>
      <c r="Y24" s="16" t="n">
        <f aca="false">'P&amp;L monthly'!Y24/FX_EUR</f>
        <v>55554.1054209526</v>
      </c>
      <c r="Z24" s="16" t="n">
        <f aca="false">'P&amp;L monthly'!Z24/FX_EUR</f>
        <v>61342.3328294915</v>
      </c>
      <c r="AA24" s="16" t="n">
        <f aca="false">'P&amp;L monthly'!AA24/FX_EUR</f>
        <v>67248.5929165021</v>
      </c>
      <c r="AB24" s="16" t="n">
        <f aca="false">'P&amp;L monthly'!AB24/FX_EUR</f>
        <v>73903.4925865848</v>
      </c>
      <c r="AC24" s="16" t="n">
        <f aca="false">'P&amp;L monthly'!AC24/FX_EUR</f>
        <v>82686.6961049683</v>
      </c>
      <c r="AD24" s="16" t="n">
        <f aca="false">'P&amp;L monthly'!AD24/FX_EUR</f>
        <v>90886.4373590695</v>
      </c>
      <c r="AE24" s="16" t="n">
        <f aca="false">'P&amp;L monthly'!AE24/FX_EUR</f>
        <v>99239.2559366464</v>
      </c>
      <c r="AF24" s="16" t="n">
        <f aca="false">'P&amp;L monthly'!AF24/FX_EUR</f>
        <v>108392.217577411</v>
      </c>
      <c r="AG24" s="16" t="n">
        <f aca="false">'P&amp;L monthly'!AG24/FX_EUR</f>
        <v>137333.546016472</v>
      </c>
      <c r="AH24" s="16" t="n">
        <f aca="false">'P&amp;L monthly'!AH24/FX_EUR</f>
        <v>130818.106825967</v>
      </c>
      <c r="AI24" s="16" t="n">
        <f aca="false">'P&amp;L monthly'!AI24/FX_EUR</f>
        <v>139396.640308862</v>
      </c>
      <c r="AJ24" s="16" t="n">
        <f aca="false">'P&amp;L monthly'!AJ24/FX_EUR</f>
        <v>148752.452808512</v>
      </c>
      <c r="AK24" s="16" t="n">
        <f aca="false">'P&amp;L monthly'!AK24/FX_EUR</f>
        <v>157899.759791473</v>
      </c>
      <c r="AL24" s="16" t="n">
        <f aca="false">'P&amp;L monthly'!AL24/FX_EUR</f>
        <v>167118.735684758</v>
      </c>
      <c r="AM24" s="16" t="n">
        <f aca="false">'P&amp;L monthly'!AM24/FX_EUR</f>
        <v>177138.419145259</v>
      </c>
      <c r="AN24" s="16" t="n">
        <f aca="false">'P&amp;L monthly'!AN24/FX_EUR</f>
        <v>187621.585782929</v>
      </c>
      <c r="AO24" s="16" t="n">
        <f aca="false">'P&amp;L monthly'!AO24/FX_EUR</f>
        <v>199210.303501095</v>
      </c>
      <c r="AP24" s="16" t="n">
        <f aca="false">'P&amp;L monthly'!AP24/FX_EUR</f>
        <v>211141.137980768</v>
      </c>
      <c r="AQ24" s="16" t="n">
        <f aca="false">'P&amp;L monthly'!AQ24/FX_EUR</f>
        <v>222904.432516883</v>
      </c>
      <c r="AR24" s="16" t="n">
        <f aca="false">'P&amp;L monthly'!AR24/FX_EUR</f>
        <v>235503.074315357</v>
      </c>
      <c r="AS24" s="16" t="n">
        <f aca="false">'P&amp;L monthly'!AS24/FX_EUR</f>
        <v>247850.505521943</v>
      </c>
      <c r="AT24" s="16" t="n">
        <f aca="false">'P&amp;L monthly'!AT24/FX_EUR</f>
        <v>261393.227465718</v>
      </c>
      <c r="AU24" s="16" t="n">
        <f aca="false">'P&amp;L monthly'!AU24/FX_EUR</f>
        <v>274330.750056217</v>
      </c>
      <c r="AV24" s="16" t="n">
        <f aca="false">'P&amp;L monthly'!AV24/FX_EUR</f>
        <v>287182.252451628</v>
      </c>
      <c r="AW24" s="16" t="n">
        <f aca="false">'P&amp;L monthly'!AW24/FX_EUR</f>
        <v>300671.983240076</v>
      </c>
      <c r="AX24" s="16" t="n">
        <f aca="false">'P&amp;L monthly'!AX24/FX_EUR</f>
        <v>313810.582216801</v>
      </c>
      <c r="AY24" s="16" t="n">
        <f aca="false">'P&amp;L monthly'!AY24/FX_EUR</f>
        <v>328240.240994339</v>
      </c>
      <c r="AZ24" s="16" t="n">
        <f aca="false">'P&amp;L monthly'!AZ24/FX_EUR</f>
        <v>342076.651175306</v>
      </c>
      <c r="BA24" s="16" t="n">
        <f aca="false">'P&amp;L monthly'!BA24/FX_EUR</f>
        <v>357824.262828729</v>
      </c>
      <c r="BB24" s="16" t="n">
        <f aca="false">'P&amp;L monthly'!BB24/FX_EUR</f>
        <v>372743.739305799</v>
      </c>
      <c r="BC24" s="16" t="n">
        <f aca="false">'P&amp;L monthly'!BC24/FX_EUR</f>
        <v>388307.623493516</v>
      </c>
      <c r="BD24" s="16" t="n">
        <f aca="false">'P&amp;L monthly'!BD24/FX_EUR</f>
        <v>404175.310472675</v>
      </c>
      <c r="BE24" s="16" t="n">
        <f aca="false">'P&amp;L monthly'!BE24/FX_EUR</f>
        <v>420448.436892548</v>
      </c>
      <c r="BF24" s="16" t="n">
        <f aca="false">'P&amp;L monthly'!BF24/FX_EUR</f>
        <v>436383.578243294</v>
      </c>
      <c r="BG24" s="16" t="n">
        <f aca="false">'P&amp;L monthly'!BG24/FX_EUR</f>
        <v>453625.524415809</v>
      </c>
      <c r="BH24" s="16" t="n">
        <f aca="false">'P&amp;L monthly'!BH24/FX_EUR</f>
        <v>470292.696571889</v>
      </c>
      <c r="BI24" s="16" t="n">
        <f aca="false">'P&amp;L monthly'!BI24/FX_EUR</f>
        <v>487627.183381804</v>
      </c>
      <c r="BJ24" s="16" t="n">
        <f aca="false">'P&amp;L monthly'!BJ24/FX_EUR</f>
        <v>504643.692039768</v>
      </c>
      <c r="BK24" s="16" t="n">
        <f aca="false">'P&amp;L monthly'!BK24/FX_EUR</f>
        <v>522865.456082479</v>
      </c>
      <c r="BL24" s="16" t="n">
        <f aca="false">'P&amp;L monthly'!BL24/FX_EUR</f>
        <v>541035.91965468</v>
      </c>
    </row>
    <row r="25" customFormat="false" ht="15" hidden="false" customHeight="false" outlineLevel="0" collapsed="false">
      <c r="A25" s="8" t="s">
        <v>88</v>
      </c>
      <c r="B25" s="14" t="s">
        <v>73</v>
      </c>
      <c r="D25" s="55" t="n">
        <f aca="false">'P&amp;L monthly'!D25/FX_EUR</f>
        <v>7560886.2743283</v>
      </c>
      <c r="E25" s="16" t="n">
        <f aca="false">'P&amp;L monthly'!E25/FX_EUR</f>
        <v>0</v>
      </c>
      <c r="F25" s="16" t="n">
        <f aca="false">'P&amp;L monthly'!F25/FX_EUR</f>
        <v>0</v>
      </c>
      <c r="G25" s="16" t="n">
        <f aca="false">'P&amp;L monthly'!G25/FX_EUR</f>
        <v>0</v>
      </c>
      <c r="H25" s="16" t="n">
        <f aca="false">'P&amp;L monthly'!H25/FX_EUR</f>
        <v>0</v>
      </c>
      <c r="I25" s="16" t="n">
        <f aca="false">'P&amp;L monthly'!I25/FX_EUR</f>
        <v>-787.590243466162</v>
      </c>
      <c r="J25" s="16" t="n">
        <f aca="false">'P&amp;L monthly'!J25/FX_EUR</f>
        <v>-954.073864597831</v>
      </c>
      <c r="K25" s="16" t="n">
        <f aca="false">'P&amp;L monthly'!K25/FX_EUR</f>
        <v>-1119.82092300511</v>
      </c>
      <c r="L25" s="16" t="n">
        <f aca="false">'P&amp;L monthly'!L25/FX_EUR</f>
        <v>476.054189516338</v>
      </c>
      <c r="M25" s="16" t="n">
        <f aca="false">'P&amp;L monthly'!M25/FX_EUR</f>
        <v>2140.81399146839</v>
      </c>
      <c r="N25" s="16" t="n">
        <f aca="false">'P&amp;L monthly'!N25/FX_EUR</f>
        <v>3803.01365034647</v>
      </c>
      <c r="O25" s="16" t="n">
        <f aca="false">'P&amp;L monthly'!O25/FX_EUR</f>
        <v>5463.7750759133</v>
      </c>
      <c r="P25" s="16" t="n">
        <f aca="false">'P&amp;L monthly'!P25/FX_EUR</f>
        <v>7124.26932423532</v>
      </c>
      <c r="Q25" s="16" t="n">
        <f aca="false">'P&amp;L monthly'!Q25/FX_EUR</f>
        <v>8546.3362580103</v>
      </c>
      <c r="R25" s="16" t="n">
        <f aca="false">'P&amp;L monthly'!R25/FX_EUR</f>
        <v>10154.5624475474</v>
      </c>
      <c r="S25" s="16" t="n">
        <f aca="false">'P&amp;L monthly'!S25/FX_EUR</f>
        <v>11759.9883843415</v>
      </c>
      <c r="T25" s="16" t="n">
        <f aca="false">'P&amp;L monthly'!T25/FX_EUR</f>
        <v>13943.391876697</v>
      </c>
      <c r="U25" s="16" t="n">
        <f aca="false">'P&amp;L monthly'!U25/FX_EUR</f>
        <v>16127.0427783822</v>
      </c>
      <c r="V25" s="16" t="n">
        <f aca="false">'P&amp;L monthly'!V25/FX_EUR</f>
        <v>18589.5018169304</v>
      </c>
      <c r="W25" s="16" t="n">
        <f aca="false">'P&amp;L monthly'!W25/FX_EUR</f>
        <v>20559.4821153923</v>
      </c>
      <c r="X25" s="16" t="n">
        <f aca="false">'P&amp;L monthly'!X25/FX_EUR</f>
        <v>23186.1253817739</v>
      </c>
      <c r="Y25" s="16" t="n">
        <f aca="false">'P&amp;L monthly'!Y25/FX_EUR</f>
        <v>25950.1175863776</v>
      </c>
      <c r="Z25" s="16" t="n">
        <f aca="false">'P&amp;L monthly'!Z25/FX_EUR</f>
        <v>30567.5924735002</v>
      </c>
      <c r="AA25" s="16" t="n">
        <f aca="false">'P&amp;L monthly'!AA25/FX_EUR</f>
        <v>35317.0022544216</v>
      </c>
      <c r="AB25" s="16" t="n">
        <f aca="false">'P&amp;L monthly'!AB25/FX_EUR</f>
        <v>40087.398869927</v>
      </c>
      <c r="AC25" s="16" t="n">
        <f aca="false">'P&amp;L monthly'!AC25/FX_EUR</f>
        <v>48312.3095604521</v>
      </c>
      <c r="AD25" s="16" t="n">
        <f aca="false">'P&amp;L monthly'!AD25/FX_EUR</f>
        <v>54371.7088691086</v>
      </c>
      <c r="AE25" s="16" t="n">
        <f aca="false">'P&amp;L monthly'!AE25/FX_EUR</f>
        <v>61202.0980458237</v>
      </c>
      <c r="AF25" s="16" t="n">
        <f aca="false">'P&amp;L monthly'!AF25/FX_EUR</f>
        <v>69588.2739754494</v>
      </c>
      <c r="AG25" s="16" t="n">
        <f aca="false">'P&amp;L monthly'!AG25/FX_EUR</f>
        <v>58619.6757621708</v>
      </c>
      <c r="AH25" s="16" t="n">
        <f aca="false">'P&amp;L monthly'!AH25/FX_EUR</f>
        <v>81475.1005162961</v>
      </c>
      <c r="AI25" s="16" t="n">
        <f aca="false">'P&amp;L monthly'!AI25/FX_EUR</f>
        <v>89145.7146070653</v>
      </c>
      <c r="AJ25" s="16" t="n">
        <f aca="false">'P&amp;L monthly'!AJ25/FX_EUR</f>
        <v>96797.7865703835</v>
      </c>
      <c r="AK25" s="16" t="n">
        <f aca="false">'P&amp;L monthly'!AK25/FX_EUR</f>
        <v>104627.713114733</v>
      </c>
      <c r="AL25" s="16" t="n">
        <f aca="false">'P&amp;L monthly'!AL25/FX_EUR</f>
        <v>112412.440504762</v>
      </c>
      <c r="AM25" s="16" t="n">
        <f aca="false">'P&amp;L monthly'!AM25/FX_EUR</f>
        <v>120500.720286926</v>
      </c>
      <c r="AN25" s="16" t="n">
        <f aca="false">'P&amp;L monthly'!AN25/FX_EUR</f>
        <v>128752.89500924</v>
      </c>
      <c r="AO25" s="16" t="n">
        <f aca="false">'P&amp;L monthly'!AO25/FX_EUR</f>
        <v>137043.125826119</v>
      </c>
      <c r="AP25" s="16" t="n">
        <f aca="false">'P&amp;L monthly'!AP25/FX_EUR</f>
        <v>146041.188302883</v>
      </c>
      <c r="AQ25" s="16" t="n">
        <f aca="false">'P&amp;L monthly'!AQ25/FX_EUR</f>
        <v>155312.386588797</v>
      </c>
      <c r="AR25" s="16" t="n">
        <f aca="false">'P&amp;L monthly'!AR25/FX_EUR</f>
        <v>164758.979935886</v>
      </c>
      <c r="AS25" s="16" t="n">
        <f aca="false">'P&amp;L monthly'!AS25/FX_EUR</f>
        <v>174850.988034957</v>
      </c>
      <c r="AT25" s="16" t="n">
        <f aca="false">'P&amp;L monthly'!AT25/FX_EUR</f>
        <v>184694.37695362</v>
      </c>
      <c r="AU25" s="16" t="n">
        <f aca="false">'P&amp;L monthly'!AU25/FX_EUR</f>
        <v>195264.49406115</v>
      </c>
      <c r="AV25" s="16" t="n">
        <f aca="false">'P&amp;L monthly'!AV25/FX_EUR</f>
        <v>205835.719854025</v>
      </c>
      <c r="AW25" s="16" t="n">
        <f aca="false">'P&amp;L monthly'!AW25/FX_EUR</f>
        <v>216807.195663164</v>
      </c>
      <c r="AX25" s="16" t="n">
        <f aca="false">'P&amp;L monthly'!AX25/FX_EUR</f>
        <v>227898.830447842</v>
      </c>
      <c r="AY25" s="16" t="n">
        <f aca="false">'P&amp;L monthly'!AY25/FX_EUR</f>
        <v>238596.786909736</v>
      </c>
      <c r="AZ25" s="16" t="n">
        <f aca="false">'P&amp;L monthly'!AZ25/FX_EUR</f>
        <v>249943.694580993</v>
      </c>
      <c r="BA25" s="16" t="n">
        <f aca="false">'P&amp;L monthly'!BA25/FX_EUR</f>
        <v>260785.149270831</v>
      </c>
      <c r="BB25" s="16" t="n">
        <f aca="false">'P&amp;L monthly'!BB25/FX_EUR</f>
        <v>272758.047156259</v>
      </c>
      <c r="BC25" s="16" t="n">
        <f aca="false">'P&amp;L monthly'!BC25/FX_EUR</f>
        <v>284499.12592313</v>
      </c>
      <c r="BD25" s="16" t="n">
        <f aca="false">'P&amp;L monthly'!BD25/FX_EUR</f>
        <v>297107.489591508</v>
      </c>
      <c r="BE25" s="16" t="n">
        <f aca="false">'P&amp;L monthly'!BE25/FX_EUR</f>
        <v>309683.252190098</v>
      </c>
      <c r="BF25" s="16" t="n">
        <f aca="false">'P&amp;L monthly'!BF25/FX_EUR</f>
        <v>322710.636094658</v>
      </c>
      <c r="BG25" s="16" t="n">
        <f aca="false">'P&amp;L monthly'!BG25/FX_EUR</f>
        <v>335645.836390362</v>
      </c>
      <c r="BH25" s="16" t="n">
        <f aca="false">'P&amp;L monthly'!BH25/FX_EUR</f>
        <v>349232.757519763</v>
      </c>
      <c r="BI25" s="16" t="n">
        <f aca="false">'P&amp;L monthly'!BI25/FX_EUR</f>
        <v>362598.690147018</v>
      </c>
      <c r="BJ25" s="16" t="n">
        <f aca="false">'P&amp;L monthly'!BJ25/FX_EUR</f>
        <v>376724.705670257</v>
      </c>
      <c r="BK25" s="16" t="n">
        <f aca="false">'P&amp;L monthly'!BK25/FX_EUR</f>
        <v>390503.587898186</v>
      </c>
      <c r="BL25" s="16" t="n">
        <f aca="false">'P&amp;L monthly'!BL25/FX_EUR</f>
        <v>404847.809050933</v>
      </c>
    </row>
    <row r="27" customFormat="false" ht="15" hidden="false" customHeight="false" outlineLevel="0" collapsed="false">
      <c r="A27" s="10" t="s">
        <v>859</v>
      </c>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row>
    <row r="28" customFormat="false" ht="15" hidden="false" customHeight="false" outlineLevel="0" collapsed="false">
      <c r="A28" s="12" t="s">
        <v>20</v>
      </c>
      <c r="B28" s="14" t="s">
        <v>73</v>
      </c>
      <c r="D28" s="55" t="n">
        <f aca="false">'P&amp;L monthly'!D29/FX_EUR</f>
        <v>3297353.80186887</v>
      </c>
      <c r="E28" s="37" t="n">
        <f aca="false">'P&amp;L monthly'!E29/FX_EUR</f>
        <v>15061.9629030561</v>
      </c>
      <c r="F28" s="37" t="n">
        <f aca="false">'P&amp;L monthly'!F29/FX_EUR</f>
        <v>15061.9629030561</v>
      </c>
      <c r="G28" s="37" t="n">
        <f aca="false">'P&amp;L monthly'!G29/FX_EUR</f>
        <v>15061.9629030561</v>
      </c>
      <c r="H28" s="37" t="n">
        <f aca="false">'P&amp;L monthly'!H29/FX_EUR</f>
        <v>19422.0047960461</v>
      </c>
      <c r="I28" s="37" t="n">
        <f aca="false">'P&amp;L monthly'!I29/FX_EUR</f>
        <v>20214.7396856806</v>
      </c>
      <c r="J28" s="37" t="n">
        <f aca="false">'P&amp;L monthly'!J29/FX_EUR</f>
        <v>20214.7396856806</v>
      </c>
      <c r="K28" s="37" t="n">
        <f aca="false">'P&amp;L monthly'!K29/FX_EUR</f>
        <v>20214.7396856806</v>
      </c>
      <c r="L28" s="37" t="n">
        <f aca="false">'P&amp;L monthly'!L29/FX_EUR</f>
        <v>20214.7396856806</v>
      </c>
      <c r="M28" s="37" t="n">
        <f aca="false">'P&amp;L monthly'!M29/FX_EUR</f>
        <v>20214.7396856806</v>
      </c>
      <c r="N28" s="37" t="n">
        <f aca="false">'P&amp;L monthly'!N29/FX_EUR</f>
        <v>20214.7396856806</v>
      </c>
      <c r="O28" s="37" t="n">
        <f aca="false">'P&amp;L monthly'!O29/FX_EUR</f>
        <v>20214.7396856806</v>
      </c>
      <c r="P28" s="37" t="n">
        <f aca="false">'P&amp;L monthly'!P29/FX_EUR</f>
        <v>20214.7396856806</v>
      </c>
      <c r="Q28" s="37" t="n">
        <f aca="false">'P&amp;L monthly'!Q29/FX_EUR</f>
        <v>26427.7993831913</v>
      </c>
      <c r="R28" s="37" t="n">
        <f aca="false">'P&amp;L monthly'!R29/FX_EUR</f>
        <v>26427.7993831913</v>
      </c>
      <c r="S28" s="37" t="n">
        <f aca="false">'P&amp;L monthly'!S29/FX_EUR</f>
        <v>26427.7993831913</v>
      </c>
      <c r="T28" s="37" t="n">
        <f aca="false">'P&amp;L monthly'!T29/FX_EUR</f>
        <v>27676.3568343657</v>
      </c>
      <c r="U28" s="37" t="n">
        <f aca="false">'P&amp;L monthly'!U29/FX_EUR</f>
        <v>27676.3568343657</v>
      </c>
      <c r="V28" s="37" t="n">
        <f aca="false">'P&amp;L monthly'!V29/FX_EUR</f>
        <v>36208.1660840573</v>
      </c>
      <c r="W28" s="37" t="n">
        <f aca="false">'P&amp;L monthly'!W29/FX_EUR</f>
        <v>36728.39835538</v>
      </c>
      <c r="X28" s="37" t="n">
        <f aca="false">'P&amp;L monthly'!X29/FX_EUR</f>
        <v>36728.39835538</v>
      </c>
      <c r="Y28" s="37" t="n">
        <f aca="false">'P&amp;L monthly'!Y29/FX_EUR</f>
        <v>36728.39835538</v>
      </c>
      <c r="Z28" s="37" t="n">
        <f aca="false">'P&amp;L monthly'!Z29/FX_EUR</f>
        <v>36728.39835538</v>
      </c>
      <c r="AA28" s="37" t="n">
        <f aca="false">'P&amp;L monthly'!AA29/FX_EUR</f>
        <v>38081.0022608189</v>
      </c>
      <c r="AB28" s="37" t="n">
        <f aca="false">'P&amp;L monthly'!AB29/FX_EUR</f>
        <v>41202.3958887549</v>
      </c>
      <c r="AC28" s="37" t="n">
        <f aca="false">'P&amp;L monthly'!AC29/FX_EUR</f>
        <v>43262.5156831927</v>
      </c>
      <c r="AD28" s="37" t="n">
        <f aca="false">'P&amp;L monthly'!AD29/FX_EUR</f>
        <v>43262.5156831927</v>
      </c>
      <c r="AE28" s="37" t="n">
        <f aca="false">'P&amp;L monthly'!AE29/FX_EUR</f>
        <v>47304.7204313697</v>
      </c>
      <c r="AF28" s="37" t="n">
        <f aca="false">'P&amp;L monthly'!AF29/FX_EUR</f>
        <v>48615.7057551029</v>
      </c>
      <c r="AG28" s="37" t="n">
        <f aca="false">'P&amp;L monthly'!AG29/FX_EUR</f>
        <v>50254.4374097692</v>
      </c>
      <c r="AH28" s="37" t="n">
        <f aca="false">'P&amp;L monthly'!AH29/FX_EUR</f>
        <v>50254.4374097692</v>
      </c>
      <c r="AI28" s="37" t="n">
        <f aca="false">'P&amp;L monthly'!AI29/FX_EUR</f>
        <v>51674.6715104801</v>
      </c>
      <c r="AJ28" s="37" t="n">
        <f aca="false">'P&amp;L monthly'!AJ29/FX_EUR</f>
        <v>52220.9153953689</v>
      </c>
      <c r="AK28" s="37" t="n">
        <f aca="false">'P&amp;L monthly'!AK29/FX_EUR</f>
        <v>53531.900719102</v>
      </c>
      <c r="AL28" s="37" t="n">
        <f aca="false">'P&amp;L monthly'!AL29/FX_EUR</f>
        <v>54952.1348198129</v>
      </c>
      <c r="AM28" s="37" t="n">
        <f aca="false">'P&amp;L monthly'!AM29/FX_EUR</f>
        <v>55935.3738126127</v>
      </c>
      <c r="AN28" s="37" t="n">
        <f aca="false">'P&amp;L monthly'!AN29/FX_EUR</f>
        <v>56481.6176975015</v>
      </c>
      <c r="AO28" s="37" t="n">
        <f aca="false">'P&amp;L monthly'!AO29/FX_EUR</f>
        <v>64926.5481578823</v>
      </c>
      <c r="AP28" s="37" t="n">
        <f aca="false">'P&amp;L monthly'!AP29/FX_EUR</f>
        <v>64926.5481578823</v>
      </c>
      <c r="AQ28" s="37" t="n">
        <f aca="false">'P&amp;L monthly'!AQ29/FX_EUR</f>
        <v>66417.7939636287</v>
      </c>
      <c r="AR28" s="37" t="n">
        <f aca="false">'P&amp;L monthly'!AR29/FX_EUR</f>
        <v>66991.350042762</v>
      </c>
      <c r="AS28" s="37" t="n">
        <f aca="false">'P&amp;L monthly'!AS29/FX_EUR</f>
        <v>70891.531380868</v>
      </c>
      <c r="AT28" s="37" t="n">
        <f aca="false">'P&amp;L monthly'!AT29/FX_EUR</f>
        <v>70891.531380868</v>
      </c>
      <c r="AU28" s="37" t="n">
        <f aca="false">'P&amp;L monthly'!AU29/FX_EUR</f>
        <v>71465.0874600012</v>
      </c>
      <c r="AV28" s="37" t="n">
        <f aca="false">'P&amp;L monthly'!AV29/FX_EUR</f>
        <v>72956.3332657476</v>
      </c>
      <c r="AW28" s="37" t="n">
        <f aca="false">'P&amp;L monthly'!AW29/FX_EUR</f>
        <v>76282.9585247204</v>
      </c>
      <c r="AX28" s="37" t="n">
        <f aca="false">'P&amp;L monthly'!AX29/FX_EUR</f>
        <v>80183.1398628264</v>
      </c>
      <c r="AY28" s="37" t="n">
        <f aca="false">'P&amp;L monthly'!AY29/FX_EUR</f>
        <v>80183.1398628264</v>
      </c>
      <c r="AZ28" s="37" t="n">
        <f aca="false">'P&amp;L monthly'!AZ29/FX_EUR</f>
        <v>81674.3856685728</v>
      </c>
      <c r="BA28" s="37" t="n">
        <f aca="false">'P&amp;L monthly'!BA29/FX_EUR</f>
        <v>86360.3388350913</v>
      </c>
      <c r="BB28" s="37" t="n">
        <f aca="false">'P&amp;L monthly'!BB29/FX_EUR</f>
        <v>89371.5082505408</v>
      </c>
      <c r="BC28" s="37" t="n">
        <f aca="false">'P&amp;L monthly'!BC29/FX_EUR</f>
        <v>91057.7631231926</v>
      </c>
      <c r="BD28" s="37" t="n">
        <f aca="false">'P&amp;L monthly'!BD29/FX_EUR</f>
        <v>95514.2938580578</v>
      </c>
      <c r="BE28" s="37" t="n">
        <f aca="false">'P&amp;L monthly'!BE29/FX_EUR</f>
        <v>96116.5277411477</v>
      </c>
      <c r="BF28" s="37" t="n">
        <f aca="false">'P&amp;L monthly'!BF29/FX_EUR</f>
        <v>100211.718146159</v>
      </c>
      <c r="BG28" s="37" t="n">
        <f aca="false">'P&amp;L monthly'!BG29/FX_EUR</f>
        <v>100813.952029249</v>
      </c>
      <c r="BH28" s="37" t="n">
        <f aca="false">'P&amp;L monthly'!BH29/FX_EUR</f>
        <v>102379.760125283</v>
      </c>
      <c r="BI28" s="37" t="n">
        <f aca="false">'P&amp;L monthly'!BI29/FX_EUR</f>
        <v>102981.994008373</v>
      </c>
      <c r="BJ28" s="37" t="n">
        <f aca="false">'P&amp;L monthly'!BJ29/FX_EUR</f>
        <v>109967.907052215</v>
      </c>
      <c r="BK28" s="37" t="n">
        <f aca="false">'P&amp;L monthly'!BK29/FX_EUR</f>
        <v>111533.715148249</v>
      </c>
      <c r="BL28" s="37" t="n">
        <f aca="false">'P&amp;L monthly'!BL29/FX_EUR</f>
        <v>112135.949031339</v>
      </c>
    </row>
    <row r="29" customFormat="false" ht="15" hidden="false" customHeight="false" outlineLevel="0" collapsed="false">
      <c r="A29" s="12" t="s">
        <v>821</v>
      </c>
      <c r="B29" s="14" t="s">
        <v>73</v>
      </c>
      <c r="D29" s="55" t="n">
        <f aca="false">'P&amp;L monthly'!D30/FX_EUR</f>
        <v>696001.058453527</v>
      </c>
      <c r="E29" s="37" t="n">
        <f aca="false">'P&amp;L monthly'!E30/FX_EUR</f>
        <v>7843.33805417123</v>
      </c>
      <c r="F29" s="37" t="n">
        <f aca="false">'P&amp;L monthly'!F30/FX_EUR</f>
        <v>1538.11225430935</v>
      </c>
      <c r="G29" s="37" t="n">
        <f aca="false">'P&amp;L monthly'!G30/FX_EUR</f>
        <v>1538.11225430935</v>
      </c>
      <c r="H29" s="37" t="n">
        <f aca="false">'P&amp;L monthly'!H30/FX_EUR</f>
        <v>5576.22450861871</v>
      </c>
      <c r="I29" s="37" t="n">
        <f aca="false">'P&amp;L monthly'!I30/FX_EUR</f>
        <v>3883.84695948058</v>
      </c>
      <c r="J29" s="37" t="n">
        <f aca="false">'P&amp;L monthly'!J30/FX_EUR</f>
        <v>3383.84695948058</v>
      </c>
      <c r="K29" s="37" t="n">
        <f aca="false">'P&amp;L monthly'!K30/FX_EUR</f>
        <v>3383.84695948058</v>
      </c>
      <c r="L29" s="37" t="n">
        <f aca="false">'P&amp;L monthly'!L30/FX_EUR</f>
        <v>3383.84695948058</v>
      </c>
      <c r="M29" s="37" t="n">
        <f aca="false">'P&amp;L monthly'!M30/FX_EUR</f>
        <v>3383.84695948058</v>
      </c>
      <c r="N29" s="37" t="n">
        <f aca="false">'P&amp;L monthly'!N30/FX_EUR</f>
        <v>3383.84695948058</v>
      </c>
      <c r="O29" s="37" t="n">
        <f aca="false">'P&amp;L monthly'!O30/FX_EUR</f>
        <v>3383.84695948058</v>
      </c>
      <c r="P29" s="37" t="n">
        <f aca="false">'P&amp;L monthly'!P30/FX_EUR</f>
        <v>3383.84695948058</v>
      </c>
      <c r="Q29" s="37" t="n">
        <f aca="false">'P&amp;L monthly'!Q30/FX_EUR</f>
        <v>4191.46941034245</v>
      </c>
      <c r="R29" s="37" t="n">
        <f aca="false">'P&amp;L monthly'!R30/FX_EUR</f>
        <v>3691.46941034245</v>
      </c>
      <c r="S29" s="37" t="n">
        <f aca="false">'P&amp;L monthly'!S30/FX_EUR</f>
        <v>3691.46941034245</v>
      </c>
      <c r="T29" s="37" t="n">
        <f aca="false">'P&amp;L monthly'!T30/FX_EUR</f>
        <v>4499.09186120432</v>
      </c>
      <c r="U29" s="37" t="n">
        <f aca="false">'P&amp;L monthly'!U30/FX_EUR</f>
        <v>3999.09186120432</v>
      </c>
      <c r="V29" s="37" t="n">
        <f aca="false">'P&amp;L monthly'!V30/FX_EUR</f>
        <v>7229.5816646518</v>
      </c>
      <c r="W29" s="37" t="n">
        <f aca="false">'P&amp;L monthly'!W30/FX_EUR</f>
        <v>6037.20411551367</v>
      </c>
      <c r="X29" s="37" t="n">
        <f aca="false">'P&amp;L monthly'!X30/FX_EUR</f>
        <v>5537.20411551367</v>
      </c>
      <c r="Y29" s="37" t="n">
        <f aca="false">'P&amp;L monthly'!Y30/FX_EUR</f>
        <v>5537.20411551367</v>
      </c>
      <c r="Z29" s="37" t="n">
        <f aca="false">'P&amp;L monthly'!Z30/FX_EUR</f>
        <v>5537.20411551367</v>
      </c>
      <c r="AA29" s="37" t="n">
        <f aca="false">'P&amp;L monthly'!AA30/FX_EUR</f>
        <v>7152.44901723741</v>
      </c>
      <c r="AB29" s="37" t="n">
        <f aca="false">'P&amp;L monthly'!AB30/FX_EUR</f>
        <v>6960.07146809928</v>
      </c>
      <c r="AC29" s="37" t="n">
        <f aca="false">'P&amp;L monthly'!AC30/FX_EUR</f>
        <v>6460.07146809928</v>
      </c>
      <c r="AD29" s="37" t="n">
        <f aca="false">'P&amp;L monthly'!AD30/FX_EUR</f>
        <v>6460.07146809928</v>
      </c>
      <c r="AE29" s="37" t="n">
        <f aca="false">'P&amp;L monthly'!AE30/FX_EUR</f>
        <v>10151.3474206389</v>
      </c>
      <c r="AF29" s="37" t="n">
        <f aca="false">'P&amp;L monthly'!AF30/FX_EUR</f>
        <v>8190.56127154676</v>
      </c>
      <c r="AG29" s="37" t="n">
        <f aca="false">'P&amp;L monthly'!AG30/FX_EUR</f>
        <v>10113.4286241324</v>
      </c>
      <c r="AH29" s="37" t="n">
        <f aca="false">'P&amp;L monthly'!AH30/FX_EUR</f>
        <v>8613.42862413237</v>
      </c>
      <c r="AI29" s="37" t="n">
        <f aca="false">'P&amp;L monthly'!AI30/FX_EUR</f>
        <v>10228.6735258561</v>
      </c>
      <c r="AJ29" s="37" t="n">
        <f aca="false">'P&amp;L monthly'!AJ30/FX_EUR</f>
        <v>10036.295976718</v>
      </c>
      <c r="AK29" s="37" t="n">
        <f aca="false">'P&amp;L monthly'!AK30/FX_EUR</f>
        <v>10343.9184275799</v>
      </c>
      <c r="AL29" s="37" t="n">
        <f aca="false">'P&amp;L monthly'!AL30/FX_EUR</f>
        <v>11459.1633293036</v>
      </c>
      <c r="AM29" s="37" t="n">
        <f aca="false">'P&amp;L monthly'!AM30/FX_EUR</f>
        <v>11266.7857801655</v>
      </c>
      <c r="AN29" s="37" t="n">
        <f aca="false">'P&amp;L monthly'!AN30/FX_EUR</f>
        <v>11574.4082310273</v>
      </c>
      <c r="AO29" s="37" t="n">
        <f aca="false">'P&amp;L monthly'!AO30/FX_EUR</f>
        <v>15573.3066344288</v>
      </c>
      <c r="AP29" s="37" t="n">
        <f aca="false">'P&amp;L monthly'!AP30/FX_EUR</f>
        <v>12304.8980344748</v>
      </c>
      <c r="AQ29" s="37" t="n">
        <f aca="false">'P&amp;L monthly'!AQ30/FX_EUR</f>
        <v>13920.1429361986</v>
      </c>
      <c r="AR29" s="37" t="n">
        <f aca="false">'P&amp;L monthly'!AR30/FX_EUR</f>
        <v>13727.7653870604</v>
      </c>
      <c r="AS29" s="37" t="n">
        <f aca="false">'P&amp;L monthly'!AS30/FX_EUR</f>
        <v>16458.2551905079</v>
      </c>
      <c r="AT29" s="37" t="n">
        <f aca="false">'P&amp;L monthly'!AT30/FX_EUR</f>
        <v>14458.2551905079</v>
      </c>
      <c r="AU29" s="37" t="n">
        <f aca="false">'P&amp;L monthly'!AU30/FX_EUR</f>
        <v>15265.8776413698</v>
      </c>
      <c r="AV29" s="37" t="n">
        <f aca="false">'P&amp;L monthly'!AV30/FX_EUR</f>
        <v>16381.1225430935</v>
      </c>
      <c r="AW29" s="37" t="n">
        <f aca="false">'P&amp;L monthly'!AW30/FX_EUR</f>
        <v>18264.7760447712</v>
      </c>
      <c r="AX29" s="37" t="n">
        <f aca="false">'P&amp;L monthly'!AX30/FX_EUR</f>
        <v>19226.8572482647</v>
      </c>
      <c r="AY29" s="37" t="n">
        <f aca="false">'P&amp;L monthly'!AY30/FX_EUR</f>
        <v>17226.8572482647</v>
      </c>
      <c r="AZ29" s="37" t="n">
        <f aca="false">'P&amp;L monthly'!AZ30/FX_EUR</f>
        <v>18842.1021499885</v>
      </c>
      <c r="BA29" s="37" t="n">
        <f aca="false">'P&amp;L monthly'!BA30/FX_EUR</f>
        <v>18649.7246008504</v>
      </c>
      <c r="BB29" s="37" t="n">
        <f aca="false">'P&amp;L monthly'!BB30/FX_EUR</f>
        <v>20572.591953436</v>
      </c>
      <c r="BC29" s="37" t="n">
        <f aca="false">'P&amp;L monthly'!BC30/FX_EUR</f>
        <v>20687.8368551597</v>
      </c>
      <c r="BD29" s="37" t="n">
        <f aca="false">'P&amp;L monthly'!BD30/FX_EUR</f>
        <v>23379.1128076993</v>
      </c>
      <c r="BE29" s="37" t="n">
        <f aca="false">'P&amp;L monthly'!BE30/FX_EUR</f>
        <v>21418.3266586072</v>
      </c>
      <c r="BF29" s="37" t="n">
        <f aca="false">'P&amp;L monthly'!BF30/FX_EUR</f>
        <v>24148.8164620547</v>
      </c>
      <c r="BG29" s="37" t="n">
        <f aca="false">'P&amp;L monthly'!BG30/FX_EUR</f>
        <v>22956.4389129166</v>
      </c>
      <c r="BH29" s="37" t="n">
        <f aca="false">'P&amp;L monthly'!BH30/FX_EUR</f>
        <v>24071.6838146403</v>
      </c>
      <c r="BI29" s="37" t="n">
        <f aca="false">'P&amp;L monthly'!BI30/FX_EUR</f>
        <v>23879.3062655022</v>
      </c>
      <c r="BJ29" s="37" t="n">
        <f aca="false">'P&amp;L monthly'!BJ30/FX_EUR</f>
        <v>28685.8271197655</v>
      </c>
      <c r="BK29" s="37" t="n">
        <f aca="false">'P&amp;L monthly'!BK30/FX_EUR</f>
        <v>26532.6634215353</v>
      </c>
      <c r="BL29" s="37" t="n">
        <f aca="false">'P&amp;L monthly'!BL30/FX_EUR</f>
        <v>26340.2858723971</v>
      </c>
    </row>
    <row r="30" customFormat="false" ht="15" hidden="false" customHeight="false" outlineLevel="0" collapsed="false">
      <c r="A30" s="12" t="s">
        <v>435</v>
      </c>
      <c r="B30" s="14" t="s">
        <v>73</v>
      </c>
      <c r="D30" s="55" t="n">
        <f aca="false">'P&amp;L monthly'!D31/FX_EUR</f>
        <v>1083094.56947307</v>
      </c>
      <c r="E30" s="37" t="n">
        <f aca="false">'P&amp;L monthly'!E31/FX_EUR</f>
        <v>7492.74088596255</v>
      </c>
      <c r="F30" s="37" t="n">
        <f aca="false">'P&amp;L monthly'!F31/FX_EUR</f>
        <v>10145.3537858935</v>
      </c>
      <c r="G30" s="37" t="n">
        <f aca="false">'P&amp;L monthly'!G31/FX_EUR</f>
        <v>54355.5687847425</v>
      </c>
      <c r="H30" s="37" t="n">
        <f aca="false">'P&amp;L monthly'!H31/FX_EUR</f>
        <v>19066.9751726612</v>
      </c>
      <c r="I30" s="37" t="n">
        <f aca="false">'P&amp;L monthly'!I31/FX_EUR</f>
        <v>14267.6361916</v>
      </c>
      <c r="J30" s="37" t="n">
        <f aca="false">'P&amp;L monthly'!J31/FX_EUR</f>
        <v>13874.3462350937</v>
      </c>
      <c r="K30" s="37" t="n">
        <f aca="false">'P&amp;L monthly'!K31/FX_EUR</f>
        <v>13481.7312538525</v>
      </c>
      <c r="L30" s="37" t="n">
        <f aca="false">'P&amp;L monthly'!L31/FX_EUR</f>
        <v>13089.5118034188</v>
      </c>
      <c r="M30" s="37" t="n">
        <f aca="false">'P&amp;L monthly'!M31/FX_EUR</f>
        <v>12697.396467844</v>
      </c>
      <c r="N30" s="37" t="n">
        <f aca="false">'P&amp;L monthly'!N31/FX_EUR</f>
        <v>12305.081062053</v>
      </c>
      <c r="O30" s="37" t="n">
        <f aca="false">'P&amp;L monthly'!O31/FX_EUR</f>
        <v>11912.2477877572</v>
      </c>
      <c r="P30" s="37" t="n">
        <f aca="false">'P&amp;L monthly'!P31/FX_EUR</f>
        <v>11518.5643401016</v>
      </c>
      <c r="Q30" s="37" t="n">
        <f aca="false">'P&amp;L monthly'!Q31/FX_EUR</f>
        <v>13692.7131474792</v>
      </c>
      <c r="R30" s="37" t="n">
        <f aca="false">'P&amp;L monthly'!R31/FX_EUR</f>
        <v>13177.9824545595</v>
      </c>
      <c r="S30" s="37" t="n">
        <f aca="false">'P&amp;L monthly'!S31/FX_EUR</f>
        <v>12929.7029632532</v>
      </c>
      <c r="T30" s="37" t="n">
        <f aca="false">'P&amp;L monthly'!T31/FX_EUR</f>
        <v>21787.6616404226</v>
      </c>
      <c r="U30" s="37" t="n">
        <f aca="false">'P&amp;L monthly'!U31/FX_EUR</f>
        <v>12945.6186406528</v>
      </c>
      <c r="V30" s="37" t="n">
        <f aca="false">'P&amp;L monthly'!V31/FX_EUR</f>
        <v>13009.2813502511</v>
      </c>
      <c r="W30" s="37" t="n">
        <f aca="false">'P&amp;L monthly'!W31/FX_EUR</f>
        <v>13025.1970276507</v>
      </c>
      <c r="X30" s="37" t="n">
        <f aca="false">'P&amp;L monthly'!X31/FX_EUR</f>
        <v>13025.1970276507</v>
      </c>
      <c r="Y30" s="37" t="n">
        <f aca="false">'P&amp;L monthly'!Y31/FX_EUR</f>
        <v>13025.1970276507</v>
      </c>
      <c r="Z30" s="37" t="n">
        <f aca="false">'P&amp;L monthly'!Z31/FX_EUR</f>
        <v>13025.1970276507</v>
      </c>
      <c r="AA30" s="37" t="n">
        <f aca="false">'P&amp;L monthly'!AA31/FX_EUR</f>
        <v>13057.0283824499</v>
      </c>
      <c r="AB30" s="37" t="n">
        <f aca="false">'P&amp;L monthly'!AB31/FX_EUR</f>
        <v>13072.9440598495</v>
      </c>
      <c r="AC30" s="37" t="n">
        <f aca="false">'P&amp;L monthly'!AC31/FX_EUR</f>
        <v>16335.35302873</v>
      </c>
      <c r="AD30" s="37" t="n">
        <f aca="false">'P&amp;L monthly'!AD31/FX_EUR</f>
        <v>16335.35302873</v>
      </c>
      <c r="AE30" s="37" t="n">
        <f aca="false">'P&amp;L monthly'!AE31/FX_EUR</f>
        <v>16405.2051684282</v>
      </c>
      <c r="AF30" s="37" t="n">
        <f aca="false">'P&amp;L monthly'!AF31/FX_EUR</f>
        <v>25263.1638455976</v>
      </c>
      <c r="AG30" s="37" t="n">
        <f aca="false">'P&amp;L monthly'!AG31/FX_EUR</f>
        <v>16468.8678780266</v>
      </c>
      <c r="AH30" s="37" t="n">
        <f aca="false">'P&amp;L monthly'!AH31/FX_EUR</f>
        <v>16468.8678780266</v>
      </c>
      <c r="AI30" s="37" t="n">
        <f aca="false">'P&amp;L monthly'!AI31/FX_EUR</f>
        <v>16500.6992328257</v>
      </c>
      <c r="AJ30" s="37" t="n">
        <f aca="false">'P&amp;L monthly'!AJ31/FX_EUR</f>
        <v>16516.6149102253</v>
      </c>
      <c r="AK30" s="37" t="n">
        <f aca="false">'P&amp;L monthly'!AK31/FX_EUR</f>
        <v>16532.5305876249</v>
      </c>
      <c r="AL30" s="37" t="n">
        <f aca="false">'P&amp;L monthly'!AL31/FX_EUR</f>
        <v>16564.3619424241</v>
      </c>
      <c r="AM30" s="37" t="n">
        <f aca="false">'P&amp;L monthly'!AM31/FX_EUR</f>
        <v>16580.2776198237</v>
      </c>
      <c r="AN30" s="37" t="n">
        <f aca="false">'P&amp;L monthly'!AN31/FX_EUR</f>
        <v>16596.1932972232</v>
      </c>
      <c r="AO30" s="37" t="n">
        <f aca="false">'P&amp;L monthly'!AO31/FX_EUR</f>
        <v>19187.2066309225</v>
      </c>
      <c r="AP30" s="37" t="n">
        <f aca="false">'P&amp;L monthly'!AP31/FX_EUR</f>
        <v>19187.2066309225</v>
      </c>
      <c r="AQ30" s="37" t="n">
        <f aca="false">'P&amp;L monthly'!AQ31/FX_EUR</f>
        <v>19219.0379857216</v>
      </c>
      <c r="AR30" s="37" t="n">
        <f aca="false">'P&amp;L monthly'!AR31/FX_EUR</f>
        <v>28076.996662891</v>
      </c>
      <c r="AS30" s="37" t="n">
        <f aca="false">'P&amp;L monthly'!AS31/FX_EUR</f>
        <v>19298.6163727196</v>
      </c>
      <c r="AT30" s="37" t="n">
        <f aca="false">'P&amp;L monthly'!AT31/FX_EUR</f>
        <v>19298.6163727196</v>
      </c>
      <c r="AU30" s="37" t="n">
        <f aca="false">'P&amp;L monthly'!AU31/FX_EUR</f>
        <v>19314.5320501191</v>
      </c>
      <c r="AV30" s="37" t="n">
        <f aca="false">'P&amp;L monthly'!AV31/FX_EUR</f>
        <v>19346.3634049183</v>
      </c>
      <c r="AW30" s="37" t="n">
        <f aca="false">'P&amp;L monthly'!AW31/FX_EUR</f>
        <v>19400.2998672169</v>
      </c>
      <c r="AX30" s="37" t="n">
        <f aca="false">'P&amp;L monthly'!AX31/FX_EUR</f>
        <v>19463.9625768152</v>
      </c>
      <c r="AY30" s="37" t="n">
        <f aca="false">'P&amp;L monthly'!AY31/FX_EUR</f>
        <v>19463.9625768152</v>
      </c>
      <c r="AZ30" s="37" t="n">
        <f aca="false">'P&amp;L monthly'!AZ31/FX_EUR</f>
        <v>19495.7939316144</v>
      </c>
      <c r="BA30" s="37" t="n">
        <f aca="false">'P&amp;L monthly'!BA31/FX_EUR</f>
        <v>22016.9551256155</v>
      </c>
      <c r="BB30" s="37" t="n">
        <f aca="false">'P&amp;L monthly'!BB31/FX_EUR</f>
        <v>22064.7021578142</v>
      </c>
      <c r="BC30" s="37" t="n">
        <f aca="false">'P&amp;L monthly'!BC31/FX_EUR</f>
        <v>22096.5335126134</v>
      </c>
      <c r="BD30" s="37" t="n">
        <f aca="false">'P&amp;L monthly'!BD31/FX_EUR</f>
        <v>31008.4286520814</v>
      </c>
      <c r="BE30" s="37" t="n">
        <f aca="false">'P&amp;L monthly'!BE31/FX_EUR</f>
        <v>22182.3013297111</v>
      </c>
      <c r="BF30" s="37" t="n">
        <f aca="false">'P&amp;L monthly'!BF31/FX_EUR</f>
        <v>22245.9640393095</v>
      </c>
      <c r="BG30" s="37" t="n">
        <f aca="false">'P&amp;L monthly'!BG31/FX_EUR</f>
        <v>22261.8797167091</v>
      </c>
      <c r="BH30" s="37" t="n">
        <f aca="false">'P&amp;L monthly'!BH31/FX_EUR</f>
        <v>22293.7110715082</v>
      </c>
      <c r="BI30" s="37" t="n">
        <f aca="false">'P&amp;L monthly'!BI31/FX_EUR</f>
        <v>22309.6267489078</v>
      </c>
      <c r="BJ30" s="37" t="n">
        <f aca="false">'P&amp;L monthly'!BJ31/FX_EUR</f>
        <v>22411.3102434052</v>
      </c>
      <c r="BK30" s="37" t="n">
        <f aca="false">'P&amp;L monthly'!BK31/FX_EUR</f>
        <v>22443.1415982044</v>
      </c>
      <c r="BL30" s="37" t="n">
        <f aca="false">'P&amp;L monthly'!BL31/FX_EUR</f>
        <v>22459.0572756039</v>
      </c>
    </row>
    <row r="31" customFormat="false" ht="15" hidden="false" customHeight="false" outlineLevel="0" collapsed="false">
      <c r="A31" s="12" t="s">
        <v>446</v>
      </c>
      <c r="B31" s="14" t="s">
        <v>73</v>
      </c>
      <c r="D31" s="55" t="n">
        <f aca="false">'P&amp;L monthly'!D32/FX_EUR</f>
        <v>350632.739646044</v>
      </c>
      <c r="E31" s="37" t="n">
        <f aca="false">'P&amp;L monthly'!E32/FX_EUR</f>
        <v>0</v>
      </c>
      <c r="F31" s="37" t="n">
        <f aca="false">'P&amp;L monthly'!F32/FX_EUR</f>
        <v>22867.3525856116</v>
      </c>
      <c r="G31" s="37" t="n">
        <f aca="false">'P&amp;L monthly'!G32/FX_EUR</f>
        <v>0</v>
      </c>
      <c r="H31" s="37" t="n">
        <f aca="false">'P&amp;L monthly'!H32/FX_EUR</f>
        <v>0</v>
      </c>
      <c r="I31" s="37" t="n">
        <f aca="false">'P&amp;L monthly'!I32/FX_EUR</f>
        <v>2286.73525856116</v>
      </c>
      <c r="J31" s="37" t="n">
        <f aca="false">'P&amp;L monthly'!J32/FX_EUR</f>
        <v>2286.73525856116</v>
      </c>
      <c r="K31" s="37" t="n">
        <f aca="false">'P&amp;L monthly'!K32/FX_EUR</f>
        <v>2286.73525856116</v>
      </c>
      <c r="L31" s="37" t="n">
        <f aca="false">'P&amp;L monthly'!L32/FX_EUR</f>
        <v>2286.73525856116</v>
      </c>
      <c r="M31" s="37" t="n">
        <f aca="false">'P&amp;L monthly'!M32/FX_EUR</f>
        <v>2286.73525856116</v>
      </c>
      <c r="N31" s="37" t="n">
        <f aca="false">'P&amp;L monthly'!N32/FX_EUR</f>
        <v>2286.73525856116</v>
      </c>
      <c r="O31" s="37" t="n">
        <f aca="false">'P&amp;L monthly'!O32/FX_EUR</f>
        <v>2286.73525856116</v>
      </c>
      <c r="P31" s="37" t="n">
        <f aca="false">'P&amp;L monthly'!P32/FX_EUR</f>
        <v>2286.73525856116</v>
      </c>
      <c r="Q31" s="37" t="n">
        <f aca="false">'P&amp;L monthly'!Q32/FX_EUR</f>
        <v>2667.85780165468</v>
      </c>
      <c r="R31" s="37" t="n">
        <f aca="false">'P&amp;L monthly'!R32/FX_EUR</f>
        <v>2667.85780165468</v>
      </c>
      <c r="S31" s="37" t="n">
        <f aca="false">'P&amp;L monthly'!S32/FX_EUR</f>
        <v>10290.3086635252</v>
      </c>
      <c r="T31" s="37" t="n">
        <f aca="false">'P&amp;L monthly'!T32/FX_EUR</f>
        <v>25535.2103872662</v>
      </c>
      <c r="U31" s="37" t="n">
        <f aca="false">'P&amp;L monthly'!U32/FX_EUR</f>
        <v>2667.85780165468</v>
      </c>
      <c r="V31" s="37" t="n">
        <f aca="false">'P&amp;L monthly'!V32/FX_EUR</f>
        <v>2667.85780165468</v>
      </c>
      <c r="W31" s="37" t="n">
        <f aca="false">'P&amp;L monthly'!W32/FX_EUR</f>
        <v>4954.59306021584</v>
      </c>
      <c r="X31" s="37" t="n">
        <f aca="false">'P&amp;L monthly'!X32/FX_EUR</f>
        <v>4954.59306021584</v>
      </c>
      <c r="Y31" s="37" t="n">
        <f aca="false">'P&amp;L monthly'!Y32/FX_EUR</f>
        <v>4954.59306021584</v>
      </c>
      <c r="Z31" s="37" t="n">
        <f aca="false">'P&amp;L monthly'!Z32/FX_EUR</f>
        <v>4954.59306021584</v>
      </c>
      <c r="AA31" s="37" t="n">
        <f aca="false">'P&amp;L monthly'!AA32/FX_EUR</f>
        <v>4954.59306021584</v>
      </c>
      <c r="AB31" s="37" t="n">
        <f aca="false">'P&amp;L monthly'!AB32/FX_EUR</f>
        <v>4954.59306021584</v>
      </c>
      <c r="AC31" s="37" t="n">
        <f aca="false">'P&amp;L monthly'!AC32/FX_EUR</f>
        <v>6479.08323258994</v>
      </c>
      <c r="AD31" s="37" t="n">
        <f aca="false">'P&amp;L monthly'!AD32/FX_EUR</f>
        <v>6479.08323258994</v>
      </c>
      <c r="AE31" s="37" t="n">
        <f aca="false">'P&amp;L monthly'!AE32/FX_EUR</f>
        <v>6479.08323258994</v>
      </c>
      <c r="AF31" s="37" t="n">
        <f aca="false">'P&amp;L monthly'!AF32/FX_EUR</f>
        <v>6479.08323258994</v>
      </c>
      <c r="AG31" s="37" t="n">
        <f aca="false">'P&amp;L monthly'!AG32/FX_EUR</f>
        <v>6479.08323258994</v>
      </c>
      <c r="AH31" s="37" t="n">
        <f aca="false">'P&amp;L monthly'!AH32/FX_EUR</f>
        <v>6479.08323258994</v>
      </c>
      <c r="AI31" s="37" t="n">
        <f aca="false">'P&amp;L monthly'!AI32/FX_EUR</f>
        <v>6479.08323258994</v>
      </c>
      <c r="AJ31" s="37" t="n">
        <f aca="false">'P&amp;L monthly'!AJ32/FX_EUR</f>
        <v>6479.08323258994</v>
      </c>
      <c r="AK31" s="37" t="n">
        <f aca="false">'P&amp;L monthly'!AK32/FX_EUR</f>
        <v>6479.08323258994</v>
      </c>
      <c r="AL31" s="37" t="n">
        <f aca="false">'P&amp;L monthly'!AL32/FX_EUR</f>
        <v>6479.08323258994</v>
      </c>
      <c r="AM31" s="37" t="n">
        <f aca="false">'P&amp;L monthly'!AM32/FX_EUR</f>
        <v>6479.08323258994</v>
      </c>
      <c r="AN31" s="37" t="n">
        <f aca="false">'P&amp;L monthly'!AN32/FX_EUR</f>
        <v>6479.08323258994</v>
      </c>
      <c r="AO31" s="37" t="n">
        <f aca="false">'P&amp;L monthly'!AO32/FX_EUR</f>
        <v>6479.08323258994</v>
      </c>
      <c r="AP31" s="37" t="n">
        <f aca="false">'P&amp;L monthly'!AP32/FX_EUR</f>
        <v>6479.08323258994</v>
      </c>
      <c r="AQ31" s="37" t="n">
        <f aca="false">'P&amp;L monthly'!AQ32/FX_EUR</f>
        <v>6479.08323258994</v>
      </c>
      <c r="AR31" s="37" t="n">
        <f aca="false">'P&amp;L monthly'!AR32/FX_EUR</f>
        <v>6479.08323258994</v>
      </c>
      <c r="AS31" s="37" t="n">
        <f aca="false">'P&amp;L monthly'!AS32/FX_EUR</f>
        <v>6479.08323258994</v>
      </c>
      <c r="AT31" s="37" t="n">
        <f aca="false">'P&amp;L monthly'!AT32/FX_EUR</f>
        <v>6479.08323258994</v>
      </c>
      <c r="AU31" s="37" t="n">
        <f aca="false">'P&amp;L monthly'!AU32/FX_EUR</f>
        <v>6479.08323258994</v>
      </c>
      <c r="AV31" s="37" t="n">
        <f aca="false">'P&amp;L monthly'!AV32/FX_EUR</f>
        <v>6479.08323258994</v>
      </c>
      <c r="AW31" s="37" t="n">
        <f aca="false">'P&amp;L monthly'!AW32/FX_EUR</f>
        <v>6479.08323258994</v>
      </c>
      <c r="AX31" s="37" t="n">
        <f aca="false">'P&amp;L monthly'!AX32/FX_EUR</f>
        <v>6479.08323258994</v>
      </c>
      <c r="AY31" s="37" t="n">
        <f aca="false">'P&amp;L monthly'!AY32/FX_EUR</f>
        <v>6479.08323258994</v>
      </c>
      <c r="AZ31" s="37" t="n">
        <f aca="false">'P&amp;L monthly'!AZ32/FX_EUR</f>
        <v>6479.08323258994</v>
      </c>
      <c r="BA31" s="37" t="n">
        <f aca="false">'P&amp;L monthly'!BA32/FX_EUR</f>
        <v>6479.08323258994</v>
      </c>
      <c r="BB31" s="37" t="n">
        <f aca="false">'P&amp;L monthly'!BB32/FX_EUR</f>
        <v>6479.08323258994</v>
      </c>
      <c r="BC31" s="37" t="n">
        <f aca="false">'P&amp;L monthly'!BC32/FX_EUR</f>
        <v>6479.08323258994</v>
      </c>
      <c r="BD31" s="37" t="n">
        <f aca="false">'P&amp;L monthly'!BD32/FX_EUR</f>
        <v>6479.08323258994</v>
      </c>
      <c r="BE31" s="37" t="n">
        <f aca="false">'P&amp;L monthly'!BE32/FX_EUR</f>
        <v>6479.08323258994</v>
      </c>
      <c r="BF31" s="37" t="n">
        <f aca="false">'P&amp;L monthly'!BF32/FX_EUR</f>
        <v>6479.08323258994</v>
      </c>
      <c r="BG31" s="37" t="n">
        <f aca="false">'P&amp;L monthly'!BG32/FX_EUR</f>
        <v>6479.08323258994</v>
      </c>
      <c r="BH31" s="37" t="n">
        <f aca="false">'P&amp;L monthly'!BH32/FX_EUR</f>
        <v>6479.08323258994</v>
      </c>
      <c r="BI31" s="37" t="n">
        <f aca="false">'P&amp;L monthly'!BI32/FX_EUR</f>
        <v>6479.08323258994</v>
      </c>
      <c r="BJ31" s="37" t="n">
        <f aca="false">'P&amp;L monthly'!BJ32/FX_EUR</f>
        <v>6479.08323258994</v>
      </c>
      <c r="BK31" s="37" t="n">
        <f aca="false">'P&amp;L monthly'!BK32/FX_EUR</f>
        <v>6479.08323258994</v>
      </c>
      <c r="BL31" s="37" t="n">
        <f aca="false">'P&amp;L monthly'!BL32/FX_EUR</f>
        <v>6479.08323258994</v>
      </c>
    </row>
    <row r="32" customFormat="false" ht="15" hidden="false" customHeight="false" outlineLevel="0" collapsed="false">
      <c r="A32" s="12" t="s">
        <v>457</v>
      </c>
      <c r="B32" s="14" t="s">
        <v>73</v>
      </c>
      <c r="D32" s="55" t="n">
        <f aca="false">'P&amp;L monthly'!D33/FX_EUR</f>
        <v>957532.277268175</v>
      </c>
      <c r="E32" s="37" t="n">
        <f aca="false">'P&amp;L monthly'!E33/FX_EUR</f>
        <v>8346.58369374822</v>
      </c>
      <c r="F32" s="37" t="n">
        <f aca="false">'P&amp;L monthly'!F33/FX_EUR</f>
        <v>4535.35826281296</v>
      </c>
      <c r="G32" s="37" t="n">
        <f aca="false">'P&amp;L monthly'!G33/FX_EUR</f>
        <v>4535.35826281296</v>
      </c>
      <c r="H32" s="37" t="n">
        <f aca="false">'P&amp;L monthly'!H33/FX_EUR</f>
        <v>4535.35826281296</v>
      </c>
      <c r="I32" s="37" t="n">
        <f aca="false">'P&amp;L monthly'!I33/FX_EUR</f>
        <v>4535.35826281296</v>
      </c>
      <c r="J32" s="37" t="n">
        <f aca="false">'P&amp;L monthly'!J33/FX_EUR</f>
        <v>4535.35826281296</v>
      </c>
      <c r="K32" s="37" t="n">
        <f aca="false">'P&amp;L monthly'!K33/FX_EUR</f>
        <v>4535.35826281296</v>
      </c>
      <c r="L32" s="37" t="n">
        <f aca="false">'P&amp;L monthly'!L33/FX_EUR</f>
        <v>4535.35826281296</v>
      </c>
      <c r="M32" s="37" t="n">
        <f aca="false">'P&amp;L monthly'!M33/FX_EUR</f>
        <v>4535.35826281296</v>
      </c>
      <c r="N32" s="37" t="n">
        <f aca="false">'P&amp;L monthly'!N33/FX_EUR</f>
        <v>4535.35826281296</v>
      </c>
      <c r="O32" s="37" t="n">
        <f aca="false">'P&amp;L monthly'!O33/FX_EUR</f>
        <v>4535.35826281296</v>
      </c>
      <c r="P32" s="37" t="n">
        <f aca="false">'P&amp;L monthly'!P33/FX_EUR</f>
        <v>4535.35826281296</v>
      </c>
      <c r="Q32" s="37" t="n">
        <f aca="false">'P&amp;L monthly'!Q33/FX_EUR</f>
        <v>11776.68658159</v>
      </c>
      <c r="R32" s="37" t="n">
        <f aca="false">'P&amp;L monthly'!R33/FX_EUR</f>
        <v>11776.68658159</v>
      </c>
      <c r="S32" s="37" t="n">
        <f aca="false">'P&amp;L monthly'!S33/FX_EUR</f>
        <v>11776.68658159</v>
      </c>
      <c r="T32" s="37" t="n">
        <f aca="false">'P&amp;L monthly'!T33/FX_EUR</f>
        <v>16350.1570987123</v>
      </c>
      <c r="U32" s="37" t="n">
        <f aca="false">'P&amp;L monthly'!U33/FX_EUR</f>
        <v>11776.68658159</v>
      </c>
      <c r="V32" s="37" t="n">
        <f aca="false">'P&amp;L monthly'!V33/FX_EUR</f>
        <v>11776.68658159</v>
      </c>
      <c r="W32" s="37" t="n">
        <f aca="false">'P&amp;L monthly'!W33/FX_EUR</f>
        <v>11776.68658159</v>
      </c>
      <c r="X32" s="37" t="n">
        <f aca="false">'P&amp;L monthly'!X33/FX_EUR</f>
        <v>11776.68658159</v>
      </c>
      <c r="Y32" s="37" t="n">
        <f aca="false">'P&amp;L monthly'!Y33/FX_EUR</f>
        <v>11776.68658159</v>
      </c>
      <c r="Z32" s="37" t="n">
        <f aca="false">'P&amp;L monthly'!Z33/FX_EUR</f>
        <v>11776.68658159</v>
      </c>
      <c r="AA32" s="37" t="n">
        <f aca="false">'P&amp;L monthly'!AA33/FX_EUR</f>
        <v>11776.68658159</v>
      </c>
      <c r="AB32" s="37" t="n">
        <f aca="false">'P&amp;L monthly'!AB33/FX_EUR</f>
        <v>16350.1570987123</v>
      </c>
      <c r="AC32" s="37" t="n">
        <f aca="false">'P&amp;L monthly'!AC33/FX_EUR</f>
        <v>18344.6984075684</v>
      </c>
      <c r="AD32" s="37" t="n">
        <f aca="false">'P&amp;L monthly'!AD33/FX_EUR</f>
        <v>18344.6984075684</v>
      </c>
      <c r="AE32" s="37" t="n">
        <f aca="false">'P&amp;L monthly'!AE33/FX_EUR</f>
        <v>18344.6984075684</v>
      </c>
      <c r="AF32" s="37" t="n">
        <f aca="false">'P&amp;L monthly'!AF33/FX_EUR</f>
        <v>18344.6984075684</v>
      </c>
      <c r="AG32" s="37" t="n">
        <f aca="false">'P&amp;L monthly'!AG33/FX_EUR</f>
        <v>18344.6984075684</v>
      </c>
      <c r="AH32" s="37" t="n">
        <f aca="false">'P&amp;L monthly'!AH33/FX_EUR</f>
        <v>18344.6984075684</v>
      </c>
      <c r="AI32" s="37" t="n">
        <f aca="false">'P&amp;L monthly'!AI33/FX_EUR</f>
        <v>18344.6984075684</v>
      </c>
      <c r="AJ32" s="37" t="n">
        <f aca="false">'P&amp;L monthly'!AJ33/FX_EUR</f>
        <v>18344.6984075684</v>
      </c>
      <c r="AK32" s="37" t="n">
        <f aca="false">'P&amp;L monthly'!AK33/FX_EUR</f>
        <v>18344.6984075684</v>
      </c>
      <c r="AL32" s="37" t="n">
        <f aca="false">'P&amp;L monthly'!AL33/FX_EUR</f>
        <v>18344.6984075684</v>
      </c>
      <c r="AM32" s="37" t="n">
        <f aca="false">'P&amp;L monthly'!AM33/FX_EUR</f>
        <v>18344.6984075684</v>
      </c>
      <c r="AN32" s="37" t="n">
        <f aca="false">'P&amp;L monthly'!AN33/FX_EUR</f>
        <v>18344.6984075684</v>
      </c>
      <c r="AO32" s="37" t="n">
        <f aca="false">'P&amp;L monthly'!AO33/FX_EUR</f>
        <v>20377.3519707339</v>
      </c>
      <c r="AP32" s="37" t="n">
        <f aca="false">'P&amp;L monthly'!AP33/FX_EUR</f>
        <v>20377.3519707339</v>
      </c>
      <c r="AQ32" s="37" t="n">
        <f aca="false">'P&amp;L monthly'!AQ33/FX_EUR</f>
        <v>20377.3519707339</v>
      </c>
      <c r="AR32" s="37" t="n">
        <f aca="false">'P&amp;L monthly'!AR33/FX_EUR</f>
        <v>20377.3519707339</v>
      </c>
      <c r="AS32" s="37" t="n">
        <f aca="false">'P&amp;L monthly'!AS33/FX_EUR</f>
        <v>20377.3519707339</v>
      </c>
      <c r="AT32" s="37" t="n">
        <f aca="false">'P&amp;L monthly'!AT33/FX_EUR</f>
        <v>20377.3519707339</v>
      </c>
      <c r="AU32" s="37" t="n">
        <f aca="false">'P&amp;L monthly'!AU33/FX_EUR</f>
        <v>20377.3519707339</v>
      </c>
      <c r="AV32" s="37" t="n">
        <f aca="false">'P&amp;L monthly'!AV33/FX_EUR</f>
        <v>20377.3519707339</v>
      </c>
      <c r="AW32" s="37" t="n">
        <f aca="false">'P&amp;L monthly'!AW33/FX_EUR</f>
        <v>20377.3519707339</v>
      </c>
      <c r="AX32" s="37" t="n">
        <f aca="false">'P&amp;L monthly'!AX33/FX_EUR</f>
        <v>20377.3519707339</v>
      </c>
      <c r="AY32" s="37" t="n">
        <f aca="false">'P&amp;L monthly'!AY33/FX_EUR</f>
        <v>20377.3519707339</v>
      </c>
      <c r="AZ32" s="37" t="n">
        <f aca="false">'P&amp;L monthly'!AZ33/FX_EUR</f>
        <v>20377.3519707339</v>
      </c>
      <c r="BA32" s="37" t="n">
        <f aca="false">'P&amp;L monthly'!BA33/FX_EUR</f>
        <v>23680.4140108777</v>
      </c>
      <c r="BB32" s="37" t="n">
        <f aca="false">'P&amp;L monthly'!BB33/FX_EUR</f>
        <v>23680.4140108777</v>
      </c>
      <c r="BC32" s="37" t="n">
        <f aca="false">'P&amp;L monthly'!BC33/FX_EUR</f>
        <v>23680.4140108777</v>
      </c>
      <c r="BD32" s="37" t="n">
        <f aca="false">'P&amp;L monthly'!BD33/FX_EUR</f>
        <v>23680.4140108777</v>
      </c>
      <c r="BE32" s="37" t="n">
        <f aca="false">'P&amp;L monthly'!BE33/FX_EUR</f>
        <v>23680.4140108777</v>
      </c>
      <c r="BF32" s="37" t="n">
        <f aca="false">'P&amp;L monthly'!BF33/FX_EUR</f>
        <v>23680.4140108777</v>
      </c>
      <c r="BG32" s="37" t="n">
        <f aca="false">'P&amp;L monthly'!BG33/FX_EUR</f>
        <v>23680.4140108777</v>
      </c>
      <c r="BH32" s="37" t="n">
        <f aca="false">'P&amp;L monthly'!BH33/FX_EUR</f>
        <v>23680.4140108777</v>
      </c>
      <c r="BI32" s="37" t="n">
        <f aca="false">'P&amp;L monthly'!BI33/FX_EUR</f>
        <v>23680.4140108777</v>
      </c>
      <c r="BJ32" s="37" t="n">
        <f aca="false">'P&amp;L monthly'!BJ33/FX_EUR</f>
        <v>23680.4140108777</v>
      </c>
      <c r="BK32" s="37" t="n">
        <f aca="false">'P&amp;L monthly'!BK33/FX_EUR</f>
        <v>23680.4140108777</v>
      </c>
      <c r="BL32" s="37" t="n">
        <f aca="false">'P&amp;L monthly'!BL33/FX_EUR</f>
        <v>23680.4140108777</v>
      </c>
    </row>
    <row r="33" customFormat="false" ht="15" hidden="false" customHeight="false" outlineLevel="0" collapsed="false">
      <c r="A33" s="12" t="s">
        <v>473</v>
      </c>
      <c r="B33" s="14" t="s">
        <v>73</v>
      </c>
      <c r="D33" s="55" t="n">
        <f aca="false">'P&amp;L monthly'!D34/FX_EUR</f>
        <v>1002900.36009809</v>
      </c>
      <c r="E33" s="37" t="n">
        <f aca="false">'P&amp;L monthly'!E34/FX_EUR</f>
        <v>3447.88860651943</v>
      </c>
      <c r="F33" s="37" t="n">
        <f aca="false">'P&amp;L monthly'!F34/FX_EUR</f>
        <v>3447.88860651943</v>
      </c>
      <c r="G33" s="37" t="n">
        <f aca="false">'P&amp;L monthly'!G34/FX_EUR</f>
        <v>3447.88860651943</v>
      </c>
      <c r="H33" s="37" t="n">
        <f aca="false">'P&amp;L monthly'!H34/FX_EUR</f>
        <v>3676.56213237555</v>
      </c>
      <c r="I33" s="37" t="n">
        <f aca="false">'P&amp;L monthly'!I34/FX_EUR</f>
        <v>6054.76680127915</v>
      </c>
      <c r="J33" s="37" t="n">
        <f aca="false">'P&amp;L monthly'!J34/FX_EUR</f>
        <v>6077.63415386476</v>
      </c>
      <c r="K33" s="37" t="n">
        <f aca="false">'P&amp;L monthly'!K34/FX_EUR</f>
        <v>6101.87354760551</v>
      </c>
      <c r="L33" s="37" t="n">
        <f aca="false">'P&amp;L monthly'!L34/FX_EUR</f>
        <v>6127.5673049707</v>
      </c>
      <c r="M33" s="37" t="n">
        <f aca="false">'P&amp;L monthly'!M34/FX_EUR</f>
        <v>6154.80268777781</v>
      </c>
      <c r="N33" s="37" t="n">
        <f aca="false">'P&amp;L monthly'!N34/FX_EUR</f>
        <v>6183.67219355334</v>
      </c>
      <c r="O33" s="37" t="n">
        <f aca="false">'P&amp;L monthly'!O34/FX_EUR</f>
        <v>6214.2738696754</v>
      </c>
      <c r="P33" s="37" t="n">
        <f aca="false">'P&amp;L monthly'!P34/FX_EUR</f>
        <v>6246.71164636479</v>
      </c>
      <c r="Q33" s="37" t="n">
        <f aca="false">'P&amp;L monthly'!Q34/FX_EUR</f>
        <v>8114.2951219354</v>
      </c>
      <c r="R33" s="37" t="n">
        <f aca="false">'P&amp;L monthly'!R34/FX_EUR</f>
        <v>8150.74220782359</v>
      </c>
      <c r="S33" s="37" t="n">
        <f aca="false">'P&amp;L monthly'!S34/FX_EUR</f>
        <v>8189.37611886508</v>
      </c>
      <c r="T33" s="37" t="n">
        <f aca="false">'P&amp;L monthly'!T34/FX_EUR</f>
        <v>8230.32806456905</v>
      </c>
      <c r="U33" s="37" t="n">
        <f aca="false">'P&amp;L monthly'!U34/FX_EUR</f>
        <v>8273.73712701527</v>
      </c>
      <c r="V33" s="37" t="n">
        <f aca="false">'P&amp;L monthly'!V34/FX_EUR</f>
        <v>8662.76102199243</v>
      </c>
      <c r="W33" s="37" t="n">
        <f aca="false">'P&amp;L monthly'!W34/FX_EUR</f>
        <v>10937.2910962232</v>
      </c>
      <c r="X33" s="37" t="n">
        <f aca="false">'P&amp;L monthly'!X34/FX_EUR</f>
        <v>11002.712395693</v>
      </c>
      <c r="Y33" s="37" t="n">
        <f aca="false">'P&amp;L monthly'!Y34/FX_EUR</f>
        <v>11072.058973131</v>
      </c>
      <c r="Z33" s="37" t="n">
        <f aca="false">'P&amp;L monthly'!Z34/FX_EUR</f>
        <v>11145.5663452153</v>
      </c>
      <c r="AA33" s="37" t="n">
        <f aca="false">'P&amp;L monthly'!AA34/FX_EUR</f>
        <v>11337.8209225527</v>
      </c>
      <c r="AB33" s="37" t="n">
        <f aca="false">'P&amp;L monthly'!AB34/FX_EUR</f>
        <v>11420.4138058265</v>
      </c>
      <c r="AC33" s="37" t="n">
        <f aca="false">'P&amp;L monthly'!AC34/FX_EUR</f>
        <v>16928.7952333638</v>
      </c>
      <c r="AD33" s="37" t="n">
        <f aca="false">'P&amp;L monthly'!AD34/FX_EUR</f>
        <v>17021.5965970103</v>
      </c>
      <c r="AE33" s="37" t="n">
        <f aca="false">'P&amp;L monthly'!AE34/FX_EUR</f>
        <v>17234.3028054037</v>
      </c>
      <c r="AF33" s="37" t="n">
        <f aca="false">'P&amp;L monthly'!AF34/FX_EUR</f>
        <v>17338.574417597</v>
      </c>
      <c r="AG33" s="37" t="n">
        <f aca="false">'P&amp;L monthly'!AG34/FX_EUR</f>
        <v>17449.1023265218</v>
      </c>
      <c r="AH33" s="37" t="n">
        <f aca="false">'P&amp;L monthly'!AH34/FX_EUR</f>
        <v>17566.2619099822</v>
      </c>
      <c r="AI33" s="37" t="n">
        <f aca="false">'P&amp;L monthly'!AI34/FX_EUR</f>
        <v>17804.7878313782</v>
      </c>
      <c r="AJ33" s="37" t="n">
        <f aca="false">'P&amp;L monthly'!AJ34/FX_EUR</f>
        <v>17936.4283393543</v>
      </c>
      <c r="AK33" s="37" t="n">
        <f aca="false">'P&amp;L monthly'!AK34/FX_EUR</f>
        <v>18075.9672778089</v>
      </c>
      <c r="AL33" s="37" t="n">
        <f aca="false">'P&amp;L monthly'!AL34/FX_EUR</f>
        <v>18338.2153154988</v>
      </c>
      <c r="AM33" s="37" t="n">
        <f aca="false">'P&amp;L monthly'!AM34/FX_EUR</f>
        <v>18609.3380296745</v>
      </c>
      <c r="AN33" s="37" t="n">
        <f aca="false">'P&amp;L monthly'!AN34/FX_EUR</f>
        <v>18775.5311379969</v>
      </c>
      <c r="AO33" s="37" t="n">
        <f aca="false">'P&amp;L monthly'!AO34/FX_EUR</f>
        <v>21901.5843163626</v>
      </c>
      <c r="AP33" s="37" t="n">
        <f aca="false">'P&amp;L monthly'!AP34/FX_EUR</f>
        <v>22088.3188928737</v>
      </c>
      <c r="AQ33" s="37" t="n">
        <f aca="false">'P&amp;L monthly'!AQ34/FX_EUR</f>
        <v>22400.5943069035</v>
      </c>
      <c r="AR33" s="37" t="n">
        <f aca="false">'P&amp;L monthly'!AR34/FX_EUR</f>
        <v>22610.4092770714</v>
      </c>
      <c r="AS33" s="37" t="n">
        <f aca="false">'P&amp;L monthly'!AS34/FX_EUR</f>
        <v>23005.3656146466</v>
      </c>
      <c r="AT33" s="37" t="n">
        <f aca="false">'P&amp;L monthly'!AT34/FX_EUR</f>
        <v>23054.8076310428</v>
      </c>
      <c r="AU33" s="37" t="n">
        <f aca="false">'P&amp;L monthly'!AU34/FX_EUR</f>
        <v>23107.2161684228</v>
      </c>
      <c r="AV33" s="37" t="n">
        <f aca="false">'P&amp;L monthly'!AV34/FX_EUR</f>
        <v>23277.1059809736</v>
      </c>
      <c r="AW33" s="37" t="n">
        <f aca="false">'P&amp;L monthly'!AW34/FX_EUR</f>
        <v>23335.9922135738</v>
      </c>
      <c r="AX33" s="37" t="n">
        <f aca="false">'P&amp;L monthly'!AX34/FX_EUR</f>
        <v>23627.085145986</v>
      </c>
      <c r="AY33" s="37" t="n">
        <f aca="false">'P&amp;L monthly'!AY34/FX_EUR</f>
        <v>23693.2497169356</v>
      </c>
      <c r="AZ33" s="37" t="n">
        <f aca="false">'P&amp;L monthly'!AZ34/FX_EUR</f>
        <v>23877.7209250701</v>
      </c>
      <c r="BA33" s="37" t="n">
        <f aca="false">'P&amp;L monthly'!BA34/FX_EUR</f>
        <v>26790.1559745588</v>
      </c>
      <c r="BB33" s="37" t="n">
        <f aca="false">'P&amp;L monthly'!BB34/FX_EUR</f>
        <v>26983.2958001209</v>
      </c>
      <c r="BC33" s="37" t="n">
        <f aca="false">'P&amp;L monthly'!BC34/FX_EUR</f>
        <v>27181.163809441</v>
      </c>
      <c r="BD33" s="37" t="n">
        <f aca="false">'P&amp;L monthly'!BD34/FX_EUR</f>
        <v>27384.0436935446</v>
      </c>
      <c r="BE33" s="37" t="n">
        <f aca="false">'P&amp;L monthly'!BE34/FX_EUR</f>
        <v>27477.8994019907</v>
      </c>
      <c r="BF33" s="37" t="n">
        <f aca="false">'P&amp;L monthly'!BF34/FX_EUR</f>
        <v>27806.0599787997</v>
      </c>
      <c r="BG33" s="37" t="n">
        <f aca="false">'P&amp;L monthly'!BG34/FX_EUR</f>
        <v>27911.5162528098</v>
      </c>
      <c r="BH33" s="37" t="n">
        <f aca="false">'P&amp;L monthly'!BH34/FX_EUR</f>
        <v>28137.6366661885</v>
      </c>
      <c r="BI33" s="37" t="n">
        <f aca="false">'P&amp;L monthly'!BI34/FX_EUR</f>
        <v>28256.1273356662</v>
      </c>
      <c r="BJ33" s="37" t="n">
        <f aca="false">'P&amp;L monthly'!BJ34/FX_EUR</f>
        <v>28610.4009711686</v>
      </c>
      <c r="BK33" s="37" t="n">
        <f aca="false">'P&amp;L monthly'!BK34/FX_EUR</f>
        <v>28792.5377222389</v>
      </c>
      <c r="BL33" s="37" t="n">
        <f aca="false">'P&amp;L monthly'!BL34/FX_EUR</f>
        <v>28792.5377222389</v>
      </c>
    </row>
    <row r="34" customFormat="false" ht="15" hidden="false" customHeight="false" outlineLevel="0" collapsed="false">
      <c r="A34" s="12" t="s">
        <v>480</v>
      </c>
      <c r="B34" s="14" t="s">
        <v>73</v>
      </c>
      <c r="D34" s="55" t="n">
        <f aca="false">'P&amp;L monthly'!D35/FX_EUR</f>
        <v>187009.327745569</v>
      </c>
      <c r="E34" s="37" t="n">
        <f aca="false">'P&amp;L monthly'!E35/FX_EUR</f>
        <v>4324.3115021259</v>
      </c>
      <c r="F34" s="37" t="n">
        <f aca="false">'P&amp;L monthly'!F35/FX_EUR</f>
        <v>1124.3115021259</v>
      </c>
      <c r="G34" s="37" t="n">
        <f aca="false">'P&amp;L monthly'!G35/FX_EUR</f>
        <v>1124.3115021259</v>
      </c>
      <c r="H34" s="37" t="n">
        <f aca="false">'P&amp;L monthly'!H35/FX_EUR</f>
        <v>1124.3115021259</v>
      </c>
      <c r="I34" s="37" t="n">
        <f aca="false">'P&amp;L monthly'!I35/FX_EUR</f>
        <v>1124.3115021259</v>
      </c>
      <c r="J34" s="37" t="n">
        <f aca="false">'P&amp;L monthly'!J35/FX_EUR</f>
        <v>1124.3115021259</v>
      </c>
      <c r="K34" s="37" t="n">
        <f aca="false">'P&amp;L monthly'!K35/FX_EUR</f>
        <v>1124.3115021259</v>
      </c>
      <c r="L34" s="37" t="n">
        <f aca="false">'P&amp;L monthly'!L35/FX_EUR</f>
        <v>1124.3115021259</v>
      </c>
      <c r="M34" s="37" t="n">
        <f aca="false">'P&amp;L monthly'!M35/FX_EUR</f>
        <v>1124.3115021259</v>
      </c>
      <c r="N34" s="37" t="n">
        <f aca="false">'P&amp;L monthly'!N35/FX_EUR</f>
        <v>1124.3115021259</v>
      </c>
      <c r="O34" s="37" t="n">
        <f aca="false">'P&amp;L monthly'!O35/FX_EUR</f>
        <v>1124.3115021259</v>
      </c>
      <c r="P34" s="37" t="n">
        <f aca="false">'P&amp;L monthly'!P35/FX_EUR</f>
        <v>1124.3115021259</v>
      </c>
      <c r="Q34" s="37" t="n">
        <f aca="false">'P&amp;L monthly'!Q35/FX_EUR</f>
        <v>3150.25568241008</v>
      </c>
      <c r="R34" s="37" t="n">
        <f aca="false">'P&amp;L monthly'!R35/FX_EUR</f>
        <v>2350.25568241008</v>
      </c>
      <c r="S34" s="37" t="n">
        <f aca="false">'P&amp;L monthly'!S35/FX_EUR</f>
        <v>2350.25568241008</v>
      </c>
      <c r="T34" s="37" t="n">
        <f aca="false">'P&amp;L monthly'!T35/FX_EUR</f>
        <v>3150.25568241008</v>
      </c>
      <c r="U34" s="37" t="n">
        <f aca="false">'P&amp;L monthly'!U35/FX_EUR</f>
        <v>2350.25568241008</v>
      </c>
      <c r="V34" s="37" t="n">
        <f aca="false">'P&amp;L monthly'!V35/FX_EUR</f>
        <v>3150.25568241008</v>
      </c>
      <c r="W34" s="37" t="n">
        <f aca="false">'P&amp;L monthly'!W35/FX_EUR</f>
        <v>2350.25568241008</v>
      </c>
      <c r="X34" s="37" t="n">
        <f aca="false">'P&amp;L monthly'!X35/FX_EUR</f>
        <v>2350.25568241008</v>
      </c>
      <c r="Y34" s="37" t="n">
        <f aca="false">'P&amp;L monthly'!Y35/FX_EUR</f>
        <v>2350.25568241008</v>
      </c>
      <c r="Z34" s="37" t="n">
        <f aca="false">'P&amp;L monthly'!Z35/FX_EUR</f>
        <v>2350.25568241008</v>
      </c>
      <c r="AA34" s="37" t="n">
        <f aca="false">'P&amp;L monthly'!AA35/FX_EUR</f>
        <v>2350.25568241008</v>
      </c>
      <c r="AB34" s="37" t="n">
        <f aca="false">'P&amp;L monthly'!AB35/FX_EUR</f>
        <v>3150.25568241008</v>
      </c>
      <c r="AC34" s="37" t="n">
        <f aca="false">'P&amp;L monthly'!AC35/FX_EUR</f>
        <v>2998.16400566907</v>
      </c>
      <c r="AD34" s="37" t="n">
        <f aca="false">'P&amp;L monthly'!AD35/FX_EUR</f>
        <v>2998.16400566907</v>
      </c>
      <c r="AE34" s="37" t="n">
        <f aca="false">'P&amp;L monthly'!AE35/FX_EUR</f>
        <v>3798.16400566907</v>
      </c>
      <c r="AF34" s="37" t="n">
        <f aca="false">'P&amp;L monthly'!AF35/FX_EUR</f>
        <v>3798.16400566907</v>
      </c>
      <c r="AG34" s="37" t="n">
        <f aca="false">'P&amp;L monthly'!AG35/FX_EUR</f>
        <v>2998.16400566907</v>
      </c>
      <c r="AH34" s="37" t="n">
        <f aca="false">'P&amp;L monthly'!AH35/FX_EUR</f>
        <v>2998.16400566907</v>
      </c>
      <c r="AI34" s="37" t="n">
        <f aca="false">'P&amp;L monthly'!AI35/FX_EUR</f>
        <v>2998.16400566907</v>
      </c>
      <c r="AJ34" s="37" t="n">
        <f aca="false">'P&amp;L monthly'!AJ35/FX_EUR</f>
        <v>2998.16400566907</v>
      </c>
      <c r="AK34" s="37" t="n">
        <f aca="false">'P&amp;L monthly'!AK35/FX_EUR</f>
        <v>3798.16400566907</v>
      </c>
      <c r="AL34" s="37" t="n">
        <f aca="false">'P&amp;L monthly'!AL35/FX_EUR</f>
        <v>2998.16400566907</v>
      </c>
      <c r="AM34" s="37" t="n">
        <f aca="false">'P&amp;L monthly'!AM35/FX_EUR</f>
        <v>2998.16400566907</v>
      </c>
      <c r="AN34" s="37" t="n">
        <f aca="false">'P&amp;L monthly'!AN35/FX_EUR</f>
        <v>2998.16400566907</v>
      </c>
      <c r="AO34" s="37" t="n">
        <f aca="false">'P&amp;L monthly'!AO35/FX_EUR</f>
        <v>5169.84782030936</v>
      </c>
      <c r="AP34" s="37" t="n">
        <f aca="false">'P&amp;L monthly'!AP35/FX_EUR</f>
        <v>3569.84782030936</v>
      </c>
      <c r="AQ34" s="37" t="n">
        <f aca="false">'P&amp;L monthly'!AQ35/FX_EUR</f>
        <v>3569.84782030936</v>
      </c>
      <c r="AR34" s="37" t="n">
        <f aca="false">'P&amp;L monthly'!AR35/FX_EUR</f>
        <v>3569.84782030936</v>
      </c>
      <c r="AS34" s="37" t="n">
        <f aca="false">'P&amp;L monthly'!AS35/FX_EUR</f>
        <v>4369.84782030936</v>
      </c>
      <c r="AT34" s="37" t="n">
        <f aca="false">'P&amp;L monthly'!AT35/FX_EUR</f>
        <v>3569.84782030936</v>
      </c>
      <c r="AU34" s="37" t="n">
        <f aca="false">'P&amp;L monthly'!AU35/FX_EUR</f>
        <v>3569.84782030936</v>
      </c>
      <c r="AV34" s="37" t="n">
        <f aca="false">'P&amp;L monthly'!AV35/FX_EUR</f>
        <v>3569.84782030936</v>
      </c>
      <c r="AW34" s="37" t="n">
        <f aca="false">'P&amp;L monthly'!AW35/FX_EUR</f>
        <v>4369.84782030936</v>
      </c>
      <c r="AX34" s="37" t="n">
        <f aca="false">'P&amp;L monthly'!AX35/FX_EUR</f>
        <v>4369.84782030936</v>
      </c>
      <c r="AY34" s="37" t="n">
        <f aca="false">'P&amp;L monthly'!AY35/FX_EUR</f>
        <v>3569.84782030936</v>
      </c>
      <c r="AZ34" s="37" t="n">
        <f aca="false">'P&amp;L monthly'!AZ35/FX_EUR</f>
        <v>3569.84782030936</v>
      </c>
      <c r="BA34" s="37" t="n">
        <f aca="false">'P&amp;L monthly'!BA35/FX_EUR</f>
        <v>4141.53163494965</v>
      </c>
      <c r="BB34" s="37" t="n">
        <f aca="false">'P&amp;L monthly'!BB35/FX_EUR</f>
        <v>4941.53163494965</v>
      </c>
      <c r="BC34" s="37" t="n">
        <f aca="false">'P&amp;L monthly'!BC35/FX_EUR</f>
        <v>4141.53163494965</v>
      </c>
      <c r="BD34" s="37" t="n">
        <f aca="false">'P&amp;L monthly'!BD35/FX_EUR</f>
        <v>4941.53163494965</v>
      </c>
      <c r="BE34" s="37" t="n">
        <f aca="false">'P&amp;L monthly'!BE35/FX_EUR</f>
        <v>4141.53163494965</v>
      </c>
      <c r="BF34" s="37" t="n">
        <f aca="false">'P&amp;L monthly'!BF35/FX_EUR</f>
        <v>4941.53163494965</v>
      </c>
      <c r="BG34" s="37" t="n">
        <f aca="false">'P&amp;L monthly'!BG35/FX_EUR</f>
        <v>4141.53163494965</v>
      </c>
      <c r="BH34" s="37" t="n">
        <f aca="false">'P&amp;L monthly'!BH35/FX_EUR</f>
        <v>4141.53163494965</v>
      </c>
      <c r="BI34" s="37" t="n">
        <f aca="false">'P&amp;L monthly'!BI35/FX_EUR</f>
        <v>4141.53163494965</v>
      </c>
      <c r="BJ34" s="37" t="n">
        <f aca="false">'P&amp;L monthly'!BJ35/FX_EUR</f>
        <v>5741.53163494965</v>
      </c>
      <c r="BK34" s="37" t="n">
        <f aca="false">'P&amp;L monthly'!BK35/FX_EUR</f>
        <v>4141.53163494965</v>
      </c>
      <c r="BL34" s="37" t="n">
        <f aca="false">'P&amp;L monthly'!BL35/FX_EUR</f>
        <v>4141.53163494965</v>
      </c>
    </row>
    <row r="35" customFormat="false" ht="15" hidden="false" customHeight="false" outlineLevel="0" collapsed="false">
      <c r="A35" s="12" t="s">
        <v>860</v>
      </c>
      <c r="B35" s="14" t="s">
        <v>73</v>
      </c>
      <c r="D35" s="55" t="n">
        <f aca="false">'P&amp;L monthly'!D36/FX_EUR</f>
        <v>378726.206727667</v>
      </c>
      <c r="E35" s="37" t="n">
        <f aca="false">'P&amp;L monthly'!E36/FX_EUR</f>
        <v>2325.84128227917</v>
      </c>
      <c r="F35" s="37" t="n">
        <f aca="false">'P&amp;L monthly'!F36/FX_EUR</f>
        <v>2936.01699501644</v>
      </c>
      <c r="G35" s="37" t="n">
        <f aca="false">'P&amp;L monthly'!G36/FX_EUR</f>
        <v>4003.16011567832</v>
      </c>
      <c r="H35" s="37" t="n">
        <f aca="false">'P&amp;L monthly'!H36/FX_EUR</f>
        <v>2670.07181873202</v>
      </c>
      <c r="I35" s="37" t="n">
        <f aca="false">'P&amp;L monthly'!I36/FX_EUR</f>
        <v>2618.36973307702</v>
      </c>
      <c r="J35" s="37" t="n">
        <f aca="false">'P&amp;L monthly'!J36/FX_EUR</f>
        <v>2574.84860288098</v>
      </c>
      <c r="K35" s="37" t="n">
        <f aca="false">'P&amp;L monthly'!K36/FX_EUR</f>
        <v>2556.42982350596</v>
      </c>
      <c r="L35" s="37" t="n">
        <f aca="false">'P&amp;L monthly'!L36/FX_EUR</f>
        <v>2538.10353885254</v>
      </c>
      <c r="M35" s="37" t="n">
        <f aca="false">'P&amp;L monthly'!M36/FX_EUR</f>
        <v>2519.85954121415</v>
      </c>
      <c r="N35" s="37" t="n">
        <f aca="false">'P&amp;L monthly'!N36/FX_EUR</f>
        <v>2501.68724621338</v>
      </c>
      <c r="O35" s="37" t="n">
        <f aca="false">'P&amp;L monthly'!O36/FX_EUR</f>
        <v>2483.57566630469</v>
      </c>
      <c r="P35" s="37" t="n">
        <f aca="false">'P&amp;L monthly'!P36/FX_EUR</f>
        <v>2465.51338275638</v>
      </c>
      <c r="Q35" s="37" t="n">
        <f aca="false">'P&amp;L monthly'!Q36/FX_EUR</f>
        <v>3501.05385643015</v>
      </c>
      <c r="R35" s="37" t="n">
        <f aca="false">'P&amp;L monthly'!R36/FX_EUR</f>
        <v>3412.13967607857</v>
      </c>
      <c r="S35" s="37" t="n">
        <f aca="false">'P&amp;L monthly'!S36/FX_EUR</f>
        <v>3782.77994015886</v>
      </c>
      <c r="T35" s="37" t="n">
        <f aca="false">'P&amp;L monthly'!T36/FX_EUR</f>
        <v>5361.45307844751</v>
      </c>
      <c r="U35" s="37" t="n">
        <f aca="false">'P&amp;L monthly'!U36/FX_EUR</f>
        <v>3484.48022644464</v>
      </c>
      <c r="V35" s="37" t="n">
        <f aca="false">'P&amp;L monthly'!V36/FX_EUR</f>
        <v>4135.22950933037</v>
      </c>
      <c r="W35" s="37" t="n">
        <f aca="false">'P&amp;L monthly'!W36/FX_EUR</f>
        <v>4290.48129594917</v>
      </c>
      <c r="X35" s="37" t="n">
        <f aca="false">'P&amp;L monthly'!X36/FX_EUR</f>
        <v>4268.75236092266</v>
      </c>
      <c r="Y35" s="37" t="n">
        <f aca="false">'P&amp;L monthly'!Y36/FX_EUR</f>
        <v>4272.21968979456</v>
      </c>
      <c r="Z35" s="37" t="n">
        <f aca="false">'P&amp;L monthly'!Z36/FX_EUR</f>
        <v>4275.89505839878</v>
      </c>
      <c r="AA35" s="37" t="n">
        <f aca="false">'P&amp;L monthly'!AA36/FX_EUR</f>
        <v>4435.49179536374</v>
      </c>
      <c r="AB35" s="37" t="n">
        <f aca="false">'P&amp;L monthly'!AB36/FX_EUR</f>
        <v>4855.54155319342</v>
      </c>
      <c r="AC35" s="37" t="n">
        <f aca="false">'P&amp;L monthly'!AC36/FX_EUR</f>
        <v>5540.43405296066</v>
      </c>
      <c r="AD35" s="37" t="n">
        <f aca="false">'P&amp;L monthly'!AD36/FX_EUR</f>
        <v>5545.07412114299</v>
      </c>
      <c r="AE35" s="37" t="n">
        <f aca="false">'P&amp;L monthly'!AE36/FX_EUR</f>
        <v>5985.8760735834</v>
      </c>
      <c r="AF35" s="37" t="n">
        <f aca="false">'P&amp;L monthly'!AF36/FX_EUR</f>
        <v>6401.49754678358</v>
      </c>
      <c r="AG35" s="37" t="n">
        <f aca="false">'P&amp;L monthly'!AG36/FX_EUR</f>
        <v>6105.38909421387</v>
      </c>
      <c r="AH35" s="37" t="n">
        <f aca="false">'P&amp;L monthly'!AH36/FX_EUR</f>
        <v>6036.24707338689</v>
      </c>
      <c r="AI35" s="37" t="n">
        <f aca="false">'P&amp;L monthly'!AI36/FX_EUR</f>
        <v>6201.53888731838</v>
      </c>
      <c r="AJ35" s="37" t="n">
        <f aca="false">'P&amp;L monthly'!AJ36/FX_EUR</f>
        <v>6226.61001337469</v>
      </c>
      <c r="AK35" s="37" t="n">
        <f aca="false">'P&amp;L monthly'!AK36/FX_EUR</f>
        <v>6355.31313289715</v>
      </c>
      <c r="AL35" s="37" t="n">
        <f aca="false">'P&amp;L monthly'!AL36/FX_EUR</f>
        <v>6456.79105264334</v>
      </c>
      <c r="AM35" s="37" t="n">
        <f aca="false">'P&amp;L monthly'!AM36/FX_EUR</f>
        <v>6510.68604440518</v>
      </c>
      <c r="AN35" s="37" t="n">
        <f aca="false">'P&amp;L monthly'!AN36/FX_EUR</f>
        <v>6562.48480047882</v>
      </c>
      <c r="AO35" s="37" t="n">
        <f aca="false">'P&amp;L monthly'!AO36/FX_EUR</f>
        <v>7680.74643816146</v>
      </c>
      <c r="AP35" s="37" t="n">
        <f aca="false">'P&amp;L monthly'!AP36/FX_EUR</f>
        <v>7446.66273698932</v>
      </c>
      <c r="AQ35" s="37" t="n">
        <f aca="false">'P&amp;L monthly'!AQ36/FX_EUR</f>
        <v>7619.19261080428</v>
      </c>
      <c r="AR35" s="37" t="n">
        <f aca="false">'P&amp;L monthly'!AR36/FX_EUR</f>
        <v>8091.6402196709</v>
      </c>
      <c r="AS35" s="37" t="n">
        <f aca="false">'P&amp;L monthly'!AS36/FX_EUR</f>
        <v>8044.00257911876</v>
      </c>
      <c r="AT35" s="37" t="n">
        <f aca="false">'P&amp;L monthly'!AT36/FX_EUR</f>
        <v>7906.47467993857</v>
      </c>
      <c r="AU35" s="37" t="n">
        <f aca="false">'P&amp;L monthly'!AU36/FX_EUR</f>
        <v>7978.94981717731</v>
      </c>
      <c r="AV35" s="37" t="n">
        <f aca="false">'P&amp;L monthly'!AV36/FX_EUR</f>
        <v>8119.36041091831</v>
      </c>
      <c r="AW35" s="37" t="n">
        <f aca="false">'P&amp;L monthly'!AW36/FX_EUR</f>
        <v>8425.51548369577</v>
      </c>
      <c r="AX35" s="37" t="n">
        <f aca="false">'P&amp;L monthly'!AX36/FX_EUR</f>
        <v>8686.36639287628</v>
      </c>
      <c r="AY35" s="37" t="n">
        <f aca="false">'P&amp;L monthly'!AY36/FX_EUR</f>
        <v>8549.67462142376</v>
      </c>
      <c r="AZ35" s="37" t="n">
        <f aca="false">'P&amp;L monthly'!AZ36/FX_EUR</f>
        <v>8715.81428494395</v>
      </c>
      <c r="BA35" s="37" t="n">
        <f aca="false">'P&amp;L monthly'!BA36/FX_EUR</f>
        <v>9405.91017072666</v>
      </c>
      <c r="BB35" s="37" t="n">
        <f aca="false">'P&amp;L monthly'!BB36/FX_EUR</f>
        <v>9704.65635201646</v>
      </c>
      <c r="BC35" s="37" t="n">
        <f aca="false">'P&amp;L monthly'!BC36/FX_EUR</f>
        <v>9766.2163089412</v>
      </c>
      <c r="BD35" s="37" t="n">
        <f aca="false">'P&amp;L monthly'!BD36/FX_EUR</f>
        <v>10619.34539449</v>
      </c>
      <c r="BE35" s="37" t="n">
        <f aca="false">'P&amp;L monthly'!BE36/FX_EUR</f>
        <v>10074.8042004937</v>
      </c>
      <c r="BF35" s="37" t="n">
        <f aca="false">'P&amp;L monthly'!BF36/FX_EUR</f>
        <v>10475.679375237</v>
      </c>
      <c r="BG35" s="37" t="n">
        <f aca="false">'P&amp;L monthly'!BG36/FX_EUR</f>
        <v>10412.2407895051</v>
      </c>
      <c r="BH35" s="37" t="n">
        <f aca="false">'P&amp;L monthly'!BH36/FX_EUR</f>
        <v>10559.1910278018</v>
      </c>
      <c r="BI35" s="37" t="n">
        <f aca="false">'P&amp;L monthly'!BI36/FX_EUR</f>
        <v>10586.4041618433</v>
      </c>
      <c r="BJ35" s="37" t="n">
        <f aca="false">'P&amp;L monthly'!BJ36/FX_EUR</f>
        <v>11278.8237132486</v>
      </c>
      <c r="BK35" s="37" t="n">
        <f aca="false">'P&amp;L monthly'!BK36/FX_EUR</f>
        <v>11180.1543384322</v>
      </c>
      <c r="BL35" s="37" t="n">
        <f aca="false">'P&amp;L monthly'!BL36/FX_EUR</f>
        <v>11201.4429389998</v>
      </c>
    </row>
    <row r="36" customFormat="false" ht="15" hidden="false" customHeight="false" outlineLevel="0" collapsed="false">
      <c r="A36" s="8" t="s">
        <v>91</v>
      </c>
      <c r="B36" s="14" t="s">
        <v>73</v>
      </c>
      <c r="D36" s="55" t="n">
        <f aca="false">'P&amp;L monthly'!D37/FX_EUR</f>
        <v>7953250.34128101</v>
      </c>
      <c r="E36" s="16" t="n">
        <f aca="false">'P&amp;L monthly'!E37/FX_EUR</f>
        <v>48842.6669278627</v>
      </c>
      <c r="F36" s="16" t="n">
        <f aca="false">'P&amp;L monthly'!F37/FX_EUR</f>
        <v>61656.3568953453</v>
      </c>
      <c r="G36" s="16" t="n">
        <f aca="false">'P&amp;L monthly'!G37/FX_EUR</f>
        <v>84066.3624292446</v>
      </c>
      <c r="H36" s="16" t="n">
        <f aca="false">'P&amp;L monthly'!H37/FX_EUR</f>
        <v>56071.5081933724</v>
      </c>
      <c r="I36" s="16" t="n">
        <f aca="false">'P&amp;L monthly'!I37/FX_EUR</f>
        <v>54985.7643946173</v>
      </c>
      <c r="J36" s="16" t="n">
        <f aca="false">'P&amp;L monthly'!J37/FX_EUR</f>
        <v>54071.8206605006</v>
      </c>
      <c r="K36" s="16" t="n">
        <f aca="false">'P&amp;L monthly'!K37/FX_EUR</f>
        <v>53685.0262936252</v>
      </c>
      <c r="L36" s="16" t="n">
        <f aca="false">'P&amp;L monthly'!L37/FX_EUR</f>
        <v>53300.1743159033</v>
      </c>
      <c r="M36" s="16" t="n">
        <f aca="false">'P&amp;L monthly'!M37/FX_EUR</f>
        <v>52917.0503654972</v>
      </c>
      <c r="N36" s="16" t="n">
        <f aca="false">'P&amp;L monthly'!N37/FX_EUR</f>
        <v>52535.4321704809</v>
      </c>
      <c r="O36" s="16" t="n">
        <f aca="false">'P&amp;L monthly'!O37/FX_EUR</f>
        <v>52155.0889923985</v>
      </c>
      <c r="P36" s="16" t="n">
        <f aca="false">'P&amp;L monthly'!P37/FX_EUR</f>
        <v>51775.781037884</v>
      </c>
      <c r="Q36" s="16" t="n">
        <f aca="false">'P&amp;L monthly'!Q37/FX_EUR</f>
        <v>73522.1309850332</v>
      </c>
      <c r="R36" s="16" t="n">
        <f aca="false">'P&amp;L monthly'!R37/FX_EUR</f>
        <v>71654.93319765</v>
      </c>
      <c r="S36" s="16" t="n">
        <f aca="false">'P&amp;L monthly'!S37/FX_EUR</f>
        <v>79438.3787433361</v>
      </c>
      <c r="T36" s="16" t="n">
        <f aca="false">'P&amp;L monthly'!T37/FX_EUR</f>
        <v>112590.514647398</v>
      </c>
      <c r="U36" s="16" t="n">
        <f aca="false">'P&amp;L monthly'!U37/FX_EUR</f>
        <v>73174.0847553374</v>
      </c>
      <c r="V36" s="16" t="n">
        <f aca="false">'P&amp;L monthly'!V37/FX_EUR</f>
        <v>86839.8196959378</v>
      </c>
      <c r="W36" s="16" t="n">
        <f aca="false">'P&amp;L monthly'!W37/FX_EUR</f>
        <v>90100.1072149326</v>
      </c>
      <c r="X36" s="16" t="n">
        <f aca="false">'P&amp;L monthly'!X37/FX_EUR</f>
        <v>89643.7995793759</v>
      </c>
      <c r="Y36" s="16" t="n">
        <f aca="false">'P&amp;L monthly'!Y37/FX_EUR</f>
        <v>89716.6134856858</v>
      </c>
      <c r="Z36" s="16" t="n">
        <f aca="false">'P&amp;L monthly'!Z37/FX_EUR</f>
        <v>89793.7962263743</v>
      </c>
      <c r="AA36" s="16" t="n">
        <f aca="false">'P&amp;L monthly'!AA37/FX_EUR</f>
        <v>93145.3277026385</v>
      </c>
      <c r="AB36" s="16" t="n">
        <f aca="false">'P&amp;L monthly'!AB37/FX_EUR</f>
        <v>101966.372617062</v>
      </c>
      <c r="AC36" s="16" t="n">
        <f aca="false">'P&amp;L monthly'!AC37/FX_EUR</f>
        <v>116349.115112174</v>
      </c>
      <c r="AD36" s="16" t="n">
        <f aca="false">'P&amp;L monthly'!AD37/FX_EUR</f>
        <v>116446.556544003</v>
      </c>
      <c r="AE36" s="16" t="n">
        <f aca="false">'P&amp;L monthly'!AE37/FX_EUR</f>
        <v>125703.397545251</v>
      </c>
      <c r="AF36" s="16" t="n">
        <f aca="false">'P&amp;L monthly'!AF37/FX_EUR</f>
        <v>134431.448482455</v>
      </c>
      <c r="AG36" s="16" t="n">
        <f aca="false">'P&amp;L monthly'!AG37/FX_EUR</f>
        <v>128213.170978491</v>
      </c>
      <c r="AH36" s="16" t="n">
        <f aca="false">'P&amp;L monthly'!AH37/FX_EUR</f>
        <v>126761.188541125</v>
      </c>
      <c r="AI36" s="16" t="n">
        <f aca="false">'P&amp;L monthly'!AI37/FX_EUR</f>
        <v>130232.316633686</v>
      </c>
      <c r="AJ36" s="16" t="n">
        <f aca="false">'P&amp;L monthly'!AJ37/FX_EUR</f>
        <v>130758.810280869</v>
      </c>
      <c r="AK36" s="16" t="n">
        <f aca="false">'P&amp;L monthly'!AK37/FX_EUR</f>
        <v>133461.57579084</v>
      </c>
      <c r="AL36" s="16" t="n">
        <f aca="false">'P&amp;L monthly'!AL37/FX_EUR</f>
        <v>135592.61210551</v>
      </c>
      <c r="AM36" s="16" t="n">
        <f aca="false">'P&amp;L monthly'!AM37/FX_EUR</f>
        <v>136724.406932509</v>
      </c>
      <c r="AN36" s="16" t="n">
        <f aca="false">'P&amp;L monthly'!AN37/FX_EUR</f>
        <v>137812.180810055</v>
      </c>
      <c r="AO36" s="16" t="n">
        <f aca="false">'P&amp;L monthly'!AO37/FX_EUR</f>
        <v>161295.675201391</v>
      </c>
      <c r="AP36" s="16" t="n">
        <f aca="false">'P&amp;L monthly'!AP37/FX_EUR</f>
        <v>156379.917476776</v>
      </c>
      <c r="AQ36" s="16" t="n">
        <f aca="false">'P&amp;L monthly'!AQ37/FX_EUR</f>
        <v>160003.04482689</v>
      </c>
      <c r="AR36" s="16" t="n">
        <f aca="false">'P&amp;L monthly'!AR37/FX_EUR</f>
        <v>169924.444613089</v>
      </c>
      <c r="AS36" s="16" t="n">
        <f aca="false">'P&amp;L monthly'!AS37/FX_EUR</f>
        <v>168924.054161494</v>
      </c>
      <c r="AT36" s="16" t="n">
        <f aca="false">'P&amp;L monthly'!AT37/FX_EUR</f>
        <v>166035.96827871</v>
      </c>
      <c r="AU36" s="16" t="n">
        <f aca="false">'P&amp;L monthly'!AU37/FX_EUR</f>
        <v>167557.946160723</v>
      </c>
      <c r="AV36" s="16" t="n">
        <f aca="false">'P&amp;L monthly'!AV37/FX_EUR</f>
        <v>170506.568629285</v>
      </c>
      <c r="AW36" s="16" t="n">
        <f aca="false">'P&amp;L monthly'!AW37/FX_EUR</f>
        <v>176935.825157611</v>
      </c>
      <c r="AX36" s="16" t="n">
        <f aca="false">'P&amp;L monthly'!AX37/FX_EUR</f>
        <v>182413.694250402</v>
      </c>
      <c r="AY36" s="16" t="n">
        <f aca="false">'P&amp;L monthly'!AY37/FX_EUR</f>
        <v>179543.167049899</v>
      </c>
      <c r="AZ36" s="16" t="n">
        <f aca="false">'P&amp;L monthly'!AZ37/FX_EUR</f>
        <v>183032.099983823</v>
      </c>
      <c r="BA36" s="16" t="n">
        <f aca="false">'P&amp;L monthly'!BA37/FX_EUR</f>
        <v>197524.11358526</v>
      </c>
      <c r="BB36" s="16" t="n">
        <f aca="false">'P&amp;L monthly'!BB37/FX_EUR</f>
        <v>203797.783392346</v>
      </c>
      <c r="BC36" s="16" t="n">
        <f aca="false">'P&amp;L monthly'!BC37/FX_EUR</f>
        <v>205090.542487765</v>
      </c>
      <c r="BD36" s="16" t="n">
        <f aca="false">'P&amp;L monthly'!BD37/FX_EUR</f>
        <v>223006.25328429</v>
      </c>
      <c r="BE36" s="16" t="n">
        <f aca="false">'P&amp;L monthly'!BE37/FX_EUR</f>
        <v>211570.888210368</v>
      </c>
      <c r="BF36" s="16" t="n">
        <f aca="false">'P&amp;L monthly'!BF37/FX_EUR</f>
        <v>219989.266879977</v>
      </c>
      <c r="BG36" s="16" t="n">
        <f aca="false">'P&amp;L monthly'!BG37/FX_EUR</f>
        <v>218657.056579607</v>
      </c>
      <c r="BH36" s="16" t="n">
        <f aca="false">'P&amp;L monthly'!BH37/FX_EUR</f>
        <v>221743.011583839</v>
      </c>
      <c r="BI36" s="16" t="n">
        <f aca="false">'P&amp;L monthly'!BI37/FX_EUR</f>
        <v>222314.487398709</v>
      </c>
      <c r="BJ36" s="16" t="n">
        <f aca="false">'P&amp;L monthly'!BJ37/FX_EUR</f>
        <v>236855.297978221</v>
      </c>
      <c r="BK36" s="16" t="n">
        <f aca="false">'P&amp;L monthly'!BK37/FX_EUR</f>
        <v>234783.241107077</v>
      </c>
      <c r="BL36" s="16" t="n">
        <f aca="false">'P&amp;L monthly'!BL37/FX_EUR</f>
        <v>235230.301718996</v>
      </c>
    </row>
    <row r="37" customFormat="false" ht="15" hidden="false" customHeight="false" outlineLevel="0" collapsed="false">
      <c r="A37" s="8" t="s">
        <v>92</v>
      </c>
      <c r="B37" s="14" t="s">
        <v>73</v>
      </c>
      <c r="D37" s="55" t="n">
        <f aca="false">'P&amp;L monthly'!D38/FX_EUR</f>
        <v>-392364.066952709</v>
      </c>
      <c r="E37" s="16" t="n">
        <f aca="false">'P&amp;L monthly'!E38/FX_EUR</f>
        <v>-48842.6669278627</v>
      </c>
      <c r="F37" s="16" t="n">
        <f aca="false">'P&amp;L monthly'!F38/FX_EUR</f>
        <v>-61656.3568953453</v>
      </c>
      <c r="G37" s="16" t="n">
        <f aca="false">'P&amp;L monthly'!G38/FX_EUR</f>
        <v>-84066.3624292446</v>
      </c>
      <c r="H37" s="16" t="n">
        <f aca="false">'P&amp;L monthly'!H38/FX_EUR</f>
        <v>-56071.5081933724</v>
      </c>
      <c r="I37" s="16" t="n">
        <f aca="false">'P&amp;L monthly'!I38/FX_EUR</f>
        <v>-55773.3546380835</v>
      </c>
      <c r="J37" s="16" t="n">
        <f aca="false">'P&amp;L monthly'!J38/FX_EUR</f>
        <v>-55025.8945250985</v>
      </c>
      <c r="K37" s="16" t="n">
        <f aca="false">'P&amp;L monthly'!K38/FX_EUR</f>
        <v>-54804.8472166303</v>
      </c>
      <c r="L37" s="16" t="n">
        <f aca="false">'P&amp;L monthly'!L38/FX_EUR</f>
        <v>-52824.120126387</v>
      </c>
      <c r="M37" s="16" t="n">
        <f aca="false">'P&amp;L monthly'!M38/FX_EUR</f>
        <v>-50776.2363740288</v>
      </c>
      <c r="N37" s="16" t="n">
        <f aca="false">'P&amp;L monthly'!N38/FX_EUR</f>
        <v>-48732.4185201345</v>
      </c>
      <c r="O37" s="16" t="n">
        <f aca="false">'P&amp;L monthly'!O38/FX_EUR</f>
        <v>-46691.3139164852</v>
      </c>
      <c r="P37" s="16" t="n">
        <f aca="false">'P&amp;L monthly'!P38/FX_EUR</f>
        <v>-44651.5117136486</v>
      </c>
      <c r="Q37" s="16" t="n">
        <f aca="false">'P&amp;L monthly'!Q38/FX_EUR</f>
        <v>-64975.7947270229</v>
      </c>
      <c r="R37" s="16" t="n">
        <f aca="false">'P&amp;L monthly'!R38/FX_EUR</f>
        <v>-61500.3707501026</v>
      </c>
      <c r="S37" s="16" t="n">
        <f aca="false">'P&amp;L monthly'!S38/FX_EUR</f>
        <v>-67678.3903589946</v>
      </c>
      <c r="T37" s="16" t="n">
        <f aca="false">'P&amp;L monthly'!T38/FX_EUR</f>
        <v>-98647.1227707007</v>
      </c>
      <c r="U37" s="16" t="n">
        <f aca="false">'P&amp;L monthly'!U38/FX_EUR</f>
        <v>-57047.0419769551</v>
      </c>
      <c r="V37" s="16" t="n">
        <f aca="false">'P&amp;L monthly'!V38/FX_EUR</f>
        <v>-68250.3178790073</v>
      </c>
      <c r="W37" s="16" t="n">
        <f aca="false">'P&amp;L monthly'!W38/FX_EUR</f>
        <v>-69540.6250995403</v>
      </c>
      <c r="X37" s="16" t="n">
        <f aca="false">'P&amp;L monthly'!X38/FX_EUR</f>
        <v>-66457.674197602</v>
      </c>
      <c r="Y37" s="16" t="n">
        <f aca="false">'P&amp;L monthly'!Y38/FX_EUR</f>
        <v>-63766.4958993082</v>
      </c>
      <c r="Z37" s="16" t="n">
        <f aca="false">'P&amp;L monthly'!Z38/FX_EUR</f>
        <v>-59226.2037528741</v>
      </c>
      <c r="AA37" s="16" t="n">
        <f aca="false">'P&amp;L monthly'!AA38/FX_EUR</f>
        <v>-57828.3254482168</v>
      </c>
      <c r="AB37" s="16" t="n">
        <f aca="false">'P&amp;L monthly'!AB38/FX_EUR</f>
        <v>-61878.9737471348</v>
      </c>
      <c r="AC37" s="16" t="n">
        <f aca="false">'P&amp;L monthly'!AC38/FX_EUR</f>
        <v>-68036.8055517217</v>
      </c>
      <c r="AD37" s="16" t="n">
        <f aca="false">'P&amp;L monthly'!AD38/FX_EUR</f>
        <v>-62074.8476748941</v>
      </c>
      <c r="AE37" s="16" t="n">
        <f aca="false">'P&amp;L monthly'!AE38/FX_EUR</f>
        <v>-64501.2994994276</v>
      </c>
      <c r="AF37" s="16" t="n">
        <f aca="false">'P&amp;L monthly'!AF38/FX_EUR</f>
        <v>-64843.1745070058</v>
      </c>
      <c r="AG37" s="16" t="n">
        <f aca="false">'P&amp;L monthly'!AG38/FX_EUR</f>
        <v>-69593.4952163204</v>
      </c>
      <c r="AH37" s="16" t="n">
        <f aca="false">'P&amp;L monthly'!AH38/FX_EUR</f>
        <v>-45286.0880248286</v>
      </c>
      <c r="AI37" s="16" t="n">
        <f aca="false">'P&amp;L monthly'!AI38/FX_EUR</f>
        <v>-41086.6020266206</v>
      </c>
      <c r="AJ37" s="16" t="n">
        <f aca="false">'P&amp;L monthly'!AJ38/FX_EUR</f>
        <v>-33961.023710485</v>
      </c>
      <c r="AK37" s="16" t="n">
        <f aca="false">'P&amp;L monthly'!AK38/FX_EUR</f>
        <v>-28833.8626761073</v>
      </c>
      <c r="AL37" s="16" t="n">
        <f aca="false">'P&amp;L monthly'!AL38/FX_EUR</f>
        <v>-23180.1716007478</v>
      </c>
      <c r="AM37" s="16" t="n">
        <f aca="false">'P&amp;L monthly'!AM38/FX_EUR</f>
        <v>-16223.6866455825</v>
      </c>
      <c r="AN37" s="16" t="n">
        <f aca="false">'P&amp;L monthly'!AN38/FX_EUR</f>
        <v>-9059.28580081529</v>
      </c>
      <c r="AO37" s="16" t="n">
        <f aca="false">'P&amp;L monthly'!AO38/FX_EUR</f>
        <v>-24252.5493752715</v>
      </c>
      <c r="AP37" s="16" t="n">
        <f aca="false">'P&amp;L monthly'!AP38/FX_EUR</f>
        <v>-10338.7291738923</v>
      </c>
      <c r="AQ37" s="16" t="n">
        <f aca="false">'P&amp;L monthly'!AQ38/FX_EUR</f>
        <v>-4690.65823809315</v>
      </c>
      <c r="AR37" s="16" t="n">
        <f aca="false">'P&amp;L monthly'!AR38/FX_EUR</f>
        <v>-5165.46467720307</v>
      </c>
      <c r="AS37" s="16" t="n">
        <f aca="false">'P&amp;L monthly'!AS38/FX_EUR</f>
        <v>5926.93387346321</v>
      </c>
      <c r="AT37" s="16" t="n">
        <f aca="false">'P&amp;L monthly'!AT38/FX_EUR</f>
        <v>18658.4086749099</v>
      </c>
      <c r="AU37" s="16" t="n">
        <f aca="false">'P&amp;L monthly'!AU38/FX_EUR</f>
        <v>27706.5479004268</v>
      </c>
      <c r="AV37" s="16" t="n">
        <f aca="false">'P&amp;L monthly'!AV38/FX_EUR</f>
        <v>35329.1512247402</v>
      </c>
      <c r="AW37" s="16" t="n">
        <f aca="false">'P&amp;L monthly'!AW38/FX_EUR</f>
        <v>39871.370505553</v>
      </c>
      <c r="AX37" s="16" t="n">
        <f aca="false">'P&amp;L monthly'!AX38/FX_EUR</f>
        <v>45485.1361974398</v>
      </c>
      <c r="AY37" s="16" t="n">
        <f aca="false">'P&amp;L monthly'!AY38/FX_EUR</f>
        <v>59053.6198598373</v>
      </c>
      <c r="AZ37" s="16" t="n">
        <f aca="false">'P&amp;L monthly'!AZ38/FX_EUR</f>
        <v>66911.5945971701</v>
      </c>
      <c r="BA37" s="16" t="n">
        <f aca="false">'P&amp;L monthly'!BA38/FX_EUR</f>
        <v>63261.0356855713</v>
      </c>
      <c r="BB37" s="16" t="n">
        <f aca="false">'P&amp;L monthly'!BB38/FX_EUR</f>
        <v>68960.263763913</v>
      </c>
      <c r="BC37" s="16" t="n">
        <f aca="false">'P&amp;L monthly'!BC38/FX_EUR</f>
        <v>79408.5834353645</v>
      </c>
      <c r="BD37" s="16" t="n">
        <f aca="false">'P&amp;L monthly'!BD38/FX_EUR</f>
        <v>74101.2363072179</v>
      </c>
      <c r="BE37" s="16" t="n">
        <f aca="false">'P&amp;L monthly'!BE38/FX_EUR</f>
        <v>98112.3639797305</v>
      </c>
      <c r="BF37" s="16" t="n">
        <f aca="false">'P&amp;L monthly'!BF38/FX_EUR</f>
        <v>102721.369214681</v>
      </c>
      <c r="BG37" s="16" t="n">
        <f aca="false">'P&amp;L monthly'!BG38/FX_EUR</f>
        <v>116988.779810755</v>
      </c>
      <c r="BH37" s="16" t="n">
        <f aca="false">'P&amp;L monthly'!BH38/FX_EUR</f>
        <v>127489.745935925</v>
      </c>
      <c r="BI37" s="16" t="n">
        <f aca="false">'P&amp;L monthly'!BI38/FX_EUR</f>
        <v>140284.202748309</v>
      </c>
      <c r="BJ37" s="16" t="n">
        <f aca="false">'P&amp;L monthly'!BJ38/FX_EUR</f>
        <v>139869.407692037</v>
      </c>
      <c r="BK37" s="16" t="n">
        <f aca="false">'P&amp;L monthly'!BK38/FX_EUR</f>
        <v>155720.346791108</v>
      </c>
      <c r="BL37" s="16" t="n">
        <f aca="false">'P&amp;L monthly'!BL38/FX_EUR</f>
        <v>169617.507331937</v>
      </c>
    </row>
    <row r="38" customFormat="false" ht="15" hidden="false" customHeight="false" outlineLevel="0" collapsed="false">
      <c r="A38" s="12" t="s">
        <v>861</v>
      </c>
      <c r="B38" s="14" t="s">
        <v>73</v>
      </c>
      <c r="D38" s="55" t="n">
        <f aca="false">'P&amp;L monthly'!D40/FX_EUR</f>
        <v>-392364.066952709</v>
      </c>
      <c r="E38" s="37" t="n">
        <f aca="false">'P&amp;L monthly'!E40/FX_EUR</f>
        <v>-48842.6669278627</v>
      </c>
      <c r="F38" s="37" t="n">
        <f aca="false">'P&amp;L monthly'!F40/FX_EUR</f>
        <v>-110499.023823208</v>
      </c>
      <c r="G38" s="37" t="n">
        <f aca="false">'P&amp;L monthly'!G40/FX_EUR</f>
        <v>-194565.386252453</v>
      </c>
      <c r="H38" s="37" t="n">
        <f aca="false">'P&amp;L monthly'!H40/FX_EUR</f>
        <v>-250636.894445825</v>
      </c>
      <c r="I38" s="37" t="n">
        <f aca="false">'P&amp;L monthly'!I40/FX_EUR</f>
        <v>-306410.249083908</v>
      </c>
      <c r="J38" s="37" t="n">
        <f aca="false">'P&amp;L monthly'!J40/FX_EUR</f>
        <v>-361436.143609007</v>
      </c>
      <c r="K38" s="37" t="n">
        <f aca="false">'P&amp;L monthly'!K40/FX_EUR</f>
        <v>-416240.990825637</v>
      </c>
      <c r="L38" s="37" t="n">
        <f aca="false">'P&amp;L monthly'!L40/FX_EUR</f>
        <v>-469065.110952024</v>
      </c>
      <c r="M38" s="37" t="n">
        <f aca="false">'P&amp;L monthly'!M40/FX_EUR</f>
        <v>-519841.347326053</v>
      </c>
      <c r="N38" s="37" t="n">
        <f aca="false">'P&amp;L monthly'!N40/FX_EUR</f>
        <v>-568573.765846187</v>
      </c>
      <c r="O38" s="37" t="n">
        <f aca="false">'P&amp;L monthly'!O40/FX_EUR</f>
        <v>-615265.079762673</v>
      </c>
      <c r="P38" s="37" t="n">
        <f aca="false">'P&amp;L monthly'!P40/FX_EUR</f>
        <v>-659916.591476321</v>
      </c>
      <c r="Q38" s="37" t="n">
        <f aca="false">'P&amp;L monthly'!Q40/FX_EUR</f>
        <v>-724892.386203344</v>
      </c>
      <c r="R38" s="37" t="n">
        <f aca="false">'P&amp;L monthly'!R40/FX_EUR</f>
        <v>-786392.756953447</v>
      </c>
      <c r="S38" s="37" t="n">
        <f aca="false">'P&amp;L monthly'!S40/FX_EUR</f>
        <v>-854071.147312441</v>
      </c>
      <c r="T38" s="37" t="n">
        <f aca="false">'P&amp;L monthly'!T40/FX_EUR</f>
        <v>-952718.270083142</v>
      </c>
      <c r="U38" s="37" t="n">
        <f aca="false">'P&amp;L monthly'!U40/FX_EUR</f>
        <v>-1009765.3120601</v>
      </c>
      <c r="V38" s="37" t="n">
        <f aca="false">'P&amp;L monthly'!V40/FX_EUR</f>
        <v>-1078015.6299391</v>
      </c>
      <c r="W38" s="37" t="n">
        <f aca="false">'P&amp;L monthly'!W40/FX_EUR</f>
        <v>-1147556.25503864</v>
      </c>
      <c r="X38" s="37" t="n">
        <f aca="false">'P&amp;L monthly'!X40/FX_EUR</f>
        <v>-1214013.92923625</v>
      </c>
      <c r="Y38" s="37" t="n">
        <f aca="false">'P&amp;L monthly'!Y40/FX_EUR</f>
        <v>-1277780.42513556</v>
      </c>
      <c r="Z38" s="37" t="n">
        <f aca="false">'P&amp;L monthly'!Z40/FX_EUR</f>
        <v>-1337006.62888843</v>
      </c>
      <c r="AA38" s="37" t="n">
        <f aca="false">'P&amp;L monthly'!AA40/FX_EUR</f>
        <v>-1394834.95433665</v>
      </c>
      <c r="AB38" s="37" t="n">
        <f aca="false">'P&amp;L monthly'!AB40/FX_EUR</f>
        <v>-1456713.92808378</v>
      </c>
      <c r="AC38" s="37" t="n">
        <f aca="false">'P&amp;L monthly'!AC40/FX_EUR</f>
        <v>-1524750.7336355</v>
      </c>
      <c r="AD38" s="37" t="n">
        <f aca="false">'P&amp;L monthly'!AD40/FX_EUR</f>
        <v>-1586825.5813104</v>
      </c>
      <c r="AE38" s="37" t="n">
        <f aca="false">'P&amp;L monthly'!AE40/FX_EUR</f>
        <v>-1651326.88080982</v>
      </c>
      <c r="AF38" s="37" t="n">
        <f aca="false">'P&amp;L monthly'!AF40/FX_EUR</f>
        <v>-1716170.05531683</v>
      </c>
      <c r="AG38" s="37" t="n">
        <f aca="false">'P&amp;L monthly'!AG40/FX_EUR</f>
        <v>-1785763.55053315</v>
      </c>
      <c r="AH38" s="37" t="n">
        <f aca="false">'P&amp;L monthly'!AH40/FX_EUR</f>
        <v>-1831049.63855798</v>
      </c>
      <c r="AI38" s="37" t="n">
        <f aca="false">'P&amp;L monthly'!AI40/FX_EUR</f>
        <v>-1872136.2405846</v>
      </c>
      <c r="AJ38" s="37" t="n">
        <f aca="false">'P&amp;L monthly'!AJ40/FX_EUR</f>
        <v>-1906097.26429508</v>
      </c>
      <c r="AK38" s="37" t="n">
        <f aca="false">'P&amp;L monthly'!AK40/FX_EUR</f>
        <v>-1934931.12697119</v>
      </c>
      <c r="AL38" s="37" t="n">
        <f aca="false">'P&amp;L monthly'!AL40/FX_EUR</f>
        <v>-1958111.29857194</v>
      </c>
      <c r="AM38" s="37" t="n">
        <f aca="false">'P&amp;L monthly'!AM40/FX_EUR</f>
        <v>-1974334.98521752</v>
      </c>
      <c r="AN38" s="37" t="n">
        <f aca="false">'P&amp;L monthly'!AN40/FX_EUR</f>
        <v>-1983394.27101834</v>
      </c>
      <c r="AO38" s="37" t="n">
        <f aca="false">'P&amp;L monthly'!AO40/FX_EUR</f>
        <v>-2007646.82039361</v>
      </c>
      <c r="AP38" s="37" t="n">
        <f aca="false">'P&amp;L monthly'!AP40/FX_EUR</f>
        <v>-2017985.5495675</v>
      </c>
      <c r="AQ38" s="37" t="n">
        <f aca="false">'P&amp;L monthly'!AQ40/FX_EUR</f>
        <v>-2022676.20780559</v>
      </c>
      <c r="AR38" s="37" t="n">
        <f aca="false">'P&amp;L monthly'!AR40/FX_EUR</f>
        <v>-2027841.6724828</v>
      </c>
      <c r="AS38" s="37" t="n">
        <f aca="false">'P&amp;L monthly'!AS40/FX_EUR</f>
        <v>-2021914.73860933</v>
      </c>
      <c r="AT38" s="37" t="n">
        <f aca="false">'P&amp;L monthly'!AT40/FX_EUR</f>
        <v>-2003256.32993442</v>
      </c>
      <c r="AU38" s="37" t="n">
        <f aca="false">'P&amp;L monthly'!AU40/FX_EUR</f>
        <v>-1975549.782034</v>
      </c>
      <c r="AV38" s="37" t="n">
        <f aca="false">'P&amp;L monthly'!AV40/FX_EUR</f>
        <v>-1940220.63080926</v>
      </c>
      <c r="AW38" s="37" t="n">
        <f aca="false">'P&amp;L monthly'!AW40/FX_EUR</f>
        <v>-1900349.2603037</v>
      </c>
      <c r="AX38" s="37" t="n">
        <f aca="false">'P&amp;L monthly'!AX40/FX_EUR</f>
        <v>-1854864.12410626</v>
      </c>
      <c r="AY38" s="37" t="n">
        <f aca="false">'P&amp;L monthly'!AY40/FX_EUR</f>
        <v>-1795810.50424643</v>
      </c>
      <c r="AZ38" s="37" t="n">
        <f aca="false">'P&amp;L monthly'!AZ40/FX_EUR</f>
        <v>-1728898.90964926</v>
      </c>
      <c r="BA38" s="37" t="n">
        <f aca="false">'P&amp;L monthly'!BA40/FX_EUR</f>
        <v>-1665637.87396369</v>
      </c>
      <c r="BB38" s="37" t="n">
        <f aca="false">'P&amp;L monthly'!BB40/FX_EUR</f>
        <v>-1596677.61019977</v>
      </c>
      <c r="BC38" s="37" t="n">
        <f aca="false">'P&amp;L monthly'!BC40/FX_EUR</f>
        <v>-1517269.02676441</v>
      </c>
      <c r="BD38" s="37" t="n">
        <f aca="false">'P&amp;L monthly'!BD40/FX_EUR</f>
        <v>-1443167.79045719</v>
      </c>
      <c r="BE38" s="37" t="n">
        <f aca="false">'P&amp;L monthly'!BE40/FX_EUR</f>
        <v>-1345055.42647746</v>
      </c>
      <c r="BF38" s="37" t="n">
        <f aca="false">'P&amp;L monthly'!BF40/FX_EUR</f>
        <v>-1242334.05726278</v>
      </c>
      <c r="BG38" s="37" t="n">
        <f aca="false">'P&amp;L monthly'!BG40/FX_EUR</f>
        <v>-1125345.27745202</v>
      </c>
      <c r="BH38" s="37" t="n">
        <f aca="false">'P&amp;L monthly'!BH40/FX_EUR</f>
        <v>-997855.531516099</v>
      </c>
      <c r="BI38" s="37" t="n">
        <f aca="false">'P&amp;L monthly'!BI40/FX_EUR</f>
        <v>-857571.328767791</v>
      </c>
      <c r="BJ38" s="37" t="n">
        <f aca="false">'P&amp;L monthly'!BJ40/FX_EUR</f>
        <v>-717701.921075754</v>
      </c>
      <c r="BK38" s="37" t="n">
        <f aca="false">'P&amp;L monthly'!BK40/FX_EUR</f>
        <v>-561981.574284645</v>
      </c>
      <c r="BL38" s="37" t="n">
        <f aca="false">'P&amp;L monthly'!BL40/FX_EUR</f>
        <v>-392364.066952709</v>
      </c>
    </row>
    <row r="39" customFormat="false" ht="15" hidden="false" customHeight="false" outlineLevel="0" collapsed="false">
      <c r="A39" s="12" t="s">
        <v>862</v>
      </c>
      <c r="B39" s="14" t="s">
        <v>73</v>
      </c>
      <c r="D39" s="55" t="n">
        <f aca="false">'P&amp;L monthly'!D41/FX_EUR</f>
        <v>0</v>
      </c>
      <c r="E39" s="37" t="n">
        <f aca="false">'P&amp;L monthly'!E41/FX_EUR</f>
        <v>0</v>
      </c>
      <c r="F39" s="37" t="n">
        <f aca="false">'P&amp;L monthly'!F41/FX_EUR</f>
        <v>0</v>
      </c>
      <c r="G39" s="37" t="n">
        <f aca="false">'P&amp;L monthly'!G41/FX_EUR</f>
        <v>0</v>
      </c>
      <c r="H39" s="37" t="n">
        <f aca="false">'P&amp;L monthly'!H41/FX_EUR</f>
        <v>0</v>
      </c>
      <c r="I39" s="37" t="n">
        <f aca="false">'P&amp;L monthly'!I41/FX_EUR</f>
        <v>0</v>
      </c>
      <c r="J39" s="37" t="n">
        <f aca="false">'P&amp;L monthly'!J41/FX_EUR</f>
        <v>0</v>
      </c>
      <c r="K39" s="37" t="n">
        <f aca="false">'P&amp;L monthly'!K41/FX_EUR</f>
        <v>0</v>
      </c>
      <c r="L39" s="37" t="n">
        <f aca="false">'P&amp;L monthly'!L41/FX_EUR</f>
        <v>0</v>
      </c>
      <c r="M39" s="37" t="n">
        <f aca="false">'P&amp;L monthly'!M41/FX_EUR</f>
        <v>0</v>
      </c>
      <c r="N39" s="37" t="n">
        <f aca="false">'P&amp;L monthly'!N41/FX_EUR</f>
        <v>0</v>
      </c>
      <c r="O39" s="37" t="n">
        <f aca="false">'P&amp;L monthly'!O41/FX_EUR</f>
        <v>0</v>
      </c>
      <c r="P39" s="37" t="n">
        <f aca="false">'P&amp;L monthly'!P41/FX_EUR</f>
        <v>0</v>
      </c>
      <c r="Q39" s="37" t="n">
        <f aca="false">'P&amp;L monthly'!Q41/FX_EUR</f>
        <v>0</v>
      </c>
      <c r="R39" s="37" t="n">
        <f aca="false">'P&amp;L monthly'!R41/FX_EUR</f>
        <v>0</v>
      </c>
      <c r="S39" s="37" t="n">
        <f aca="false">'P&amp;L monthly'!S41/FX_EUR</f>
        <v>0</v>
      </c>
      <c r="T39" s="37" t="n">
        <f aca="false">'P&amp;L monthly'!T41/FX_EUR</f>
        <v>0</v>
      </c>
      <c r="U39" s="37" t="n">
        <f aca="false">'P&amp;L monthly'!U41/FX_EUR</f>
        <v>0</v>
      </c>
      <c r="V39" s="37" t="n">
        <f aca="false">'P&amp;L monthly'!V41/FX_EUR</f>
        <v>0</v>
      </c>
      <c r="W39" s="37" t="n">
        <f aca="false">'P&amp;L monthly'!W41/FX_EUR</f>
        <v>0</v>
      </c>
      <c r="X39" s="37" t="n">
        <f aca="false">'P&amp;L monthly'!X41/FX_EUR</f>
        <v>0</v>
      </c>
      <c r="Y39" s="37" t="n">
        <f aca="false">'P&amp;L monthly'!Y41/FX_EUR</f>
        <v>0</v>
      </c>
      <c r="Z39" s="37" t="n">
        <f aca="false">'P&amp;L monthly'!Z41/FX_EUR</f>
        <v>0</v>
      </c>
      <c r="AA39" s="37" t="n">
        <f aca="false">'P&amp;L monthly'!AA41/FX_EUR</f>
        <v>0</v>
      </c>
      <c r="AB39" s="37" t="n">
        <f aca="false">'P&amp;L monthly'!AB41/FX_EUR</f>
        <v>0</v>
      </c>
      <c r="AC39" s="37" t="n">
        <f aca="false">'P&amp;L monthly'!AC41/FX_EUR</f>
        <v>0</v>
      </c>
      <c r="AD39" s="37" t="n">
        <f aca="false">'P&amp;L monthly'!AD41/FX_EUR</f>
        <v>0</v>
      </c>
      <c r="AE39" s="37" t="n">
        <f aca="false">'P&amp;L monthly'!AE41/FX_EUR</f>
        <v>0</v>
      </c>
      <c r="AF39" s="37" t="n">
        <f aca="false">'P&amp;L monthly'!AF41/FX_EUR</f>
        <v>0</v>
      </c>
      <c r="AG39" s="37" t="n">
        <f aca="false">'P&amp;L monthly'!AG41/FX_EUR</f>
        <v>0</v>
      </c>
      <c r="AH39" s="37" t="n">
        <f aca="false">'P&amp;L monthly'!AH41/FX_EUR</f>
        <v>0</v>
      </c>
      <c r="AI39" s="37" t="n">
        <f aca="false">'P&amp;L monthly'!AI41/FX_EUR</f>
        <v>0</v>
      </c>
      <c r="AJ39" s="37" t="n">
        <f aca="false">'P&amp;L monthly'!AJ41/FX_EUR</f>
        <v>0</v>
      </c>
      <c r="AK39" s="37" t="n">
        <f aca="false">'P&amp;L monthly'!AK41/FX_EUR</f>
        <v>0</v>
      </c>
      <c r="AL39" s="37" t="n">
        <f aca="false">'P&amp;L monthly'!AL41/FX_EUR</f>
        <v>0</v>
      </c>
      <c r="AM39" s="37" t="n">
        <f aca="false">'P&amp;L monthly'!AM41/FX_EUR</f>
        <v>0</v>
      </c>
      <c r="AN39" s="37" t="n">
        <f aca="false">'P&amp;L monthly'!AN41/FX_EUR</f>
        <v>0</v>
      </c>
      <c r="AO39" s="37" t="n">
        <f aca="false">'P&amp;L monthly'!AO41/FX_EUR</f>
        <v>0</v>
      </c>
      <c r="AP39" s="37" t="n">
        <f aca="false">'P&amp;L monthly'!AP41/FX_EUR</f>
        <v>0</v>
      </c>
      <c r="AQ39" s="37" t="n">
        <f aca="false">'P&amp;L monthly'!AQ41/FX_EUR</f>
        <v>0</v>
      </c>
      <c r="AR39" s="37" t="n">
        <f aca="false">'P&amp;L monthly'!AR41/FX_EUR</f>
        <v>0</v>
      </c>
      <c r="AS39" s="37" t="n">
        <f aca="false">'P&amp;L monthly'!AS41/FX_EUR</f>
        <v>0</v>
      </c>
      <c r="AT39" s="37" t="n">
        <f aca="false">'P&amp;L monthly'!AT41/FX_EUR</f>
        <v>0</v>
      </c>
      <c r="AU39" s="37" t="n">
        <f aca="false">'P&amp;L monthly'!AU41/FX_EUR</f>
        <v>0</v>
      </c>
      <c r="AV39" s="37" t="n">
        <f aca="false">'P&amp;L monthly'!AV41/FX_EUR</f>
        <v>0</v>
      </c>
      <c r="AW39" s="37" t="n">
        <f aca="false">'P&amp;L monthly'!AW41/FX_EUR</f>
        <v>0</v>
      </c>
      <c r="AX39" s="37" t="n">
        <f aca="false">'P&amp;L monthly'!AX41/FX_EUR</f>
        <v>0</v>
      </c>
      <c r="AY39" s="37" t="n">
        <f aca="false">'P&amp;L monthly'!AY41/FX_EUR</f>
        <v>0</v>
      </c>
      <c r="AZ39" s="37" t="n">
        <f aca="false">'P&amp;L monthly'!AZ41/FX_EUR</f>
        <v>0</v>
      </c>
      <c r="BA39" s="37" t="n">
        <f aca="false">'P&amp;L monthly'!BA41/FX_EUR</f>
        <v>0</v>
      </c>
      <c r="BB39" s="37" t="n">
        <f aca="false">'P&amp;L monthly'!BB41/FX_EUR</f>
        <v>0</v>
      </c>
      <c r="BC39" s="37" t="n">
        <f aca="false">'P&amp;L monthly'!BC41/FX_EUR</f>
        <v>0</v>
      </c>
      <c r="BD39" s="37" t="n">
        <f aca="false">'P&amp;L monthly'!BD41/FX_EUR</f>
        <v>0</v>
      </c>
      <c r="BE39" s="37" t="n">
        <f aca="false">'P&amp;L monthly'!BE41/FX_EUR</f>
        <v>0</v>
      </c>
      <c r="BF39" s="37" t="n">
        <f aca="false">'P&amp;L monthly'!BF41/FX_EUR</f>
        <v>0</v>
      </c>
      <c r="BG39" s="37" t="n">
        <f aca="false">'P&amp;L monthly'!BG41/FX_EUR</f>
        <v>0</v>
      </c>
      <c r="BH39" s="37" t="n">
        <f aca="false">'P&amp;L monthly'!BH41/FX_EUR</f>
        <v>0</v>
      </c>
      <c r="BI39" s="37" t="n">
        <f aca="false">'P&amp;L monthly'!BI41/FX_EUR</f>
        <v>0</v>
      </c>
      <c r="BJ39" s="37" t="n">
        <f aca="false">'P&amp;L monthly'!BJ41/FX_EUR</f>
        <v>0</v>
      </c>
      <c r="BK39" s="37" t="n">
        <f aca="false">'P&amp;L monthly'!BK41/FX_EUR</f>
        <v>0</v>
      </c>
      <c r="BL39" s="37" t="n">
        <f aca="false">'P&amp;L monthly'!BL41/FX_EUR</f>
        <v>0</v>
      </c>
    </row>
    <row r="40" customFormat="false" ht="15" hidden="false" customHeight="false" outlineLevel="0" collapsed="false">
      <c r="A40" s="8" t="s">
        <v>94</v>
      </c>
      <c r="B40" s="14" t="s">
        <v>73</v>
      </c>
      <c r="D40" s="55" t="n">
        <f aca="false">'P&amp;L monthly'!D42/FX_EUR</f>
        <v>-392364.066952709</v>
      </c>
      <c r="E40" s="16" t="n">
        <f aca="false">'P&amp;L monthly'!E42/FX_EUR</f>
        <v>-48842.6669278627</v>
      </c>
      <c r="F40" s="16" t="n">
        <f aca="false">'P&amp;L monthly'!F42/FX_EUR</f>
        <v>-61656.3568953453</v>
      </c>
      <c r="G40" s="16" t="n">
        <f aca="false">'P&amp;L monthly'!G42/FX_EUR</f>
        <v>-84066.3624292446</v>
      </c>
      <c r="H40" s="16" t="n">
        <f aca="false">'P&amp;L monthly'!H42/FX_EUR</f>
        <v>-56071.5081933724</v>
      </c>
      <c r="I40" s="16" t="n">
        <f aca="false">'P&amp;L monthly'!I42/FX_EUR</f>
        <v>-55773.3546380835</v>
      </c>
      <c r="J40" s="16" t="n">
        <f aca="false">'P&amp;L monthly'!J42/FX_EUR</f>
        <v>-55025.8945250985</v>
      </c>
      <c r="K40" s="16" t="n">
        <f aca="false">'P&amp;L monthly'!K42/FX_EUR</f>
        <v>-54804.8472166303</v>
      </c>
      <c r="L40" s="16" t="n">
        <f aca="false">'P&amp;L monthly'!L42/FX_EUR</f>
        <v>-52824.120126387</v>
      </c>
      <c r="M40" s="16" t="n">
        <f aca="false">'P&amp;L monthly'!M42/FX_EUR</f>
        <v>-50776.2363740288</v>
      </c>
      <c r="N40" s="16" t="n">
        <f aca="false">'P&amp;L monthly'!N42/FX_EUR</f>
        <v>-48732.4185201345</v>
      </c>
      <c r="O40" s="16" t="n">
        <f aca="false">'P&amp;L monthly'!O42/FX_EUR</f>
        <v>-46691.3139164852</v>
      </c>
      <c r="P40" s="16" t="n">
        <f aca="false">'P&amp;L monthly'!P42/FX_EUR</f>
        <v>-44651.5117136486</v>
      </c>
      <c r="Q40" s="16" t="n">
        <f aca="false">'P&amp;L monthly'!Q42/FX_EUR</f>
        <v>-64975.7947270229</v>
      </c>
      <c r="R40" s="16" t="n">
        <f aca="false">'P&amp;L monthly'!R42/FX_EUR</f>
        <v>-61500.3707501026</v>
      </c>
      <c r="S40" s="16" t="n">
        <f aca="false">'P&amp;L monthly'!S42/FX_EUR</f>
        <v>-67678.3903589946</v>
      </c>
      <c r="T40" s="16" t="n">
        <f aca="false">'P&amp;L monthly'!T42/FX_EUR</f>
        <v>-98647.1227707007</v>
      </c>
      <c r="U40" s="16" t="n">
        <f aca="false">'P&amp;L monthly'!U42/FX_EUR</f>
        <v>-57047.0419769551</v>
      </c>
      <c r="V40" s="16" t="n">
        <f aca="false">'P&amp;L monthly'!V42/FX_EUR</f>
        <v>-68250.3178790073</v>
      </c>
      <c r="W40" s="16" t="n">
        <f aca="false">'P&amp;L monthly'!W42/FX_EUR</f>
        <v>-69540.6250995403</v>
      </c>
      <c r="X40" s="16" t="n">
        <f aca="false">'P&amp;L monthly'!X42/FX_EUR</f>
        <v>-66457.674197602</v>
      </c>
      <c r="Y40" s="16" t="n">
        <f aca="false">'P&amp;L monthly'!Y42/FX_EUR</f>
        <v>-63766.4958993082</v>
      </c>
      <c r="Z40" s="16" t="n">
        <f aca="false">'P&amp;L monthly'!Z42/FX_EUR</f>
        <v>-59226.2037528741</v>
      </c>
      <c r="AA40" s="16" t="n">
        <f aca="false">'P&amp;L monthly'!AA42/FX_EUR</f>
        <v>-57828.3254482168</v>
      </c>
      <c r="AB40" s="16" t="n">
        <f aca="false">'P&amp;L monthly'!AB42/FX_EUR</f>
        <v>-61878.9737471348</v>
      </c>
      <c r="AC40" s="16" t="n">
        <f aca="false">'P&amp;L monthly'!AC42/FX_EUR</f>
        <v>-68036.8055517217</v>
      </c>
      <c r="AD40" s="16" t="n">
        <f aca="false">'P&amp;L monthly'!AD42/FX_EUR</f>
        <v>-62074.8476748941</v>
      </c>
      <c r="AE40" s="16" t="n">
        <f aca="false">'P&amp;L monthly'!AE42/FX_EUR</f>
        <v>-64501.2994994276</v>
      </c>
      <c r="AF40" s="16" t="n">
        <f aca="false">'P&amp;L monthly'!AF42/FX_EUR</f>
        <v>-64843.1745070058</v>
      </c>
      <c r="AG40" s="16" t="n">
        <f aca="false">'P&amp;L monthly'!AG42/FX_EUR</f>
        <v>-69593.4952163204</v>
      </c>
      <c r="AH40" s="16" t="n">
        <f aca="false">'P&amp;L monthly'!AH42/FX_EUR</f>
        <v>-45286.0880248286</v>
      </c>
      <c r="AI40" s="16" t="n">
        <f aca="false">'P&amp;L monthly'!AI42/FX_EUR</f>
        <v>-41086.6020266206</v>
      </c>
      <c r="AJ40" s="16" t="n">
        <f aca="false">'P&amp;L monthly'!AJ42/FX_EUR</f>
        <v>-33961.023710485</v>
      </c>
      <c r="AK40" s="16" t="n">
        <f aca="false">'P&amp;L monthly'!AK42/FX_EUR</f>
        <v>-28833.8626761073</v>
      </c>
      <c r="AL40" s="16" t="n">
        <f aca="false">'P&amp;L monthly'!AL42/FX_EUR</f>
        <v>-23180.1716007478</v>
      </c>
      <c r="AM40" s="16" t="n">
        <f aca="false">'P&amp;L monthly'!AM42/FX_EUR</f>
        <v>-16223.6866455825</v>
      </c>
      <c r="AN40" s="16" t="n">
        <f aca="false">'P&amp;L monthly'!AN42/FX_EUR</f>
        <v>-9059.28580081529</v>
      </c>
      <c r="AO40" s="16" t="n">
        <f aca="false">'P&amp;L monthly'!AO42/FX_EUR</f>
        <v>-24252.5493752715</v>
      </c>
      <c r="AP40" s="16" t="n">
        <f aca="false">'P&amp;L monthly'!AP42/FX_EUR</f>
        <v>-10338.7291738923</v>
      </c>
      <c r="AQ40" s="16" t="n">
        <f aca="false">'P&amp;L monthly'!AQ42/FX_EUR</f>
        <v>-4690.65823809315</v>
      </c>
      <c r="AR40" s="16" t="n">
        <f aca="false">'P&amp;L monthly'!AR42/FX_EUR</f>
        <v>-5165.46467720307</v>
      </c>
      <c r="AS40" s="16" t="n">
        <f aca="false">'P&amp;L monthly'!AS42/FX_EUR</f>
        <v>5926.93387346321</v>
      </c>
      <c r="AT40" s="16" t="n">
        <f aca="false">'P&amp;L monthly'!AT42/FX_EUR</f>
        <v>18658.4086749099</v>
      </c>
      <c r="AU40" s="16" t="n">
        <f aca="false">'P&amp;L monthly'!AU42/FX_EUR</f>
        <v>27706.5479004268</v>
      </c>
      <c r="AV40" s="16" t="n">
        <f aca="false">'P&amp;L monthly'!AV42/FX_EUR</f>
        <v>35329.1512247402</v>
      </c>
      <c r="AW40" s="16" t="n">
        <f aca="false">'P&amp;L monthly'!AW42/FX_EUR</f>
        <v>39871.370505553</v>
      </c>
      <c r="AX40" s="16" t="n">
        <f aca="false">'P&amp;L monthly'!AX42/FX_EUR</f>
        <v>45485.1361974398</v>
      </c>
      <c r="AY40" s="16" t="n">
        <f aca="false">'P&amp;L monthly'!AY42/FX_EUR</f>
        <v>59053.6198598373</v>
      </c>
      <c r="AZ40" s="16" t="n">
        <f aca="false">'P&amp;L monthly'!AZ42/FX_EUR</f>
        <v>66911.5945971701</v>
      </c>
      <c r="BA40" s="16" t="n">
        <f aca="false">'P&amp;L monthly'!BA42/FX_EUR</f>
        <v>63261.0356855713</v>
      </c>
      <c r="BB40" s="16" t="n">
        <f aca="false">'P&amp;L monthly'!BB42/FX_EUR</f>
        <v>68960.263763913</v>
      </c>
      <c r="BC40" s="16" t="n">
        <f aca="false">'P&amp;L monthly'!BC42/FX_EUR</f>
        <v>79408.5834353645</v>
      </c>
      <c r="BD40" s="16" t="n">
        <f aca="false">'P&amp;L monthly'!BD42/FX_EUR</f>
        <v>74101.2363072179</v>
      </c>
      <c r="BE40" s="16" t="n">
        <f aca="false">'P&amp;L monthly'!BE42/FX_EUR</f>
        <v>98112.3639797305</v>
      </c>
      <c r="BF40" s="16" t="n">
        <f aca="false">'P&amp;L monthly'!BF42/FX_EUR</f>
        <v>102721.369214681</v>
      </c>
      <c r="BG40" s="16" t="n">
        <f aca="false">'P&amp;L monthly'!BG42/FX_EUR</f>
        <v>116988.779810755</v>
      </c>
      <c r="BH40" s="16" t="n">
        <f aca="false">'P&amp;L monthly'!BH42/FX_EUR</f>
        <v>127489.745935925</v>
      </c>
      <c r="BI40" s="16" t="n">
        <f aca="false">'P&amp;L monthly'!BI42/FX_EUR</f>
        <v>140284.202748309</v>
      </c>
      <c r="BJ40" s="16" t="n">
        <f aca="false">'P&amp;L monthly'!BJ42/FX_EUR</f>
        <v>139869.407692037</v>
      </c>
      <c r="BK40" s="16" t="n">
        <f aca="false">'P&amp;L monthly'!BK42/FX_EUR</f>
        <v>155720.346791108</v>
      </c>
      <c r="BL40" s="16" t="n">
        <f aca="false">'P&amp;L monthly'!BL42/FX_EUR</f>
        <v>169617.507331937</v>
      </c>
    </row>
    <row r="41" customFormat="false" ht="15" hidden="false" customHeight="false" outlineLevel="0" collapsed="false">
      <c r="A41" s="12" t="s">
        <v>863</v>
      </c>
      <c r="B41" s="14" t="s">
        <v>73</v>
      </c>
      <c r="D41" s="55" t="n">
        <f aca="false">'P&amp;L monthly'!D43/FX_EUR</f>
        <v>-392364.066952709</v>
      </c>
      <c r="E41" s="37" t="n">
        <f aca="false">'P&amp;L monthly'!E43/FX_EUR</f>
        <v>-48842.6669278627</v>
      </c>
      <c r="F41" s="37" t="n">
        <f aca="false">'P&amp;L monthly'!F43/FX_EUR</f>
        <v>-110499.023823208</v>
      </c>
      <c r="G41" s="37" t="n">
        <f aca="false">'P&amp;L monthly'!G43/FX_EUR</f>
        <v>-194565.386252453</v>
      </c>
      <c r="H41" s="37" t="n">
        <f aca="false">'P&amp;L monthly'!H43/FX_EUR</f>
        <v>-250636.894445825</v>
      </c>
      <c r="I41" s="37" t="n">
        <f aca="false">'P&amp;L monthly'!I43/FX_EUR</f>
        <v>-306410.249083908</v>
      </c>
      <c r="J41" s="37" t="n">
        <f aca="false">'P&amp;L monthly'!J43/FX_EUR</f>
        <v>-361436.143609007</v>
      </c>
      <c r="K41" s="37" t="n">
        <f aca="false">'P&amp;L monthly'!K43/FX_EUR</f>
        <v>-416240.990825637</v>
      </c>
      <c r="L41" s="37" t="n">
        <f aca="false">'P&amp;L monthly'!L43/FX_EUR</f>
        <v>-469065.110952024</v>
      </c>
      <c r="M41" s="37" t="n">
        <f aca="false">'P&amp;L monthly'!M43/FX_EUR</f>
        <v>-519841.347326053</v>
      </c>
      <c r="N41" s="37" t="n">
        <f aca="false">'P&amp;L monthly'!N43/FX_EUR</f>
        <v>-568573.765846187</v>
      </c>
      <c r="O41" s="37" t="n">
        <f aca="false">'P&amp;L monthly'!O43/FX_EUR</f>
        <v>-615265.079762673</v>
      </c>
      <c r="P41" s="37" t="n">
        <f aca="false">'P&amp;L monthly'!P43/FX_EUR</f>
        <v>-659916.591476321</v>
      </c>
      <c r="Q41" s="37" t="n">
        <f aca="false">'P&amp;L monthly'!Q43/FX_EUR</f>
        <v>-724892.386203344</v>
      </c>
      <c r="R41" s="37" t="n">
        <f aca="false">'P&amp;L monthly'!R43/FX_EUR</f>
        <v>-786392.756953447</v>
      </c>
      <c r="S41" s="37" t="n">
        <f aca="false">'P&amp;L monthly'!S43/FX_EUR</f>
        <v>-854071.147312441</v>
      </c>
      <c r="T41" s="37" t="n">
        <f aca="false">'P&amp;L monthly'!T43/FX_EUR</f>
        <v>-952718.270083142</v>
      </c>
      <c r="U41" s="37" t="n">
        <f aca="false">'P&amp;L monthly'!U43/FX_EUR</f>
        <v>-1009765.3120601</v>
      </c>
      <c r="V41" s="37" t="n">
        <f aca="false">'P&amp;L monthly'!V43/FX_EUR</f>
        <v>-1078015.6299391</v>
      </c>
      <c r="W41" s="37" t="n">
        <f aca="false">'P&amp;L monthly'!W43/FX_EUR</f>
        <v>-1147556.25503864</v>
      </c>
      <c r="X41" s="37" t="n">
        <f aca="false">'P&amp;L monthly'!X43/FX_EUR</f>
        <v>-1214013.92923625</v>
      </c>
      <c r="Y41" s="37" t="n">
        <f aca="false">'P&amp;L monthly'!Y43/FX_EUR</f>
        <v>-1277780.42513556</v>
      </c>
      <c r="Z41" s="37" t="n">
        <f aca="false">'P&amp;L monthly'!Z43/FX_EUR</f>
        <v>-1337006.62888843</v>
      </c>
      <c r="AA41" s="37" t="n">
        <f aca="false">'P&amp;L monthly'!AA43/FX_EUR</f>
        <v>-1394834.95433665</v>
      </c>
      <c r="AB41" s="37" t="n">
        <f aca="false">'P&amp;L monthly'!AB43/FX_EUR</f>
        <v>-1456713.92808378</v>
      </c>
      <c r="AC41" s="37" t="n">
        <f aca="false">'P&amp;L monthly'!AC43/FX_EUR</f>
        <v>-1524750.7336355</v>
      </c>
      <c r="AD41" s="37" t="n">
        <f aca="false">'P&amp;L monthly'!AD43/FX_EUR</f>
        <v>-1586825.5813104</v>
      </c>
      <c r="AE41" s="37" t="n">
        <f aca="false">'P&amp;L monthly'!AE43/FX_EUR</f>
        <v>-1651326.88080982</v>
      </c>
      <c r="AF41" s="37" t="n">
        <f aca="false">'P&amp;L monthly'!AF43/FX_EUR</f>
        <v>-1716170.05531683</v>
      </c>
      <c r="AG41" s="37" t="n">
        <f aca="false">'P&amp;L monthly'!AG43/FX_EUR</f>
        <v>-1785763.55053315</v>
      </c>
      <c r="AH41" s="37" t="n">
        <f aca="false">'P&amp;L monthly'!AH43/FX_EUR</f>
        <v>-1831049.63855798</v>
      </c>
      <c r="AI41" s="37" t="n">
        <f aca="false">'P&amp;L monthly'!AI43/FX_EUR</f>
        <v>-1872136.2405846</v>
      </c>
      <c r="AJ41" s="37" t="n">
        <f aca="false">'P&amp;L monthly'!AJ43/FX_EUR</f>
        <v>-1906097.26429508</v>
      </c>
      <c r="AK41" s="37" t="n">
        <f aca="false">'P&amp;L monthly'!AK43/FX_EUR</f>
        <v>-1934931.12697119</v>
      </c>
      <c r="AL41" s="37" t="n">
        <f aca="false">'P&amp;L monthly'!AL43/FX_EUR</f>
        <v>-1958111.29857194</v>
      </c>
      <c r="AM41" s="37" t="n">
        <f aca="false">'P&amp;L monthly'!AM43/FX_EUR</f>
        <v>-1974334.98521752</v>
      </c>
      <c r="AN41" s="37" t="n">
        <f aca="false">'P&amp;L monthly'!AN43/FX_EUR</f>
        <v>-1983394.27101834</v>
      </c>
      <c r="AO41" s="37" t="n">
        <f aca="false">'P&amp;L monthly'!AO43/FX_EUR</f>
        <v>-2007646.82039361</v>
      </c>
      <c r="AP41" s="37" t="n">
        <f aca="false">'P&amp;L monthly'!AP43/FX_EUR</f>
        <v>-2017985.5495675</v>
      </c>
      <c r="AQ41" s="37" t="n">
        <f aca="false">'P&amp;L monthly'!AQ43/FX_EUR</f>
        <v>-2022676.20780559</v>
      </c>
      <c r="AR41" s="37" t="n">
        <f aca="false">'P&amp;L monthly'!AR43/FX_EUR</f>
        <v>-2027841.6724828</v>
      </c>
      <c r="AS41" s="37" t="n">
        <f aca="false">'P&amp;L monthly'!AS43/FX_EUR</f>
        <v>-2021914.73860933</v>
      </c>
      <c r="AT41" s="37" t="n">
        <f aca="false">'P&amp;L monthly'!AT43/FX_EUR</f>
        <v>-2003256.32993442</v>
      </c>
      <c r="AU41" s="37" t="n">
        <f aca="false">'P&amp;L monthly'!AU43/FX_EUR</f>
        <v>-1975549.782034</v>
      </c>
      <c r="AV41" s="37" t="n">
        <f aca="false">'P&amp;L monthly'!AV43/FX_EUR</f>
        <v>-1940220.63080926</v>
      </c>
      <c r="AW41" s="37" t="n">
        <f aca="false">'P&amp;L monthly'!AW43/FX_EUR</f>
        <v>-1900349.2603037</v>
      </c>
      <c r="AX41" s="37" t="n">
        <f aca="false">'P&amp;L monthly'!AX43/FX_EUR</f>
        <v>-1854864.12410626</v>
      </c>
      <c r="AY41" s="37" t="n">
        <f aca="false">'P&amp;L monthly'!AY43/FX_EUR</f>
        <v>-1795810.50424643</v>
      </c>
      <c r="AZ41" s="37" t="n">
        <f aca="false">'P&amp;L monthly'!AZ43/FX_EUR</f>
        <v>-1728898.90964926</v>
      </c>
      <c r="BA41" s="37" t="n">
        <f aca="false">'P&amp;L monthly'!BA43/FX_EUR</f>
        <v>-1665637.87396369</v>
      </c>
      <c r="BB41" s="37" t="n">
        <f aca="false">'P&amp;L monthly'!BB43/FX_EUR</f>
        <v>-1596677.61019977</v>
      </c>
      <c r="BC41" s="37" t="n">
        <f aca="false">'P&amp;L monthly'!BC43/FX_EUR</f>
        <v>-1517269.02676441</v>
      </c>
      <c r="BD41" s="37" t="n">
        <f aca="false">'P&amp;L monthly'!BD43/FX_EUR</f>
        <v>-1443167.79045719</v>
      </c>
      <c r="BE41" s="37" t="n">
        <f aca="false">'P&amp;L monthly'!BE43/FX_EUR</f>
        <v>-1345055.42647746</v>
      </c>
      <c r="BF41" s="37" t="n">
        <f aca="false">'P&amp;L monthly'!BF43/FX_EUR</f>
        <v>-1242334.05726278</v>
      </c>
      <c r="BG41" s="37" t="n">
        <f aca="false">'P&amp;L monthly'!BG43/FX_EUR</f>
        <v>-1125345.27745202</v>
      </c>
      <c r="BH41" s="37" t="n">
        <f aca="false">'P&amp;L monthly'!BH43/FX_EUR</f>
        <v>-997855.531516099</v>
      </c>
      <c r="BI41" s="37" t="n">
        <f aca="false">'P&amp;L monthly'!BI43/FX_EUR</f>
        <v>-857571.328767791</v>
      </c>
      <c r="BJ41" s="37" t="n">
        <f aca="false">'P&amp;L monthly'!BJ43/FX_EUR</f>
        <v>-717701.921075754</v>
      </c>
      <c r="BK41" s="37" t="n">
        <f aca="false">'P&amp;L monthly'!BK43/FX_EUR</f>
        <v>-561981.574284645</v>
      </c>
      <c r="BL41" s="37" t="n">
        <f aca="false">'P&amp;L monthly'!BL43/FX_EUR</f>
        <v>-392364.066952709</v>
      </c>
    </row>
    <row r="43" customFormat="false" ht="15" hidden="false" customHeight="false" outlineLevel="0" collapsed="false">
      <c r="A43" s="10" t="s">
        <v>864</v>
      </c>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c r="BK43" s="11"/>
      <c r="BL43" s="1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14"/>
    <col collapsed="false" customWidth="true" hidden="false" outlineLevel="0" max="3" min="3" style="0" width="3"/>
    <col collapsed="false" customWidth="true" hidden="false" outlineLevel="0" max="9" min="4" style="0" width="16"/>
    <col collapsed="false" customWidth="true" hidden="false" outlineLevel="0" max="10" min="10" style="0" width="3"/>
    <col collapsed="false" customWidth="true" hidden="false" outlineLevel="0" max="16" min="11" style="0" width="16"/>
  </cols>
  <sheetData>
    <row r="1" customFormat="false" ht="17.35" hidden="false" customHeight="false" outlineLevel="0" collapsed="false">
      <c r="A1" s="7" t="s">
        <v>32</v>
      </c>
    </row>
    <row r="2" customFormat="false" ht="15" hidden="false" customHeight="false" outlineLevel="0" collapsed="false">
      <c r="A2" s="2" t="s">
        <v>868</v>
      </c>
    </row>
    <row r="4" customFormat="false" ht="15" hidden="false" customHeight="false" outlineLevel="0" collapsed="false">
      <c r="A4" s="0" t="s">
        <v>81</v>
      </c>
      <c r="D4" s="54" t="n">
        <v>1</v>
      </c>
      <c r="E4" s="54" t="n">
        <v>2</v>
      </c>
      <c r="F4" s="54" t="n">
        <v>3</v>
      </c>
      <c r="G4" s="54" t="n">
        <v>4</v>
      </c>
      <c r="H4" s="54" t="n">
        <v>5</v>
      </c>
      <c r="I4" s="21" t="s">
        <v>869</v>
      </c>
      <c r="K4" s="21" t="s">
        <v>870</v>
      </c>
      <c r="L4" s="21" t="s">
        <v>871</v>
      </c>
      <c r="M4" s="21" t="s">
        <v>872</v>
      </c>
      <c r="N4" s="21" t="s">
        <v>873</v>
      </c>
      <c r="O4" s="21" t="s">
        <v>874</v>
      </c>
      <c r="P4" s="21" t="s">
        <v>875</v>
      </c>
    </row>
    <row r="5" customFormat="false" ht="15" hidden="false" customHeight="false" outlineLevel="0" collapsed="false">
      <c r="A5" s="0" t="s">
        <v>876</v>
      </c>
      <c r="D5" s="20" t="n">
        <f aca="false">YEAR(Start_Date)+D4-1</f>
        <v>2027</v>
      </c>
      <c r="E5" s="20" t="n">
        <f aca="false">YEAR(Start_Date)+E4-1</f>
        <v>2028</v>
      </c>
      <c r="F5" s="20" t="n">
        <f aca="false">YEAR(Start_Date)+F4-1</f>
        <v>2029</v>
      </c>
      <c r="G5" s="20" t="n">
        <f aca="false">YEAR(Start_Date)+G4-1</f>
        <v>2030</v>
      </c>
      <c r="H5" s="20" t="n">
        <f aca="false">YEAR(Start_Date)+H4-1</f>
        <v>2031</v>
      </c>
      <c r="K5" s="20" t="n">
        <f aca="false">D5</f>
        <v>2027</v>
      </c>
      <c r="L5" s="20" t="n">
        <f aca="false">E5</f>
        <v>2028</v>
      </c>
      <c r="M5" s="20" t="n">
        <f aca="false">F5</f>
        <v>2029</v>
      </c>
      <c r="N5" s="20" t="n">
        <f aca="false">G5</f>
        <v>2030</v>
      </c>
      <c r="O5" s="20" t="n">
        <f aca="false">H5</f>
        <v>2031</v>
      </c>
    </row>
    <row r="8" customFormat="false" ht="15" hidden="false" customHeight="false" outlineLevel="0" collapsed="false">
      <c r="A8" s="10" t="s">
        <v>533</v>
      </c>
      <c r="B8" s="11"/>
      <c r="C8" s="11"/>
      <c r="D8" s="11"/>
      <c r="E8" s="11"/>
      <c r="F8" s="11"/>
      <c r="G8" s="11"/>
      <c r="H8" s="11"/>
      <c r="I8" s="11"/>
    </row>
    <row r="9" customFormat="false" ht="15" hidden="false" customHeight="false" outlineLevel="0" collapsed="false">
      <c r="A9" s="12" t="s">
        <v>788</v>
      </c>
      <c r="B9" s="14" t="s">
        <v>71</v>
      </c>
      <c r="D9" s="23" t="n">
        <f aca="false">SUMIF('P&amp;L monthly'!$E$5:$BL$5,D$4,'P&amp;L monthly'!$E$9:$BL$9)</f>
        <v>17762290.2663749</v>
      </c>
      <c r="E9" s="23" t="n">
        <f aca="false">SUMIF('P&amp;L monthly'!$E$5:$BL$5,E$4,'P&amp;L monthly'!$E$9:$BL$9)</f>
        <v>188126064.907574</v>
      </c>
      <c r="F9" s="23" t="n">
        <f aca="false">SUMIF('P&amp;L monthly'!$E$5:$BL$5,F$4,'P&amp;L monthly'!$E$9:$BL$9)</f>
        <v>585248235.648646</v>
      </c>
      <c r="G9" s="23" t="n">
        <f aca="false">SUMIF('P&amp;L monthly'!$E$5:$BL$5,G$4,'P&amp;L monthly'!$E$9:$BL$9)</f>
        <v>1238577331.04269</v>
      </c>
      <c r="H9" s="23" t="n">
        <f aca="false">SUMIF('P&amp;L monthly'!$E$5:$BL$5,H$4,'P&amp;L monthly'!$E$9:$BL$9)</f>
        <v>2148306647.5896</v>
      </c>
      <c r="I9" s="55" t="n">
        <f aca="false">SUM(D9:H9)</f>
        <v>4178020569.45488</v>
      </c>
      <c r="K9" s="24" t="n">
        <f aca="false">D9/FX_EUR</f>
        <v>27078.4369499447</v>
      </c>
      <c r="L9" s="24" t="n">
        <f aca="false">E9/FX_EUR</f>
        <v>286796.33711901</v>
      </c>
      <c r="M9" s="24" t="n">
        <f aca="false">F9/FX_EUR</f>
        <v>892205.183645645</v>
      </c>
      <c r="N9" s="24" t="n">
        <f aca="false">G9/FX_EUR</f>
        <v>1888198.96889992</v>
      </c>
      <c r="O9" s="24" t="n">
        <f aca="false">H9/FX_EUR</f>
        <v>3275072.37149629</v>
      </c>
      <c r="P9" s="24" t="n">
        <f aca="false">I9/FX_EUR</f>
        <v>6369351.29811082</v>
      </c>
    </row>
    <row r="10" customFormat="false" ht="15" hidden="false" customHeight="false" outlineLevel="0" collapsed="false">
      <c r="A10" s="12" t="s">
        <v>536</v>
      </c>
      <c r="B10" s="14" t="s">
        <v>71</v>
      </c>
      <c r="D10" s="23" t="n">
        <f aca="false">SUMIF('P&amp;L monthly'!$E$5:$BL$5,D$4,'P&amp;L monthly'!$E$10:$BL$10)</f>
        <v>18388103.3848131</v>
      </c>
      <c r="E10" s="23" t="n">
        <f aca="false">SUMIF('P&amp;L monthly'!$E$5:$BL$5,E$4,'P&amp;L monthly'!$E$10:$BL$10)</f>
        <v>111570968.362471</v>
      </c>
      <c r="F10" s="23" t="n">
        <f aca="false">SUMIF('P&amp;L monthly'!$E$5:$BL$5,F$4,'P&amp;L monthly'!$E$10:$BL$10)</f>
        <v>310781285.648989</v>
      </c>
      <c r="G10" s="23" t="n">
        <f aca="false">SUMIF('P&amp;L monthly'!$E$5:$BL$5,G$4,'P&amp;L monthly'!$E$10:$BL$10)</f>
        <v>619231438.76294</v>
      </c>
      <c r="H10" s="23" t="n">
        <f aca="false">SUMIF('P&amp;L monthly'!$E$5:$BL$5,H$4,'P&amp;L monthly'!$E$10:$BL$10)</f>
        <v>1036618084.53509</v>
      </c>
      <c r="I10" s="55" t="n">
        <f aca="false">SUM(D10:H10)</f>
        <v>2096589880.69431</v>
      </c>
      <c r="K10" s="24" t="n">
        <f aca="false">D10/FX_EUR</f>
        <v>28032.4828987465</v>
      </c>
      <c r="L10" s="24" t="n">
        <f aca="false">E10/FX_EUR</f>
        <v>170088.84479085</v>
      </c>
      <c r="M10" s="24" t="n">
        <f aca="false">F10/FX_EUR</f>
        <v>473783.015729672</v>
      </c>
      <c r="N10" s="24" t="n">
        <f aca="false">G10/FX_EUR</f>
        <v>944012.242819179</v>
      </c>
      <c r="O10" s="24" t="n">
        <f aca="false">H10/FX_EUR</f>
        <v>1580314.08237902</v>
      </c>
      <c r="P10" s="24" t="n">
        <f aca="false">I10/FX_EUR</f>
        <v>3196230.66861746</v>
      </c>
    </row>
    <row r="11" customFormat="false" ht="15" hidden="false" customHeight="false" outlineLevel="0" collapsed="false">
      <c r="A11" s="12" t="s">
        <v>538</v>
      </c>
      <c r="B11" s="14" t="s">
        <v>71</v>
      </c>
      <c r="D11" s="23" t="n">
        <f aca="false">SUMIF('P&amp;L monthly'!$E$5:$BL$5,D$4,'P&amp;L monthly'!$E$11:$BL$11)</f>
        <v>6911957.99472895</v>
      </c>
      <c r="E11" s="23" t="n">
        <f aca="false">SUMIF('P&amp;L monthly'!$E$5:$BL$5,E$4,'P&amp;L monthly'!$E$11:$BL$11)</f>
        <v>41850369.3492821</v>
      </c>
      <c r="F11" s="23" t="n">
        <f aca="false">SUMIF('P&amp;L monthly'!$E$5:$BL$5,F$4,'P&amp;L monthly'!$E$11:$BL$11)</f>
        <v>116380877.220404</v>
      </c>
      <c r="G11" s="23" t="n">
        <f aca="false">SUMIF('P&amp;L monthly'!$E$5:$BL$5,G$4,'P&amp;L monthly'!$E$11:$BL$11)</f>
        <v>231505623.588855</v>
      </c>
      <c r="H11" s="23" t="n">
        <f aca="false">SUMIF('P&amp;L monthly'!$E$5:$BL$5,H$4,'P&amp;L monthly'!$E$11:$BL$11)</f>
        <v>386945183.87024</v>
      </c>
      <c r="I11" s="55" t="n">
        <f aca="false">SUM(D11:H11)</f>
        <v>783594012.02351</v>
      </c>
      <c r="K11" s="24" t="n">
        <f aca="false">D11/FX_EUR</f>
        <v>10537.2120348269</v>
      </c>
      <c r="L11" s="24" t="n">
        <f aca="false">E11/FX_EUR</f>
        <v>63800.476783207</v>
      </c>
      <c r="M11" s="24" t="n">
        <f aca="false">F11/FX_EUR</f>
        <v>177421.503574783</v>
      </c>
      <c r="N11" s="24" t="n">
        <f aca="false">G11/FX_EUR</f>
        <v>352928.048010548</v>
      </c>
      <c r="O11" s="24" t="n">
        <f aca="false">H11/FX_EUR</f>
        <v>589894.130057672</v>
      </c>
      <c r="P11" s="24" t="n">
        <f aca="false">I11/FX_EUR</f>
        <v>1194581.37046104</v>
      </c>
    </row>
    <row r="12" customFormat="false" ht="15" hidden="false" customHeight="false" outlineLevel="0" collapsed="false">
      <c r="A12" s="12" t="s">
        <v>208</v>
      </c>
      <c r="B12" s="14" t="s">
        <v>71</v>
      </c>
      <c r="D12" s="23" t="n">
        <f aca="false">SUMIF('P&amp;L monthly'!$E$5:$BL$5,D$4,'P&amp;L monthly'!$E$12:$BL$12)</f>
        <v>22742039.0777275</v>
      </c>
      <c r="E12" s="23" t="n">
        <f aca="false">SUMIF('P&amp;L monthly'!$E$5:$BL$5,E$4,'P&amp;L monthly'!$E$12:$BL$12)</f>
        <v>138138735.786919</v>
      </c>
      <c r="F12" s="23" t="n">
        <f aca="false">SUMIF('P&amp;L monthly'!$E$5:$BL$5,F$4,'P&amp;L monthly'!$E$12:$BL$12)</f>
        <v>385135937.456995</v>
      </c>
      <c r="G12" s="23" t="n">
        <f aca="false">SUMIF('P&amp;L monthly'!$E$5:$BL$5,G$4,'P&amp;L monthly'!$E$12:$BL$12)</f>
        <v>768110654.838596</v>
      </c>
      <c r="H12" s="23" t="n">
        <f aca="false">SUMIF('P&amp;L monthly'!$E$5:$BL$5,H$4,'P&amp;L monthly'!$E$12:$BL$12)</f>
        <v>1287057397.87767</v>
      </c>
      <c r="I12" s="55" t="n">
        <f aca="false">SUM(D12:H12)</f>
        <v>2601184765.03791</v>
      </c>
      <c r="K12" s="24" t="n">
        <f aca="false">D12/FX_EUR</f>
        <v>34670.0150737434</v>
      </c>
      <c r="L12" s="24" t="n">
        <f aca="false">E12/FX_EUR</f>
        <v>210591.145131341</v>
      </c>
      <c r="M12" s="24" t="n">
        <f aca="false">F12/FX_EUR</f>
        <v>587135.951681276</v>
      </c>
      <c r="N12" s="24" t="n">
        <f aca="false">G12/FX_EUR</f>
        <v>1170977.14459728</v>
      </c>
      <c r="O12" s="24" t="n">
        <f aca="false">H12/FX_EUR</f>
        <v>1962106.3543459</v>
      </c>
      <c r="P12" s="24" t="n">
        <f aca="false">I12/FX_EUR</f>
        <v>3965480.61082953</v>
      </c>
    </row>
    <row r="13" customFormat="false" ht="15" hidden="false" customHeight="false" outlineLevel="0" collapsed="false">
      <c r="A13" s="12" t="s">
        <v>790</v>
      </c>
      <c r="B13" s="14" t="s">
        <v>71</v>
      </c>
      <c r="D13" s="23" t="n">
        <f aca="false">SUMIF('P&amp;L monthly'!$E$5:$BL$5,D$4,'P&amp;L monthly'!$E$13:$BL$13)</f>
        <v>3111602.08074175</v>
      </c>
      <c r="E13" s="23" t="n">
        <f aca="false">SUMIF('P&amp;L monthly'!$E$5:$BL$5,E$4,'P&amp;L monthly'!$E$13:$BL$13)</f>
        <v>8922765.43712191</v>
      </c>
      <c r="F13" s="23" t="n">
        <f aca="false">SUMIF('P&amp;L monthly'!$E$5:$BL$5,F$4,'P&amp;L monthly'!$E$13:$BL$13)</f>
        <v>17674955.1702388</v>
      </c>
      <c r="G13" s="23" t="n">
        <f aca="false">SUMIF('P&amp;L monthly'!$E$5:$BL$5,G$4,'P&amp;L monthly'!$E$13:$BL$13)</f>
        <v>27075269.5741298</v>
      </c>
      <c r="H13" s="23" t="n">
        <f aca="false">SUMIF('P&amp;L monthly'!$E$5:$BL$5,H$4,'P&amp;L monthly'!$E$13:$BL$13)</f>
        <v>36969547.3967382</v>
      </c>
      <c r="I13" s="55" t="n">
        <f aca="false">SUM(D13:H13)</f>
        <v>93754139.6589705</v>
      </c>
      <c r="K13" s="24" t="n">
        <f aca="false">D13/FX_EUR</f>
        <v>4743.6067924296</v>
      </c>
      <c r="L13" s="24" t="n">
        <f aca="false">E13/FX_EUR</f>
        <v>13602.6682192917</v>
      </c>
      <c r="M13" s="24" t="n">
        <f aca="false">F13/FX_EUR</f>
        <v>26945.2954541819</v>
      </c>
      <c r="N13" s="24" t="n">
        <f aca="false">G13/FX_EUR</f>
        <v>41275.9823801405</v>
      </c>
      <c r="O13" s="24" t="n">
        <f aca="false">H13/FX_EUR</f>
        <v>56359.7116834461</v>
      </c>
      <c r="P13" s="24" t="n">
        <f aca="false">I13/FX_EUR</f>
        <v>142927.26452949</v>
      </c>
    </row>
    <row r="14" customFormat="false" ht="15" hidden="false" customHeight="false" outlineLevel="0" collapsed="false">
      <c r="A14" s="12" t="s">
        <v>851</v>
      </c>
      <c r="B14" s="14" t="s">
        <v>71</v>
      </c>
      <c r="D14" s="23" t="n">
        <f aca="false">SUMIF('P&amp;L monthly'!$E$5:$BL$5,D$4,'P&amp;L monthly'!$E$14:$BL$14)</f>
        <v>1144619.35755719</v>
      </c>
      <c r="E14" s="23" t="n">
        <f aca="false">SUMIF('P&amp;L monthly'!$E$5:$BL$5,E$4,'P&amp;L monthly'!$E$14:$BL$14)</f>
        <v>7024440.86021823</v>
      </c>
      <c r="F14" s="23" t="n">
        <f aca="false">SUMIF('P&amp;L monthly'!$E$5:$BL$5,F$4,'P&amp;L monthly'!$E$14:$BL$14)</f>
        <v>19745179.6292144</v>
      </c>
      <c r="G14" s="23" t="n">
        <f aca="false">SUMIF('P&amp;L monthly'!$E$5:$BL$5,G$4,'P&amp;L monthly'!$E$14:$BL$14)</f>
        <v>39703498.6958055</v>
      </c>
      <c r="H14" s="23" t="n">
        <f aca="false">SUMIF('P&amp;L monthly'!$E$5:$BL$5,H$4,'P&amp;L monthly'!$E$14:$BL$14)</f>
        <v>67048679.944523</v>
      </c>
      <c r="I14" s="55" t="n">
        <f aca="false">SUM(D14:H14)</f>
        <v>134666418.487318</v>
      </c>
      <c r="K14" s="24" t="n">
        <f aca="false">D14/FX_EUR</f>
        <v>1744.96096170509</v>
      </c>
      <c r="L14" s="24" t="n">
        <f aca="false">E14/FX_EUR</f>
        <v>10708.6910578258</v>
      </c>
      <c r="M14" s="24" t="n">
        <f aca="false">F14/FX_EUR</f>
        <v>30101.3322964987</v>
      </c>
      <c r="N14" s="24" t="n">
        <f aca="false">G14/FX_EUR</f>
        <v>60527.5935706235</v>
      </c>
      <c r="O14" s="24" t="n">
        <f aca="false">H14/FX_EUR</f>
        <v>102215.053646082</v>
      </c>
      <c r="P14" s="24" t="n">
        <f aca="false">I14/FX_EUR</f>
        <v>205297.631532735</v>
      </c>
    </row>
    <row r="15" customFormat="false" ht="15" hidden="false" customHeight="false" outlineLevel="0" collapsed="false">
      <c r="A15" s="12" t="s">
        <v>791</v>
      </c>
      <c r="B15" s="14" t="s">
        <v>71</v>
      </c>
      <c r="D15" s="23" t="n">
        <f aca="false">SUMIF('P&amp;L monthly'!$E$5:$BL$5,D$4,'P&amp;L monthly'!$E$15:$BL$15)</f>
        <v>0</v>
      </c>
      <c r="E15" s="23" t="n">
        <f aca="false">SUMIF('P&amp;L monthly'!$E$5:$BL$5,E$4,'P&amp;L monthly'!$E$15:$BL$15)</f>
        <v>13918988.2196811</v>
      </c>
      <c r="F15" s="23" t="n">
        <f aca="false">SUMIF('P&amp;L monthly'!$E$5:$BL$5,F$4,'P&amp;L monthly'!$E$15:$BL$15)</f>
        <v>138498436.483174</v>
      </c>
      <c r="G15" s="23" t="n">
        <f aca="false">SUMIF('P&amp;L monthly'!$E$5:$BL$5,G$4,'P&amp;L monthly'!$E$15:$BL$15)</f>
        <v>290284537.426194</v>
      </c>
      <c r="H15" s="23" t="n">
        <f aca="false">SUMIF('P&amp;L monthly'!$E$5:$BL$5,H$4,'P&amp;L monthly'!$E$15:$BL$15)</f>
        <v>486163068.047069</v>
      </c>
      <c r="I15" s="55" t="n">
        <f aca="false">SUM(D15:H15)</f>
        <v>928865030.176118</v>
      </c>
      <c r="K15" s="24" t="n">
        <f aca="false">D15/FX_EUR</f>
        <v>0</v>
      </c>
      <c r="L15" s="24" t="n">
        <f aca="false">E15/FX_EUR</f>
        <v>21219.3607502948</v>
      </c>
      <c r="M15" s="24" t="n">
        <f aca="false">F15/FX_EUR</f>
        <v>211139.505307778</v>
      </c>
      <c r="N15" s="24" t="n">
        <f aca="false">G15/FX_EUR</f>
        <v>442535.924498395</v>
      </c>
      <c r="O15" s="24" t="n">
        <f aca="false">H15/FX_EUR</f>
        <v>741150.819409</v>
      </c>
      <c r="P15" s="24" t="n">
        <f aca="false">I15/FX_EUR</f>
        <v>1416045.60996547</v>
      </c>
    </row>
    <row r="16" customFormat="false" ht="15" hidden="false" customHeight="false" outlineLevel="0" collapsed="false">
      <c r="A16" s="12" t="s">
        <v>852</v>
      </c>
      <c r="B16" s="14" t="s">
        <v>71</v>
      </c>
      <c r="D16" s="23" t="n">
        <f aca="false">SUMIF('P&amp;L monthly'!$E$5:$BL$5,D$4,'P&amp;L monthly'!$E$16:$BL$16)</f>
        <v>0</v>
      </c>
      <c r="E16" s="23" t="n">
        <f aca="false">SUMIF('P&amp;L monthly'!$E$5:$BL$5,E$4,'P&amp;L monthly'!$E$16:$BL$16)</f>
        <v>6878301.38797665</v>
      </c>
      <c r="F16" s="23" t="n">
        <f aca="false">SUMIF('P&amp;L monthly'!$E$5:$BL$5,F$4,'P&amp;L monthly'!$E$16:$BL$16)</f>
        <v>166848240.207931</v>
      </c>
      <c r="G16" s="23" t="n">
        <f aca="false">SUMIF('P&amp;L monthly'!$E$5:$BL$5,G$4,'P&amp;L monthly'!$E$16:$BL$16)</f>
        <v>407288295.504242</v>
      </c>
      <c r="H16" s="23" t="n">
        <f aca="false">SUMIF('P&amp;L monthly'!$E$5:$BL$5,H$4,'P&amp;L monthly'!$E$16:$BL$16)</f>
        <v>669048581.454739</v>
      </c>
      <c r="I16" s="55" t="n">
        <f aca="false">SUM(D16:H16)</f>
        <v>1250063418.55489</v>
      </c>
      <c r="K16" s="24" t="n">
        <f aca="false">D16/FX_EUR</f>
        <v>0</v>
      </c>
      <c r="L16" s="24" t="n">
        <f aca="false">E16/FX_EUR</f>
        <v>10485.9028685976</v>
      </c>
      <c r="M16" s="24" t="n">
        <f aca="false">F16/FX_EUR</f>
        <v>254358.502474904</v>
      </c>
      <c r="N16" s="24" t="n">
        <f aca="false">G16/FX_EUR</f>
        <v>620907.003819217</v>
      </c>
      <c r="O16" s="24" t="n">
        <f aca="false">H16/FX_EUR</f>
        <v>1019957.98726859</v>
      </c>
      <c r="P16" s="24" t="n">
        <f aca="false">I16/FX_EUR</f>
        <v>1905709.3964313</v>
      </c>
    </row>
    <row r="17" customFormat="false" ht="15" hidden="false" customHeight="false" outlineLevel="0" collapsed="false">
      <c r="A17" s="8" t="s">
        <v>87</v>
      </c>
      <c r="B17" s="14" t="s">
        <v>71</v>
      </c>
      <c r="D17" s="22" t="n">
        <f aca="false">SUMIF('P&amp;L monthly'!$E$5:$BL$5,D$4,'P&amp;L monthly'!$E$17:$BL$17)</f>
        <v>70060612.1619433</v>
      </c>
      <c r="E17" s="22" t="n">
        <f aca="false">SUMIF('P&amp;L monthly'!$E$5:$BL$5,E$4,'P&amp;L monthly'!$E$17:$BL$17)</f>
        <v>516430634.311245</v>
      </c>
      <c r="F17" s="22" t="n">
        <f aca="false">SUMIF('P&amp;L monthly'!$E$5:$BL$5,F$4,'P&amp;L monthly'!$E$17:$BL$17)</f>
        <v>1740313147.46559</v>
      </c>
      <c r="G17" s="22" t="n">
        <f aca="false">SUMIF('P&amp;L monthly'!$E$5:$BL$5,G$4,'P&amp;L monthly'!$E$17:$BL$17)</f>
        <v>3621776649.43345</v>
      </c>
      <c r="H17" s="22" t="n">
        <f aca="false">SUMIF('P&amp;L monthly'!$E$5:$BL$5,H$4,'P&amp;L monthly'!$E$17:$BL$17)</f>
        <v>6118157190.71567</v>
      </c>
      <c r="I17" s="55" t="n">
        <f aca="false">SUM(D17:H17)</f>
        <v>12066738234.0879</v>
      </c>
      <c r="K17" s="17" t="n">
        <f aca="false">D17/FX_EUR</f>
        <v>106806.714711396</v>
      </c>
      <c r="L17" s="17" t="n">
        <f aca="false">E17/FX_EUR</f>
        <v>787293.426720418</v>
      </c>
      <c r="M17" s="17" t="n">
        <f aca="false">F17/FX_EUR</f>
        <v>2653090.29016474</v>
      </c>
      <c r="N17" s="17" t="n">
        <f aca="false">G17/FX_EUR</f>
        <v>5521362.9085953</v>
      </c>
      <c r="O17" s="17" t="n">
        <f aca="false">H17/FX_EUR</f>
        <v>9327070.51028599</v>
      </c>
      <c r="P17" s="17" t="n">
        <f aca="false">I17/FX_EUR</f>
        <v>18395623.8504778</v>
      </c>
    </row>
    <row r="18" customFormat="false" ht="15" hidden="false" customHeight="false" outlineLevel="0" collapsed="false">
      <c r="A18" s="12" t="s">
        <v>877</v>
      </c>
      <c r="B18" s="14" t="s">
        <v>90</v>
      </c>
      <c r="D18" s="49" t="n">
        <f aca="false">0</f>
        <v>0</v>
      </c>
      <c r="E18" s="49" t="n">
        <f aca="false">IFERROR(E17/D17-1,0)</f>
        <v>6.37119785818498</v>
      </c>
      <c r="F18" s="49" t="n">
        <f aca="false">IFERROR(F17/E17-1,0)</f>
        <v>2.36988751603905</v>
      </c>
      <c r="G18" s="49" t="n">
        <f aca="false">IFERROR(G17/F17-1,0)</f>
        <v>1.08110629670748</v>
      </c>
      <c r="H18" s="49" t="n">
        <f aca="false">IFERROR(H17/G17-1,0)</f>
        <v>0.689269599679131</v>
      </c>
    </row>
    <row r="20" customFormat="false" ht="15" hidden="false" customHeight="false" outlineLevel="0" collapsed="false">
      <c r="A20" s="10" t="s">
        <v>878</v>
      </c>
      <c r="B20" s="11"/>
      <c r="C20" s="11"/>
      <c r="D20" s="11"/>
      <c r="E20" s="11"/>
      <c r="F20" s="11"/>
      <c r="G20" s="11"/>
      <c r="H20" s="11"/>
      <c r="I20" s="11"/>
    </row>
    <row r="21" customFormat="false" ht="15" hidden="false" customHeight="false" outlineLevel="0" collapsed="false">
      <c r="A21" s="12" t="s">
        <v>854</v>
      </c>
      <c r="B21" s="14" t="s">
        <v>71</v>
      </c>
      <c r="D21" s="23" t="n">
        <f aca="false">SUMIF('P&amp;L monthly'!$E$5:$BL$5,D$4,'P&amp;L monthly'!$E$20:$BL$20)</f>
        <v>7715177.68996172</v>
      </c>
      <c r="E21" s="23" t="n">
        <f aca="false">SUMIF('P&amp;L monthly'!$E$5:$BL$5,E$4,'P&amp;L monthly'!$E$20:$BL$20)</f>
        <v>41161592.6503832</v>
      </c>
      <c r="F21" s="23" t="n">
        <f aca="false">SUMIF('P&amp;L monthly'!$E$5:$BL$5,F$4,'P&amp;L monthly'!$E$20:$BL$20)</f>
        <v>126212339.56825</v>
      </c>
      <c r="G21" s="23" t="n">
        <f aca="false">SUMIF('P&amp;L monthly'!$E$5:$BL$5,G$4,'P&amp;L monthly'!$E$20:$BL$20)</f>
        <v>225763475.794804</v>
      </c>
      <c r="H21" s="23" t="n">
        <f aca="false">SUMIF('P&amp;L monthly'!$E$5:$BL$5,H$4,'P&amp;L monthly'!$E$20:$BL$20)</f>
        <v>364224762.532587</v>
      </c>
      <c r="I21" s="55" t="n">
        <f aca="false">SUM(D21:H21)</f>
        <v>765077348.235985</v>
      </c>
      <c r="K21" s="24" t="n">
        <f aca="false">D21/FX_EUR</f>
        <v>11761.7125664666</v>
      </c>
      <c r="L21" s="24" t="n">
        <f aca="false">E21/FX_EUR</f>
        <v>62750.4434747753</v>
      </c>
      <c r="M21" s="24" t="n">
        <f aca="false">F21/FX_EUR</f>
        <v>192409.471304141</v>
      </c>
      <c r="N21" s="24" t="n">
        <f aca="false">G21/FX_EUR</f>
        <v>344174.200130197</v>
      </c>
      <c r="O21" s="24" t="n">
        <f aca="false">H21/FX_EUR</f>
        <v>555257.07101622</v>
      </c>
      <c r="P21" s="24" t="n">
        <f aca="false">I21/FX_EUR</f>
        <v>1166352.8984918</v>
      </c>
    </row>
    <row r="22" customFormat="false" ht="15" hidden="false" customHeight="false" outlineLevel="0" collapsed="false">
      <c r="A22" s="12" t="s">
        <v>855</v>
      </c>
      <c r="B22" s="14" t="s">
        <v>71</v>
      </c>
      <c r="D22" s="23" t="n">
        <f aca="false">SUMIF('P&amp;L monthly'!$E$5:$BL$5,D$4,'P&amp;L monthly'!$E$21:$BL$21)</f>
        <v>28261250.5609619</v>
      </c>
      <c r="E22" s="23" t="n">
        <f aca="false">SUMIF('P&amp;L monthly'!$E$5:$BL$5,E$4,'P&amp;L monthly'!$E$21:$BL$21)</f>
        <v>155437847.325932</v>
      </c>
      <c r="F22" s="23" t="n">
        <f aca="false">SUMIF('P&amp;L monthly'!$E$5:$BL$5,F$4,'P&amp;L monthly'!$E$21:$BL$21)</f>
        <v>421131414.105065</v>
      </c>
      <c r="G22" s="23" t="n">
        <f aca="false">SUMIF('P&amp;L monthly'!$E$5:$BL$5,G$4,'P&amp;L monthly'!$E$21:$BL$21)</f>
        <v>825319418.702587</v>
      </c>
      <c r="H22" s="23" t="n">
        <f aca="false">SUMIF('P&amp;L monthly'!$E$5:$BL$5,H$4,'P&amp;L monthly'!$E$21:$BL$21)</f>
        <v>1367003172.04781</v>
      </c>
      <c r="I22" s="55" t="n">
        <f aca="false">SUM(D22:H22)</f>
        <v>2797153102.74236</v>
      </c>
      <c r="K22" s="24" t="n">
        <f aca="false">D22/FX_EUR</f>
        <v>43083.9987391885</v>
      </c>
      <c r="L22" s="24" t="n">
        <f aca="false">E22/FX_EUR</f>
        <v>236963.47066337</v>
      </c>
      <c r="M22" s="24" t="n">
        <f aca="false">F22/FX_EUR</f>
        <v>642010.70208118</v>
      </c>
      <c r="N22" s="24" t="n">
        <f aca="false">G22/FX_EUR</f>
        <v>1258191.3428816</v>
      </c>
      <c r="O22" s="24" t="n">
        <f aca="false">H22/FX_EUR</f>
        <v>2083982.90139112</v>
      </c>
      <c r="P22" s="24" t="n">
        <f aca="false">I22/FX_EUR</f>
        <v>4264232.41575646</v>
      </c>
    </row>
    <row r="23" customFormat="false" ht="15" hidden="false" customHeight="false" outlineLevel="0" collapsed="false">
      <c r="A23" s="12" t="s">
        <v>856</v>
      </c>
      <c r="B23" s="14" t="s">
        <v>71</v>
      </c>
      <c r="D23" s="23" t="n">
        <f aca="false">SUMIF('P&amp;L monthly'!$E$5:$BL$5,D$4,'P&amp;L monthly'!$E$22:$BL$22)</f>
        <v>22674753.947326</v>
      </c>
      <c r="E23" s="23" t="n">
        <f aca="false">SUMIF('P&amp;L monthly'!$E$5:$BL$5,E$4,'P&amp;L monthly'!$E$22:$BL$22)</f>
        <v>147816656.760692</v>
      </c>
      <c r="F23" s="23" t="n">
        <f aca="false">SUMIF('P&amp;L monthly'!$E$5:$BL$5,F$4,'P&amp;L monthly'!$E$22:$BL$22)</f>
        <v>482666509.376787</v>
      </c>
      <c r="G23" s="23" t="n">
        <f aca="false">SUMIF('P&amp;L monthly'!$E$5:$BL$5,G$4,'P&amp;L monthly'!$E$22:$BL$22)</f>
        <v>974002250.214311</v>
      </c>
      <c r="H23" s="23" t="n">
        <f aca="false">SUMIF('P&amp;L monthly'!$E$5:$BL$5,H$4,'P&amp;L monthly'!$E$22:$BL$22)</f>
        <v>1634335046.14177</v>
      </c>
      <c r="I23" s="55" t="n">
        <f aca="false">SUM(D23:H23)</f>
        <v>3261495216.44088</v>
      </c>
      <c r="K23" s="24" t="n">
        <f aca="false">D23/FX_EUR</f>
        <v>34567.4395536994</v>
      </c>
      <c r="L23" s="24" t="n">
        <f aca="false">E23/FX_EUR</f>
        <v>225345.040544871</v>
      </c>
      <c r="M23" s="24" t="n">
        <f aca="false">F23/FX_EUR</f>
        <v>735820.350079025</v>
      </c>
      <c r="N23" s="24" t="n">
        <f aca="false">G23/FX_EUR</f>
        <v>1484856.85832198</v>
      </c>
      <c r="O23" s="24" t="n">
        <f aca="false">H23/FX_EUR</f>
        <v>2491527.7162097</v>
      </c>
      <c r="P23" s="24" t="n">
        <f aca="false">I23/FX_EUR</f>
        <v>4972117.40470927</v>
      </c>
    </row>
    <row r="24" customFormat="false" ht="15" hidden="false" customHeight="false" outlineLevel="0" collapsed="false">
      <c r="A24" s="12" t="s">
        <v>857</v>
      </c>
      <c r="B24" s="14" t="s">
        <v>71</v>
      </c>
      <c r="D24" s="23" t="n">
        <f aca="false">SUMIF('P&amp;L monthly'!$E$5:$BL$5,D$4,'P&amp;L monthly'!$E$23:$BL$23)</f>
        <v>818058.833195967</v>
      </c>
      <c r="E24" s="23" t="n">
        <f aca="false">SUMIF('P&amp;L monthly'!$E$5:$BL$5,E$4,'P&amp;L monthly'!$E$23:$BL$23)</f>
        <v>4884209.76994848</v>
      </c>
      <c r="F24" s="23" t="n">
        <f aca="false">SUMIF('P&amp;L monthly'!$E$5:$BL$5,F$4,'P&amp;L monthly'!$E$23:$BL$23)</f>
        <v>37417971.536771</v>
      </c>
      <c r="G24" s="23" t="n">
        <f aca="false">SUMIF('P&amp;L monthly'!$E$5:$BL$5,G$4,'P&amp;L monthly'!$E$23:$BL$23)</f>
        <v>89926942.5193192</v>
      </c>
      <c r="H24" s="23" t="n">
        <f aca="false">SUMIF('P&amp;L monthly'!$E$5:$BL$5,H$4,'P&amp;L monthly'!$E$23:$BL$23)</f>
        <v>150349106.15987</v>
      </c>
      <c r="I24" s="55" t="n">
        <f aca="false">SUM(D24:H24)</f>
        <v>283396288.819105</v>
      </c>
      <c r="K24" s="24" t="n">
        <f aca="false">D24/FX_EUR</f>
        <v>1247.12265163108</v>
      </c>
      <c r="L24" s="24" t="n">
        <f aca="false">E24/FX_EUR</f>
        <v>7445.92979410004</v>
      </c>
      <c r="M24" s="24" t="n">
        <f aca="false">F24/FX_EUR</f>
        <v>57043.3298779814</v>
      </c>
      <c r="N24" s="24" t="n">
        <f aca="false">G24/FX_EUR</f>
        <v>137092.740102353</v>
      </c>
      <c r="O24" s="24" t="n">
        <f aca="false">H24/FX_EUR</f>
        <v>229205.734765953</v>
      </c>
      <c r="P24" s="24" t="n">
        <f aca="false">I24/FX_EUR</f>
        <v>432034.857192018</v>
      </c>
    </row>
    <row r="25" customFormat="false" ht="15" hidden="false" customHeight="false" outlineLevel="0" collapsed="false">
      <c r="A25" s="8" t="s">
        <v>858</v>
      </c>
      <c r="B25" s="14" t="s">
        <v>71</v>
      </c>
      <c r="D25" s="22" t="n">
        <f aca="false">SUMIF('P&amp;L monthly'!$E$5:$BL$5,D$4,'P&amp;L monthly'!$E$24:$BL$24)</f>
        <v>59469241.0314455</v>
      </c>
      <c r="E25" s="22" t="n">
        <f aca="false">SUMIF('P&amp;L monthly'!$E$5:$BL$5,E$4,'P&amp;L monthly'!$E$24:$BL$24)</f>
        <v>349300306.506956</v>
      </c>
      <c r="F25" s="22" t="n">
        <f aca="false">SUMIF('P&amp;L monthly'!$E$5:$BL$5,F$4,'P&amp;L monthly'!$E$24:$BL$24)</f>
        <v>1067428234.58687</v>
      </c>
      <c r="G25" s="22" t="n">
        <f aca="false">SUMIF('P&amp;L monthly'!$E$5:$BL$5,G$4,'P&amp;L monthly'!$E$24:$BL$24)</f>
        <v>2115012087.23102</v>
      </c>
      <c r="H25" s="22" t="n">
        <f aca="false">SUMIF('P&amp;L monthly'!$E$5:$BL$5,H$4,'P&amp;L monthly'!$E$24:$BL$24)</f>
        <v>3515912086.88204</v>
      </c>
      <c r="I25" s="55" t="n">
        <f aca="false">SUM(D25:H25)</f>
        <v>7107121956.23833</v>
      </c>
      <c r="K25" s="17" t="n">
        <f aca="false">D25/FX_EUR</f>
        <v>90660.2735109855</v>
      </c>
      <c r="L25" s="17" t="n">
        <f aca="false">E25/FX_EUR</f>
        <v>532504.884477116</v>
      </c>
      <c r="M25" s="17" t="n">
        <f aca="false">F25/FX_EUR</f>
        <v>1627283.85334233</v>
      </c>
      <c r="N25" s="17" t="n">
        <f aca="false">G25/FX_EUR</f>
        <v>3224315.14143613</v>
      </c>
      <c r="O25" s="17" t="n">
        <f aca="false">H25/FX_EUR</f>
        <v>5359973.42338299</v>
      </c>
      <c r="P25" s="17" t="n">
        <f aca="false">I25/FX_EUR</f>
        <v>10834737.5761495</v>
      </c>
    </row>
    <row r="26" customFormat="false" ht="15" hidden="false" customHeight="false" outlineLevel="0" collapsed="false">
      <c r="A26" s="8" t="s">
        <v>88</v>
      </c>
      <c r="B26" s="14" t="s">
        <v>71</v>
      </c>
      <c r="D26" s="55" t="n">
        <f aca="false">D17-D25</f>
        <v>10591371.1304978</v>
      </c>
      <c r="E26" s="55" t="n">
        <f aca="false">E17-E25</f>
        <v>167130327.804289</v>
      </c>
      <c r="F26" s="55" t="n">
        <f aca="false">F17-F25</f>
        <v>672884912.878718</v>
      </c>
      <c r="G26" s="55" t="n">
        <f aca="false">G17-G25</f>
        <v>1506764562.20243</v>
      </c>
      <c r="H26" s="55" t="n">
        <f aca="false">H17-H25</f>
        <v>2602245103.83363</v>
      </c>
      <c r="I26" s="55" t="n">
        <f aca="false">SUM(D26:H26)</f>
        <v>4959616277.84957</v>
      </c>
      <c r="K26" s="17" t="n">
        <f aca="false">D26/FX_EUR</f>
        <v>16146.4412004107</v>
      </c>
      <c r="L26" s="17" t="n">
        <f aca="false">E26/FX_EUR</f>
        <v>254788.542243302</v>
      </c>
      <c r="M26" s="17" t="n">
        <f aca="false">F26/FX_EUR</f>
        <v>1025806.43682241</v>
      </c>
      <c r="N26" s="17" t="n">
        <f aca="false">G26/FX_EUR</f>
        <v>2297047.76715917</v>
      </c>
      <c r="O26" s="17" t="n">
        <f aca="false">H26/FX_EUR</f>
        <v>3967097.086903</v>
      </c>
      <c r="P26" s="17" t="n">
        <f aca="false">I26/FX_EUR</f>
        <v>7560886.2743283</v>
      </c>
    </row>
    <row r="27" customFormat="false" ht="15" hidden="false" customHeight="false" outlineLevel="0" collapsed="false">
      <c r="A27" s="12" t="s">
        <v>89</v>
      </c>
      <c r="B27" s="14" t="s">
        <v>90</v>
      </c>
      <c r="D27" s="49" t="n">
        <f aca="false">IFERROR(D26/D17,0)</f>
        <v>0.151174401759667</v>
      </c>
      <c r="E27" s="49" t="n">
        <f aca="false">IFERROR(E26/E17,0)</f>
        <v>0.323625898039895</v>
      </c>
      <c r="F27" s="49" t="n">
        <f aca="false">IFERROR(F26/F17,0)</f>
        <v>0.386645882586497</v>
      </c>
      <c r="G27" s="49" t="n">
        <f aca="false">IFERROR(G26/G17,0)</f>
        <v>0.41602912273404</v>
      </c>
      <c r="H27" s="49" t="n">
        <f aca="false">IFERROR(H26/H17,0)</f>
        <v>0.425331521030965</v>
      </c>
      <c r="I27" s="60" t="n">
        <f aca="false">IFERROR(I26/I17,0)</f>
        <v>0.411015485845124</v>
      </c>
    </row>
    <row r="29" customFormat="false" ht="15" hidden="false" customHeight="false" outlineLevel="0" collapsed="false">
      <c r="A29" s="10" t="s">
        <v>859</v>
      </c>
      <c r="B29" s="11"/>
      <c r="C29" s="11"/>
      <c r="D29" s="11"/>
      <c r="E29" s="11"/>
      <c r="F29" s="11"/>
      <c r="G29" s="11"/>
      <c r="H29" s="11"/>
      <c r="I29" s="11"/>
    </row>
    <row r="30" customFormat="false" ht="15" hidden="false" customHeight="false" outlineLevel="0" collapsed="false">
      <c r="A30" s="12" t="s">
        <v>20</v>
      </c>
      <c r="B30" s="14" t="s">
        <v>71</v>
      </c>
      <c r="D30" s="23" t="n">
        <f aca="false">SUMIF('P&amp;L monthly'!$E$5:$BL$5,D$4,'P&amp;L monthly'!$E$29:$BL$29)</f>
        <v>148460000</v>
      </c>
      <c r="E30" s="23" t="n">
        <f aca="false">SUMIF('P&amp;L monthly'!$E$5:$BL$5,E$4,'P&amp;L monthly'!$E$29:$BL$29)</f>
        <v>260442000</v>
      </c>
      <c r="F30" s="23" t="n">
        <f aca="false">SUMIF('P&amp;L monthly'!$E$5:$BL$5,F$4,'P&amp;L monthly'!$E$29:$BL$29)</f>
        <v>398658487.5</v>
      </c>
      <c r="G30" s="23" t="n">
        <f aca="false">SUMIF('P&amp;L monthly'!$E$5:$BL$5,G$4,'P&amp;L monthly'!$E$29:$BL$29)</f>
        <v>569233153.125</v>
      </c>
      <c r="H30" s="23" t="n">
        <f aca="false">SUMIF('P&amp;L monthly'!$E$5:$BL$5,H$4,'P&amp;L monthly'!$E$29:$BL$29)</f>
        <v>786128667.1875</v>
      </c>
      <c r="I30" s="55" t="n">
        <f aca="false">SUM(D30:H30)</f>
        <v>2162922307.8125</v>
      </c>
      <c r="K30" s="24" t="n">
        <f aca="false">D30/FX_EUR</f>
        <v>226325.810990659</v>
      </c>
      <c r="L30" s="24" t="n">
        <f aca="false">E30/FX_EUR</f>
        <v>397041.269473456</v>
      </c>
      <c r="M30" s="24" t="n">
        <f aca="false">F30/FX_EUR</f>
        <v>607750.946327275</v>
      </c>
      <c r="N30" s="24" t="n">
        <f aca="false">G30/FX_EUR</f>
        <v>867790.347728586</v>
      </c>
      <c r="O30" s="24" t="n">
        <f aca="false">H30/FX_EUR</f>
        <v>1198445.4273489</v>
      </c>
      <c r="P30" s="24" t="n">
        <f aca="false">I30/FX_EUR</f>
        <v>3297353.80186887</v>
      </c>
    </row>
    <row r="31" customFormat="false" ht="15" hidden="false" customHeight="false" outlineLevel="0" collapsed="false">
      <c r="A31" s="12" t="s">
        <v>821</v>
      </c>
      <c r="B31" s="14" t="s">
        <v>71</v>
      </c>
      <c r="D31" s="23" t="n">
        <f aca="false">SUMIF('P&amp;L monthly'!$E$5:$BL$5,D$4,'P&amp;L monthly'!$E$30:$BL$30)</f>
        <v>28905770.3</v>
      </c>
      <c r="E31" s="23" t="n">
        <f aca="false">SUMIF('P&amp;L monthly'!$E$5:$BL$5,E$4,'P&amp;L monthly'!$E$30:$BL$30)</f>
        <v>42022908.2</v>
      </c>
      <c r="F31" s="23" t="n">
        <f aca="false">SUMIF('P&amp;L monthly'!$E$5:$BL$5,F$4,'P&amp;L monthly'!$E$30:$BL$30)</f>
        <v>75368248.5</v>
      </c>
      <c r="G31" s="23" t="n">
        <f aca="false">SUMIF('P&amp;L monthly'!$E$5:$BL$5,G$4,'P&amp;L monthly'!$E$30:$BL$30)</f>
        <v>125714300.9</v>
      </c>
      <c r="H31" s="23" t="n">
        <f aca="false">SUMIF('P&amp;L monthly'!$E$5:$BL$5,H$4,'P&amp;L monthly'!$E$30:$BL$30)</f>
        <v>184535538.4</v>
      </c>
      <c r="I31" s="55" t="n">
        <f aca="false">SUM(D31:H31)</f>
        <v>456546766.3</v>
      </c>
      <c r="K31" s="24" t="n">
        <f aca="false">D31/FX_EUR</f>
        <v>44066.5627472533</v>
      </c>
      <c r="L31" s="24" t="n">
        <f aca="false">E31/FX_EUR</f>
        <v>64063.5105654792</v>
      </c>
      <c r="M31" s="24" t="n">
        <f aca="false">F31/FX_EUR</f>
        <v>114898.154147299</v>
      </c>
      <c r="N31" s="24" t="n">
        <f aca="false">G31/FX_EUR</f>
        <v>191650.216248931</v>
      </c>
      <c r="O31" s="24" t="n">
        <f aca="false">H31/FX_EUR</f>
        <v>281322.614744564</v>
      </c>
      <c r="P31" s="24" t="n">
        <f aca="false">I31/FX_EUR</f>
        <v>696001.058453527</v>
      </c>
    </row>
    <row r="32" customFormat="false" ht="15" hidden="false" customHeight="false" outlineLevel="0" collapsed="false">
      <c r="A32" s="12" t="s">
        <v>435</v>
      </c>
      <c r="B32" s="14" t="s">
        <v>71</v>
      </c>
      <c r="D32" s="23" t="n">
        <f aca="false">SUMIF('P&amp;L monthly'!$E$5:$BL$5,D$4,'P&amp;L monthly'!$E$31:$BL$31)</f>
        <v>127391541.966151</v>
      </c>
      <c r="E32" s="23" t="n">
        <f aca="false">SUMIF('P&amp;L monthly'!$E$5:$BL$5,E$4,'P&amp;L monthly'!$E$31:$BL$31)</f>
        <v>108740432.541693</v>
      </c>
      <c r="F32" s="23" t="n">
        <f aca="false">SUMIF('P&amp;L monthly'!$E$5:$BL$5,F$4,'P&amp;L monthly'!$E$31:$BL$31)</f>
        <v>135499390</v>
      </c>
      <c r="G32" s="23" t="n">
        <f aca="false">SUMIF('P&amp;L monthly'!$E$5:$BL$5,G$4,'P&amp;L monthly'!$E$31:$BL$31)</f>
        <v>157923350</v>
      </c>
      <c r="H32" s="23" t="n">
        <f aca="false">SUMIF('P&amp;L monthly'!$E$5:$BL$5,H$4,'P&amp;L monthly'!$E$31:$BL$31)</f>
        <v>180908750</v>
      </c>
      <c r="I32" s="55" t="n">
        <f aca="false">SUM(D32:H32)</f>
        <v>710463464.507844</v>
      </c>
      <c r="K32" s="24" t="n">
        <f aca="false">D32/FX_EUR</f>
        <v>194207.15377098</v>
      </c>
      <c r="L32" s="24" t="n">
        <f aca="false">E32/FX_EUR</f>
        <v>165773.72074952</v>
      </c>
      <c r="M32" s="24" t="n">
        <f aca="false">F32/FX_EUR</f>
        <v>206567.488417686</v>
      </c>
      <c r="N32" s="24" t="n">
        <f aca="false">G32/FX_EUR</f>
        <v>240752.595063396</v>
      </c>
      <c r="O32" s="24" t="n">
        <f aca="false">H32/FX_EUR</f>
        <v>275793.611471484</v>
      </c>
      <c r="P32" s="24" t="n">
        <f aca="false">I32/FX_EUR</f>
        <v>1083094.56947307</v>
      </c>
    </row>
    <row r="33" customFormat="false" ht="15" hidden="false" customHeight="false" outlineLevel="0" collapsed="false">
      <c r="A33" s="12" t="s">
        <v>446</v>
      </c>
      <c r="B33" s="14" t="s">
        <v>71</v>
      </c>
      <c r="D33" s="23" t="n">
        <f aca="false">SUMIF('P&amp;L monthly'!$E$5:$BL$5,D$4,'P&amp;L monthly'!$E$32:$BL$32)</f>
        <v>27000000</v>
      </c>
      <c r="E33" s="23" t="n">
        <f aca="false">SUMIF('P&amp;L monthly'!$E$5:$BL$5,E$4,'P&amp;L monthly'!$E$32:$BL$32)</f>
        <v>50000000</v>
      </c>
      <c r="F33" s="23" t="n">
        <f aca="false">SUMIF('P&amp;L monthly'!$E$5:$BL$5,F$4,'P&amp;L monthly'!$E$32:$BL$32)</f>
        <v>51000000</v>
      </c>
      <c r="G33" s="23" t="n">
        <f aca="false">SUMIF('P&amp;L monthly'!$E$5:$BL$5,G$4,'P&amp;L monthly'!$E$32:$BL$32)</f>
        <v>51000000</v>
      </c>
      <c r="H33" s="23" t="n">
        <f aca="false">SUMIF('P&amp;L monthly'!$E$5:$BL$5,H$4,'P&amp;L monthly'!$E$32:$BL$32)</f>
        <v>51000000</v>
      </c>
      <c r="I33" s="55" t="n">
        <f aca="false">SUM(D33:H33)</f>
        <v>230000000</v>
      </c>
      <c r="K33" s="24" t="n">
        <f aca="false">D33/FX_EUR</f>
        <v>41161.2346541008</v>
      </c>
      <c r="L33" s="24" t="n">
        <f aca="false">E33/FX_EUR</f>
        <v>76224.5086187052</v>
      </c>
      <c r="M33" s="24" t="n">
        <f aca="false">F33/FX_EUR</f>
        <v>77748.9987910793</v>
      </c>
      <c r="N33" s="24" t="n">
        <f aca="false">G33/FX_EUR</f>
        <v>77748.9987910793</v>
      </c>
      <c r="O33" s="24" t="n">
        <f aca="false">H33/FX_EUR</f>
        <v>77748.9987910793</v>
      </c>
      <c r="P33" s="24" t="n">
        <f aca="false">I33/FX_EUR</f>
        <v>350632.739646044</v>
      </c>
    </row>
    <row r="34" customFormat="false" ht="15" hidden="false" customHeight="false" outlineLevel="0" collapsed="false">
      <c r="A34" s="12" t="s">
        <v>457</v>
      </c>
      <c r="B34" s="14" t="s">
        <v>71</v>
      </c>
      <c r="D34" s="23" t="n">
        <f aca="false">SUMIF('P&amp;L monthly'!$E$5:$BL$5,D$4,'P&amp;L monthly'!$E$33:$BL$33)</f>
        <v>38200000</v>
      </c>
      <c r="E34" s="23" t="n">
        <f aca="false">SUMIF('P&amp;L monthly'!$E$5:$BL$5,E$4,'P&amp;L monthly'!$E$33:$BL$33)</f>
        <v>98700000</v>
      </c>
      <c r="F34" s="23" t="n">
        <f aca="false">SUMIF('P&amp;L monthly'!$E$5:$BL$5,F$4,'P&amp;L monthly'!$E$33:$BL$33)</f>
        <v>144400000</v>
      </c>
      <c r="G34" s="23" t="n">
        <f aca="false">SUMIF('P&amp;L monthly'!$E$5:$BL$5,G$4,'P&amp;L monthly'!$E$33:$BL$33)</f>
        <v>160400000</v>
      </c>
      <c r="H34" s="23" t="n">
        <f aca="false">SUMIF('P&amp;L monthly'!$E$5:$BL$5,H$4,'P&amp;L monthly'!$E$33:$BL$33)</f>
        <v>186400000</v>
      </c>
      <c r="I34" s="55" t="n">
        <f aca="false">SUM(D34:H34)</f>
        <v>628100000</v>
      </c>
      <c r="K34" s="24" t="n">
        <f aca="false">D34/FX_EUR</f>
        <v>58235.5245846908</v>
      </c>
      <c r="L34" s="24" t="n">
        <f aca="false">E34/FX_EUR</f>
        <v>150467.180013324</v>
      </c>
      <c r="M34" s="24" t="n">
        <f aca="false">F34/FX_EUR</f>
        <v>220136.380890821</v>
      </c>
      <c r="N34" s="24" t="n">
        <f aca="false">G34/FX_EUR</f>
        <v>244528.223648806</v>
      </c>
      <c r="O34" s="24" t="n">
        <f aca="false">H34/FX_EUR</f>
        <v>284164.968130533</v>
      </c>
      <c r="P34" s="24" t="n">
        <f aca="false">I34/FX_EUR</f>
        <v>957532.277268175</v>
      </c>
    </row>
    <row r="35" customFormat="false" ht="15" hidden="false" customHeight="false" outlineLevel="0" collapsed="false">
      <c r="A35" s="12" t="s">
        <v>473</v>
      </c>
      <c r="B35" s="14" t="s">
        <v>71</v>
      </c>
      <c r="D35" s="23" t="n">
        <f aca="false">SUMIF('P&amp;L monthly'!$E$5:$BL$5,D$4,'P&amp;L monthly'!$E$34:$BL$34)</f>
        <v>41444366.9772118</v>
      </c>
      <c r="E35" s="23" t="n">
        <f aca="false">SUMIF('P&amp;L monthly'!$E$5:$BL$5,E$4,'P&amp;L monthly'!$E$34:$BL$34)</f>
        <v>76443328.604315</v>
      </c>
      <c r="F35" s="23" t="n">
        <f aca="false">SUMIF('P&amp;L monthly'!$E$5:$BL$5,F$4,'P&amp;L monthly'!$E$34:$BL$34)</f>
        <v>139770596.808611</v>
      </c>
      <c r="G35" s="23" t="n">
        <f aca="false">SUMIF('P&amp;L monthly'!$E$5:$BL$5,G$4,'P&amp;L monthly'!$E$34:$BL$34)</f>
        <v>181030652.208192</v>
      </c>
      <c r="H35" s="23" t="n">
        <f aca="false">SUMIF('P&amp;L monthly'!$E$5:$BL$5,H$4,'P&amp;L monthly'!$E$34:$BL$34)</f>
        <v>219170566.910532</v>
      </c>
      <c r="I35" s="55" t="n">
        <f aca="false">SUM(D35:H35)</f>
        <v>657859511.508861</v>
      </c>
      <c r="K35" s="24" t="n">
        <f aca="false">D35/FX_EUR</f>
        <v>63181.5301570253</v>
      </c>
      <c r="L35" s="24" t="n">
        <f aca="false">E35/FX_EUR</f>
        <v>116537.103200842</v>
      </c>
      <c r="M35" s="24" t="n">
        <f aca="false">F35/FX_EUR</f>
        <v>213078.90122159</v>
      </c>
      <c r="N35" s="24" t="n">
        <f aca="false">G35/FX_EUR</f>
        <v>275979.450189863</v>
      </c>
      <c r="O35" s="24" t="n">
        <f aca="false">H35/FX_EUR</f>
        <v>334123.375328767</v>
      </c>
      <c r="P35" s="24" t="n">
        <f aca="false">I35/FX_EUR</f>
        <v>1002900.36009809</v>
      </c>
    </row>
    <row r="36" customFormat="false" ht="15" hidden="false" customHeight="false" outlineLevel="0" collapsed="false">
      <c r="A36" s="12" t="s">
        <v>480</v>
      </c>
      <c r="B36" s="14" t="s">
        <v>71</v>
      </c>
      <c r="D36" s="23" t="n">
        <f aca="false">SUMIF('P&amp;L monthly'!$E$5:$BL$5,D$4,'P&amp;L monthly'!$E$35:$BL$35)</f>
        <v>10949062.4</v>
      </c>
      <c r="E36" s="23" t="n">
        <f aca="false">SUMIF('P&amp;L monthly'!$E$5:$BL$5,E$4,'P&amp;L monthly'!$E$35:$BL$35)</f>
        <v>20599062.4</v>
      </c>
      <c r="F36" s="23" t="n">
        <f aca="false">SUMIF('P&amp;L monthly'!$E$5:$BL$5,F$4,'P&amp;L monthly'!$E$35:$BL$35)</f>
        <v>25174296.8</v>
      </c>
      <c r="G36" s="23" t="n">
        <f aca="false">SUMIF('P&amp;L monthly'!$E$5:$BL$5,G$4,'P&amp;L monthly'!$E$35:$BL$35)</f>
        <v>30723828</v>
      </c>
      <c r="H36" s="23" t="n">
        <f aca="false">SUMIF('P&amp;L monthly'!$E$5:$BL$5,H$4,'P&amp;L monthly'!$E$35:$BL$35)</f>
        <v>35223828</v>
      </c>
      <c r="I36" s="55" t="n">
        <f aca="false">SUM(D36:H36)</f>
        <v>122670077.6</v>
      </c>
      <c r="K36" s="24" t="n">
        <f aca="false">D36/FX_EUR</f>
        <v>16691.7380255108</v>
      </c>
      <c r="L36" s="24" t="n">
        <f aca="false">E36/FX_EUR</f>
        <v>31403.0681889209</v>
      </c>
      <c r="M36" s="24" t="n">
        <f aca="false">F36/FX_EUR</f>
        <v>38377.9680680289</v>
      </c>
      <c r="N36" s="24" t="n">
        <f aca="false">G36/FX_EUR</f>
        <v>46838.1738437123</v>
      </c>
      <c r="O36" s="24" t="n">
        <f aca="false">H36/FX_EUR</f>
        <v>53698.3796193958</v>
      </c>
      <c r="P36" s="24" t="n">
        <f aca="false">I36/FX_EUR</f>
        <v>187009.327745569</v>
      </c>
    </row>
    <row r="37" customFormat="false" ht="15" hidden="false" customHeight="false" outlineLevel="0" collapsed="false">
      <c r="A37" s="12" t="s">
        <v>860</v>
      </c>
      <c r="B37" s="14" t="s">
        <v>71</v>
      </c>
      <c r="D37" s="23" t="n">
        <f aca="false">SUMIF('P&amp;L monthly'!$E$5:$BL$5,D$4,'P&amp;L monthly'!$E$36:$BL$36)</f>
        <v>21117537.0821681</v>
      </c>
      <c r="E37" s="23" t="n">
        <f aca="false">SUMIF('P&amp;L monthly'!$E$5:$BL$5,E$4,'P&amp;L monthly'!$E$36:$BL$36)</f>
        <v>32847386.5873004</v>
      </c>
      <c r="F37" s="23" t="n">
        <f aca="false">SUMIF('P&amp;L monthly'!$E$5:$BL$5,F$4,'P&amp;L monthly'!$E$36:$BL$36)</f>
        <v>48493550.9804305</v>
      </c>
      <c r="G37" s="23" t="n">
        <f aca="false">SUMIF('P&amp;L monthly'!$E$5:$BL$5,G$4,'P&amp;L monthly'!$E$36:$BL$36)</f>
        <v>63801264.2116596</v>
      </c>
      <c r="H37" s="23" t="n">
        <f aca="false">SUMIF('P&amp;L monthly'!$E$5:$BL$5,H$4,'P&amp;L monthly'!$E$36:$BL$36)</f>
        <v>82168367.5249016</v>
      </c>
      <c r="I37" s="55" t="n">
        <f aca="false">SUM(D37:H37)</f>
        <v>248428106.38646</v>
      </c>
      <c r="K37" s="24" t="n">
        <f aca="false">D37/FX_EUR</f>
        <v>32193.477746511</v>
      </c>
      <c r="L37" s="24" t="n">
        <f aca="false">E37/FX_EUR</f>
        <v>50075.5180405124</v>
      </c>
      <c r="M37" s="24" t="n">
        <f aca="false">F37/FX_EUR</f>
        <v>73927.9418931889</v>
      </c>
      <c r="N37" s="24" t="n">
        <f aca="false">G37/FX_EUR</f>
        <v>97264.4002757187</v>
      </c>
      <c r="O37" s="24" t="n">
        <f aca="false">H37/FX_EUR</f>
        <v>125264.868771736</v>
      </c>
      <c r="P37" s="24" t="n">
        <f aca="false">I37/FX_EUR</f>
        <v>378726.206727667</v>
      </c>
    </row>
    <row r="38" customFormat="false" ht="15" hidden="false" customHeight="false" outlineLevel="0" collapsed="false">
      <c r="A38" s="8" t="s">
        <v>91</v>
      </c>
      <c r="B38" s="14" t="s">
        <v>71</v>
      </c>
      <c r="D38" s="22" t="n">
        <f aca="false">SUMIF('P&amp;L monthly'!$E$5:$BL$5,D$4,'P&amp;L monthly'!$E$37:$BL$37)</f>
        <v>443468278.725531</v>
      </c>
      <c r="E38" s="22" t="n">
        <f aca="false">SUMIF('P&amp;L monthly'!$E$5:$BL$5,E$4,'P&amp;L monthly'!$E$37:$BL$37)</f>
        <v>689795118.333309</v>
      </c>
      <c r="F38" s="22" t="n">
        <f aca="false">SUMIF('P&amp;L monthly'!$E$5:$BL$5,F$4,'P&amp;L monthly'!$E$37:$BL$37)</f>
        <v>1018364570.58904</v>
      </c>
      <c r="G38" s="22" t="n">
        <f aca="false">SUMIF('P&amp;L monthly'!$E$5:$BL$5,G$4,'P&amp;L monthly'!$E$37:$BL$37)</f>
        <v>1339826548.44485</v>
      </c>
      <c r="H38" s="22" t="n">
        <f aca="false">SUMIF('P&amp;L monthly'!$E$5:$BL$5,H$4,'P&amp;L monthly'!$E$37:$BL$37)</f>
        <v>1725535718.02293</v>
      </c>
      <c r="I38" s="55" t="n">
        <f aca="false">SUM(D38:H38)</f>
        <v>5216990234.11567</v>
      </c>
      <c r="K38" s="17" t="n">
        <f aca="false">D38/FX_EUR</f>
        <v>676063.032676732</v>
      </c>
      <c r="L38" s="17" t="n">
        <f aca="false">E38/FX_EUR</f>
        <v>1051585.87885076</v>
      </c>
      <c r="M38" s="17" t="n">
        <f aca="false">F38/FX_EUR</f>
        <v>1552486.77975697</v>
      </c>
      <c r="N38" s="17" t="n">
        <f aca="false">G38/FX_EUR</f>
        <v>2042552.40579009</v>
      </c>
      <c r="O38" s="17" t="n">
        <f aca="false">H38/FX_EUR</f>
        <v>2630562.24420646</v>
      </c>
      <c r="P38" s="17" t="n">
        <f aca="false">I38/FX_EUR</f>
        <v>7953250.34128101</v>
      </c>
    </row>
    <row r="39" customFormat="false" ht="15" hidden="false" customHeight="false" outlineLevel="0" collapsed="false">
      <c r="A39" s="8" t="s">
        <v>92</v>
      </c>
      <c r="B39" s="14" t="s">
        <v>71</v>
      </c>
      <c r="D39" s="55" t="n">
        <f aca="false">D26-D38</f>
        <v>-432876907.595033</v>
      </c>
      <c r="E39" s="55" t="n">
        <f aca="false">E26-E38</f>
        <v>-522664790.529019</v>
      </c>
      <c r="F39" s="55" t="n">
        <f aca="false">F26-F38</f>
        <v>-345479657.710323</v>
      </c>
      <c r="G39" s="55" t="n">
        <f aca="false">G26-G38</f>
        <v>166938013.757578</v>
      </c>
      <c r="H39" s="55" t="n">
        <f aca="false">H26-H38</f>
        <v>876709385.8107</v>
      </c>
      <c r="I39" s="55" t="n">
        <f aca="false">SUM(D39:H39)</f>
        <v>-257373956.266098</v>
      </c>
      <c r="K39" s="17" t="n">
        <f aca="false">D39/FX_EUR</f>
        <v>-659916.591476321</v>
      </c>
      <c r="L39" s="17" t="n">
        <f aca="false">E39/FX_EUR</f>
        <v>-796797.336607459</v>
      </c>
      <c r="M39" s="17" t="n">
        <f aca="false">F39/FX_EUR</f>
        <v>-526680.342934556</v>
      </c>
      <c r="N39" s="17" t="n">
        <f aca="false">G39/FX_EUR</f>
        <v>254495.36136908</v>
      </c>
      <c r="O39" s="17" t="n">
        <f aca="false">H39/FX_EUR</f>
        <v>1336534.84269655</v>
      </c>
      <c r="P39" s="17" t="n">
        <f aca="false">I39/FX_EUR</f>
        <v>-392364.066952709</v>
      </c>
    </row>
    <row r="40" customFormat="false" ht="15" hidden="false" customHeight="false" outlineLevel="0" collapsed="false">
      <c r="A40" s="12" t="s">
        <v>93</v>
      </c>
      <c r="B40" s="14" t="s">
        <v>90</v>
      </c>
      <c r="D40" s="49" t="n">
        <f aca="false">IFERROR(D39/D17,0)</f>
        <v>-6.17860584195938</v>
      </c>
      <c r="E40" s="49" t="n">
        <f aca="false">IFERROR(E39/E17,0)</f>
        <v>-1.01207162357068</v>
      </c>
      <c r="F40" s="49" t="n">
        <f aca="false">IFERROR(F39/F17,0)</f>
        <v>-0.19851580056925</v>
      </c>
      <c r="G40" s="49" t="n">
        <f aca="false">IFERROR(G39/G17,0)</f>
        <v>0.0460928516350371</v>
      </c>
      <c r="H40" s="49" t="n">
        <f aca="false">IFERROR(H39/H17,0)</f>
        <v>0.143296315946427</v>
      </c>
      <c r="I40" s="60" t="n">
        <f aca="false">IFERROR(I39/I17,0)</f>
        <v>-0.0213292068886545</v>
      </c>
    </row>
    <row r="41" customFormat="false" ht="15" hidden="false" customHeight="false" outlineLevel="0" collapsed="false">
      <c r="A41" s="12" t="s">
        <v>862</v>
      </c>
      <c r="B41" s="14" t="s">
        <v>71</v>
      </c>
      <c r="D41" s="23" t="n">
        <f aca="false">SUMIF('P&amp;L monthly'!$E$5:$BL$5,D$4,'P&amp;L monthly'!$E$41:$BL$41)</f>
        <v>0</v>
      </c>
      <c r="E41" s="23" t="n">
        <f aca="false">SUMIF('P&amp;L monthly'!$E$5:$BL$5,E$4,'P&amp;L monthly'!$E$41:$BL$41)</f>
        <v>0</v>
      </c>
      <c r="F41" s="23" t="n">
        <f aca="false">SUMIF('P&amp;L monthly'!$E$5:$BL$5,F$4,'P&amp;L monthly'!$E$41:$BL$41)</f>
        <v>0</v>
      </c>
      <c r="G41" s="23" t="n">
        <f aca="false">SUMIF('P&amp;L monthly'!$E$5:$BL$5,G$4,'P&amp;L monthly'!$E$41:$BL$41)</f>
        <v>0</v>
      </c>
      <c r="H41" s="23" t="n">
        <f aca="false">SUMIF('P&amp;L monthly'!$E$5:$BL$5,H$4,'P&amp;L monthly'!$E$41:$BL$41)</f>
        <v>0</v>
      </c>
      <c r="I41" s="55" t="n">
        <f aca="false">SUM(D41:H41)</f>
        <v>0</v>
      </c>
      <c r="K41" s="24" t="n">
        <f aca="false">D41/FX_EUR</f>
        <v>0</v>
      </c>
      <c r="L41" s="24" t="n">
        <f aca="false">E41/FX_EUR</f>
        <v>0</v>
      </c>
      <c r="M41" s="24" t="n">
        <f aca="false">F41/FX_EUR</f>
        <v>0</v>
      </c>
      <c r="N41" s="24" t="n">
        <f aca="false">G41/FX_EUR</f>
        <v>0</v>
      </c>
      <c r="O41" s="24" t="n">
        <f aca="false">H41/FX_EUR</f>
        <v>0</v>
      </c>
      <c r="P41" s="24" t="n">
        <f aca="false">I41/FX_EUR</f>
        <v>0</v>
      </c>
    </row>
    <row r="42" customFormat="false" ht="15" hidden="false" customHeight="false" outlineLevel="0" collapsed="false">
      <c r="A42" s="8" t="s">
        <v>94</v>
      </c>
      <c r="B42" s="14" t="s">
        <v>71</v>
      </c>
      <c r="D42" s="55" t="n">
        <f aca="false">D39-D41</f>
        <v>-432876907.595033</v>
      </c>
      <c r="E42" s="55" t="n">
        <f aca="false">E39-E41</f>
        <v>-522664790.529019</v>
      </c>
      <c r="F42" s="55" t="n">
        <f aca="false">F39-F41</f>
        <v>-345479657.710323</v>
      </c>
      <c r="G42" s="55" t="n">
        <f aca="false">G39-G41</f>
        <v>166938013.757578</v>
      </c>
      <c r="H42" s="55" t="n">
        <f aca="false">H39-H41</f>
        <v>876709385.8107</v>
      </c>
      <c r="I42" s="55" t="n">
        <f aca="false">SUM(D42:H42)</f>
        <v>-257373956.266098</v>
      </c>
      <c r="K42" s="17" t="n">
        <f aca="false">D42/FX_EUR</f>
        <v>-659916.591476321</v>
      </c>
      <c r="L42" s="17" t="n">
        <f aca="false">E42/FX_EUR</f>
        <v>-796797.336607459</v>
      </c>
      <c r="M42" s="17" t="n">
        <f aca="false">F42/FX_EUR</f>
        <v>-526680.342934556</v>
      </c>
      <c r="N42" s="17" t="n">
        <f aca="false">G42/FX_EUR</f>
        <v>254495.36136908</v>
      </c>
      <c r="O42" s="17" t="n">
        <f aca="false">H42/FX_EUR</f>
        <v>1336534.84269655</v>
      </c>
      <c r="P42" s="17" t="n">
        <f aca="false">I42/FX_EUR</f>
        <v>-392364.066952709</v>
      </c>
    </row>
    <row r="44" customFormat="false" ht="15" hidden="false" customHeight="false" outlineLevel="0" collapsed="false">
      <c r="A44" s="10" t="s">
        <v>879</v>
      </c>
      <c r="B44" s="11"/>
      <c r="C44" s="11"/>
      <c r="D44" s="11"/>
      <c r="E44" s="11"/>
      <c r="F44" s="11"/>
      <c r="G44" s="11"/>
      <c r="H44" s="11"/>
      <c r="I44" s="11"/>
    </row>
    <row r="45" customFormat="false" ht="15" hidden="false" customHeight="false" outlineLevel="0" collapsed="false">
      <c r="A45" s="12" t="s">
        <v>880</v>
      </c>
      <c r="B45" s="14" t="s">
        <v>71</v>
      </c>
      <c r="D45" s="23" t="n">
        <f aca="false">SUMIF('Cash flow'!$E$5:$BL$5,D$4,'Cash flow'!$E$15:$BL$15)</f>
        <v>-492876907.595033</v>
      </c>
      <c r="E45" s="23" t="n">
        <f aca="false">SUMIF('Cash flow'!$E$5:$BL$5,E$4,'Cash flow'!$E$15:$BL$15)</f>
        <v>-1226254275.80384</v>
      </c>
      <c r="F45" s="23" t="n">
        <f aca="false">SUMIF('Cash flow'!$E$5:$BL$5,F$4,'Cash flow'!$E$15:$BL$15)</f>
        <v>-712140720.002937</v>
      </c>
      <c r="G45" s="23" t="n">
        <f aca="false">SUMIF('Cash flow'!$E$5:$BL$5,G$4,'Cash flow'!$E$15:$BL$15)</f>
        <v>-209633173.88654</v>
      </c>
      <c r="H45" s="23" t="n">
        <f aca="false">SUMIF('Cash flow'!$E$5:$BL$5,H$4,'Cash flow'!$E$15:$BL$15)</f>
        <v>436534706.559392</v>
      </c>
      <c r="I45" s="55" t="n">
        <f aca="false">SUM(D45:H45)</f>
        <v>-2204370370.72896</v>
      </c>
      <c r="K45" s="24" t="n">
        <f aca="false">D45/FX_EUR</f>
        <v>-751386.001818767</v>
      </c>
      <c r="L45" s="24" t="n">
        <f aca="false">E45/FX_EUR</f>
        <v>-1869412.59229468</v>
      </c>
      <c r="M45" s="24" t="n">
        <f aca="false">F45/FX_EUR</f>
        <v>-1085651.5289919</v>
      </c>
      <c r="N45" s="24" t="n">
        <f aca="false">G45/FX_EUR</f>
        <v>-319583.713393621</v>
      </c>
      <c r="O45" s="24" t="n">
        <f aca="false">H45/FX_EUR</f>
        <v>665492.870050006</v>
      </c>
      <c r="P45" s="24" t="n">
        <f aca="false">I45/FX_EUR</f>
        <v>-3360540.96644896</v>
      </c>
    </row>
    <row r="46" customFormat="false" ht="15" hidden="false" customHeight="false" outlineLevel="0" collapsed="false">
      <c r="A46" s="12" t="s">
        <v>881</v>
      </c>
      <c r="B46" s="14" t="s">
        <v>71</v>
      </c>
      <c r="D46" s="23" t="n">
        <f aca="false">SUMIF('Cash flow'!$E$5:$BL$5,D$4,'Cash flow'!$E$19:$BL$19)</f>
        <v>900000000</v>
      </c>
      <c r="E46" s="23" t="n">
        <f aca="false">SUMIF('Cash flow'!$E$5:$BL$5,E$4,'Cash flow'!$E$19:$BL$19)</f>
        <v>2400000000</v>
      </c>
      <c r="F46" s="23" t="n">
        <f aca="false">SUMIF('Cash flow'!$E$5:$BL$5,F$4,'Cash flow'!$E$19:$BL$19)</f>
        <v>0</v>
      </c>
      <c r="G46" s="23" t="n">
        <f aca="false">SUMIF('Cash flow'!$E$5:$BL$5,G$4,'Cash flow'!$E$19:$BL$19)</f>
        <v>0</v>
      </c>
      <c r="H46" s="23" t="n">
        <f aca="false">SUMIF('Cash flow'!$E$5:$BL$5,H$4,'Cash flow'!$E$19:$BL$19)</f>
        <v>0</v>
      </c>
      <c r="I46" s="55" t="n">
        <f aca="false">SUM(D46:H46)</f>
        <v>3300000000</v>
      </c>
      <c r="K46" s="24" t="n">
        <f aca="false">D46/FX_EUR</f>
        <v>1372041.15513669</v>
      </c>
      <c r="L46" s="24" t="n">
        <f aca="false">E46/FX_EUR</f>
        <v>3658776.41369785</v>
      </c>
      <c r="M46" s="24" t="n">
        <f aca="false">F46/FX_EUR</f>
        <v>0</v>
      </c>
      <c r="N46" s="24" t="n">
        <f aca="false">G46/FX_EUR</f>
        <v>0</v>
      </c>
      <c r="O46" s="24" t="n">
        <f aca="false">H46/FX_EUR</f>
        <v>0</v>
      </c>
      <c r="P46" s="24" t="n">
        <f aca="false">I46/FX_EUR</f>
        <v>5030817.56883454</v>
      </c>
    </row>
    <row r="47" customFormat="false" ht="15" hidden="false" customHeight="false" outlineLevel="0" collapsed="false">
      <c r="A47" s="8" t="s">
        <v>882</v>
      </c>
      <c r="B47" s="14" t="s">
        <v>71</v>
      </c>
      <c r="D47" s="22" t="n">
        <f aca="false">INDEX('Cash flow'!$E$24:$BL$24,1,D$4*12)</f>
        <v>407123092.404967</v>
      </c>
      <c r="E47" s="22" t="n">
        <f aca="false">INDEX('Cash flow'!$E$24:$BL$24,1,E$4*12)</f>
        <v>1580868816.60113</v>
      </c>
      <c r="F47" s="22" t="n">
        <f aca="false">INDEX('Cash flow'!$E$24:$BL$24,1,F$4*12)</f>
        <v>868728096.59819</v>
      </c>
      <c r="G47" s="22" t="n">
        <f aca="false">INDEX('Cash flow'!$E$24:$BL$24,1,G$4*12)</f>
        <v>659094922.711651</v>
      </c>
      <c r="H47" s="22" t="n">
        <f aca="false">INDEX('Cash flow'!$E$24:$BL$24,1,H$4*12)</f>
        <v>1095629629.27104</v>
      </c>
      <c r="K47" s="17" t="n">
        <f aca="false">D47/FX_EUR</f>
        <v>620655.153317926</v>
      </c>
      <c r="L47" s="17" t="n">
        <f aca="false">E47/FX_EUR</f>
        <v>2410018.9747211</v>
      </c>
      <c r="M47" s="17" t="n">
        <f aca="false">F47/FX_EUR</f>
        <v>1324367.4457292</v>
      </c>
      <c r="N47" s="17" t="n">
        <f aca="false">G47/FX_EUR</f>
        <v>1004783.73233558</v>
      </c>
      <c r="O47" s="17" t="n">
        <f aca="false">H47/FX_EUR</f>
        <v>1670276.60238559</v>
      </c>
    </row>
    <row r="49" customFormat="false" ht="15" hidden="false" customHeight="false" outlineLevel="0" collapsed="false">
      <c r="A49" s="10" t="s">
        <v>883</v>
      </c>
      <c r="B49" s="11"/>
      <c r="C49" s="11"/>
      <c r="D49" s="11"/>
      <c r="E49" s="11"/>
      <c r="F49" s="11"/>
      <c r="G49" s="11"/>
      <c r="H49" s="11"/>
      <c r="I49" s="11"/>
    </row>
    <row r="50" customFormat="false" ht="15" hidden="false" customHeight="false" outlineLevel="0" collapsed="false">
      <c r="A50" s="8" t="s">
        <v>796</v>
      </c>
      <c r="B50" s="14" t="s">
        <v>83</v>
      </c>
      <c r="D50" s="22" t="n">
        <f aca="false">INDEX('Clients &amp; revenue'!$E$17:$BL$17,1,D$4*12)</f>
        <v>452.492880928335</v>
      </c>
      <c r="E50" s="22" t="n">
        <f aca="false">INDEX('Clients &amp; revenue'!$E$17:$BL$17,1,E$4*12)</f>
        <v>1644.69008516072</v>
      </c>
      <c r="F50" s="22" t="n">
        <f aca="false">INDEX('Clients &amp; revenue'!$E$17:$BL$17,1,F$4*12)</f>
        <v>3851.89963656643</v>
      </c>
      <c r="G50" s="22" t="n">
        <f aca="false">INDEX('Clients &amp; revenue'!$E$17:$BL$17,1,G$4*12)</f>
        <v>6994.9190692476</v>
      </c>
      <c r="H50" s="22" t="n">
        <f aca="false">INDEX('Clients &amp; revenue'!$E$17:$BL$17,1,H$4*12)</f>
        <v>10979.3790621792</v>
      </c>
    </row>
    <row r="51" customFormat="false" ht="15" hidden="false" customHeight="false" outlineLevel="0" collapsed="false">
      <c r="A51" s="12" t="s">
        <v>884</v>
      </c>
      <c r="B51" s="14" t="s">
        <v>83</v>
      </c>
      <c r="D51" s="23" t="n">
        <f aca="false">INDEX('Clients &amp; revenue'!$E$19:$BL$19,1,D$4*12)</f>
        <v>452.43052454584</v>
      </c>
      <c r="E51" s="23" t="n">
        <f aca="false">INDEX('Clients &amp; revenue'!$E$19:$BL$19,1,E$4*12)</f>
        <v>1398.95730953753</v>
      </c>
      <c r="F51" s="23" t="n">
        <f aca="false">INDEX('Clients &amp; revenue'!$E$19:$BL$19,1,F$4*12)</f>
        <v>2923.14496113931</v>
      </c>
      <c r="G51" s="23" t="n">
        <f aca="false">INDEX('Clients &amp; revenue'!$E$19:$BL$19,1,G$4*12)</f>
        <v>5099.62002810623</v>
      </c>
      <c r="H51" s="23" t="n">
        <f aca="false">INDEX('Clients &amp; revenue'!$E$19:$BL$19,1,H$4*12)</f>
        <v>7652.45809207356</v>
      </c>
    </row>
    <row r="52" customFormat="false" ht="15" hidden="false" customHeight="false" outlineLevel="0" collapsed="false">
      <c r="A52" s="12" t="s">
        <v>885</v>
      </c>
      <c r="B52" s="14" t="s">
        <v>83</v>
      </c>
      <c r="D52" s="23" t="n">
        <f aca="false">INDEX('Clients &amp; revenue'!$E$20:$BL$20,1,D$4*12)</f>
        <v>0</v>
      </c>
      <c r="E52" s="23" t="n">
        <f aca="false">INDEX('Clients &amp; revenue'!$E$20:$BL$20,1,E$4*12)</f>
        <v>244.489141940268</v>
      </c>
      <c r="F52" s="23" t="n">
        <f aca="false">INDEX('Clients &amp; revenue'!$E$20:$BL$20,1,F$4*12)</f>
        <v>922.600868012254</v>
      </c>
      <c r="G52" s="23" t="n">
        <f aca="false">INDEX('Clients &amp; revenue'!$E$20:$BL$20,1,G$4*12)</f>
        <v>1876.41397309488</v>
      </c>
      <c r="H52" s="23" t="n">
        <f aca="false">INDEX('Clients &amp; revenue'!$E$20:$BL$20,1,H$4*12)</f>
        <v>3282.54563473381</v>
      </c>
    </row>
    <row r="53" customFormat="false" ht="15" hidden="false" customHeight="false" outlineLevel="0" collapsed="false">
      <c r="A53" s="12" t="s">
        <v>84</v>
      </c>
      <c r="B53" s="14" t="s">
        <v>83</v>
      </c>
      <c r="D53" s="23" t="n">
        <f aca="false">SUMIF('Sales &amp; marketing'!$E$5:$BL$5,D$4,'Sales &amp; marketing'!$E$33:$BL$33)</f>
        <v>478.708012421807</v>
      </c>
      <c r="E53" s="23" t="n">
        <f aca="false">SUMIF('Sales &amp; marketing'!$E$5:$BL$5,E$4,'Sales &amp; marketing'!$E$33:$BL$33)</f>
        <v>1372.7331441726</v>
      </c>
      <c r="F53" s="23" t="n">
        <f aca="false">SUMIF('Sales &amp; marketing'!$E$5:$BL$5,F$4,'Sales &amp; marketing'!$E$33:$BL$33)</f>
        <v>2719.22387234443</v>
      </c>
      <c r="G53" s="23" t="n">
        <f aca="false">SUMIF('Sales &amp; marketing'!$E$5:$BL$5,G$4,'Sales &amp; marketing'!$E$33:$BL$33)</f>
        <v>4165.42608832767</v>
      </c>
      <c r="H53" s="23" t="n">
        <f aca="false">SUMIF('Sales &amp; marketing'!$E$5:$BL$5,H$4,'Sales &amp; marketing'!$E$33:$BL$33)</f>
        <v>5687.62267642127</v>
      </c>
      <c r="I53" s="55" t="n">
        <f aca="false">SUM(D53:H53)</f>
        <v>14423.7137936878</v>
      </c>
    </row>
    <row r="54" customFormat="false" ht="15" hidden="false" customHeight="false" outlineLevel="0" collapsed="false">
      <c r="A54" s="12" t="s">
        <v>644</v>
      </c>
      <c r="B54" s="14" t="s">
        <v>86</v>
      </c>
      <c r="D54" s="23" t="n">
        <f aca="false">INDEX(Staff!$E$82:$BL$82,1,D$4*12)</f>
        <v>11</v>
      </c>
      <c r="E54" s="23" t="n">
        <f aca="false">INDEX(Staff!$E$82:$BL$82,1,E$4*12)</f>
        <v>21</v>
      </c>
      <c r="F54" s="23" t="n">
        <f aca="false">INDEX(Staff!$E$82:$BL$82,1,F$4*12)</f>
        <v>36</v>
      </c>
      <c r="G54" s="23" t="n">
        <f aca="false">INDEX(Staff!$E$82:$BL$82,1,G$4*12)</f>
        <v>58</v>
      </c>
      <c r="H54" s="23" t="n">
        <f aca="false">INDEX(Staff!$E$82:$BL$82,1,H$4*12)</f>
        <v>84</v>
      </c>
    </row>
    <row r="55" customFormat="false" ht="15" hidden="false" customHeight="false" outlineLevel="0" collapsed="false">
      <c r="A55" s="12" t="s">
        <v>886</v>
      </c>
      <c r="B55" s="14" t="s">
        <v>71</v>
      </c>
      <c r="D55" s="23" t="n">
        <f aca="false">INDEX(Credit!$E$25:$BL$25,1,D$4*12)</f>
        <v>0</v>
      </c>
      <c r="E55" s="23" t="n">
        <f aca="false">INDEX(Credit!$E$25:$BL$25,1,E$4*12)</f>
        <v>535894852.748202</v>
      </c>
      <c r="F55" s="23" t="n">
        <f aca="false">INDEX(Credit!$E$25:$BL$25,1,F$4*12)</f>
        <v>3045185338.79121</v>
      </c>
      <c r="G55" s="23" t="n">
        <f aca="false">INDEX(Credit!$E$25:$BL$25,1,G$4*12)</f>
        <v>5835341738.56982</v>
      </c>
      <c r="H55" s="23" t="n">
        <f aca="false">INDEX(Credit!$E$25:$BL$25,1,H$4*12)</f>
        <v>9163570963.45176</v>
      </c>
      <c r="K55" s="24" t="n">
        <f aca="false">D55/FX_EUR</f>
        <v>0</v>
      </c>
      <c r="L55" s="24" t="n">
        <f aca="false">E55/FX_EUR</f>
        <v>816966.436440501</v>
      </c>
      <c r="M55" s="24" t="n">
        <f aca="false">F55/FX_EUR</f>
        <v>4642355.1220449</v>
      </c>
      <c r="N55" s="24" t="n">
        <f aca="false">G55/FX_EUR</f>
        <v>8895921.1328941</v>
      </c>
      <c r="O55" s="24" t="n">
        <f aca="false">H55/FX_EUR</f>
        <v>13969773.8776349</v>
      </c>
    </row>
    <row r="56" customFormat="false" ht="15" hidden="false" customHeight="false" outlineLevel="0" collapsed="false">
      <c r="A56" s="12" t="s">
        <v>887</v>
      </c>
      <c r="B56" s="14" t="s">
        <v>350</v>
      </c>
      <c r="D56" s="23" t="n">
        <f aca="false">INDEX('Clients &amp; revenue'!$E$32:$BL$32,1,D$4*12)</f>
        <v>0</v>
      </c>
      <c r="E56" s="23" t="n">
        <f aca="false">INDEX('Clients &amp; revenue'!$E$32:$BL$32,1,E$4*12)</f>
        <v>0</v>
      </c>
      <c r="F56" s="23" t="n">
        <f aca="false">INDEX('Clients &amp; revenue'!$E$32:$BL$32,1,F$4*12)</f>
        <v>18357.6986484382</v>
      </c>
      <c r="G56" s="23" t="n">
        <f aca="false">INDEX('Clients &amp; revenue'!$E$32:$BL$32,1,G$4*12)</f>
        <v>33891.458495853</v>
      </c>
      <c r="H56" s="23" t="n">
        <f aca="false">INDEX('Clients &amp; revenue'!$E$32:$BL$32,1,H$4*12)</f>
        <v>54054.7846173139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L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16"/>
    <col collapsed="false" customWidth="true" hidden="false" outlineLevel="0" max="3" min="3" style="0" width="3"/>
    <col collapsed="false" customWidth="true" hidden="false" outlineLevel="0" max="4" min="4" style="0" width="16"/>
    <col collapsed="false" customWidth="true" hidden="false" outlineLevel="0" max="64" min="5" style="0" width="12"/>
  </cols>
  <sheetData>
    <row r="1" customFormat="false" ht="17.35" hidden="false" customHeight="false" outlineLevel="0" collapsed="false">
      <c r="A1" s="7" t="s">
        <v>34</v>
      </c>
    </row>
    <row r="2" customFormat="false" ht="15" hidden="false" customHeight="false" outlineLevel="0" collapsed="false">
      <c r="A2" s="2" t="s">
        <v>888</v>
      </c>
    </row>
    <row r="3" customFormat="false" ht="15" hidden="false" customHeight="false" outlineLevel="0" collapsed="false">
      <c r="A3" s="8" t="s">
        <v>680</v>
      </c>
      <c r="D3" s="8" t="s">
        <v>681</v>
      </c>
      <c r="E3" s="20" t="n">
        <v>1</v>
      </c>
      <c r="F3" s="20" t="n">
        <f aca="false">E3+1</f>
        <v>2</v>
      </c>
      <c r="G3" s="20" t="n">
        <f aca="false">F3+1</f>
        <v>3</v>
      </c>
      <c r="H3" s="20" t="n">
        <f aca="false">G3+1</f>
        <v>4</v>
      </c>
      <c r="I3" s="20" t="n">
        <f aca="false">H3+1</f>
        <v>5</v>
      </c>
      <c r="J3" s="20" t="n">
        <f aca="false">I3+1</f>
        <v>6</v>
      </c>
      <c r="K3" s="20" t="n">
        <f aca="false">J3+1</f>
        <v>7</v>
      </c>
      <c r="L3" s="20" t="n">
        <f aca="false">K3+1</f>
        <v>8</v>
      </c>
      <c r="M3" s="20" t="n">
        <f aca="false">L3+1</f>
        <v>9</v>
      </c>
      <c r="N3" s="20" t="n">
        <f aca="false">M3+1</f>
        <v>10</v>
      </c>
      <c r="O3" s="20" t="n">
        <f aca="false">N3+1</f>
        <v>11</v>
      </c>
      <c r="P3" s="20" t="n">
        <f aca="false">O3+1</f>
        <v>12</v>
      </c>
      <c r="Q3" s="20" t="n">
        <f aca="false">P3+1</f>
        <v>13</v>
      </c>
      <c r="R3" s="20" t="n">
        <f aca="false">Q3+1</f>
        <v>14</v>
      </c>
      <c r="S3" s="20" t="n">
        <f aca="false">R3+1</f>
        <v>15</v>
      </c>
      <c r="T3" s="20" t="n">
        <f aca="false">S3+1</f>
        <v>16</v>
      </c>
      <c r="U3" s="20" t="n">
        <f aca="false">T3+1</f>
        <v>17</v>
      </c>
      <c r="V3" s="20" t="n">
        <f aca="false">U3+1</f>
        <v>18</v>
      </c>
      <c r="W3" s="20" t="n">
        <f aca="false">V3+1</f>
        <v>19</v>
      </c>
      <c r="X3" s="20" t="n">
        <f aca="false">W3+1</f>
        <v>20</v>
      </c>
      <c r="Y3" s="20" t="n">
        <f aca="false">X3+1</f>
        <v>21</v>
      </c>
      <c r="Z3" s="20" t="n">
        <f aca="false">Y3+1</f>
        <v>22</v>
      </c>
      <c r="AA3" s="20" t="n">
        <f aca="false">Z3+1</f>
        <v>23</v>
      </c>
      <c r="AB3" s="20" t="n">
        <f aca="false">AA3+1</f>
        <v>24</v>
      </c>
      <c r="AC3" s="20" t="n">
        <f aca="false">AB3+1</f>
        <v>25</v>
      </c>
      <c r="AD3" s="20" t="n">
        <f aca="false">AC3+1</f>
        <v>26</v>
      </c>
      <c r="AE3" s="20" t="n">
        <f aca="false">AD3+1</f>
        <v>27</v>
      </c>
      <c r="AF3" s="20" t="n">
        <f aca="false">AE3+1</f>
        <v>28</v>
      </c>
      <c r="AG3" s="20" t="n">
        <f aca="false">AF3+1</f>
        <v>29</v>
      </c>
      <c r="AH3" s="20" t="n">
        <f aca="false">AG3+1</f>
        <v>30</v>
      </c>
      <c r="AI3" s="20" t="n">
        <f aca="false">AH3+1</f>
        <v>31</v>
      </c>
      <c r="AJ3" s="20" t="n">
        <f aca="false">AI3+1</f>
        <v>32</v>
      </c>
      <c r="AK3" s="20" t="n">
        <f aca="false">AJ3+1</f>
        <v>33</v>
      </c>
      <c r="AL3" s="20" t="n">
        <f aca="false">AK3+1</f>
        <v>34</v>
      </c>
      <c r="AM3" s="20" t="n">
        <f aca="false">AL3+1</f>
        <v>35</v>
      </c>
      <c r="AN3" s="20" t="n">
        <f aca="false">AM3+1</f>
        <v>36</v>
      </c>
      <c r="AO3" s="20" t="n">
        <f aca="false">AN3+1</f>
        <v>37</v>
      </c>
      <c r="AP3" s="20" t="n">
        <f aca="false">AO3+1</f>
        <v>38</v>
      </c>
      <c r="AQ3" s="20" t="n">
        <f aca="false">AP3+1</f>
        <v>39</v>
      </c>
      <c r="AR3" s="20" t="n">
        <f aca="false">AQ3+1</f>
        <v>40</v>
      </c>
      <c r="AS3" s="20" t="n">
        <f aca="false">AR3+1</f>
        <v>41</v>
      </c>
      <c r="AT3" s="20" t="n">
        <f aca="false">AS3+1</f>
        <v>42</v>
      </c>
      <c r="AU3" s="20" t="n">
        <f aca="false">AT3+1</f>
        <v>43</v>
      </c>
      <c r="AV3" s="20" t="n">
        <f aca="false">AU3+1</f>
        <v>44</v>
      </c>
      <c r="AW3" s="20" t="n">
        <f aca="false">AV3+1</f>
        <v>45</v>
      </c>
      <c r="AX3" s="20" t="n">
        <f aca="false">AW3+1</f>
        <v>46</v>
      </c>
      <c r="AY3" s="20" t="n">
        <f aca="false">AX3+1</f>
        <v>47</v>
      </c>
      <c r="AZ3" s="20" t="n">
        <f aca="false">AY3+1</f>
        <v>48</v>
      </c>
      <c r="BA3" s="20" t="n">
        <f aca="false">AZ3+1</f>
        <v>49</v>
      </c>
      <c r="BB3" s="20" t="n">
        <f aca="false">BA3+1</f>
        <v>50</v>
      </c>
      <c r="BC3" s="20" t="n">
        <f aca="false">BB3+1</f>
        <v>51</v>
      </c>
      <c r="BD3" s="20" t="n">
        <f aca="false">BC3+1</f>
        <v>52</v>
      </c>
      <c r="BE3" s="20" t="n">
        <f aca="false">BD3+1</f>
        <v>53</v>
      </c>
      <c r="BF3" s="20" t="n">
        <f aca="false">BE3+1</f>
        <v>54</v>
      </c>
      <c r="BG3" s="20" t="n">
        <f aca="false">BF3+1</f>
        <v>55</v>
      </c>
      <c r="BH3" s="20" t="n">
        <f aca="false">BG3+1</f>
        <v>56</v>
      </c>
      <c r="BI3" s="20" t="n">
        <f aca="false">BH3+1</f>
        <v>57</v>
      </c>
      <c r="BJ3" s="20" t="n">
        <f aca="false">BI3+1</f>
        <v>58</v>
      </c>
      <c r="BK3" s="20" t="n">
        <f aca="false">BJ3+1</f>
        <v>59</v>
      </c>
      <c r="BL3" s="20" t="n">
        <f aca="false">BK3+1</f>
        <v>60</v>
      </c>
    </row>
    <row r="4" customFormat="false" ht="15" hidden="false" customHeight="false" outlineLevel="0" collapsed="false">
      <c r="A4" s="8" t="s">
        <v>682</v>
      </c>
      <c r="E4" s="53" t="n">
        <f aca="false">DATE(YEAR(Start_Date),MONTH(Start_Date)+E3-1,1)</f>
        <v>46388</v>
      </c>
      <c r="F4" s="53" t="n">
        <f aca="false">DATE(YEAR(Start_Date),MONTH(Start_Date)+F3-1,1)</f>
        <v>46419</v>
      </c>
      <c r="G4" s="53" t="n">
        <f aca="false">DATE(YEAR(Start_Date),MONTH(Start_Date)+G3-1,1)</f>
        <v>46447</v>
      </c>
      <c r="H4" s="53" t="n">
        <f aca="false">DATE(YEAR(Start_Date),MONTH(Start_Date)+H3-1,1)</f>
        <v>46478</v>
      </c>
      <c r="I4" s="53" t="n">
        <f aca="false">DATE(YEAR(Start_Date),MONTH(Start_Date)+I3-1,1)</f>
        <v>46508</v>
      </c>
      <c r="J4" s="53" t="n">
        <f aca="false">DATE(YEAR(Start_Date),MONTH(Start_Date)+J3-1,1)</f>
        <v>46539</v>
      </c>
      <c r="K4" s="53" t="n">
        <f aca="false">DATE(YEAR(Start_Date),MONTH(Start_Date)+K3-1,1)</f>
        <v>46569</v>
      </c>
      <c r="L4" s="53" t="n">
        <f aca="false">DATE(YEAR(Start_Date),MONTH(Start_Date)+L3-1,1)</f>
        <v>46600</v>
      </c>
      <c r="M4" s="53" t="n">
        <f aca="false">DATE(YEAR(Start_Date),MONTH(Start_Date)+M3-1,1)</f>
        <v>46631</v>
      </c>
      <c r="N4" s="53" t="n">
        <f aca="false">DATE(YEAR(Start_Date),MONTH(Start_Date)+N3-1,1)</f>
        <v>46661</v>
      </c>
      <c r="O4" s="53" t="n">
        <f aca="false">DATE(YEAR(Start_Date),MONTH(Start_Date)+O3-1,1)</f>
        <v>46692</v>
      </c>
      <c r="P4" s="53" t="n">
        <f aca="false">DATE(YEAR(Start_Date),MONTH(Start_Date)+P3-1,1)</f>
        <v>46722</v>
      </c>
      <c r="Q4" s="53" t="n">
        <f aca="false">DATE(YEAR(Start_Date),MONTH(Start_Date)+Q3-1,1)</f>
        <v>46753</v>
      </c>
      <c r="R4" s="53" t="n">
        <f aca="false">DATE(YEAR(Start_Date),MONTH(Start_Date)+R3-1,1)</f>
        <v>46784</v>
      </c>
      <c r="S4" s="53" t="n">
        <f aca="false">DATE(YEAR(Start_Date),MONTH(Start_Date)+S3-1,1)</f>
        <v>46813</v>
      </c>
      <c r="T4" s="53" t="n">
        <f aca="false">DATE(YEAR(Start_Date),MONTH(Start_Date)+T3-1,1)</f>
        <v>46844</v>
      </c>
      <c r="U4" s="53" t="n">
        <f aca="false">DATE(YEAR(Start_Date),MONTH(Start_Date)+U3-1,1)</f>
        <v>46874</v>
      </c>
      <c r="V4" s="53" t="n">
        <f aca="false">DATE(YEAR(Start_Date),MONTH(Start_Date)+V3-1,1)</f>
        <v>46905</v>
      </c>
      <c r="W4" s="53" t="n">
        <f aca="false">DATE(YEAR(Start_Date),MONTH(Start_Date)+W3-1,1)</f>
        <v>46935</v>
      </c>
      <c r="X4" s="53" t="n">
        <f aca="false">DATE(YEAR(Start_Date),MONTH(Start_Date)+X3-1,1)</f>
        <v>46966</v>
      </c>
      <c r="Y4" s="53" t="n">
        <f aca="false">DATE(YEAR(Start_Date),MONTH(Start_Date)+Y3-1,1)</f>
        <v>46997</v>
      </c>
      <c r="Z4" s="53" t="n">
        <f aca="false">DATE(YEAR(Start_Date),MONTH(Start_Date)+Z3-1,1)</f>
        <v>47027</v>
      </c>
      <c r="AA4" s="53" t="n">
        <f aca="false">DATE(YEAR(Start_Date),MONTH(Start_Date)+AA3-1,1)</f>
        <v>47058</v>
      </c>
      <c r="AB4" s="53" t="n">
        <f aca="false">DATE(YEAR(Start_Date),MONTH(Start_Date)+AB3-1,1)</f>
        <v>47088</v>
      </c>
      <c r="AC4" s="53" t="n">
        <f aca="false">DATE(YEAR(Start_Date),MONTH(Start_Date)+AC3-1,1)</f>
        <v>47119</v>
      </c>
      <c r="AD4" s="53" t="n">
        <f aca="false">DATE(YEAR(Start_Date),MONTH(Start_Date)+AD3-1,1)</f>
        <v>47150</v>
      </c>
      <c r="AE4" s="53" t="n">
        <f aca="false">DATE(YEAR(Start_Date),MONTH(Start_Date)+AE3-1,1)</f>
        <v>47178</v>
      </c>
      <c r="AF4" s="53" t="n">
        <f aca="false">DATE(YEAR(Start_Date),MONTH(Start_Date)+AF3-1,1)</f>
        <v>47209</v>
      </c>
      <c r="AG4" s="53" t="n">
        <f aca="false">DATE(YEAR(Start_Date),MONTH(Start_Date)+AG3-1,1)</f>
        <v>47239</v>
      </c>
      <c r="AH4" s="53" t="n">
        <f aca="false">DATE(YEAR(Start_Date),MONTH(Start_Date)+AH3-1,1)</f>
        <v>47270</v>
      </c>
      <c r="AI4" s="53" t="n">
        <f aca="false">DATE(YEAR(Start_Date),MONTH(Start_Date)+AI3-1,1)</f>
        <v>47300</v>
      </c>
      <c r="AJ4" s="53" t="n">
        <f aca="false">DATE(YEAR(Start_Date),MONTH(Start_Date)+AJ3-1,1)</f>
        <v>47331</v>
      </c>
      <c r="AK4" s="53" t="n">
        <f aca="false">DATE(YEAR(Start_Date),MONTH(Start_Date)+AK3-1,1)</f>
        <v>47362</v>
      </c>
      <c r="AL4" s="53" t="n">
        <f aca="false">DATE(YEAR(Start_Date),MONTH(Start_Date)+AL3-1,1)</f>
        <v>47392</v>
      </c>
      <c r="AM4" s="53" t="n">
        <f aca="false">DATE(YEAR(Start_Date),MONTH(Start_Date)+AM3-1,1)</f>
        <v>47423</v>
      </c>
      <c r="AN4" s="53" t="n">
        <f aca="false">DATE(YEAR(Start_Date),MONTH(Start_Date)+AN3-1,1)</f>
        <v>47453</v>
      </c>
      <c r="AO4" s="53" t="n">
        <f aca="false">DATE(YEAR(Start_Date),MONTH(Start_Date)+AO3-1,1)</f>
        <v>47484</v>
      </c>
      <c r="AP4" s="53" t="n">
        <f aca="false">DATE(YEAR(Start_Date),MONTH(Start_Date)+AP3-1,1)</f>
        <v>47515</v>
      </c>
      <c r="AQ4" s="53" t="n">
        <f aca="false">DATE(YEAR(Start_Date),MONTH(Start_Date)+AQ3-1,1)</f>
        <v>47543</v>
      </c>
      <c r="AR4" s="53" t="n">
        <f aca="false">DATE(YEAR(Start_Date),MONTH(Start_Date)+AR3-1,1)</f>
        <v>47574</v>
      </c>
      <c r="AS4" s="53" t="n">
        <f aca="false">DATE(YEAR(Start_Date),MONTH(Start_Date)+AS3-1,1)</f>
        <v>47604</v>
      </c>
      <c r="AT4" s="53" t="n">
        <f aca="false">DATE(YEAR(Start_Date),MONTH(Start_Date)+AT3-1,1)</f>
        <v>47635</v>
      </c>
      <c r="AU4" s="53" t="n">
        <f aca="false">DATE(YEAR(Start_Date),MONTH(Start_Date)+AU3-1,1)</f>
        <v>47665</v>
      </c>
      <c r="AV4" s="53" t="n">
        <f aca="false">DATE(YEAR(Start_Date),MONTH(Start_Date)+AV3-1,1)</f>
        <v>47696</v>
      </c>
      <c r="AW4" s="53" t="n">
        <f aca="false">DATE(YEAR(Start_Date),MONTH(Start_Date)+AW3-1,1)</f>
        <v>47727</v>
      </c>
      <c r="AX4" s="53" t="n">
        <f aca="false">DATE(YEAR(Start_Date),MONTH(Start_Date)+AX3-1,1)</f>
        <v>47757</v>
      </c>
      <c r="AY4" s="53" t="n">
        <f aca="false">DATE(YEAR(Start_Date),MONTH(Start_Date)+AY3-1,1)</f>
        <v>47788</v>
      </c>
      <c r="AZ4" s="53" t="n">
        <f aca="false">DATE(YEAR(Start_Date),MONTH(Start_Date)+AZ3-1,1)</f>
        <v>47818</v>
      </c>
      <c r="BA4" s="53" t="n">
        <f aca="false">DATE(YEAR(Start_Date),MONTH(Start_Date)+BA3-1,1)</f>
        <v>47849</v>
      </c>
      <c r="BB4" s="53" t="n">
        <f aca="false">DATE(YEAR(Start_Date),MONTH(Start_Date)+BB3-1,1)</f>
        <v>47880</v>
      </c>
      <c r="BC4" s="53" t="n">
        <f aca="false">DATE(YEAR(Start_Date),MONTH(Start_Date)+BC3-1,1)</f>
        <v>47908</v>
      </c>
      <c r="BD4" s="53" t="n">
        <f aca="false">DATE(YEAR(Start_Date),MONTH(Start_Date)+BD3-1,1)</f>
        <v>47939</v>
      </c>
      <c r="BE4" s="53" t="n">
        <f aca="false">DATE(YEAR(Start_Date),MONTH(Start_Date)+BE3-1,1)</f>
        <v>47969</v>
      </c>
      <c r="BF4" s="53" t="n">
        <f aca="false">DATE(YEAR(Start_Date),MONTH(Start_Date)+BF3-1,1)</f>
        <v>48000</v>
      </c>
      <c r="BG4" s="53" t="n">
        <f aca="false">DATE(YEAR(Start_Date),MONTH(Start_Date)+BG3-1,1)</f>
        <v>48030</v>
      </c>
      <c r="BH4" s="53" t="n">
        <f aca="false">DATE(YEAR(Start_Date),MONTH(Start_Date)+BH3-1,1)</f>
        <v>48061</v>
      </c>
      <c r="BI4" s="53" t="n">
        <f aca="false">DATE(YEAR(Start_Date),MONTH(Start_Date)+BI3-1,1)</f>
        <v>48092</v>
      </c>
      <c r="BJ4" s="53" t="n">
        <f aca="false">DATE(YEAR(Start_Date),MONTH(Start_Date)+BJ3-1,1)</f>
        <v>48122</v>
      </c>
      <c r="BK4" s="53" t="n">
        <f aca="false">DATE(YEAR(Start_Date),MONTH(Start_Date)+BK3-1,1)</f>
        <v>48153</v>
      </c>
      <c r="BL4" s="53" t="n">
        <f aca="false">DATE(YEAR(Start_Date),MONTH(Start_Date)+BL3-1,1)</f>
        <v>48183</v>
      </c>
    </row>
    <row r="5" customFormat="false" ht="15" hidden="false" customHeight="false" outlineLevel="0" collapsed="false">
      <c r="A5" s="8" t="s">
        <v>81</v>
      </c>
      <c r="E5" s="54" t="n">
        <f aca="false">INT((E3-1)/12)+1</f>
        <v>1</v>
      </c>
      <c r="F5" s="54" t="n">
        <f aca="false">INT((F3-1)/12)+1</f>
        <v>1</v>
      </c>
      <c r="G5" s="54" t="n">
        <f aca="false">INT((G3-1)/12)+1</f>
        <v>1</v>
      </c>
      <c r="H5" s="54" t="n">
        <f aca="false">INT((H3-1)/12)+1</f>
        <v>1</v>
      </c>
      <c r="I5" s="54" t="n">
        <f aca="false">INT((I3-1)/12)+1</f>
        <v>1</v>
      </c>
      <c r="J5" s="54" t="n">
        <f aca="false">INT((J3-1)/12)+1</f>
        <v>1</v>
      </c>
      <c r="K5" s="54" t="n">
        <f aca="false">INT((K3-1)/12)+1</f>
        <v>1</v>
      </c>
      <c r="L5" s="54" t="n">
        <f aca="false">INT((L3-1)/12)+1</f>
        <v>1</v>
      </c>
      <c r="M5" s="54" t="n">
        <f aca="false">INT((M3-1)/12)+1</f>
        <v>1</v>
      </c>
      <c r="N5" s="54" t="n">
        <f aca="false">INT((N3-1)/12)+1</f>
        <v>1</v>
      </c>
      <c r="O5" s="54" t="n">
        <f aca="false">INT((O3-1)/12)+1</f>
        <v>1</v>
      </c>
      <c r="P5" s="54" t="n">
        <f aca="false">INT((P3-1)/12)+1</f>
        <v>1</v>
      </c>
      <c r="Q5" s="54" t="n">
        <f aca="false">INT((Q3-1)/12)+1</f>
        <v>2</v>
      </c>
      <c r="R5" s="54" t="n">
        <f aca="false">INT((R3-1)/12)+1</f>
        <v>2</v>
      </c>
      <c r="S5" s="54" t="n">
        <f aca="false">INT((S3-1)/12)+1</f>
        <v>2</v>
      </c>
      <c r="T5" s="54" t="n">
        <f aca="false">INT((T3-1)/12)+1</f>
        <v>2</v>
      </c>
      <c r="U5" s="54" t="n">
        <f aca="false">INT((U3-1)/12)+1</f>
        <v>2</v>
      </c>
      <c r="V5" s="54" t="n">
        <f aca="false">INT((V3-1)/12)+1</f>
        <v>2</v>
      </c>
      <c r="W5" s="54" t="n">
        <f aca="false">INT((W3-1)/12)+1</f>
        <v>2</v>
      </c>
      <c r="X5" s="54" t="n">
        <f aca="false">INT((X3-1)/12)+1</f>
        <v>2</v>
      </c>
      <c r="Y5" s="54" t="n">
        <f aca="false">INT((Y3-1)/12)+1</f>
        <v>2</v>
      </c>
      <c r="Z5" s="54" t="n">
        <f aca="false">INT((Z3-1)/12)+1</f>
        <v>2</v>
      </c>
      <c r="AA5" s="54" t="n">
        <f aca="false">INT((AA3-1)/12)+1</f>
        <v>2</v>
      </c>
      <c r="AB5" s="54" t="n">
        <f aca="false">INT((AB3-1)/12)+1</f>
        <v>2</v>
      </c>
      <c r="AC5" s="54" t="n">
        <f aca="false">INT((AC3-1)/12)+1</f>
        <v>3</v>
      </c>
      <c r="AD5" s="54" t="n">
        <f aca="false">INT((AD3-1)/12)+1</f>
        <v>3</v>
      </c>
      <c r="AE5" s="54" t="n">
        <f aca="false">INT((AE3-1)/12)+1</f>
        <v>3</v>
      </c>
      <c r="AF5" s="54" t="n">
        <f aca="false">INT((AF3-1)/12)+1</f>
        <v>3</v>
      </c>
      <c r="AG5" s="54" t="n">
        <f aca="false">INT((AG3-1)/12)+1</f>
        <v>3</v>
      </c>
      <c r="AH5" s="54" t="n">
        <f aca="false">INT((AH3-1)/12)+1</f>
        <v>3</v>
      </c>
      <c r="AI5" s="54" t="n">
        <f aca="false">INT((AI3-1)/12)+1</f>
        <v>3</v>
      </c>
      <c r="AJ5" s="54" t="n">
        <f aca="false">INT((AJ3-1)/12)+1</f>
        <v>3</v>
      </c>
      <c r="AK5" s="54" t="n">
        <f aca="false">INT((AK3-1)/12)+1</f>
        <v>3</v>
      </c>
      <c r="AL5" s="54" t="n">
        <f aca="false">INT((AL3-1)/12)+1</f>
        <v>3</v>
      </c>
      <c r="AM5" s="54" t="n">
        <f aca="false">INT((AM3-1)/12)+1</f>
        <v>3</v>
      </c>
      <c r="AN5" s="54" t="n">
        <f aca="false">INT((AN3-1)/12)+1</f>
        <v>3</v>
      </c>
      <c r="AO5" s="54" t="n">
        <f aca="false">INT((AO3-1)/12)+1</f>
        <v>4</v>
      </c>
      <c r="AP5" s="54" t="n">
        <f aca="false">INT((AP3-1)/12)+1</f>
        <v>4</v>
      </c>
      <c r="AQ5" s="54" t="n">
        <f aca="false">INT((AQ3-1)/12)+1</f>
        <v>4</v>
      </c>
      <c r="AR5" s="54" t="n">
        <f aca="false">INT((AR3-1)/12)+1</f>
        <v>4</v>
      </c>
      <c r="AS5" s="54" t="n">
        <f aca="false">INT((AS3-1)/12)+1</f>
        <v>4</v>
      </c>
      <c r="AT5" s="54" t="n">
        <f aca="false">INT((AT3-1)/12)+1</f>
        <v>4</v>
      </c>
      <c r="AU5" s="54" t="n">
        <f aca="false">INT((AU3-1)/12)+1</f>
        <v>4</v>
      </c>
      <c r="AV5" s="54" t="n">
        <f aca="false">INT((AV3-1)/12)+1</f>
        <v>4</v>
      </c>
      <c r="AW5" s="54" t="n">
        <f aca="false">INT((AW3-1)/12)+1</f>
        <v>4</v>
      </c>
      <c r="AX5" s="54" t="n">
        <f aca="false">INT((AX3-1)/12)+1</f>
        <v>4</v>
      </c>
      <c r="AY5" s="54" t="n">
        <f aca="false">INT((AY3-1)/12)+1</f>
        <v>4</v>
      </c>
      <c r="AZ5" s="54" t="n">
        <f aca="false">INT((AZ3-1)/12)+1</f>
        <v>4</v>
      </c>
      <c r="BA5" s="54" t="n">
        <f aca="false">INT((BA3-1)/12)+1</f>
        <v>5</v>
      </c>
      <c r="BB5" s="54" t="n">
        <f aca="false">INT((BB3-1)/12)+1</f>
        <v>5</v>
      </c>
      <c r="BC5" s="54" t="n">
        <f aca="false">INT((BC3-1)/12)+1</f>
        <v>5</v>
      </c>
      <c r="BD5" s="54" t="n">
        <f aca="false">INT((BD3-1)/12)+1</f>
        <v>5</v>
      </c>
      <c r="BE5" s="54" t="n">
        <f aca="false">INT((BE3-1)/12)+1</f>
        <v>5</v>
      </c>
      <c r="BF5" s="54" t="n">
        <f aca="false">INT((BF3-1)/12)+1</f>
        <v>5</v>
      </c>
      <c r="BG5" s="54" t="n">
        <f aca="false">INT((BG3-1)/12)+1</f>
        <v>5</v>
      </c>
      <c r="BH5" s="54" t="n">
        <f aca="false">INT((BH3-1)/12)+1</f>
        <v>5</v>
      </c>
      <c r="BI5" s="54" t="n">
        <f aca="false">INT((BI3-1)/12)+1</f>
        <v>5</v>
      </c>
      <c r="BJ5" s="54" t="n">
        <f aca="false">INT((BJ3-1)/12)+1</f>
        <v>5</v>
      </c>
      <c r="BK5" s="54" t="n">
        <f aca="false">INT((BK3-1)/12)+1</f>
        <v>5</v>
      </c>
      <c r="BL5" s="54" t="n">
        <f aca="false">INT((BL3-1)/12)+1</f>
        <v>5</v>
      </c>
    </row>
    <row r="8" customFormat="false" ht="15" hidden="false" customHeight="false" outlineLevel="0" collapsed="false">
      <c r="A8" s="10" t="s">
        <v>889</v>
      </c>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row>
    <row r="9" customFormat="false" ht="15" hidden="false" customHeight="false" outlineLevel="0" collapsed="false">
      <c r="A9" s="12" t="s">
        <v>94</v>
      </c>
      <c r="B9" s="14" t="s">
        <v>71</v>
      </c>
      <c r="D9" s="55" t="n">
        <f aca="false">SUM(E9:BL9)</f>
        <v>-257373956.266098</v>
      </c>
      <c r="E9" s="23" t="n">
        <f aca="false">'P&amp;L monthly'!E42</f>
        <v>-32038689.27</v>
      </c>
      <c r="F9" s="23" t="n">
        <f aca="false">'P&amp;L monthly'!F42</f>
        <v>-40443918.9</v>
      </c>
      <c r="G9" s="23" t="n">
        <f aca="false">'P&amp;L monthly'!G42</f>
        <v>-55143918.9</v>
      </c>
      <c r="H9" s="23" t="n">
        <f aca="false">'P&amp;L monthly'!H42</f>
        <v>-36780498.3</v>
      </c>
      <c r="I9" s="23" t="n">
        <f aca="false">'P&amp;L monthly'!I42</f>
        <v>-36584922.3883333</v>
      </c>
      <c r="J9" s="23" t="n">
        <f aca="false">'P&amp;L monthly'!J42</f>
        <v>-36094620.695</v>
      </c>
      <c r="K9" s="23" t="n">
        <f aca="false">'P&amp;L monthly'!K42</f>
        <v>-35949623.1656792</v>
      </c>
      <c r="L9" s="23" t="n">
        <f aca="false">'P&amp;L monthly'!L42</f>
        <v>-34650351.3657444</v>
      </c>
      <c r="M9" s="23" t="n">
        <f aca="false">'P&amp;L monthly'!M42</f>
        <v>-33307027.6831988</v>
      </c>
      <c r="N9" s="23" t="n">
        <f aca="false">'P&amp;L monthly'!N42</f>
        <v>-31966371.0552118</v>
      </c>
      <c r="O9" s="23" t="n">
        <f aca="false">'P&amp;L monthly'!O42</f>
        <v>-30627494.2027159</v>
      </c>
      <c r="P9" s="23" t="n">
        <f aca="false">'P&amp;L monthly'!P42</f>
        <v>-29289471.6691498</v>
      </c>
      <c r="Q9" s="23" t="n">
        <f aca="false">'P&amp;L monthly'!Q42</f>
        <v>-42621327.3817538</v>
      </c>
      <c r="R9" s="23" t="n">
        <f aca="false">'P&amp;L monthly'!R42</f>
        <v>-40341598.6961251</v>
      </c>
      <c r="S9" s="23" t="n">
        <f aca="false">'P&amp;L monthly'!S42</f>
        <v>-44394113.904715</v>
      </c>
      <c r="T9" s="23" t="n">
        <f aca="false">'P&amp;L monthly'!T42</f>
        <v>-64708270.7113005</v>
      </c>
      <c r="U9" s="23" t="n">
        <f aca="false">'P&amp;L monthly'!U42</f>
        <v>-37420406.5140776</v>
      </c>
      <c r="V9" s="23" t="n">
        <f aca="false">'P&amp;L monthly'!V42</f>
        <v>-44769273.76496</v>
      </c>
      <c r="W9" s="23" t="n">
        <f aca="false">'P&amp;L monthly'!W42</f>
        <v>-45615659.8184191</v>
      </c>
      <c r="X9" s="23" t="n">
        <f aca="false">'P&amp;L monthly'!X42</f>
        <v>-43593376.5936364</v>
      </c>
      <c r="Y9" s="23" t="n">
        <f aca="false">'P&amp;L monthly'!Y42</f>
        <v>-41828079.3506225</v>
      </c>
      <c r="Z9" s="23" t="n">
        <f aca="false">'P&amp;L monthly'!Z42</f>
        <v>-38849842.935124</v>
      </c>
      <c r="AA9" s="23" t="n">
        <f aca="false">'P&amp;L monthly'!AA42</f>
        <v>-37932894.876036</v>
      </c>
      <c r="AB9" s="23" t="n">
        <f aca="false">'P&amp;L monthly'!AB42</f>
        <v>-40589945.9822493</v>
      </c>
      <c r="AC9" s="23" t="n">
        <f aca="false">'P&amp;L monthly'!AC42</f>
        <v>-44629218.8592907</v>
      </c>
      <c r="AD9" s="23" t="n">
        <f aca="false">'P&amp;L monthly'!AD42</f>
        <v>-40718430.8562805</v>
      </c>
      <c r="AE9" s="23" t="n">
        <f aca="false">'P&amp;L monthly'!AE42</f>
        <v>-42310078.915746</v>
      </c>
      <c r="AF9" s="23" t="n">
        <f aca="false">'P&amp;L monthly'!AF42</f>
        <v>-42534334.220092</v>
      </c>
      <c r="AG9" s="23" t="n">
        <f aca="false">'P&amp;L monthly'!AG42</f>
        <v>-45650340.3416119</v>
      </c>
      <c r="AH9" s="23" t="n">
        <f aca="false">'P&amp;L monthly'!AH42</f>
        <v>-29705726.4425025</v>
      </c>
      <c r="AI9" s="23" t="n">
        <f aca="false">'P&amp;L monthly'!AI42</f>
        <v>-26951044.205576</v>
      </c>
      <c r="AJ9" s="23" t="n">
        <f aca="false">'P&amp;L monthly'!AJ42</f>
        <v>-22276971.2300586</v>
      </c>
      <c r="AK9" s="23" t="n">
        <f aca="false">'P&amp;L monthly'!AK42</f>
        <v>-18913774.0594313</v>
      </c>
      <c r="AL9" s="23" t="n">
        <f aca="false">'P&amp;L monthly'!AL42</f>
        <v>-15205195.8227117</v>
      </c>
      <c r="AM9" s="23" t="n">
        <f aca="false">'P&amp;L monthly'!AM42</f>
        <v>-10642040.8209763</v>
      </c>
      <c r="AN9" s="23" t="n">
        <f aca="false">'P&amp;L monthly'!AN42</f>
        <v>-5942501.93604539</v>
      </c>
      <c r="AO9" s="23" t="n">
        <f aca="false">'P&amp;L monthly'!AO42</f>
        <v>-15908629.530555</v>
      </c>
      <c r="AP9" s="23" t="n">
        <f aca="false">'P&amp;L monthly'!AP42</f>
        <v>-6781761.77271888</v>
      </c>
      <c r="AQ9" s="23" t="n">
        <f aca="false">'P&amp;L monthly'!AQ42</f>
        <v>-3076870.10588487</v>
      </c>
      <c r="AR9" s="23" t="n">
        <f aca="false">'P&amp;L monthly'!AR42</f>
        <v>-3388322.71326409</v>
      </c>
      <c r="AS9" s="23" t="n">
        <f aca="false">'P&amp;L monthly'!AS42</f>
        <v>3887813.76283531</v>
      </c>
      <c r="AT9" s="23" t="n">
        <f aca="false">'P&amp;L monthly'!AT42</f>
        <v>12239113.7791679</v>
      </c>
      <c r="AU9" s="23" t="n">
        <f aca="false">'P&amp;L monthly'!AU42</f>
        <v>18174304.0411203</v>
      </c>
      <c r="AV9" s="23" t="n">
        <f aca="false">'P&amp;L monthly'!AV42</f>
        <v>23174404.0499269</v>
      </c>
      <c r="AW9" s="23" t="n">
        <f aca="false">'P&amp;L monthly'!AW42</f>
        <v>26153904.582711</v>
      </c>
      <c r="AX9" s="23" t="n">
        <f aca="false">'P&amp;L monthly'!AX42</f>
        <v>29836293.484664</v>
      </c>
      <c r="AY9" s="23" t="n">
        <f aca="false">'P&amp;L monthly'!AY42</f>
        <v>38736635.3223993</v>
      </c>
      <c r="AZ9" s="23" t="n">
        <f aca="false">'P&amp;L monthly'!AZ42</f>
        <v>43891128.8571759</v>
      </c>
      <c r="BA9" s="23" t="n">
        <f aca="false">'P&amp;L monthly'!BA42</f>
        <v>41496519.1852003</v>
      </c>
      <c r="BB9" s="23" t="n">
        <f aca="false">'P&amp;L monthly'!BB42</f>
        <v>45234967.7377851</v>
      </c>
      <c r="BC9" s="23" t="n">
        <f aca="false">'P&amp;L monthly'!BC42</f>
        <v>52088616.1645114</v>
      </c>
      <c r="BD9" s="23" t="n">
        <f aca="false">'P&amp;L monthly'!BD42</f>
        <v>48607224.6643737</v>
      </c>
      <c r="BE9" s="23" t="n">
        <f aca="false">'P&amp;L monthly'!BE42</f>
        <v>64357491.939052</v>
      </c>
      <c r="BF9" s="23" t="n">
        <f aca="false">'P&amp;L monthly'!BF42</f>
        <v>67380801.1859545</v>
      </c>
      <c r="BG9" s="23" t="n">
        <f aca="false">'P&amp;L monthly'!BG42</f>
        <v>76739609.0383233</v>
      </c>
      <c r="BH9" s="23" t="n">
        <f aca="false">'P&amp;L monthly'!BH42</f>
        <v>83627791.2748913</v>
      </c>
      <c r="BI9" s="23" t="n">
        <f aca="false">'P&amp;L monthly'!BI42</f>
        <v>92020404.7821723</v>
      </c>
      <c r="BJ9" s="23" t="n">
        <f aca="false">'P&amp;L monthly'!BJ42</f>
        <v>91748317.0614453</v>
      </c>
      <c r="BK9" s="23" t="n">
        <f aca="false">'P&amp;L monthly'!BK42</f>
        <v>102145851.520055</v>
      </c>
      <c r="BL9" s="23" t="n">
        <f aca="false">'P&amp;L monthly'!BL42</f>
        <v>111261791.256935</v>
      </c>
    </row>
    <row r="11" customFormat="false" ht="15" hidden="false" customHeight="false" outlineLevel="0" collapsed="false">
      <c r="A11" s="10" t="s">
        <v>890</v>
      </c>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1"/>
      <c r="BL11" s="11"/>
    </row>
    <row r="12" customFormat="false" ht="15" hidden="false" customHeight="false" outlineLevel="0" collapsed="false">
      <c r="A12" s="12" t="s">
        <v>891</v>
      </c>
      <c r="B12" s="14" t="s">
        <v>71</v>
      </c>
      <c r="D12" s="55" t="n">
        <f aca="false">SUM(E12:BL12)</f>
        <v>-60000000</v>
      </c>
      <c r="E12" s="37" t="n">
        <f aca="false">-IF(E$3=Collateral_Month,Card_Collateral,0)</f>
        <v>-0</v>
      </c>
      <c r="F12" s="37" t="n">
        <f aca="false">-IF(F$3=Collateral_Month,Card_Collateral,0)</f>
        <v>-0</v>
      </c>
      <c r="G12" s="37" t="n">
        <f aca="false">-IF(G$3=Collateral_Month,Card_Collateral,0)</f>
        <v>-0</v>
      </c>
      <c r="H12" s="37" t="n">
        <f aca="false">-IF(H$3=Collateral_Month,Card_Collateral,0)</f>
        <v>-60000000</v>
      </c>
      <c r="I12" s="37" t="n">
        <f aca="false">-IF(I$3=Collateral_Month,Card_Collateral,0)</f>
        <v>-0</v>
      </c>
      <c r="J12" s="37" t="n">
        <f aca="false">-IF(J$3=Collateral_Month,Card_Collateral,0)</f>
        <v>-0</v>
      </c>
      <c r="K12" s="37" t="n">
        <f aca="false">-IF(K$3=Collateral_Month,Card_Collateral,0)</f>
        <v>-0</v>
      </c>
      <c r="L12" s="37" t="n">
        <f aca="false">-IF(L$3=Collateral_Month,Card_Collateral,0)</f>
        <v>-0</v>
      </c>
      <c r="M12" s="37" t="n">
        <f aca="false">-IF(M$3=Collateral_Month,Card_Collateral,0)</f>
        <v>-0</v>
      </c>
      <c r="N12" s="37" t="n">
        <f aca="false">-IF(N$3=Collateral_Month,Card_Collateral,0)</f>
        <v>-0</v>
      </c>
      <c r="O12" s="37" t="n">
        <f aca="false">-IF(O$3=Collateral_Month,Card_Collateral,0)</f>
        <v>-0</v>
      </c>
      <c r="P12" s="37" t="n">
        <f aca="false">-IF(P$3=Collateral_Month,Card_Collateral,0)</f>
        <v>-0</v>
      </c>
      <c r="Q12" s="37" t="n">
        <f aca="false">-IF(Q$3=Collateral_Month,Card_Collateral,0)</f>
        <v>-0</v>
      </c>
      <c r="R12" s="37" t="n">
        <f aca="false">-IF(R$3=Collateral_Month,Card_Collateral,0)</f>
        <v>-0</v>
      </c>
      <c r="S12" s="37" t="n">
        <f aca="false">-IF(S$3=Collateral_Month,Card_Collateral,0)</f>
        <v>-0</v>
      </c>
      <c r="T12" s="37" t="n">
        <f aca="false">-IF(T$3=Collateral_Month,Card_Collateral,0)</f>
        <v>-0</v>
      </c>
      <c r="U12" s="37" t="n">
        <f aca="false">-IF(U$3=Collateral_Month,Card_Collateral,0)</f>
        <v>-0</v>
      </c>
      <c r="V12" s="37" t="n">
        <f aca="false">-IF(V$3=Collateral_Month,Card_Collateral,0)</f>
        <v>-0</v>
      </c>
      <c r="W12" s="37" t="n">
        <f aca="false">-IF(W$3=Collateral_Month,Card_Collateral,0)</f>
        <v>-0</v>
      </c>
      <c r="X12" s="37" t="n">
        <f aca="false">-IF(X$3=Collateral_Month,Card_Collateral,0)</f>
        <v>-0</v>
      </c>
      <c r="Y12" s="37" t="n">
        <f aca="false">-IF(Y$3=Collateral_Month,Card_Collateral,0)</f>
        <v>-0</v>
      </c>
      <c r="Z12" s="37" t="n">
        <f aca="false">-IF(Z$3=Collateral_Month,Card_Collateral,0)</f>
        <v>-0</v>
      </c>
      <c r="AA12" s="37" t="n">
        <f aca="false">-IF(AA$3=Collateral_Month,Card_Collateral,0)</f>
        <v>-0</v>
      </c>
      <c r="AB12" s="37" t="n">
        <f aca="false">-IF(AB$3=Collateral_Month,Card_Collateral,0)</f>
        <v>-0</v>
      </c>
      <c r="AC12" s="37" t="n">
        <f aca="false">-IF(AC$3=Collateral_Month,Card_Collateral,0)</f>
        <v>-0</v>
      </c>
      <c r="AD12" s="37" t="n">
        <f aca="false">-IF(AD$3=Collateral_Month,Card_Collateral,0)</f>
        <v>-0</v>
      </c>
      <c r="AE12" s="37" t="n">
        <f aca="false">-IF(AE$3=Collateral_Month,Card_Collateral,0)</f>
        <v>-0</v>
      </c>
      <c r="AF12" s="37" t="n">
        <f aca="false">-IF(AF$3=Collateral_Month,Card_Collateral,0)</f>
        <v>-0</v>
      </c>
      <c r="AG12" s="37" t="n">
        <f aca="false">-IF(AG$3=Collateral_Month,Card_Collateral,0)</f>
        <v>-0</v>
      </c>
      <c r="AH12" s="37" t="n">
        <f aca="false">-IF(AH$3=Collateral_Month,Card_Collateral,0)</f>
        <v>-0</v>
      </c>
      <c r="AI12" s="37" t="n">
        <f aca="false">-IF(AI$3=Collateral_Month,Card_Collateral,0)</f>
        <v>-0</v>
      </c>
      <c r="AJ12" s="37" t="n">
        <f aca="false">-IF(AJ$3=Collateral_Month,Card_Collateral,0)</f>
        <v>-0</v>
      </c>
      <c r="AK12" s="37" t="n">
        <f aca="false">-IF(AK$3=Collateral_Month,Card_Collateral,0)</f>
        <v>-0</v>
      </c>
      <c r="AL12" s="37" t="n">
        <f aca="false">-IF(AL$3=Collateral_Month,Card_Collateral,0)</f>
        <v>-0</v>
      </c>
      <c r="AM12" s="37" t="n">
        <f aca="false">-IF(AM$3=Collateral_Month,Card_Collateral,0)</f>
        <v>-0</v>
      </c>
      <c r="AN12" s="37" t="n">
        <f aca="false">-IF(AN$3=Collateral_Month,Card_Collateral,0)</f>
        <v>-0</v>
      </c>
      <c r="AO12" s="37" t="n">
        <f aca="false">-IF(AO$3=Collateral_Month,Card_Collateral,0)</f>
        <v>-0</v>
      </c>
      <c r="AP12" s="37" t="n">
        <f aca="false">-IF(AP$3=Collateral_Month,Card_Collateral,0)</f>
        <v>-0</v>
      </c>
      <c r="AQ12" s="37" t="n">
        <f aca="false">-IF(AQ$3=Collateral_Month,Card_Collateral,0)</f>
        <v>-0</v>
      </c>
      <c r="AR12" s="37" t="n">
        <f aca="false">-IF(AR$3=Collateral_Month,Card_Collateral,0)</f>
        <v>-0</v>
      </c>
      <c r="AS12" s="37" t="n">
        <f aca="false">-IF(AS$3=Collateral_Month,Card_Collateral,0)</f>
        <v>-0</v>
      </c>
      <c r="AT12" s="37" t="n">
        <f aca="false">-IF(AT$3=Collateral_Month,Card_Collateral,0)</f>
        <v>-0</v>
      </c>
      <c r="AU12" s="37" t="n">
        <f aca="false">-IF(AU$3=Collateral_Month,Card_Collateral,0)</f>
        <v>-0</v>
      </c>
      <c r="AV12" s="37" t="n">
        <f aca="false">-IF(AV$3=Collateral_Month,Card_Collateral,0)</f>
        <v>-0</v>
      </c>
      <c r="AW12" s="37" t="n">
        <f aca="false">-IF(AW$3=Collateral_Month,Card_Collateral,0)</f>
        <v>-0</v>
      </c>
      <c r="AX12" s="37" t="n">
        <f aca="false">-IF(AX$3=Collateral_Month,Card_Collateral,0)</f>
        <v>-0</v>
      </c>
      <c r="AY12" s="37" t="n">
        <f aca="false">-IF(AY$3=Collateral_Month,Card_Collateral,0)</f>
        <v>-0</v>
      </c>
      <c r="AZ12" s="37" t="n">
        <f aca="false">-IF(AZ$3=Collateral_Month,Card_Collateral,0)</f>
        <v>-0</v>
      </c>
      <c r="BA12" s="37" t="n">
        <f aca="false">-IF(BA$3=Collateral_Month,Card_Collateral,0)</f>
        <v>-0</v>
      </c>
      <c r="BB12" s="37" t="n">
        <f aca="false">-IF(BB$3=Collateral_Month,Card_Collateral,0)</f>
        <v>-0</v>
      </c>
      <c r="BC12" s="37" t="n">
        <f aca="false">-IF(BC$3=Collateral_Month,Card_Collateral,0)</f>
        <v>-0</v>
      </c>
      <c r="BD12" s="37" t="n">
        <f aca="false">-IF(BD$3=Collateral_Month,Card_Collateral,0)</f>
        <v>-0</v>
      </c>
      <c r="BE12" s="37" t="n">
        <f aca="false">-IF(BE$3=Collateral_Month,Card_Collateral,0)</f>
        <v>-0</v>
      </c>
      <c r="BF12" s="37" t="n">
        <f aca="false">-IF(BF$3=Collateral_Month,Card_Collateral,0)</f>
        <v>-0</v>
      </c>
      <c r="BG12" s="37" t="n">
        <f aca="false">-IF(BG$3=Collateral_Month,Card_Collateral,0)</f>
        <v>-0</v>
      </c>
      <c r="BH12" s="37" t="n">
        <f aca="false">-IF(BH$3=Collateral_Month,Card_Collateral,0)</f>
        <v>-0</v>
      </c>
      <c r="BI12" s="37" t="n">
        <f aca="false">-IF(BI$3=Collateral_Month,Card_Collateral,0)</f>
        <v>-0</v>
      </c>
      <c r="BJ12" s="37" t="n">
        <f aca="false">-IF(BJ$3=Collateral_Month,Card_Collateral,0)</f>
        <v>-0</v>
      </c>
      <c r="BK12" s="37" t="n">
        <f aca="false">-IF(BK$3=Collateral_Month,Card_Collateral,0)</f>
        <v>-0</v>
      </c>
      <c r="BL12" s="37" t="n">
        <f aca="false">-IF(BL$3=Collateral_Month,Card_Collateral,0)</f>
        <v>-0</v>
      </c>
    </row>
    <row r="13" customFormat="false" ht="15" hidden="false" customHeight="false" outlineLevel="0" collapsed="false">
      <c r="A13" s="12" t="s">
        <v>487</v>
      </c>
      <c r="B13" s="14" t="s">
        <v>71</v>
      </c>
      <c r="D13" s="55" t="n">
        <f aca="false">SUM(E13:BL13)</f>
        <v>-650000000</v>
      </c>
      <c r="E13" s="37" t="n">
        <f aca="false">-IF(E$3=SFD_Acq_Month,SFD_Acquisition,0)</f>
        <v>-0</v>
      </c>
      <c r="F13" s="37" t="n">
        <f aca="false">-IF(F$3=SFD_Acq_Month,SFD_Acquisition,0)</f>
        <v>-0</v>
      </c>
      <c r="G13" s="37" t="n">
        <f aca="false">-IF(G$3=SFD_Acq_Month,SFD_Acquisition,0)</f>
        <v>-0</v>
      </c>
      <c r="H13" s="37" t="n">
        <f aca="false">-IF(H$3=SFD_Acq_Month,SFD_Acquisition,0)</f>
        <v>-0</v>
      </c>
      <c r="I13" s="37" t="n">
        <f aca="false">-IF(I$3=SFD_Acq_Month,SFD_Acquisition,0)</f>
        <v>-0</v>
      </c>
      <c r="J13" s="37" t="n">
        <f aca="false">-IF(J$3=SFD_Acq_Month,SFD_Acquisition,0)</f>
        <v>-0</v>
      </c>
      <c r="K13" s="37" t="n">
        <f aca="false">-IF(K$3=SFD_Acq_Month,SFD_Acquisition,0)</f>
        <v>-0</v>
      </c>
      <c r="L13" s="37" t="n">
        <f aca="false">-IF(L$3=SFD_Acq_Month,SFD_Acquisition,0)</f>
        <v>-0</v>
      </c>
      <c r="M13" s="37" t="n">
        <f aca="false">-IF(M$3=SFD_Acq_Month,SFD_Acquisition,0)</f>
        <v>-0</v>
      </c>
      <c r="N13" s="37" t="n">
        <f aca="false">-IF(N$3=SFD_Acq_Month,SFD_Acquisition,0)</f>
        <v>-0</v>
      </c>
      <c r="O13" s="37" t="n">
        <f aca="false">-IF(O$3=SFD_Acq_Month,SFD_Acquisition,0)</f>
        <v>-0</v>
      </c>
      <c r="P13" s="37" t="n">
        <f aca="false">-IF(P$3=SFD_Acq_Month,SFD_Acquisition,0)</f>
        <v>-0</v>
      </c>
      <c r="Q13" s="37" t="n">
        <f aca="false">-IF(Q$3=SFD_Acq_Month,SFD_Acquisition,0)</f>
        <v>-0</v>
      </c>
      <c r="R13" s="37" t="n">
        <f aca="false">-IF(R$3=SFD_Acq_Month,SFD_Acquisition,0)</f>
        <v>-0</v>
      </c>
      <c r="S13" s="37" t="n">
        <f aca="false">-IF(S$3=SFD_Acq_Month,SFD_Acquisition,0)</f>
        <v>-0</v>
      </c>
      <c r="T13" s="37" t="n">
        <f aca="false">-IF(T$3=SFD_Acq_Month,SFD_Acquisition,0)</f>
        <v>-0</v>
      </c>
      <c r="U13" s="37" t="n">
        <f aca="false">-IF(U$3=SFD_Acq_Month,SFD_Acquisition,0)</f>
        <v>-0</v>
      </c>
      <c r="V13" s="37" t="n">
        <f aca="false">-IF(V$3=SFD_Acq_Month,SFD_Acquisition,0)</f>
        <v>-0</v>
      </c>
      <c r="W13" s="37" t="n">
        <f aca="false">-IF(W$3=SFD_Acq_Month,SFD_Acquisition,0)</f>
        <v>-0</v>
      </c>
      <c r="X13" s="37" t="n">
        <f aca="false">-IF(X$3=SFD_Acq_Month,SFD_Acquisition,0)</f>
        <v>-0</v>
      </c>
      <c r="Y13" s="37" t="n">
        <f aca="false">-IF(Y$3=SFD_Acq_Month,SFD_Acquisition,0)</f>
        <v>-0</v>
      </c>
      <c r="Z13" s="37" t="n">
        <f aca="false">-IF(Z$3=SFD_Acq_Month,SFD_Acquisition,0)</f>
        <v>-0</v>
      </c>
      <c r="AA13" s="37" t="n">
        <f aca="false">-IF(AA$3=SFD_Acq_Month,SFD_Acquisition,0)</f>
        <v>-0</v>
      </c>
      <c r="AB13" s="37" t="n">
        <f aca="false">-IF(AB$3=SFD_Acq_Month,SFD_Acquisition,0)</f>
        <v>-650000000</v>
      </c>
      <c r="AC13" s="37" t="n">
        <f aca="false">-IF(AC$3=SFD_Acq_Month,SFD_Acquisition,0)</f>
        <v>-0</v>
      </c>
      <c r="AD13" s="37" t="n">
        <f aca="false">-IF(AD$3=SFD_Acq_Month,SFD_Acquisition,0)</f>
        <v>-0</v>
      </c>
      <c r="AE13" s="37" t="n">
        <f aca="false">-IF(AE$3=SFD_Acq_Month,SFD_Acquisition,0)</f>
        <v>-0</v>
      </c>
      <c r="AF13" s="37" t="n">
        <f aca="false">-IF(AF$3=SFD_Acq_Month,SFD_Acquisition,0)</f>
        <v>-0</v>
      </c>
      <c r="AG13" s="37" t="n">
        <f aca="false">-IF(AG$3=SFD_Acq_Month,SFD_Acquisition,0)</f>
        <v>-0</v>
      </c>
      <c r="AH13" s="37" t="n">
        <f aca="false">-IF(AH$3=SFD_Acq_Month,SFD_Acquisition,0)</f>
        <v>-0</v>
      </c>
      <c r="AI13" s="37" t="n">
        <f aca="false">-IF(AI$3=SFD_Acq_Month,SFD_Acquisition,0)</f>
        <v>-0</v>
      </c>
      <c r="AJ13" s="37" t="n">
        <f aca="false">-IF(AJ$3=SFD_Acq_Month,SFD_Acquisition,0)</f>
        <v>-0</v>
      </c>
      <c r="AK13" s="37" t="n">
        <f aca="false">-IF(AK$3=SFD_Acq_Month,SFD_Acquisition,0)</f>
        <v>-0</v>
      </c>
      <c r="AL13" s="37" t="n">
        <f aca="false">-IF(AL$3=SFD_Acq_Month,SFD_Acquisition,0)</f>
        <v>-0</v>
      </c>
      <c r="AM13" s="37" t="n">
        <f aca="false">-IF(AM$3=SFD_Acq_Month,SFD_Acquisition,0)</f>
        <v>-0</v>
      </c>
      <c r="AN13" s="37" t="n">
        <f aca="false">-IF(AN$3=SFD_Acq_Month,SFD_Acquisition,0)</f>
        <v>-0</v>
      </c>
      <c r="AO13" s="37" t="n">
        <f aca="false">-IF(AO$3=SFD_Acq_Month,SFD_Acquisition,0)</f>
        <v>-0</v>
      </c>
      <c r="AP13" s="37" t="n">
        <f aca="false">-IF(AP$3=SFD_Acq_Month,SFD_Acquisition,0)</f>
        <v>-0</v>
      </c>
      <c r="AQ13" s="37" t="n">
        <f aca="false">-IF(AQ$3=SFD_Acq_Month,SFD_Acquisition,0)</f>
        <v>-0</v>
      </c>
      <c r="AR13" s="37" t="n">
        <f aca="false">-IF(AR$3=SFD_Acq_Month,SFD_Acquisition,0)</f>
        <v>-0</v>
      </c>
      <c r="AS13" s="37" t="n">
        <f aca="false">-IF(AS$3=SFD_Acq_Month,SFD_Acquisition,0)</f>
        <v>-0</v>
      </c>
      <c r="AT13" s="37" t="n">
        <f aca="false">-IF(AT$3=SFD_Acq_Month,SFD_Acquisition,0)</f>
        <v>-0</v>
      </c>
      <c r="AU13" s="37" t="n">
        <f aca="false">-IF(AU$3=SFD_Acq_Month,SFD_Acquisition,0)</f>
        <v>-0</v>
      </c>
      <c r="AV13" s="37" t="n">
        <f aca="false">-IF(AV$3=SFD_Acq_Month,SFD_Acquisition,0)</f>
        <v>-0</v>
      </c>
      <c r="AW13" s="37" t="n">
        <f aca="false">-IF(AW$3=SFD_Acq_Month,SFD_Acquisition,0)</f>
        <v>-0</v>
      </c>
      <c r="AX13" s="37" t="n">
        <f aca="false">-IF(AX$3=SFD_Acq_Month,SFD_Acquisition,0)</f>
        <v>-0</v>
      </c>
      <c r="AY13" s="37" t="n">
        <f aca="false">-IF(AY$3=SFD_Acq_Month,SFD_Acquisition,0)</f>
        <v>-0</v>
      </c>
      <c r="AZ13" s="37" t="n">
        <f aca="false">-IF(AZ$3=SFD_Acq_Month,SFD_Acquisition,0)</f>
        <v>-0</v>
      </c>
      <c r="BA13" s="37" t="n">
        <f aca="false">-IF(BA$3=SFD_Acq_Month,SFD_Acquisition,0)</f>
        <v>-0</v>
      </c>
      <c r="BB13" s="37" t="n">
        <f aca="false">-IF(BB$3=SFD_Acq_Month,SFD_Acquisition,0)</f>
        <v>-0</v>
      </c>
      <c r="BC13" s="37" t="n">
        <f aca="false">-IF(BC$3=SFD_Acq_Month,SFD_Acquisition,0)</f>
        <v>-0</v>
      </c>
      <c r="BD13" s="37" t="n">
        <f aca="false">-IF(BD$3=SFD_Acq_Month,SFD_Acquisition,0)</f>
        <v>-0</v>
      </c>
      <c r="BE13" s="37" t="n">
        <f aca="false">-IF(BE$3=SFD_Acq_Month,SFD_Acquisition,0)</f>
        <v>-0</v>
      </c>
      <c r="BF13" s="37" t="n">
        <f aca="false">-IF(BF$3=SFD_Acq_Month,SFD_Acquisition,0)</f>
        <v>-0</v>
      </c>
      <c r="BG13" s="37" t="n">
        <f aca="false">-IF(BG$3=SFD_Acq_Month,SFD_Acquisition,0)</f>
        <v>-0</v>
      </c>
      <c r="BH13" s="37" t="n">
        <f aca="false">-IF(BH$3=SFD_Acq_Month,SFD_Acquisition,0)</f>
        <v>-0</v>
      </c>
      <c r="BI13" s="37" t="n">
        <f aca="false">-IF(BI$3=SFD_Acq_Month,SFD_Acquisition,0)</f>
        <v>-0</v>
      </c>
      <c r="BJ13" s="37" t="n">
        <f aca="false">-IF(BJ$3=SFD_Acq_Month,SFD_Acquisition,0)</f>
        <v>-0</v>
      </c>
      <c r="BK13" s="37" t="n">
        <f aca="false">-IF(BK$3=SFD_Acq_Month,SFD_Acquisition,0)</f>
        <v>-0</v>
      </c>
      <c r="BL13" s="37" t="n">
        <f aca="false">-IF(BL$3=SFD_Acq_Month,SFD_Acquisition,0)</f>
        <v>-0</v>
      </c>
    </row>
    <row r="14" customFormat="false" ht="15" hidden="false" customHeight="false" outlineLevel="0" collapsed="false">
      <c r="A14" s="12" t="s">
        <v>892</v>
      </c>
      <c r="B14" s="14" t="s">
        <v>71</v>
      </c>
      <c r="D14" s="55" t="n">
        <f aca="false">SUM(E14:BL14)</f>
        <v>-1236996414.46286</v>
      </c>
      <c r="E14" s="37" t="n">
        <f aca="false">-Credit!E46</f>
        <v>-0</v>
      </c>
      <c r="F14" s="37" t="n">
        <f aca="false">-(Credit!F46-Credit!E46)</f>
        <v>-0</v>
      </c>
      <c r="G14" s="37" t="n">
        <f aca="false">-(Credit!G46-Credit!F46)</f>
        <v>-0</v>
      </c>
      <c r="H14" s="37" t="n">
        <f aca="false">-(Credit!H46-Credit!G46)</f>
        <v>-0</v>
      </c>
      <c r="I14" s="37" t="n">
        <f aca="false">-(Credit!I46-Credit!H46)</f>
        <v>-0</v>
      </c>
      <c r="J14" s="37" t="n">
        <f aca="false">-(Credit!J46-Credit!I46)</f>
        <v>-0</v>
      </c>
      <c r="K14" s="37" t="n">
        <f aca="false">-(Credit!K46-Credit!J46)</f>
        <v>-0</v>
      </c>
      <c r="L14" s="37" t="n">
        <f aca="false">-(Credit!L46-Credit!K46)</f>
        <v>-0</v>
      </c>
      <c r="M14" s="37" t="n">
        <f aca="false">-(Credit!M46-Credit!L46)</f>
        <v>-0</v>
      </c>
      <c r="N14" s="37" t="n">
        <f aca="false">-(Credit!N46-Credit!M46)</f>
        <v>-0</v>
      </c>
      <c r="O14" s="37" t="n">
        <f aca="false">-(Credit!O46-Credit!N46)</f>
        <v>-0</v>
      </c>
      <c r="P14" s="37" t="n">
        <f aca="false">-(Credit!P46-Credit!O46)</f>
        <v>-0</v>
      </c>
      <c r="Q14" s="37" t="n">
        <f aca="false">-(Credit!Q46-Credit!P46)</f>
        <v>-0</v>
      </c>
      <c r="R14" s="37" t="n">
        <f aca="false">-(Credit!R46-Credit!Q46)</f>
        <v>-0</v>
      </c>
      <c r="S14" s="37" t="n">
        <f aca="false">-(Credit!S46-Credit!R46)</f>
        <v>-0</v>
      </c>
      <c r="T14" s="37" t="n">
        <f aca="false">-(Credit!T46-Credit!S46)</f>
        <v>-0</v>
      </c>
      <c r="U14" s="37" t="n">
        <f aca="false">-(Credit!U46-Credit!T46)</f>
        <v>-0</v>
      </c>
      <c r="V14" s="37" t="n">
        <f aca="false">-(Credit!V46-Credit!U46)</f>
        <v>-3637060.84787953</v>
      </c>
      <c r="W14" s="37" t="n">
        <f aca="false">-(Credit!W46-Credit!V46)</f>
        <v>-4653127.97962117</v>
      </c>
      <c r="X14" s="37" t="n">
        <f aca="false">-(Credit!X46-Credit!W46)</f>
        <v>-5665279.24113409</v>
      </c>
      <c r="Y14" s="37" t="n">
        <f aca="false">-(Credit!Y46-Credit!X46)</f>
        <v>-7938430.06841912</v>
      </c>
      <c r="Z14" s="37" t="n">
        <f aca="false">-(Credit!Z46-Credit!Y46)</f>
        <v>-9195842.37115085</v>
      </c>
      <c r="AA14" s="37" t="n">
        <f aca="false">-(Credit!AA46-Credit!Z46)</f>
        <v>-10455104.386793</v>
      </c>
      <c r="AB14" s="37" t="n">
        <f aca="false">-(Credit!AB46-Credit!AA46)</f>
        <v>-12044640.3798225</v>
      </c>
      <c r="AC14" s="37" t="n">
        <f aca="false">-(Credit!AC46-Credit!AB46)</f>
        <v>-43202098.6145809</v>
      </c>
      <c r="AD14" s="37" t="n">
        <f aca="false">-(Credit!AD46-Credit!AC46)</f>
        <v>-22669188.9437523</v>
      </c>
      <c r="AE14" s="37" t="n">
        <f aca="false">-(Credit!AE46-Credit!AD46)</f>
        <v>-29982617.7102172</v>
      </c>
      <c r="AF14" s="37" t="n">
        <f aca="false">-(Credit!AF46-Credit!AE46)</f>
        <v>-33868227.1754806</v>
      </c>
      <c r="AG14" s="37" t="n">
        <f aca="false">-(Credit!AG46-Credit!AF46)</f>
        <v>-37114705.1979721</v>
      </c>
      <c r="AH14" s="37" t="n">
        <f aca="false">-(Credit!AH46-Credit!AG46)</f>
        <v>-25848256.7349883</v>
      </c>
      <c r="AI14" s="37" t="n">
        <f aca="false">-(Credit!AI46-Credit!AH46)</f>
        <v>-27271371.1157167</v>
      </c>
      <c r="AJ14" s="37" t="n">
        <f aca="false">-(Credit!AJ46-Credit!AI46)</f>
        <v>-29793276.6599332</v>
      </c>
      <c r="AK14" s="37" t="n">
        <f aca="false">-(Credit!AK46-Credit!AJ46)</f>
        <v>-26843167.514911</v>
      </c>
      <c r="AL14" s="37" t="n">
        <f aca="false">-(Credit!AL46-Credit!AK46)</f>
        <v>-27901368.3978626</v>
      </c>
      <c r="AM14" s="37" t="n">
        <f aca="false">-(Credit!AM46-Credit!AL46)</f>
        <v>-30148032.9752647</v>
      </c>
      <c r="AN14" s="37" t="n">
        <f aca="false">-(Credit!AN46-Credit!AM46)</f>
        <v>-32018751.2519341</v>
      </c>
      <c r="AO14" s="37" t="n">
        <f aca="false">-(Credit!AO46-Credit!AN46)</f>
        <v>-34999786.8983694</v>
      </c>
      <c r="AP14" s="37" t="n">
        <f aca="false">-(Credit!AP46-Credit!AO46)</f>
        <v>-37551792.8669776</v>
      </c>
      <c r="AQ14" s="37" t="n">
        <f aca="false">-(Credit!AQ46-Credit!AP46)</f>
        <v>-28473395.4084188</v>
      </c>
      <c r="AR14" s="37" t="n">
        <f aca="false">-(Credit!AR46-Credit!AQ46)</f>
        <v>-30053241.6034821</v>
      </c>
      <c r="AS14" s="37" t="n">
        <f aca="false">-(Credit!AS46-Credit!AR46)</f>
        <v>-30225860.2789125</v>
      </c>
      <c r="AT14" s="37" t="n">
        <f aca="false">-(Credit!AT46-Credit!AS46)</f>
        <v>-30545630.6865827</v>
      </c>
      <c r="AU14" s="37" t="n">
        <f aca="false">-(Credit!AU46-Credit!AT46)</f>
        <v>-30170947.6708576</v>
      </c>
      <c r="AV14" s="37" t="n">
        <f aca="false">-(Credit!AV46-Credit!AU46)</f>
        <v>-29809740.4142849</v>
      </c>
      <c r="AW14" s="37" t="n">
        <f aca="false">-(Credit!AW46-Credit!AV46)</f>
        <v>-30711409.819545</v>
      </c>
      <c r="AX14" s="37" t="n">
        <f aca="false">-(Credit!AX46-Credit!AW46)</f>
        <v>-30357305.6974065</v>
      </c>
      <c r="AY14" s="37" t="n">
        <f aca="false">-(Credit!AY46-Credit!AX46)</f>
        <v>-32014870.1742624</v>
      </c>
      <c r="AZ14" s="37" t="n">
        <f aca="false">-(Credit!AZ46-Credit!AY46)</f>
        <v>-31657206.1250178</v>
      </c>
      <c r="BA14" s="37" t="n">
        <f aca="false">-(Credit!BA46-Credit!AZ46)</f>
        <v>-34395033.0491425</v>
      </c>
      <c r="BB14" s="37" t="n">
        <f aca="false">-(Credit!BB46-Credit!BA46)</f>
        <v>-34018340.8711581</v>
      </c>
      <c r="BC14" s="37" t="n">
        <f aca="false">-(Credit!BC46-Credit!BB46)</f>
        <v>-34907988.1958052</v>
      </c>
      <c r="BD14" s="37" t="n">
        <f aca="false">-(Credit!BD46-Credit!BC46)</f>
        <v>-35293002.9493024</v>
      </c>
      <c r="BE14" s="37" t="n">
        <f aca="false">-(Credit!BE46-Credit!BD46)</f>
        <v>-36185387.3617946</v>
      </c>
      <c r="BF14" s="37" t="n">
        <f aca="false">-(Credit!BF46-Credit!BE46)</f>
        <v>-35826611.6769806</v>
      </c>
      <c r="BG14" s="37" t="n">
        <f aca="false">-(Credit!BG46-Credit!BF46)</f>
        <v>-37484379.7949321</v>
      </c>
      <c r="BH14" s="37" t="n">
        <f aca="false">-(Credit!BH46-Credit!BG46)</f>
        <v>-37132212.858291</v>
      </c>
      <c r="BI14" s="37" t="n">
        <f aca="false">-(Credit!BI46-Credit!BH46)</f>
        <v>-38050457.2893291</v>
      </c>
      <c r="BJ14" s="37" t="n">
        <f aca="false">-(Credit!BJ46-Credit!BI46)</f>
        <v>-37720246.7412753</v>
      </c>
      <c r="BK14" s="37" t="n">
        <f aca="false">-(Credit!BK46-Credit!BJ46)</f>
        <v>-39267099.777729</v>
      </c>
      <c r="BL14" s="37" t="n">
        <f aca="false">-(Credit!BL46-Credit!BK46)</f>
        <v>-39893918.6855679</v>
      </c>
    </row>
    <row r="15" customFormat="false" ht="15" hidden="false" customHeight="false" outlineLevel="0" collapsed="false">
      <c r="A15" s="8" t="s">
        <v>880</v>
      </c>
      <c r="B15" s="14" t="s">
        <v>71</v>
      </c>
      <c r="D15" s="55" t="n">
        <f aca="false">SUM(E15:BL15)</f>
        <v>-2204370370.72896</v>
      </c>
      <c r="E15" s="16" t="n">
        <f aca="false">SUM(E9:E14)</f>
        <v>-32038689.27</v>
      </c>
      <c r="F15" s="16" t="n">
        <f aca="false">SUM(F9:F14)</f>
        <v>-40443918.9</v>
      </c>
      <c r="G15" s="16" t="n">
        <f aca="false">SUM(G9:G14)</f>
        <v>-55143918.9</v>
      </c>
      <c r="H15" s="16" t="n">
        <f aca="false">SUM(H9:H14)</f>
        <v>-96780498.3</v>
      </c>
      <c r="I15" s="16" t="n">
        <f aca="false">SUM(I9:I14)</f>
        <v>-36584922.3883333</v>
      </c>
      <c r="J15" s="16" t="n">
        <f aca="false">SUM(J9:J14)</f>
        <v>-36094620.695</v>
      </c>
      <c r="K15" s="16" t="n">
        <f aca="false">SUM(K9:K14)</f>
        <v>-35949623.1656792</v>
      </c>
      <c r="L15" s="16" t="n">
        <f aca="false">SUM(L9:L14)</f>
        <v>-34650351.3657444</v>
      </c>
      <c r="M15" s="16" t="n">
        <f aca="false">SUM(M9:M14)</f>
        <v>-33307027.6831988</v>
      </c>
      <c r="N15" s="16" t="n">
        <f aca="false">SUM(N9:N14)</f>
        <v>-31966371.0552118</v>
      </c>
      <c r="O15" s="16" t="n">
        <f aca="false">SUM(O9:O14)</f>
        <v>-30627494.2027159</v>
      </c>
      <c r="P15" s="16" t="n">
        <f aca="false">SUM(P9:P14)</f>
        <v>-29289471.6691498</v>
      </c>
      <c r="Q15" s="16" t="n">
        <f aca="false">SUM(Q9:Q14)</f>
        <v>-42621327.3817538</v>
      </c>
      <c r="R15" s="16" t="n">
        <f aca="false">SUM(R9:R14)</f>
        <v>-40341598.6961251</v>
      </c>
      <c r="S15" s="16" t="n">
        <f aca="false">SUM(S9:S14)</f>
        <v>-44394113.904715</v>
      </c>
      <c r="T15" s="16" t="n">
        <f aca="false">SUM(T9:T14)</f>
        <v>-64708270.7113005</v>
      </c>
      <c r="U15" s="16" t="n">
        <f aca="false">SUM(U9:U14)</f>
        <v>-37420406.5140776</v>
      </c>
      <c r="V15" s="16" t="n">
        <f aca="false">SUM(V9:V14)</f>
        <v>-48406334.6128395</v>
      </c>
      <c r="W15" s="16" t="n">
        <f aca="false">SUM(W9:W14)</f>
        <v>-50268787.7980403</v>
      </c>
      <c r="X15" s="16" t="n">
        <f aca="false">SUM(X9:X14)</f>
        <v>-49258655.8347705</v>
      </c>
      <c r="Y15" s="16" t="n">
        <f aca="false">SUM(Y9:Y14)</f>
        <v>-49766509.4190416</v>
      </c>
      <c r="Z15" s="16" t="n">
        <f aca="false">SUM(Z9:Z14)</f>
        <v>-48045685.3062749</v>
      </c>
      <c r="AA15" s="16" t="n">
        <f aca="false">SUM(AA9:AA14)</f>
        <v>-48387999.2628289</v>
      </c>
      <c r="AB15" s="16" t="n">
        <f aca="false">SUM(AB9:AB14)</f>
        <v>-702634586.362072</v>
      </c>
      <c r="AC15" s="16" t="n">
        <f aca="false">SUM(AC9:AC14)</f>
        <v>-87831317.4738716</v>
      </c>
      <c r="AD15" s="16" t="n">
        <f aca="false">SUM(AD9:AD14)</f>
        <v>-63387619.8000328</v>
      </c>
      <c r="AE15" s="16" t="n">
        <f aca="false">SUM(AE9:AE14)</f>
        <v>-72292696.6259632</v>
      </c>
      <c r="AF15" s="16" t="n">
        <f aca="false">SUM(AF9:AF14)</f>
        <v>-76402561.3955727</v>
      </c>
      <c r="AG15" s="16" t="n">
        <f aca="false">SUM(AG9:AG14)</f>
        <v>-82765045.539584</v>
      </c>
      <c r="AH15" s="16" t="n">
        <f aca="false">SUM(AH9:AH14)</f>
        <v>-55553983.1774908</v>
      </c>
      <c r="AI15" s="16" t="n">
        <f aca="false">SUM(AI9:AI14)</f>
        <v>-54222415.3212927</v>
      </c>
      <c r="AJ15" s="16" t="n">
        <f aca="false">SUM(AJ9:AJ14)</f>
        <v>-52070247.8899919</v>
      </c>
      <c r="AK15" s="16" t="n">
        <f aca="false">SUM(AK9:AK14)</f>
        <v>-45756941.5743423</v>
      </c>
      <c r="AL15" s="16" t="n">
        <f aca="false">SUM(AL9:AL14)</f>
        <v>-43106564.2205743</v>
      </c>
      <c r="AM15" s="16" t="n">
        <f aca="false">SUM(AM9:AM14)</f>
        <v>-40790073.796241</v>
      </c>
      <c r="AN15" s="16" t="n">
        <f aca="false">SUM(AN9:AN14)</f>
        <v>-37961253.1879794</v>
      </c>
      <c r="AO15" s="16" t="n">
        <f aca="false">SUM(AO9:AO14)</f>
        <v>-50908416.4289244</v>
      </c>
      <c r="AP15" s="16" t="n">
        <f aca="false">SUM(AP9:AP14)</f>
        <v>-44333554.6396965</v>
      </c>
      <c r="AQ15" s="16" t="n">
        <f aca="false">SUM(AQ9:AQ14)</f>
        <v>-31550265.5143037</v>
      </c>
      <c r="AR15" s="16" t="n">
        <f aca="false">SUM(AR9:AR14)</f>
        <v>-33441564.3167462</v>
      </c>
      <c r="AS15" s="16" t="n">
        <f aca="false">SUM(AS9:AS14)</f>
        <v>-26338046.5160772</v>
      </c>
      <c r="AT15" s="16" t="n">
        <f aca="false">SUM(AT9:AT14)</f>
        <v>-18306516.9074148</v>
      </c>
      <c r="AU15" s="16" t="n">
        <f aca="false">SUM(AU9:AU14)</f>
        <v>-11996643.6297373</v>
      </c>
      <c r="AV15" s="16" t="n">
        <f aca="false">SUM(AV9:AV14)</f>
        <v>-6635336.36435801</v>
      </c>
      <c r="AW15" s="16" t="n">
        <f aca="false">SUM(AW9:AW14)</f>
        <v>-4557505.23683402</v>
      </c>
      <c r="AX15" s="16" t="n">
        <f aca="false">SUM(AX9:AX14)</f>
        <v>-521012.212742507</v>
      </c>
      <c r="AY15" s="16" t="n">
        <f aca="false">SUM(AY9:AY14)</f>
        <v>6721765.14813688</v>
      </c>
      <c r="AZ15" s="16" t="n">
        <f aca="false">SUM(AZ9:AZ14)</f>
        <v>12233922.7321581</v>
      </c>
      <c r="BA15" s="16" t="n">
        <f aca="false">SUM(BA9:BA14)</f>
        <v>7101486.13605781</v>
      </c>
      <c r="BB15" s="16" t="n">
        <f aca="false">SUM(BB9:BB14)</f>
        <v>11216626.8666269</v>
      </c>
      <c r="BC15" s="16" t="n">
        <f aca="false">SUM(BC9:BC14)</f>
        <v>17180627.9687062</v>
      </c>
      <c r="BD15" s="16" t="n">
        <f aca="false">SUM(BD9:BD14)</f>
        <v>13314221.7150713</v>
      </c>
      <c r="BE15" s="16" t="n">
        <f aca="false">SUM(BE9:BE14)</f>
        <v>28172104.5772575</v>
      </c>
      <c r="BF15" s="16" t="n">
        <f aca="false">SUM(BF9:BF14)</f>
        <v>31554189.5089739</v>
      </c>
      <c r="BG15" s="16" t="n">
        <f aca="false">SUM(BG9:BG14)</f>
        <v>39255229.2433912</v>
      </c>
      <c r="BH15" s="16" t="n">
        <f aca="false">SUM(BH9:BH14)</f>
        <v>46495578.4166003</v>
      </c>
      <c r="BI15" s="16" t="n">
        <f aca="false">SUM(BI9:BI14)</f>
        <v>53969947.4928432</v>
      </c>
      <c r="BJ15" s="16" t="n">
        <f aca="false">SUM(BJ9:BJ14)</f>
        <v>54028070.32017</v>
      </c>
      <c r="BK15" s="16" t="n">
        <f aca="false">SUM(BK9:BK14)</f>
        <v>62878751.742326</v>
      </c>
      <c r="BL15" s="16" t="n">
        <f aca="false">SUM(BL9:BL14)</f>
        <v>71367872.5713674</v>
      </c>
    </row>
    <row r="16" customFormat="false" ht="15" hidden="false" customHeight="false" outlineLevel="0" collapsed="false">
      <c r="A16" s="12" t="s">
        <v>893</v>
      </c>
      <c r="B16" s="14" t="s">
        <v>71</v>
      </c>
      <c r="D16" s="55" t="n">
        <f aca="false">BL16</f>
        <v>-2204370370.72896</v>
      </c>
      <c r="E16" s="37" t="n">
        <f aca="false">E15</f>
        <v>-32038689.27</v>
      </c>
      <c r="F16" s="37" t="n">
        <f aca="false">E16+F15</f>
        <v>-72482608.17</v>
      </c>
      <c r="G16" s="37" t="n">
        <f aca="false">F16+G15</f>
        <v>-127626527.07</v>
      </c>
      <c r="H16" s="37" t="n">
        <f aca="false">G16+H15</f>
        <v>-224407025.37</v>
      </c>
      <c r="I16" s="37" t="n">
        <f aca="false">H16+I15</f>
        <v>-260991947.758333</v>
      </c>
      <c r="J16" s="37" t="n">
        <f aca="false">I16+J15</f>
        <v>-297086568.453333</v>
      </c>
      <c r="K16" s="37" t="n">
        <f aca="false">J16+K15</f>
        <v>-333036191.619013</v>
      </c>
      <c r="L16" s="37" t="n">
        <f aca="false">K16+L15</f>
        <v>-367686542.984757</v>
      </c>
      <c r="M16" s="37" t="n">
        <f aca="false">L16+M15</f>
        <v>-400993570.667956</v>
      </c>
      <c r="N16" s="37" t="n">
        <f aca="false">M16+N15</f>
        <v>-432959941.723168</v>
      </c>
      <c r="O16" s="37" t="n">
        <f aca="false">N16+O15</f>
        <v>-463587435.925883</v>
      </c>
      <c r="P16" s="37" t="n">
        <f aca="false">O16+P15</f>
        <v>-492876907.595033</v>
      </c>
      <c r="Q16" s="37" t="n">
        <f aca="false">P16+Q15</f>
        <v>-535498234.976787</v>
      </c>
      <c r="R16" s="37" t="n">
        <f aca="false">Q16+R15</f>
        <v>-575839833.672912</v>
      </c>
      <c r="S16" s="37" t="n">
        <f aca="false">R16+S15</f>
        <v>-620233947.577627</v>
      </c>
      <c r="T16" s="37" t="n">
        <f aca="false">S16+T15</f>
        <v>-684942218.288928</v>
      </c>
      <c r="U16" s="37" t="n">
        <f aca="false">T16+U15</f>
        <v>-722362624.803005</v>
      </c>
      <c r="V16" s="37" t="n">
        <f aca="false">U16+V15</f>
        <v>-770768959.415845</v>
      </c>
      <c r="W16" s="37" t="n">
        <f aca="false">V16+W15</f>
        <v>-821037747.213885</v>
      </c>
      <c r="X16" s="37" t="n">
        <f aca="false">W16+X15</f>
        <v>-870296403.048655</v>
      </c>
      <c r="Y16" s="37" t="n">
        <f aca="false">X16+Y15</f>
        <v>-920062912.467697</v>
      </c>
      <c r="Z16" s="37" t="n">
        <f aca="false">Y16+Z15</f>
        <v>-968108597.773972</v>
      </c>
      <c r="AA16" s="37" t="n">
        <f aca="false">Z16+AA15</f>
        <v>-1016496597.0368</v>
      </c>
      <c r="AB16" s="37" t="n">
        <f aca="false">AA16+AB15</f>
        <v>-1719131183.39887</v>
      </c>
      <c r="AC16" s="37" t="n">
        <f aca="false">AB16+AC15</f>
        <v>-1806962500.87274</v>
      </c>
      <c r="AD16" s="37" t="n">
        <f aca="false">AC16+AD15</f>
        <v>-1870350120.67278</v>
      </c>
      <c r="AE16" s="37" t="n">
        <f aca="false">AD16+AE15</f>
        <v>-1942642817.29874</v>
      </c>
      <c r="AF16" s="37" t="n">
        <f aca="false">AE16+AF15</f>
        <v>-2019045378.69431</v>
      </c>
      <c r="AG16" s="37" t="n">
        <f aca="false">AF16+AG15</f>
        <v>-2101810424.2339</v>
      </c>
      <c r="AH16" s="37" t="n">
        <f aca="false">AG16+AH15</f>
        <v>-2157364407.41139</v>
      </c>
      <c r="AI16" s="37" t="n">
        <f aca="false">AH16+AI15</f>
        <v>-2211586822.73268</v>
      </c>
      <c r="AJ16" s="37" t="n">
        <f aca="false">AI16+AJ15</f>
        <v>-2263657070.62267</v>
      </c>
      <c r="AK16" s="37" t="n">
        <f aca="false">AJ16+AK15</f>
        <v>-2309414012.19702</v>
      </c>
      <c r="AL16" s="37" t="n">
        <f aca="false">AK16+AL15</f>
        <v>-2352520576.41759</v>
      </c>
      <c r="AM16" s="37" t="n">
        <f aca="false">AL16+AM15</f>
        <v>-2393310650.21383</v>
      </c>
      <c r="AN16" s="37" t="n">
        <f aca="false">AM16+AN15</f>
        <v>-2431271903.40181</v>
      </c>
      <c r="AO16" s="37" t="n">
        <f aca="false">AN16+AO15</f>
        <v>-2482180319.83073</v>
      </c>
      <c r="AP16" s="37" t="n">
        <f aca="false">AO16+AP15</f>
        <v>-2526513874.47043</v>
      </c>
      <c r="AQ16" s="37" t="n">
        <f aca="false">AP16+AQ15</f>
        <v>-2558064139.98473</v>
      </c>
      <c r="AR16" s="37" t="n">
        <f aca="false">AQ16+AR15</f>
        <v>-2591505704.30148</v>
      </c>
      <c r="AS16" s="37" t="n">
        <f aca="false">AR16+AS15</f>
        <v>-2617843750.81756</v>
      </c>
      <c r="AT16" s="37" t="n">
        <f aca="false">AS16+AT15</f>
        <v>-2636150267.72497</v>
      </c>
      <c r="AU16" s="37" t="n">
        <f aca="false">AT16+AU15</f>
        <v>-2648146911.35471</v>
      </c>
      <c r="AV16" s="37" t="n">
        <f aca="false">AU16+AV15</f>
        <v>-2654782247.71907</v>
      </c>
      <c r="AW16" s="37" t="n">
        <f aca="false">AV16+AW15</f>
        <v>-2659339752.9559</v>
      </c>
      <c r="AX16" s="37" t="n">
        <f aca="false">AW16+AX15</f>
        <v>-2659860765.16864</v>
      </c>
      <c r="AY16" s="37" t="n">
        <f aca="false">AX16+AY15</f>
        <v>-2653139000.02051</v>
      </c>
      <c r="AZ16" s="37" t="n">
        <f aca="false">AY16+AZ15</f>
        <v>-2640905077.28835</v>
      </c>
      <c r="BA16" s="37" t="n">
        <f aca="false">AZ16+BA15</f>
        <v>-2633803591.15229</v>
      </c>
      <c r="BB16" s="37" t="n">
        <f aca="false">BA16+BB15</f>
        <v>-2622586964.28566</v>
      </c>
      <c r="BC16" s="37" t="n">
        <f aca="false">BB16+BC15</f>
        <v>-2605406336.31696</v>
      </c>
      <c r="BD16" s="37" t="n">
        <f aca="false">BC16+BD15</f>
        <v>-2592092114.60189</v>
      </c>
      <c r="BE16" s="37" t="n">
        <f aca="false">BD16+BE15</f>
        <v>-2563920010.02463</v>
      </c>
      <c r="BF16" s="37" t="n">
        <f aca="false">BE16+BF15</f>
        <v>-2532365820.51566</v>
      </c>
      <c r="BG16" s="37" t="n">
        <f aca="false">BF16+BG15</f>
        <v>-2493110591.27226</v>
      </c>
      <c r="BH16" s="37" t="n">
        <f aca="false">BG16+BH15</f>
        <v>-2446615012.85566</v>
      </c>
      <c r="BI16" s="37" t="n">
        <f aca="false">BH16+BI15</f>
        <v>-2392645065.36282</v>
      </c>
      <c r="BJ16" s="37" t="n">
        <f aca="false">BI16+BJ15</f>
        <v>-2338616995.04265</v>
      </c>
      <c r="BK16" s="37" t="n">
        <f aca="false">BJ16+BK15</f>
        <v>-2275738243.30032</v>
      </c>
      <c r="BL16" s="37" t="n">
        <f aca="false">BK16+BL15</f>
        <v>-2204370370.72896</v>
      </c>
    </row>
    <row r="18" customFormat="false" ht="15" hidden="false" customHeight="false" outlineLevel="0" collapsed="false">
      <c r="A18" s="10" t="s">
        <v>894</v>
      </c>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row>
    <row r="19" customFormat="false" ht="15" hidden="false" customHeight="false" outlineLevel="0" collapsed="false">
      <c r="A19" s="12" t="s">
        <v>881</v>
      </c>
      <c r="B19" s="14" t="s">
        <v>71</v>
      </c>
      <c r="D19" s="55" t="n">
        <f aca="false">SUM(E19:BL19)</f>
        <v>3300000000</v>
      </c>
      <c r="E19" s="37" t="n">
        <f aca="false">IF(E$3=Seed_Month,Seed_Amount,0)+IF(E$3=SeriesA_Month,SeriesA_Amount,0)+IF(E$3=SeriesB_Month,SeriesB_Amount,0)</f>
        <v>900000000</v>
      </c>
      <c r="F19" s="37" t="n">
        <f aca="false">IF(F$3=Seed_Month,Seed_Amount,0)+IF(F$3=SeriesA_Month,SeriesA_Amount,0)+IF(F$3=SeriesB_Month,SeriesB_Amount,0)</f>
        <v>0</v>
      </c>
      <c r="G19" s="37" t="n">
        <f aca="false">IF(G$3=Seed_Month,Seed_Amount,0)+IF(G$3=SeriesA_Month,SeriesA_Amount,0)+IF(G$3=SeriesB_Month,SeriesB_Amount,0)</f>
        <v>0</v>
      </c>
      <c r="H19" s="37" t="n">
        <f aca="false">IF(H$3=Seed_Month,Seed_Amount,0)+IF(H$3=SeriesA_Month,SeriesA_Amount,0)+IF(H$3=SeriesB_Month,SeriesB_Amount,0)</f>
        <v>0</v>
      </c>
      <c r="I19" s="37" t="n">
        <f aca="false">IF(I$3=Seed_Month,Seed_Amount,0)+IF(I$3=SeriesA_Month,SeriesA_Amount,0)+IF(I$3=SeriesB_Month,SeriesB_Amount,0)</f>
        <v>0</v>
      </c>
      <c r="J19" s="37" t="n">
        <f aca="false">IF(J$3=Seed_Month,Seed_Amount,0)+IF(J$3=SeriesA_Month,SeriesA_Amount,0)+IF(J$3=SeriesB_Month,SeriesB_Amount,0)</f>
        <v>0</v>
      </c>
      <c r="K19" s="37" t="n">
        <f aca="false">IF(K$3=Seed_Month,Seed_Amount,0)+IF(K$3=SeriesA_Month,SeriesA_Amount,0)+IF(K$3=SeriesB_Month,SeriesB_Amount,0)</f>
        <v>0</v>
      </c>
      <c r="L19" s="37" t="n">
        <f aca="false">IF(L$3=Seed_Month,Seed_Amount,0)+IF(L$3=SeriesA_Month,SeriesA_Amount,0)+IF(L$3=SeriesB_Month,SeriesB_Amount,0)</f>
        <v>0</v>
      </c>
      <c r="M19" s="37" t="n">
        <f aca="false">IF(M$3=Seed_Month,Seed_Amount,0)+IF(M$3=SeriesA_Month,SeriesA_Amount,0)+IF(M$3=SeriesB_Month,SeriesB_Amount,0)</f>
        <v>0</v>
      </c>
      <c r="N19" s="37" t="n">
        <f aca="false">IF(N$3=Seed_Month,Seed_Amount,0)+IF(N$3=SeriesA_Month,SeriesA_Amount,0)+IF(N$3=SeriesB_Month,SeriesB_Amount,0)</f>
        <v>0</v>
      </c>
      <c r="O19" s="37" t="n">
        <f aca="false">IF(O$3=Seed_Month,Seed_Amount,0)+IF(O$3=SeriesA_Month,SeriesA_Amount,0)+IF(O$3=SeriesB_Month,SeriesB_Amount,0)</f>
        <v>0</v>
      </c>
      <c r="P19" s="37" t="n">
        <f aca="false">IF(P$3=Seed_Month,Seed_Amount,0)+IF(P$3=SeriesA_Month,SeriesA_Amount,0)+IF(P$3=SeriesB_Month,SeriesB_Amount,0)</f>
        <v>0</v>
      </c>
      <c r="Q19" s="37" t="n">
        <f aca="false">IF(Q$3=Seed_Month,Seed_Amount,0)+IF(Q$3=SeriesA_Month,SeriesA_Amount,0)+IF(Q$3=SeriesB_Month,SeriesB_Amount,0)</f>
        <v>0</v>
      </c>
      <c r="R19" s="37" t="n">
        <f aca="false">IF(R$3=Seed_Month,Seed_Amount,0)+IF(R$3=SeriesA_Month,SeriesA_Amount,0)+IF(R$3=SeriesB_Month,SeriesB_Amount,0)</f>
        <v>0</v>
      </c>
      <c r="S19" s="37" t="n">
        <f aca="false">IF(S$3=Seed_Month,Seed_Amount,0)+IF(S$3=SeriesA_Month,SeriesA_Amount,0)+IF(S$3=SeriesB_Month,SeriesB_Amount,0)</f>
        <v>1200000000</v>
      </c>
      <c r="T19" s="37" t="n">
        <f aca="false">IF(T$3=Seed_Month,Seed_Amount,0)+IF(T$3=SeriesA_Month,SeriesA_Amount,0)+IF(T$3=SeriesB_Month,SeriesB_Amount,0)</f>
        <v>0</v>
      </c>
      <c r="U19" s="37" t="n">
        <f aca="false">IF(U$3=Seed_Month,Seed_Amount,0)+IF(U$3=SeriesA_Month,SeriesA_Amount,0)+IF(U$3=SeriesB_Month,SeriesB_Amount,0)</f>
        <v>0</v>
      </c>
      <c r="V19" s="37" t="n">
        <f aca="false">IF(V$3=Seed_Month,Seed_Amount,0)+IF(V$3=SeriesA_Month,SeriesA_Amount,0)+IF(V$3=SeriesB_Month,SeriesB_Amount,0)</f>
        <v>0</v>
      </c>
      <c r="W19" s="37" t="n">
        <f aca="false">IF(W$3=Seed_Month,Seed_Amount,0)+IF(W$3=SeriesA_Month,SeriesA_Amount,0)+IF(W$3=SeriesB_Month,SeriesB_Amount,0)</f>
        <v>0</v>
      </c>
      <c r="X19" s="37" t="n">
        <f aca="false">IF(X$3=Seed_Month,Seed_Amount,0)+IF(X$3=SeriesA_Month,SeriesA_Amount,0)+IF(X$3=SeriesB_Month,SeriesB_Amount,0)</f>
        <v>0</v>
      </c>
      <c r="Y19" s="37" t="n">
        <f aca="false">IF(Y$3=Seed_Month,Seed_Amount,0)+IF(Y$3=SeriesA_Month,SeriesA_Amount,0)+IF(Y$3=SeriesB_Month,SeriesB_Amount,0)</f>
        <v>0</v>
      </c>
      <c r="Z19" s="37" t="n">
        <f aca="false">IF(Z$3=Seed_Month,Seed_Amount,0)+IF(Z$3=SeriesA_Month,SeriesA_Amount,0)+IF(Z$3=SeriesB_Month,SeriesB_Amount,0)</f>
        <v>0</v>
      </c>
      <c r="AA19" s="37" t="n">
        <f aca="false">IF(AA$3=Seed_Month,Seed_Amount,0)+IF(AA$3=SeriesA_Month,SeriesA_Amount,0)+IF(AA$3=SeriesB_Month,SeriesB_Amount,0)</f>
        <v>0</v>
      </c>
      <c r="AB19" s="37" t="n">
        <f aca="false">IF(AB$3=Seed_Month,Seed_Amount,0)+IF(AB$3=SeriesA_Month,SeriesA_Amount,0)+IF(AB$3=SeriesB_Month,SeriesB_Amount,0)</f>
        <v>1200000000</v>
      </c>
      <c r="AC19" s="37" t="n">
        <f aca="false">IF(AC$3=Seed_Month,Seed_Amount,0)+IF(AC$3=SeriesA_Month,SeriesA_Amount,0)+IF(AC$3=SeriesB_Month,SeriesB_Amount,0)</f>
        <v>0</v>
      </c>
      <c r="AD19" s="37" t="n">
        <f aca="false">IF(AD$3=Seed_Month,Seed_Amount,0)+IF(AD$3=SeriesA_Month,SeriesA_Amount,0)+IF(AD$3=SeriesB_Month,SeriesB_Amount,0)</f>
        <v>0</v>
      </c>
      <c r="AE19" s="37" t="n">
        <f aca="false">IF(AE$3=Seed_Month,Seed_Amount,0)+IF(AE$3=SeriesA_Month,SeriesA_Amount,0)+IF(AE$3=SeriesB_Month,SeriesB_Amount,0)</f>
        <v>0</v>
      </c>
      <c r="AF19" s="37" t="n">
        <f aca="false">IF(AF$3=Seed_Month,Seed_Amount,0)+IF(AF$3=SeriesA_Month,SeriesA_Amount,0)+IF(AF$3=SeriesB_Month,SeriesB_Amount,0)</f>
        <v>0</v>
      </c>
      <c r="AG19" s="37" t="n">
        <f aca="false">IF(AG$3=Seed_Month,Seed_Amount,0)+IF(AG$3=SeriesA_Month,SeriesA_Amount,0)+IF(AG$3=SeriesB_Month,SeriesB_Amount,0)</f>
        <v>0</v>
      </c>
      <c r="AH19" s="37" t="n">
        <f aca="false">IF(AH$3=Seed_Month,Seed_Amount,0)+IF(AH$3=SeriesA_Month,SeriesA_Amount,0)+IF(AH$3=SeriesB_Month,SeriesB_Amount,0)</f>
        <v>0</v>
      </c>
      <c r="AI19" s="37" t="n">
        <f aca="false">IF(AI$3=Seed_Month,Seed_Amount,0)+IF(AI$3=SeriesA_Month,SeriesA_Amount,0)+IF(AI$3=SeriesB_Month,SeriesB_Amount,0)</f>
        <v>0</v>
      </c>
      <c r="AJ19" s="37" t="n">
        <f aca="false">IF(AJ$3=Seed_Month,Seed_Amount,0)+IF(AJ$3=SeriesA_Month,SeriesA_Amount,0)+IF(AJ$3=SeriesB_Month,SeriesB_Amount,0)</f>
        <v>0</v>
      </c>
      <c r="AK19" s="37" t="n">
        <f aca="false">IF(AK$3=Seed_Month,Seed_Amount,0)+IF(AK$3=SeriesA_Month,SeriesA_Amount,0)+IF(AK$3=SeriesB_Month,SeriesB_Amount,0)</f>
        <v>0</v>
      </c>
      <c r="AL19" s="37" t="n">
        <f aca="false">IF(AL$3=Seed_Month,Seed_Amount,0)+IF(AL$3=SeriesA_Month,SeriesA_Amount,0)+IF(AL$3=SeriesB_Month,SeriesB_Amount,0)</f>
        <v>0</v>
      </c>
      <c r="AM19" s="37" t="n">
        <f aca="false">IF(AM$3=Seed_Month,Seed_Amount,0)+IF(AM$3=SeriesA_Month,SeriesA_Amount,0)+IF(AM$3=SeriesB_Month,SeriesB_Amount,0)</f>
        <v>0</v>
      </c>
      <c r="AN19" s="37" t="n">
        <f aca="false">IF(AN$3=Seed_Month,Seed_Amount,0)+IF(AN$3=SeriesA_Month,SeriesA_Amount,0)+IF(AN$3=SeriesB_Month,SeriesB_Amount,0)</f>
        <v>0</v>
      </c>
      <c r="AO19" s="37" t="n">
        <f aca="false">IF(AO$3=Seed_Month,Seed_Amount,0)+IF(AO$3=SeriesA_Month,SeriesA_Amount,0)+IF(AO$3=SeriesB_Month,SeriesB_Amount,0)</f>
        <v>0</v>
      </c>
      <c r="AP19" s="37" t="n">
        <f aca="false">IF(AP$3=Seed_Month,Seed_Amount,0)+IF(AP$3=SeriesA_Month,SeriesA_Amount,0)+IF(AP$3=SeriesB_Month,SeriesB_Amount,0)</f>
        <v>0</v>
      </c>
      <c r="AQ19" s="37" t="n">
        <f aca="false">IF(AQ$3=Seed_Month,Seed_Amount,0)+IF(AQ$3=SeriesA_Month,SeriesA_Amount,0)+IF(AQ$3=SeriesB_Month,SeriesB_Amount,0)</f>
        <v>0</v>
      </c>
      <c r="AR19" s="37" t="n">
        <f aca="false">IF(AR$3=Seed_Month,Seed_Amount,0)+IF(AR$3=SeriesA_Month,SeriesA_Amount,0)+IF(AR$3=SeriesB_Month,SeriesB_Amount,0)</f>
        <v>0</v>
      </c>
      <c r="AS19" s="37" t="n">
        <f aca="false">IF(AS$3=Seed_Month,Seed_Amount,0)+IF(AS$3=SeriesA_Month,SeriesA_Amount,0)+IF(AS$3=SeriesB_Month,SeriesB_Amount,0)</f>
        <v>0</v>
      </c>
      <c r="AT19" s="37" t="n">
        <f aca="false">IF(AT$3=Seed_Month,Seed_Amount,0)+IF(AT$3=SeriesA_Month,SeriesA_Amount,0)+IF(AT$3=SeriesB_Month,SeriesB_Amount,0)</f>
        <v>0</v>
      </c>
      <c r="AU19" s="37" t="n">
        <f aca="false">IF(AU$3=Seed_Month,Seed_Amount,0)+IF(AU$3=SeriesA_Month,SeriesA_Amount,0)+IF(AU$3=SeriesB_Month,SeriesB_Amount,0)</f>
        <v>0</v>
      </c>
      <c r="AV19" s="37" t="n">
        <f aca="false">IF(AV$3=Seed_Month,Seed_Amount,0)+IF(AV$3=SeriesA_Month,SeriesA_Amount,0)+IF(AV$3=SeriesB_Month,SeriesB_Amount,0)</f>
        <v>0</v>
      </c>
      <c r="AW19" s="37" t="n">
        <f aca="false">IF(AW$3=Seed_Month,Seed_Amount,0)+IF(AW$3=SeriesA_Month,SeriesA_Amount,0)+IF(AW$3=SeriesB_Month,SeriesB_Amount,0)</f>
        <v>0</v>
      </c>
      <c r="AX19" s="37" t="n">
        <f aca="false">IF(AX$3=Seed_Month,Seed_Amount,0)+IF(AX$3=SeriesA_Month,SeriesA_Amount,0)+IF(AX$3=SeriesB_Month,SeriesB_Amount,0)</f>
        <v>0</v>
      </c>
      <c r="AY19" s="37" t="n">
        <f aca="false">IF(AY$3=Seed_Month,Seed_Amount,0)+IF(AY$3=SeriesA_Month,SeriesA_Amount,0)+IF(AY$3=SeriesB_Month,SeriesB_Amount,0)</f>
        <v>0</v>
      </c>
      <c r="AZ19" s="37" t="n">
        <f aca="false">IF(AZ$3=Seed_Month,Seed_Amount,0)+IF(AZ$3=SeriesA_Month,SeriesA_Amount,0)+IF(AZ$3=SeriesB_Month,SeriesB_Amount,0)</f>
        <v>0</v>
      </c>
      <c r="BA19" s="37" t="n">
        <f aca="false">IF(BA$3=Seed_Month,Seed_Amount,0)+IF(BA$3=SeriesA_Month,SeriesA_Amount,0)+IF(BA$3=SeriesB_Month,SeriesB_Amount,0)</f>
        <v>0</v>
      </c>
      <c r="BB19" s="37" t="n">
        <f aca="false">IF(BB$3=Seed_Month,Seed_Amount,0)+IF(BB$3=SeriesA_Month,SeriesA_Amount,0)+IF(BB$3=SeriesB_Month,SeriesB_Amount,0)</f>
        <v>0</v>
      </c>
      <c r="BC19" s="37" t="n">
        <f aca="false">IF(BC$3=Seed_Month,Seed_Amount,0)+IF(BC$3=SeriesA_Month,SeriesA_Amount,0)+IF(BC$3=SeriesB_Month,SeriesB_Amount,0)</f>
        <v>0</v>
      </c>
      <c r="BD19" s="37" t="n">
        <f aca="false">IF(BD$3=Seed_Month,Seed_Amount,0)+IF(BD$3=SeriesA_Month,SeriesA_Amount,0)+IF(BD$3=SeriesB_Month,SeriesB_Amount,0)</f>
        <v>0</v>
      </c>
      <c r="BE19" s="37" t="n">
        <f aca="false">IF(BE$3=Seed_Month,Seed_Amount,0)+IF(BE$3=SeriesA_Month,SeriesA_Amount,0)+IF(BE$3=SeriesB_Month,SeriesB_Amount,0)</f>
        <v>0</v>
      </c>
      <c r="BF19" s="37" t="n">
        <f aca="false">IF(BF$3=Seed_Month,Seed_Amount,0)+IF(BF$3=SeriesA_Month,SeriesA_Amount,0)+IF(BF$3=SeriesB_Month,SeriesB_Amount,0)</f>
        <v>0</v>
      </c>
      <c r="BG19" s="37" t="n">
        <f aca="false">IF(BG$3=Seed_Month,Seed_Amount,0)+IF(BG$3=SeriesA_Month,SeriesA_Amount,0)+IF(BG$3=SeriesB_Month,SeriesB_Amount,0)</f>
        <v>0</v>
      </c>
      <c r="BH19" s="37" t="n">
        <f aca="false">IF(BH$3=Seed_Month,Seed_Amount,0)+IF(BH$3=SeriesA_Month,SeriesA_Amount,0)+IF(BH$3=SeriesB_Month,SeriesB_Amount,0)</f>
        <v>0</v>
      </c>
      <c r="BI19" s="37" t="n">
        <f aca="false">IF(BI$3=Seed_Month,Seed_Amount,0)+IF(BI$3=SeriesA_Month,SeriesA_Amount,0)+IF(BI$3=SeriesB_Month,SeriesB_Amount,0)</f>
        <v>0</v>
      </c>
      <c r="BJ19" s="37" t="n">
        <f aca="false">IF(BJ$3=Seed_Month,Seed_Amount,0)+IF(BJ$3=SeriesA_Month,SeriesA_Amount,0)+IF(BJ$3=SeriesB_Month,SeriesB_Amount,0)</f>
        <v>0</v>
      </c>
      <c r="BK19" s="37" t="n">
        <f aca="false">IF(BK$3=Seed_Month,Seed_Amount,0)+IF(BK$3=SeriesA_Month,SeriesA_Amount,0)+IF(BK$3=SeriesB_Month,SeriesB_Amount,0)</f>
        <v>0</v>
      </c>
      <c r="BL19" s="37" t="n">
        <f aca="false">IF(BL$3=Seed_Month,Seed_Amount,0)+IF(BL$3=SeriesA_Month,SeriesA_Amount,0)+IF(BL$3=SeriesB_Month,SeriesB_Amount,0)</f>
        <v>0</v>
      </c>
    </row>
    <row r="20" customFormat="false" ht="15" hidden="false" customHeight="false" outlineLevel="0" collapsed="false">
      <c r="A20" s="8" t="s">
        <v>895</v>
      </c>
      <c r="B20" s="14" t="s">
        <v>71</v>
      </c>
      <c r="D20" s="55" t="n">
        <f aca="false">SUM(E20:BL20)</f>
        <v>1095629629.27104</v>
      </c>
      <c r="E20" s="16" t="n">
        <f aca="false">E15+E19</f>
        <v>867961310.73</v>
      </c>
      <c r="F20" s="16" t="n">
        <f aca="false">F15+F19</f>
        <v>-40443918.9</v>
      </c>
      <c r="G20" s="16" t="n">
        <f aca="false">G15+G19</f>
        <v>-55143918.9</v>
      </c>
      <c r="H20" s="16" t="n">
        <f aca="false">H15+H19</f>
        <v>-96780498.3</v>
      </c>
      <c r="I20" s="16" t="n">
        <f aca="false">I15+I19</f>
        <v>-36584922.3883333</v>
      </c>
      <c r="J20" s="16" t="n">
        <f aca="false">J15+J19</f>
        <v>-36094620.695</v>
      </c>
      <c r="K20" s="16" t="n">
        <f aca="false">K15+K19</f>
        <v>-35949623.1656792</v>
      </c>
      <c r="L20" s="16" t="n">
        <f aca="false">L15+L19</f>
        <v>-34650351.3657444</v>
      </c>
      <c r="M20" s="16" t="n">
        <f aca="false">M15+M19</f>
        <v>-33307027.6831988</v>
      </c>
      <c r="N20" s="16" t="n">
        <f aca="false">N15+N19</f>
        <v>-31966371.0552118</v>
      </c>
      <c r="O20" s="16" t="n">
        <f aca="false">O15+O19</f>
        <v>-30627494.2027159</v>
      </c>
      <c r="P20" s="16" t="n">
        <f aca="false">P15+P19</f>
        <v>-29289471.6691498</v>
      </c>
      <c r="Q20" s="16" t="n">
        <f aca="false">Q15+Q19</f>
        <v>-42621327.3817538</v>
      </c>
      <c r="R20" s="16" t="n">
        <f aca="false">R15+R19</f>
        <v>-40341598.6961251</v>
      </c>
      <c r="S20" s="16" t="n">
        <f aca="false">S15+S19</f>
        <v>1155605886.09529</v>
      </c>
      <c r="T20" s="16" t="n">
        <f aca="false">T15+T19</f>
        <v>-64708270.7113005</v>
      </c>
      <c r="U20" s="16" t="n">
        <f aca="false">U15+U19</f>
        <v>-37420406.5140776</v>
      </c>
      <c r="V20" s="16" t="n">
        <f aca="false">V15+V19</f>
        <v>-48406334.6128395</v>
      </c>
      <c r="W20" s="16" t="n">
        <f aca="false">W15+W19</f>
        <v>-50268787.7980403</v>
      </c>
      <c r="X20" s="16" t="n">
        <f aca="false">X15+X19</f>
        <v>-49258655.8347705</v>
      </c>
      <c r="Y20" s="16" t="n">
        <f aca="false">Y15+Y19</f>
        <v>-49766509.4190416</v>
      </c>
      <c r="Z20" s="16" t="n">
        <f aca="false">Z15+Z19</f>
        <v>-48045685.3062749</v>
      </c>
      <c r="AA20" s="16" t="n">
        <f aca="false">AA15+AA19</f>
        <v>-48387999.2628289</v>
      </c>
      <c r="AB20" s="16" t="n">
        <f aca="false">AB15+AB19</f>
        <v>497365413.637928</v>
      </c>
      <c r="AC20" s="16" t="n">
        <f aca="false">AC15+AC19</f>
        <v>-87831317.4738716</v>
      </c>
      <c r="AD20" s="16" t="n">
        <f aca="false">AD15+AD19</f>
        <v>-63387619.8000328</v>
      </c>
      <c r="AE20" s="16" t="n">
        <f aca="false">AE15+AE19</f>
        <v>-72292696.6259632</v>
      </c>
      <c r="AF20" s="16" t="n">
        <f aca="false">AF15+AF19</f>
        <v>-76402561.3955727</v>
      </c>
      <c r="AG20" s="16" t="n">
        <f aca="false">AG15+AG19</f>
        <v>-82765045.539584</v>
      </c>
      <c r="AH20" s="16" t="n">
        <f aca="false">AH15+AH19</f>
        <v>-55553983.1774908</v>
      </c>
      <c r="AI20" s="16" t="n">
        <f aca="false">AI15+AI19</f>
        <v>-54222415.3212927</v>
      </c>
      <c r="AJ20" s="16" t="n">
        <f aca="false">AJ15+AJ19</f>
        <v>-52070247.8899919</v>
      </c>
      <c r="AK20" s="16" t="n">
        <f aca="false">AK15+AK19</f>
        <v>-45756941.5743423</v>
      </c>
      <c r="AL20" s="16" t="n">
        <f aca="false">AL15+AL19</f>
        <v>-43106564.2205743</v>
      </c>
      <c r="AM20" s="16" t="n">
        <f aca="false">AM15+AM19</f>
        <v>-40790073.796241</v>
      </c>
      <c r="AN20" s="16" t="n">
        <f aca="false">AN15+AN19</f>
        <v>-37961253.1879794</v>
      </c>
      <c r="AO20" s="16" t="n">
        <f aca="false">AO15+AO19</f>
        <v>-50908416.4289244</v>
      </c>
      <c r="AP20" s="16" t="n">
        <f aca="false">AP15+AP19</f>
        <v>-44333554.6396965</v>
      </c>
      <c r="AQ20" s="16" t="n">
        <f aca="false">AQ15+AQ19</f>
        <v>-31550265.5143037</v>
      </c>
      <c r="AR20" s="16" t="n">
        <f aca="false">AR15+AR19</f>
        <v>-33441564.3167462</v>
      </c>
      <c r="AS20" s="16" t="n">
        <f aca="false">AS15+AS19</f>
        <v>-26338046.5160772</v>
      </c>
      <c r="AT20" s="16" t="n">
        <f aca="false">AT15+AT19</f>
        <v>-18306516.9074148</v>
      </c>
      <c r="AU20" s="16" t="n">
        <f aca="false">AU15+AU19</f>
        <v>-11996643.6297373</v>
      </c>
      <c r="AV20" s="16" t="n">
        <f aca="false">AV15+AV19</f>
        <v>-6635336.36435801</v>
      </c>
      <c r="AW20" s="16" t="n">
        <f aca="false">AW15+AW19</f>
        <v>-4557505.23683402</v>
      </c>
      <c r="AX20" s="16" t="n">
        <f aca="false">AX15+AX19</f>
        <v>-521012.212742507</v>
      </c>
      <c r="AY20" s="16" t="n">
        <f aca="false">AY15+AY19</f>
        <v>6721765.14813688</v>
      </c>
      <c r="AZ20" s="16" t="n">
        <f aca="false">AZ15+AZ19</f>
        <v>12233922.7321581</v>
      </c>
      <c r="BA20" s="16" t="n">
        <f aca="false">BA15+BA19</f>
        <v>7101486.13605781</v>
      </c>
      <c r="BB20" s="16" t="n">
        <f aca="false">BB15+BB19</f>
        <v>11216626.8666269</v>
      </c>
      <c r="BC20" s="16" t="n">
        <f aca="false">BC15+BC19</f>
        <v>17180627.9687062</v>
      </c>
      <c r="BD20" s="16" t="n">
        <f aca="false">BD15+BD19</f>
        <v>13314221.7150713</v>
      </c>
      <c r="BE20" s="16" t="n">
        <f aca="false">BE15+BE19</f>
        <v>28172104.5772575</v>
      </c>
      <c r="BF20" s="16" t="n">
        <f aca="false">BF15+BF19</f>
        <v>31554189.5089739</v>
      </c>
      <c r="BG20" s="16" t="n">
        <f aca="false">BG15+BG19</f>
        <v>39255229.2433912</v>
      </c>
      <c r="BH20" s="16" t="n">
        <f aca="false">BH15+BH19</f>
        <v>46495578.4166003</v>
      </c>
      <c r="BI20" s="16" t="n">
        <f aca="false">BI15+BI19</f>
        <v>53969947.4928432</v>
      </c>
      <c r="BJ20" s="16" t="n">
        <f aca="false">BJ15+BJ19</f>
        <v>54028070.32017</v>
      </c>
      <c r="BK20" s="16" t="n">
        <f aca="false">BK15+BK19</f>
        <v>62878751.742326</v>
      </c>
      <c r="BL20" s="16" t="n">
        <f aca="false">BL15+BL19</f>
        <v>71367872.5713674</v>
      </c>
    </row>
    <row r="22" customFormat="false" ht="15" hidden="false" customHeight="false" outlineLevel="0" collapsed="false">
      <c r="A22" s="10" t="s">
        <v>896</v>
      </c>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11"/>
      <c r="BH22" s="11"/>
      <c r="BI22" s="11"/>
      <c r="BJ22" s="11"/>
      <c r="BK22" s="11"/>
      <c r="BL22" s="11"/>
    </row>
    <row r="23" customFormat="false" ht="15" hidden="false" customHeight="false" outlineLevel="0" collapsed="false">
      <c r="A23" s="12" t="s">
        <v>897</v>
      </c>
      <c r="B23" s="14" t="s">
        <v>71</v>
      </c>
      <c r="E23" s="37" t="n">
        <f aca="false">Opening_Cash</f>
        <v>0</v>
      </c>
      <c r="F23" s="37" t="n">
        <f aca="false">E24</f>
        <v>867961310.73</v>
      </c>
      <c r="G23" s="37" t="n">
        <f aca="false">F24</f>
        <v>827517391.83</v>
      </c>
      <c r="H23" s="37" t="n">
        <f aca="false">G24</f>
        <v>772373472.93</v>
      </c>
      <c r="I23" s="37" t="n">
        <f aca="false">H24</f>
        <v>675592974.63</v>
      </c>
      <c r="J23" s="37" t="n">
        <f aca="false">I24</f>
        <v>639008052.241667</v>
      </c>
      <c r="K23" s="37" t="n">
        <f aca="false">J24</f>
        <v>602913431.546667</v>
      </c>
      <c r="L23" s="37" t="n">
        <f aca="false">K24</f>
        <v>566963808.380988</v>
      </c>
      <c r="M23" s="37" t="n">
        <f aca="false">L24</f>
        <v>532313457.015243</v>
      </c>
      <c r="N23" s="37" t="n">
        <f aca="false">M24</f>
        <v>499006429.332044</v>
      </c>
      <c r="O23" s="37" t="n">
        <f aca="false">N24</f>
        <v>467040058.276833</v>
      </c>
      <c r="P23" s="37" t="n">
        <f aca="false">O24</f>
        <v>436412564.074117</v>
      </c>
      <c r="Q23" s="37" t="n">
        <f aca="false">P24</f>
        <v>407123092.404967</v>
      </c>
      <c r="R23" s="37" t="n">
        <f aca="false">Q24</f>
        <v>364501765.023213</v>
      </c>
      <c r="S23" s="37" t="n">
        <f aca="false">R24</f>
        <v>324160166.327088</v>
      </c>
      <c r="T23" s="37" t="n">
        <f aca="false">S24</f>
        <v>1479766052.42237</v>
      </c>
      <c r="U23" s="37" t="n">
        <f aca="false">T24</f>
        <v>1415057781.71107</v>
      </c>
      <c r="V23" s="37" t="n">
        <f aca="false">U24</f>
        <v>1377637375.19699</v>
      </c>
      <c r="W23" s="37" t="n">
        <f aca="false">V24</f>
        <v>1329231040.58416</v>
      </c>
      <c r="X23" s="37" t="n">
        <f aca="false">W24</f>
        <v>1278962252.78611</v>
      </c>
      <c r="Y23" s="37" t="n">
        <f aca="false">X24</f>
        <v>1229703596.95134</v>
      </c>
      <c r="Z23" s="37" t="n">
        <f aca="false">Y24</f>
        <v>1179937087.5323</v>
      </c>
      <c r="AA23" s="37" t="n">
        <f aca="false">Z24</f>
        <v>1131891402.22603</v>
      </c>
      <c r="AB23" s="37" t="n">
        <f aca="false">AA24</f>
        <v>1083503402.9632</v>
      </c>
      <c r="AC23" s="37" t="n">
        <f aca="false">AB24</f>
        <v>1580868816.60113</v>
      </c>
      <c r="AD23" s="37" t="n">
        <f aca="false">AC24</f>
        <v>1493037499.12726</v>
      </c>
      <c r="AE23" s="37" t="n">
        <f aca="false">AD24</f>
        <v>1429649879.32722</v>
      </c>
      <c r="AF23" s="37" t="n">
        <f aca="false">AE24</f>
        <v>1357357182.70126</v>
      </c>
      <c r="AG23" s="37" t="n">
        <f aca="false">AF24</f>
        <v>1280954621.30569</v>
      </c>
      <c r="AH23" s="37" t="n">
        <f aca="false">AG24</f>
        <v>1198189575.7661</v>
      </c>
      <c r="AI23" s="37" t="n">
        <f aca="false">AH24</f>
        <v>1142635592.58861</v>
      </c>
      <c r="AJ23" s="37" t="n">
        <f aca="false">AI24</f>
        <v>1088413177.26732</v>
      </c>
      <c r="AK23" s="37" t="n">
        <f aca="false">AJ24</f>
        <v>1036342929.37733</v>
      </c>
      <c r="AL23" s="37" t="n">
        <f aca="false">AK24</f>
        <v>990585987.802985</v>
      </c>
      <c r="AM23" s="37" t="n">
        <f aca="false">AL24</f>
        <v>947479423.582411</v>
      </c>
      <c r="AN23" s="37" t="n">
        <f aca="false">AM24</f>
        <v>906689349.78617</v>
      </c>
      <c r="AO23" s="37" t="n">
        <f aca="false">AN24</f>
        <v>868728096.59819</v>
      </c>
      <c r="AP23" s="37" t="n">
        <f aca="false">AO24</f>
        <v>817819680.169266</v>
      </c>
      <c r="AQ23" s="37" t="n">
        <f aca="false">AP24</f>
        <v>773486125.529569</v>
      </c>
      <c r="AR23" s="37" t="n">
        <f aca="false">AQ24</f>
        <v>741935860.015266</v>
      </c>
      <c r="AS23" s="37" t="n">
        <f aca="false">AR24</f>
        <v>708494295.69852</v>
      </c>
      <c r="AT23" s="37" t="n">
        <f aca="false">AS24</f>
        <v>682156249.182442</v>
      </c>
      <c r="AU23" s="37" t="n">
        <f aca="false">AT24</f>
        <v>663849732.275028</v>
      </c>
      <c r="AV23" s="37" t="n">
        <f aca="false">AU24</f>
        <v>651853088.64529</v>
      </c>
      <c r="AW23" s="37" t="n">
        <f aca="false">AV24</f>
        <v>645217752.280932</v>
      </c>
      <c r="AX23" s="37" t="n">
        <f aca="false">AW24</f>
        <v>640660247.044098</v>
      </c>
      <c r="AY23" s="37" t="n">
        <f aca="false">AX24</f>
        <v>640139234.831356</v>
      </c>
      <c r="AZ23" s="37" t="n">
        <f aca="false">AY24</f>
        <v>646860999.979492</v>
      </c>
      <c r="BA23" s="37" t="n">
        <f aca="false">AZ24</f>
        <v>659094922.711651</v>
      </c>
      <c r="BB23" s="37" t="n">
        <f aca="false">BA24</f>
        <v>666196408.847709</v>
      </c>
      <c r="BC23" s="37" t="n">
        <f aca="false">BB24</f>
        <v>677413035.714335</v>
      </c>
      <c r="BD23" s="37" t="n">
        <f aca="false">BC24</f>
        <v>694593663.683042</v>
      </c>
      <c r="BE23" s="37" t="n">
        <f aca="false">BD24</f>
        <v>707907885.398113</v>
      </c>
      <c r="BF23" s="37" t="n">
        <f aca="false">BE24</f>
        <v>736079989.97537</v>
      </c>
      <c r="BG23" s="37" t="n">
        <f aca="false">BF24</f>
        <v>767634179.484344</v>
      </c>
      <c r="BH23" s="37" t="n">
        <f aca="false">BG24</f>
        <v>806889408.727736</v>
      </c>
      <c r="BI23" s="37" t="n">
        <f aca="false">BH24</f>
        <v>853384987.144336</v>
      </c>
      <c r="BJ23" s="37" t="n">
        <f aca="false">BI24</f>
        <v>907354934.637179</v>
      </c>
      <c r="BK23" s="37" t="n">
        <f aca="false">BJ24</f>
        <v>961383004.957349</v>
      </c>
      <c r="BL23" s="37" t="n">
        <f aca="false">BK24</f>
        <v>1024261756.69968</v>
      </c>
    </row>
    <row r="24" customFormat="false" ht="15" hidden="false" customHeight="false" outlineLevel="0" collapsed="false">
      <c r="A24" s="8" t="s">
        <v>95</v>
      </c>
      <c r="B24" s="14" t="s">
        <v>71</v>
      </c>
      <c r="D24" s="55" t="n">
        <f aca="false">BL24</f>
        <v>1095629629.27104</v>
      </c>
      <c r="E24" s="55" t="n">
        <f aca="false">E23+E20</f>
        <v>867961310.73</v>
      </c>
      <c r="F24" s="55" t="n">
        <f aca="false">F23+F20</f>
        <v>827517391.83</v>
      </c>
      <c r="G24" s="55" t="n">
        <f aca="false">G23+G20</f>
        <v>772373472.93</v>
      </c>
      <c r="H24" s="55" t="n">
        <f aca="false">H23+H20</f>
        <v>675592974.63</v>
      </c>
      <c r="I24" s="55" t="n">
        <f aca="false">I23+I20</f>
        <v>639008052.241667</v>
      </c>
      <c r="J24" s="55" t="n">
        <f aca="false">J23+J20</f>
        <v>602913431.546667</v>
      </c>
      <c r="K24" s="55" t="n">
        <f aca="false">K23+K20</f>
        <v>566963808.380988</v>
      </c>
      <c r="L24" s="55" t="n">
        <f aca="false">L23+L20</f>
        <v>532313457.015243</v>
      </c>
      <c r="M24" s="55" t="n">
        <f aca="false">M23+M20</f>
        <v>499006429.332044</v>
      </c>
      <c r="N24" s="55" t="n">
        <f aca="false">N23+N20</f>
        <v>467040058.276833</v>
      </c>
      <c r="O24" s="55" t="n">
        <f aca="false">O23+O20</f>
        <v>436412564.074117</v>
      </c>
      <c r="P24" s="55" t="n">
        <f aca="false">P23+P20</f>
        <v>407123092.404967</v>
      </c>
      <c r="Q24" s="55" t="n">
        <f aca="false">Q23+Q20</f>
        <v>364501765.023213</v>
      </c>
      <c r="R24" s="55" t="n">
        <f aca="false">R23+R20</f>
        <v>324160166.327088</v>
      </c>
      <c r="S24" s="55" t="n">
        <f aca="false">S23+S20</f>
        <v>1479766052.42237</v>
      </c>
      <c r="T24" s="55" t="n">
        <f aca="false">T23+T20</f>
        <v>1415057781.71107</v>
      </c>
      <c r="U24" s="55" t="n">
        <f aca="false">U23+U20</f>
        <v>1377637375.19699</v>
      </c>
      <c r="V24" s="55" t="n">
        <f aca="false">V23+V20</f>
        <v>1329231040.58416</v>
      </c>
      <c r="W24" s="55" t="n">
        <f aca="false">W23+W20</f>
        <v>1278962252.78611</v>
      </c>
      <c r="X24" s="55" t="n">
        <f aca="false">X23+X20</f>
        <v>1229703596.95134</v>
      </c>
      <c r="Y24" s="55" t="n">
        <f aca="false">Y23+Y20</f>
        <v>1179937087.5323</v>
      </c>
      <c r="Z24" s="55" t="n">
        <f aca="false">Z23+Z20</f>
        <v>1131891402.22603</v>
      </c>
      <c r="AA24" s="55" t="n">
        <f aca="false">AA23+AA20</f>
        <v>1083503402.9632</v>
      </c>
      <c r="AB24" s="55" t="n">
        <f aca="false">AB23+AB20</f>
        <v>1580868816.60113</v>
      </c>
      <c r="AC24" s="55" t="n">
        <f aca="false">AC23+AC20</f>
        <v>1493037499.12726</v>
      </c>
      <c r="AD24" s="55" t="n">
        <f aca="false">AD23+AD20</f>
        <v>1429649879.32722</v>
      </c>
      <c r="AE24" s="55" t="n">
        <f aca="false">AE23+AE20</f>
        <v>1357357182.70126</v>
      </c>
      <c r="AF24" s="55" t="n">
        <f aca="false">AF23+AF20</f>
        <v>1280954621.30569</v>
      </c>
      <c r="AG24" s="55" t="n">
        <f aca="false">AG23+AG20</f>
        <v>1198189575.7661</v>
      </c>
      <c r="AH24" s="55" t="n">
        <f aca="false">AH23+AH20</f>
        <v>1142635592.58861</v>
      </c>
      <c r="AI24" s="55" t="n">
        <f aca="false">AI23+AI20</f>
        <v>1088413177.26732</v>
      </c>
      <c r="AJ24" s="55" t="n">
        <f aca="false">AJ23+AJ20</f>
        <v>1036342929.37733</v>
      </c>
      <c r="AK24" s="55" t="n">
        <f aca="false">AK23+AK20</f>
        <v>990585987.802985</v>
      </c>
      <c r="AL24" s="55" t="n">
        <f aca="false">AL23+AL20</f>
        <v>947479423.582411</v>
      </c>
      <c r="AM24" s="55" t="n">
        <f aca="false">AM23+AM20</f>
        <v>906689349.78617</v>
      </c>
      <c r="AN24" s="55" t="n">
        <f aca="false">AN23+AN20</f>
        <v>868728096.59819</v>
      </c>
      <c r="AO24" s="55" t="n">
        <f aca="false">AO23+AO20</f>
        <v>817819680.169266</v>
      </c>
      <c r="AP24" s="55" t="n">
        <f aca="false">AP23+AP20</f>
        <v>773486125.529569</v>
      </c>
      <c r="AQ24" s="55" t="n">
        <f aca="false">AQ23+AQ20</f>
        <v>741935860.015266</v>
      </c>
      <c r="AR24" s="55" t="n">
        <f aca="false">AR23+AR20</f>
        <v>708494295.69852</v>
      </c>
      <c r="AS24" s="55" t="n">
        <f aca="false">AS23+AS20</f>
        <v>682156249.182442</v>
      </c>
      <c r="AT24" s="55" t="n">
        <f aca="false">AT23+AT20</f>
        <v>663849732.275028</v>
      </c>
      <c r="AU24" s="55" t="n">
        <f aca="false">AU23+AU20</f>
        <v>651853088.64529</v>
      </c>
      <c r="AV24" s="55" t="n">
        <f aca="false">AV23+AV20</f>
        <v>645217752.280932</v>
      </c>
      <c r="AW24" s="55" t="n">
        <f aca="false">AW23+AW20</f>
        <v>640660247.044098</v>
      </c>
      <c r="AX24" s="55" t="n">
        <f aca="false">AX23+AX20</f>
        <v>640139234.831356</v>
      </c>
      <c r="AY24" s="55" t="n">
        <f aca="false">AY23+AY20</f>
        <v>646860999.979492</v>
      </c>
      <c r="AZ24" s="55" t="n">
        <f aca="false">AZ23+AZ20</f>
        <v>659094922.711651</v>
      </c>
      <c r="BA24" s="55" t="n">
        <f aca="false">BA23+BA20</f>
        <v>666196408.847709</v>
      </c>
      <c r="BB24" s="55" t="n">
        <f aca="false">BB23+BB20</f>
        <v>677413035.714335</v>
      </c>
      <c r="BC24" s="55" t="n">
        <f aca="false">BC23+BC20</f>
        <v>694593663.683042</v>
      </c>
      <c r="BD24" s="55" t="n">
        <f aca="false">BD23+BD20</f>
        <v>707907885.398113</v>
      </c>
      <c r="BE24" s="55" t="n">
        <f aca="false">BE23+BE20</f>
        <v>736079989.97537</v>
      </c>
      <c r="BF24" s="55" t="n">
        <f aca="false">BF23+BF20</f>
        <v>767634179.484344</v>
      </c>
      <c r="BG24" s="55" t="n">
        <f aca="false">BG23+BG20</f>
        <v>806889408.727736</v>
      </c>
      <c r="BH24" s="55" t="n">
        <f aca="false">BH23+BH20</f>
        <v>853384987.144336</v>
      </c>
      <c r="BI24" s="55" t="n">
        <f aca="false">BI23+BI20</f>
        <v>907354934.637179</v>
      </c>
      <c r="BJ24" s="55" t="n">
        <f aca="false">BJ23+BJ20</f>
        <v>961383004.957349</v>
      </c>
      <c r="BK24" s="55" t="n">
        <f aca="false">BK23+BK20</f>
        <v>1024261756.69968</v>
      </c>
      <c r="BL24" s="55" t="n">
        <f aca="false">BL23+BL20</f>
        <v>1095629629.27104</v>
      </c>
    </row>
    <row r="25" customFormat="false" ht="15" hidden="false" customHeight="false" outlineLevel="0" collapsed="false">
      <c r="A25" s="12" t="s">
        <v>898</v>
      </c>
      <c r="B25" s="14" t="s">
        <v>71</v>
      </c>
      <c r="D25" s="55" t="n">
        <f aca="false">BL25</f>
        <v>1296996414.46286</v>
      </c>
      <c r="E25" s="37" t="n">
        <f aca="false">-SUM(E12:E12)+Credit!E46</f>
        <v>0</v>
      </c>
      <c r="F25" s="37" t="n">
        <f aca="false">-SUM(E12:F12)+Credit!F46</f>
        <v>0</v>
      </c>
      <c r="G25" s="37" t="n">
        <f aca="false">-SUM(E12:G12)+Credit!G46</f>
        <v>0</v>
      </c>
      <c r="H25" s="37" t="n">
        <f aca="false">-SUM(E12:H12)+Credit!H46</f>
        <v>60000000</v>
      </c>
      <c r="I25" s="37" t="n">
        <f aca="false">-SUM(E12:I12)+Credit!I46</f>
        <v>60000000</v>
      </c>
      <c r="J25" s="37" t="n">
        <f aca="false">-SUM(E12:J12)+Credit!J46</f>
        <v>60000000</v>
      </c>
      <c r="K25" s="37" t="n">
        <f aca="false">-SUM(E12:K12)+Credit!K46</f>
        <v>60000000</v>
      </c>
      <c r="L25" s="37" t="n">
        <f aca="false">-SUM(E12:L12)+Credit!L46</f>
        <v>60000000</v>
      </c>
      <c r="M25" s="37" t="n">
        <f aca="false">-SUM(E12:M12)+Credit!M46</f>
        <v>60000000</v>
      </c>
      <c r="N25" s="37" t="n">
        <f aca="false">-SUM(E12:N12)+Credit!N46</f>
        <v>60000000</v>
      </c>
      <c r="O25" s="37" t="n">
        <f aca="false">-SUM(E12:O12)+Credit!O46</f>
        <v>60000000</v>
      </c>
      <c r="P25" s="37" t="n">
        <f aca="false">-SUM(E12:P12)+Credit!P46</f>
        <v>60000000</v>
      </c>
      <c r="Q25" s="37" t="n">
        <f aca="false">-SUM(E12:Q12)+Credit!Q46</f>
        <v>60000000</v>
      </c>
      <c r="R25" s="37" t="n">
        <f aca="false">-SUM(E12:R12)+Credit!R46</f>
        <v>60000000</v>
      </c>
      <c r="S25" s="37" t="n">
        <f aca="false">-SUM(E12:S12)+Credit!S46</f>
        <v>60000000</v>
      </c>
      <c r="T25" s="37" t="n">
        <f aca="false">-SUM(E12:T12)+Credit!T46</f>
        <v>60000000</v>
      </c>
      <c r="U25" s="37" t="n">
        <f aca="false">-SUM(E12:U12)+Credit!U46</f>
        <v>60000000</v>
      </c>
      <c r="V25" s="37" t="n">
        <f aca="false">-SUM(E12:V12)+Credit!V46</f>
        <v>63637060.8478795</v>
      </c>
      <c r="W25" s="37" t="n">
        <f aca="false">-SUM(E12:W12)+Credit!W46</f>
        <v>68290188.8275007</v>
      </c>
      <c r="X25" s="37" t="n">
        <f aca="false">-SUM(E12:X12)+Credit!X46</f>
        <v>73955468.0686348</v>
      </c>
      <c r="Y25" s="37" t="n">
        <f aca="false">-SUM(E12:Y12)+Credit!Y46</f>
        <v>81893898.1370539</v>
      </c>
      <c r="Z25" s="37" t="n">
        <f aca="false">-SUM(E12:Z12)+Credit!Z46</f>
        <v>91089740.5082048</v>
      </c>
      <c r="AA25" s="37" t="n">
        <f aca="false">-SUM(E12:AA12)+Credit!AA46</f>
        <v>101544844.894998</v>
      </c>
      <c r="AB25" s="37" t="n">
        <f aca="false">-SUM(E12:AB12)+Credit!AB46</f>
        <v>113589485.27482</v>
      </c>
      <c r="AC25" s="37" t="n">
        <f aca="false">-SUM(E12:AC12)+Credit!AC46</f>
        <v>156791583.889401</v>
      </c>
      <c r="AD25" s="37" t="n">
        <f aca="false">-SUM(E12:AD12)+Credit!AD46</f>
        <v>179460772.833153</v>
      </c>
      <c r="AE25" s="37" t="n">
        <f aca="false">-SUM(E12:AE12)+Credit!AE46</f>
        <v>209443390.543371</v>
      </c>
      <c r="AF25" s="37" t="n">
        <f aca="false">-SUM(E12:AF12)+Credit!AF46</f>
        <v>243311617.718851</v>
      </c>
      <c r="AG25" s="37" t="n">
        <f aca="false">-SUM(E12:AG12)+Credit!AG46</f>
        <v>280426322.916823</v>
      </c>
      <c r="AH25" s="37" t="n">
        <f aca="false">-SUM(E12:AH12)+Credit!AH46</f>
        <v>306274579.651812</v>
      </c>
      <c r="AI25" s="37" t="n">
        <f aca="false">-SUM(E12:AI12)+Credit!AI46</f>
        <v>333545950.767528</v>
      </c>
      <c r="AJ25" s="37" t="n">
        <f aca="false">-SUM(E12:AJ12)+Credit!AJ46</f>
        <v>363339227.427461</v>
      </c>
      <c r="AK25" s="37" t="n">
        <f aca="false">-SUM(E12:AK12)+Credit!AK46</f>
        <v>390182394.942372</v>
      </c>
      <c r="AL25" s="37" t="n">
        <f aca="false">-SUM(E12:AL12)+Credit!AL46</f>
        <v>418083763.340235</v>
      </c>
      <c r="AM25" s="37" t="n">
        <f aca="false">-SUM(E12:AM12)+Credit!AM46</f>
        <v>448231796.3155</v>
      </c>
      <c r="AN25" s="37" t="n">
        <f aca="false">-SUM(E12:AN12)+Credit!AN46</f>
        <v>480250547.567434</v>
      </c>
      <c r="AO25" s="37" t="n">
        <f aca="false">-SUM(E12:AO12)+Credit!AO46</f>
        <v>515250334.465803</v>
      </c>
      <c r="AP25" s="37" t="n">
        <f aca="false">-SUM(E12:AP12)+Credit!AP46</f>
        <v>552802127.332781</v>
      </c>
      <c r="AQ25" s="37" t="n">
        <f aca="false">-SUM(E12:AQ12)+Credit!AQ46</f>
        <v>581275522.7412</v>
      </c>
      <c r="AR25" s="37" t="n">
        <f aca="false">-SUM(E12:AR12)+Credit!AR46</f>
        <v>611328764.344682</v>
      </c>
      <c r="AS25" s="37" t="n">
        <f aca="false">-SUM(E12:AS12)+Credit!AS46</f>
        <v>641554624.623594</v>
      </c>
      <c r="AT25" s="37" t="n">
        <f aca="false">-SUM(E12:AT12)+Credit!AT46</f>
        <v>672100255.310177</v>
      </c>
      <c r="AU25" s="37" t="n">
        <f aca="false">-SUM(E12:AU12)+Credit!AU46</f>
        <v>702271202.981034</v>
      </c>
      <c r="AV25" s="37" t="n">
        <f aca="false">-SUM(E12:AV12)+Credit!AV46</f>
        <v>732080943.395319</v>
      </c>
      <c r="AW25" s="37" t="n">
        <f aca="false">-SUM(E12:AW12)+Credit!AW46</f>
        <v>762792353.214864</v>
      </c>
      <c r="AX25" s="37" t="n">
        <f aca="false">-SUM(E12:AX12)+Credit!AX46</f>
        <v>793149658.912271</v>
      </c>
      <c r="AY25" s="37" t="n">
        <f aca="false">-SUM(E12:AY12)+Credit!AY46</f>
        <v>825164529.086533</v>
      </c>
      <c r="AZ25" s="37" t="n">
        <f aca="false">-SUM(E12:AZ12)+Credit!AZ46</f>
        <v>856821735.211551</v>
      </c>
      <c r="BA25" s="37" t="n">
        <f aca="false">-SUM(E12:BA12)+Credit!BA46</f>
        <v>891216768.260694</v>
      </c>
      <c r="BB25" s="37" t="n">
        <f aca="false">-SUM(E12:BB12)+Credit!BB46</f>
        <v>925235109.131852</v>
      </c>
      <c r="BC25" s="37" t="n">
        <f aca="false">-SUM(E12:BC12)+Credit!BC46</f>
        <v>960143097.327657</v>
      </c>
      <c r="BD25" s="37" t="n">
        <f aca="false">-SUM(E12:BD12)+Credit!BD46</f>
        <v>995436100.276959</v>
      </c>
      <c r="BE25" s="37" t="n">
        <f aca="false">-SUM(E12:BE12)+Credit!BE46</f>
        <v>1031621487.63875</v>
      </c>
      <c r="BF25" s="37" t="n">
        <f aca="false">-SUM(E12:BF12)+Credit!BF46</f>
        <v>1067448099.31573</v>
      </c>
      <c r="BG25" s="37" t="n">
        <f aca="false">-SUM(E12:BG12)+Credit!BG46</f>
        <v>1104932479.11067</v>
      </c>
      <c r="BH25" s="37" t="n">
        <f aca="false">-SUM(E12:BH12)+Credit!BH46</f>
        <v>1142064691.96896</v>
      </c>
      <c r="BI25" s="37" t="n">
        <f aca="false">-SUM(E12:BI12)+Credit!BI46</f>
        <v>1180115149.25829</v>
      </c>
      <c r="BJ25" s="37" t="n">
        <f aca="false">-SUM(E12:BJ12)+Credit!BJ46</f>
        <v>1217835395.99956</v>
      </c>
      <c r="BK25" s="37" t="n">
        <f aca="false">-SUM(E12:BK12)+Credit!BK46</f>
        <v>1257102495.77729</v>
      </c>
      <c r="BL25" s="37" t="n">
        <f aca="false">-SUM(E12:BL12)+Credit!BL46</f>
        <v>1296996414.46286</v>
      </c>
    </row>
    <row r="26" customFormat="false" ht="15" hidden="false" customHeight="false" outlineLevel="0" collapsed="false">
      <c r="A26" s="12" t="s">
        <v>899</v>
      </c>
      <c r="B26" s="14" t="s">
        <v>71</v>
      </c>
      <c r="E26" s="37" t="n">
        <f aca="false">MAX(0,-AVERAGE(E15))</f>
        <v>32038689.27</v>
      </c>
      <c r="F26" s="37" t="n">
        <f aca="false">MAX(0,-AVERAGE(F15))</f>
        <v>40443918.9</v>
      </c>
      <c r="G26" s="37" t="n">
        <f aca="false">MAX(0,-AVERAGE(E15:G15))</f>
        <v>42542175.69</v>
      </c>
      <c r="H26" s="37" t="n">
        <f aca="false">MAX(0,-AVERAGE(F15:H15))</f>
        <v>64122778.7</v>
      </c>
      <c r="I26" s="37" t="n">
        <f aca="false">MAX(0,-AVERAGE(G15:I15))</f>
        <v>62836446.5294445</v>
      </c>
      <c r="J26" s="37" t="n">
        <f aca="false">MAX(0,-AVERAGE(H15:J15))</f>
        <v>56486680.4611111</v>
      </c>
      <c r="K26" s="37" t="n">
        <f aca="false">MAX(0,-AVERAGE(I15:K15))</f>
        <v>36209722.0830042</v>
      </c>
      <c r="L26" s="37" t="n">
        <f aca="false">MAX(0,-AVERAGE(J15:L15))</f>
        <v>35564865.0754745</v>
      </c>
      <c r="M26" s="37" t="n">
        <f aca="false">MAX(0,-AVERAGE(K15:M15))</f>
        <v>34635667.4048741</v>
      </c>
      <c r="N26" s="37" t="n">
        <f aca="false">MAX(0,-AVERAGE(L15:N15))</f>
        <v>33307916.701385</v>
      </c>
      <c r="O26" s="37" t="n">
        <f aca="false">MAX(0,-AVERAGE(M15:O15))</f>
        <v>31966964.3137088</v>
      </c>
      <c r="P26" s="37" t="n">
        <f aca="false">MAX(0,-AVERAGE(N15:P15))</f>
        <v>30627778.9756925</v>
      </c>
      <c r="Q26" s="37" t="n">
        <f aca="false">MAX(0,-AVERAGE(O15:Q15))</f>
        <v>34179431.0845398</v>
      </c>
      <c r="R26" s="37" t="n">
        <f aca="false">MAX(0,-AVERAGE(P15:R15))</f>
        <v>37417465.9156762</v>
      </c>
      <c r="S26" s="37" t="n">
        <f aca="false">MAX(0,-AVERAGE(Q15:S15))</f>
        <v>42452346.6608646</v>
      </c>
      <c r="T26" s="37" t="n">
        <f aca="false">MAX(0,-AVERAGE(R15:T15))</f>
        <v>49814661.1040469</v>
      </c>
      <c r="U26" s="37" t="n">
        <f aca="false">MAX(0,-AVERAGE(S15:U15))</f>
        <v>48840930.3766977</v>
      </c>
      <c r="V26" s="37" t="n">
        <f aca="false">MAX(0,-AVERAGE(T15:V15))</f>
        <v>50178337.2794059</v>
      </c>
      <c r="W26" s="37" t="n">
        <f aca="false">MAX(0,-AVERAGE(U15:W15))</f>
        <v>45365176.3083191</v>
      </c>
      <c r="X26" s="37" t="n">
        <f aca="false">MAX(0,-AVERAGE(V15:X15))</f>
        <v>49311259.4152168</v>
      </c>
      <c r="Y26" s="37" t="n">
        <f aca="false">MAX(0,-AVERAGE(W15:Y15))</f>
        <v>49764651.0172841</v>
      </c>
      <c r="Z26" s="37" t="n">
        <f aca="false">MAX(0,-AVERAGE(X15:Z15))</f>
        <v>49023616.8533623</v>
      </c>
      <c r="AA26" s="37" t="n">
        <f aca="false">MAX(0,-AVERAGE(Y15:AA15))</f>
        <v>48733397.9960485</v>
      </c>
      <c r="AB26" s="37" t="n">
        <f aca="false">MAX(0,-AVERAGE(Z15:AB15))</f>
        <v>266356090.310392</v>
      </c>
      <c r="AC26" s="37" t="n">
        <f aca="false">MAX(0,-AVERAGE(AA15:AC15))</f>
        <v>279617967.699591</v>
      </c>
      <c r="AD26" s="37" t="n">
        <f aca="false">MAX(0,-AVERAGE(AB15:AD15))</f>
        <v>284617841.211992</v>
      </c>
      <c r="AE26" s="37" t="n">
        <f aca="false">MAX(0,-AVERAGE(AC15:AE15))</f>
        <v>74503877.9666225</v>
      </c>
      <c r="AF26" s="37" t="n">
        <f aca="false">MAX(0,-AVERAGE(AD15:AF15))</f>
        <v>70694292.6071895</v>
      </c>
      <c r="AG26" s="37" t="n">
        <f aca="false">MAX(0,-AVERAGE(AE15:AG15))</f>
        <v>77153434.5203733</v>
      </c>
      <c r="AH26" s="37" t="n">
        <f aca="false">MAX(0,-AVERAGE(AF15:AH15))</f>
        <v>71573863.3708825</v>
      </c>
      <c r="AI26" s="37" t="n">
        <f aca="false">MAX(0,-AVERAGE(AG15:AI15))</f>
        <v>64180481.3461225</v>
      </c>
      <c r="AJ26" s="37" t="n">
        <f aca="false">MAX(0,-AVERAGE(AH15:AJ15))</f>
        <v>53948882.1295918</v>
      </c>
      <c r="AK26" s="37" t="n">
        <f aca="false">MAX(0,-AVERAGE(AI15:AK15))</f>
        <v>50683201.5952089</v>
      </c>
      <c r="AL26" s="37" t="n">
        <f aca="false">MAX(0,-AVERAGE(AJ15:AL15))</f>
        <v>46977917.8949695</v>
      </c>
      <c r="AM26" s="37" t="n">
        <f aca="false">MAX(0,-AVERAGE(AK15:AM15))</f>
        <v>43217859.8637192</v>
      </c>
      <c r="AN26" s="37" t="n">
        <f aca="false">MAX(0,-AVERAGE(AL15:AN15))</f>
        <v>40619297.0682649</v>
      </c>
      <c r="AO26" s="37" t="n">
        <f aca="false">MAX(0,-AVERAGE(AM15:AO15))</f>
        <v>43219914.4710483</v>
      </c>
      <c r="AP26" s="37" t="n">
        <f aca="false">MAX(0,-AVERAGE(AN15:AP15))</f>
        <v>44401074.7522001</v>
      </c>
      <c r="AQ26" s="37" t="n">
        <f aca="false">MAX(0,-AVERAGE(AO15:AQ15))</f>
        <v>42264078.8609749</v>
      </c>
      <c r="AR26" s="37" t="n">
        <f aca="false">MAX(0,-AVERAGE(AP15:AR15))</f>
        <v>36441794.8235821</v>
      </c>
      <c r="AS26" s="37" t="n">
        <f aca="false">MAX(0,-AVERAGE(AQ15:AS15))</f>
        <v>30443292.115709</v>
      </c>
      <c r="AT26" s="37" t="n">
        <f aca="false">MAX(0,-AVERAGE(AR15:AT15))</f>
        <v>26028709.2467461</v>
      </c>
      <c r="AU26" s="37" t="n">
        <f aca="false">MAX(0,-AVERAGE(AS15:AU15))</f>
        <v>18880402.3510764</v>
      </c>
      <c r="AV26" s="37" t="n">
        <f aca="false">MAX(0,-AVERAGE(AT15:AV15))</f>
        <v>12312832.3005034</v>
      </c>
      <c r="AW26" s="37" t="n">
        <f aca="false">MAX(0,-AVERAGE(AU15:AW15))</f>
        <v>7729828.41030977</v>
      </c>
      <c r="AX26" s="37" t="n">
        <f aca="false">MAX(0,-AVERAGE(AV15:AX15))</f>
        <v>3904617.93797818</v>
      </c>
      <c r="AY26" s="37" t="n">
        <f aca="false">MAX(0,-AVERAGE(AW15:AY15))</f>
        <v>0</v>
      </c>
      <c r="AZ26" s="37" t="n">
        <f aca="false">MAX(0,-AVERAGE(AX15:AZ15))</f>
        <v>0</v>
      </c>
      <c r="BA26" s="37" t="n">
        <f aca="false">MAX(0,-AVERAGE(AY15:BA15))</f>
        <v>0</v>
      </c>
      <c r="BB26" s="37" t="n">
        <f aca="false">MAX(0,-AVERAGE(AZ15:BB15))</f>
        <v>0</v>
      </c>
      <c r="BC26" s="37" t="n">
        <f aca="false">MAX(0,-AVERAGE(BA15:BC15))</f>
        <v>0</v>
      </c>
      <c r="BD26" s="37" t="n">
        <f aca="false">MAX(0,-AVERAGE(BB15:BD15))</f>
        <v>0</v>
      </c>
      <c r="BE26" s="37" t="n">
        <f aca="false">MAX(0,-AVERAGE(BC15:BE15))</f>
        <v>0</v>
      </c>
      <c r="BF26" s="37" t="n">
        <f aca="false">MAX(0,-AVERAGE(BD15:BF15))</f>
        <v>0</v>
      </c>
      <c r="BG26" s="37" t="n">
        <f aca="false">MAX(0,-AVERAGE(BE15:BG15))</f>
        <v>0</v>
      </c>
      <c r="BH26" s="37" t="n">
        <f aca="false">MAX(0,-AVERAGE(BF15:BH15))</f>
        <v>0</v>
      </c>
      <c r="BI26" s="37" t="n">
        <f aca="false">MAX(0,-AVERAGE(BG15:BI15))</f>
        <v>0</v>
      </c>
      <c r="BJ26" s="37" t="n">
        <f aca="false">MAX(0,-AVERAGE(BH15:BJ15))</f>
        <v>0</v>
      </c>
      <c r="BK26" s="37" t="n">
        <f aca="false">MAX(0,-AVERAGE(BI15:BK15))</f>
        <v>0</v>
      </c>
      <c r="BL26" s="37" t="n">
        <f aca="false">MAX(0,-AVERAGE(BJ15:BL15))</f>
        <v>0</v>
      </c>
    </row>
    <row r="27" customFormat="false" ht="15" hidden="false" customHeight="false" outlineLevel="0" collapsed="false">
      <c r="A27" s="12" t="s">
        <v>900</v>
      </c>
      <c r="B27" s="14" t="s">
        <v>102</v>
      </c>
      <c r="E27" s="34" t="n">
        <f aca="false">IF(E26=0,"cash positive",E24/E26)</f>
        <v>27.0910368216196</v>
      </c>
      <c r="F27" s="34" t="n">
        <f aca="false">IF(F26=0,"cash positive",F24/F26)</f>
        <v>20.4608607260856</v>
      </c>
      <c r="G27" s="34" t="n">
        <f aca="false">IF(G26=0,"cash positive",G24/G26)</f>
        <v>18.1554765453981</v>
      </c>
      <c r="H27" s="34" t="n">
        <f aca="false">IF(H26=0,"cash positive",H24/H26)</f>
        <v>10.5359279233793</v>
      </c>
      <c r="I27" s="34" t="n">
        <f aca="false">IF(I26=0,"cash positive",I24/I26)</f>
        <v>10.1693855641922</v>
      </c>
      <c r="J27" s="34" t="n">
        <f aca="false">IF(J26=0,"cash positive",J24/J26)</f>
        <v>10.6735504126809</v>
      </c>
      <c r="K27" s="34" t="n">
        <f aca="false">IF(K26=0,"cash positive",K24/K26)</f>
        <v>15.6577785126692</v>
      </c>
      <c r="L27" s="34" t="n">
        <f aca="false">IF(L26=0,"cash positive",L24/L26)</f>
        <v>14.9673970612734</v>
      </c>
      <c r="M27" s="34" t="n">
        <f aca="false">IF(M26=0,"cash positive",M24/M26)</f>
        <v>14.4072993743386</v>
      </c>
      <c r="N27" s="34" t="n">
        <f aca="false">IF(N26=0,"cash positive",N24/N26)</f>
        <v>14.0218934274389</v>
      </c>
      <c r="O27" s="34" t="n">
        <f aca="false">IF(O26=0,"cash positive",O24/O26)</f>
        <v>13.651986463005</v>
      </c>
      <c r="P27" s="34" t="n">
        <f aca="false">IF(P26=0,"cash positive",P24/P26)</f>
        <v>13.2926090634282</v>
      </c>
      <c r="Q27" s="34" t="n">
        <f aca="false">IF(Q26=0,"cash positive",Q24/Q26)</f>
        <v>10.6643602148219</v>
      </c>
      <c r="R27" s="34" t="n">
        <f aca="false">IF(R26=0,"cash positive",R24/R26)</f>
        <v>8.66333832060176</v>
      </c>
      <c r="S27" s="34" t="n">
        <f aca="false">IF(S26=0,"cash positive",S24/S26)</f>
        <v>34.8571084713797</v>
      </c>
      <c r="T27" s="34" t="n">
        <f aca="false">IF(T26=0,"cash positive",T24/T26)</f>
        <v>28.4064520434149</v>
      </c>
      <c r="U27" s="34" t="n">
        <f aca="false">IF(U26=0,"cash positive",U24/U26)</f>
        <v>28.2066161428873</v>
      </c>
      <c r="V27" s="34" t="n">
        <f aca="false">IF(V26=0,"cash positive",V24/V26)</f>
        <v>26.4901372315837</v>
      </c>
      <c r="W27" s="34" t="n">
        <f aca="false">IF(W26=0,"cash positive",W24/W26)</f>
        <v>28.1925996295881</v>
      </c>
      <c r="X27" s="34" t="n">
        <f aca="false">IF(X26=0,"cash positive",X24/X26)</f>
        <v>24.9375824413009</v>
      </c>
      <c r="Y27" s="34" t="n">
        <f aca="false">IF(Y26=0,"cash positive",Y24/Y26)</f>
        <v>23.7103458662353</v>
      </c>
      <c r="Z27" s="34" t="n">
        <f aca="false">IF(Z26=0,"cash positive",Z24/Z26)</f>
        <v>23.0886963238902</v>
      </c>
      <c r="AA27" s="34" t="n">
        <f aca="false">IF(AA26=0,"cash positive",AA24/AA26)</f>
        <v>22.2332824616714</v>
      </c>
      <c r="AB27" s="34" t="n">
        <f aca="false">IF(AB26=0,"cash positive",AB24/AB26)</f>
        <v>5.93517052588848</v>
      </c>
      <c r="AC27" s="34" t="n">
        <f aca="false">IF(AC26=0,"cash positive",AC24/AC26)</f>
        <v>5.33956208683739</v>
      </c>
      <c r="AD27" s="34" t="n">
        <f aca="false">IF(AD26=0,"cash positive",AD24/AD26)</f>
        <v>5.02305081522411</v>
      </c>
      <c r="AE27" s="34" t="n">
        <f aca="false">IF(AE26=0,"cash positive",AE24/AE26)</f>
        <v>18.2186111615472</v>
      </c>
      <c r="AF27" s="34" t="n">
        <f aca="false">IF(AF26=0,"cash positive",AF24/AF26)</f>
        <v>18.1196327746466</v>
      </c>
      <c r="AG27" s="34" t="n">
        <f aca="false">IF(AG26=0,"cash positive",AG24/AG26)</f>
        <v>15.5299577162661</v>
      </c>
      <c r="AH27" s="34" t="n">
        <f aca="false">IF(AH26=0,"cash positive",AH24/AH26)</f>
        <v>15.9644252632792</v>
      </c>
      <c r="AI27" s="34" t="n">
        <f aca="false">IF(AI26=0,"cash positive",AI24/AI26)</f>
        <v>16.9586321953174</v>
      </c>
      <c r="AJ27" s="34" t="n">
        <f aca="false">IF(AJ26=0,"cash positive",AJ24/AJ26)</f>
        <v>19.2097201734024</v>
      </c>
      <c r="AK27" s="34" t="n">
        <f aca="false">IF(AK26=0,"cash positive",AK24/AK26)</f>
        <v>19.5446608861549</v>
      </c>
      <c r="AL27" s="34" t="n">
        <f aca="false">IF(AL26=0,"cash positive",AL24/AL26)</f>
        <v>20.1686125319715</v>
      </c>
      <c r="AM27" s="34" t="n">
        <f aca="false">IF(AM26=0,"cash positive",AM24/AM26)</f>
        <v>20.9795059876929</v>
      </c>
      <c r="AN27" s="34" t="n">
        <f aca="false">IF(AN26=0,"cash positive",AN24/AN26)</f>
        <v>21.3870785390058</v>
      </c>
      <c r="AO27" s="34" t="n">
        <f aca="false">IF(AO26=0,"cash positive",AO24/AO26)</f>
        <v>18.9222882594342</v>
      </c>
      <c r="AP27" s="34" t="n">
        <f aca="false">IF(AP26=0,"cash positive",AP24/AP26)</f>
        <v>17.4204370017247</v>
      </c>
      <c r="AQ27" s="34" t="n">
        <f aca="false">IF(AQ26=0,"cash positive",AQ24/AQ26)</f>
        <v>17.5547623421729</v>
      </c>
      <c r="AR27" s="34" t="n">
        <f aca="false">IF(AR26=0,"cash positive",AR24/AR26)</f>
        <v>19.4418057378458</v>
      </c>
      <c r="AS27" s="34" t="n">
        <f aca="false">IF(AS26=0,"cash positive",AS24/AS26)</f>
        <v>22.4074402528379</v>
      </c>
      <c r="AT27" s="34" t="n">
        <f aca="false">IF(AT26=0,"cash positive",AT24/AT26)</f>
        <v>25.504519873878</v>
      </c>
      <c r="AU27" s="34" t="n">
        <f aca="false">IF(AU26=0,"cash positive",AU24/AU26)</f>
        <v>34.5253812140357</v>
      </c>
      <c r="AV27" s="34" t="n">
        <f aca="false">IF(AV26=0,"cash positive",AV24/AV26)</f>
        <v>52.4020579939641</v>
      </c>
      <c r="AW27" s="34" t="n">
        <f aca="false">IF(AW26=0,"cash positive",AW24/AW26)</f>
        <v>82.8815612762643</v>
      </c>
      <c r="AX27" s="34" t="n">
        <f aca="false">IF(AX26=0,"cash positive",AX24/AX26)</f>
        <v>163.944141270534</v>
      </c>
      <c r="AY27" s="34" t="str">
        <f aca="false">IF(AY26=0,"cash positive",AY24/AY26)</f>
        <v>cash positive</v>
      </c>
      <c r="AZ27" s="34" t="str">
        <f aca="false">IF(AZ26=0,"cash positive",AZ24/AZ26)</f>
        <v>cash positive</v>
      </c>
      <c r="BA27" s="34" t="str">
        <f aca="false">IF(BA26=0,"cash positive",BA24/BA26)</f>
        <v>cash positive</v>
      </c>
      <c r="BB27" s="34" t="str">
        <f aca="false">IF(BB26=0,"cash positive",BB24/BB26)</f>
        <v>cash positive</v>
      </c>
      <c r="BC27" s="34" t="str">
        <f aca="false">IF(BC26=0,"cash positive",BC24/BC26)</f>
        <v>cash positive</v>
      </c>
      <c r="BD27" s="34" t="str">
        <f aca="false">IF(BD26=0,"cash positive",BD24/BD26)</f>
        <v>cash positive</v>
      </c>
      <c r="BE27" s="34" t="str">
        <f aca="false">IF(BE26=0,"cash positive",BE24/BE26)</f>
        <v>cash positive</v>
      </c>
      <c r="BF27" s="34" t="str">
        <f aca="false">IF(BF26=0,"cash positive",BF24/BF26)</f>
        <v>cash positive</v>
      </c>
      <c r="BG27" s="34" t="str">
        <f aca="false">IF(BG26=0,"cash positive",BG24/BG26)</f>
        <v>cash positive</v>
      </c>
      <c r="BH27" s="34" t="str">
        <f aca="false">IF(BH26=0,"cash positive",BH24/BH26)</f>
        <v>cash positive</v>
      </c>
      <c r="BI27" s="34" t="str">
        <f aca="false">IF(BI26=0,"cash positive",BI24/BI26)</f>
        <v>cash positive</v>
      </c>
      <c r="BJ27" s="34" t="str">
        <f aca="false">IF(BJ26=0,"cash positive",BJ24/BJ26)</f>
        <v>cash positive</v>
      </c>
      <c r="BK27" s="34" t="str">
        <f aca="false">IF(BK26=0,"cash positive",BK24/BK26)</f>
        <v>cash positive</v>
      </c>
      <c r="BL27" s="34" t="str">
        <f aca="false">IF(BL26=0,"cash positive",BL24/BL26)</f>
        <v>cash positive</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L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8"/>
    <col collapsed="false" customWidth="true" hidden="false" outlineLevel="0" max="3" min="3" style="0" width="3"/>
    <col collapsed="false" customWidth="true" hidden="false" outlineLevel="0" max="4" min="4" style="0" width="14"/>
    <col collapsed="false" customWidth="true" hidden="false" outlineLevel="0" max="64" min="5" style="0" width="11"/>
  </cols>
  <sheetData>
    <row r="1" customFormat="false" ht="17.35" hidden="false" customHeight="false" outlineLevel="0" collapsed="false">
      <c r="A1" s="7" t="s">
        <v>901</v>
      </c>
    </row>
    <row r="2" customFormat="false" ht="15" hidden="false" customHeight="false" outlineLevel="0" collapsed="false">
      <c r="A2" s="2" t="s">
        <v>902</v>
      </c>
    </row>
    <row r="3" customFormat="false" ht="15" hidden="false" customHeight="false" outlineLevel="0" collapsed="false">
      <c r="A3" s="8" t="s">
        <v>680</v>
      </c>
      <c r="D3" s="8" t="s">
        <v>681</v>
      </c>
      <c r="E3" s="20" t="n">
        <f aca="false">'Cash flow'!E3</f>
        <v>1</v>
      </c>
      <c r="F3" s="20" t="n">
        <f aca="false">'Cash flow'!F3</f>
        <v>2</v>
      </c>
      <c r="G3" s="20" t="n">
        <f aca="false">'Cash flow'!G3</f>
        <v>3</v>
      </c>
      <c r="H3" s="20" t="n">
        <f aca="false">'Cash flow'!H3</f>
        <v>4</v>
      </c>
      <c r="I3" s="20" t="n">
        <f aca="false">'Cash flow'!I3</f>
        <v>5</v>
      </c>
      <c r="J3" s="20" t="n">
        <f aca="false">'Cash flow'!J3</f>
        <v>6</v>
      </c>
      <c r="K3" s="20" t="n">
        <f aca="false">'Cash flow'!K3</f>
        <v>7</v>
      </c>
      <c r="L3" s="20" t="n">
        <f aca="false">'Cash flow'!L3</f>
        <v>8</v>
      </c>
      <c r="M3" s="20" t="n">
        <f aca="false">'Cash flow'!M3</f>
        <v>9</v>
      </c>
      <c r="N3" s="20" t="n">
        <f aca="false">'Cash flow'!N3</f>
        <v>10</v>
      </c>
      <c r="O3" s="20" t="n">
        <f aca="false">'Cash flow'!O3</f>
        <v>11</v>
      </c>
      <c r="P3" s="20" t="n">
        <f aca="false">'Cash flow'!P3</f>
        <v>12</v>
      </c>
      <c r="Q3" s="20" t="n">
        <f aca="false">'Cash flow'!Q3</f>
        <v>13</v>
      </c>
      <c r="R3" s="20" t="n">
        <f aca="false">'Cash flow'!R3</f>
        <v>14</v>
      </c>
      <c r="S3" s="20" t="n">
        <f aca="false">'Cash flow'!S3</f>
        <v>15</v>
      </c>
      <c r="T3" s="20" t="n">
        <f aca="false">'Cash flow'!T3</f>
        <v>16</v>
      </c>
      <c r="U3" s="20" t="n">
        <f aca="false">'Cash flow'!U3</f>
        <v>17</v>
      </c>
      <c r="V3" s="20" t="n">
        <f aca="false">'Cash flow'!V3</f>
        <v>18</v>
      </c>
      <c r="W3" s="20" t="n">
        <f aca="false">'Cash flow'!W3</f>
        <v>19</v>
      </c>
      <c r="X3" s="20" t="n">
        <f aca="false">'Cash flow'!X3</f>
        <v>20</v>
      </c>
      <c r="Y3" s="20" t="n">
        <f aca="false">'Cash flow'!Y3</f>
        <v>21</v>
      </c>
      <c r="Z3" s="20" t="n">
        <f aca="false">'Cash flow'!Z3</f>
        <v>22</v>
      </c>
      <c r="AA3" s="20" t="n">
        <f aca="false">'Cash flow'!AA3</f>
        <v>23</v>
      </c>
      <c r="AB3" s="20" t="n">
        <f aca="false">'Cash flow'!AB3</f>
        <v>24</v>
      </c>
      <c r="AC3" s="20" t="n">
        <f aca="false">'Cash flow'!AC3</f>
        <v>25</v>
      </c>
      <c r="AD3" s="20" t="n">
        <f aca="false">'Cash flow'!AD3</f>
        <v>26</v>
      </c>
      <c r="AE3" s="20" t="n">
        <f aca="false">'Cash flow'!AE3</f>
        <v>27</v>
      </c>
      <c r="AF3" s="20" t="n">
        <f aca="false">'Cash flow'!AF3</f>
        <v>28</v>
      </c>
      <c r="AG3" s="20" t="n">
        <f aca="false">'Cash flow'!AG3</f>
        <v>29</v>
      </c>
      <c r="AH3" s="20" t="n">
        <f aca="false">'Cash flow'!AH3</f>
        <v>30</v>
      </c>
      <c r="AI3" s="20" t="n">
        <f aca="false">'Cash flow'!AI3</f>
        <v>31</v>
      </c>
      <c r="AJ3" s="20" t="n">
        <f aca="false">'Cash flow'!AJ3</f>
        <v>32</v>
      </c>
      <c r="AK3" s="20" t="n">
        <f aca="false">'Cash flow'!AK3</f>
        <v>33</v>
      </c>
      <c r="AL3" s="20" t="n">
        <f aca="false">'Cash flow'!AL3</f>
        <v>34</v>
      </c>
      <c r="AM3" s="20" t="n">
        <f aca="false">'Cash flow'!AM3</f>
        <v>35</v>
      </c>
      <c r="AN3" s="20" t="n">
        <f aca="false">'Cash flow'!AN3</f>
        <v>36</v>
      </c>
      <c r="AO3" s="20" t="n">
        <f aca="false">'Cash flow'!AO3</f>
        <v>37</v>
      </c>
      <c r="AP3" s="20" t="n">
        <f aca="false">'Cash flow'!AP3</f>
        <v>38</v>
      </c>
      <c r="AQ3" s="20" t="n">
        <f aca="false">'Cash flow'!AQ3</f>
        <v>39</v>
      </c>
      <c r="AR3" s="20" t="n">
        <f aca="false">'Cash flow'!AR3</f>
        <v>40</v>
      </c>
      <c r="AS3" s="20" t="n">
        <f aca="false">'Cash flow'!AS3</f>
        <v>41</v>
      </c>
      <c r="AT3" s="20" t="n">
        <f aca="false">'Cash flow'!AT3</f>
        <v>42</v>
      </c>
      <c r="AU3" s="20" t="n">
        <f aca="false">'Cash flow'!AU3</f>
        <v>43</v>
      </c>
      <c r="AV3" s="20" t="n">
        <f aca="false">'Cash flow'!AV3</f>
        <v>44</v>
      </c>
      <c r="AW3" s="20" t="n">
        <f aca="false">'Cash flow'!AW3</f>
        <v>45</v>
      </c>
      <c r="AX3" s="20" t="n">
        <f aca="false">'Cash flow'!AX3</f>
        <v>46</v>
      </c>
      <c r="AY3" s="20" t="n">
        <f aca="false">'Cash flow'!AY3</f>
        <v>47</v>
      </c>
      <c r="AZ3" s="20" t="n">
        <f aca="false">'Cash flow'!AZ3</f>
        <v>48</v>
      </c>
      <c r="BA3" s="20" t="n">
        <f aca="false">'Cash flow'!BA3</f>
        <v>49</v>
      </c>
      <c r="BB3" s="20" t="n">
        <f aca="false">'Cash flow'!BB3</f>
        <v>50</v>
      </c>
      <c r="BC3" s="20" t="n">
        <f aca="false">'Cash flow'!BC3</f>
        <v>51</v>
      </c>
      <c r="BD3" s="20" t="n">
        <f aca="false">'Cash flow'!BD3</f>
        <v>52</v>
      </c>
      <c r="BE3" s="20" t="n">
        <f aca="false">'Cash flow'!BE3</f>
        <v>53</v>
      </c>
      <c r="BF3" s="20" t="n">
        <f aca="false">'Cash flow'!BF3</f>
        <v>54</v>
      </c>
      <c r="BG3" s="20" t="n">
        <f aca="false">'Cash flow'!BG3</f>
        <v>55</v>
      </c>
      <c r="BH3" s="20" t="n">
        <f aca="false">'Cash flow'!BH3</f>
        <v>56</v>
      </c>
      <c r="BI3" s="20" t="n">
        <f aca="false">'Cash flow'!BI3</f>
        <v>57</v>
      </c>
      <c r="BJ3" s="20" t="n">
        <f aca="false">'Cash flow'!BJ3</f>
        <v>58</v>
      </c>
      <c r="BK3" s="20" t="n">
        <f aca="false">'Cash flow'!BK3</f>
        <v>59</v>
      </c>
      <c r="BL3" s="20" t="n">
        <f aca="false">'Cash flow'!BL3</f>
        <v>60</v>
      </c>
    </row>
    <row r="4" customFormat="false" ht="15" hidden="false" customHeight="false" outlineLevel="0" collapsed="false">
      <c r="A4" s="8" t="s">
        <v>682</v>
      </c>
      <c r="E4" s="53" t="n">
        <f aca="false">'Cash flow'!E4</f>
        <v>46388</v>
      </c>
      <c r="F4" s="53" t="n">
        <f aca="false">'Cash flow'!F4</f>
        <v>46419</v>
      </c>
      <c r="G4" s="53" t="n">
        <f aca="false">'Cash flow'!G4</f>
        <v>46447</v>
      </c>
      <c r="H4" s="53" t="n">
        <f aca="false">'Cash flow'!H4</f>
        <v>46478</v>
      </c>
      <c r="I4" s="53" t="n">
        <f aca="false">'Cash flow'!I4</f>
        <v>46508</v>
      </c>
      <c r="J4" s="53" t="n">
        <f aca="false">'Cash flow'!J4</f>
        <v>46539</v>
      </c>
      <c r="K4" s="53" t="n">
        <f aca="false">'Cash flow'!K4</f>
        <v>46569</v>
      </c>
      <c r="L4" s="53" t="n">
        <f aca="false">'Cash flow'!L4</f>
        <v>46600</v>
      </c>
      <c r="M4" s="53" t="n">
        <f aca="false">'Cash flow'!M4</f>
        <v>46631</v>
      </c>
      <c r="N4" s="53" t="n">
        <f aca="false">'Cash flow'!N4</f>
        <v>46661</v>
      </c>
      <c r="O4" s="53" t="n">
        <f aca="false">'Cash flow'!O4</f>
        <v>46692</v>
      </c>
      <c r="P4" s="53" t="n">
        <f aca="false">'Cash flow'!P4</f>
        <v>46722</v>
      </c>
      <c r="Q4" s="53" t="n">
        <f aca="false">'Cash flow'!Q4</f>
        <v>46753</v>
      </c>
      <c r="R4" s="53" t="n">
        <f aca="false">'Cash flow'!R4</f>
        <v>46784</v>
      </c>
      <c r="S4" s="53" t="n">
        <f aca="false">'Cash flow'!S4</f>
        <v>46813</v>
      </c>
      <c r="T4" s="53" t="n">
        <f aca="false">'Cash flow'!T4</f>
        <v>46844</v>
      </c>
      <c r="U4" s="53" t="n">
        <f aca="false">'Cash flow'!U4</f>
        <v>46874</v>
      </c>
      <c r="V4" s="53" t="n">
        <f aca="false">'Cash flow'!V4</f>
        <v>46905</v>
      </c>
      <c r="W4" s="53" t="n">
        <f aca="false">'Cash flow'!W4</f>
        <v>46935</v>
      </c>
      <c r="X4" s="53" t="n">
        <f aca="false">'Cash flow'!X4</f>
        <v>46966</v>
      </c>
      <c r="Y4" s="53" t="n">
        <f aca="false">'Cash flow'!Y4</f>
        <v>46997</v>
      </c>
      <c r="Z4" s="53" t="n">
        <f aca="false">'Cash flow'!Z4</f>
        <v>47027</v>
      </c>
      <c r="AA4" s="53" t="n">
        <f aca="false">'Cash flow'!AA4</f>
        <v>47058</v>
      </c>
      <c r="AB4" s="53" t="n">
        <f aca="false">'Cash flow'!AB4</f>
        <v>47088</v>
      </c>
      <c r="AC4" s="53" t="n">
        <f aca="false">'Cash flow'!AC4</f>
        <v>47119</v>
      </c>
      <c r="AD4" s="53" t="n">
        <f aca="false">'Cash flow'!AD4</f>
        <v>47150</v>
      </c>
      <c r="AE4" s="53" t="n">
        <f aca="false">'Cash flow'!AE4</f>
        <v>47178</v>
      </c>
      <c r="AF4" s="53" t="n">
        <f aca="false">'Cash flow'!AF4</f>
        <v>47209</v>
      </c>
      <c r="AG4" s="53" t="n">
        <f aca="false">'Cash flow'!AG4</f>
        <v>47239</v>
      </c>
      <c r="AH4" s="53" t="n">
        <f aca="false">'Cash flow'!AH4</f>
        <v>47270</v>
      </c>
      <c r="AI4" s="53" t="n">
        <f aca="false">'Cash flow'!AI4</f>
        <v>47300</v>
      </c>
      <c r="AJ4" s="53" t="n">
        <f aca="false">'Cash flow'!AJ4</f>
        <v>47331</v>
      </c>
      <c r="AK4" s="53" t="n">
        <f aca="false">'Cash flow'!AK4</f>
        <v>47362</v>
      </c>
      <c r="AL4" s="53" t="n">
        <f aca="false">'Cash flow'!AL4</f>
        <v>47392</v>
      </c>
      <c r="AM4" s="53" t="n">
        <f aca="false">'Cash flow'!AM4</f>
        <v>47423</v>
      </c>
      <c r="AN4" s="53" t="n">
        <f aca="false">'Cash flow'!AN4</f>
        <v>47453</v>
      </c>
      <c r="AO4" s="53" t="n">
        <f aca="false">'Cash flow'!AO4</f>
        <v>47484</v>
      </c>
      <c r="AP4" s="53" t="n">
        <f aca="false">'Cash flow'!AP4</f>
        <v>47515</v>
      </c>
      <c r="AQ4" s="53" t="n">
        <f aca="false">'Cash flow'!AQ4</f>
        <v>47543</v>
      </c>
      <c r="AR4" s="53" t="n">
        <f aca="false">'Cash flow'!AR4</f>
        <v>47574</v>
      </c>
      <c r="AS4" s="53" t="n">
        <f aca="false">'Cash flow'!AS4</f>
        <v>47604</v>
      </c>
      <c r="AT4" s="53" t="n">
        <f aca="false">'Cash flow'!AT4</f>
        <v>47635</v>
      </c>
      <c r="AU4" s="53" t="n">
        <f aca="false">'Cash flow'!AU4</f>
        <v>47665</v>
      </c>
      <c r="AV4" s="53" t="n">
        <f aca="false">'Cash flow'!AV4</f>
        <v>47696</v>
      </c>
      <c r="AW4" s="53" t="n">
        <f aca="false">'Cash flow'!AW4</f>
        <v>47727</v>
      </c>
      <c r="AX4" s="53" t="n">
        <f aca="false">'Cash flow'!AX4</f>
        <v>47757</v>
      </c>
      <c r="AY4" s="53" t="n">
        <f aca="false">'Cash flow'!AY4</f>
        <v>47788</v>
      </c>
      <c r="AZ4" s="53" t="n">
        <f aca="false">'Cash flow'!AZ4</f>
        <v>47818</v>
      </c>
      <c r="BA4" s="53" t="n">
        <f aca="false">'Cash flow'!BA4</f>
        <v>47849</v>
      </c>
      <c r="BB4" s="53" t="n">
        <f aca="false">'Cash flow'!BB4</f>
        <v>47880</v>
      </c>
      <c r="BC4" s="53" t="n">
        <f aca="false">'Cash flow'!BC4</f>
        <v>47908</v>
      </c>
      <c r="BD4" s="53" t="n">
        <f aca="false">'Cash flow'!BD4</f>
        <v>47939</v>
      </c>
      <c r="BE4" s="53" t="n">
        <f aca="false">'Cash flow'!BE4</f>
        <v>47969</v>
      </c>
      <c r="BF4" s="53" t="n">
        <f aca="false">'Cash flow'!BF4</f>
        <v>48000</v>
      </c>
      <c r="BG4" s="53" t="n">
        <f aca="false">'Cash flow'!BG4</f>
        <v>48030</v>
      </c>
      <c r="BH4" s="53" t="n">
        <f aca="false">'Cash flow'!BH4</f>
        <v>48061</v>
      </c>
      <c r="BI4" s="53" t="n">
        <f aca="false">'Cash flow'!BI4</f>
        <v>48092</v>
      </c>
      <c r="BJ4" s="53" t="n">
        <f aca="false">'Cash flow'!BJ4</f>
        <v>48122</v>
      </c>
      <c r="BK4" s="53" t="n">
        <f aca="false">'Cash flow'!BK4</f>
        <v>48153</v>
      </c>
      <c r="BL4" s="53" t="n">
        <f aca="false">'Cash flow'!BL4</f>
        <v>48183</v>
      </c>
    </row>
    <row r="5" customFormat="false" ht="15" hidden="false" customHeight="false" outlineLevel="0" collapsed="false">
      <c r="A5" s="8" t="s">
        <v>81</v>
      </c>
      <c r="E5" s="54" t="n">
        <f aca="false">'Cash flow'!E5</f>
        <v>1</v>
      </c>
      <c r="F5" s="54" t="n">
        <f aca="false">'Cash flow'!F5</f>
        <v>1</v>
      </c>
      <c r="G5" s="54" t="n">
        <f aca="false">'Cash flow'!G5</f>
        <v>1</v>
      </c>
      <c r="H5" s="54" t="n">
        <f aca="false">'Cash flow'!H5</f>
        <v>1</v>
      </c>
      <c r="I5" s="54" t="n">
        <f aca="false">'Cash flow'!I5</f>
        <v>1</v>
      </c>
      <c r="J5" s="54" t="n">
        <f aca="false">'Cash flow'!J5</f>
        <v>1</v>
      </c>
      <c r="K5" s="54" t="n">
        <f aca="false">'Cash flow'!K5</f>
        <v>1</v>
      </c>
      <c r="L5" s="54" t="n">
        <f aca="false">'Cash flow'!L5</f>
        <v>1</v>
      </c>
      <c r="M5" s="54" t="n">
        <f aca="false">'Cash flow'!M5</f>
        <v>1</v>
      </c>
      <c r="N5" s="54" t="n">
        <f aca="false">'Cash flow'!N5</f>
        <v>1</v>
      </c>
      <c r="O5" s="54" t="n">
        <f aca="false">'Cash flow'!O5</f>
        <v>1</v>
      </c>
      <c r="P5" s="54" t="n">
        <f aca="false">'Cash flow'!P5</f>
        <v>1</v>
      </c>
      <c r="Q5" s="54" t="n">
        <f aca="false">'Cash flow'!Q5</f>
        <v>2</v>
      </c>
      <c r="R5" s="54" t="n">
        <f aca="false">'Cash flow'!R5</f>
        <v>2</v>
      </c>
      <c r="S5" s="54" t="n">
        <f aca="false">'Cash flow'!S5</f>
        <v>2</v>
      </c>
      <c r="T5" s="54" t="n">
        <f aca="false">'Cash flow'!T5</f>
        <v>2</v>
      </c>
      <c r="U5" s="54" t="n">
        <f aca="false">'Cash flow'!U5</f>
        <v>2</v>
      </c>
      <c r="V5" s="54" t="n">
        <f aca="false">'Cash flow'!V5</f>
        <v>2</v>
      </c>
      <c r="W5" s="54" t="n">
        <f aca="false">'Cash flow'!W5</f>
        <v>2</v>
      </c>
      <c r="X5" s="54" t="n">
        <f aca="false">'Cash flow'!X5</f>
        <v>2</v>
      </c>
      <c r="Y5" s="54" t="n">
        <f aca="false">'Cash flow'!Y5</f>
        <v>2</v>
      </c>
      <c r="Z5" s="54" t="n">
        <f aca="false">'Cash flow'!Z5</f>
        <v>2</v>
      </c>
      <c r="AA5" s="54" t="n">
        <f aca="false">'Cash flow'!AA5</f>
        <v>2</v>
      </c>
      <c r="AB5" s="54" t="n">
        <f aca="false">'Cash flow'!AB5</f>
        <v>2</v>
      </c>
      <c r="AC5" s="54" t="n">
        <f aca="false">'Cash flow'!AC5</f>
        <v>3</v>
      </c>
      <c r="AD5" s="54" t="n">
        <f aca="false">'Cash flow'!AD5</f>
        <v>3</v>
      </c>
      <c r="AE5" s="54" t="n">
        <f aca="false">'Cash flow'!AE5</f>
        <v>3</v>
      </c>
      <c r="AF5" s="54" t="n">
        <f aca="false">'Cash flow'!AF5</f>
        <v>3</v>
      </c>
      <c r="AG5" s="54" t="n">
        <f aca="false">'Cash flow'!AG5</f>
        <v>3</v>
      </c>
      <c r="AH5" s="54" t="n">
        <f aca="false">'Cash flow'!AH5</f>
        <v>3</v>
      </c>
      <c r="AI5" s="54" t="n">
        <f aca="false">'Cash flow'!AI5</f>
        <v>3</v>
      </c>
      <c r="AJ5" s="54" t="n">
        <f aca="false">'Cash flow'!AJ5</f>
        <v>3</v>
      </c>
      <c r="AK5" s="54" t="n">
        <f aca="false">'Cash flow'!AK5</f>
        <v>3</v>
      </c>
      <c r="AL5" s="54" t="n">
        <f aca="false">'Cash flow'!AL5</f>
        <v>3</v>
      </c>
      <c r="AM5" s="54" t="n">
        <f aca="false">'Cash flow'!AM5</f>
        <v>3</v>
      </c>
      <c r="AN5" s="54" t="n">
        <f aca="false">'Cash flow'!AN5</f>
        <v>3</v>
      </c>
      <c r="AO5" s="54" t="n">
        <f aca="false">'Cash flow'!AO5</f>
        <v>4</v>
      </c>
      <c r="AP5" s="54" t="n">
        <f aca="false">'Cash flow'!AP5</f>
        <v>4</v>
      </c>
      <c r="AQ5" s="54" t="n">
        <f aca="false">'Cash flow'!AQ5</f>
        <v>4</v>
      </c>
      <c r="AR5" s="54" t="n">
        <f aca="false">'Cash flow'!AR5</f>
        <v>4</v>
      </c>
      <c r="AS5" s="54" t="n">
        <f aca="false">'Cash flow'!AS5</f>
        <v>4</v>
      </c>
      <c r="AT5" s="54" t="n">
        <f aca="false">'Cash flow'!AT5</f>
        <v>4</v>
      </c>
      <c r="AU5" s="54" t="n">
        <f aca="false">'Cash flow'!AU5</f>
        <v>4</v>
      </c>
      <c r="AV5" s="54" t="n">
        <f aca="false">'Cash flow'!AV5</f>
        <v>4</v>
      </c>
      <c r="AW5" s="54" t="n">
        <f aca="false">'Cash flow'!AW5</f>
        <v>4</v>
      </c>
      <c r="AX5" s="54" t="n">
        <f aca="false">'Cash flow'!AX5</f>
        <v>4</v>
      </c>
      <c r="AY5" s="54" t="n">
        <f aca="false">'Cash flow'!AY5</f>
        <v>4</v>
      </c>
      <c r="AZ5" s="54" t="n">
        <f aca="false">'Cash flow'!AZ5</f>
        <v>4</v>
      </c>
      <c r="BA5" s="54" t="n">
        <f aca="false">'Cash flow'!BA5</f>
        <v>5</v>
      </c>
      <c r="BB5" s="54" t="n">
        <f aca="false">'Cash flow'!BB5</f>
        <v>5</v>
      </c>
      <c r="BC5" s="54" t="n">
        <f aca="false">'Cash flow'!BC5</f>
        <v>5</v>
      </c>
      <c r="BD5" s="54" t="n">
        <f aca="false">'Cash flow'!BD5</f>
        <v>5</v>
      </c>
      <c r="BE5" s="54" t="n">
        <f aca="false">'Cash flow'!BE5</f>
        <v>5</v>
      </c>
      <c r="BF5" s="54" t="n">
        <f aca="false">'Cash flow'!BF5</f>
        <v>5</v>
      </c>
      <c r="BG5" s="54" t="n">
        <f aca="false">'Cash flow'!BG5</f>
        <v>5</v>
      </c>
      <c r="BH5" s="54" t="n">
        <f aca="false">'Cash flow'!BH5</f>
        <v>5</v>
      </c>
      <c r="BI5" s="54" t="n">
        <f aca="false">'Cash flow'!BI5</f>
        <v>5</v>
      </c>
      <c r="BJ5" s="54" t="n">
        <f aca="false">'Cash flow'!BJ5</f>
        <v>5</v>
      </c>
      <c r="BK5" s="54" t="n">
        <f aca="false">'Cash flow'!BK5</f>
        <v>5</v>
      </c>
      <c r="BL5" s="54" t="n">
        <f aca="false">'Cash flow'!BL5</f>
        <v>5</v>
      </c>
    </row>
    <row r="8" customFormat="false" ht="15" hidden="false" customHeight="false" outlineLevel="0" collapsed="false">
      <c r="A8" s="10" t="s">
        <v>889</v>
      </c>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row>
    <row r="9" customFormat="false" ht="15" hidden="false" customHeight="false" outlineLevel="0" collapsed="false">
      <c r="A9" s="12" t="s">
        <v>94</v>
      </c>
      <c r="B9" s="14" t="s">
        <v>73</v>
      </c>
      <c r="D9" s="55" t="n">
        <f aca="false">'Cash flow'!D9/FX_EUR</f>
        <v>-392364.066952709</v>
      </c>
      <c r="E9" s="37" t="n">
        <f aca="false">'Cash flow'!E9/FX_EUR</f>
        <v>-48842.6669278627</v>
      </c>
      <c r="F9" s="37" t="n">
        <f aca="false">'Cash flow'!F9/FX_EUR</f>
        <v>-61656.3568953453</v>
      </c>
      <c r="G9" s="37" t="n">
        <f aca="false">'Cash flow'!G9/FX_EUR</f>
        <v>-84066.3624292446</v>
      </c>
      <c r="H9" s="37" t="n">
        <f aca="false">'Cash flow'!H9/FX_EUR</f>
        <v>-56071.5081933724</v>
      </c>
      <c r="I9" s="37" t="n">
        <f aca="false">'Cash flow'!I9/FX_EUR</f>
        <v>-55773.3546380835</v>
      </c>
      <c r="J9" s="37" t="n">
        <f aca="false">'Cash flow'!J9/FX_EUR</f>
        <v>-55025.8945250985</v>
      </c>
      <c r="K9" s="37" t="n">
        <f aca="false">'Cash flow'!K9/FX_EUR</f>
        <v>-54804.8472166303</v>
      </c>
      <c r="L9" s="37" t="n">
        <f aca="false">'Cash flow'!L9/FX_EUR</f>
        <v>-52824.120126387</v>
      </c>
      <c r="M9" s="37" t="n">
        <f aca="false">'Cash flow'!M9/FX_EUR</f>
        <v>-50776.2363740288</v>
      </c>
      <c r="N9" s="37" t="n">
        <f aca="false">'Cash flow'!N9/FX_EUR</f>
        <v>-48732.4185201345</v>
      </c>
      <c r="O9" s="37" t="n">
        <f aca="false">'Cash flow'!O9/FX_EUR</f>
        <v>-46691.3139164852</v>
      </c>
      <c r="P9" s="37" t="n">
        <f aca="false">'Cash flow'!P9/FX_EUR</f>
        <v>-44651.5117136486</v>
      </c>
      <c r="Q9" s="37" t="n">
        <f aca="false">'Cash flow'!Q9/FX_EUR</f>
        <v>-64975.7947270229</v>
      </c>
      <c r="R9" s="37" t="n">
        <f aca="false">'Cash flow'!R9/FX_EUR</f>
        <v>-61500.3707501026</v>
      </c>
      <c r="S9" s="37" t="n">
        <f aca="false">'Cash flow'!S9/FX_EUR</f>
        <v>-67678.3903589946</v>
      </c>
      <c r="T9" s="37" t="n">
        <f aca="false">'Cash flow'!T9/FX_EUR</f>
        <v>-98647.1227707007</v>
      </c>
      <c r="U9" s="37" t="n">
        <f aca="false">'Cash flow'!U9/FX_EUR</f>
        <v>-57047.0419769551</v>
      </c>
      <c r="V9" s="37" t="n">
        <f aca="false">'Cash flow'!V9/FX_EUR</f>
        <v>-68250.3178790073</v>
      </c>
      <c r="W9" s="37" t="n">
        <f aca="false">'Cash flow'!W9/FX_EUR</f>
        <v>-69540.6250995403</v>
      </c>
      <c r="X9" s="37" t="n">
        <f aca="false">'Cash flow'!X9/FX_EUR</f>
        <v>-66457.674197602</v>
      </c>
      <c r="Y9" s="37" t="n">
        <f aca="false">'Cash flow'!Y9/FX_EUR</f>
        <v>-63766.4958993082</v>
      </c>
      <c r="Z9" s="37" t="n">
        <f aca="false">'Cash flow'!Z9/FX_EUR</f>
        <v>-59226.2037528741</v>
      </c>
      <c r="AA9" s="37" t="n">
        <f aca="false">'Cash flow'!AA9/FX_EUR</f>
        <v>-57828.3254482168</v>
      </c>
      <c r="AB9" s="37" t="n">
        <f aca="false">'Cash flow'!AB9/FX_EUR</f>
        <v>-61878.9737471348</v>
      </c>
      <c r="AC9" s="37" t="n">
        <f aca="false">'Cash flow'!AC9/FX_EUR</f>
        <v>-68036.8055517217</v>
      </c>
      <c r="AD9" s="37" t="n">
        <f aca="false">'Cash flow'!AD9/FX_EUR</f>
        <v>-62074.8476748941</v>
      </c>
      <c r="AE9" s="37" t="n">
        <f aca="false">'Cash flow'!AE9/FX_EUR</f>
        <v>-64501.2994994276</v>
      </c>
      <c r="AF9" s="37" t="n">
        <f aca="false">'Cash flow'!AF9/FX_EUR</f>
        <v>-64843.1745070058</v>
      </c>
      <c r="AG9" s="37" t="n">
        <f aca="false">'Cash flow'!AG9/FX_EUR</f>
        <v>-69593.4952163204</v>
      </c>
      <c r="AH9" s="37" t="n">
        <f aca="false">'Cash flow'!AH9/FX_EUR</f>
        <v>-45286.0880248286</v>
      </c>
      <c r="AI9" s="37" t="n">
        <f aca="false">'Cash flow'!AI9/FX_EUR</f>
        <v>-41086.6020266206</v>
      </c>
      <c r="AJ9" s="37" t="n">
        <f aca="false">'Cash flow'!AJ9/FX_EUR</f>
        <v>-33961.023710485</v>
      </c>
      <c r="AK9" s="37" t="n">
        <f aca="false">'Cash flow'!AK9/FX_EUR</f>
        <v>-28833.8626761073</v>
      </c>
      <c r="AL9" s="37" t="n">
        <f aca="false">'Cash flow'!AL9/FX_EUR</f>
        <v>-23180.1716007478</v>
      </c>
      <c r="AM9" s="37" t="n">
        <f aca="false">'Cash flow'!AM9/FX_EUR</f>
        <v>-16223.6866455825</v>
      </c>
      <c r="AN9" s="37" t="n">
        <f aca="false">'Cash flow'!AN9/FX_EUR</f>
        <v>-9059.28580081529</v>
      </c>
      <c r="AO9" s="37" t="n">
        <f aca="false">'Cash flow'!AO9/FX_EUR</f>
        <v>-24252.5493752715</v>
      </c>
      <c r="AP9" s="37" t="n">
        <f aca="false">'Cash flow'!AP9/FX_EUR</f>
        <v>-10338.7291738923</v>
      </c>
      <c r="AQ9" s="37" t="n">
        <f aca="false">'Cash flow'!AQ9/FX_EUR</f>
        <v>-4690.65823809315</v>
      </c>
      <c r="AR9" s="37" t="n">
        <f aca="false">'Cash flow'!AR9/FX_EUR</f>
        <v>-5165.46467720307</v>
      </c>
      <c r="AS9" s="37" t="n">
        <f aca="false">'Cash flow'!AS9/FX_EUR</f>
        <v>5926.93387346321</v>
      </c>
      <c r="AT9" s="37" t="n">
        <f aca="false">'Cash flow'!AT9/FX_EUR</f>
        <v>18658.4086749099</v>
      </c>
      <c r="AU9" s="37" t="n">
        <f aca="false">'Cash flow'!AU9/FX_EUR</f>
        <v>27706.5479004268</v>
      </c>
      <c r="AV9" s="37" t="n">
        <f aca="false">'Cash flow'!AV9/FX_EUR</f>
        <v>35329.1512247402</v>
      </c>
      <c r="AW9" s="37" t="n">
        <f aca="false">'Cash flow'!AW9/FX_EUR</f>
        <v>39871.370505553</v>
      </c>
      <c r="AX9" s="37" t="n">
        <f aca="false">'Cash flow'!AX9/FX_EUR</f>
        <v>45485.1361974398</v>
      </c>
      <c r="AY9" s="37" t="n">
        <f aca="false">'Cash flow'!AY9/FX_EUR</f>
        <v>59053.6198598373</v>
      </c>
      <c r="AZ9" s="37" t="n">
        <f aca="false">'Cash flow'!AZ9/FX_EUR</f>
        <v>66911.5945971701</v>
      </c>
      <c r="BA9" s="37" t="n">
        <f aca="false">'Cash flow'!BA9/FX_EUR</f>
        <v>63261.0356855713</v>
      </c>
      <c r="BB9" s="37" t="n">
        <f aca="false">'Cash flow'!BB9/FX_EUR</f>
        <v>68960.263763913</v>
      </c>
      <c r="BC9" s="37" t="n">
        <f aca="false">'Cash flow'!BC9/FX_EUR</f>
        <v>79408.5834353645</v>
      </c>
      <c r="BD9" s="37" t="n">
        <f aca="false">'Cash flow'!BD9/FX_EUR</f>
        <v>74101.2363072179</v>
      </c>
      <c r="BE9" s="37" t="n">
        <f aca="false">'Cash flow'!BE9/FX_EUR</f>
        <v>98112.3639797305</v>
      </c>
      <c r="BF9" s="37" t="n">
        <f aca="false">'Cash flow'!BF9/FX_EUR</f>
        <v>102721.369214681</v>
      </c>
      <c r="BG9" s="37" t="n">
        <f aca="false">'Cash flow'!BG9/FX_EUR</f>
        <v>116988.779810755</v>
      </c>
      <c r="BH9" s="37" t="n">
        <f aca="false">'Cash flow'!BH9/FX_EUR</f>
        <v>127489.745935925</v>
      </c>
      <c r="BI9" s="37" t="n">
        <f aca="false">'Cash flow'!BI9/FX_EUR</f>
        <v>140284.202748309</v>
      </c>
      <c r="BJ9" s="37" t="n">
        <f aca="false">'Cash flow'!BJ9/FX_EUR</f>
        <v>139869.407692037</v>
      </c>
      <c r="BK9" s="37" t="n">
        <f aca="false">'Cash flow'!BK9/FX_EUR</f>
        <v>155720.346791108</v>
      </c>
      <c r="BL9" s="37" t="n">
        <f aca="false">'Cash flow'!BL9/FX_EUR</f>
        <v>169617.507331937</v>
      </c>
    </row>
    <row r="11" customFormat="false" ht="15" hidden="false" customHeight="false" outlineLevel="0" collapsed="false">
      <c r="A11" s="10" t="s">
        <v>890</v>
      </c>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1"/>
      <c r="BL11" s="11"/>
    </row>
    <row r="12" customFormat="false" ht="15" hidden="false" customHeight="false" outlineLevel="0" collapsed="false">
      <c r="A12" s="12" t="s">
        <v>891</v>
      </c>
      <c r="B12" s="14" t="s">
        <v>73</v>
      </c>
      <c r="D12" s="55" t="n">
        <f aca="false">'Cash flow'!D12/FX_EUR</f>
        <v>-91469.4103424462</v>
      </c>
      <c r="E12" s="37" t="n">
        <f aca="false">'Cash flow'!E12/FX_EUR</f>
        <v>-0</v>
      </c>
      <c r="F12" s="37" t="n">
        <f aca="false">'Cash flow'!F12/FX_EUR</f>
        <v>-0</v>
      </c>
      <c r="G12" s="37" t="n">
        <f aca="false">'Cash flow'!G12/FX_EUR</f>
        <v>-0</v>
      </c>
      <c r="H12" s="37" t="n">
        <f aca="false">'Cash flow'!H12/FX_EUR</f>
        <v>-91469.4103424462</v>
      </c>
      <c r="I12" s="37" t="n">
        <f aca="false">'Cash flow'!I12/FX_EUR</f>
        <v>-0</v>
      </c>
      <c r="J12" s="37" t="n">
        <f aca="false">'Cash flow'!J12/FX_EUR</f>
        <v>-0</v>
      </c>
      <c r="K12" s="37" t="n">
        <f aca="false">'Cash flow'!K12/FX_EUR</f>
        <v>-0</v>
      </c>
      <c r="L12" s="37" t="n">
        <f aca="false">'Cash flow'!L12/FX_EUR</f>
        <v>-0</v>
      </c>
      <c r="M12" s="37" t="n">
        <f aca="false">'Cash flow'!M12/FX_EUR</f>
        <v>-0</v>
      </c>
      <c r="N12" s="37" t="n">
        <f aca="false">'Cash flow'!N12/FX_EUR</f>
        <v>-0</v>
      </c>
      <c r="O12" s="37" t="n">
        <f aca="false">'Cash flow'!O12/FX_EUR</f>
        <v>-0</v>
      </c>
      <c r="P12" s="37" t="n">
        <f aca="false">'Cash flow'!P12/FX_EUR</f>
        <v>-0</v>
      </c>
      <c r="Q12" s="37" t="n">
        <f aca="false">'Cash flow'!Q12/FX_EUR</f>
        <v>-0</v>
      </c>
      <c r="R12" s="37" t="n">
        <f aca="false">'Cash flow'!R12/FX_EUR</f>
        <v>-0</v>
      </c>
      <c r="S12" s="37" t="n">
        <f aca="false">'Cash flow'!S12/FX_EUR</f>
        <v>-0</v>
      </c>
      <c r="T12" s="37" t="n">
        <f aca="false">'Cash flow'!T12/FX_EUR</f>
        <v>-0</v>
      </c>
      <c r="U12" s="37" t="n">
        <f aca="false">'Cash flow'!U12/FX_EUR</f>
        <v>-0</v>
      </c>
      <c r="V12" s="37" t="n">
        <f aca="false">'Cash flow'!V12/FX_EUR</f>
        <v>-0</v>
      </c>
      <c r="W12" s="37" t="n">
        <f aca="false">'Cash flow'!W12/FX_EUR</f>
        <v>-0</v>
      </c>
      <c r="X12" s="37" t="n">
        <f aca="false">'Cash flow'!X12/FX_EUR</f>
        <v>-0</v>
      </c>
      <c r="Y12" s="37" t="n">
        <f aca="false">'Cash flow'!Y12/FX_EUR</f>
        <v>-0</v>
      </c>
      <c r="Z12" s="37" t="n">
        <f aca="false">'Cash flow'!Z12/FX_EUR</f>
        <v>-0</v>
      </c>
      <c r="AA12" s="37" t="n">
        <f aca="false">'Cash flow'!AA12/FX_EUR</f>
        <v>-0</v>
      </c>
      <c r="AB12" s="37" t="n">
        <f aca="false">'Cash flow'!AB12/FX_EUR</f>
        <v>-0</v>
      </c>
      <c r="AC12" s="37" t="n">
        <f aca="false">'Cash flow'!AC12/FX_EUR</f>
        <v>-0</v>
      </c>
      <c r="AD12" s="37" t="n">
        <f aca="false">'Cash flow'!AD12/FX_EUR</f>
        <v>-0</v>
      </c>
      <c r="AE12" s="37" t="n">
        <f aca="false">'Cash flow'!AE12/FX_EUR</f>
        <v>-0</v>
      </c>
      <c r="AF12" s="37" t="n">
        <f aca="false">'Cash flow'!AF12/FX_EUR</f>
        <v>-0</v>
      </c>
      <c r="AG12" s="37" t="n">
        <f aca="false">'Cash flow'!AG12/FX_EUR</f>
        <v>-0</v>
      </c>
      <c r="AH12" s="37" t="n">
        <f aca="false">'Cash flow'!AH12/FX_EUR</f>
        <v>-0</v>
      </c>
      <c r="AI12" s="37" t="n">
        <f aca="false">'Cash flow'!AI12/FX_EUR</f>
        <v>-0</v>
      </c>
      <c r="AJ12" s="37" t="n">
        <f aca="false">'Cash flow'!AJ12/FX_EUR</f>
        <v>-0</v>
      </c>
      <c r="AK12" s="37" t="n">
        <f aca="false">'Cash flow'!AK12/FX_EUR</f>
        <v>-0</v>
      </c>
      <c r="AL12" s="37" t="n">
        <f aca="false">'Cash flow'!AL12/FX_EUR</f>
        <v>-0</v>
      </c>
      <c r="AM12" s="37" t="n">
        <f aca="false">'Cash flow'!AM12/FX_EUR</f>
        <v>-0</v>
      </c>
      <c r="AN12" s="37" t="n">
        <f aca="false">'Cash flow'!AN12/FX_EUR</f>
        <v>-0</v>
      </c>
      <c r="AO12" s="37" t="n">
        <f aca="false">'Cash flow'!AO12/FX_EUR</f>
        <v>-0</v>
      </c>
      <c r="AP12" s="37" t="n">
        <f aca="false">'Cash flow'!AP12/FX_EUR</f>
        <v>-0</v>
      </c>
      <c r="AQ12" s="37" t="n">
        <f aca="false">'Cash flow'!AQ12/FX_EUR</f>
        <v>-0</v>
      </c>
      <c r="AR12" s="37" t="n">
        <f aca="false">'Cash flow'!AR12/FX_EUR</f>
        <v>-0</v>
      </c>
      <c r="AS12" s="37" t="n">
        <f aca="false">'Cash flow'!AS12/FX_EUR</f>
        <v>-0</v>
      </c>
      <c r="AT12" s="37" t="n">
        <f aca="false">'Cash flow'!AT12/FX_EUR</f>
        <v>-0</v>
      </c>
      <c r="AU12" s="37" t="n">
        <f aca="false">'Cash flow'!AU12/FX_EUR</f>
        <v>-0</v>
      </c>
      <c r="AV12" s="37" t="n">
        <f aca="false">'Cash flow'!AV12/FX_EUR</f>
        <v>-0</v>
      </c>
      <c r="AW12" s="37" t="n">
        <f aca="false">'Cash flow'!AW12/FX_EUR</f>
        <v>-0</v>
      </c>
      <c r="AX12" s="37" t="n">
        <f aca="false">'Cash flow'!AX12/FX_EUR</f>
        <v>-0</v>
      </c>
      <c r="AY12" s="37" t="n">
        <f aca="false">'Cash flow'!AY12/FX_EUR</f>
        <v>-0</v>
      </c>
      <c r="AZ12" s="37" t="n">
        <f aca="false">'Cash flow'!AZ12/FX_EUR</f>
        <v>-0</v>
      </c>
      <c r="BA12" s="37" t="n">
        <f aca="false">'Cash flow'!BA12/FX_EUR</f>
        <v>-0</v>
      </c>
      <c r="BB12" s="37" t="n">
        <f aca="false">'Cash flow'!BB12/FX_EUR</f>
        <v>-0</v>
      </c>
      <c r="BC12" s="37" t="n">
        <f aca="false">'Cash flow'!BC12/FX_EUR</f>
        <v>-0</v>
      </c>
      <c r="BD12" s="37" t="n">
        <f aca="false">'Cash flow'!BD12/FX_EUR</f>
        <v>-0</v>
      </c>
      <c r="BE12" s="37" t="n">
        <f aca="false">'Cash flow'!BE12/FX_EUR</f>
        <v>-0</v>
      </c>
      <c r="BF12" s="37" t="n">
        <f aca="false">'Cash flow'!BF12/FX_EUR</f>
        <v>-0</v>
      </c>
      <c r="BG12" s="37" t="n">
        <f aca="false">'Cash flow'!BG12/FX_EUR</f>
        <v>-0</v>
      </c>
      <c r="BH12" s="37" t="n">
        <f aca="false">'Cash flow'!BH12/FX_EUR</f>
        <v>-0</v>
      </c>
      <c r="BI12" s="37" t="n">
        <f aca="false">'Cash flow'!BI12/FX_EUR</f>
        <v>-0</v>
      </c>
      <c r="BJ12" s="37" t="n">
        <f aca="false">'Cash flow'!BJ12/FX_EUR</f>
        <v>-0</v>
      </c>
      <c r="BK12" s="37" t="n">
        <f aca="false">'Cash flow'!BK12/FX_EUR</f>
        <v>-0</v>
      </c>
      <c r="BL12" s="37" t="n">
        <f aca="false">'Cash flow'!BL12/FX_EUR</f>
        <v>-0</v>
      </c>
    </row>
    <row r="13" customFormat="false" ht="15" hidden="false" customHeight="false" outlineLevel="0" collapsed="false">
      <c r="A13" s="12" t="s">
        <v>487</v>
      </c>
      <c r="B13" s="14" t="s">
        <v>73</v>
      </c>
      <c r="D13" s="55" t="n">
        <f aca="false">'Cash flow'!D13/FX_EUR</f>
        <v>-990918.612043168</v>
      </c>
      <c r="E13" s="37" t="n">
        <f aca="false">'Cash flow'!E13/FX_EUR</f>
        <v>-0</v>
      </c>
      <c r="F13" s="37" t="n">
        <f aca="false">'Cash flow'!F13/FX_EUR</f>
        <v>-0</v>
      </c>
      <c r="G13" s="37" t="n">
        <f aca="false">'Cash flow'!G13/FX_EUR</f>
        <v>-0</v>
      </c>
      <c r="H13" s="37" t="n">
        <f aca="false">'Cash flow'!H13/FX_EUR</f>
        <v>-0</v>
      </c>
      <c r="I13" s="37" t="n">
        <f aca="false">'Cash flow'!I13/FX_EUR</f>
        <v>-0</v>
      </c>
      <c r="J13" s="37" t="n">
        <f aca="false">'Cash flow'!J13/FX_EUR</f>
        <v>-0</v>
      </c>
      <c r="K13" s="37" t="n">
        <f aca="false">'Cash flow'!K13/FX_EUR</f>
        <v>-0</v>
      </c>
      <c r="L13" s="37" t="n">
        <f aca="false">'Cash flow'!L13/FX_EUR</f>
        <v>-0</v>
      </c>
      <c r="M13" s="37" t="n">
        <f aca="false">'Cash flow'!M13/FX_EUR</f>
        <v>-0</v>
      </c>
      <c r="N13" s="37" t="n">
        <f aca="false">'Cash flow'!N13/FX_EUR</f>
        <v>-0</v>
      </c>
      <c r="O13" s="37" t="n">
        <f aca="false">'Cash flow'!O13/FX_EUR</f>
        <v>-0</v>
      </c>
      <c r="P13" s="37" t="n">
        <f aca="false">'Cash flow'!P13/FX_EUR</f>
        <v>-0</v>
      </c>
      <c r="Q13" s="37" t="n">
        <f aca="false">'Cash flow'!Q13/FX_EUR</f>
        <v>-0</v>
      </c>
      <c r="R13" s="37" t="n">
        <f aca="false">'Cash flow'!R13/FX_EUR</f>
        <v>-0</v>
      </c>
      <c r="S13" s="37" t="n">
        <f aca="false">'Cash flow'!S13/FX_EUR</f>
        <v>-0</v>
      </c>
      <c r="T13" s="37" t="n">
        <f aca="false">'Cash flow'!T13/FX_EUR</f>
        <v>-0</v>
      </c>
      <c r="U13" s="37" t="n">
        <f aca="false">'Cash flow'!U13/FX_EUR</f>
        <v>-0</v>
      </c>
      <c r="V13" s="37" t="n">
        <f aca="false">'Cash flow'!V13/FX_EUR</f>
        <v>-0</v>
      </c>
      <c r="W13" s="37" t="n">
        <f aca="false">'Cash flow'!W13/FX_EUR</f>
        <v>-0</v>
      </c>
      <c r="X13" s="37" t="n">
        <f aca="false">'Cash flow'!X13/FX_EUR</f>
        <v>-0</v>
      </c>
      <c r="Y13" s="37" t="n">
        <f aca="false">'Cash flow'!Y13/FX_EUR</f>
        <v>-0</v>
      </c>
      <c r="Z13" s="37" t="n">
        <f aca="false">'Cash flow'!Z13/FX_EUR</f>
        <v>-0</v>
      </c>
      <c r="AA13" s="37" t="n">
        <f aca="false">'Cash flow'!AA13/FX_EUR</f>
        <v>-0</v>
      </c>
      <c r="AB13" s="37" t="n">
        <f aca="false">'Cash flow'!AB13/FX_EUR</f>
        <v>-990918.612043168</v>
      </c>
      <c r="AC13" s="37" t="n">
        <f aca="false">'Cash flow'!AC13/FX_EUR</f>
        <v>-0</v>
      </c>
      <c r="AD13" s="37" t="n">
        <f aca="false">'Cash flow'!AD13/FX_EUR</f>
        <v>-0</v>
      </c>
      <c r="AE13" s="37" t="n">
        <f aca="false">'Cash flow'!AE13/FX_EUR</f>
        <v>-0</v>
      </c>
      <c r="AF13" s="37" t="n">
        <f aca="false">'Cash flow'!AF13/FX_EUR</f>
        <v>-0</v>
      </c>
      <c r="AG13" s="37" t="n">
        <f aca="false">'Cash flow'!AG13/FX_EUR</f>
        <v>-0</v>
      </c>
      <c r="AH13" s="37" t="n">
        <f aca="false">'Cash flow'!AH13/FX_EUR</f>
        <v>-0</v>
      </c>
      <c r="AI13" s="37" t="n">
        <f aca="false">'Cash flow'!AI13/FX_EUR</f>
        <v>-0</v>
      </c>
      <c r="AJ13" s="37" t="n">
        <f aca="false">'Cash flow'!AJ13/FX_EUR</f>
        <v>-0</v>
      </c>
      <c r="AK13" s="37" t="n">
        <f aca="false">'Cash flow'!AK13/FX_EUR</f>
        <v>-0</v>
      </c>
      <c r="AL13" s="37" t="n">
        <f aca="false">'Cash flow'!AL13/FX_EUR</f>
        <v>-0</v>
      </c>
      <c r="AM13" s="37" t="n">
        <f aca="false">'Cash flow'!AM13/FX_EUR</f>
        <v>-0</v>
      </c>
      <c r="AN13" s="37" t="n">
        <f aca="false">'Cash flow'!AN13/FX_EUR</f>
        <v>-0</v>
      </c>
      <c r="AO13" s="37" t="n">
        <f aca="false">'Cash flow'!AO13/FX_EUR</f>
        <v>-0</v>
      </c>
      <c r="AP13" s="37" t="n">
        <f aca="false">'Cash flow'!AP13/FX_EUR</f>
        <v>-0</v>
      </c>
      <c r="AQ13" s="37" t="n">
        <f aca="false">'Cash flow'!AQ13/FX_EUR</f>
        <v>-0</v>
      </c>
      <c r="AR13" s="37" t="n">
        <f aca="false">'Cash flow'!AR13/FX_EUR</f>
        <v>-0</v>
      </c>
      <c r="AS13" s="37" t="n">
        <f aca="false">'Cash flow'!AS13/FX_EUR</f>
        <v>-0</v>
      </c>
      <c r="AT13" s="37" t="n">
        <f aca="false">'Cash flow'!AT13/FX_EUR</f>
        <v>-0</v>
      </c>
      <c r="AU13" s="37" t="n">
        <f aca="false">'Cash flow'!AU13/FX_EUR</f>
        <v>-0</v>
      </c>
      <c r="AV13" s="37" t="n">
        <f aca="false">'Cash flow'!AV13/FX_EUR</f>
        <v>-0</v>
      </c>
      <c r="AW13" s="37" t="n">
        <f aca="false">'Cash flow'!AW13/FX_EUR</f>
        <v>-0</v>
      </c>
      <c r="AX13" s="37" t="n">
        <f aca="false">'Cash flow'!AX13/FX_EUR</f>
        <v>-0</v>
      </c>
      <c r="AY13" s="37" t="n">
        <f aca="false">'Cash flow'!AY13/FX_EUR</f>
        <v>-0</v>
      </c>
      <c r="AZ13" s="37" t="n">
        <f aca="false">'Cash flow'!AZ13/FX_EUR</f>
        <v>-0</v>
      </c>
      <c r="BA13" s="37" t="n">
        <f aca="false">'Cash flow'!BA13/FX_EUR</f>
        <v>-0</v>
      </c>
      <c r="BB13" s="37" t="n">
        <f aca="false">'Cash flow'!BB13/FX_EUR</f>
        <v>-0</v>
      </c>
      <c r="BC13" s="37" t="n">
        <f aca="false">'Cash flow'!BC13/FX_EUR</f>
        <v>-0</v>
      </c>
      <c r="BD13" s="37" t="n">
        <f aca="false">'Cash flow'!BD13/FX_EUR</f>
        <v>-0</v>
      </c>
      <c r="BE13" s="37" t="n">
        <f aca="false">'Cash flow'!BE13/FX_EUR</f>
        <v>-0</v>
      </c>
      <c r="BF13" s="37" t="n">
        <f aca="false">'Cash flow'!BF13/FX_EUR</f>
        <v>-0</v>
      </c>
      <c r="BG13" s="37" t="n">
        <f aca="false">'Cash flow'!BG13/FX_EUR</f>
        <v>-0</v>
      </c>
      <c r="BH13" s="37" t="n">
        <f aca="false">'Cash flow'!BH13/FX_EUR</f>
        <v>-0</v>
      </c>
      <c r="BI13" s="37" t="n">
        <f aca="false">'Cash flow'!BI13/FX_EUR</f>
        <v>-0</v>
      </c>
      <c r="BJ13" s="37" t="n">
        <f aca="false">'Cash flow'!BJ13/FX_EUR</f>
        <v>-0</v>
      </c>
      <c r="BK13" s="37" t="n">
        <f aca="false">'Cash flow'!BK13/FX_EUR</f>
        <v>-0</v>
      </c>
      <c r="BL13" s="37" t="n">
        <f aca="false">'Cash flow'!BL13/FX_EUR</f>
        <v>-0</v>
      </c>
    </row>
    <row r="14" customFormat="false" ht="15" hidden="false" customHeight="false" outlineLevel="0" collapsed="false">
      <c r="A14" s="12" t="s">
        <v>892</v>
      </c>
      <c r="B14" s="14" t="s">
        <v>73</v>
      </c>
      <c r="D14" s="55" t="n">
        <f aca="false">'Cash flow'!D14/FX_EUR</f>
        <v>-1885788.87711063</v>
      </c>
      <c r="E14" s="37" t="n">
        <f aca="false">'Cash flow'!E14/FX_EUR</f>
        <v>-0</v>
      </c>
      <c r="F14" s="37" t="n">
        <f aca="false">'Cash flow'!F14/FX_EUR</f>
        <v>-0</v>
      </c>
      <c r="G14" s="37" t="n">
        <f aca="false">'Cash flow'!G14/FX_EUR</f>
        <v>-0</v>
      </c>
      <c r="H14" s="37" t="n">
        <f aca="false">'Cash flow'!H14/FX_EUR</f>
        <v>-0</v>
      </c>
      <c r="I14" s="37" t="n">
        <f aca="false">'Cash flow'!I14/FX_EUR</f>
        <v>-0</v>
      </c>
      <c r="J14" s="37" t="n">
        <f aca="false">'Cash flow'!J14/FX_EUR</f>
        <v>-0</v>
      </c>
      <c r="K14" s="37" t="n">
        <f aca="false">'Cash flow'!K14/FX_EUR</f>
        <v>-0</v>
      </c>
      <c r="L14" s="37" t="n">
        <f aca="false">'Cash flow'!L14/FX_EUR</f>
        <v>-0</v>
      </c>
      <c r="M14" s="37" t="n">
        <f aca="false">'Cash flow'!M14/FX_EUR</f>
        <v>-0</v>
      </c>
      <c r="N14" s="37" t="n">
        <f aca="false">'Cash flow'!N14/FX_EUR</f>
        <v>-0</v>
      </c>
      <c r="O14" s="37" t="n">
        <f aca="false">'Cash flow'!O14/FX_EUR</f>
        <v>-0</v>
      </c>
      <c r="P14" s="37" t="n">
        <f aca="false">'Cash flow'!P14/FX_EUR</f>
        <v>-0</v>
      </c>
      <c r="Q14" s="37" t="n">
        <f aca="false">'Cash flow'!Q14/FX_EUR</f>
        <v>-0</v>
      </c>
      <c r="R14" s="37" t="n">
        <f aca="false">'Cash flow'!R14/FX_EUR</f>
        <v>-0</v>
      </c>
      <c r="S14" s="37" t="n">
        <f aca="false">'Cash flow'!S14/FX_EUR</f>
        <v>-0</v>
      </c>
      <c r="T14" s="37" t="n">
        <f aca="false">'Cash flow'!T14/FX_EUR</f>
        <v>-0</v>
      </c>
      <c r="U14" s="37" t="n">
        <f aca="false">'Cash flow'!U14/FX_EUR</f>
        <v>-0</v>
      </c>
      <c r="V14" s="37" t="n">
        <f aca="false">'Cash flow'!V14/FX_EUR</f>
        <v>-5544.66351891897</v>
      </c>
      <c r="W14" s="37" t="n">
        <f aca="false">'Cash flow'!W14/FX_EUR</f>
        <v>-7093.64787573144</v>
      </c>
      <c r="X14" s="37" t="n">
        <f aca="false">'Cash flow'!X14/FX_EUR</f>
        <v>-8636.66252686394</v>
      </c>
      <c r="Y14" s="37" t="n">
        <f aca="false">'Cash flow'!Y14/FX_EUR</f>
        <v>-12102.058623384</v>
      </c>
      <c r="Z14" s="37" t="n">
        <f aca="false">'Cash flow'!Z14/FX_EUR</f>
        <v>-14018.9713215208</v>
      </c>
      <c r="AA14" s="37" t="n">
        <f aca="false">'Cash flow'!AA14/FX_EUR</f>
        <v>-15938.7038888113</v>
      </c>
      <c r="AB14" s="37" t="n">
        <f aca="false">'Cash flow'!AB14/FX_EUR</f>
        <v>-18361.9358888196</v>
      </c>
      <c r="AC14" s="37" t="n">
        <f aca="false">'Cash flow'!AC14/FX_EUR</f>
        <v>-65861.1747638654</v>
      </c>
      <c r="AD14" s="37" t="n">
        <f aca="false">'Cash flow'!AD14/FX_EUR</f>
        <v>-34558.955760442</v>
      </c>
      <c r="AE14" s="37" t="n">
        <f aca="false">'Cash flow'!AE14/FX_EUR</f>
        <v>-45708.2060412759</v>
      </c>
      <c r="AF14" s="37" t="n">
        <f aca="false">'Cash flow'!AF14/FX_EUR</f>
        <v>-51631.7794847538</v>
      </c>
      <c r="AG14" s="37" t="n">
        <f aca="false">'Cash flow'!AG14/FX_EUR</f>
        <v>-56581.0033248705</v>
      </c>
      <c r="AH14" s="37" t="n">
        <f aca="false">'Cash flow'!AH14/FX_EUR</f>
        <v>-39405.4133654924</v>
      </c>
      <c r="AI14" s="37" t="n">
        <f aca="false">'Cash flow'!AI14/FX_EUR</f>
        <v>-41574.9372530771</v>
      </c>
      <c r="AJ14" s="37" t="n">
        <f aca="false">'Cash flow'!AJ14/FX_EUR</f>
        <v>-45419.5574708909</v>
      </c>
      <c r="AK14" s="37" t="n">
        <f aca="false">'Cash flow'!AK14/FX_EUR</f>
        <v>-40922.1450718736</v>
      </c>
      <c r="AL14" s="37" t="n">
        <f aca="false">'Cash flow'!AL14/FX_EUR</f>
        <v>-42535.3619183309</v>
      </c>
      <c r="AM14" s="37" t="n">
        <f aca="false">'Cash flow'!AM14/FX_EUR</f>
        <v>-45960.3799872014</v>
      </c>
      <c r="AN14" s="37" t="n">
        <f aca="false">'Cash flow'!AN14/FX_EUR</f>
        <v>-48812.2716152645</v>
      </c>
      <c r="AO14" s="37" t="n">
        <f aca="false">'Cash flow'!AO14/FX_EUR</f>
        <v>-53356.831161752</v>
      </c>
      <c r="AP14" s="37" t="n">
        <f aca="false">'Cash flow'!AP14/FX_EUR</f>
        <v>-57247.3391807354</v>
      </c>
      <c r="AQ14" s="37" t="n">
        <f aca="false">'Cash flow'!AQ14/FX_EUR</f>
        <v>-43407.4114742564</v>
      </c>
      <c r="AR14" s="37" t="n">
        <f aca="false">'Cash flow'!AR14/FX_EUR</f>
        <v>-45815.871472493</v>
      </c>
      <c r="AS14" s="37" t="n">
        <f aca="false">'Cash flow'!AS14/FX_EUR</f>
        <v>-46079.026946755</v>
      </c>
      <c r="AT14" s="37" t="n">
        <f aca="false">'Cash flow'!AT14/FX_EUR</f>
        <v>-46566.5137906642</v>
      </c>
      <c r="AU14" s="37" t="n">
        <f aca="false">'Cash flow'!AU14/FX_EUR</f>
        <v>-45995.3132154357</v>
      </c>
      <c r="AV14" s="37" t="n">
        <f aca="false">'Cash flow'!AV14/FX_EUR</f>
        <v>-45444.6563026005</v>
      </c>
      <c r="AW14" s="37" t="n">
        <f aca="false">'Cash flow'!AW14/FX_EUR</f>
        <v>-46819.2424496499</v>
      </c>
      <c r="AX14" s="37" t="n">
        <f aca="false">'Cash flow'!AX14/FX_EUR</f>
        <v>-46279.4141954526</v>
      </c>
      <c r="AY14" s="37" t="n">
        <f aca="false">'Cash flow'!AY14/FX_EUR</f>
        <v>-48806.3549504959</v>
      </c>
      <c r="AZ14" s="37" t="n">
        <f aca="false">'Cash flow'!AZ14/FX_EUR</f>
        <v>-48261.0996224109</v>
      </c>
      <c r="BA14" s="37" t="n">
        <f aca="false">'Cash flow'!BA14/FX_EUR</f>
        <v>-52434.8898619002</v>
      </c>
      <c r="BB14" s="37" t="n">
        <f aca="false">'Cash flow'!BB14/FX_EUR</f>
        <v>-51860.6263385529</v>
      </c>
      <c r="BC14" s="37" t="n">
        <f aca="false">'Cash flow'!BC14/FX_EUR</f>
        <v>-53216.8849418562</v>
      </c>
      <c r="BD14" s="37" t="n">
        <f aca="false">'Cash flow'!BD14/FX_EUR</f>
        <v>-53803.8361497818</v>
      </c>
      <c r="BE14" s="37" t="n">
        <f aca="false">'Cash flow'!BE14/FX_EUR</f>
        <v>-55164.267416606</v>
      </c>
      <c r="BF14" s="37" t="n">
        <f aca="false">'Cash flow'!BF14/FX_EUR</f>
        <v>-54617.3174110203</v>
      </c>
      <c r="BG14" s="37" t="n">
        <f aca="false">'Cash flow'!BG14/FX_EUR</f>
        <v>-57144.5686149125</v>
      </c>
      <c r="BH14" s="37" t="n">
        <f aca="false">'Cash flow'!BH14/FX_EUR</f>
        <v>-56607.693580968</v>
      </c>
      <c r="BI14" s="37" t="n">
        <f aca="false">'Cash flow'!BI14/FX_EUR</f>
        <v>-58007.5481919227</v>
      </c>
      <c r="BJ14" s="37" t="n">
        <f aca="false">'Cash flow'!BJ14/FX_EUR</f>
        <v>-57504.1454566005</v>
      </c>
      <c r="BK14" s="37" t="n">
        <f aca="false">'Cash flow'!BK14/FX_EUR</f>
        <v>-59862.3077087813</v>
      </c>
      <c r="BL14" s="37" t="n">
        <f aca="false">'Cash flow'!BL14/FX_EUR</f>
        <v>-60817.8869736398</v>
      </c>
    </row>
    <row r="15" customFormat="false" ht="15" hidden="false" customHeight="false" outlineLevel="0" collapsed="false">
      <c r="A15" s="8" t="s">
        <v>880</v>
      </c>
      <c r="B15" s="14" t="s">
        <v>73</v>
      </c>
      <c r="D15" s="55" t="n">
        <f aca="false">'Cash flow'!D15/FX_EUR</f>
        <v>-3360540.96644896</v>
      </c>
      <c r="E15" s="16" t="n">
        <f aca="false">'Cash flow'!E15/FX_EUR</f>
        <v>-48842.6669278627</v>
      </c>
      <c r="F15" s="16" t="n">
        <f aca="false">'Cash flow'!F15/FX_EUR</f>
        <v>-61656.3568953453</v>
      </c>
      <c r="G15" s="16" t="n">
        <f aca="false">'Cash flow'!G15/FX_EUR</f>
        <v>-84066.3624292446</v>
      </c>
      <c r="H15" s="16" t="n">
        <f aca="false">'Cash flow'!H15/FX_EUR</f>
        <v>-147540.918535819</v>
      </c>
      <c r="I15" s="16" t="n">
        <f aca="false">'Cash flow'!I15/FX_EUR</f>
        <v>-55773.3546380835</v>
      </c>
      <c r="J15" s="16" t="n">
        <f aca="false">'Cash flow'!J15/FX_EUR</f>
        <v>-55025.8945250985</v>
      </c>
      <c r="K15" s="16" t="n">
        <f aca="false">'Cash flow'!K15/FX_EUR</f>
        <v>-54804.8472166303</v>
      </c>
      <c r="L15" s="16" t="n">
        <f aca="false">'Cash flow'!L15/FX_EUR</f>
        <v>-52824.120126387</v>
      </c>
      <c r="M15" s="16" t="n">
        <f aca="false">'Cash flow'!M15/FX_EUR</f>
        <v>-50776.2363740288</v>
      </c>
      <c r="N15" s="16" t="n">
        <f aca="false">'Cash flow'!N15/FX_EUR</f>
        <v>-48732.4185201345</v>
      </c>
      <c r="O15" s="16" t="n">
        <f aca="false">'Cash flow'!O15/FX_EUR</f>
        <v>-46691.3139164852</v>
      </c>
      <c r="P15" s="16" t="n">
        <f aca="false">'Cash flow'!P15/FX_EUR</f>
        <v>-44651.5117136486</v>
      </c>
      <c r="Q15" s="16" t="n">
        <f aca="false">'Cash flow'!Q15/FX_EUR</f>
        <v>-64975.7947270229</v>
      </c>
      <c r="R15" s="16" t="n">
        <f aca="false">'Cash flow'!R15/FX_EUR</f>
        <v>-61500.3707501026</v>
      </c>
      <c r="S15" s="16" t="n">
        <f aca="false">'Cash flow'!S15/FX_EUR</f>
        <v>-67678.3903589946</v>
      </c>
      <c r="T15" s="16" t="n">
        <f aca="false">'Cash flow'!T15/FX_EUR</f>
        <v>-98647.1227707007</v>
      </c>
      <c r="U15" s="16" t="n">
        <f aca="false">'Cash flow'!U15/FX_EUR</f>
        <v>-57047.0419769551</v>
      </c>
      <c r="V15" s="16" t="n">
        <f aca="false">'Cash flow'!V15/FX_EUR</f>
        <v>-73794.9813979263</v>
      </c>
      <c r="W15" s="16" t="n">
        <f aca="false">'Cash flow'!W15/FX_EUR</f>
        <v>-76634.2729752717</v>
      </c>
      <c r="X15" s="16" t="n">
        <f aca="false">'Cash flow'!X15/FX_EUR</f>
        <v>-75094.3367244659</v>
      </c>
      <c r="Y15" s="16" t="n">
        <f aca="false">'Cash flow'!Y15/FX_EUR</f>
        <v>-75868.5545226922</v>
      </c>
      <c r="Z15" s="16" t="n">
        <f aca="false">'Cash flow'!Z15/FX_EUR</f>
        <v>-73245.175074395</v>
      </c>
      <c r="AA15" s="16" t="n">
        <f aca="false">'Cash flow'!AA15/FX_EUR</f>
        <v>-73767.0293370281</v>
      </c>
      <c r="AB15" s="16" t="n">
        <f aca="false">'Cash flow'!AB15/FX_EUR</f>
        <v>-1071159.52167912</v>
      </c>
      <c r="AC15" s="16" t="n">
        <f aca="false">'Cash flow'!AC15/FX_EUR</f>
        <v>-133897.980315587</v>
      </c>
      <c r="AD15" s="16" t="n">
        <f aca="false">'Cash flow'!AD15/FX_EUR</f>
        <v>-96633.8034353361</v>
      </c>
      <c r="AE15" s="16" t="n">
        <f aca="false">'Cash flow'!AE15/FX_EUR</f>
        <v>-110209.505540703</v>
      </c>
      <c r="AF15" s="16" t="n">
        <f aca="false">'Cash flow'!AF15/FX_EUR</f>
        <v>-116474.95399176</v>
      </c>
      <c r="AG15" s="16" t="n">
        <f aca="false">'Cash flow'!AG15/FX_EUR</f>
        <v>-126174.498541191</v>
      </c>
      <c r="AH15" s="16" t="n">
        <f aca="false">'Cash flow'!AH15/FX_EUR</f>
        <v>-84691.501390321</v>
      </c>
      <c r="AI15" s="16" t="n">
        <f aca="false">'Cash flow'!AI15/FX_EUR</f>
        <v>-82661.5392796977</v>
      </c>
      <c r="AJ15" s="16" t="n">
        <f aca="false">'Cash flow'!AJ15/FX_EUR</f>
        <v>-79380.581181376</v>
      </c>
      <c r="AK15" s="16" t="n">
        <f aca="false">'Cash flow'!AK15/FX_EUR</f>
        <v>-69756.0077479809</v>
      </c>
      <c r="AL15" s="16" t="n">
        <f aca="false">'Cash flow'!AL15/FX_EUR</f>
        <v>-65715.5335190786</v>
      </c>
      <c r="AM15" s="16" t="n">
        <f aca="false">'Cash flow'!AM15/FX_EUR</f>
        <v>-62184.0666327839</v>
      </c>
      <c r="AN15" s="16" t="n">
        <f aca="false">'Cash flow'!AN15/FX_EUR</f>
        <v>-57871.5574160798</v>
      </c>
      <c r="AO15" s="16" t="n">
        <f aca="false">'Cash flow'!AO15/FX_EUR</f>
        <v>-77609.3805370236</v>
      </c>
      <c r="AP15" s="16" t="n">
        <f aca="false">'Cash flow'!AP15/FX_EUR</f>
        <v>-67586.0683546277</v>
      </c>
      <c r="AQ15" s="16" t="n">
        <f aca="false">'Cash flow'!AQ15/FX_EUR</f>
        <v>-48098.0697123496</v>
      </c>
      <c r="AR15" s="16" t="n">
        <f aca="false">'Cash flow'!AR15/FX_EUR</f>
        <v>-50981.336149696</v>
      </c>
      <c r="AS15" s="16" t="n">
        <f aca="false">'Cash flow'!AS15/FX_EUR</f>
        <v>-40152.0930732918</v>
      </c>
      <c r="AT15" s="16" t="n">
        <f aca="false">'Cash flow'!AT15/FX_EUR</f>
        <v>-27908.1051157542</v>
      </c>
      <c r="AU15" s="16" t="n">
        <f aca="false">'Cash flow'!AU15/FX_EUR</f>
        <v>-18288.7653150089</v>
      </c>
      <c r="AV15" s="16" t="n">
        <f aca="false">'Cash flow'!AV15/FX_EUR</f>
        <v>-10115.5050778603</v>
      </c>
      <c r="AW15" s="16" t="n">
        <f aca="false">'Cash flow'!AW15/FX_EUR</f>
        <v>-6947.87194409698</v>
      </c>
      <c r="AX15" s="16" t="n">
        <f aca="false">'Cash flow'!AX15/FX_EUR</f>
        <v>-794.277998012839</v>
      </c>
      <c r="AY15" s="16" t="n">
        <f aca="false">'Cash flow'!AY15/FX_EUR</f>
        <v>10247.2649093414</v>
      </c>
      <c r="AZ15" s="16" t="n">
        <f aca="false">'Cash flow'!AZ15/FX_EUR</f>
        <v>18650.4949747592</v>
      </c>
      <c r="BA15" s="16" t="n">
        <f aca="false">'Cash flow'!BA15/FX_EUR</f>
        <v>10826.1458236711</v>
      </c>
      <c r="BB15" s="16" t="n">
        <f aca="false">'Cash flow'!BB15/FX_EUR</f>
        <v>17099.6374253601</v>
      </c>
      <c r="BC15" s="16" t="n">
        <f aca="false">'Cash flow'!BC15/FX_EUR</f>
        <v>26191.6984935083</v>
      </c>
      <c r="BD15" s="16" t="n">
        <f aca="false">'Cash flow'!BD15/FX_EUR</f>
        <v>20297.4001574361</v>
      </c>
      <c r="BE15" s="16" t="n">
        <f aca="false">'Cash flow'!BE15/FX_EUR</f>
        <v>42948.0965631245</v>
      </c>
      <c r="BF15" s="16" t="n">
        <f aca="false">'Cash flow'!BF15/FX_EUR</f>
        <v>48104.0518036608</v>
      </c>
      <c r="BG15" s="16" t="n">
        <f aca="false">'Cash flow'!BG15/FX_EUR</f>
        <v>59844.2111958424</v>
      </c>
      <c r="BH15" s="16" t="n">
        <f aca="false">'Cash flow'!BH15/FX_EUR</f>
        <v>70882.0523549566</v>
      </c>
      <c r="BI15" s="16" t="n">
        <f aca="false">'Cash flow'!BI15/FX_EUR</f>
        <v>82276.6545563859</v>
      </c>
      <c r="BJ15" s="16" t="n">
        <f aca="false">'Cash flow'!BJ15/FX_EUR</f>
        <v>82365.2622354362</v>
      </c>
      <c r="BK15" s="16" t="n">
        <f aca="false">'Cash flow'!BK15/FX_EUR</f>
        <v>95858.0390823271</v>
      </c>
      <c r="BL15" s="16" t="n">
        <f aca="false">'Cash flow'!BL15/FX_EUR</f>
        <v>108799.620358297</v>
      </c>
    </row>
    <row r="16" customFormat="false" ht="15" hidden="false" customHeight="false" outlineLevel="0" collapsed="false">
      <c r="A16" s="12" t="s">
        <v>893</v>
      </c>
      <c r="B16" s="14" t="s">
        <v>73</v>
      </c>
      <c r="D16" s="55" t="n">
        <f aca="false">'Cash flow'!D16/FX_EUR</f>
        <v>-3360540.96644896</v>
      </c>
      <c r="E16" s="37" t="n">
        <f aca="false">'Cash flow'!E16/FX_EUR</f>
        <v>-48842.6669278627</v>
      </c>
      <c r="F16" s="37" t="n">
        <f aca="false">'Cash flow'!F16/FX_EUR</f>
        <v>-110499.023823208</v>
      </c>
      <c r="G16" s="37" t="n">
        <f aca="false">'Cash flow'!G16/FX_EUR</f>
        <v>-194565.386252453</v>
      </c>
      <c r="H16" s="37" t="n">
        <f aca="false">'Cash flow'!H16/FX_EUR</f>
        <v>-342106.304788271</v>
      </c>
      <c r="I16" s="37" t="n">
        <f aca="false">'Cash flow'!I16/FX_EUR</f>
        <v>-397879.659426355</v>
      </c>
      <c r="J16" s="37" t="n">
        <f aca="false">'Cash flow'!J16/FX_EUR</f>
        <v>-452905.553951453</v>
      </c>
      <c r="K16" s="37" t="n">
        <f aca="false">'Cash flow'!K16/FX_EUR</f>
        <v>-507710.401168083</v>
      </c>
      <c r="L16" s="37" t="n">
        <f aca="false">'Cash flow'!L16/FX_EUR</f>
        <v>-560534.52129447</v>
      </c>
      <c r="M16" s="37" t="n">
        <f aca="false">'Cash flow'!M16/FX_EUR</f>
        <v>-611310.757668499</v>
      </c>
      <c r="N16" s="37" t="n">
        <f aca="false">'Cash flow'!N16/FX_EUR</f>
        <v>-660043.176188634</v>
      </c>
      <c r="O16" s="37" t="n">
        <f aca="false">'Cash flow'!O16/FX_EUR</f>
        <v>-706734.490105119</v>
      </c>
      <c r="P16" s="37" t="n">
        <f aca="false">'Cash flow'!P16/FX_EUR</f>
        <v>-751386.001818767</v>
      </c>
      <c r="Q16" s="37" t="n">
        <f aca="false">'Cash flow'!Q16/FX_EUR</f>
        <v>-816361.79654579</v>
      </c>
      <c r="R16" s="37" t="n">
        <f aca="false">'Cash flow'!R16/FX_EUR</f>
        <v>-877862.167295893</v>
      </c>
      <c r="S16" s="37" t="n">
        <f aca="false">'Cash flow'!S16/FX_EUR</f>
        <v>-945540.557654888</v>
      </c>
      <c r="T16" s="37" t="n">
        <f aca="false">'Cash flow'!T16/FX_EUR</f>
        <v>-1044187.68042559</v>
      </c>
      <c r="U16" s="37" t="n">
        <f aca="false">'Cash flow'!U16/FX_EUR</f>
        <v>-1101234.72240254</v>
      </c>
      <c r="V16" s="37" t="n">
        <f aca="false">'Cash flow'!V16/FX_EUR</f>
        <v>-1175029.70380047</v>
      </c>
      <c r="W16" s="37" t="n">
        <f aca="false">'Cash flow'!W16/FX_EUR</f>
        <v>-1251663.97677574</v>
      </c>
      <c r="X16" s="37" t="n">
        <f aca="false">'Cash flow'!X16/FX_EUR</f>
        <v>-1326758.31350021</v>
      </c>
      <c r="Y16" s="37" t="n">
        <f aca="false">'Cash flow'!Y16/FX_EUR</f>
        <v>-1402626.8680229</v>
      </c>
      <c r="Z16" s="37" t="n">
        <f aca="false">'Cash flow'!Z16/FX_EUR</f>
        <v>-1475872.04309729</v>
      </c>
      <c r="AA16" s="37" t="n">
        <f aca="false">'Cash flow'!AA16/FX_EUR</f>
        <v>-1549639.07243432</v>
      </c>
      <c r="AB16" s="37" t="n">
        <f aca="false">'Cash flow'!AB16/FX_EUR</f>
        <v>-2620798.59411344</v>
      </c>
      <c r="AC16" s="37" t="n">
        <f aca="false">'Cash flow'!AC16/FX_EUR</f>
        <v>-2754696.57442903</v>
      </c>
      <c r="AD16" s="37" t="n">
        <f aca="false">'Cash flow'!AD16/FX_EUR</f>
        <v>-2851330.37786437</v>
      </c>
      <c r="AE16" s="37" t="n">
        <f aca="false">'Cash flow'!AE16/FX_EUR</f>
        <v>-2961539.88340507</v>
      </c>
      <c r="AF16" s="37" t="n">
        <f aca="false">'Cash flow'!AF16/FX_EUR</f>
        <v>-3078014.83739683</v>
      </c>
      <c r="AG16" s="37" t="n">
        <f aca="false">'Cash flow'!AG16/FX_EUR</f>
        <v>-3204189.33593802</v>
      </c>
      <c r="AH16" s="37" t="n">
        <f aca="false">'Cash flow'!AH16/FX_EUR</f>
        <v>-3288880.83732834</v>
      </c>
      <c r="AI16" s="37" t="n">
        <f aca="false">'Cash flow'!AI16/FX_EUR</f>
        <v>-3371542.37660804</v>
      </c>
      <c r="AJ16" s="37" t="n">
        <f aca="false">'Cash flow'!AJ16/FX_EUR</f>
        <v>-3450922.95778942</v>
      </c>
      <c r="AK16" s="37" t="n">
        <f aca="false">'Cash flow'!AK16/FX_EUR</f>
        <v>-3520678.9655374</v>
      </c>
      <c r="AL16" s="37" t="n">
        <f aca="false">'Cash flow'!AL16/FX_EUR</f>
        <v>-3586394.49905648</v>
      </c>
      <c r="AM16" s="37" t="n">
        <f aca="false">'Cash flow'!AM16/FX_EUR</f>
        <v>-3648578.56568926</v>
      </c>
      <c r="AN16" s="37" t="n">
        <f aca="false">'Cash flow'!AN16/FX_EUR</f>
        <v>-3706450.12310534</v>
      </c>
      <c r="AO16" s="37" t="n">
        <f aca="false">'Cash flow'!AO16/FX_EUR</f>
        <v>-3784059.50364236</v>
      </c>
      <c r="AP16" s="37" t="n">
        <f aca="false">'Cash flow'!AP16/FX_EUR</f>
        <v>-3851645.57199699</v>
      </c>
      <c r="AQ16" s="37" t="n">
        <f aca="false">'Cash flow'!AQ16/FX_EUR</f>
        <v>-3899743.64170934</v>
      </c>
      <c r="AR16" s="37" t="n">
        <f aca="false">'Cash flow'!AR16/FX_EUR</f>
        <v>-3950724.97785904</v>
      </c>
      <c r="AS16" s="37" t="n">
        <f aca="false">'Cash flow'!AS16/FX_EUR</f>
        <v>-3990877.07093233</v>
      </c>
      <c r="AT16" s="37" t="n">
        <f aca="false">'Cash flow'!AT16/FX_EUR</f>
        <v>-4018785.17604808</v>
      </c>
      <c r="AU16" s="37" t="n">
        <f aca="false">'Cash flow'!AU16/FX_EUR</f>
        <v>-4037073.94136309</v>
      </c>
      <c r="AV16" s="37" t="n">
        <f aca="false">'Cash flow'!AV16/FX_EUR</f>
        <v>-4047189.44644095</v>
      </c>
      <c r="AW16" s="37" t="n">
        <f aca="false">'Cash flow'!AW16/FX_EUR</f>
        <v>-4054137.31838505</v>
      </c>
      <c r="AX16" s="37" t="n">
        <f aca="false">'Cash flow'!AX16/FX_EUR</f>
        <v>-4054931.59638306</v>
      </c>
      <c r="AY16" s="37" t="n">
        <f aca="false">'Cash flow'!AY16/FX_EUR</f>
        <v>-4044684.33147372</v>
      </c>
      <c r="AZ16" s="37" t="n">
        <f aca="false">'Cash flow'!AZ16/FX_EUR</f>
        <v>-4026033.83649896</v>
      </c>
      <c r="BA16" s="37" t="n">
        <f aca="false">'Cash flow'!BA16/FX_EUR</f>
        <v>-4015207.69067529</v>
      </c>
      <c r="BB16" s="37" t="n">
        <f aca="false">'Cash flow'!BB16/FX_EUR</f>
        <v>-3998108.05324993</v>
      </c>
      <c r="BC16" s="37" t="n">
        <f aca="false">'Cash flow'!BC16/FX_EUR</f>
        <v>-3971916.35475642</v>
      </c>
      <c r="BD16" s="37" t="n">
        <f aca="false">'Cash flow'!BD16/FX_EUR</f>
        <v>-3951618.95459899</v>
      </c>
      <c r="BE16" s="37" t="n">
        <f aca="false">'Cash flow'!BE16/FX_EUR</f>
        <v>-3908670.85803586</v>
      </c>
      <c r="BF16" s="37" t="n">
        <f aca="false">'Cash flow'!BF16/FX_EUR</f>
        <v>-3860566.8062322</v>
      </c>
      <c r="BG16" s="37" t="n">
        <f aca="false">'Cash flow'!BG16/FX_EUR</f>
        <v>-3800722.59503636</v>
      </c>
      <c r="BH16" s="37" t="n">
        <f aca="false">'Cash flow'!BH16/FX_EUR</f>
        <v>-3729840.5426814</v>
      </c>
      <c r="BI16" s="37" t="n">
        <f aca="false">'Cash flow'!BI16/FX_EUR</f>
        <v>-3647563.88812502</v>
      </c>
      <c r="BJ16" s="37" t="n">
        <f aca="false">'Cash flow'!BJ16/FX_EUR</f>
        <v>-3565198.62588958</v>
      </c>
      <c r="BK16" s="37" t="n">
        <f aca="false">'Cash flow'!BK16/FX_EUR</f>
        <v>-3469340.58680725</v>
      </c>
      <c r="BL16" s="37" t="n">
        <f aca="false">'Cash flow'!BL16/FX_EUR</f>
        <v>-3360540.96644896</v>
      </c>
    </row>
    <row r="18" customFormat="false" ht="15" hidden="false" customHeight="false" outlineLevel="0" collapsed="false">
      <c r="A18" s="10" t="s">
        <v>894</v>
      </c>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row>
    <row r="19" customFormat="false" ht="15" hidden="false" customHeight="false" outlineLevel="0" collapsed="false">
      <c r="A19" s="12" t="s">
        <v>881</v>
      </c>
      <c r="B19" s="14" t="s">
        <v>73</v>
      </c>
      <c r="D19" s="55" t="n">
        <f aca="false">'Cash flow'!D19/FX_EUR</f>
        <v>5030817.56883454</v>
      </c>
      <c r="E19" s="37" t="n">
        <f aca="false">'Cash flow'!E19/FX_EUR</f>
        <v>1372041.15513669</v>
      </c>
      <c r="F19" s="37" t="n">
        <f aca="false">'Cash flow'!F19/FX_EUR</f>
        <v>0</v>
      </c>
      <c r="G19" s="37" t="n">
        <f aca="false">'Cash flow'!G19/FX_EUR</f>
        <v>0</v>
      </c>
      <c r="H19" s="37" t="n">
        <f aca="false">'Cash flow'!H19/FX_EUR</f>
        <v>0</v>
      </c>
      <c r="I19" s="37" t="n">
        <f aca="false">'Cash flow'!I19/FX_EUR</f>
        <v>0</v>
      </c>
      <c r="J19" s="37" t="n">
        <f aca="false">'Cash flow'!J19/FX_EUR</f>
        <v>0</v>
      </c>
      <c r="K19" s="37" t="n">
        <f aca="false">'Cash flow'!K19/FX_EUR</f>
        <v>0</v>
      </c>
      <c r="L19" s="37" t="n">
        <f aca="false">'Cash flow'!L19/FX_EUR</f>
        <v>0</v>
      </c>
      <c r="M19" s="37" t="n">
        <f aca="false">'Cash flow'!M19/FX_EUR</f>
        <v>0</v>
      </c>
      <c r="N19" s="37" t="n">
        <f aca="false">'Cash flow'!N19/FX_EUR</f>
        <v>0</v>
      </c>
      <c r="O19" s="37" t="n">
        <f aca="false">'Cash flow'!O19/FX_EUR</f>
        <v>0</v>
      </c>
      <c r="P19" s="37" t="n">
        <f aca="false">'Cash flow'!P19/FX_EUR</f>
        <v>0</v>
      </c>
      <c r="Q19" s="37" t="n">
        <f aca="false">'Cash flow'!Q19/FX_EUR</f>
        <v>0</v>
      </c>
      <c r="R19" s="37" t="n">
        <f aca="false">'Cash flow'!R19/FX_EUR</f>
        <v>0</v>
      </c>
      <c r="S19" s="37" t="n">
        <f aca="false">'Cash flow'!S19/FX_EUR</f>
        <v>1829388.20684892</v>
      </c>
      <c r="T19" s="37" t="n">
        <f aca="false">'Cash flow'!T19/FX_EUR</f>
        <v>0</v>
      </c>
      <c r="U19" s="37" t="n">
        <f aca="false">'Cash flow'!U19/FX_EUR</f>
        <v>0</v>
      </c>
      <c r="V19" s="37" t="n">
        <f aca="false">'Cash flow'!V19/FX_EUR</f>
        <v>0</v>
      </c>
      <c r="W19" s="37" t="n">
        <f aca="false">'Cash flow'!W19/FX_EUR</f>
        <v>0</v>
      </c>
      <c r="X19" s="37" t="n">
        <f aca="false">'Cash flow'!X19/FX_EUR</f>
        <v>0</v>
      </c>
      <c r="Y19" s="37" t="n">
        <f aca="false">'Cash flow'!Y19/FX_EUR</f>
        <v>0</v>
      </c>
      <c r="Z19" s="37" t="n">
        <f aca="false">'Cash flow'!Z19/FX_EUR</f>
        <v>0</v>
      </c>
      <c r="AA19" s="37" t="n">
        <f aca="false">'Cash flow'!AA19/FX_EUR</f>
        <v>0</v>
      </c>
      <c r="AB19" s="37" t="n">
        <f aca="false">'Cash flow'!AB19/FX_EUR</f>
        <v>1829388.20684892</v>
      </c>
      <c r="AC19" s="37" t="n">
        <f aca="false">'Cash flow'!AC19/FX_EUR</f>
        <v>0</v>
      </c>
      <c r="AD19" s="37" t="n">
        <f aca="false">'Cash flow'!AD19/FX_EUR</f>
        <v>0</v>
      </c>
      <c r="AE19" s="37" t="n">
        <f aca="false">'Cash flow'!AE19/FX_EUR</f>
        <v>0</v>
      </c>
      <c r="AF19" s="37" t="n">
        <f aca="false">'Cash flow'!AF19/FX_EUR</f>
        <v>0</v>
      </c>
      <c r="AG19" s="37" t="n">
        <f aca="false">'Cash flow'!AG19/FX_EUR</f>
        <v>0</v>
      </c>
      <c r="AH19" s="37" t="n">
        <f aca="false">'Cash flow'!AH19/FX_EUR</f>
        <v>0</v>
      </c>
      <c r="AI19" s="37" t="n">
        <f aca="false">'Cash flow'!AI19/FX_EUR</f>
        <v>0</v>
      </c>
      <c r="AJ19" s="37" t="n">
        <f aca="false">'Cash flow'!AJ19/FX_EUR</f>
        <v>0</v>
      </c>
      <c r="AK19" s="37" t="n">
        <f aca="false">'Cash flow'!AK19/FX_EUR</f>
        <v>0</v>
      </c>
      <c r="AL19" s="37" t="n">
        <f aca="false">'Cash flow'!AL19/FX_EUR</f>
        <v>0</v>
      </c>
      <c r="AM19" s="37" t="n">
        <f aca="false">'Cash flow'!AM19/FX_EUR</f>
        <v>0</v>
      </c>
      <c r="AN19" s="37" t="n">
        <f aca="false">'Cash flow'!AN19/FX_EUR</f>
        <v>0</v>
      </c>
      <c r="AO19" s="37" t="n">
        <f aca="false">'Cash flow'!AO19/FX_EUR</f>
        <v>0</v>
      </c>
      <c r="AP19" s="37" t="n">
        <f aca="false">'Cash flow'!AP19/FX_EUR</f>
        <v>0</v>
      </c>
      <c r="AQ19" s="37" t="n">
        <f aca="false">'Cash flow'!AQ19/FX_EUR</f>
        <v>0</v>
      </c>
      <c r="AR19" s="37" t="n">
        <f aca="false">'Cash flow'!AR19/FX_EUR</f>
        <v>0</v>
      </c>
      <c r="AS19" s="37" t="n">
        <f aca="false">'Cash flow'!AS19/FX_EUR</f>
        <v>0</v>
      </c>
      <c r="AT19" s="37" t="n">
        <f aca="false">'Cash flow'!AT19/FX_EUR</f>
        <v>0</v>
      </c>
      <c r="AU19" s="37" t="n">
        <f aca="false">'Cash flow'!AU19/FX_EUR</f>
        <v>0</v>
      </c>
      <c r="AV19" s="37" t="n">
        <f aca="false">'Cash flow'!AV19/FX_EUR</f>
        <v>0</v>
      </c>
      <c r="AW19" s="37" t="n">
        <f aca="false">'Cash flow'!AW19/FX_EUR</f>
        <v>0</v>
      </c>
      <c r="AX19" s="37" t="n">
        <f aca="false">'Cash flow'!AX19/FX_EUR</f>
        <v>0</v>
      </c>
      <c r="AY19" s="37" t="n">
        <f aca="false">'Cash flow'!AY19/FX_EUR</f>
        <v>0</v>
      </c>
      <c r="AZ19" s="37" t="n">
        <f aca="false">'Cash flow'!AZ19/FX_EUR</f>
        <v>0</v>
      </c>
      <c r="BA19" s="37" t="n">
        <f aca="false">'Cash flow'!BA19/FX_EUR</f>
        <v>0</v>
      </c>
      <c r="BB19" s="37" t="n">
        <f aca="false">'Cash flow'!BB19/FX_EUR</f>
        <v>0</v>
      </c>
      <c r="BC19" s="37" t="n">
        <f aca="false">'Cash flow'!BC19/FX_EUR</f>
        <v>0</v>
      </c>
      <c r="BD19" s="37" t="n">
        <f aca="false">'Cash flow'!BD19/FX_EUR</f>
        <v>0</v>
      </c>
      <c r="BE19" s="37" t="n">
        <f aca="false">'Cash flow'!BE19/FX_EUR</f>
        <v>0</v>
      </c>
      <c r="BF19" s="37" t="n">
        <f aca="false">'Cash flow'!BF19/FX_EUR</f>
        <v>0</v>
      </c>
      <c r="BG19" s="37" t="n">
        <f aca="false">'Cash flow'!BG19/FX_EUR</f>
        <v>0</v>
      </c>
      <c r="BH19" s="37" t="n">
        <f aca="false">'Cash flow'!BH19/FX_EUR</f>
        <v>0</v>
      </c>
      <c r="BI19" s="37" t="n">
        <f aca="false">'Cash flow'!BI19/FX_EUR</f>
        <v>0</v>
      </c>
      <c r="BJ19" s="37" t="n">
        <f aca="false">'Cash flow'!BJ19/FX_EUR</f>
        <v>0</v>
      </c>
      <c r="BK19" s="37" t="n">
        <f aca="false">'Cash flow'!BK19/FX_EUR</f>
        <v>0</v>
      </c>
      <c r="BL19" s="37" t="n">
        <f aca="false">'Cash flow'!BL19/FX_EUR</f>
        <v>0</v>
      </c>
    </row>
    <row r="20" customFormat="false" ht="15" hidden="false" customHeight="false" outlineLevel="0" collapsed="false">
      <c r="A20" s="8" t="s">
        <v>895</v>
      </c>
      <c r="B20" s="14" t="s">
        <v>73</v>
      </c>
      <c r="D20" s="55" t="n">
        <f aca="false">'Cash flow'!D20/FX_EUR</f>
        <v>1670276.60238559</v>
      </c>
      <c r="E20" s="16" t="n">
        <f aca="false">'Cash flow'!E20/FX_EUR</f>
        <v>1323198.48820883</v>
      </c>
      <c r="F20" s="16" t="n">
        <f aca="false">'Cash flow'!F20/FX_EUR</f>
        <v>-61656.3568953453</v>
      </c>
      <c r="G20" s="16" t="n">
        <f aca="false">'Cash flow'!G20/FX_EUR</f>
        <v>-84066.3624292446</v>
      </c>
      <c r="H20" s="16" t="n">
        <f aca="false">'Cash flow'!H20/FX_EUR</f>
        <v>-147540.918535819</v>
      </c>
      <c r="I20" s="16" t="n">
        <f aca="false">'Cash flow'!I20/FX_EUR</f>
        <v>-55773.3546380835</v>
      </c>
      <c r="J20" s="16" t="n">
        <f aca="false">'Cash flow'!J20/FX_EUR</f>
        <v>-55025.8945250985</v>
      </c>
      <c r="K20" s="16" t="n">
        <f aca="false">'Cash flow'!K20/FX_EUR</f>
        <v>-54804.8472166303</v>
      </c>
      <c r="L20" s="16" t="n">
        <f aca="false">'Cash flow'!L20/FX_EUR</f>
        <v>-52824.120126387</v>
      </c>
      <c r="M20" s="16" t="n">
        <f aca="false">'Cash flow'!M20/FX_EUR</f>
        <v>-50776.2363740288</v>
      </c>
      <c r="N20" s="16" t="n">
        <f aca="false">'Cash flow'!N20/FX_EUR</f>
        <v>-48732.4185201345</v>
      </c>
      <c r="O20" s="16" t="n">
        <f aca="false">'Cash flow'!O20/FX_EUR</f>
        <v>-46691.3139164852</v>
      </c>
      <c r="P20" s="16" t="n">
        <f aca="false">'Cash flow'!P20/FX_EUR</f>
        <v>-44651.5117136486</v>
      </c>
      <c r="Q20" s="16" t="n">
        <f aca="false">'Cash flow'!Q20/FX_EUR</f>
        <v>-64975.7947270229</v>
      </c>
      <c r="R20" s="16" t="n">
        <f aca="false">'Cash flow'!R20/FX_EUR</f>
        <v>-61500.3707501026</v>
      </c>
      <c r="S20" s="16" t="n">
        <f aca="false">'Cash flow'!S20/FX_EUR</f>
        <v>1761709.81648993</v>
      </c>
      <c r="T20" s="16" t="n">
        <f aca="false">'Cash flow'!T20/FX_EUR</f>
        <v>-98647.1227707007</v>
      </c>
      <c r="U20" s="16" t="n">
        <f aca="false">'Cash flow'!U20/FX_EUR</f>
        <v>-57047.0419769551</v>
      </c>
      <c r="V20" s="16" t="n">
        <f aca="false">'Cash flow'!V20/FX_EUR</f>
        <v>-73794.9813979263</v>
      </c>
      <c r="W20" s="16" t="n">
        <f aca="false">'Cash flow'!W20/FX_EUR</f>
        <v>-76634.2729752717</v>
      </c>
      <c r="X20" s="16" t="n">
        <f aca="false">'Cash flow'!X20/FX_EUR</f>
        <v>-75094.3367244659</v>
      </c>
      <c r="Y20" s="16" t="n">
        <f aca="false">'Cash flow'!Y20/FX_EUR</f>
        <v>-75868.5545226922</v>
      </c>
      <c r="Z20" s="16" t="n">
        <f aca="false">'Cash flow'!Z20/FX_EUR</f>
        <v>-73245.175074395</v>
      </c>
      <c r="AA20" s="16" t="n">
        <f aca="false">'Cash flow'!AA20/FX_EUR</f>
        <v>-73767.0293370281</v>
      </c>
      <c r="AB20" s="16" t="n">
        <f aca="false">'Cash flow'!AB20/FX_EUR</f>
        <v>758228.685169803</v>
      </c>
      <c r="AC20" s="16" t="n">
        <f aca="false">'Cash flow'!AC20/FX_EUR</f>
        <v>-133897.980315587</v>
      </c>
      <c r="AD20" s="16" t="n">
        <f aca="false">'Cash flow'!AD20/FX_EUR</f>
        <v>-96633.8034353361</v>
      </c>
      <c r="AE20" s="16" t="n">
        <f aca="false">'Cash flow'!AE20/FX_EUR</f>
        <v>-110209.505540703</v>
      </c>
      <c r="AF20" s="16" t="n">
        <f aca="false">'Cash flow'!AF20/FX_EUR</f>
        <v>-116474.95399176</v>
      </c>
      <c r="AG20" s="16" t="n">
        <f aca="false">'Cash flow'!AG20/FX_EUR</f>
        <v>-126174.498541191</v>
      </c>
      <c r="AH20" s="16" t="n">
        <f aca="false">'Cash flow'!AH20/FX_EUR</f>
        <v>-84691.501390321</v>
      </c>
      <c r="AI20" s="16" t="n">
        <f aca="false">'Cash flow'!AI20/FX_EUR</f>
        <v>-82661.5392796977</v>
      </c>
      <c r="AJ20" s="16" t="n">
        <f aca="false">'Cash flow'!AJ20/FX_EUR</f>
        <v>-79380.581181376</v>
      </c>
      <c r="AK20" s="16" t="n">
        <f aca="false">'Cash flow'!AK20/FX_EUR</f>
        <v>-69756.0077479809</v>
      </c>
      <c r="AL20" s="16" t="n">
        <f aca="false">'Cash flow'!AL20/FX_EUR</f>
        <v>-65715.5335190786</v>
      </c>
      <c r="AM20" s="16" t="n">
        <f aca="false">'Cash flow'!AM20/FX_EUR</f>
        <v>-62184.0666327839</v>
      </c>
      <c r="AN20" s="16" t="n">
        <f aca="false">'Cash flow'!AN20/FX_EUR</f>
        <v>-57871.5574160798</v>
      </c>
      <c r="AO20" s="16" t="n">
        <f aca="false">'Cash flow'!AO20/FX_EUR</f>
        <v>-77609.3805370236</v>
      </c>
      <c r="AP20" s="16" t="n">
        <f aca="false">'Cash flow'!AP20/FX_EUR</f>
        <v>-67586.0683546277</v>
      </c>
      <c r="AQ20" s="16" t="n">
        <f aca="false">'Cash flow'!AQ20/FX_EUR</f>
        <v>-48098.0697123496</v>
      </c>
      <c r="AR20" s="16" t="n">
        <f aca="false">'Cash flow'!AR20/FX_EUR</f>
        <v>-50981.336149696</v>
      </c>
      <c r="AS20" s="16" t="n">
        <f aca="false">'Cash flow'!AS20/FX_EUR</f>
        <v>-40152.0930732918</v>
      </c>
      <c r="AT20" s="16" t="n">
        <f aca="false">'Cash flow'!AT20/FX_EUR</f>
        <v>-27908.1051157542</v>
      </c>
      <c r="AU20" s="16" t="n">
        <f aca="false">'Cash flow'!AU20/FX_EUR</f>
        <v>-18288.7653150089</v>
      </c>
      <c r="AV20" s="16" t="n">
        <f aca="false">'Cash flow'!AV20/FX_EUR</f>
        <v>-10115.5050778603</v>
      </c>
      <c r="AW20" s="16" t="n">
        <f aca="false">'Cash flow'!AW20/FX_EUR</f>
        <v>-6947.87194409698</v>
      </c>
      <c r="AX20" s="16" t="n">
        <f aca="false">'Cash flow'!AX20/FX_EUR</f>
        <v>-794.277998012839</v>
      </c>
      <c r="AY20" s="16" t="n">
        <f aca="false">'Cash flow'!AY20/FX_EUR</f>
        <v>10247.2649093414</v>
      </c>
      <c r="AZ20" s="16" t="n">
        <f aca="false">'Cash flow'!AZ20/FX_EUR</f>
        <v>18650.4949747592</v>
      </c>
      <c r="BA20" s="16" t="n">
        <f aca="false">'Cash flow'!BA20/FX_EUR</f>
        <v>10826.1458236711</v>
      </c>
      <c r="BB20" s="16" t="n">
        <f aca="false">'Cash flow'!BB20/FX_EUR</f>
        <v>17099.6374253601</v>
      </c>
      <c r="BC20" s="16" t="n">
        <f aca="false">'Cash flow'!BC20/FX_EUR</f>
        <v>26191.6984935083</v>
      </c>
      <c r="BD20" s="16" t="n">
        <f aca="false">'Cash flow'!BD20/FX_EUR</f>
        <v>20297.4001574361</v>
      </c>
      <c r="BE20" s="16" t="n">
        <f aca="false">'Cash flow'!BE20/FX_EUR</f>
        <v>42948.0965631245</v>
      </c>
      <c r="BF20" s="16" t="n">
        <f aca="false">'Cash flow'!BF20/FX_EUR</f>
        <v>48104.0518036608</v>
      </c>
      <c r="BG20" s="16" t="n">
        <f aca="false">'Cash flow'!BG20/FX_EUR</f>
        <v>59844.2111958424</v>
      </c>
      <c r="BH20" s="16" t="n">
        <f aca="false">'Cash flow'!BH20/FX_EUR</f>
        <v>70882.0523549566</v>
      </c>
      <c r="BI20" s="16" t="n">
        <f aca="false">'Cash flow'!BI20/FX_EUR</f>
        <v>82276.6545563859</v>
      </c>
      <c r="BJ20" s="16" t="n">
        <f aca="false">'Cash flow'!BJ20/FX_EUR</f>
        <v>82365.2622354362</v>
      </c>
      <c r="BK20" s="16" t="n">
        <f aca="false">'Cash flow'!BK20/FX_EUR</f>
        <v>95858.0390823271</v>
      </c>
      <c r="BL20" s="16" t="n">
        <f aca="false">'Cash flow'!BL20/FX_EUR</f>
        <v>108799.620358297</v>
      </c>
    </row>
    <row r="22" customFormat="false" ht="15" hidden="false" customHeight="false" outlineLevel="0" collapsed="false">
      <c r="A22" s="10" t="s">
        <v>896</v>
      </c>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11"/>
      <c r="BH22" s="11"/>
      <c r="BI22" s="11"/>
      <c r="BJ22" s="11"/>
      <c r="BK22" s="11"/>
      <c r="BL22" s="11"/>
    </row>
    <row r="23" customFormat="false" ht="15" hidden="false" customHeight="false" outlineLevel="0" collapsed="false">
      <c r="A23" s="12" t="s">
        <v>897</v>
      </c>
      <c r="B23" s="14" t="s">
        <v>73</v>
      </c>
      <c r="E23" s="37" t="n">
        <f aca="false">'Cash flow'!E23/FX_EUR</f>
        <v>0</v>
      </c>
      <c r="F23" s="37" t="n">
        <f aca="false">'Cash flow'!F23/FX_EUR</f>
        <v>1323198.48820883</v>
      </c>
      <c r="G23" s="37" t="n">
        <f aca="false">'Cash flow'!G23/FX_EUR</f>
        <v>1261542.13131349</v>
      </c>
      <c r="H23" s="37" t="n">
        <f aca="false">'Cash flow'!H23/FX_EUR</f>
        <v>1177475.76888424</v>
      </c>
      <c r="I23" s="37" t="n">
        <f aca="false">'Cash flow'!I23/FX_EUR</f>
        <v>1029934.85034842</v>
      </c>
      <c r="J23" s="37" t="n">
        <f aca="false">'Cash flow'!J23/FX_EUR</f>
        <v>974161.495710339</v>
      </c>
      <c r="K23" s="37" t="n">
        <f aca="false">'Cash flow'!K23/FX_EUR</f>
        <v>919135.60118524</v>
      </c>
      <c r="L23" s="37" t="n">
        <f aca="false">'Cash flow'!L23/FX_EUR</f>
        <v>864330.75396861</v>
      </c>
      <c r="M23" s="37" t="n">
        <f aca="false">'Cash flow'!M23/FX_EUR</f>
        <v>811506.633842223</v>
      </c>
      <c r="N23" s="37" t="n">
        <f aca="false">'Cash flow'!N23/FX_EUR</f>
        <v>760730.397468194</v>
      </c>
      <c r="O23" s="37" t="n">
        <f aca="false">'Cash flow'!O23/FX_EUR</f>
        <v>711997.97894806</v>
      </c>
      <c r="P23" s="37" t="n">
        <f aca="false">'Cash flow'!P23/FX_EUR</f>
        <v>665306.665031575</v>
      </c>
      <c r="Q23" s="37" t="n">
        <f aca="false">'Cash flow'!Q23/FX_EUR</f>
        <v>620655.153317926</v>
      </c>
      <c r="R23" s="37" t="n">
        <f aca="false">'Cash flow'!R23/FX_EUR</f>
        <v>555679.358590903</v>
      </c>
      <c r="S23" s="37" t="n">
        <f aca="false">'Cash flow'!S23/FX_EUR</f>
        <v>494178.9878408</v>
      </c>
      <c r="T23" s="37" t="n">
        <f aca="false">'Cash flow'!T23/FX_EUR</f>
        <v>2255888.80433073</v>
      </c>
      <c r="U23" s="37" t="n">
        <f aca="false">'Cash flow'!U23/FX_EUR</f>
        <v>2157241.68156003</v>
      </c>
      <c r="V23" s="37" t="n">
        <f aca="false">'Cash flow'!V23/FX_EUR</f>
        <v>2100194.63958307</v>
      </c>
      <c r="W23" s="37" t="n">
        <f aca="false">'Cash flow'!W23/FX_EUR</f>
        <v>2026399.65818515</v>
      </c>
      <c r="X23" s="37" t="n">
        <f aca="false">'Cash flow'!X23/FX_EUR</f>
        <v>1949765.38520988</v>
      </c>
      <c r="Y23" s="37" t="n">
        <f aca="false">'Cash flow'!Y23/FX_EUR</f>
        <v>1874671.04848541</v>
      </c>
      <c r="Z23" s="37" t="n">
        <f aca="false">'Cash flow'!Z23/FX_EUR</f>
        <v>1798802.49396272</v>
      </c>
      <c r="AA23" s="37" t="n">
        <f aca="false">'Cash flow'!AA23/FX_EUR</f>
        <v>1725557.31888832</v>
      </c>
      <c r="AB23" s="37" t="n">
        <f aca="false">'Cash flow'!AB23/FX_EUR</f>
        <v>1651790.28955129</v>
      </c>
      <c r="AC23" s="37" t="n">
        <f aca="false">'Cash flow'!AC23/FX_EUR</f>
        <v>2410018.9747211</v>
      </c>
      <c r="AD23" s="37" t="n">
        <f aca="false">'Cash flow'!AD23/FX_EUR</f>
        <v>2276120.99440551</v>
      </c>
      <c r="AE23" s="37" t="n">
        <f aca="false">'Cash flow'!AE23/FX_EUR</f>
        <v>2179487.19097017</v>
      </c>
      <c r="AF23" s="37" t="n">
        <f aca="false">'Cash flow'!AF23/FX_EUR</f>
        <v>2069277.68542947</v>
      </c>
      <c r="AG23" s="37" t="n">
        <f aca="false">'Cash flow'!AG23/FX_EUR</f>
        <v>1952802.73143771</v>
      </c>
      <c r="AH23" s="37" t="n">
        <f aca="false">'Cash flow'!AH23/FX_EUR</f>
        <v>1826628.23289652</v>
      </c>
      <c r="AI23" s="37" t="n">
        <f aca="false">'Cash flow'!AI23/FX_EUR</f>
        <v>1741936.7315062</v>
      </c>
      <c r="AJ23" s="37" t="n">
        <f aca="false">'Cash flow'!AJ23/FX_EUR</f>
        <v>1659275.1922265</v>
      </c>
      <c r="AK23" s="37" t="n">
        <f aca="false">'Cash flow'!AK23/FX_EUR</f>
        <v>1579894.61104513</v>
      </c>
      <c r="AL23" s="37" t="n">
        <f aca="false">'Cash flow'!AL23/FX_EUR</f>
        <v>1510138.60329714</v>
      </c>
      <c r="AM23" s="37" t="n">
        <f aca="false">'Cash flow'!AM23/FX_EUR</f>
        <v>1444423.06977807</v>
      </c>
      <c r="AN23" s="37" t="n">
        <f aca="false">'Cash flow'!AN23/FX_EUR</f>
        <v>1382239.00314528</v>
      </c>
      <c r="AO23" s="37" t="n">
        <f aca="false">'Cash flow'!AO23/FX_EUR</f>
        <v>1324367.4457292</v>
      </c>
      <c r="AP23" s="37" t="n">
        <f aca="false">'Cash flow'!AP23/FX_EUR</f>
        <v>1246758.06519218</v>
      </c>
      <c r="AQ23" s="37" t="n">
        <f aca="false">'Cash flow'!AQ23/FX_EUR</f>
        <v>1179171.99683755</v>
      </c>
      <c r="AR23" s="37" t="n">
        <f aca="false">'Cash flow'!AR23/FX_EUR</f>
        <v>1131073.9271252</v>
      </c>
      <c r="AS23" s="37" t="n">
        <f aca="false">'Cash flow'!AS23/FX_EUR</f>
        <v>1080092.59097551</v>
      </c>
      <c r="AT23" s="37" t="n">
        <f aca="false">'Cash flow'!AT23/FX_EUR</f>
        <v>1039940.49790221</v>
      </c>
      <c r="AU23" s="37" t="n">
        <f aca="false">'Cash flow'!AU23/FX_EUR</f>
        <v>1012032.39278646</v>
      </c>
      <c r="AV23" s="37" t="n">
        <f aca="false">'Cash flow'!AV23/FX_EUR</f>
        <v>993743.627471451</v>
      </c>
      <c r="AW23" s="37" t="n">
        <f aca="false">'Cash flow'!AW23/FX_EUR</f>
        <v>983628.12239359</v>
      </c>
      <c r="AX23" s="37" t="n">
        <f aca="false">'Cash flow'!AX23/FX_EUR</f>
        <v>976680.250449493</v>
      </c>
      <c r="AY23" s="37" t="n">
        <f aca="false">'Cash flow'!AY23/FX_EUR</f>
        <v>975885.97245148</v>
      </c>
      <c r="AZ23" s="37" t="n">
        <f aca="false">'Cash flow'!AZ23/FX_EUR</f>
        <v>986133.237360822</v>
      </c>
      <c r="BA23" s="37" t="n">
        <f aca="false">'Cash flow'!BA23/FX_EUR</f>
        <v>1004783.73233558</v>
      </c>
      <c r="BB23" s="37" t="n">
        <f aca="false">'Cash flow'!BB23/FX_EUR</f>
        <v>1015609.87815925</v>
      </c>
      <c r="BC23" s="37" t="n">
        <f aca="false">'Cash flow'!BC23/FX_EUR</f>
        <v>1032709.51558461</v>
      </c>
      <c r="BD23" s="37" t="n">
        <f aca="false">'Cash flow'!BD23/FX_EUR</f>
        <v>1058901.21407812</v>
      </c>
      <c r="BE23" s="37" t="n">
        <f aca="false">'Cash flow'!BE23/FX_EUR</f>
        <v>1079198.61423556</v>
      </c>
      <c r="BF23" s="37" t="n">
        <f aca="false">'Cash flow'!BF23/FX_EUR</f>
        <v>1122146.71079868</v>
      </c>
      <c r="BG23" s="37" t="n">
        <f aca="false">'Cash flow'!BG23/FX_EUR</f>
        <v>1170250.76260234</v>
      </c>
      <c r="BH23" s="37" t="n">
        <f aca="false">'Cash flow'!BH23/FX_EUR</f>
        <v>1230094.97379818</v>
      </c>
      <c r="BI23" s="37" t="n">
        <f aca="false">'Cash flow'!BI23/FX_EUR</f>
        <v>1300977.02615314</v>
      </c>
      <c r="BJ23" s="37" t="n">
        <f aca="false">'Cash flow'!BJ23/FX_EUR</f>
        <v>1383253.68070953</v>
      </c>
      <c r="BK23" s="37" t="n">
        <f aca="false">'Cash flow'!BK23/FX_EUR</f>
        <v>1465618.94294496</v>
      </c>
      <c r="BL23" s="37" t="n">
        <f aca="false">'Cash flow'!BL23/FX_EUR</f>
        <v>1561476.98202729</v>
      </c>
    </row>
    <row r="24" customFormat="false" ht="15" hidden="false" customHeight="false" outlineLevel="0" collapsed="false">
      <c r="A24" s="8" t="s">
        <v>95</v>
      </c>
      <c r="B24" s="14" t="s">
        <v>73</v>
      </c>
      <c r="D24" s="55" t="n">
        <f aca="false">'Cash flow'!D24/FX_EUR</f>
        <v>1670276.60238559</v>
      </c>
      <c r="E24" s="16" t="n">
        <f aca="false">'Cash flow'!E24/FX_EUR</f>
        <v>1323198.48820883</v>
      </c>
      <c r="F24" s="16" t="n">
        <f aca="false">'Cash flow'!F24/FX_EUR</f>
        <v>1261542.13131349</v>
      </c>
      <c r="G24" s="16" t="n">
        <f aca="false">'Cash flow'!G24/FX_EUR</f>
        <v>1177475.76888424</v>
      </c>
      <c r="H24" s="16" t="n">
        <f aca="false">'Cash flow'!H24/FX_EUR</f>
        <v>1029934.85034842</v>
      </c>
      <c r="I24" s="16" t="n">
        <f aca="false">'Cash flow'!I24/FX_EUR</f>
        <v>974161.495710339</v>
      </c>
      <c r="J24" s="16" t="n">
        <f aca="false">'Cash flow'!J24/FX_EUR</f>
        <v>919135.60118524</v>
      </c>
      <c r="K24" s="16" t="n">
        <f aca="false">'Cash flow'!K24/FX_EUR</f>
        <v>864330.75396861</v>
      </c>
      <c r="L24" s="16" t="n">
        <f aca="false">'Cash flow'!L24/FX_EUR</f>
        <v>811506.633842223</v>
      </c>
      <c r="M24" s="16" t="n">
        <f aca="false">'Cash flow'!M24/FX_EUR</f>
        <v>760730.397468194</v>
      </c>
      <c r="N24" s="16" t="n">
        <f aca="false">'Cash flow'!N24/FX_EUR</f>
        <v>711997.97894806</v>
      </c>
      <c r="O24" s="16" t="n">
        <f aca="false">'Cash flow'!O24/FX_EUR</f>
        <v>665306.665031575</v>
      </c>
      <c r="P24" s="16" t="n">
        <f aca="false">'Cash flow'!P24/FX_EUR</f>
        <v>620655.153317926</v>
      </c>
      <c r="Q24" s="16" t="n">
        <f aca="false">'Cash flow'!Q24/FX_EUR</f>
        <v>555679.358590903</v>
      </c>
      <c r="R24" s="16" t="n">
        <f aca="false">'Cash flow'!R24/FX_EUR</f>
        <v>494178.9878408</v>
      </c>
      <c r="S24" s="16" t="n">
        <f aca="false">'Cash flow'!S24/FX_EUR</f>
        <v>2255888.80433073</v>
      </c>
      <c r="T24" s="16" t="n">
        <f aca="false">'Cash flow'!T24/FX_EUR</f>
        <v>2157241.68156003</v>
      </c>
      <c r="U24" s="16" t="n">
        <f aca="false">'Cash flow'!U24/FX_EUR</f>
        <v>2100194.63958307</v>
      </c>
      <c r="V24" s="16" t="n">
        <f aca="false">'Cash flow'!V24/FX_EUR</f>
        <v>2026399.65818515</v>
      </c>
      <c r="W24" s="16" t="n">
        <f aca="false">'Cash flow'!W24/FX_EUR</f>
        <v>1949765.38520988</v>
      </c>
      <c r="X24" s="16" t="n">
        <f aca="false">'Cash flow'!X24/FX_EUR</f>
        <v>1874671.04848541</v>
      </c>
      <c r="Y24" s="16" t="n">
        <f aca="false">'Cash flow'!Y24/FX_EUR</f>
        <v>1798802.49396272</v>
      </c>
      <c r="Z24" s="16" t="n">
        <f aca="false">'Cash flow'!Z24/FX_EUR</f>
        <v>1725557.31888832</v>
      </c>
      <c r="AA24" s="16" t="n">
        <f aca="false">'Cash flow'!AA24/FX_EUR</f>
        <v>1651790.28955129</v>
      </c>
      <c r="AB24" s="16" t="n">
        <f aca="false">'Cash flow'!AB24/FX_EUR</f>
        <v>2410018.9747211</v>
      </c>
      <c r="AC24" s="16" t="n">
        <f aca="false">'Cash flow'!AC24/FX_EUR</f>
        <v>2276120.99440551</v>
      </c>
      <c r="AD24" s="16" t="n">
        <f aca="false">'Cash flow'!AD24/FX_EUR</f>
        <v>2179487.19097017</v>
      </c>
      <c r="AE24" s="16" t="n">
        <f aca="false">'Cash flow'!AE24/FX_EUR</f>
        <v>2069277.68542947</v>
      </c>
      <c r="AF24" s="16" t="n">
        <f aca="false">'Cash flow'!AF24/FX_EUR</f>
        <v>1952802.73143771</v>
      </c>
      <c r="AG24" s="16" t="n">
        <f aca="false">'Cash flow'!AG24/FX_EUR</f>
        <v>1826628.23289652</v>
      </c>
      <c r="AH24" s="16" t="n">
        <f aca="false">'Cash flow'!AH24/FX_EUR</f>
        <v>1741936.7315062</v>
      </c>
      <c r="AI24" s="16" t="n">
        <f aca="false">'Cash flow'!AI24/FX_EUR</f>
        <v>1659275.1922265</v>
      </c>
      <c r="AJ24" s="16" t="n">
        <f aca="false">'Cash flow'!AJ24/FX_EUR</f>
        <v>1579894.61104513</v>
      </c>
      <c r="AK24" s="16" t="n">
        <f aca="false">'Cash flow'!AK24/FX_EUR</f>
        <v>1510138.60329714</v>
      </c>
      <c r="AL24" s="16" t="n">
        <f aca="false">'Cash flow'!AL24/FX_EUR</f>
        <v>1444423.06977807</v>
      </c>
      <c r="AM24" s="16" t="n">
        <f aca="false">'Cash flow'!AM24/FX_EUR</f>
        <v>1382239.00314528</v>
      </c>
      <c r="AN24" s="16" t="n">
        <f aca="false">'Cash flow'!AN24/FX_EUR</f>
        <v>1324367.4457292</v>
      </c>
      <c r="AO24" s="16" t="n">
        <f aca="false">'Cash flow'!AO24/FX_EUR</f>
        <v>1246758.06519218</v>
      </c>
      <c r="AP24" s="16" t="n">
        <f aca="false">'Cash flow'!AP24/FX_EUR</f>
        <v>1179171.99683755</v>
      </c>
      <c r="AQ24" s="16" t="n">
        <f aca="false">'Cash flow'!AQ24/FX_EUR</f>
        <v>1131073.9271252</v>
      </c>
      <c r="AR24" s="16" t="n">
        <f aca="false">'Cash flow'!AR24/FX_EUR</f>
        <v>1080092.59097551</v>
      </c>
      <c r="AS24" s="16" t="n">
        <f aca="false">'Cash flow'!AS24/FX_EUR</f>
        <v>1039940.49790221</v>
      </c>
      <c r="AT24" s="16" t="n">
        <f aca="false">'Cash flow'!AT24/FX_EUR</f>
        <v>1012032.39278646</v>
      </c>
      <c r="AU24" s="16" t="n">
        <f aca="false">'Cash flow'!AU24/FX_EUR</f>
        <v>993743.627471451</v>
      </c>
      <c r="AV24" s="16" t="n">
        <f aca="false">'Cash flow'!AV24/FX_EUR</f>
        <v>983628.12239359</v>
      </c>
      <c r="AW24" s="16" t="n">
        <f aca="false">'Cash flow'!AW24/FX_EUR</f>
        <v>976680.250449493</v>
      </c>
      <c r="AX24" s="16" t="n">
        <f aca="false">'Cash flow'!AX24/FX_EUR</f>
        <v>975885.97245148</v>
      </c>
      <c r="AY24" s="16" t="n">
        <f aca="false">'Cash flow'!AY24/FX_EUR</f>
        <v>986133.237360822</v>
      </c>
      <c r="AZ24" s="16" t="n">
        <f aca="false">'Cash flow'!AZ24/FX_EUR</f>
        <v>1004783.73233558</v>
      </c>
      <c r="BA24" s="16" t="n">
        <f aca="false">'Cash flow'!BA24/FX_EUR</f>
        <v>1015609.87815925</v>
      </c>
      <c r="BB24" s="16" t="n">
        <f aca="false">'Cash flow'!BB24/FX_EUR</f>
        <v>1032709.51558461</v>
      </c>
      <c r="BC24" s="16" t="n">
        <f aca="false">'Cash flow'!BC24/FX_EUR</f>
        <v>1058901.21407812</v>
      </c>
      <c r="BD24" s="16" t="n">
        <f aca="false">'Cash flow'!BD24/FX_EUR</f>
        <v>1079198.61423556</v>
      </c>
      <c r="BE24" s="16" t="n">
        <f aca="false">'Cash flow'!BE24/FX_EUR</f>
        <v>1122146.71079868</v>
      </c>
      <c r="BF24" s="16" t="n">
        <f aca="false">'Cash flow'!BF24/FX_EUR</f>
        <v>1170250.76260234</v>
      </c>
      <c r="BG24" s="16" t="n">
        <f aca="false">'Cash flow'!BG24/FX_EUR</f>
        <v>1230094.97379818</v>
      </c>
      <c r="BH24" s="16" t="n">
        <f aca="false">'Cash flow'!BH24/FX_EUR</f>
        <v>1300977.02615314</v>
      </c>
      <c r="BI24" s="16" t="n">
        <f aca="false">'Cash flow'!BI24/FX_EUR</f>
        <v>1383253.68070953</v>
      </c>
      <c r="BJ24" s="16" t="n">
        <f aca="false">'Cash flow'!BJ24/FX_EUR</f>
        <v>1465618.94294496</v>
      </c>
      <c r="BK24" s="16" t="n">
        <f aca="false">'Cash flow'!BK24/FX_EUR</f>
        <v>1561476.98202729</v>
      </c>
      <c r="BL24" s="16" t="n">
        <f aca="false">'Cash flow'!BL24/FX_EUR</f>
        <v>1670276.60238559</v>
      </c>
    </row>
    <row r="25" customFormat="false" ht="15" hidden="false" customHeight="false" outlineLevel="0" collapsed="false">
      <c r="A25" s="12" t="s">
        <v>898</v>
      </c>
      <c r="B25" s="14" t="s">
        <v>73</v>
      </c>
      <c r="D25" s="55" t="n">
        <f aca="false">'Cash flow'!D25/FX_EUR</f>
        <v>1977258.28745308</v>
      </c>
      <c r="E25" s="37" t="n">
        <f aca="false">'Cash flow'!E25/FX_EUR</f>
        <v>0</v>
      </c>
      <c r="F25" s="37" t="n">
        <f aca="false">'Cash flow'!F25/FX_EUR</f>
        <v>0</v>
      </c>
      <c r="G25" s="37" t="n">
        <f aca="false">'Cash flow'!G25/FX_EUR</f>
        <v>0</v>
      </c>
      <c r="H25" s="37" t="n">
        <f aca="false">'Cash flow'!H25/FX_EUR</f>
        <v>91469.4103424462</v>
      </c>
      <c r="I25" s="37" t="n">
        <f aca="false">'Cash flow'!I25/FX_EUR</f>
        <v>91469.4103424462</v>
      </c>
      <c r="J25" s="37" t="n">
        <f aca="false">'Cash flow'!J25/FX_EUR</f>
        <v>91469.4103424462</v>
      </c>
      <c r="K25" s="37" t="n">
        <f aca="false">'Cash flow'!K25/FX_EUR</f>
        <v>91469.4103424462</v>
      </c>
      <c r="L25" s="37" t="n">
        <f aca="false">'Cash flow'!L25/FX_EUR</f>
        <v>91469.4103424462</v>
      </c>
      <c r="M25" s="37" t="n">
        <f aca="false">'Cash flow'!M25/FX_EUR</f>
        <v>91469.4103424462</v>
      </c>
      <c r="N25" s="37" t="n">
        <f aca="false">'Cash flow'!N25/FX_EUR</f>
        <v>91469.4103424462</v>
      </c>
      <c r="O25" s="37" t="n">
        <f aca="false">'Cash flow'!O25/FX_EUR</f>
        <v>91469.4103424462</v>
      </c>
      <c r="P25" s="37" t="n">
        <f aca="false">'Cash flow'!P25/FX_EUR</f>
        <v>91469.4103424462</v>
      </c>
      <c r="Q25" s="37" t="n">
        <f aca="false">'Cash flow'!Q25/FX_EUR</f>
        <v>91469.4103424462</v>
      </c>
      <c r="R25" s="37" t="n">
        <f aca="false">'Cash flow'!R25/FX_EUR</f>
        <v>91469.4103424462</v>
      </c>
      <c r="S25" s="37" t="n">
        <f aca="false">'Cash flow'!S25/FX_EUR</f>
        <v>91469.4103424462</v>
      </c>
      <c r="T25" s="37" t="n">
        <f aca="false">'Cash flow'!T25/FX_EUR</f>
        <v>91469.4103424462</v>
      </c>
      <c r="U25" s="37" t="n">
        <f aca="false">'Cash flow'!U25/FX_EUR</f>
        <v>91469.4103424462</v>
      </c>
      <c r="V25" s="37" t="n">
        <f aca="false">'Cash flow'!V25/FX_EUR</f>
        <v>97014.0738613652</v>
      </c>
      <c r="W25" s="37" t="n">
        <f aca="false">'Cash flow'!W25/FX_EUR</f>
        <v>104107.721737097</v>
      </c>
      <c r="X25" s="37" t="n">
        <f aca="false">'Cash flow'!X25/FX_EUR</f>
        <v>112744.384263961</v>
      </c>
      <c r="Y25" s="37" t="n">
        <f aca="false">'Cash flow'!Y25/FX_EUR</f>
        <v>124846.442887345</v>
      </c>
      <c r="Z25" s="37" t="n">
        <f aca="false">'Cash flow'!Z25/FX_EUR</f>
        <v>138865.414208865</v>
      </c>
      <c r="AA25" s="37" t="n">
        <f aca="false">'Cash flow'!AA25/FX_EUR</f>
        <v>154804.118097677</v>
      </c>
      <c r="AB25" s="37" t="n">
        <f aca="false">'Cash flow'!AB25/FX_EUR</f>
        <v>173166.053986496</v>
      </c>
      <c r="AC25" s="37" t="n">
        <f aca="false">'Cash flow'!AC25/FX_EUR</f>
        <v>239027.228750362</v>
      </c>
      <c r="AD25" s="37" t="n">
        <f aca="false">'Cash flow'!AD25/FX_EUR</f>
        <v>273586.184510804</v>
      </c>
      <c r="AE25" s="37" t="n">
        <f aca="false">'Cash flow'!AE25/FX_EUR</f>
        <v>319294.39055208</v>
      </c>
      <c r="AF25" s="37" t="n">
        <f aca="false">'Cash flow'!AF25/FX_EUR</f>
        <v>370926.170036834</v>
      </c>
      <c r="AG25" s="37" t="n">
        <f aca="false">'Cash flow'!AG25/FX_EUR</f>
        <v>427507.173361704</v>
      </c>
      <c r="AH25" s="37" t="n">
        <f aca="false">'Cash flow'!AH25/FX_EUR</f>
        <v>466912.586727196</v>
      </c>
      <c r="AI25" s="37" t="n">
        <f aca="false">'Cash flow'!AI25/FX_EUR</f>
        <v>508487.523980273</v>
      </c>
      <c r="AJ25" s="37" t="n">
        <f aca="false">'Cash flow'!AJ25/FX_EUR</f>
        <v>553907.081451164</v>
      </c>
      <c r="AK25" s="37" t="n">
        <f aca="false">'Cash flow'!AK25/FX_EUR</f>
        <v>594829.226523038</v>
      </c>
      <c r="AL25" s="37" t="n">
        <f aca="false">'Cash flow'!AL25/FX_EUR</f>
        <v>637364.588441369</v>
      </c>
      <c r="AM25" s="37" t="n">
        <f aca="false">'Cash flow'!AM25/FX_EUR</f>
        <v>683324.96842857</v>
      </c>
      <c r="AN25" s="37" t="n">
        <f aca="false">'Cash flow'!AN25/FX_EUR</f>
        <v>732137.240043835</v>
      </c>
      <c r="AO25" s="37" t="n">
        <f aca="false">'Cash flow'!AO25/FX_EUR</f>
        <v>785494.071205587</v>
      </c>
      <c r="AP25" s="37" t="n">
        <f aca="false">'Cash flow'!AP25/FX_EUR</f>
        <v>842741.410386322</v>
      </c>
      <c r="AQ25" s="37" t="n">
        <f aca="false">'Cash flow'!AQ25/FX_EUR</f>
        <v>886148.821860579</v>
      </c>
      <c r="AR25" s="37" t="n">
        <f aca="false">'Cash flow'!AR25/FX_EUR</f>
        <v>931964.693333072</v>
      </c>
      <c r="AS25" s="37" t="n">
        <f aca="false">'Cash flow'!AS25/FX_EUR</f>
        <v>978043.720279827</v>
      </c>
      <c r="AT25" s="37" t="n">
        <f aca="false">'Cash flow'!AT25/FX_EUR</f>
        <v>1024610.23407049</v>
      </c>
      <c r="AU25" s="37" t="n">
        <f aca="false">'Cash flow'!AU25/FX_EUR</f>
        <v>1070605.54728593</v>
      </c>
      <c r="AV25" s="37" t="n">
        <f aca="false">'Cash flow'!AV25/FX_EUR</f>
        <v>1116050.20358853</v>
      </c>
      <c r="AW25" s="37" t="n">
        <f aca="false">'Cash flow'!AW25/FX_EUR</f>
        <v>1162869.44603818</v>
      </c>
      <c r="AX25" s="37" t="n">
        <f aca="false">'Cash flow'!AX25/FX_EUR</f>
        <v>1209148.86023363</v>
      </c>
      <c r="AY25" s="37" t="n">
        <f aca="false">'Cash flow'!AY25/FX_EUR</f>
        <v>1257955.21518413</v>
      </c>
      <c r="AZ25" s="37" t="n">
        <f aca="false">'Cash flow'!AZ25/FX_EUR</f>
        <v>1306216.31480654</v>
      </c>
      <c r="BA25" s="37" t="n">
        <f aca="false">'Cash flow'!BA25/FX_EUR</f>
        <v>1358651.20466844</v>
      </c>
      <c r="BB25" s="37" t="n">
        <f aca="false">'Cash flow'!BB25/FX_EUR</f>
        <v>1410511.83100699</v>
      </c>
      <c r="BC25" s="37" t="n">
        <f aca="false">'Cash flow'!BC25/FX_EUR</f>
        <v>1463728.71594885</v>
      </c>
      <c r="BD25" s="37" t="n">
        <f aca="false">'Cash flow'!BD25/FX_EUR</f>
        <v>1517532.55209863</v>
      </c>
      <c r="BE25" s="37" t="n">
        <f aca="false">'Cash flow'!BE25/FX_EUR</f>
        <v>1572696.81951523</v>
      </c>
      <c r="BF25" s="37" t="n">
        <f aca="false">'Cash flow'!BF25/FX_EUR</f>
        <v>1627314.13692625</v>
      </c>
      <c r="BG25" s="37" t="n">
        <f aca="false">'Cash flow'!BG25/FX_EUR</f>
        <v>1684458.70554117</v>
      </c>
      <c r="BH25" s="37" t="n">
        <f aca="false">'Cash flow'!BH25/FX_EUR</f>
        <v>1741066.39912213</v>
      </c>
      <c r="BI25" s="37" t="n">
        <f aca="false">'Cash flow'!BI25/FX_EUR</f>
        <v>1799073.94731406</v>
      </c>
      <c r="BJ25" s="37" t="n">
        <f aca="false">'Cash flow'!BJ25/FX_EUR</f>
        <v>1856578.09277066</v>
      </c>
      <c r="BK25" s="37" t="n">
        <f aca="false">'Cash flow'!BK25/FX_EUR</f>
        <v>1916440.40047944</v>
      </c>
      <c r="BL25" s="37" t="n">
        <f aca="false">'Cash flow'!BL25/FX_EUR</f>
        <v>1977258.28745308</v>
      </c>
    </row>
    <row r="26" customFormat="false" ht="15" hidden="false" customHeight="false" outlineLevel="0" collapsed="false">
      <c r="A26" s="12" t="s">
        <v>899</v>
      </c>
      <c r="B26" s="14" t="s">
        <v>73</v>
      </c>
      <c r="E26" s="37" t="n">
        <f aca="false">'Cash flow'!E26/FX_EUR</f>
        <v>48842.6669278627</v>
      </c>
      <c r="F26" s="37" t="n">
        <f aca="false">'Cash flow'!F26/FX_EUR</f>
        <v>61656.3568953453</v>
      </c>
      <c r="G26" s="37" t="n">
        <f aca="false">'Cash flow'!G26/FX_EUR</f>
        <v>64855.1287508175</v>
      </c>
      <c r="H26" s="37" t="n">
        <f aca="false">'Cash flow'!H26/FX_EUR</f>
        <v>97754.5459534695</v>
      </c>
      <c r="I26" s="37" t="n">
        <f aca="false">'Cash flow'!I26/FX_EUR</f>
        <v>95793.5452010489</v>
      </c>
      <c r="J26" s="37" t="n">
        <f aca="false">'Cash flow'!J26/FX_EUR</f>
        <v>86113.3892330002</v>
      </c>
      <c r="K26" s="37" t="n">
        <f aca="false">'Cash flow'!K26/FX_EUR</f>
        <v>55201.3654599374</v>
      </c>
      <c r="L26" s="37" t="n">
        <f aca="false">'Cash flow'!L26/FX_EUR</f>
        <v>54218.2872893719</v>
      </c>
      <c r="M26" s="37" t="n">
        <f aca="false">'Cash flow'!M26/FX_EUR</f>
        <v>52801.7345723487</v>
      </c>
      <c r="N26" s="37" t="n">
        <f aca="false">'Cash flow'!N26/FX_EUR</f>
        <v>50777.5916735167</v>
      </c>
      <c r="O26" s="37" t="n">
        <f aca="false">'Cash flow'!O26/FX_EUR</f>
        <v>48733.3229368828</v>
      </c>
      <c r="P26" s="37" t="n">
        <f aca="false">'Cash flow'!P26/FX_EUR</f>
        <v>46691.7480500894</v>
      </c>
      <c r="Q26" s="37" t="n">
        <f aca="false">'Cash flow'!Q26/FX_EUR</f>
        <v>52106.2067857189</v>
      </c>
      <c r="R26" s="37" t="n">
        <f aca="false">'Cash flow'!R26/FX_EUR</f>
        <v>57042.5590635914</v>
      </c>
      <c r="S26" s="37" t="n">
        <f aca="false">'Cash flow'!S26/FX_EUR</f>
        <v>64718.1852787067</v>
      </c>
      <c r="T26" s="37" t="n">
        <f aca="false">'Cash flow'!T26/FX_EUR</f>
        <v>75941.961293266</v>
      </c>
      <c r="U26" s="37" t="n">
        <f aca="false">'Cash flow'!U26/FX_EUR</f>
        <v>74457.5183688835</v>
      </c>
      <c r="V26" s="37" t="n">
        <f aca="false">'Cash flow'!V26/FX_EUR</f>
        <v>76496.3820485274</v>
      </c>
      <c r="W26" s="37" t="n">
        <f aca="false">'Cash flow'!W26/FX_EUR</f>
        <v>69158.765450051</v>
      </c>
      <c r="X26" s="37" t="n">
        <f aca="false">'Cash flow'!X26/FX_EUR</f>
        <v>75174.530365888</v>
      </c>
      <c r="Y26" s="37" t="n">
        <f aca="false">'Cash flow'!Y26/FX_EUR</f>
        <v>75865.7214074766</v>
      </c>
      <c r="Z26" s="37" t="n">
        <f aca="false">'Cash flow'!Z26/FX_EUR</f>
        <v>74736.0221071843</v>
      </c>
      <c r="AA26" s="37" t="n">
        <f aca="false">'Cash flow'!AA26/FX_EUR</f>
        <v>74293.5863113718</v>
      </c>
      <c r="AB26" s="37" t="n">
        <f aca="false">'Cash flow'!AB26/FX_EUR</f>
        <v>406057.242030182</v>
      </c>
      <c r="AC26" s="37" t="n">
        <f aca="false">'Cash flow'!AC26/FX_EUR</f>
        <v>426274.843777246</v>
      </c>
      <c r="AD26" s="37" t="n">
        <f aca="false">'Cash flow'!AD26/FX_EUR</f>
        <v>433897.101810015</v>
      </c>
      <c r="AE26" s="37" t="n">
        <f aca="false">'Cash flow'!AE26/FX_EUR</f>
        <v>113580.429763876</v>
      </c>
      <c r="AF26" s="37" t="n">
        <f aca="false">'Cash flow'!AF26/FX_EUR</f>
        <v>107772.7543226</v>
      </c>
      <c r="AG26" s="37" t="n">
        <f aca="false">'Cash flow'!AG26/FX_EUR</f>
        <v>117619.652691218</v>
      </c>
      <c r="AH26" s="37" t="n">
        <f aca="false">'Cash flow'!AH26/FX_EUR</f>
        <v>109113.651307757</v>
      </c>
      <c r="AI26" s="37" t="n">
        <f aca="false">'Cash flow'!AI26/FX_EUR</f>
        <v>97842.5130704032</v>
      </c>
      <c r="AJ26" s="37" t="n">
        <f aca="false">'Cash flow'!AJ26/FX_EUR</f>
        <v>82244.5406171316</v>
      </c>
      <c r="AK26" s="37" t="n">
        <f aca="false">'Cash flow'!AK26/FX_EUR</f>
        <v>77266.0427363515</v>
      </c>
      <c r="AL26" s="37" t="n">
        <f aca="false">'Cash flow'!AL26/FX_EUR</f>
        <v>71617.3741494785</v>
      </c>
      <c r="AM26" s="37" t="n">
        <f aca="false">'Cash flow'!AM26/FX_EUR</f>
        <v>65885.2026332811</v>
      </c>
      <c r="AN26" s="37" t="n">
        <f aca="false">'Cash flow'!AN26/FX_EUR</f>
        <v>61923.7191893141</v>
      </c>
      <c r="AO26" s="37" t="n">
        <f aca="false">'Cash flow'!AO26/FX_EUR</f>
        <v>65888.3348619624</v>
      </c>
      <c r="AP26" s="37" t="n">
        <f aca="false">'Cash flow'!AP26/FX_EUR</f>
        <v>67689.002102577</v>
      </c>
      <c r="AQ26" s="37" t="n">
        <f aca="false">'Cash flow'!AQ26/FX_EUR</f>
        <v>64431.1728680003</v>
      </c>
      <c r="AR26" s="37" t="n">
        <f aca="false">'Cash flow'!AR26/FX_EUR</f>
        <v>55555.1580722244</v>
      </c>
      <c r="AS26" s="37" t="n">
        <f aca="false">'Cash flow'!AS26/FX_EUR</f>
        <v>46410.4996451125</v>
      </c>
      <c r="AT26" s="37" t="n">
        <f aca="false">'Cash flow'!AT26/FX_EUR</f>
        <v>39680.5114462473</v>
      </c>
      <c r="AU26" s="37" t="n">
        <f aca="false">'Cash flow'!AU26/FX_EUR</f>
        <v>28782.987834685</v>
      </c>
      <c r="AV26" s="37" t="n">
        <f aca="false">'Cash flow'!AV26/FX_EUR</f>
        <v>18770.7918362078</v>
      </c>
      <c r="AW26" s="37" t="n">
        <f aca="false">'Cash flow'!AW26/FX_EUR</f>
        <v>11784.0474456554</v>
      </c>
      <c r="AX26" s="37" t="n">
        <f aca="false">'Cash flow'!AX26/FX_EUR</f>
        <v>5952.55167332337</v>
      </c>
      <c r="AY26" s="37" t="n">
        <f aca="false">'Cash flow'!AY26/FX_EUR</f>
        <v>0</v>
      </c>
      <c r="AZ26" s="37" t="n">
        <f aca="false">'Cash flow'!AZ26/FX_EUR</f>
        <v>0</v>
      </c>
      <c r="BA26" s="37" t="n">
        <f aca="false">'Cash flow'!BA26/FX_EUR</f>
        <v>0</v>
      </c>
      <c r="BB26" s="37" t="n">
        <f aca="false">'Cash flow'!BB26/FX_EUR</f>
        <v>0</v>
      </c>
      <c r="BC26" s="37" t="n">
        <f aca="false">'Cash flow'!BC26/FX_EUR</f>
        <v>0</v>
      </c>
      <c r="BD26" s="37" t="n">
        <f aca="false">'Cash flow'!BD26/FX_EUR</f>
        <v>0</v>
      </c>
      <c r="BE26" s="37" t="n">
        <f aca="false">'Cash flow'!BE26/FX_EUR</f>
        <v>0</v>
      </c>
      <c r="BF26" s="37" t="n">
        <f aca="false">'Cash flow'!BF26/FX_EUR</f>
        <v>0</v>
      </c>
      <c r="BG26" s="37" t="n">
        <f aca="false">'Cash flow'!BG26/FX_EUR</f>
        <v>0</v>
      </c>
      <c r="BH26" s="37" t="n">
        <f aca="false">'Cash flow'!BH26/FX_EUR</f>
        <v>0</v>
      </c>
      <c r="BI26" s="37" t="n">
        <f aca="false">'Cash flow'!BI26/FX_EUR</f>
        <v>0</v>
      </c>
      <c r="BJ26" s="37" t="n">
        <f aca="false">'Cash flow'!BJ26/FX_EUR</f>
        <v>0</v>
      </c>
      <c r="BK26" s="37" t="n">
        <f aca="false">'Cash flow'!BK26/FX_EUR</f>
        <v>0</v>
      </c>
      <c r="BL26" s="37" t="n">
        <f aca="false">'Cash flow'!BL26/FX_EUR</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14"/>
    <col collapsed="false" customWidth="true" hidden="false" outlineLevel="0" max="3" min="3" style="0" width="3"/>
    <col collapsed="false" customWidth="true" hidden="false" outlineLevel="0" max="8" min="4" style="0" width="16"/>
    <col collapsed="false" customWidth="true" hidden="false" outlineLevel="0" max="9" min="9" style="0" width="3"/>
    <col collapsed="false" customWidth="true" hidden="false" outlineLevel="0" max="14" min="10" style="0" width="16"/>
  </cols>
  <sheetData>
    <row r="1" customFormat="false" ht="17.35" hidden="false" customHeight="false" outlineLevel="0" collapsed="false">
      <c r="A1" s="7" t="s">
        <v>903</v>
      </c>
    </row>
    <row r="2" customFormat="false" ht="15" hidden="false" customHeight="false" outlineLevel="0" collapsed="false">
      <c r="A2" s="2" t="s">
        <v>904</v>
      </c>
    </row>
    <row r="4" customFormat="false" ht="15" hidden="false" customHeight="false" outlineLevel="0" collapsed="false">
      <c r="A4" s="0" t="s">
        <v>81</v>
      </c>
      <c r="D4" s="54" t="n">
        <v>1</v>
      </c>
      <c r="E4" s="54" t="n">
        <v>2</v>
      </c>
      <c r="F4" s="54" t="n">
        <v>3</v>
      </c>
      <c r="G4" s="54" t="n">
        <v>4</v>
      </c>
      <c r="H4" s="54" t="n">
        <v>5</v>
      </c>
      <c r="J4" s="21" t="s">
        <v>870</v>
      </c>
      <c r="K4" s="21" t="s">
        <v>871</v>
      </c>
      <c r="L4" s="21" t="s">
        <v>872</v>
      </c>
      <c r="M4" s="21" t="s">
        <v>873</v>
      </c>
      <c r="N4" s="21" t="s">
        <v>874</v>
      </c>
    </row>
    <row r="7" customFormat="false" ht="15" hidden="false" customHeight="false" outlineLevel="0" collapsed="false">
      <c r="A7" s="10" t="s">
        <v>905</v>
      </c>
      <c r="B7" s="11"/>
      <c r="C7" s="11"/>
      <c r="D7" s="11"/>
      <c r="E7" s="11"/>
      <c r="F7" s="11"/>
      <c r="G7" s="11"/>
      <c r="H7" s="11"/>
    </row>
    <row r="8" customFormat="false" ht="15" hidden="false" customHeight="false" outlineLevel="0" collapsed="false">
      <c r="A8" s="12" t="s">
        <v>906</v>
      </c>
      <c r="B8" s="14" t="s">
        <v>83</v>
      </c>
      <c r="D8" s="37" t="n">
        <f aca="false">AVERAGEIF('Clients &amp; revenue'!$E$5:$BL$5,D$4,'Clients &amp; revenue'!$E$17:$BL$17)</f>
        <v>170.428923582493</v>
      </c>
      <c r="E8" s="37" t="n">
        <f aca="false">AVERAGEIF('Clients &amp; revenue'!$E$5:$BL$5,E$4,'Clients &amp; revenue'!$E$17:$BL$17)</f>
        <v>1017.5437020726</v>
      </c>
      <c r="F8" s="37" t="n">
        <f aca="false">AVERAGEIF('Clients &amp; revenue'!$E$5:$BL$5,F$4,'Clients &amp; revenue'!$E$17:$BL$17)</f>
        <v>2797.69366683109</v>
      </c>
      <c r="G8" s="37" t="n">
        <f aca="false">AVERAGEIF('Clients &amp; revenue'!$E$5:$BL$5,G$4,'Clients &amp; revenue'!$E$17:$BL$17)</f>
        <v>5501.03294001803</v>
      </c>
      <c r="H8" s="37" t="n">
        <f aca="false">AVERAGEIF('Clients &amp; revenue'!$E$5:$BL$5,H$4,'Clients &amp; revenue'!$E$17:$BL$17)</f>
        <v>9091.90594975227</v>
      </c>
    </row>
    <row r="9" customFormat="false" ht="15" hidden="false" customHeight="false" outlineLevel="0" collapsed="false">
      <c r="A9" s="12" t="s">
        <v>732</v>
      </c>
      <c r="B9" s="14" t="s">
        <v>83</v>
      </c>
      <c r="D9" s="37" t="n">
        <f aca="false">SUMIF('Sales &amp; marketing'!$E$5:$BL$5,D$4,'Sales &amp; marketing'!$E$33:$BL$33)</f>
        <v>478.708012421807</v>
      </c>
      <c r="E9" s="37" t="n">
        <f aca="false">SUMIF('Sales &amp; marketing'!$E$5:$BL$5,E$4,'Sales &amp; marketing'!$E$33:$BL$33)</f>
        <v>1372.7331441726</v>
      </c>
      <c r="F9" s="37" t="n">
        <f aca="false">SUMIF('Sales &amp; marketing'!$E$5:$BL$5,F$4,'Sales &amp; marketing'!$E$33:$BL$33)</f>
        <v>2719.22387234443</v>
      </c>
      <c r="G9" s="37" t="n">
        <f aca="false">SUMIF('Sales &amp; marketing'!$E$5:$BL$5,G$4,'Sales &amp; marketing'!$E$33:$BL$33)</f>
        <v>4165.42608832767</v>
      </c>
      <c r="H9" s="37" t="n">
        <f aca="false">SUMIF('Sales &amp; marketing'!$E$5:$BL$5,H$4,'Sales &amp; marketing'!$E$33:$BL$33)</f>
        <v>5687.62267642127</v>
      </c>
    </row>
    <row r="10" customFormat="false" ht="15" hidden="false" customHeight="false" outlineLevel="0" collapsed="false">
      <c r="A10" s="12" t="s">
        <v>907</v>
      </c>
      <c r="B10" s="14" t="s">
        <v>83</v>
      </c>
      <c r="D10" s="37" t="n">
        <f aca="false">MAX(0,SUMIF('Sales &amp; marketing'!$E$5:$BL$5,D$4,'Sales &amp; marketing'!$E$33:$BL$33)-('P&amp;L annual'!D50-IF(D$4=1,0,INDEX('P&amp;L annual'!$D$50:$H$50,1,D$4-1))))</f>
        <v>26.2151314934717</v>
      </c>
      <c r="E10" s="37" t="n">
        <f aca="false">MAX(0,SUMIF('Sales &amp; marketing'!$E$5:$BL$5,E$4,'Sales &amp; marketing'!$E$33:$BL$33)-('P&amp;L annual'!E50-IF(E$4=1,0,INDEX('P&amp;L annual'!$D$50:$H$50,1,E$4-1))))</f>
        <v>180.535939940214</v>
      </c>
      <c r="F10" s="37" t="n">
        <f aca="false">MAX(0,SUMIF('Sales &amp; marketing'!$E$5:$BL$5,F$4,'Sales &amp; marketing'!$E$33:$BL$33)-('P&amp;L annual'!F50-IF(F$4=1,0,INDEX('P&amp;L annual'!$D$50:$H$50,1,F$4-1))))</f>
        <v>512.014320938719</v>
      </c>
      <c r="G10" s="37" t="n">
        <f aca="false">MAX(0,SUMIF('Sales &amp; marketing'!$E$5:$BL$5,G$4,'Sales &amp; marketing'!$E$33:$BL$33)-('P&amp;L annual'!G50-IF(G$4=1,0,INDEX('P&amp;L annual'!$D$50:$H$50,1,G$4-1))))</f>
        <v>1022.40665564651</v>
      </c>
      <c r="H10" s="37" t="n">
        <f aca="false">MAX(0,SUMIF('Sales &amp; marketing'!$E$5:$BL$5,H$4,'Sales &amp; marketing'!$E$33:$BL$33)-('P&amp;L annual'!H50-IF(H$4=1,0,INDEX('P&amp;L annual'!$D$50:$H$50,1,H$4-1))))</f>
        <v>1703.16268348961</v>
      </c>
    </row>
    <row r="12" customFormat="false" ht="15" hidden="false" customHeight="false" outlineLevel="0" collapsed="false">
      <c r="A12" s="10" t="s">
        <v>908</v>
      </c>
      <c r="B12" s="11"/>
      <c r="C12" s="11"/>
      <c r="D12" s="11"/>
      <c r="E12" s="11"/>
      <c r="F12" s="11"/>
      <c r="G12" s="11"/>
      <c r="H12" s="11"/>
    </row>
    <row r="13" customFormat="false" ht="15" hidden="false" customHeight="false" outlineLevel="0" collapsed="false">
      <c r="A13" s="8" t="s">
        <v>909</v>
      </c>
      <c r="B13" s="14" t="s">
        <v>98</v>
      </c>
      <c r="D13" s="16" t="n">
        <f aca="false">IFERROR('P&amp;L annual'!D17/D8/12,0)</f>
        <v>34257.0041757181</v>
      </c>
      <c r="E13" s="16" t="n">
        <f aca="false">IFERROR('P&amp;L annual'!E17/E8/12,0)</f>
        <v>42293.8947044195</v>
      </c>
      <c r="F13" s="16" t="n">
        <f aca="false">IFERROR('P&amp;L annual'!F17/F8/12,0)</f>
        <v>51837.732394198</v>
      </c>
      <c r="G13" s="16" t="n">
        <f aca="false">IFERROR('P&amp;L annual'!G17/G8/12,0)</f>
        <v>54865.0997143696</v>
      </c>
      <c r="H13" s="16" t="n">
        <f aca="false">IFERROR('P&amp;L annual'!H17/H8/12,0)</f>
        <v>56076.9584922434</v>
      </c>
      <c r="J13" s="24" t="n">
        <f aca="false">D13/FX_EUR</f>
        <v>52.2244662008609</v>
      </c>
      <c r="K13" s="24" t="n">
        <f aca="false">E13/FX_EUR</f>
        <v>64.4766268283127</v>
      </c>
      <c r="L13" s="24" t="n">
        <f aca="false">F13/FX_EUR</f>
        <v>79.0261135931135</v>
      </c>
      <c r="M13" s="24" t="n">
        <f aca="false">G13/FX_EUR</f>
        <v>83.6413053208817</v>
      </c>
      <c r="N13" s="24" t="n">
        <f aca="false">H13/FX_EUR</f>
        <v>85.4887721180557</v>
      </c>
    </row>
    <row r="14" customFormat="false" ht="15" hidden="false" customHeight="false" outlineLevel="0" collapsed="false">
      <c r="A14" s="12" t="s">
        <v>910</v>
      </c>
      <c r="B14" s="14" t="s">
        <v>98</v>
      </c>
      <c r="D14" s="37" t="n">
        <f aca="false">IFERROR('P&amp;L annual'!D9/D8/12,0)</f>
        <v>8685.09185188145</v>
      </c>
      <c r="E14" s="37" t="n">
        <f aca="false">IFERROR('P&amp;L annual'!E9/E8/12,0)</f>
        <v>15406.8783912661</v>
      </c>
      <c r="F14" s="37" t="n">
        <f aca="false">IFERROR('P&amp;L annual'!F9/F8/12,0)</f>
        <v>17432.4612026933</v>
      </c>
      <c r="G14" s="37" t="n">
        <f aca="false">IFERROR('P&amp;L annual'!G9/G8/12,0)</f>
        <v>18762.7994073695</v>
      </c>
      <c r="H14" s="37" t="n">
        <f aca="false">IFERROR('P&amp;L annual'!H9/H8/12,0)</f>
        <v>19690.6517682002</v>
      </c>
      <c r="J14" s="24" t="n">
        <f aca="false">D14/FX_EUR</f>
        <v>13.2403371743597</v>
      </c>
      <c r="K14" s="24" t="n">
        <f aca="false">E14/FX_EUR</f>
        <v>23.487634694448</v>
      </c>
      <c r="L14" s="24" t="n">
        <f aca="false">F14/FX_EUR</f>
        <v>26.5756157837988</v>
      </c>
      <c r="M14" s="24" t="n">
        <f aca="false">G14/FX_EUR</f>
        <v>28.6037033027615</v>
      </c>
      <c r="N14" s="24" t="n">
        <f aca="false">H14/FX_EUR</f>
        <v>30.018205108262</v>
      </c>
    </row>
    <row r="15" customFormat="false" ht="15" hidden="false" customHeight="false" outlineLevel="0" collapsed="false">
      <c r="A15" s="12" t="s">
        <v>563</v>
      </c>
      <c r="B15" s="14" t="s">
        <v>98</v>
      </c>
      <c r="D15" s="37" t="n">
        <f aca="false">IFERROR('P&amp;L annual'!D25/D8/12,0)</f>
        <v>29078.2220633755</v>
      </c>
      <c r="E15" s="37" t="n">
        <f aca="false">IFERROR('P&amp;L annual'!E25/E8/12,0)</f>
        <v>28606.495049097</v>
      </c>
      <c r="F15" s="37" t="n">
        <f aca="false">IFERROR('P&amp;L annual'!F25/F8/12,0)</f>
        <v>31794.8866013606</v>
      </c>
      <c r="G15" s="37" t="n">
        <f aca="false">IFERROR('P&amp;L annual'!G25/G8/12,0)</f>
        <v>32039.6204114848</v>
      </c>
      <c r="H15" s="37" t="n">
        <f aca="false">IFERROR('P&amp;L annual'!H25/H8/12,0)</f>
        <v>32225.6604419472</v>
      </c>
      <c r="J15" s="24" t="n">
        <f aca="false">D15/FX_EUR</f>
        <v>44.3294637657278</v>
      </c>
      <c r="K15" s="24" t="n">
        <f aca="false">E15/FX_EUR</f>
        <v>43.6103205684168</v>
      </c>
      <c r="L15" s="24" t="n">
        <f aca="false">F15/FX_EUR</f>
        <v>48.4709921555234</v>
      </c>
      <c r="M15" s="24" t="n">
        <f aca="false">G15/FX_EUR</f>
        <v>48.8440864439053</v>
      </c>
      <c r="N15" s="24" t="n">
        <f aca="false">H15/FX_EUR</f>
        <v>49.1277026420135</v>
      </c>
    </row>
    <row r="16" customFormat="false" ht="15" hidden="false" customHeight="false" outlineLevel="0" collapsed="false">
      <c r="A16" s="8" t="s">
        <v>911</v>
      </c>
      <c r="B16" s="14" t="s">
        <v>98</v>
      </c>
      <c r="D16" s="16" t="n">
        <f aca="false">D13-D15</f>
        <v>5178.78211234259</v>
      </c>
      <c r="E16" s="16" t="n">
        <f aca="false">E13-E15</f>
        <v>13687.3996553225</v>
      </c>
      <c r="F16" s="16" t="n">
        <f aca="false">F13-F15</f>
        <v>20042.8457928373</v>
      </c>
      <c r="G16" s="16" t="n">
        <f aca="false">G13-G15</f>
        <v>22825.4793028848</v>
      </c>
      <c r="H16" s="16" t="n">
        <f aca="false">H13-H15</f>
        <v>23851.2980502962</v>
      </c>
      <c r="J16" s="24" t="n">
        <f aca="false">D16/FX_EUR</f>
        <v>7.89500243513307</v>
      </c>
      <c r="K16" s="24" t="n">
        <f aca="false">E16/FX_EUR</f>
        <v>20.8663062598959</v>
      </c>
      <c r="L16" s="24" t="n">
        <f aca="false">F16/FX_EUR</f>
        <v>30.5551214375902</v>
      </c>
      <c r="M16" s="24" t="n">
        <f aca="false">G16/FX_EUR</f>
        <v>34.7972188769764</v>
      </c>
      <c r="N16" s="24" t="n">
        <f aca="false">H16/FX_EUR</f>
        <v>36.3610694760422</v>
      </c>
    </row>
    <row r="18" customFormat="false" ht="15" hidden="false" customHeight="false" outlineLevel="0" collapsed="false">
      <c r="A18" s="10" t="s">
        <v>912</v>
      </c>
      <c r="B18" s="11"/>
      <c r="C18" s="11"/>
      <c r="D18" s="11"/>
      <c r="E18" s="11"/>
      <c r="F18" s="11"/>
      <c r="G18" s="11"/>
      <c r="H18" s="11"/>
    </row>
    <row r="19" customFormat="false" ht="15" hidden="false" customHeight="false" outlineLevel="0" collapsed="false">
      <c r="A19" s="12" t="s">
        <v>913</v>
      </c>
      <c r="B19" s="14" t="s">
        <v>71</v>
      </c>
      <c r="D19" s="37" t="n">
        <f aca="false">SUMIF('Sales &amp; marketing'!$E$5:$BL$5,D$4,'Sales &amp; marketing'!$E$45:$BL$45)+SUMIF('Sales &amp; marketing'!$E$5:$BL$5,D$4,'Sales &amp; marketing'!$E$48:$BL$48)</f>
        <v>84214366.9772118</v>
      </c>
      <c r="E19" s="37" t="n">
        <f aca="false">SUMIF('Sales &amp; marketing'!$E$5:$BL$5,E$4,'Sales &amp; marketing'!$E$45:$BL$45)+SUMIF('Sales &amp; marketing'!$E$5:$BL$5,E$4,'Sales &amp; marketing'!$E$48:$BL$48)</f>
        <v>144010828.604315</v>
      </c>
      <c r="F19" s="37" t="n">
        <f aca="false">SUMIF('Sales &amp; marketing'!$E$5:$BL$5,F$4,'Sales &amp; marketing'!$E$45:$BL$45)+SUMIF('Sales &amp; marketing'!$E$5:$BL$5,F$4,'Sales &amp; marketing'!$E$48:$BL$48)</f>
        <v>237948221.808611</v>
      </c>
      <c r="G19" s="37" t="n">
        <f aca="false">SUMIF('Sales &amp; marketing'!$E$5:$BL$5,G$4,'Sales &amp; marketing'!$E$45:$BL$45)+SUMIF('Sales &amp; marketing'!$E$5:$BL$5,G$4,'Sales &amp; marketing'!$E$48:$BL$48)</f>
        <v>332048621.583192</v>
      </c>
      <c r="H19" s="37" t="n">
        <f aca="false">SUMIF('Sales &amp; marketing'!$E$5:$BL$5,H$4,'Sales &amp; marketing'!$E$45:$BL$45)+SUMIF('Sales &amp; marketing'!$E$5:$BL$5,H$4,'Sales &amp; marketing'!$E$48:$BL$48)</f>
        <v>445449210.410532</v>
      </c>
      <c r="J19" s="24" t="n">
        <f aca="false">D19/FX_EUR</f>
        <v>128383.974829466</v>
      </c>
      <c r="K19" s="24" t="n">
        <f aca="false">E19/FX_EUR</f>
        <v>219543.09292273</v>
      </c>
      <c r="L19" s="24" t="n">
        <f aca="false">F19/FX_EUR</f>
        <v>362749.725681121</v>
      </c>
      <c r="M19" s="24" t="n">
        <f aca="false">G19/FX_EUR</f>
        <v>506204.860353944</v>
      </c>
      <c r="N19" s="24" t="n">
        <f aca="false">H19/FX_EUR</f>
        <v>679082.94356266</v>
      </c>
    </row>
    <row r="20" customFormat="false" ht="15" hidden="false" customHeight="false" outlineLevel="0" collapsed="false">
      <c r="A20" s="8" t="s">
        <v>914</v>
      </c>
      <c r="B20" s="14" t="s">
        <v>71</v>
      </c>
      <c r="D20" s="16" t="n">
        <f aca="false">IFERROR(D19/D9,0)</f>
        <v>175920.111617032</v>
      </c>
      <c r="E20" s="16" t="n">
        <f aca="false">IFERROR(E19/E9,0)</f>
        <v>104908.101924731</v>
      </c>
      <c r="F20" s="16" t="n">
        <f aca="false">IFERROR(F19/F9,0)</f>
        <v>87505.9329349956</v>
      </c>
      <c r="G20" s="16" t="n">
        <f aca="false">IFERROR(G19/G9,0)</f>
        <v>79715.4035486685</v>
      </c>
      <c r="H20" s="16" t="n">
        <f aca="false">IFERROR(H19/H9,0)</f>
        <v>78319.0509907058</v>
      </c>
      <c r="J20" s="24" t="n">
        <f aca="false">D20/FX_EUR</f>
        <v>268.188481283121</v>
      </c>
      <c r="K20" s="24" t="n">
        <f aca="false">E20/FX_EUR</f>
        <v>159.931370386673</v>
      </c>
      <c r="L20" s="24" t="n">
        <f aca="false">F20/FX_EUR</f>
        <v>133.401934783828</v>
      </c>
      <c r="M20" s="24" t="n">
        <f aca="false">G20/FX_EUR</f>
        <v>121.525349296781</v>
      </c>
      <c r="N20" s="24" t="n">
        <f aca="false">H20/FX_EUR</f>
        <v>119.396623544997</v>
      </c>
    </row>
    <row r="21" customFormat="false" ht="15" hidden="false" customHeight="false" outlineLevel="0" collapsed="false">
      <c r="A21" s="12" t="s">
        <v>915</v>
      </c>
      <c r="B21" s="14" t="s">
        <v>102</v>
      </c>
      <c r="D21" s="34" t="n">
        <f aca="false">IFERROR(D20/D16,0)</f>
        <v>33.9693981713889</v>
      </c>
      <c r="E21" s="34" t="n">
        <f aca="false">IFERROR(E20/E16,0)</f>
        <v>7.66457505198481</v>
      </c>
      <c r="F21" s="34" t="n">
        <f aca="false">IFERROR(F20/F16,0)</f>
        <v>4.36594353114603</v>
      </c>
      <c r="G21" s="34" t="n">
        <f aca="false">IFERROR(G20/G16,0)</f>
        <v>3.49238684063881</v>
      </c>
      <c r="H21" s="34" t="n">
        <f aca="false">IFERROR(H20/H16,0)</f>
        <v>3.28363893761888</v>
      </c>
    </row>
    <row r="22" customFormat="false" ht="15" hidden="false" customHeight="false" outlineLevel="0" collapsed="false">
      <c r="A22" s="12" t="s">
        <v>760</v>
      </c>
      <c r="B22" s="14" t="s">
        <v>174</v>
      </c>
      <c r="D22" s="39" t="n">
        <f aca="false">Mix_Petite*Churn_Petite+Mix_Moyenne*Churn_Moyenne+Mix_Grande*Churn_Grande</f>
        <v>0.0165</v>
      </c>
      <c r="E22" s="39" t="n">
        <f aca="false">Mix_Petite*Churn_Petite+Mix_Moyenne*Churn_Moyenne+Mix_Grande*Churn_Grande</f>
        <v>0.0165</v>
      </c>
      <c r="F22" s="39" t="n">
        <f aca="false">Mix_Petite*Churn_Petite+Mix_Moyenne*Churn_Moyenne+Mix_Grande*Churn_Grande</f>
        <v>0.0165</v>
      </c>
      <c r="G22" s="39" t="n">
        <f aca="false">Mix_Petite*Churn_Petite+Mix_Moyenne*Churn_Moyenne+Mix_Grande*Churn_Grande</f>
        <v>0.0165</v>
      </c>
      <c r="H22" s="39" t="n">
        <f aca="false">Mix_Petite*Churn_Petite+Mix_Moyenne*Churn_Moyenne+Mix_Grande*Churn_Grande</f>
        <v>0.0165</v>
      </c>
    </row>
    <row r="23" customFormat="false" ht="15" hidden="false" customHeight="false" outlineLevel="0" collapsed="false">
      <c r="A23" s="12" t="s">
        <v>916</v>
      </c>
      <c r="B23" s="14" t="s">
        <v>71</v>
      </c>
      <c r="D23" s="37" t="n">
        <f aca="false">IFERROR(D16/D22,0)</f>
        <v>313865.582566217</v>
      </c>
      <c r="E23" s="37" t="n">
        <f aca="false">IFERROR(E16/E22,0)</f>
        <v>829539.37304985</v>
      </c>
      <c r="F23" s="37" t="n">
        <f aca="false">IFERROR(F16/F22,0)</f>
        <v>1214717.92683863</v>
      </c>
      <c r="G23" s="37" t="n">
        <f aca="false">IFERROR(G16/G22,0)</f>
        <v>1383362.38199302</v>
      </c>
      <c r="H23" s="37" t="n">
        <f aca="false">IFERROR(H16/H22,0)</f>
        <v>1445533.21516947</v>
      </c>
      <c r="J23" s="24" t="n">
        <f aca="false">D23/FX_EUR</f>
        <v>478.484996068671</v>
      </c>
      <c r="K23" s="24" t="n">
        <f aca="false">E23/FX_EUR</f>
        <v>1264.62462181187</v>
      </c>
      <c r="L23" s="24" t="n">
        <f aca="false">F23/FX_EUR</f>
        <v>1851.82554167213</v>
      </c>
      <c r="M23" s="24" t="n">
        <f aca="false">G23/FX_EUR</f>
        <v>2108.92235618039</v>
      </c>
      <c r="N23" s="24" t="n">
        <f aca="false">H23/FX_EUR</f>
        <v>2203.70118036619</v>
      </c>
    </row>
    <row r="24" customFormat="false" ht="15" hidden="false" customHeight="false" outlineLevel="0" collapsed="false">
      <c r="A24" s="12" t="s">
        <v>917</v>
      </c>
      <c r="B24" s="14" t="s">
        <v>168</v>
      </c>
      <c r="D24" s="61" t="n">
        <f aca="false">IFERROR(D23/D20,0)</f>
        <v>1.78413701356377</v>
      </c>
      <c r="E24" s="61" t="n">
        <f aca="false">IFERROR(E23/E20,0)</f>
        <v>7.90729560282225</v>
      </c>
      <c r="F24" s="61" t="n">
        <f aca="false">IFERROR(F23/F20,0)</f>
        <v>13.8815493543848</v>
      </c>
      <c r="G24" s="61" t="n">
        <f aca="false">IFERROR(G23/G20,0)</f>
        <v>17.3537650242019</v>
      </c>
      <c r="H24" s="61" t="n">
        <f aca="false">IFERROR(H23/H20,0)</f>
        <v>18.4569807330915</v>
      </c>
    </row>
    <row r="26" customFormat="false" ht="15" hidden="false" customHeight="false" outlineLevel="0" collapsed="false">
      <c r="A26" s="10" t="s">
        <v>918</v>
      </c>
      <c r="B26" s="11"/>
      <c r="C26" s="11"/>
      <c r="D26" s="11"/>
      <c r="E26" s="11"/>
      <c r="F26" s="11"/>
      <c r="G26" s="11"/>
      <c r="H26" s="11"/>
    </row>
    <row r="27" customFormat="false" ht="15" hidden="false" customHeight="false" outlineLevel="0" collapsed="false">
      <c r="A27" s="12" t="s">
        <v>85</v>
      </c>
      <c r="B27" s="14" t="s">
        <v>86</v>
      </c>
      <c r="D27" s="37" t="n">
        <f aca="false">'P&amp;L annual'!D54</f>
        <v>11</v>
      </c>
      <c r="E27" s="37" t="n">
        <f aca="false">'P&amp;L annual'!E54</f>
        <v>21</v>
      </c>
      <c r="F27" s="37" t="n">
        <f aca="false">'P&amp;L annual'!F54</f>
        <v>36</v>
      </c>
      <c r="G27" s="37" t="n">
        <f aca="false">'P&amp;L annual'!G54</f>
        <v>58</v>
      </c>
      <c r="H27" s="37" t="n">
        <f aca="false">'P&amp;L annual'!H54</f>
        <v>84</v>
      </c>
    </row>
    <row r="28" customFormat="false" ht="15" hidden="false" customHeight="false" outlineLevel="0" collapsed="false">
      <c r="A28" s="12" t="s">
        <v>919</v>
      </c>
      <c r="B28" s="14" t="s">
        <v>71</v>
      </c>
      <c r="D28" s="37" t="n">
        <f aca="false">IFERROR('P&amp;L annual'!D17/D27,0)</f>
        <v>6369146.56017667</v>
      </c>
      <c r="E28" s="37" t="n">
        <f aca="false">IFERROR('P&amp;L annual'!E17/E27,0)</f>
        <v>24591934.9672022</v>
      </c>
      <c r="F28" s="37" t="n">
        <f aca="false">IFERROR('P&amp;L annual'!F17/F27,0)</f>
        <v>48342031.8740442</v>
      </c>
      <c r="G28" s="37" t="n">
        <f aca="false">IFERROR('P&amp;L annual'!G17/G27,0)</f>
        <v>62444424.9902319</v>
      </c>
      <c r="H28" s="37" t="n">
        <f aca="false">IFERROR('P&amp;L annual'!H17/H27,0)</f>
        <v>72835204.651377</v>
      </c>
      <c r="J28" s="24" t="n">
        <f aca="false">D28/FX_EUR</f>
        <v>9709.70133739966</v>
      </c>
      <c r="K28" s="24" t="n">
        <f aca="false">E28/FX_EUR</f>
        <v>37490.1631771628</v>
      </c>
      <c r="L28" s="24" t="n">
        <f aca="false">F28/FX_EUR</f>
        <v>73696.9525045761</v>
      </c>
      <c r="M28" s="24" t="n">
        <f aca="false">G28/FX_EUR</f>
        <v>95195.9122171604</v>
      </c>
      <c r="N28" s="24" t="n">
        <f aca="false">H28/FX_EUR</f>
        <v>111036.553693881</v>
      </c>
    </row>
    <row r="29" customFormat="false" ht="15" hidden="false" customHeight="false" outlineLevel="0" collapsed="false">
      <c r="A29" s="12" t="s">
        <v>920</v>
      </c>
      <c r="B29" s="14" t="s">
        <v>90</v>
      </c>
      <c r="D29" s="49" t="n">
        <f aca="false">IFERROR('P&amp;L annual'!D30/'P&amp;L annual'!D17,0)</f>
        <v>2.11902230681112</v>
      </c>
      <c r="E29" s="49" t="n">
        <f aca="false">IFERROR('P&amp;L annual'!E30/'P&amp;L annual'!E17,0)</f>
        <v>0.504311678464518</v>
      </c>
      <c r="F29" s="49" t="n">
        <f aca="false">IFERROR('P&amp;L annual'!F30/'P&amp;L annual'!F17,0)</f>
        <v>0.229072847079598</v>
      </c>
      <c r="G29" s="49" t="n">
        <f aca="false">IFERROR('P&amp;L annual'!G30/'P&amp;L annual'!G17,0)</f>
        <v>0.157169590569326</v>
      </c>
      <c r="H29" s="49" t="n">
        <f aca="false">IFERROR('P&amp;L annual'!H30/'P&amp;L annual'!H17,0)</f>
        <v>0.128491086888133</v>
      </c>
    </row>
    <row r="30" customFormat="false" ht="15" hidden="false" customHeight="false" outlineLevel="0" collapsed="false">
      <c r="A30" s="12" t="s">
        <v>921</v>
      </c>
      <c r="B30" s="14" t="s">
        <v>83</v>
      </c>
      <c r="D30" s="34" t="n">
        <f aca="false">IFERROR(D9/(INDEX(Staff!$E$86:$BL$86,1,D$4*12)+INDEX(Staff!$E$87:$BL$87,1,D$4*12)),0)</f>
        <v>159.569337473936</v>
      </c>
      <c r="E30" s="34" t="n">
        <f aca="false">IFERROR(E9/(INDEX(Staff!$E$86:$BL$86,1,E$4*12)+INDEX(Staff!$E$87:$BL$87,1,E$4*12)),0)</f>
        <v>196.1047348818</v>
      </c>
      <c r="F30" s="34" t="n">
        <f aca="false">IFERROR(F9/(INDEX(Staff!$E$86:$BL$86,1,F$4*12)+INDEX(Staff!$E$87:$BL$87,1,F$4*12)),0)</f>
        <v>247.20217021313</v>
      </c>
      <c r="G30" s="34" t="n">
        <f aca="false">IFERROR(G9/(INDEX(Staff!$E$86:$BL$86,1,G$4*12)+INDEX(Staff!$E$87:$BL$87,1,G$4*12)),0)</f>
        <v>219.232952017246</v>
      </c>
      <c r="H30" s="34" t="n">
        <f aca="false">IFERROR(H9/(INDEX(Staff!$E$86:$BL$86,1,H$4*12)+INDEX(Staff!$E$87:$BL$87,1,H$4*12)),0)</f>
        <v>203.12938130076</v>
      </c>
    </row>
    <row r="32" customFormat="false" ht="15" hidden="false" customHeight="false" outlineLevel="0" collapsed="false">
      <c r="A32" s="10" t="s">
        <v>26</v>
      </c>
      <c r="B32" s="11"/>
      <c r="C32" s="11"/>
      <c r="D32" s="11"/>
      <c r="E32" s="11"/>
      <c r="F32" s="11"/>
      <c r="G32" s="11"/>
      <c r="H32" s="11"/>
    </row>
    <row r="33" customFormat="false" ht="15" hidden="false" customHeight="false" outlineLevel="0" collapsed="false">
      <c r="A33" s="12" t="s">
        <v>922</v>
      </c>
      <c r="B33" s="14" t="s">
        <v>90</v>
      </c>
      <c r="D33" s="49" t="n">
        <f aca="false">IFERROR('P&amp;L annual'!D16/'P&amp;L annual'!D17,0)</f>
        <v>0</v>
      </c>
      <c r="E33" s="49" t="n">
        <f aca="false">IFERROR('P&amp;L annual'!E16/'P&amp;L annual'!E17,0)</f>
        <v>0.0133189259718299</v>
      </c>
      <c r="F33" s="49" t="n">
        <f aca="false">IFERROR('P&amp;L annual'!F16/'P&amp;L annual'!F17,0)</f>
        <v>0.0958725390605195</v>
      </c>
      <c r="G33" s="49" t="n">
        <f aca="false">IFERROR('P&amp;L annual'!G16/'P&amp;L annual'!G17,0)</f>
        <v>0.112455387211123</v>
      </c>
      <c r="H33" s="49" t="n">
        <f aca="false">IFERROR('P&amp;L annual'!H16/'P&amp;L annual'!H17,0)</f>
        <v>0.109354591684899</v>
      </c>
    </row>
    <row r="34" customFormat="false" ht="15" hidden="false" customHeight="false" outlineLevel="0" collapsed="false">
      <c r="A34" s="12" t="s">
        <v>923</v>
      </c>
      <c r="B34" s="14" t="s">
        <v>71</v>
      </c>
      <c r="D34" s="37" t="n">
        <f aca="false">IFERROR('P&amp;L annual'!D55/'P&amp;L annual'!D50,0)</f>
        <v>0</v>
      </c>
      <c r="E34" s="37" t="n">
        <f aca="false">IFERROR('P&amp;L annual'!E55/'P&amp;L annual'!E50,0)</f>
        <v>325833.333333333</v>
      </c>
      <c r="F34" s="37" t="n">
        <f aca="false">IFERROR('P&amp;L annual'!F55/'P&amp;L annual'!F50,0)</f>
        <v>790567.155458306</v>
      </c>
      <c r="G34" s="37" t="n">
        <f aca="false">IFERROR('P&amp;L annual'!G55/'P&amp;L annual'!G50,0)</f>
        <v>834225.768847601</v>
      </c>
      <c r="H34" s="37" t="n">
        <f aca="false">IFERROR('P&amp;L annual'!H55/'P&amp;L annual'!H50,0)</f>
        <v>834616.503497687</v>
      </c>
      <c r="J34" s="24" t="n">
        <f aca="false">D34/FX_EUR</f>
        <v>0</v>
      </c>
      <c r="K34" s="24" t="n">
        <f aca="false">E34/FX_EUR</f>
        <v>496.729714498562</v>
      </c>
      <c r="L34" s="24" t="n">
        <f aca="false">F34/FX_EUR</f>
        <v>1205.21185909794</v>
      </c>
      <c r="M34" s="24" t="n">
        <f aca="false">G34/FX_EUR</f>
        <v>1271.7689861494</v>
      </c>
      <c r="N34" s="24" t="n">
        <f aca="false">H34/FX_EUR</f>
        <v>1272.36465728346</v>
      </c>
    </row>
    <row r="35" customFormat="false" ht="15" hidden="false" customHeight="false" outlineLevel="0" collapsed="false">
      <c r="A35" s="12" t="s">
        <v>924</v>
      </c>
      <c r="B35" s="14" t="s">
        <v>90</v>
      </c>
      <c r="D35" s="49" t="n">
        <f aca="false">IFERROR('P&amp;L annual'!D12/'P&amp;L annual'!D17,0)</f>
        <v>0.324605200781858</v>
      </c>
      <c r="E35" s="49" t="n">
        <f aca="false">IFERROR('P&amp;L annual'!E12/'P&amp;L annual'!E17,0)</f>
        <v>0.267487493206426</v>
      </c>
      <c r="F35" s="49" t="n">
        <f aca="false">IFERROR('P&amp;L annual'!F12/'P&amp;L annual'!F17,0)</f>
        <v>0.221302664993289</v>
      </c>
      <c r="G35" s="49" t="n">
        <f aca="false">IFERROR('P&amp;L annual'!G12/'P&amp;L annual'!G17,0)</f>
        <v>0.212081177054016</v>
      </c>
      <c r="H35" s="49" t="n">
        <f aca="false">IFERROR('P&amp;L annual'!H12/'P&amp;L annual'!H17,0)</f>
        <v>0.21036684049746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2" min="2" style="0" width="16"/>
    <col collapsed="false" customWidth="true" hidden="false" outlineLevel="0" max="3" min="3" style="0" width="3"/>
    <col collapsed="false" customWidth="true" hidden="false" outlineLevel="0" max="8" min="4" style="0" width="15"/>
    <col collapsed="false" customWidth="true" hidden="false" outlineLevel="0" max="9" min="9" style="0" width="100"/>
  </cols>
  <sheetData>
    <row r="1" customFormat="false" ht="17.35" hidden="false" customHeight="false" outlineLevel="0" collapsed="false">
      <c r="A1" s="7" t="s">
        <v>38</v>
      </c>
    </row>
    <row r="2" customFormat="false" ht="15" hidden="false" customHeight="false" outlineLevel="0" collapsed="false">
      <c r="A2" s="2" t="s">
        <v>925</v>
      </c>
    </row>
    <row r="5" customFormat="false" ht="15" hidden="false" customHeight="false" outlineLevel="0" collapsed="false">
      <c r="A5" s="28" t="s">
        <v>926</v>
      </c>
      <c r="B5" s="28" t="s">
        <v>114</v>
      </c>
      <c r="C5" s="28"/>
      <c r="D5" s="28" t="s">
        <v>927</v>
      </c>
      <c r="E5" s="28" t="s">
        <v>928</v>
      </c>
      <c r="F5" s="28"/>
      <c r="G5" s="28"/>
      <c r="H5" s="28"/>
      <c r="I5" s="28" t="s">
        <v>120</v>
      </c>
    </row>
    <row r="6" customFormat="false" ht="15" hidden="false" customHeight="false" outlineLevel="0" collapsed="false">
      <c r="A6" s="12" t="s">
        <v>929</v>
      </c>
      <c r="B6" s="14" t="s">
        <v>930</v>
      </c>
      <c r="D6" s="31" t="n">
        <v>40300</v>
      </c>
      <c r="I6" s="14" t="s">
        <v>931</v>
      </c>
    </row>
    <row r="7" customFormat="false" ht="15" hidden="false" customHeight="false" outlineLevel="0" collapsed="false">
      <c r="A7" s="12" t="s">
        <v>932</v>
      </c>
      <c r="B7" s="14" t="s">
        <v>131</v>
      </c>
      <c r="D7" s="32" t="n">
        <v>0.049</v>
      </c>
      <c r="I7" s="14" t="s">
        <v>933</v>
      </c>
    </row>
    <row r="8" customFormat="false" ht="15" hidden="false" customHeight="false" outlineLevel="0" collapsed="false">
      <c r="A8" s="12" t="s">
        <v>934</v>
      </c>
      <c r="B8" s="14" t="s">
        <v>86</v>
      </c>
      <c r="D8" s="31" t="n">
        <v>577171</v>
      </c>
      <c r="I8" s="14" t="s">
        <v>935</v>
      </c>
    </row>
    <row r="9" customFormat="false" ht="15" hidden="false" customHeight="false" outlineLevel="0" collapsed="false">
      <c r="A9" s="12" t="s">
        <v>936</v>
      </c>
      <c r="B9" s="14" t="s">
        <v>937</v>
      </c>
      <c r="D9" s="31" t="n">
        <v>26000</v>
      </c>
      <c r="I9" s="14" t="s">
        <v>938</v>
      </c>
    </row>
    <row r="10" customFormat="false" ht="15" hidden="false" customHeight="false" outlineLevel="0" collapsed="false">
      <c r="A10" s="12" t="s">
        <v>939</v>
      </c>
      <c r="B10" s="14" t="s">
        <v>940</v>
      </c>
      <c r="D10" s="31" t="n">
        <v>407882</v>
      </c>
      <c r="I10" s="14" t="s">
        <v>941</v>
      </c>
    </row>
    <row r="11" customFormat="false" ht="15" hidden="false" customHeight="false" outlineLevel="0" collapsed="false">
      <c r="A11" s="12" t="s">
        <v>942</v>
      </c>
      <c r="B11" s="14" t="s">
        <v>90</v>
      </c>
      <c r="D11" s="32" t="n">
        <v>0.5</v>
      </c>
      <c r="I11" s="14" t="s">
        <v>943</v>
      </c>
    </row>
    <row r="13" customFormat="false" ht="15" hidden="false" customHeight="false" outlineLevel="0" collapsed="false">
      <c r="A13" s="28" t="s">
        <v>944</v>
      </c>
      <c r="B13" s="28" t="s">
        <v>114</v>
      </c>
      <c r="C13" s="28"/>
      <c r="D13" s="28" t="s">
        <v>927</v>
      </c>
      <c r="E13" s="28" t="s">
        <v>928</v>
      </c>
      <c r="F13" s="28"/>
      <c r="G13" s="28"/>
      <c r="H13" s="28"/>
      <c r="I13" s="28" t="s">
        <v>120</v>
      </c>
    </row>
    <row r="14" customFormat="false" ht="15" hidden="false" customHeight="false" outlineLevel="0" collapsed="false">
      <c r="A14" s="12" t="s">
        <v>945</v>
      </c>
      <c r="B14" s="14" t="s">
        <v>930</v>
      </c>
      <c r="D14" s="31" t="n">
        <v>60000</v>
      </c>
      <c r="I14" s="14" t="s">
        <v>946</v>
      </c>
    </row>
    <row r="15" customFormat="false" ht="15" hidden="false" customHeight="false" outlineLevel="0" collapsed="false">
      <c r="A15" s="12" t="s">
        <v>932</v>
      </c>
      <c r="B15" s="14" t="s">
        <v>131</v>
      </c>
      <c r="D15" s="32" t="n">
        <v>0.05</v>
      </c>
      <c r="I15" s="14" t="s">
        <v>947</v>
      </c>
    </row>
    <row r="16" customFormat="false" ht="15" hidden="false" customHeight="false" outlineLevel="0" collapsed="false">
      <c r="A16" s="12" t="s">
        <v>948</v>
      </c>
      <c r="B16" s="14" t="s">
        <v>937</v>
      </c>
      <c r="D16" s="31" t="n">
        <v>26948</v>
      </c>
      <c r="I16" s="14" t="s">
        <v>949</v>
      </c>
    </row>
    <row r="17" customFormat="false" ht="15" hidden="false" customHeight="false" outlineLevel="0" collapsed="false">
      <c r="A17" s="12" t="s">
        <v>950</v>
      </c>
      <c r="B17" s="14" t="s">
        <v>90</v>
      </c>
      <c r="D17" s="32" t="n">
        <v>0.5</v>
      </c>
      <c r="I17" s="14" t="s">
        <v>951</v>
      </c>
    </row>
    <row r="19" customFormat="false" ht="15" hidden="false" customHeight="false" outlineLevel="0" collapsed="false">
      <c r="A19" s="28" t="s">
        <v>952</v>
      </c>
      <c r="B19" s="28" t="s">
        <v>114</v>
      </c>
      <c r="C19" s="28"/>
      <c r="D19" s="28" t="s">
        <v>953</v>
      </c>
      <c r="E19" s="28" t="s">
        <v>954</v>
      </c>
      <c r="F19" s="28" t="s">
        <v>955</v>
      </c>
      <c r="G19" s="28" t="s">
        <v>956</v>
      </c>
      <c r="H19" s="28" t="s">
        <v>957</v>
      </c>
      <c r="I19" s="28" t="s">
        <v>120</v>
      </c>
    </row>
    <row r="20" customFormat="false" ht="15" hidden="false" customHeight="false" outlineLevel="0" collapsed="false">
      <c r="A20" s="12" t="s">
        <v>958</v>
      </c>
      <c r="B20" s="14" t="s">
        <v>930</v>
      </c>
      <c r="D20" s="37" t="n">
        <f aca="false">$D$6*(1+$D$7)^(YEAR(Start_Date)+0-2024)</f>
        <v>46519.1221547</v>
      </c>
      <c r="E20" s="37" t="n">
        <f aca="false">$D$6*(1+$D$7)^(YEAR(Start_Date)+1-2024)</f>
        <v>48798.5591402803</v>
      </c>
      <c r="F20" s="37" t="n">
        <f aca="false">$D$6*(1+$D$7)^(YEAR(Start_Date)+2-2024)</f>
        <v>51189.688538154</v>
      </c>
      <c r="G20" s="37" t="n">
        <f aca="false">$D$6*(1+$D$7)^(YEAR(Start_Date)+3-2024)</f>
        <v>53697.9832765236</v>
      </c>
      <c r="H20" s="37" t="n">
        <f aca="false">$D$6*(1+$D$7)^(YEAR(Start_Date)+4-2024)</f>
        <v>56329.1844570732</v>
      </c>
    </row>
    <row r="21" customFormat="false" ht="15" hidden="false" customHeight="false" outlineLevel="0" collapsed="false">
      <c r="A21" s="8" t="s">
        <v>959</v>
      </c>
      <c r="B21" s="14" t="s">
        <v>930</v>
      </c>
      <c r="D21" s="16" t="n">
        <f aca="false">D20*$D$11</f>
        <v>23259.56107735</v>
      </c>
      <c r="E21" s="16" t="n">
        <f aca="false">E20*$D$11</f>
        <v>24399.2795701401</v>
      </c>
      <c r="F21" s="16" t="n">
        <f aca="false">F20*$D$11</f>
        <v>25594.844269077</v>
      </c>
      <c r="G21" s="16" t="n">
        <f aca="false">G20*$D$11</f>
        <v>26848.9916382618</v>
      </c>
      <c r="H21" s="16" t="n">
        <f aca="false">H20*$D$11</f>
        <v>28164.5922285366</v>
      </c>
    </row>
    <row r="22" customFormat="false" ht="15" hidden="false" customHeight="false" outlineLevel="0" collapsed="false">
      <c r="A22" s="12" t="s">
        <v>960</v>
      </c>
      <c r="B22" s="14" t="s">
        <v>83</v>
      </c>
      <c r="D22" s="37" t="n">
        <f aca="false">'P&amp;L annual'!D51</f>
        <v>452.43052454584</v>
      </c>
      <c r="E22" s="37" t="n">
        <f aca="false">'P&amp;L annual'!E51</f>
        <v>1398.95730953753</v>
      </c>
      <c r="F22" s="37" t="n">
        <f aca="false">'P&amp;L annual'!F51</f>
        <v>2923.14496113931</v>
      </c>
      <c r="G22" s="37" t="n">
        <f aca="false">'P&amp;L annual'!G51</f>
        <v>5099.62002810623</v>
      </c>
      <c r="H22" s="37" t="n">
        <f aca="false">'P&amp;L annual'!H51</f>
        <v>7652.45809207356</v>
      </c>
    </row>
    <row r="23" customFormat="false" ht="15" hidden="false" customHeight="false" outlineLevel="0" collapsed="false">
      <c r="A23" s="8" t="s">
        <v>961</v>
      </c>
      <c r="B23" s="14" t="s">
        <v>90</v>
      </c>
      <c r="D23" s="19" t="n">
        <f aca="false">IFERROR(D22/D21,0)</f>
        <v>0.0194513784263287</v>
      </c>
      <c r="E23" s="19" t="n">
        <f aca="false">IFERROR(E22/E21,0)</f>
        <v>0.0573360088569819</v>
      </c>
      <c r="F23" s="19" t="n">
        <f aca="false">IFERROR(F22/F21,0)</f>
        <v>0.114208351119798</v>
      </c>
      <c r="G23" s="19" t="n">
        <f aca="false">IFERROR(G22/G21,0)</f>
        <v>0.189937115583846</v>
      </c>
      <c r="H23" s="19" t="n">
        <f aca="false">IFERROR(H22/H21,0)</f>
        <v>0.271704913388379</v>
      </c>
    </row>
    <row r="24" customFormat="false" ht="15" hidden="false" customHeight="false" outlineLevel="0" collapsed="false">
      <c r="A24" s="12" t="s">
        <v>962</v>
      </c>
      <c r="B24" s="14" t="s">
        <v>930</v>
      </c>
      <c r="D24" s="37" t="n">
        <f aca="false">$D$14*(1+$D$15)^(YEAR(Start_Date)+0-2024)</f>
        <v>69457.5</v>
      </c>
      <c r="E24" s="37" t="n">
        <f aca="false">$D$14*(1+$D$15)^(YEAR(Start_Date)+1-2024)</f>
        <v>72930.375</v>
      </c>
      <c r="F24" s="37" t="n">
        <f aca="false">$D$14*(1+$D$15)^(YEAR(Start_Date)+2-2024)</f>
        <v>76576.89375</v>
      </c>
      <c r="G24" s="37" t="n">
        <f aca="false">$D$14*(1+$D$15)^(YEAR(Start_Date)+3-2024)</f>
        <v>80405.7384375</v>
      </c>
      <c r="H24" s="37" t="n">
        <f aca="false">$D$14*(1+$D$15)^(YEAR(Start_Date)+4-2024)</f>
        <v>84426.025359375</v>
      </c>
    </row>
    <row r="25" customFormat="false" ht="15" hidden="false" customHeight="false" outlineLevel="0" collapsed="false">
      <c r="A25" s="8" t="s">
        <v>963</v>
      </c>
      <c r="B25" s="14" t="s">
        <v>930</v>
      </c>
      <c r="D25" s="16" t="n">
        <f aca="false">D24*$D$17</f>
        <v>34728.75</v>
      </c>
      <c r="E25" s="16" t="n">
        <f aca="false">E24*$D$17</f>
        <v>36465.1875</v>
      </c>
      <c r="F25" s="16" t="n">
        <f aca="false">F24*$D$17</f>
        <v>38288.446875</v>
      </c>
      <c r="G25" s="16" t="n">
        <f aca="false">G24*$D$17</f>
        <v>40202.86921875</v>
      </c>
      <c r="H25" s="16" t="n">
        <f aca="false">H24*$D$17</f>
        <v>42213.0126796875</v>
      </c>
    </row>
    <row r="26" customFormat="false" ht="15" hidden="false" customHeight="false" outlineLevel="0" collapsed="false">
      <c r="A26" s="12" t="s">
        <v>964</v>
      </c>
      <c r="B26" s="14" t="s">
        <v>83</v>
      </c>
      <c r="D26" s="37" t="n">
        <f aca="false">'P&amp;L annual'!D52</f>
        <v>0</v>
      </c>
      <c r="E26" s="37" t="n">
        <f aca="false">'P&amp;L annual'!E52</f>
        <v>244.489141940268</v>
      </c>
      <c r="F26" s="37" t="n">
        <f aca="false">'P&amp;L annual'!F52</f>
        <v>922.600868012254</v>
      </c>
      <c r="G26" s="37" t="n">
        <f aca="false">'P&amp;L annual'!G52</f>
        <v>1876.41397309488</v>
      </c>
      <c r="H26" s="37" t="n">
        <f aca="false">'P&amp;L annual'!H52</f>
        <v>3282.54563473381</v>
      </c>
    </row>
    <row r="27" customFormat="false" ht="15" hidden="false" customHeight="false" outlineLevel="0" collapsed="false">
      <c r="A27" s="8" t="s">
        <v>965</v>
      </c>
      <c r="B27" s="14" t="s">
        <v>90</v>
      </c>
      <c r="D27" s="19" t="n">
        <f aca="false">IFERROR(D26/D25,0)</f>
        <v>0</v>
      </c>
      <c r="E27" s="19" t="n">
        <f aca="false">IFERROR(E26/E25,0)</f>
        <v>0.00670472740446674</v>
      </c>
      <c r="F27" s="19" t="n">
        <f aca="false">IFERROR(F26/F25,0)</f>
        <v>0.0240960640431371</v>
      </c>
      <c r="G27" s="19" t="n">
        <f aca="false">IFERROR(G26/G25,0)</f>
        <v>0.0466736332395835</v>
      </c>
      <c r="H27" s="19" t="n">
        <f aca="false">IFERROR(H26/H25,0)</f>
        <v>0.0777614632635149</v>
      </c>
    </row>
    <row r="28" customFormat="false" ht="15" hidden="false" customHeight="false" outlineLevel="0" collapsed="false">
      <c r="A28" s="12" t="s">
        <v>966</v>
      </c>
      <c r="B28" s="14" t="s">
        <v>90</v>
      </c>
      <c r="D28" s="39" t="n">
        <f aca="false">IFERROR('P&amp;L annual'!D56/$D$8,0)</f>
        <v>0</v>
      </c>
      <c r="E28" s="39" t="n">
        <f aca="false">IFERROR('P&amp;L annual'!E56/$D$8,0)</f>
        <v>0</v>
      </c>
      <c r="F28" s="39" t="n">
        <f aca="false">IFERROR('P&amp;L annual'!F56/$D$8,0)</f>
        <v>0.0318063427449372</v>
      </c>
      <c r="G28" s="39" t="n">
        <f aca="false">IFERROR('P&amp;L annual'!G56/$D$8,0)</f>
        <v>0.0587199608016566</v>
      </c>
      <c r="H28" s="39" t="n">
        <f aca="false">IFERROR('P&amp;L annual'!H56/$D$8,0)</f>
        <v>0.0936547134511504</v>
      </c>
    </row>
    <row r="30" customFormat="false" ht="15" hidden="false" customHeight="false" outlineLevel="0" collapsed="false">
      <c r="A30" s="28" t="s">
        <v>967</v>
      </c>
      <c r="B30" s="28" t="s">
        <v>114</v>
      </c>
      <c r="C30" s="28"/>
      <c r="D30" s="28" t="s">
        <v>927</v>
      </c>
      <c r="E30" s="28" t="s">
        <v>928</v>
      </c>
      <c r="F30" s="28"/>
      <c r="G30" s="28"/>
      <c r="H30" s="28"/>
      <c r="I30" s="28" t="s">
        <v>120</v>
      </c>
    </row>
    <row r="31" customFormat="false" ht="15" hidden="false" customHeight="false" outlineLevel="0" collapsed="false">
      <c r="A31" s="12" t="s">
        <v>968</v>
      </c>
      <c r="B31" s="14" t="s">
        <v>98</v>
      </c>
      <c r="D31" s="31" t="n">
        <v>15000</v>
      </c>
      <c r="E31" s="51" t="n">
        <f aca="false">D31/FX_EUR</f>
        <v>22.8673525856116</v>
      </c>
      <c r="I31" s="14" t="s">
        <v>969</v>
      </c>
    </row>
    <row r="32" customFormat="false" ht="15" hidden="false" customHeight="false" outlineLevel="0" collapsed="false">
      <c r="A32" s="12" t="s">
        <v>970</v>
      </c>
      <c r="B32" s="14" t="s">
        <v>440</v>
      </c>
      <c r="D32" s="37" t="n">
        <f aca="false">D21*D31*12</f>
        <v>4186720993.923</v>
      </c>
      <c r="E32" s="24" t="n">
        <f aca="false">D32/FX_EUR</f>
        <v>6382615.00970795</v>
      </c>
      <c r="I32" s="14" t="s">
        <v>971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30"/>
    <col collapsed="false" customWidth="true" hidden="false" outlineLevel="0" max="3" min="3" style="0" width="22"/>
    <col collapsed="false" customWidth="true" hidden="false" outlineLevel="0" max="4" min="4" style="0" width="70"/>
    <col collapsed="false" customWidth="true" hidden="false" outlineLevel="0" max="5" min="5" style="0" width="55"/>
    <col collapsed="false" customWidth="true" hidden="false" outlineLevel="0" max="6" min="6" style="0" width="40"/>
    <col collapsed="false" customWidth="true" hidden="false" outlineLevel="0" max="7" min="7" style="0" width="16"/>
  </cols>
  <sheetData>
    <row r="1" customFormat="false" ht="17.35" hidden="false" customHeight="false" outlineLevel="0" collapsed="false">
      <c r="A1" s="7" t="s">
        <v>42</v>
      </c>
    </row>
    <row r="2" customFormat="false" ht="15" hidden="false" customHeight="false" outlineLevel="0" collapsed="false">
      <c r="A2" s="2" t="s">
        <v>972</v>
      </c>
    </row>
    <row r="4" customFormat="false" ht="15" hidden="false" customHeight="false" outlineLevel="0" collapsed="false">
      <c r="A4" s="2" t="s">
        <v>973</v>
      </c>
    </row>
    <row r="5" customFormat="false" ht="15" hidden="false" customHeight="false" outlineLevel="0" collapsed="false">
      <c r="A5" s="2" t="s">
        <v>974</v>
      </c>
    </row>
    <row r="7" customFormat="false" ht="15" hidden="false" customHeight="false" outlineLevel="0" collapsed="false">
      <c r="A7" s="28" t="s">
        <v>975</v>
      </c>
      <c r="B7" s="28" t="s">
        <v>976</v>
      </c>
      <c r="C7" s="28" t="s">
        <v>977</v>
      </c>
      <c r="D7" s="28" t="s">
        <v>978</v>
      </c>
      <c r="E7" s="28" t="s">
        <v>979</v>
      </c>
      <c r="F7" s="28" t="s">
        <v>980</v>
      </c>
      <c r="G7" s="28" t="s">
        <v>981</v>
      </c>
    </row>
    <row r="8" customFormat="false" ht="35.05" hidden="false" customHeight="false" outlineLevel="0" collapsed="false">
      <c r="A8" s="62" t="s">
        <v>982</v>
      </c>
      <c r="B8" s="62" t="str">
        <f aca="false">"Months 1 to "&amp;(Launch_SN-1)</f>
        <v>Months 1 to 4</v>
      </c>
      <c r="C8" s="63"/>
      <c r="D8" s="64" t="s">
        <v>983</v>
      </c>
      <c r="E8" s="63"/>
      <c r="F8" s="63"/>
      <c r="G8" s="63"/>
    </row>
    <row r="9" customFormat="false" ht="35.05" hidden="false" customHeight="false" outlineLevel="0" collapsed="false">
      <c r="C9" s="65" t="s">
        <v>984</v>
      </c>
      <c r="D9" s="4" t="s">
        <v>985</v>
      </c>
      <c r="E9" s="46" t="s">
        <v>986</v>
      </c>
      <c r="F9" s="4" t="s">
        <v>987</v>
      </c>
      <c r="G9" s="4" t="s">
        <v>988</v>
      </c>
    </row>
    <row r="10" customFormat="false" ht="57.45" hidden="false" customHeight="false" outlineLevel="0" collapsed="false">
      <c r="C10" s="65" t="s">
        <v>989</v>
      </c>
      <c r="D10" s="4" t="s">
        <v>990</v>
      </c>
      <c r="E10" s="46" t="s">
        <v>991</v>
      </c>
      <c r="F10" s="4" t="s">
        <v>992</v>
      </c>
      <c r="G10" s="4" t="s">
        <v>988</v>
      </c>
    </row>
    <row r="11" customFormat="false" ht="46.25" hidden="false" customHeight="false" outlineLevel="0" collapsed="false">
      <c r="C11" s="65" t="s">
        <v>993</v>
      </c>
      <c r="D11" s="4" t="s">
        <v>994</v>
      </c>
      <c r="E11" s="46" t="s">
        <v>995</v>
      </c>
      <c r="F11" s="4" t="s">
        <v>996</v>
      </c>
      <c r="G11" s="4" t="s">
        <v>988</v>
      </c>
    </row>
    <row r="12" customFormat="false" ht="46.25" hidden="false" customHeight="false" outlineLevel="0" collapsed="false">
      <c r="C12" s="65" t="s">
        <v>997</v>
      </c>
      <c r="D12" s="4" t="s">
        <v>998</v>
      </c>
      <c r="E12" s="46" t="s">
        <v>999</v>
      </c>
      <c r="F12" s="4" t="s">
        <v>1000</v>
      </c>
      <c r="G12" s="4" t="s">
        <v>1001</v>
      </c>
    </row>
    <row r="13" customFormat="false" ht="35.05" hidden="false" customHeight="false" outlineLevel="0" collapsed="false">
      <c r="C13" s="65" t="s">
        <v>1002</v>
      </c>
      <c r="D13" s="4" t="s">
        <v>1003</v>
      </c>
      <c r="E13" s="46" t="s">
        <v>1004</v>
      </c>
      <c r="F13" s="4" t="s">
        <v>1005</v>
      </c>
      <c r="G13" s="4" t="s">
        <v>988</v>
      </c>
    </row>
    <row r="14" customFormat="false" ht="35.05" hidden="false" customHeight="false" outlineLevel="0" collapsed="false">
      <c r="A14" s="62" t="s">
        <v>1006</v>
      </c>
      <c r="B14" s="62" t="str">
        <f aca="false">"From month "&amp;Launch_SN</f>
        <v>From month 5</v>
      </c>
      <c r="C14" s="63"/>
      <c r="D14" s="64" t="s">
        <v>1007</v>
      </c>
      <c r="E14" s="63"/>
      <c r="F14" s="63"/>
      <c r="G14" s="63"/>
    </row>
    <row r="15" customFormat="false" ht="68.65" hidden="false" customHeight="false" outlineLevel="0" collapsed="false">
      <c r="C15" s="65" t="s">
        <v>1008</v>
      </c>
      <c r="D15" s="4" t="s">
        <v>1009</v>
      </c>
      <c r="E15" s="46" t="s">
        <v>1010</v>
      </c>
      <c r="F15" s="4" t="s">
        <v>1011</v>
      </c>
      <c r="G15" s="4" t="s">
        <v>1012</v>
      </c>
    </row>
    <row r="16" customFormat="false" ht="35.05" hidden="false" customHeight="false" outlineLevel="0" collapsed="false">
      <c r="C16" s="65" t="s">
        <v>1013</v>
      </c>
      <c r="D16" s="4" t="s">
        <v>1014</v>
      </c>
      <c r="E16" s="46" t="s">
        <v>1015</v>
      </c>
      <c r="F16" s="4" t="s">
        <v>992</v>
      </c>
      <c r="G16" s="4" t="s">
        <v>988</v>
      </c>
    </row>
    <row r="17" customFormat="false" ht="35.05" hidden="false" customHeight="false" outlineLevel="0" collapsed="false">
      <c r="C17" s="65" t="s">
        <v>1016</v>
      </c>
      <c r="D17" s="4" t="s">
        <v>1017</v>
      </c>
      <c r="E17" s="46" t="s">
        <v>1018</v>
      </c>
      <c r="F17" s="4" t="s">
        <v>1019</v>
      </c>
      <c r="G17" s="4" t="s">
        <v>988</v>
      </c>
    </row>
    <row r="18" customFormat="false" ht="23.85" hidden="false" customHeight="false" outlineLevel="0" collapsed="false">
      <c r="C18" s="65" t="s">
        <v>1020</v>
      </c>
      <c r="D18" s="4" t="s">
        <v>1021</v>
      </c>
      <c r="E18" s="46" t="s">
        <v>1022</v>
      </c>
      <c r="F18" s="4" t="s">
        <v>1023</v>
      </c>
      <c r="G18" s="4" t="s">
        <v>988</v>
      </c>
    </row>
    <row r="19" customFormat="false" ht="35.05" hidden="false" customHeight="false" outlineLevel="0" collapsed="false">
      <c r="C19" s="65" t="s">
        <v>1024</v>
      </c>
      <c r="D19" s="4" t="s">
        <v>1025</v>
      </c>
      <c r="E19" s="46" t="s">
        <v>1026</v>
      </c>
      <c r="F19" s="4" t="s">
        <v>1027</v>
      </c>
      <c r="G19" s="4" t="s">
        <v>988</v>
      </c>
    </row>
    <row r="20" customFormat="false" ht="46.25" hidden="false" customHeight="false" outlineLevel="0" collapsed="false">
      <c r="C20" s="65" t="s">
        <v>1028</v>
      </c>
      <c r="D20" s="4" t="s">
        <v>1029</v>
      </c>
      <c r="E20" s="46" t="s">
        <v>1030</v>
      </c>
      <c r="F20" s="4" t="s">
        <v>1031</v>
      </c>
      <c r="G20" s="4" t="s">
        <v>1032</v>
      </c>
    </row>
    <row r="21" customFormat="false" ht="35.05" hidden="false" customHeight="false" outlineLevel="0" collapsed="false">
      <c r="C21" s="65" t="s">
        <v>1033</v>
      </c>
      <c r="D21" s="4" t="s">
        <v>1034</v>
      </c>
      <c r="E21" s="46" t="s">
        <v>1035</v>
      </c>
      <c r="F21" s="4" t="s">
        <v>1036</v>
      </c>
      <c r="G21" s="4" t="s">
        <v>988</v>
      </c>
    </row>
    <row r="22" customFormat="false" ht="23.85" hidden="false" customHeight="false" outlineLevel="0" collapsed="false">
      <c r="A22" s="62" t="s">
        <v>1037</v>
      </c>
      <c r="B22" s="62" t="str">
        <f aca="false">"From month "&amp;MIN(Start_Factoring,Start_Bridge)&amp;" (credit) and month "&amp;CI_Office_Start&amp;" (Côte d'Ivoire)"</f>
        <v>From month 18 (credit) and month 18 (Côte d'Ivoire)</v>
      </c>
      <c r="C22" s="63"/>
      <c r="D22" s="64" t="s">
        <v>1038</v>
      </c>
      <c r="E22" s="63"/>
      <c r="F22" s="63"/>
      <c r="G22" s="63"/>
    </row>
    <row r="23" customFormat="false" ht="46.25" hidden="false" customHeight="false" outlineLevel="0" collapsed="false">
      <c r="C23" s="65" t="s">
        <v>1039</v>
      </c>
      <c r="D23" s="4" t="s">
        <v>1040</v>
      </c>
      <c r="E23" s="46" t="s">
        <v>1041</v>
      </c>
      <c r="F23" s="4" t="s">
        <v>1042</v>
      </c>
      <c r="G23" s="4" t="s">
        <v>988</v>
      </c>
    </row>
    <row r="24" customFormat="false" ht="35.05" hidden="false" customHeight="false" outlineLevel="0" collapsed="false">
      <c r="C24" s="65" t="s">
        <v>1043</v>
      </c>
      <c r="D24" s="4" t="s">
        <v>1044</v>
      </c>
      <c r="E24" s="46" t="s">
        <v>1045</v>
      </c>
      <c r="F24" s="4" t="s">
        <v>1046</v>
      </c>
      <c r="G24" s="4" t="s">
        <v>988</v>
      </c>
    </row>
    <row r="25" customFormat="false" ht="23.85" hidden="false" customHeight="false" outlineLevel="0" collapsed="false">
      <c r="C25" s="65" t="s">
        <v>1047</v>
      </c>
      <c r="D25" s="4" t="s">
        <v>1048</v>
      </c>
      <c r="E25" s="46" t="s">
        <v>1049</v>
      </c>
      <c r="F25" s="4" t="s">
        <v>992</v>
      </c>
      <c r="G25" s="4" t="s">
        <v>988</v>
      </c>
    </row>
    <row r="26" customFormat="false" ht="35.05" hidden="false" customHeight="false" outlineLevel="0" collapsed="false">
      <c r="C26" s="65" t="s">
        <v>591</v>
      </c>
      <c r="D26" s="4" t="s">
        <v>1050</v>
      </c>
      <c r="E26" s="46" t="s">
        <v>1051</v>
      </c>
      <c r="F26" s="4" t="s">
        <v>1052</v>
      </c>
      <c r="G26" s="4" t="s">
        <v>1032</v>
      </c>
    </row>
    <row r="27" customFormat="false" ht="57.45" hidden="false" customHeight="false" outlineLevel="0" collapsed="false">
      <c r="C27" s="65" t="s">
        <v>1053</v>
      </c>
      <c r="D27" s="4" t="s">
        <v>1054</v>
      </c>
      <c r="E27" s="46" t="s">
        <v>1055</v>
      </c>
      <c r="F27" s="4" t="s">
        <v>1056</v>
      </c>
      <c r="G27" s="4" t="s">
        <v>1001</v>
      </c>
    </row>
    <row r="28" customFormat="false" ht="46.25" hidden="false" customHeight="false" outlineLevel="0" collapsed="false">
      <c r="C28" s="65" t="s">
        <v>1057</v>
      </c>
      <c r="D28" s="4" t="s">
        <v>1058</v>
      </c>
      <c r="E28" s="46" t="s">
        <v>1059</v>
      </c>
      <c r="F28" s="4" t="s">
        <v>631</v>
      </c>
      <c r="G28" s="4" t="s">
        <v>988</v>
      </c>
    </row>
    <row r="29" customFormat="false" ht="23.85" hidden="false" customHeight="false" outlineLevel="0" collapsed="false">
      <c r="C29" s="65" t="s">
        <v>1060</v>
      </c>
      <c r="D29" s="4" t="s">
        <v>1061</v>
      </c>
      <c r="E29" s="46" t="s">
        <v>1062</v>
      </c>
      <c r="F29" s="4" t="s">
        <v>1063</v>
      </c>
      <c r="G29" s="4" t="s">
        <v>1001</v>
      </c>
    </row>
    <row r="30" customFormat="false" ht="35.05" hidden="false" customHeight="false" outlineLevel="0" collapsed="false">
      <c r="A30" s="62" t="s">
        <v>1064</v>
      </c>
      <c r="B30" s="62" t="str">
        <f aca="false">"Closing in month "&amp;SFD_Acq_Month&amp;"; file about 6 months before"</f>
        <v>Closing in month 24; file about 6 months before</v>
      </c>
      <c r="C30" s="63"/>
      <c r="D30" s="64" t="s">
        <v>1065</v>
      </c>
      <c r="E30" s="63"/>
      <c r="F30" s="63"/>
      <c r="G30" s="63"/>
    </row>
    <row r="31" customFormat="false" ht="35.05" hidden="false" customHeight="false" outlineLevel="0" collapsed="false">
      <c r="C31" s="65" t="s">
        <v>1066</v>
      </c>
      <c r="D31" s="4" t="s">
        <v>1067</v>
      </c>
      <c r="E31" s="46" t="s">
        <v>1068</v>
      </c>
      <c r="F31" s="4" t="s">
        <v>1069</v>
      </c>
      <c r="G31" s="4" t="s">
        <v>988</v>
      </c>
    </row>
    <row r="32" customFormat="false" ht="46.25" hidden="false" customHeight="false" outlineLevel="0" collapsed="false">
      <c r="C32" s="65" t="s">
        <v>1070</v>
      </c>
      <c r="D32" s="4" t="s">
        <v>1071</v>
      </c>
      <c r="E32" s="46" t="s">
        <v>1072</v>
      </c>
      <c r="F32" s="4" t="s">
        <v>1073</v>
      </c>
      <c r="G32" s="4" t="s">
        <v>988</v>
      </c>
    </row>
    <row r="33" customFormat="false" ht="46.25" hidden="false" customHeight="false" outlineLevel="0" collapsed="false">
      <c r="C33" s="65" t="s">
        <v>1074</v>
      </c>
      <c r="D33" s="4" t="s">
        <v>1075</v>
      </c>
      <c r="E33" s="46" t="s">
        <v>1076</v>
      </c>
      <c r="F33" s="4" t="s">
        <v>992</v>
      </c>
      <c r="G33" s="4" t="s">
        <v>1077</v>
      </c>
    </row>
    <row r="34" customFormat="false" ht="46.25" hidden="false" customHeight="false" outlineLevel="0" collapsed="false">
      <c r="C34" s="65" t="s">
        <v>1078</v>
      </c>
      <c r="D34" s="4" t="s">
        <v>1079</v>
      </c>
      <c r="E34" s="46" t="s">
        <v>1080</v>
      </c>
      <c r="F34" s="4" t="s">
        <v>1081</v>
      </c>
      <c r="G34" s="4" t="s">
        <v>988</v>
      </c>
    </row>
    <row r="35" customFormat="false" ht="35.05" hidden="false" customHeight="false" outlineLevel="0" collapsed="false">
      <c r="C35" s="65" t="s">
        <v>1082</v>
      </c>
      <c r="D35" s="4" t="s">
        <v>1083</v>
      </c>
      <c r="E35" s="46" t="s">
        <v>1084</v>
      </c>
      <c r="F35" s="4" t="s">
        <v>1085</v>
      </c>
      <c r="G35" s="4" t="s">
        <v>988</v>
      </c>
    </row>
    <row r="36" customFormat="false" ht="35.05" hidden="false" customHeight="false" outlineLevel="0" collapsed="false">
      <c r="C36" s="65" t="s">
        <v>1086</v>
      </c>
      <c r="D36" s="4" t="s">
        <v>1087</v>
      </c>
      <c r="E36" s="46" t="s">
        <v>1088</v>
      </c>
      <c r="F36" s="4" t="s">
        <v>1089</v>
      </c>
      <c r="G36" s="4" t="s">
        <v>1090</v>
      </c>
    </row>
    <row r="37" customFormat="false" ht="46.25" hidden="false" customHeight="false" outlineLevel="0" collapsed="false">
      <c r="C37" s="65" t="s">
        <v>1091</v>
      </c>
      <c r="D37" s="4" t="s">
        <v>1092</v>
      </c>
      <c r="E37" s="46" t="s">
        <v>1093</v>
      </c>
      <c r="F37" s="4" t="s">
        <v>1094</v>
      </c>
      <c r="G37" s="4" t="s">
        <v>988</v>
      </c>
    </row>
    <row r="38" customFormat="false" ht="35.05" hidden="false" customHeight="false" outlineLevel="0" collapsed="false">
      <c r="C38" s="65" t="s">
        <v>1095</v>
      </c>
      <c r="D38" s="4" t="s">
        <v>1096</v>
      </c>
      <c r="E38" s="46" t="s">
        <v>1097</v>
      </c>
      <c r="F38" s="4" t="s">
        <v>992</v>
      </c>
      <c r="G38" s="4" t="s">
        <v>1032</v>
      </c>
    </row>
    <row r="39" customFormat="false" ht="23.85" hidden="false" customHeight="false" outlineLevel="0" collapsed="false">
      <c r="A39" s="62" t="s">
        <v>1098</v>
      </c>
      <c r="B39" s="62" t="str">
        <f aca="false">"From month "&amp;EmpAcc_Start</f>
        <v>From month 29</v>
      </c>
      <c r="C39" s="63"/>
      <c r="D39" s="64" t="s">
        <v>1099</v>
      </c>
      <c r="E39" s="63"/>
      <c r="F39" s="63"/>
      <c r="G39" s="63"/>
    </row>
    <row r="40" customFormat="false" ht="57.45" hidden="false" customHeight="false" outlineLevel="0" collapsed="false">
      <c r="C40" s="65" t="s">
        <v>1100</v>
      </c>
      <c r="D40" s="4" t="s">
        <v>1101</v>
      </c>
      <c r="E40" s="46" t="s">
        <v>1102</v>
      </c>
      <c r="F40" s="4" t="s">
        <v>1103</v>
      </c>
      <c r="G40" s="4" t="s">
        <v>1104</v>
      </c>
    </row>
    <row r="41" customFormat="false" ht="35.05" hidden="false" customHeight="false" outlineLevel="0" collapsed="false">
      <c r="C41" s="65" t="s">
        <v>1105</v>
      </c>
      <c r="D41" s="4" t="s">
        <v>1106</v>
      </c>
      <c r="E41" s="46" t="s">
        <v>1107</v>
      </c>
      <c r="F41" s="4" t="s">
        <v>1108</v>
      </c>
      <c r="G41" s="4" t="s">
        <v>988</v>
      </c>
    </row>
    <row r="42" customFormat="false" ht="46.25" hidden="false" customHeight="false" outlineLevel="0" collapsed="false">
      <c r="C42" s="65" t="s">
        <v>1109</v>
      </c>
      <c r="D42" s="4" t="s">
        <v>1110</v>
      </c>
      <c r="E42" s="46" t="s">
        <v>1111</v>
      </c>
      <c r="F42" s="4" t="s">
        <v>1112</v>
      </c>
      <c r="G42" s="4" t="s">
        <v>988</v>
      </c>
    </row>
    <row r="43" customFormat="false" ht="23.85" hidden="false" customHeight="false" outlineLevel="0" collapsed="false">
      <c r="C43" s="65" t="s">
        <v>595</v>
      </c>
      <c r="D43" s="4" t="s">
        <v>1113</v>
      </c>
      <c r="E43" s="46" t="s">
        <v>1114</v>
      </c>
      <c r="F43" s="4" t="s">
        <v>1115</v>
      </c>
      <c r="G43" s="4" t="s">
        <v>988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2026-10-13T10:37:03Z</dcterms:created>
  <dc:creator>openpyxl</dc:creator>
  <dc:description/>
  <dc:language>en-US</dc:language>
  <cp:lastModifiedBy/>
  <dcterms:modified xsi:type="dcterms:W3CDTF">2026-10-13T10:37:13Z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