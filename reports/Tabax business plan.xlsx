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Hiring plan" sheetId="4" state="visible" r:id="rId6"/>
    <sheet name="Staff" sheetId="5" state="visible" r:id="rId7"/>
    <sheet name="Sales &amp; marketing" sheetId="6" state="visible" r:id="rId8"/>
    <sheet name="Clients &amp; revenue" sheetId="7" state="visible" r:id="rId9"/>
    <sheet name="Credit" sheetId="8" state="visible" r:id="rId10"/>
    <sheet name="Costs" sheetId="9" state="visible" r:id="rId11"/>
    <sheet name="P&amp;L monthly" sheetId="10" state="visible" r:id="rId12"/>
    <sheet name="P&amp;L annual" sheetId="11" state="visible" r:id="rId13"/>
    <sheet name="Cash flow" sheetId="12" state="visible" r:id="rId14"/>
    <sheet name="Unit economics" sheetId="13" state="visible" r:id="rId15"/>
    <sheet name="Market" sheetId="14" state="visible" r:id="rId16"/>
  </sheets>
  <definedNames>
    <definedName function="false" hidden="false" name="Abidjan_Office" vbProcedure="false">Assumptions!$D$184:$H$184</definedName>
    <definedName function="false" hidden="false" name="Accountant_Ext" vbProcedure="false">Assumptions!$D$210:$H$210</definedName>
    <definedName function="false" hidden="false" name="AML_Audit" vbProcedure="false">Assumptions!$D$211:$H$211</definedName>
    <definedName function="false" hidden="false" name="Annual_Free" vbProcedure="false">Assumptions!$D$63</definedName>
    <definedName function="false" hidden="false" name="Annual_Share" vbProcedure="false">Assumptions!$D$62</definedName>
    <definedName function="false" hidden="false" name="Auditor" vbProcedure="false">Assumptions!$D$209:$H$209</definedName>
    <definedName function="false" hidden="false" name="Avg_Advance" vbProcedure="false">Assumptions!$D$149</definedName>
    <definedName function="false" hidden="false" name="Avg_Bridge" vbProcedure="false">Assumptions!$D$134</definedName>
    <definedName function="false" hidden="false" name="Avg_Factoring" vbProcedure="false">Assumptions!$D$129</definedName>
    <definedName function="false" hidden="false" name="Avg_Line" vbProcedure="false">Assumptions!$D$139</definedName>
    <definedName function="false" hidden="false" name="Avg_Salary" vbProcedure="false">Assumptions!$D$103</definedName>
    <definedName function="false" hidden="false" name="Avg_Term" vbProcedure="false">Assumptions!$D$144</definedName>
    <definedName function="false" hidden="false" name="Backoffice_USD" vbProcedure="false">Assumptions!$D$190:$H$190</definedName>
    <definedName function="false" hidden="false" name="Balance_Grande" vbProcedure="false">Assumptions!$D$84</definedName>
    <definedName function="false" hidden="false" name="Balance_Moyenne" vbProcedure="false">Assumptions!$D$83</definedName>
    <definedName function="false" hidden="false" name="Balance_Petite" vbProcedure="false">Assumptions!$D$82</definedName>
    <definedName function="false" hidden="false" name="Bank_Fee" vbProcedure="false">Assumptions!$D$108</definedName>
    <definedName function="false" hidden="false" name="Bank_Min_CI" vbProcedure="false">Assumptions!$D$200:$H$200</definedName>
    <definedName function="false" hidden="false" name="Bank_Min_SN" vbProcedure="false">Assumptions!$D$199:$H$199</definedName>
    <definedName function="false" hidden="false" name="Bank_Payout_Cost" vbProcedure="false">Assumptions!$D$117</definedName>
    <definedName function="false" hidden="false" name="Bank_Setup_CI" vbProcedure="false">Assumptions!$D$197</definedName>
    <definedName function="false" hidden="false" name="Bank_Setup_Month" vbProcedure="false">Assumptions!$D$27</definedName>
    <definedName function="false" hidden="false" name="Bank_Setup_SN" vbProcedure="false">Assumptions!$D$196</definedName>
    <definedName function="false" hidden="false" name="Brand_PR" vbProcedure="false">Assumptions!$D$217:$H$217</definedName>
    <definedName function="false" hidden="false" name="CAC_Digital" vbProcedure="false">Assumptions!$D$46</definedName>
    <definedName function="false" hidden="false" name="Cadre_Cap" vbProcedure="false">Assumptions!$D$162</definedName>
    <definedName function="false" hidden="false" name="Cadre_Rate" vbProcedure="false">Assumptions!$D$161</definedName>
    <definedName function="false" hidden="false" name="Capital_Ratio" vbProcedure="false">Assumptions!$D$156</definedName>
    <definedName function="false" hidden="false" name="Cards_Act_Grande" vbProcedure="false">Assumptions!$D$99</definedName>
    <definedName function="false" hidden="false" name="Cards_Act_Moyenne" vbProcedure="false">Assumptions!$D$98</definedName>
    <definedName function="false" hidden="false" name="Cards_Act_Petite" vbProcedure="false">Assumptions!$D$97</definedName>
    <definedName function="false" hidden="false" name="Cards_New_Grande" vbProcedure="false">Assumptions!$D$96</definedName>
    <definedName function="false" hidden="false" name="Cards_New_Moyenne" vbProcedure="false">Assumptions!$D$95</definedName>
    <definedName function="false" hidden="false" name="Cards_New_Petite" vbProcedure="false">Assumptions!$D$94</definedName>
    <definedName function="false" hidden="false" name="Card_Collateral" vbProcedure="false">Assumptions!$D$228</definedName>
    <definedName function="false" hidden="false" name="Card_Fee" vbProcedure="false">Assumptions!$D$64</definedName>
    <definedName function="false" hidden="false" name="Card_Proc_Fee" vbProcedure="false">Assumptions!$D$112</definedName>
    <definedName function="false" hidden="false" name="Card_Prod_Cost" vbProcedure="false">Assumptions!$D$113</definedName>
    <definedName function="false" hidden="false" name="CFCE_Rate" vbProcedure="false">Assumptions!$D$167</definedName>
    <definedName function="false" hidden="false" name="Churn_Grande" vbProcedure="false">Assumptions!$D$52</definedName>
    <definedName function="false" hidden="false" name="Churn_Moyenne" vbProcedure="false">Assumptions!$D$51</definedName>
    <definedName function="false" hidden="false" name="Churn_Petite" vbProcedure="false">Assumptions!$D$50</definedName>
    <definedName function="false" hidden="false" name="CI_Bank_Setup_Month" vbProcedure="false">Assumptions!$D$28</definedName>
    <definedName function="false" hidden="false" name="CI_Company_Month" vbProcedure="false">Assumptions!$D$33</definedName>
    <definedName function="false" hidden="false" name="CI_Licence_File_Start" vbProcedure="false">Assumptions!$D$35</definedName>
    <definedName function="false" hidden="false" name="CI_Office_Start" vbProcedure="false">Assumptions!$D$19</definedName>
    <definedName function="false" hidden="false" name="CI_Productivity" vbProcedure="false">Assumptions!$D$40</definedName>
    <definedName function="false" hidden="false" name="Cleaning" vbProcedure="false">Assumptions!$D$183:$H$183</definedName>
    <definedName function="false" hidden="false" name="Cloud_Start" vbProcedure="false">Assumptions!$D$31</definedName>
    <definedName function="false" hidden="false" name="Cloud_USD" vbProcedure="false">Assumptions!$D$188:$H$188</definedName>
    <definedName function="false" hidden="false" name="CoF" vbProcedure="false">Assumptions!$D$152</definedName>
    <definedName function="false" hidden="false" name="Collateral_Month" vbProcedure="false">Assumptions!$D$26</definedName>
    <definedName function="false" hidden="false" name="Company_Setup_CI" vbProcedure="false">Assumptions!$D$204</definedName>
    <definedName function="false" hidden="false" name="Company_Setup_SN" vbProcedure="false">Assumptions!$D$203</definedName>
    <definedName function="false" hidden="false" name="Contingency_Pct" vbProcedure="false">Assumptions!$D$13</definedName>
    <definedName function="false" hidden="false" name="CoR_Advance" vbProcedure="false">Assumptions!$D$151</definedName>
    <definedName function="false" hidden="false" name="CoR_Bridge" vbProcedure="false">Assumptions!$D$136</definedName>
    <definedName function="false" hidden="false" name="CoR_Factoring" vbProcedure="false">Assumptions!$D$131</definedName>
    <definedName function="false" hidden="false" name="CoR_Line" vbProcedure="false">Assumptions!$D$141</definedName>
    <definedName function="false" hidden="false" name="CoR_Mult" vbProcedure="false">Assumptions!$D$125</definedName>
    <definedName function="false" hidden="false" name="CoR_Term" vbProcedure="false">Assumptions!$D$146</definedName>
    <definedName function="false" hidden="false" name="Coworking_Monthly" vbProcedure="false">Assumptions!$D$178</definedName>
    <definedName function="false" hidden="false" name="Credit_Mult" vbProcedure="false">Assumptions!$D$124</definedName>
    <definedName function="false" hidden="false" name="Credit_Ramp" vbProcedure="false">Assumptions!$D$126</definedName>
    <definedName function="false" hidden="false" name="CSS_Cap" vbProcedure="false">Assumptions!$D$164</definedName>
    <definedName function="false" hidden="false" name="CSS_Rate" vbProcedure="false">Assumptions!$D$163</definedName>
    <definedName function="false" hidden="false" name="Data_Protection" vbProcedure="false">Assumptions!$D$212:$H$212</definedName>
    <definedName function="false" hidden="false" name="Deposit_Share" vbProcedure="false">Assumptions!$D$67</definedName>
    <definedName function="false" hidden="false" name="Dep_Months" vbProcedure="false">Assumptions!$D$174</definedName>
    <definedName function="false" hidden="false" name="Digital_CI" vbProcedure="false">Assumptions!$D$216:$H$216</definedName>
    <definedName function="false" hidden="false" name="Digital_SN" vbProcedure="false">Assumptions!$D$215:$H$215</definedName>
    <definedName function="false" hidden="false" name="Electricity" vbProcedure="false">Assumptions!$D$181:$H$181</definedName>
    <definedName function="false" hidden="false" name="EmpAcc_Adoption" vbProcedure="false">Assumptions!$D$105</definedName>
    <definedName function="false" hidden="false" name="EmpAcc_Cost" vbProcedure="false">Assumptions!$D$121</definedName>
    <definedName function="false" hidden="false" name="EmpAcc_Start" vbProcedure="false">Assumptions!$D$21</definedName>
    <definedName function="false" hidden="false" name="Emp_Grande" vbProcedure="false">Assumptions!$D$87</definedName>
    <definedName function="false" hidden="false" name="Emp_Moyenne" vbProcedure="false">Assumptions!$D$86</definedName>
    <definedName function="false" hidden="false" name="Emp_Notif" vbProcedure="false">Assumptions!$D$120</definedName>
    <definedName function="false" hidden="false" name="Emp_Petite" vbProcedure="false">Assumptions!$D$85</definedName>
    <definedName function="false" hidden="false" name="Events" vbProcedure="false">Assumptions!$D$218:$H$218</definedName>
    <definedName function="false" hidden="false" name="First_Loss" vbProcedure="false">Assumptions!$D$155</definedName>
    <definedName function="false" hidden="false" name="Fitout" vbProcedure="false">Assumptions!$D$185:$H$185</definedName>
    <definedName function="false" hidden="false" name="Fraud_Rate" vbProcedure="false">Assumptions!$D$115</definedName>
    <definedName function="false" hidden="false" name="Freelance" vbProcedure="false">Assumptions!$D$191:$H$191</definedName>
    <definedName function="false" hidden="false" name="Free_Months" vbProcedure="false">Assumptions!$D$61</definedName>
    <definedName function="false" hidden="false" name="FX_EUR" vbProcedure="false">Assumptions!$D$9</definedName>
    <definedName function="false" hidden="false" name="FX_Fee" vbProcedure="false">Assumptions!$D$65</definedName>
    <definedName function="false" hidden="false" name="FX_USD" vbProcedure="false">Assumptions!$D$10</definedName>
    <definedName function="false" hidden="false" name="Health_TopUp" vbProcedure="false">Assumptions!$D$170</definedName>
    <definedName function="false" hidden="false" name="Insurance_USD" vbProcedure="false">Assumptions!$D$213:$H$213</definedName>
    <definedName function="false" hidden="false" name="Interchange_Share" vbProcedure="false">Assumptions!$D$66</definedName>
    <definedName function="false" hidden="false" name="Internet" vbProcedure="false">Assumptions!$D$182:$H$182</definedName>
    <definedName function="false" hidden="false" name="IPM_Cap" vbProcedure="false">Assumptions!$D$166</definedName>
    <definedName function="false" hidden="false" name="IPM_Rate" vbProcedure="false">Assumptions!$D$165</definedName>
    <definedName function="false" hidden="false" name="IPRES_Cap" vbProcedure="false">Assumptions!$D$160</definedName>
    <definedName function="false" hidden="false" name="IPRES_Rate" vbProcedure="false">Assumptions!$D$159</definedName>
    <definedName function="false" hidden="false" name="KYB_Cost" vbProcedure="false">Assumptions!$D$109</definedName>
    <definedName function="false" hidden="false" name="KYC_Cost" vbProcedure="false">Assumptions!$D$110</definedName>
    <definedName function="false" hidden="false" name="KYC_Persons" vbProcedure="false">Assumptions!$D$111</definedName>
    <definedName function="false" hidden="false" name="Laptop_Cost" vbProcedure="false">Assumptions!$D$171</definedName>
    <definedName function="false" hidden="false" name="Launch_CI" vbProcedure="false">Assumptions!$D$17</definedName>
    <definedName function="false" hidden="false" name="Launch_SN" vbProcedure="false">Assumptions!$D$16</definedName>
    <definedName function="false" hidden="false" name="Ledger_USD" vbProcedure="false">Assumptions!$D$187:$H$187</definedName>
    <definedName function="false" hidden="false" name="Legal_Counsel" vbProcedure="false">Assumptions!$D$208:$H$208</definedName>
    <definedName function="false" hidden="false" name="Licence_Capital_CI" vbProcedure="false">Assumptions!$D$227</definedName>
    <definedName function="false" hidden="false" name="Licence_Capital_SN" vbProcedure="false">Assumptions!$D$226</definedName>
    <definedName function="false" hidden="false" name="Licence_CI_Month" vbProcedure="false">Assumptions!$D$25</definedName>
    <definedName function="false" hidden="false" name="Licence_File_CI" vbProcedure="false">Assumptions!$D$206</definedName>
    <definedName function="false" hidden="false" name="Licence_File_CI_Months" vbProcedure="false">Assumptions!$D$36</definedName>
    <definedName function="false" hidden="false" name="Licence_File_SN" vbProcedure="false">Assumptions!$D$205</definedName>
    <definedName function="false" hidden="false" name="Licence_File_SN_Months" vbProcedure="false">Assumptions!$D$34</definedName>
    <definedName function="false" hidden="false" name="Licence_SN_Month" vbProcedure="false">Assumptions!$D$24</definedName>
    <definedName function="false" hidden="false" name="Misc" vbProcedure="false">Assumptions!$D$222:$H$222</definedName>
    <definedName function="false" hidden="false" name="Mix_Grande" vbProcedure="false">Assumptions!$D$49</definedName>
    <definedName function="false" hidden="false" name="Mix_Moyenne" vbProcedure="false">Assumptions!$D$48</definedName>
    <definedName function="false" hidden="false" name="Mix_Petite" vbProcedure="false">Assumptions!$D$47</definedName>
    <definedName function="false" hidden="false" name="Monitoring_USD" vbProcedure="false">Assumptions!$D$189:$H$189</definedName>
    <definedName function="false" hidden="false" name="Notif_Cost" vbProcedure="false">Assumptions!$D$119</definedName>
    <definedName function="false" hidden="false" name="Office_Deposit_Months" vbProcedure="false">Assumptions!$D$229</definedName>
    <definedName function="false" hidden="false" name="Office_m2" vbProcedure="false">Assumptions!$D$179:$H$179</definedName>
    <definedName function="false" hidden="false" name="Office_Price_Arr" vbProcedure="false">Assumptions!$D$180:$H$180</definedName>
    <definedName function="false" hidden="false" name="Office_Start" vbProcedure="false">Assumptions!$D$18</definedName>
    <definedName function="false" hidden="false" name="Opening_Cash" vbProcedure="false">Assumptions!$D$225</definedName>
    <definedName function="false" hidden="false" name="Overage_Fee" vbProcedure="false">Assumptions!$D$68</definedName>
    <definedName function="false" hidden="false" name="Overage_Grande" vbProcedure="false">Assumptions!$D$93</definedName>
    <definedName function="false" hidden="false" name="Overage_Moyenne" vbProcedure="false">Assumptions!$D$92</definedName>
    <definedName function="false" hidden="false" name="Overage_Petite" vbProcedure="false">Assumptions!$D$91</definedName>
    <definedName function="false" hidden="false" name="Own_Funding_Month" vbProcedure="false">Assumptions!$D$22</definedName>
    <definedName function="false" hidden="false" name="Partner_Base_CI" vbProcedure="false">Assumptions!$D$42</definedName>
    <definedName function="false" hidden="false" name="Partner_Base_SN" vbProcedure="false">Assumptions!$D$41</definedName>
    <definedName function="false" hidden="false" name="Partner_Cap_CI" vbProcedure="false">Assumptions!$D$45</definedName>
    <definedName function="false" hidden="false" name="Partner_Cap_SN" vbProcedure="false">Assumptions!$D$44</definedName>
    <definedName function="false" hidden="false" name="Partner_Growth" vbProcedure="false">Assumptions!$D$43</definedName>
    <definedName function="false" hidden="false" name="Partner_Share" vbProcedure="false">Assumptions!$D$154</definedName>
    <definedName function="false" hidden="false" name="PayLinks_Start" vbProcedure="false">Assumptions!$D$20</definedName>
    <definedName function="false" hidden="false" name="Phone_Cost" vbProcedure="false">Assumptions!$D$172</definedName>
    <definedName function="false" hidden="false" name="PL_Adoption" vbProcedure="false">Assumptions!$D$72</definedName>
    <definedName function="false" hidden="false" name="PL_Coll_Grande" vbProcedure="false">Assumptions!$D$102</definedName>
    <definedName function="false" hidden="false" name="PL_Coll_Moyenne" vbProcedure="false">Assumptions!$D$101</definedName>
    <definedName function="false" hidden="false" name="PL_Coll_Petite" vbProcedure="false">Assumptions!$D$100</definedName>
    <definedName function="false" hidden="false" name="PL_Cost" vbProcedure="false">Assumptions!$D$70</definedName>
    <definedName function="false" hidden="false" name="PL_Fee" vbProcedure="false">Assumptions!$D$69</definedName>
    <definedName function="false" hidden="false" name="PL_Momo_Share" vbProcedure="false">Assumptions!$D$71</definedName>
    <definedName function="false" hidden="false" name="PL_Ramp" vbProcedure="false">Assumptions!$D$73</definedName>
    <definedName function="false" hidden="false" name="Price_Grande" vbProcedure="false">Assumptions!$D$59</definedName>
    <definedName function="false" hidden="false" name="Price_Increase" vbProcedure="false">Assumptions!$D$60</definedName>
    <definedName function="false" hidden="false" name="Price_Moyenne" vbProcedure="false">Assumptions!$D$58</definedName>
    <definedName function="false" hidden="false" name="Price_Petite" vbProcedure="false">Assumptions!$D$57</definedName>
    <definedName function="false" hidden="false" name="Proc_Min_Start" vbProcedure="false">Assumptions!$D$30</definedName>
    <definedName function="false" hidden="false" name="Proc_Min_USD" vbProcedure="false">Assumptions!$D$193:$H$193</definedName>
    <definedName function="false" hidden="false" name="Proc_Setup_Month" vbProcedure="false">Assumptions!$D$29</definedName>
    <definedName function="false" hidden="false" name="Proc_Setup_USD" vbProcedure="false">Assumptions!$D$194</definedName>
    <definedName function="false" hidden="false" name="Recruitment" vbProcedure="false">Assumptions!$D$220:$H$220</definedName>
    <definedName function="false" hidden="false" name="Referral_Fee" vbProcedure="false">Assumptions!$D$53</definedName>
    <definedName function="false" hidden="false" name="Rep_Productivity" vbProcedure="false">Assumptions!$D$39</definedName>
    <definedName function="false" hidden="false" name="Rep_Transport" vbProcedure="false">Assumptions!$D$54</definedName>
    <definedName function="false" hidden="false" name="Salary_Raise" vbProcedure="false">Assumptions!$D$12</definedName>
    <definedName function="false" hidden="false" name="Scenario" vbProcedure="false">Assumptions!$D$4</definedName>
    <definedName function="false" hidden="false" name="Scheme_Rate" vbProcedure="false">Assumptions!$D$114</definedName>
    <definedName function="false" hidden="false" name="Security_USD" vbProcedure="false">Assumptions!$D$192:$H$192</definedName>
    <definedName function="false" hidden="false" name="Seed_Amount" vbProcedure="false">Assumptions!$D$232</definedName>
    <definedName function="false" hidden="false" name="Seed_Month" vbProcedure="false">Assumptions!$D$231</definedName>
    <definedName function="false" hidden="false" name="SeriesA_Amount" vbProcedure="false">Assumptions!$D$234</definedName>
    <definedName function="false" hidden="false" name="SeriesA_Month" vbProcedure="false">Assumptions!$D$233</definedName>
    <definedName function="false" hidden="false" name="SeriesB_Amount" vbProcedure="false">Assumptions!$D$236</definedName>
    <definedName function="false" hidden="false" name="SeriesB_Month" vbProcedure="false">Assumptions!$D$235</definedName>
    <definedName function="false" hidden="false" name="Servicing" vbProcedure="false">Assumptions!$D$153</definedName>
    <definedName function="false" hidden="false" name="SFD_Acquisition" vbProcedure="false">Assumptions!$D$230</definedName>
    <definedName function="false" hidden="false" name="SFD_Acq_Month" vbProcedure="false">Assumptions!$D$23</definedName>
    <definedName function="false" hidden="false" name="SFD_Annual" vbProcedure="false">Assumptions!$D$201:$H$201</definedName>
    <definedName function="false" hidden="false" name="SFD_Project" vbProcedure="false">Assumptions!$D$207:$H$207</definedName>
    <definedName function="false" hidden="false" name="SFD_Setup" vbProcedure="false">Assumptions!$D$198</definedName>
    <definedName function="false" hidden="false" name="SFD_Setup_Month" vbProcedure="false">Assumptions!$D$32</definedName>
    <definedName function="false" hidden="false" name="Spend_Dom_Grande" vbProcedure="false">Assumptions!$D$78</definedName>
    <definedName function="false" hidden="false" name="Spend_Dom_Moyenne" vbProcedure="false">Assumptions!$D$77</definedName>
    <definedName function="false" hidden="false" name="Spend_Dom_Petite" vbProcedure="false">Assumptions!$D$76</definedName>
    <definedName function="false" hidden="false" name="Spend_For_Grande" vbProcedure="false">Assumptions!$D$81</definedName>
    <definedName function="false" hidden="false" name="Spend_For_Moyenne" vbProcedure="false">Assumptions!$D$80</definedName>
    <definedName function="false" hidden="false" name="Spend_For_Petite" vbProcedure="false">Assumptions!$D$79</definedName>
    <definedName function="false" hidden="false" name="Start_Advance" vbProcedure="false">Assumptions!$D$147</definedName>
    <definedName function="false" hidden="false" name="Start_Bridge" vbProcedure="false">Assumptions!$D$132</definedName>
    <definedName function="false" hidden="false" name="Start_Date" vbProcedure="false">Assumptions!$D$8</definedName>
    <definedName function="false" hidden="false" name="Start_Factoring" vbProcedure="false">Assumptions!$D$127</definedName>
    <definedName function="false" hidden="false" name="Start_Line" vbProcedure="false">Assumptions!$D$137</definedName>
    <definedName function="false" hidden="false" name="Start_Term" vbProcedure="false">Assumptions!$D$142</definedName>
    <definedName function="false" hidden="false" name="Supplier_Grande" vbProcedure="false">Assumptions!$D$90</definedName>
    <definedName function="false" hidden="false" name="Supplier_Moyenne" vbProcedure="false">Assumptions!$D$89</definedName>
    <definedName function="false" hidden="false" name="Supplier_Payout_Cost" vbProcedure="false">Assumptions!$D$118</definedName>
    <definedName function="false" hidden="false" name="Supplier_Petite" vbProcedure="false">Assumptions!$D$88</definedName>
    <definedName function="false" hidden="false" name="Tax_Rate" vbProcedure="false">Assumptions!$D$11</definedName>
    <definedName function="false" hidden="false" name="Thirteenth" vbProcedure="false">Assumptions!$D$168</definedName>
    <definedName function="false" hidden="false" name="Tools_USD" vbProcedure="false">Assumptions!$D$173</definedName>
    <definedName function="false" hidden="false" name="Transport_Allow" vbProcedure="false">Assumptions!$D$169</definedName>
    <definedName function="false" hidden="false" name="Travel" vbProcedure="false">Assumptions!$D$221:$H$221</definedName>
    <definedName function="false" hidden="false" name="Uptake_Bridge" vbProcedure="false">Assumptions!$D$133</definedName>
    <definedName function="false" hidden="false" name="Uptake_Factoring" vbProcedure="false">Assumptions!$D$128</definedName>
    <definedName function="false" hidden="false" name="Uptake_Line" vbProcedure="false">Assumptions!$D$138</definedName>
    <definedName function="false" hidden="false" name="Uptake_Term" vbProcedure="false">Assumptions!$D$143</definedName>
    <definedName function="false" hidden="false" name="Usage_Advance" vbProcedure="false">Assumptions!$D$148</definedName>
    <definedName function="false" hidden="false" name="Wallet_Payout_Cost" vbProcedure="false">Assumptions!$D$116</definedName>
    <definedName function="false" hidden="false" name="Wallet_Share" vbProcedure="false">Assumptions!$D$104</definedName>
    <definedName function="false" hidden="false" name="Yield_Advance" vbProcedure="false">Assumptions!$D$150</definedName>
    <definedName function="false" hidden="false" name="Yield_Bridge" vbProcedure="false">Assumptions!$D$135</definedName>
    <definedName function="false" hidden="false" name="Yield_Factoring" vbProcedure="false">Assumptions!$D$130</definedName>
    <definedName function="false" hidden="false" name="Yield_Line" vbProcedure="false">Assumptions!$D$140</definedName>
    <definedName function="false" hidden="false" name="Yield_Term" vbProcedure="false">Assumptions!$D$145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<sst xmlns="http://schemas.openxmlformats.org/spreadsheetml/2006/main" count="1880" uniqueCount="807">
  <si>
    <t xml:space="preserve">Tabax (working name):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</si>
  <si>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</si>
  <si>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</si>
  <si>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</si>
  <si>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</si>
  <si>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</si>
  <si>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</si>
  <si>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</si>
  <si>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one line per hire (headcount, start month, end month, gross salary). Field sales reps drive client acquisition.</t>
  </si>
  <si>
    <t xml:space="preserve">4. Check the cash</t>
  </si>
  <si>
    <t xml:space="preserve">Dashboard › checks. If cash goes negative, raise more or earlier (Assumptions, section 10).</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</si>
  <si>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</si>
  <si>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</si>
  <si>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</si>
  <si>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</si>
  <si>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staff charges, fixed costs by year, funding.</t>
  </si>
  <si>
    <t xml:space="preserve">Hiring plan</t>
  </si>
  <si>
    <t xml:space="preserve">Roles, start months and salaries (employer cost computed with Senegal's charges).</t>
  </si>
  <si>
    <t xml:space="preserve">Staff</t>
  </si>
  <si>
    <t xml:space="preserve">Headcount and employer cost by month, by department and country.</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</si>
  <si>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</si>
  <si>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</si>
  <si>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</si>
  <si>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</si>
  <si>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</si>
  <si>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Tabax; cash tied up by credit.</t>
  </si>
  <si>
    <t xml:space="preserve">Costs</t>
  </si>
  <si>
    <t xml:space="preserve">Variable costs, fixed costs by category, capex and depreciation, month by month.</t>
  </si>
  <si>
    <t xml:space="preserve">P&amp;L monthly</t>
  </si>
  <si>
    <t xml:space="preserve">Revenue, cost of revenue, gross margin, operating expenses, EBITDA, depreciation, tax, net income.</t>
  </si>
  <si>
    <t xml:space="preserve">P&amp;L annual</t>
  </si>
  <si>
    <t xml:space="preserve">Years 1–5, cash and funding, operating figures and a euro view.</t>
  </si>
  <si>
    <t xml:space="preserve">Cash flow</t>
  </si>
  <si>
    <t xml:space="preserve">Monthly cash, cash set aside, funding rounds, runway.</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</si>
  <si>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</si>
  <si>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</si>
  <si>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</si>
  <si>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</si>
  <si>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</si>
  <si>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</si>
  <si>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</si>
  <si>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</si>
  <si>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</si>
  <si>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</si>
  <si>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</si>
  <si>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</si>
  <si>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</si>
  <si>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licence-file legal fees,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</si>
  <si>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</si>
  <si>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</si>
  <si>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</si>
  <si>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Staff charges use Senegal's rates; the number of formal employers is an estimate.</t>
  </si>
  <si>
    <t xml:space="preserve">Loans are made by a partner microfinance institution (SFD) at 0.063% a day (23% a year, under the 24% cap), then by Tabax's own SFD. The loan book itself is funded by debt lines, not equity.</t>
  </si>
  <si>
    <t xml:space="preserve">Sources</t>
  </si>
  <si>
    <t xml:space="preserve">Business model v2, Cost breakdown in euros, Senegal launch plan and the research notes in this project, plus IPRES/ANSD 2024 and CEPICI 2025 for the market.</t>
  </si>
  <si>
    <t xml:space="preserve">Tabax business plan: dashboard</t>
  </si>
  <si>
    <t xml:space="preserve">Key results for the scenario selected on Assumptions. Amounts in FCFA unless stated.</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</si>
  <si>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</si>
  <si>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</si>
  <si>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</si>
  <si>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</si>
  <si>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</si>
  <si>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</si>
  <si>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</si>
  <si>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</si>
  <si>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</si>
  <si>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</si>
  <si>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</si>
  <si>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</si>
  <si>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</si>
  <si>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Year by year</t>
  </si>
  <si>
    <t xml:space="preserve">Year</t>
  </si>
  <si>
    <t xml:space="preserve">Active clients (end of year)</t>
  </si>
  <si>
    <t xml:space="preserve">New clients in the year</t>
  </si>
  <si>
    <t xml:space="preserve">Headcount (end of year)</t>
  </si>
  <si>
    <t xml:space="preserve">Total revenue</t>
  </si>
  <si>
    <t xml:space="preserve">Gross margin</t>
  </si>
  <si>
    <t xml:space="preserve">Gross margin %</t>
  </si>
  <si>
    <t xml:space="preserve">Total operating expenses</t>
  </si>
  <si>
    <t xml:space="preserve">EBITDA</t>
  </si>
  <si>
    <t xml:space="preserve">EBITDA margin</t>
  </si>
  <si>
    <t xml:space="preserve">Net income</t>
  </si>
  <si>
    <t xml:space="preserve">Closing cash</t>
  </si>
  <si>
    <t xml:space="preserve">Loan book (end of year)</t>
  </si>
  <si>
    <t xml:space="preserve">Revenue (€k)</t>
  </si>
  <si>
    <t xml:space="preserve">EBITDA (€k)</t>
  </si>
  <si>
    <t xml:space="preserve">Net income (€k)</t>
  </si>
  <si>
    <t xml:space="preserve">Revenue per active client a month (ARPA)</t>
  </si>
  <si>
    <t xml:space="preserve">Blended CAC</t>
  </si>
  <si>
    <t xml:space="preserve">CAC payback (months)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</si>
  <si>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</si>
  <si>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</si>
  <si>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</si>
  <si>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</si>
  <si>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</si>
  <si>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</si>
  <si>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</si>
  <si>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</si>
  <si>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</si>
  <si>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</si>
  <si>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</si>
  <si>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</si>
  <si>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</si>
  <si>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</si>
  <si>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</si>
  <si>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</si>
  <si>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</si>
  <si>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</si>
  <si>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</si>
  <si>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</si>
  <si>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</si>
  <si>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</si>
  <si>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</si>
  <si>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</si>
  <si>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</si>
  <si>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</si>
  <si>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</si>
  <si>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</si>
  <si>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</si>
  <si>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</si>
  <si>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</si>
  <si>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</si>
  <si>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</si>
  <si>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</si>
  <si>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</si>
  <si>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</si>
  <si>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Year 2, as in the Senegal launch plan.</t>
  </si>
  <si>
    <t xml:space="preserve">Dakar office opens (coworking before)</t>
  </si>
  <si>
    <t xml:space="preserve">Abidjan office / coworking opens</t>
  </si>
  <si>
    <t xml:space="preserve">Payment links go live</t>
  </si>
  <si>
    <t xml:space="preserve">'Bientôt' feature in the app.</t>
  </si>
  <si>
    <t xml:space="preserve">Employee salary accounts go live</t>
  </si>
  <si>
    <t xml:space="preserve">Free account and card for client employees.</t>
  </si>
  <si>
    <t xml:space="preserve">Own SFD funds the loan book from</t>
  </si>
  <si>
    <t xml:space="preserve">Before this month the partner SFD funds loans and Tabax keeps a share of the margin.</t>
  </si>
  <si>
    <t xml:space="preserve">Own SFD licence or acquisition paid</t>
  </si>
  <si>
    <t xml:space="preserve">Payment licence capital paid in, Senegal</t>
  </si>
  <si>
    <t xml:space="preserve">EP licence: 100M FCFA minimum capital per country.</t>
  </si>
  <si>
    <t xml:space="preserve">Payment licence capital paid in, Côte d'Ivoire</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</si>
  <si>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</si>
  <si>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</si>
  <si>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</si>
  <si>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</si>
  <si>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</si>
  <si>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</si>
  <si>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</si>
  <si>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Côte d'Ivoire subsidiary created</t>
  </si>
  <si>
    <t xml:space="preserve">Senegal licence file: months of work from month 1</t>
  </si>
  <si>
    <t xml:space="preserve">months</t>
  </si>
  <si>
    <t xml:space="preserve">Counsel and consultants spread over this period.</t>
  </si>
  <si>
    <t xml:space="preserve">Côte d'Ivoire licence file starts</t>
  </si>
  <si>
    <t xml:space="preserve">Côte d'Ivoire licence file: months of work</t>
  </si>
  <si>
    <t xml:space="preserve">3. Client acquisition (sales and marketing)</t>
  </si>
  <si>
    <t xml:space="preserve">New clients signed per field sales rep per month</t>
  </si>
  <si>
    <t xml:space="preserve">clients</t>
  </si>
  <si>
    <t xml:space="preserve">Rep counts come from the hiring plan. A rep sells from the month after joining. Senegal B2B field sales benchmark to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</si>
  <si>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</si>
  <si>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</si>
  <si>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</si>
  <si>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</si>
  <si>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chambers of commerce.</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</si>
  <si>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</si>
  <si>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</si>
  <si>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</si>
  <si>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</si>
  <si>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</si>
  <si>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</si>
  <si>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</si>
  <si>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</si>
  <si>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Petite (1–10 staff)</t>
  </si>
  <si>
    <t xml:space="preserve">From Business model v2. The three shares must add up to 100% (see check on the Dashboard).</t>
  </si>
  <si>
    <t xml:space="preserve">Share of new clients on Moyenne (11–50 staff)</t>
  </si>
  <si>
    <t xml:space="preserve">Share of new clients on Grande (51+ staff)</t>
  </si>
  <si>
    <t xml:space="preserve">Monthly churn, Petite</t>
  </si>
  <si>
    <t xml:space="preserve">Small companies leave or close more often.</t>
  </si>
  <si>
    <t xml:space="preserve">Monthly churn, Moyenne</t>
  </si>
  <si>
    <t xml:space="preserve">Monthly churn, Grande</t>
  </si>
  <si>
    <t xml:space="preserve">Referral fee per partner-channel client</t>
  </si>
  <si>
    <t xml:space="preserve">Paid to accountants and payroll software partners (cost breakdown).</t>
  </si>
  <si>
    <t xml:space="preserve">Field sales transport allowance per rep</t>
  </si>
  <si>
    <t xml:space="preserve">FCFA / month</t>
  </si>
  <si>
    <t xml:space="preserve">50–100k FCFA (cost breakdown).</t>
  </si>
  <si>
    <t xml:space="preserve">4. Pricing and fees</t>
  </si>
  <si>
    <t xml:space="preserve">Subscription, Petite (1–10 staff)</t>
  </si>
  <si>
    <t xml:space="preserve">Business model v2.</t>
  </si>
  <si>
    <t xml:space="preserve">Subscription, Moyenne (11–50 staff)</t>
  </si>
  <si>
    <t xml:space="preserve">Subscription, Grande (51+ staff)</t>
  </si>
  <si>
    <t xml:space="preserve">Annual price increase</t>
  </si>
  <si>
    <t xml:space="preserve">Free months for every new client</t>
  </si>
  <si>
    <t xml:space="preserve">Launch offer: first 3 months free. Use 0 to 6.</t>
  </si>
  <si>
    <t xml:space="preserve">Share of clients paying yearly</t>
  </si>
  <si>
    <t xml:space="preserve">Months free on yearly billing</t>
  </si>
  <si>
    <t xml:space="preserve">Yearly price = 10 months.</t>
  </si>
  <si>
    <t xml:space="preserve">Physical card fee (one-off; first card free)</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</si>
  <si>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</si>
  <si>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</si>
  <si>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</si>
  <si>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</si>
  <si>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</si>
  <si>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</si>
  <si>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supplier payout above the allowance</t>
  </si>
  <si>
    <t xml:space="preserve">Allowance: 50 / 200 / 1,000 payouts a month. Salaries always unlimited.</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</si>
  <si>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</si>
  <si>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</si>
  <si>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</si>
  <si>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</si>
  <si>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</si>
  <si>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</si>
  <si>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</si>
  <si>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5. Usage per client (monthly, by plan)</t>
  </si>
  <si>
    <t xml:space="preserve">Card spending in FCFA, Petite</t>
  </si>
  <si>
    <t xml:space="preserve">Business model v2 (assumption).</t>
  </si>
  <si>
    <t xml:space="preserve">Card spending in FCFA, Moyenne</t>
  </si>
  <si>
    <t xml:space="preserve">Card spending in FCFA, Grande</t>
  </si>
  <si>
    <t xml:space="preserve">Card spending in foreign currencies, Petite</t>
  </si>
  <si>
    <t xml:space="preserve">Ads, software subscriptions, travel.</t>
  </si>
  <si>
    <t xml:space="preserve">Card spending in foreign currencies, Moyenne</t>
  </si>
  <si>
    <t xml:space="preserve">Card spending in foreign currencies, Grande</t>
  </si>
  <si>
    <t xml:space="preserve">Average balance, Petite</t>
  </si>
  <si>
    <t xml:space="preserve">Average balance, Moyenne</t>
  </si>
  <si>
    <t xml:space="preserve">Average balance, Grande</t>
  </si>
  <si>
    <t xml:space="preserve">Employees, Petite</t>
  </si>
  <si>
    <t xml:space="preserve">people</t>
  </si>
  <si>
    <t xml:space="preserve">Employees, Moyenne</t>
  </si>
  <si>
    <t xml:space="preserve">Employees, Grande</t>
  </si>
  <si>
    <t xml:space="preserve">Supplier payouts a month, Petite</t>
  </si>
  <si>
    <t xml:space="preserve">payouts</t>
  </si>
  <si>
    <t xml:space="preserve">Supplier payouts a month, Moyenne</t>
  </si>
  <si>
    <t xml:space="preserve">Supplier payouts a month, Grande</t>
  </si>
  <si>
    <t xml:space="preserve">Payouts above the allowance, Petite</t>
  </si>
  <si>
    <t xml:space="preserve">Payouts above the allowance, Moyenne</t>
  </si>
  <si>
    <t xml:space="preserve">Payouts above the allowance, Grande</t>
  </si>
  <si>
    <t xml:space="preserve">Physical cards ordered at sign-up, Petite</t>
  </si>
  <si>
    <t xml:space="preserve">cards</t>
  </si>
  <si>
    <t xml:space="preserve">Physical cards ordered at sign-up, Moyenne</t>
  </si>
  <si>
    <t xml:space="preserve">Physical cards ordered at sign-up, Grande</t>
  </si>
  <si>
    <t xml:space="preserve">Active cards (physical + virtual), Petite</t>
  </si>
  <si>
    <t xml:space="preserve">Active cards (physical + virtual), Moyenne</t>
  </si>
  <si>
    <t xml:space="preserve">Active cards (physical + virtual), Grande</t>
  </si>
  <si>
    <t xml:space="preserve">Payment link collections, Petite (users)</t>
  </si>
  <si>
    <t xml:space="preserve">Payment link collections, Moyenne (users)</t>
  </si>
  <si>
    <t xml:space="preserve">Payment link collections, Grande (users)</t>
  </si>
  <si>
    <t xml:space="preserve">Average monthly salary paid through Tabax</t>
  </si>
  <si>
    <t xml:space="preserve">SME average; the formal-sector average is higher (about 380,000 FCFA).</t>
  </si>
  <si>
    <t xml:space="preserve">Share of salaries paid to mobile money wallets</t>
  </si>
  <si>
    <t xml:space="preserve">Senegal: 20.1% of adults receive wages on a phone vs 12.0% in an account (Global Findex 2025).</t>
  </si>
  <si>
    <t xml:space="preserve">Employees who open a Tabax salary account</t>
  </si>
  <si>
    <t xml:space="preserve">6. Cost to serve (variable costs)</t>
  </si>
  <si>
    <t xml:space="preserve">Partner bank fee per business account</t>
  </si>
  <si>
    <t xml:space="preserve">2,000–5,000 FCFA (estimate; replace with the term sheet).</t>
  </si>
  <si>
    <t xml:space="preserve">Company checks at onboarding (KYB)</t>
  </si>
  <si>
    <t xml:space="preserve">FCFA / company</t>
  </si>
  <si>
    <t xml:space="preserve">€8–30 per company (cost breakdown).</t>
  </si>
  <si>
    <t xml:space="preserve">ID check per person</t>
  </si>
  <si>
    <t xml:space="preserve">Sumsub incl. AML screening, about €1.2–1.6.</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</si>
  <si>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</si>
  <si>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</si>
  <si>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</si>
  <si>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</si>
  <si>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</si>
  <si>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</si>
  <si>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</si>
  <si>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</si>
  <si>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</si>
  <si>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</si>
  <si>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</si>
  <si>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</si>
  <si>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</si>
  <si>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 of amount</t>
  </si>
  <si>
    <t xml:space="preserve">Estimate via PI-SPI / aggregator; Wave charges businesses 1% sender-pays. Quote needed.</t>
  </si>
  <si>
    <t xml:space="preserve">Cost of a salary paid to a bank account</t>
  </si>
  <si>
    <t xml:space="preserve">FCFA / payout</t>
  </si>
  <si>
    <t xml:space="preserve">PI-SPI / interbank transfer (estimate).</t>
  </si>
  <si>
    <t xml:space="preserve">Cost of a supplier payout</t>
  </si>
  <si>
    <t xml:space="preserve">Blend of PI-SPI, bank and wallet (estimate).</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</si>
  <si>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</si>
  <si>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</si>
  <si>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</si>
  <si>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</si>
  <si>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later own SFD)</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</si>
  <si>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</si>
  <si>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</si>
  <si>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</si>
  <si>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</si>
  <si>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</si>
  <si>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</si>
  <si>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</si>
  <si>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</si>
  <si>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</si>
  <si>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</si>
  <si>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</si>
  <si>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under the 24% SFD usury cap.</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</si>
  <si>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</si>
  <si>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</si>
  <si>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</si>
  <si>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</si>
  <si>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</si>
  <si>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</si>
  <si>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</si>
  <si>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</si>
  <si>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After 6 months of transactions.</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</si>
  <si>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</si>
  <si>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</si>
  <si>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</si>
  <si>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</si>
  <si>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</si>
  <si>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</si>
  <si>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</si>
  <si>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</si>
  <si>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</si>
  <si>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</si>
  <si>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</si>
  <si>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</si>
  <si>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</si>
  <si>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</si>
  <si>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</si>
  <si>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</si>
  <si>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</si>
  <si>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</si>
  <si>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</si>
  <si>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</si>
  <si>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</si>
  <si>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</si>
  <si>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Tabax share of the net margin while the partner SFD funds</t>
  </si>
  <si>
    <t xml:space="preserve">Negotiated; Tabax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</si>
  <si>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</si>
  <si>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</si>
  <si>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</si>
  <si>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</si>
  <si>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Staff charges (Senegal)</t>
  </si>
  <si>
    <t xml:space="preserve">IPRES pension, employer</t>
  </si>
  <si>
    <t xml:space="preserve">Up to the ceiling below.</t>
  </si>
  <si>
    <t xml:space="preserve">IPRES ceiling</t>
  </si>
  <si>
    <t xml:space="preserve">IPRES managers' supplement</t>
  </si>
  <si>
    <t xml:space="preserve">On the slice between the two ceilings.</t>
  </si>
  <si>
    <t xml:space="preserve">IPRES managers' ceiling</t>
  </si>
  <si>
    <t xml:space="preserve">CSS family allowances + work accidents</t>
  </si>
  <si>
    <t xml:space="preserve">7% + 1%, up to the ceiling below.</t>
  </si>
  <si>
    <t xml:space="preserve">CSS ceiling</t>
  </si>
  <si>
    <t xml:space="preserve">IPM health fund, employer</t>
  </si>
  <si>
    <t xml:space="preserve">IPM ceiling</t>
  </si>
  <si>
    <t xml:space="preserve">CFCE payroll tax</t>
  </si>
  <si>
    <t xml:space="preserve">On the whole salary.</t>
  </si>
  <si>
    <t xml:space="preserve">13th month</t>
  </si>
  <si>
    <t xml:space="preserve">months / year</t>
  </si>
  <si>
    <t xml:space="preserve">Spread monthly.</t>
  </si>
  <si>
    <t xml:space="preserve">Transport allowance</t>
  </si>
  <si>
    <t xml:space="preserve">Private health top-up</t>
  </si>
  <si>
    <t xml:space="preserve">Laptop and equipment per new hire (capex)</t>
  </si>
  <si>
    <t xml:space="preserve">Phone and data plan per employee</t>
  </si>
  <si>
    <t xml:space="preserve">Software tools per employee</t>
  </si>
  <si>
    <t xml:space="preserve">USD / month</t>
  </si>
  <si>
    <t xml:space="preserve">Workspace, code hosting, design, monitoring.</t>
  </si>
  <si>
    <t xml:space="preserve">Depreciation period for capex</t>
  </si>
  <si>
    <t xml:space="preserve">9. Fixed costs by year</t>
  </si>
  <si>
    <t xml:space="preserve">Year 1</t>
  </si>
  <si>
    <t xml:space="preserve">Year 2</t>
  </si>
  <si>
    <t xml:space="preserve">Year 3</t>
  </si>
  <si>
    <t xml:space="preserve">Year 4</t>
  </si>
  <si>
    <t xml:space="preserve">Year 5</t>
  </si>
  <si>
    <t xml:space="preserve">Office and equipment</t>
  </si>
  <si>
    <t xml:space="preserve">Coworking before the office opens</t>
  </si>
  <si>
    <t xml:space="preserve">8 desks × 100k FCFA (Impact Hub / Jokkolabs: 70–150k a desk).</t>
  </si>
  <si>
    <t xml:space="preserve">Dakar office surface</t>
  </si>
  <si>
    <t xml:space="preserve">m²</t>
  </si>
  <si>
    <t xml:space="preserve">Point E / Mermoz.</t>
  </si>
  <si>
    <t xml:space="preserve">Office rent and charges per m²</t>
  </si>
  <si>
    <t xml:space="preserve">FCFA / m² / month</t>
  </si>
  <si>
    <t xml:space="preserve">8,500 rent + 2,000 charges.</t>
  </si>
  <si>
    <t xml:space="preserve">Electricity (Senelec)</t>
  </si>
  <si>
    <t xml:space="preserve">From the office opening.</t>
  </si>
  <si>
    <t xml:space="preserve">Internet (fibre + dedicated line)</t>
  </si>
  <si>
    <t xml:space="preserve">Cleaning, security, supplies</t>
  </si>
  <si>
    <t xml:space="preserve">Abidjan office</t>
  </si>
  <si>
    <t xml:space="preserve">Coworking in year 2, then 120 m² in Cocody / Plateau.</t>
  </si>
  <si>
    <t xml:space="preserve">Office fit-out, furniture, generator (capex)</t>
  </si>
  <si>
    <t xml:space="preserve">FCFA / year</t>
  </si>
  <si>
    <t xml:space="preserve">Paid at the office opening in year 1, then in the first month of each year.</t>
  </si>
  <si>
    <t xml:space="preserve">Technology</t>
  </si>
  <si>
    <t xml:space="preserve">Core ledger / banking platform</t>
  </si>
  <si>
    <t xml:space="preserve">USD / year</t>
  </si>
  <si>
    <t xml:space="preserve">Open-source hosted + support, or regional vendor.</t>
  </si>
  <si>
    <t xml:space="preserve">Cloud hosting</t>
  </si>
  <si>
    <t xml:space="preserve">No AWS/GCP region in WAEMU; CDP authorisation for data abroad.</t>
  </si>
  <si>
    <t xml:space="preserve">Transaction monitoring and sanctions screening</t>
  </si>
  <si>
    <t xml:space="preserve">Back-office and internal tools</t>
  </si>
  <si>
    <t xml:space="preserve">Freelance QA, DevOps on-call, design help</t>
  </si>
  <si>
    <t xml:space="preserve">Penetration tests and PCI DSS</t>
  </si>
  <si>
    <t xml:space="preserve">Card processor monthly minimum</t>
  </si>
  <si>
    <t xml:space="preserve">Tabax pays the higher of this minimum and the per-card fees.</t>
  </si>
  <si>
    <t xml:space="preserve">Card processor set-up fee (one-off)</t>
  </si>
  <si>
    <t xml:space="preserve">USD</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</si>
  <si>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</si>
  <si>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</si>
  <si>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</si>
  <si>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</si>
  <si>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</si>
  <si>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</si>
  <si>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</si>
  <si>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</si>
  <si>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</si>
  <si>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</si>
  <si>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</si>
  <si>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Legal, regulatory and audit</t>
  </si>
  <si>
    <t xml:space="preserve">Company set-up, Senegal (one-off, month 1)</t>
  </si>
  <si>
    <t xml:space="preserve">1.5–3M FCFA excluding capital.</t>
  </si>
  <si>
    <t xml:space="preserve">Company set-up, Côte d'Ivoire (one-off)</t>
  </si>
  <si>
    <t xml:space="preserve">Payment licence file, Senegal: counsel and consultants</t>
  </si>
  <si>
    <t xml:space="preserve">30–80M FCFA per file (estimate; key gap).</t>
  </si>
  <si>
    <t xml:space="preserve">Payment licence file, Côte d'Ivoire</t>
  </si>
  <si>
    <t xml:space="preserve">SFD project (licence or acquisition due diligence)</t>
  </si>
  <si>
    <t xml:space="preserve">Ongoing legal counsel</t>
  </si>
  <si>
    <t xml:space="preserve">Statutory auditor</t>
  </si>
  <si>
    <t xml:space="preserve">10–25M FCFA once licensed; two entities from year 2.</t>
  </si>
  <si>
    <t xml:space="preserve">External chartered accountant and tax adviser</t>
  </si>
  <si>
    <t xml:space="preserve">Independent AML audit (mandatory)</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</si>
  <si>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</si>
  <si>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</si>
  <si>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</si>
  <si>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</si>
  <si>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</si>
  <si>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</si>
  <si>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website, launch events, PR</t>
  </si>
  <si>
    <t xml:space="preserve">Events, sponsorships, sales materials</t>
  </si>
  <si>
    <t xml:space="preserve">Other</t>
  </si>
  <si>
    <t xml:space="preserve">Recruitment fees (executive search, job boards)</t>
  </si>
  <si>
    <t xml:space="preserve">Search firms charge about 30% of annual gross.</t>
  </si>
  <si>
    <t xml:space="preserve">Travel (Dakar–Abidjan, regulators, partners)</t>
  </si>
  <si>
    <t xml:space="preserve">Company bank fees and miscellaneous</t>
  </si>
  <si>
    <t xml:space="preserve">10. Cash, capital and funding</t>
  </si>
  <si>
    <t xml:space="preserve">Cash at month 1 before the first round</t>
  </si>
  <si>
    <t xml:space="preserve">Payment licence minimum capital, Senegal</t>
  </si>
  <si>
    <t xml:space="preserve">BCEAO: 100M FCFA per country for a payment institution. Kept as restricted cash in this model.</t>
  </si>
  <si>
    <t xml:space="preserve">Payment licence minimum capital, Côte d'Ivoire</t>
  </si>
  <si>
    <t xml:space="preserve">Card programme collateral at the partner bank</t>
  </si>
  <si>
    <t xml:space="preserve">To quote.</t>
  </si>
  <si>
    <t xml:space="preserve">Office deposit</t>
  </si>
  <si>
    <t xml:space="preserve">months of rent</t>
  </si>
  <si>
    <t xml:space="preserve">Own SFD: licence capital or acquisition</t>
  </si>
  <si>
    <t xml:space="preserve">Unknown; mid-range estimate (≈ €990k).</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</si>
  <si>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</si>
  <si>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</si>
  <si>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</si>
  <si>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</si>
  <si>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</si>
  <si>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</si>
  <si>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own SFD and the credit book's equity.</t>
  </si>
  <si>
    <t xml:space="preserve">Series B: amount</t>
  </si>
  <si>
    <t xml:space="preserve">One line per hire or group of identical hires. Edit headcount, start month, end month (leave blank if they stay) and gross salary. Spare lines at the bottom for new roles.</t>
  </si>
  <si>
    <t xml:space="preserve">#</t>
  </si>
  <si>
    <t xml:space="preserve">Department</t>
  </si>
  <si>
    <t xml:space="preserve">Role</t>
  </si>
  <si>
    <t xml:space="preserve">Country</t>
  </si>
  <si>
    <t xml:space="preserve">Category</t>
  </si>
  <si>
    <t xml:space="preserve">Headcount</t>
  </si>
  <si>
    <t xml:space="preserve">Start month</t>
  </si>
  <si>
    <t xml:space="preserve">End month</t>
  </si>
  <si>
    <t xml:space="preserve">Gross salary (FCFA / month)</t>
  </si>
  <si>
    <t xml:space="preserve">Manager (Y/N)</t>
  </si>
  <si>
    <t xml:space="preserve">Employer cost per person (FCFA / month)</t>
  </si>
  <si>
    <t xml:space="preserve">Note</t>
  </si>
  <si>
    <t xml:space="preserve">Leadership</t>
  </si>
  <si>
    <t xml:space="preserve">CEO</t>
  </si>
  <si>
    <t xml:space="preserve">SN</t>
  </si>
  <si>
    <t xml:space="preserve">Y</t>
  </si>
  <si>
    <t xml:space="preserve">CTO (also codes)</t>
  </si>
  <si>
    <t xml:space="preserve">COO</t>
  </si>
  <si>
    <t xml:space="preserve">CFO</t>
  </si>
  <si>
    <t xml:space="preserve">Country manager, Abidjan</t>
  </si>
  <si>
    <t xml:space="preserve">CI</t>
  </si>
  <si>
    <t xml:space="preserve">Hired 6 months before the Côte d'Ivoire launch.</t>
  </si>
  <si>
    <t xml:space="preserve">Engineering &amp; product</t>
  </si>
  <si>
    <t xml:space="preserve">Senior backend developer</t>
  </si>
  <si>
    <t xml:space="preserve">Lean team: 3 developers in year 1.</t>
  </si>
  <si>
    <t xml:space="preserve">Senior mobile developer (Flutter / React Native)</t>
  </si>
  <si>
    <t xml:space="preserve">Full-stack web developer</t>
  </si>
  <si>
    <t xml:space="preserve">Product designer (UI/UX)</t>
  </si>
  <si>
    <t xml:space="preserve">Data scientist (credit scoring)</t>
  </si>
  <si>
    <t xml:space="preserve">Builds the scoring model before credit starts.</t>
  </si>
  <si>
    <t xml:space="preserve">Product manager</t>
  </si>
  <si>
    <t xml:space="preserve">DevOps / security engineer</t>
  </si>
  <si>
    <t xml:space="preserve">Senior mobile developer</t>
  </si>
  <si>
    <t xml:space="preserve">Compliance &amp; risk</t>
  </si>
  <si>
    <t xml:space="preserve">Head of compliance / AML officer</t>
  </si>
  <si>
    <t xml:space="preserve">Named compliance officer needed for the licence file.</t>
  </si>
  <si>
    <t xml:space="preserve">Compliance analyst</t>
  </si>
  <si>
    <t xml:space="preserve">Compliance officer, Abidjan</t>
  </si>
  <si>
    <t xml:space="preserve">Credit risk manager</t>
  </si>
  <si>
    <t xml:space="preserve">Ready for credit at month 12.</t>
  </si>
  <si>
    <t xml:space="preserve">Credit analyst</t>
  </si>
  <si>
    <t xml:space="preserve">Collections agent (incl. variable pay)</t>
  </si>
  <si>
    <t xml:space="preserve">N</t>
  </si>
  <si>
    <t xml:space="preserve">Operations &amp; support</t>
  </si>
  <si>
    <t xml:space="preserve">KYC / onboarding agent</t>
  </si>
  <si>
    <t xml:space="preserve">Customer support agent</t>
  </si>
  <si>
    <t xml:space="preserve">KYC and support agent, Abidjan</t>
  </si>
  <si>
    <t xml:space="preserve">Operations manager</t>
  </si>
  <si>
    <t xml:space="preserve">Sales &amp; partnerships</t>
  </si>
  <si>
    <t xml:space="preserve">Head of sales (incl. 25% bonus)</t>
  </si>
  <si>
    <t xml:space="preserve">Partnerships manager (accountants, payroll software)</t>
  </si>
  <si>
    <t xml:space="preserve">Field sales rep (300k fixed + ~100k commission)</t>
  </si>
  <si>
    <t xml:space="preserve">Sales rep</t>
  </si>
  <si>
    <t xml:space="preserve">Reps drive client acquisition (see Sales &amp; marketing).</t>
  </si>
  <si>
    <t xml:space="preserve">Field sales rep</t>
  </si>
  <si>
    <t xml:space="preserve">Field sales rep, Abidjan</t>
  </si>
  <si>
    <t xml:space="preserve">Key account manager (Grande clients)</t>
  </si>
  <si>
    <t xml:space="preserve">Marketing</t>
  </si>
  <si>
    <t xml:space="preserve">Marketing and growth manager</t>
  </si>
  <si>
    <t xml:space="preserve">Content and community officer</t>
  </si>
  <si>
    <t xml:space="preserve">Finance &amp; admin</t>
  </si>
  <si>
    <t xml:space="preserve">Accountant</t>
  </si>
  <si>
    <t xml:space="preserve">HR / admin assistant</t>
  </si>
  <si>
    <t xml:space="preserve">Year 5: scale with volumes.</t>
  </si>
  <si>
    <t xml:space="preserve">Employer cost = gross + IPRES (+ managers' supplement) + CSS + IPM + CFCE + 13th month + transport + private health (rates on Assumptions, section 8). Côte d'Ivoire staff use the same rates as an approximation (CNPS rates differ).</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</si>
  <si>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</si>
  <si>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</si>
  <si>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</si>
  <si>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</si>
  <si>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</si>
  <si>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</si>
  <si>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Summary</t>
  </si>
  <si>
    <t xml:space="preserve">Total headcount</t>
  </si>
  <si>
    <t xml:space="preserve">Headcount, Senegal</t>
  </si>
  <si>
    <t xml:space="preserve">Headcount, Côte d'Ivoire</t>
  </si>
  <si>
    <t xml:space="preserve">Field sales reps, Senegal</t>
  </si>
  <si>
    <t xml:space="preserve">Field sales reps, Côte d'Ivoire</t>
  </si>
  <si>
    <t xml:space="preserve">New hires this month</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</si>
  <si>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</si>
  <si>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</si>
  <si>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</si>
  <si>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</si>
  <si>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</si>
  <si>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</si>
  <si>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</si>
  <si>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</si>
  <si>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</si>
  <si>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Client acquisition by channel and country, and the non-staff sales and marketing budget.</t>
  </si>
  <si>
    <t xml:space="preserve">Markets open</t>
  </si>
  <si>
    <t xml:space="preserve">Senegal open (1 = yes)</t>
  </si>
  <si>
    <t xml:space="preserve">flag</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</si>
  <si>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</si>
  <si>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</si>
  <si>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</si>
  <si>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</si>
  <si>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</si>
  <si>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</si>
  <si>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</si>
  <si>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</si>
  <si>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</si>
  <si>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</si>
  <si>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</si>
  <si>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</si>
  <si>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</si>
  <si>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</si>
  <si>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</si>
  <si>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</si>
  <si>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Petite</t>
  </si>
  <si>
    <t xml:space="preserve">of which Moyenne</t>
  </si>
  <si>
    <t xml:space="preserve">of which Grande</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</si>
  <si>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</si>
  <si>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</si>
  <si>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</si>
  <si>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</si>
  <si>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</si>
  <si>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</si>
  <si>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</si>
  <si>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</si>
  <si>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</si>
  <si>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Active clients by plan, usage and every revenue line except credit (see Credit).</t>
  </si>
  <si>
    <t xml:space="preserve">New clients by plan</t>
  </si>
  <si>
    <t xml:space="preserve">New clients, Petite</t>
  </si>
  <si>
    <t xml:space="preserve">New clients, Moyenne</t>
  </si>
  <si>
    <t xml:space="preserve">New clients, Grande</t>
  </si>
  <si>
    <t xml:space="preserve">Active clients (end of month)</t>
  </si>
  <si>
    <t xml:space="preserve">Active clients, Petite</t>
  </si>
  <si>
    <t xml:space="preserve">Active clients, Moyenne</t>
  </si>
  <si>
    <t xml:space="preserve">Active clients, Grande</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</si>
  <si>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</si>
  <si>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</si>
  <si>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</si>
  <si>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</si>
  <si>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</si>
  <si>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Petite</t>
  </si>
  <si>
    <t xml:space="preserve">In free months, Moyenne</t>
  </si>
  <si>
    <t xml:space="preserve">In free months, Grande</t>
  </si>
  <si>
    <t xml:space="preserve">Paying clients, Petite</t>
  </si>
  <si>
    <t xml:space="preserve">Paying clients, Moyenne</t>
  </si>
  <si>
    <t xml:space="preserve">Paying clients, Grande</t>
  </si>
  <si>
    <t xml:space="preserve">Usage</t>
  </si>
  <si>
    <t xml:space="preserve">Employees of active clients</t>
  </si>
  <si>
    <t xml:space="preserve">Employee salary accounts</t>
  </si>
  <si>
    <t xml:space="preserve">accounts</t>
  </si>
  <si>
    <t xml:space="preserve">Physical cards issued</t>
  </si>
  <si>
    <t xml:space="preserve">Physical cards charged (first one free)</t>
  </si>
  <si>
    <t xml:space="preserve">Active cards</t>
  </si>
  <si>
    <t xml:space="preserve">Card spending in FCFA</t>
  </si>
  <si>
    <t xml:space="preserve">Card spending in foreign currencies</t>
  </si>
  <si>
    <t xml:space="preserve">Client balances (average)</t>
  </si>
  <si>
    <t xml:space="preserve">Salaries paid through Tabax</t>
  </si>
  <si>
    <t xml:space="preserve">Supplier payouts</t>
  </si>
  <si>
    <t xml:space="preserve">Supplier payouts above the allowance</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</si>
  <si>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</si>
  <si>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</si>
  <si>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</si>
  <si>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</si>
  <si>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Petite</t>
  </si>
  <si>
    <t xml:space="preserve">Subscriptions, Moyenne</t>
  </si>
  <si>
    <t xml:space="preserve">Subscriptions, Grande</t>
  </si>
  <si>
    <t xml:space="preserve">Subscriptions</t>
  </si>
  <si>
    <t xml:space="preserve">Fees on foreign-currency card spending</t>
  </si>
  <si>
    <t xml:space="preserve">Interchange share on FCFA card spending</t>
  </si>
  <si>
    <t xml:space="preserve">Physical card fees</t>
  </si>
  <si>
    <t xml:space="preserve">Payment link fees</t>
  </si>
  <si>
    <t xml:space="preserve">Revenue excluding credit</t>
  </si>
  <si>
    <t xml:space="preserve">Loan book by product, interest, cost of funds, losses and the share Tabax keeps. The partner SFD is the lender of record until the own SFD funds the book.</t>
  </si>
  <si>
    <t xml:space="preserve">Active clients</t>
  </si>
  <si>
    <t xml:space="preserve">Ramp-up (share of full uptake)</t>
  </si>
  <si>
    <t xml:space="preserve">Factoring</t>
  </si>
  <si>
    <t xml:space="preserve">Payroll bridge</t>
  </si>
  <si>
    <t xml:space="preserve">Credit line</t>
  </si>
  <si>
    <t xml:space="preserve">Equipment and term loans</t>
  </si>
  <si>
    <t xml:space="preserve">Salary advances</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</si>
  <si>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</si>
  <si>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</si>
  <si>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</si>
  <si>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</si>
  <si>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</si>
  <si>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</si>
  <si>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Credit losses</t>
  </si>
  <si>
    <t xml:space="preserve">Net credit margin</t>
  </si>
  <si>
    <t xml:space="preserve">Share kept by Tabax</t>
  </si>
  <si>
    <t xml:space="preserve">Net credit income to Tabax</t>
  </si>
  <si>
    <t xml:space="preserve">Cash tied up by credit</t>
  </si>
  <si>
    <t xml:space="preserve">First-loss reserve or equity in the loan book</t>
  </si>
  <si>
    <t xml:space="preserve">Every cost line by month: variable costs that grow with clients, then fixed costs by category, capex and depreciation.</t>
  </si>
  <si>
    <t xml:space="preserve">Variable costs (cost to serve)</t>
  </si>
  <si>
    <t xml:space="preserve">Onboarding checks (KYB, ID checks, employee accounts)</t>
  </si>
  <si>
    <t xml:space="preserve">Card processing (per active card)</t>
  </si>
  <si>
    <t xml:space="preserve">Physical cards printed and delivered</t>
  </si>
  <si>
    <t xml:space="preserve">Salaries paid to wallets</t>
  </si>
  <si>
    <t xml:space="preserve">Salaries paid to bank accounts</t>
  </si>
  <si>
    <t xml:space="preserve">Payment link collection costs</t>
  </si>
  <si>
    <t xml:space="preserve">SMS, WhatsApp and support tools</t>
  </si>
  <si>
    <t xml:space="preserve">Employee account processing</t>
  </si>
  <si>
    <t xml:space="preserve">Total variable costs</t>
  </si>
  <si>
    <t xml:space="preserve">Total staff</t>
  </si>
  <si>
    <t xml:space="preserve">Dakar office rent and charges</t>
  </si>
  <si>
    <t xml:space="preserve">Electricity</t>
  </si>
  <si>
    <t xml:space="preserve">Internet</t>
  </si>
  <si>
    <t xml:space="preserve">Phones and data plans</t>
  </si>
  <si>
    <t xml:space="preserve">Total office and equipment</t>
  </si>
  <si>
    <t xml:space="preserve">Freelance QA, DevOps, design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</si>
  <si>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</si>
  <si>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</si>
  <si>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</si>
  <si>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</si>
  <si>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</si>
  <si>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</si>
  <si>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</si>
  <si>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</si>
  <si>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Payment licence file, Senegal</t>
  </si>
  <si>
    <t xml:space="preserve">External accountant and tax adviser</t>
  </si>
  <si>
    <t xml:space="preserve">Independent AML audit</t>
  </si>
  <si>
    <t xml:space="preserve">Data-protection filings</t>
  </si>
  <si>
    <t xml:space="preserve">Insurance</t>
  </si>
  <si>
    <t xml:space="preserve">Total legal, regulatory and audit</t>
  </si>
  <si>
    <t xml:space="preserve">Total sales and marketing (non-staff)</t>
  </si>
  <si>
    <t xml:space="preserve">Recruitment fees</t>
  </si>
  <si>
    <t xml:space="preserve">Travel</t>
  </si>
  <si>
    <t xml:space="preserve">Total other</t>
  </si>
  <si>
    <t xml:space="preserve">Fixed costs summary</t>
  </si>
  <si>
    <t xml:space="preserve">Fixed costs before contingency</t>
  </si>
  <si>
    <t xml:space="preserve">Contingency</t>
  </si>
  <si>
    <t xml:space="preserve">Total fixed costs</t>
  </si>
  <si>
    <t xml:space="preserve">Capex and depreciation</t>
  </si>
  <si>
    <t xml:space="preserve">Laptops and equipment for new hires</t>
  </si>
  <si>
    <t xml:space="preserve">Office fit-out and furniture</t>
  </si>
  <si>
    <t xml:space="preserve">Total capex</t>
  </si>
  <si>
    <t xml:space="preserve">Depreciation</t>
  </si>
  <si>
    <t xml:space="preserve">Profit and loss by month. Revenue excludes VAT and taxes on financial services.</t>
  </si>
  <si>
    <t xml:space="preserve">Revenue</t>
  </si>
  <si>
    <t xml:space="preserve">Interchange share</t>
  </si>
  <si>
    <t xml:space="preserve">Supplier payout fees above the allowance</t>
  </si>
  <si>
    <t xml:space="preserve">Net credit income</t>
  </si>
  <si>
    <t xml:space="preserve">Cost of revenue (variable costs)</t>
  </si>
  <si>
    <t xml:space="preserve">Bank accounts and onboarding</t>
  </si>
  <si>
    <t xml:space="preserve">Cards: processing, production, scheme fees, fraud</t>
  </si>
  <si>
    <t xml:space="preserve">Payouts and collections</t>
  </si>
  <si>
    <t xml:space="preserve">Messaging and employee accounts</t>
  </si>
  <si>
    <t xml:space="preserve">Total cost of revenue</t>
  </si>
  <si>
    <t xml:space="preserve">Operating expenses</t>
  </si>
  <si>
    <t xml:space="preserve">Operating result (EBIT)</t>
  </si>
  <si>
    <t xml:space="preserve">Cumulative EBIT (for tax losses carried forward)</t>
  </si>
  <si>
    <t xml:space="preserve">Corporate income tax</t>
  </si>
  <si>
    <t xml:space="preserve">Cumulative net income</t>
  </si>
  <si>
    <t xml:space="preserve">Helpers</t>
  </si>
  <si>
    <t xml:space="preserve">Month number if EBITDA is positive (999 otherwise)</t>
  </si>
  <si>
    <t xml:space="preserve">Years 1–5, summed from the monthly sheets. Euro view at the bottom.</t>
  </si>
  <si>
    <t xml:space="preserve">5 years</t>
  </si>
  <si>
    <t xml:space="preserve">Fiscal year</t>
  </si>
  <si>
    <t xml:space="preserve">Revenue (FCFA)</t>
  </si>
  <si>
    <t xml:space="preserve">Revenue growth</t>
  </si>
  <si>
    <t xml:space="preserve">Cost of revenue</t>
  </si>
  <si>
    <t xml:space="preserve">Cash and funding (FCFA)</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</si>
  <si>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</si>
  <si>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</si>
  <si>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</si>
  <si>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</si>
  <si>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</si>
  <si>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</si>
  <si>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</si>
  <si>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In euros (thousands)</t>
  </si>
  <si>
    <t xml:space="preserve">Total revenue (€k)</t>
  </si>
  <si>
    <t xml:space="preserve">Gross margin (€k)</t>
  </si>
  <si>
    <t xml:space="preserve">Total operating expenses (€k)</t>
  </si>
  <si>
    <t xml:space="preserve">Equity raised (€k)</t>
  </si>
  <si>
    <t xml:space="preserve">Closing cash (end of year) (€k)</t>
  </si>
  <si>
    <t xml:space="preserve">Loan book (end of year) (€k)</t>
  </si>
  <si>
    <t xml:space="preserve">Monthly cash: operating result, capex, cash set aside (licence capital, collateral, credit), funding rounds and the closing balance.</t>
  </si>
  <si>
    <t xml:space="preserve">Operations</t>
  </si>
  <si>
    <t xml:space="preserve">Add back depreciation</t>
  </si>
  <si>
    <t xml:space="preserve">Capex</t>
  </si>
  <si>
    <t xml:space="preserve">Cash set aside (restricted)</t>
  </si>
  <si>
    <t xml:space="preserve">Licence capital, Senegal</t>
  </si>
  <si>
    <t xml:space="preserve">Licence capital, Côte d'Ivoire</t>
  </si>
  <si>
    <t xml:space="preserve">Card programme collateral</t>
  </si>
  <si>
    <t xml:space="preserve">Own SFD licence or acquisition</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</si>
  <si>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</si>
  <si>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</si>
  <si>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</si>
  <si>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</si>
  <si>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</si>
  <si>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</si>
  <si>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</si>
  <si>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</si>
  <si>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</si>
  <si>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Unit economics and KPIs</t>
  </si>
  <si>
    <t xml:space="preserve">Per-client economics and efficiency ratios by year.</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</si>
  <si>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</si>
  <si>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</si>
  <si>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</si>
  <si>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</si>
  <si>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</si>
  <si>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</si>
  <si>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Cost to serve per client</t>
  </si>
  <si>
    <t xml:space="preserve">Contribution per client (gross margin)</t>
  </si>
  <si>
    <t xml:space="preserve">Contribution per client in euros</t>
  </si>
  <si>
    <t xml:space="preserve">€ / month</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</si>
  <si>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</si>
  <si>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</si>
  <si>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</si>
  <si>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</si>
  <si>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</si>
  <si>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</si>
  <si>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</si>
  <si>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</si>
  <si>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</si>
  <si>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</si>
  <si>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</si>
  <si>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</si>
  <si>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</si>
  <si>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Tabax can serve, and the share of them the plan reaches. Blue cells are inputs with their sources.</t>
  </si>
  <si>
    <t xml:space="preserve">Senegal: inputs</t>
  </si>
  <si>
    <t xml:space="preserve">Value</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</si>
  <si>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</si>
  <si>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</si>
  <si>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</si>
  <si>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</si>
  <si>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</si>
  <si>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</si>
  <si>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</si>
  <si>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</si>
  <si>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</si>
  <si>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</si>
  <si>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</si>
  <si>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</si>
  <si>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</si>
  <si>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Tabax's target (2–500 staff, urban, digital)</t>
  </si>
  <si>
    <t xml:space="preserve">Assumption. Core target: Dakar, Thiès, Saint-Louis.</t>
  </si>
  <si>
    <t xml:space="preserve">Côte d'Ivoire: inputs</t>
  </si>
  <si>
    <t xml:space="preserve">Formal employers (estimate)</t>
  </si>
  <si>
    <t xml:space="preserve">ESTIMATE: no published CNPS count of contributing employers was found. About 1.5× Senegal, as Côte d'Ivoire's economy is about twice as large. Replace with the CNPS annual report.</t>
  </si>
  <si>
    <t xml:space="preserve">Assumption.</t>
  </si>
  <si>
    <t xml:space="preserve">New companies created a year (CEPICI, 2025)</t>
  </si>
  <si>
    <t xml:space="preserve">CEPICI 2025 review (Feb 2026): 26,948 companies created, +6%. https://fr.allafrica.com/stories/202602200240.html</t>
  </si>
  <si>
    <t xml:space="preserve">Share of formal employers in Tabax's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</si>
  <si>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</si>
  <si>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</si>
  <si>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</si>
  <si>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</si>
  <si>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</si>
  <si>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</si>
  <si>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</si>
  <si>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</si>
  <si>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</si>
  <si>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Tabax active clients</t>
  </si>
  <si>
    <t xml:space="preserve">Senegal: share of target companies</t>
  </si>
  <si>
    <t xml:space="preserve">Côte d'Ivoire: formal employers</t>
  </si>
  <si>
    <t xml:space="preserve">Côte d'Ivoire: target companies (serviceable market)</t>
  </si>
  <si>
    <t xml:space="preserve">Côte d'Ivoire: Tabax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</si>
  <si>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</si>
  <si>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</si>
  <si>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</si>
  <si>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</si>
  <si>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UBA Senegal: 25,000 FCFA for SA/SARL, 10,000 for small businesses (comparison site, unverified).</t>
  </si>
  <si>
    <t xml:space="preserve">Senegal: what target companies pay for business accounts today</t>
  </si>
  <si>
    <t xml:space="preserve">Account fees only; transfer, card and payout fees come on top. Wave Business charges 1% on bulk payouts.</t>
  </si>
</sst>
</file>

<file path=xl/styles.xml><?xml version="1.0" encoding="utf-8"?>
<styleSheet xmlns="http://schemas.openxmlformats.org/spreadsheetml/2006/main">
  <numFmts count="14">
    <numFmt numFmtId="164" formatCode="General"/>
    <numFmt numFmtId="165" formatCode="0"/>
    <numFmt numFmtId="166" formatCode="mmm\ yyyy"/>
    <numFmt numFmtId="167" formatCode="#,##0;\(#,##0\);\-"/>
    <numFmt numFmtId="168" formatCode="0.0%;\(0.0%\);\-"/>
    <numFmt numFmtId="169" formatCode="#,##0.0;\(#,##0.0\);\-"/>
    <numFmt numFmtId="170" formatCode="dd\ mmm\ yyyy"/>
    <numFmt numFmtId="171" formatCode="#,##0.000"/>
    <numFmt numFmtId="172" formatCode="0.00"/>
    <numFmt numFmtId="173" formatCode="0.00%;\(0.00%\);\-"/>
    <numFmt numFmtId="174" formatCode="mmm\-yy"/>
    <numFmt numFmtId="175" formatCode="\Y0"/>
    <numFmt numFmtId="176" formatCode="0.000"/>
    <numFmt numFmtId="177" formatCode="0.0\x"/>
  </numFmts>
  <fonts count="21">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00000"/>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DCE6F2"/>
        <bgColor rgb="FFD9D9D9"/>
      </patternFill>
    </fill>
    <fill>
      <patternFill patternType="solid">
        <fgColor rgb="FF1F2A44"/>
        <bgColor rgb="FF003366"/>
      </patternFill>
    </fill>
    <fill>
      <patternFill patternType="solid">
        <fgColor rgb="FFFFF6D5"/>
        <bgColor rgb="FFF2F2F2"/>
      </patternFill>
    </fill>
    <fill>
      <patternFill patternType="solid">
        <fgColor rgb="FFF2F2F2"/>
        <bgColor rgb="FFFFF6D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8"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74" fontId="10" fillId="3" borderId="0" xfId="0" applyFont="true" applyBorder="false" applyAlignment="true" applyProtection="false">
      <alignment horizontal="center" vertical="bottom" textRotation="0" wrapText="false" indent="0" shrinkToFit="false"/>
      <protection locked="true" hidden="false"/>
    </xf>
    <xf numFmtId="175"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FF6D5"/>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4A7EBB"/>
      <rgbColor rgb="FF33CCCC"/>
      <rgbColor rgb="FF9BBB59"/>
      <rgbColor rgb="FFFFCC00"/>
      <rgbColor rgb="FFFF9900"/>
      <rgbColor rgb="FFFF6600"/>
      <rgbColor rgb="FF595959"/>
      <rgbColor rgb="FF969696"/>
      <rgbColor rgb="FF003366"/>
      <rgbColor rgb="FF4F81BD"/>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annual'!$D$17:$H$17</c:f>
              <c:numCache>
                <c:formatCode>#,##0;\(#,##0\);\-</c:formatCode>
                <c:ptCount val="5"/>
                <c:pt idx="0">
                  <c:v>67080801.9356248</c:v>
                </c:pt>
                <c:pt idx="1">
                  <c:v>585747907.702062</c:v>
                </c:pt>
                <c:pt idx="2">
                  <c:v>1992788730.32503</c:v>
                </c:pt>
                <c:pt idx="3">
                  <c:v>4412921209.80011</c:v>
                </c:pt>
                <c:pt idx="4">
                  <c:v>7234896742.14229</c:v>
                </c:pt>
              </c:numCache>
            </c:numRef>
          </c:val>
        </c:ser>
        <c:ser>
          <c:idx val="1"/>
          <c:order val="1"/>
          <c:tx>
            <c:strRef>
              <c:f>"Operating expenses"</c:f>
              <c:strCache>
                <c:ptCount val="1"/>
                <c:pt idx="0">
                  <c:v>Operating expenses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annual'!$D$38:$H$38</c:f>
              <c:numCache>
                <c:formatCode>#,##0;\(#,##0\);\-</c:formatCode>
                <c:ptCount val="5"/>
                <c:pt idx="0">
                  <c:v>632018518.529222</c:v>
                </c:pt>
                <c:pt idx="1">
                  <c:v>1056527734.94417</c:v>
                </c:pt>
                <c:pt idx="2">
                  <c:v>1422615057.51604</c:v>
                </c:pt>
                <c:pt idx="3">
                  <c:v>1747968947.13125</c:v>
                </c:pt>
                <c:pt idx="4">
                  <c:v>2110183819.67424</c:v>
                </c:pt>
              </c:numCache>
            </c:numRef>
          </c:val>
        </c:ser>
        <c:ser>
          <c:idx val="2"/>
          <c:order val="2"/>
          <c:tx>
            <c:strRef>
              <c:f>"EBITDA"</c:f>
              <c:strCache>
                <c:ptCount val="1"/>
                <c:pt idx="0">
                  <c:v>EBITDA</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annual'!$D$39:$H$39</c:f>
              <c:numCache>
                <c:formatCode>#,##0;\(#,##0\);\-</c:formatCode>
                <c:ptCount val="5"/>
                <c:pt idx="0">
                  <c:v>-631834718.635086</c:v>
                </c:pt>
                <c:pt idx="1">
                  <c:v>-896688592.488077</c:v>
                </c:pt>
                <c:pt idx="2">
                  <c:v>-732819124.960688</c:v>
                </c:pt>
                <c:pt idx="3">
                  <c:v>84273345.2105331</c:v>
                </c:pt>
                <c:pt idx="4">
                  <c:v>1010920686.74305</c:v>
                </c:pt>
              </c:numCache>
            </c:numRef>
          </c:val>
        </c:ser>
        <c:gapWidth val="150"/>
        <c:overlap val="0"/>
        <c:axId val="28270646"/>
        <c:axId val="2618675"/>
      </c:barChart>
      <c:catAx>
        <c:axId val="2827064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18675"/>
        <c:crosses val="autoZero"/>
        <c:auto val="1"/>
        <c:lblAlgn val="ctr"/>
        <c:lblOffset val="100"/>
        <c:noMultiLvlLbl val="0"/>
      </c:catAx>
      <c:valAx>
        <c:axId val="261867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27064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47.4666666666667</c:v>
                </c:pt>
                <c:pt idx="5">
                  <c:v>94.7501333333333</c:v>
                </c:pt>
                <c:pt idx="6">
                  <c:v>141.890384</c:v>
                </c:pt>
                <c:pt idx="7">
                  <c:v>208.928886511667</c:v>
                </c:pt>
                <c:pt idx="8">
                  <c:v>275.578698710933</c:v>
                </c:pt>
                <c:pt idx="9">
                  <c:v>341.890430631178</c:v>
                </c:pt>
                <c:pt idx="10">
                  <c:v>407.916404536649</c:v>
                </c:pt>
                <c:pt idx="11">
                  <c:v>473.71078239814</c:v>
                </c:pt>
                <c:pt idx="12">
                  <c:v>556.796367209472</c:v>
                </c:pt>
                <c:pt idx="13">
                  <c:v>639.476545251168</c:v>
                </c:pt>
                <c:pt idx="14">
                  <c:v>721.816945433858</c:v>
                </c:pt>
                <c:pt idx="15">
                  <c:v>803.88552773717</c:v>
                </c:pt>
                <c:pt idx="16">
                  <c:v>885.752753033314</c:v>
                </c:pt>
                <c:pt idx="17">
                  <c:v>967.491762526327</c:v>
                </c:pt>
                <c:pt idx="18">
                  <c:v>1072.64523406177</c:v>
                </c:pt>
                <c:pt idx="19">
                  <c:v>1244.79838259668</c:v>
                </c:pt>
                <c:pt idx="20">
                  <c:v>1415.95059615689</c:v>
                </c:pt>
                <c:pt idx="21">
                  <c:v>1586.23078433467</c:v>
                </c:pt>
                <c:pt idx="22">
                  <c:v>1755.77221734932</c:v>
                </c:pt>
                <c:pt idx="23">
                  <c:v>1924.71285058486</c:v>
                </c:pt>
                <c:pt idx="24">
                  <c:v>2128.26233406232</c:v>
                </c:pt>
                <c:pt idx="25">
                  <c:v>2330.92377463262</c:v>
                </c:pt>
                <c:pt idx="26">
                  <c:v>2532.86157574307</c:v>
                </c:pt>
                <c:pt idx="27">
                  <c:v>2734.24612802152</c:v>
                </c:pt>
                <c:pt idx="28">
                  <c:v>2935.25424067013</c:v>
                </c:pt>
                <c:pt idx="29">
                  <c:v>3136.06959736245</c:v>
                </c:pt>
                <c:pt idx="30">
                  <c:v>3336.88323814066</c:v>
                </c:pt>
                <c:pt idx="31">
                  <c:v>3604.89406889961</c:v>
                </c:pt>
                <c:pt idx="32">
                  <c:v>3872.20390013831</c:v>
                </c:pt>
                <c:pt idx="33">
                  <c:v>4139.0486142605</c:v>
                </c:pt>
                <c:pt idx="34">
                  <c:v>4405.6733071276</c:v>
                </c:pt>
                <c:pt idx="35">
                  <c:v>4672.33293267715</c:v>
                </c:pt>
                <c:pt idx="36">
                  <c:v>4956.75965113034</c:v>
                </c:pt>
                <c:pt idx="37">
                  <c:v>5241.47534970474</c:v>
                </c:pt>
                <c:pt idx="38">
                  <c:v>5526.77391388265</c:v>
                </c:pt>
                <c:pt idx="39">
                  <c:v>5812.96196328324</c:v>
                </c:pt>
                <c:pt idx="40">
                  <c:v>6098.88718658324</c:v>
                </c:pt>
                <c:pt idx="41">
                  <c:v>6381.49275137229</c:v>
                </c:pt>
                <c:pt idx="42">
                  <c:v>6660.9157364558</c:v>
                </c:pt>
                <c:pt idx="43">
                  <c:v>7004.29550357944</c:v>
                </c:pt>
                <c:pt idx="44">
                  <c:v>7343.66844444045</c:v>
                </c:pt>
                <c:pt idx="45">
                  <c:v>7679.19883792155</c:v>
                </c:pt>
                <c:pt idx="46">
                  <c:v>8011.05366216711</c:v>
                </c:pt>
                <c:pt idx="47">
                  <c:v>8339.4028891658</c:v>
                </c:pt>
                <c:pt idx="48">
                  <c:v>8682.01979447833</c:v>
                </c:pt>
                <c:pt idx="49">
                  <c:v>9021.19088306809</c:v>
                </c:pt>
                <c:pt idx="50">
                  <c:v>9357.10218024916</c:v>
                </c:pt>
                <c:pt idx="51">
                  <c:v>9689.94394929066</c:v>
                </c:pt>
                <c:pt idx="52">
                  <c:v>10019.9110737097</c:v>
                </c:pt>
                <c:pt idx="53">
                  <c:v>10347.2034600632</c:v>
                </c:pt>
                <c:pt idx="54">
                  <c:v>10672.0264625159</c:v>
                </c:pt>
                <c:pt idx="55">
                  <c:v>10994.5913305379</c:v>
                </c:pt>
                <c:pt idx="56">
                  <c:v>11315.1156811643</c:v>
                </c:pt>
                <c:pt idx="57">
                  <c:v>11633.823997336</c:v>
                </c:pt>
                <c:pt idx="58">
                  <c:v>11949.2338463064</c:v>
                </c:pt>
                <c:pt idx="59">
                  <c:v>12259.6247855522</c:v>
                </c:pt>
              </c:numCache>
            </c:numRef>
          </c:val>
          <c:smooth val="1"/>
        </c:ser>
        <c:hiLowLines>
          <c:spPr>
            <a:ln w="0">
              <a:noFill/>
            </a:ln>
          </c:spPr>
        </c:hiLowLines>
        <c:marker val="0"/>
        <c:axId val="92102263"/>
        <c:axId val="29945542"/>
      </c:lineChart>
      <c:catAx>
        <c:axId val="9210226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945542"/>
        <c:crosses val="autoZero"/>
        <c:auto val="1"/>
        <c:lblAlgn val="ctr"/>
        <c:lblOffset val="100"/>
        <c:noMultiLvlLbl val="0"/>
      </c:catAx>
      <c:valAx>
        <c:axId val="2994554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022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flow'!$E$29:$BL$29</c:f>
              <c:numCache>
                <c:formatCode>#,##0;\(#,##0\);\-</c:formatCode>
                <c:ptCount val="60"/>
                <c:pt idx="0">
                  <c:v>1160644298.53333</c:v>
                </c:pt>
                <c:pt idx="1">
                  <c:v>1107724808.46667</c:v>
                </c:pt>
                <c:pt idx="2">
                  <c:v>1036503290</c:v>
                </c:pt>
                <c:pt idx="3">
                  <c:v>909669381.733333</c:v>
                </c:pt>
                <c:pt idx="4">
                  <c:v>857501628.133333</c:v>
                </c:pt>
                <c:pt idx="5">
                  <c:v>803641750.126667</c:v>
                </c:pt>
                <c:pt idx="6">
                  <c:v>744392067.665883</c:v>
                </c:pt>
                <c:pt idx="7">
                  <c:v>688310102.299184</c:v>
                </c:pt>
                <c:pt idx="8">
                  <c:v>626753275.552353</c:v>
                </c:pt>
                <c:pt idx="9">
                  <c:v>574886075.226346</c:v>
                </c:pt>
                <c:pt idx="10">
                  <c:v>525133928.998423</c:v>
                </c:pt>
                <c:pt idx="11">
                  <c:v>374915561.677861</c:v>
                </c:pt>
                <c:pt idx="12">
                  <c:v>291771551.596516</c:v>
                </c:pt>
                <c:pt idx="13">
                  <c:v>218333371.847741</c:v>
                </c:pt>
                <c:pt idx="14">
                  <c:v>1944792929.78566</c:v>
                </c:pt>
                <c:pt idx="15">
                  <c:v>1854396670.48648</c:v>
                </c:pt>
                <c:pt idx="16">
                  <c:v>1781269112.75193</c:v>
                </c:pt>
                <c:pt idx="17">
                  <c:v>1709199297.97272</c:v>
                </c:pt>
                <c:pt idx="18">
                  <c:v>1603385764.60039</c:v>
                </c:pt>
                <c:pt idx="19">
                  <c:v>1505098910.69843</c:v>
                </c:pt>
                <c:pt idx="20">
                  <c:v>1406615948.56696</c:v>
                </c:pt>
                <c:pt idx="21">
                  <c:v>1308575295.24487</c:v>
                </c:pt>
                <c:pt idx="22">
                  <c:v>1212567142.93505</c:v>
                </c:pt>
                <c:pt idx="23">
                  <c:v>1126759573.43779</c:v>
                </c:pt>
                <c:pt idx="24">
                  <c:v>1018415008.65948</c:v>
                </c:pt>
                <c:pt idx="25">
                  <c:v>921135753.448888</c:v>
                </c:pt>
                <c:pt idx="26">
                  <c:v>829668479.142162</c:v>
                </c:pt>
                <c:pt idx="27">
                  <c:v>742652597.299207</c:v>
                </c:pt>
                <c:pt idx="28">
                  <c:v>660134068.340869</c:v>
                </c:pt>
                <c:pt idx="29">
                  <c:v>481821194.955523</c:v>
                </c:pt>
                <c:pt idx="30">
                  <c:v>385129221.976583</c:v>
                </c:pt>
                <c:pt idx="31">
                  <c:v>301629332.575245</c:v>
                </c:pt>
                <c:pt idx="32">
                  <c:v>2223009558.85405</c:v>
                </c:pt>
                <c:pt idx="33">
                  <c:v>2149234659.78106</c:v>
                </c:pt>
                <c:pt idx="34">
                  <c:v>2081730340.6591</c:v>
                </c:pt>
                <c:pt idx="35">
                  <c:v>1370468202.42134</c:v>
                </c:pt>
                <c:pt idx="36">
                  <c:v>1106018335.40867</c:v>
                </c:pt>
                <c:pt idx="37">
                  <c:v>1049828215.98996</c:v>
                </c:pt>
                <c:pt idx="38">
                  <c:v>1000882295.33188</c:v>
                </c:pt>
                <c:pt idx="39">
                  <c:v>959531885.094024</c:v>
                </c:pt>
                <c:pt idx="40">
                  <c:v>926004507.670257</c:v>
                </c:pt>
                <c:pt idx="41">
                  <c:v>900853293.821175</c:v>
                </c:pt>
                <c:pt idx="42">
                  <c:v>858285548.973662</c:v>
                </c:pt>
                <c:pt idx="43">
                  <c:v>825193841.89412</c:v>
                </c:pt>
                <c:pt idx="44">
                  <c:v>800872135.496492</c:v>
                </c:pt>
                <c:pt idx="45">
                  <c:v>785206941.874329</c:v>
                </c:pt>
                <c:pt idx="46">
                  <c:v>779545389.29257</c:v>
                </c:pt>
                <c:pt idx="47">
                  <c:v>783780082.490111</c:v>
                </c:pt>
                <c:pt idx="48">
                  <c:v>761683212.849961</c:v>
                </c:pt>
                <c:pt idx="49">
                  <c:v>761010205.657938</c:v>
                </c:pt>
                <c:pt idx="50">
                  <c:v>770056059.043236</c:v>
                </c:pt>
                <c:pt idx="51">
                  <c:v>789101996.455542</c:v>
                </c:pt>
                <c:pt idx="52">
                  <c:v>818049743.36232</c:v>
                </c:pt>
                <c:pt idx="53">
                  <c:v>856804473.596264</c:v>
                </c:pt>
                <c:pt idx="54">
                  <c:v>905274873.647175</c:v>
                </c:pt>
                <c:pt idx="55">
                  <c:v>963373213.211013</c:v>
                </c:pt>
                <c:pt idx="56">
                  <c:v>1031015422.32846</c:v>
                </c:pt>
                <c:pt idx="57">
                  <c:v>1108121175.46609</c:v>
                </c:pt>
                <c:pt idx="58">
                  <c:v>1194906578.40446</c:v>
                </c:pt>
                <c:pt idx="59">
                  <c:v>1291625516.8431</c:v>
                </c:pt>
              </c:numCache>
            </c:numRef>
          </c:val>
          <c:smooth val="1"/>
        </c:ser>
        <c:hiLowLines>
          <c:spPr>
            <a:ln w="0">
              <a:noFill/>
            </a:ln>
          </c:spPr>
        </c:hiLowLines>
        <c:marker val="0"/>
        <c:axId val="76218325"/>
        <c:axId val="99381836"/>
      </c:lineChart>
      <c:catAx>
        <c:axId val="76218325"/>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381836"/>
        <c:crosses val="autoZero"/>
        <c:auto val="1"/>
        <c:lblAlgn val="ctr"/>
        <c:lblOffset val="100"/>
        <c:noMultiLvlLbl val="0"/>
      </c:catAx>
      <c:valAx>
        <c:axId val="9938183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2183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160920</xdr:rowOff>
    </xdr:from>
    <xdr:to>
      <xdr:col>20</xdr:col>
      <xdr:colOff>4320</xdr:colOff>
      <xdr:row>17</xdr:row>
      <xdr:rowOff>182880</xdr:rowOff>
    </xdr:to>
    <xdr:graphicFrame>
      <xdr:nvGraphicFramePr>
        <xdr:cNvPr id="0" name="Chart 1"/>
        <xdr:cNvGraphicFramePr/>
      </xdr:nvGraphicFramePr>
      <xdr:xfrm>
        <a:off x="1224144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19</xdr:row>
      <xdr:rowOff>160560</xdr:rowOff>
    </xdr:from>
    <xdr:to>
      <xdr:col>20</xdr:col>
      <xdr:colOff>4320</xdr:colOff>
      <xdr:row>34</xdr:row>
      <xdr:rowOff>182520</xdr:rowOff>
    </xdr:to>
    <xdr:graphicFrame>
      <xdr:nvGraphicFramePr>
        <xdr:cNvPr id="1" name="Chart 2"/>
        <xdr:cNvGraphicFramePr/>
      </xdr:nvGraphicFramePr>
      <xdr:xfrm>
        <a:off x="1224144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0</xdr:colOff>
      <xdr:row>36</xdr:row>
      <xdr:rowOff>160560</xdr:rowOff>
    </xdr:from>
    <xdr:to>
      <xdr:col>20</xdr:col>
      <xdr:colOff>4320</xdr:colOff>
      <xdr:row>51</xdr:row>
      <xdr:rowOff>182880</xdr:rowOff>
    </xdr:to>
    <xdr:graphicFrame>
      <xdr:nvGraphicFramePr>
        <xdr:cNvPr id="2" name="Chart 3"/>
        <xdr:cNvGraphicFramePr/>
      </xdr:nvGraphicFramePr>
      <xdr:xfrm>
        <a:off x="1224144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1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15" hidden="false" customHeight="false" outlineLevel="0" collapsed="false">
      <c r="B25" s="6"/>
      <c r="C25" s="4"/>
    </row>
    <row r="26" customFormat="false" ht="15" hidden="false" customHeight="false" outlineLevel="0" collapsed="false">
      <c r="B26" s="3" t="s">
        <v>38</v>
      </c>
      <c r="C26" s="4"/>
    </row>
    <row r="27" customFormat="false" ht="15" hidden="false" customHeight="false" outlineLevel="0" collapsed="false">
      <c r="B27" s="5" t="s">
        <v>39</v>
      </c>
      <c r="C27" s="4" t="s">
        <v>40</v>
      </c>
    </row>
    <row r="28" customFormat="false" ht="15" hidden="false" customHeight="false" outlineLevel="0" collapsed="false">
      <c r="B28" s="5" t="s">
        <v>41</v>
      </c>
      <c r="C28" s="4" t="s">
        <v>42</v>
      </c>
    </row>
    <row r="29" customFormat="false" ht="15" hidden="false" customHeight="false" outlineLevel="0" collapsed="false">
      <c r="B29" s="5" t="s">
        <v>43</v>
      </c>
      <c r="C29" s="4" t="s">
        <v>44</v>
      </c>
    </row>
    <row r="30" customFormat="false" ht="15" hidden="false" customHeight="false" outlineLevel="0" collapsed="false">
      <c r="B30" s="6"/>
      <c r="C30" s="4"/>
    </row>
    <row r="31" customFormat="false" ht="15" hidden="false" customHeight="false" outlineLevel="0" collapsed="false">
      <c r="B31" s="3" t="s">
        <v>45</v>
      </c>
      <c r="C31" s="4"/>
    </row>
    <row r="32" customFormat="false" ht="23.85" hidden="false" customHeight="false" outlineLevel="0" collapsed="false">
      <c r="B32" s="5" t="s">
        <v>46</v>
      </c>
      <c r="C32" s="4" t="s">
        <v>47</v>
      </c>
    </row>
    <row r="33" customFormat="false" ht="23.85" hidden="false" customHeight="false" outlineLevel="0" collapsed="false">
      <c r="B33" s="5" t="s">
        <v>48</v>
      </c>
      <c r="C33" s="4" t="s">
        <v>49</v>
      </c>
    </row>
    <row r="34" customFormat="false" ht="15" hidden="false" customHeight="false" outlineLevel="0" collapsed="false">
      <c r="B34" s="5" t="s">
        <v>50</v>
      </c>
      <c r="C34" s="4" t="s">
        <v>51</v>
      </c>
    </row>
    <row r="35" customFormat="false" ht="23.85" hidden="false" customHeight="false" outlineLevel="0" collapsed="false">
      <c r="B35" s="5" t="s">
        <v>24</v>
      </c>
      <c r="C35" s="4" t="s">
        <v>52</v>
      </c>
    </row>
    <row r="36" customFormat="false" ht="23.85" hidden="false" customHeight="false" outlineLevel="0" collapsed="false">
      <c r="B36" s="5" t="s">
        <v>53</v>
      </c>
      <c r="C36" s="4"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9" min="4" style="0" width="16"/>
  </cols>
  <sheetData>
    <row r="1" customFormat="false" ht="17.35" hidden="false" customHeight="false" outlineLevel="0" collapsed="false">
      <c r="A1" s="7" t="s">
        <v>55</v>
      </c>
    </row>
    <row r="2" customFormat="false" ht="15" hidden="false" customHeight="false" outlineLevel="0" collapsed="false">
      <c r="A2" s="2" t="s">
        <v>56</v>
      </c>
    </row>
    <row r="4" customFormat="false" ht="15" hidden="false" customHeight="false" outlineLevel="0" collapsed="false">
      <c r="A4" s="8" t="s">
        <v>57</v>
      </c>
      <c r="B4" s="9" t="str">
        <f aca="false">Assumptions!E4</f>
        <v>Base</v>
      </c>
    </row>
    <row r="6" customFormat="false" ht="15" hidden="false" customHeight="false" outlineLevel="0" collapsed="false">
      <c r="A6" s="10" t="s">
        <v>58</v>
      </c>
      <c r="B6" s="11"/>
      <c r="C6" s="11"/>
      <c r="D6" s="11"/>
      <c r="E6" s="11"/>
      <c r="F6" s="11"/>
      <c r="G6" s="11"/>
      <c r="H6" s="11"/>
      <c r="I6" s="11"/>
    </row>
    <row r="7" customFormat="false" ht="15" hidden="false" customHeight="false" outlineLevel="0" collapsed="false">
      <c r="A7" s="12" t="s">
        <v>59</v>
      </c>
      <c r="B7" s="13" t="n">
        <f aca="false">IF(MIN('P&amp;L monthly'!E48:BL48)=999,"not reached",MIN('P&amp;L monthly'!E48:BL48))</f>
        <v>41</v>
      </c>
      <c r="C7" s="14" t="s">
        <v>60</v>
      </c>
    </row>
    <row r="8" customFormat="false" ht="15" hidden="false" customHeight="false" outlineLevel="0" collapsed="false">
      <c r="A8" s="12" t="s">
        <v>61</v>
      </c>
      <c r="B8" s="15" t="n">
        <f aca="false">IF(ISNUMBER(B7),DATE(YEAR(Start_Date),MONTH(Start_Date)+B7-1,1),"-")</f>
        <v>47604</v>
      </c>
      <c r="C8" s="14"/>
    </row>
    <row r="9" customFormat="false" ht="15" hidden="false" customHeight="false" outlineLevel="0" collapsed="false">
      <c r="A9" s="12" t="s">
        <v>62</v>
      </c>
      <c r="B9" s="16" t="n">
        <f aca="false">-MIN(0,MIN('Cash flow'!E21:BL21))</f>
        <v>4238989794.34206</v>
      </c>
      <c r="C9" s="14" t="s">
        <v>63</v>
      </c>
    </row>
    <row r="10" customFormat="false" ht="15" hidden="false" customHeight="false" outlineLevel="0" collapsed="false">
      <c r="A10" s="12" t="s">
        <v>64</v>
      </c>
      <c r="B10" s="16" t="n">
        <f aca="false">B9/FX_EUR</f>
        <v>6462298.2822686</v>
      </c>
      <c r="C10" s="14" t="s">
        <v>65</v>
      </c>
    </row>
    <row r="11" customFormat="false" ht="15" hidden="false" customHeight="false" outlineLevel="0" collapsed="false">
      <c r="A11" s="12" t="s">
        <v>66</v>
      </c>
      <c r="B11" s="16" t="n">
        <f aca="false">SUM('Cash flow'!E24:BL24)</f>
        <v>5000000000</v>
      </c>
      <c r="C11" s="14" t="s">
        <v>63</v>
      </c>
    </row>
    <row r="12" customFormat="false" ht="15" hidden="false" customHeight="false" outlineLevel="0" collapsed="false">
      <c r="A12" s="12" t="s">
        <v>64</v>
      </c>
      <c r="B12" s="16" t="n">
        <f aca="false">B11/FX_EUR</f>
        <v>7622450.86187052</v>
      </c>
      <c r="C12" s="14" t="s">
        <v>65</v>
      </c>
    </row>
    <row r="13" customFormat="false" ht="15" hidden="false" customHeight="false" outlineLevel="0" collapsed="false">
      <c r="A13" s="12" t="s">
        <v>67</v>
      </c>
      <c r="B13" s="16" t="n">
        <f aca="false">MIN('Cash flow'!E29:BL29)</f>
        <v>218333371.847741</v>
      </c>
      <c r="C13" s="14" t="s">
        <v>63</v>
      </c>
      <c r="D13" s="17" t="str">
        <f aca="false">IF(B13&lt;0,"Cash goes negative: raise more or earlier (Assumptions, section 10)","OK: cash stays positive")</f>
        <v>OK: cash stays positive</v>
      </c>
    </row>
    <row r="14" customFormat="false" ht="15" hidden="false" customHeight="false" outlineLevel="0" collapsed="false">
      <c r="A14" s="12" t="s">
        <v>68</v>
      </c>
      <c r="B14" s="13" t="n">
        <f aca="false">MATCH(B13,'Cash flow'!E29:BL29,0)</f>
        <v>14</v>
      </c>
      <c r="C14" s="14" t="s">
        <v>60</v>
      </c>
    </row>
    <row r="15" customFormat="false" ht="15" hidden="false" customHeight="false" outlineLevel="0" collapsed="false">
      <c r="A15" s="12" t="s">
        <v>69</v>
      </c>
      <c r="B15" s="16" t="n">
        <f aca="false">'Cash flow'!BL29</f>
        <v>1291625516.8431</v>
      </c>
      <c r="C15" s="14" t="s">
        <v>63</v>
      </c>
    </row>
    <row r="18" customFormat="false" ht="15" hidden="false" customHeight="false" outlineLevel="0" collapsed="false">
      <c r="A18" s="10" t="s">
        <v>70</v>
      </c>
      <c r="B18" s="11"/>
      <c r="C18" s="11"/>
      <c r="D18" s="11"/>
      <c r="E18" s="11"/>
      <c r="F18" s="11"/>
      <c r="G18" s="11"/>
      <c r="H18" s="11"/>
      <c r="I18" s="11"/>
    </row>
    <row r="19" customFormat="false" ht="15" hidden="false" customHeight="false" outlineLevel="0" collapsed="false">
      <c r="A19" s="0" t="s">
        <v>71</v>
      </c>
      <c r="D19" s="18" t="n">
        <f aca="false">'P&amp;L annual'!D5</f>
        <v>2027</v>
      </c>
      <c r="E19" s="18" t="n">
        <f aca="false">'P&amp;L annual'!E5</f>
        <v>2028</v>
      </c>
      <c r="F19" s="18" t="n">
        <f aca="false">'P&amp;L annual'!F5</f>
        <v>2029</v>
      </c>
      <c r="G19" s="18" t="n">
        <f aca="false">'P&amp;L annual'!G5</f>
        <v>2030</v>
      </c>
      <c r="H19" s="18" t="n">
        <f aca="false">'P&amp;L annual'!H5</f>
        <v>2031</v>
      </c>
    </row>
    <row r="20" customFormat="false" ht="15" hidden="false" customHeight="false" outlineLevel="0" collapsed="false">
      <c r="A20" s="8" t="s">
        <v>72</v>
      </c>
      <c r="D20" s="19" t="n">
        <f aca="false">'P&amp;L annual'!D52</f>
        <v>473.71078239814</v>
      </c>
      <c r="E20" s="19" t="n">
        <f aca="false">'P&amp;L annual'!E52</f>
        <v>1924.71285058486</v>
      </c>
      <c r="F20" s="19" t="n">
        <f aca="false">'P&amp;L annual'!F52</f>
        <v>4672.33293267715</v>
      </c>
      <c r="G20" s="19" t="n">
        <f aca="false">'P&amp;L annual'!G52</f>
        <v>8339.4028891658</v>
      </c>
      <c r="H20" s="19" t="n">
        <f aca="false">'P&amp;L annual'!H52</f>
        <v>12259.6247855522</v>
      </c>
    </row>
    <row r="21" customFormat="false" ht="15" hidden="false" customHeight="false" outlineLevel="0" collapsed="false">
      <c r="A21" s="12" t="s">
        <v>73</v>
      </c>
      <c r="D21" s="20" t="n">
        <f aca="false">'P&amp;L annual'!D55</f>
        <v>498.708012421807</v>
      </c>
      <c r="E21" s="20" t="n">
        <f aca="false">'P&amp;L annual'!E55</f>
        <v>1649.7331441726</v>
      </c>
      <c r="F21" s="20" t="n">
        <f aca="false">'P&amp;L annual'!F55</f>
        <v>3353.22387234443</v>
      </c>
      <c r="G21" s="20" t="n">
        <f aca="false">'P&amp;L annual'!G55</f>
        <v>4893.42608832767</v>
      </c>
      <c r="H21" s="20" t="n">
        <f aca="false">'P&amp;L annual'!H55</f>
        <v>5896.62267642127</v>
      </c>
    </row>
    <row r="22" customFormat="false" ht="15" hidden="false" customHeight="false" outlineLevel="0" collapsed="false">
      <c r="A22" s="12" t="s">
        <v>74</v>
      </c>
      <c r="D22" s="20" t="n">
        <f aca="false">'P&amp;L annual'!D56</f>
        <v>22</v>
      </c>
      <c r="E22" s="20" t="n">
        <f aca="false">'P&amp;L annual'!E56</f>
        <v>46</v>
      </c>
      <c r="F22" s="20" t="n">
        <f aca="false">'P&amp;L annual'!F56</f>
        <v>66</v>
      </c>
      <c r="G22" s="20" t="n">
        <f aca="false">'P&amp;L annual'!G56</f>
        <v>86</v>
      </c>
      <c r="H22" s="20" t="n">
        <f aca="false">'P&amp;L annual'!H56</f>
        <v>97</v>
      </c>
    </row>
    <row r="23" customFormat="false" ht="15" hidden="false" customHeight="false" outlineLevel="0" collapsed="false">
      <c r="A23" s="8" t="s">
        <v>75</v>
      </c>
      <c r="D23" s="19" t="n">
        <f aca="false">'P&amp;L annual'!D17</f>
        <v>67080801.9356248</v>
      </c>
      <c r="E23" s="19" t="n">
        <f aca="false">'P&amp;L annual'!E17</f>
        <v>585747907.702062</v>
      </c>
      <c r="F23" s="19" t="n">
        <f aca="false">'P&amp;L annual'!F17</f>
        <v>1992788730.32503</v>
      </c>
      <c r="G23" s="19" t="n">
        <f aca="false">'P&amp;L annual'!G17</f>
        <v>4412921209.80011</v>
      </c>
      <c r="H23" s="19" t="n">
        <f aca="false">'P&amp;L annual'!H17</f>
        <v>7234896742.14229</v>
      </c>
    </row>
    <row r="24" customFormat="false" ht="15" hidden="false" customHeight="false" outlineLevel="0" collapsed="false">
      <c r="A24" s="12" t="s">
        <v>76</v>
      </c>
      <c r="D24" s="20" t="n">
        <f aca="false">'P&amp;L annual'!D26</f>
        <v>183799.894136272</v>
      </c>
      <c r="E24" s="20" t="n">
        <f aca="false">'P&amp;L annual'!E26</f>
        <v>159839142.456093</v>
      </c>
      <c r="F24" s="20" t="n">
        <f aca="false">'P&amp;L annual'!F26</f>
        <v>689795932.555354</v>
      </c>
      <c r="G24" s="20" t="n">
        <f aca="false">'P&amp;L annual'!G26</f>
        <v>1832242292.34178</v>
      </c>
      <c r="H24" s="20" t="n">
        <f aca="false">'P&amp;L annual'!H26</f>
        <v>3121104506.4173</v>
      </c>
    </row>
    <row r="25" customFormat="false" ht="15" hidden="false" customHeight="false" outlineLevel="0" collapsed="false">
      <c r="A25" s="12" t="s">
        <v>77</v>
      </c>
      <c r="D25" s="21" t="n">
        <f aca="false">'P&amp;L annual'!D27</f>
        <v>0.00273997759169097</v>
      </c>
      <c r="E25" s="21" t="n">
        <f aca="false">'P&amp;L annual'!E27</f>
        <v>0.272880432613333</v>
      </c>
      <c r="F25" s="21" t="n">
        <f aca="false">'P&amp;L annual'!F27</f>
        <v>0.346146042507399</v>
      </c>
      <c r="G25" s="21" t="n">
        <f aca="false">'P&amp;L annual'!G27</f>
        <v>0.415199412188186</v>
      </c>
      <c r="H25" s="21" t="n">
        <f aca="false">'P&amp;L annual'!H27</f>
        <v>0.431395860598436</v>
      </c>
    </row>
    <row r="26" customFormat="false" ht="15" hidden="false" customHeight="false" outlineLevel="0" collapsed="false">
      <c r="A26" s="12" t="s">
        <v>78</v>
      </c>
      <c r="D26" s="20" t="n">
        <f aca="false">'P&amp;L annual'!D38</f>
        <v>632018518.529222</v>
      </c>
      <c r="E26" s="20" t="n">
        <f aca="false">'P&amp;L annual'!E38</f>
        <v>1056527734.94417</v>
      </c>
      <c r="F26" s="20" t="n">
        <f aca="false">'P&amp;L annual'!F38</f>
        <v>1422615057.51604</v>
      </c>
      <c r="G26" s="20" t="n">
        <f aca="false">'P&amp;L annual'!G38</f>
        <v>1747968947.13125</v>
      </c>
      <c r="H26" s="20" t="n">
        <f aca="false">'P&amp;L annual'!H38</f>
        <v>2110183819.67424</v>
      </c>
    </row>
    <row r="27" customFormat="false" ht="15" hidden="false" customHeight="false" outlineLevel="0" collapsed="false">
      <c r="A27" s="8" t="s">
        <v>79</v>
      </c>
      <c r="D27" s="19" t="n">
        <f aca="false">'P&amp;L annual'!D39</f>
        <v>-631834718.635086</v>
      </c>
      <c r="E27" s="19" t="n">
        <f aca="false">'P&amp;L annual'!E39</f>
        <v>-896688592.488077</v>
      </c>
      <c r="F27" s="19" t="n">
        <f aca="false">'P&amp;L annual'!F39</f>
        <v>-732819124.960688</v>
      </c>
      <c r="G27" s="19" t="n">
        <f aca="false">'P&amp;L annual'!G39</f>
        <v>84273345.2105331</v>
      </c>
      <c r="H27" s="19" t="n">
        <f aca="false">'P&amp;L annual'!H39</f>
        <v>1010920686.74305</v>
      </c>
    </row>
    <row r="28" customFormat="false" ht="15" hidden="false" customHeight="false" outlineLevel="0" collapsed="false">
      <c r="A28" s="12" t="s">
        <v>80</v>
      </c>
      <c r="D28" s="21" t="n">
        <f aca="false">'P&amp;L annual'!D40</f>
        <v>-9.41900961830236</v>
      </c>
      <c r="E28" s="21" t="n">
        <f aca="false">'P&amp;L annual'!E40</f>
        <v>-1.530843867639</v>
      </c>
      <c r="F28" s="21" t="n">
        <f aca="false">'P&amp;L annual'!F40</f>
        <v>-0.367735482346472</v>
      </c>
      <c r="G28" s="21" t="n">
        <f aca="false">'P&amp;L annual'!G40</f>
        <v>0.0190969521557242</v>
      </c>
      <c r="H28" s="21" t="n">
        <f aca="false">'P&amp;L annual'!H40</f>
        <v>0.139728419460996</v>
      </c>
    </row>
    <row r="29" customFormat="false" ht="15" hidden="false" customHeight="false" outlineLevel="0" collapsed="false">
      <c r="A29" s="12" t="s">
        <v>81</v>
      </c>
      <c r="D29" s="20" t="n">
        <f aca="false">'P&amp;L annual'!D44</f>
        <v>-638543051.968419</v>
      </c>
      <c r="E29" s="20" t="n">
        <f aca="false">'P&amp;L annual'!E44</f>
        <v>-909738592.488077</v>
      </c>
      <c r="F29" s="20" t="n">
        <f aca="false">'P&amp;L annual'!F44</f>
        <v>-752419124.960688</v>
      </c>
      <c r="G29" s="20" t="n">
        <f aca="false">'P&amp;L annual'!G44</f>
        <v>65815011.8771998</v>
      </c>
      <c r="H29" s="20" t="n">
        <f aca="false">'P&amp;L annual'!H44</f>
        <v>993137353.409718</v>
      </c>
    </row>
    <row r="30" customFormat="false" ht="15" hidden="false" customHeight="false" outlineLevel="0" collapsed="false">
      <c r="A30" s="12" t="s">
        <v>82</v>
      </c>
      <c r="D30" s="20" t="n">
        <f aca="false">'P&amp;L annual'!D49</f>
        <v>374915561.677861</v>
      </c>
      <c r="E30" s="20" t="n">
        <f aca="false">'P&amp;L annual'!E49</f>
        <v>1126759573.43779</v>
      </c>
      <c r="F30" s="20" t="n">
        <f aca="false">'P&amp;L annual'!F49</f>
        <v>1370468202.42134</v>
      </c>
      <c r="G30" s="20" t="n">
        <f aca="false">'P&amp;L annual'!G49</f>
        <v>783780082.490111</v>
      </c>
      <c r="H30" s="20" t="n">
        <f aca="false">'P&amp;L annual'!H49</f>
        <v>1291625516.8431</v>
      </c>
    </row>
    <row r="31" customFormat="false" ht="15" hidden="false" customHeight="false" outlineLevel="0" collapsed="false">
      <c r="A31" s="12" t="s">
        <v>83</v>
      </c>
      <c r="D31" s="20" t="n">
        <f aca="false">'P&amp;L annual'!D57</f>
        <v>20247196.8705342</v>
      </c>
      <c r="E31" s="20" t="n">
        <f aca="false">'P&amp;L annual'!E57</f>
        <v>1340921154.39051</v>
      </c>
      <c r="F31" s="20" t="n">
        <f aca="false">'P&amp;L annual'!F57</f>
        <v>3895643614.94808</v>
      </c>
      <c r="G31" s="20" t="n">
        <f aca="false">'P&amp;L annual'!G57</f>
        <v>6956838844.24381</v>
      </c>
      <c r="H31" s="20" t="n">
        <f aca="false">'P&amp;L annual'!H57</f>
        <v>10233340526.8443</v>
      </c>
    </row>
    <row r="32" customFormat="false" ht="15" hidden="false" customHeight="false" outlineLevel="0" collapsed="false">
      <c r="A32" s="12" t="s">
        <v>84</v>
      </c>
      <c r="D32" s="20" t="n">
        <f aca="false">'P&amp;L annual'!D61</f>
        <v>102.264023305834</v>
      </c>
      <c r="E32" s="20" t="n">
        <f aca="false">'P&amp;L annual'!E61</f>
        <v>892.966928780488</v>
      </c>
      <c r="F32" s="20" t="n">
        <f aca="false">'P&amp;L annual'!F61</f>
        <v>3037.98683499838</v>
      </c>
      <c r="G32" s="20" t="n">
        <f aca="false">'P&amp;L annual'!G61</f>
        <v>6727.45501580151</v>
      </c>
      <c r="H32" s="20" t="n">
        <f aca="false">'P&amp;L annual'!H61</f>
        <v>11029.5289815373</v>
      </c>
    </row>
    <row r="33" customFormat="false" ht="15" hidden="false" customHeight="false" outlineLevel="0" collapsed="false">
      <c r="A33" s="12" t="s">
        <v>85</v>
      </c>
      <c r="D33" s="20" t="n">
        <f aca="false">'P&amp;L annual'!D64</f>
        <v>-963.225819123945</v>
      </c>
      <c r="E33" s="20" t="n">
        <f aca="false">'P&amp;L annual'!E64</f>
        <v>-1366.99294692804</v>
      </c>
      <c r="F33" s="20" t="n">
        <f aca="false">'P&amp;L annual'!F64</f>
        <v>-1117.17555413036</v>
      </c>
      <c r="G33" s="20" t="n">
        <f aca="false">'P&amp;L annual'!G64</f>
        <v>128.473886566548</v>
      </c>
      <c r="H33" s="20" t="n">
        <f aca="false">'P&amp;L annual'!H64</f>
        <v>1541.13865198946</v>
      </c>
    </row>
    <row r="34" customFormat="false" ht="15" hidden="false" customHeight="false" outlineLevel="0" collapsed="false">
      <c r="A34" s="12" t="s">
        <v>86</v>
      </c>
      <c r="D34" s="20" t="n">
        <f aca="false">'P&amp;L annual'!D65</f>
        <v>-973.452607363621</v>
      </c>
      <c r="E34" s="20" t="n">
        <f aca="false">'P&amp;L annual'!E65</f>
        <v>-1386.88754367752</v>
      </c>
      <c r="F34" s="20" t="n">
        <f aca="false">'P&amp;L annual'!F65</f>
        <v>-1147.05556150889</v>
      </c>
      <c r="G34" s="20" t="n">
        <f aca="false">'P&amp;L annual'!G65</f>
        <v>100.334338801476</v>
      </c>
      <c r="H34" s="20" t="n">
        <f aca="false">'P&amp;L annual'!H65</f>
        <v>1514.02813509074</v>
      </c>
    </row>
    <row r="35" customFormat="false" ht="15" hidden="false" customHeight="false" outlineLevel="0" collapsed="false">
      <c r="A35" s="12" t="s">
        <v>87</v>
      </c>
      <c r="D35" s="20" t="n">
        <f aca="false">'Unit economics'!D13</f>
        <v>33672.8635006848</v>
      </c>
      <c r="E35" s="20" t="n">
        <f aca="false">'Unit economics'!E13</f>
        <v>43147.9683482616</v>
      </c>
      <c r="F35" s="20" t="n">
        <f aca="false">'Unit economics'!F13</f>
        <v>50034.0469639785</v>
      </c>
      <c r="G35" s="20" t="n">
        <f aca="false">'Unit economics'!G13</f>
        <v>55819.5678989652</v>
      </c>
      <c r="H35" s="20" t="n">
        <f aca="false">'Unit economics'!H13</f>
        <v>57446.3558836155</v>
      </c>
    </row>
    <row r="36" customFormat="false" ht="15" hidden="false" customHeight="false" outlineLevel="0" collapsed="false">
      <c r="A36" s="12" t="s">
        <v>88</v>
      </c>
      <c r="D36" s="20" t="n">
        <f aca="false">'Unit economics'!D21</f>
        <v>196231.661024741</v>
      </c>
      <c r="E36" s="20" t="n">
        <f aca="false">'Unit economics'!E21</f>
        <v>113604.629249485</v>
      </c>
      <c r="F36" s="20" t="n">
        <f aca="false">'Unit economics'!F21</f>
        <v>98488.4136464505</v>
      </c>
      <c r="G36" s="20" t="n">
        <f aca="false">'Unit economics'!G21</f>
        <v>88979.9471175819</v>
      </c>
      <c r="H36" s="20" t="n">
        <f aca="false">'Unit economics'!H21</f>
        <v>86460.5346702209</v>
      </c>
    </row>
    <row r="37" customFormat="false" ht="15" hidden="false" customHeight="false" outlineLevel="0" collapsed="false">
      <c r="A37" s="12" t="s">
        <v>89</v>
      </c>
      <c r="D37" s="22" t="n">
        <f aca="false">'Unit economics'!D22</f>
        <v>2126.87525788705</v>
      </c>
      <c r="E37" s="22" t="n">
        <f aca="false">'Unit economics'!E22</f>
        <v>9.64857733881913</v>
      </c>
      <c r="F37" s="22" t="n">
        <f aca="false">'Unit economics'!F22</f>
        <v>5.68669766899199</v>
      </c>
      <c r="G37" s="22" t="n">
        <f aca="false">'Unit economics'!G22</f>
        <v>3.83927254334593</v>
      </c>
      <c r="H37" s="22" t="n">
        <f aca="false">'Unit economics'!H22</f>
        <v>3.48882719478512</v>
      </c>
    </row>
    <row r="39" customFormat="false" ht="15" hidden="false" customHeight="false" outlineLevel="0" collapsed="false">
      <c r="A39" s="10" t="s">
        <v>90</v>
      </c>
      <c r="B39" s="11"/>
      <c r="C39" s="11"/>
      <c r="D39" s="11"/>
      <c r="E39" s="11"/>
      <c r="F39" s="11"/>
      <c r="G39" s="11"/>
      <c r="H39" s="11"/>
      <c r="I39" s="11"/>
    </row>
    <row r="40" customFormat="false" ht="15" hidden="false" customHeight="false" outlineLevel="0" collapsed="false">
      <c r="A40" s="12" t="s">
        <v>91</v>
      </c>
      <c r="B40" s="8" t="str">
        <f aca="false">IF(ABS(Mix_Petite+Mix_Moyenne+Mix_Grande-1)&lt;0.0001,"OK","ERROR")</f>
        <v>OK</v>
      </c>
    </row>
    <row r="41" customFormat="false" ht="15" hidden="false" customHeight="false" outlineLevel="0" collapsed="false">
      <c r="A41" s="12" t="s">
        <v>92</v>
      </c>
      <c r="B41" s="8" t="str">
        <f aca="false">IF(ABS(SUM('P&amp;L monthly'!E24:BL24)-SUM(Costs!E21:BL21))&lt;1,"OK","ERROR")</f>
        <v>OK</v>
      </c>
    </row>
    <row r="42" customFormat="false" ht="15" hidden="false" customHeight="false" outlineLevel="0" collapsed="false">
      <c r="A42" s="12" t="s">
        <v>93</v>
      </c>
      <c r="B42" s="8" t="str">
        <f aca="false">IF(ABS(SUM('P&amp;L monthly'!E37:BL37)-SUM(Costs!E94:BL94))&lt;1,"OK","ERROR")</f>
        <v>OK</v>
      </c>
    </row>
    <row r="43" customFormat="false" ht="15" hidden="false" customHeight="false" outlineLevel="0" collapsed="false">
      <c r="A43" s="12" t="s">
        <v>94</v>
      </c>
      <c r="B43" s="8" t="str">
        <f aca="false">IF(ABS('P&amp;L annual'!I17-SUM('P&amp;L monthly'!E17:BL17))&lt;1,"OK","ERROR")</f>
        <v>OK</v>
      </c>
    </row>
    <row r="44" customFormat="false" ht="15" hidden="false" customHeight="false" outlineLevel="0" collapsed="false">
      <c r="A44" s="12" t="s">
        <v>95</v>
      </c>
      <c r="B44" s="8" t="str">
        <f aca="false">IF(MIN('Cash flow'!E29:BL29)&gt;=0,"OK","RAISE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8" min="4" style="0" width="15"/>
    <col collapsed="false" customWidth="true" hidden="false" outlineLevel="0" max="9" min="9" style="0" width="90"/>
  </cols>
  <sheetData>
    <row r="1" customFormat="false" ht="17.35" hidden="false" customHeight="false" outlineLevel="0" collapsed="false">
      <c r="A1" s="7" t="s">
        <v>96</v>
      </c>
    </row>
    <row r="2" customFormat="false" ht="15" hidden="false" customHeight="false" outlineLevel="0" collapsed="false">
      <c r="A2" s="2" t="s">
        <v>97</v>
      </c>
    </row>
    <row r="4" customFormat="false" ht="15" hidden="false" customHeight="false" outlineLevel="0" collapsed="false">
      <c r="B4" s="8" t="s">
        <v>98</v>
      </c>
      <c r="D4" s="23" t="n">
        <v>2</v>
      </c>
      <c r="E4" s="8" t="str">
        <f aca="false">CHOOSE(Scenario,"Prudent","Base","Ambitious")</f>
        <v>Base</v>
      </c>
      <c r="I4" s="2" t="s">
        <v>99</v>
      </c>
    </row>
    <row r="7" customFormat="false" ht="15" hidden="false" customHeight="false" outlineLevel="0" collapsed="false">
      <c r="B7" s="24" t="s">
        <v>100</v>
      </c>
      <c r="C7" s="24" t="s">
        <v>101</v>
      </c>
      <c r="D7" s="24" t="s">
        <v>102</v>
      </c>
      <c r="E7" s="24" t="s">
        <v>103</v>
      </c>
      <c r="F7" s="24" t="s">
        <v>104</v>
      </c>
      <c r="G7" s="24" t="s">
        <v>105</v>
      </c>
      <c r="H7" s="24"/>
      <c r="I7" s="24" t="s">
        <v>106</v>
      </c>
    </row>
    <row r="8" customFormat="false" ht="15" hidden="false" customHeight="false" outlineLevel="0" collapsed="false">
      <c r="B8" s="12" t="s">
        <v>107</v>
      </c>
      <c r="C8" s="14" t="s">
        <v>108</v>
      </c>
      <c r="D8" s="25" t="n">
        <v>46388</v>
      </c>
      <c r="I8" s="14" t="s">
        <v>109</v>
      </c>
    </row>
    <row r="9" customFormat="false" ht="15" hidden="false" customHeight="false" outlineLevel="0" collapsed="false">
      <c r="B9" s="12" t="s">
        <v>110</v>
      </c>
      <c r="C9" s="14" t="s">
        <v>63</v>
      </c>
      <c r="D9" s="26" t="n">
        <v>655.957</v>
      </c>
      <c r="I9" s="14" t="s">
        <v>111</v>
      </c>
    </row>
    <row r="10" customFormat="false" ht="15" hidden="false" customHeight="false" outlineLevel="0" collapsed="false">
      <c r="B10" s="12" t="s">
        <v>112</v>
      </c>
      <c r="C10" s="14" t="s">
        <v>63</v>
      </c>
      <c r="D10" s="27" t="n">
        <v>580</v>
      </c>
      <c r="I10" s="14" t="s">
        <v>113</v>
      </c>
    </row>
    <row r="11" customFormat="false" ht="15" hidden="false" customHeight="false" outlineLevel="0" collapsed="false">
      <c r="B11" s="12" t="s">
        <v>114</v>
      </c>
      <c r="C11" s="14" t="s">
        <v>115</v>
      </c>
      <c r="D11" s="28" t="n">
        <v>0.3</v>
      </c>
      <c r="I11" s="14" t="s">
        <v>116</v>
      </c>
    </row>
    <row r="12" customFormat="false" ht="15" hidden="false" customHeight="false" outlineLevel="0" collapsed="false">
      <c r="B12" s="12" t="s">
        <v>117</v>
      </c>
      <c r="C12" s="14" t="s">
        <v>118</v>
      </c>
      <c r="D12" s="28" t="n">
        <v>0.05</v>
      </c>
      <c r="I12" s="14" t="s">
        <v>119</v>
      </c>
    </row>
    <row r="13" customFormat="false" ht="15" hidden="false" customHeight="false" outlineLevel="0" collapsed="false">
      <c r="B13" s="12" t="s">
        <v>120</v>
      </c>
      <c r="C13" s="14" t="s">
        <v>115</v>
      </c>
      <c r="D13" s="28" t="n">
        <v>0.05</v>
      </c>
      <c r="I13" s="14" t="s">
        <v>121</v>
      </c>
    </row>
    <row r="15" customFormat="false" ht="15" hidden="false" customHeight="false" outlineLevel="0" collapsed="false">
      <c r="B15" s="24" t="s">
        <v>122</v>
      </c>
      <c r="C15" s="24" t="s">
        <v>101</v>
      </c>
      <c r="D15" s="24" t="s">
        <v>102</v>
      </c>
      <c r="E15" s="24" t="s">
        <v>103</v>
      </c>
      <c r="F15" s="24" t="s">
        <v>104</v>
      </c>
      <c r="G15" s="24" t="s">
        <v>105</v>
      </c>
      <c r="H15" s="24"/>
      <c r="I15" s="24" t="s">
        <v>106</v>
      </c>
    </row>
    <row r="16" customFormat="false" ht="15" hidden="false" customHeight="false" outlineLevel="0" collapsed="false">
      <c r="B16" s="12" t="s">
        <v>123</v>
      </c>
      <c r="C16" s="14" t="s">
        <v>60</v>
      </c>
      <c r="D16" s="29" t="n">
        <v>5</v>
      </c>
      <c r="I16" s="14" t="s">
        <v>124</v>
      </c>
    </row>
    <row r="17" customFormat="false" ht="15" hidden="false" customHeight="false" outlineLevel="0" collapsed="false">
      <c r="B17" s="12" t="s">
        <v>125</v>
      </c>
      <c r="C17" s="14" t="s">
        <v>60</v>
      </c>
      <c r="D17" s="29" t="n">
        <v>19</v>
      </c>
      <c r="I17" s="14" t="s">
        <v>126</v>
      </c>
    </row>
    <row r="18" customFormat="false" ht="15" hidden="false" customHeight="false" outlineLevel="0" collapsed="false">
      <c r="B18" s="12" t="s">
        <v>127</v>
      </c>
      <c r="C18" s="14" t="s">
        <v>60</v>
      </c>
      <c r="D18" s="29" t="n">
        <v>4</v>
      </c>
      <c r="I18" s="14"/>
    </row>
    <row r="19" customFormat="false" ht="15" hidden="false" customHeight="false" outlineLevel="0" collapsed="false">
      <c r="B19" s="12" t="s">
        <v>128</v>
      </c>
      <c r="C19" s="14" t="s">
        <v>60</v>
      </c>
      <c r="D19" s="29" t="n">
        <v>13</v>
      </c>
      <c r="I19" s="14"/>
    </row>
    <row r="20" customFormat="false" ht="15" hidden="false" customHeight="false" outlineLevel="0" collapsed="false">
      <c r="B20" s="12" t="s">
        <v>129</v>
      </c>
      <c r="C20" s="14" t="s">
        <v>60</v>
      </c>
      <c r="D20" s="29" t="n">
        <v>18</v>
      </c>
      <c r="I20" s="14" t="s">
        <v>130</v>
      </c>
    </row>
    <row r="21" customFormat="false" ht="15" hidden="false" customHeight="false" outlineLevel="0" collapsed="false">
      <c r="B21" s="12" t="s">
        <v>131</v>
      </c>
      <c r="C21" s="14" t="s">
        <v>60</v>
      </c>
      <c r="D21" s="29" t="n">
        <v>9</v>
      </c>
      <c r="I21" s="14" t="s">
        <v>132</v>
      </c>
    </row>
    <row r="22" customFormat="false" ht="15" hidden="false" customHeight="false" outlineLevel="0" collapsed="false">
      <c r="B22" s="12" t="s">
        <v>133</v>
      </c>
      <c r="C22" s="14" t="s">
        <v>60</v>
      </c>
      <c r="D22" s="29" t="n">
        <v>37</v>
      </c>
      <c r="I22" s="14" t="s">
        <v>134</v>
      </c>
    </row>
    <row r="23" customFormat="false" ht="15" hidden="false" customHeight="false" outlineLevel="0" collapsed="false">
      <c r="B23" s="12" t="s">
        <v>135</v>
      </c>
      <c r="C23" s="14" t="s">
        <v>60</v>
      </c>
      <c r="D23" s="29" t="n">
        <v>36</v>
      </c>
      <c r="I23" s="14"/>
    </row>
    <row r="24" customFormat="false" ht="15" hidden="false" customHeight="false" outlineLevel="0" collapsed="false">
      <c r="B24" s="12" t="s">
        <v>136</v>
      </c>
      <c r="C24" s="14" t="s">
        <v>60</v>
      </c>
      <c r="D24" s="29" t="n">
        <v>12</v>
      </c>
      <c r="I24" s="14" t="s">
        <v>137</v>
      </c>
    </row>
    <row r="25" customFormat="false" ht="15" hidden="false" customHeight="false" outlineLevel="0" collapsed="false">
      <c r="B25" s="12" t="s">
        <v>138</v>
      </c>
      <c r="C25" s="14" t="s">
        <v>60</v>
      </c>
      <c r="D25" s="29" t="n">
        <v>30</v>
      </c>
      <c r="I25" s="14"/>
    </row>
    <row r="26" customFormat="false" ht="15" hidden="false" customHeight="false" outlineLevel="0" collapsed="false">
      <c r="B26" s="12" t="s">
        <v>139</v>
      </c>
      <c r="C26" s="14" t="s">
        <v>60</v>
      </c>
      <c r="D26" s="29" t="n">
        <v>4</v>
      </c>
      <c r="I26" s="14"/>
    </row>
    <row r="27" customFormat="false" ht="15" hidden="false" customHeight="false" outlineLevel="0" collapsed="false">
      <c r="B27" s="12" t="s">
        <v>140</v>
      </c>
      <c r="C27" s="14" t="s">
        <v>60</v>
      </c>
      <c r="D27" s="29" t="n">
        <v>2</v>
      </c>
      <c r="I27" s="14"/>
    </row>
    <row r="28" customFormat="false" ht="15" hidden="false" customHeight="false" outlineLevel="0" collapsed="false">
      <c r="B28" s="12" t="s">
        <v>141</v>
      </c>
      <c r="C28" s="14" t="s">
        <v>60</v>
      </c>
      <c r="D28" s="29" t="n">
        <v>16</v>
      </c>
      <c r="I28" s="14"/>
    </row>
    <row r="29" customFormat="false" ht="15" hidden="false" customHeight="false" outlineLevel="0" collapsed="false">
      <c r="B29" s="12" t="s">
        <v>142</v>
      </c>
      <c r="C29" s="14" t="s">
        <v>60</v>
      </c>
      <c r="D29" s="29" t="n">
        <v>3</v>
      </c>
      <c r="I29" s="14"/>
    </row>
    <row r="30" customFormat="false" ht="15" hidden="false" customHeight="false" outlineLevel="0" collapsed="false">
      <c r="B30" s="12" t="s">
        <v>143</v>
      </c>
      <c r="C30" s="14" t="s">
        <v>60</v>
      </c>
      <c r="D30" s="29" t="n">
        <v>5</v>
      </c>
      <c r="I30" s="14"/>
    </row>
    <row r="31" customFormat="false" ht="15" hidden="false" customHeight="false" outlineLevel="0" collapsed="false">
      <c r="B31" s="12" t="s">
        <v>144</v>
      </c>
      <c r="C31" s="14" t="s">
        <v>60</v>
      </c>
      <c r="D31" s="29" t="n">
        <v>2</v>
      </c>
      <c r="I31" s="14"/>
    </row>
    <row r="32" customFormat="false" ht="15" hidden="false" customHeight="false" outlineLevel="0" collapsed="false">
      <c r="B32" s="12" t="s">
        <v>145</v>
      </c>
      <c r="C32" s="14" t="s">
        <v>60</v>
      </c>
      <c r="D32" s="29" t="n">
        <v>9</v>
      </c>
      <c r="I32" s="14"/>
    </row>
    <row r="33" customFormat="false" ht="15" hidden="false" customHeight="false" outlineLevel="0" collapsed="false">
      <c r="B33" s="12" t="s">
        <v>146</v>
      </c>
      <c r="C33" s="14" t="s">
        <v>60</v>
      </c>
      <c r="D33" s="29" t="n">
        <v>13</v>
      </c>
      <c r="I33" s="14"/>
    </row>
    <row r="34" customFormat="false" ht="15" hidden="false" customHeight="false" outlineLevel="0" collapsed="false">
      <c r="B34" s="12" t="s">
        <v>147</v>
      </c>
      <c r="C34" s="14" t="s">
        <v>148</v>
      </c>
      <c r="D34" s="29" t="n">
        <v>9</v>
      </c>
      <c r="I34" s="14" t="s">
        <v>149</v>
      </c>
    </row>
    <row r="35" customFormat="false" ht="15" hidden="false" customHeight="false" outlineLevel="0" collapsed="false">
      <c r="B35" s="12" t="s">
        <v>150</v>
      </c>
      <c r="C35" s="14" t="s">
        <v>60</v>
      </c>
      <c r="D35" s="29" t="n">
        <v>13</v>
      </c>
      <c r="I35" s="14"/>
    </row>
    <row r="36" customFormat="false" ht="15" hidden="false" customHeight="false" outlineLevel="0" collapsed="false">
      <c r="B36" s="12" t="s">
        <v>151</v>
      </c>
      <c r="C36" s="14" t="s">
        <v>148</v>
      </c>
      <c r="D36" s="29" t="n">
        <v>12</v>
      </c>
      <c r="I36" s="14"/>
    </row>
    <row r="38" customFormat="false" ht="15" hidden="false" customHeight="false" outlineLevel="0" collapsed="false">
      <c r="B38" s="24" t="s">
        <v>152</v>
      </c>
      <c r="C38" s="24" t="s">
        <v>101</v>
      </c>
      <c r="D38" s="24" t="s">
        <v>102</v>
      </c>
      <c r="E38" s="24" t="s">
        <v>103</v>
      </c>
      <c r="F38" s="24" t="s">
        <v>104</v>
      </c>
      <c r="G38" s="24" t="s">
        <v>105</v>
      </c>
      <c r="H38" s="24"/>
      <c r="I38" s="24" t="s">
        <v>106</v>
      </c>
    </row>
    <row r="39" customFormat="false" ht="15" hidden="false" customHeight="false" outlineLevel="0" collapsed="false">
      <c r="B39" s="12" t="s">
        <v>153</v>
      </c>
      <c r="C39" s="14" t="s">
        <v>154</v>
      </c>
      <c r="D39" s="30" t="n">
        <f aca="false">CHOOSE(Scenario,E39,F39,G39)</f>
        <v>10</v>
      </c>
      <c r="E39" s="31" t="n">
        <v>7</v>
      </c>
      <c r="F39" s="31" t="n">
        <v>10</v>
      </c>
      <c r="G39" s="31" t="n">
        <v>13</v>
      </c>
      <c r="I39" s="14" t="s">
        <v>155</v>
      </c>
    </row>
    <row r="40" customFormat="false" ht="15" hidden="false" customHeight="false" outlineLevel="0" collapsed="false">
      <c r="B40" s="12" t="s">
        <v>156</v>
      </c>
      <c r="C40" s="14" t="s">
        <v>157</v>
      </c>
      <c r="D40" s="32" t="n">
        <v>0.9</v>
      </c>
      <c r="I40" s="14" t="s">
        <v>158</v>
      </c>
    </row>
    <row r="41" customFormat="false" ht="15" hidden="false" customHeight="false" outlineLevel="0" collapsed="false">
      <c r="B41" s="12" t="s">
        <v>159</v>
      </c>
      <c r="C41" s="14" t="s">
        <v>154</v>
      </c>
      <c r="D41" s="30" t="n">
        <f aca="false">CHOOSE(Scenario,E41,F41,G41)</f>
        <v>10</v>
      </c>
      <c r="E41" s="31" t="n">
        <v>6</v>
      </c>
      <c r="F41" s="31" t="n">
        <v>10</v>
      </c>
      <c r="G41" s="31" t="n">
        <v>14</v>
      </c>
      <c r="I41" s="14" t="s">
        <v>160</v>
      </c>
    </row>
    <row r="42" customFormat="false" ht="15" hidden="false" customHeight="false" outlineLevel="0" collapsed="false">
      <c r="B42" s="12" t="s">
        <v>161</v>
      </c>
      <c r="C42" s="14" t="s">
        <v>154</v>
      </c>
      <c r="D42" s="30" t="n">
        <f aca="false">CHOOSE(Scenario,E42,F42,G42)</f>
        <v>6</v>
      </c>
      <c r="E42" s="31" t="n">
        <v>4</v>
      </c>
      <c r="F42" s="31" t="n">
        <v>6</v>
      </c>
      <c r="G42" s="31" t="n">
        <v>9</v>
      </c>
      <c r="I42" s="14"/>
    </row>
    <row r="43" customFormat="false" ht="15" hidden="false" customHeight="false" outlineLevel="0" collapsed="false">
      <c r="B43" s="12" t="s">
        <v>162</v>
      </c>
      <c r="C43" s="14" t="s">
        <v>163</v>
      </c>
      <c r="D43" s="28" t="n">
        <v>0.06</v>
      </c>
      <c r="I43" s="14"/>
    </row>
    <row r="44" customFormat="false" ht="15" hidden="false" customHeight="false" outlineLevel="0" collapsed="false">
      <c r="B44" s="12" t="s">
        <v>164</v>
      </c>
      <c r="C44" s="14" t="s">
        <v>165</v>
      </c>
      <c r="D44" s="27" t="n">
        <v>80</v>
      </c>
      <c r="I44" s="14"/>
    </row>
    <row r="45" customFormat="false" ht="15" hidden="false" customHeight="false" outlineLevel="0" collapsed="false">
      <c r="B45" s="12" t="s">
        <v>166</v>
      </c>
      <c r="C45" s="14" t="s">
        <v>165</v>
      </c>
      <c r="D45" s="27" t="n">
        <v>60</v>
      </c>
      <c r="I45" s="14"/>
    </row>
    <row r="46" customFormat="false" ht="15" hidden="false" customHeight="false" outlineLevel="0" collapsed="false">
      <c r="B46" s="12" t="s">
        <v>167</v>
      </c>
      <c r="C46" s="14" t="s">
        <v>63</v>
      </c>
      <c r="D46" s="33" t="n">
        <f aca="false">CHOOSE(Scenario,E46,F46,G46)</f>
        <v>75000</v>
      </c>
      <c r="E46" s="27" t="n">
        <v>100000</v>
      </c>
      <c r="F46" s="27" t="n">
        <v>75000</v>
      </c>
      <c r="G46" s="27" t="n">
        <v>55000</v>
      </c>
      <c r="I46" s="14" t="s">
        <v>168</v>
      </c>
    </row>
    <row r="47" customFormat="false" ht="15" hidden="false" customHeight="false" outlineLevel="0" collapsed="false">
      <c r="B47" s="12" t="s">
        <v>169</v>
      </c>
      <c r="C47" s="14" t="s">
        <v>115</v>
      </c>
      <c r="D47" s="28" t="n">
        <v>0.6</v>
      </c>
      <c r="I47" s="14" t="s">
        <v>170</v>
      </c>
    </row>
    <row r="48" customFormat="false" ht="15" hidden="false" customHeight="false" outlineLevel="0" collapsed="false">
      <c r="B48" s="12" t="s">
        <v>171</v>
      </c>
      <c r="C48" s="14" t="s">
        <v>115</v>
      </c>
      <c r="D48" s="28" t="n">
        <v>0.3</v>
      </c>
      <c r="I48" s="14"/>
    </row>
    <row r="49" customFormat="false" ht="15" hidden="false" customHeight="false" outlineLevel="0" collapsed="false">
      <c r="B49" s="12" t="s">
        <v>172</v>
      </c>
      <c r="C49" s="14" t="s">
        <v>115</v>
      </c>
      <c r="D49" s="28" t="n">
        <v>0.1</v>
      </c>
      <c r="I49" s="14"/>
    </row>
    <row r="50" customFormat="false" ht="15" hidden="false" customHeight="false" outlineLevel="0" collapsed="false">
      <c r="B50" s="12" t="s">
        <v>173</v>
      </c>
      <c r="C50" s="14" t="s">
        <v>163</v>
      </c>
      <c r="D50" s="34" t="n">
        <f aca="false">CHOOSE(Scenario,E50,F50,G50)</f>
        <v>0.02</v>
      </c>
      <c r="E50" s="35" t="n">
        <v>0.03</v>
      </c>
      <c r="F50" s="35" t="n">
        <v>0.02</v>
      </c>
      <c r="G50" s="35" t="n">
        <v>0.015</v>
      </c>
      <c r="I50" s="14" t="s">
        <v>174</v>
      </c>
    </row>
    <row r="51" customFormat="false" ht="15" hidden="false" customHeight="false" outlineLevel="0" collapsed="false">
      <c r="B51" s="12" t="s">
        <v>175</v>
      </c>
      <c r="C51" s="14" t="s">
        <v>163</v>
      </c>
      <c r="D51" s="34" t="n">
        <f aca="false">CHOOSE(Scenario,E51,F51,G51)</f>
        <v>0.0125</v>
      </c>
      <c r="E51" s="35" t="n">
        <v>0.02</v>
      </c>
      <c r="F51" s="35" t="n">
        <v>0.0125</v>
      </c>
      <c r="G51" s="35" t="n">
        <v>0.01</v>
      </c>
      <c r="I51" s="14"/>
    </row>
    <row r="52" customFormat="false" ht="15" hidden="false" customHeight="false" outlineLevel="0" collapsed="false">
      <c r="B52" s="12" t="s">
        <v>176</v>
      </c>
      <c r="C52" s="14" t="s">
        <v>163</v>
      </c>
      <c r="D52" s="34" t="n">
        <f aca="false">CHOOSE(Scenario,E52,F52,G52)</f>
        <v>0.0075</v>
      </c>
      <c r="E52" s="35" t="n">
        <v>0.015</v>
      </c>
      <c r="F52" s="35" t="n">
        <v>0.0075</v>
      </c>
      <c r="G52" s="35" t="n">
        <v>0.005</v>
      </c>
      <c r="I52" s="14"/>
    </row>
    <row r="53" customFormat="false" ht="15" hidden="false" customHeight="false" outlineLevel="0" collapsed="false">
      <c r="B53" s="12" t="s">
        <v>177</v>
      </c>
      <c r="C53" s="14" t="s">
        <v>63</v>
      </c>
      <c r="D53" s="27" t="n">
        <v>25000</v>
      </c>
      <c r="I53" s="14" t="s">
        <v>178</v>
      </c>
    </row>
    <row r="54" customFormat="false" ht="15" hidden="false" customHeight="false" outlineLevel="0" collapsed="false">
      <c r="B54" s="12" t="s">
        <v>179</v>
      </c>
      <c r="C54" s="14" t="s">
        <v>180</v>
      </c>
      <c r="D54" s="27" t="n">
        <v>75000</v>
      </c>
      <c r="I54" s="14" t="s">
        <v>181</v>
      </c>
    </row>
    <row r="56" customFormat="false" ht="15" hidden="false" customHeight="false" outlineLevel="0" collapsed="false">
      <c r="B56" s="24" t="s">
        <v>182</v>
      </c>
      <c r="C56" s="24" t="s">
        <v>101</v>
      </c>
      <c r="D56" s="24" t="s">
        <v>102</v>
      </c>
      <c r="E56" s="24" t="s">
        <v>103</v>
      </c>
      <c r="F56" s="24" t="s">
        <v>104</v>
      </c>
      <c r="G56" s="24" t="s">
        <v>105</v>
      </c>
      <c r="H56" s="24"/>
      <c r="I56" s="24" t="s">
        <v>106</v>
      </c>
    </row>
    <row r="57" customFormat="false" ht="15" hidden="false" customHeight="false" outlineLevel="0" collapsed="false">
      <c r="B57" s="12" t="s">
        <v>183</v>
      </c>
      <c r="C57" s="14" t="s">
        <v>180</v>
      </c>
      <c r="D57" s="27" t="n">
        <v>9900</v>
      </c>
      <c r="I57" s="14" t="s">
        <v>184</v>
      </c>
    </row>
    <row r="58" customFormat="false" ht="15" hidden="false" customHeight="false" outlineLevel="0" collapsed="false">
      <c r="B58" s="12" t="s">
        <v>185</v>
      </c>
      <c r="C58" s="14" t="s">
        <v>180</v>
      </c>
      <c r="D58" s="27" t="n">
        <v>29900</v>
      </c>
      <c r="I58" s="14" t="s">
        <v>184</v>
      </c>
    </row>
    <row r="59" customFormat="false" ht="15" hidden="false" customHeight="false" outlineLevel="0" collapsed="false">
      <c r="B59" s="12" t="s">
        <v>186</v>
      </c>
      <c r="C59" s="14" t="s">
        <v>180</v>
      </c>
      <c r="D59" s="27" t="n">
        <v>79900</v>
      </c>
      <c r="I59" s="14" t="s">
        <v>184</v>
      </c>
    </row>
    <row r="60" customFormat="false" ht="15" hidden="false" customHeight="false" outlineLevel="0" collapsed="false">
      <c r="B60" s="12" t="s">
        <v>187</v>
      </c>
      <c r="C60" s="14" t="s">
        <v>118</v>
      </c>
      <c r="D60" s="28" t="n">
        <v>0</v>
      </c>
      <c r="I60" s="14"/>
    </row>
    <row r="61" customFormat="false" ht="15" hidden="false" customHeight="false" outlineLevel="0" collapsed="false">
      <c r="B61" s="12" t="s">
        <v>188</v>
      </c>
      <c r="C61" s="14" t="s">
        <v>148</v>
      </c>
      <c r="D61" s="29" t="n">
        <v>3</v>
      </c>
      <c r="I61" s="14" t="s">
        <v>189</v>
      </c>
    </row>
    <row r="62" customFormat="false" ht="15" hidden="false" customHeight="false" outlineLevel="0" collapsed="false">
      <c r="B62" s="12" t="s">
        <v>190</v>
      </c>
      <c r="C62" s="14" t="s">
        <v>115</v>
      </c>
      <c r="D62" s="28" t="n">
        <v>0.3</v>
      </c>
      <c r="I62" s="14"/>
    </row>
    <row r="63" customFormat="false" ht="15" hidden="false" customHeight="false" outlineLevel="0" collapsed="false">
      <c r="B63" s="12" t="s">
        <v>191</v>
      </c>
      <c r="C63" s="14" t="s">
        <v>148</v>
      </c>
      <c r="D63" s="29" t="n">
        <v>2</v>
      </c>
      <c r="I63" s="14" t="s">
        <v>192</v>
      </c>
    </row>
    <row r="64" customFormat="false" ht="15" hidden="false" customHeight="false" outlineLevel="0" collapsed="false">
      <c r="B64" s="12" t="s">
        <v>193</v>
      </c>
      <c r="C64" s="14" t="s">
        <v>63</v>
      </c>
      <c r="D64" s="27" t="n">
        <v>5000</v>
      </c>
      <c r="I64" s="14" t="s">
        <v>184</v>
      </c>
    </row>
    <row r="65" customFormat="false" ht="15" hidden="false" customHeight="false" outlineLevel="0" collapsed="false">
      <c r="B65" s="12" t="s">
        <v>194</v>
      </c>
      <c r="C65" s="14" t="s">
        <v>115</v>
      </c>
      <c r="D65" s="28" t="n">
        <v>0.01</v>
      </c>
      <c r="I65" s="14" t="s">
        <v>195</v>
      </c>
    </row>
    <row r="66" customFormat="false" ht="15" hidden="false" customHeight="false" outlineLevel="0" collapsed="false">
      <c r="B66" s="12" t="s">
        <v>196</v>
      </c>
      <c r="C66" s="14" t="s">
        <v>115</v>
      </c>
      <c r="D66" s="34" t="n">
        <f aca="false">CHOOSE(Scenario,E66,F66,G66)</f>
        <v>0.005</v>
      </c>
      <c r="E66" s="35" t="n">
        <v>0.003</v>
      </c>
      <c r="F66" s="35" t="n">
        <v>0.005</v>
      </c>
      <c r="G66" s="35" t="n">
        <v>0.007</v>
      </c>
      <c r="I66" s="14" t="s">
        <v>197</v>
      </c>
    </row>
    <row r="67" customFormat="false" ht="15" hidden="false" customHeight="false" outlineLevel="0" collapsed="false">
      <c r="B67" s="12" t="s">
        <v>198</v>
      </c>
      <c r="C67" s="14" t="s">
        <v>118</v>
      </c>
      <c r="D67" s="34" t="n">
        <f aca="false">CHOOSE(Scenario,E67,F67,G67)</f>
        <v>0.015</v>
      </c>
      <c r="E67" s="35" t="n">
        <v>0.01</v>
      </c>
      <c r="F67" s="35" t="n">
        <v>0.015</v>
      </c>
      <c r="G67" s="35" t="n">
        <v>0.02</v>
      </c>
      <c r="I67" s="14" t="s">
        <v>199</v>
      </c>
    </row>
    <row r="68" customFormat="false" ht="15" hidden="false" customHeight="false" outlineLevel="0" collapsed="false">
      <c r="B68" s="12" t="s">
        <v>200</v>
      </c>
      <c r="C68" s="14" t="s">
        <v>63</v>
      </c>
      <c r="D68" s="27" t="n">
        <v>100</v>
      </c>
      <c r="I68" s="14" t="s">
        <v>201</v>
      </c>
    </row>
    <row r="69" customFormat="false" ht="15" hidden="false" customHeight="false" outlineLevel="0" collapsed="false">
      <c r="B69" s="12" t="s">
        <v>202</v>
      </c>
      <c r="C69" s="14" t="s">
        <v>115</v>
      </c>
      <c r="D69" s="28" t="n">
        <v>0.01</v>
      </c>
      <c r="I69" s="14"/>
    </row>
    <row r="70" customFormat="false" ht="15" hidden="false" customHeight="false" outlineLevel="0" collapsed="false">
      <c r="B70" s="12" t="s">
        <v>203</v>
      </c>
      <c r="C70" s="14" t="s">
        <v>115</v>
      </c>
      <c r="D70" s="35" t="n">
        <v>0.007</v>
      </c>
      <c r="I70" s="14" t="s">
        <v>204</v>
      </c>
    </row>
    <row r="71" customFormat="false" ht="15" hidden="false" customHeight="false" outlineLevel="0" collapsed="false">
      <c r="B71" s="12" t="s">
        <v>205</v>
      </c>
      <c r="C71" s="14" t="s">
        <v>115</v>
      </c>
      <c r="D71" s="28" t="n">
        <v>0.7</v>
      </c>
      <c r="I71" s="14" t="s">
        <v>206</v>
      </c>
    </row>
    <row r="72" customFormat="false" ht="15" hidden="false" customHeight="false" outlineLevel="0" collapsed="false">
      <c r="B72" s="12" t="s">
        <v>207</v>
      </c>
      <c r="C72" s="14" t="s">
        <v>115</v>
      </c>
      <c r="D72" s="28" t="n">
        <v>0.25</v>
      </c>
      <c r="I72" s="14"/>
    </row>
    <row r="73" customFormat="false" ht="15" hidden="false" customHeight="false" outlineLevel="0" collapsed="false">
      <c r="B73" s="12" t="s">
        <v>208</v>
      </c>
      <c r="C73" s="14" t="s">
        <v>148</v>
      </c>
      <c r="D73" s="29" t="n">
        <v>12</v>
      </c>
      <c r="I73" s="14"/>
    </row>
    <row r="75" customFormat="false" ht="15" hidden="false" customHeight="false" outlineLevel="0" collapsed="false">
      <c r="B75" s="24" t="s">
        <v>209</v>
      </c>
      <c r="C75" s="24" t="s">
        <v>101</v>
      </c>
      <c r="D75" s="24" t="s">
        <v>102</v>
      </c>
      <c r="E75" s="24" t="s">
        <v>103</v>
      </c>
      <c r="F75" s="24" t="s">
        <v>104</v>
      </c>
      <c r="G75" s="24" t="s">
        <v>105</v>
      </c>
      <c r="H75" s="24"/>
      <c r="I75" s="24" t="s">
        <v>106</v>
      </c>
    </row>
    <row r="76" customFormat="false" ht="15" hidden="false" customHeight="false" outlineLevel="0" collapsed="false">
      <c r="B76" s="12" t="s">
        <v>210</v>
      </c>
      <c r="C76" s="14" t="s">
        <v>180</v>
      </c>
      <c r="D76" s="27" t="n">
        <v>300000</v>
      </c>
      <c r="I76" s="14" t="s">
        <v>211</v>
      </c>
    </row>
    <row r="77" customFormat="false" ht="15" hidden="false" customHeight="false" outlineLevel="0" collapsed="false">
      <c r="B77" s="12" t="s">
        <v>212</v>
      </c>
      <c r="C77" s="14" t="s">
        <v>180</v>
      </c>
      <c r="D77" s="27" t="n">
        <v>800000</v>
      </c>
      <c r="I77" s="14"/>
    </row>
    <row r="78" customFormat="false" ht="15" hidden="false" customHeight="false" outlineLevel="0" collapsed="false">
      <c r="B78" s="12" t="s">
        <v>213</v>
      </c>
      <c r="C78" s="14" t="s">
        <v>180</v>
      </c>
      <c r="D78" s="27" t="n">
        <v>2500000</v>
      </c>
      <c r="I78" s="14"/>
    </row>
    <row r="79" customFormat="false" ht="15" hidden="false" customHeight="false" outlineLevel="0" collapsed="false">
      <c r="B79" s="12" t="s">
        <v>214</v>
      </c>
      <c r="C79" s="14" t="s">
        <v>180</v>
      </c>
      <c r="D79" s="27" t="n">
        <v>300000</v>
      </c>
      <c r="I79" s="14" t="s">
        <v>215</v>
      </c>
    </row>
    <row r="80" customFormat="false" ht="15" hidden="false" customHeight="false" outlineLevel="0" collapsed="false">
      <c r="B80" s="12" t="s">
        <v>216</v>
      </c>
      <c r="C80" s="14" t="s">
        <v>180</v>
      </c>
      <c r="D80" s="27" t="n">
        <v>1200000</v>
      </c>
      <c r="I80" s="14"/>
    </row>
    <row r="81" customFormat="false" ht="15" hidden="false" customHeight="false" outlineLevel="0" collapsed="false">
      <c r="B81" s="12" t="s">
        <v>217</v>
      </c>
      <c r="C81" s="14" t="s">
        <v>180</v>
      </c>
      <c r="D81" s="27" t="n">
        <v>3500000</v>
      </c>
      <c r="I81" s="14"/>
    </row>
    <row r="82" customFormat="false" ht="15" hidden="false" customHeight="false" outlineLevel="0" collapsed="false">
      <c r="B82" s="12" t="s">
        <v>218</v>
      </c>
      <c r="C82" s="14" t="s">
        <v>63</v>
      </c>
      <c r="D82" s="27" t="n">
        <v>3000000</v>
      </c>
      <c r="I82" s="14"/>
    </row>
    <row r="83" customFormat="false" ht="15" hidden="false" customHeight="false" outlineLevel="0" collapsed="false">
      <c r="B83" s="12" t="s">
        <v>219</v>
      </c>
      <c r="C83" s="14" t="s">
        <v>63</v>
      </c>
      <c r="D83" s="27" t="n">
        <v>10000000</v>
      </c>
      <c r="I83" s="14"/>
    </row>
    <row r="84" customFormat="false" ht="15" hidden="false" customHeight="false" outlineLevel="0" collapsed="false">
      <c r="B84" s="12" t="s">
        <v>220</v>
      </c>
      <c r="C84" s="14" t="s">
        <v>63</v>
      </c>
      <c r="D84" s="27" t="n">
        <v>40000000</v>
      </c>
      <c r="I84" s="14"/>
    </row>
    <row r="85" customFormat="false" ht="15" hidden="false" customHeight="false" outlineLevel="0" collapsed="false">
      <c r="B85" s="12" t="s">
        <v>221</v>
      </c>
      <c r="C85" s="14" t="s">
        <v>222</v>
      </c>
      <c r="D85" s="27" t="n">
        <v>5</v>
      </c>
      <c r="I85" s="14"/>
    </row>
    <row r="86" customFormat="false" ht="15" hidden="false" customHeight="false" outlineLevel="0" collapsed="false">
      <c r="B86" s="12" t="s">
        <v>223</v>
      </c>
      <c r="C86" s="14" t="s">
        <v>222</v>
      </c>
      <c r="D86" s="27" t="n">
        <v>25</v>
      </c>
      <c r="I86" s="14"/>
    </row>
    <row r="87" customFormat="false" ht="15" hidden="false" customHeight="false" outlineLevel="0" collapsed="false">
      <c r="B87" s="12" t="s">
        <v>224</v>
      </c>
      <c r="C87" s="14" t="s">
        <v>222</v>
      </c>
      <c r="D87" s="27" t="n">
        <v>120</v>
      </c>
      <c r="I87" s="14"/>
    </row>
    <row r="88" customFormat="false" ht="15" hidden="false" customHeight="false" outlineLevel="0" collapsed="false">
      <c r="B88" s="12" t="s">
        <v>225</v>
      </c>
      <c r="C88" s="14" t="s">
        <v>226</v>
      </c>
      <c r="D88" s="27" t="n">
        <v>10</v>
      </c>
      <c r="I88" s="14"/>
    </row>
    <row r="89" customFormat="false" ht="15" hidden="false" customHeight="false" outlineLevel="0" collapsed="false">
      <c r="B89" s="12" t="s">
        <v>227</v>
      </c>
      <c r="C89" s="14" t="s">
        <v>226</v>
      </c>
      <c r="D89" s="27" t="n">
        <v>40</v>
      </c>
      <c r="I89" s="14"/>
    </row>
    <row r="90" customFormat="false" ht="15" hidden="false" customHeight="false" outlineLevel="0" collapsed="false">
      <c r="B90" s="12" t="s">
        <v>228</v>
      </c>
      <c r="C90" s="14" t="s">
        <v>226</v>
      </c>
      <c r="D90" s="27" t="n">
        <v>150</v>
      </c>
      <c r="I90" s="14"/>
    </row>
    <row r="91" customFormat="false" ht="15" hidden="false" customHeight="false" outlineLevel="0" collapsed="false">
      <c r="B91" s="12" t="s">
        <v>229</v>
      </c>
      <c r="C91" s="14" t="s">
        <v>226</v>
      </c>
      <c r="D91" s="27" t="n">
        <v>0</v>
      </c>
      <c r="I91" s="14"/>
    </row>
    <row r="92" customFormat="false" ht="15" hidden="false" customHeight="false" outlineLevel="0" collapsed="false">
      <c r="B92" s="12" t="s">
        <v>230</v>
      </c>
      <c r="C92" s="14" t="s">
        <v>226</v>
      </c>
      <c r="D92" s="27" t="n">
        <v>5</v>
      </c>
      <c r="I92" s="14"/>
    </row>
    <row r="93" customFormat="false" ht="15" hidden="false" customHeight="false" outlineLevel="0" collapsed="false">
      <c r="B93" s="12" t="s">
        <v>231</v>
      </c>
      <c r="C93" s="14" t="s">
        <v>226</v>
      </c>
      <c r="D93" s="27" t="n">
        <v>40</v>
      </c>
      <c r="I93" s="14"/>
    </row>
    <row r="94" customFormat="false" ht="15" hidden="false" customHeight="false" outlineLevel="0" collapsed="false">
      <c r="B94" s="12" t="s">
        <v>232</v>
      </c>
      <c r="C94" s="14" t="s">
        <v>233</v>
      </c>
      <c r="D94" s="27" t="n">
        <v>1</v>
      </c>
      <c r="I94" s="14"/>
    </row>
    <row r="95" customFormat="false" ht="15" hidden="false" customHeight="false" outlineLevel="0" collapsed="false">
      <c r="B95" s="12" t="s">
        <v>234</v>
      </c>
      <c r="C95" s="14" t="s">
        <v>233</v>
      </c>
      <c r="D95" s="27" t="n">
        <v>3</v>
      </c>
      <c r="I95" s="14"/>
    </row>
    <row r="96" customFormat="false" ht="15" hidden="false" customHeight="false" outlineLevel="0" collapsed="false">
      <c r="B96" s="12" t="s">
        <v>235</v>
      </c>
      <c r="C96" s="14" t="s">
        <v>233</v>
      </c>
      <c r="D96" s="27" t="n">
        <v>8</v>
      </c>
      <c r="I96" s="14"/>
    </row>
    <row r="97" customFormat="false" ht="15" hidden="false" customHeight="false" outlineLevel="0" collapsed="false">
      <c r="B97" s="12" t="s">
        <v>236</v>
      </c>
      <c r="C97" s="14" t="s">
        <v>233</v>
      </c>
      <c r="D97" s="27" t="n">
        <v>2</v>
      </c>
      <c r="I97" s="14"/>
    </row>
    <row r="98" customFormat="false" ht="15" hidden="false" customHeight="false" outlineLevel="0" collapsed="false">
      <c r="B98" s="12" t="s">
        <v>237</v>
      </c>
      <c r="C98" s="14" t="s">
        <v>233</v>
      </c>
      <c r="D98" s="27" t="n">
        <v>6</v>
      </c>
      <c r="I98" s="14"/>
    </row>
    <row r="99" customFormat="false" ht="15" hidden="false" customHeight="false" outlineLevel="0" collapsed="false">
      <c r="B99" s="12" t="s">
        <v>238</v>
      </c>
      <c r="C99" s="14" t="s">
        <v>233</v>
      </c>
      <c r="D99" s="27" t="n">
        <v>15</v>
      </c>
      <c r="I99" s="14"/>
    </row>
    <row r="100" customFormat="false" ht="15" hidden="false" customHeight="false" outlineLevel="0" collapsed="false">
      <c r="B100" s="12" t="s">
        <v>239</v>
      </c>
      <c r="C100" s="14" t="s">
        <v>180</v>
      </c>
      <c r="D100" s="27" t="n">
        <v>800000</v>
      </c>
      <c r="I100" s="14"/>
    </row>
    <row r="101" customFormat="false" ht="15" hidden="false" customHeight="false" outlineLevel="0" collapsed="false">
      <c r="B101" s="12" t="s">
        <v>240</v>
      </c>
      <c r="C101" s="14" t="s">
        <v>180</v>
      </c>
      <c r="D101" s="27" t="n">
        <v>3000000</v>
      </c>
      <c r="I101" s="14"/>
    </row>
    <row r="102" customFormat="false" ht="15" hidden="false" customHeight="false" outlineLevel="0" collapsed="false">
      <c r="B102" s="12" t="s">
        <v>241</v>
      </c>
      <c r="C102" s="14" t="s">
        <v>180</v>
      </c>
      <c r="D102" s="27" t="n">
        <v>10000000</v>
      </c>
      <c r="I102" s="14"/>
    </row>
    <row r="103" customFormat="false" ht="15" hidden="false" customHeight="false" outlineLevel="0" collapsed="false">
      <c r="B103" s="12" t="s">
        <v>242</v>
      </c>
      <c r="C103" s="14" t="s">
        <v>63</v>
      </c>
      <c r="D103" s="27" t="n">
        <v>200000</v>
      </c>
      <c r="I103" s="14" t="s">
        <v>243</v>
      </c>
    </row>
    <row r="104" customFormat="false" ht="15" hidden="false" customHeight="false" outlineLevel="0" collapsed="false">
      <c r="B104" s="12" t="s">
        <v>244</v>
      </c>
      <c r="C104" s="14" t="s">
        <v>115</v>
      </c>
      <c r="D104" s="28" t="n">
        <v>0.6</v>
      </c>
      <c r="I104" s="14" t="s">
        <v>245</v>
      </c>
    </row>
    <row r="105" customFormat="false" ht="15" hidden="false" customHeight="false" outlineLevel="0" collapsed="false">
      <c r="B105" s="12" t="s">
        <v>246</v>
      </c>
      <c r="C105" s="14" t="s">
        <v>115</v>
      </c>
      <c r="D105" s="28" t="n">
        <v>0.2</v>
      </c>
      <c r="I105" s="14"/>
    </row>
    <row r="107" customFormat="false" ht="15" hidden="false" customHeight="false" outlineLevel="0" collapsed="false">
      <c r="B107" s="24" t="s">
        <v>247</v>
      </c>
      <c r="C107" s="24" t="s">
        <v>101</v>
      </c>
      <c r="D107" s="24" t="s">
        <v>102</v>
      </c>
      <c r="E107" s="24" t="s">
        <v>103</v>
      </c>
      <c r="F107" s="24" t="s">
        <v>104</v>
      </c>
      <c r="G107" s="24" t="s">
        <v>105</v>
      </c>
      <c r="H107" s="24"/>
      <c r="I107" s="24" t="s">
        <v>106</v>
      </c>
    </row>
    <row r="108" customFormat="false" ht="15" hidden="false" customHeight="false" outlineLevel="0" collapsed="false">
      <c r="B108" s="12" t="s">
        <v>248</v>
      </c>
      <c r="C108" s="14" t="s">
        <v>180</v>
      </c>
      <c r="D108" s="27" t="n">
        <v>3000</v>
      </c>
      <c r="I108" s="14" t="s">
        <v>249</v>
      </c>
    </row>
    <row r="109" customFormat="false" ht="15" hidden="false" customHeight="false" outlineLevel="0" collapsed="false">
      <c r="B109" s="12" t="s">
        <v>250</v>
      </c>
      <c r="C109" s="14" t="s">
        <v>251</v>
      </c>
      <c r="D109" s="27" t="n">
        <v>12000</v>
      </c>
      <c r="I109" s="14" t="s">
        <v>252</v>
      </c>
    </row>
    <row r="110" customFormat="false" ht="15" hidden="false" customHeight="false" outlineLevel="0" collapsed="false">
      <c r="B110" s="12" t="s">
        <v>253</v>
      </c>
      <c r="C110" s="14" t="s">
        <v>63</v>
      </c>
      <c r="D110" s="27" t="n">
        <v>900</v>
      </c>
      <c r="I110" s="14" t="s">
        <v>254</v>
      </c>
    </row>
    <row r="111" customFormat="false" ht="15" hidden="false" customHeight="false" outlineLevel="0" collapsed="false">
      <c r="B111" s="12" t="s">
        <v>255</v>
      </c>
      <c r="C111" s="14" t="s">
        <v>222</v>
      </c>
      <c r="D111" s="27" t="n">
        <v>2</v>
      </c>
      <c r="I111" s="14" t="s">
        <v>256</v>
      </c>
    </row>
    <row r="112" customFormat="false" ht="15" hidden="false" customHeight="false" outlineLevel="0" collapsed="false">
      <c r="B112" s="12" t="s">
        <v>257</v>
      </c>
      <c r="C112" s="14" t="s">
        <v>180</v>
      </c>
      <c r="D112" s="27" t="n">
        <v>1000</v>
      </c>
      <c r="I112" s="14" t="s">
        <v>258</v>
      </c>
    </row>
    <row r="113" customFormat="false" ht="15" hidden="false" customHeight="false" outlineLevel="0" collapsed="false">
      <c r="B113" s="12" t="s">
        <v>259</v>
      </c>
      <c r="C113" s="14" t="s">
        <v>63</v>
      </c>
      <c r="D113" s="27" t="n">
        <v>4500</v>
      </c>
      <c r="I113" s="14" t="s">
        <v>260</v>
      </c>
    </row>
    <row r="114" customFormat="false" ht="15" hidden="false" customHeight="false" outlineLevel="0" collapsed="false">
      <c r="B114" s="12" t="s">
        <v>261</v>
      </c>
      <c r="C114" s="14" t="s">
        <v>262</v>
      </c>
      <c r="D114" s="35" t="n">
        <v>0.005</v>
      </c>
      <c r="I114" s="14" t="s">
        <v>263</v>
      </c>
    </row>
    <row r="115" customFormat="false" ht="15" hidden="false" customHeight="false" outlineLevel="0" collapsed="false">
      <c r="B115" s="12" t="s">
        <v>264</v>
      </c>
      <c r="C115" s="14" t="s">
        <v>265</v>
      </c>
      <c r="D115" s="35" t="n">
        <v>0.0015</v>
      </c>
      <c r="I115" s="14" t="s">
        <v>266</v>
      </c>
    </row>
    <row r="116" customFormat="false" ht="15" hidden="false" customHeight="false" outlineLevel="0" collapsed="false">
      <c r="B116" s="12" t="s">
        <v>267</v>
      </c>
      <c r="C116" s="14" t="s">
        <v>268</v>
      </c>
      <c r="D116" s="35" t="n">
        <v>0.0025</v>
      </c>
      <c r="I116" s="14" t="s">
        <v>269</v>
      </c>
    </row>
    <row r="117" customFormat="false" ht="15" hidden="false" customHeight="false" outlineLevel="0" collapsed="false">
      <c r="B117" s="12" t="s">
        <v>270</v>
      </c>
      <c r="C117" s="14" t="s">
        <v>271</v>
      </c>
      <c r="D117" s="27" t="n">
        <v>100</v>
      </c>
      <c r="I117" s="14" t="s">
        <v>272</v>
      </c>
    </row>
    <row r="118" customFormat="false" ht="15" hidden="false" customHeight="false" outlineLevel="0" collapsed="false">
      <c r="B118" s="12" t="s">
        <v>273</v>
      </c>
      <c r="C118" s="14" t="s">
        <v>271</v>
      </c>
      <c r="D118" s="27" t="n">
        <v>100</v>
      </c>
      <c r="I118" s="14" t="s">
        <v>274</v>
      </c>
    </row>
    <row r="119" customFormat="false" ht="15" hidden="false" customHeight="false" outlineLevel="0" collapsed="false">
      <c r="B119" s="12" t="s">
        <v>275</v>
      </c>
      <c r="C119" s="14" t="s">
        <v>180</v>
      </c>
      <c r="D119" s="27" t="n">
        <v>400</v>
      </c>
      <c r="I119" s="14"/>
    </row>
    <row r="120" customFormat="false" ht="15" hidden="false" customHeight="false" outlineLevel="0" collapsed="false">
      <c r="B120" s="12" t="s">
        <v>276</v>
      </c>
      <c r="C120" s="14" t="s">
        <v>180</v>
      </c>
      <c r="D120" s="27" t="n">
        <v>50</v>
      </c>
      <c r="I120" s="14"/>
    </row>
    <row r="121" customFormat="false" ht="15" hidden="false" customHeight="false" outlineLevel="0" collapsed="false">
      <c r="B121" s="12" t="s">
        <v>277</v>
      </c>
      <c r="C121" s="14" t="s">
        <v>180</v>
      </c>
      <c r="D121" s="27" t="n">
        <v>150</v>
      </c>
      <c r="I121" s="14" t="s">
        <v>278</v>
      </c>
    </row>
    <row r="123" customFormat="false" ht="15" hidden="false" customHeight="false" outlineLevel="0" collapsed="false">
      <c r="B123" s="24" t="s">
        <v>279</v>
      </c>
      <c r="C123" s="24" t="s">
        <v>101</v>
      </c>
      <c r="D123" s="24" t="s">
        <v>102</v>
      </c>
      <c r="E123" s="24" t="s">
        <v>103</v>
      </c>
      <c r="F123" s="24" t="s">
        <v>104</v>
      </c>
      <c r="G123" s="24" t="s">
        <v>105</v>
      </c>
      <c r="H123" s="24"/>
      <c r="I123" s="24" t="s">
        <v>106</v>
      </c>
    </row>
    <row r="124" customFormat="false" ht="15" hidden="false" customHeight="false" outlineLevel="0" collapsed="false">
      <c r="B124" s="12" t="s">
        <v>280</v>
      </c>
      <c r="C124" s="14" t="s">
        <v>157</v>
      </c>
      <c r="D124" s="36" t="n">
        <f aca="false">CHOOSE(Scenario,E124,F124,G124)</f>
        <v>1</v>
      </c>
      <c r="E124" s="32" t="n">
        <v>0.6</v>
      </c>
      <c r="F124" s="32" t="n">
        <v>1</v>
      </c>
      <c r="G124" s="32" t="n">
        <v>1.4</v>
      </c>
      <c r="I124" s="14" t="s">
        <v>281</v>
      </c>
    </row>
    <row r="125" customFormat="false" ht="15" hidden="false" customHeight="false" outlineLevel="0" collapsed="false">
      <c r="B125" s="12" t="s">
        <v>282</v>
      </c>
      <c r="C125" s="14" t="s">
        <v>157</v>
      </c>
      <c r="D125" s="36" t="n">
        <f aca="false">CHOOSE(Scenario,E125,F125,G125)</f>
        <v>1</v>
      </c>
      <c r="E125" s="32" t="n">
        <v>1.5</v>
      </c>
      <c r="F125" s="32" t="n">
        <v>1</v>
      </c>
      <c r="G125" s="32" t="n">
        <v>0.8</v>
      </c>
      <c r="I125" s="14" t="s">
        <v>283</v>
      </c>
    </row>
    <row r="126" customFormat="false" ht="15" hidden="false" customHeight="false" outlineLevel="0" collapsed="false">
      <c r="B126" s="12" t="s">
        <v>284</v>
      </c>
      <c r="C126" s="14" t="s">
        <v>148</v>
      </c>
      <c r="D126" s="29" t="n">
        <v>12</v>
      </c>
      <c r="I126" s="14"/>
    </row>
    <row r="127" customFormat="false" ht="15" hidden="false" customHeight="false" outlineLevel="0" collapsed="false">
      <c r="B127" s="12" t="s">
        <v>285</v>
      </c>
      <c r="C127" s="14" t="s">
        <v>60</v>
      </c>
      <c r="D127" s="29" t="n">
        <v>12</v>
      </c>
      <c r="I127" s="14" t="s">
        <v>286</v>
      </c>
    </row>
    <row r="128" customFormat="false" ht="15" hidden="false" customHeight="false" outlineLevel="0" collapsed="false">
      <c r="B128" s="12" t="s">
        <v>287</v>
      </c>
      <c r="C128" s="14" t="s">
        <v>115</v>
      </c>
      <c r="D128" s="28" t="n">
        <v>0.05</v>
      </c>
      <c r="I128" s="14"/>
    </row>
    <row r="129" customFormat="false" ht="15" hidden="false" customHeight="false" outlineLevel="0" collapsed="false">
      <c r="B129" s="12" t="s">
        <v>288</v>
      </c>
      <c r="C129" s="14" t="s">
        <v>63</v>
      </c>
      <c r="D129" s="27" t="n">
        <v>8000000</v>
      </c>
      <c r="I129" s="14" t="s">
        <v>289</v>
      </c>
    </row>
    <row r="130" customFormat="false" ht="15" hidden="false" customHeight="false" outlineLevel="0" collapsed="false">
      <c r="B130" s="12" t="s">
        <v>290</v>
      </c>
      <c r="C130" s="14" t="s">
        <v>118</v>
      </c>
      <c r="D130" s="28" t="n">
        <v>0.23</v>
      </c>
      <c r="I130" s="14" t="s">
        <v>291</v>
      </c>
    </row>
    <row r="131" customFormat="false" ht="15" hidden="false" customHeight="false" outlineLevel="0" collapsed="false">
      <c r="B131" s="12" t="s">
        <v>292</v>
      </c>
      <c r="C131" s="14" t="s">
        <v>118</v>
      </c>
      <c r="D131" s="35" t="n">
        <v>0.015</v>
      </c>
      <c r="I131" s="14"/>
    </row>
    <row r="132" customFormat="false" ht="15" hidden="false" customHeight="false" outlineLevel="0" collapsed="false">
      <c r="B132" s="12" t="s">
        <v>293</v>
      </c>
      <c r="C132" s="14" t="s">
        <v>60</v>
      </c>
      <c r="D132" s="29" t="n">
        <v>12</v>
      </c>
      <c r="I132" s="14"/>
    </row>
    <row r="133" customFormat="false" ht="15" hidden="false" customHeight="false" outlineLevel="0" collapsed="false">
      <c r="B133" s="12" t="s">
        <v>294</v>
      </c>
      <c r="C133" s="14" t="s">
        <v>115</v>
      </c>
      <c r="D133" s="28" t="n">
        <v>0.03</v>
      </c>
      <c r="I133" s="14"/>
    </row>
    <row r="134" customFormat="false" ht="15" hidden="false" customHeight="false" outlineLevel="0" collapsed="false">
      <c r="B134" s="12" t="s">
        <v>295</v>
      </c>
      <c r="C134" s="14" t="s">
        <v>63</v>
      </c>
      <c r="D134" s="27" t="n">
        <v>3000000</v>
      </c>
      <c r="I134" s="14" t="s">
        <v>296</v>
      </c>
    </row>
    <row r="135" customFormat="false" ht="15" hidden="false" customHeight="false" outlineLevel="0" collapsed="false">
      <c r="B135" s="12" t="s">
        <v>297</v>
      </c>
      <c r="C135" s="14" t="s">
        <v>118</v>
      </c>
      <c r="D135" s="28" t="n">
        <v>0.23</v>
      </c>
      <c r="I135" s="14"/>
    </row>
    <row r="136" customFormat="false" ht="15" hidden="false" customHeight="false" outlineLevel="0" collapsed="false">
      <c r="B136" s="12" t="s">
        <v>298</v>
      </c>
      <c r="C136" s="14" t="s">
        <v>118</v>
      </c>
      <c r="D136" s="35" t="n">
        <v>0.02</v>
      </c>
      <c r="I136" s="14"/>
    </row>
    <row r="137" customFormat="false" ht="15" hidden="false" customHeight="false" outlineLevel="0" collapsed="false">
      <c r="B137" s="12" t="s">
        <v>299</v>
      </c>
      <c r="C137" s="14" t="s">
        <v>60</v>
      </c>
      <c r="D137" s="29" t="n">
        <v>15</v>
      </c>
      <c r="I137" s="14" t="s">
        <v>300</v>
      </c>
    </row>
    <row r="138" customFormat="false" ht="15" hidden="false" customHeight="false" outlineLevel="0" collapsed="false">
      <c r="B138" s="12" t="s">
        <v>301</v>
      </c>
      <c r="C138" s="14" t="s">
        <v>115</v>
      </c>
      <c r="D138" s="28" t="n">
        <v>0.08</v>
      </c>
      <c r="I138" s="14"/>
    </row>
    <row r="139" customFormat="false" ht="15" hidden="false" customHeight="false" outlineLevel="0" collapsed="false">
      <c r="B139" s="12" t="s">
        <v>302</v>
      </c>
      <c r="C139" s="14" t="s">
        <v>63</v>
      </c>
      <c r="D139" s="27" t="n">
        <v>1500000</v>
      </c>
      <c r="I139" s="14" t="s">
        <v>303</v>
      </c>
    </row>
    <row r="140" customFormat="false" ht="15" hidden="false" customHeight="false" outlineLevel="0" collapsed="false">
      <c r="B140" s="12" t="s">
        <v>304</v>
      </c>
      <c r="C140" s="14" t="s">
        <v>118</v>
      </c>
      <c r="D140" s="28" t="n">
        <v>0.23</v>
      </c>
      <c r="I140" s="14"/>
    </row>
    <row r="141" customFormat="false" ht="15" hidden="false" customHeight="false" outlineLevel="0" collapsed="false">
      <c r="B141" s="12" t="s">
        <v>305</v>
      </c>
      <c r="C141" s="14" t="s">
        <v>118</v>
      </c>
      <c r="D141" s="35" t="n">
        <v>0.04</v>
      </c>
      <c r="I141" s="14"/>
    </row>
    <row r="142" customFormat="false" ht="15" hidden="false" customHeight="false" outlineLevel="0" collapsed="false">
      <c r="B142" s="12" t="s">
        <v>306</v>
      </c>
      <c r="C142" s="14" t="s">
        <v>60</v>
      </c>
      <c r="D142" s="29" t="n">
        <v>20</v>
      </c>
      <c r="I142" s="14"/>
    </row>
    <row r="143" customFormat="false" ht="15" hidden="false" customHeight="false" outlineLevel="0" collapsed="false">
      <c r="B143" s="12" t="s">
        <v>307</v>
      </c>
      <c r="C143" s="14" t="s">
        <v>115</v>
      </c>
      <c r="D143" s="28" t="n">
        <v>0.02</v>
      </c>
      <c r="I143" s="14"/>
    </row>
    <row r="144" customFormat="false" ht="15" hidden="false" customHeight="false" outlineLevel="0" collapsed="false">
      <c r="B144" s="12" t="s">
        <v>308</v>
      </c>
      <c r="C144" s="14" t="s">
        <v>63</v>
      </c>
      <c r="D144" s="27" t="n">
        <v>10000000</v>
      </c>
      <c r="I144" s="14" t="s">
        <v>309</v>
      </c>
    </row>
    <row r="145" customFormat="false" ht="15" hidden="false" customHeight="false" outlineLevel="0" collapsed="false">
      <c r="B145" s="12" t="s">
        <v>310</v>
      </c>
      <c r="C145" s="14" t="s">
        <v>118</v>
      </c>
      <c r="D145" s="28" t="n">
        <v>0.22</v>
      </c>
      <c r="I145" s="14"/>
    </row>
    <row r="146" customFormat="false" ht="15" hidden="false" customHeight="false" outlineLevel="0" collapsed="false">
      <c r="B146" s="12" t="s">
        <v>311</v>
      </c>
      <c r="C146" s="14" t="s">
        <v>118</v>
      </c>
      <c r="D146" s="35" t="n">
        <v>0.03</v>
      </c>
      <c r="I146" s="14"/>
    </row>
    <row r="147" customFormat="false" ht="15" hidden="false" customHeight="false" outlineLevel="0" collapsed="false">
      <c r="B147" s="12" t="s">
        <v>312</v>
      </c>
      <c r="C147" s="14" t="s">
        <v>60</v>
      </c>
      <c r="D147" s="29" t="n">
        <v>12</v>
      </c>
      <c r="I147" s="14" t="s">
        <v>313</v>
      </c>
    </row>
    <row r="148" customFormat="false" ht="15" hidden="false" customHeight="false" outlineLevel="0" collapsed="false">
      <c r="B148" s="12" t="s">
        <v>314</v>
      </c>
      <c r="C148" s="14" t="s">
        <v>115</v>
      </c>
      <c r="D148" s="28" t="n">
        <v>0.1</v>
      </c>
      <c r="I148" s="14"/>
    </row>
    <row r="149" customFormat="false" ht="15" hidden="false" customHeight="false" outlineLevel="0" collapsed="false">
      <c r="B149" s="12" t="s">
        <v>315</v>
      </c>
      <c r="C149" s="14" t="s">
        <v>63</v>
      </c>
      <c r="D149" s="27" t="n">
        <v>50000</v>
      </c>
      <c r="I149" s="14" t="s">
        <v>316</v>
      </c>
    </row>
    <row r="150" customFormat="false" ht="15" hidden="false" customHeight="false" outlineLevel="0" collapsed="false">
      <c r="B150" s="12" t="s">
        <v>317</v>
      </c>
      <c r="C150" s="14" t="s">
        <v>118</v>
      </c>
      <c r="D150" s="28" t="n">
        <v>0.23</v>
      </c>
      <c r="I150" s="14"/>
    </row>
    <row r="151" customFormat="false" ht="15" hidden="false" customHeight="false" outlineLevel="0" collapsed="false">
      <c r="B151" s="12" t="s">
        <v>318</v>
      </c>
      <c r="C151" s="14" t="s">
        <v>118</v>
      </c>
      <c r="D151" s="35" t="n">
        <v>0.015</v>
      </c>
      <c r="I151" s="14"/>
    </row>
    <row r="152" customFormat="false" ht="15" hidden="false" customHeight="false" outlineLevel="0" collapsed="false">
      <c r="B152" s="12" t="s">
        <v>319</v>
      </c>
      <c r="C152" s="14" t="s">
        <v>118</v>
      </c>
      <c r="D152" s="28" t="n">
        <v>0.09</v>
      </c>
      <c r="I152" s="14" t="s">
        <v>320</v>
      </c>
    </row>
    <row r="153" customFormat="false" ht="15" hidden="false" customHeight="false" outlineLevel="0" collapsed="false">
      <c r="B153" s="12" t="s">
        <v>321</v>
      </c>
      <c r="C153" s="14" t="s">
        <v>118</v>
      </c>
      <c r="D153" s="28" t="n">
        <v>0.01</v>
      </c>
      <c r="I153" s="14" t="s">
        <v>322</v>
      </c>
    </row>
    <row r="154" customFormat="false" ht="15" hidden="false" customHeight="false" outlineLevel="0" collapsed="false">
      <c r="B154" s="12" t="s">
        <v>323</v>
      </c>
      <c r="C154" s="14" t="s">
        <v>115</v>
      </c>
      <c r="D154" s="28" t="n">
        <v>0.5</v>
      </c>
      <c r="I154" s="14" t="s">
        <v>324</v>
      </c>
    </row>
    <row r="155" customFormat="false" ht="15" hidden="false" customHeight="false" outlineLevel="0" collapsed="false">
      <c r="B155" s="12" t="s">
        <v>325</v>
      </c>
      <c r="C155" s="14" t="s">
        <v>326</v>
      </c>
      <c r="D155" s="28" t="n">
        <v>0.1</v>
      </c>
      <c r="I155" s="14"/>
    </row>
    <row r="156" customFormat="false" ht="15" hidden="false" customHeight="false" outlineLevel="0" collapsed="false">
      <c r="B156" s="12" t="s">
        <v>327</v>
      </c>
      <c r="C156" s="14" t="s">
        <v>326</v>
      </c>
      <c r="D156" s="28" t="n">
        <v>0.15</v>
      </c>
      <c r="I156" s="14" t="s">
        <v>328</v>
      </c>
    </row>
    <row r="158" customFormat="false" ht="15" hidden="false" customHeight="false" outlineLevel="0" collapsed="false">
      <c r="B158" s="24" t="s">
        <v>329</v>
      </c>
      <c r="C158" s="24" t="s">
        <v>101</v>
      </c>
      <c r="D158" s="24" t="s">
        <v>102</v>
      </c>
      <c r="E158" s="24" t="s">
        <v>103</v>
      </c>
      <c r="F158" s="24" t="s">
        <v>104</v>
      </c>
      <c r="G158" s="24" t="s">
        <v>105</v>
      </c>
      <c r="H158" s="24"/>
      <c r="I158" s="24" t="s">
        <v>106</v>
      </c>
    </row>
    <row r="159" customFormat="false" ht="15" hidden="false" customHeight="false" outlineLevel="0" collapsed="false">
      <c r="B159" s="12" t="s">
        <v>330</v>
      </c>
      <c r="C159" s="14" t="s">
        <v>115</v>
      </c>
      <c r="D159" s="28" t="n">
        <v>0.084</v>
      </c>
      <c r="I159" s="14" t="s">
        <v>331</v>
      </c>
    </row>
    <row r="160" customFormat="false" ht="15" hidden="false" customHeight="false" outlineLevel="0" collapsed="false">
      <c r="B160" s="12" t="s">
        <v>332</v>
      </c>
      <c r="C160" s="14" t="s">
        <v>180</v>
      </c>
      <c r="D160" s="27" t="n">
        <v>432000</v>
      </c>
      <c r="I160" s="14"/>
    </row>
    <row r="161" customFormat="false" ht="15" hidden="false" customHeight="false" outlineLevel="0" collapsed="false">
      <c r="B161" s="12" t="s">
        <v>333</v>
      </c>
      <c r="C161" s="14" t="s">
        <v>115</v>
      </c>
      <c r="D161" s="28" t="n">
        <v>0.036</v>
      </c>
      <c r="I161" s="14" t="s">
        <v>334</v>
      </c>
    </row>
    <row r="162" customFormat="false" ht="15" hidden="false" customHeight="false" outlineLevel="0" collapsed="false">
      <c r="B162" s="12" t="s">
        <v>335</v>
      </c>
      <c r="C162" s="14" t="s">
        <v>180</v>
      </c>
      <c r="D162" s="27" t="n">
        <v>1296000</v>
      </c>
      <c r="I162" s="14"/>
    </row>
    <row r="163" customFormat="false" ht="15" hidden="false" customHeight="false" outlineLevel="0" collapsed="false">
      <c r="B163" s="12" t="s">
        <v>336</v>
      </c>
      <c r="C163" s="14" t="s">
        <v>115</v>
      </c>
      <c r="D163" s="28" t="n">
        <v>0.08</v>
      </c>
      <c r="I163" s="14" t="s">
        <v>337</v>
      </c>
    </row>
    <row r="164" customFormat="false" ht="15" hidden="false" customHeight="false" outlineLevel="0" collapsed="false">
      <c r="B164" s="12" t="s">
        <v>338</v>
      </c>
      <c r="C164" s="14" t="s">
        <v>180</v>
      </c>
      <c r="D164" s="27" t="n">
        <v>63000</v>
      </c>
      <c r="I164" s="14"/>
    </row>
    <row r="165" customFormat="false" ht="15" hidden="false" customHeight="false" outlineLevel="0" collapsed="false">
      <c r="B165" s="12" t="s">
        <v>339</v>
      </c>
      <c r="C165" s="14" t="s">
        <v>115</v>
      </c>
      <c r="D165" s="28" t="n">
        <v>0.03</v>
      </c>
      <c r="I165" s="14"/>
    </row>
    <row r="166" customFormat="false" ht="15" hidden="false" customHeight="false" outlineLevel="0" collapsed="false">
      <c r="B166" s="12" t="s">
        <v>340</v>
      </c>
      <c r="C166" s="14" t="s">
        <v>180</v>
      </c>
      <c r="D166" s="27" t="n">
        <v>250000</v>
      </c>
      <c r="I166" s="14"/>
    </row>
    <row r="167" customFormat="false" ht="15" hidden="false" customHeight="false" outlineLevel="0" collapsed="false">
      <c r="B167" s="12" t="s">
        <v>341</v>
      </c>
      <c r="C167" s="14" t="s">
        <v>115</v>
      </c>
      <c r="D167" s="28" t="n">
        <v>0.03</v>
      </c>
      <c r="I167" s="14" t="s">
        <v>342</v>
      </c>
    </row>
    <row r="168" customFormat="false" ht="15" hidden="false" customHeight="false" outlineLevel="0" collapsed="false">
      <c r="B168" s="12" t="s">
        <v>343</v>
      </c>
      <c r="C168" s="14" t="s">
        <v>344</v>
      </c>
      <c r="D168" s="29" t="n">
        <v>1</v>
      </c>
      <c r="I168" s="14" t="s">
        <v>345</v>
      </c>
    </row>
    <row r="169" customFormat="false" ht="15" hidden="false" customHeight="false" outlineLevel="0" collapsed="false">
      <c r="B169" s="12" t="s">
        <v>346</v>
      </c>
      <c r="C169" s="14" t="s">
        <v>180</v>
      </c>
      <c r="D169" s="27" t="n">
        <v>25000</v>
      </c>
      <c r="I169" s="14"/>
    </row>
    <row r="170" customFormat="false" ht="15" hidden="false" customHeight="false" outlineLevel="0" collapsed="false">
      <c r="B170" s="12" t="s">
        <v>347</v>
      </c>
      <c r="C170" s="14" t="s">
        <v>180</v>
      </c>
      <c r="D170" s="27" t="n">
        <v>15000</v>
      </c>
      <c r="I170" s="14"/>
    </row>
    <row r="171" customFormat="false" ht="15" hidden="false" customHeight="false" outlineLevel="0" collapsed="false">
      <c r="B171" s="12" t="s">
        <v>348</v>
      </c>
      <c r="C171" s="14" t="s">
        <v>63</v>
      </c>
      <c r="D171" s="27" t="n">
        <v>600000</v>
      </c>
      <c r="I171" s="14"/>
    </row>
    <row r="172" customFormat="false" ht="15" hidden="false" customHeight="false" outlineLevel="0" collapsed="false">
      <c r="B172" s="12" t="s">
        <v>349</v>
      </c>
      <c r="C172" s="14" t="s">
        <v>180</v>
      </c>
      <c r="D172" s="27" t="n">
        <v>15000</v>
      </c>
      <c r="I172" s="14"/>
    </row>
    <row r="173" customFormat="false" ht="15" hidden="false" customHeight="false" outlineLevel="0" collapsed="false">
      <c r="B173" s="12" t="s">
        <v>350</v>
      </c>
      <c r="C173" s="14" t="s">
        <v>351</v>
      </c>
      <c r="D173" s="27" t="n">
        <v>40</v>
      </c>
      <c r="I173" s="14" t="s">
        <v>352</v>
      </c>
    </row>
    <row r="174" customFormat="false" ht="15" hidden="false" customHeight="false" outlineLevel="0" collapsed="false">
      <c r="B174" s="12" t="s">
        <v>353</v>
      </c>
      <c r="C174" s="14" t="s">
        <v>148</v>
      </c>
      <c r="D174" s="29" t="n">
        <v>36</v>
      </c>
      <c r="I174" s="14"/>
    </row>
    <row r="176" customFormat="false" ht="15" hidden="false" customHeight="false" outlineLevel="0" collapsed="false">
      <c r="B176" s="24" t="s">
        <v>354</v>
      </c>
      <c r="C176" s="24" t="s">
        <v>101</v>
      </c>
      <c r="D176" s="24" t="s">
        <v>355</v>
      </c>
      <c r="E176" s="24" t="s">
        <v>356</v>
      </c>
      <c r="F176" s="24" t="s">
        <v>357</v>
      </c>
      <c r="G176" s="24" t="s">
        <v>358</v>
      </c>
      <c r="H176" s="24" t="s">
        <v>359</v>
      </c>
      <c r="I176" s="24" t="s">
        <v>106</v>
      </c>
    </row>
    <row r="177" customFormat="false" ht="15" hidden="false" customHeight="false" outlineLevel="0" collapsed="false">
      <c r="B177" s="8" t="s">
        <v>360</v>
      </c>
    </row>
    <row r="178" customFormat="false" ht="15" hidden="false" customHeight="false" outlineLevel="0" collapsed="false">
      <c r="B178" s="12" t="s">
        <v>361</v>
      </c>
      <c r="C178" s="14" t="s">
        <v>180</v>
      </c>
      <c r="D178" s="27" t="n">
        <v>800000</v>
      </c>
      <c r="I178" s="14" t="s">
        <v>362</v>
      </c>
    </row>
    <row r="179" customFormat="false" ht="15" hidden="false" customHeight="false" outlineLevel="0" collapsed="false">
      <c r="B179" s="12" t="s">
        <v>363</v>
      </c>
      <c r="C179" s="14" t="s">
        <v>364</v>
      </c>
      <c r="D179" s="27" t="n">
        <v>150</v>
      </c>
      <c r="E179" s="27" t="n">
        <v>250</v>
      </c>
      <c r="F179" s="27" t="n">
        <v>350</v>
      </c>
      <c r="G179" s="27" t="n">
        <v>450</v>
      </c>
      <c r="H179" s="27" t="n">
        <v>550</v>
      </c>
      <c r="I179" s="14" t="s">
        <v>365</v>
      </c>
    </row>
    <row r="180" customFormat="false" ht="15" hidden="false" customHeight="false" outlineLevel="0" collapsed="false">
      <c r="B180" s="12" t="s">
        <v>366</v>
      </c>
      <c r="C180" s="14" t="s">
        <v>367</v>
      </c>
      <c r="D180" s="27" t="n">
        <v>10500</v>
      </c>
      <c r="E180" s="27" t="n">
        <v>10500</v>
      </c>
      <c r="F180" s="27" t="n">
        <v>11000</v>
      </c>
      <c r="G180" s="27" t="n">
        <v>11500</v>
      </c>
      <c r="H180" s="27" t="n">
        <v>12000</v>
      </c>
      <c r="I180" s="14" t="s">
        <v>368</v>
      </c>
    </row>
    <row r="181" customFormat="false" ht="15" hidden="false" customHeight="false" outlineLevel="0" collapsed="false">
      <c r="B181" s="12" t="s">
        <v>369</v>
      </c>
      <c r="C181" s="14" t="s">
        <v>180</v>
      </c>
      <c r="D181" s="27" t="n">
        <v>300000</v>
      </c>
      <c r="E181" s="27" t="n">
        <v>450000</v>
      </c>
      <c r="F181" s="27" t="n">
        <v>600000</v>
      </c>
      <c r="G181" s="27" t="n">
        <v>750000</v>
      </c>
      <c r="H181" s="27" t="n">
        <v>900000</v>
      </c>
      <c r="I181" s="14" t="s">
        <v>370</v>
      </c>
    </row>
    <row r="182" customFormat="false" ht="15" hidden="false" customHeight="false" outlineLevel="0" collapsed="false">
      <c r="B182" s="12" t="s">
        <v>371</v>
      </c>
      <c r="C182" s="14" t="s">
        <v>180</v>
      </c>
      <c r="D182" s="27" t="n">
        <v>440000</v>
      </c>
      <c r="E182" s="27" t="n">
        <v>440000</v>
      </c>
      <c r="F182" s="27" t="n">
        <v>600000</v>
      </c>
      <c r="G182" s="27" t="n">
        <v>700000</v>
      </c>
      <c r="H182" s="27" t="n">
        <v>800000</v>
      </c>
      <c r="I182" s="14"/>
    </row>
    <row r="183" customFormat="false" ht="15" hidden="false" customHeight="false" outlineLevel="0" collapsed="false">
      <c r="B183" s="12" t="s">
        <v>372</v>
      </c>
      <c r="C183" s="14" t="s">
        <v>180</v>
      </c>
      <c r="D183" s="27" t="n">
        <v>250000</v>
      </c>
      <c r="E183" s="27" t="n">
        <v>350000</v>
      </c>
      <c r="F183" s="27" t="n">
        <v>450000</v>
      </c>
      <c r="G183" s="27" t="n">
        <v>550000</v>
      </c>
      <c r="H183" s="27" t="n">
        <v>650000</v>
      </c>
      <c r="I183" s="14"/>
    </row>
    <row r="184" customFormat="false" ht="15" hidden="false" customHeight="false" outlineLevel="0" collapsed="false">
      <c r="B184" s="12" t="s">
        <v>373</v>
      </c>
      <c r="C184" s="14" t="s">
        <v>180</v>
      </c>
      <c r="D184" s="27" t="n">
        <v>0</v>
      </c>
      <c r="E184" s="27" t="n">
        <v>1200000</v>
      </c>
      <c r="F184" s="27" t="n">
        <v>3000000</v>
      </c>
      <c r="G184" s="27" t="n">
        <v>3500000</v>
      </c>
      <c r="H184" s="27" t="n">
        <v>4000000</v>
      </c>
      <c r="I184" s="14" t="s">
        <v>374</v>
      </c>
    </row>
    <row r="185" customFormat="false" ht="15" hidden="false" customHeight="false" outlineLevel="0" collapsed="false">
      <c r="B185" s="12" t="s">
        <v>375</v>
      </c>
      <c r="C185" s="14" t="s">
        <v>376</v>
      </c>
      <c r="D185" s="27" t="n">
        <v>13300000</v>
      </c>
      <c r="E185" s="27" t="n">
        <v>5000000</v>
      </c>
      <c r="F185" s="27" t="n">
        <v>6000000</v>
      </c>
      <c r="G185" s="27" t="n">
        <v>5000000</v>
      </c>
      <c r="H185" s="27" t="n">
        <v>5000000</v>
      </c>
      <c r="I185" s="14" t="s">
        <v>377</v>
      </c>
    </row>
    <row r="186" customFormat="false" ht="15" hidden="false" customHeight="false" outlineLevel="0" collapsed="false">
      <c r="B186" s="8" t="s">
        <v>378</v>
      </c>
    </row>
    <row r="187" customFormat="false" ht="15" hidden="false" customHeight="false" outlineLevel="0" collapsed="false">
      <c r="B187" s="12" t="s">
        <v>379</v>
      </c>
      <c r="C187" s="14" t="s">
        <v>380</v>
      </c>
      <c r="D187" s="27" t="n">
        <v>40000</v>
      </c>
      <c r="E187" s="27" t="n">
        <v>60000</v>
      </c>
      <c r="F187" s="27" t="n">
        <v>80000</v>
      </c>
      <c r="G187" s="27" t="n">
        <v>95000</v>
      </c>
      <c r="H187" s="27" t="n">
        <v>110000</v>
      </c>
      <c r="I187" s="14" t="s">
        <v>381</v>
      </c>
    </row>
    <row r="188" customFormat="false" ht="15" hidden="false" customHeight="false" outlineLevel="0" collapsed="false">
      <c r="B188" s="12" t="s">
        <v>382</v>
      </c>
      <c r="C188" s="14" t="s">
        <v>351</v>
      </c>
      <c r="D188" s="27" t="n">
        <v>3000</v>
      </c>
      <c r="E188" s="27" t="n">
        <v>5000</v>
      </c>
      <c r="F188" s="27" t="n">
        <v>8000</v>
      </c>
      <c r="G188" s="27" t="n">
        <v>10000</v>
      </c>
      <c r="H188" s="27" t="n">
        <v>12000</v>
      </c>
      <c r="I188" s="14" t="s">
        <v>383</v>
      </c>
    </row>
    <row r="189" customFormat="false" ht="15" hidden="false" customHeight="false" outlineLevel="0" collapsed="false">
      <c r="B189" s="12" t="s">
        <v>384</v>
      </c>
      <c r="C189" s="14" t="s">
        <v>380</v>
      </c>
      <c r="D189" s="27" t="n">
        <v>6000</v>
      </c>
      <c r="E189" s="27" t="n">
        <v>15000</v>
      </c>
      <c r="F189" s="27" t="n">
        <v>30000</v>
      </c>
      <c r="G189" s="27" t="n">
        <v>40000</v>
      </c>
      <c r="H189" s="27" t="n">
        <v>50000</v>
      </c>
      <c r="I189" s="14"/>
    </row>
    <row r="190" customFormat="false" ht="15" hidden="false" customHeight="false" outlineLevel="0" collapsed="false">
      <c r="B190" s="12" t="s">
        <v>385</v>
      </c>
      <c r="C190" s="14" t="s">
        <v>380</v>
      </c>
      <c r="D190" s="27" t="n">
        <v>12000</v>
      </c>
      <c r="E190" s="27" t="n">
        <v>18000</v>
      </c>
      <c r="F190" s="27" t="n">
        <v>24000</v>
      </c>
      <c r="G190" s="27" t="n">
        <v>30000</v>
      </c>
      <c r="H190" s="27" t="n">
        <v>36000</v>
      </c>
      <c r="I190" s="14"/>
    </row>
    <row r="191" customFormat="false" ht="15" hidden="false" customHeight="false" outlineLevel="0" collapsed="false">
      <c r="B191" s="12" t="s">
        <v>386</v>
      </c>
      <c r="C191" s="14" t="s">
        <v>376</v>
      </c>
      <c r="D191" s="27" t="n">
        <v>15700000</v>
      </c>
      <c r="E191" s="27" t="n">
        <v>19700000</v>
      </c>
      <c r="F191" s="27" t="n">
        <v>11800000</v>
      </c>
      <c r="G191" s="27" t="n">
        <v>11800000</v>
      </c>
      <c r="H191" s="27" t="n">
        <v>11800000</v>
      </c>
      <c r="I191" s="14"/>
    </row>
    <row r="192" customFormat="false" ht="15" hidden="false" customHeight="false" outlineLevel="0" collapsed="false">
      <c r="B192" s="12" t="s">
        <v>387</v>
      </c>
      <c r="C192" s="14" t="s">
        <v>380</v>
      </c>
      <c r="D192" s="27" t="n">
        <v>25000</v>
      </c>
      <c r="E192" s="27" t="n">
        <v>45000</v>
      </c>
      <c r="F192" s="27" t="n">
        <v>45000</v>
      </c>
      <c r="G192" s="27" t="n">
        <v>50000</v>
      </c>
      <c r="H192" s="27" t="n">
        <v>55000</v>
      </c>
      <c r="I192" s="14"/>
    </row>
    <row r="193" customFormat="false" ht="15" hidden="false" customHeight="false" outlineLevel="0" collapsed="false">
      <c r="B193" s="12" t="s">
        <v>388</v>
      </c>
      <c r="C193" s="14" t="s">
        <v>351</v>
      </c>
      <c r="D193" s="27" t="n">
        <v>5000</v>
      </c>
      <c r="E193" s="27" t="n">
        <v>5000</v>
      </c>
      <c r="F193" s="27" t="n">
        <v>7500</v>
      </c>
      <c r="G193" s="27" t="n">
        <v>10000</v>
      </c>
      <c r="H193" s="27" t="n">
        <v>12000</v>
      </c>
      <c r="I193" s="14" t="s">
        <v>389</v>
      </c>
    </row>
    <row r="194" customFormat="false" ht="15" hidden="false" customHeight="false" outlineLevel="0" collapsed="false">
      <c r="B194" s="12" t="s">
        <v>390</v>
      </c>
      <c r="C194" s="14" t="s">
        <v>391</v>
      </c>
      <c r="D194" s="27" t="n">
        <v>50000</v>
      </c>
      <c r="I194" s="14" t="s">
        <v>392</v>
      </c>
    </row>
    <row r="195" customFormat="false" ht="15" hidden="false" customHeight="false" outlineLevel="0" collapsed="false">
      <c r="B195" s="8" t="s">
        <v>393</v>
      </c>
    </row>
    <row r="196" customFormat="false" ht="15" hidden="false" customHeight="false" outlineLevel="0" collapsed="false">
      <c r="B196" s="12" t="s">
        <v>394</v>
      </c>
      <c r="C196" s="14" t="s">
        <v>63</v>
      </c>
      <c r="D196" s="27" t="n">
        <v>15000000</v>
      </c>
      <c r="I196" s="14" t="s">
        <v>395</v>
      </c>
    </row>
    <row r="197" customFormat="false" ht="15" hidden="false" customHeight="false" outlineLevel="0" collapsed="false">
      <c r="B197" s="12" t="s">
        <v>396</v>
      </c>
      <c r="C197" s="14" t="s">
        <v>63</v>
      </c>
      <c r="D197" s="27" t="n">
        <v>15000000</v>
      </c>
      <c r="I197" s="14"/>
    </row>
    <row r="198" customFormat="false" ht="15" hidden="false" customHeight="false" outlineLevel="0" collapsed="false">
      <c r="B198" s="12" t="s">
        <v>397</v>
      </c>
      <c r="C198" s="14" t="s">
        <v>63</v>
      </c>
      <c r="D198" s="27" t="n">
        <v>5000000</v>
      </c>
      <c r="I198" s="14"/>
    </row>
    <row r="199" customFormat="false" ht="15" hidden="false" customHeight="false" outlineLevel="0" collapsed="false">
      <c r="B199" s="12" t="s">
        <v>398</v>
      </c>
      <c r="C199" s="14" t="s">
        <v>180</v>
      </c>
      <c r="D199" s="27" t="n">
        <v>1500000</v>
      </c>
      <c r="E199" s="27" t="n">
        <v>1500000</v>
      </c>
      <c r="F199" s="27" t="n">
        <v>2000000</v>
      </c>
      <c r="G199" s="27" t="n">
        <v>2000000</v>
      </c>
      <c r="H199" s="27" t="n">
        <v>2000000</v>
      </c>
      <c r="I199" s="14" t="s">
        <v>399</v>
      </c>
    </row>
    <row r="200" customFormat="false" ht="15" hidden="false" customHeight="false" outlineLevel="0" collapsed="false">
      <c r="B200" s="12" t="s">
        <v>400</v>
      </c>
      <c r="C200" s="14" t="s">
        <v>180</v>
      </c>
      <c r="D200" s="27" t="n">
        <v>0</v>
      </c>
      <c r="E200" s="27" t="n">
        <v>1500000</v>
      </c>
      <c r="F200" s="27" t="n">
        <v>2000000</v>
      </c>
      <c r="G200" s="27" t="n">
        <v>2000000</v>
      </c>
      <c r="H200" s="27" t="n">
        <v>2000000</v>
      </c>
      <c r="I200" s="14" t="s">
        <v>401</v>
      </c>
    </row>
    <row r="201" customFormat="false" ht="15" hidden="false" customHeight="false" outlineLevel="0" collapsed="false">
      <c r="B201" s="12" t="s">
        <v>402</v>
      </c>
      <c r="C201" s="14" t="s">
        <v>376</v>
      </c>
      <c r="D201" s="27" t="n">
        <v>0</v>
      </c>
      <c r="E201" s="27" t="n">
        <v>3000000</v>
      </c>
      <c r="F201" s="27" t="n">
        <v>3000000</v>
      </c>
      <c r="G201" s="27" t="n">
        <v>3000000</v>
      </c>
      <c r="H201" s="27" t="n">
        <v>3000000</v>
      </c>
      <c r="I201" s="14"/>
    </row>
    <row r="202" customFormat="false" ht="15" hidden="false" customHeight="false" outlineLevel="0" collapsed="false">
      <c r="B202" s="8" t="s">
        <v>403</v>
      </c>
    </row>
    <row r="203" customFormat="false" ht="15" hidden="false" customHeight="false" outlineLevel="0" collapsed="false">
      <c r="B203" s="12" t="s">
        <v>404</v>
      </c>
      <c r="C203" s="14" t="s">
        <v>63</v>
      </c>
      <c r="D203" s="27" t="n">
        <v>2500000</v>
      </c>
      <c r="I203" s="14" t="s">
        <v>405</v>
      </c>
    </row>
    <row r="204" customFormat="false" ht="15" hidden="false" customHeight="false" outlineLevel="0" collapsed="false">
      <c r="B204" s="12" t="s">
        <v>406</v>
      </c>
      <c r="C204" s="14" t="s">
        <v>63</v>
      </c>
      <c r="D204" s="27" t="n">
        <v>3000000</v>
      </c>
      <c r="I204" s="14"/>
    </row>
    <row r="205" customFormat="false" ht="15" hidden="false" customHeight="false" outlineLevel="0" collapsed="false">
      <c r="B205" s="12" t="s">
        <v>407</v>
      </c>
      <c r="C205" s="14" t="s">
        <v>63</v>
      </c>
      <c r="D205" s="27" t="n">
        <v>40000000</v>
      </c>
      <c r="I205" s="14" t="s">
        <v>408</v>
      </c>
    </row>
    <row r="206" customFormat="false" ht="15" hidden="false" customHeight="false" outlineLevel="0" collapsed="false">
      <c r="B206" s="12" t="s">
        <v>409</v>
      </c>
      <c r="C206" s="14" t="s">
        <v>63</v>
      </c>
      <c r="D206" s="27" t="n">
        <v>50000000</v>
      </c>
      <c r="I206" s="14"/>
    </row>
    <row r="207" customFormat="false" ht="15" hidden="false" customHeight="false" outlineLevel="0" collapsed="false">
      <c r="B207" s="12" t="s">
        <v>410</v>
      </c>
      <c r="C207" s="14" t="s">
        <v>376</v>
      </c>
      <c r="D207" s="27" t="n">
        <v>0</v>
      </c>
      <c r="E207" s="27" t="n">
        <v>30000000</v>
      </c>
      <c r="F207" s="27" t="n">
        <v>20000000</v>
      </c>
      <c r="G207" s="27" t="n">
        <v>0</v>
      </c>
      <c r="H207" s="27" t="n">
        <v>0</v>
      </c>
      <c r="I207" s="14"/>
    </row>
    <row r="208" customFormat="false" ht="15" hidden="false" customHeight="false" outlineLevel="0" collapsed="false">
      <c r="B208" s="12" t="s">
        <v>411</v>
      </c>
      <c r="C208" s="14" t="s">
        <v>180</v>
      </c>
      <c r="D208" s="27" t="n">
        <v>1000000</v>
      </c>
      <c r="E208" s="27" t="n">
        <v>1500000</v>
      </c>
      <c r="F208" s="27" t="n">
        <v>2000000</v>
      </c>
      <c r="G208" s="27" t="n">
        <v>2500000</v>
      </c>
      <c r="H208" s="27" t="n">
        <v>3000000</v>
      </c>
      <c r="I208" s="14"/>
    </row>
    <row r="209" customFormat="false" ht="15" hidden="false" customHeight="false" outlineLevel="0" collapsed="false">
      <c r="B209" s="12" t="s">
        <v>412</v>
      </c>
      <c r="C209" s="14" t="s">
        <v>376</v>
      </c>
      <c r="D209" s="27" t="n">
        <v>5000000</v>
      </c>
      <c r="E209" s="27" t="n">
        <v>15000000</v>
      </c>
      <c r="F209" s="27" t="n">
        <v>25000000</v>
      </c>
      <c r="G209" s="27" t="n">
        <v>30000000</v>
      </c>
      <c r="H209" s="27" t="n">
        <v>35000000</v>
      </c>
      <c r="I209" s="14" t="s">
        <v>413</v>
      </c>
    </row>
    <row r="210" customFormat="false" ht="15" hidden="false" customHeight="false" outlineLevel="0" collapsed="false">
      <c r="B210" s="12" t="s">
        <v>414</v>
      </c>
      <c r="C210" s="14" t="s">
        <v>180</v>
      </c>
      <c r="D210" s="27" t="n">
        <v>300000</v>
      </c>
      <c r="E210" s="27" t="n">
        <v>600000</v>
      </c>
      <c r="F210" s="27" t="n">
        <v>800000</v>
      </c>
      <c r="G210" s="27" t="n">
        <v>900000</v>
      </c>
      <c r="H210" s="27" t="n">
        <v>1000000</v>
      </c>
      <c r="I210" s="14"/>
    </row>
    <row r="211" customFormat="false" ht="15" hidden="false" customHeight="false" outlineLevel="0" collapsed="false">
      <c r="B211" s="12" t="s">
        <v>415</v>
      </c>
      <c r="C211" s="14" t="s">
        <v>376</v>
      </c>
      <c r="D211" s="27" t="n">
        <v>0</v>
      </c>
      <c r="E211" s="27" t="n">
        <v>8000000</v>
      </c>
      <c r="F211" s="27" t="n">
        <v>12000000</v>
      </c>
      <c r="G211" s="27" t="n">
        <v>14000000</v>
      </c>
      <c r="H211" s="27" t="n">
        <v>16000000</v>
      </c>
      <c r="I211" s="14"/>
    </row>
    <row r="212" customFormat="false" ht="15" hidden="false" customHeight="false" outlineLevel="0" collapsed="false">
      <c r="B212" s="12" t="s">
        <v>416</v>
      </c>
      <c r="C212" s="14" t="s">
        <v>376</v>
      </c>
      <c r="D212" s="27" t="n">
        <v>3500000</v>
      </c>
      <c r="E212" s="27" t="n">
        <v>3000000</v>
      </c>
      <c r="F212" s="27" t="n">
        <v>1500000</v>
      </c>
      <c r="G212" s="27" t="n">
        <v>1500000</v>
      </c>
      <c r="H212" s="27" t="n">
        <v>1500000</v>
      </c>
      <c r="I212" s="14"/>
    </row>
    <row r="213" customFormat="false" ht="15" hidden="false" customHeight="false" outlineLevel="0" collapsed="false">
      <c r="B213" s="12" t="s">
        <v>417</v>
      </c>
      <c r="C213" s="14" t="s">
        <v>380</v>
      </c>
      <c r="D213" s="27" t="n">
        <v>20000</v>
      </c>
      <c r="E213" s="27" t="n">
        <v>25000</v>
      </c>
      <c r="F213" s="27" t="n">
        <v>35000</v>
      </c>
      <c r="G213" s="27" t="n">
        <v>45000</v>
      </c>
      <c r="H213" s="27" t="n">
        <v>55000</v>
      </c>
      <c r="I213" s="14"/>
    </row>
    <row r="214" customFormat="false" ht="15" hidden="false" customHeight="false" outlineLevel="0" collapsed="false">
      <c r="B214" s="8" t="s">
        <v>418</v>
      </c>
    </row>
    <row r="215" customFormat="false" ht="15" hidden="false" customHeight="false" outlineLevel="0" collapsed="false">
      <c r="B215" s="12" t="s">
        <v>419</v>
      </c>
      <c r="C215" s="14" t="s">
        <v>180</v>
      </c>
      <c r="D215" s="27" t="n">
        <v>1310000</v>
      </c>
      <c r="E215" s="27" t="n">
        <v>2620000</v>
      </c>
      <c r="F215" s="27" t="n">
        <v>3940000</v>
      </c>
      <c r="G215" s="27" t="n">
        <v>4590000</v>
      </c>
      <c r="H215" s="27" t="n">
        <v>5250000</v>
      </c>
      <c r="I215" s="14" t="s">
        <v>420</v>
      </c>
    </row>
    <row r="216" customFormat="false" ht="15" hidden="false" customHeight="false" outlineLevel="0" collapsed="false">
      <c r="B216" s="12" t="s">
        <v>421</v>
      </c>
      <c r="C216" s="14" t="s">
        <v>180</v>
      </c>
      <c r="D216" s="27" t="n">
        <v>0</v>
      </c>
      <c r="E216" s="27" t="n">
        <v>1310000</v>
      </c>
      <c r="F216" s="27" t="n">
        <v>2620000</v>
      </c>
      <c r="G216" s="27" t="n">
        <v>3280000</v>
      </c>
      <c r="H216" s="27" t="n">
        <v>3940000</v>
      </c>
      <c r="I216" s="14" t="s">
        <v>401</v>
      </c>
    </row>
    <row r="217" customFormat="false" ht="15" hidden="false" customHeight="false" outlineLevel="0" collapsed="false">
      <c r="B217" s="12" t="s">
        <v>422</v>
      </c>
      <c r="C217" s="14" t="s">
        <v>376</v>
      </c>
      <c r="D217" s="27" t="n">
        <v>16400000</v>
      </c>
      <c r="E217" s="27" t="n">
        <v>5250000</v>
      </c>
      <c r="F217" s="27" t="n">
        <v>6560000</v>
      </c>
      <c r="G217" s="27" t="n">
        <v>6560000</v>
      </c>
      <c r="H217" s="27" t="n">
        <v>6560000</v>
      </c>
      <c r="I217" s="14"/>
    </row>
    <row r="218" customFormat="false" ht="15" hidden="false" customHeight="false" outlineLevel="0" collapsed="false">
      <c r="B218" s="12" t="s">
        <v>423</v>
      </c>
      <c r="C218" s="14" t="s">
        <v>376</v>
      </c>
      <c r="D218" s="27" t="n">
        <v>9840000</v>
      </c>
      <c r="E218" s="27" t="n">
        <v>19700000</v>
      </c>
      <c r="F218" s="27" t="n">
        <v>29500000</v>
      </c>
      <c r="G218" s="27" t="n">
        <v>36100000</v>
      </c>
      <c r="H218" s="27" t="n">
        <v>42600000</v>
      </c>
      <c r="I218" s="14"/>
    </row>
    <row r="219" customFormat="false" ht="15" hidden="false" customHeight="false" outlineLevel="0" collapsed="false">
      <c r="B219" s="8" t="s">
        <v>424</v>
      </c>
    </row>
    <row r="220" customFormat="false" ht="15" hidden="false" customHeight="false" outlineLevel="0" collapsed="false">
      <c r="B220" s="12" t="s">
        <v>425</v>
      </c>
      <c r="C220" s="14" t="s">
        <v>376</v>
      </c>
      <c r="D220" s="27" t="n">
        <v>13300000</v>
      </c>
      <c r="E220" s="27" t="n">
        <v>21700000</v>
      </c>
      <c r="F220" s="27" t="n">
        <v>4000000</v>
      </c>
      <c r="G220" s="27" t="n">
        <v>5000000</v>
      </c>
      <c r="H220" s="27" t="n">
        <v>5000000</v>
      </c>
      <c r="I220" s="14" t="s">
        <v>426</v>
      </c>
    </row>
    <row r="221" customFormat="false" ht="15" hidden="false" customHeight="false" outlineLevel="0" collapsed="false">
      <c r="B221" s="12" t="s">
        <v>427</v>
      </c>
      <c r="C221" s="14" t="s">
        <v>376</v>
      </c>
      <c r="D221" s="27" t="n">
        <v>5250000</v>
      </c>
      <c r="E221" s="27" t="n">
        <v>13100000</v>
      </c>
      <c r="F221" s="27" t="n">
        <v>16400000</v>
      </c>
      <c r="G221" s="27" t="n">
        <v>19700000</v>
      </c>
      <c r="H221" s="27" t="n">
        <v>23000000</v>
      </c>
      <c r="I221" s="14"/>
    </row>
    <row r="222" customFormat="false" ht="15" hidden="false" customHeight="false" outlineLevel="0" collapsed="false">
      <c r="B222" s="12" t="s">
        <v>428</v>
      </c>
      <c r="C222" s="14" t="s">
        <v>180</v>
      </c>
      <c r="D222" s="27" t="n">
        <v>300000</v>
      </c>
      <c r="E222" s="27" t="n">
        <v>450000</v>
      </c>
      <c r="F222" s="27" t="n">
        <v>600000</v>
      </c>
      <c r="G222" s="27" t="n">
        <v>700000</v>
      </c>
      <c r="H222" s="27" t="n">
        <v>800000</v>
      </c>
      <c r="I222" s="14"/>
    </row>
    <row r="224" customFormat="false" ht="15" hidden="false" customHeight="false" outlineLevel="0" collapsed="false">
      <c r="B224" s="24" t="s">
        <v>429</v>
      </c>
      <c r="C224" s="24" t="s">
        <v>101</v>
      </c>
      <c r="D224" s="24" t="s">
        <v>102</v>
      </c>
      <c r="E224" s="24" t="s">
        <v>103</v>
      </c>
      <c r="F224" s="24" t="s">
        <v>104</v>
      </c>
      <c r="G224" s="24" t="s">
        <v>105</v>
      </c>
      <c r="H224" s="24"/>
      <c r="I224" s="24" t="s">
        <v>106</v>
      </c>
    </row>
    <row r="225" customFormat="false" ht="15" hidden="false" customHeight="false" outlineLevel="0" collapsed="false">
      <c r="B225" s="12" t="s">
        <v>430</v>
      </c>
      <c r="C225" s="14" t="s">
        <v>63</v>
      </c>
      <c r="D225" s="27" t="n">
        <v>0</v>
      </c>
      <c r="I225" s="14"/>
    </row>
    <row r="226" customFormat="false" ht="15" hidden="false" customHeight="false" outlineLevel="0" collapsed="false">
      <c r="B226" s="12" t="s">
        <v>431</v>
      </c>
      <c r="C226" s="14" t="s">
        <v>63</v>
      </c>
      <c r="D226" s="27" t="n">
        <v>100000000</v>
      </c>
      <c r="I226" s="14" t="s">
        <v>432</v>
      </c>
    </row>
    <row r="227" customFormat="false" ht="15" hidden="false" customHeight="false" outlineLevel="0" collapsed="false">
      <c r="B227" s="12" t="s">
        <v>433</v>
      </c>
      <c r="C227" s="14" t="s">
        <v>63</v>
      </c>
      <c r="D227" s="27" t="n">
        <v>100000000</v>
      </c>
      <c r="I227" s="14"/>
    </row>
    <row r="228" customFormat="false" ht="15" hidden="false" customHeight="false" outlineLevel="0" collapsed="false">
      <c r="B228" s="12" t="s">
        <v>434</v>
      </c>
      <c r="C228" s="14" t="s">
        <v>63</v>
      </c>
      <c r="D228" s="27" t="n">
        <v>60000000</v>
      </c>
      <c r="I228" s="14" t="s">
        <v>435</v>
      </c>
    </row>
    <row r="229" customFormat="false" ht="15" hidden="false" customHeight="false" outlineLevel="0" collapsed="false">
      <c r="B229" s="12" t="s">
        <v>436</v>
      </c>
      <c r="C229" s="14" t="s">
        <v>437</v>
      </c>
      <c r="D229" s="29" t="n">
        <v>3</v>
      </c>
      <c r="I229" s="14"/>
    </row>
    <row r="230" customFormat="false" ht="15" hidden="false" customHeight="false" outlineLevel="0" collapsed="false">
      <c r="B230" s="12" t="s">
        <v>438</v>
      </c>
      <c r="C230" s="14" t="s">
        <v>63</v>
      </c>
      <c r="D230" s="27" t="n">
        <v>650000000</v>
      </c>
      <c r="I230" s="14" t="s">
        <v>439</v>
      </c>
    </row>
    <row r="231" customFormat="false" ht="15" hidden="false" customHeight="false" outlineLevel="0" collapsed="false">
      <c r="B231" s="12" t="s">
        <v>440</v>
      </c>
      <c r="C231" s="14" t="s">
        <v>60</v>
      </c>
      <c r="D231" s="29" t="n">
        <v>1</v>
      </c>
      <c r="I231" s="14"/>
    </row>
    <row r="232" customFormat="false" ht="15" hidden="false" customHeight="false" outlineLevel="0" collapsed="false">
      <c r="B232" s="12" t="s">
        <v>441</v>
      </c>
      <c r="C232" s="14" t="s">
        <v>63</v>
      </c>
      <c r="D232" s="27" t="n">
        <v>1200000000</v>
      </c>
      <c r="I232" s="14" t="s">
        <v>442</v>
      </c>
    </row>
    <row r="233" customFormat="false" ht="15" hidden="false" customHeight="false" outlineLevel="0" collapsed="false">
      <c r="B233" s="12" t="s">
        <v>443</v>
      </c>
      <c r="C233" s="14" t="s">
        <v>60</v>
      </c>
      <c r="D233" s="29" t="n">
        <v>15</v>
      </c>
      <c r="I233" s="14"/>
    </row>
    <row r="234" customFormat="false" ht="15" hidden="false" customHeight="false" outlineLevel="0" collapsed="false">
      <c r="B234" s="12" t="s">
        <v>444</v>
      </c>
      <c r="C234" s="14" t="s">
        <v>63</v>
      </c>
      <c r="D234" s="27" t="n">
        <v>1800000000</v>
      </c>
      <c r="I234" s="14"/>
    </row>
    <row r="235" customFormat="false" ht="15" hidden="false" customHeight="false" outlineLevel="0" collapsed="false">
      <c r="B235" s="12" t="s">
        <v>445</v>
      </c>
      <c r="C235" s="14" t="s">
        <v>60</v>
      </c>
      <c r="D235" s="29" t="n">
        <v>33</v>
      </c>
      <c r="I235" s="14" t="s">
        <v>446</v>
      </c>
    </row>
    <row r="236" customFormat="false" ht="15" hidden="false" customHeight="false" outlineLevel="0" collapsed="false">
      <c r="B236" s="12" t="s">
        <v>447</v>
      </c>
      <c r="C236" s="14" t="s">
        <v>63</v>
      </c>
      <c r="D236" s="27" t="n">
        <v>2000000000</v>
      </c>
      <c r="I236"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s>
  <sheetData>
    <row r="1" customFormat="false" ht="17.35" hidden="false" customHeight="false" outlineLevel="0" collapsed="false">
      <c r="A1" s="7" t="s">
        <v>16</v>
      </c>
    </row>
    <row r="2" customFormat="false" ht="15" hidden="false" customHeight="false" outlineLevel="0" collapsed="false">
      <c r="A2" s="2" t="s">
        <v>448</v>
      </c>
    </row>
    <row r="4" customFormat="false" ht="42" hidden="false" customHeight="true" outlineLevel="0" collapsed="false">
      <c r="A4" s="37" t="s">
        <v>449</v>
      </c>
      <c r="B4" s="37" t="s">
        <v>450</v>
      </c>
      <c r="C4" s="37" t="s">
        <v>451</v>
      </c>
      <c r="D4" s="37" t="s">
        <v>452</v>
      </c>
      <c r="E4" s="37" t="s">
        <v>453</v>
      </c>
      <c r="F4" s="37" t="s">
        <v>454</v>
      </c>
      <c r="G4" s="37" t="s">
        <v>455</v>
      </c>
      <c r="H4" s="37" t="s">
        <v>456</v>
      </c>
      <c r="I4" s="37" t="s">
        <v>457</v>
      </c>
      <c r="J4" s="37" t="s">
        <v>458</v>
      </c>
      <c r="K4" s="37" t="s">
        <v>459</v>
      </c>
      <c r="L4" s="37" t="s">
        <v>460</v>
      </c>
    </row>
    <row r="5" customFormat="false" ht="15" hidden="false" customHeight="false" outlineLevel="0" collapsed="false">
      <c r="A5" s="14" t="n">
        <v>1</v>
      </c>
      <c r="B5" s="38" t="s">
        <v>461</v>
      </c>
      <c r="C5" s="38" t="s">
        <v>462</v>
      </c>
      <c r="D5" s="38" t="s">
        <v>463</v>
      </c>
      <c r="E5" s="38"/>
      <c r="F5" s="27" t="n">
        <v>1</v>
      </c>
      <c r="G5" s="29" t="n">
        <v>1</v>
      </c>
      <c r="H5" s="29"/>
      <c r="I5" s="27" t="n">
        <v>2500000</v>
      </c>
      <c r="J5" s="38" t="s">
        <v>464</v>
      </c>
      <c r="K5" s="33" t="n">
        <f aca="false">IF(I5="",0,I5+IPRES_Rate*MIN(I5,IPRES_Cap)+IF(J5="Y",Cadre_Rate*MAX(0,MIN(I5,Cadre_Cap)-IPRES_Cap),0)+CSS_Rate*MIN(I5,CSS_Cap)+IPM_Rate*MIN(I5,IPM_Cap)+CFCE_Rate*I5+I5*Thirteenth/12+Transport_Allow+Health_TopUp)</f>
        <v>2903265.33333333</v>
      </c>
      <c r="L5" s="14"/>
    </row>
    <row r="6" customFormat="false" ht="15" hidden="false" customHeight="false" outlineLevel="0" collapsed="false">
      <c r="A6" s="14" t="n">
        <v>2</v>
      </c>
      <c r="B6" s="38" t="s">
        <v>461</v>
      </c>
      <c r="C6" s="38" t="s">
        <v>465</v>
      </c>
      <c r="D6" s="38" t="s">
        <v>463</v>
      </c>
      <c r="E6" s="38"/>
      <c r="F6" s="27" t="n">
        <v>1</v>
      </c>
      <c r="G6" s="29" t="n">
        <v>1</v>
      </c>
      <c r="H6" s="29"/>
      <c r="I6" s="27" t="n">
        <v>2500000</v>
      </c>
      <c r="J6" s="38" t="s">
        <v>464</v>
      </c>
      <c r="K6" s="33" t="n">
        <f aca="false">IF(I6="",0,I6+IPRES_Rate*MIN(I6,IPRES_Cap)+IF(J6="Y",Cadre_Rate*MAX(0,MIN(I6,Cadre_Cap)-IPRES_Cap),0)+CSS_Rate*MIN(I6,CSS_Cap)+IPM_Rate*MIN(I6,IPM_Cap)+CFCE_Rate*I6+I6*Thirteenth/12+Transport_Allow+Health_TopUp)</f>
        <v>2903265.33333333</v>
      </c>
      <c r="L6" s="14"/>
    </row>
    <row r="7" customFormat="false" ht="15" hidden="false" customHeight="false" outlineLevel="0" collapsed="false">
      <c r="A7" s="14" t="n">
        <v>3</v>
      </c>
      <c r="B7" s="38" t="s">
        <v>461</v>
      </c>
      <c r="C7" s="38" t="s">
        <v>466</v>
      </c>
      <c r="D7" s="38" t="s">
        <v>463</v>
      </c>
      <c r="E7" s="38"/>
      <c r="F7" s="27" t="n">
        <v>1</v>
      </c>
      <c r="G7" s="29" t="n">
        <v>1</v>
      </c>
      <c r="H7" s="29"/>
      <c r="I7" s="27" t="n">
        <v>2000000</v>
      </c>
      <c r="J7" s="38" t="s">
        <v>464</v>
      </c>
      <c r="K7" s="33" t="n">
        <f aca="false">IF(I7="",0,I7+IPRES_Rate*MIN(I7,IPRES_Cap)+IF(J7="Y",Cadre_Rate*MAX(0,MIN(I7,Cadre_Cap)-IPRES_Cap),0)+CSS_Rate*MIN(I7,CSS_Cap)+IPM_Rate*MIN(I7,IPM_Cap)+CFCE_Rate*I7+I7*Thirteenth/12+Transport_Allow+Health_TopUp)</f>
        <v>2346598.66666667</v>
      </c>
      <c r="L7" s="14"/>
    </row>
    <row r="8" customFormat="false" ht="15" hidden="false" customHeight="false" outlineLevel="0" collapsed="false">
      <c r="A8" s="14" t="n">
        <v>4</v>
      </c>
      <c r="B8" s="38" t="s">
        <v>461</v>
      </c>
      <c r="C8" s="38" t="s">
        <v>467</v>
      </c>
      <c r="D8" s="38" t="s">
        <v>463</v>
      </c>
      <c r="E8" s="38"/>
      <c r="F8" s="27" t="n">
        <v>1</v>
      </c>
      <c r="G8" s="29" t="n">
        <v>19</v>
      </c>
      <c r="H8" s="29"/>
      <c r="I8" s="27" t="n">
        <v>2000000</v>
      </c>
      <c r="J8" s="38" t="s">
        <v>464</v>
      </c>
      <c r="K8" s="33" t="n">
        <f aca="false">IF(I8="",0,I8+IPRES_Rate*MIN(I8,IPRES_Cap)+IF(J8="Y",Cadre_Rate*MAX(0,MIN(I8,Cadre_Cap)-IPRES_Cap),0)+CSS_Rate*MIN(I8,CSS_Cap)+IPM_Rate*MIN(I8,IPM_Cap)+CFCE_Rate*I8+I8*Thirteenth/12+Transport_Allow+Health_TopUp)</f>
        <v>2346598.66666667</v>
      </c>
      <c r="L8" s="14"/>
    </row>
    <row r="9" customFormat="false" ht="15" hidden="false" customHeight="false" outlineLevel="0" collapsed="false">
      <c r="A9" s="14" t="n">
        <v>5</v>
      </c>
      <c r="B9" s="38" t="s">
        <v>461</v>
      </c>
      <c r="C9" s="38" t="s">
        <v>468</v>
      </c>
      <c r="D9" s="38" t="s">
        <v>469</v>
      </c>
      <c r="E9" s="38"/>
      <c r="F9" s="27" t="n">
        <v>1</v>
      </c>
      <c r="G9" s="29" t="n">
        <v>13</v>
      </c>
      <c r="H9" s="29"/>
      <c r="I9" s="27" t="n">
        <v>2800000</v>
      </c>
      <c r="J9" s="38" t="s">
        <v>464</v>
      </c>
      <c r="K9" s="33" t="n">
        <f aca="false">IF(I9="",0,I9+IPRES_Rate*MIN(I9,IPRES_Cap)+IF(J9="Y",Cadre_Rate*MAX(0,MIN(I9,Cadre_Cap)-IPRES_Cap),0)+CSS_Rate*MIN(I9,CSS_Cap)+IPM_Rate*MIN(I9,IPM_Cap)+CFCE_Rate*I9+I9*Thirteenth/12+Transport_Allow+Health_TopUp)</f>
        <v>3237265.33333333</v>
      </c>
      <c r="L9" s="14" t="s">
        <v>470</v>
      </c>
    </row>
    <row r="10" customFormat="false" ht="15" hidden="false" customHeight="false" outlineLevel="0" collapsed="false">
      <c r="A10" s="14" t="n">
        <v>6</v>
      </c>
      <c r="B10" s="38" t="s">
        <v>471</v>
      </c>
      <c r="C10" s="38" t="s">
        <v>472</v>
      </c>
      <c r="D10" s="38" t="s">
        <v>463</v>
      </c>
      <c r="E10" s="38"/>
      <c r="F10" s="27" t="n">
        <v>1</v>
      </c>
      <c r="G10" s="29" t="n">
        <v>1</v>
      </c>
      <c r="H10" s="29"/>
      <c r="I10" s="27" t="n">
        <v>1500000</v>
      </c>
      <c r="J10" s="38" t="s">
        <v>464</v>
      </c>
      <c r="K10" s="33" t="n">
        <f aca="false">IF(I10="",0,I10+IPRES_Rate*MIN(I10,IPRES_Cap)+IF(J10="Y",Cadre_Rate*MAX(0,MIN(I10,Cadre_Cap)-IPRES_Cap),0)+CSS_Rate*MIN(I10,CSS_Cap)+IPM_Rate*MIN(I10,IPM_Cap)+CFCE_Rate*I10+I10*Thirteenth/12+Transport_Allow+Health_TopUp)</f>
        <v>1789932</v>
      </c>
      <c r="L10" s="14" t="s">
        <v>473</v>
      </c>
    </row>
    <row r="11" customFormat="false" ht="15" hidden="false" customHeight="false" outlineLevel="0" collapsed="false">
      <c r="A11" s="14" t="n">
        <v>7</v>
      </c>
      <c r="B11" s="38" t="s">
        <v>471</v>
      </c>
      <c r="C11" s="38" t="s">
        <v>474</v>
      </c>
      <c r="D11" s="38" t="s">
        <v>463</v>
      </c>
      <c r="E11" s="38"/>
      <c r="F11" s="27" t="n">
        <v>1</v>
      </c>
      <c r="G11" s="29" t="n">
        <v>1</v>
      </c>
      <c r="H11" s="29"/>
      <c r="I11" s="27" t="n">
        <v>1500000</v>
      </c>
      <c r="J11" s="38" t="s">
        <v>464</v>
      </c>
      <c r="K11" s="33" t="n">
        <f aca="false">IF(I11="",0,I11+IPRES_Rate*MIN(I11,IPRES_Cap)+IF(J11="Y",Cadre_Rate*MAX(0,MIN(I11,Cadre_Cap)-IPRES_Cap),0)+CSS_Rate*MIN(I11,CSS_Cap)+IPM_Rate*MIN(I11,IPM_Cap)+CFCE_Rate*I11+I11*Thirteenth/12+Transport_Allow+Health_TopUp)</f>
        <v>1789932</v>
      </c>
      <c r="L11" s="14"/>
    </row>
    <row r="12" customFormat="false" ht="15" hidden="false" customHeight="false" outlineLevel="0" collapsed="false">
      <c r="A12" s="14" t="n">
        <v>8</v>
      </c>
      <c r="B12" s="38" t="s">
        <v>471</v>
      </c>
      <c r="C12" s="38" t="s">
        <v>475</v>
      </c>
      <c r="D12" s="38" t="s">
        <v>463</v>
      </c>
      <c r="E12" s="38"/>
      <c r="F12" s="27" t="n">
        <v>1</v>
      </c>
      <c r="G12" s="29" t="n">
        <v>3</v>
      </c>
      <c r="H12" s="29"/>
      <c r="I12" s="27" t="n">
        <v>800000</v>
      </c>
      <c r="J12" s="38" t="s">
        <v>464</v>
      </c>
      <c r="K12" s="33" t="n">
        <f aca="false">IF(I12="",0,I12+IPRES_Rate*MIN(I12,IPRES_Cap)+IF(J12="Y",Cadre_Rate*MAX(0,MIN(I12,Cadre_Cap)-IPRES_Cap),0)+CSS_Rate*MIN(I12,CSS_Cap)+IPM_Rate*MIN(I12,IPM_Cap)+CFCE_Rate*I12+I12*Thirteenth/12+Transport_Allow+Health_TopUp)</f>
        <v>992742.666666667</v>
      </c>
      <c r="L12" s="14"/>
    </row>
    <row r="13" customFormat="false" ht="15" hidden="false" customHeight="false" outlineLevel="0" collapsed="false">
      <c r="A13" s="14" t="n">
        <v>9</v>
      </c>
      <c r="B13" s="38" t="s">
        <v>471</v>
      </c>
      <c r="C13" s="38" t="s">
        <v>476</v>
      </c>
      <c r="D13" s="38" t="s">
        <v>463</v>
      </c>
      <c r="E13" s="38"/>
      <c r="F13" s="27" t="n">
        <v>1</v>
      </c>
      <c r="G13" s="29" t="n">
        <v>1</v>
      </c>
      <c r="H13" s="29"/>
      <c r="I13" s="27" t="n">
        <v>700000</v>
      </c>
      <c r="J13" s="38" t="s">
        <v>464</v>
      </c>
      <c r="K13" s="33" t="n">
        <f aca="false">IF(I13="",0,I13+IPRES_Rate*MIN(I13,IPRES_Cap)+IF(J13="Y",Cadre_Rate*MAX(0,MIN(I13,Cadre_Cap)-IPRES_Cap),0)+CSS_Rate*MIN(I13,CSS_Cap)+IPM_Rate*MIN(I13,IPM_Cap)+CFCE_Rate*I13+I13*Thirteenth/12+Transport_Allow+Health_TopUp)</f>
        <v>877809.333333333</v>
      </c>
      <c r="L13" s="14"/>
    </row>
    <row r="14" customFormat="false" ht="15" hidden="false" customHeight="false" outlineLevel="0" collapsed="false">
      <c r="A14" s="14" t="n">
        <v>10</v>
      </c>
      <c r="B14" s="38" t="s">
        <v>471</v>
      </c>
      <c r="C14" s="38" t="s">
        <v>477</v>
      </c>
      <c r="D14" s="38" t="s">
        <v>463</v>
      </c>
      <c r="E14" s="38"/>
      <c r="F14" s="27" t="n">
        <v>1</v>
      </c>
      <c r="G14" s="29" t="n">
        <v>10</v>
      </c>
      <c r="H14" s="29"/>
      <c r="I14" s="27" t="n">
        <v>1200000</v>
      </c>
      <c r="J14" s="38" t="s">
        <v>464</v>
      </c>
      <c r="K14" s="33" t="n">
        <f aca="false">IF(I14="",0,I14+IPRES_Rate*MIN(I14,IPRES_Cap)+IF(J14="Y",Cadre_Rate*MAX(0,MIN(I14,Cadre_Cap)-IPRES_Cap),0)+CSS_Rate*MIN(I14,CSS_Cap)+IPM_Rate*MIN(I14,IPM_Cap)+CFCE_Rate*I14+I14*Thirteenth/12+Transport_Allow+Health_TopUp)</f>
        <v>1452476</v>
      </c>
      <c r="L14" s="14" t="s">
        <v>478</v>
      </c>
    </row>
    <row r="15" customFormat="false" ht="15" hidden="false" customHeight="false" outlineLevel="0" collapsed="false">
      <c r="A15" s="14" t="n">
        <v>11</v>
      </c>
      <c r="B15" s="38" t="s">
        <v>471</v>
      </c>
      <c r="C15" s="38" t="s">
        <v>472</v>
      </c>
      <c r="D15" s="38" t="s">
        <v>463</v>
      </c>
      <c r="E15" s="38"/>
      <c r="F15" s="27" t="n">
        <v>1</v>
      </c>
      <c r="G15" s="29" t="n">
        <v>19</v>
      </c>
      <c r="H15" s="29"/>
      <c r="I15" s="27" t="n">
        <v>1500000</v>
      </c>
      <c r="J15" s="38" t="s">
        <v>464</v>
      </c>
      <c r="K15" s="33" t="n">
        <f aca="false">IF(I15="",0,I15+IPRES_Rate*MIN(I15,IPRES_Cap)+IF(J15="Y",Cadre_Rate*MAX(0,MIN(I15,Cadre_Cap)-IPRES_Cap),0)+CSS_Rate*MIN(I15,CSS_Cap)+IPM_Rate*MIN(I15,IPM_Cap)+CFCE_Rate*I15+I15*Thirteenth/12+Transport_Allow+Health_TopUp)</f>
        <v>1789932</v>
      </c>
      <c r="L15" s="14"/>
    </row>
    <row r="16" customFormat="false" ht="15" hidden="false" customHeight="false" outlineLevel="0" collapsed="false">
      <c r="A16" s="14" t="n">
        <v>12</v>
      </c>
      <c r="B16" s="38" t="s">
        <v>471</v>
      </c>
      <c r="C16" s="38" t="s">
        <v>475</v>
      </c>
      <c r="D16" s="38" t="s">
        <v>463</v>
      </c>
      <c r="E16" s="38"/>
      <c r="F16" s="27" t="n">
        <v>1</v>
      </c>
      <c r="G16" s="29" t="n">
        <v>19</v>
      </c>
      <c r="H16" s="29"/>
      <c r="I16" s="27" t="n">
        <v>800000</v>
      </c>
      <c r="J16" s="38" t="s">
        <v>464</v>
      </c>
      <c r="K16" s="33" t="n">
        <f aca="false">IF(I16="",0,I16+IPRES_Rate*MIN(I16,IPRES_Cap)+IF(J16="Y",Cadre_Rate*MAX(0,MIN(I16,Cadre_Cap)-IPRES_Cap),0)+CSS_Rate*MIN(I16,CSS_Cap)+IPM_Rate*MIN(I16,IPM_Cap)+CFCE_Rate*I16+I16*Thirteenth/12+Transport_Allow+Health_TopUp)</f>
        <v>992742.666666667</v>
      </c>
      <c r="L16" s="14"/>
    </row>
    <row r="17" customFormat="false" ht="15" hidden="false" customHeight="false" outlineLevel="0" collapsed="false">
      <c r="A17" s="14" t="n">
        <v>13</v>
      </c>
      <c r="B17" s="38" t="s">
        <v>471</v>
      </c>
      <c r="C17" s="38" t="s">
        <v>479</v>
      </c>
      <c r="D17" s="38" t="s">
        <v>463</v>
      </c>
      <c r="E17" s="38"/>
      <c r="F17" s="27" t="n">
        <v>1</v>
      </c>
      <c r="G17" s="29" t="n">
        <v>25</v>
      </c>
      <c r="H17" s="29"/>
      <c r="I17" s="27" t="n">
        <v>1300000</v>
      </c>
      <c r="J17" s="38" t="s">
        <v>464</v>
      </c>
      <c r="K17" s="33" t="n">
        <f aca="false">IF(I17="",0,I17+IPRES_Rate*MIN(I17,IPRES_Cap)+IF(J17="Y",Cadre_Rate*MAX(0,MIN(I17,Cadre_Cap)-IPRES_Cap),0)+CSS_Rate*MIN(I17,CSS_Cap)+IPM_Rate*MIN(I17,IPM_Cap)+CFCE_Rate*I17+I17*Thirteenth/12+Transport_Allow+Health_TopUp)</f>
        <v>1567265.33333333</v>
      </c>
      <c r="L17" s="14"/>
    </row>
    <row r="18" customFormat="false" ht="15" hidden="false" customHeight="false" outlineLevel="0" collapsed="false">
      <c r="A18" s="14" t="n">
        <v>14</v>
      </c>
      <c r="B18" s="38" t="s">
        <v>471</v>
      </c>
      <c r="C18" s="38" t="s">
        <v>480</v>
      </c>
      <c r="D18" s="38" t="s">
        <v>463</v>
      </c>
      <c r="E18" s="38"/>
      <c r="F18" s="27" t="n">
        <v>1</v>
      </c>
      <c r="G18" s="29" t="n">
        <v>31</v>
      </c>
      <c r="H18" s="29"/>
      <c r="I18" s="27" t="n">
        <v>1200000</v>
      </c>
      <c r="J18" s="38" t="s">
        <v>464</v>
      </c>
      <c r="K18" s="33" t="n">
        <f aca="false">IF(I18="",0,I18+IPRES_Rate*MIN(I18,IPRES_Cap)+IF(J18="Y",Cadre_Rate*MAX(0,MIN(I18,Cadre_Cap)-IPRES_Cap),0)+CSS_Rate*MIN(I18,CSS_Cap)+IPM_Rate*MIN(I18,IPM_Cap)+CFCE_Rate*I18+I18*Thirteenth/12+Transport_Allow+Health_TopUp)</f>
        <v>1452476</v>
      </c>
      <c r="L18" s="14"/>
    </row>
    <row r="19" customFormat="false" ht="15" hidden="false" customHeight="false" outlineLevel="0" collapsed="false">
      <c r="A19" s="14" t="n">
        <v>15</v>
      </c>
      <c r="B19" s="38" t="s">
        <v>471</v>
      </c>
      <c r="C19" s="38" t="s">
        <v>481</v>
      </c>
      <c r="D19" s="38" t="s">
        <v>463</v>
      </c>
      <c r="E19" s="38"/>
      <c r="F19" s="27" t="n">
        <v>1</v>
      </c>
      <c r="G19" s="29" t="n">
        <v>43</v>
      </c>
      <c r="H19" s="29"/>
      <c r="I19" s="27" t="n">
        <v>1500000</v>
      </c>
      <c r="J19" s="38" t="s">
        <v>464</v>
      </c>
      <c r="K19" s="33" t="n">
        <f aca="false">IF(I19="",0,I19+IPRES_Rate*MIN(I19,IPRES_Cap)+IF(J19="Y",Cadre_Rate*MAX(0,MIN(I19,Cadre_Cap)-IPRES_Cap),0)+CSS_Rate*MIN(I19,CSS_Cap)+IPM_Rate*MIN(I19,IPM_Cap)+CFCE_Rate*I19+I19*Thirteenth/12+Transport_Allow+Health_TopUp)</f>
        <v>1789932</v>
      </c>
      <c r="L19" s="14"/>
    </row>
    <row r="20" customFormat="false" ht="15" hidden="false" customHeight="false" outlineLevel="0" collapsed="false">
      <c r="A20" s="14" t="n">
        <v>16</v>
      </c>
      <c r="B20" s="38" t="s">
        <v>471</v>
      </c>
      <c r="C20" s="38" t="s">
        <v>472</v>
      </c>
      <c r="D20" s="38" t="s">
        <v>463</v>
      </c>
      <c r="E20" s="38"/>
      <c r="F20" s="27" t="n">
        <v>1</v>
      </c>
      <c r="G20" s="29" t="n">
        <v>43</v>
      </c>
      <c r="H20" s="29"/>
      <c r="I20" s="27" t="n">
        <v>1500000</v>
      </c>
      <c r="J20" s="38" t="s">
        <v>464</v>
      </c>
      <c r="K20" s="33" t="n">
        <f aca="false">IF(I20="",0,I20+IPRES_Rate*MIN(I20,IPRES_Cap)+IF(J20="Y",Cadre_Rate*MAX(0,MIN(I20,Cadre_Cap)-IPRES_Cap),0)+CSS_Rate*MIN(I20,CSS_Cap)+IPM_Rate*MIN(I20,IPM_Cap)+CFCE_Rate*I20+I20*Thirteenth/12+Transport_Allow+Health_TopUp)</f>
        <v>1789932</v>
      </c>
      <c r="L20" s="14"/>
    </row>
    <row r="21" customFormat="false" ht="15" hidden="false" customHeight="false" outlineLevel="0" collapsed="false">
      <c r="A21" s="14" t="n">
        <v>17</v>
      </c>
      <c r="B21" s="38" t="s">
        <v>482</v>
      </c>
      <c r="C21" s="38" t="s">
        <v>483</v>
      </c>
      <c r="D21" s="38" t="s">
        <v>463</v>
      </c>
      <c r="E21" s="38"/>
      <c r="F21" s="27" t="n">
        <v>1</v>
      </c>
      <c r="G21" s="29" t="n">
        <v>3</v>
      </c>
      <c r="H21" s="29"/>
      <c r="I21" s="27" t="n">
        <v>1500000</v>
      </c>
      <c r="J21" s="38" t="s">
        <v>464</v>
      </c>
      <c r="K21" s="33" t="n">
        <f aca="false">IF(I21="",0,I21+IPRES_Rate*MIN(I21,IPRES_Cap)+IF(J21="Y",Cadre_Rate*MAX(0,MIN(I21,Cadre_Cap)-IPRES_Cap),0)+CSS_Rate*MIN(I21,CSS_Cap)+IPM_Rate*MIN(I21,IPM_Cap)+CFCE_Rate*I21+I21*Thirteenth/12+Transport_Allow+Health_TopUp)</f>
        <v>1789932</v>
      </c>
      <c r="L21" s="14" t="s">
        <v>484</v>
      </c>
    </row>
    <row r="22" customFormat="false" ht="15" hidden="false" customHeight="false" outlineLevel="0" collapsed="false">
      <c r="A22" s="14" t="n">
        <v>18</v>
      </c>
      <c r="B22" s="38" t="s">
        <v>482</v>
      </c>
      <c r="C22" s="38" t="s">
        <v>485</v>
      </c>
      <c r="D22" s="38" t="s">
        <v>463</v>
      </c>
      <c r="E22" s="38"/>
      <c r="F22" s="27" t="n">
        <v>1</v>
      </c>
      <c r="G22" s="29" t="n">
        <v>7</v>
      </c>
      <c r="H22" s="29"/>
      <c r="I22" s="27" t="n">
        <v>550000</v>
      </c>
      <c r="J22" s="38" t="s">
        <v>464</v>
      </c>
      <c r="K22" s="33" t="n">
        <f aca="false">IF(I22="",0,I22+IPRES_Rate*MIN(I22,IPRES_Cap)+IF(J22="Y",Cadre_Rate*MAX(0,MIN(I22,Cadre_Cap)-IPRES_Cap),0)+CSS_Rate*MIN(I22,CSS_Cap)+IPM_Rate*MIN(I22,IPM_Cap)+CFCE_Rate*I22+I22*Thirteenth/12+Transport_Allow+Health_TopUp)</f>
        <v>705409.333333333</v>
      </c>
      <c r="L22" s="14"/>
    </row>
    <row r="23" customFormat="false" ht="15" hidden="false" customHeight="false" outlineLevel="0" collapsed="false">
      <c r="A23" s="14" t="n">
        <v>19</v>
      </c>
      <c r="B23" s="38" t="s">
        <v>482</v>
      </c>
      <c r="C23" s="38" t="s">
        <v>485</v>
      </c>
      <c r="D23" s="38" t="s">
        <v>463</v>
      </c>
      <c r="E23" s="38"/>
      <c r="F23" s="27" t="n">
        <v>1</v>
      </c>
      <c r="G23" s="29" t="n">
        <v>19</v>
      </c>
      <c r="H23" s="29"/>
      <c r="I23" s="27" t="n">
        <v>550000</v>
      </c>
      <c r="J23" s="38" t="s">
        <v>464</v>
      </c>
      <c r="K23" s="33" t="n">
        <f aca="false">IF(I23="",0,I23+IPRES_Rate*MIN(I23,IPRES_Cap)+IF(J23="Y",Cadre_Rate*MAX(0,MIN(I23,Cadre_Cap)-IPRES_Cap),0)+CSS_Rate*MIN(I23,CSS_Cap)+IPM_Rate*MIN(I23,IPM_Cap)+CFCE_Rate*I23+I23*Thirteenth/12+Transport_Allow+Health_TopUp)</f>
        <v>705409.333333333</v>
      </c>
      <c r="L23" s="14"/>
    </row>
    <row r="24" customFormat="false" ht="15" hidden="false" customHeight="false" outlineLevel="0" collapsed="false">
      <c r="A24" s="14" t="n">
        <v>20</v>
      </c>
      <c r="B24" s="38" t="s">
        <v>482</v>
      </c>
      <c r="C24" s="38" t="s">
        <v>486</v>
      </c>
      <c r="D24" s="38" t="s">
        <v>469</v>
      </c>
      <c r="E24" s="38"/>
      <c r="F24" s="27" t="n">
        <v>1</v>
      </c>
      <c r="G24" s="29" t="n">
        <v>16</v>
      </c>
      <c r="H24" s="29"/>
      <c r="I24" s="27" t="n">
        <v>1000000</v>
      </c>
      <c r="J24" s="38" t="s">
        <v>464</v>
      </c>
      <c r="K24" s="33" t="n">
        <f aca="false">IF(I24="",0,I24+IPRES_Rate*MIN(I24,IPRES_Cap)+IF(J24="Y",Cadre_Rate*MAX(0,MIN(I24,Cadre_Cap)-IPRES_Cap),0)+CSS_Rate*MIN(I24,CSS_Cap)+IPM_Rate*MIN(I24,IPM_Cap)+CFCE_Rate*I24+I24*Thirteenth/12+Transport_Allow+Health_TopUp)</f>
        <v>1222609.33333333</v>
      </c>
      <c r="L24" s="14"/>
    </row>
    <row r="25" customFormat="false" ht="15" hidden="false" customHeight="false" outlineLevel="0" collapsed="false">
      <c r="A25" s="14" t="n">
        <v>21</v>
      </c>
      <c r="B25" s="38" t="s">
        <v>482</v>
      </c>
      <c r="C25" s="38" t="s">
        <v>485</v>
      </c>
      <c r="D25" s="38" t="s">
        <v>463</v>
      </c>
      <c r="E25" s="38"/>
      <c r="F25" s="27" t="n">
        <v>1</v>
      </c>
      <c r="G25" s="29" t="n">
        <v>31</v>
      </c>
      <c r="H25" s="29"/>
      <c r="I25" s="27" t="n">
        <v>550000</v>
      </c>
      <c r="J25" s="38" t="s">
        <v>464</v>
      </c>
      <c r="K25" s="33" t="n">
        <f aca="false">IF(I25="",0,I25+IPRES_Rate*MIN(I25,IPRES_Cap)+IF(J25="Y",Cadre_Rate*MAX(0,MIN(I25,Cadre_Cap)-IPRES_Cap),0)+CSS_Rate*MIN(I25,CSS_Cap)+IPM_Rate*MIN(I25,IPM_Cap)+CFCE_Rate*I25+I25*Thirteenth/12+Transport_Allow+Health_TopUp)</f>
        <v>705409.333333333</v>
      </c>
      <c r="L25" s="14"/>
    </row>
    <row r="26" customFormat="false" ht="15" hidden="false" customHeight="false" outlineLevel="0" collapsed="false">
      <c r="A26" s="14" t="n">
        <v>22</v>
      </c>
      <c r="B26" s="38" t="s">
        <v>482</v>
      </c>
      <c r="C26" s="38" t="s">
        <v>485</v>
      </c>
      <c r="D26" s="38" t="s">
        <v>463</v>
      </c>
      <c r="E26" s="38"/>
      <c r="F26" s="27" t="n">
        <v>1</v>
      </c>
      <c r="G26" s="29" t="n">
        <v>43</v>
      </c>
      <c r="H26" s="29"/>
      <c r="I26" s="27" t="n">
        <v>550000</v>
      </c>
      <c r="J26" s="38" t="s">
        <v>464</v>
      </c>
      <c r="K26" s="33" t="n">
        <f aca="false">IF(I26="",0,I26+IPRES_Rate*MIN(I26,IPRES_Cap)+IF(J26="Y",Cadre_Rate*MAX(0,MIN(I26,Cadre_Cap)-IPRES_Cap),0)+CSS_Rate*MIN(I26,CSS_Cap)+IPM_Rate*MIN(I26,IPM_Cap)+CFCE_Rate*I26+I26*Thirteenth/12+Transport_Allow+Health_TopUp)</f>
        <v>705409.333333333</v>
      </c>
      <c r="L26" s="14"/>
    </row>
    <row r="27" customFormat="false" ht="15" hidden="false" customHeight="false" outlineLevel="0" collapsed="false">
      <c r="A27" s="14" t="n">
        <v>23</v>
      </c>
      <c r="B27" s="38" t="s">
        <v>24</v>
      </c>
      <c r="C27" s="38" t="s">
        <v>487</v>
      </c>
      <c r="D27" s="38" t="s">
        <v>463</v>
      </c>
      <c r="E27" s="38"/>
      <c r="F27" s="27" t="n">
        <v>1</v>
      </c>
      <c r="G27" s="29" t="n">
        <v>7</v>
      </c>
      <c r="H27" s="29"/>
      <c r="I27" s="27" t="n">
        <v>1200000</v>
      </c>
      <c r="J27" s="38" t="s">
        <v>464</v>
      </c>
      <c r="K27" s="33" t="n">
        <f aca="false">IF(I27="",0,I27+IPRES_Rate*MIN(I27,IPRES_Cap)+IF(J27="Y",Cadre_Rate*MAX(0,MIN(I27,Cadre_Cap)-IPRES_Cap),0)+CSS_Rate*MIN(I27,CSS_Cap)+IPM_Rate*MIN(I27,IPM_Cap)+CFCE_Rate*I27+I27*Thirteenth/12+Transport_Allow+Health_TopUp)</f>
        <v>1452476</v>
      </c>
      <c r="L27" s="14" t="s">
        <v>488</v>
      </c>
    </row>
    <row r="28" customFormat="false" ht="15" hidden="false" customHeight="false" outlineLevel="0" collapsed="false">
      <c r="A28" s="14" t="n">
        <v>24</v>
      </c>
      <c r="B28" s="38" t="s">
        <v>24</v>
      </c>
      <c r="C28" s="38" t="s">
        <v>489</v>
      </c>
      <c r="D28" s="38" t="s">
        <v>463</v>
      </c>
      <c r="E28" s="38"/>
      <c r="F28" s="27" t="n">
        <v>1</v>
      </c>
      <c r="G28" s="29" t="n">
        <v>19</v>
      </c>
      <c r="H28" s="29"/>
      <c r="I28" s="27" t="n">
        <v>500000</v>
      </c>
      <c r="J28" s="38" t="s">
        <v>464</v>
      </c>
      <c r="K28" s="33" t="n">
        <f aca="false">IF(I28="",0,I28+IPRES_Rate*MIN(I28,IPRES_Cap)+IF(J28="Y",Cadre_Rate*MAX(0,MIN(I28,Cadre_Cap)-IPRES_Cap),0)+CSS_Rate*MIN(I28,CSS_Cap)+IPM_Rate*MIN(I28,IPM_Cap)+CFCE_Rate*I28+I28*Thirteenth/12+Transport_Allow+Health_TopUp)</f>
        <v>647942.666666667</v>
      </c>
      <c r="L28" s="14"/>
    </row>
    <row r="29" customFormat="false" ht="15" hidden="false" customHeight="false" outlineLevel="0" collapsed="false">
      <c r="A29" s="14" t="n">
        <v>25</v>
      </c>
      <c r="B29" s="38" t="s">
        <v>24</v>
      </c>
      <c r="C29" s="38" t="s">
        <v>490</v>
      </c>
      <c r="D29" s="38" t="s">
        <v>463</v>
      </c>
      <c r="E29" s="38"/>
      <c r="F29" s="27" t="n">
        <v>2</v>
      </c>
      <c r="G29" s="29" t="n">
        <v>19</v>
      </c>
      <c r="H29" s="29"/>
      <c r="I29" s="27" t="n">
        <v>300000</v>
      </c>
      <c r="J29" s="38" t="s">
        <v>491</v>
      </c>
      <c r="K29" s="33" t="n">
        <f aca="false">IF(I29="",0,I29+IPRES_Rate*MIN(I29,IPRES_Cap)+IF(J29="Y",Cadre_Rate*MAX(0,MIN(I29,Cadre_Cap)-IPRES_Cap),0)+CSS_Rate*MIN(I29,CSS_Cap)+IPM_Rate*MIN(I29,IPM_Cap)+CFCE_Rate*I29+I29*Thirteenth/12+Transport_Allow+Health_TopUp)</f>
        <v>411740</v>
      </c>
      <c r="L29" s="14"/>
    </row>
    <row r="30" customFormat="false" ht="15" hidden="false" customHeight="false" outlineLevel="0" collapsed="false">
      <c r="A30" s="14" t="n">
        <v>26</v>
      </c>
      <c r="B30" s="38" t="s">
        <v>24</v>
      </c>
      <c r="C30" s="38" t="s">
        <v>489</v>
      </c>
      <c r="D30" s="38" t="s">
        <v>463</v>
      </c>
      <c r="E30" s="38"/>
      <c r="F30" s="27" t="n">
        <v>2</v>
      </c>
      <c r="G30" s="29" t="n">
        <v>31</v>
      </c>
      <c r="H30" s="29"/>
      <c r="I30" s="27" t="n">
        <v>500000</v>
      </c>
      <c r="J30" s="38" t="s">
        <v>464</v>
      </c>
      <c r="K30" s="33" t="n">
        <f aca="false">IF(I30="",0,I30+IPRES_Rate*MIN(I30,IPRES_Cap)+IF(J30="Y",Cadre_Rate*MAX(0,MIN(I30,Cadre_Cap)-IPRES_Cap),0)+CSS_Rate*MIN(I30,CSS_Cap)+IPM_Rate*MIN(I30,IPM_Cap)+CFCE_Rate*I30+I30*Thirteenth/12+Transport_Allow+Health_TopUp)</f>
        <v>647942.666666667</v>
      </c>
      <c r="L30" s="14"/>
    </row>
    <row r="31" customFormat="false" ht="15" hidden="false" customHeight="false" outlineLevel="0" collapsed="false">
      <c r="A31" s="14" t="n">
        <v>27</v>
      </c>
      <c r="B31" s="38" t="s">
        <v>24</v>
      </c>
      <c r="C31" s="38" t="s">
        <v>490</v>
      </c>
      <c r="D31" s="38" t="s">
        <v>463</v>
      </c>
      <c r="E31" s="38"/>
      <c r="F31" s="27" t="n">
        <v>1</v>
      </c>
      <c r="G31" s="29" t="n">
        <v>31</v>
      </c>
      <c r="H31" s="29"/>
      <c r="I31" s="27" t="n">
        <v>300000</v>
      </c>
      <c r="J31" s="38" t="s">
        <v>491</v>
      </c>
      <c r="K31" s="33" t="n">
        <f aca="false">IF(I31="",0,I31+IPRES_Rate*MIN(I31,IPRES_Cap)+IF(J31="Y",Cadre_Rate*MAX(0,MIN(I31,Cadre_Cap)-IPRES_Cap),0)+CSS_Rate*MIN(I31,CSS_Cap)+IPM_Rate*MIN(I31,IPM_Cap)+CFCE_Rate*I31+I31*Thirteenth/12+Transport_Allow+Health_TopUp)</f>
        <v>411740</v>
      </c>
      <c r="L31" s="14"/>
    </row>
    <row r="32" customFormat="false" ht="15" hidden="false" customHeight="false" outlineLevel="0" collapsed="false">
      <c r="A32" s="14" t="n">
        <v>28</v>
      </c>
      <c r="B32" s="38" t="s">
        <v>24</v>
      </c>
      <c r="C32" s="38" t="s">
        <v>489</v>
      </c>
      <c r="D32" s="38" t="s">
        <v>463</v>
      </c>
      <c r="E32" s="38"/>
      <c r="F32" s="27" t="n">
        <v>1</v>
      </c>
      <c r="G32" s="29" t="n">
        <v>43</v>
      </c>
      <c r="H32" s="29"/>
      <c r="I32" s="27" t="n">
        <v>500000</v>
      </c>
      <c r="J32" s="38" t="s">
        <v>464</v>
      </c>
      <c r="K32" s="33" t="n">
        <f aca="false">IF(I32="",0,I32+IPRES_Rate*MIN(I32,IPRES_Cap)+IF(J32="Y",Cadre_Rate*MAX(0,MIN(I32,Cadre_Cap)-IPRES_Cap),0)+CSS_Rate*MIN(I32,CSS_Cap)+IPM_Rate*MIN(I32,IPM_Cap)+CFCE_Rate*I32+I32*Thirteenth/12+Transport_Allow+Health_TopUp)</f>
        <v>647942.666666667</v>
      </c>
      <c r="L32" s="14"/>
    </row>
    <row r="33" customFormat="false" ht="15" hidden="false" customHeight="false" outlineLevel="0" collapsed="false">
      <c r="A33" s="14" t="n">
        <v>29</v>
      </c>
      <c r="B33" s="38" t="s">
        <v>24</v>
      </c>
      <c r="C33" s="38" t="s">
        <v>490</v>
      </c>
      <c r="D33" s="38" t="s">
        <v>463</v>
      </c>
      <c r="E33" s="38"/>
      <c r="F33" s="27" t="n">
        <v>2</v>
      </c>
      <c r="G33" s="29" t="n">
        <v>43</v>
      </c>
      <c r="H33" s="29"/>
      <c r="I33" s="27" t="n">
        <v>300000</v>
      </c>
      <c r="J33" s="38" t="s">
        <v>491</v>
      </c>
      <c r="K33" s="33" t="n">
        <f aca="false">IF(I33="",0,I33+IPRES_Rate*MIN(I33,IPRES_Cap)+IF(J33="Y",Cadre_Rate*MAX(0,MIN(I33,Cadre_Cap)-IPRES_Cap),0)+CSS_Rate*MIN(I33,CSS_Cap)+IPM_Rate*MIN(I33,IPM_Cap)+CFCE_Rate*I33+I33*Thirteenth/12+Transport_Allow+Health_TopUp)</f>
        <v>411740</v>
      </c>
      <c r="L33" s="14"/>
    </row>
    <row r="34" customFormat="false" ht="15" hidden="false" customHeight="false" outlineLevel="0" collapsed="false">
      <c r="A34" s="14" t="n">
        <v>30</v>
      </c>
      <c r="B34" s="38" t="s">
        <v>492</v>
      </c>
      <c r="C34" s="38" t="s">
        <v>493</v>
      </c>
      <c r="D34" s="38" t="s">
        <v>463</v>
      </c>
      <c r="E34" s="38"/>
      <c r="F34" s="27" t="n">
        <v>2</v>
      </c>
      <c r="G34" s="29" t="n">
        <v>4</v>
      </c>
      <c r="H34" s="29"/>
      <c r="I34" s="27" t="n">
        <v>275000</v>
      </c>
      <c r="J34" s="38" t="s">
        <v>491</v>
      </c>
      <c r="K34" s="33" t="n">
        <f aca="false">IF(I34="",0,I34+IPRES_Rate*MIN(I34,IPRES_Cap)+IF(J34="Y",Cadre_Rate*MAX(0,MIN(I34,Cadre_Cap)-IPRES_Cap),0)+CSS_Rate*MIN(I34,CSS_Cap)+IPM_Rate*MIN(I34,IPM_Cap)+CFCE_Rate*I34+I34*Thirteenth/12+Transport_Allow+Health_TopUp)</f>
        <v>381806.666666667</v>
      </c>
      <c r="L34" s="14"/>
    </row>
    <row r="35" customFormat="false" ht="15" hidden="false" customHeight="false" outlineLevel="0" collapsed="false">
      <c r="A35" s="14" t="n">
        <v>31</v>
      </c>
      <c r="B35" s="38" t="s">
        <v>492</v>
      </c>
      <c r="C35" s="38" t="s">
        <v>494</v>
      </c>
      <c r="D35" s="38" t="s">
        <v>463</v>
      </c>
      <c r="E35" s="38"/>
      <c r="F35" s="27" t="n">
        <v>1</v>
      </c>
      <c r="G35" s="29" t="n">
        <v>4</v>
      </c>
      <c r="H35" s="29"/>
      <c r="I35" s="27" t="n">
        <v>200000</v>
      </c>
      <c r="J35" s="38" t="s">
        <v>491</v>
      </c>
      <c r="K35" s="33" t="n">
        <f aca="false">IF(I35="",0,I35+IPRES_Rate*MIN(I35,IPRES_Cap)+IF(J35="Y",Cadre_Rate*MAX(0,MIN(I35,Cadre_Cap)-IPRES_Cap),0)+CSS_Rate*MIN(I35,CSS_Cap)+IPM_Rate*MIN(I35,IPM_Cap)+CFCE_Rate*I35+I35*Thirteenth/12+Transport_Allow+Health_TopUp)</f>
        <v>290506.666666667</v>
      </c>
      <c r="L35" s="14"/>
    </row>
    <row r="36" customFormat="false" ht="15" hidden="false" customHeight="false" outlineLevel="0" collapsed="false">
      <c r="A36" s="14" t="n">
        <v>32</v>
      </c>
      <c r="B36" s="38" t="s">
        <v>492</v>
      </c>
      <c r="C36" s="38" t="s">
        <v>493</v>
      </c>
      <c r="D36" s="38" t="s">
        <v>463</v>
      </c>
      <c r="E36" s="38"/>
      <c r="F36" s="27" t="n">
        <v>1</v>
      </c>
      <c r="G36" s="29" t="n">
        <v>19</v>
      </c>
      <c r="H36" s="29"/>
      <c r="I36" s="27" t="n">
        <v>275000</v>
      </c>
      <c r="J36" s="38" t="s">
        <v>491</v>
      </c>
      <c r="K36" s="33" t="n">
        <f aca="false">IF(I36="",0,I36+IPRES_Rate*MIN(I36,IPRES_Cap)+IF(J36="Y",Cadre_Rate*MAX(0,MIN(I36,Cadre_Cap)-IPRES_Cap),0)+CSS_Rate*MIN(I36,CSS_Cap)+IPM_Rate*MIN(I36,IPM_Cap)+CFCE_Rate*I36+I36*Thirteenth/12+Transport_Allow+Health_TopUp)</f>
        <v>381806.666666667</v>
      </c>
      <c r="L36" s="14"/>
    </row>
    <row r="37" customFormat="false" ht="15" hidden="false" customHeight="false" outlineLevel="0" collapsed="false">
      <c r="A37" s="14" t="n">
        <v>33</v>
      </c>
      <c r="B37" s="38" t="s">
        <v>492</v>
      </c>
      <c r="C37" s="38" t="s">
        <v>494</v>
      </c>
      <c r="D37" s="38" t="s">
        <v>463</v>
      </c>
      <c r="E37" s="38"/>
      <c r="F37" s="27" t="n">
        <v>3</v>
      </c>
      <c r="G37" s="29" t="n">
        <v>19</v>
      </c>
      <c r="H37" s="29"/>
      <c r="I37" s="27" t="n">
        <v>200000</v>
      </c>
      <c r="J37" s="38" t="s">
        <v>491</v>
      </c>
      <c r="K37" s="33" t="n">
        <f aca="false">IF(I37="",0,I37+IPRES_Rate*MIN(I37,IPRES_Cap)+IF(J37="Y",Cadre_Rate*MAX(0,MIN(I37,Cadre_Cap)-IPRES_Cap),0)+CSS_Rate*MIN(I37,CSS_Cap)+IPM_Rate*MIN(I37,IPM_Cap)+CFCE_Rate*I37+I37*Thirteenth/12+Transport_Allow+Health_TopUp)</f>
        <v>290506.666666667</v>
      </c>
      <c r="L37" s="14"/>
    </row>
    <row r="38" customFormat="false" ht="15" hidden="false" customHeight="false" outlineLevel="0" collapsed="false">
      <c r="A38" s="14" t="n">
        <v>34</v>
      </c>
      <c r="B38" s="38" t="s">
        <v>492</v>
      </c>
      <c r="C38" s="38" t="s">
        <v>495</v>
      </c>
      <c r="D38" s="38" t="s">
        <v>469</v>
      </c>
      <c r="E38" s="38"/>
      <c r="F38" s="27" t="n">
        <v>2</v>
      </c>
      <c r="G38" s="29" t="n">
        <v>19</v>
      </c>
      <c r="H38" s="29"/>
      <c r="I38" s="27" t="n">
        <v>300000</v>
      </c>
      <c r="J38" s="38" t="s">
        <v>491</v>
      </c>
      <c r="K38" s="33" t="n">
        <f aca="false">IF(I38="",0,I38+IPRES_Rate*MIN(I38,IPRES_Cap)+IF(J38="Y",Cadre_Rate*MAX(0,MIN(I38,Cadre_Cap)-IPRES_Cap),0)+CSS_Rate*MIN(I38,CSS_Cap)+IPM_Rate*MIN(I38,IPM_Cap)+CFCE_Rate*I38+I38*Thirteenth/12+Transport_Allow+Health_TopUp)</f>
        <v>411740</v>
      </c>
      <c r="L38" s="14"/>
    </row>
    <row r="39" customFormat="false" ht="15" hidden="false" customHeight="false" outlineLevel="0" collapsed="false">
      <c r="A39" s="14" t="n">
        <v>35</v>
      </c>
      <c r="B39" s="38" t="s">
        <v>492</v>
      </c>
      <c r="C39" s="38" t="s">
        <v>496</v>
      </c>
      <c r="D39" s="38" t="s">
        <v>463</v>
      </c>
      <c r="E39" s="38"/>
      <c r="F39" s="27" t="n">
        <v>1</v>
      </c>
      <c r="G39" s="29" t="n">
        <v>25</v>
      </c>
      <c r="H39" s="29"/>
      <c r="I39" s="27" t="n">
        <v>900000</v>
      </c>
      <c r="J39" s="38" t="s">
        <v>464</v>
      </c>
      <c r="K39" s="33" t="n">
        <f aca="false">IF(I39="",0,I39+IPRES_Rate*MIN(I39,IPRES_Cap)+IF(J39="Y",Cadre_Rate*MAX(0,MIN(I39,Cadre_Cap)-IPRES_Cap),0)+CSS_Rate*MIN(I39,CSS_Cap)+IPM_Rate*MIN(I39,IPM_Cap)+CFCE_Rate*I39+I39*Thirteenth/12+Transport_Allow+Health_TopUp)</f>
        <v>1107676</v>
      </c>
      <c r="L39" s="14"/>
    </row>
    <row r="40" customFormat="false" ht="15" hidden="false" customHeight="false" outlineLevel="0" collapsed="false">
      <c r="A40" s="14" t="n">
        <v>36</v>
      </c>
      <c r="B40" s="38" t="s">
        <v>492</v>
      </c>
      <c r="C40" s="38" t="s">
        <v>493</v>
      </c>
      <c r="D40" s="38" t="s">
        <v>463</v>
      </c>
      <c r="E40" s="38"/>
      <c r="F40" s="27" t="n">
        <v>2</v>
      </c>
      <c r="G40" s="29" t="n">
        <v>31</v>
      </c>
      <c r="H40" s="29"/>
      <c r="I40" s="27" t="n">
        <v>275000</v>
      </c>
      <c r="J40" s="38" t="s">
        <v>491</v>
      </c>
      <c r="K40" s="33" t="n">
        <f aca="false">IF(I40="",0,I40+IPRES_Rate*MIN(I40,IPRES_Cap)+IF(J40="Y",Cadre_Rate*MAX(0,MIN(I40,Cadre_Cap)-IPRES_Cap),0)+CSS_Rate*MIN(I40,CSS_Cap)+IPM_Rate*MIN(I40,IPM_Cap)+CFCE_Rate*I40+I40*Thirteenth/12+Transport_Allow+Health_TopUp)</f>
        <v>381806.666666667</v>
      </c>
      <c r="L40" s="14"/>
    </row>
    <row r="41" customFormat="false" ht="15" hidden="false" customHeight="false" outlineLevel="0" collapsed="false">
      <c r="A41" s="14" t="n">
        <v>37</v>
      </c>
      <c r="B41" s="38" t="s">
        <v>492</v>
      </c>
      <c r="C41" s="38" t="s">
        <v>494</v>
      </c>
      <c r="D41" s="38" t="s">
        <v>463</v>
      </c>
      <c r="E41" s="38"/>
      <c r="F41" s="27" t="n">
        <v>2</v>
      </c>
      <c r="G41" s="29" t="n">
        <v>31</v>
      </c>
      <c r="H41" s="29"/>
      <c r="I41" s="27" t="n">
        <v>200000</v>
      </c>
      <c r="J41" s="38" t="s">
        <v>491</v>
      </c>
      <c r="K41" s="33" t="n">
        <f aca="false">IF(I41="",0,I41+IPRES_Rate*MIN(I41,IPRES_Cap)+IF(J41="Y",Cadre_Rate*MAX(0,MIN(I41,Cadre_Cap)-IPRES_Cap),0)+CSS_Rate*MIN(I41,CSS_Cap)+IPM_Rate*MIN(I41,IPM_Cap)+CFCE_Rate*I41+I41*Thirteenth/12+Transport_Allow+Health_TopUp)</f>
        <v>290506.666666667</v>
      </c>
      <c r="L41" s="14"/>
    </row>
    <row r="42" customFormat="false" ht="15" hidden="false" customHeight="false" outlineLevel="0" collapsed="false">
      <c r="A42" s="14" t="n">
        <v>38</v>
      </c>
      <c r="B42" s="38" t="s">
        <v>492</v>
      </c>
      <c r="C42" s="38" t="s">
        <v>495</v>
      </c>
      <c r="D42" s="38" t="s">
        <v>469</v>
      </c>
      <c r="E42" s="38"/>
      <c r="F42" s="27" t="n">
        <v>2</v>
      </c>
      <c r="G42" s="29" t="n">
        <v>37</v>
      </c>
      <c r="H42" s="29"/>
      <c r="I42" s="27" t="n">
        <v>300000</v>
      </c>
      <c r="J42" s="38" t="s">
        <v>491</v>
      </c>
      <c r="K42" s="33" t="n">
        <f aca="false">IF(I42="",0,I42+IPRES_Rate*MIN(I42,IPRES_Cap)+IF(J42="Y",Cadre_Rate*MAX(0,MIN(I42,Cadre_Cap)-IPRES_Cap),0)+CSS_Rate*MIN(I42,CSS_Cap)+IPM_Rate*MIN(I42,IPM_Cap)+CFCE_Rate*I42+I42*Thirteenth/12+Transport_Allow+Health_TopUp)</f>
        <v>411740</v>
      </c>
      <c r="L42" s="14"/>
    </row>
    <row r="43" customFormat="false" ht="15" hidden="false" customHeight="false" outlineLevel="0" collapsed="false">
      <c r="A43" s="14" t="n">
        <v>39</v>
      </c>
      <c r="B43" s="38" t="s">
        <v>492</v>
      </c>
      <c r="C43" s="38" t="s">
        <v>493</v>
      </c>
      <c r="D43" s="38" t="s">
        <v>463</v>
      </c>
      <c r="E43" s="38"/>
      <c r="F43" s="27" t="n">
        <v>2</v>
      </c>
      <c r="G43" s="29" t="n">
        <v>43</v>
      </c>
      <c r="H43" s="29"/>
      <c r="I43" s="27" t="n">
        <v>275000</v>
      </c>
      <c r="J43" s="38" t="s">
        <v>491</v>
      </c>
      <c r="K43" s="33" t="n">
        <f aca="false">IF(I43="",0,I43+IPRES_Rate*MIN(I43,IPRES_Cap)+IF(J43="Y",Cadre_Rate*MAX(0,MIN(I43,Cadre_Cap)-IPRES_Cap),0)+CSS_Rate*MIN(I43,CSS_Cap)+IPM_Rate*MIN(I43,IPM_Cap)+CFCE_Rate*I43+I43*Thirteenth/12+Transport_Allow+Health_TopUp)</f>
        <v>381806.666666667</v>
      </c>
      <c r="L43" s="14"/>
    </row>
    <row r="44" customFormat="false" ht="15" hidden="false" customHeight="false" outlineLevel="0" collapsed="false">
      <c r="A44" s="14" t="n">
        <v>40</v>
      </c>
      <c r="B44" s="38" t="s">
        <v>492</v>
      </c>
      <c r="C44" s="38" t="s">
        <v>494</v>
      </c>
      <c r="D44" s="38" t="s">
        <v>463</v>
      </c>
      <c r="E44" s="38"/>
      <c r="F44" s="27" t="n">
        <v>3</v>
      </c>
      <c r="G44" s="29" t="n">
        <v>43</v>
      </c>
      <c r="H44" s="29"/>
      <c r="I44" s="27" t="n">
        <v>200000</v>
      </c>
      <c r="J44" s="38" t="s">
        <v>491</v>
      </c>
      <c r="K44" s="33" t="n">
        <f aca="false">IF(I44="",0,I44+IPRES_Rate*MIN(I44,IPRES_Cap)+IF(J44="Y",Cadre_Rate*MAX(0,MIN(I44,Cadre_Cap)-IPRES_Cap),0)+CSS_Rate*MIN(I44,CSS_Cap)+IPM_Rate*MIN(I44,IPM_Cap)+CFCE_Rate*I44+I44*Thirteenth/12+Transport_Allow+Health_TopUp)</f>
        <v>290506.666666667</v>
      </c>
      <c r="L44" s="14"/>
    </row>
    <row r="45" customFormat="false" ht="15" hidden="false" customHeight="false" outlineLevel="0" collapsed="false">
      <c r="A45" s="14" t="n">
        <v>41</v>
      </c>
      <c r="B45" s="38" t="s">
        <v>497</v>
      </c>
      <c r="C45" s="38" t="s">
        <v>498</v>
      </c>
      <c r="D45" s="38" t="s">
        <v>463</v>
      </c>
      <c r="E45" s="38"/>
      <c r="F45" s="27" t="n">
        <v>1</v>
      </c>
      <c r="G45" s="29" t="n">
        <v>2</v>
      </c>
      <c r="H45" s="29"/>
      <c r="I45" s="27" t="n">
        <v>1750000</v>
      </c>
      <c r="J45" s="38" t="s">
        <v>464</v>
      </c>
      <c r="K45" s="33" t="n">
        <f aca="false">IF(I45="",0,I45+IPRES_Rate*MIN(I45,IPRES_Cap)+IF(J45="Y",Cadre_Rate*MAX(0,MIN(I45,Cadre_Cap)-IPRES_Cap),0)+CSS_Rate*MIN(I45,CSS_Cap)+IPM_Rate*MIN(I45,IPM_Cap)+CFCE_Rate*I45+I45*Thirteenth/12+Transport_Allow+Health_TopUp)</f>
        <v>2068265.33333333</v>
      </c>
      <c r="L45" s="14"/>
    </row>
    <row r="46" customFormat="false" ht="15" hidden="false" customHeight="false" outlineLevel="0" collapsed="false">
      <c r="A46" s="14" t="n">
        <v>42</v>
      </c>
      <c r="B46" s="38" t="s">
        <v>497</v>
      </c>
      <c r="C46" s="38" t="s">
        <v>499</v>
      </c>
      <c r="D46" s="38" t="s">
        <v>463</v>
      </c>
      <c r="E46" s="38"/>
      <c r="F46" s="27" t="n">
        <v>1</v>
      </c>
      <c r="G46" s="29" t="n">
        <v>4</v>
      </c>
      <c r="H46" s="29"/>
      <c r="I46" s="27" t="n">
        <v>900000</v>
      </c>
      <c r="J46" s="38" t="s">
        <v>464</v>
      </c>
      <c r="K46" s="33" t="n">
        <f aca="false">IF(I46="",0,I46+IPRES_Rate*MIN(I46,IPRES_Cap)+IF(J46="Y",Cadre_Rate*MAX(0,MIN(I46,Cadre_Cap)-IPRES_Cap),0)+CSS_Rate*MIN(I46,CSS_Cap)+IPM_Rate*MIN(I46,IPM_Cap)+CFCE_Rate*I46+I46*Thirteenth/12+Transport_Allow+Health_TopUp)</f>
        <v>1107676</v>
      </c>
      <c r="L46" s="14"/>
    </row>
    <row r="47" customFormat="false" ht="15" hidden="false" customHeight="false" outlineLevel="0" collapsed="false">
      <c r="A47" s="14" t="n">
        <v>43</v>
      </c>
      <c r="B47" s="38" t="s">
        <v>497</v>
      </c>
      <c r="C47" s="38" t="s">
        <v>500</v>
      </c>
      <c r="D47" s="38" t="s">
        <v>463</v>
      </c>
      <c r="E47" s="38" t="s">
        <v>501</v>
      </c>
      <c r="F47" s="27" t="n">
        <v>2</v>
      </c>
      <c r="G47" s="29" t="n">
        <v>4</v>
      </c>
      <c r="H47" s="29"/>
      <c r="I47" s="27" t="n">
        <v>400000</v>
      </c>
      <c r="J47" s="38" t="s">
        <v>491</v>
      </c>
      <c r="K47" s="33" t="n">
        <f aca="false">IF(I47="",0,I47+IPRES_Rate*MIN(I47,IPRES_Cap)+IF(J47="Y",Cadre_Rate*MAX(0,MIN(I47,Cadre_Cap)-IPRES_Cap),0)+CSS_Rate*MIN(I47,CSS_Cap)+IPM_Rate*MIN(I47,IPM_Cap)+CFCE_Rate*I47+I47*Thirteenth/12+Transport_Allow+Health_TopUp)</f>
        <v>531473.333333333</v>
      </c>
      <c r="L47" s="14" t="s">
        <v>502</v>
      </c>
    </row>
    <row r="48" customFormat="false" ht="15" hidden="false" customHeight="false" outlineLevel="0" collapsed="false">
      <c r="A48" s="14" t="n">
        <v>44</v>
      </c>
      <c r="B48" s="38" t="s">
        <v>497</v>
      </c>
      <c r="C48" s="38" t="s">
        <v>503</v>
      </c>
      <c r="D48" s="38" t="s">
        <v>463</v>
      </c>
      <c r="E48" s="38" t="s">
        <v>501</v>
      </c>
      <c r="F48" s="27" t="n">
        <v>2</v>
      </c>
      <c r="G48" s="29" t="n">
        <v>7</v>
      </c>
      <c r="H48" s="29"/>
      <c r="I48" s="27" t="n">
        <v>400000</v>
      </c>
      <c r="J48" s="38" t="s">
        <v>491</v>
      </c>
      <c r="K48" s="33" t="n">
        <f aca="false">IF(I48="",0,I48+IPRES_Rate*MIN(I48,IPRES_Cap)+IF(J48="Y",Cadre_Rate*MAX(0,MIN(I48,Cadre_Cap)-IPRES_Cap),0)+CSS_Rate*MIN(I48,CSS_Cap)+IPM_Rate*MIN(I48,IPM_Cap)+CFCE_Rate*I48+I48*Thirteenth/12+Transport_Allow+Health_TopUp)</f>
        <v>531473.333333333</v>
      </c>
      <c r="L48" s="14"/>
    </row>
    <row r="49" customFormat="false" ht="15" hidden="false" customHeight="false" outlineLevel="0" collapsed="false">
      <c r="A49" s="14" t="n">
        <v>45</v>
      </c>
      <c r="B49" s="38" t="s">
        <v>497</v>
      </c>
      <c r="C49" s="38" t="s">
        <v>503</v>
      </c>
      <c r="D49" s="38" t="s">
        <v>463</v>
      </c>
      <c r="E49" s="38" t="s">
        <v>501</v>
      </c>
      <c r="F49" s="27" t="n">
        <v>4</v>
      </c>
      <c r="G49" s="29" t="n">
        <v>19</v>
      </c>
      <c r="H49" s="29"/>
      <c r="I49" s="27" t="n">
        <v>400000</v>
      </c>
      <c r="J49" s="38" t="s">
        <v>491</v>
      </c>
      <c r="K49" s="33" t="n">
        <f aca="false">IF(I49="",0,I49+IPRES_Rate*MIN(I49,IPRES_Cap)+IF(J49="Y",Cadre_Rate*MAX(0,MIN(I49,Cadre_Cap)-IPRES_Cap),0)+CSS_Rate*MIN(I49,CSS_Cap)+IPM_Rate*MIN(I49,IPM_Cap)+CFCE_Rate*I49+I49*Thirteenth/12+Transport_Allow+Health_TopUp)</f>
        <v>531473.333333333</v>
      </c>
      <c r="L49" s="14"/>
    </row>
    <row r="50" customFormat="false" ht="15" hidden="false" customHeight="false" outlineLevel="0" collapsed="false">
      <c r="A50" s="14" t="n">
        <v>46</v>
      </c>
      <c r="B50" s="38" t="s">
        <v>497</v>
      </c>
      <c r="C50" s="38" t="s">
        <v>504</v>
      </c>
      <c r="D50" s="38" t="s">
        <v>469</v>
      </c>
      <c r="E50" s="38" t="s">
        <v>501</v>
      </c>
      <c r="F50" s="27" t="n">
        <v>3</v>
      </c>
      <c r="G50" s="29" t="n">
        <v>19</v>
      </c>
      <c r="H50" s="29"/>
      <c r="I50" s="27" t="n">
        <v>450000</v>
      </c>
      <c r="J50" s="38" t="s">
        <v>491</v>
      </c>
      <c r="K50" s="33" t="n">
        <f aca="false">IF(I50="",0,I50+IPRES_Rate*MIN(I50,IPRES_Cap)+IF(J50="Y",Cadre_Rate*MAX(0,MIN(I50,Cadre_Cap)-IPRES_Cap),0)+CSS_Rate*MIN(I50,CSS_Cap)+IPM_Rate*MIN(I50,IPM_Cap)+CFCE_Rate*I50+I50*Thirteenth/12+Transport_Allow+Health_TopUp)</f>
        <v>589828</v>
      </c>
      <c r="L50" s="14"/>
    </row>
    <row r="51" customFormat="false" ht="15" hidden="false" customHeight="false" outlineLevel="0" collapsed="false">
      <c r="A51" s="14" t="n">
        <v>47</v>
      </c>
      <c r="B51" s="38" t="s">
        <v>497</v>
      </c>
      <c r="C51" s="38" t="s">
        <v>505</v>
      </c>
      <c r="D51" s="38" t="s">
        <v>463</v>
      </c>
      <c r="E51" s="38"/>
      <c r="F51" s="27" t="n">
        <v>1</v>
      </c>
      <c r="G51" s="29" t="n">
        <v>25</v>
      </c>
      <c r="H51" s="29"/>
      <c r="I51" s="27" t="n">
        <v>1000000</v>
      </c>
      <c r="J51" s="38" t="s">
        <v>464</v>
      </c>
      <c r="K51" s="33" t="n">
        <f aca="false">IF(I51="",0,I51+IPRES_Rate*MIN(I51,IPRES_Cap)+IF(J51="Y",Cadre_Rate*MAX(0,MIN(I51,Cadre_Cap)-IPRES_Cap),0)+CSS_Rate*MIN(I51,CSS_Cap)+IPM_Rate*MIN(I51,IPM_Cap)+CFCE_Rate*I51+I51*Thirteenth/12+Transport_Allow+Health_TopUp)</f>
        <v>1222609.33333333</v>
      </c>
      <c r="L51" s="14"/>
    </row>
    <row r="52" customFormat="false" ht="15" hidden="false" customHeight="false" outlineLevel="0" collapsed="false">
      <c r="A52" s="14" t="n">
        <v>48</v>
      </c>
      <c r="B52" s="38" t="s">
        <v>497</v>
      </c>
      <c r="C52" s="38" t="s">
        <v>503</v>
      </c>
      <c r="D52" s="38" t="s">
        <v>463</v>
      </c>
      <c r="E52" s="38" t="s">
        <v>501</v>
      </c>
      <c r="F52" s="27" t="n">
        <v>4</v>
      </c>
      <c r="G52" s="29" t="n">
        <v>31</v>
      </c>
      <c r="H52" s="29"/>
      <c r="I52" s="27" t="n">
        <v>400000</v>
      </c>
      <c r="J52" s="38" t="s">
        <v>491</v>
      </c>
      <c r="K52" s="33" t="n">
        <f aca="false">IF(I52="",0,I52+IPRES_Rate*MIN(I52,IPRES_Cap)+IF(J52="Y",Cadre_Rate*MAX(0,MIN(I52,Cadre_Cap)-IPRES_Cap),0)+CSS_Rate*MIN(I52,CSS_Cap)+IPM_Rate*MIN(I52,IPM_Cap)+CFCE_Rate*I52+I52*Thirteenth/12+Transport_Allow+Health_TopUp)</f>
        <v>531473.333333333</v>
      </c>
      <c r="L52" s="14"/>
    </row>
    <row r="53" customFormat="false" ht="15" hidden="false" customHeight="false" outlineLevel="0" collapsed="false">
      <c r="A53" s="14" t="n">
        <v>49</v>
      </c>
      <c r="B53" s="38" t="s">
        <v>497</v>
      </c>
      <c r="C53" s="38" t="s">
        <v>504</v>
      </c>
      <c r="D53" s="38" t="s">
        <v>469</v>
      </c>
      <c r="E53" s="38" t="s">
        <v>501</v>
      </c>
      <c r="F53" s="27" t="n">
        <v>3</v>
      </c>
      <c r="G53" s="29" t="n">
        <v>31</v>
      </c>
      <c r="H53" s="29"/>
      <c r="I53" s="27" t="n">
        <v>450000</v>
      </c>
      <c r="J53" s="38" t="s">
        <v>491</v>
      </c>
      <c r="K53" s="33" t="n">
        <f aca="false">IF(I53="",0,I53+IPRES_Rate*MIN(I53,IPRES_Cap)+IF(J53="Y",Cadre_Rate*MAX(0,MIN(I53,Cadre_Cap)-IPRES_Cap),0)+CSS_Rate*MIN(I53,CSS_Cap)+IPM_Rate*MIN(I53,IPM_Cap)+CFCE_Rate*I53+I53*Thirteenth/12+Transport_Allow+Health_TopUp)</f>
        <v>589828</v>
      </c>
      <c r="L53" s="14"/>
    </row>
    <row r="54" customFormat="false" ht="15" hidden="false" customHeight="false" outlineLevel="0" collapsed="false">
      <c r="A54" s="14" t="n">
        <v>50</v>
      </c>
      <c r="B54" s="38" t="s">
        <v>497</v>
      </c>
      <c r="C54" s="38" t="s">
        <v>503</v>
      </c>
      <c r="D54" s="38" t="s">
        <v>463</v>
      </c>
      <c r="E54" s="38" t="s">
        <v>501</v>
      </c>
      <c r="F54" s="27" t="n">
        <v>4</v>
      </c>
      <c r="G54" s="29" t="n">
        <v>43</v>
      </c>
      <c r="H54" s="29"/>
      <c r="I54" s="27" t="n">
        <v>400000</v>
      </c>
      <c r="J54" s="38" t="s">
        <v>491</v>
      </c>
      <c r="K54" s="33" t="n">
        <f aca="false">IF(I54="",0,I54+IPRES_Rate*MIN(I54,IPRES_Cap)+IF(J54="Y",Cadre_Rate*MAX(0,MIN(I54,Cadre_Cap)-IPRES_Cap),0)+CSS_Rate*MIN(I54,CSS_Cap)+IPM_Rate*MIN(I54,IPM_Cap)+CFCE_Rate*I54+I54*Thirteenth/12+Transport_Allow+Health_TopUp)</f>
        <v>531473.333333333</v>
      </c>
      <c r="L54" s="14"/>
    </row>
    <row r="55" customFormat="false" ht="15" hidden="false" customHeight="false" outlineLevel="0" collapsed="false">
      <c r="A55" s="14" t="n">
        <v>51</v>
      </c>
      <c r="B55" s="38" t="s">
        <v>497</v>
      </c>
      <c r="C55" s="38" t="s">
        <v>504</v>
      </c>
      <c r="D55" s="38" t="s">
        <v>469</v>
      </c>
      <c r="E55" s="38" t="s">
        <v>501</v>
      </c>
      <c r="F55" s="27" t="n">
        <v>3</v>
      </c>
      <c r="G55" s="29" t="n">
        <v>43</v>
      </c>
      <c r="H55" s="29"/>
      <c r="I55" s="27" t="n">
        <v>450000</v>
      </c>
      <c r="J55" s="38" t="s">
        <v>491</v>
      </c>
      <c r="K55" s="33" t="n">
        <f aca="false">IF(I55="",0,I55+IPRES_Rate*MIN(I55,IPRES_Cap)+IF(J55="Y",Cadre_Rate*MAX(0,MIN(I55,Cadre_Cap)-IPRES_Cap),0)+CSS_Rate*MIN(I55,CSS_Cap)+IPM_Rate*MIN(I55,IPM_Cap)+CFCE_Rate*I55+I55*Thirteenth/12+Transport_Allow+Health_TopUp)</f>
        <v>589828</v>
      </c>
      <c r="L55" s="14"/>
    </row>
    <row r="56" customFormat="false" ht="15" hidden="false" customHeight="false" outlineLevel="0" collapsed="false">
      <c r="A56" s="14" t="n">
        <v>52</v>
      </c>
      <c r="B56" s="38" t="s">
        <v>506</v>
      </c>
      <c r="C56" s="38" t="s">
        <v>507</v>
      </c>
      <c r="D56" s="38" t="s">
        <v>463</v>
      </c>
      <c r="E56" s="38"/>
      <c r="F56" s="27" t="n">
        <v>1</v>
      </c>
      <c r="G56" s="29" t="n">
        <v>6</v>
      </c>
      <c r="H56" s="29"/>
      <c r="I56" s="27" t="n">
        <v>900000</v>
      </c>
      <c r="J56" s="38" t="s">
        <v>464</v>
      </c>
      <c r="K56" s="33" t="n">
        <f aca="false">IF(I56="",0,I56+IPRES_Rate*MIN(I56,IPRES_Cap)+IF(J56="Y",Cadre_Rate*MAX(0,MIN(I56,Cadre_Cap)-IPRES_Cap),0)+CSS_Rate*MIN(I56,CSS_Cap)+IPM_Rate*MIN(I56,IPM_Cap)+CFCE_Rate*I56+I56*Thirteenth/12+Transport_Allow+Health_TopUp)</f>
        <v>1107676</v>
      </c>
      <c r="L56" s="14"/>
    </row>
    <row r="57" customFormat="false" ht="15" hidden="false" customHeight="false" outlineLevel="0" collapsed="false">
      <c r="A57" s="14" t="n">
        <v>53</v>
      </c>
      <c r="B57" s="38" t="s">
        <v>506</v>
      </c>
      <c r="C57" s="38" t="s">
        <v>508</v>
      </c>
      <c r="D57" s="38" t="s">
        <v>463</v>
      </c>
      <c r="E57" s="38"/>
      <c r="F57" s="27" t="n">
        <v>1</v>
      </c>
      <c r="G57" s="29" t="n">
        <v>19</v>
      </c>
      <c r="H57" s="29"/>
      <c r="I57" s="27" t="n">
        <v>400000</v>
      </c>
      <c r="J57" s="38" t="s">
        <v>491</v>
      </c>
      <c r="K57" s="33" t="n">
        <f aca="false">IF(I57="",0,I57+IPRES_Rate*MIN(I57,IPRES_Cap)+IF(J57="Y",Cadre_Rate*MAX(0,MIN(I57,Cadre_Cap)-IPRES_Cap),0)+CSS_Rate*MIN(I57,CSS_Cap)+IPM_Rate*MIN(I57,IPM_Cap)+CFCE_Rate*I57+I57*Thirteenth/12+Transport_Allow+Health_TopUp)</f>
        <v>531473.333333333</v>
      </c>
      <c r="L57" s="14"/>
    </row>
    <row r="58" customFormat="false" ht="15" hidden="false" customHeight="false" outlineLevel="0" collapsed="false">
      <c r="A58" s="14" t="n">
        <v>54</v>
      </c>
      <c r="B58" s="38" t="s">
        <v>509</v>
      </c>
      <c r="C58" s="38" t="s">
        <v>510</v>
      </c>
      <c r="D58" s="38" t="s">
        <v>463</v>
      </c>
      <c r="E58" s="38"/>
      <c r="F58" s="27" t="n">
        <v>1</v>
      </c>
      <c r="G58" s="29" t="n">
        <v>1</v>
      </c>
      <c r="H58" s="29"/>
      <c r="I58" s="27" t="n">
        <v>400000</v>
      </c>
      <c r="J58" s="38" t="s">
        <v>464</v>
      </c>
      <c r="K58" s="33" t="n">
        <f aca="false">IF(I58="",0,I58+IPRES_Rate*MIN(I58,IPRES_Cap)+IF(J58="Y",Cadre_Rate*MAX(0,MIN(I58,Cadre_Cap)-IPRES_Cap),0)+CSS_Rate*MIN(I58,CSS_Cap)+IPM_Rate*MIN(I58,IPM_Cap)+CFCE_Rate*I58+I58*Thirteenth/12+Transport_Allow+Health_TopUp)</f>
        <v>531473.333333333</v>
      </c>
      <c r="L58" s="14"/>
    </row>
    <row r="59" customFormat="false" ht="15" hidden="false" customHeight="false" outlineLevel="0" collapsed="false">
      <c r="A59" s="14" t="n">
        <v>55</v>
      </c>
      <c r="B59" s="38" t="s">
        <v>509</v>
      </c>
      <c r="C59" s="38" t="s">
        <v>511</v>
      </c>
      <c r="D59" s="38" t="s">
        <v>463</v>
      </c>
      <c r="E59" s="38"/>
      <c r="F59" s="27" t="n">
        <v>1</v>
      </c>
      <c r="G59" s="29" t="n">
        <v>19</v>
      </c>
      <c r="H59" s="29"/>
      <c r="I59" s="27" t="n">
        <v>275000</v>
      </c>
      <c r="J59" s="38" t="s">
        <v>491</v>
      </c>
      <c r="K59" s="33" t="n">
        <f aca="false">IF(I59="",0,I59+IPRES_Rate*MIN(I59,IPRES_Cap)+IF(J59="Y",Cadre_Rate*MAX(0,MIN(I59,Cadre_Cap)-IPRES_Cap),0)+CSS_Rate*MIN(I59,CSS_Cap)+IPM_Rate*MIN(I59,IPM_Cap)+CFCE_Rate*I59+I59*Thirteenth/12+Transport_Allow+Health_TopUp)</f>
        <v>381806.666666667</v>
      </c>
      <c r="L59" s="14"/>
    </row>
    <row r="60" customFormat="false" ht="15" hidden="false" customHeight="false" outlineLevel="0" collapsed="false">
      <c r="A60" s="14" t="n">
        <v>56</v>
      </c>
      <c r="B60" s="38" t="s">
        <v>509</v>
      </c>
      <c r="C60" s="38" t="s">
        <v>510</v>
      </c>
      <c r="D60" s="38" t="s">
        <v>463</v>
      </c>
      <c r="E60" s="38"/>
      <c r="F60" s="27" t="n">
        <v>1</v>
      </c>
      <c r="G60" s="29" t="n">
        <v>31</v>
      </c>
      <c r="H60" s="29"/>
      <c r="I60" s="27" t="n">
        <v>400000</v>
      </c>
      <c r="J60" s="38" t="s">
        <v>464</v>
      </c>
      <c r="K60" s="33" t="n">
        <f aca="false">IF(I60="",0,I60+IPRES_Rate*MIN(I60,IPRES_Cap)+IF(J60="Y",Cadre_Rate*MAX(0,MIN(I60,Cadre_Cap)-IPRES_Cap),0)+CSS_Rate*MIN(I60,CSS_Cap)+IPM_Rate*MIN(I60,IPM_Cap)+CFCE_Rate*I60+I60*Thirteenth/12+Transport_Allow+Health_TopUp)</f>
        <v>531473.333333333</v>
      </c>
      <c r="L60" s="14"/>
    </row>
    <row r="61" customFormat="false" ht="15" hidden="false" customHeight="false" outlineLevel="0" collapsed="false">
      <c r="A61" s="14" t="n">
        <v>57</v>
      </c>
      <c r="B61" s="38" t="s">
        <v>471</v>
      </c>
      <c r="C61" s="38" t="s">
        <v>472</v>
      </c>
      <c r="D61" s="38" t="s">
        <v>463</v>
      </c>
      <c r="E61" s="38"/>
      <c r="F61" s="27" t="n">
        <v>1</v>
      </c>
      <c r="G61" s="29" t="n">
        <v>49</v>
      </c>
      <c r="H61" s="29"/>
      <c r="I61" s="27" t="n">
        <v>1500000</v>
      </c>
      <c r="J61" s="38" t="s">
        <v>464</v>
      </c>
      <c r="K61" s="33" t="n">
        <f aca="false">IF(I61="",0,I61+IPRES_Rate*MIN(I61,IPRES_Cap)+IF(J61="Y",Cadre_Rate*MAX(0,MIN(I61,Cadre_Cap)-IPRES_Cap),0)+CSS_Rate*MIN(I61,CSS_Cap)+IPM_Rate*MIN(I61,IPM_Cap)+CFCE_Rate*I61+I61*Thirteenth/12+Transport_Allow+Health_TopUp)</f>
        <v>1789932</v>
      </c>
      <c r="L61" s="14" t="s">
        <v>512</v>
      </c>
    </row>
    <row r="62" customFormat="false" ht="15" hidden="false" customHeight="false" outlineLevel="0" collapsed="false">
      <c r="A62" s="14" t="n">
        <v>58</v>
      </c>
      <c r="B62" s="38" t="s">
        <v>482</v>
      </c>
      <c r="C62" s="38" t="s">
        <v>485</v>
      </c>
      <c r="D62" s="38" t="s">
        <v>463</v>
      </c>
      <c r="E62" s="38"/>
      <c r="F62" s="27" t="n">
        <v>1</v>
      </c>
      <c r="G62" s="29" t="n">
        <v>49</v>
      </c>
      <c r="H62" s="29"/>
      <c r="I62" s="27" t="n">
        <v>550000</v>
      </c>
      <c r="J62" s="38" t="s">
        <v>464</v>
      </c>
      <c r="K62" s="33" t="n">
        <f aca="false">IF(I62="",0,I62+IPRES_Rate*MIN(I62,IPRES_Cap)+IF(J62="Y",Cadre_Rate*MAX(0,MIN(I62,Cadre_Cap)-IPRES_Cap),0)+CSS_Rate*MIN(I62,CSS_Cap)+IPM_Rate*MIN(I62,IPM_Cap)+CFCE_Rate*I62+I62*Thirteenth/12+Transport_Allow+Health_TopUp)</f>
        <v>705409.333333333</v>
      </c>
      <c r="L62" s="14"/>
    </row>
    <row r="63" customFormat="false" ht="15" hidden="false" customHeight="false" outlineLevel="0" collapsed="false">
      <c r="A63" s="14" t="n">
        <v>59</v>
      </c>
      <c r="B63" s="38" t="s">
        <v>24</v>
      </c>
      <c r="C63" s="38" t="s">
        <v>489</v>
      </c>
      <c r="D63" s="38" t="s">
        <v>463</v>
      </c>
      <c r="E63" s="38"/>
      <c r="F63" s="27" t="n">
        <v>1</v>
      </c>
      <c r="G63" s="29" t="n">
        <v>49</v>
      </c>
      <c r="H63" s="29"/>
      <c r="I63" s="27" t="n">
        <v>500000</v>
      </c>
      <c r="J63" s="38" t="s">
        <v>464</v>
      </c>
      <c r="K63" s="33" t="n">
        <f aca="false">IF(I63="",0,I63+IPRES_Rate*MIN(I63,IPRES_Cap)+IF(J63="Y",Cadre_Rate*MAX(0,MIN(I63,Cadre_Cap)-IPRES_Cap),0)+CSS_Rate*MIN(I63,CSS_Cap)+IPM_Rate*MIN(I63,IPM_Cap)+CFCE_Rate*I63+I63*Thirteenth/12+Transport_Allow+Health_TopUp)</f>
        <v>647942.666666667</v>
      </c>
      <c r="L63" s="14"/>
    </row>
    <row r="64" customFormat="false" ht="15" hidden="false" customHeight="false" outlineLevel="0" collapsed="false">
      <c r="A64" s="14" t="n">
        <v>60</v>
      </c>
      <c r="B64" s="38" t="s">
        <v>24</v>
      </c>
      <c r="C64" s="38" t="s">
        <v>490</v>
      </c>
      <c r="D64" s="38" t="s">
        <v>463</v>
      </c>
      <c r="E64" s="38"/>
      <c r="F64" s="27" t="n">
        <v>1</v>
      </c>
      <c r="G64" s="29" t="n">
        <v>49</v>
      </c>
      <c r="H64" s="29"/>
      <c r="I64" s="27" t="n">
        <v>300000</v>
      </c>
      <c r="J64" s="38" t="s">
        <v>491</v>
      </c>
      <c r="K64" s="33" t="n">
        <f aca="false">IF(I64="",0,I64+IPRES_Rate*MIN(I64,IPRES_Cap)+IF(J64="Y",Cadre_Rate*MAX(0,MIN(I64,Cadre_Cap)-IPRES_Cap),0)+CSS_Rate*MIN(I64,CSS_Cap)+IPM_Rate*MIN(I64,IPM_Cap)+CFCE_Rate*I64+I64*Thirteenth/12+Transport_Allow+Health_TopUp)</f>
        <v>411740</v>
      </c>
      <c r="L64" s="14"/>
    </row>
    <row r="65" customFormat="false" ht="15" hidden="false" customHeight="false" outlineLevel="0" collapsed="false">
      <c r="A65" s="14" t="n">
        <v>61</v>
      </c>
      <c r="B65" s="38" t="s">
        <v>492</v>
      </c>
      <c r="C65" s="38" t="s">
        <v>493</v>
      </c>
      <c r="D65" s="38" t="s">
        <v>463</v>
      </c>
      <c r="E65" s="38"/>
      <c r="F65" s="27" t="n">
        <v>2</v>
      </c>
      <c r="G65" s="29" t="n">
        <v>49</v>
      </c>
      <c r="H65" s="29"/>
      <c r="I65" s="27" t="n">
        <v>275000</v>
      </c>
      <c r="J65" s="38" t="s">
        <v>491</v>
      </c>
      <c r="K65" s="33" t="n">
        <f aca="false">IF(I65="",0,I65+IPRES_Rate*MIN(I65,IPRES_Cap)+IF(J65="Y",Cadre_Rate*MAX(0,MIN(I65,Cadre_Cap)-IPRES_Cap),0)+CSS_Rate*MIN(I65,CSS_Cap)+IPM_Rate*MIN(I65,IPM_Cap)+CFCE_Rate*I65+I65*Thirteenth/12+Transport_Allow+Health_TopUp)</f>
        <v>381806.666666667</v>
      </c>
      <c r="L65" s="14"/>
    </row>
    <row r="66" customFormat="false" ht="15" hidden="false" customHeight="false" outlineLevel="0" collapsed="false">
      <c r="A66" s="14" t="n">
        <v>62</v>
      </c>
      <c r="B66" s="38" t="s">
        <v>492</v>
      </c>
      <c r="C66" s="38" t="s">
        <v>494</v>
      </c>
      <c r="D66" s="38" t="s">
        <v>463</v>
      </c>
      <c r="E66" s="38"/>
      <c r="F66" s="27" t="n">
        <v>3</v>
      </c>
      <c r="G66" s="29" t="n">
        <v>49</v>
      </c>
      <c r="H66" s="29"/>
      <c r="I66" s="27" t="n">
        <v>200000</v>
      </c>
      <c r="J66" s="38" t="s">
        <v>491</v>
      </c>
      <c r="K66" s="33" t="n">
        <f aca="false">IF(I66="",0,I66+IPRES_Rate*MIN(I66,IPRES_Cap)+IF(J66="Y",Cadre_Rate*MAX(0,MIN(I66,Cadre_Cap)-IPRES_Cap),0)+CSS_Rate*MIN(I66,CSS_Cap)+IPM_Rate*MIN(I66,IPM_Cap)+CFCE_Rate*I66+I66*Thirteenth/12+Transport_Allow+Health_TopUp)</f>
        <v>290506.666666667</v>
      </c>
      <c r="L66" s="14"/>
    </row>
    <row r="67" customFormat="false" ht="15" hidden="false" customHeight="false" outlineLevel="0" collapsed="false">
      <c r="A67" s="14" t="n">
        <v>63</v>
      </c>
      <c r="B67" s="38" t="s">
        <v>492</v>
      </c>
      <c r="C67" s="38" t="s">
        <v>495</v>
      </c>
      <c r="D67" s="38" t="s">
        <v>469</v>
      </c>
      <c r="E67" s="38"/>
      <c r="F67" s="27" t="n">
        <v>2</v>
      </c>
      <c r="G67" s="29" t="n">
        <v>49</v>
      </c>
      <c r="H67" s="29"/>
      <c r="I67" s="27" t="n">
        <v>300000</v>
      </c>
      <c r="J67" s="38" t="s">
        <v>491</v>
      </c>
      <c r="K67" s="33" t="n">
        <f aca="false">IF(I67="",0,I67+IPRES_Rate*MIN(I67,IPRES_Cap)+IF(J67="Y",Cadre_Rate*MAX(0,MIN(I67,Cadre_Cap)-IPRES_Cap),0)+CSS_Rate*MIN(I67,CSS_Cap)+IPM_Rate*MIN(I67,IPM_Cap)+CFCE_Rate*I67+I67*Thirteenth/12+Transport_Allow+Health_TopUp)</f>
        <v>411740</v>
      </c>
      <c r="L67" s="14"/>
    </row>
    <row r="68" customFormat="false" ht="15" hidden="false" customHeight="false" outlineLevel="0" collapsed="false">
      <c r="A68" s="14" t="n">
        <v>64</v>
      </c>
      <c r="B68" s="38"/>
      <c r="C68" s="38"/>
      <c r="D68" s="38"/>
      <c r="E68" s="38"/>
      <c r="F68" s="27"/>
      <c r="G68" s="29"/>
      <c r="H68" s="29"/>
      <c r="I68" s="27"/>
      <c r="J68" s="38"/>
      <c r="K68" s="33" t="n">
        <f aca="false">IF(I68="",0,I68+IPRES_Rate*MIN(I68,IPRES_Cap)+IF(J68="Y",Cadre_Rate*MAX(0,MIN(I68,Cadre_Cap)-IPRES_Cap),0)+CSS_Rate*MIN(I68,CSS_Cap)+IPM_Rate*MIN(I68,IPM_Cap)+CFCE_Rate*I68+I68*Thirteenth/12+Transport_Allow+Health_TopUp)</f>
        <v>0</v>
      </c>
      <c r="L68" s="14"/>
    </row>
    <row r="69" customFormat="false" ht="15" hidden="false" customHeight="false" outlineLevel="0" collapsed="false">
      <c r="A69" s="14" t="n">
        <v>65</v>
      </c>
      <c r="B69" s="38"/>
      <c r="C69" s="38"/>
      <c r="D69" s="38"/>
      <c r="E69" s="38"/>
      <c r="F69" s="27"/>
      <c r="G69" s="29"/>
      <c r="H69" s="29"/>
      <c r="I69" s="27"/>
      <c r="J69" s="38"/>
      <c r="K69" s="33" t="n">
        <f aca="false">IF(I69="",0,I69+IPRES_Rate*MIN(I69,IPRES_Cap)+IF(J69="Y",Cadre_Rate*MAX(0,MIN(I69,Cadre_Cap)-IPRES_Cap),0)+CSS_Rate*MIN(I69,CSS_Cap)+IPM_Rate*MIN(I69,IPM_Cap)+CFCE_Rate*I69+I69*Thirteenth/12+Transport_Allow+Health_TopUp)</f>
        <v>0</v>
      </c>
      <c r="L69" s="14"/>
    </row>
    <row r="70" customFormat="false" ht="15" hidden="false" customHeight="false" outlineLevel="0" collapsed="false">
      <c r="A70" s="14" t="n">
        <v>66</v>
      </c>
      <c r="B70" s="38"/>
      <c r="C70" s="38"/>
      <c r="D70" s="38"/>
      <c r="E70" s="38"/>
      <c r="F70" s="27"/>
      <c r="G70" s="29"/>
      <c r="H70" s="29"/>
      <c r="I70" s="27"/>
      <c r="J70" s="38"/>
      <c r="K70" s="33" t="n">
        <f aca="false">IF(I70="",0,I70+IPRES_Rate*MIN(I70,IPRES_Cap)+IF(J70="Y",Cadre_Rate*MAX(0,MIN(I70,Cadre_Cap)-IPRES_Cap),0)+CSS_Rate*MIN(I70,CSS_Cap)+IPM_Rate*MIN(I70,IPM_Cap)+CFCE_Rate*I70+I70*Thirteenth/12+Transport_Allow+Health_TopUp)</f>
        <v>0</v>
      </c>
      <c r="L70" s="14"/>
    </row>
    <row r="71" customFormat="false" ht="15" hidden="false" customHeight="false" outlineLevel="0" collapsed="false">
      <c r="A71" s="14" t="n">
        <v>67</v>
      </c>
      <c r="B71" s="38"/>
      <c r="C71" s="38"/>
      <c r="D71" s="38"/>
      <c r="E71" s="38"/>
      <c r="F71" s="27"/>
      <c r="G71" s="29"/>
      <c r="H71" s="29"/>
      <c r="I71" s="27"/>
      <c r="J71" s="38"/>
      <c r="K71" s="33" t="n">
        <f aca="false">IF(I71="",0,I71+IPRES_Rate*MIN(I71,IPRES_Cap)+IF(J71="Y",Cadre_Rate*MAX(0,MIN(I71,Cadre_Cap)-IPRES_Cap),0)+CSS_Rate*MIN(I71,CSS_Cap)+IPM_Rate*MIN(I71,IPM_Cap)+CFCE_Rate*I71+I71*Thirteenth/12+Transport_Allow+Health_TopUp)</f>
        <v>0</v>
      </c>
      <c r="L71" s="14"/>
    </row>
    <row r="72" customFormat="false" ht="15" hidden="false" customHeight="false" outlineLevel="0" collapsed="false">
      <c r="A72" s="14" t="n">
        <v>68</v>
      </c>
      <c r="B72" s="38"/>
      <c r="C72" s="38"/>
      <c r="D72" s="38"/>
      <c r="E72" s="38"/>
      <c r="F72" s="27"/>
      <c r="G72" s="29"/>
      <c r="H72" s="29"/>
      <c r="I72" s="27"/>
      <c r="J72" s="38"/>
      <c r="K72" s="33" t="n">
        <f aca="false">IF(I72="",0,I72+IPRES_Rate*MIN(I72,IPRES_Cap)+IF(J72="Y",Cadre_Rate*MAX(0,MIN(I72,Cadre_Cap)-IPRES_Cap),0)+CSS_Rate*MIN(I72,CSS_Cap)+IPM_Rate*MIN(I72,IPM_Cap)+CFCE_Rate*I72+I72*Thirteenth/12+Transport_Allow+Health_TopUp)</f>
        <v>0</v>
      </c>
      <c r="L72" s="14"/>
    </row>
    <row r="73" customFormat="false" ht="15" hidden="false" customHeight="false" outlineLevel="0" collapsed="false">
      <c r="A73" s="14" t="n">
        <v>69</v>
      </c>
      <c r="B73" s="38"/>
      <c r="C73" s="38"/>
      <c r="D73" s="38"/>
      <c r="E73" s="38"/>
      <c r="F73" s="27"/>
      <c r="G73" s="29"/>
      <c r="H73" s="29"/>
      <c r="I73" s="27"/>
      <c r="J73" s="38"/>
      <c r="K73" s="33" t="n">
        <f aca="false">IF(I73="",0,I73+IPRES_Rate*MIN(I73,IPRES_Cap)+IF(J73="Y",Cadre_Rate*MAX(0,MIN(I73,Cadre_Cap)-IPRES_Cap),0)+CSS_Rate*MIN(I73,CSS_Cap)+IPM_Rate*MIN(I73,IPM_Cap)+CFCE_Rate*I73+I73*Thirteenth/12+Transport_Allow+Health_TopUp)</f>
        <v>0</v>
      </c>
      <c r="L73" s="14"/>
    </row>
    <row r="74" customFormat="false" ht="15" hidden="false" customHeight="false" outlineLevel="0" collapsed="false">
      <c r="A74" s="14" t="n">
        <v>70</v>
      </c>
      <c r="B74" s="38"/>
      <c r="C74" s="38"/>
      <c r="D74" s="38"/>
      <c r="E74" s="38"/>
      <c r="F74" s="27"/>
      <c r="G74" s="29"/>
      <c r="H74" s="29"/>
      <c r="I74" s="27"/>
      <c r="J74" s="38"/>
      <c r="K74" s="33" t="n">
        <f aca="false">IF(I74="",0,I74+IPRES_Rate*MIN(I74,IPRES_Cap)+IF(J74="Y",Cadre_Rate*MAX(0,MIN(I74,Cadre_Cap)-IPRES_Cap),0)+CSS_Rate*MIN(I74,CSS_Cap)+IPM_Rate*MIN(I74,IPM_Cap)+CFCE_Rate*I74+I74*Thirteenth/12+Transport_Allow+Health_TopUp)</f>
        <v>0</v>
      </c>
      <c r="L74" s="14"/>
    </row>
    <row r="75" customFormat="false" ht="15" hidden="false" customHeight="false" outlineLevel="0" collapsed="false">
      <c r="A75" s="14" t="n">
        <v>71</v>
      </c>
      <c r="B75" s="38"/>
      <c r="C75" s="38"/>
      <c r="D75" s="38"/>
      <c r="E75" s="38"/>
      <c r="F75" s="27"/>
      <c r="G75" s="29"/>
      <c r="H75" s="29"/>
      <c r="I75" s="27"/>
      <c r="J75" s="38"/>
      <c r="K75" s="33" t="n">
        <f aca="false">IF(I75="",0,I75+IPRES_Rate*MIN(I75,IPRES_Cap)+IF(J75="Y",Cadre_Rate*MAX(0,MIN(I75,Cadre_Cap)-IPRES_Cap),0)+CSS_Rate*MIN(I75,CSS_Cap)+IPM_Rate*MIN(I75,IPM_Cap)+CFCE_Rate*I75+I75*Thirteenth/12+Transport_Allow+Health_TopUp)</f>
        <v>0</v>
      </c>
      <c r="L75" s="14"/>
    </row>
    <row r="76" customFormat="false" ht="15" hidden="false" customHeight="false" outlineLevel="0" collapsed="false">
      <c r="A76" s="14" t="n">
        <v>72</v>
      </c>
      <c r="B76" s="38"/>
      <c r="C76" s="38"/>
      <c r="D76" s="38"/>
      <c r="E76" s="38"/>
      <c r="F76" s="27"/>
      <c r="G76" s="29"/>
      <c r="H76" s="29"/>
      <c r="I76" s="27"/>
      <c r="J76" s="38"/>
      <c r="K76" s="33" t="n">
        <f aca="false">IF(I76="",0,I76+IPRES_Rate*MIN(I76,IPRES_Cap)+IF(J76="Y",Cadre_Rate*MAX(0,MIN(I76,Cadre_Cap)-IPRES_Cap),0)+CSS_Rate*MIN(I76,CSS_Cap)+IPM_Rate*MIN(I76,IPM_Cap)+CFCE_Rate*I76+I76*Thirteenth/12+Transport_Allow+Health_TopUp)</f>
        <v>0</v>
      </c>
      <c r="L76" s="14"/>
    </row>
    <row r="77" customFormat="false" ht="15" hidden="false" customHeight="false" outlineLevel="0" collapsed="false">
      <c r="A77" s="14" t="n">
        <v>73</v>
      </c>
      <c r="B77" s="38"/>
      <c r="C77" s="38"/>
      <c r="D77" s="38"/>
      <c r="E77" s="38"/>
      <c r="F77" s="27"/>
      <c r="G77" s="29"/>
      <c r="H77" s="29"/>
      <c r="I77" s="27"/>
      <c r="J77" s="38"/>
      <c r="K77" s="33" t="n">
        <f aca="false">IF(I77="",0,I77+IPRES_Rate*MIN(I77,IPRES_Cap)+IF(J77="Y",Cadre_Rate*MAX(0,MIN(I77,Cadre_Cap)-IPRES_Cap),0)+CSS_Rate*MIN(I77,CSS_Cap)+IPM_Rate*MIN(I77,IPM_Cap)+CFCE_Rate*I77+I77*Thirteenth/12+Transport_Allow+Health_TopUp)</f>
        <v>0</v>
      </c>
      <c r="L77" s="14"/>
    </row>
    <row r="78" customFormat="false" ht="15" hidden="false" customHeight="false" outlineLevel="0" collapsed="false">
      <c r="A78" s="14" t="n">
        <v>74</v>
      </c>
      <c r="B78" s="38"/>
      <c r="C78" s="38"/>
      <c r="D78" s="38"/>
      <c r="E78" s="38"/>
      <c r="F78" s="27"/>
      <c r="G78" s="29"/>
      <c r="H78" s="29"/>
      <c r="I78" s="27"/>
      <c r="J78" s="38"/>
      <c r="K78" s="33" t="n">
        <f aca="false">IF(I78="",0,I78+IPRES_Rate*MIN(I78,IPRES_Cap)+IF(J78="Y",Cadre_Rate*MAX(0,MIN(I78,Cadre_Cap)-IPRES_Cap),0)+CSS_Rate*MIN(I78,CSS_Cap)+IPM_Rate*MIN(I78,IPM_Cap)+CFCE_Rate*I78+I78*Thirteenth/12+Transport_Allow+Health_TopUp)</f>
        <v>0</v>
      </c>
      <c r="L78" s="14"/>
    </row>
    <row r="79" customFormat="false" ht="15" hidden="false" customHeight="false" outlineLevel="0" collapsed="false">
      <c r="A79" s="14" t="n">
        <v>75</v>
      </c>
      <c r="B79" s="38"/>
      <c r="C79" s="38"/>
      <c r="D79" s="38"/>
      <c r="E79" s="38"/>
      <c r="F79" s="27"/>
      <c r="G79" s="29"/>
      <c r="H79" s="29"/>
      <c r="I79" s="27"/>
      <c r="J79" s="38"/>
      <c r="K79" s="33" t="n">
        <f aca="false">IF(I79="",0,I79+IPRES_Rate*MIN(I79,IPRES_Cap)+IF(J79="Y",Cadre_Rate*MAX(0,MIN(I79,Cadre_Cap)-IPRES_Cap),0)+CSS_Rate*MIN(I79,CSS_Cap)+IPM_Rate*MIN(I79,IPM_Cap)+CFCE_Rate*I79+I79*Thirteenth/12+Transport_Allow+Health_TopUp)</f>
        <v>0</v>
      </c>
      <c r="L79" s="14"/>
    </row>
    <row r="80" customFormat="false" ht="15" hidden="false" customHeight="false" outlineLevel="0" collapsed="false">
      <c r="A80" s="14" t="n">
        <v>76</v>
      </c>
      <c r="B80" s="38"/>
      <c r="C80" s="38"/>
      <c r="D80" s="38"/>
      <c r="E80" s="38"/>
      <c r="F80" s="27"/>
      <c r="G80" s="29"/>
      <c r="H80" s="29"/>
      <c r="I80" s="27"/>
      <c r="J80" s="38"/>
      <c r="K80" s="33" t="n">
        <f aca="false">IF(I80="",0,I80+IPRES_Rate*MIN(I80,IPRES_Cap)+IF(J80="Y",Cadre_Rate*MAX(0,MIN(I80,Cadre_Cap)-IPRES_Cap),0)+CSS_Rate*MIN(I80,CSS_Cap)+IPM_Rate*MIN(I80,IPM_Cap)+CFCE_Rate*I80+I80*Thirteenth/12+Transport_Allow+Health_TopUp)</f>
        <v>0</v>
      </c>
      <c r="L80" s="14"/>
    </row>
    <row r="81" customFormat="false" ht="15" hidden="false" customHeight="false" outlineLevel="0" collapsed="false">
      <c r="A81" s="14" t="n">
        <v>77</v>
      </c>
      <c r="B81" s="38"/>
      <c r="C81" s="38"/>
      <c r="D81" s="38"/>
      <c r="E81" s="38"/>
      <c r="F81" s="27"/>
      <c r="G81" s="29"/>
      <c r="H81" s="29"/>
      <c r="I81" s="27"/>
      <c r="J81" s="38"/>
      <c r="K81" s="33" t="n">
        <f aca="false">IF(I81="",0,I81+IPRES_Rate*MIN(I81,IPRES_Cap)+IF(J81="Y",Cadre_Rate*MAX(0,MIN(I81,Cadre_Cap)-IPRES_Cap),0)+CSS_Rate*MIN(I81,CSS_Cap)+IPM_Rate*MIN(I81,IPM_Cap)+CFCE_Rate*I81+I81*Thirteenth/12+Transport_Allow+Health_TopUp)</f>
        <v>0</v>
      </c>
      <c r="L81" s="14"/>
    </row>
    <row r="82" customFormat="false" ht="15" hidden="false" customHeight="false" outlineLevel="0" collapsed="false">
      <c r="A82" s="14" t="n">
        <v>78</v>
      </c>
      <c r="B82" s="38"/>
      <c r="C82" s="38"/>
      <c r="D82" s="38"/>
      <c r="E82" s="38"/>
      <c r="F82" s="27"/>
      <c r="G82" s="29"/>
      <c r="H82" s="29"/>
      <c r="I82" s="27"/>
      <c r="J82" s="38"/>
      <c r="K82" s="33" t="n">
        <f aca="false">IF(I82="",0,I82+IPRES_Rate*MIN(I82,IPRES_Cap)+IF(J82="Y",Cadre_Rate*MAX(0,MIN(I82,Cadre_Cap)-IPRES_Cap),0)+CSS_Rate*MIN(I82,CSS_Cap)+IPM_Rate*MIN(I82,IPM_Cap)+CFCE_Rate*I82+I82*Thirteenth/12+Transport_Allow+Health_TopUp)</f>
        <v>0</v>
      </c>
      <c r="L82" s="14"/>
    </row>
    <row r="83" customFormat="false" ht="15" hidden="false" customHeight="false" outlineLevel="0" collapsed="false">
      <c r="A83" s="14" t="n">
        <v>79</v>
      </c>
      <c r="B83" s="38"/>
      <c r="C83" s="38"/>
      <c r="D83" s="38"/>
      <c r="E83" s="38"/>
      <c r="F83" s="27"/>
      <c r="G83" s="29"/>
      <c r="H83" s="29"/>
      <c r="I83" s="27"/>
      <c r="J83" s="38"/>
      <c r="K83" s="33" t="n">
        <f aca="false">IF(I83="",0,I83+IPRES_Rate*MIN(I83,IPRES_Cap)+IF(J83="Y",Cadre_Rate*MAX(0,MIN(I83,Cadre_Cap)-IPRES_Cap),0)+CSS_Rate*MIN(I83,CSS_Cap)+IPM_Rate*MIN(I83,IPM_Cap)+CFCE_Rate*I83+I83*Thirteenth/12+Transport_Allow+Health_TopUp)</f>
        <v>0</v>
      </c>
      <c r="L83" s="14"/>
    </row>
    <row r="84" customFormat="false" ht="15" hidden="false" customHeight="false" outlineLevel="0" collapsed="false">
      <c r="A84" s="14" t="n">
        <v>80</v>
      </c>
      <c r="B84" s="38"/>
      <c r="C84" s="38"/>
      <c r="D84" s="38"/>
      <c r="E84" s="38"/>
      <c r="F84" s="27"/>
      <c r="G84" s="29"/>
      <c r="H84" s="29"/>
      <c r="I84" s="27"/>
      <c r="J84" s="38"/>
      <c r="K84" s="33" t="n">
        <f aca="false">IF(I84="",0,I84+IPRES_Rate*MIN(I84,IPRES_Cap)+IF(J84="Y",Cadre_Rate*MAX(0,MIN(I84,Cadre_Cap)-IPRES_Cap),0)+CSS_Rate*MIN(I84,CSS_Cap)+IPM_Rate*MIN(I84,IPM_Cap)+CFCE_Rate*I84+I84*Thirteenth/12+Transport_Allow+Health_TopUp)</f>
        <v>0</v>
      </c>
      <c r="L84" s="14"/>
    </row>
    <row r="85" customFormat="false" ht="15" hidden="false" customHeight="false" outlineLevel="0" collapsed="false">
      <c r="A85" s="14" t="n">
        <v>81</v>
      </c>
      <c r="B85" s="38"/>
      <c r="C85" s="38"/>
      <c r="D85" s="38"/>
      <c r="E85" s="38"/>
      <c r="F85" s="27"/>
      <c r="G85" s="29"/>
      <c r="H85" s="29"/>
      <c r="I85" s="27"/>
      <c r="J85" s="38"/>
      <c r="K85" s="33" t="n">
        <f aca="false">IF(I85="",0,I85+IPRES_Rate*MIN(I85,IPRES_Cap)+IF(J85="Y",Cadre_Rate*MAX(0,MIN(I85,Cadre_Cap)-IPRES_Cap),0)+CSS_Rate*MIN(I85,CSS_Cap)+IPM_Rate*MIN(I85,IPM_Cap)+CFCE_Rate*I85+I85*Thirteenth/12+Transport_Allow+Health_TopUp)</f>
        <v>0</v>
      </c>
      <c r="L85" s="14"/>
    </row>
    <row r="86" customFormat="false" ht="15" hidden="false" customHeight="false" outlineLevel="0" collapsed="false">
      <c r="A86" s="14" t="n">
        <v>82</v>
      </c>
      <c r="B86" s="38"/>
      <c r="C86" s="38"/>
      <c r="D86" s="38"/>
      <c r="E86" s="38"/>
      <c r="F86" s="27"/>
      <c r="G86" s="29"/>
      <c r="H86" s="29"/>
      <c r="I86" s="27"/>
      <c r="J86" s="38"/>
      <c r="K86" s="33" t="n">
        <f aca="false">IF(I86="",0,I86+IPRES_Rate*MIN(I86,IPRES_Cap)+IF(J86="Y",Cadre_Rate*MAX(0,MIN(I86,Cadre_Cap)-IPRES_Cap),0)+CSS_Rate*MIN(I86,CSS_Cap)+IPM_Rate*MIN(I86,IPM_Cap)+CFCE_Rate*I86+I86*Thirteenth/12+Transport_Allow+Health_TopUp)</f>
        <v>0</v>
      </c>
      <c r="L86" s="14"/>
    </row>
    <row r="87" customFormat="false" ht="15" hidden="false" customHeight="false" outlineLevel="0" collapsed="false">
      <c r="A87" s="14" t="n">
        <v>83</v>
      </c>
      <c r="B87" s="38"/>
      <c r="C87" s="38"/>
      <c r="D87" s="38"/>
      <c r="E87" s="38"/>
      <c r="F87" s="27"/>
      <c r="G87" s="29"/>
      <c r="H87" s="29"/>
      <c r="I87" s="27"/>
      <c r="J87" s="38"/>
      <c r="K87" s="33" t="n">
        <f aca="false">IF(I87="",0,I87+IPRES_Rate*MIN(I87,IPRES_Cap)+IF(J87="Y",Cadre_Rate*MAX(0,MIN(I87,Cadre_Cap)-IPRES_Cap),0)+CSS_Rate*MIN(I87,CSS_Cap)+IPM_Rate*MIN(I87,IPM_Cap)+CFCE_Rate*I87+I87*Thirteenth/12+Transport_Allow+Health_TopUp)</f>
        <v>0</v>
      </c>
      <c r="L87" s="14"/>
    </row>
    <row r="89" customFormat="false" ht="15" hidden="false" customHeight="false" outlineLevel="0" collapsed="false">
      <c r="B89" s="2" t="s">
        <v>513</v>
      </c>
    </row>
  </sheetData>
  <dataValidations count="4">
    <dataValidation allowBlank="true" errorStyle="stop" operator="between" showDropDown="false" showErrorMessage="false" showInputMessage="false" sqref="B5:B87"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87" type="list">
      <formula1>"SN,CI"</formula1>
      <formula2>0</formula2>
    </dataValidation>
    <dataValidation allowBlank="true" errorStyle="stop" operator="between" showDropDown="false" showErrorMessage="false" showInputMessage="false" sqref="E5:E87" type="list">
      <formula1>"Sales rep"</formula1>
      <formula2>0</formula2>
    </dataValidation>
    <dataValidation allowBlank="true" errorStyle="stop" operator="between" showDropDown="false" showErrorMessage="false" showInputMessage="false" sqref="J5:J8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1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18</v>
      </c>
    </row>
    <row r="2" customFormat="false" ht="15" hidden="false" customHeight="false" outlineLevel="0" collapsed="false">
      <c r="A2" s="2" t="s">
        <v>514</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518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 SN</v>
      </c>
      <c r="B9" s="14" t="s">
        <v>222</v>
      </c>
      <c r="D9" s="41" t="n">
        <f aca="false">MAX(E9:BL9)</f>
        <v>1</v>
      </c>
      <c r="E9" s="33" t="n">
        <f aca="false">IF(AND(N('Hiring plan'!$F$5)&gt;0,E$3&gt;='Hiring plan'!$G$5,E$3&lt;=IF('Hiring plan'!$H$5="",999,'Hiring plan'!$H$5)),'Hiring plan'!$F$5,0)</f>
        <v>1</v>
      </c>
      <c r="F9" s="33" t="n">
        <f aca="false">IF(AND(N('Hiring plan'!$F$5)&gt;0,F$3&gt;='Hiring plan'!$G$5,F$3&lt;=IF('Hiring plan'!$H$5="",999,'Hiring plan'!$H$5)),'Hiring plan'!$F$5,0)</f>
        <v>1</v>
      </c>
      <c r="G9" s="33" t="n">
        <f aca="false">IF(AND(N('Hiring plan'!$F$5)&gt;0,G$3&gt;='Hiring plan'!$G$5,G$3&lt;=IF('Hiring plan'!$H$5="",999,'Hiring plan'!$H$5)),'Hiring plan'!$F$5,0)</f>
        <v>1</v>
      </c>
      <c r="H9" s="33" t="n">
        <f aca="false">IF(AND(N('Hiring plan'!$F$5)&gt;0,H$3&gt;='Hiring plan'!$G$5,H$3&lt;=IF('Hiring plan'!$H$5="",999,'Hiring plan'!$H$5)),'Hiring plan'!$F$5,0)</f>
        <v>1</v>
      </c>
      <c r="I9" s="33" t="n">
        <f aca="false">IF(AND(N('Hiring plan'!$F$5)&gt;0,I$3&gt;='Hiring plan'!$G$5,I$3&lt;=IF('Hiring plan'!$H$5="",999,'Hiring plan'!$H$5)),'Hiring plan'!$F$5,0)</f>
        <v>1</v>
      </c>
      <c r="J9" s="33" t="n">
        <f aca="false">IF(AND(N('Hiring plan'!$F$5)&gt;0,J$3&gt;='Hiring plan'!$G$5,J$3&lt;=IF('Hiring plan'!$H$5="",999,'Hiring plan'!$H$5)),'Hiring plan'!$F$5,0)</f>
        <v>1</v>
      </c>
      <c r="K9" s="33" t="n">
        <f aca="false">IF(AND(N('Hiring plan'!$F$5)&gt;0,K$3&gt;='Hiring plan'!$G$5,K$3&lt;=IF('Hiring plan'!$H$5="",999,'Hiring plan'!$H$5)),'Hiring plan'!$F$5,0)</f>
        <v>1</v>
      </c>
      <c r="L9" s="33" t="n">
        <f aca="false">IF(AND(N('Hiring plan'!$F$5)&gt;0,L$3&gt;='Hiring plan'!$G$5,L$3&lt;=IF('Hiring plan'!$H$5="",999,'Hiring plan'!$H$5)),'Hiring plan'!$F$5,0)</f>
        <v>1</v>
      </c>
      <c r="M9" s="33" t="n">
        <f aca="false">IF(AND(N('Hiring plan'!$F$5)&gt;0,M$3&gt;='Hiring plan'!$G$5,M$3&lt;=IF('Hiring plan'!$H$5="",999,'Hiring plan'!$H$5)),'Hiring plan'!$F$5,0)</f>
        <v>1</v>
      </c>
      <c r="N9" s="33" t="n">
        <f aca="false">IF(AND(N('Hiring plan'!$F$5)&gt;0,N$3&gt;='Hiring plan'!$G$5,N$3&lt;=IF('Hiring plan'!$H$5="",999,'Hiring plan'!$H$5)),'Hiring plan'!$F$5,0)</f>
        <v>1</v>
      </c>
      <c r="O9" s="33" t="n">
        <f aca="false">IF(AND(N('Hiring plan'!$F$5)&gt;0,O$3&gt;='Hiring plan'!$G$5,O$3&lt;=IF('Hiring plan'!$H$5="",999,'Hiring plan'!$H$5)),'Hiring plan'!$F$5,0)</f>
        <v>1</v>
      </c>
      <c r="P9" s="33" t="n">
        <f aca="false">IF(AND(N('Hiring plan'!$F$5)&gt;0,P$3&gt;='Hiring plan'!$G$5,P$3&lt;=IF('Hiring plan'!$H$5="",999,'Hiring plan'!$H$5)),'Hiring plan'!$F$5,0)</f>
        <v>1</v>
      </c>
      <c r="Q9" s="33" t="n">
        <f aca="false">IF(AND(N('Hiring plan'!$F$5)&gt;0,Q$3&gt;='Hiring plan'!$G$5,Q$3&lt;=IF('Hiring plan'!$H$5="",999,'Hiring plan'!$H$5)),'Hiring plan'!$F$5,0)</f>
        <v>1</v>
      </c>
      <c r="R9" s="33" t="n">
        <f aca="false">IF(AND(N('Hiring plan'!$F$5)&gt;0,R$3&gt;='Hiring plan'!$G$5,R$3&lt;=IF('Hiring plan'!$H$5="",999,'Hiring plan'!$H$5)),'Hiring plan'!$F$5,0)</f>
        <v>1</v>
      </c>
      <c r="S9" s="33" t="n">
        <f aca="false">IF(AND(N('Hiring plan'!$F$5)&gt;0,S$3&gt;='Hiring plan'!$G$5,S$3&lt;=IF('Hiring plan'!$H$5="",999,'Hiring plan'!$H$5)),'Hiring plan'!$F$5,0)</f>
        <v>1</v>
      </c>
      <c r="T9" s="33" t="n">
        <f aca="false">IF(AND(N('Hiring plan'!$F$5)&gt;0,T$3&gt;='Hiring plan'!$G$5,T$3&lt;=IF('Hiring plan'!$H$5="",999,'Hiring plan'!$H$5)),'Hiring plan'!$F$5,0)</f>
        <v>1</v>
      </c>
      <c r="U9" s="33" t="n">
        <f aca="false">IF(AND(N('Hiring plan'!$F$5)&gt;0,U$3&gt;='Hiring plan'!$G$5,U$3&lt;=IF('Hiring plan'!$H$5="",999,'Hiring plan'!$H$5)),'Hiring plan'!$F$5,0)</f>
        <v>1</v>
      </c>
      <c r="V9" s="33" t="n">
        <f aca="false">IF(AND(N('Hiring plan'!$F$5)&gt;0,V$3&gt;='Hiring plan'!$G$5,V$3&lt;=IF('Hiring plan'!$H$5="",999,'Hiring plan'!$H$5)),'Hiring plan'!$F$5,0)</f>
        <v>1</v>
      </c>
      <c r="W9" s="33" t="n">
        <f aca="false">IF(AND(N('Hiring plan'!$F$5)&gt;0,W$3&gt;='Hiring plan'!$G$5,W$3&lt;=IF('Hiring plan'!$H$5="",999,'Hiring plan'!$H$5)),'Hiring plan'!$F$5,0)</f>
        <v>1</v>
      </c>
      <c r="X9" s="33" t="n">
        <f aca="false">IF(AND(N('Hiring plan'!$F$5)&gt;0,X$3&gt;='Hiring plan'!$G$5,X$3&lt;=IF('Hiring plan'!$H$5="",999,'Hiring plan'!$H$5)),'Hiring plan'!$F$5,0)</f>
        <v>1</v>
      </c>
      <c r="Y9" s="33" t="n">
        <f aca="false">IF(AND(N('Hiring plan'!$F$5)&gt;0,Y$3&gt;='Hiring plan'!$G$5,Y$3&lt;=IF('Hiring plan'!$H$5="",999,'Hiring plan'!$H$5)),'Hiring plan'!$F$5,0)</f>
        <v>1</v>
      </c>
      <c r="Z9" s="33" t="n">
        <f aca="false">IF(AND(N('Hiring plan'!$F$5)&gt;0,Z$3&gt;='Hiring plan'!$G$5,Z$3&lt;=IF('Hiring plan'!$H$5="",999,'Hiring plan'!$H$5)),'Hiring plan'!$F$5,0)</f>
        <v>1</v>
      </c>
      <c r="AA9" s="33" t="n">
        <f aca="false">IF(AND(N('Hiring plan'!$F$5)&gt;0,AA$3&gt;='Hiring plan'!$G$5,AA$3&lt;=IF('Hiring plan'!$H$5="",999,'Hiring plan'!$H$5)),'Hiring plan'!$F$5,0)</f>
        <v>1</v>
      </c>
      <c r="AB9" s="33" t="n">
        <f aca="false">IF(AND(N('Hiring plan'!$F$5)&gt;0,AB$3&gt;='Hiring plan'!$G$5,AB$3&lt;=IF('Hiring plan'!$H$5="",999,'Hiring plan'!$H$5)),'Hiring plan'!$F$5,0)</f>
        <v>1</v>
      </c>
      <c r="AC9" s="33" t="n">
        <f aca="false">IF(AND(N('Hiring plan'!$F$5)&gt;0,AC$3&gt;='Hiring plan'!$G$5,AC$3&lt;=IF('Hiring plan'!$H$5="",999,'Hiring plan'!$H$5)),'Hiring plan'!$F$5,0)</f>
        <v>1</v>
      </c>
      <c r="AD9" s="33" t="n">
        <f aca="false">IF(AND(N('Hiring plan'!$F$5)&gt;0,AD$3&gt;='Hiring plan'!$G$5,AD$3&lt;=IF('Hiring plan'!$H$5="",999,'Hiring plan'!$H$5)),'Hiring plan'!$F$5,0)</f>
        <v>1</v>
      </c>
      <c r="AE9" s="33" t="n">
        <f aca="false">IF(AND(N('Hiring plan'!$F$5)&gt;0,AE$3&gt;='Hiring plan'!$G$5,AE$3&lt;=IF('Hiring plan'!$H$5="",999,'Hiring plan'!$H$5)),'Hiring plan'!$F$5,0)</f>
        <v>1</v>
      </c>
      <c r="AF9" s="33" t="n">
        <f aca="false">IF(AND(N('Hiring plan'!$F$5)&gt;0,AF$3&gt;='Hiring plan'!$G$5,AF$3&lt;=IF('Hiring plan'!$H$5="",999,'Hiring plan'!$H$5)),'Hiring plan'!$F$5,0)</f>
        <v>1</v>
      </c>
      <c r="AG9" s="33" t="n">
        <f aca="false">IF(AND(N('Hiring plan'!$F$5)&gt;0,AG$3&gt;='Hiring plan'!$G$5,AG$3&lt;=IF('Hiring plan'!$H$5="",999,'Hiring plan'!$H$5)),'Hiring plan'!$F$5,0)</f>
        <v>1</v>
      </c>
      <c r="AH9" s="33" t="n">
        <f aca="false">IF(AND(N('Hiring plan'!$F$5)&gt;0,AH$3&gt;='Hiring plan'!$G$5,AH$3&lt;=IF('Hiring plan'!$H$5="",999,'Hiring plan'!$H$5)),'Hiring plan'!$F$5,0)</f>
        <v>1</v>
      </c>
      <c r="AI9" s="33" t="n">
        <f aca="false">IF(AND(N('Hiring plan'!$F$5)&gt;0,AI$3&gt;='Hiring plan'!$G$5,AI$3&lt;=IF('Hiring plan'!$H$5="",999,'Hiring plan'!$H$5)),'Hiring plan'!$F$5,0)</f>
        <v>1</v>
      </c>
      <c r="AJ9" s="33" t="n">
        <f aca="false">IF(AND(N('Hiring plan'!$F$5)&gt;0,AJ$3&gt;='Hiring plan'!$G$5,AJ$3&lt;=IF('Hiring plan'!$H$5="",999,'Hiring plan'!$H$5)),'Hiring plan'!$F$5,0)</f>
        <v>1</v>
      </c>
      <c r="AK9" s="33" t="n">
        <f aca="false">IF(AND(N('Hiring plan'!$F$5)&gt;0,AK$3&gt;='Hiring plan'!$G$5,AK$3&lt;=IF('Hiring plan'!$H$5="",999,'Hiring plan'!$H$5)),'Hiring plan'!$F$5,0)</f>
        <v>1</v>
      </c>
      <c r="AL9" s="33" t="n">
        <f aca="false">IF(AND(N('Hiring plan'!$F$5)&gt;0,AL$3&gt;='Hiring plan'!$G$5,AL$3&lt;=IF('Hiring plan'!$H$5="",999,'Hiring plan'!$H$5)),'Hiring plan'!$F$5,0)</f>
        <v>1</v>
      </c>
      <c r="AM9" s="33" t="n">
        <f aca="false">IF(AND(N('Hiring plan'!$F$5)&gt;0,AM$3&gt;='Hiring plan'!$G$5,AM$3&lt;=IF('Hiring plan'!$H$5="",999,'Hiring plan'!$H$5)),'Hiring plan'!$F$5,0)</f>
        <v>1</v>
      </c>
      <c r="AN9" s="33" t="n">
        <f aca="false">IF(AND(N('Hiring plan'!$F$5)&gt;0,AN$3&gt;='Hiring plan'!$G$5,AN$3&lt;=IF('Hiring plan'!$H$5="",999,'Hiring plan'!$H$5)),'Hiring plan'!$F$5,0)</f>
        <v>1</v>
      </c>
      <c r="AO9" s="33" t="n">
        <f aca="false">IF(AND(N('Hiring plan'!$F$5)&gt;0,AO$3&gt;='Hiring plan'!$G$5,AO$3&lt;=IF('Hiring plan'!$H$5="",999,'Hiring plan'!$H$5)),'Hiring plan'!$F$5,0)</f>
        <v>1</v>
      </c>
      <c r="AP9" s="33" t="n">
        <f aca="false">IF(AND(N('Hiring plan'!$F$5)&gt;0,AP$3&gt;='Hiring plan'!$G$5,AP$3&lt;=IF('Hiring plan'!$H$5="",999,'Hiring plan'!$H$5)),'Hiring plan'!$F$5,0)</f>
        <v>1</v>
      </c>
      <c r="AQ9" s="33" t="n">
        <f aca="false">IF(AND(N('Hiring plan'!$F$5)&gt;0,AQ$3&gt;='Hiring plan'!$G$5,AQ$3&lt;=IF('Hiring plan'!$H$5="",999,'Hiring plan'!$H$5)),'Hiring plan'!$F$5,0)</f>
        <v>1</v>
      </c>
      <c r="AR9" s="33" t="n">
        <f aca="false">IF(AND(N('Hiring plan'!$F$5)&gt;0,AR$3&gt;='Hiring plan'!$G$5,AR$3&lt;=IF('Hiring plan'!$H$5="",999,'Hiring plan'!$H$5)),'Hiring plan'!$F$5,0)</f>
        <v>1</v>
      </c>
      <c r="AS9" s="33" t="n">
        <f aca="false">IF(AND(N('Hiring plan'!$F$5)&gt;0,AS$3&gt;='Hiring plan'!$G$5,AS$3&lt;=IF('Hiring plan'!$H$5="",999,'Hiring plan'!$H$5)),'Hiring plan'!$F$5,0)</f>
        <v>1</v>
      </c>
      <c r="AT9" s="33" t="n">
        <f aca="false">IF(AND(N('Hiring plan'!$F$5)&gt;0,AT$3&gt;='Hiring plan'!$G$5,AT$3&lt;=IF('Hiring plan'!$H$5="",999,'Hiring plan'!$H$5)),'Hiring plan'!$F$5,0)</f>
        <v>1</v>
      </c>
      <c r="AU9" s="33" t="n">
        <f aca="false">IF(AND(N('Hiring plan'!$F$5)&gt;0,AU$3&gt;='Hiring plan'!$G$5,AU$3&lt;=IF('Hiring plan'!$H$5="",999,'Hiring plan'!$H$5)),'Hiring plan'!$F$5,0)</f>
        <v>1</v>
      </c>
      <c r="AV9" s="33" t="n">
        <f aca="false">IF(AND(N('Hiring plan'!$F$5)&gt;0,AV$3&gt;='Hiring plan'!$G$5,AV$3&lt;=IF('Hiring plan'!$H$5="",999,'Hiring plan'!$H$5)),'Hiring plan'!$F$5,0)</f>
        <v>1</v>
      </c>
      <c r="AW9" s="33" t="n">
        <f aca="false">IF(AND(N('Hiring plan'!$F$5)&gt;0,AW$3&gt;='Hiring plan'!$G$5,AW$3&lt;=IF('Hiring plan'!$H$5="",999,'Hiring plan'!$H$5)),'Hiring plan'!$F$5,0)</f>
        <v>1</v>
      </c>
      <c r="AX9" s="33" t="n">
        <f aca="false">IF(AND(N('Hiring plan'!$F$5)&gt;0,AX$3&gt;='Hiring plan'!$G$5,AX$3&lt;=IF('Hiring plan'!$H$5="",999,'Hiring plan'!$H$5)),'Hiring plan'!$F$5,0)</f>
        <v>1</v>
      </c>
      <c r="AY9" s="33" t="n">
        <f aca="false">IF(AND(N('Hiring plan'!$F$5)&gt;0,AY$3&gt;='Hiring plan'!$G$5,AY$3&lt;=IF('Hiring plan'!$H$5="",999,'Hiring plan'!$H$5)),'Hiring plan'!$F$5,0)</f>
        <v>1</v>
      </c>
      <c r="AZ9" s="33" t="n">
        <f aca="false">IF(AND(N('Hiring plan'!$F$5)&gt;0,AZ$3&gt;='Hiring plan'!$G$5,AZ$3&lt;=IF('Hiring plan'!$H$5="",999,'Hiring plan'!$H$5)),'Hiring plan'!$F$5,0)</f>
        <v>1</v>
      </c>
      <c r="BA9" s="33" t="n">
        <f aca="false">IF(AND(N('Hiring plan'!$F$5)&gt;0,BA$3&gt;='Hiring plan'!$G$5,BA$3&lt;=IF('Hiring plan'!$H$5="",999,'Hiring plan'!$H$5)),'Hiring plan'!$F$5,0)</f>
        <v>1</v>
      </c>
      <c r="BB9" s="33" t="n">
        <f aca="false">IF(AND(N('Hiring plan'!$F$5)&gt;0,BB$3&gt;='Hiring plan'!$G$5,BB$3&lt;=IF('Hiring plan'!$H$5="",999,'Hiring plan'!$H$5)),'Hiring plan'!$F$5,0)</f>
        <v>1</v>
      </c>
      <c r="BC9" s="33" t="n">
        <f aca="false">IF(AND(N('Hiring plan'!$F$5)&gt;0,BC$3&gt;='Hiring plan'!$G$5,BC$3&lt;=IF('Hiring plan'!$H$5="",999,'Hiring plan'!$H$5)),'Hiring plan'!$F$5,0)</f>
        <v>1</v>
      </c>
      <c r="BD9" s="33" t="n">
        <f aca="false">IF(AND(N('Hiring plan'!$F$5)&gt;0,BD$3&gt;='Hiring plan'!$G$5,BD$3&lt;=IF('Hiring plan'!$H$5="",999,'Hiring plan'!$H$5)),'Hiring plan'!$F$5,0)</f>
        <v>1</v>
      </c>
      <c r="BE9" s="33" t="n">
        <f aca="false">IF(AND(N('Hiring plan'!$F$5)&gt;0,BE$3&gt;='Hiring plan'!$G$5,BE$3&lt;=IF('Hiring plan'!$H$5="",999,'Hiring plan'!$H$5)),'Hiring plan'!$F$5,0)</f>
        <v>1</v>
      </c>
      <c r="BF9" s="33" t="n">
        <f aca="false">IF(AND(N('Hiring plan'!$F$5)&gt;0,BF$3&gt;='Hiring plan'!$G$5,BF$3&lt;=IF('Hiring plan'!$H$5="",999,'Hiring plan'!$H$5)),'Hiring plan'!$F$5,0)</f>
        <v>1</v>
      </c>
      <c r="BG9" s="33" t="n">
        <f aca="false">IF(AND(N('Hiring plan'!$F$5)&gt;0,BG$3&gt;='Hiring plan'!$G$5,BG$3&lt;=IF('Hiring plan'!$H$5="",999,'Hiring plan'!$H$5)),'Hiring plan'!$F$5,0)</f>
        <v>1</v>
      </c>
      <c r="BH9" s="33" t="n">
        <f aca="false">IF(AND(N('Hiring plan'!$F$5)&gt;0,BH$3&gt;='Hiring plan'!$G$5,BH$3&lt;=IF('Hiring plan'!$H$5="",999,'Hiring plan'!$H$5)),'Hiring plan'!$F$5,0)</f>
        <v>1</v>
      </c>
      <c r="BI9" s="33" t="n">
        <f aca="false">IF(AND(N('Hiring plan'!$F$5)&gt;0,BI$3&gt;='Hiring plan'!$G$5,BI$3&lt;=IF('Hiring plan'!$H$5="",999,'Hiring plan'!$H$5)),'Hiring plan'!$F$5,0)</f>
        <v>1</v>
      </c>
      <c r="BJ9" s="33" t="n">
        <f aca="false">IF(AND(N('Hiring plan'!$F$5)&gt;0,BJ$3&gt;='Hiring plan'!$G$5,BJ$3&lt;=IF('Hiring plan'!$H$5="",999,'Hiring plan'!$H$5)),'Hiring plan'!$F$5,0)</f>
        <v>1</v>
      </c>
      <c r="BK9" s="33" t="n">
        <f aca="false">IF(AND(N('Hiring plan'!$F$5)&gt;0,BK$3&gt;='Hiring plan'!$G$5,BK$3&lt;=IF('Hiring plan'!$H$5="",999,'Hiring plan'!$H$5)),'Hiring plan'!$F$5,0)</f>
        <v>1</v>
      </c>
      <c r="BL9" s="33"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222</v>
      </c>
      <c r="D10" s="41" t="n">
        <f aca="false">MAX(E10:BL10)</f>
        <v>1</v>
      </c>
      <c r="E10" s="33" t="n">
        <f aca="false">IF(AND(N('Hiring plan'!$F$6)&gt;0,E$3&gt;='Hiring plan'!$G$6,E$3&lt;=IF('Hiring plan'!$H$6="",999,'Hiring plan'!$H$6)),'Hiring plan'!$F$6,0)</f>
        <v>1</v>
      </c>
      <c r="F10" s="33" t="n">
        <f aca="false">IF(AND(N('Hiring plan'!$F$6)&gt;0,F$3&gt;='Hiring plan'!$G$6,F$3&lt;=IF('Hiring plan'!$H$6="",999,'Hiring plan'!$H$6)),'Hiring plan'!$F$6,0)</f>
        <v>1</v>
      </c>
      <c r="G10" s="33" t="n">
        <f aca="false">IF(AND(N('Hiring plan'!$F$6)&gt;0,G$3&gt;='Hiring plan'!$G$6,G$3&lt;=IF('Hiring plan'!$H$6="",999,'Hiring plan'!$H$6)),'Hiring plan'!$F$6,0)</f>
        <v>1</v>
      </c>
      <c r="H10" s="33" t="n">
        <f aca="false">IF(AND(N('Hiring plan'!$F$6)&gt;0,H$3&gt;='Hiring plan'!$G$6,H$3&lt;=IF('Hiring plan'!$H$6="",999,'Hiring plan'!$H$6)),'Hiring plan'!$F$6,0)</f>
        <v>1</v>
      </c>
      <c r="I10" s="33" t="n">
        <f aca="false">IF(AND(N('Hiring plan'!$F$6)&gt;0,I$3&gt;='Hiring plan'!$G$6,I$3&lt;=IF('Hiring plan'!$H$6="",999,'Hiring plan'!$H$6)),'Hiring plan'!$F$6,0)</f>
        <v>1</v>
      </c>
      <c r="J10" s="33" t="n">
        <f aca="false">IF(AND(N('Hiring plan'!$F$6)&gt;0,J$3&gt;='Hiring plan'!$G$6,J$3&lt;=IF('Hiring plan'!$H$6="",999,'Hiring plan'!$H$6)),'Hiring plan'!$F$6,0)</f>
        <v>1</v>
      </c>
      <c r="K10" s="33" t="n">
        <f aca="false">IF(AND(N('Hiring plan'!$F$6)&gt;0,K$3&gt;='Hiring plan'!$G$6,K$3&lt;=IF('Hiring plan'!$H$6="",999,'Hiring plan'!$H$6)),'Hiring plan'!$F$6,0)</f>
        <v>1</v>
      </c>
      <c r="L10" s="33" t="n">
        <f aca="false">IF(AND(N('Hiring plan'!$F$6)&gt;0,L$3&gt;='Hiring plan'!$G$6,L$3&lt;=IF('Hiring plan'!$H$6="",999,'Hiring plan'!$H$6)),'Hiring plan'!$F$6,0)</f>
        <v>1</v>
      </c>
      <c r="M10" s="33" t="n">
        <f aca="false">IF(AND(N('Hiring plan'!$F$6)&gt;0,M$3&gt;='Hiring plan'!$G$6,M$3&lt;=IF('Hiring plan'!$H$6="",999,'Hiring plan'!$H$6)),'Hiring plan'!$F$6,0)</f>
        <v>1</v>
      </c>
      <c r="N10" s="33" t="n">
        <f aca="false">IF(AND(N('Hiring plan'!$F$6)&gt;0,N$3&gt;='Hiring plan'!$G$6,N$3&lt;=IF('Hiring plan'!$H$6="",999,'Hiring plan'!$H$6)),'Hiring plan'!$F$6,0)</f>
        <v>1</v>
      </c>
      <c r="O10" s="33" t="n">
        <f aca="false">IF(AND(N('Hiring plan'!$F$6)&gt;0,O$3&gt;='Hiring plan'!$G$6,O$3&lt;=IF('Hiring plan'!$H$6="",999,'Hiring plan'!$H$6)),'Hiring plan'!$F$6,0)</f>
        <v>1</v>
      </c>
      <c r="P10" s="33" t="n">
        <f aca="false">IF(AND(N('Hiring plan'!$F$6)&gt;0,P$3&gt;='Hiring plan'!$G$6,P$3&lt;=IF('Hiring plan'!$H$6="",999,'Hiring plan'!$H$6)),'Hiring plan'!$F$6,0)</f>
        <v>1</v>
      </c>
      <c r="Q10" s="33" t="n">
        <f aca="false">IF(AND(N('Hiring plan'!$F$6)&gt;0,Q$3&gt;='Hiring plan'!$G$6,Q$3&lt;=IF('Hiring plan'!$H$6="",999,'Hiring plan'!$H$6)),'Hiring plan'!$F$6,0)</f>
        <v>1</v>
      </c>
      <c r="R10" s="33" t="n">
        <f aca="false">IF(AND(N('Hiring plan'!$F$6)&gt;0,R$3&gt;='Hiring plan'!$G$6,R$3&lt;=IF('Hiring plan'!$H$6="",999,'Hiring plan'!$H$6)),'Hiring plan'!$F$6,0)</f>
        <v>1</v>
      </c>
      <c r="S10" s="33" t="n">
        <f aca="false">IF(AND(N('Hiring plan'!$F$6)&gt;0,S$3&gt;='Hiring plan'!$G$6,S$3&lt;=IF('Hiring plan'!$H$6="",999,'Hiring plan'!$H$6)),'Hiring plan'!$F$6,0)</f>
        <v>1</v>
      </c>
      <c r="T10" s="33" t="n">
        <f aca="false">IF(AND(N('Hiring plan'!$F$6)&gt;0,T$3&gt;='Hiring plan'!$G$6,T$3&lt;=IF('Hiring plan'!$H$6="",999,'Hiring plan'!$H$6)),'Hiring plan'!$F$6,0)</f>
        <v>1</v>
      </c>
      <c r="U10" s="33" t="n">
        <f aca="false">IF(AND(N('Hiring plan'!$F$6)&gt;0,U$3&gt;='Hiring plan'!$G$6,U$3&lt;=IF('Hiring plan'!$H$6="",999,'Hiring plan'!$H$6)),'Hiring plan'!$F$6,0)</f>
        <v>1</v>
      </c>
      <c r="V10" s="33" t="n">
        <f aca="false">IF(AND(N('Hiring plan'!$F$6)&gt;0,V$3&gt;='Hiring plan'!$G$6,V$3&lt;=IF('Hiring plan'!$H$6="",999,'Hiring plan'!$H$6)),'Hiring plan'!$F$6,0)</f>
        <v>1</v>
      </c>
      <c r="W10" s="33" t="n">
        <f aca="false">IF(AND(N('Hiring plan'!$F$6)&gt;0,W$3&gt;='Hiring plan'!$G$6,W$3&lt;=IF('Hiring plan'!$H$6="",999,'Hiring plan'!$H$6)),'Hiring plan'!$F$6,0)</f>
        <v>1</v>
      </c>
      <c r="X10" s="33" t="n">
        <f aca="false">IF(AND(N('Hiring plan'!$F$6)&gt;0,X$3&gt;='Hiring plan'!$G$6,X$3&lt;=IF('Hiring plan'!$H$6="",999,'Hiring plan'!$H$6)),'Hiring plan'!$F$6,0)</f>
        <v>1</v>
      </c>
      <c r="Y10" s="33" t="n">
        <f aca="false">IF(AND(N('Hiring plan'!$F$6)&gt;0,Y$3&gt;='Hiring plan'!$G$6,Y$3&lt;=IF('Hiring plan'!$H$6="",999,'Hiring plan'!$H$6)),'Hiring plan'!$F$6,0)</f>
        <v>1</v>
      </c>
      <c r="Z10" s="33" t="n">
        <f aca="false">IF(AND(N('Hiring plan'!$F$6)&gt;0,Z$3&gt;='Hiring plan'!$G$6,Z$3&lt;=IF('Hiring plan'!$H$6="",999,'Hiring plan'!$H$6)),'Hiring plan'!$F$6,0)</f>
        <v>1</v>
      </c>
      <c r="AA10" s="33" t="n">
        <f aca="false">IF(AND(N('Hiring plan'!$F$6)&gt;0,AA$3&gt;='Hiring plan'!$G$6,AA$3&lt;=IF('Hiring plan'!$H$6="",999,'Hiring plan'!$H$6)),'Hiring plan'!$F$6,0)</f>
        <v>1</v>
      </c>
      <c r="AB10" s="33" t="n">
        <f aca="false">IF(AND(N('Hiring plan'!$F$6)&gt;0,AB$3&gt;='Hiring plan'!$G$6,AB$3&lt;=IF('Hiring plan'!$H$6="",999,'Hiring plan'!$H$6)),'Hiring plan'!$F$6,0)</f>
        <v>1</v>
      </c>
      <c r="AC10" s="33" t="n">
        <f aca="false">IF(AND(N('Hiring plan'!$F$6)&gt;0,AC$3&gt;='Hiring plan'!$G$6,AC$3&lt;=IF('Hiring plan'!$H$6="",999,'Hiring plan'!$H$6)),'Hiring plan'!$F$6,0)</f>
        <v>1</v>
      </c>
      <c r="AD10" s="33" t="n">
        <f aca="false">IF(AND(N('Hiring plan'!$F$6)&gt;0,AD$3&gt;='Hiring plan'!$G$6,AD$3&lt;=IF('Hiring plan'!$H$6="",999,'Hiring plan'!$H$6)),'Hiring plan'!$F$6,0)</f>
        <v>1</v>
      </c>
      <c r="AE10" s="33" t="n">
        <f aca="false">IF(AND(N('Hiring plan'!$F$6)&gt;0,AE$3&gt;='Hiring plan'!$G$6,AE$3&lt;=IF('Hiring plan'!$H$6="",999,'Hiring plan'!$H$6)),'Hiring plan'!$F$6,0)</f>
        <v>1</v>
      </c>
      <c r="AF10" s="33" t="n">
        <f aca="false">IF(AND(N('Hiring plan'!$F$6)&gt;0,AF$3&gt;='Hiring plan'!$G$6,AF$3&lt;=IF('Hiring plan'!$H$6="",999,'Hiring plan'!$H$6)),'Hiring plan'!$F$6,0)</f>
        <v>1</v>
      </c>
      <c r="AG10" s="33" t="n">
        <f aca="false">IF(AND(N('Hiring plan'!$F$6)&gt;0,AG$3&gt;='Hiring plan'!$G$6,AG$3&lt;=IF('Hiring plan'!$H$6="",999,'Hiring plan'!$H$6)),'Hiring plan'!$F$6,0)</f>
        <v>1</v>
      </c>
      <c r="AH10" s="33" t="n">
        <f aca="false">IF(AND(N('Hiring plan'!$F$6)&gt;0,AH$3&gt;='Hiring plan'!$G$6,AH$3&lt;=IF('Hiring plan'!$H$6="",999,'Hiring plan'!$H$6)),'Hiring plan'!$F$6,0)</f>
        <v>1</v>
      </c>
      <c r="AI10" s="33" t="n">
        <f aca="false">IF(AND(N('Hiring plan'!$F$6)&gt;0,AI$3&gt;='Hiring plan'!$G$6,AI$3&lt;=IF('Hiring plan'!$H$6="",999,'Hiring plan'!$H$6)),'Hiring plan'!$F$6,0)</f>
        <v>1</v>
      </c>
      <c r="AJ10" s="33" t="n">
        <f aca="false">IF(AND(N('Hiring plan'!$F$6)&gt;0,AJ$3&gt;='Hiring plan'!$G$6,AJ$3&lt;=IF('Hiring plan'!$H$6="",999,'Hiring plan'!$H$6)),'Hiring plan'!$F$6,0)</f>
        <v>1</v>
      </c>
      <c r="AK10" s="33" t="n">
        <f aca="false">IF(AND(N('Hiring plan'!$F$6)&gt;0,AK$3&gt;='Hiring plan'!$G$6,AK$3&lt;=IF('Hiring plan'!$H$6="",999,'Hiring plan'!$H$6)),'Hiring plan'!$F$6,0)</f>
        <v>1</v>
      </c>
      <c r="AL10" s="33" t="n">
        <f aca="false">IF(AND(N('Hiring plan'!$F$6)&gt;0,AL$3&gt;='Hiring plan'!$G$6,AL$3&lt;=IF('Hiring plan'!$H$6="",999,'Hiring plan'!$H$6)),'Hiring plan'!$F$6,0)</f>
        <v>1</v>
      </c>
      <c r="AM10" s="33" t="n">
        <f aca="false">IF(AND(N('Hiring plan'!$F$6)&gt;0,AM$3&gt;='Hiring plan'!$G$6,AM$3&lt;=IF('Hiring plan'!$H$6="",999,'Hiring plan'!$H$6)),'Hiring plan'!$F$6,0)</f>
        <v>1</v>
      </c>
      <c r="AN10" s="33" t="n">
        <f aca="false">IF(AND(N('Hiring plan'!$F$6)&gt;0,AN$3&gt;='Hiring plan'!$G$6,AN$3&lt;=IF('Hiring plan'!$H$6="",999,'Hiring plan'!$H$6)),'Hiring plan'!$F$6,0)</f>
        <v>1</v>
      </c>
      <c r="AO10" s="33" t="n">
        <f aca="false">IF(AND(N('Hiring plan'!$F$6)&gt;0,AO$3&gt;='Hiring plan'!$G$6,AO$3&lt;=IF('Hiring plan'!$H$6="",999,'Hiring plan'!$H$6)),'Hiring plan'!$F$6,0)</f>
        <v>1</v>
      </c>
      <c r="AP10" s="33" t="n">
        <f aca="false">IF(AND(N('Hiring plan'!$F$6)&gt;0,AP$3&gt;='Hiring plan'!$G$6,AP$3&lt;=IF('Hiring plan'!$H$6="",999,'Hiring plan'!$H$6)),'Hiring plan'!$F$6,0)</f>
        <v>1</v>
      </c>
      <c r="AQ10" s="33" t="n">
        <f aca="false">IF(AND(N('Hiring plan'!$F$6)&gt;0,AQ$3&gt;='Hiring plan'!$G$6,AQ$3&lt;=IF('Hiring plan'!$H$6="",999,'Hiring plan'!$H$6)),'Hiring plan'!$F$6,0)</f>
        <v>1</v>
      </c>
      <c r="AR10" s="33" t="n">
        <f aca="false">IF(AND(N('Hiring plan'!$F$6)&gt;0,AR$3&gt;='Hiring plan'!$G$6,AR$3&lt;=IF('Hiring plan'!$H$6="",999,'Hiring plan'!$H$6)),'Hiring plan'!$F$6,0)</f>
        <v>1</v>
      </c>
      <c r="AS10" s="33" t="n">
        <f aca="false">IF(AND(N('Hiring plan'!$F$6)&gt;0,AS$3&gt;='Hiring plan'!$G$6,AS$3&lt;=IF('Hiring plan'!$H$6="",999,'Hiring plan'!$H$6)),'Hiring plan'!$F$6,0)</f>
        <v>1</v>
      </c>
      <c r="AT10" s="33" t="n">
        <f aca="false">IF(AND(N('Hiring plan'!$F$6)&gt;0,AT$3&gt;='Hiring plan'!$G$6,AT$3&lt;=IF('Hiring plan'!$H$6="",999,'Hiring plan'!$H$6)),'Hiring plan'!$F$6,0)</f>
        <v>1</v>
      </c>
      <c r="AU10" s="33" t="n">
        <f aca="false">IF(AND(N('Hiring plan'!$F$6)&gt;0,AU$3&gt;='Hiring plan'!$G$6,AU$3&lt;=IF('Hiring plan'!$H$6="",999,'Hiring plan'!$H$6)),'Hiring plan'!$F$6,0)</f>
        <v>1</v>
      </c>
      <c r="AV10" s="33" t="n">
        <f aca="false">IF(AND(N('Hiring plan'!$F$6)&gt;0,AV$3&gt;='Hiring plan'!$G$6,AV$3&lt;=IF('Hiring plan'!$H$6="",999,'Hiring plan'!$H$6)),'Hiring plan'!$F$6,0)</f>
        <v>1</v>
      </c>
      <c r="AW10" s="33" t="n">
        <f aca="false">IF(AND(N('Hiring plan'!$F$6)&gt;0,AW$3&gt;='Hiring plan'!$G$6,AW$3&lt;=IF('Hiring plan'!$H$6="",999,'Hiring plan'!$H$6)),'Hiring plan'!$F$6,0)</f>
        <v>1</v>
      </c>
      <c r="AX10" s="33" t="n">
        <f aca="false">IF(AND(N('Hiring plan'!$F$6)&gt;0,AX$3&gt;='Hiring plan'!$G$6,AX$3&lt;=IF('Hiring plan'!$H$6="",999,'Hiring plan'!$H$6)),'Hiring plan'!$F$6,0)</f>
        <v>1</v>
      </c>
      <c r="AY10" s="33" t="n">
        <f aca="false">IF(AND(N('Hiring plan'!$F$6)&gt;0,AY$3&gt;='Hiring plan'!$G$6,AY$3&lt;=IF('Hiring plan'!$H$6="",999,'Hiring plan'!$H$6)),'Hiring plan'!$F$6,0)</f>
        <v>1</v>
      </c>
      <c r="AZ10" s="33" t="n">
        <f aca="false">IF(AND(N('Hiring plan'!$F$6)&gt;0,AZ$3&gt;='Hiring plan'!$G$6,AZ$3&lt;=IF('Hiring plan'!$H$6="",999,'Hiring plan'!$H$6)),'Hiring plan'!$F$6,0)</f>
        <v>1</v>
      </c>
      <c r="BA10" s="33" t="n">
        <f aca="false">IF(AND(N('Hiring plan'!$F$6)&gt;0,BA$3&gt;='Hiring plan'!$G$6,BA$3&lt;=IF('Hiring plan'!$H$6="",999,'Hiring plan'!$H$6)),'Hiring plan'!$F$6,0)</f>
        <v>1</v>
      </c>
      <c r="BB10" s="33" t="n">
        <f aca="false">IF(AND(N('Hiring plan'!$F$6)&gt;0,BB$3&gt;='Hiring plan'!$G$6,BB$3&lt;=IF('Hiring plan'!$H$6="",999,'Hiring plan'!$H$6)),'Hiring plan'!$F$6,0)</f>
        <v>1</v>
      </c>
      <c r="BC10" s="33" t="n">
        <f aca="false">IF(AND(N('Hiring plan'!$F$6)&gt;0,BC$3&gt;='Hiring plan'!$G$6,BC$3&lt;=IF('Hiring plan'!$H$6="",999,'Hiring plan'!$H$6)),'Hiring plan'!$F$6,0)</f>
        <v>1</v>
      </c>
      <c r="BD10" s="33" t="n">
        <f aca="false">IF(AND(N('Hiring plan'!$F$6)&gt;0,BD$3&gt;='Hiring plan'!$G$6,BD$3&lt;=IF('Hiring plan'!$H$6="",999,'Hiring plan'!$H$6)),'Hiring plan'!$F$6,0)</f>
        <v>1</v>
      </c>
      <c r="BE10" s="33" t="n">
        <f aca="false">IF(AND(N('Hiring plan'!$F$6)&gt;0,BE$3&gt;='Hiring plan'!$G$6,BE$3&lt;=IF('Hiring plan'!$H$6="",999,'Hiring plan'!$H$6)),'Hiring plan'!$F$6,0)</f>
        <v>1</v>
      </c>
      <c r="BF10" s="33" t="n">
        <f aca="false">IF(AND(N('Hiring plan'!$F$6)&gt;0,BF$3&gt;='Hiring plan'!$G$6,BF$3&lt;=IF('Hiring plan'!$H$6="",999,'Hiring plan'!$H$6)),'Hiring plan'!$F$6,0)</f>
        <v>1</v>
      </c>
      <c r="BG10" s="33" t="n">
        <f aca="false">IF(AND(N('Hiring plan'!$F$6)&gt;0,BG$3&gt;='Hiring plan'!$G$6,BG$3&lt;=IF('Hiring plan'!$H$6="",999,'Hiring plan'!$H$6)),'Hiring plan'!$F$6,0)</f>
        <v>1</v>
      </c>
      <c r="BH10" s="33" t="n">
        <f aca="false">IF(AND(N('Hiring plan'!$F$6)&gt;0,BH$3&gt;='Hiring plan'!$G$6,BH$3&lt;=IF('Hiring plan'!$H$6="",999,'Hiring plan'!$H$6)),'Hiring plan'!$F$6,0)</f>
        <v>1</v>
      </c>
      <c r="BI10" s="33" t="n">
        <f aca="false">IF(AND(N('Hiring plan'!$F$6)&gt;0,BI$3&gt;='Hiring plan'!$G$6,BI$3&lt;=IF('Hiring plan'!$H$6="",999,'Hiring plan'!$H$6)),'Hiring plan'!$F$6,0)</f>
        <v>1</v>
      </c>
      <c r="BJ10" s="33" t="n">
        <f aca="false">IF(AND(N('Hiring plan'!$F$6)&gt;0,BJ$3&gt;='Hiring plan'!$G$6,BJ$3&lt;=IF('Hiring plan'!$H$6="",999,'Hiring plan'!$H$6)),'Hiring plan'!$F$6,0)</f>
        <v>1</v>
      </c>
      <c r="BK10" s="33" t="n">
        <f aca="false">IF(AND(N('Hiring plan'!$F$6)&gt;0,BK$3&gt;='Hiring plan'!$G$6,BK$3&lt;=IF('Hiring plan'!$H$6="",999,'Hiring plan'!$H$6)),'Hiring plan'!$F$6,0)</f>
        <v>1</v>
      </c>
      <c r="BL10" s="33"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COO · SN</v>
      </c>
      <c r="B11" s="14" t="s">
        <v>222</v>
      </c>
      <c r="D11" s="41" t="n">
        <f aca="false">MAX(E11:BL11)</f>
        <v>1</v>
      </c>
      <c r="E11" s="33" t="n">
        <f aca="false">IF(AND(N('Hiring plan'!$F$7)&gt;0,E$3&gt;='Hiring plan'!$G$7,E$3&lt;=IF('Hiring plan'!$H$7="",999,'Hiring plan'!$H$7)),'Hiring plan'!$F$7,0)</f>
        <v>1</v>
      </c>
      <c r="F11" s="33" t="n">
        <f aca="false">IF(AND(N('Hiring plan'!$F$7)&gt;0,F$3&gt;='Hiring plan'!$G$7,F$3&lt;=IF('Hiring plan'!$H$7="",999,'Hiring plan'!$H$7)),'Hiring plan'!$F$7,0)</f>
        <v>1</v>
      </c>
      <c r="G11" s="33" t="n">
        <f aca="false">IF(AND(N('Hiring plan'!$F$7)&gt;0,G$3&gt;='Hiring plan'!$G$7,G$3&lt;=IF('Hiring plan'!$H$7="",999,'Hiring plan'!$H$7)),'Hiring plan'!$F$7,0)</f>
        <v>1</v>
      </c>
      <c r="H11" s="33" t="n">
        <f aca="false">IF(AND(N('Hiring plan'!$F$7)&gt;0,H$3&gt;='Hiring plan'!$G$7,H$3&lt;=IF('Hiring plan'!$H$7="",999,'Hiring plan'!$H$7)),'Hiring plan'!$F$7,0)</f>
        <v>1</v>
      </c>
      <c r="I11" s="33" t="n">
        <f aca="false">IF(AND(N('Hiring plan'!$F$7)&gt;0,I$3&gt;='Hiring plan'!$G$7,I$3&lt;=IF('Hiring plan'!$H$7="",999,'Hiring plan'!$H$7)),'Hiring plan'!$F$7,0)</f>
        <v>1</v>
      </c>
      <c r="J11" s="33" t="n">
        <f aca="false">IF(AND(N('Hiring plan'!$F$7)&gt;0,J$3&gt;='Hiring plan'!$G$7,J$3&lt;=IF('Hiring plan'!$H$7="",999,'Hiring plan'!$H$7)),'Hiring plan'!$F$7,0)</f>
        <v>1</v>
      </c>
      <c r="K11" s="33" t="n">
        <f aca="false">IF(AND(N('Hiring plan'!$F$7)&gt;0,K$3&gt;='Hiring plan'!$G$7,K$3&lt;=IF('Hiring plan'!$H$7="",999,'Hiring plan'!$H$7)),'Hiring plan'!$F$7,0)</f>
        <v>1</v>
      </c>
      <c r="L11" s="33" t="n">
        <f aca="false">IF(AND(N('Hiring plan'!$F$7)&gt;0,L$3&gt;='Hiring plan'!$G$7,L$3&lt;=IF('Hiring plan'!$H$7="",999,'Hiring plan'!$H$7)),'Hiring plan'!$F$7,0)</f>
        <v>1</v>
      </c>
      <c r="M11" s="33" t="n">
        <f aca="false">IF(AND(N('Hiring plan'!$F$7)&gt;0,M$3&gt;='Hiring plan'!$G$7,M$3&lt;=IF('Hiring plan'!$H$7="",999,'Hiring plan'!$H$7)),'Hiring plan'!$F$7,0)</f>
        <v>1</v>
      </c>
      <c r="N11" s="33" t="n">
        <f aca="false">IF(AND(N('Hiring plan'!$F$7)&gt;0,N$3&gt;='Hiring plan'!$G$7,N$3&lt;=IF('Hiring plan'!$H$7="",999,'Hiring plan'!$H$7)),'Hiring plan'!$F$7,0)</f>
        <v>1</v>
      </c>
      <c r="O11" s="33" t="n">
        <f aca="false">IF(AND(N('Hiring plan'!$F$7)&gt;0,O$3&gt;='Hiring plan'!$G$7,O$3&lt;=IF('Hiring plan'!$H$7="",999,'Hiring plan'!$H$7)),'Hiring plan'!$F$7,0)</f>
        <v>1</v>
      </c>
      <c r="P11" s="33" t="n">
        <f aca="false">IF(AND(N('Hiring plan'!$F$7)&gt;0,P$3&gt;='Hiring plan'!$G$7,P$3&lt;=IF('Hiring plan'!$H$7="",999,'Hiring plan'!$H$7)),'Hiring plan'!$F$7,0)</f>
        <v>1</v>
      </c>
      <c r="Q11" s="33" t="n">
        <f aca="false">IF(AND(N('Hiring plan'!$F$7)&gt;0,Q$3&gt;='Hiring plan'!$G$7,Q$3&lt;=IF('Hiring plan'!$H$7="",999,'Hiring plan'!$H$7)),'Hiring plan'!$F$7,0)</f>
        <v>1</v>
      </c>
      <c r="R11" s="33" t="n">
        <f aca="false">IF(AND(N('Hiring plan'!$F$7)&gt;0,R$3&gt;='Hiring plan'!$G$7,R$3&lt;=IF('Hiring plan'!$H$7="",999,'Hiring plan'!$H$7)),'Hiring plan'!$F$7,0)</f>
        <v>1</v>
      </c>
      <c r="S11" s="33" t="n">
        <f aca="false">IF(AND(N('Hiring plan'!$F$7)&gt;0,S$3&gt;='Hiring plan'!$G$7,S$3&lt;=IF('Hiring plan'!$H$7="",999,'Hiring plan'!$H$7)),'Hiring plan'!$F$7,0)</f>
        <v>1</v>
      </c>
      <c r="T11" s="33" t="n">
        <f aca="false">IF(AND(N('Hiring plan'!$F$7)&gt;0,T$3&gt;='Hiring plan'!$G$7,T$3&lt;=IF('Hiring plan'!$H$7="",999,'Hiring plan'!$H$7)),'Hiring plan'!$F$7,0)</f>
        <v>1</v>
      </c>
      <c r="U11" s="33" t="n">
        <f aca="false">IF(AND(N('Hiring plan'!$F$7)&gt;0,U$3&gt;='Hiring plan'!$G$7,U$3&lt;=IF('Hiring plan'!$H$7="",999,'Hiring plan'!$H$7)),'Hiring plan'!$F$7,0)</f>
        <v>1</v>
      </c>
      <c r="V11" s="33" t="n">
        <f aca="false">IF(AND(N('Hiring plan'!$F$7)&gt;0,V$3&gt;='Hiring plan'!$G$7,V$3&lt;=IF('Hiring plan'!$H$7="",999,'Hiring plan'!$H$7)),'Hiring plan'!$F$7,0)</f>
        <v>1</v>
      </c>
      <c r="W11" s="33" t="n">
        <f aca="false">IF(AND(N('Hiring plan'!$F$7)&gt;0,W$3&gt;='Hiring plan'!$G$7,W$3&lt;=IF('Hiring plan'!$H$7="",999,'Hiring plan'!$H$7)),'Hiring plan'!$F$7,0)</f>
        <v>1</v>
      </c>
      <c r="X11" s="33" t="n">
        <f aca="false">IF(AND(N('Hiring plan'!$F$7)&gt;0,X$3&gt;='Hiring plan'!$G$7,X$3&lt;=IF('Hiring plan'!$H$7="",999,'Hiring plan'!$H$7)),'Hiring plan'!$F$7,0)</f>
        <v>1</v>
      </c>
      <c r="Y11" s="33" t="n">
        <f aca="false">IF(AND(N('Hiring plan'!$F$7)&gt;0,Y$3&gt;='Hiring plan'!$G$7,Y$3&lt;=IF('Hiring plan'!$H$7="",999,'Hiring plan'!$H$7)),'Hiring plan'!$F$7,0)</f>
        <v>1</v>
      </c>
      <c r="Z11" s="33" t="n">
        <f aca="false">IF(AND(N('Hiring plan'!$F$7)&gt;0,Z$3&gt;='Hiring plan'!$G$7,Z$3&lt;=IF('Hiring plan'!$H$7="",999,'Hiring plan'!$H$7)),'Hiring plan'!$F$7,0)</f>
        <v>1</v>
      </c>
      <c r="AA11" s="33" t="n">
        <f aca="false">IF(AND(N('Hiring plan'!$F$7)&gt;0,AA$3&gt;='Hiring plan'!$G$7,AA$3&lt;=IF('Hiring plan'!$H$7="",999,'Hiring plan'!$H$7)),'Hiring plan'!$F$7,0)</f>
        <v>1</v>
      </c>
      <c r="AB11" s="33" t="n">
        <f aca="false">IF(AND(N('Hiring plan'!$F$7)&gt;0,AB$3&gt;='Hiring plan'!$G$7,AB$3&lt;=IF('Hiring plan'!$H$7="",999,'Hiring plan'!$H$7)),'Hiring plan'!$F$7,0)</f>
        <v>1</v>
      </c>
      <c r="AC11" s="33" t="n">
        <f aca="false">IF(AND(N('Hiring plan'!$F$7)&gt;0,AC$3&gt;='Hiring plan'!$G$7,AC$3&lt;=IF('Hiring plan'!$H$7="",999,'Hiring plan'!$H$7)),'Hiring plan'!$F$7,0)</f>
        <v>1</v>
      </c>
      <c r="AD11" s="33" t="n">
        <f aca="false">IF(AND(N('Hiring plan'!$F$7)&gt;0,AD$3&gt;='Hiring plan'!$G$7,AD$3&lt;=IF('Hiring plan'!$H$7="",999,'Hiring plan'!$H$7)),'Hiring plan'!$F$7,0)</f>
        <v>1</v>
      </c>
      <c r="AE11" s="33" t="n">
        <f aca="false">IF(AND(N('Hiring plan'!$F$7)&gt;0,AE$3&gt;='Hiring plan'!$G$7,AE$3&lt;=IF('Hiring plan'!$H$7="",999,'Hiring plan'!$H$7)),'Hiring plan'!$F$7,0)</f>
        <v>1</v>
      </c>
      <c r="AF11" s="33" t="n">
        <f aca="false">IF(AND(N('Hiring plan'!$F$7)&gt;0,AF$3&gt;='Hiring plan'!$G$7,AF$3&lt;=IF('Hiring plan'!$H$7="",999,'Hiring plan'!$H$7)),'Hiring plan'!$F$7,0)</f>
        <v>1</v>
      </c>
      <c r="AG11" s="33" t="n">
        <f aca="false">IF(AND(N('Hiring plan'!$F$7)&gt;0,AG$3&gt;='Hiring plan'!$G$7,AG$3&lt;=IF('Hiring plan'!$H$7="",999,'Hiring plan'!$H$7)),'Hiring plan'!$F$7,0)</f>
        <v>1</v>
      </c>
      <c r="AH11" s="33" t="n">
        <f aca="false">IF(AND(N('Hiring plan'!$F$7)&gt;0,AH$3&gt;='Hiring plan'!$G$7,AH$3&lt;=IF('Hiring plan'!$H$7="",999,'Hiring plan'!$H$7)),'Hiring plan'!$F$7,0)</f>
        <v>1</v>
      </c>
      <c r="AI11" s="33" t="n">
        <f aca="false">IF(AND(N('Hiring plan'!$F$7)&gt;0,AI$3&gt;='Hiring plan'!$G$7,AI$3&lt;=IF('Hiring plan'!$H$7="",999,'Hiring plan'!$H$7)),'Hiring plan'!$F$7,0)</f>
        <v>1</v>
      </c>
      <c r="AJ11" s="33" t="n">
        <f aca="false">IF(AND(N('Hiring plan'!$F$7)&gt;0,AJ$3&gt;='Hiring plan'!$G$7,AJ$3&lt;=IF('Hiring plan'!$H$7="",999,'Hiring plan'!$H$7)),'Hiring plan'!$F$7,0)</f>
        <v>1</v>
      </c>
      <c r="AK11" s="33" t="n">
        <f aca="false">IF(AND(N('Hiring plan'!$F$7)&gt;0,AK$3&gt;='Hiring plan'!$G$7,AK$3&lt;=IF('Hiring plan'!$H$7="",999,'Hiring plan'!$H$7)),'Hiring plan'!$F$7,0)</f>
        <v>1</v>
      </c>
      <c r="AL11" s="33" t="n">
        <f aca="false">IF(AND(N('Hiring plan'!$F$7)&gt;0,AL$3&gt;='Hiring plan'!$G$7,AL$3&lt;=IF('Hiring plan'!$H$7="",999,'Hiring plan'!$H$7)),'Hiring plan'!$F$7,0)</f>
        <v>1</v>
      </c>
      <c r="AM11" s="33" t="n">
        <f aca="false">IF(AND(N('Hiring plan'!$F$7)&gt;0,AM$3&gt;='Hiring plan'!$G$7,AM$3&lt;=IF('Hiring plan'!$H$7="",999,'Hiring plan'!$H$7)),'Hiring plan'!$F$7,0)</f>
        <v>1</v>
      </c>
      <c r="AN11" s="33" t="n">
        <f aca="false">IF(AND(N('Hiring plan'!$F$7)&gt;0,AN$3&gt;='Hiring plan'!$G$7,AN$3&lt;=IF('Hiring plan'!$H$7="",999,'Hiring plan'!$H$7)),'Hiring plan'!$F$7,0)</f>
        <v>1</v>
      </c>
      <c r="AO11" s="33" t="n">
        <f aca="false">IF(AND(N('Hiring plan'!$F$7)&gt;0,AO$3&gt;='Hiring plan'!$G$7,AO$3&lt;=IF('Hiring plan'!$H$7="",999,'Hiring plan'!$H$7)),'Hiring plan'!$F$7,0)</f>
        <v>1</v>
      </c>
      <c r="AP11" s="33" t="n">
        <f aca="false">IF(AND(N('Hiring plan'!$F$7)&gt;0,AP$3&gt;='Hiring plan'!$G$7,AP$3&lt;=IF('Hiring plan'!$H$7="",999,'Hiring plan'!$H$7)),'Hiring plan'!$F$7,0)</f>
        <v>1</v>
      </c>
      <c r="AQ11" s="33" t="n">
        <f aca="false">IF(AND(N('Hiring plan'!$F$7)&gt;0,AQ$3&gt;='Hiring plan'!$G$7,AQ$3&lt;=IF('Hiring plan'!$H$7="",999,'Hiring plan'!$H$7)),'Hiring plan'!$F$7,0)</f>
        <v>1</v>
      </c>
      <c r="AR11" s="33" t="n">
        <f aca="false">IF(AND(N('Hiring plan'!$F$7)&gt;0,AR$3&gt;='Hiring plan'!$G$7,AR$3&lt;=IF('Hiring plan'!$H$7="",999,'Hiring plan'!$H$7)),'Hiring plan'!$F$7,0)</f>
        <v>1</v>
      </c>
      <c r="AS11" s="33" t="n">
        <f aca="false">IF(AND(N('Hiring plan'!$F$7)&gt;0,AS$3&gt;='Hiring plan'!$G$7,AS$3&lt;=IF('Hiring plan'!$H$7="",999,'Hiring plan'!$H$7)),'Hiring plan'!$F$7,0)</f>
        <v>1</v>
      </c>
      <c r="AT11" s="33" t="n">
        <f aca="false">IF(AND(N('Hiring plan'!$F$7)&gt;0,AT$3&gt;='Hiring plan'!$G$7,AT$3&lt;=IF('Hiring plan'!$H$7="",999,'Hiring plan'!$H$7)),'Hiring plan'!$F$7,0)</f>
        <v>1</v>
      </c>
      <c r="AU11" s="33" t="n">
        <f aca="false">IF(AND(N('Hiring plan'!$F$7)&gt;0,AU$3&gt;='Hiring plan'!$G$7,AU$3&lt;=IF('Hiring plan'!$H$7="",999,'Hiring plan'!$H$7)),'Hiring plan'!$F$7,0)</f>
        <v>1</v>
      </c>
      <c r="AV11" s="33" t="n">
        <f aca="false">IF(AND(N('Hiring plan'!$F$7)&gt;0,AV$3&gt;='Hiring plan'!$G$7,AV$3&lt;=IF('Hiring plan'!$H$7="",999,'Hiring plan'!$H$7)),'Hiring plan'!$F$7,0)</f>
        <v>1</v>
      </c>
      <c r="AW11" s="33" t="n">
        <f aca="false">IF(AND(N('Hiring plan'!$F$7)&gt;0,AW$3&gt;='Hiring plan'!$G$7,AW$3&lt;=IF('Hiring plan'!$H$7="",999,'Hiring plan'!$H$7)),'Hiring plan'!$F$7,0)</f>
        <v>1</v>
      </c>
      <c r="AX11" s="33" t="n">
        <f aca="false">IF(AND(N('Hiring plan'!$F$7)&gt;0,AX$3&gt;='Hiring plan'!$G$7,AX$3&lt;=IF('Hiring plan'!$H$7="",999,'Hiring plan'!$H$7)),'Hiring plan'!$F$7,0)</f>
        <v>1</v>
      </c>
      <c r="AY11" s="33" t="n">
        <f aca="false">IF(AND(N('Hiring plan'!$F$7)&gt;0,AY$3&gt;='Hiring plan'!$G$7,AY$3&lt;=IF('Hiring plan'!$H$7="",999,'Hiring plan'!$H$7)),'Hiring plan'!$F$7,0)</f>
        <v>1</v>
      </c>
      <c r="AZ11" s="33" t="n">
        <f aca="false">IF(AND(N('Hiring plan'!$F$7)&gt;0,AZ$3&gt;='Hiring plan'!$G$7,AZ$3&lt;=IF('Hiring plan'!$H$7="",999,'Hiring plan'!$H$7)),'Hiring plan'!$F$7,0)</f>
        <v>1</v>
      </c>
      <c r="BA11" s="33" t="n">
        <f aca="false">IF(AND(N('Hiring plan'!$F$7)&gt;0,BA$3&gt;='Hiring plan'!$G$7,BA$3&lt;=IF('Hiring plan'!$H$7="",999,'Hiring plan'!$H$7)),'Hiring plan'!$F$7,0)</f>
        <v>1</v>
      </c>
      <c r="BB11" s="33" t="n">
        <f aca="false">IF(AND(N('Hiring plan'!$F$7)&gt;0,BB$3&gt;='Hiring plan'!$G$7,BB$3&lt;=IF('Hiring plan'!$H$7="",999,'Hiring plan'!$H$7)),'Hiring plan'!$F$7,0)</f>
        <v>1</v>
      </c>
      <c r="BC11" s="33" t="n">
        <f aca="false">IF(AND(N('Hiring plan'!$F$7)&gt;0,BC$3&gt;='Hiring plan'!$G$7,BC$3&lt;=IF('Hiring plan'!$H$7="",999,'Hiring plan'!$H$7)),'Hiring plan'!$F$7,0)</f>
        <v>1</v>
      </c>
      <c r="BD11" s="33" t="n">
        <f aca="false">IF(AND(N('Hiring plan'!$F$7)&gt;0,BD$3&gt;='Hiring plan'!$G$7,BD$3&lt;=IF('Hiring plan'!$H$7="",999,'Hiring plan'!$H$7)),'Hiring plan'!$F$7,0)</f>
        <v>1</v>
      </c>
      <c r="BE11" s="33" t="n">
        <f aca="false">IF(AND(N('Hiring plan'!$F$7)&gt;0,BE$3&gt;='Hiring plan'!$G$7,BE$3&lt;=IF('Hiring plan'!$H$7="",999,'Hiring plan'!$H$7)),'Hiring plan'!$F$7,0)</f>
        <v>1</v>
      </c>
      <c r="BF11" s="33" t="n">
        <f aca="false">IF(AND(N('Hiring plan'!$F$7)&gt;0,BF$3&gt;='Hiring plan'!$G$7,BF$3&lt;=IF('Hiring plan'!$H$7="",999,'Hiring plan'!$H$7)),'Hiring plan'!$F$7,0)</f>
        <v>1</v>
      </c>
      <c r="BG11" s="33" t="n">
        <f aca="false">IF(AND(N('Hiring plan'!$F$7)&gt;0,BG$3&gt;='Hiring plan'!$G$7,BG$3&lt;=IF('Hiring plan'!$H$7="",999,'Hiring plan'!$H$7)),'Hiring plan'!$F$7,0)</f>
        <v>1</v>
      </c>
      <c r="BH11" s="33" t="n">
        <f aca="false">IF(AND(N('Hiring plan'!$F$7)&gt;0,BH$3&gt;='Hiring plan'!$G$7,BH$3&lt;=IF('Hiring plan'!$H$7="",999,'Hiring plan'!$H$7)),'Hiring plan'!$F$7,0)</f>
        <v>1</v>
      </c>
      <c r="BI11" s="33" t="n">
        <f aca="false">IF(AND(N('Hiring plan'!$F$7)&gt;0,BI$3&gt;='Hiring plan'!$G$7,BI$3&lt;=IF('Hiring plan'!$H$7="",999,'Hiring plan'!$H$7)),'Hiring plan'!$F$7,0)</f>
        <v>1</v>
      </c>
      <c r="BJ11" s="33" t="n">
        <f aca="false">IF(AND(N('Hiring plan'!$F$7)&gt;0,BJ$3&gt;='Hiring plan'!$G$7,BJ$3&lt;=IF('Hiring plan'!$H$7="",999,'Hiring plan'!$H$7)),'Hiring plan'!$F$7,0)</f>
        <v>1</v>
      </c>
      <c r="BK11" s="33" t="n">
        <f aca="false">IF(AND(N('Hiring plan'!$F$7)&gt;0,BK$3&gt;='Hiring plan'!$G$7,BK$3&lt;=IF('Hiring plan'!$H$7="",999,'Hiring plan'!$H$7)),'Hiring plan'!$F$7,0)</f>
        <v>1</v>
      </c>
      <c r="BL11" s="33"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CFO · SN</v>
      </c>
      <c r="B12" s="14" t="s">
        <v>222</v>
      </c>
      <c r="D12" s="41" t="n">
        <f aca="false">MAX(E12:BL12)</f>
        <v>1</v>
      </c>
      <c r="E12" s="33" t="n">
        <f aca="false">IF(AND(N('Hiring plan'!$F$8)&gt;0,E$3&gt;='Hiring plan'!$G$8,E$3&lt;=IF('Hiring plan'!$H$8="",999,'Hiring plan'!$H$8)),'Hiring plan'!$F$8,0)</f>
        <v>0</v>
      </c>
      <c r="F12" s="33" t="n">
        <f aca="false">IF(AND(N('Hiring plan'!$F$8)&gt;0,F$3&gt;='Hiring plan'!$G$8,F$3&lt;=IF('Hiring plan'!$H$8="",999,'Hiring plan'!$H$8)),'Hiring plan'!$F$8,0)</f>
        <v>0</v>
      </c>
      <c r="G12" s="33" t="n">
        <f aca="false">IF(AND(N('Hiring plan'!$F$8)&gt;0,G$3&gt;='Hiring plan'!$G$8,G$3&lt;=IF('Hiring plan'!$H$8="",999,'Hiring plan'!$H$8)),'Hiring plan'!$F$8,0)</f>
        <v>0</v>
      </c>
      <c r="H12" s="33" t="n">
        <f aca="false">IF(AND(N('Hiring plan'!$F$8)&gt;0,H$3&gt;='Hiring plan'!$G$8,H$3&lt;=IF('Hiring plan'!$H$8="",999,'Hiring plan'!$H$8)),'Hiring plan'!$F$8,0)</f>
        <v>0</v>
      </c>
      <c r="I12" s="33" t="n">
        <f aca="false">IF(AND(N('Hiring plan'!$F$8)&gt;0,I$3&gt;='Hiring plan'!$G$8,I$3&lt;=IF('Hiring plan'!$H$8="",999,'Hiring plan'!$H$8)),'Hiring plan'!$F$8,0)</f>
        <v>0</v>
      </c>
      <c r="J12" s="33" t="n">
        <f aca="false">IF(AND(N('Hiring plan'!$F$8)&gt;0,J$3&gt;='Hiring plan'!$G$8,J$3&lt;=IF('Hiring plan'!$H$8="",999,'Hiring plan'!$H$8)),'Hiring plan'!$F$8,0)</f>
        <v>0</v>
      </c>
      <c r="K12" s="33" t="n">
        <f aca="false">IF(AND(N('Hiring plan'!$F$8)&gt;0,K$3&gt;='Hiring plan'!$G$8,K$3&lt;=IF('Hiring plan'!$H$8="",999,'Hiring plan'!$H$8)),'Hiring plan'!$F$8,0)</f>
        <v>0</v>
      </c>
      <c r="L12" s="33" t="n">
        <f aca="false">IF(AND(N('Hiring plan'!$F$8)&gt;0,L$3&gt;='Hiring plan'!$G$8,L$3&lt;=IF('Hiring plan'!$H$8="",999,'Hiring plan'!$H$8)),'Hiring plan'!$F$8,0)</f>
        <v>0</v>
      </c>
      <c r="M12" s="33" t="n">
        <f aca="false">IF(AND(N('Hiring plan'!$F$8)&gt;0,M$3&gt;='Hiring plan'!$G$8,M$3&lt;=IF('Hiring plan'!$H$8="",999,'Hiring plan'!$H$8)),'Hiring plan'!$F$8,0)</f>
        <v>0</v>
      </c>
      <c r="N12" s="33" t="n">
        <f aca="false">IF(AND(N('Hiring plan'!$F$8)&gt;0,N$3&gt;='Hiring plan'!$G$8,N$3&lt;=IF('Hiring plan'!$H$8="",999,'Hiring plan'!$H$8)),'Hiring plan'!$F$8,0)</f>
        <v>0</v>
      </c>
      <c r="O12" s="33" t="n">
        <f aca="false">IF(AND(N('Hiring plan'!$F$8)&gt;0,O$3&gt;='Hiring plan'!$G$8,O$3&lt;=IF('Hiring plan'!$H$8="",999,'Hiring plan'!$H$8)),'Hiring plan'!$F$8,0)</f>
        <v>0</v>
      </c>
      <c r="P12" s="33" t="n">
        <f aca="false">IF(AND(N('Hiring plan'!$F$8)&gt;0,P$3&gt;='Hiring plan'!$G$8,P$3&lt;=IF('Hiring plan'!$H$8="",999,'Hiring plan'!$H$8)),'Hiring plan'!$F$8,0)</f>
        <v>0</v>
      </c>
      <c r="Q12" s="33" t="n">
        <f aca="false">IF(AND(N('Hiring plan'!$F$8)&gt;0,Q$3&gt;='Hiring plan'!$G$8,Q$3&lt;=IF('Hiring plan'!$H$8="",999,'Hiring plan'!$H$8)),'Hiring plan'!$F$8,0)</f>
        <v>0</v>
      </c>
      <c r="R12" s="33" t="n">
        <f aca="false">IF(AND(N('Hiring plan'!$F$8)&gt;0,R$3&gt;='Hiring plan'!$G$8,R$3&lt;=IF('Hiring plan'!$H$8="",999,'Hiring plan'!$H$8)),'Hiring plan'!$F$8,0)</f>
        <v>0</v>
      </c>
      <c r="S12" s="33" t="n">
        <f aca="false">IF(AND(N('Hiring plan'!$F$8)&gt;0,S$3&gt;='Hiring plan'!$G$8,S$3&lt;=IF('Hiring plan'!$H$8="",999,'Hiring plan'!$H$8)),'Hiring plan'!$F$8,0)</f>
        <v>0</v>
      </c>
      <c r="T12" s="33" t="n">
        <f aca="false">IF(AND(N('Hiring plan'!$F$8)&gt;0,T$3&gt;='Hiring plan'!$G$8,T$3&lt;=IF('Hiring plan'!$H$8="",999,'Hiring plan'!$H$8)),'Hiring plan'!$F$8,0)</f>
        <v>0</v>
      </c>
      <c r="U12" s="33" t="n">
        <f aca="false">IF(AND(N('Hiring plan'!$F$8)&gt;0,U$3&gt;='Hiring plan'!$G$8,U$3&lt;=IF('Hiring plan'!$H$8="",999,'Hiring plan'!$H$8)),'Hiring plan'!$F$8,0)</f>
        <v>0</v>
      </c>
      <c r="V12" s="33" t="n">
        <f aca="false">IF(AND(N('Hiring plan'!$F$8)&gt;0,V$3&gt;='Hiring plan'!$G$8,V$3&lt;=IF('Hiring plan'!$H$8="",999,'Hiring plan'!$H$8)),'Hiring plan'!$F$8,0)</f>
        <v>0</v>
      </c>
      <c r="W12" s="33" t="n">
        <f aca="false">IF(AND(N('Hiring plan'!$F$8)&gt;0,W$3&gt;='Hiring plan'!$G$8,W$3&lt;=IF('Hiring plan'!$H$8="",999,'Hiring plan'!$H$8)),'Hiring plan'!$F$8,0)</f>
        <v>1</v>
      </c>
      <c r="X12" s="33" t="n">
        <f aca="false">IF(AND(N('Hiring plan'!$F$8)&gt;0,X$3&gt;='Hiring plan'!$G$8,X$3&lt;=IF('Hiring plan'!$H$8="",999,'Hiring plan'!$H$8)),'Hiring plan'!$F$8,0)</f>
        <v>1</v>
      </c>
      <c r="Y12" s="33" t="n">
        <f aca="false">IF(AND(N('Hiring plan'!$F$8)&gt;0,Y$3&gt;='Hiring plan'!$G$8,Y$3&lt;=IF('Hiring plan'!$H$8="",999,'Hiring plan'!$H$8)),'Hiring plan'!$F$8,0)</f>
        <v>1</v>
      </c>
      <c r="Z12" s="33" t="n">
        <f aca="false">IF(AND(N('Hiring plan'!$F$8)&gt;0,Z$3&gt;='Hiring plan'!$G$8,Z$3&lt;=IF('Hiring plan'!$H$8="",999,'Hiring plan'!$H$8)),'Hiring plan'!$F$8,0)</f>
        <v>1</v>
      </c>
      <c r="AA12" s="33" t="n">
        <f aca="false">IF(AND(N('Hiring plan'!$F$8)&gt;0,AA$3&gt;='Hiring plan'!$G$8,AA$3&lt;=IF('Hiring plan'!$H$8="",999,'Hiring plan'!$H$8)),'Hiring plan'!$F$8,0)</f>
        <v>1</v>
      </c>
      <c r="AB12" s="33" t="n">
        <f aca="false">IF(AND(N('Hiring plan'!$F$8)&gt;0,AB$3&gt;='Hiring plan'!$G$8,AB$3&lt;=IF('Hiring plan'!$H$8="",999,'Hiring plan'!$H$8)),'Hiring plan'!$F$8,0)</f>
        <v>1</v>
      </c>
      <c r="AC12" s="33" t="n">
        <f aca="false">IF(AND(N('Hiring plan'!$F$8)&gt;0,AC$3&gt;='Hiring plan'!$G$8,AC$3&lt;=IF('Hiring plan'!$H$8="",999,'Hiring plan'!$H$8)),'Hiring plan'!$F$8,0)</f>
        <v>1</v>
      </c>
      <c r="AD12" s="33" t="n">
        <f aca="false">IF(AND(N('Hiring plan'!$F$8)&gt;0,AD$3&gt;='Hiring plan'!$G$8,AD$3&lt;=IF('Hiring plan'!$H$8="",999,'Hiring plan'!$H$8)),'Hiring plan'!$F$8,0)</f>
        <v>1</v>
      </c>
      <c r="AE12" s="33" t="n">
        <f aca="false">IF(AND(N('Hiring plan'!$F$8)&gt;0,AE$3&gt;='Hiring plan'!$G$8,AE$3&lt;=IF('Hiring plan'!$H$8="",999,'Hiring plan'!$H$8)),'Hiring plan'!$F$8,0)</f>
        <v>1</v>
      </c>
      <c r="AF12" s="33" t="n">
        <f aca="false">IF(AND(N('Hiring plan'!$F$8)&gt;0,AF$3&gt;='Hiring plan'!$G$8,AF$3&lt;=IF('Hiring plan'!$H$8="",999,'Hiring plan'!$H$8)),'Hiring plan'!$F$8,0)</f>
        <v>1</v>
      </c>
      <c r="AG12" s="33" t="n">
        <f aca="false">IF(AND(N('Hiring plan'!$F$8)&gt;0,AG$3&gt;='Hiring plan'!$G$8,AG$3&lt;=IF('Hiring plan'!$H$8="",999,'Hiring plan'!$H$8)),'Hiring plan'!$F$8,0)</f>
        <v>1</v>
      </c>
      <c r="AH12" s="33" t="n">
        <f aca="false">IF(AND(N('Hiring plan'!$F$8)&gt;0,AH$3&gt;='Hiring plan'!$G$8,AH$3&lt;=IF('Hiring plan'!$H$8="",999,'Hiring plan'!$H$8)),'Hiring plan'!$F$8,0)</f>
        <v>1</v>
      </c>
      <c r="AI12" s="33" t="n">
        <f aca="false">IF(AND(N('Hiring plan'!$F$8)&gt;0,AI$3&gt;='Hiring plan'!$G$8,AI$3&lt;=IF('Hiring plan'!$H$8="",999,'Hiring plan'!$H$8)),'Hiring plan'!$F$8,0)</f>
        <v>1</v>
      </c>
      <c r="AJ12" s="33" t="n">
        <f aca="false">IF(AND(N('Hiring plan'!$F$8)&gt;0,AJ$3&gt;='Hiring plan'!$G$8,AJ$3&lt;=IF('Hiring plan'!$H$8="",999,'Hiring plan'!$H$8)),'Hiring plan'!$F$8,0)</f>
        <v>1</v>
      </c>
      <c r="AK12" s="33" t="n">
        <f aca="false">IF(AND(N('Hiring plan'!$F$8)&gt;0,AK$3&gt;='Hiring plan'!$G$8,AK$3&lt;=IF('Hiring plan'!$H$8="",999,'Hiring plan'!$H$8)),'Hiring plan'!$F$8,0)</f>
        <v>1</v>
      </c>
      <c r="AL12" s="33" t="n">
        <f aca="false">IF(AND(N('Hiring plan'!$F$8)&gt;0,AL$3&gt;='Hiring plan'!$G$8,AL$3&lt;=IF('Hiring plan'!$H$8="",999,'Hiring plan'!$H$8)),'Hiring plan'!$F$8,0)</f>
        <v>1</v>
      </c>
      <c r="AM12" s="33" t="n">
        <f aca="false">IF(AND(N('Hiring plan'!$F$8)&gt;0,AM$3&gt;='Hiring plan'!$G$8,AM$3&lt;=IF('Hiring plan'!$H$8="",999,'Hiring plan'!$H$8)),'Hiring plan'!$F$8,0)</f>
        <v>1</v>
      </c>
      <c r="AN12" s="33" t="n">
        <f aca="false">IF(AND(N('Hiring plan'!$F$8)&gt;0,AN$3&gt;='Hiring plan'!$G$8,AN$3&lt;=IF('Hiring plan'!$H$8="",999,'Hiring plan'!$H$8)),'Hiring plan'!$F$8,0)</f>
        <v>1</v>
      </c>
      <c r="AO12" s="33" t="n">
        <f aca="false">IF(AND(N('Hiring plan'!$F$8)&gt;0,AO$3&gt;='Hiring plan'!$G$8,AO$3&lt;=IF('Hiring plan'!$H$8="",999,'Hiring plan'!$H$8)),'Hiring plan'!$F$8,0)</f>
        <v>1</v>
      </c>
      <c r="AP12" s="33" t="n">
        <f aca="false">IF(AND(N('Hiring plan'!$F$8)&gt;0,AP$3&gt;='Hiring plan'!$G$8,AP$3&lt;=IF('Hiring plan'!$H$8="",999,'Hiring plan'!$H$8)),'Hiring plan'!$F$8,0)</f>
        <v>1</v>
      </c>
      <c r="AQ12" s="33" t="n">
        <f aca="false">IF(AND(N('Hiring plan'!$F$8)&gt;0,AQ$3&gt;='Hiring plan'!$G$8,AQ$3&lt;=IF('Hiring plan'!$H$8="",999,'Hiring plan'!$H$8)),'Hiring plan'!$F$8,0)</f>
        <v>1</v>
      </c>
      <c r="AR12" s="33" t="n">
        <f aca="false">IF(AND(N('Hiring plan'!$F$8)&gt;0,AR$3&gt;='Hiring plan'!$G$8,AR$3&lt;=IF('Hiring plan'!$H$8="",999,'Hiring plan'!$H$8)),'Hiring plan'!$F$8,0)</f>
        <v>1</v>
      </c>
      <c r="AS12" s="33" t="n">
        <f aca="false">IF(AND(N('Hiring plan'!$F$8)&gt;0,AS$3&gt;='Hiring plan'!$G$8,AS$3&lt;=IF('Hiring plan'!$H$8="",999,'Hiring plan'!$H$8)),'Hiring plan'!$F$8,0)</f>
        <v>1</v>
      </c>
      <c r="AT12" s="33" t="n">
        <f aca="false">IF(AND(N('Hiring plan'!$F$8)&gt;0,AT$3&gt;='Hiring plan'!$G$8,AT$3&lt;=IF('Hiring plan'!$H$8="",999,'Hiring plan'!$H$8)),'Hiring plan'!$F$8,0)</f>
        <v>1</v>
      </c>
      <c r="AU12" s="33" t="n">
        <f aca="false">IF(AND(N('Hiring plan'!$F$8)&gt;0,AU$3&gt;='Hiring plan'!$G$8,AU$3&lt;=IF('Hiring plan'!$H$8="",999,'Hiring plan'!$H$8)),'Hiring plan'!$F$8,0)</f>
        <v>1</v>
      </c>
      <c r="AV12" s="33" t="n">
        <f aca="false">IF(AND(N('Hiring plan'!$F$8)&gt;0,AV$3&gt;='Hiring plan'!$G$8,AV$3&lt;=IF('Hiring plan'!$H$8="",999,'Hiring plan'!$H$8)),'Hiring plan'!$F$8,0)</f>
        <v>1</v>
      </c>
      <c r="AW12" s="33" t="n">
        <f aca="false">IF(AND(N('Hiring plan'!$F$8)&gt;0,AW$3&gt;='Hiring plan'!$G$8,AW$3&lt;=IF('Hiring plan'!$H$8="",999,'Hiring plan'!$H$8)),'Hiring plan'!$F$8,0)</f>
        <v>1</v>
      </c>
      <c r="AX12" s="33" t="n">
        <f aca="false">IF(AND(N('Hiring plan'!$F$8)&gt;0,AX$3&gt;='Hiring plan'!$G$8,AX$3&lt;=IF('Hiring plan'!$H$8="",999,'Hiring plan'!$H$8)),'Hiring plan'!$F$8,0)</f>
        <v>1</v>
      </c>
      <c r="AY12" s="33" t="n">
        <f aca="false">IF(AND(N('Hiring plan'!$F$8)&gt;0,AY$3&gt;='Hiring plan'!$G$8,AY$3&lt;=IF('Hiring plan'!$H$8="",999,'Hiring plan'!$H$8)),'Hiring plan'!$F$8,0)</f>
        <v>1</v>
      </c>
      <c r="AZ12" s="33" t="n">
        <f aca="false">IF(AND(N('Hiring plan'!$F$8)&gt;0,AZ$3&gt;='Hiring plan'!$G$8,AZ$3&lt;=IF('Hiring plan'!$H$8="",999,'Hiring plan'!$H$8)),'Hiring plan'!$F$8,0)</f>
        <v>1</v>
      </c>
      <c r="BA12" s="33" t="n">
        <f aca="false">IF(AND(N('Hiring plan'!$F$8)&gt;0,BA$3&gt;='Hiring plan'!$G$8,BA$3&lt;=IF('Hiring plan'!$H$8="",999,'Hiring plan'!$H$8)),'Hiring plan'!$F$8,0)</f>
        <v>1</v>
      </c>
      <c r="BB12" s="33" t="n">
        <f aca="false">IF(AND(N('Hiring plan'!$F$8)&gt;0,BB$3&gt;='Hiring plan'!$G$8,BB$3&lt;=IF('Hiring plan'!$H$8="",999,'Hiring plan'!$H$8)),'Hiring plan'!$F$8,0)</f>
        <v>1</v>
      </c>
      <c r="BC12" s="33" t="n">
        <f aca="false">IF(AND(N('Hiring plan'!$F$8)&gt;0,BC$3&gt;='Hiring plan'!$G$8,BC$3&lt;=IF('Hiring plan'!$H$8="",999,'Hiring plan'!$H$8)),'Hiring plan'!$F$8,0)</f>
        <v>1</v>
      </c>
      <c r="BD12" s="33" t="n">
        <f aca="false">IF(AND(N('Hiring plan'!$F$8)&gt;0,BD$3&gt;='Hiring plan'!$G$8,BD$3&lt;=IF('Hiring plan'!$H$8="",999,'Hiring plan'!$H$8)),'Hiring plan'!$F$8,0)</f>
        <v>1</v>
      </c>
      <c r="BE12" s="33" t="n">
        <f aca="false">IF(AND(N('Hiring plan'!$F$8)&gt;0,BE$3&gt;='Hiring plan'!$G$8,BE$3&lt;=IF('Hiring plan'!$H$8="",999,'Hiring plan'!$H$8)),'Hiring plan'!$F$8,0)</f>
        <v>1</v>
      </c>
      <c r="BF12" s="33" t="n">
        <f aca="false">IF(AND(N('Hiring plan'!$F$8)&gt;0,BF$3&gt;='Hiring plan'!$G$8,BF$3&lt;=IF('Hiring plan'!$H$8="",999,'Hiring plan'!$H$8)),'Hiring plan'!$F$8,0)</f>
        <v>1</v>
      </c>
      <c r="BG12" s="33" t="n">
        <f aca="false">IF(AND(N('Hiring plan'!$F$8)&gt;0,BG$3&gt;='Hiring plan'!$G$8,BG$3&lt;=IF('Hiring plan'!$H$8="",999,'Hiring plan'!$H$8)),'Hiring plan'!$F$8,0)</f>
        <v>1</v>
      </c>
      <c r="BH12" s="33" t="n">
        <f aca="false">IF(AND(N('Hiring plan'!$F$8)&gt;0,BH$3&gt;='Hiring plan'!$G$8,BH$3&lt;=IF('Hiring plan'!$H$8="",999,'Hiring plan'!$H$8)),'Hiring plan'!$F$8,0)</f>
        <v>1</v>
      </c>
      <c r="BI12" s="33" t="n">
        <f aca="false">IF(AND(N('Hiring plan'!$F$8)&gt;0,BI$3&gt;='Hiring plan'!$G$8,BI$3&lt;=IF('Hiring plan'!$H$8="",999,'Hiring plan'!$H$8)),'Hiring plan'!$F$8,0)</f>
        <v>1</v>
      </c>
      <c r="BJ12" s="33" t="n">
        <f aca="false">IF(AND(N('Hiring plan'!$F$8)&gt;0,BJ$3&gt;='Hiring plan'!$G$8,BJ$3&lt;=IF('Hiring plan'!$H$8="",999,'Hiring plan'!$H$8)),'Hiring plan'!$F$8,0)</f>
        <v>1</v>
      </c>
      <c r="BK12" s="33" t="n">
        <f aca="false">IF(AND(N('Hiring plan'!$F$8)&gt;0,BK$3&gt;='Hiring plan'!$G$8,BK$3&lt;=IF('Hiring plan'!$H$8="",999,'Hiring plan'!$H$8)),'Hiring plan'!$F$8,0)</f>
        <v>1</v>
      </c>
      <c r="BL12" s="33"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Country manager, Abidjan · CI</v>
      </c>
      <c r="B13" s="14" t="s">
        <v>222</v>
      </c>
      <c r="D13" s="41" t="n">
        <f aca="false">MAX(E13:BL13)</f>
        <v>1</v>
      </c>
      <c r="E13" s="33" t="n">
        <f aca="false">IF(AND(N('Hiring plan'!$F$9)&gt;0,E$3&gt;='Hiring plan'!$G$9,E$3&lt;=IF('Hiring plan'!$H$9="",999,'Hiring plan'!$H$9)),'Hiring plan'!$F$9,0)</f>
        <v>0</v>
      </c>
      <c r="F13" s="33" t="n">
        <f aca="false">IF(AND(N('Hiring plan'!$F$9)&gt;0,F$3&gt;='Hiring plan'!$G$9,F$3&lt;=IF('Hiring plan'!$H$9="",999,'Hiring plan'!$H$9)),'Hiring plan'!$F$9,0)</f>
        <v>0</v>
      </c>
      <c r="G13" s="33" t="n">
        <f aca="false">IF(AND(N('Hiring plan'!$F$9)&gt;0,G$3&gt;='Hiring plan'!$G$9,G$3&lt;=IF('Hiring plan'!$H$9="",999,'Hiring plan'!$H$9)),'Hiring plan'!$F$9,0)</f>
        <v>0</v>
      </c>
      <c r="H13" s="33" t="n">
        <f aca="false">IF(AND(N('Hiring plan'!$F$9)&gt;0,H$3&gt;='Hiring plan'!$G$9,H$3&lt;=IF('Hiring plan'!$H$9="",999,'Hiring plan'!$H$9)),'Hiring plan'!$F$9,0)</f>
        <v>0</v>
      </c>
      <c r="I13" s="33" t="n">
        <f aca="false">IF(AND(N('Hiring plan'!$F$9)&gt;0,I$3&gt;='Hiring plan'!$G$9,I$3&lt;=IF('Hiring plan'!$H$9="",999,'Hiring plan'!$H$9)),'Hiring plan'!$F$9,0)</f>
        <v>0</v>
      </c>
      <c r="J13" s="33" t="n">
        <f aca="false">IF(AND(N('Hiring plan'!$F$9)&gt;0,J$3&gt;='Hiring plan'!$G$9,J$3&lt;=IF('Hiring plan'!$H$9="",999,'Hiring plan'!$H$9)),'Hiring plan'!$F$9,0)</f>
        <v>0</v>
      </c>
      <c r="K13" s="33" t="n">
        <f aca="false">IF(AND(N('Hiring plan'!$F$9)&gt;0,K$3&gt;='Hiring plan'!$G$9,K$3&lt;=IF('Hiring plan'!$H$9="",999,'Hiring plan'!$H$9)),'Hiring plan'!$F$9,0)</f>
        <v>0</v>
      </c>
      <c r="L13" s="33" t="n">
        <f aca="false">IF(AND(N('Hiring plan'!$F$9)&gt;0,L$3&gt;='Hiring plan'!$G$9,L$3&lt;=IF('Hiring plan'!$H$9="",999,'Hiring plan'!$H$9)),'Hiring plan'!$F$9,0)</f>
        <v>0</v>
      </c>
      <c r="M13" s="33" t="n">
        <f aca="false">IF(AND(N('Hiring plan'!$F$9)&gt;0,M$3&gt;='Hiring plan'!$G$9,M$3&lt;=IF('Hiring plan'!$H$9="",999,'Hiring plan'!$H$9)),'Hiring plan'!$F$9,0)</f>
        <v>0</v>
      </c>
      <c r="N13" s="33" t="n">
        <f aca="false">IF(AND(N('Hiring plan'!$F$9)&gt;0,N$3&gt;='Hiring plan'!$G$9,N$3&lt;=IF('Hiring plan'!$H$9="",999,'Hiring plan'!$H$9)),'Hiring plan'!$F$9,0)</f>
        <v>0</v>
      </c>
      <c r="O13" s="33" t="n">
        <f aca="false">IF(AND(N('Hiring plan'!$F$9)&gt;0,O$3&gt;='Hiring plan'!$G$9,O$3&lt;=IF('Hiring plan'!$H$9="",999,'Hiring plan'!$H$9)),'Hiring plan'!$F$9,0)</f>
        <v>0</v>
      </c>
      <c r="P13" s="33" t="n">
        <f aca="false">IF(AND(N('Hiring plan'!$F$9)&gt;0,P$3&gt;='Hiring plan'!$G$9,P$3&lt;=IF('Hiring plan'!$H$9="",999,'Hiring plan'!$H$9)),'Hiring plan'!$F$9,0)</f>
        <v>0</v>
      </c>
      <c r="Q13" s="33" t="n">
        <f aca="false">IF(AND(N('Hiring plan'!$F$9)&gt;0,Q$3&gt;='Hiring plan'!$G$9,Q$3&lt;=IF('Hiring plan'!$H$9="",999,'Hiring plan'!$H$9)),'Hiring plan'!$F$9,0)</f>
        <v>1</v>
      </c>
      <c r="R13" s="33" t="n">
        <f aca="false">IF(AND(N('Hiring plan'!$F$9)&gt;0,R$3&gt;='Hiring plan'!$G$9,R$3&lt;=IF('Hiring plan'!$H$9="",999,'Hiring plan'!$H$9)),'Hiring plan'!$F$9,0)</f>
        <v>1</v>
      </c>
      <c r="S13" s="33" t="n">
        <f aca="false">IF(AND(N('Hiring plan'!$F$9)&gt;0,S$3&gt;='Hiring plan'!$G$9,S$3&lt;=IF('Hiring plan'!$H$9="",999,'Hiring plan'!$H$9)),'Hiring plan'!$F$9,0)</f>
        <v>1</v>
      </c>
      <c r="T13" s="33" t="n">
        <f aca="false">IF(AND(N('Hiring plan'!$F$9)&gt;0,T$3&gt;='Hiring plan'!$G$9,T$3&lt;=IF('Hiring plan'!$H$9="",999,'Hiring plan'!$H$9)),'Hiring plan'!$F$9,0)</f>
        <v>1</v>
      </c>
      <c r="U13" s="33" t="n">
        <f aca="false">IF(AND(N('Hiring plan'!$F$9)&gt;0,U$3&gt;='Hiring plan'!$G$9,U$3&lt;=IF('Hiring plan'!$H$9="",999,'Hiring plan'!$H$9)),'Hiring plan'!$F$9,0)</f>
        <v>1</v>
      </c>
      <c r="V13" s="33" t="n">
        <f aca="false">IF(AND(N('Hiring plan'!$F$9)&gt;0,V$3&gt;='Hiring plan'!$G$9,V$3&lt;=IF('Hiring plan'!$H$9="",999,'Hiring plan'!$H$9)),'Hiring plan'!$F$9,0)</f>
        <v>1</v>
      </c>
      <c r="W13" s="33" t="n">
        <f aca="false">IF(AND(N('Hiring plan'!$F$9)&gt;0,W$3&gt;='Hiring plan'!$G$9,W$3&lt;=IF('Hiring plan'!$H$9="",999,'Hiring plan'!$H$9)),'Hiring plan'!$F$9,0)</f>
        <v>1</v>
      </c>
      <c r="X13" s="33" t="n">
        <f aca="false">IF(AND(N('Hiring plan'!$F$9)&gt;0,X$3&gt;='Hiring plan'!$G$9,X$3&lt;=IF('Hiring plan'!$H$9="",999,'Hiring plan'!$H$9)),'Hiring plan'!$F$9,0)</f>
        <v>1</v>
      </c>
      <c r="Y13" s="33" t="n">
        <f aca="false">IF(AND(N('Hiring plan'!$F$9)&gt;0,Y$3&gt;='Hiring plan'!$G$9,Y$3&lt;=IF('Hiring plan'!$H$9="",999,'Hiring plan'!$H$9)),'Hiring plan'!$F$9,0)</f>
        <v>1</v>
      </c>
      <c r="Z13" s="33" t="n">
        <f aca="false">IF(AND(N('Hiring plan'!$F$9)&gt;0,Z$3&gt;='Hiring plan'!$G$9,Z$3&lt;=IF('Hiring plan'!$H$9="",999,'Hiring plan'!$H$9)),'Hiring plan'!$F$9,0)</f>
        <v>1</v>
      </c>
      <c r="AA13" s="33" t="n">
        <f aca="false">IF(AND(N('Hiring plan'!$F$9)&gt;0,AA$3&gt;='Hiring plan'!$G$9,AA$3&lt;=IF('Hiring plan'!$H$9="",999,'Hiring plan'!$H$9)),'Hiring plan'!$F$9,0)</f>
        <v>1</v>
      </c>
      <c r="AB13" s="33" t="n">
        <f aca="false">IF(AND(N('Hiring plan'!$F$9)&gt;0,AB$3&gt;='Hiring plan'!$G$9,AB$3&lt;=IF('Hiring plan'!$H$9="",999,'Hiring plan'!$H$9)),'Hiring plan'!$F$9,0)</f>
        <v>1</v>
      </c>
      <c r="AC13" s="33" t="n">
        <f aca="false">IF(AND(N('Hiring plan'!$F$9)&gt;0,AC$3&gt;='Hiring plan'!$G$9,AC$3&lt;=IF('Hiring plan'!$H$9="",999,'Hiring plan'!$H$9)),'Hiring plan'!$F$9,0)</f>
        <v>1</v>
      </c>
      <c r="AD13" s="33" t="n">
        <f aca="false">IF(AND(N('Hiring plan'!$F$9)&gt;0,AD$3&gt;='Hiring plan'!$G$9,AD$3&lt;=IF('Hiring plan'!$H$9="",999,'Hiring plan'!$H$9)),'Hiring plan'!$F$9,0)</f>
        <v>1</v>
      </c>
      <c r="AE13" s="33" t="n">
        <f aca="false">IF(AND(N('Hiring plan'!$F$9)&gt;0,AE$3&gt;='Hiring plan'!$G$9,AE$3&lt;=IF('Hiring plan'!$H$9="",999,'Hiring plan'!$H$9)),'Hiring plan'!$F$9,0)</f>
        <v>1</v>
      </c>
      <c r="AF13" s="33" t="n">
        <f aca="false">IF(AND(N('Hiring plan'!$F$9)&gt;0,AF$3&gt;='Hiring plan'!$G$9,AF$3&lt;=IF('Hiring plan'!$H$9="",999,'Hiring plan'!$H$9)),'Hiring plan'!$F$9,0)</f>
        <v>1</v>
      </c>
      <c r="AG13" s="33" t="n">
        <f aca="false">IF(AND(N('Hiring plan'!$F$9)&gt;0,AG$3&gt;='Hiring plan'!$G$9,AG$3&lt;=IF('Hiring plan'!$H$9="",999,'Hiring plan'!$H$9)),'Hiring plan'!$F$9,0)</f>
        <v>1</v>
      </c>
      <c r="AH13" s="33" t="n">
        <f aca="false">IF(AND(N('Hiring plan'!$F$9)&gt;0,AH$3&gt;='Hiring plan'!$G$9,AH$3&lt;=IF('Hiring plan'!$H$9="",999,'Hiring plan'!$H$9)),'Hiring plan'!$F$9,0)</f>
        <v>1</v>
      </c>
      <c r="AI13" s="33" t="n">
        <f aca="false">IF(AND(N('Hiring plan'!$F$9)&gt;0,AI$3&gt;='Hiring plan'!$G$9,AI$3&lt;=IF('Hiring plan'!$H$9="",999,'Hiring plan'!$H$9)),'Hiring plan'!$F$9,0)</f>
        <v>1</v>
      </c>
      <c r="AJ13" s="33" t="n">
        <f aca="false">IF(AND(N('Hiring plan'!$F$9)&gt;0,AJ$3&gt;='Hiring plan'!$G$9,AJ$3&lt;=IF('Hiring plan'!$H$9="",999,'Hiring plan'!$H$9)),'Hiring plan'!$F$9,0)</f>
        <v>1</v>
      </c>
      <c r="AK13" s="33" t="n">
        <f aca="false">IF(AND(N('Hiring plan'!$F$9)&gt;0,AK$3&gt;='Hiring plan'!$G$9,AK$3&lt;=IF('Hiring plan'!$H$9="",999,'Hiring plan'!$H$9)),'Hiring plan'!$F$9,0)</f>
        <v>1</v>
      </c>
      <c r="AL13" s="33" t="n">
        <f aca="false">IF(AND(N('Hiring plan'!$F$9)&gt;0,AL$3&gt;='Hiring plan'!$G$9,AL$3&lt;=IF('Hiring plan'!$H$9="",999,'Hiring plan'!$H$9)),'Hiring plan'!$F$9,0)</f>
        <v>1</v>
      </c>
      <c r="AM13" s="33" t="n">
        <f aca="false">IF(AND(N('Hiring plan'!$F$9)&gt;0,AM$3&gt;='Hiring plan'!$G$9,AM$3&lt;=IF('Hiring plan'!$H$9="",999,'Hiring plan'!$H$9)),'Hiring plan'!$F$9,0)</f>
        <v>1</v>
      </c>
      <c r="AN13" s="33" t="n">
        <f aca="false">IF(AND(N('Hiring plan'!$F$9)&gt;0,AN$3&gt;='Hiring plan'!$G$9,AN$3&lt;=IF('Hiring plan'!$H$9="",999,'Hiring plan'!$H$9)),'Hiring plan'!$F$9,0)</f>
        <v>1</v>
      </c>
      <c r="AO13" s="33" t="n">
        <f aca="false">IF(AND(N('Hiring plan'!$F$9)&gt;0,AO$3&gt;='Hiring plan'!$G$9,AO$3&lt;=IF('Hiring plan'!$H$9="",999,'Hiring plan'!$H$9)),'Hiring plan'!$F$9,0)</f>
        <v>1</v>
      </c>
      <c r="AP13" s="33" t="n">
        <f aca="false">IF(AND(N('Hiring plan'!$F$9)&gt;0,AP$3&gt;='Hiring plan'!$G$9,AP$3&lt;=IF('Hiring plan'!$H$9="",999,'Hiring plan'!$H$9)),'Hiring plan'!$F$9,0)</f>
        <v>1</v>
      </c>
      <c r="AQ13" s="33" t="n">
        <f aca="false">IF(AND(N('Hiring plan'!$F$9)&gt;0,AQ$3&gt;='Hiring plan'!$G$9,AQ$3&lt;=IF('Hiring plan'!$H$9="",999,'Hiring plan'!$H$9)),'Hiring plan'!$F$9,0)</f>
        <v>1</v>
      </c>
      <c r="AR13" s="33" t="n">
        <f aca="false">IF(AND(N('Hiring plan'!$F$9)&gt;0,AR$3&gt;='Hiring plan'!$G$9,AR$3&lt;=IF('Hiring plan'!$H$9="",999,'Hiring plan'!$H$9)),'Hiring plan'!$F$9,0)</f>
        <v>1</v>
      </c>
      <c r="AS13" s="33" t="n">
        <f aca="false">IF(AND(N('Hiring plan'!$F$9)&gt;0,AS$3&gt;='Hiring plan'!$G$9,AS$3&lt;=IF('Hiring plan'!$H$9="",999,'Hiring plan'!$H$9)),'Hiring plan'!$F$9,0)</f>
        <v>1</v>
      </c>
      <c r="AT13" s="33" t="n">
        <f aca="false">IF(AND(N('Hiring plan'!$F$9)&gt;0,AT$3&gt;='Hiring plan'!$G$9,AT$3&lt;=IF('Hiring plan'!$H$9="",999,'Hiring plan'!$H$9)),'Hiring plan'!$F$9,0)</f>
        <v>1</v>
      </c>
      <c r="AU13" s="33" t="n">
        <f aca="false">IF(AND(N('Hiring plan'!$F$9)&gt;0,AU$3&gt;='Hiring plan'!$G$9,AU$3&lt;=IF('Hiring plan'!$H$9="",999,'Hiring plan'!$H$9)),'Hiring plan'!$F$9,0)</f>
        <v>1</v>
      </c>
      <c r="AV13" s="33" t="n">
        <f aca="false">IF(AND(N('Hiring plan'!$F$9)&gt;0,AV$3&gt;='Hiring plan'!$G$9,AV$3&lt;=IF('Hiring plan'!$H$9="",999,'Hiring plan'!$H$9)),'Hiring plan'!$F$9,0)</f>
        <v>1</v>
      </c>
      <c r="AW13" s="33" t="n">
        <f aca="false">IF(AND(N('Hiring plan'!$F$9)&gt;0,AW$3&gt;='Hiring plan'!$G$9,AW$3&lt;=IF('Hiring plan'!$H$9="",999,'Hiring plan'!$H$9)),'Hiring plan'!$F$9,0)</f>
        <v>1</v>
      </c>
      <c r="AX13" s="33" t="n">
        <f aca="false">IF(AND(N('Hiring plan'!$F$9)&gt;0,AX$3&gt;='Hiring plan'!$G$9,AX$3&lt;=IF('Hiring plan'!$H$9="",999,'Hiring plan'!$H$9)),'Hiring plan'!$F$9,0)</f>
        <v>1</v>
      </c>
      <c r="AY13" s="33" t="n">
        <f aca="false">IF(AND(N('Hiring plan'!$F$9)&gt;0,AY$3&gt;='Hiring plan'!$G$9,AY$3&lt;=IF('Hiring plan'!$H$9="",999,'Hiring plan'!$H$9)),'Hiring plan'!$F$9,0)</f>
        <v>1</v>
      </c>
      <c r="AZ13" s="33" t="n">
        <f aca="false">IF(AND(N('Hiring plan'!$F$9)&gt;0,AZ$3&gt;='Hiring plan'!$G$9,AZ$3&lt;=IF('Hiring plan'!$H$9="",999,'Hiring plan'!$H$9)),'Hiring plan'!$F$9,0)</f>
        <v>1</v>
      </c>
      <c r="BA13" s="33" t="n">
        <f aca="false">IF(AND(N('Hiring plan'!$F$9)&gt;0,BA$3&gt;='Hiring plan'!$G$9,BA$3&lt;=IF('Hiring plan'!$H$9="",999,'Hiring plan'!$H$9)),'Hiring plan'!$F$9,0)</f>
        <v>1</v>
      </c>
      <c r="BB13" s="33" t="n">
        <f aca="false">IF(AND(N('Hiring plan'!$F$9)&gt;0,BB$3&gt;='Hiring plan'!$G$9,BB$3&lt;=IF('Hiring plan'!$H$9="",999,'Hiring plan'!$H$9)),'Hiring plan'!$F$9,0)</f>
        <v>1</v>
      </c>
      <c r="BC13" s="33" t="n">
        <f aca="false">IF(AND(N('Hiring plan'!$F$9)&gt;0,BC$3&gt;='Hiring plan'!$G$9,BC$3&lt;=IF('Hiring plan'!$H$9="",999,'Hiring plan'!$H$9)),'Hiring plan'!$F$9,0)</f>
        <v>1</v>
      </c>
      <c r="BD13" s="33" t="n">
        <f aca="false">IF(AND(N('Hiring plan'!$F$9)&gt;0,BD$3&gt;='Hiring plan'!$G$9,BD$3&lt;=IF('Hiring plan'!$H$9="",999,'Hiring plan'!$H$9)),'Hiring plan'!$F$9,0)</f>
        <v>1</v>
      </c>
      <c r="BE13" s="33" t="n">
        <f aca="false">IF(AND(N('Hiring plan'!$F$9)&gt;0,BE$3&gt;='Hiring plan'!$G$9,BE$3&lt;=IF('Hiring plan'!$H$9="",999,'Hiring plan'!$H$9)),'Hiring plan'!$F$9,0)</f>
        <v>1</v>
      </c>
      <c r="BF13" s="33" t="n">
        <f aca="false">IF(AND(N('Hiring plan'!$F$9)&gt;0,BF$3&gt;='Hiring plan'!$G$9,BF$3&lt;=IF('Hiring plan'!$H$9="",999,'Hiring plan'!$H$9)),'Hiring plan'!$F$9,0)</f>
        <v>1</v>
      </c>
      <c r="BG13" s="33" t="n">
        <f aca="false">IF(AND(N('Hiring plan'!$F$9)&gt;0,BG$3&gt;='Hiring plan'!$G$9,BG$3&lt;=IF('Hiring plan'!$H$9="",999,'Hiring plan'!$H$9)),'Hiring plan'!$F$9,0)</f>
        <v>1</v>
      </c>
      <c r="BH13" s="33" t="n">
        <f aca="false">IF(AND(N('Hiring plan'!$F$9)&gt;0,BH$3&gt;='Hiring plan'!$G$9,BH$3&lt;=IF('Hiring plan'!$H$9="",999,'Hiring plan'!$H$9)),'Hiring plan'!$F$9,0)</f>
        <v>1</v>
      </c>
      <c r="BI13" s="33" t="n">
        <f aca="false">IF(AND(N('Hiring plan'!$F$9)&gt;0,BI$3&gt;='Hiring plan'!$G$9,BI$3&lt;=IF('Hiring plan'!$H$9="",999,'Hiring plan'!$H$9)),'Hiring plan'!$F$9,0)</f>
        <v>1</v>
      </c>
      <c r="BJ13" s="33" t="n">
        <f aca="false">IF(AND(N('Hiring plan'!$F$9)&gt;0,BJ$3&gt;='Hiring plan'!$G$9,BJ$3&lt;=IF('Hiring plan'!$H$9="",999,'Hiring plan'!$H$9)),'Hiring plan'!$F$9,0)</f>
        <v>1</v>
      </c>
      <c r="BK13" s="33" t="n">
        <f aca="false">IF(AND(N('Hiring plan'!$F$9)&gt;0,BK$3&gt;='Hiring plan'!$G$9,BK$3&lt;=IF('Hiring plan'!$H$9="",999,'Hiring plan'!$H$9)),'Hiring plan'!$F$9,0)</f>
        <v>1</v>
      </c>
      <c r="BL13" s="33"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Senior backend developer · SN</v>
      </c>
      <c r="B14" s="14" t="s">
        <v>222</v>
      </c>
      <c r="D14" s="41" t="n">
        <f aca="false">MAX(E14:BL14)</f>
        <v>1</v>
      </c>
      <c r="E14" s="33" t="n">
        <f aca="false">IF(AND(N('Hiring plan'!$F$10)&gt;0,E$3&gt;='Hiring plan'!$G$10,E$3&lt;=IF('Hiring plan'!$H$10="",999,'Hiring plan'!$H$10)),'Hiring plan'!$F$10,0)</f>
        <v>1</v>
      </c>
      <c r="F14" s="33" t="n">
        <f aca="false">IF(AND(N('Hiring plan'!$F$10)&gt;0,F$3&gt;='Hiring plan'!$G$10,F$3&lt;=IF('Hiring plan'!$H$10="",999,'Hiring plan'!$H$10)),'Hiring plan'!$F$10,0)</f>
        <v>1</v>
      </c>
      <c r="G14" s="33" t="n">
        <f aca="false">IF(AND(N('Hiring plan'!$F$10)&gt;0,G$3&gt;='Hiring plan'!$G$10,G$3&lt;=IF('Hiring plan'!$H$10="",999,'Hiring plan'!$H$10)),'Hiring plan'!$F$10,0)</f>
        <v>1</v>
      </c>
      <c r="H14" s="33" t="n">
        <f aca="false">IF(AND(N('Hiring plan'!$F$10)&gt;0,H$3&gt;='Hiring plan'!$G$10,H$3&lt;=IF('Hiring plan'!$H$10="",999,'Hiring plan'!$H$10)),'Hiring plan'!$F$10,0)</f>
        <v>1</v>
      </c>
      <c r="I14" s="33" t="n">
        <f aca="false">IF(AND(N('Hiring plan'!$F$10)&gt;0,I$3&gt;='Hiring plan'!$G$10,I$3&lt;=IF('Hiring plan'!$H$10="",999,'Hiring plan'!$H$10)),'Hiring plan'!$F$10,0)</f>
        <v>1</v>
      </c>
      <c r="J14" s="33" t="n">
        <f aca="false">IF(AND(N('Hiring plan'!$F$10)&gt;0,J$3&gt;='Hiring plan'!$G$10,J$3&lt;=IF('Hiring plan'!$H$10="",999,'Hiring plan'!$H$10)),'Hiring plan'!$F$10,0)</f>
        <v>1</v>
      </c>
      <c r="K14" s="33" t="n">
        <f aca="false">IF(AND(N('Hiring plan'!$F$10)&gt;0,K$3&gt;='Hiring plan'!$G$10,K$3&lt;=IF('Hiring plan'!$H$10="",999,'Hiring plan'!$H$10)),'Hiring plan'!$F$10,0)</f>
        <v>1</v>
      </c>
      <c r="L14" s="33" t="n">
        <f aca="false">IF(AND(N('Hiring plan'!$F$10)&gt;0,L$3&gt;='Hiring plan'!$G$10,L$3&lt;=IF('Hiring plan'!$H$10="",999,'Hiring plan'!$H$10)),'Hiring plan'!$F$10,0)</f>
        <v>1</v>
      </c>
      <c r="M14" s="33" t="n">
        <f aca="false">IF(AND(N('Hiring plan'!$F$10)&gt;0,M$3&gt;='Hiring plan'!$G$10,M$3&lt;=IF('Hiring plan'!$H$10="",999,'Hiring plan'!$H$10)),'Hiring plan'!$F$10,0)</f>
        <v>1</v>
      </c>
      <c r="N14" s="33" t="n">
        <f aca="false">IF(AND(N('Hiring plan'!$F$10)&gt;0,N$3&gt;='Hiring plan'!$G$10,N$3&lt;=IF('Hiring plan'!$H$10="",999,'Hiring plan'!$H$10)),'Hiring plan'!$F$10,0)</f>
        <v>1</v>
      </c>
      <c r="O14" s="33" t="n">
        <f aca="false">IF(AND(N('Hiring plan'!$F$10)&gt;0,O$3&gt;='Hiring plan'!$G$10,O$3&lt;=IF('Hiring plan'!$H$10="",999,'Hiring plan'!$H$10)),'Hiring plan'!$F$10,0)</f>
        <v>1</v>
      </c>
      <c r="P14" s="33" t="n">
        <f aca="false">IF(AND(N('Hiring plan'!$F$10)&gt;0,P$3&gt;='Hiring plan'!$G$10,P$3&lt;=IF('Hiring plan'!$H$10="",999,'Hiring plan'!$H$10)),'Hiring plan'!$F$10,0)</f>
        <v>1</v>
      </c>
      <c r="Q14" s="33" t="n">
        <f aca="false">IF(AND(N('Hiring plan'!$F$10)&gt;0,Q$3&gt;='Hiring plan'!$G$10,Q$3&lt;=IF('Hiring plan'!$H$10="",999,'Hiring plan'!$H$10)),'Hiring plan'!$F$10,0)</f>
        <v>1</v>
      </c>
      <c r="R14" s="33" t="n">
        <f aca="false">IF(AND(N('Hiring plan'!$F$10)&gt;0,R$3&gt;='Hiring plan'!$G$10,R$3&lt;=IF('Hiring plan'!$H$10="",999,'Hiring plan'!$H$10)),'Hiring plan'!$F$10,0)</f>
        <v>1</v>
      </c>
      <c r="S14" s="33" t="n">
        <f aca="false">IF(AND(N('Hiring plan'!$F$10)&gt;0,S$3&gt;='Hiring plan'!$G$10,S$3&lt;=IF('Hiring plan'!$H$10="",999,'Hiring plan'!$H$10)),'Hiring plan'!$F$10,0)</f>
        <v>1</v>
      </c>
      <c r="T14" s="33" t="n">
        <f aca="false">IF(AND(N('Hiring plan'!$F$10)&gt;0,T$3&gt;='Hiring plan'!$G$10,T$3&lt;=IF('Hiring plan'!$H$10="",999,'Hiring plan'!$H$10)),'Hiring plan'!$F$10,0)</f>
        <v>1</v>
      </c>
      <c r="U14" s="33" t="n">
        <f aca="false">IF(AND(N('Hiring plan'!$F$10)&gt;0,U$3&gt;='Hiring plan'!$G$10,U$3&lt;=IF('Hiring plan'!$H$10="",999,'Hiring plan'!$H$10)),'Hiring plan'!$F$10,0)</f>
        <v>1</v>
      </c>
      <c r="V14" s="33" t="n">
        <f aca="false">IF(AND(N('Hiring plan'!$F$10)&gt;0,V$3&gt;='Hiring plan'!$G$10,V$3&lt;=IF('Hiring plan'!$H$10="",999,'Hiring plan'!$H$10)),'Hiring plan'!$F$10,0)</f>
        <v>1</v>
      </c>
      <c r="W14" s="33" t="n">
        <f aca="false">IF(AND(N('Hiring plan'!$F$10)&gt;0,W$3&gt;='Hiring plan'!$G$10,W$3&lt;=IF('Hiring plan'!$H$10="",999,'Hiring plan'!$H$10)),'Hiring plan'!$F$10,0)</f>
        <v>1</v>
      </c>
      <c r="X14" s="33" t="n">
        <f aca="false">IF(AND(N('Hiring plan'!$F$10)&gt;0,X$3&gt;='Hiring plan'!$G$10,X$3&lt;=IF('Hiring plan'!$H$10="",999,'Hiring plan'!$H$10)),'Hiring plan'!$F$10,0)</f>
        <v>1</v>
      </c>
      <c r="Y14" s="33" t="n">
        <f aca="false">IF(AND(N('Hiring plan'!$F$10)&gt;0,Y$3&gt;='Hiring plan'!$G$10,Y$3&lt;=IF('Hiring plan'!$H$10="",999,'Hiring plan'!$H$10)),'Hiring plan'!$F$10,0)</f>
        <v>1</v>
      </c>
      <c r="Z14" s="33" t="n">
        <f aca="false">IF(AND(N('Hiring plan'!$F$10)&gt;0,Z$3&gt;='Hiring plan'!$G$10,Z$3&lt;=IF('Hiring plan'!$H$10="",999,'Hiring plan'!$H$10)),'Hiring plan'!$F$10,0)</f>
        <v>1</v>
      </c>
      <c r="AA14" s="33" t="n">
        <f aca="false">IF(AND(N('Hiring plan'!$F$10)&gt;0,AA$3&gt;='Hiring plan'!$G$10,AA$3&lt;=IF('Hiring plan'!$H$10="",999,'Hiring plan'!$H$10)),'Hiring plan'!$F$10,0)</f>
        <v>1</v>
      </c>
      <c r="AB14" s="33" t="n">
        <f aca="false">IF(AND(N('Hiring plan'!$F$10)&gt;0,AB$3&gt;='Hiring plan'!$G$10,AB$3&lt;=IF('Hiring plan'!$H$10="",999,'Hiring plan'!$H$10)),'Hiring plan'!$F$10,0)</f>
        <v>1</v>
      </c>
      <c r="AC14" s="33" t="n">
        <f aca="false">IF(AND(N('Hiring plan'!$F$10)&gt;0,AC$3&gt;='Hiring plan'!$G$10,AC$3&lt;=IF('Hiring plan'!$H$10="",999,'Hiring plan'!$H$10)),'Hiring plan'!$F$10,0)</f>
        <v>1</v>
      </c>
      <c r="AD14" s="33" t="n">
        <f aca="false">IF(AND(N('Hiring plan'!$F$10)&gt;0,AD$3&gt;='Hiring plan'!$G$10,AD$3&lt;=IF('Hiring plan'!$H$10="",999,'Hiring plan'!$H$10)),'Hiring plan'!$F$10,0)</f>
        <v>1</v>
      </c>
      <c r="AE14" s="33" t="n">
        <f aca="false">IF(AND(N('Hiring plan'!$F$10)&gt;0,AE$3&gt;='Hiring plan'!$G$10,AE$3&lt;=IF('Hiring plan'!$H$10="",999,'Hiring plan'!$H$10)),'Hiring plan'!$F$10,0)</f>
        <v>1</v>
      </c>
      <c r="AF14" s="33" t="n">
        <f aca="false">IF(AND(N('Hiring plan'!$F$10)&gt;0,AF$3&gt;='Hiring plan'!$G$10,AF$3&lt;=IF('Hiring plan'!$H$10="",999,'Hiring plan'!$H$10)),'Hiring plan'!$F$10,0)</f>
        <v>1</v>
      </c>
      <c r="AG14" s="33" t="n">
        <f aca="false">IF(AND(N('Hiring plan'!$F$10)&gt;0,AG$3&gt;='Hiring plan'!$G$10,AG$3&lt;=IF('Hiring plan'!$H$10="",999,'Hiring plan'!$H$10)),'Hiring plan'!$F$10,0)</f>
        <v>1</v>
      </c>
      <c r="AH14" s="33" t="n">
        <f aca="false">IF(AND(N('Hiring plan'!$F$10)&gt;0,AH$3&gt;='Hiring plan'!$G$10,AH$3&lt;=IF('Hiring plan'!$H$10="",999,'Hiring plan'!$H$10)),'Hiring plan'!$F$10,0)</f>
        <v>1</v>
      </c>
      <c r="AI14" s="33" t="n">
        <f aca="false">IF(AND(N('Hiring plan'!$F$10)&gt;0,AI$3&gt;='Hiring plan'!$G$10,AI$3&lt;=IF('Hiring plan'!$H$10="",999,'Hiring plan'!$H$10)),'Hiring plan'!$F$10,0)</f>
        <v>1</v>
      </c>
      <c r="AJ14" s="33" t="n">
        <f aca="false">IF(AND(N('Hiring plan'!$F$10)&gt;0,AJ$3&gt;='Hiring plan'!$G$10,AJ$3&lt;=IF('Hiring plan'!$H$10="",999,'Hiring plan'!$H$10)),'Hiring plan'!$F$10,0)</f>
        <v>1</v>
      </c>
      <c r="AK14" s="33" t="n">
        <f aca="false">IF(AND(N('Hiring plan'!$F$10)&gt;0,AK$3&gt;='Hiring plan'!$G$10,AK$3&lt;=IF('Hiring plan'!$H$10="",999,'Hiring plan'!$H$10)),'Hiring plan'!$F$10,0)</f>
        <v>1</v>
      </c>
      <c r="AL14" s="33" t="n">
        <f aca="false">IF(AND(N('Hiring plan'!$F$10)&gt;0,AL$3&gt;='Hiring plan'!$G$10,AL$3&lt;=IF('Hiring plan'!$H$10="",999,'Hiring plan'!$H$10)),'Hiring plan'!$F$10,0)</f>
        <v>1</v>
      </c>
      <c r="AM14" s="33" t="n">
        <f aca="false">IF(AND(N('Hiring plan'!$F$10)&gt;0,AM$3&gt;='Hiring plan'!$G$10,AM$3&lt;=IF('Hiring plan'!$H$10="",999,'Hiring plan'!$H$10)),'Hiring plan'!$F$10,0)</f>
        <v>1</v>
      </c>
      <c r="AN14" s="33" t="n">
        <f aca="false">IF(AND(N('Hiring plan'!$F$10)&gt;0,AN$3&gt;='Hiring plan'!$G$10,AN$3&lt;=IF('Hiring plan'!$H$10="",999,'Hiring plan'!$H$10)),'Hiring plan'!$F$10,0)</f>
        <v>1</v>
      </c>
      <c r="AO14" s="33" t="n">
        <f aca="false">IF(AND(N('Hiring plan'!$F$10)&gt;0,AO$3&gt;='Hiring plan'!$G$10,AO$3&lt;=IF('Hiring plan'!$H$10="",999,'Hiring plan'!$H$10)),'Hiring plan'!$F$10,0)</f>
        <v>1</v>
      </c>
      <c r="AP14" s="33" t="n">
        <f aca="false">IF(AND(N('Hiring plan'!$F$10)&gt;0,AP$3&gt;='Hiring plan'!$G$10,AP$3&lt;=IF('Hiring plan'!$H$10="",999,'Hiring plan'!$H$10)),'Hiring plan'!$F$10,0)</f>
        <v>1</v>
      </c>
      <c r="AQ14" s="33" t="n">
        <f aca="false">IF(AND(N('Hiring plan'!$F$10)&gt;0,AQ$3&gt;='Hiring plan'!$G$10,AQ$3&lt;=IF('Hiring plan'!$H$10="",999,'Hiring plan'!$H$10)),'Hiring plan'!$F$10,0)</f>
        <v>1</v>
      </c>
      <c r="AR14" s="33" t="n">
        <f aca="false">IF(AND(N('Hiring plan'!$F$10)&gt;0,AR$3&gt;='Hiring plan'!$G$10,AR$3&lt;=IF('Hiring plan'!$H$10="",999,'Hiring plan'!$H$10)),'Hiring plan'!$F$10,0)</f>
        <v>1</v>
      </c>
      <c r="AS14" s="33" t="n">
        <f aca="false">IF(AND(N('Hiring plan'!$F$10)&gt;0,AS$3&gt;='Hiring plan'!$G$10,AS$3&lt;=IF('Hiring plan'!$H$10="",999,'Hiring plan'!$H$10)),'Hiring plan'!$F$10,0)</f>
        <v>1</v>
      </c>
      <c r="AT14" s="33" t="n">
        <f aca="false">IF(AND(N('Hiring plan'!$F$10)&gt;0,AT$3&gt;='Hiring plan'!$G$10,AT$3&lt;=IF('Hiring plan'!$H$10="",999,'Hiring plan'!$H$10)),'Hiring plan'!$F$10,0)</f>
        <v>1</v>
      </c>
      <c r="AU14" s="33" t="n">
        <f aca="false">IF(AND(N('Hiring plan'!$F$10)&gt;0,AU$3&gt;='Hiring plan'!$G$10,AU$3&lt;=IF('Hiring plan'!$H$10="",999,'Hiring plan'!$H$10)),'Hiring plan'!$F$10,0)</f>
        <v>1</v>
      </c>
      <c r="AV14" s="33" t="n">
        <f aca="false">IF(AND(N('Hiring plan'!$F$10)&gt;0,AV$3&gt;='Hiring plan'!$G$10,AV$3&lt;=IF('Hiring plan'!$H$10="",999,'Hiring plan'!$H$10)),'Hiring plan'!$F$10,0)</f>
        <v>1</v>
      </c>
      <c r="AW14" s="33" t="n">
        <f aca="false">IF(AND(N('Hiring plan'!$F$10)&gt;0,AW$3&gt;='Hiring plan'!$G$10,AW$3&lt;=IF('Hiring plan'!$H$10="",999,'Hiring plan'!$H$10)),'Hiring plan'!$F$10,0)</f>
        <v>1</v>
      </c>
      <c r="AX14" s="33" t="n">
        <f aca="false">IF(AND(N('Hiring plan'!$F$10)&gt;0,AX$3&gt;='Hiring plan'!$G$10,AX$3&lt;=IF('Hiring plan'!$H$10="",999,'Hiring plan'!$H$10)),'Hiring plan'!$F$10,0)</f>
        <v>1</v>
      </c>
      <c r="AY14" s="33" t="n">
        <f aca="false">IF(AND(N('Hiring plan'!$F$10)&gt;0,AY$3&gt;='Hiring plan'!$G$10,AY$3&lt;=IF('Hiring plan'!$H$10="",999,'Hiring plan'!$H$10)),'Hiring plan'!$F$10,0)</f>
        <v>1</v>
      </c>
      <c r="AZ14" s="33" t="n">
        <f aca="false">IF(AND(N('Hiring plan'!$F$10)&gt;0,AZ$3&gt;='Hiring plan'!$G$10,AZ$3&lt;=IF('Hiring plan'!$H$10="",999,'Hiring plan'!$H$10)),'Hiring plan'!$F$10,0)</f>
        <v>1</v>
      </c>
      <c r="BA14" s="33" t="n">
        <f aca="false">IF(AND(N('Hiring plan'!$F$10)&gt;0,BA$3&gt;='Hiring plan'!$G$10,BA$3&lt;=IF('Hiring plan'!$H$10="",999,'Hiring plan'!$H$10)),'Hiring plan'!$F$10,0)</f>
        <v>1</v>
      </c>
      <c r="BB14" s="33" t="n">
        <f aca="false">IF(AND(N('Hiring plan'!$F$10)&gt;0,BB$3&gt;='Hiring plan'!$G$10,BB$3&lt;=IF('Hiring plan'!$H$10="",999,'Hiring plan'!$H$10)),'Hiring plan'!$F$10,0)</f>
        <v>1</v>
      </c>
      <c r="BC14" s="33" t="n">
        <f aca="false">IF(AND(N('Hiring plan'!$F$10)&gt;0,BC$3&gt;='Hiring plan'!$G$10,BC$3&lt;=IF('Hiring plan'!$H$10="",999,'Hiring plan'!$H$10)),'Hiring plan'!$F$10,0)</f>
        <v>1</v>
      </c>
      <c r="BD14" s="33" t="n">
        <f aca="false">IF(AND(N('Hiring plan'!$F$10)&gt;0,BD$3&gt;='Hiring plan'!$G$10,BD$3&lt;=IF('Hiring plan'!$H$10="",999,'Hiring plan'!$H$10)),'Hiring plan'!$F$10,0)</f>
        <v>1</v>
      </c>
      <c r="BE14" s="33" t="n">
        <f aca="false">IF(AND(N('Hiring plan'!$F$10)&gt;0,BE$3&gt;='Hiring plan'!$G$10,BE$3&lt;=IF('Hiring plan'!$H$10="",999,'Hiring plan'!$H$10)),'Hiring plan'!$F$10,0)</f>
        <v>1</v>
      </c>
      <c r="BF14" s="33" t="n">
        <f aca="false">IF(AND(N('Hiring plan'!$F$10)&gt;0,BF$3&gt;='Hiring plan'!$G$10,BF$3&lt;=IF('Hiring plan'!$H$10="",999,'Hiring plan'!$H$10)),'Hiring plan'!$F$10,0)</f>
        <v>1</v>
      </c>
      <c r="BG14" s="33" t="n">
        <f aca="false">IF(AND(N('Hiring plan'!$F$10)&gt;0,BG$3&gt;='Hiring plan'!$G$10,BG$3&lt;=IF('Hiring plan'!$H$10="",999,'Hiring plan'!$H$10)),'Hiring plan'!$F$10,0)</f>
        <v>1</v>
      </c>
      <c r="BH14" s="33" t="n">
        <f aca="false">IF(AND(N('Hiring plan'!$F$10)&gt;0,BH$3&gt;='Hiring plan'!$G$10,BH$3&lt;=IF('Hiring plan'!$H$10="",999,'Hiring plan'!$H$10)),'Hiring plan'!$F$10,0)</f>
        <v>1</v>
      </c>
      <c r="BI14" s="33" t="n">
        <f aca="false">IF(AND(N('Hiring plan'!$F$10)&gt;0,BI$3&gt;='Hiring plan'!$G$10,BI$3&lt;=IF('Hiring plan'!$H$10="",999,'Hiring plan'!$H$10)),'Hiring plan'!$F$10,0)</f>
        <v>1</v>
      </c>
      <c r="BJ14" s="33" t="n">
        <f aca="false">IF(AND(N('Hiring plan'!$F$10)&gt;0,BJ$3&gt;='Hiring plan'!$G$10,BJ$3&lt;=IF('Hiring plan'!$H$10="",999,'Hiring plan'!$H$10)),'Hiring plan'!$F$10,0)</f>
        <v>1</v>
      </c>
      <c r="BK14" s="33" t="n">
        <f aca="false">IF(AND(N('Hiring plan'!$F$10)&gt;0,BK$3&gt;='Hiring plan'!$G$10,BK$3&lt;=IF('Hiring plan'!$H$10="",999,'Hiring plan'!$H$10)),'Hiring plan'!$F$10,0)</f>
        <v>1</v>
      </c>
      <c r="BL14" s="33"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Senior mobile developer (Flutter / React Native) · SN</v>
      </c>
      <c r="B15" s="14" t="s">
        <v>222</v>
      </c>
      <c r="D15" s="41" t="n">
        <f aca="false">MAX(E15:BL15)</f>
        <v>1</v>
      </c>
      <c r="E15" s="33" t="n">
        <f aca="false">IF(AND(N('Hiring plan'!$F$11)&gt;0,E$3&gt;='Hiring plan'!$G$11,E$3&lt;=IF('Hiring plan'!$H$11="",999,'Hiring plan'!$H$11)),'Hiring plan'!$F$11,0)</f>
        <v>1</v>
      </c>
      <c r="F15" s="33" t="n">
        <f aca="false">IF(AND(N('Hiring plan'!$F$11)&gt;0,F$3&gt;='Hiring plan'!$G$11,F$3&lt;=IF('Hiring plan'!$H$11="",999,'Hiring plan'!$H$11)),'Hiring plan'!$F$11,0)</f>
        <v>1</v>
      </c>
      <c r="G15" s="33" t="n">
        <f aca="false">IF(AND(N('Hiring plan'!$F$11)&gt;0,G$3&gt;='Hiring plan'!$G$11,G$3&lt;=IF('Hiring plan'!$H$11="",999,'Hiring plan'!$H$11)),'Hiring plan'!$F$11,0)</f>
        <v>1</v>
      </c>
      <c r="H15" s="33" t="n">
        <f aca="false">IF(AND(N('Hiring plan'!$F$11)&gt;0,H$3&gt;='Hiring plan'!$G$11,H$3&lt;=IF('Hiring plan'!$H$11="",999,'Hiring plan'!$H$11)),'Hiring plan'!$F$11,0)</f>
        <v>1</v>
      </c>
      <c r="I15" s="33" t="n">
        <f aca="false">IF(AND(N('Hiring plan'!$F$11)&gt;0,I$3&gt;='Hiring plan'!$G$11,I$3&lt;=IF('Hiring plan'!$H$11="",999,'Hiring plan'!$H$11)),'Hiring plan'!$F$11,0)</f>
        <v>1</v>
      </c>
      <c r="J15" s="33" t="n">
        <f aca="false">IF(AND(N('Hiring plan'!$F$11)&gt;0,J$3&gt;='Hiring plan'!$G$11,J$3&lt;=IF('Hiring plan'!$H$11="",999,'Hiring plan'!$H$11)),'Hiring plan'!$F$11,0)</f>
        <v>1</v>
      </c>
      <c r="K15" s="33" t="n">
        <f aca="false">IF(AND(N('Hiring plan'!$F$11)&gt;0,K$3&gt;='Hiring plan'!$G$11,K$3&lt;=IF('Hiring plan'!$H$11="",999,'Hiring plan'!$H$11)),'Hiring plan'!$F$11,0)</f>
        <v>1</v>
      </c>
      <c r="L15" s="33" t="n">
        <f aca="false">IF(AND(N('Hiring plan'!$F$11)&gt;0,L$3&gt;='Hiring plan'!$G$11,L$3&lt;=IF('Hiring plan'!$H$11="",999,'Hiring plan'!$H$11)),'Hiring plan'!$F$11,0)</f>
        <v>1</v>
      </c>
      <c r="M15" s="33" t="n">
        <f aca="false">IF(AND(N('Hiring plan'!$F$11)&gt;0,M$3&gt;='Hiring plan'!$G$11,M$3&lt;=IF('Hiring plan'!$H$11="",999,'Hiring plan'!$H$11)),'Hiring plan'!$F$11,0)</f>
        <v>1</v>
      </c>
      <c r="N15" s="33" t="n">
        <f aca="false">IF(AND(N('Hiring plan'!$F$11)&gt;0,N$3&gt;='Hiring plan'!$G$11,N$3&lt;=IF('Hiring plan'!$H$11="",999,'Hiring plan'!$H$11)),'Hiring plan'!$F$11,0)</f>
        <v>1</v>
      </c>
      <c r="O15" s="33" t="n">
        <f aca="false">IF(AND(N('Hiring plan'!$F$11)&gt;0,O$3&gt;='Hiring plan'!$G$11,O$3&lt;=IF('Hiring plan'!$H$11="",999,'Hiring plan'!$H$11)),'Hiring plan'!$F$11,0)</f>
        <v>1</v>
      </c>
      <c r="P15" s="33" t="n">
        <f aca="false">IF(AND(N('Hiring plan'!$F$11)&gt;0,P$3&gt;='Hiring plan'!$G$11,P$3&lt;=IF('Hiring plan'!$H$11="",999,'Hiring plan'!$H$11)),'Hiring plan'!$F$11,0)</f>
        <v>1</v>
      </c>
      <c r="Q15" s="33" t="n">
        <f aca="false">IF(AND(N('Hiring plan'!$F$11)&gt;0,Q$3&gt;='Hiring plan'!$G$11,Q$3&lt;=IF('Hiring plan'!$H$11="",999,'Hiring plan'!$H$11)),'Hiring plan'!$F$11,0)</f>
        <v>1</v>
      </c>
      <c r="R15" s="33" t="n">
        <f aca="false">IF(AND(N('Hiring plan'!$F$11)&gt;0,R$3&gt;='Hiring plan'!$G$11,R$3&lt;=IF('Hiring plan'!$H$11="",999,'Hiring plan'!$H$11)),'Hiring plan'!$F$11,0)</f>
        <v>1</v>
      </c>
      <c r="S15" s="33" t="n">
        <f aca="false">IF(AND(N('Hiring plan'!$F$11)&gt;0,S$3&gt;='Hiring plan'!$G$11,S$3&lt;=IF('Hiring plan'!$H$11="",999,'Hiring plan'!$H$11)),'Hiring plan'!$F$11,0)</f>
        <v>1</v>
      </c>
      <c r="T15" s="33" t="n">
        <f aca="false">IF(AND(N('Hiring plan'!$F$11)&gt;0,T$3&gt;='Hiring plan'!$G$11,T$3&lt;=IF('Hiring plan'!$H$11="",999,'Hiring plan'!$H$11)),'Hiring plan'!$F$11,0)</f>
        <v>1</v>
      </c>
      <c r="U15" s="33" t="n">
        <f aca="false">IF(AND(N('Hiring plan'!$F$11)&gt;0,U$3&gt;='Hiring plan'!$G$11,U$3&lt;=IF('Hiring plan'!$H$11="",999,'Hiring plan'!$H$11)),'Hiring plan'!$F$11,0)</f>
        <v>1</v>
      </c>
      <c r="V15" s="33" t="n">
        <f aca="false">IF(AND(N('Hiring plan'!$F$11)&gt;0,V$3&gt;='Hiring plan'!$G$11,V$3&lt;=IF('Hiring plan'!$H$11="",999,'Hiring plan'!$H$11)),'Hiring plan'!$F$11,0)</f>
        <v>1</v>
      </c>
      <c r="W15" s="33" t="n">
        <f aca="false">IF(AND(N('Hiring plan'!$F$11)&gt;0,W$3&gt;='Hiring plan'!$G$11,W$3&lt;=IF('Hiring plan'!$H$11="",999,'Hiring plan'!$H$11)),'Hiring plan'!$F$11,0)</f>
        <v>1</v>
      </c>
      <c r="X15" s="33" t="n">
        <f aca="false">IF(AND(N('Hiring plan'!$F$11)&gt;0,X$3&gt;='Hiring plan'!$G$11,X$3&lt;=IF('Hiring plan'!$H$11="",999,'Hiring plan'!$H$11)),'Hiring plan'!$F$11,0)</f>
        <v>1</v>
      </c>
      <c r="Y15" s="33" t="n">
        <f aca="false">IF(AND(N('Hiring plan'!$F$11)&gt;0,Y$3&gt;='Hiring plan'!$G$11,Y$3&lt;=IF('Hiring plan'!$H$11="",999,'Hiring plan'!$H$11)),'Hiring plan'!$F$11,0)</f>
        <v>1</v>
      </c>
      <c r="Z15" s="33" t="n">
        <f aca="false">IF(AND(N('Hiring plan'!$F$11)&gt;0,Z$3&gt;='Hiring plan'!$G$11,Z$3&lt;=IF('Hiring plan'!$H$11="",999,'Hiring plan'!$H$11)),'Hiring plan'!$F$11,0)</f>
        <v>1</v>
      </c>
      <c r="AA15" s="33" t="n">
        <f aca="false">IF(AND(N('Hiring plan'!$F$11)&gt;0,AA$3&gt;='Hiring plan'!$G$11,AA$3&lt;=IF('Hiring plan'!$H$11="",999,'Hiring plan'!$H$11)),'Hiring plan'!$F$11,0)</f>
        <v>1</v>
      </c>
      <c r="AB15" s="33" t="n">
        <f aca="false">IF(AND(N('Hiring plan'!$F$11)&gt;0,AB$3&gt;='Hiring plan'!$G$11,AB$3&lt;=IF('Hiring plan'!$H$11="",999,'Hiring plan'!$H$11)),'Hiring plan'!$F$11,0)</f>
        <v>1</v>
      </c>
      <c r="AC15" s="33" t="n">
        <f aca="false">IF(AND(N('Hiring plan'!$F$11)&gt;0,AC$3&gt;='Hiring plan'!$G$11,AC$3&lt;=IF('Hiring plan'!$H$11="",999,'Hiring plan'!$H$11)),'Hiring plan'!$F$11,0)</f>
        <v>1</v>
      </c>
      <c r="AD15" s="33" t="n">
        <f aca="false">IF(AND(N('Hiring plan'!$F$11)&gt;0,AD$3&gt;='Hiring plan'!$G$11,AD$3&lt;=IF('Hiring plan'!$H$11="",999,'Hiring plan'!$H$11)),'Hiring plan'!$F$11,0)</f>
        <v>1</v>
      </c>
      <c r="AE15" s="33" t="n">
        <f aca="false">IF(AND(N('Hiring plan'!$F$11)&gt;0,AE$3&gt;='Hiring plan'!$G$11,AE$3&lt;=IF('Hiring plan'!$H$11="",999,'Hiring plan'!$H$11)),'Hiring plan'!$F$11,0)</f>
        <v>1</v>
      </c>
      <c r="AF15" s="33" t="n">
        <f aca="false">IF(AND(N('Hiring plan'!$F$11)&gt;0,AF$3&gt;='Hiring plan'!$G$11,AF$3&lt;=IF('Hiring plan'!$H$11="",999,'Hiring plan'!$H$11)),'Hiring plan'!$F$11,0)</f>
        <v>1</v>
      </c>
      <c r="AG15" s="33" t="n">
        <f aca="false">IF(AND(N('Hiring plan'!$F$11)&gt;0,AG$3&gt;='Hiring plan'!$G$11,AG$3&lt;=IF('Hiring plan'!$H$11="",999,'Hiring plan'!$H$11)),'Hiring plan'!$F$11,0)</f>
        <v>1</v>
      </c>
      <c r="AH15" s="33" t="n">
        <f aca="false">IF(AND(N('Hiring plan'!$F$11)&gt;0,AH$3&gt;='Hiring plan'!$G$11,AH$3&lt;=IF('Hiring plan'!$H$11="",999,'Hiring plan'!$H$11)),'Hiring plan'!$F$11,0)</f>
        <v>1</v>
      </c>
      <c r="AI15" s="33" t="n">
        <f aca="false">IF(AND(N('Hiring plan'!$F$11)&gt;0,AI$3&gt;='Hiring plan'!$G$11,AI$3&lt;=IF('Hiring plan'!$H$11="",999,'Hiring plan'!$H$11)),'Hiring plan'!$F$11,0)</f>
        <v>1</v>
      </c>
      <c r="AJ15" s="33" t="n">
        <f aca="false">IF(AND(N('Hiring plan'!$F$11)&gt;0,AJ$3&gt;='Hiring plan'!$G$11,AJ$3&lt;=IF('Hiring plan'!$H$11="",999,'Hiring plan'!$H$11)),'Hiring plan'!$F$11,0)</f>
        <v>1</v>
      </c>
      <c r="AK15" s="33" t="n">
        <f aca="false">IF(AND(N('Hiring plan'!$F$11)&gt;0,AK$3&gt;='Hiring plan'!$G$11,AK$3&lt;=IF('Hiring plan'!$H$11="",999,'Hiring plan'!$H$11)),'Hiring plan'!$F$11,0)</f>
        <v>1</v>
      </c>
      <c r="AL15" s="33" t="n">
        <f aca="false">IF(AND(N('Hiring plan'!$F$11)&gt;0,AL$3&gt;='Hiring plan'!$G$11,AL$3&lt;=IF('Hiring plan'!$H$11="",999,'Hiring plan'!$H$11)),'Hiring plan'!$F$11,0)</f>
        <v>1</v>
      </c>
      <c r="AM15" s="33" t="n">
        <f aca="false">IF(AND(N('Hiring plan'!$F$11)&gt;0,AM$3&gt;='Hiring plan'!$G$11,AM$3&lt;=IF('Hiring plan'!$H$11="",999,'Hiring plan'!$H$11)),'Hiring plan'!$F$11,0)</f>
        <v>1</v>
      </c>
      <c r="AN15" s="33" t="n">
        <f aca="false">IF(AND(N('Hiring plan'!$F$11)&gt;0,AN$3&gt;='Hiring plan'!$G$11,AN$3&lt;=IF('Hiring plan'!$H$11="",999,'Hiring plan'!$H$11)),'Hiring plan'!$F$11,0)</f>
        <v>1</v>
      </c>
      <c r="AO15" s="33" t="n">
        <f aca="false">IF(AND(N('Hiring plan'!$F$11)&gt;0,AO$3&gt;='Hiring plan'!$G$11,AO$3&lt;=IF('Hiring plan'!$H$11="",999,'Hiring plan'!$H$11)),'Hiring plan'!$F$11,0)</f>
        <v>1</v>
      </c>
      <c r="AP15" s="33" t="n">
        <f aca="false">IF(AND(N('Hiring plan'!$F$11)&gt;0,AP$3&gt;='Hiring plan'!$G$11,AP$3&lt;=IF('Hiring plan'!$H$11="",999,'Hiring plan'!$H$11)),'Hiring plan'!$F$11,0)</f>
        <v>1</v>
      </c>
      <c r="AQ15" s="33" t="n">
        <f aca="false">IF(AND(N('Hiring plan'!$F$11)&gt;0,AQ$3&gt;='Hiring plan'!$G$11,AQ$3&lt;=IF('Hiring plan'!$H$11="",999,'Hiring plan'!$H$11)),'Hiring plan'!$F$11,0)</f>
        <v>1</v>
      </c>
      <c r="AR15" s="33" t="n">
        <f aca="false">IF(AND(N('Hiring plan'!$F$11)&gt;0,AR$3&gt;='Hiring plan'!$G$11,AR$3&lt;=IF('Hiring plan'!$H$11="",999,'Hiring plan'!$H$11)),'Hiring plan'!$F$11,0)</f>
        <v>1</v>
      </c>
      <c r="AS15" s="33" t="n">
        <f aca="false">IF(AND(N('Hiring plan'!$F$11)&gt;0,AS$3&gt;='Hiring plan'!$G$11,AS$3&lt;=IF('Hiring plan'!$H$11="",999,'Hiring plan'!$H$11)),'Hiring plan'!$F$11,0)</f>
        <v>1</v>
      </c>
      <c r="AT15" s="33" t="n">
        <f aca="false">IF(AND(N('Hiring plan'!$F$11)&gt;0,AT$3&gt;='Hiring plan'!$G$11,AT$3&lt;=IF('Hiring plan'!$H$11="",999,'Hiring plan'!$H$11)),'Hiring plan'!$F$11,0)</f>
        <v>1</v>
      </c>
      <c r="AU15" s="33" t="n">
        <f aca="false">IF(AND(N('Hiring plan'!$F$11)&gt;0,AU$3&gt;='Hiring plan'!$G$11,AU$3&lt;=IF('Hiring plan'!$H$11="",999,'Hiring plan'!$H$11)),'Hiring plan'!$F$11,0)</f>
        <v>1</v>
      </c>
      <c r="AV15" s="33" t="n">
        <f aca="false">IF(AND(N('Hiring plan'!$F$11)&gt;0,AV$3&gt;='Hiring plan'!$G$11,AV$3&lt;=IF('Hiring plan'!$H$11="",999,'Hiring plan'!$H$11)),'Hiring plan'!$F$11,0)</f>
        <v>1</v>
      </c>
      <c r="AW15" s="33" t="n">
        <f aca="false">IF(AND(N('Hiring plan'!$F$11)&gt;0,AW$3&gt;='Hiring plan'!$G$11,AW$3&lt;=IF('Hiring plan'!$H$11="",999,'Hiring plan'!$H$11)),'Hiring plan'!$F$11,0)</f>
        <v>1</v>
      </c>
      <c r="AX15" s="33" t="n">
        <f aca="false">IF(AND(N('Hiring plan'!$F$11)&gt;0,AX$3&gt;='Hiring plan'!$G$11,AX$3&lt;=IF('Hiring plan'!$H$11="",999,'Hiring plan'!$H$11)),'Hiring plan'!$F$11,0)</f>
        <v>1</v>
      </c>
      <c r="AY15" s="33" t="n">
        <f aca="false">IF(AND(N('Hiring plan'!$F$11)&gt;0,AY$3&gt;='Hiring plan'!$G$11,AY$3&lt;=IF('Hiring plan'!$H$11="",999,'Hiring plan'!$H$11)),'Hiring plan'!$F$11,0)</f>
        <v>1</v>
      </c>
      <c r="AZ15" s="33" t="n">
        <f aca="false">IF(AND(N('Hiring plan'!$F$11)&gt;0,AZ$3&gt;='Hiring plan'!$G$11,AZ$3&lt;=IF('Hiring plan'!$H$11="",999,'Hiring plan'!$H$11)),'Hiring plan'!$F$11,0)</f>
        <v>1</v>
      </c>
      <c r="BA15" s="33" t="n">
        <f aca="false">IF(AND(N('Hiring plan'!$F$11)&gt;0,BA$3&gt;='Hiring plan'!$G$11,BA$3&lt;=IF('Hiring plan'!$H$11="",999,'Hiring plan'!$H$11)),'Hiring plan'!$F$11,0)</f>
        <v>1</v>
      </c>
      <c r="BB15" s="33" t="n">
        <f aca="false">IF(AND(N('Hiring plan'!$F$11)&gt;0,BB$3&gt;='Hiring plan'!$G$11,BB$3&lt;=IF('Hiring plan'!$H$11="",999,'Hiring plan'!$H$11)),'Hiring plan'!$F$11,0)</f>
        <v>1</v>
      </c>
      <c r="BC15" s="33" t="n">
        <f aca="false">IF(AND(N('Hiring plan'!$F$11)&gt;0,BC$3&gt;='Hiring plan'!$G$11,BC$3&lt;=IF('Hiring plan'!$H$11="",999,'Hiring plan'!$H$11)),'Hiring plan'!$F$11,0)</f>
        <v>1</v>
      </c>
      <c r="BD15" s="33" t="n">
        <f aca="false">IF(AND(N('Hiring plan'!$F$11)&gt;0,BD$3&gt;='Hiring plan'!$G$11,BD$3&lt;=IF('Hiring plan'!$H$11="",999,'Hiring plan'!$H$11)),'Hiring plan'!$F$11,0)</f>
        <v>1</v>
      </c>
      <c r="BE15" s="33" t="n">
        <f aca="false">IF(AND(N('Hiring plan'!$F$11)&gt;0,BE$3&gt;='Hiring plan'!$G$11,BE$3&lt;=IF('Hiring plan'!$H$11="",999,'Hiring plan'!$H$11)),'Hiring plan'!$F$11,0)</f>
        <v>1</v>
      </c>
      <c r="BF15" s="33" t="n">
        <f aca="false">IF(AND(N('Hiring plan'!$F$11)&gt;0,BF$3&gt;='Hiring plan'!$G$11,BF$3&lt;=IF('Hiring plan'!$H$11="",999,'Hiring plan'!$H$11)),'Hiring plan'!$F$11,0)</f>
        <v>1</v>
      </c>
      <c r="BG15" s="33" t="n">
        <f aca="false">IF(AND(N('Hiring plan'!$F$11)&gt;0,BG$3&gt;='Hiring plan'!$G$11,BG$3&lt;=IF('Hiring plan'!$H$11="",999,'Hiring plan'!$H$11)),'Hiring plan'!$F$11,0)</f>
        <v>1</v>
      </c>
      <c r="BH15" s="33" t="n">
        <f aca="false">IF(AND(N('Hiring plan'!$F$11)&gt;0,BH$3&gt;='Hiring plan'!$G$11,BH$3&lt;=IF('Hiring plan'!$H$11="",999,'Hiring plan'!$H$11)),'Hiring plan'!$F$11,0)</f>
        <v>1</v>
      </c>
      <c r="BI15" s="33" t="n">
        <f aca="false">IF(AND(N('Hiring plan'!$F$11)&gt;0,BI$3&gt;='Hiring plan'!$G$11,BI$3&lt;=IF('Hiring plan'!$H$11="",999,'Hiring plan'!$H$11)),'Hiring plan'!$F$11,0)</f>
        <v>1</v>
      </c>
      <c r="BJ15" s="33" t="n">
        <f aca="false">IF(AND(N('Hiring plan'!$F$11)&gt;0,BJ$3&gt;='Hiring plan'!$G$11,BJ$3&lt;=IF('Hiring plan'!$H$11="",999,'Hiring plan'!$H$11)),'Hiring plan'!$F$11,0)</f>
        <v>1</v>
      </c>
      <c r="BK15" s="33" t="n">
        <f aca="false">IF(AND(N('Hiring plan'!$F$11)&gt;0,BK$3&gt;='Hiring plan'!$G$11,BK$3&lt;=IF('Hiring plan'!$H$11="",999,'Hiring plan'!$H$11)),'Hiring plan'!$F$11,0)</f>
        <v>1</v>
      </c>
      <c r="BL15" s="33"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Full-stack web developer · SN</v>
      </c>
      <c r="B16" s="14" t="s">
        <v>222</v>
      </c>
      <c r="D16" s="41" t="n">
        <f aca="false">MAX(E16:BL16)</f>
        <v>1</v>
      </c>
      <c r="E16" s="33" t="n">
        <f aca="false">IF(AND(N('Hiring plan'!$F$12)&gt;0,E$3&gt;='Hiring plan'!$G$12,E$3&lt;=IF('Hiring plan'!$H$12="",999,'Hiring plan'!$H$12)),'Hiring plan'!$F$12,0)</f>
        <v>0</v>
      </c>
      <c r="F16" s="33" t="n">
        <f aca="false">IF(AND(N('Hiring plan'!$F$12)&gt;0,F$3&gt;='Hiring plan'!$G$12,F$3&lt;=IF('Hiring plan'!$H$12="",999,'Hiring plan'!$H$12)),'Hiring plan'!$F$12,0)</f>
        <v>0</v>
      </c>
      <c r="G16" s="33" t="n">
        <f aca="false">IF(AND(N('Hiring plan'!$F$12)&gt;0,G$3&gt;='Hiring plan'!$G$12,G$3&lt;=IF('Hiring plan'!$H$12="",999,'Hiring plan'!$H$12)),'Hiring plan'!$F$12,0)</f>
        <v>1</v>
      </c>
      <c r="H16" s="33" t="n">
        <f aca="false">IF(AND(N('Hiring plan'!$F$12)&gt;0,H$3&gt;='Hiring plan'!$G$12,H$3&lt;=IF('Hiring plan'!$H$12="",999,'Hiring plan'!$H$12)),'Hiring plan'!$F$12,0)</f>
        <v>1</v>
      </c>
      <c r="I16" s="33" t="n">
        <f aca="false">IF(AND(N('Hiring plan'!$F$12)&gt;0,I$3&gt;='Hiring plan'!$G$12,I$3&lt;=IF('Hiring plan'!$H$12="",999,'Hiring plan'!$H$12)),'Hiring plan'!$F$12,0)</f>
        <v>1</v>
      </c>
      <c r="J16" s="33" t="n">
        <f aca="false">IF(AND(N('Hiring plan'!$F$12)&gt;0,J$3&gt;='Hiring plan'!$G$12,J$3&lt;=IF('Hiring plan'!$H$12="",999,'Hiring plan'!$H$12)),'Hiring plan'!$F$12,0)</f>
        <v>1</v>
      </c>
      <c r="K16" s="33" t="n">
        <f aca="false">IF(AND(N('Hiring plan'!$F$12)&gt;0,K$3&gt;='Hiring plan'!$G$12,K$3&lt;=IF('Hiring plan'!$H$12="",999,'Hiring plan'!$H$12)),'Hiring plan'!$F$12,0)</f>
        <v>1</v>
      </c>
      <c r="L16" s="33" t="n">
        <f aca="false">IF(AND(N('Hiring plan'!$F$12)&gt;0,L$3&gt;='Hiring plan'!$G$12,L$3&lt;=IF('Hiring plan'!$H$12="",999,'Hiring plan'!$H$12)),'Hiring plan'!$F$12,0)</f>
        <v>1</v>
      </c>
      <c r="M16" s="33" t="n">
        <f aca="false">IF(AND(N('Hiring plan'!$F$12)&gt;0,M$3&gt;='Hiring plan'!$G$12,M$3&lt;=IF('Hiring plan'!$H$12="",999,'Hiring plan'!$H$12)),'Hiring plan'!$F$12,0)</f>
        <v>1</v>
      </c>
      <c r="N16" s="33" t="n">
        <f aca="false">IF(AND(N('Hiring plan'!$F$12)&gt;0,N$3&gt;='Hiring plan'!$G$12,N$3&lt;=IF('Hiring plan'!$H$12="",999,'Hiring plan'!$H$12)),'Hiring plan'!$F$12,0)</f>
        <v>1</v>
      </c>
      <c r="O16" s="33" t="n">
        <f aca="false">IF(AND(N('Hiring plan'!$F$12)&gt;0,O$3&gt;='Hiring plan'!$G$12,O$3&lt;=IF('Hiring plan'!$H$12="",999,'Hiring plan'!$H$12)),'Hiring plan'!$F$12,0)</f>
        <v>1</v>
      </c>
      <c r="P16" s="33" t="n">
        <f aca="false">IF(AND(N('Hiring plan'!$F$12)&gt;0,P$3&gt;='Hiring plan'!$G$12,P$3&lt;=IF('Hiring plan'!$H$12="",999,'Hiring plan'!$H$12)),'Hiring plan'!$F$12,0)</f>
        <v>1</v>
      </c>
      <c r="Q16" s="33" t="n">
        <f aca="false">IF(AND(N('Hiring plan'!$F$12)&gt;0,Q$3&gt;='Hiring plan'!$G$12,Q$3&lt;=IF('Hiring plan'!$H$12="",999,'Hiring plan'!$H$12)),'Hiring plan'!$F$12,0)</f>
        <v>1</v>
      </c>
      <c r="R16" s="33" t="n">
        <f aca="false">IF(AND(N('Hiring plan'!$F$12)&gt;0,R$3&gt;='Hiring plan'!$G$12,R$3&lt;=IF('Hiring plan'!$H$12="",999,'Hiring plan'!$H$12)),'Hiring plan'!$F$12,0)</f>
        <v>1</v>
      </c>
      <c r="S16" s="33" t="n">
        <f aca="false">IF(AND(N('Hiring plan'!$F$12)&gt;0,S$3&gt;='Hiring plan'!$G$12,S$3&lt;=IF('Hiring plan'!$H$12="",999,'Hiring plan'!$H$12)),'Hiring plan'!$F$12,0)</f>
        <v>1</v>
      </c>
      <c r="T16" s="33" t="n">
        <f aca="false">IF(AND(N('Hiring plan'!$F$12)&gt;0,T$3&gt;='Hiring plan'!$G$12,T$3&lt;=IF('Hiring plan'!$H$12="",999,'Hiring plan'!$H$12)),'Hiring plan'!$F$12,0)</f>
        <v>1</v>
      </c>
      <c r="U16" s="33" t="n">
        <f aca="false">IF(AND(N('Hiring plan'!$F$12)&gt;0,U$3&gt;='Hiring plan'!$G$12,U$3&lt;=IF('Hiring plan'!$H$12="",999,'Hiring plan'!$H$12)),'Hiring plan'!$F$12,0)</f>
        <v>1</v>
      </c>
      <c r="V16" s="33" t="n">
        <f aca="false">IF(AND(N('Hiring plan'!$F$12)&gt;0,V$3&gt;='Hiring plan'!$G$12,V$3&lt;=IF('Hiring plan'!$H$12="",999,'Hiring plan'!$H$12)),'Hiring plan'!$F$12,0)</f>
        <v>1</v>
      </c>
      <c r="W16" s="33" t="n">
        <f aca="false">IF(AND(N('Hiring plan'!$F$12)&gt;0,W$3&gt;='Hiring plan'!$G$12,W$3&lt;=IF('Hiring plan'!$H$12="",999,'Hiring plan'!$H$12)),'Hiring plan'!$F$12,0)</f>
        <v>1</v>
      </c>
      <c r="X16" s="33" t="n">
        <f aca="false">IF(AND(N('Hiring plan'!$F$12)&gt;0,X$3&gt;='Hiring plan'!$G$12,X$3&lt;=IF('Hiring plan'!$H$12="",999,'Hiring plan'!$H$12)),'Hiring plan'!$F$12,0)</f>
        <v>1</v>
      </c>
      <c r="Y16" s="33" t="n">
        <f aca="false">IF(AND(N('Hiring plan'!$F$12)&gt;0,Y$3&gt;='Hiring plan'!$G$12,Y$3&lt;=IF('Hiring plan'!$H$12="",999,'Hiring plan'!$H$12)),'Hiring plan'!$F$12,0)</f>
        <v>1</v>
      </c>
      <c r="Z16" s="33" t="n">
        <f aca="false">IF(AND(N('Hiring plan'!$F$12)&gt;0,Z$3&gt;='Hiring plan'!$G$12,Z$3&lt;=IF('Hiring plan'!$H$12="",999,'Hiring plan'!$H$12)),'Hiring plan'!$F$12,0)</f>
        <v>1</v>
      </c>
      <c r="AA16" s="33" t="n">
        <f aca="false">IF(AND(N('Hiring plan'!$F$12)&gt;0,AA$3&gt;='Hiring plan'!$G$12,AA$3&lt;=IF('Hiring plan'!$H$12="",999,'Hiring plan'!$H$12)),'Hiring plan'!$F$12,0)</f>
        <v>1</v>
      </c>
      <c r="AB16" s="33" t="n">
        <f aca="false">IF(AND(N('Hiring plan'!$F$12)&gt;0,AB$3&gt;='Hiring plan'!$G$12,AB$3&lt;=IF('Hiring plan'!$H$12="",999,'Hiring plan'!$H$12)),'Hiring plan'!$F$12,0)</f>
        <v>1</v>
      </c>
      <c r="AC16" s="33" t="n">
        <f aca="false">IF(AND(N('Hiring plan'!$F$12)&gt;0,AC$3&gt;='Hiring plan'!$G$12,AC$3&lt;=IF('Hiring plan'!$H$12="",999,'Hiring plan'!$H$12)),'Hiring plan'!$F$12,0)</f>
        <v>1</v>
      </c>
      <c r="AD16" s="33" t="n">
        <f aca="false">IF(AND(N('Hiring plan'!$F$12)&gt;0,AD$3&gt;='Hiring plan'!$G$12,AD$3&lt;=IF('Hiring plan'!$H$12="",999,'Hiring plan'!$H$12)),'Hiring plan'!$F$12,0)</f>
        <v>1</v>
      </c>
      <c r="AE16" s="33" t="n">
        <f aca="false">IF(AND(N('Hiring plan'!$F$12)&gt;0,AE$3&gt;='Hiring plan'!$G$12,AE$3&lt;=IF('Hiring plan'!$H$12="",999,'Hiring plan'!$H$12)),'Hiring plan'!$F$12,0)</f>
        <v>1</v>
      </c>
      <c r="AF16" s="33" t="n">
        <f aca="false">IF(AND(N('Hiring plan'!$F$12)&gt;0,AF$3&gt;='Hiring plan'!$G$12,AF$3&lt;=IF('Hiring plan'!$H$12="",999,'Hiring plan'!$H$12)),'Hiring plan'!$F$12,0)</f>
        <v>1</v>
      </c>
      <c r="AG16" s="33" t="n">
        <f aca="false">IF(AND(N('Hiring plan'!$F$12)&gt;0,AG$3&gt;='Hiring plan'!$G$12,AG$3&lt;=IF('Hiring plan'!$H$12="",999,'Hiring plan'!$H$12)),'Hiring plan'!$F$12,0)</f>
        <v>1</v>
      </c>
      <c r="AH16" s="33" t="n">
        <f aca="false">IF(AND(N('Hiring plan'!$F$12)&gt;0,AH$3&gt;='Hiring plan'!$G$12,AH$3&lt;=IF('Hiring plan'!$H$12="",999,'Hiring plan'!$H$12)),'Hiring plan'!$F$12,0)</f>
        <v>1</v>
      </c>
      <c r="AI16" s="33" t="n">
        <f aca="false">IF(AND(N('Hiring plan'!$F$12)&gt;0,AI$3&gt;='Hiring plan'!$G$12,AI$3&lt;=IF('Hiring plan'!$H$12="",999,'Hiring plan'!$H$12)),'Hiring plan'!$F$12,0)</f>
        <v>1</v>
      </c>
      <c r="AJ16" s="33" t="n">
        <f aca="false">IF(AND(N('Hiring plan'!$F$12)&gt;0,AJ$3&gt;='Hiring plan'!$G$12,AJ$3&lt;=IF('Hiring plan'!$H$12="",999,'Hiring plan'!$H$12)),'Hiring plan'!$F$12,0)</f>
        <v>1</v>
      </c>
      <c r="AK16" s="33" t="n">
        <f aca="false">IF(AND(N('Hiring plan'!$F$12)&gt;0,AK$3&gt;='Hiring plan'!$G$12,AK$3&lt;=IF('Hiring plan'!$H$12="",999,'Hiring plan'!$H$12)),'Hiring plan'!$F$12,0)</f>
        <v>1</v>
      </c>
      <c r="AL16" s="33" t="n">
        <f aca="false">IF(AND(N('Hiring plan'!$F$12)&gt;0,AL$3&gt;='Hiring plan'!$G$12,AL$3&lt;=IF('Hiring plan'!$H$12="",999,'Hiring plan'!$H$12)),'Hiring plan'!$F$12,0)</f>
        <v>1</v>
      </c>
      <c r="AM16" s="33" t="n">
        <f aca="false">IF(AND(N('Hiring plan'!$F$12)&gt;0,AM$3&gt;='Hiring plan'!$G$12,AM$3&lt;=IF('Hiring plan'!$H$12="",999,'Hiring plan'!$H$12)),'Hiring plan'!$F$12,0)</f>
        <v>1</v>
      </c>
      <c r="AN16" s="33" t="n">
        <f aca="false">IF(AND(N('Hiring plan'!$F$12)&gt;0,AN$3&gt;='Hiring plan'!$G$12,AN$3&lt;=IF('Hiring plan'!$H$12="",999,'Hiring plan'!$H$12)),'Hiring plan'!$F$12,0)</f>
        <v>1</v>
      </c>
      <c r="AO16" s="33" t="n">
        <f aca="false">IF(AND(N('Hiring plan'!$F$12)&gt;0,AO$3&gt;='Hiring plan'!$G$12,AO$3&lt;=IF('Hiring plan'!$H$12="",999,'Hiring plan'!$H$12)),'Hiring plan'!$F$12,0)</f>
        <v>1</v>
      </c>
      <c r="AP16" s="33" t="n">
        <f aca="false">IF(AND(N('Hiring plan'!$F$12)&gt;0,AP$3&gt;='Hiring plan'!$G$12,AP$3&lt;=IF('Hiring plan'!$H$12="",999,'Hiring plan'!$H$12)),'Hiring plan'!$F$12,0)</f>
        <v>1</v>
      </c>
      <c r="AQ16" s="33" t="n">
        <f aca="false">IF(AND(N('Hiring plan'!$F$12)&gt;0,AQ$3&gt;='Hiring plan'!$G$12,AQ$3&lt;=IF('Hiring plan'!$H$12="",999,'Hiring plan'!$H$12)),'Hiring plan'!$F$12,0)</f>
        <v>1</v>
      </c>
      <c r="AR16" s="33" t="n">
        <f aca="false">IF(AND(N('Hiring plan'!$F$12)&gt;0,AR$3&gt;='Hiring plan'!$G$12,AR$3&lt;=IF('Hiring plan'!$H$12="",999,'Hiring plan'!$H$12)),'Hiring plan'!$F$12,0)</f>
        <v>1</v>
      </c>
      <c r="AS16" s="33" t="n">
        <f aca="false">IF(AND(N('Hiring plan'!$F$12)&gt;0,AS$3&gt;='Hiring plan'!$G$12,AS$3&lt;=IF('Hiring plan'!$H$12="",999,'Hiring plan'!$H$12)),'Hiring plan'!$F$12,0)</f>
        <v>1</v>
      </c>
      <c r="AT16" s="33" t="n">
        <f aca="false">IF(AND(N('Hiring plan'!$F$12)&gt;0,AT$3&gt;='Hiring plan'!$G$12,AT$3&lt;=IF('Hiring plan'!$H$12="",999,'Hiring plan'!$H$12)),'Hiring plan'!$F$12,0)</f>
        <v>1</v>
      </c>
      <c r="AU16" s="33" t="n">
        <f aca="false">IF(AND(N('Hiring plan'!$F$12)&gt;0,AU$3&gt;='Hiring plan'!$G$12,AU$3&lt;=IF('Hiring plan'!$H$12="",999,'Hiring plan'!$H$12)),'Hiring plan'!$F$12,0)</f>
        <v>1</v>
      </c>
      <c r="AV16" s="33" t="n">
        <f aca="false">IF(AND(N('Hiring plan'!$F$12)&gt;0,AV$3&gt;='Hiring plan'!$G$12,AV$3&lt;=IF('Hiring plan'!$H$12="",999,'Hiring plan'!$H$12)),'Hiring plan'!$F$12,0)</f>
        <v>1</v>
      </c>
      <c r="AW16" s="33" t="n">
        <f aca="false">IF(AND(N('Hiring plan'!$F$12)&gt;0,AW$3&gt;='Hiring plan'!$G$12,AW$3&lt;=IF('Hiring plan'!$H$12="",999,'Hiring plan'!$H$12)),'Hiring plan'!$F$12,0)</f>
        <v>1</v>
      </c>
      <c r="AX16" s="33" t="n">
        <f aca="false">IF(AND(N('Hiring plan'!$F$12)&gt;0,AX$3&gt;='Hiring plan'!$G$12,AX$3&lt;=IF('Hiring plan'!$H$12="",999,'Hiring plan'!$H$12)),'Hiring plan'!$F$12,0)</f>
        <v>1</v>
      </c>
      <c r="AY16" s="33" t="n">
        <f aca="false">IF(AND(N('Hiring plan'!$F$12)&gt;0,AY$3&gt;='Hiring plan'!$G$12,AY$3&lt;=IF('Hiring plan'!$H$12="",999,'Hiring plan'!$H$12)),'Hiring plan'!$F$12,0)</f>
        <v>1</v>
      </c>
      <c r="AZ16" s="33" t="n">
        <f aca="false">IF(AND(N('Hiring plan'!$F$12)&gt;0,AZ$3&gt;='Hiring plan'!$G$12,AZ$3&lt;=IF('Hiring plan'!$H$12="",999,'Hiring plan'!$H$12)),'Hiring plan'!$F$12,0)</f>
        <v>1</v>
      </c>
      <c r="BA16" s="33" t="n">
        <f aca="false">IF(AND(N('Hiring plan'!$F$12)&gt;0,BA$3&gt;='Hiring plan'!$G$12,BA$3&lt;=IF('Hiring plan'!$H$12="",999,'Hiring plan'!$H$12)),'Hiring plan'!$F$12,0)</f>
        <v>1</v>
      </c>
      <c r="BB16" s="33" t="n">
        <f aca="false">IF(AND(N('Hiring plan'!$F$12)&gt;0,BB$3&gt;='Hiring plan'!$G$12,BB$3&lt;=IF('Hiring plan'!$H$12="",999,'Hiring plan'!$H$12)),'Hiring plan'!$F$12,0)</f>
        <v>1</v>
      </c>
      <c r="BC16" s="33" t="n">
        <f aca="false">IF(AND(N('Hiring plan'!$F$12)&gt;0,BC$3&gt;='Hiring plan'!$G$12,BC$3&lt;=IF('Hiring plan'!$H$12="",999,'Hiring plan'!$H$12)),'Hiring plan'!$F$12,0)</f>
        <v>1</v>
      </c>
      <c r="BD16" s="33" t="n">
        <f aca="false">IF(AND(N('Hiring plan'!$F$12)&gt;0,BD$3&gt;='Hiring plan'!$G$12,BD$3&lt;=IF('Hiring plan'!$H$12="",999,'Hiring plan'!$H$12)),'Hiring plan'!$F$12,0)</f>
        <v>1</v>
      </c>
      <c r="BE16" s="33" t="n">
        <f aca="false">IF(AND(N('Hiring plan'!$F$12)&gt;0,BE$3&gt;='Hiring plan'!$G$12,BE$3&lt;=IF('Hiring plan'!$H$12="",999,'Hiring plan'!$H$12)),'Hiring plan'!$F$12,0)</f>
        <v>1</v>
      </c>
      <c r="BF16" s="33" t="n">
        <f aca="false">IF(AND(N('Hiring plan'!$F$12)&gt;0,BF$3&gt;='Hiring plan'!$G$12,BF$3&lt;=IF('Hiring plan'!$H$12="",999,'Hiring plan'!$H$12)),'Hiring plan'!$F$12,0)</f>
        <v>1</v>
      </c>
      <c r="BG16" s="33" t="n">
        <f aca="false">IF(AND(N('Hiring plan'!$F$12)&gt;0,BG$3&gt;='Hiring plan'!$G$12,BG$3&lt;=IF('Hiring plan'!$H$12="",999,'Hiring plan'!$H$12)),'Hiring plan'!$F$12,0)</f>
        <v>1</v>
      </c>
      <c r="BH16" s="33" t="n">
        <f aca="false">IF(AND(N('Hiring plan'!$F$12)&gt;0,BH$3&gt;='Hiring plan'!$G$12,BH$3&lt;=IF('Hiring plan'!$H$12="",999,'Hiring plan'!$H$12)),'Hiring plan'!$F$12,0)</f>
        <v>1</v>
      </c>
      <c r="BI16" s="33" t="n">
        <f aca="false">IF(AND(N('Hiring plan'!$F$12)&gt;0,BI$3&gt;='Hiring plan'!$G$12,BI$3&lt;=IF('Hiring plan'!$H$12="",999,'Hiring plan'!$H$12)),'Hiring plan'!$F$12,0)</f>
        <v>1</v>
      </c>
      <c r="BJ16" s="33" t="n">
        <f aca="false">IF(AND(N('Hiring plan'!$F$12)&gt;0,BJ$3&gt;='Hiring plan'!$G$12,BJ$3&lt;=IF('Hiring plan'!$H$12="",999,'Hiring plan'!$H$12)),'Hiring plan'!$F$12,0)</f>
        <v>1</v>
      </c>
      <c r="BK16" s="33" t="n">
        <f aca="false">IF(AND(N('Hiring plan'!$F$12)&gt;0,BK$3&gt;='Hiring plan'!$G$12,BK$3&lt;=IF('Hiring plan'!$H$12="",999,'Hiring plan'!$H$12)),'Hiring plan'!$F$12,0)</f>
        <v>1</v>
      </c>
      <c r="BL16" s="33"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Product designer (UI/UX) · SN</v>
      </c>
      <c r="B17" s="14" t="s">
        <v>222</v>
      </c>
      <c r="D17" s="41" t="n">
        <f aca="false">MAX(E17:BL17)</f>
        <v>1</v>
      </c>
      <c r="E17" s="33" t="n">
        <f aca="false">IF(AND(N('Hiring plan'!$F$13)&gt;0,E$3&gt;='Hiring plan'!$G$13,E$3&lt;=IF('Hiring plan'!$H$13="",999,'Hiring plan'!$H$13)),'Hiring plan'!$F$13,0)</f>
        <v>1</v>
      </c>
      <c r="F17" s="33" t="n">
        <f aca="false">IF(AND(N('Hiring plan'!$F$13)&gt;0,F$3&gt;='Hiring plan'!$G$13,F$3&lt;=IF('Hiring plan'!$H$13="",999,'Hiring plan'!$H$13)),'Hiring plan'!$F$13,0)</f>
        <v>1</v>
      </c>
      <c r="G17" s="33" t="n">
        <f aca="false">IF(AND(N('Hiring plan'!$F$13)&gt;0,G$3&gt;='Hiring plan'!$G$13,G$3&lt;=IF('Hiring plan'!$H$13="",999,'Hiring plan'!$H$13)),'Hiring plan'!$F$13,0)</f>
        <v>1</v>
      </c>
      <c r="H17" s="33" t="n">
        <f aca="false">IF(AND(N('Hiring plan'!$F$13)&gt;0,H$3&gt;='Hiring plan'!$G$13,H$3&lt;=IF('Hiring plan'!$H$13="",999,'Hiring plan'!$H$13)),'Hiring plan'!$F$13,0)</f>
        <v>1</v>
      </c>
      <c r="I17" s="33" t="n">
        <f aca="false">IF(AND(N('Hiring plan'!$F$13)&gt;0,I$3&gt;='Hiring plan'!$G$13,I$3&lt;=IF('Hiring plan'!$H$13="",999,'Hiring plan'!$H$13)),'Hiring plan'!$F$13,0)</f>
        <v>1</v>
      </c>
      <c r="J17" s="33" t="n">
        <f aca="false">IF(AND(N('Hiring plan'!$F$13)&gt;0,J$3&gt;='Hiring plan'!$G$13,J$3&lt;=IF('Hiring plan'!$H$13="",999,'Hiring plan'!$H$13)),'Hiring plan'!$F$13,0)</f>
        <v>1</v>
      </c>
      <c r="K17" s="33" t="n">
        <f aca="false">IF(AND(N('Hiring plan'!$F$13)&gt;0,K$3&gt;='Hiring plan'!$G$13,K$3&lt;=IF('Hiring plan'!$H$13="",999,'Hiring plan'!$H$13)),'Hiring plan'!$F$13,0)</f>
        <v>1</v>
      </c>
      <c r="L17" s="33" t="n">
        <f aca="false">IF(AND(N('Hiring plan'!$F$13)&gt;0,L$3&gt;='Hiring plan'!$G$13,L$3&lt;=IF('Hiring plan'!$H$13="",999,'Hiring plan'!$H$13)),'Hiring plan'!$F$13,0)</f>
        <v>1</v>
      </c>
      <c r="M17" s="33" t="n">
        <f aca="false">IF(AND(N('Hiring plan'!$F$13)&gt;0,M$3&gt;='Hiring plan'!$G$13,M$3&lt;=IF('Hiring plan'!$H$13="",999,'Hiring plan'!$H$13)),'Hiring plan'!$F$13,0)</f>
        <v>1</v>
      </c>
      <c r="N17" s="33" t="n">
        <f aca="false">IF(AND(N('Hiring plan'!$F$13)&gt;0,N$3&gt;='Hiring plan'!$G$13,N$3&lt;=IF('Hiring plan'!$H$13="",999,'Hiring plan'!$H$13)),'Hiring plan'!$F$13,0)</f>
        <v>1</v>
      </c>
      <c r="O17" s="33" t="n">
        <f aca="false">IF(AND(N('Hiring plan'!$F$13)&gt;0,O$3&gt;='Hiring plan'!$G$13,O$3&lt;=IF('Hiring plan'!$H$13="",999,'Hiring plan'!$H$13)),'Hiring plan'!$F$13,0)</f>
        <v>1</v>
      </c>
      <c r="P17" s="33" t="n">
        <f aca="false">IF(AND(N('Hiring plan'!$F$13)&gt;0,P$3&gt;='Hiring plan'!$G$13,P$3&lt;=IF('Hiring plan'!$H$13="",999,'Hiring plan'!$H$13)),'Hiring plan'!$F$13,0)</f>
        <v>1</v>
      </c>
      <c r="Q17" s="33" t="n">
        <f aca="false">IF(AND(N('Hiring plan'!$F$13)&gt;0,Q$3&gt;='Hiring plan'!$G$13,Q$3&lt;=IF('Hiring plan'!$H$13="",999,'Hiring plan'!$H$13)),'Hiring plan'!$F$13,0)</f>
        <v>1</v>
      </c>
      <c r="R17" s="33" t="n">
        <f aca="false">IF(AND(N('Hiring plan'!$F$13)&gt;0,R$3&gt;='Hiring plan'!$G$13,R$3&lt;=IF('Hiring plan'!$H$13="",999,'Hiring plan'!$H$13)),'Hiring plan'!$F$13,0)</f>
        <v>1</v>
      </c>
      <c r="S17" s="33" t="n">
        <f aca="false">IF(AND(N('Hiring plan'!$F$13)&gt;0,S$3&gt;='Hiring plan'!$G$13,S$3&lt;=IF('Hiring plan'!$H$13="",999,'Hiring plan'!$H$13)),'Hiring plan'!$F$13,0)</f>
        <v>1</v>
      </c>
      <c r="T17" s="33" t="n">
        <f aca="false">IF(AND(N('Hiring plan'!$F$13)&gt;0,T$3&gt;='Hiring plan'!$G$13,T$3&lt;=IF('Hiring plan'!$H$13="",999,'Hiring plan'!$H$13)),'Hiring plan'!$F$13,0)</f>
        <v>1</v>
      </c>
      <c r="U17" s="33" t="n">
        <f aca="false">IF(AND(N('Hiring plan'!$F$13)&gt;0,U$3&gt;='Hiring plan'!$G$13,U$3&lt;=IF('Hiring plan'!$H$13="",999,'Hiring plan'!$H$13)),'Hiring plan'!$F$13,0)</f>
        <v>1</v>
      </c>
      <c r="V17" s="33" t="n">
        <f aca="false">IF(AND(N('Hiring plan'!$F$13)&gt;0,V$3&gt;='Hiring plan'!$G$13,V$3&lt;=IF('Hiring plan'!$H$13="",999,'Hiring plan'!$H$13)),'Hiring plan'!$F$13,0)</f>
        <v>1</v>
      </c>
      <c r="W17" s="33" t="n">
        <f aca="false">IF(AND(N('Hiring plan'!$F$13)&gt;0,W$3&gt;='Hiring plan'!$G$13,W$3&lt;=IF('Hiring plan'!$H$13="",999,'Hiring plan'!$H$13)),'Hiring plan'!$F$13,0)</f>
        <v>1</v>
      </c>
      <c r="X17" s="33" t="n">
        <f aca="false">IF(AND(N('Hiring plan'!$F$13)&gt;0,X$3&gt;='Hiring plan'!$G$13,X$3&lt;=IF('Hiring plan'!$H$13="",999,'Hiring plan'!$H$13)),'Hiring plan'!$F$13,0)</f>
        <v>1</v>
      </c>
      <c r="Y17" s="33" t="n">
        <f aca="false">IF(AND(N('Hiring plan'!$F$13)&gt;0,Y$3&gt;='Hiring plan'!$G$13,Y$3&lt;=IF('Hiring plan'!$H$13="",999,'Hiring plan'!$H$13)),'Hiring plan'!$F$13,0)</f>
        <v>1</v>
      </c>
      <c r="Z17" s="33" t="n">
        <f aca="false">IF(AND(N('Hiring plan'!$F$13)&gt;0,Z$3&gt;='Hiring plan'!$G$13,Z$3&lt;=IF('Hiring plan'!$H$13="",999,'Hiring plan'!$H$13)),'Hiring plan'!$F$13,0)</f>
        <v>1</v>
      </c>
      <c r="AA17" s="33" t="n">
        <f aca="false">IF(AND(N('Hiring plan'!$F$13)&gt;0,AA$3&gt;='Hiring plan'!$G$13,AA$3&lt;=IF('Hiring plan'!$H$13="",999,'Hiring plan'!$H$13)),'Hiring plan'!$F$13,0)</f>
        <v>1</v>
      </c>
      <c r="AB17" s="33" t="n">
        <f aca="false">IF(AND(N('Hiring plan'!$F$13)&gt;0,AB$3&gt;='Hiring plan'!$G$13,AB$3&lt;=IF('Hiring plan'!$H$13="",999,'Hiring plan'!$H$13)),'Hiring plan'!$F$13,0)</f>
        <v>1</v>
      </c>
      <c r="AC17" s="33" t="n">
        <f aca="false">IF(AND(N('Hiring plan'!$F$13)&gt;0,AC$3&gt;='Hiring plan'!$G$13,AC$3&lt;=IF('Hiring plan'!$H$13="",999,'Hiring plan'!$H$13)),'Hiring plan'!$F$13,0)</f>
        <v>1</v>
      </c>
      <c r="AD17" s="33" t="n">
        <f aca="false">IF(AND(N('Hiring plan'!$F$13)&gt;0,AD$3&gt;='Hiring plan'!$G$13,AD$3&lt;=IF('Hiring plan'!$H$13="",999,'Hiring plan'!$H$13)),'Hiring plan'!$F$13,0)</f>
        <v>1</v>
      </c>
      <c r="AE17" s="33" t="n">
        <f aca="false">IF(AND(N('Hiring plan'!$F$13)&gt;0,AE$3&gt;='Hiring plan'!$G$13,AE$3&lt;=IF('Hiring plan'!$H$13="",999,'Hiring plan'!$H$13)),'Hiring plan'!$F$13,0)</f>
        <v>1</v>
      </c>
      <c r="AF17" s="33" t="n">
        <f aca="false">IF(AND(N('Hiring plan'!$F$13)&gt;0,AF$3&gt;='Hiring plan'!$G$13,AF$3&lt;=IF('Hiring plan'!$H$13="",999,'Hiring plan'!$H$13)),'Hiring plan'!$F$13,0)</f>
        <v>1</v>
      </c>
      <c r="AG17" s="33" t="n">
        <f aca="false">IF(AND(N('Hiring plan'!$F$13)&gt;0,AG$3&gt;='Hiring plan'!$G$13,AG$3&lt;=IF('Hiring plan'!$H$13="",999,'Hiring plan'!$H$13)),'Hiring plan'!$F$13,0)</f>
        <v>1</v>
      </c>
      <c r="AH17" s="33" t="n">
        <f aca="false">IF(AND(N('Hiring plan'!$F$13)&gt;0,AH$3&gt;='Hiring plan'!$G$13,AH$3&lt;=IF('Hiring plan'!$H$13="",999,'Hiring plan'!$H$13)),'Hiring plan'!$F$13,0)</f>
        <v>1</v>
      </c>
      <c r="AI17" s="33" t="n">
        <f aca="false">IF(AND(N('Hiring plan'!$F$13)&gt;0,AI$3&gt;='Hiring plan'!$G$13,AI$3&lt;=IF('Hiring plan'!$H$13="",999,'Hiring plan'!$H$13)),'Hiring plan'!$F$13,0)</f>
        <v>1</v>
      </c>
      <c r="AJ17" s="33" t="n">
        <f aca="false">IF(AND(N('Hiring plan'!$F$13)&gt;0,AJ$3&gt;='Hiring plan'!$G$13,AJ$3&lt;=IF('Hiring plan'!$H$13="",999,'Hiring plan'!$H$13)),'Hiring plan'!$F$13,0)</f>
        <v>1</v>
      </c>
      <c r="AK17" s="33" t="n">
        <f aca="false">IF(AND(N('Hiring plan'!$F$13)&gt;0,AK$3&gt;='Hiring plan'!$G$13,AK$3&lt;=IF('Hiring plan'!$H$13="",999,'Hiring plan'!$H$13)),'Hiring plan'!$F$13,0)</f>
        <v>1</v>
      </c>
      <c r="AL17" s="33" t="n">
        <f aca="false">IF(AND(N('Hiring plan'!$F$13)&gt;0,AL$3&gt;='Hiring plan'!$G$13,AL$3&lt;=IF('Hiring plan'!$H$13="",999,'Hiring plan'!$H$13)),'Hiring plan'!$F$13,0)</f>
        <v>1</v>
      </c>
      <c r="AM17" s="33" t="n">
        <f aca="false">IF(AND(N('Hiring plan'!$F$13)&gt;0,AM$3&gt;='Hiring plan'!$G$13,AM$3&lt;=IF('Hiring plan'!$H$13="",999,'Hiring plan'!$H$13)),'Hiring plan'!$F$13,0)</f>
        <v>1</v>
      </c>
      <c r="AN17" s="33" t="n">
        <f aca="false">IF(AND(N('Hiring plan'!$F$13)&gt;0,AN$3&gt;='Hiring plan'!$G$13,AN$3&lt;=IF('Hiring plan'!$H$13="",999,'Hiring plan'!$H$13)),'Hiring plan'!$F$13,0)</f>
        <v>1</v>
      </c>
      <c r="AO17" s="33" t="n">
        <f aca="false">IF(AND(N('Hiring plan'!$F$13)&gt;0,AO$3&gt;='Hiring plan'!$G$13,AO$3&lt;=IF('Hiring plan'!$H$13="",999,'Hiring plan'!$H$13)),'Hiring plan'!$F$13,0)</f>
        <v>1</v>
      </c>
      <c r="AP17" s="33" t="n">
        <f aca="false">IF(AND(N('Hiring plan'!$F$13)&gt;0,AP$3&gt;='Hiring plan'!$G$13,AP$3&lt;=IF('Hiring plan'!$H$13="",999,'Hiring plan'!$H$13)),'Hiring plan'!$F$13,0)</f>
        <v>1</v>
      </c>
      <c r="AQ17" s="33" t="n">
        <f aca="false">IF(AND(N('Hiring plan'!$F$13)&gt;0,AQ$3&gt;='Hiring plan'!$G$13,AQ$3&lt;=IF('Hiring plan'!$H$13="",999,'Hiring plan'!$H$13)),'Hiring plan'!$F$13,0)</f>
        <v>1</v>
      </c>
      <c r="AR17" s="33" t="n">
        <f aca="false">IF(AND(N('Hiring plan'!$F$13)&gt;0,AR$3&gt;='Hiring plan'!$G$13,AR$3&lt;=IF('Hiring plan'!$H$13="",999,'Hiring plan'!$H$13)),'Hiring plan'!$F$13,0)</f>
        <v>1</v>
      </c>
      <c r="AS17" s="33" t="n">
        <f aca="false">IF(AND(N('Hiring plan'!$F$13)&gt;0,AS$3&gt;='Hiring plan'!$G$13,AS$3&lt;=IF('Hiring plan'!$H$13="",999,'Hiring plan'!$H$13)),'Hiring plan'!$F$13,0)</f>
        <v>1</v>
      </c>
      <c r="AT17" s="33" t="n">
        <f aca="false">IF(AND(N('Hiring plan'!$F$13)&gt;0,AT$3&gt;='Hiring plan'!$G$13,AT$3&lt;=IF('Hiring plan'!$H$13="",999,'Hiring plan'!$H$13)),'Hiring plan'!$F$13,0)</f>
        <v>1</v>
      </c>
      <c r="AU17" s="33" t="n">
        <f aca="false">IF(AND(N('Hiring plan'!$F$13)&gt;0,AU$3&gt;='Hiring plan'!$G$13,AU$3&lt;=IF('Hiring plan'!$H$13="",999,'Hiring plan'!$H$13)),'Hiring plan'!$F$13,0)</f>
        <v>1</v>
      </c>
      <c r="AV17" s="33" t="n">
        <f aca="false">IF(AND(N('Hiring plan'!$F$13)&gt;0,AV$3&gt;='Hiring plan'!$G$13,AV$3&lt;=IF('Hiring plan'!$H$13="",999,'Hiring plan'!$H$13)),'Hiring plan'!$F$13,0)</f>
        <v>1</v>
      </c>
      <c r="AW17" s="33" t="n">
        <f aca="false">IF(AND(N('Hiring plan'!$F$13)&gt;0,AW$3&gt;='Hiring plan'!$G$13,AW$3&lt;=IF('Hiring plan'!$H$13="",999,'Hiring plan'!$H$13)),'Hiring plan'!$F$13,0)</f>
        <v>1</v>
      </c>
      <c r="AX17" s="33" t="n">
        <f aca="false">IF(AND(N('Hiring plan'!$F$13)&gt;0,AX$3&gt;='Hiring plan'!$G$13,AX$3&lt;=IF('Hiring plan'!$H$13="",999,'Hiring plan'!$H$13)),'Hiring plan'!$F$13,0)</f>
        <v>1</v>
      </c>
      <c r="AY17" s="33" t="n">
        <f aca="false">IF(AND(N('Hiring plan'!$F$13)&gt;0,AY$3&gt;='Hiring plan'!$G$13,AY$3&lt;=IF('Hiring plan'!$H$13="",999,'Hiring plan'!$H$13)),'Hiring plan'!$F$13,0)</f>
        <v>1</v>
      </c>
      <c r="AZ17" s="33" t="n">
        <f aca="false">IF(AND(N('Hiring plan'!$F$13)&gt;0,AZ$3&gt;='Hiring plan'!$G$13,AZ$3&lt;=IF('Hiring plan'!$H$13="",999,'Hiring plan'!$H$13)),'Hiring plan'!$F$13,0)</f>
        <v>1</v>
      </c>
      <c r="BA17" s="33" t="n">
        <f aca="false">IF(AND(N('Hiring plan'!$F$13)&gt;0,BA$3&gt;='Hiring plan'!$G$13,BA$3&lt;=IF('Hiring plan'!$H$13="",999,'Hiring plan'!$H$13)),'Hiring plan'!$F$13,0)</f>
        <v>1</v>
      </c>
      <c r="BB17" s="33" t="n">
        <f aca="false">IF(AND(N('Hiring plan'!$F$13)&gt;0,BB$3&gt;='Hiring plan'!$G$13,BB$3&lt;=IF('Hiring plan'!$H$13="",999,'Hiring plan'!$H$13)),'Hiring plan'!$F$13,0)</f>
        <v>1</v>
      </c>
      <c r="BC17" s="33" t="n">
        <f aca="false">IF(AND(N('Hiring plan'!$F$13)&gt;0,BC$3&gt;='Hiring plan'!$G$13,BC$3&lt;=IF('Hiring plan'!$H$13="",999,'Hiring plan'!$H$13)),'Hiring plan'!$F$13,0)</f>
        <v>1</v>
      </c>
      <c r="BD17" s="33" t="n">
        <f aca="false">IF(AND(N('Hiring plan'!$F$13)&gt;0,BD$3&gt;='Hiring plan'!$G$13,BD$3&lt;=IF('Hiring plan'!$H$13="",999,'Hiring plan'!$H$13)),'Hiring plan'!$F$13,0)</f>
        <v>1</v>
      </c>
      <c r="BE17" s="33" t="n">
        <f aca="false">IF(AND(N('Hiring plan'!$F$13)&gt;0,BE$3&gt;='Hiring plan'!$G$13,BE$3&lt;=IF('Hiring plan'!$H$13="",999,'Hiring plan'!$H$13)),'Hiring plan'!$F$13,0)</f>
        <v>1</v>
      </c>
      <c r="BF17" s="33" t="n">
        <f aca="false">IF(AND(N('Hiring plan'!$F$13)&gt;0,BF$3&gt;='Hiring plan'!$G$13,BF$3&lt;=IF('Hiring plan'!$H$13="",999,'Hiring plan'!$H$13)),'Hiring plan'!$F$13,0)</f>
        <v>1</v>
      </c>
      <c r="BG17" s="33" t="n">
        <f aca="false">IF(AND(N('Hiring plan'!$F$13)&gt;0,BG$3&gt;='Hiring plan'!$G$13,BG$3&lt;=IF('Hiring plan'!$H$13="",999,'Hiring plan'!$H$13)),'Hiring plan'!$F$13,0)</f>
        <v>1</v>
      </c>
      <c r="BH17" s="33" t="n">
        <f aca="false">IF(AND(N('Hiring plan'!$F$13)&gt;0,BH$3&gt;='Hiring plan'!$G$13,BH$3&lt;=IF('Hiring plan'!$H$13="",999,'Hiring plan'!$H$13)),'Hiring plan'!$F$13,0)</f>
        <v>1</v>
      </c>
      <c r="BI17" s="33" t="n">
        <f aca="false">IF(AND(N('Hiring plan'!$F$13)&gt;0,BI$3&gt;='Hiring plan'!$G$13,BI$3&lt;=IF('Hiring plan'!$H$13="",999,'Hiring plan'!$H$13)),'Hiring plan'!$F$13,0)</f>
        <v>1</v>
      </c>
      <c r="BJ17" s="33" t="n">
        <f aca="false">IF(AND(N('Hiring plan'!$F$13)&gt;0,BJ$3&gt;='Hiring plan'!$G$13,BJ$3&lt;=IF('Hiring plan'!$H$13="",999,'Hiring plan'!$H$13)),'Hiring plan'!$F$13,0)</f>
        <v>1</v>
      </c>
      <c r="BK17" s="33" t="n">
        <f aca="false">IF(AND(N('Hiring plan'!$F$13)&gt;0,BK$3&gt;='Hiring plan'!$G$13,BK$3&lt;=IF('Hiring plan'!$H$13="",999,'Hiring plan'!$H$13)),'Hiring plan'!$F$13,0)</f>
        <v>1</v>
      </c>
      <c r="BL17" s="33" t="n">
        <f aca="false">IF(AND(N('Hiring plan'!$F$13)&gt;0,BL$3&gt;='Hiring plan'!$G$13,BL$3&lt;=IF('Hiring plan'!$H$13="",999,'Hiring plan'!$H$13)),'Hiring plan'!$F$13,0)</f>
        <v>1</v>
      </c>
    </row>
    <row r="18" customFormat="false" ht="15" hidden="false" customHeight="false" outlineLevel="0" collapsed="false">
      <c r="A18" s="12" t="str">
        <f aca="false">IF('Hiring plan'!$C$14="","(spare line 10)",'Hiring plan'!$C$14&amp;" · "&amp;'Hiring plan'!$D$14)</f>
        <v>Data scientist (credit scoring) · SN</v>
      </c>
      <c r="B18" s="14" t="s">
        <v>222</v>
      </c>
      <c r="D18" s="41" t="n">
        <f aca="false">MAX(E18:BL18)</f>
        <v>1</v>
      </c>
      <c r="E18" s="33" t="n">
        <f aca="false">IF(AND(N('Hiring plan'!$F$14)&gt;0,E$3&gt;='Hiring plan'!$G$14,E$3&lt;=IF('Hiring plan'!$H$14="",999,'Hiring plan'!$H$14)),'Hiring plan'!$F$14,0)</f>
        <v>0</v>
      </c>
      <c r="F18" s="33" t="n">
        <f aca="false">IF(AND(N('Hiring plan'!$F$14)&gt;0,F$3&gt;='Hiring plan'!$G$14,F$3&lt;=IF('Hiring plan'!$H$14="",999,'Hiring plan'!$H$14)),'Hiring plan'!$F$14,0)</f>
        <v>0</v>
      </c>
      <c r="G18" s="33" t="n">
        <f aca="false">IF(AND(N('Hiring plan'!$F$14)&gt;0,G$3&gt;='Hiring plan'!$G$14,G$3&lt;=IF('Hiring plan'!$H$14="",999,'Hiring plan'!$H$14)),'Hiring plan'!$F$14,0)</f>
        <v>0</v>
      </c>
      <c r="H18" s="33" t="n">
        <f aca="false">IF(AND(N('Hiring plan'!$F$14)&gt;0,H$3&gt;='Hiring plan'!$G$14,H$3&lt;=IF('Hiring plan'!$H$14="",999,'Hiring plan'!$H$14)),'Hiring plan'!$F$14,0)</f>
        <v>0</v>
      </c>
      <c r="I18" s="33" t="n">
        <f aca="false">IF(AND(N('Hiring plan'!$F$14)&gt;0,I$3&gt;='Hiring plan'!$G$14,I$3&lt;=IF('Hiring plan'!$H$14="",999,'Hiring plan'!$H$14)),'Hiring plan'!$F$14,0)</f>
        <v>0</v>
      </c>
      <c r="J18" s="33" t="n">
        <f aca="false">IF(AND(N('Hiring plan'!$F$14)&gt;0,J$3&gt;='Hiring plan'!$G$14,J$3&lt;=IF('Hiring plan'!$H$14="",999,'Hiring plan'!$H$14)),'Hiring plan'!$F$14,0)</f>
        <v>0</v>
      </c>
      <c r="K18" s="33" t="n">
        <f aca="false">IF(AND(N('Hiring plan'!$F$14)&gt;0,K$3&gt;='Hiring plan'!$G$14,K$3&lt;=IF('Hiring plan'!$H$14="",999,'Hiring plan'!$H$14)),'Hiring plan'!$F$14,0)</f>
        <v>0</v>
      </c>
      <c r="L18" s="33" t="n">
        <f aca="false">IF(AND(N('Hiring plan'!$F$14)&gt;0,L$3&gt;='Hiring plan'!$G$14,L$3&lt;=IF('Hiring plan'!$H$14="",999,'Hiring plan'!$H$14)),'Hiring plan'!$F$14,0)</f>
        <v>0</v>
      </c>
      <c r="M18" s="33" t="n">
        <f aca="false">IF(AND(N('Hiring plan'!$F$14)&gt;0,M$3&gt;='Hiring plan'!$G$14,M$3&lt;=IF('Hiring plan'!$H$14="",999,'Hiring plan'!$H$14)),'Hiring plan'!$F$14,0)</f>
        <v>0</v>
      </c>
      <c r="N18" s="33" t="n">
        <f aca="false">IF(AND(N('Hiring plan'!$F$14)&gt;0,N$3&gt;='Hiring plan'!$G$14,N$3&lt;=IF('Hiring plan'!$H$14="",999,'Hiring plan'!$H$14)),'Hiring plan'!$F$14,0)</f>
        <v>1</v>
      </c>
      <c r="O18" s="33" t="n">
        <f aca="false">IF(AND(N('Hiring plan'!$F$14)&gt;0,O$3&gt;='Hiring plan'!$G$14,O$3&lt;=IF('Hiring plan'!$H$14="",999,'Hiring plan'!$H$14)),'Hiring plan'!$F$14,0)</f>
        <v>1</v>
      </c>
      <c r="P18" s="33" t="n">
        <f aca="false">IF(AND(N('Hiring plan'!$F$14)&gt;0,P$3&gt;='Hiring plan'!$G$14,P$3&lt;=IF('Hiring plan'!$H$14="",999,'Hiring plan'!$H$14)),'Hiring plan'!$F$14,0)</f>
        <v>1</v>
      </c>
      <c r="Q18" s="33" t="n">
        <f aca="false">IF(AND(N('Hiring plan'!$F$14)&gt;0,Q$3&gt;='Hiring plan'!$G$14,Q$3&lt;=IF('Hiring plan'!$H$14="",999,'Hiring plan'!$H$14)),'Hiring plan'!$F$14,0)</f>
        <v>1</v>
      </c>
      <c r="R18" s="33" t="n">
        <f aca="false">IF(AND(N('Hiring plan'!$F$14)&gt;0,R$3&gt;='Hiring plan'!$G$14,R$3&lt;=IF('Hiring plan'!$H$14="",999,'Hiring plan'!$H$14)),'Hiring plan'!$F$14,0)</f>
        <v>1</v>
      </c>
      <c r="S18" s="33" t="n">
        <f aca="false">IF(AND(N('Hiring plan'!$F$14)&gt;0,S$3&gt;='Hiring plan'!$G$14,S$3&lt;=IF('Hiring plan'!$H$14="",999,'Hiring plan'!$H$14)),'Hiring plan'!$F$14,0)</f>
        <v>1</v>
      </c>
      <c r="T18" s="33" t="n">
        <f aca="false">IF(AND(N('Hiring plan'!$F$14)&gt;0,T$3&gt;='Hiring plan'!$G$14,T$3&lt;=IF('Hiring plan'!$H$14="",999,'Hiring plan'!$H$14)),'Hiring plan'!$F$14,0)</f>
        <v>1</v>
      </c>
      <c r="U18" s="33" t="n">
        <f aca="false">IF(AND(N('Hiring plan'!$F$14)&gt;0,U$3&gt;='Hiring plan'!$G$14,U$3&lt;=IF('Hiring plan'!$H$14="",999,'Hiring plan'!$H$14)),'Hiring plan'!$F$14,0)</f>
        <v>1</v>
      </c>
      <c r="V18" s="33" t="n">
        <f aca="false">IF(AND(N('Hiring plan'!$F$14)&gt;0,V$3&gt;='Hiring plan'!$G$14,V$3&lt;=IF('Hiring plan'!$H$14="",999,'Hiring plan'!$H$14)),'Hiring plan'!$F$14,0)</f>
        <v>1</v>
      </c>
      <c r="W18" s="33" t="n">
        <f aca="false">IF(AND(N('Hiring plan'!$F$14)&gt;0,W$3&gt;='Hiring plan'!$G$14,W$3&lt;=IF('Hiring plan'!$H$14="",999,'Hiring plan'!$H$14)),'Hiring plan'!$F$14,0)</f>
        <v>1</v>
      </c>
      <c r="X18" s="33" t="n">
        <f aca="false">IF(AND(N('Hiring plan'!$F$14)&gt;0,X$3&gt;='Hiring plan'!$G$14,X$3&lt;=IF('Hiring plan'!$H$14="",999,'Hiring plan'!$H$14)),'Hiring plan'!$F$14,0)</f>
        <v>1</v>
      </c>
      <c r="Y18" s="33" t="n">
        <f aca="false">IF(AND(N('Hiring plan'!$F$14)&gt;0,Y$3&gt;='Hiring plan'!$G$14,Y$3&lt;=IF('Hiring plan'!$H$14="",999,'Hiring plan'!$H$14)),'Hiring plan'!$F$14,0)</f>
        <v>1</v>
      </c>
      <c r="Z18" s="33" t="n">
        <f aca="false">IF(AND(N('Hiring plan'!$F$14)&gt;0,Z$3&gt;='Hiring plan'!$G$14,Z$3&lt;=IF('Hiring plan'!$H$14="",999,'Hiring plan'!$H$14)),'Hiring plan'!$F$14,0)</f>
        <v>1</v>
      </c>
      <c r="AA18" s="33" t="n">
        <f aca="false">IF(AND(N('Hiring plan'!$F$14)&gt;0,AA$3&gt;='Hiring plan'!$G$14,AA$3&lt;=IF('Hiring plan'!$H$14="",999,'Hiring plan'!$H$14)),'Hiring plan'!$F$14,0)</f>
        <v>1</v>
      </c>
      <c r="AB18" s="33" t="n">
        <f aca="false">IF(AND(N('Hiring plan'!$F$14)&gt;0,AB$3&gt;='Hiring plan'!$G$14,AB$3&lt;=IF('Hiring plan'!$H$14="",999,'Hiring plan'!$H$14)),'Hiring plan'!$F$14,0)</f>
        <v>1</v>
      </c>
      <c r="AC18" s="33" t="n">
        <f aca="false">IF(AND(N('Hiring plan'!$F$14)&gt;0,AC$3&gt;='Hiring plan'!$G$14,AC$3&lt;=IF('Hiring plan'!$H$14="",999,'Hiring plan'!$H$14)),'Hiring plan'!$F$14,0)</f>
        <v>1</v>
      </c>
      <c r="AD18" s="33" t="n">
        <f aca="false">IF(AND(N('Hiring plan'!$F$14)&gt;0,AD$3&gt;='Hiring plan'!$G$14,AD$3&lt;=IF('Hiring plan'!$H$14="",999,'Hiring plan'!$H$14)),'Hiring plan'!$F$14,0)</f>
        <v>1</v>
      </c>
      <c r="AE18" s="33" t="n">
        <f aca="false">IF(AND(N('Hiring plan'!$F$14)&gt;0,AE$3&gt;='Hiring plan'!$G$14,AE$3&lt;=IF('Hiring plan'!$H$14="",999,'Hiring plan'!$H$14)),'Hiring plan'!$F$14,0)</f>
        <v>1</v>
      </c>
      <c r="AF18" s="33" t="n">
        <f aca="false">IF(AND(N('Hiring plan'!$F$14)&gt;0,AF$3&gt;='Hiring plan'!$G$14,AF$3&lt;=IF('Hiring plan'!$H$14="",999,'Hiring plan'!$H$14)),'Hiring plan'!$F$14,0)</f>
        <v>1</v>
      </c>
      <c r="AG18" s="33" t="n">
        <f aca="false">IF(AND(N('Hiring plan'!$F$14)&gt;0,AG$3&gt;='Hiring plan'!$G$14,AG$3&lt;=IF('Hiring plan'!$H$14="",999,'Hiring plan'!$H$14)),'Hiring plan'!$F$14,0)</f>
        <v>1</v>
      </c>
      <c r="AH18" s="33" t="n">
        <f aca="false">IF(AND(N('Hiring plan'!$F$14)&gt;0,AH$3&gt;='Hiring plan'!$G$14,AH$3&lt;=IF('Hiring plan'!$H$14="",999,'Hiring plan'!$H$14)),'Hiring plan'!$F$14,0)</f>
        <v>1</v>
      </c>
      <c r="AI18" s="33" t="n">
        <f aca="false">IF(AND(N('Hiring plan'!$F$14)&gt;0,AI$3&gt;='Hiring plan'!$G$14,AI$3&lt;=IF('Hiring plan'!$H$14="",999,'Hiring plan'!$H$14)),'Hiring plan'!$F$14,0)</f>
        <v>1</v>
      </c>
      <c r="AJ18" s="33" t="n">
        <f aca="false">IF(AND(N('Hiring plan'!$F$14)&gt;0,AJ$3&gt;='Hiring plan'!$G$14,AJ$3&lt;=IF('Hiring plan'!$H$14="",999,'Hiring plan'!$H$14)),'Hiring plan'!$F$14,0)</f>
        <v>1</v>
      </c>
      <c r="AK18" s="33" t="n">
        <f aca="false">IF(AND(N('Hiring plan'!$F$14)&gt;0,AK$3&gt;='Hiring plan'!$G$14,AK$3&lt;=IF('Hiring plan'!$H$14="",999,'Hiring plan'!$H$14)),'Hiring plan'!$F$14,0)</f>
        <v>1</v>
      </c>
      <c r="AL18" s="33" t="n">
        <f aca="false">IF(AND(N('Hiring plan'!$F$14)&gt;0,AL$3&gt;='Hiring plan'!$G$14,AL$3&lt;=IF('Hiring plan'!$H$14="",999,'Hiring plan'!$H$14)),'Hiring plan'!$F$14,0)</f>
        <v>1</v>
      </c>
      <c r="AM18" s="33" t="n">
        <f aca="false">IF(AND(N('Hiring plan'!$F$14)&gt;0,AM$3&gt;='Hiring plan'!$G$14,AM$3&lt;=IF('Hiring plan'!$H$14="",999,'Hiring plan'!$H$14)),'Hiring plan'!$F$14,0)</f>
        <v>1</v>
      </c>
      <c r="AN18" s="33" t="n">
        <f aca="false">IF(AND(N('Hiring plan'!$F$14)&gt;0,AN$3&gt;='Hiring plan'!$G$14,AN$3&lt;=IF('Hiring plan'!$H$14="",999,'Hiring plan'!$H$14)),'Hiring plan'!$F$14,0)</f>
        <v>1</v>
      </c>
      <c r="AO18" s="33" t="n">
        <f aca="false">IF(AND(N('Hiring plan'!$F$14)&gt;0,AO$3&gt;='Hiring plan'!$G$14,AO$3&lt;=IF('Hiring plan'!$H$14="",999,'Hiring plan'!$H$14)),'Hiring plan'!$F$14,0)</f>
        <v>1</v>
      </c>
      <c r="AP18" s="33" t="n">
        <f aca="false">IF(AND(N('Hiring plan'!$F$14)&gt;0,AP$3&gt;='Hiring plan'!$G$14,AP$3&lt;=IF('Hiring plan'!$H$14="",999,'Hiring plan'!$H$14)),'Hiring plan'!$F$14,0)</f>
        <v>1</v>
      </c>
      <c r="AQ18" s="33" t="n">
        <f aca="false">IF(AND(N('Hiring plan'!$F$14)&gt;0,AQ$3&gt;='Hiring plan'!$G$14,AQ$3&lt;=IF('Hiring plan'!$H$14="",999,'Hiring plan'!$H$14)),'Hiring plan'!$F$14,0)</f>
        <v>1</v>
      </c>
      <c r="AR18" s="33" t="n">
        <f aca="false">IF(AND(N('Hiring plan'!$F$14)&gt;0,AR$3&gt;='Hiring plan'!$G$14,AR$3&lt;=IF('Hiring plan'!$H$14="",999,'Hiring plan'!$H$14)),'Hiring plan'!$F$14,0)</f>
        <v>1</v>
      </c>
      <c r="AS18" s="33" t="n">
        <f aca="false">IF(AND(N('Hiring plan'!$F$14)&gt;0,AS$3&gt;='Hiring plan'!$G$14,AS$3&lt;=IF('Hiring plan'!$H$14="",999,'Hiring plan'!$H$14)),'Hiring plan'!$F$14,0)</f>
        <v>1</v>
      </c>
      <c r="AT18" s="33" t="n">
        <f aca="false">IF(AND(N('Hiring plan'!$F$14)&gt;0,AT$3&gt;='Hiring plan'!$G$14,AT$3&lt;=IF('Hiring plan'!$H$14="",999,'Hiring plan'!$H$14)),'Hiring plan'!$F$14,0)</f>
        <v>1</v>
      </c>
      <c r="AU18" s="33" t="n">
        <f aca="false">IF(AND(N('Hiring plan'!$F$14)&gt;0,AU$3&gt;='Hiring plan'!$G$14,AU$3&lt;=IF('Hiring plan'!$H$14="",999,'Hiring plan'!$H$14)),'Hiring plan'!$F$14,0)</f>
        <v>1</v>
      </c>
      <c r="AV18" s="33" t="n">
        <f aca="false">IF(AND(N('Hiring plan'!$F$14)&gt;0,AV$3&gt;='Hiring plan'!$G$14,AV$3&lt;=IF('Hiring plan'!$H$14="",999,'Hiring plan'!$H$14)),'Hiring plan'!$F$14,0)</f>
        <v>1</v>
      </c>
      <c r="AW18" s="33" t="n">
        <f aca="false">IF(AND(N('Hiring plan'!$F$14)&gt;0,AW$3&gt;='Hiring plan'!$G$14,AW$3&lt;=IF('Hiring plan'!$H$14="",999,'Hiring plan'!$H$14)),'Hiring plan'!$F$14,0)</f>
        <v>1</v>
      </c>
      <c r="AX18" s="33" t="n">
        <f aca="false">IF(AND(N('Hiring plan'!$F$14)&gt;0,AX$3&gt;='Hiring plan'!$G$14,AX$3&lt;=IF('Hiring plan'!$H$14="",999,'Hiring plan'!$H$14)),'Hiring plan'!$F$14,0)</f>
        <v>1</v>
      </c>
      <c r="AY18" s="33" t="n">
        <f aca="false">IF(AND(N('Hiring plan'!$F$14)&gt;0,AY$3&gt;='Hiring plan'!$G$14,AY$3&lt;=IF('Hiring plan'!$H$14="",999,'Hiring plan'!$H$14)),'Hiring plan'!$F$14,0)</f>
        <v>1</v>
      </c>
      <c r="AZ18" s="33" t="n">
        <f aca="false">IF(AND(N('Hiring plan'!$F$14)&gt;0,AZ$3&gt;='Hiring plan'!$G$14,AZ$3&lt;=IF('Hiring plan'!$H$14="",999,'Hiring plan'!$H$14)),'Hiring plan'!$F$14,0)</f>
        <v>1</v>
      </c>
      <c r="BA18" s="33" t="n">
        <f aca="false">IF(AND(N('Hiring plan'!$F$14)&gt;0,BA$3&gt;='Hiring plan'!$G$14,BA$3&lt;=IF('Hiring plan'!$H$14="",999,'Hiring plan'!$H$14)),'Hiring plan'!$F$14,0)</f>
        <v>1</v>
      </c>
      <c r="BB18" s="33" t="n">
        <f aca="false">IF(AND(N('Hiring plan'!$F$14)&gt;0,BB$3&gt;='Hiring plan'!$G$14,BB$3&lt;=IF('Hiring plan'!$H$14="",999,'Hiring plan'!$H$14)),'Hiring plan'!$F$14,0)</f>
        <v>1</v>
      </c>
      <c r="BC18" s="33" t="n">
        <f aca="false">IF(AND(N('Hiring plan'!$F$14)&gt;0,BC$3&gt;='Hiring plan'!$G$14,BC$3&lt;=IF('Hiring plan'!$H$14="",999,'Hiring plan'!$H$14)),'Hiring plan'!$F$14,0)</f>
        <v>1</v>
      </c>
      <c r="BD18" s="33" t="n">
        <f aca="false">IF(AND(N('Hiring plan'!$F$14)&gt;0,BD$3&gt;='Hiring plan'!$G$14,BD$3&lt;=IF('Hiring plan'!$H$14="",999,'Hiring plan'!$H$14)),'Hiring plan'!$F$14,0)</f>
        <v>1</v>
      </c>
      <c r="BE18" s="33" t="n">
        <f aca="false">IF(AND(N('Hiring plan'!$F$14)&gt;0,BE$3&gt;='Hiring plan'!$G$14,BE$3&lt;=IF('Hiring plan'!$H$14="",999,'Hiring plan'!$H$14)),'Hiring plan'!$F$14,0)</f>
        <v>1</v>
      </c>
      <c r="BF18" s="33" t="n">
        <f aca="false">IF(AND(N('Hiring plan'!$F$14)&gt;0,BF$3&gt;='Hiring plan'!$G$14,BF$3&lt;=IF('Hiring plan'!$H$14="",999,'Hiring plan'!$H$14)),'Hiring plan'!$F$14,0)</f>
        <v>1</v>
      </c>
      <c r="BG18" s="33" t="n">
        <f aca="false">IF(AND(N('Hiring plan'!$F$14)&gt;0,BG$3&gt;='Hiring plan'!$G$14,BG$3&lt;=IF('Hiring plan'!$H$14="",999,'Hiring plan'!$H$14)),'Hiring plan'!$F$14,0)</f>
        <v>1</v>
      </c>
      <c r="BH18" s="33" t="n">
        <f aca="false">IF(AND(N('Hiring plan'!$F$14)&gt;0,BH$3&gt;='Hiring plan'!$G$14,BH$3&lt;=IF('Hiring plan'!$H$14="",999,'Hiring plan'!$H$14)),'Hiring plan'!$F$14,0)</f>
        <v>1</v>
      </c>
      <c r="BI18" s="33" t="n">
        <f aca="false">IF(AND(N('Hiring plan'!$F$14)&gt;0,BI$3&gt;='Hiring plan'!$G$14,BI$3&lt;=IF('Hiring plan'!$H$14="",999,'Hiring plan'!$H$14)),'Hiring plan'!$F$14,0)</f>
        <v>1</v>
      </c>
      <c r="BJ18" s="33" t="n">
        <f aca="false">IF(AND(N('Hiring plan'!$F$14)&gt;0,BJ$3&gt;='Hiring plan'!$G$14,BJ$3&lt;=IF('Hiring plan'!$H$14="",999,'Hiring plan'!$H$14)),'Hiring plan'!$F$14,0)</f>
        <v>1</v>
      </c>
      <c r="BK18" s="33" t="n">
        <f aca="false">IF(AND(N('Hiring plan'!$F$14)&gt;0,BK$3&gt;='Hiring plan'!$G$14,BK$3&lt;=IF('Hiring plan'!$H$14="",999,'Hiring plan'!$H$14)),'Hiring plan'!$F$14,0)</f>
        <v>1</v>
      </c>
      <c r="BL18" s="33" t="n">
        <f aca="false">IF(AND(N('Hiring plan'!$F$14)&gt;0,BL$3&gt;='Hiring plan'!$G$14,BL$3&lt;=IF('Hiring plan'!$H$14="",999,'Hiring plan'!$H$14)),'Hiring plan'!$F$14,0)</f>
        <v>1</v>
      </c>
    </row>
    <row r="19" customFormat="false" ht="15" hidden="false" customHeight="false" outlineLevel="0" collapsed="false">
      <c r="A19" s="12" t="str">
        <f aca="false">IF('Hiring plan'!$C$15="","(spare line 11)",'Hiring plan'!$C$15&amp;" · "&amp;'Hiring plan'!$D$15)</f>
        <v>Senior backend developer · SN</v>
      </c>
      <c r="B19" s="14" t="s">
        <v>222</v>
      </c>
      <c r="D19" s="41" t="n">
        <f aca="false">MAX(E19:BL19)</f>
        <v>1</v>
      </c>
      <c r="E19" s="33" t="n">
        <f aca="false">IF(AND(N('Hiring plan'!$F$15)&gt;0,E$3&gt;='Hiring plan'!$G$15,E$3&lt;=IF('Hiring plan'!$H$15="",999,'Hiring plan'!$H$15)),'Hiring plan'!$F$15,0)</f>
        <v>0</v>
      </c>
      <c r="F19" s="33" t="n">
        <f aca="false">IF(AND(N('Hiring plan'!$F$15)&gt;0,F$3&gt;='Hiring plan'!$G$15,F$3&lt;=IF('Hiring plan'!$H$15="",999,'Hiring plan'!$H$15)),'Hiring plan'!$F$15,0)</f>
        <v>0</v>
      </c>
      <c r="G19" s="33" t="n">
        <f aca="false">IF(AND(N('Hiring plan'!$F$15)&gt;0,G$3&gt;='Hiring plan'!$G$15,G$3&lt;=IF('Hiring plan'!$H$15="",999,'Hiring plan'!$H$15)),'Hiring plan'!$F$15,0)</f>
        <v>0</v>
      </c>
      <c r="H19" s="33" t="n">
        <f aca="false">IF(AND(N('Hiring plan'!$F$15)&gt;0,H$3&gt;='Hiring plan'!$G$15,H$3&lt;=IF('Hiring plan'!$H$15="",999,'Hiring plan'!$H$15)),'Hiring plan'!$F$15,0)</f>
        <v>0</v>
      </c>
      <c r="I19" s="33" t="n">
        <f aca="false">IF(AND(N('Hiring plan'!$F$15)&gt;0,I$3&gt;='Hiring plan'!$G$15,I$3&lt;=IF('Hiring plan'!$H$15="",999,'Hiring plan'!$H$15)),'Hiring plan'!$F$15,0)</f>
        <v>0</v>
      </c>
      <c r="J19" s="33" t="n">
        <f aca="false">IF(AND(N('Hiring plan'!$F$15)&gt;0,J$3&gt;='Hiring plan'!$G$15,J$3&lt;=IF('Hiring plan'!$H$15="",999,'Hiring plan'!$H$15)),'Hiring plan'!$F$15,0)</f>
        <v>0</v>
      </c>
      <c r="K19" s="33" t="n">
        <f aca="false">IF(AND(N('Hiring plan'!$F$15)&gt;0,K$3&gt;='Hiring plan'!$G$15,K$3&lt;=IF('Hiring plan'!$H$15="",999,'Hiring plan'!$H$15)),'Hiring plan'!$F$15,0)</f>
        <v>0</v>
      </c>
      <c r="L19" s="33" t="n">
        <f aca="false">IF(AND(N('Hiring plan'!$F$15)&gt;0,L$3&gt;='Hiring plan'!$G$15,L$3&lt;=IF('Hiring plan'!$H$15="",999,'Hiring plan'!$H$15)),'Hiring plan'!$F$15,0)</f>
        <v>0</v>
      </c>
      <c r="M19" s="33" t="n">
        <f aca="false">IF(AND(N('Hiring plan'!$F$15)&gt;0,M$3&gt;='Hiring plan'!$G$15,M$3&lt;=IF('Hiring plan'!$H$15="",999,'Hiring plan'!$H$15)),'Hiring plan'!$F$15,0)</f>
        <v>0</v>
      </c>
      <c r="N19" s="33" t="n">
        <f aca="false">IF(AND(N('Hiring plan'!$F$15)&gt;0,N$3&gt;='Hiring plan'!$G$15,N$3&lt;=IF('Hiring plan'!$H$15="",999,'Hiring plan'!$H$15)),'Hiring plan'!$F$15,0)</f>
        <v>0</v>
      </c>
      <c r="O19" s="33" t="n">
        <f aca="false">IF(AND(N('Hiring plan'!$F$15)&gt;0,O$3&gt;='Hiring plan'!$G$15,O$3&lt;=IF('Hiring plan'!$H$15="",999,'Hiring plan'!$H$15)),'Hiring plan'!$F$15,0)</f>
        <v>0</v>
      </c>
      <c r="P19" s="33" t="n">
        <f aca="false">IF(AND(N('Hiring plan'!$F$15)&gt;0,P$3&gt;='Hiring plan'!$G$15,P$3&lt;=IF('Hiring plan'!$H$15="",999,'Hiring plan'!$H$15)),'Hiring plan'!$F$15,0)</f>
        <v>0</v>
      </c>
      <c r="Q19" s="33" t="n">
        <f aca="false">IF(AND(N('Hiring plan'!$F$15)&gt;0,Q$3&gt;='Hiring plan'!$G$15,Q$3&lt;=IF('Hiring plan'!$H$15="",999,'Hiring plan'!$H$15)),'Hiring plan'!$F$15,0)</f>
        <v>0</v>
      </c>
      <c r="R19" s="33" t="n">
        <f aca="false">IF(AND(N('Hiring plan'!$F$15)&gt;0,R$3&gt;='Hiring plan'!$G$15,R$3&lt;=IF('Hiring plan'!$H$15="",999,'Hiring plan'!$H$15)),'Hiring plan'!$F$15,0)</f>
        <v>0</v>
      </c>
      <c r="S19" s="33" t="n">
        <f aca="false">IF(AND(N('Hiring plan'!$F$15)&gt;0,S$3&gt;='Hiring plan'!$G$15,S$3&lt;=IF('Hiring plan'!$H$15="",999,'Hiring plan'!$H$15)),'Hiring plan'!$F$15,0)</f>
        <v>0</v>
      </c>
      <c r="T19" s="33" t="n">
        <f aca="false">IF(AND(N('Hiring plan'!$F$15)&gt;0,T$3&gt;='Hiring plan'!$G$15,T$3&lt;=IF('Hiring plan'!$H$15="",999,'Hiring plan'!$H$15)),'Hiring plan'!$F$15,0)</f>
        <v>0</v>
      </c>
      <c r="U19" s="33" t="n">
        <f aca="false">IF(AND(N('Hiring plan'!$F$15)&gt;0,U$3&gt;='Hiring plan'!$G$15,U$3&lt;=IF('Hiring plan'!$H$15="",999,'Hiring plan'!$H$15)),'Hiring plan'!$F$15,0)</f>
        <v>0</v>
      </c>
      <c r="V19" s="33" t="n">
        <f aca="false">IF(AND(N('Hiring plan'!$F$15)&gt;0,V$3&gt;='Hiring plan'!$G$15,V$3&lt;=IF('Hiring plan'!$H$15="",999,'Hiring plan'!$H$15)),'Hiring plan'!$F$15,0)</f>
        <v>0</v>
      </c>
      <c r="W19" s="33" t="n">
        <f aca="false">IF(AND(N('Hiring plan'!$F$15)&gt;0,W$3&gt;='Hiring plan'!$G$15,W$3&lt;=IF('Hiring plan'!$H$15="",999,'Hiring plan'!$H$15)),'Hiring plan'!$F$15,0)</f>
        <v>1</v>
      </c>
      <c r="X19" s="33" t="n">
        <f aca="false">IF(AND(N('Hiring plan'!$F$15)&gt;0,X$3&gt;='Hiring plan'!$G$15,X$3&lt;=IF('Hiring plan'!$H$15="",999,'Hiring plan'!$H$15)),'Hiring plan'!$F$15,0)</f>
        <v>1</v>
      </c>
      <c r="Y19" s="33" t="n">
        <f aca="false">IF(AND(N('Hiring plan'!$F$15)&gt;0,Y$3&gt;='Hiring plan'!$G$15,Y$3&lt;=IF('Hiring plan'!$H$15="",999,'Hiring plan'!$H$15)),'Hiring plan'!$F$15,0)</f>
        <v>1</v>
      </c>
      <c r="Z19" s="33" t="n">
        <f aca="false">IF(AND(N('Hiring plan'!$F$15)&gt;0,Z$3&gt;='Hiring plan'!$G$15,Z$3&lt;=IF('Hiring plan'!$H$15="",999,'Hiring plan'!$H$15)),'Hiring plan'!$F$15,0)</f>
        <v>1</v>
      </c>
      <c r="AA19" s="33" t="n">
        <f aca="false">IF(AND(N('Hiring plan'!$F$15)&gt;0,AA$3&gt;='Hiring plan'!$G$15,AA$3&lt;=IF('Hiring plan'!$H$15="",999,'Hiring plan'!$H$15)),'Hiring plan'!$F$15,0)</f>
        <v>1</v>
      </c>
      <c r="AB19" s="33" t="n">
        <f aca="false">IF(AND(N('Hiring plan'!$F$15)&gt;0,AB$3&gt;='Hiring plan'!$G$15,AB$3&lt;=IF('Hiring plan'!$H$15="",999,'Hiring plan'!$H$15)),'Hiring plan'!$F$15,0)</f>
        <v>1</v>
      </c>
      <c r="AC19" s="33" t="n">
        <f aca="false">IF(AND(N('Hiring plan'!$F$15)&gt;0,AC$3&gt;='Hiring plan'!$G$15,AC$3&lt;=IF('Hiring plan'!$H$15="",999,'Hiring plan'!$H$15)),'Hiring plan'!$F$15,0)</f>
        <v>1</v>
      </c>
      <c r="AD19" s="33" t="n">
        <f aca="false">IF(AND(N('Hiring plan'!$F$15)&gt;0,AD$3&gt;='Hiring plan'!$G$15,AD$3&lt;=IF('Hiring plan'!$H$15="",999,'Hiring plan'!$H$15)),'Hiring plan'!$F$15,0)</f>
        <v>1</v>
      </c>
      <c r="AE19" s="33" t="n">
        <f aca="false">IF(AND(N('Hiring plan'!$F$15)&gt;0,AE$3&gt;='Hiring plan'!$G$15,AE$3&lt;=IF('Hiring plan'!$H$15="",999,'Hiring plan'!$H$15)),'Hiring plan'!$F$15,0)</f>
        <v>1</v>
      </c>
      <c r="AF19" s="33" t="n">
        <f aca="false">IF(AND(N('Hiring plan'!$F$15)&gt;0,AF$3&gt;='Hiring plan'!$G$15,AF$3&lt;=IF('Hiring plan'!$H$15="",999,'Hiring plan'!$H$15)),'Hiring plan'!$F$15,0)</f>
        <v>1</v>
      </c>
      <c r="AG19" s="33" t="n">
        <f aca="false">IF(AND(N('Hiring plan'!$F$15)&gt;0,AG$3&gt;='Hiring plan'!$G$15,AG$3&lt;=IF('Hiring plan'!$H$15="",999,'Hiring plan'!$H$15)),'Hiring plan'!$F$15,0)</f>
        <v>1</v>
      </c>
      <c r="AH19" s="33" t="n">
        <f aca="false">IF(AND(N('Hiring plan'!$F$15)&gt;0,AH$3&gt;='Hiring plan'!$G$15,AH$3&lt;=IF('Hiring plan'!$H$15="",999,'Hiring plan'!$H$15)),'Hiring plan'!$F$15,0)</f>
        <v>1</v>
      </c>
      <c r="AI19" s="33" t="n">
        <f aca="false">IF(AND(N('Hiring plan'!$F$15)&gt;0,AI$3&gt;='Hiring plan'!$G$15,AI$3&lt;=IF('Hiring plan'!$H$15="",999,'Hiring plan'!$H$15)),'Hiring plan'!$F$15,0)</f>
        <v>1</v>
      </c>
      <c r="AJ19" s="33" t="n">
        <f aca="false">IF(AND(N('Hiring plan'!$F$15)&gt;0,AJ$3&gt;='Hiring plan'!$G$15,AJ$3&lt;=IF('Hiring plan'!$H$15="",999,'Hiring plan'!$H$15)),'Hiring plan'!$F$15,0)</f>
        <v>1</v>
      </c>
      <c r="AK19" s="33" t="n">
        <f aca="false">IF(AND(N('Hiring plan'!$F$15)&gt;0,AK$3&gt;='Hiring plan'!$G$15,AK$3&lt;=IF('Hiring plan'!$H$15="",999,'Hiring plan'!$H$15)),'Hiring plan'!$F$15,0)</f>
        <v>1</v>
      </c>
      <c r="AL19" s="33" t="n">
        <f aca="false">IF(AND(N('Hiring plan'!$F$15)&gt;0,AL$3&gt;='Hiring plan'!$G$15,AL$3&lt;=IF('Hiring plan'!$H$15="",999,'Hiring plan'!$H$15)),'Hiring plan'!$F$15,0)</f>
        <v>1</v>
      </c>
      <c r="AM19" s="33" t="n">
        <f aca="false">IF(AND(N('Hiring plan'!$F$15)&gt;0,AM$3&gt;='Hiring plan'!$G$15,AM$3&lt;=IF('Hiring plan'!$H$15="",999,'Hiring plan'!$H$15)),'Hiring plan'!$F$15,0)</f>
        <v>1</v>
      </c>
      <c r="AN19" s="33" t="n">
        <f aca="false">IF(AND(N('Hiring plan'!$F$15)&gt;0,AN$3&gt;='Hiring plan'!$G$15,AN$3&lt;=IF('Hiring plan'!$H$15="",999,'Hiring plan'!$H$15)),'Hiring plan'!$F$15,0)</f>
        <v>1</v>
      </c>
      <c r="AO19" s="33" t="n">
        <f aca="false">IF(AND(N('Hiring plan'!$F$15)&gt;0,AO$3&gt;='Hiring plan'!$G$15,AO$3&lt;=IF('Hiring plan'!$H$15="",999,'Hiring plan'!$H$15)),'Hiring plan'!$F$15,0)</f>
        <v>1</v>
      </c>
      <c r="AP19" s="33" t="n">
        <f aca="false">IF(AND(N('Hiring plan'!$F$15)&gt;0,AP$3&gt;='Hiring plan'!$G$15,AP$3&lt;=IF('Hiring plan'!$H$15="",999,'Hiring plan'!$H$15)),'Hiring plan'!$F$15,0)</f>
        <v>1</v>
      </c>
      <c r="AQ19" s="33" t="n">
        <f aca="false">IF(AND(N('Hiring plan'!$F$15)&gt;0,AQ$3&gt;='Hiring plan'!$G$15,AQ$3&lt;=IF('Hiring plan'!$H$15="",999,'Hiring plan'!$H$15)),'Hiring plan'!$F$15,0)</f>
        <v>1</v>
      </c>
      <c r="AR19" s="33" t="n">
        <f aca="false">IF(AND(N('Hiring plan'!$F$15)&gt;0,AR$3&gt;='Hiring plan'!$G$15,AR$3&lt;=IF('Hiring plan'!$H$15="",999,'Hiring plan'!$H$15)),'Hiring plan'!$F$15,0)</f>
        <v>1</v>
      </c>
      <c r="AS19" s="33" t="n">
        <f aca="false">IF(AND(N('Hiring plan'!$F$15)&gt;0,AS$3&gt;='Hiring plan'!$G$15,AS$3&lt;=IF('Hiring plan'!$H$15="",999,'Hiring plan'!$H$15)),'Hiring plan'!$F$15,0)</f>
        <v>1</v>
      </c>
      <c r="AT19" s="33" t="n">
        <f aca="false">IF(AND(N('Hiring plan'!$F$15)&gt;0,AT$3&gt;='Hiring plan'!$G$15,AT$3&lt;=IF('Hiring plan'!$H$15="",999,'Hiring plan'!$H$15)),'Hiring plan'!$F$15,0)</f>
        <v>1</v>
      </c>
      <c r="AU19" s="33" t="n">
        <f aca="false">IF(AND(N('Hiring plan'!$F$15)&gt;0,AU$3&gt;='Hiring plan'!$G$15,AU$3&lt;=IF('Hiring plan'!$H$15="",999,'Hiring plan'!$H$15)),'Hiring plan'!$F$15,0)</f>
        <v>1</v>
      </c>
      <c r="AV19" s="33" t="n">
        <f aca="false">IF(AND(N('Hiring plan'!$F$15)&gt;0,AV$3&gt;='Hiring plan'!$G$15,AV$3&lt;=IF('Hiring plan'!$H$15="",999,'Hiring plan'!$H$15)),'Hiring plan'!$F$15,0)</f>
        <v>1</v>
      </c>
      <c r="AW19" s="33" t="n">
        <f aca="false">IF(AND(N('Hiring plan'!$F$15)&gt;0,AW$3&gt;='Hiring plan'!$G$15,AW$3&lt;=IF('Hiring plan'!$H$15="",999,'Hiring plan'!$H$15)),'Hiring plan'!$F$15,0)</f>
        <v>1</v>
      </c>
      <c r="AX19" s="33" t="n">
        <f aca="false">IF(AND(N('Hiring plan'!$F$15)&gt;0,AX$3&gt;='Hiring plan'!$G$15,AX$3&lt;=IF('Hiring plan'!$H$15="",999,'Hiring plan'!$H$15)),'Hiring plan'!$F$15,0)</f>
        <v>1</v>
      </c>
      <c r="AY19" s="33" t="n">
        <f aca="false">IF(AND(N('Hiring plan'!$F$15)&gt;0,AY$3&gt;='Hiring plan'!$G$15,AY$3&lt;=IF('Hiring plan'!$H$15="",999,'Hiring plan'!$H$15)),'Hiring plan'!$F$15,0)</f>
        <v>1</v>
      </c>
      <c r="AZ19" s="33" t="n">
        <f aca="false">IF(AND(N('Hiring plan'!$F$15)&gt;0,AZ$3&gt;='Hiring plan'!$G$15,AZ$3&lt;=IF('Hiring plan'!$H$15="",999,'Hiring plan'!$H$15)),'Hiring plan'!$F$15,0)</f>
        <v>1</v>
      </c>
      <c r="BA19" s="33" t="n">
        <f aca="false">IF(AND(N('Hiring plan'!$F$15)&gt;0,BA$3&gt;='Hiring plan'!$G$15,BA$3&lt;=IF('Hiring plan'!$H$15="",999,'Hiring plan'!$H$15)),'Hiring plan'!$F$15,0)</f>
        <v>1</v>
      </c>
      <c r="BB19" s="33" t="n">
        <f aca="false">IF(AND(N('Hiring plan'!$F$15)&gt;0,BB$3&gt;='Hiring plan'!$G$15,BB$3&lt;=IF('Hiring plan'!$H$15="",999,'Hiring plan'!$H$15)),'Hiring plan'!$F$15,0)</f>
        <v>1</v>
      </c>
      <c r="BC19" s="33" t="n">
        <f aca="false">IF(AND(N('Hiring plan'!$F$15)&gt;0,BC$3&gt;='Hiring plan'!$G$15,BC$3&lt;=IF('Hiring plan'!$H$15="",999,'Hiring plan'!$H$15)),'Hiring plan'!$F$15,0)</f>
        <v>1</v>
      </c>
      <c r="BD19" s="33" t="n">
        <f aca="false">IF(AND(N('Hiring plan'!$F$15)&gt;0,BD$3&gt;='Hiring plan'!$G$15,BD$3&lt;=IF('Hiring plan'!$H$15="",999,'Hiring plan'!$H$15)),'Hiring plan'!$F$15,0)</f>
        <v>1</v>
      </c>
      <c r="BE19" s="33" t="n">
        <f aca="false">IF(AND(N('Hiring plan'!$F$15)&gt;0,BE$3&gt;='Hiring plan'!$G$15,BE$3&lt;=IF('Hiring plan'!$H$15="",999,'Hiring plan'!$H$15)),'Hiring plan'!$F$15,0)</f>
        <v>1</v>
      </c>
      <c r="BF19" s="33" t="n">
        <f aca="false">IF(AND(N('Hiring plan'!$F$15)&gt;0,BF$3&gt;='Hiring plan'!$G$15,BF$3&lt;=IF('Hiring plan'!$H$15="",999,'Hiring plan'!$H$15)),'Hiring plan'!$F$15,0)</f>
        <v>1</v>
      </c>
      <c r="BG19" s="33" t="n">
        <f aca="false">IF(AND(N('Hiring plan'!$F$15)&gt;0,BG$3&gt;='Hiring plan'!$G$15,BG$3&lt;=IF('Hiring plan'!$H$15="",999,'Hiring plan'!$H$15)),'Hiring plan'!$F$15,0)</f>
        <v>1</v>
      </c>
      <c r="BH19" s="33" t="n">
        <f aca="false">IF(AND(N('Hiring plan'!$F$15)&gt;0,BH$3&gt;='Hiring plan'!$G$15,BH$3&lt;=IF('Hiring plan'!$H$15="",999,'Hiring plan'!$H$15)),'Hiring plan'!$F$15,0)</f>
        <v>1</v>
      </c>
      <c r="BI19" s="33" t="n">
        <f aca="false">IF(AND(N('Hiring plan'!$F$15)&gt;0,BI$3&gt;='Hiring plan'!$G$15,BI$3&lt;=IF('Hiring plan'!$H$15="",999,'Hiring plan'!$H$15)),'Hiring plan'!$F$15,0)</f>
        <v>1</v>
      </c>
      <c r="BJ19" s="33" t="n">
        <f aca="false">IF(AND(N('Hiring plan'!$F$15)&gt;0,BJ$3&gt;='Hiring plan'!$G$15,BJ$3&lt;=IF('Hiring plan'!$H$15="",999,'Hiring plan'!$H$15)),'Hiring plan'!$F$15,0)</f>
        <v>1</v>
      </c>
      <c r="BK19" s="33" t="n">
        <f aca="false">IF(AND(N('Hiring plan'!$F$15)&gt;0,BK$3&gt;='Hiring plan'!$G$15,BK$3&lt;=IF('Hiring plan'!$H$15="",999,'Hiring plan'!$H$15)),'Hiring plan'!$F$15,0)</f>
        <v>1</v>
      </c>
      <c r="BL19" s="33" t="n">
        <f aca="false">IF(AND(N('Hiring plan'!$F$15)&gt;0,BL$3&gt;='Hiring plan'!$G$15,BL$3&lt;=IF('Hiring plan'!$H$15="",999,'Hiring plan'!$H$15)),'Hiring plan'!$F$15,0)</f>
        <v>1</v>
      </c>
    </row>
    <row r="20" customFormat="false" ht="15" hidden="false" customHeight="false" outlineLevel="0" collapsed="false">
      <c r="A20" s="12" t="str">
        <f aca="false">IF('Hiring plan'!$C$16="","(spare line 12)",'Hiring plan'!$C$16&amp;" · "&amp;'Hiring plan'!$D$16)</f>
        <v>Full-stack web developer · SN</v>
      </c>
      <c r="B20" s="14" t="s">
        <v>222</v>
      </c>
      <c r="D20" s="41" t="n">
        <f aca="false">MAX(E20:BL20)</f>
        <v>1</v>
      </c>
      <c r="E20" s="33" t="n">
        <f aca="false">IF(AND(N('Hiring plan'!$F$16)&gt;0,E$3&gt;='Hiring plan'!$G$16,E$3&lt;=IF('Hiring plan'!$H$16="",999,'Hiring plan'!$H$16)),'Hiring plan'!$F$16,0)</f>
        <v>0</v>
      </c>
      <c r="F20" s="33" t="n">
        <f aca="false">IF(AND(N('Hiring plan'!$F$16)&gt;0,F$3&gt;='Hiring plan'!$G$16,F$3&lt;=IF('Hiring plan'!$H$16="",999,'Hiring plan'!$H$16)),'Hiring plan'!$F$16,0)</f>
        <v>0</v>
      </c>
      <c r="G20" s="33" t="n">
        <f aca="false">IF(AND(N('Hiring plan'!$F$16)&gt;0,G$3&gt;='Hiring plan'!$G$16,G$3&lt;=IF('Hiring plan'!$H$16="",999,'Hiring plan'!$H$16)),'Hiring plan'!$F$16,0)</f>
        <v>0</v>
      </c>
      <c r="H20" s="33" t="n">
        <f aca="false">IF(AND(N('Hiring plan'!$F$16)&gt;0,H$3&gt;='Hiring plan'!$G$16,H$3&lt;=IF('Hiring plan'!$H$16="",999,'Hiring plan'!$H$16)),'Hiring plan'!$F$16,0)</f>
        <v>0</v>
      </c>
      <c r="I20" s="33" t="n">
        <f aca="false">IF(AND(N('Hiring plan'!$F$16)&gt;0,I$3&gt;='Hiring plan'!$G$16,I$3&lt;=IF('Hiring plan'!$H$16="",999,'Hiring plan'!$H$16)),'Hiring plan'!$F$16,0)</f>
        <v>0</v>
      </c>
      <c r="J20" s="33" t="n">
        <f aca="false">IF(AND(N('Hiring plan'!$F$16)&gt;0,J$3&gt;='Hiring plan'!$G$16,J$3&lt;=IF('Hiring plan'!$H$16="",999,'Hiring plan'!$H$16)),'Hiring plan'!$F$16,0)</f>
        <v>0</v>
      </c>
      <c r="K20" s="33" t="n">
        <f aca="false">IF(AND(N('Hiring plan'!$F$16)&gt;0,K$3&gt;='Hiring plan'!$G$16,K$3&lt;=IF('Hiring plan'!$H$16="",999,'Hiring plan'!$H$16)),'Hiring plan'!$F$16,0)</f>
        <v>0</v>
      </c>
      <c r="L20" s="33" t="n">
        <f aca="false">IF(AND(N('Hiring plan'!$F$16)&gt;0,L$3&gt;='Hiring plan'!$G$16,L$3&lt;=IF('Hiring plan'!$H$16="",999,'Hiring plan'!$H$16)),'Hiring plan'!$F$16,0)</f>
        <v>0</v>
      </c>
      <c r="M20" s="33" t="n">
        <f aca="false">IF(AND(N('Hiring plan'!$F$16)&gt;0,M$3&gt;='Hiring plan'!$G$16,M$3&lt;=IF('Hiring plan'!$H$16="",999,'Hiring plan'!$H$16)),'Hiring plan'!$F$16,0)</f>
        <v>0</v>
      </c>
      <c r="N20" s="33" t="n">
        <f aca="false">IF(AND(N('Hiring plan'!$F$16)&gt;0,N$3&gt;='Hiring plan'!$G$16,N$3&lt;=IF('Hiring plan'!$H$16="",999,'Hiring plan'!$H$16)),'Hiring plan'!$F$16,0)</f>
        <v>0</v>
      </c>
      <c r="O20" s="33" t="n">
        <f aca="false">IF(AND(N('Hiring plan'!$F$16)&gt;0,O$3&gt;='Hiring plan'!$G$16,O$3&lt;=IF('Hiring plan'!$H$16="",999,'Hiring plan'!$H$16)),'Hiring plan'!$F$16,0)</f>
        <v>0</v>
      </c>
      <c r="P20" s="33" t="n">
        <f aca="false">IF(AND(N('Hiring plan'!$F$16)&gt;0,P$3&gt;='Hiring plan'!$G$16,P$3&lt;=IF('Hiring plan'!$H$16="",999,'Hiring plan'!$H$16)),'Hiring plan'!$F$16,0)</f>
        <v>0</v>
      </c>
      <c r="Q20" s="33" t="n">
        <f aca="false">IF(AND(N('Hiring plan'!$F$16)&gt;0,Q$3&gt;='Hiring plan'!$G$16,Q$3&lt;=IF('Hiring plan'!$H$16="",999,'Hiring plan'!$H$16)),'Hiring plan'!$F$16,0)</f>
        <v>0</v>
      </c>
      <c r="R20" s="33" t="n">
        <f aca="false">IF(AND(N('Hiring plan'!$F$16)&gt;0,R$3&gt;='Hiring plan'!$G$16,R$3&lt;=IF('Hiring plan'!$H$16="",999,'Hiring plan'!$H$16)),'Hiring plan'!$F$16,0)</f>
        <v>0</v>
      </c>
      <c r="S20" s="33" t="n">
        <f aca="false">IF(AND(N('Hiring plan'!$F$16)&gt;0,S$3&gt;='Hiring plan'!$G$16,S$3&lt;=IF('Hiring plan'!$H$16="",999,'Hiring plan'!$H$16)),'Hiring plan'!$F$16,0)</f>
        <v>0</v>
      </c>
      <c r="T20" s="33" t="n">
        <f aca="false">IF(AND(N('Hiring plan'!$F$16)&gt;0,T$3&gt;='Hiring plan'!$G$16,T$3&lt;=IF('Hiring plan'!$H$16="",999,'Hiring plan'!$H$16)),'Hiring plan'!$F$16,0)</f>
        <v>0</v>
      </c>
      <c r="U20" s="33" t="n">
        <f aca="false">IF(AND(N('Hiring plan'!$F$16)&gt;0,U$3&gt;='Hiring plan'!$G$16,U$3&lt;=IF('Hiring plan'!$H$16="",999,'Hiring plan'!$H$16)),'Hiring plan'!$F$16,0)</f>
        <v>0</v>
      </c>
      <c r="V20" s="33" t="n">
        <f aca="false">IF(AND(N('Hiring plan'!$F$16)&gt;0,V$3&gt;='Hiring plan'!$G$16,V$3&lt;=IF('Hiring plan'!$H$16="",999,'Hiring plan'!$H$16)),'Hiring plan'!$F$16,0)</f>
        <v>0</v>
      </c>
      <c r="W20" s="33" t="n">
        <f aca="false">IF(AND(N('Hiring plan'!$F$16)&gt;0,W$3&gt;='Hiring plan'!$G$16,W$3&lt;=IF('Hiring plan'!$H$16="",999,'Hiring plan'!$H$16)),'Hiring plan'!$F$16,0)</f>
        <v>1</v>
      </c>
      <c r="X20" s="33" t="n">
        <f aca="false">IF(AND(N('Hiring plan'!$F$16)&gt;0,X$3&gt;='Hiring plan'!$G$16,X$3&lt;=IF('Hiring plan'!$H$16="",999,'Hiring plan'!$H$16)),'Hiring plan'!$F$16,0)</f>
        <v>1</v>
      </c>
      <c r="Y20" s="33" t="n">
        <f aca="false">IF(AND(N('Hiring plan'!$F$16)&gt;0,Y$3&gt;='Hiring plan'!$G$16,Y$3&lt;=IF('Hiring plan'!$H$16="",999,'Hiring plan'!$H$16)),'Hiring plan'!$F$16,0)</f>
        <v>1</v>
      </c>
      <c r="Z20" s="33" t="n">
        <f aca="false">IF(AND(N('Hiring plan'!$F$16)&gt;0,Z$3&gt;='Hiring plan'!$G$16,Z$3&lt;=IF('Hiring plan'!$H$16="",999,'Hiring plan'!$H$16)),'Hiring plan'!$F$16,0)</f>
        <v>1</v>
      </c>
      <c r="AA20" s="33" t="n">
        <f aca="false">IF(AND(N('Hiring plan'!$F$16)&gt;0,AA$3&gt;='Hiring plan'!$G$16,AA$3&lt;=IF('Hiring plan'!$H$16="",999,'Hiring plan'!$H$16)),'Hiring plan'!$F$16,0)</f>
        <v>1</v>
      </c>
      <c r="AB20" s="33" t="n">
        <f aca="false">IF(AND(N('Hiring plan'!$F$16)&gt;0,AB$3&gt;='Hiring plan'!$G$16,AB$3&lt;=IF('Hiring plan'!$H$16="",999,'Hiring plan'!$H$16)),'Hiring plan'!$F$16,0)</f>
        <v>1</v>
      </c>
      <c r="AC20" s="33" t="n">
        <f aca="false">IF(AND(N('Hiring plan'!$F$16)&gt;0,AC$3&gt;='Hiring plan'!$G$16,AC$3&lt;=IF('Hiring plan'!$H$16="",999,'Hiring plan'!$H$16)),'Hiring plan'!$F$16,0)</f>
        <v>1</v>
      </c>
      <c r="AD20" s="33" t="n">
        <f aca="false">IF(AND(N('Hiring plan'!$F$16)&gt;0,AD$3&gt;='Hiring plan'!$G$16,AD$3&lt;=IF('Hiring plan'!$H$16="",999,'Hiring plan'!$H$16)),'Hiring plan'!$F$16,0)</f>
        <v>1</v>
      </c>
      <c r="AE20" s="33" t="n">
        <f aca="false">IF(AND(N('Hiring plan'!$F$16)&gt;0,AE$3&gt;='Hiring plan'!$G$16,AE$3&lt;=IF('Hiring plan'!$H$16="",999,'Hiring plan'!$H$16)),'Hiring plan'!$F$16,0)</f>
        <v>1</v>
      </c>
      <c r="AF20" s="33" t="n">
        <f aca="false">IF(AND(N('Hiring plan'!$F$16)&gt;0,AF$3&gt;='Hiring plan'!$G$16,AF$3&lt;=IF('Hiring plan'!$H$16="",999,'Hiring plan'!$H$16)),'Hiring plan'!$F$16,0)</f>
        <v>1</v>
      </c>
      <c r="AG20" s="33" t="n">
        <f aca="false">IF(AND(N('Hiring plan'!$F$16)&gt;0,AG$3&gt;='Hiring plan'!$G$16,AG$3&lt;=IF('Hiring plan'!$H$16="",999,'Hiring plan'!$H$16)),'Hiring plan'!$F$16,0)</f>
        <v>1</v>
      </c>
      <c r="AH20" s="33" t="n">
        <f aca="false">IF(AND(N('Hiring plan'!$F$16)&gt;0,AH$3&gt;='Hiring plan'!$G$16,AH$3&lt;=IF('Hiring plan'!$H$16="",999,'Hiring plan'!$H$16)),'Hiring plan'!$F$16,0)</f>
        <v>1</v>
      </c>
      <c r="AI20" s="33" t="n">
        <f aca="false">IF(AND(N('Hiring plan'!$F$16)&gt;0,AI$3&gt;='Hiring plan'!$G$16,AI$3&lt;=IF('Hiring plan'!$H$16="",999,'Hiring plan'!$H$16)),'Hiring plan'!$F$16,0)</f>
        <v>1</v>
      </c>
      <c r="AJ20" s="33" t="n">
        <f aca="false">IF(AND(N('Hiring plan'!$F$16)&gt;0,AJ$3&gt;='Hiring plan'!$G$16,AJ$3&lt;=IF('Hiring plan'!$H$16="",999,'Hiring plan'!$H$16)),'Hiring plan'!$F$16,0)</f>
        <v>1</v>
      </c>
      <c r="AK20" s="33" t="n">
        <f aca="false">IF(AND(N('Hiring plan'!$F$16)&gt;0,AK$3&gt;='Hiring plan'!$G$16,AK$3&lt;=IF('Hiring plan'!$H$16="",999,'Hiring plan'!$H$16)),'Hiring plan'!$F$16,0)</f>
        <v>1</v>
      </c>
      <c r="AL20" s="33" t="n">
        <f aca="false">IF(AND(N('Hiring plan'!$F$16)&gt;0,AL$3&gt;='Hiring plan'!$G$16,AL$3&lt;=IF('Hiring plan'!$H$16="",999,'Hiring plan'!$H$16)),'Hiring plan'!$F$16,0)</f>
        <v>1</v>
      </c>
      <c r="AM20" s="33" t="n">
        <f aca="false">IF(AND(N('Hiring plan'!$F$16)&gt;0,AM$3&gt;='Hiring plan'!$G$16,AM$3&lt;=IF('Hiring plan'!$H$16="",999,'Hiring plan'!$H$16)),'Hiring plan'!$F$16,0)</f>
        <v>1</v>
      </c>
      <c r="AN20" s="33" t="n">
        <f aca="false">IF(AND(N('Hiring plan'!$F$16)&gt;0,AN$3&gt;='Hiring plan'!$G$16,AN$3&lt;=IF('Hiring plan'!$H$16="",999,'Hiring plan'!$H$16)),'Hiring plan'!$F$16,0)</f>
        <v>1</v>
      </c>
      <c r="AO20" s="33" t="n">
        <f aca="false">IF(AND(N('Hiring plan'!$F$16)&gt;0,AO$3&gt;='Hiring plan'!$G$16,AO$3&lt;=IF('Hiring plan'!$H$16="",999,'Hiring plan'!$H$16)),'Hiring plan'!$F$16,0)</f>
        <v>1</v>
      </c>
      <c r="AP20" s="33" t="n">
        <f aca="false">IF(AND(N('Hiring plan'!$F$16)&gt;0,AP$3&gt;='Hiring plan'!$G$16,AP$3&lt;=IF('Hiring plan'!$H$16="",999,'Hiring plan'!$H$16)),'Hiring plan'!$F$16,0)</f>
        <v>1</v>
      </c>
      <c r="AQ20" s="33" t="n">
        <f aca="false">IF(AND(N('Hiring plan'!$F$16)&gt;0,AQ$3&gt;='Hiring plan'!$G$16,AQ$3&lt;=IF('Hiring plan'!$H$16="",999,'Hiring plan'!$H$16)),'Hiring plan'!$F$16,0)</f>
        <v>1</v>
      </c>
      <c r="AR20" s="33" t="n">
        <f aca="false">IF(AND(N('Hiring plan'!$F$16)&gt;0,AR$3&gt;='Hiring plan'!$G$16,AR$3&lt;=IF('Hiring plan'!$H$16="",999,'Hiring plan'!$H$16)),'Hiring plan'!$F$16,0)</f>
        <v>1</v>
      </c>
      <c r="AS20" s="33" t="n">
        <f aca="false">IF(AND(N('Hiring plan'!$F$16)&gt;0,AS$3&gt;='Hiring plan'!$G$16,AS$3&lt;=IF('Hiring plan'!$H$16="",999,'Hiring plan'!$H$16)),'Hiring plan'!$F$16,0)</f>
        <v>1</v>
      </c>
      <c r="AT20" s="33" t="n">
        <f aca="false">IF(AND(N('Hiring plan'!$F$16)&gt;0,AT$3&gt;='Hiring plan'!$G$16,AT$3&lt;=IF('Hiring plan'!$H$16="",999,'Hiring plan'!$H$16)),'Hiring plan'!$F$16,0)</f>
        <v>1</v>
      </c>
      <c r="AU20" s="33" t="n">
        <f aca="false">IF(AND(N('Hiring plan'!$F$16)&gt;0,AU$3&gt;='Hiring plan'!$G$16,AU$3&lt;=IF('Hiring plan'!$H$16="",999,'Hiring plan'!$H$16)),'Hiring plan'!$F$16,0)</f>
        <v>1</v>
      </c>
      <c r="AV20" s="33" t="n">
        <f aca="false">IF(AND(N('Hiring plan'!$F$16)&gt;0,AV$3&gt;='Hiring plan'!$G$16,AV$3&lt;=IF('Hiring plan'!$H$16="",999,'Hiring plan'!$H$16)),'Hiring plan'!$F$16,0)</f>
        <v>1</v>
      </c>
      <c r="AW20" s="33" t="n">
        <f aca="false">IF(AND(N('Hiring plan'!$F$16)&gt;0,AW$3&gt;='Hiring plan'!$G$16,AW$3&lt;=IF('Hiring plan'!$H$16="",999,'Hiring plan'!$H$16)),'Hiring plan'!$F$16,0)</f>
        <v>1</v>
      </c>
      <c r="AX20" s="33" t="n">
        <f aca="false">IF(AND(N('Hiring plan'!$F$16)&gt;0,AX$3&gt;='Hiring plan'!$G$16,AX$3&lt;=IF('Hiring plan'!$H$16="",999,'Hiring plan'!$H$16)),'Hiring plan'!$F$16,0)</f>
        <v>1</v>
      </c>
      <c r="AY20" s="33" t="n">
        <f aca="false">IF(AND(N('Hiring plan'!$F$16)&gt;0,AY$3&gt;='Hiring plan'!$G$16,AY$3&lt;=IF('Hiring plan'!$H$16="",999,'Hiring plan'!$H$16)),'Hiring plan'!$F$16,0)</f>
        <v>1</v>
      </c>
      <c r="AZ20" s="33" t="n">
        <f aca="false">IF(AND(N('Hiring plan'!$F$16)&gt;0,AZ$3&gt;='Hiring plan'!$G$16,AZ$3&lt;=IF('Hiring plan'!$H$16="",999,'Hiring plan'!$H$16)),'Hiring plan'!$F$16,0)</f>
        <v>1</v>
      </c>
      <c r="BA20" s="33" t="n">
        <f aca="false">IF(AND(N('Hiring plan'!$F$16)&gt;0,BA$3&gt;='Hiring plan'!$G$16,BA$3&lt;=IF('Hiring plan'!$H$16="",999,'Hiring plan'!$H$16)),'Hiring plan'!$F$16,0)</f>
        <v>1</v>
      </c>
      <c r="BB20" s="33" t="n">
        <f aca="false">IF(AND(N('Hiring plan'!$F$16)&gt;0,BB$3&gt;='Hiring plan'!$G$16,BB$3&lt;=IF('Hiring plan'!$H$16="",999,'Hiring plan'!$H$16)),'Hiring plan'!$F$16,0)</f>
        <v>1</v>
      </c>
      <c r="BC20" s="33" t="n">
        <f aca="false">IF(AND(N('Hiring plan'!$F$16)&gt;0,BC$3&gt;='Hiring plan'!$G$16,BC$3&lt;=IF('Hiring plan'!$H$16="",999,'Hiring plan'!$H$16)),'Hiring plan'!$F$16,0)</f>
        <v>1</v>
      </c>
      <c r="BD20" s="33" t="n">
        <f aca="false">IF(AND(N('Hiring plan'!$F$16)&gt;0,BD$3&gt;='Hiring plan'!$G$16,BD$3&lt;=IF('Hiring plan'!$H$16="",999,'Hiring plan'!$H$16)),'Hiring plan'!$F$16,0)</f>
        <v>1</v>
      </c>
      <c r="BE20" s="33" t="n">
        <f aca="false">IF(AND(N('Hiring plan'!$F$16)&gt;0,BE$3&gt;='Hiring plan'!$G$16,BE$3&lt;=IF('Hiring plan'!$H$16="",999,'Hiring plan'!$H$16)),'Hiring plan'!$F$16,0)</f>
        <v>1</v>
      </c>
      <c r="BF20" s="33" t="n">
        <f aca="false">IF(AND(N('Hiring plan'!$F$16)&gt;0,BF$3&gt;='Hiring plan'!$G$16,BF$3&lt;=IF('Hiring plan'!$H$16="",999,'Hiring plan'!$H$16)),'Hiring plan'!$F$16,0)</f>
        <v>1</v>
      </c>
      <c r="BG20" s="33" t="n">
        <f aca="false">IF(AND(N('Hiring plan'!$F$16)&gt;0,BG$3&gt;='Hiring plan'!$G$16,BG$3&lt;=IF('Hiring plan'!$H$16="",999,'Hiring plan'!$H$16)),'Hiring plan'!$F$16,0)</f>
        <v>1</v>
      </c>
      <c r="BH20" s="33" t="n">
        <f aca="false">IF(AND(N('Hiring plan'!$F$16)&gt;0,BH$3&gt;='Hiring plan'!$G$16,BH$3&lt;=IF('Hiring plan'!$H$16="",999,'Hiring plan'!$H$16)),'Hiring plan'!$F$16,0)</f>
        <v>1</v>
      </c>
      <c r="BI20" s="33" t="n">
        <f aca="false">IF(AND(N('Hiring plan'!$F$16)&gt;0,BI$3&gt;='Hiring plan'!$G$16,BI$3&lt;=IF('Hiring plan'!$H$16="",999,'Hiring plan'!$H$16)),'Hiring plan'!$F$16,0)</f>
        <v>1</v>
      </c>
      <c r="BJ20" s="33" t="n">
        <f aca="false">IF(AND(N('Hiring plan'!$F$16)&gt;0,BJ$3&gt;='Hiring plan'!$G$16,BJ$3&lt;=IF('Hiring plan'!$H$16="",999,'Hiring plan'!$H$16)),'Hiring plan'!$F$16,0)</f>
        <v>1</v>
      </c>
      <c r="BK20" s="33" t="n">
        <f aca="false">IF(AND(N('Hiring plan'!$F$16)&gt;0,BK$3&gt;='Hiring plan'!$G$16,BK$3&lt;=IF('Hiring plan'!$H$16="",999,'Hiring plan'!$H$16)),'Hiring plan'!$F$16,0)</f>
        <v>1</v>
      </c>
      <c r="BL20" s="33" t="n">
        <f aca="false">IF(AND(N('Hiring plan'!$F$16)&gt;0,BL$3&gt;='Hiring plan'!$G$16,BL$3&lt;=IF('Hiring plan'!$H$16="",999,'Hiring plan'!$H$16)),'Hiring plan'!$F$16,0)</f>
        <v>1</v>
      </c>
    </row>
    <row r="21" customFormat="false" ht="15" hidden="false" customHeight="false" outlineLevel="0" collapsed="false">
      <c r="A21" s="12" t="str">
        <f aca="false">IF('Hiring plan'!$C$17="","(spare line 13)",'Hiring plan'!$C$17&amp;" · "&amp;'Hiring plan'!$D$17)</f>
        <v>Product manager · SN</v>
      </c>
      <c r="B21" s="14" t="s">
        <v>222</v>
      </c>
      <c r="D21" s="41" t="n">
        <f aca="false">MAX(E21:BL21)</f>
        <v>1</v>
      </c>
      <c r="E21" s="33" t="n">
        <f aca="false">IF(AND(N('Hiring plan'!$F$17)&gt;0,E$3&gt;='Hiring plan'!$G$17,E$3&lt;=IF('Hiring plan'!$H$17="",999,'Hiring plan'!$H$17)),'Hiring plan'!$F$17,0)</f>
        <v>0</v>
      </c>
      <c r="F21" s="33" t="n">
        <f aca="false">IF(AND(N('Hiring plan'!$F$17)&gt;0,F$3&gt;='Hiring plan'!$G$17,F$3&lt;=IF('Hiring plan'!$H$17="",999,'Hiring plan'!$H$17)),'Hiring plan'!$F$17,0)</f>
        <v>0</v>
      </c>
      <c r="G21" s="33" t="n">
        <f aca="false">IF(AND(N('Hiring plan'!$F$17)&gt;0,G$3&gt;='Hiring plan'!$G$17,G$3&lt;=IF('Hiring plan'!$H$17="",999,'Hiring plan'!$H$17)),'Hiring plan'!$F$17,0)</f>
        <v>0</v>
      </c>
      <c r="H21" s="33" t="n">
        <f aca="false">IF(AND(N('Hiring plan'!$F$17)&gt;0,H$3&gt;='Hiring plan'!$G$17,H$3&lt;=IF('Hiring plan'!$H$17="",999,'Hiring plan'!$H$17)),'Hiring plan'!$F$17,0)</f>
        <v>0</v>
      </c>
      <c r="I21" s="33" t="n">
        <f aca="false">IF(AND(N('Hiring plan'!$F$17)&gt;0,I$3&gt;='Hiring plan'!$G$17,I$3&lt;=IF('Hiring plan'!$H$17="",999,'Hiring plan'!$H$17)),'Hiring plan'!$F$17,0)</f>
        <v>0</v>
      </c>
      <c r="J21" s="33" t="n">
        <f aca="false">IF(AND(N('Hiring plan'!$F$17)&gt;0,J$3&gt;='Hiring plan'!$G$17,J$3&lt;=IF('Hiring plan'!$H$17="",999,'Hiring plan'!$H$17)),'Hiring plan'!$F$17,0)</f>
        <v>0</v>
      </c>
      <c r="K21" s="33" t="n">
        <f aca="false">IF(AND(N('Hiring plan'!$F$17)&gt;0,K$3&gt;='Hiring plan'!$G$17,K$3&lt;=IF('Hiring plan'!$H$17="",999,'Hiring plan'!$H$17)),'Hiring plan'!$F$17,0)</f>
        <v>0</v>
      </c>
      <c r="L21" s="33" t="n">
        <f aca="false">IF(AND(N('Hiring plan'!$F$17)&gt;0,L$3&gt;='Hiring plan'!$G$17,L$3&lt;=IF('Hiring plan'!$H$17="",999,'Hiring plan'!$H$17)),'Hiring plan'!$F$17,0)</f>
        <v>0</v>
      </c>
      <c r="M21" s="33" t="n">
        <f aca="false">IF(AND(N('Hiring plan'!$F$17)&gt;0,M$3&gt;='Hiring plan'!$G$17,M$3&lt;=IF('Hiring plan'!$H$17="",999,'Hiring plan'!$H$17)),'Hiring plan'!$F$17,0)</f>
        <v>0</v>
      </c>
      <c r="N21" s="33" t="n">
        <f aca="false">IF(AND(N('Hiring plan'!$F$17)&gt;0,N$3&gt;='Hiring plan'!$G$17,N$3&lt;=IF('Hiring plan'!$H$17="",999,'Hiring plan'!$H$17)),'Hiring plan'!$F$17,0)</f>
        <v>0</v>
      </c>
      <c r="O21" s="33" t="n">
        <f aca="false">IF(AND(N('Hiring plan'!$F$17)&gt;0,O$3&gt;='Hiring plan'!$G$17,O$3&lt;=IF('Hiring plan'!$H$17="",999,'Hiring plan'!$H$17)),'Hiring plan'!$F$17,0)</f>
        <v>0</v>
      </c>
      <c r="P21" s="33" t="n">
        <f aca="false">IF(AND(N('Hiring plan'!$F$17)&gt;0,P$3&gt;='Hiring plan'!$G$17,P$3&lt;=IF('Hiring plan'!$H$17="",999,'Hiring plan'!$H$17)),'Hiring plan'!$F$17,0)</f>
        <v>0</v>
      </c>
      <c r="Q21" s="33" t="n">
        <f aca="false">IF(AND(N('Hiring plan'!$F$17)&gt;0,Q$3&gt;='Hiring plan'!$G$17,Q$3&lt;=IF('Hiring plan'!$H$17="",999,'Hiring plan'!$H$17)),'Hiring plan'!$F$17,0)</f>
        <v>0</v>
      </c>
      <c r="R21" s="33" t="n">
        <f aca="false">IF(AND(N('Hiring plan'!$F$17)&gt;0,R$3&gt;='Hiring plan'!$G$17,R$3&lt;=IF('Hiring plan'!$H$17="",999,'Hiring plan'!$H$17)),'Hiring plan'!$F$17,0)</f>
        <v>0</v>
      </c>
      <c r="S21" s="33" t="n">
        <f aca="false">IF(AND(N('Hiring plan'!$F$17)&gt;0,S$3&gt;='Hiring plan'!$G$17,S$3&lt;=IF('Hiring plan'!$H$17="",999,'Hiring plan'!$H$17)),'Hiring plan'!$F$17,0)</f>
        <v>0</v>
      </c>
      <c r="T21" s="33" t="n">
        <f aca="false">IF(AND(N('Hiring plan'!$F$17)&gt;0,T$3&gt;='Hiring plan'!$G$17,T$3&lt;=IF('Hiring plan'!$H$17="",999,'Hiring plan'!$H$17)),'Hiring plan'!$F$17,0)</f>
        <v>0</v>
      </c>
      <c r="U21" s="33" t="n">
        <f aca="false">IF(AND(N('Hiring plan'!$F$17)&gt;0,U$3&gt;='Hiring plan'!$G$17,U$3&lt;=IF('Hiring plan'!$H$17="",999,'Hiring plan'!$H$17)),'Hiring plan'!$F$17,0)</f>
        <v>0</v>
      </c>
      <c r="V21" s="33" t="n">
        <f aca="false">IF(AND(N('Hiring plan'!$F$17)&gt;0,V$3&gt;='Hiring plan'!$G$17,V$3&lt;=IF('Hiring plan'!$H$17="",999,'Hiring plan'!$H$17)),'Hiring plan'!$F$17,0)</f>
        <v>0</v>
      </c>
      <c r="W21" s="33" t="n">
        <f aca="false">IF(AND(N('Hiring plan'!$F$17)&gt;0,W$3&gt;='Hiring plan'!$G$17,W$3&lt;=IF('Hiring plan'!$H$17="",999,'Hiring plan'!$H$17)),'Hiring plan'!$F$17,0)</f>
        <v>0</v>
      </c>
      <c r="X21" s="33" t="n">
        <f aca="false">IF(AND(N('Hiring plan'!$F$17)&gt;0,X$3&gt;='Hiring plan'!$G$17,X$3&lt;=IF('Hiring plan'!$H$17="",999,'Hiring plan'!$H$17)),'Hiring plan'!$F$17,0)</f>
        <v>0</v>
      </c>
      <c r="Y21" s="33" t="n">
        <f aca="false">IF(AND(N('Hiring plan'!$F$17)&gt;0,Y$3&gt;='Hiring plan'!$G$17,Y$3&lt;=IF('Hiring plan'!$H$17="",999,'Hiring plan'!$H$17)),'Hiring plan'!$F$17,0)</f>
        <v>0</v>
      </c>
      <c r="Z21" s="33" t="n">
        <f aca="false">IF(AND(N('Hiring plan'!$F$17)&gt;0,Z$3&gt;='Hiring plan'!$G$17,Z$3&lt;=IF('Hiring plan'!$H$17="",999,'Hiring plan'!$H$17)),'Hiring plan'!$F$17,0)</f>
        <v>0</v>
      </c>
      <c r="AA21" s="33" t="n">
        <f aca="false">IF(AND(N('Hiring plan'!$F$17)&gt;0,AA$3&gt;='Hiring plan'!$G$17,AA$3&lt;=IF('Hiring plan'!$H$17="",999,'Hiring plan'!$H$17)),'Hiring plan'!$F$17,0)</f>
        <v>0</v>
      </c>
      <c r="AB21" s="33" t="n">
        <f aca="false">IF(AND(N('Hiring plan'!$F$17)&gt;0,AB$3&gt;='Hiring plan'!$G$17,AB$3&lt;=IF('Hiring plan'!$H$17="",999,'Hiring plan'!$H$17)),'Hiring plan'!$F$17,0)</f>
        <v>0</v>
      </c>
      <c r="AC21" s="33" t="n">
        <f aca="false">IF(AND(N('Hiring plan'!$F$17)&gt;0,AC$3&gt;='Hiring plan'!$G$17,AC$3&lt;=IF('Hiring plan'!$H$17="",999,'Hiring plan'!$H$17)),'Hiring plan'!$F$17,0)</f>
        <v>1</v>
      </c>
      <c r="AD21" s="33" t="n">
        <f aca="false">IF(AND(N('Hiring plan'!$F$17)&gt;0,AD$3&gt;='Hiring plan'!$G$17,AD$3&lt;=IF('Hiring plan'!$H$17="",999,'Hiring plan'!$H$17)),'Hiring plan'!$F$17,0)</f>
        <v>1</v>
      </c>
      <c r="AE21" s="33" t="n">
        <f aca="false">IF(AND(N('Hiring plan'!$F$17)&gt;0,AE$3&gt;='Hiring plan'!$G$17,AE$3&lt;=IF('Hiring plan'!$H$17="",999,'Hiring plan'!$H$17)),'Hiring plan'!$F$17,0)</f>
        <v>1</v>
      </c>
      <c r="AF21" s="33" t="n">
        <f aca="false">IF(AND(N('Hiring plan'!$F$17)&gt;0,AF$3&gt;='Hiring plan'!$G$17,AF$3&lt;=IF('Hiring plan'!$H$17="",999,'Hiring plan'!$H$17)),'Hiring plan'!$F$17,0)</f>
        <v>1</v>
      </c>
      <c r="AG21" s="33" t="n">
        <f aca="false">IF(AND(N('Hiring plan'!$F$17)&gt;0,AG$3&gt;='Hiring plan'!$G$17,AG$3&lt;=IF('Hiring plan'!$H$17="",999,'Hiring plan'!$H$17)),'Hiring plan'!$F$17,0)</f>
        <v>1</v>
      </c>
      <c r="AH21" s="33" t="n">
        <f aca="false">IF(AND(N('Hiring plan'!$F$17)&gt;0,AH$3&gt;='Hiring plan'!$G$17,AH$3&lt;=IF('Hiring plan'!$H$17="",999,'Hiring plan'!$H$17)),'Hiring plan'!$F$17,0)</f>
        <v>1</v>
      </c>
      <c r="AI21" s="33" t="n">
        <f aca="false">IF(AND(N('Hiring plan'!$F$17)&gt;0,AI$3&gt;='Hiring plan'!$G$17,AI$3&lt;=IF('Hiring plan'!$H$17="",999,'Hiring plan'!$H$17)),'Hiring plan'!$F$17,0)</f>
        <v>1</v>
      </c>
      <c r="AJ21" s="33" t="n">
        <f aca="false">IF(AND(N('Hiring plan'!$F$17)&gt;0,AJ$3&gt;='Hiring plan'!$G$17,AJ$3&lt;=IF('Hiring plan'!$H$17="",999,'Hiring plan'!$H$17)),'Hiring plan'!$F$17,0)</f>
        <v>1</v>
      </c>
      <c r="AK21" s="33" t="n">
        <f aca="false">IF(AND(N('Hiring plan'!$F$17)&gt;0,AK$3&gt;='Hiring plan'!$G$17,AK$3&lt;=IF('Hiring plan'!$H$17="",999,'Hiring plan'!$H$17)),'Hiring plan'!$F$17,0)</f>
        <v>1</v>
      </c>
      <c r="AL21" s="33" t="n">
        <f aca="false">IF(AND(N('Hiring plan'!$F$17)&gt;0,AL$3&gt;='Hiring plan'!$G$17,AL$3&lt;=IF('Hiring plan'!$H$17="",999,'Hiring plan'!$H$17)),'Hiring plan'!$F$17,0)</f>
        <v>1</v>
      </c>
      <c r="AM21" s="33" t="n">
        <f aca="false">IF(AND(N('Hiring plan'!$F$17)&gt;0,AM$3&gt;='Hiring plan'!$G$17,AM$3&lt;=IF('Hiring plan'!$H$17="",999,'Hiring plan'!$H$17)),'Hiring plan'!$F$17,0)</f>
        <v>1</v>
      </c>
      <c r="AN21" s="33" t="n">
        <f aca="false">IF(AND(N('Hiring plan'!$F$17)&gt;0,AN$3&gt;='Hiring plan'!$G$17,AN$3&lt;=IF('Hiring plan'!$H$17="",999,'Hiring plan'!$H$17)),'Hiring plan'!$F$17,0)</f>
        <v>1</v>
      </c>
      <c r="AO21" s="33" t="n">
        <f aca="false">IF(AND(N('Hiring plan'!$F$17)&gt;0,AO$3&gt;='Hiring plan'!$G$17,AO$3&lt;=IF('Hiring plan'!$H$17="",999,'Hiring plan'!$H$17)),'Hiring plan'!$F$17,0)</f>
        <v>1</v>
      </c>
      <c r="AP21" s="33" t="n">
        <f aca="false">IF(AND(N('Hiring plan'!$F$17)&gt;0,AP$3&gt;='Hiring plan'!$G$17,AP$3&lt;=IF('Hiring plan'!$H$17="",999,'Hiring plan'!$H$17)),'Hiring plan'!$F$17,0)</f>
        <v>1</v>
      </c>
      <c r="AQ21" s="33" t="n">
        <f aca="false">IF(AND(N('Hiring plan'!$F$17)&gt;0,AQ$3&gt;='Hiring plan'!$G$17,AQ$3&lt;=IF('Hiring plan'!$H$17="",999,'Hiring plan'!$H$17)),'Hiring plan'!$F$17,0)</f>
        <v>1</v>
      </c>
      <c r="AR21" s="33" t="n">
        <f aca="false">IF(AND(N('Hiring plan'!$F$17)&gt;0,AR$3&gt;='Hiring plan'!$G$17,AR$3&lt;=IF('Hiring plan'!$H$17="",999,'Hiring plan'!$H$17)),'Hiring plan'!$F$17,0)</f>
        <v>1</v>
      </c>
      <c r="AS21" s="33" t="n">
        <f aca="false">IF(AND(N('Hiring plan'!$F$17)&gt;0,AS$3&gt;='Hiring plan'!$G$17,AS$3&lt;=IF('Hiring plan'!$H$17="",999,'Hiring plan'!$H$17)),'Hiring plan'!$F$17,0)</f>
        <v>1</v>
      </c>
      <c r="AT21" s="33" t="n">
        <f aca="false">IF(AND(N('Hiring plan'!$F$17)&gt;0,AT$3&gt;='Hiring plan'!$G$17,AT$3&lt;=IF('Hiring plan'!$H$17="",999,'Hiring plan'!$H$17)),'Hiring plan'!$F$17,0)</f>
        <v>1</v>
      </c>
      <c r="AU21" s="33" t="n">
        <f aca="false">IF(AND(N('Hiring plan'!$F$17)&gt;0,AU$3&gt;='Hiring plan'!$G$17,AU$3&lt;=IF('Hiring plan'!$H$17="",999,'Hiring plan'!$H$17)),'Hiring plan'!$F$17,0)</f>
        <v>1</v>
      </c>
      <c r="AV21" s="33" t="n">
        <f aca="false">IF(AND(N('Hiring plan'!$F$17)&gt;0,AV$3&gt;='Hiring plan'!$G$17,AV$3&lt;=IF('Hiring plan'!$H$17="",999,'Hiring plan'!$H$17)),'Hiring plan'!$F$17,0)</f>
        <v>1</v>
      </c>
      <c r="AW21" s="33" t="n">
        <f aca="false">IF(AND(N('Hiring plan'!$F$17)&gt;0,AW$3&gt;='Hiring plan'!$G$17,AW$3&lt;=IF('Hiring plan'!$H$17="",999,'Hiring plan'!$H$17)),'Hiring plan'!$F$17,0)</f>
        <v>1</v>
      </c>
      <c r="AX21" s="33" t="n">
        <f aca="false">IF(AND(N('Hiring plan'!$F$17)&gt;0,AX$3&gt;='Hiring plan'!$G$17,AX$3&lt;=IF('Hiring plan'!$H$17="",999,'Hiring plan'!$H$17)),'Hiring plan'!$F$17,0)</f>
        <v>1</v>
      </c>
      <c r="AY21" s="33" t="n">
        <f aca="false">IF(AND(N('Hiring plan'!$F$17)&gt;0,AY$3&gt;='Hiring plan'!$G$17,AY$3&lt;=IF('Hiring plan'!$H$17="",999,'Hiring plan'!$H$17)),'Hiring plan'!$F$17,0)</f>
        <v>1</v>
      </c>
      <c r="AZ21" s="33" t="n">
        <f aca="false">IF(AND(N('Hiring plan'!$F$17)&gt;0,AZ$3&gt;='Hiring plan'!$G$17,AZ$3&lt;=IF('Hiring plan'!$H$17="",999,'Hiring plan'!$H$17)),'Hiring plan'!$F$17,0)</f>
        <v>1</v>
      </c>
      <c r="BA21" s="33" t="n">
        <f aca="false">IF(AND(N('Hiring plan'!$F$17)&gt;0,BA$3&gt;='Hiring plan'!$G$17,BA$3&lt;=IF('Hiring plan'!$H$17="",999,'Hiring plan'!$H$17)),'Hiring plan'!$F$17,0)</f>
        <v>1</v>
      </c>
      <c r="BB21" s="33" t="n">
        <f aca="false">IF(AND(N('Hiring plan'!$F$17)&gt;0,BB$3&gt;='Hiring plan'!$G$17,BB$3&lt;=IF('Hiring plan'!$H$17="",999,'Hiring plan'!$H$17)),'Hiring plan'!$F$17,0)</f>
        <v>1</v>
      </c>
      <c r="BC21" s="33" t="n">
        <f aca="false">IF(AND(N('Hiring plan'!$F$17)&gt;0,BC$3&gt;='Hiring plan'!$G$17,BC$3&lt;=IF('Hiring plan'!$H$17="",999,'Hiring plan'!$H$17)),'Hiring plan'!$F$17,0)</f>
        <v>1</v>
      </c>
      <c r="BD21" s="33" t="n">
        <f aca="false">IF(AND(N('Hiring plan'!$F$17)&gt;0,BD$3&gt;='Hiring plan'!$G$17,BD$3&lt;=IF('Hiring plan'!$H$17="",999,'Hiring plan'!$H$17)),'Hiring plan'!$F$17,0)</f>
        <v>1</v>
      </c>
      <c r="BE21" s="33" t="n">
        <f aca="false">IF(AND(N('Hiring plan'!$F$17)&gt;0,BE$3&gt;='Hiring plan'!$G$17,BE$3&lt;=IF('Hiring plan'!$H$17="",999,'Hiring plan'!$H$17)),'Hiring plan'!$F$17,0)</f>
        <v>1</v>
      </c>
      <c r="BF21" s="33" t="n">
        <f aca="false">IF(AND(N('Hiring plan'!$F$17)&gt;0,BF$3&gt;='Hiring plan'!$G$17,BF$3&lt;=IF('Hiring plan'!$H$17="",999,'Hiring plan'!$H$17)),'Hiring plan'!$F$17,0)</f>
        <v>1</v>
      </c>
      <c r="BG21" s="33" t="n">
        <f aca="false">IF(AND(N('Hiring plan'!$F$17)&gt;0,BG$3&gt;='Hiring plan'!$G$17,BG$3&lt;=IF('Hiring plan'!$H$17="",999,'Hiring plan'!$H$17)),'Hiring plan'!$F$17,0)</f>
        <v>1</v>
      </c>
      <c r="BH21" s="33" t="n">
        <f aca="false">IF(AND(N('Hiring plan'!$F$17)&gt;0,BH$3&gt;='Hiring plan'!$G$17,BH$3&lt;=IF('Hiring plan'!$H$17="",999,'Hiring plan'!$H$17)),'Hiring plan'!$F$17,0)</f>
        <v>1</v>
      </c>
      <c r="BI21" s="33" t="n">
        <f aca="false">IF(AND(N('Hiring plan'!$F$17)&gt;0,BI$3&gt;='Hiring plan'!$G$17,BI$3&lt;=IF('Hiring plan'!$H$17="",999,'Hiring plan'!$H$17)),'Hiring plan'!$F$17,0)</f>
        <v>1</v>
      </c>
      <c r="BJ21" s="33" t="n">
        <f aca="false">IF(AND(N('Hiring plan'!$F$17)&gt;0,BJ$3&gt;='Hiring plan'!$G$17,BJ$3&lt;=IF('Hiring plan'!$H$17="",999,'Hiring plan'!$H$17)),'Hiring plan'!$F$17,0)</f>
        <v>1</v>
      </c>
      <c r="BK21" s="33" t="n">
        <f aca="false">IF(AND(N('Hiring plan'!$F$17)&gt;0,BK$3&gt;='Hiring plan'!$G$17,BK$3&lt;=IF('Hiring plan'!$H$17="",999,'Hiring plan'!$H$17)),'Hiring plan'!$F$17,0)</f>
        <v>1</v>
      </c>
      <c r="BL21" s="33" t="n">
        <f aca="false">IF(AND(N('Hiring plan'!$F$17)&gt;0,BL$3&gt;='Hiring plan'!$G$17,BL$3&lt;=IF('Hiring plan'!$H$17="",999,'Hiring plan'!$H$17)),'Hiring plan'!$F$17,0)</f>
        <v>1</v>
      </c>
    </row>
    <row r="22" customFormat="false" ht="15" hidden="false" customHeight="false" outlineLevel="0" collapsed="false">
      <c r="A22" s="12" t="str">
        <f aca="false">IF('Hiring plan'!$C$18="","(spare line 14)",'Hiring plan'!$C$18&amp;" · "&amp;'Hiring plan'!$D$18)</f>
        <v>DevOps / security engineer · SN</v>
      </c>
      <c r="B22" s="14" t="s">
        <v>222</v>
      </c>
      <c r="D22" s="41" t="n">
        <f aca="false">MAX(E22:BL22)</f>
        <v>1</v>
      </c>
      <c r="E22" s="33" t="n">
        <f aca="false">IF(AND(N('Hiring plan'!$F$18)&gt;0,E$3&gt;='Hiring plan'!$G$18,E$3&lt;=IF('Hiring plan'!$H$18="",999,'Hiring plan'!$H$18)),'Hiring plan'!$F$18,0)</f>
        <v>0</v>
      </c>
      <c r="F22" s="33" t="n">
        <f aca="false">IF(AND(N('Hiring plan'!$F$18)&gt;0,F$3&gt;='Hiring plan'!$G$18,F$3&lt;=IF('Hiring plan'!$H$18="",999,'Hiring plan'!$H$18)),'Hiring plan'!$F$18,0)</f>
        <v>0</v>
      </c>
      <c r="G22" s="33" t="n">
        <f aca="false">IF(AND(N('Hiring plan'!$F$18)&gt;0,G$3&gt;='Hiring plan'!$G$18,G$3&lt;=IF('Hiring plan'!$H$18="",999,'Hiring plan'!$H$18)),'Hiring plan'!$F$18,0)</f>
        <v>0</v>
      </c>
      <c r="H22" s="33" t="n">
        <f aca="false">IF(AND(N('Hiring plan'!$F$18)&gt;0,H$3&gt;='Hiring plan'!$G$18,H$3&lt;=IF('Hiring plan'!$H$18="",999,'Hiring plan'!$H$18)),'Hiring plan'!$F$18,0)</f>
        <v>0</v>
      </c>
      <c r="I22" s="33" t="n">
        <f aca="false">IF(AND(N('Hiring plan'!$F$18)&gt;0,I$3&gt;='Hiring plan'!$G$18,I$3&lt;=IF('Hiring plan'!$H$18="",999,'Hiring plan'!$H$18)),'Hiring plan'!$F$18,0)</f>
        <v>0</v>
      </c>
      <c r="J22" s="33" t="n">
        <f aca="false">IF(AND(N('Hiring plan'!$F$18)&gt;0,J$3&gt;='Hiring plan'!$G$18,J$3&lt;=IF('Hiring plan'!$H$18="",999,'Hiring plan'!$H$18)),'Hiring plan'!$F$18,0)</f>
        <v>0</v>
      </c>
      <c r="K22" s="33" t="n">
        <f aca="false">IF(AND(N('Hiring plan'!$F$18)&gt;0,K$3&gt;='Hiring plan'!$G$18,K$3&lt;=IF('Hiring plan'!$H$18="",999,'Hiring plan'!$H$18)),'Hiring plan'!$F$18,0)</f>
        <v>0</v>
      </c>
      <c r="L22" s="33" t="n">
        <f aca="false">IF(AND(N('Hiring plan'!$F$18)&gt;0,L$3&gt;='Hiring plan'!$G$18,L$3&lt;=IF('Hiring plan'!$H$18="",999,'Hiring plan'!$H$18)),'Hiring plan'!$F$18,0)</f>
        <v>0</v>
      </c>
      <c r="M22" s="33" t="n">
        <f aca="false">IF(AND(N('Hiring plan'!$F$18)&gt;0,M$3&gt;='Hiring plan'!$G$18,M$3&lt;=IF('Hiring plan'!$H$18="",999,'Hiring plan'!$H$18)),'Hiring plan'!$F$18,0)</f>
        <v>0</v>
      </c>
      <c r="N22" s="33" t="n">
        <f aca="false">IF(AND(N('Hiring plan'!$F$18)&gt;0,N$3&gt;='Hiring plan'!$G$18,N$3&lt;=IF('Hiring plan'!$H$18="",999,'Hiring plan'!$H$18)),'Hiring plan'!$F$18,0)</f>
        <v>0</v>
      </c>
      <c r="O22" s="33" t="n">
        <f aca="false">IF(AND(N('Hiring plan'!$F$18)&gt;0,O$3&gt;='Hiring plan'!$G$18,O$3&lt;=IF('Hiring plan'!$H$18="",999,'Hiring plan'!$H$18)),'Hiring plan'!$F$18,0)</f>
        <v>0</v>
      </c>
      <c r="P22" s="33" t="n">
        <f aca="false">IF(AND(N('Hiring plan'!$F$18)&gt;0,P$3&gt;='Hiring plan'!$G$18,P$3&lt;=IF('Hiring plan'!$H$18="",999,'Hiring plan'!$H$18)),'Hiring plan'!$F$18,0)</f>
        <v>0</v>
      </c>
      <c r="Q22" s="33" t="n">
        <f aca="false">IF(AND(N('Hiring plan'!$F$18)&gt;0,Q$3&gt;='Hiring plan'!$G$18,Q$3&lt;=IF('Hiring plan'!$H$18="",999,'Hiring plan'!$H$18)),'Hiring plan'!$F$18,0)</f>
        <v>0</v>
      </c>
      <c r="R22" s="33" t="n">
        <f aca="false">IF(AND(N('Hiring plan'!$F$18)&gt;0,R$3&gt;='Hiring plan'!$G$18,R$3&lt;=IF('Hiring plan'!$H$18="",999,'Hiring plan'!$H$18)),'Hiring plan'!$F$18,0)</f>
        <v>0</v>
      </c>
      <c r="S22" s="33" t="n">
        <f aca="false">IF(AND(N('Hiring plan'!$F$18)&gt;0,S$3&gt;='Hiring plan'!$G$18,S$3&lt;=IF('Hiring plan'!$H$18="",999,'Hiring plan'!$H$18)),'Hiring plan'!$F$18,0)</f>
        <v>0</v>
      </c>
      <c r="T22" s="33" t="n">
        <f aca="false">IF(AND(N('Hiring plan'!$F$18)&gt;0,T$3&gt;='Hiring plan'!$G$18,T$3&lt;=IF('Hiring plan'!$H$18="",999,'Hiring plan'!$H$18)),'Hiring plan'!$F$18,0)</f>
        <v>0</v>
      </c>
      <c r="U22" s="33" t="n">
        <f aca="false">IF(AND(N('Hiring plan'!$F$18)&gt;0,U$3&gt;='Hiring plan'!$G$18,U$3&lt;=IF('Hiring plan'!$H$18="",999,'Hiring plan'!$H$18)),'Hiring plan'!$F$18,0)</f>
        <v>0</v>
      </c>
      <c r="V22" s="33" t="n">
        <f aca="false">IF(AND(N('Hiring plan'!$F$18)&gt;0,V$3&gt;='Hiring plan'!$G$18,V$3&lt;=IF('Hiring plan'!$H$18="",999,'Hiring plan'!$H$18)),'Hiring plan'!$F$18,0)</f>
        <v>0</v>
      </c>
      <c r="W22" s="33" t="n">
        <f aca="false">IF(AND(N('Hiring plan'!$F$18)&gt;0,W$3&gt;='Hiring plan'!$G$18,W$3&lt;=IF('Hiring plan'!$H$18="",999,'Hiring plan'!$H$18)),'Hiring plan'!$F$18,0)</f>
        <v>0</v>
      </c>
      <c r="X22" s="33" t="n">
        <f aca="false">IF(AND(N('Hiring plan'!$F$18)&gt;0,X$3&gt;='Hiring plan'!$G$18,X$3&lt;=IF('Hiring plan'!$H$18="",999,'Hiring plan'!$H$18)),'Hiring plan'!$F$18,0)</f>
        <v>0</v>
      </c>
      <c r="Y22" s="33" t="n">
        <f aca="false">IF(AND(N('Hiring plan'!$F$18)&gt;0,Y$3&gt;='Hiring plan'!$G$18,Y$3&lt;=IF('Hiring plan'!$H$18="",999,'Hiring plan'!$H$18)),'Hiring plan'!$F$18,0)</f>
        <v>0</v>
      </c>
      <c r="Z22" s="33" t="n">
        <f aca="false">IF(AND(N('Hiring plan'!$F$18)&gt;0,Z$3&gt;='Hiring plan'!$G$18,Z$3&lt;=IF('Hiring plan'!$H$18="",999,'Hiring plan'!$H$18)),'Hiring plan'!$F$18,0)</f>
        <v>0</v>
      </c>
      <c r="AA22" s="33" t="n">
        <f aca="false">IF(AND(N('Hiring plan'!$F$18)&gt;0,AA$3&gt;='Hiring plan'!$G$18,AA$3&lt;=IF('Hiring plan'!$H$18="",999,'Hiring plan'!$H$18)),'Hiring plan'!$F$18,0)</f>
        <v>0</v>
      </c>
      <c r="AB22" s="33" t="n">
        <f aca="false">IF(AND(N('Hiring plan'!$F$18)&gt;0,AB$3&gt;='Hiring plan'!$G$18,AB$3&lt;=IF('Hiring plan'!$H$18="",999,'Hiring plan'!$H$18)),'Hiring plan'!$F$18,0)</f>
        <v>0</v>
      </c>
      <c r="AC22" s="33" t="n">
        <f aca="false">IF(AND(N('Hiring plan'!$F$18)&gt;0,AC$3&gt;='Hiring plan'!$G$18,AC$3&lt;=IF('Hiring plan'!$H$18="",999,'Hiring plan'!$H$18)),'Hiring plan'!$F$18,0)</f>
        <v>0</v>
      </c>
      <c r="AD22" s="33" t="n">
        <f aca="false">IF(AND(N('Hiring plan'!$F$18)&gt;0,AD$3&gt;='Hiring plan'!$G$18,AD$3&lt;=IF('Hiring plan'!$H$18="",999,'Hiring plan'!$H$18)),'Hiring plan'!$F$18,0)</f>
        <v>0</v>
      </c>
      <c r="AE22" s="33" t="n">
        <f aca="false">IF(AND(N('Hiring plan'!$F$18)&gt;0,AE$3&gt;='Hiring plan'!$G$18,AE$3&lt;=IF('Hiring plan'!$H$18="",999,'Hiring plan'!$H$18)),'Hiring plan'!$F$18,0)</f>
        <v>0</v>
      </c>
      <c r="AF22" s="33" t="n">
        <f aca="false">IF(AND(N('Hiring plan'!$F$18)&gt;0,AF$3&gt;='Hiring plan'!$G$18,AF$3&lt;=IF('Hiring plan'!$H$18="",999,'Hiring plan'!$H$18)),'Hiring plan'!$F$18,0)</f>
        <v>0</v>
      </c>
      <c r="AG22" s="33" t="n">
        <f aca="false">IF(AND(N('Hiring plan'!$F$18)&gt;0,AG$3&gt;='Hiring plan'!$G$18,AG$3&lt;=IF('Hiring plan'!$H$18="",999,'Hiring plan'!$H$18)),'Hiring plan'!$F$18,0)</f>
        <v>0</v>
      </c>
      <c r="AH22" s="33" t="n">
        <f aca="false">IF(AND(N('Hiring plan'!$F$18)&gt;0,AH$3&gt;='Hiring plan'!$G$18,AH$3&lt;=IF('Hiring plan'!$H$18="",999,'Hiring plan'!$H$18)),'Hiring plan'!$F$18,0)</f>
        <v>0</v>
      </c>
      <c r="AI22" s="33" t="n">
        <f aca="false">IF(AND(N('Hiring plan'!$F$18)&gt;0,AI$3&gt;='Hiring plan'!$G$18,AI$3&lt;=IF('Hiring plan'!$H$18="",999,'Hiring plan'!$H$18)),'Hiring plan'!$F$18,0)</f>
        <v>1</v>
      </c>
      <c r="AJ22" s="33" t="n">
        <f aca="false">IF(AND(N('Hiring plan'!$F$18)&gt;0,AJ$3&gt;='Hiring plan'!$G$18,AJ$3&lt;=IF('Hiring plan'!$H$18="",999,'Hiring plan'!$H$18)),'Hiring plan'!$F$18,0)</f>
        <v>1</v>
      </c>
      <c r="AK22" s="33" t="n">
        <f aca="false">IF(AND(N('Hiring plan'!$F$18)&gt;0,AK$3&gt;='Hiring plan'!$G$18,AK$3&lt;=IF('Hiring plan'!$H$18="",999,'Hiring plan'!$H$18)),'Hiring plan'!$F$18,0)</f>
        <v>1</v>
      </c>
      <c r="AL22" s="33" t="n">
        <f aca="false">IF(AND(N('Hiring plan'!$F$18)&gt;0,AL$3&gt;='Hiring plan'!$G$18,AL$3&lt;=IF('Hiring plan'!$H$18="",999,'Hiring plan'!$H$18)),'Hiring plan'!$F$18,0)</f>
        <v>1</v>
      </c>
      <c r="AM22" s="33" t="n">
        <f aca="false">IF(AND(N('Hiring plan'!$F$18)&gt;0,AM$3&gt;='Hiring plan'!$G$18,AM$3&lt;=IF('Hiring plan'!$H$18="",999,'Hiring plan'!$H$18)),'Hiring plan'!$F$18,0)</f>
        <v>1</v>
      </c>
      <c r="AN22" s="33" t="n">
        <f aca="false">IF(AND(N('Hiring plan'!$F$18)&gt;0,AN$3&gt;='Hiring plan'!$G$18,AN$3&lt;=IF('Hiring plan'!$H$18="",999,'Hiring plan'!$H$18)),'Hiring plan'!$F$18,0)</f>
        <v>1</v>
      </c>
      <c r="AO22" s="33" t="n">
        <f aca="false">IF(AND(N('Hiring plan'!$F$18)&gt;0,AO$3&gt;='Hiring plan'!$G$18,AO$3&lt;=IF('Hiring plan'!$H$18="",999,'Hiring plan'!$H$18)),'Hiring plan'!$F$18,0)</f>
        <v>1</v>
      </c>
      <c r="AP22" s="33" t="n">
        <f aca="false">IF(AND(N('Hiring plan'!$F$18)&gt;0,AP$3&gt;='Hiring plan'!$G$18,AP$3&lt;=IF('Hiring plan'!$H$18="",999,'Hiring plan'!$H$18)),'Hiring plan'!$F$18,0)</f>
        <v>1</v>
      </c>
      <c r="AQ22" s="33" t="n">
        <f aca="false">IF(AND(N('Hiring plan'!$F$18)&gt;0,AQ$3&gt;='Hiring plan'!$G$18,AQ$3&lt;=IF('Hiring plan'!$H$18="",999,'Hiring plan'!$H$18)),'Hiring plan'!$F$18,0)</f>
        <v>1</v>
      </c>
      <c r="AR22" s="33" t="n">
        <f aca="false">IF(AND(N('Hiring plan'!$F$18)&gt;0,AR$3&gt;='Hiring plan'!$G$18,AR$3&lt;=IF('Hiring plan'!$H$18="",999,'Hiring plan'!$H$18)),'Hiring plan'!$F$18,0)</f>
        <v>1</v>
      </c>
      <c r="AS22" s="33" t="n">
        <f aca="false">IF(AND(N('Hiring plan'!$F$18)&gt;0,AS$3&gt;='Hiring plan'!$G$18,AS$3&lt;=IF('Hiring plan'!$H$18="",999,'Hiring plan'!$H$18)),'Hiring plan'!$F$18,0)</f>
        <v>1</v>
      </c>
      <c r="AT22" s="33" t="n">
        <f aca="false">IF(AND(N('Hiring plan'!$F$18)&gt;0,AT$3&gt;='Hiring plan'!$G$18,AT$3&lt;=IF('Hiring plan'!$H$18="",999,'Hiring plan'!$H$18)),'Hiring plan'!$F$18,0)</f>
        <v>1</v>
      </c>
      <c r="AU22" s="33" t="n">
        <f aca="false">IF(AND(N('Hiring plan'!$F$18)&gt;0,AU$3&gt;='Hiring plan'!$G$18,AU$3&lt;=IF('Hiring plan'!$H$18="",999,'Hiring plan'!$H$18)),'Hiring plan'!$F$18,0)</f>
        <v>1</v>
      </c>
      <c r="AV22" s="33" t="n">
        <f aca="false">IF(AND(N('Hiring plan'!$F$18)&gt;0,AV$3&gt;='Hiring plan'!$G$18,AV$3&lt;=IF('Hiring plan'!$H$18="",999,'Hiring plan'!$H$18)),'Hiring plan'!$F$18,0)</f>
        <v>1</v>
      </c>
      <c r="AW22" s="33" t="n">
        <f aca="false">IF(AND(N('Hiring plan'!$F$18)&gt;0,AW$3&gt;='Hiring plan'!$G$18,AW$3&lt;=IF('Hiring plan'!$H$18="",999,'Hiring plan'!$H$18)),'Hiring plan'!$F$18,0)</f>
        <v>1</v>
      </c>
      <c r="AX22" s="33" t="n">
        <f aca="false">IF(AND(N('Hiring plan'!$F$18)&gt;0,AX$3&gt;='Hiring plan'!$G$18,AX$3&lt;=IF('Hiring plan'!$H$18="",999,'Hiring plan'!$H$18)),'Hiring plan'!$F$18,0)</f>
        <v>1</v>
      </c>
      <c r="AY22" s="33" t="n">
        <f aca="false">IF(AND(N('Hiring plan'!$F$18)&gt;0,AY$3&gt;='Hiring plan'!$G$18,AY$3&lt;=IF('Hiring plan'!$H$18="",999,'Hiring plan'!$H$18)),'Hiring plan'!$F$18,0)</f>
        <v>1</v>
      </c>
      <c r="AZ22" s="33" t="n">
        <f aca="false">IF(AND(N('Hiring plan'!$F$18)&gt;0,AZ$3&gt;='Hiring plan'!$G$18,AZ$3&lt;=IF('Hiring plan'!$H$18="",999,'Hiring plan'!$H$18)),'Hiring plan'!$F$18,0)</f>
        <v>1</v>
      </c>
      <c r="BA22" s="33" t="n">
        <f aca="false">IF(AND(N('Hiring plan'!$F$18)&gt;0,BA$3&gt;='Hiring plan'!$G$18,BA$3&lt;=IF('Hiring plan'!$H$18="",999,'Hiring plan'!$H$18)),'Hiring plan'!$F$18,0)</f>
        <v>1</v>
      </c>
      <c r="BB22" s="33" t="n">
        <f aca="false">IF(AND(N('Hiring plan'!$F$18)&gt;0,BB$3&gt;='Hiring plan'!$G$18,BB$3&lt;=IF('Hiring plan'!$H$18="",999,'Hiring plan'!$H$18)),'Hiring plan'!$F$18,0)</f>
        <v>1</v>
      </c>
      <c r="BC22" s="33" t="n">
        <f aca="false">IF(AND(N('Hiring plan'!$F$18)&gt;0,BC$3&gt;='Hiring plan'!$G$18,BC$3&lt;=IF('Hiring plan'!$H$18="",999,'Hiring plan'!$H$18)),'Hiring plan'!$F$18,0)</f>
        <v>1</v>
      </c>
      <c r="BD22" s="33" t="n">
        <f aca="false">IF(AND(N('Hiring plan'!$F$18)&gt;0,BD$3&gt;='Hiring plan'!$G$18,BD$3&lt;=IF('Hiring plan'!$H$18="",999,'Hiring plan'!$H$18)),'Hiring plan'!$F$18,0)</f>
        <v>1</v>
      </c>
      <c r="BE22" s="33" t="n">
        <f aca="false">IF(AND(N('Hiring plan'!$F$18)&gt;0,BE$3&gt;='Hiring plan'!$G$18,BE$3&lt;=IF('Hiring plan'!$H$18="",999,'Hiring plan'!$H$18)),'Hiring plan'!$F$18,0)</f>
        <v>1</v>
      </c>
      <c r="BF22" s="33" t="n">
        <f aca="false">IF(AND(N('Hiring plan'!$F$18)&gt;0,BF$3&gt;='Hiring plan'!$G$18,BF$3&lt;=IF('Hiring plan'!$H$18="",999,'Hiring plan'!$H$18)),'Hiring plan'!$F$18,0)</f>
        <v>1</v>
      </c>
      <c r="BG22" s="33" t="n">
        <f aca="false">IF(AND(N('Hiring plan'!$F$18)&gt;0,BG$3&gt;='Hiring plan'!$G$18,BG$3&lt;=IF('Hiring plan'!$H$18="",999,'Hiring plan'!$H$18)),'Hiring plan'!$F$18,0)</f>
        <v>1</v>
      </c>
      <c r="BH22" s="33" t="n">
        <f aca="false">IF(AND(N('Hiring plan'!$F$18)&gt;0,BH$3&gt;='Hiring plan'!$G$18,BH$3&lt;=IF('Hiring plan'!$H$18="",999,'Hiring plan'!$H$18)),'Hiring plan'!$F$18,0)</f>
        <v>1</v>
      </c>
      <c r="BI22" s="33" t="n">
        <f aca="false">IF(AND(N('Hiring plan'!$F$18)&gt;0,BI$3&gt;='Hiring plan'!$G$18,BI$3&lt;=IF('Hiring plan'!$H$18="",999,'Hiring plan'!$H$18)),'Hiring plan'!$F$18,0)</f>
        <v>1</v>
      </c>
      <c r="BJ22" s="33" t="n">
        <f aca="false">IF(AND(N('Hiring plan'!$F$18)&gt;0,BJ$3&gt;='Hiring plan'!$G$18,BJ$3&lt;=IF('Hiring plan'!$H$18="",999,'Hiring plan'!$H$18)),'Hiring plan'!$F$18,0)</f>
        <v>1</v>
      </c>
      <c r="BK22" s="33" t="n">
        <f aca="false">IF(AND(N('Hiring plan'!$F$18)&gt;0,BK$3&gt;='Hiring plan'!$G$18,BK$3&lt;=IF('Hiring plan'!$H$18="",999,'Hiring plan'!$H$18)),'Hiring plan'!$F$18,0)</f>
        <v>1</v>
      </c>
      <c r="BL22" s="33" t="n">
        <f aca="false">IF(AND(N('Hiring plan'!$F$18)&gt;0,BL$3&gt;='Hiring plan'!$G$18,BL$3&lt;=IF('Hiring plan'!$H$18="",999,'Hiring plan'!$H$18)),'Hiring plan'!$F$18,0)</f>
        <v>1</v>
      </c>
    </row>
    <row r="23" customFormat="false" ht="15" hidden="false" customHeight="false" outlineLevel="0" collapsed="false">
      <c r="A23" s="12" t="str">
        <f aca="false">IF('Hiring plan'!$C$19="","(spare line 15)",'Hiring plan'!$C$19&amp;" · "&amp;'Hiring plan'!$D$19)</f>
        <v>Senior mobile developer · SN</v>
      </c>
      <c r="B23" s="14" t="s">
        <v>222</v>
      </c>
      <c r="D23" s="41" t="n">
        <f aca="false">MAX(E23:BL23)</f>
        <v>1</v>
      </c>
      <c r="E23" s="33" t="n">
        <f aca="false">IF(AND(N('Hiring plan'!$F$19)&gt;0,E$3&gt;='Hiring plan'!$G$19,E$3&lt;=IF('Hiring plan'!$H$19="",999,'Hiring plan'!$H$19)),'Hiring plan'!$F$19,0)</f>
        <v>0</v>
      </c>
      <c r="F23" s="33" t="n">
        <f aca="false">IF(AND(N('Hiring plan'!$F$19)&gt;0,F$3&gt;='Hiring plan'!$G$19,F$3&lt;=IF('Hiring plan'!$H$19="",999,'Hiring plan'!$H$19)),'Hiring plan'!$F$19,0)</f>
        <v>0</v>
      </c>
      <c r="G23" s="33" t="n">
        <f aca="false">IF(AND(N('Hiring plan'!$F$19)&gt;0,G$3&gt;='Hiring plan'!$G$19,G$3&lt;=IF('Hiring plan'!$H$19="",999,'Hiring plan'!$H$19)),'Hiring plan'!$F$19,0)</f>
        <v>0</v>
      </c>
      <c r="H23" s="33" t="n">
        <f aca="false">IF(AND(N('Hiring plan'!$F$19)&gt;0,H$3&gt;='Hiring plan'!$G$19,H$3&lt;=IF('Hiring plan'!$H$19="",999,'Hiring plan'!$H$19)),'Hiring plan'!$F$19,0)</f>
        <v>0</v>
      </c>
      <c r="I23" s="33" t="n">
        <f aca="false">IF(AND(N('Hiring plan'!$F$19)&gt;0,I$3&gt;='Hiring plan'!$G$19,I$3&lt;=IF('Hiring plan'!$H$19="",999,'Hiring plan'!$H$19)),'Hiring plan'!$F$19,0)</f>
        <v>0</v>
      </c>
      <c r="J23" s="33" t="n">
        <f aca="false">IF(AND(N('Hiring plan'!$F$19)&gt;0,J$3&gt;='Hiring plan'!$G$19,J$3&lt;=IF('Hiring plan'!$H$19="",999,'Hiring plan'!$H$19)),'Hiring plan'!$F$19,0)</f>
        <v>0</v>
      </c>
      <c r="K23" s="33" t="n">
        <f aca="false">IF(AND(N('Hiring plan'!$F$19)&gt;0,K$3&gt;='Hiring plan'!$G$19,K$3&lt;=IF('Hiring plan'!$H$19="",999,'Hiring plan'!$H$19)),'Hiring plan'!$F$19,0)</f>
        <v>0</v>
      </c>
      <c r="L23" s="33" t="n">
        <f aca="false">IF(AND(N('Hiring plan'!$F$19)&gt;0,L$3&gt;='Hiring plan'!$G$19,L$3&lt;=IF('Hiring plan'!$H$19="",999,'Hiring plan'!$H$19)),'Hiring plan'!$F$19,0)</f>
        <v>0</v>
      </c>
      <c r="M23" s="33" t="n">
        <f aca="false">IF(AND(N('Hiring plan'!$F$19)&gt;0,M$3&gt;='Hiring plan'!$G$19,M$3&lt;=IF('Hiring plan'!$H$19="",999,'Hiring plan'!$H$19)),'Hiring plan'!$F$19,0)</f>
        <v>0</v>
      </c>
      <c r="N23" s="33" t="n">
        <f aca="false">IF(AND(N('Hiring plan'!$F$19)&gt;0,N$3&gt;='Hiring plan'!$G$19,N$3&lt;=IF('Hiring plan'!$H$19="",999,'Hiring plan'!$H$19)),'Hiring plan'!$F$19,0)</f>
        <v>0</v>
      </c>
      <c r="O23" s="33" t="n">
        <f aca="false">IF(AND(N('Hiring plan'!$F$19)&gt;0,O$3&gt;='Hiring plan'!$G$19,O$3&lt;=IF('Hiring plan'!$H$19="",999,'Hiring plan'!$H$19)),'Hiring plan'!$F$19,0)</f>
        <v>0</v>
      </c>
      <c r="P23" s="33" t="n">
        <f aca="false">IF(AND(N('Hiring plan'!$F$19)&gt;0,P$3&gt;='Hiring plan'!$G$19,P$3&lt;=IF('Hiring plan'!$H$19="",999,'Hiring plan'!$H$19)),'Hiring plan'!$F$19,0)</f>
        <v>0</v>
      </c>
      <c r="Q23" s="33" t="n">
        <f aca="false">IF(AND(N('Hiring plan'!$F$19)&gt;0,Q$3&gt;='Hiring plan'!$G$19,Q$3&lt;=IF('Hiring plan'!$H$19="",999,'Hiring plan'!$H$19)),'Hiring plan'!$F$19,0)</f>
        <v>0</v>
      </c>
      <c r="R23" s="33" t="n">
        <f aca="false">IF(AND(N('Hiring plan'!$F$19)&gt;0,R$3&gt;='Hiring plan'!$G$19,R$3&lt;=IF('Hiring plan'!$H$19="",999,'Hiring plan'!$H$19)),'Hiring plan'!$F$19,0)</f>
        <v>0</v>
      </c>
      <c r="S23" s="33" t="n">
        <f aca="false">IF(AND(N('Hiring plan'!$F$19)&gt;0,S$3&gt;='Hiring plan'!$G$19,S$3&lt;=IF('Hiring plan'!$H$19="",999,'Hiring plan'!$H$19)),'Hiring plan'!$F$19,0)</f>
        <v>0</v>
      </c>
      <c r="T23" s="33" t="n">
        <f aca="false">IF(AND(N('Hiring plan'!$F$19)&gt;0,T$3&gt;='Hiring plan'!$G$19,T$3&lt;=IF('Hiring plan'!$H$19="",999,'Hiring plan'!$H$19)),'Hiring plan'!$F$19,0)</f>
        <v>0</v>
      </c>
      <c r="U23" s="33" t="n">
        <f aca="false">IF(AND(N('Hiring plan'!$F$19)&gt;0,U$3&gt;='Hiring plan'!$G$19,U$3&lt;=IF('Hiring plan'!$H$19="",999,'Hiring plan'!$H$19)),'Hiring plan'!$F$19,0)</f>
        <v>0</v>
      </c>
      <c r="V23" s="33" t="n">
        <f aca="false">IF(AND(N('Hiring plan'!$F$19)&gt;0,V$3&gt;='Hiring plan'!$G$19,V$3&lt;=IF('Hiring plan'!$H$19="",999,'Hiring plan'!$H$19)),'Hiring plan'!$F$19,0)</f>
        <v>0</v>
      </c>
      <c r="W23" s="33" t="n">
        <f aca="false">IF(AND(N('Hiring plan'!$F$19)&gt;0,W$3&gt;='Hiring plan'!$G$19,W$3&lt;=IF('Hiring plan'!$H$19="",999,'Hiring plan'!$H$19)),'Hiring plan'!$F$19,0)</f>
        <v>0</v>
      </c>
      <c r="X23" s="33" t="n">
        <f aca="false">IF(AND(N('Hiring plan'!$F$19)&gt;0,X$3&gt;='Hiring plan'!$G$19,X$3&lt;=IF('Hiring plan'!$H$19="",999,'Hiring plan'!$H$19)),'Hiring plan'!$F$19,0)</f>
        <v>0</v>
      </c>
      <c r="Y23" s="33" t="n">
        <f aca="false">IF(AND(N('Hiring plan'!$F$19)&gt;0,Y$3&gt;='Hiring plan'!$G$19,Y$3&lt;=IF('Hiring plan'!$H$19="",999,'Hiring plan'!$H$19)),'Hiring plan'!$F$19,0)</f>
        <v>0</v>
      </c>
      <c r="Z23" s="33" t="n">
        <f aca="false">IF(AND(N('Hiring plan'!$F$19)&gt;0,Z$3&gt;='Hiring plan'!$G$19,Z$3&lt;=IF('Hiring plan'!$H$19="",999,'Hiring plan'!$H$19)),'Hiring plan'!$F$19,0)</f>
        <v>0</v>
      </c>
      <c r="AA23" s="33" t="n">
        <f aca="false">IF(AND(N('Hiring plan'!$F$19)&gt;0,AA$3&gt;='Hiring plan'!$G$19,AA$3&lt;=IF('Hiring plan'!$H$19="",999,'Hiring plan'!$H$19)),'Hiring plan'!$F$19,0)</f>
        <v>0</v>
      </c>
      <c r="AB23" s="33" t="n">
        <f aca="false">IF(AND(N('Hiring plan'!$F$19)&gt;0,AB$3&gt;='Hiring plan'!$G$19,AB$3&lt;=IF('Hiring plan'!$H$19="",999,'Hiring plan'!$H$19)),'Hiring plan'!$F$19,0)</f>
        <v>0</v>
      </c>
      <c r="AC23" s="33" t="n">
        <f aca="false">IF(AND(N('Hiring plan'!$F$19)&gt;0,AC$3&gt;='Hiring plan'!$G$19,AC$3&lt;=IF('Hiring plan'!$H$19="",999,'Hiring plan'!$H$19)),'Hiring plan'!$F$19,0)</f>
        <v>0</v>
      </c>
      <c r="AD23" s="33" t="n">
        <f aca="false">IF(AND(N('Hiring plan'!$F$19)&gt;0,AD$3&gt;='Hiring plan'!$G$19,AD$3&lt;=IF('Hiring plan'!$H$19="",999,'Hiring plan'!$H$19)),'Hiring plan'!$F$19,0)</f>
        <v>0</v>
      </c>
      <c r="AE23" s="33" t="n">
        <f aca="false">IF(AND(N('Hiring plan'!$F$19)&gt;0,AE$3&gt;='Hiring plan'!$G$19,AE$3&lt;=IF('Hiring plan'!$H$19="",999,'Hiring plan'!$H$19)),'Hiring plan'!$F$19,0)</f>
        <v>0</v>
      </c>
      <c r="AF23" s="33" t="n">
        <f aca="false">IF(AND(N('Hiring plan'!$F$19)&gt;0,AF$3&gt;='Hiring plan'!$G$19,AF$3&lt;=IF('Hiring plan'!$H$19="",999,'Hiring plan'!$H$19)),'Hiring plan'!$F$19,0)</f>
        <v>0</v>
      </c>
      <c r="AG23" s="33" t="n">
        <f aca="false">IF(AND(N('Hiring plan'!$F$19)&gt;0,AG$3&gt;='Hiring plan'!$G$19,AG$3&lt;=IF('Hiring plan'!$H$19="",999,'Hiring plan'!$H$19)),'Hiring plan'!$F$19,0)</f>
        <v>0</v>
      </c>
      <c r="AH23" s="33" t="n">
        <f aca="false">IF(AND(N('Hiring plan'!$F$19)&gt;0,AH$3&gt;='Hiring plan'!$G$19,AH$3&lt;=IF('Hiring plan'!$H$19="",999,'Hiring plan'!$H$19)),'Hiring plan'!$F$19,0)</f>
        <v>0</v>
      </c>
      <c r="AI23" s="33" t="n">
        <f aca="false">IF(AND(N('Hiring plan'!$F$19)&gt;0,AI$3&gt;='Hiring plan'!$G$19,AI$3&lt;=IF('Hiring plan'!$H$19="",999,'Hiring plan'!$H$19)),'Hiring plan'!$F$19,0)</f>
        <v>0</v>
      </c>
      <c r="AJ23" s="33" t="n">
        <f aca="false">IF(AND(N('Hiring plan'!$F$19)&gt;0,AJ$3&gt;='Hiring plan'!$G$19,AJ$3&lt;=IF('Hiring plan'!$H$19="",999,'Hiring plan'!$H$19)),'Hiring plan'!$F$19,0)</f>
        <v>0</v>
      </c>
      <c r="AK23" s="33" t="n">
        <f aca="false">IF(AND(N('Hiring plan'!$F$19)&gt;0,AK$3&gt;='Hiring plan'!$G$19,AK$3&lt;=IF('Hiring plan'!$H$19="",999,'Hiring plan'!$H$19)),'Hiring plan'!$F$19,0)</f>
        <v>0</v>
      </c>
      <c r="AL23" s="33" t="n">
        <f aca="false">IF(AND(N('Hiring plan'!$F$19)&gt;0,AL$3&gt;='Hiring plan'!$G$19,AL$3&lt;=IF('Hiring plan'!$H$19="",999,'Hiring plan'!$H$19)),'Hiring plan'!$F$19,0)</f>
        <v>0</v>
      </c>
      <c r="AM23" s="33" t="n">
        <f aca="false">IF(AND(N('Hiring plan'!$F$19)&gt;0,AM$3&gt;='Hiring plan'!$G$19,AM$3&lt;=IF('Hiring plan'!$H$19="",999,'Hiring plan'!$H$19)),'Hiring plan'!$F$19,0)</f>
        <v>0</v>
      </c>
      <c r="AN23" s="33" t="n">
        <f aca="false">IF(AND(N('Hiring plan'!$F$19)&gt;0,AN$3&gt;='Hiring plan'!$G$19,AN$3&lt;=IF('Hiring plan'!$H$19="",999,'Hiring plan'!$H$19)),'Hiring plan'!$F$19,0)</f>
        <v>0</v>
      </c>
      <c r="AO23" s="33" t="n">
        <f aca="false">IF(AND(N('Hiring plan'!$F$19)&gt;0,AO$3&gt;='Hiring plan'!$G$19,AO$3&lt;=IF('Hiring plan'!$H$19="",999,'Hiring plan'!$H$19)),'Hiring plan'!$F$19,0)</f>
        <v>0</v>
      </c>
      <c r="AP23" s="33" t="n">
        <f aca="false">IF(AND(N('Hiring plan'!$F$19)&gt;0,AP$3&gt;='Hiring plan'!$G$19,AP$3&lt;=IF('Hiring plan'!$H$19="",999,'Hiring plan'!$H$19)),'Hiring plan'!$F$19,0)</f>
        <v>0</v>
      </c>
      <c r="AQ23" s="33" t="n">
        <f aca="false">IF(AND(N('Hiring plan'!$F$19)&gt;0,AQ$3&gt;='Hiring plan'!$G$19,AQ$3&lt;=IF('Hiring plan'!$H$19="",999,'Hiring plan'!$H$19)),'Hiring plan'!$F$19,0)</f>
        <v>0</v>
      </c>
      <c r="AR23" s="33" t="n">
        <f aca="false">IF(AND(N('Hiring plan'!$F$19)&gt;0,AR$3&gt;='Hiring plan'!$G$19,AR$3&lt;=IF('Hiring plan'!$H$19="",999,'Hiring plan'!$H$19)),'Hiring plan'!$F$19,0)</f>
        <v>0</v>
      </c>
      <c r="AS23" s="33" t="n">
        <f aca="false">IF(AND(N('Hiring plan'!$F$19)&gt;0,AS$3&gt;='Hiring plan'!$G$19,AS$3&lt;=IF('Hiring plan'!$H$19="",999,'Hiring plan'!$H$19)),'Hiring plan'!$F$19,0)</f>
        <v>0</v>
      </c>
      <c r="AT23" s="33" t="n">
        <f aca="false">IF(AND(N('Hiring plan'!$F$19)&gt;0,AT$3&gt;='Hiring plan'!$G$19,AT$3&lt;=IF('Hiring plan'!$H$19="",999,'Hiring plan'!$H$19)),'Hiring plan'!$F$19,0)</f>
        <v>0</v>
      </c>
      <c r="AU23" s="33" t="n">
        <f aca="false">IF(AND(N('Hiring plan'!$F$19)&gt;0,AU$3&gt;='Hiring plan'!$G$19,AU$3&lt;=IF('Hiring plan'!$H$19="",999,'Hiring plan'!$H$19)),'Hiring plan'!$F$19,0)</f>
        <v>1</v>
      </c>
      <c r="AV23" s="33" t="n">
        <f aca="false">IF(AND(N('Hiring plan'!$F$19)&gt;0,AV$3&gt;='Hiring plan'!$G$19,AV$3&lt;=IF('Hiring plan'!$H$19="",999,'Hiring plan'!$H$19)),'Hiring plan'!$F$19,0)</f>
        <v>1</v>
      </c>
      <c r="AW23" s="33" t="n">
        <f aca="false">IF(AND(N('Hiring plan'!$F$19)&gt;0,AW$3&gt;='Hiring plan'!$G$19,AW$3&lt;=IF('Hiring plan'!$H$19="",999,'Hiring plan'!$H$19)),'Hiring plan'!$F$19,0)</f>
        <v>1</v>
      </c>
      <c r="AX23" s="33" t="n">
        <f aca="false">IF(AND(N('Hiring plan'!$F$19)&gt;0,AX$3&gt;='Hiring plan'!$G$19,AX$3&lt;=IF('Hiring plan'!$H$19="",999,'Hiring plan'!$H$19)),'Hiring plan'!$F$19,0)</f>
        <v>1</v>
      </c>
      <c r="AY23" s="33" t="n">
        <f aca="false">IF(AND(N('Hiring plan'!$F$19)&gt;0,AY$3&gt;='Hiring plan'!$G$19,AY$3&lt;=IF('Hiring plan'!$H$19="",999,'Hiring plan'!$H$19)),'Hiring plan'!$F$19,0)</f>
        <v>1</v>
      </c>
      <c r="AZ23" s="33" t="n">
        <f aca="false">IF(AND(N('Hiring plan'!$F$19)&gt;0,AZ$3&gt;='Hiring plan'!$G$19,AZ$3&lt;=IF('Hiring plan'!$H$19="",999,'Hiring plan'!$H$19)),'Hiring plan'!$F$19,0)</f>
        <v>1</v>
      </c>
      <c r="BA23" s="33" t="n">
        <f aca="false">IF(AND(N('Hiring plan'!$F$19)&gt;0,BA$3&gt;='Hiring plan'!$G$19,BA$3&lt;=IF('Hiring plan'!$H$19="",999,'Hiring plan'!$H$19)),'Hiring plan'!$F$19,0)</f>
        <v>1</v>
      </c>
      <c r="BB23" s="33" t="n">
        <f aca="false">IF(AND(N('Hiring plan'!$F$19)&gt;0,BB$3&gt;='Hiring plan'!$G$19,BB$3&lt;=IF('Hiring plan'!$H$19="",999,'Hiring plan'!$H$19)),'Hiring plan'!$F$19,0)</f>
        <v>1</v>
      </c>
      <c r="BC23" s="33" t="n">
        <f aca="false">IF(AND(N('Hiring plan'!$F$19)&gt;0,BC$3&gt;='Hiring plan'!$G$19,BC$3&lt;=IF('Hiring plan'!$H$19="",999,'Hiring plan'!$H$19)),'Hiring plan'!$F$19,0)</f>
        <v>1</v>
      </c>
      <c r="BD23" s="33" t="n">
        <f aca="false">IF(AND(N('Hiring plan'!$F$19)&gt;0,BD$3&gt;='Hiring plan'!$G$19,BD$3&lt;=IF('Hiring plan'!$H$19="",999,'Hiring plan'!$H$19)),'Hiring plan'!$F$19,0)</f>
        <v>1</v>
      </c>
      <c r="BE23" s="33" t="n">
        <f aca="false">IF(AND(N('Hiring plan'!$F$19)&gt;0,BE$3&gt;='Hiring plan'!$G$19,BE$3&lt;=IF('Hiring plan'!$H$19="",999,'Hiring plan'!$H$19)),'Hiring plan'!$F$19,0)</f>
        <v>1</v>
      </c>
      <c r="BF23" s="33" t="n">
        <f aca="false">IF(AND(N('Hiring plan'!$F$19)&gt;0,BF$3&gt;='Hiring plan'!$G$19,BF$3&lt;=IF('Hiring plan'!$H$19="",999,'Hiring plan'!$H$19)),'Hiring plan'!$F$19,0)</f>
        <v>1</v>
      </c>
      <c r="BG23" s="33" t="n">
        <f aca="false">IF(AND(N('Hiring plan'!$F$19)&gt;0,BG$3&gt;='Hiring plan'!$G$19,BG$3&lt;=IF('Hiring plan'!$H$19="",999,'Hiring plan'!$H$19)),'Hiring plan'!$F$19,0)</f>
        <v>1</v>
      </c>
      <c r="BH23" s="33" t="n">
        <f aca="false">IF(AND(N('Hiring plan'!$F$19)&gt;0,BH$3&gt;='Hiring plan'!$G$19,BH$3&lt;=IF('Hiring plan'!$H$19="",999,'Hiring plan'!$H$19)),'Hiring plan'!$F$19,0)</f>
        <v>1</v>
      </c>
      <c r="BI23" s="33" t="n">
        <f aca="false">IF(AND(N('Hiring plan'!$F$19)&gt;0,BI$3&gt;='Hiring plan'!$G$19,BI$3&lt;=IF('Hiring plan'!$H$19="",999,'Hiring plan'!$H$19)),'Hiring plan'!$F$19,0)</f>
        <v>1</v>
      </c>
      <c r="BJ23" s="33" t="n">
        <f aca="false">IF(AND(N('Hiring plan'!$F$19)&gt;0,BJ$3&gt;='Hiring plan'!$G$19,BJ$3&lt;=IF('Hiring plan'!$H$19="",999,'Hiring plan'!$H$19)),'Hiring plan'!$F$19,0)</f>
        <v>1</v>
      </c>
      <c r="BK23" s="33" t="n">
        <f aca="false">IF(AND(N('Hiring plan'!$F$19)&gt;0,BK$3&gt;='Hiring plan'!$G$19,BK$3&lt;=IF('Hiring plan'!$H$19="",999,'Hiring plan'!$H$19)),'Hiring plan'!$F$19,0)</f>
        <v>1</v>
      </c>
      <c r="BL23" s="33" t="n">
        <f aca="false">IF(AND(N('Hiring plan'!$F$19)&gt;0,BL$3&gt;='Hiring plan'!$G$19,BL$3&lt;=IF('Hiring plan'!$H$19="",999,'Hiring plan'!$H$19)),'Hiring plan'!$F$19,0)</f>
        <v>1</v>
      </c>
    </row>
    <row r="24" customFormat="false" ht="15" hidden="false" customHeight="false" outlineLevel="0" collapsed="false">
      <c r="A24" s="12" t="str">
        <f aca="false">IF('Hiring plan'!$C$20="","(spare line 16)",'Hiring plan'!$C$20&amp;" · "&amp;'Hiring plan'!$D$20)</f>
        <v>Senior backend developer · SN</v>
      </c>
      <c r="B24" s="14" t="s">
        <v>222</v>
      </c>
      <c r="D24" s="41" t="n">
        <f aca="false">MAX(E24:BL24)</f>
        <v>1</v>
      </c>
      <c r="E24" s="33" t="n">
        <f aca="false">IF(AND(N('Hiring plan'!$F$20)&gt;0,E$3&gt;='Hiring plan'!$G$20,E$3&lt;=IF('Hiring plan'!$H$20="",999,'Hiring plan'!$H$20)),'Hiring plan'!$F$20,0)</f>
        <v>0</v>
      </c>
      <c r="F24" s="33" t="n">
        <f aca="false">IF(AND(N('Hiring plan'!$F$20)&gt;0,F$3&gt;='Hiring plan'!$G$20,F$3&lt;=IF('Hiring plan'!$H$20="",999,'Hiring plan'!$H$20)),'Hiring plan'!$F$20,0)</f>
        <v>0</v>
      </c>
      <c r="G24" s="33" t="n">
        <f aca="false">IF(AND(N('Hiring plan'!$F$20)&gt;0,G$3&gt;='Hiring plan'!$G$20,G$3&lt;=IF('Hiring plan'!$H$20="",999,'Hiring plan'!$H$20)),'Hiring plan'!$F$20,0)</f>
        <v>0</v>
      </c>
      <c r="H24" s="33" t="n">
        <f aca="false">IF(AND(N('Hiring plan'!$F$20)&gt;0,H$3&gt;='Hiring plan'!$G$20,H$3&lt;=IF('Hiring plan'!$H$20="",999,'Hiring plan'!$H$20)),'Hiring plan'!$F$20,0)</f>
        <v>0</v>
      </c>
      <c r="I24" s="33" t="n">
        <f aca="false">IF(AND(N('Hiring plan'!$F$20)&gt;0,I$3&gt;='Hiring plan'!$G$20,I$3&lt;=IF('Hiring plan'!$H$20="",999,'Hiring plan'!$H$20)),'Hiring plan'!$F$20,0)</f>
        <v>0</v>
      </c>
      <c r="J24" s="33" t="n">
        <f aca="false">IF(AND(N('Hiring plan'!$F$20)&gt;0,J$3&gt;='Hiring plan'!$G$20,J$3&lt;=IF('Hiring plan'!$H$20="",999,'Hiring plan'!$H$20)),'Hiring plan'!$F$20,0)</f>
        <v>0</v>
      </c>
      <c r="K24" s="33" t="n">
        <f aca="false">IF(AND(N('Hiring plan'!$F$20)&gt;0,K$3&gt;='Hiring plan'!$G$20,K$3&lt;=IF('Hiring plan'!$H$20="",999,'Hiring plan'!$H$20)),'Hiring plan'!$F$20,0)</f>
        <v>0</v>
      </c>
      <c r="L24" s="33" t="n">
        <f aca="false">IF(AND(N('Hiring plan'!$F$20)&gt;0,L$3&gt;='Hiring plan'!$G$20,L$3&lt;=IF('Hiring plan'!$H$20="",999,'Hiring plan'!$H$20)),'Hiring plan'!$F$20,0)</f>
        <v>0</v>
      </c>
      <c r="M24" s="33" t="n">
        <f aca="false">IF(AND(N('Hiring plan'!$F$20)&gt;0,M$3&gt;='Hiring plan'!$G$20,M$3&lt;=IF('Hiring plan'!$H$20="",999,'Hiring plan'!$H$20)),'Hiring plan'!$F$20,0)</f>
        <v>0</v>
      </c>
      <c r="N24" s="33" t="n">
        <f aca="false">IF(AND(N('Hiring plan'!$F$20)&gt;0,N$3&gt;='Hiring plan'!$G$20,N$3&lt;=IF('Hiring plan'!$H$20="",999,'Hiring plan'!$H$20)),'Hiring plan'!$F$20,0)</f>
        <v>0</v>
      </c>
      <c r="O24" s="33" t="n">
        <f aca="false">IF(AND(N('Hiring plan'!$F$20)&gt;0,O$3&gt;='Hiring plan'!$G$20,O$3&lt;=IF('Hiring plan'!$H$20="",999,'Hiring plan'!$H$20)),'Hiring plan'!$F$20,0)</f>
        <v>0</v>
      </c>
      <c r="P24" s="33" t="n">
        <f aca="false">IF(AND(N('Hiring plan'!$F$20)&gt;0,P$3&gt;='Hiring plan'!$G$20,P$3&lt;=IF('Hiring plan'!$H$20="",999,'Hiring plan'!$H$20)),'Hiring plan'!$F$20,0)</f>
        <v>0</v>
      </c>
      <c r="Q24" s="33" t="n">
        <f aca="false">IF(AND(N('Hiring plan'!$F$20)&gt;0,Q$3&gt;='Hiring plan'!$G$20,Q$3&lt;=IF('Hiring plan'!$H$20="",999,'Hiring plan'!$H$20)),'Hiring plan'!$F$20,0)</f>
        <v>0</v>
      </c>
      <c r="R24" s="33" t="n">
        <f aca="false">IF(AND(N('Hiring plan'!$F$20)&gt;0,R$3&gt;='Hiring plan'!$G$20,R$3&lt;=IF('Hiring plan'!$H$20="",999,'Hiring plan'!$H$20)),'Hiring plan'!$F$20,0)</f>
        <v>0</v>
      </c>
      <c r="S24" s="33" t="n">
        <f aca="false">IF(AND(N('Hiring plan'!$F$20)&gt;0,S$3&gt;='Hiring plan'!$G$20,S$3&lt;=IF('Hiring plan'!$H$20="",999,'Hiring plan'!$H$20)),'Hiring plan'!$F$20,0)</f>
        <v>0</v>
      </c>
      <c r="T24" s="33" t="n">
        <f aca="false">IF(AND(N('Hiring plan'!$F$20)&gt;0,T$3&gt;='Hiring plan'!$G$20,T$3&lt;=IF('Hiring plan'!$H$20="",999,'Hiring plan'!$H$20)),'Hiring plan'!$F$20,0)</f>
        <v>0</v>
      </c>
      <c r="U24" s="33" t="n">
        <f aca="false">IF(AND(N('Hiring plan'!$F$20)&gt;0,U$3&gt;='Hiring plan'!$G$20,U$3&lt;=IF('Hiring plan'!$H$20="",999,'Hiring plan'!$H$20)),'Hiring plan'!$F$20,0)</f>
        <v>0</v>
      </c>
      <c r="V24" s="33" t="n">
        <f aca="false">IF(AND(N('Hiring plan'!$F$20)&gt;0,V$3&gt;='Hiring plan'!$G$20,V$3&lt;=IF('Hiring plan'!$H$20="",999,'Hiring plan'!$H$20)),'Hiring plan'!$F$20,0)</f>
        <v>0</v>
      </c>
      <c r="W24" s="33" t="n">
        <f aca="false">IF(AND(N('Hiring plan'!$F$20)&gt;0,W$3&gt;='Hiring plan'!$G$20,W$3&lt;=IF('Hiring plan'!$H$20="",999,'Hiring plan'!$H$20)),'Hiring plan'!$F$20,0)</f>
        <v>0</v>
      </c>
      <c r="X24" s="33" t="n">
        <f aca="false">IF(AND(N('Hiring plan'!$F$20)&gt;0,X$3&gt;='Hiring plan'!$G$20,X$3&lt;=IF('Hiring plan'!$H$20="",999,'Hiring plan'!$H$20)),'Hiring plan'!$F$20,0)</f>
        <v>0</v>
      </c>
      <c r="Y24" s="33" t="n">
        <f aca="false">IF(AND(N('Hiring plan'!$F$20)&gt;0,Y$3&gt;='Hiring plan'!$G$20,Y$3&lt;=IF('Hiring plan'!$H$20="",999,'Hiring plan'!$H$20)),'Hiring plan'!$F$20,0)</f>
        <v>0</v>
      </c>
      <c r="Z24" s="33" t="n">
        <f aca="false">IF(AND(N('Hiring plan'!$F$20)&gt;0,Z$3&gt;='Hiring plan'!$G$20,Z$3&lt;=IF('Hiring plan'!$H$20="",999,'Hiring plan'!$H$20)),'Hiring plan'!$F$20,0)</f>
        <v>0</v>
      </c>
      <c r="AA24" s="33" t="n">
        <f aca="false">IF(AND(N('Hiring plan'!$F$20)&gt;0,AA$3&gt;='Hiring plan'!$G$20,AA$3&lt;=IF('Hiring plan'!$H$20="",999,'Hiring plan'!$H$20)),'Hiring plan'!$F$20,0)</f>
        <v>0</v>
      </c>
      <c r="AB24" s="33" t="n">
        <f aca="false">IF(AND(N('Hiring plan'!$F$20)&gt;0,AB$3&gt;='Hiring plan'!$G$20,AB$3&lt;=IF('Hiring plan'!$H$20="",999,'Hiring plan'!$H$20)),'Hiring plan'!$F$20,0)</f>
        <v>0</v>
      </c>
      <c r="AC24" s="33" t="n">
        <f aca="false">IF(AND(N('Hiring plan'!$F$20)&gt;0,AC$3&gt;='Hiring plan'!$G$20,AC$3&lt;=IF('Hiring plan'!$H$20="",999,'Hiring plan'!$H$20)),'Hiring plan'!$F$20,0)</f>
        <v>0</v>
      </c>
      <c r="AD24" s="33" t="n">
        <f aca="false">IF(AND(N('Hiring plan'!$F$20)&gt;0,AD$3&gt;='Hiring plan'!$G$20,AD$3&lt;=IF('Hiring plan'!$H$20="",999,'Hiring plan'!$H$20)),'Hiring plan'!$F$20,0)</f>
        <v>0</v>
      </c>
      <c r="AE24" s="33" t="n">
        <f aca="false">IF(AND(N('Hiring plan'!$F$20)&gt;0,AE$3&gt;='Hiring plan'!$G$20,AE$3&lt;=IF('Hiring plan'!$H$20="",999,'Hiring plan'!$H$20)),'Hiring plan'!$F$20,0)</f>
        <v>0</v>
      </c>
      <c r="AF24" s="33" t="n">
        <f aca="false">IF(AND(N('Hiring plan'!$F$20)&gt;0,AF$3&gt;='Hiring plan'!$G$20,AF$3&lt;=IF('Hiring plan'!$H$20="",999,'Hiring plan'!$H$20)),'Hiring plan'!$F$20,0)</f>
        <v>0</v>
      </c>
      <c r="AG24" s="33" t="n">
        <f aca="false">IF(AND(N('Hiring plan'!$F$20)&gt;0,AG$3&gt;='Hiring plan'!$G$20,AG$3&lt;=IF('Hiring plan'!$H$20="",999,'Hiring plan'!$H$20)),'Hiring plan'!$F$20,0)</f>
        <v>0</v>
      </c>
      <c r="AH24" s="33" t="n">
        <f aca="false">IF(AND(N('Hiring plan'!$F$20)&gt;0,AH$3&gt;='Hiring plan'!$G$20,AH$3&lt;=IF('Hiring plan'!$H$20="",999,'Hiring plan'!$H$20)),'Hiring plan'!$F$20,0)</f>
        <v>0</v>
      </c>
      <c r="AI24" s="33" t="n">
        <f aca="false">IF(AND(N('Hiring plan'!$F$20)&gt;0,AI$3&gt;='Hiring plan'!$G$20,AI$3&lt;=IF('Hiring plan'!$H$20="",999,'Hiring plan'!$H$20)),'Hiring plan'!$F$20,0)</f>
        <v>0</v>
      </c>
      <c r="AJ24" s="33" t="n">
        <f aca="false">IF(AND(N('Hiring plan'!$F$20)&gt;0,AJ$3&gt;='Hiring plan'!$G$20,AJ$3&lt;=IF('Hiring plan'!$H$20="",999,'Hiring plan'!$H$20)),'Hiring plan'!$F$20,0)</f>
        <v>0</v>
      </c>
      <c r="AK24" s="33" t="n">
        <f aca="false">IF(AND(N('Hiring plan'!$F$20)&gt;0,AK$3&gt;='Hiring plan'!$G$20,AK$3&lt;=IF('Hiring plan'!$H$20="",999,'Hiring plan'!$H$20)),'Hiring plan'!$F$20,0)</f>
        <v>0</v>
      </c>
      <c r="AL24" s="33" t="n">
        <f aca="false">IF(AND(N('Hiring plan'!$F$20)&gt;0,AL$3&gt;='Hiring plan'!$G$20,AL$3&lt;=IF('Hiring plan'!$H$20="",999,'Hiring plan'!$H$20)),'Hiring plan'!$F$20,0)</f>
        <v>0</v>
      </c>
      <c r="AM24" s="33" t="n">
        <f aca="false">IF(AND(N('Hiring plan'!$F$20)&gt;0,AM$3&gt;='Hiring plan'!$G$20,AM$3&lt;=IF('Hiring plan'!$H$20="",999,'Hiring plan'!$H$20)),'Hiring plan'!$F$20,0)</f>
        <v>0</v>
      </c>
      <c r="AN24" s="33" t="n">
        <f aca="false">IF(AND(N('Hiring plan'!$F$20)&gt;0,AN$3&gt;='Hiring plan'!$G$20,AN$3&lt;=IF('Hiring plan'!$H$20="",999,'Hiring plan'!$H$20)),'Hiring plan'!$F$20,0)</f>
        <v>0</v>
      </c>
      <c r="AO24" s="33" t="n">
        <f aca="false">IF(AND(N('Hiring plan'!$F$20)&gt;0,AO$3&gt;='Hiring plan'!$G$20,AO$3&lt;=IF('Hiring plan'!$H$20="",999,'Hiring plan'!$H$20)),'Hiring plan'!$F$20,0)</f>
        <v>0</v>
      </c>
      <c r="AP24" s="33" t="n">
        <f aca="false">IF(AND(N('Hiring plan'!$F$20)&gt;0,AP$3&gt;='Hiring plan'!$G$20,AP$3&lt;=IF('Hiring plan'!$H$20="",999,'Hiring plan'!$H$20)),'Hiring plan'!$F$20,0)</f>
        <v>0</v>
      </c>
      <c r="AQ24" s="33" t="n">
        <f aca="false">IF(AND(N('Hiring plan'!$F$20)&gt;0,AQ$3&gt;='Hiring plan'!$G$20,AQ$3&lt;=IF('Hiring plan'!$H$20="",999,'Hiring plan'!$H$20)),'Hiring plan'!$F$20,0)</f>
        <v>0</v>
      </c>
      <c r="AR24" s="33" t="n">
        <f aca="false">IF(AND(N('Hiring plan'!$F$20)&gt;0,AR$3&gt;='Hiring plan'!$G$20,AR$3&lt;=IF('Hiring plan'!$H$20="",999,'Hiring plan'!$H$20)),'Hiring plan'!$F$20,0)</f>
        <v>0</v>
      </c>
      <c r="AS24" s="33" t="n">
        <f aca="false">IF(AND(N('Hiring plan'!$F$20)&gt;0,AS$3&gt;='Hiring plan'!$G$20,AS$3&lt;=IF('Hiring plan'!$H$20="",999,'Hiring plan'!$H$20)),'Hiring plan'!$F$20,0)</f>
        <v>0</v>
      </c>
      <c r="AT24" s="33" t="n">
        <f aca="false">IF(AND(N('Hiring plan'!$F$20)&gt;0,AT$3&gt;='Hiring plan'!$G$20,AT$3&lt;=IF('Hiring plan'!$H$20="",999,'Hiring plan'!$H$20)),'Hiring plan'!$F$20,0)</f>
        <v>0</v>
      </c>
      <c r="AU24" s="33" t="n">
        <f aca="false">IF(AND(N('Hiring plan'!$F$20)&gt;0,AU$3&gt;='Hiring plan'!$G$20,AU$3&lt;=IF('Hiring plan'!$H$20="",999,'Hiring plan'!$H$20)),'Hiring plan'!$F$20,0)</f>
        <v>1</v>
      </c>
      <c r="AV24" s="33" t="n">
        <f aca="false">IF(AND(N('Hiring plan'!$F$20)&gt;0,AV$3&gt;='Hiring plan'!$G$20,AV$3&lt;=IF('Hiring plan'!$H$20="",999,'Hiring plan'!$H$20)),'Hiring plan'!$F$20,0)</f>
        <v>1</v>
      </c>
      <c r="AW24" s="33" t="n">
        <f aca="false">IF(AND(N('Hiring plan'!$F$20)&gt;0,AW$3&gt;='Hiring plan'!$G$20,AW$3&lt;=IF('Hiring plan'!$H$20="",999,'Hiring plan'!$H$20)),'Hiring plan'!$F$20,0)</f>
        <v>1</v>
      </c>
      <c r="AX24" s="33" t="n">
        <f aca="false">IF(AND(N('Hiring plan'!$F$20)&gt;0,AX$3&gt;='Hiring plan'!$G$20,AX$3&lt;=IF('Hiring plan'!$H$20="",999,'Hiring plan'!$H$20)),'Hiring plan'!$F$20,0)</f>
        <v>1</v>
      </c>
      <c r="AY24" s="33" t="n">
        <f aca="false">IF(AND(N('Hiring plan'!$F$20)&gt;0,AY$3&gt;='Hiring plan'!$G$20,AY$3&lt;=IF('Hiring plan'!$H$20="",999,'Hiring plan'!$H$20)),'Hiring plan'!$F$20,0)</f>
        <v>1</v>
      </c>
      <c r="AZ24" s="33" t="n">
        <f aca="false">IF(AND(N('Hiring plan'!$F$20)&gt;0,AZ$3&gt;='Hiring plan'!$G$20,AZ$3&lt;=IF('Hiring plan'!$H$20="",999,'Hiring plan'!$H$20)),'Hiring plan'!$F$20,0)</f>
        <v>1</v>
      </c>
      <c r="BA24" s="33" t="n">
        <f aca="false">IF(AND(N('Hiring plan'!$F$20)&gt;0,BA$3&gt;='Hiring plan'!$G$20,BA$3&lt;=IF('Hiring plan'!$H$20="",999,'Hiring plan'!$H$20)),'Hiring plan'!$F$20,0)</f>
        <v>1</v>
      </c>
      <c r="BB24" s="33" t="n">
        <f aca="false">IF(AND(N('Hiring plan'!$F$20)&gt;0,BB$3&gt;='Hiring plan'!$G$20,BB$3&lt;=IF('Hiring plan'!$H$20="",999,'Hiring plan'!$H$20)),'Hiring plan'!$F$20,0)</f>
        <v>1</v>
      </c>
      <c r="BC24" s="33" t="n">
        <f aca="false">IF(AND(N('Hiring plan'!$F$20)&gt;0,BC$3&gt;='Hiring plan'!$G$20,BC$3&lt;=IF('Hiring plan'!$H$20="",999,'Hiring plan'!$H$20)),'Hiring plan'!$F$20,0)</f>
        <v>1</v>
      </c>
      <c r="BD24" s="33" t="n">
        <f aca="false">IF(AND(N('Hiring plan'!$F$20)&gt;0,BD$3&gt;='Hiring plan'!$G$20,BD$3&lt;=IF('Hiring plan'!$H$20="",999,'Hiring plan'!$H$20)),'Hiring plan'!$F$20,0)</f>
        <v>1</v>
      </c>
      <c r="BE24" s="33" t="n">
        <f aca="false">IF(AND(N('Hiring plan'!$F$20)&gt;0,BE$3&gt;='Hiring plan'!$G$20,BE$3&lt;=IF('Hiring plan'!$H$20="",999,'Hiring plan'!$H$20)),'Hiring plan'!$F$20,0)</f>
        <v>1</v>
      </c>
      <c r="BF24" s="33" t="n">
        <f aca="false">IF(AND(N('Hiring plan'!$F$20)&gt;0,BF$3&gt;='Hiring plan'!$G$20,BF$3&lt;=IF('Hiring plan'!$H$20="",999,'Hiring plan'!$H$20)),'Hiring plan'!$F$20,0)</f>
        <v>1</v>
      </c>
      <c r="BG24" s="33" t="n">
        <f aca="false">IF(AND(N('Hiring plan'!$F$20)&gt;0,BG$3&gt;='Hiring plan'!$G$20,BG$3&lt;=IF('Hiring plan'!$H$20="",999,'Hiring plan'!$H$20)),'Hiring plan'!$F$20,0)</f>
        <v>1</v>
      </c>
      <c r="BH24" s="33" t="n">
        <f aca="false">IF(AND(N('Hiring plan'!$F$20)&gt;0,BH$3&gt;='Hiring plan'!$G$20,BH$3&lt;=IF('Hiring plan'!$H$20="",999,'Hiring plan'!$H$20)),'Hiring plan'!$F$20,0)</f>
        <v>1</v>
      </c>
      <c r="BI24" s="33" t="n">
        <f aca="false">IF(AND(N('Hiring plan'!$F$20)&gt;0,BI$3&gt;='Hiring plan'!$G$20,BI$3&lt;=IF('Hiring plan'!$H$20="",999,'Hiring plan'!$H$20)),'Hiring plan'!$F$20,0)</f>
        <v>1</v>
      </c>
      <c r="BJ24" s="33" t="n">
        <f aca="false">IF(AND(N('Hiring plan'!$F$20)&gt;0,BJ$3&gt;='Hiring plan'!$G$20,BJ$3&lt;=IF('Hiring plan'!$H$20="",999,'Hiring plan'!$H$20)),'Hiring plan'!$F$20,0)</f>
        <v>1</v>
      </c>
      <c r="BK24" s="33" t="n">
        <f aca="false">IF(AND(N('Hiring plan'!$F$20)&gt;0,BK$3&gt;='Hiring plan'!$G$20,BK$3&lt;=IF('Hiring plan'!$H$20="",999,'Hiring plan'!$H$20)),'Hiring plan'!$F$20,0)</f>
        <v>1</v>
      </c>
      <c r="BL24" s="33" t="n">
        <f aca="false">IF(AND(N('Hiring plan'!$F$20)&gt;0,BL$3&gt;='Hiring plan'!$G$20,BL$3&lt;=IF('Hiring plan'!$H$20="",999,'Hiring plan'!$H$20)),'Hiring plan'!$F$20,0)</f>
        <v>1</v>
      </c>
    </row>
    <row r="25" customFormat="false" ht="15" hidden="false" customHeight="false" outlineLevel="0" collapsed="false">
      <c r="A25" s="12" t="str">
        <f aca="false">IF('Hiring plan'!$C$21="","(spare line 17)",'Hiring plan'!$C$21&amp;" · "&amp;'Hiring plan'!$D$21)</f>
        <v>Head of compliance / AML officer · SN</v>
      </c>
      <c r="B25" s="14" t="s">
        <v>222</v>
      </c>
      <c r="D25" s="41" t="n">
        <f aca="false">MAX(E25:BL25)</f>
        <v>1</v>
      </c>
      <c r="E25" s="33" t="n">
        <f aca="false">IF(AND(N('Hiring plan'!$F$21)&gt;0,E$3&gt;='Hiring plan'!$G$21,E$3&lt;=IF('Hiring plan'!$H$21="",999,'Hiring plan'!$H$21)),'Hiring plan'!$F$21,0)</f>
        <v>0</v>
      </c>
      <c r="F25" s="33" t="n">
        <f aca="false">IF(AND(N('Hiring plan'!$F$21)&gt;0,F$3&gt;='Hiring plan'!$G$21,F$3&lt;=IF('Hiring plan'!$H$21="",999,'Hiring plan'!$H$21)),'Hiring plan'!$F$21,0)</f>
        <v>0</v>
      </c>
      <c r="G25" s="33" t="n">
        <f aca="false">IF(AND(N('Hiring plan'!$F$21)&gt;0,G$3&gt;='Hiring plan'!$G$21,G$3&lt;=IF('Hiring plan'!$H$21="",999,'Hiring plan'!$H$21)),'Hiring plan'!$F$21,0)</f>
        <v>1</v>
      </c>
      <c r="H25" s="33" t="n">
        <f aca="false">IF(AND(N('Hiring plan'!$F$21)&gt;0,H$3&gt;='Hiring plan'!$G$21,H$3&lt;=IF('Hiring plan'!$H$21="",999,'Hiring plan'!$H$21)),'Hiring plan'!$F$21,0)</f>
        <v>1</v>
      </c>
      <c r="I25" s="33" t="n">
        <f aca="false">IF(AND(N('Hiring plan'!$F$21)&gt;0,I$3&gt;='Hiring plan'!$G$21,I$3&lt;=IF('Hiring plan'!$H$21="",999,'Hiring plan'!$H$21)),'Hiring plan'!$F$21,0)</f>
        <v>1</v>
      </c>
      <c r="J25" s="33" t="n">
        <f aca="false">IF(AND(N('Hiring plan'!$F$21)&gt;0,J$3&gt;='Hiring plan'!$G$21,J$3&lt;=IF('Hiring plan'!$H$21="",999,'Hiring plan'!$H$21)),'Hiring plan'!$F$21,0)</f>
        <v>1</v>
      </c>
      <c r="K25" s="33" t="n">
        <f aca="false">IF(AND(N('Hiring plan'!$F$21)&gt;0,K$3&gt;='Hiring plan'!$G$21,K$3&lt;=IF('Hiring plan'!$H$21="",999,'Hiring plan'!$H$21)),'Hiring plan'!$F$21,0)</f>
        <v>1</v>
      </c>
      <c r="L25" s="33" t="n">
        <f aca="false">IF(AND(N('Hiring plan'!$F$21)&gt;0,L$3&gt;='Hiring plan'!$G$21,L$3&lt;=IF('Hiring plan'!$H$21="",999,'Hiring plan'!$H$21)),'Hiring plan'!$F$21,0)</f>
        <v>1</v>
      </c>
      <c r="M25" s="33" t="n">
        <f aca="false">IF(AND(N('Hiring plan'!$F$21)&gt;0,M$3&gt;='Hiring plan'!$G$21,M$3&lt;=IF('Hiring plan'!$H$21="",999,'Hiring plan'!$H$21)),'Hiring plan'!$F$21,0)</f>
        <v>1</v>
      </c>
      <c r="N25" s="33" t="n">
        <f aca="false">IF(AND(N('Hiring plan'!$F$21)&gt;0,N$3&gt;='Hiring plan'!$G$21,N$3&lt;=IF('Hiring plan'!$H$21="",999,'Hiring plan'!$H$21)),'Hiring plan'!$F$21,0)</f>
        <v>1</v>
      </c>
      <c r="O25" s="33" t="n">
        <f aca="false">IF(AND(N('Hiring plan'!$F$21)&gt;0,O$3&gt;='Hiring plan'!$G$21,O$3&lt;=IF('Hiring plan'!$H$21="",999,'Hiring plan'!$H$21)),'Hiring plan'!$F$21,0)</f>
        <v>1</v>
      </c>
      <c r="P25" s="33" t="n">
        <f aca="false">IF(AND(N('Hiring plan'!$F$21)&gt;0,P$3&gt;='Hiring plan'!$G$21,P$3&lt;=IF('Hiring plan'!$H$21="",999,'Hiring plan'!$H$21)),'Hiring plan'!$F$21,0)</f>
        <v>1</v>
      </c>
      <c r="Q25" s="33" t="n">
        <f aca="false">IF(AND(N('Hiring plan'!$F$21)&gt;0,Q$3&gt;='Hiring plan'!$G$21,Q$3&lt;=IF('Hiring plan'!$H$21="",999,'Hiring plan'!$H$21)),'Hiring plan'!$F$21,0)</f>
        <v>1</v>
      </c>
      <c r="R25" s="33" t="n">
        <f aca="false">IF(AND(N('Hiring plan'!$F$21)&gt;0,R$3&gt;='Hiring plan'!$G$21,R$3&lt;=IF('Hiring plan'!$H$21="",999,'Hiring plan'!$H$21)),'Hiring plan'!$F$21,0)</f>
        <v>1</v>
      </c>
      <c r="S25" s="33" t="n">
        <f aca="false">IF(AND(N('Hiring plan'!$F$21)&gt;0,S$3&gt;='Hiring plan'!$G$21,S$3&lt;=IF('Hiring plan'!$H$21="",999,'Hiring plan'!$H$21)),'Hiring plan'!$F$21,0)</f>
        <v>1</v>
      </c>
      <c r="T25" s="33" t="n">
        <f aca="false">IF(AND(N('Hiring plan'!$F$21)&gt;0,T$3&gt;='Hiring plan'!$G$21,T$3&lt;=IF('Hiring plan'!$H$21="",999,'Hiring plan'!$H$21)),'Hiring plan'!$F$21,0)</f>
        <v>1</v>
      </c>
      <c r="U25" s="33" t="n">
        <f aca="false">IF(AND(N('Hiring plan'!$F$21)&gt;0,U$3&gt;='Hiring plan'!$G$21,U$3&lt;=IF('Hiring plan'!$H$21="",999,'Hiring plan'!$H$21)),'Hiring plan'!$F$21,0)</f>
        <v>1</v>
      </c>
      <c r="V25" s="33" t="n">
        <f aca="false">IF(AND(N('Hiring plan'!$F$21)&gt;0,V$3&gt;='Hiring plan'!$G$21,V$3&lt;=IF('Hiring plan'!$H$21="",999,'Hiring plan'!$H$21)),'Hiring plan'!$F$21,0)</f>
        <v>1</v>
      </c>
      <c r="W25" s="33" t="n">
        <f aca="false">IF(AND(N('Hiring plan'!$F$21)&gt;0,W$3&gt;='Hiring plan'!$G$21,W$3&lt;=IF('Hiring plan'!$H$21="",999,'Hiring plan'!$H$21)),'Hiring plan'!$F$21,0)</f>
        <v>1</v>
      </c>
      <c r="X25" s="33" t="n">
        <f aca="false">IF(AND(N('Hiring plan'!$F$21)&gt;0,X$3&gt;='Hiring plan'!$G$21,X$3&lt;=IF('Hiring plan'!$H$21="",999,'Hiring plan'!$H$21)),'Hiring plan'!$F$21,0)</f>
        <v>1</v>
      </c>
      <c r="Y25" s="33" t="n">
        <f aca="false">IF(AND(N('Hiring plan'!$F$21)&gt;0,Y$3&gt;='Hiring plan'!$G$21,Y$3&lt;=IF('Hiring plan'!$H$21="",999,'Hiring plan'!$H$21)),'Hiring plan'!$F$21,0)</f>
        <v>1</v>
      </c>
      <c r="Z25" s="33" t="n">
        <f aca="false">IF(AND(N('Hiring plan'!$F$21)&gt;0,Z$3&gt;='Hiring plan'!$G$21,Z$3&lt;=IF('Hiring plan'!$H$21="",999,'Hiring plan'!$H$21)),'Hiring plan'!$F$21,0)</f>
        <v>1</v>
      </c>
      <c r="AA25" s="33" t="n">
        <f aca="false">IF(AND(N('Hiring plan'!$F$21)&gt;0,AA$3&gt;='Hiring plan'!$G$21,AA$3&lt;=IF('Hiring plan'!$H$21="",999,'Hiring plan'!$H$21)),'Hiring plan'!$F$21,0)</f>
        <v>1</v>
      </c>
      <c r="AB25" s="33" t="n">
        <f aca="false">IF(AND(N('Hiring plan'!$F$21)&gt;0,AB$3&gt;='Hiring plan'!$G$21,AB$3&lt;=IF('Hiring plan'!$H$21="",999,'Hiring plan'!$H$21)),'Hiring plan'!$F$21,0)</f>
        <v>1</v>
      </c>
      <c r="AC25" s="33" t="n">
        <f aca="false">IF(AND(N('Hiring plan'!$F$21)&gt;0,AC$3&gt;='Hiring plan'!$G$21,AC$3&lt;=IF('Hiring plan'!$H$21="",999,'Hiring plan'!$H$21)),'Hiring plan'!$F$21,0)</f>
        <v>1</v>
      </c>
      <c r="AD25" s="33" t="n">
        <f aca="false">IF(AND(N('Hiring plan'!$F$21)&gt;0,AD$3&gt;='Hiring plan'!$G$21,AD$3&lt;=IF('Hiring plan'!$H$21="",999,'Hiring plan'!$H$21)),'Hiring plan'!$F$21,0)</f>
        <v>1</v>
      </c>
      <c r="AE25" s="33" t="n">
        <f aca="false">IF(AND(N('Hiring plan'!$F$21)&gt;0,AE$3&gt;='Hiring plan'!$G$21,AE$3&lt;=IF('Hiring plan'!$H$21="",999,'Hiring plan'!$H$21)),'Hiring plan'!$F$21,0)</f>
        <v>1</v>
      </c>
      <c r="AF25" s="33" t="n">
        <f aca="false">IF(AND(N('Hiring plan'!$F$21)&gt;0,AF$3&gt;='Hiring plan'!$G$21,AF$3&lt;=IF('Hiring plan'!$H$21="",999,'Hiring plan'!$H$21)),'Hiring plan'!$F$21,0)</f>
        <v>1</v>
      </c>
      <c r="AG25" s="33" t="n">
        <f aca="false">IF(AND(N('Hiring plan'!$F$21)&gt;0,AG$3&gt;='Hiring plan'!$G$21,AG$3&lt;=IF('Hiring plan'!$H$21="",999,'Hiring plan'!$H$21)),'Hiring plan'!$F$21,0)</f>
        <v>1</v>
      </c>
      <c r="AH25" s="33" t="n">
        <f aca="false">IF(AND(N('Hiring plan'!$F$21)&gt;0,AH$3&gt;='Hiring plan'!$G$21,AH$3&lt;=IF('Hiring plan'!$H$21="",999,'Hiring plan'!$H$21)),'Hiring plan'!$F$21,0)</f>
        <v>1</v>
      </c>
      <c r="AI25" s="33" t="n">
        <f aca="false">IF(AND(N('Hiring plan'!$F$21)&gt;0,AI$3&gt;='Hiring plan'!$G$21,AI$3&lt;=IF('Hiring plan'!$H$21="",999,'Hiring plan'!$H$21)),'Hiring plan'!$F$21,0)</f>
        <v>1</v>
      </c>
      <c r="AJ25" s="33" t="n">
        <f aca="false">IF(AND(N('Hiring plan'!$F$21)&gt;0,AJ$3&gt;='Hiring plan'!$G$21,AJ$3&lt;=IF('Hiring plan'!$H$21="",999,'Hiring plan'!$H$21)),'Hiring plan'!$F$21,0)</f>
        <v>1</v>
      </c>
      <c r="AK25" s="33" t="n">
        <f aca="false">IF(AND(N('Hiring plan'!$F$21)&gt;0,AK$3&gt;='Hiring plan'!$G$21,AK$3&lt;=IF('Hiring plan'!$H$21="",999,'Hiring plan'!$H$21)),'Hiring plan'!$F$21,0)</f>
        <v>1</v>
      </c>
      <c r="AL25" s="33" t="n">
        <f aca="false">IF(AND(N('Hiring plan'!$F$21)&gt;0,AL$3&gt;='Hiring plan'!$G$21,AL$3&lt;=IF('Hiring plan'!$H$21="",999,'Hiring plan'!$H$21)),'Hiring plan'!$F$21,0)</f>
        <v>1</v>
      </c>
      <c r="AM25" s="33" t="n">
        <f aca="false">IF(AND(N('Hiring plan'!$F$21)&gt;0,AM$3&gt;='Hiring plan'!$G$21,AM$3&lt;=IF('Hiring plan'!$H$21="",999,'Hiring plan'!$H$21)),'Hiring plan'!$F$21,0)</f>
        <v>1</v>
      </c>
      <c r="AN25" s="33" t="n">
        <f aca="false">IF(AND(N('Hiring plan'!$F$21)&gt;0,AN$3&gt;='Hiring plan'!$G$21,AN$3&lt;=IF('Hiring plan'!$H$21="",999,'Hiring plan'!$H$21)),'Hiring plan'!$F$21,0)</f>
        <v>1</v>
      </c>
      <c r="AO25" s="33" t="n">
        <f aca="false">IF(AND(N('Hiring plan'!$F$21)&gt;0,AO$3&gt;='Hiring plan'!$G$21,AO$3&lt;=IF('Hiring plan'!$H$21="",999,'Hiring plan'!$H$21)),'Hiring plan'!$F$21,0)</f>
        <v>1</v>
      </c>
      <c r="AP25" s="33" t="n">
        <f aca="false">IF(AND(N('Hiring plan'!$F$21)&gt;0,AP$3&gt;='Hiring plan'!$G$21,AP$3&lt;=IF('Hiring plan'!$H$21="",999,'Hiring plan'!$H$21)),'Hiring plan'!$F$21,0)</f>
        <v>1</v>
      </c>
      <c r="AQ25" s="33" t="n">
        <f aca="false">IF(AND(N('Hiring plan'!$F$21)&gt;0,AQ$3&gt;='Hiring plan'!$G$21,AQ$3&lt;=IF('Hiring plan'!$H$21="",999,'Hiring plan'!$H$21)),'Hiring plan'!$F$21,0)</f>
        <v>1</v>
      </c>
      <c r="AR25" s="33" t="n">
        <f aca="false">IF(AND(N('Hiring plan'!$F$21)&gt;0,AR$3&gt;='Hiring plan'!$G$21,AR$3&lt;=IF('Hiring plan'!$H$21="",999,'Hiring plan'!$H$21)),'Hiring plan'!$F$21,0)</f>
        <v>1</v>
      </c>
      <c r="AS25" s="33" t="n">
        <f aca="false">IF(AND(N('Hiring plan'!$F$21)&gt;0,AS$3&gt;='Hiring plan'!$G$21,AS$3&lt;=IF('Hiring plan'!$H$21="",999,'Hiring plan'!$H$21)),'Hiring plan'!$F$21,0)</f>
        <v>1</v>
      </c>
      <c r="AT25" s="33" t="n">
        <f aca="false">IF(AND(N('Hiring plan'!$F$21)&gt;0,AT$3&gt;='Hiring plan'!$G$21,AT$3&lt;=IF('Hiring plan'!$H$21="",999,'Hiring plan'!$H$21)),'Hiring plan'!$F$21,0)</f>
        <v>1</v>
      </c>
      <c r="AU25" s="33" t="n">
        <f aca="false">IF(AND(N('Hiring plan'!$F$21)&gt;0,AU$3&gt;='Hiring plan'!$G$21,AU$3&lt;=IF('Hiring plan'!$H$21="",999,'Hiring plan'!$H$21)),'Hiring plan'!$F$21,0)</f>
        <v>1</v>
      </c>
      <c r="AV25" s="33" t="n">
        <f aca="false">IF(AND(N('Hiring plan'!$F$21)&gt;0,AV$3&gt;='Hiring plan'!$G$21,AV$3&lt;=IF('Hiring plan'!$H$21="",999,'Hiring plan'!$H$21)),'Hiring plan'!$F$21,0)</f>
        <v>1</v>
      </c>
      <c r="AW25" s="33" t="n">
        <f aca="false">IF(AND(N('Hiring plan'!$F$21)&gt;0,AW$3&gt;='Hiring plan'!$G$21,AW$3&lt;=IF('Hiring plan'!$H$21="",999,'Hiring plan'!$H$21)),'Hiring plan'!$F$21,0)</f>
        <v>1</v>
      </c>
      <c r="AX25" s="33" t="n">
        <f aca="false">IF(AND(N('Hiring plan'!$F$21)&gt;0,AX$3&gt;='Hiring plan'!$G$21,AX$3&lt;=IF('Hiring plan'!$H$21="",999,'Hiring plan'!$H$21)),'Hiring plan'!$F$21,0)</f>
        <v>1</v>
      </c>
      <c r="AY25" s="33" t="n">
        <f aca="false">IF(AND(N('Hiring plan'!$F$21)&gt;0,AY$3&gt;='Hiring plan'!$G$21,AY$3&lt;=IF('Hiring plan'!$H$21="",999,'Hiring plan'!$H$21)),'Hiring plan'!$F$21,0)</f>
        <v>1</v>
      </c>
      <c r="AZ25" s="33" t="n">
        <f aca="false">IF(AND(N('Hiring plan'!$F$21)&gt;0,AZ$3&gt;='Hiring plan'!$G$21,AZ$3&lt;=IF('Hiring plan'!$H$21="",999,'Hiring plan'!$H$21)),'Hiring plan'!$F$21,0)</f>
        <v>1</v>
      </c>
      <c r="BA25" s="33" t="n">
        <f aca="false">IF(AND(N('Hiring plan'!$F$21)&gt;0,BA$3&gt;='Hiring plan'!$G$21,BA$3&lt;=IF('Hiring plan'!$H$21="",999,'Hiring plan'!$H$21)),'Hiring plan'!$F$21,0)</f>
        <v>1</v>
      </c>
      <c r="BB25" s="33" t="n">
        <f aca="false">IF(AND(N('Hiring plan'!$F$21)&gt;0,BB$3&gt;='Hiring plan'!$G$21,BB$3&lt;=IF('Hiring plan'!$H$21="",999,'Hiring plan'!$H$21)),'Hiring plan'!$F$21,0)</f>
        <v>1</v>
      </c>
      <c r="BC25" s="33" t="n">
        <f aca="false">IF(AND(N('Hiring plan'!$F$21)&gt;0,BC$3&gt;='Hiring plan'!$G$21,BC$3&lt;=IF('Hiring plan'!$H$21="",999,'Hiring plan'!$H$21)),'Hiring plan'!$F$21,0)</f>
        <v>1</v>
      </c>
      <c r="BD25" s="33" t="n">
        <f aca="false">IF(AND(N('Hiring plan'!$F$21)&gt;0,BD$3&gt;='Hiring plan'!$G$21,BD$3&lt;=IF('Hiring plan'!$H$21="",999,'Hiring plan'!$H$21)),'Hiring plan'!$F$21,0)</f>
        <v>1</v>
      </c>
      <c r="BE25" s="33" t="n">
        <f aca="false">IF(AND(N('Hiring plan'!$F$21)&gt;0,BE$3&gt;='Hiring plan'!$G$21,BE$3&lt;=IF('Hiring plan'!$H$21="",999,'Hiring plan'!$H$21)),'Hiring plan'!$F$21,0)</f>
        <v>1</v>
      </c>
      <c r="BF25" s="33" t="n">
        <f aca="false">IF(AND(N('Hiring plan'!$F$21)&gt;0,BF$3&gt;='Hiring plan'!$G$21,BF$3&lt;=IF('Hiring plan'!$H$21="",999,'Hiring plan'!$H$21)),'Hiring plan'!$F$21,0)</f>
        <v>1</v>
      </c>
      <c r="BG25" s="33" t="n">
        <f aca="false">IF(AND(N('Hiring plan'!$F$21)&gt;0,BG$3&gt;='Hiring plan'!$G$21,BG$3&lt;=IF('Hiring plan'!$H$21="",999,'Hiring plan'!$H$21)),'Hiring plan'!$F$21,0)</f>
        <v>1</v>
      </c>
      <c r="BH25" s="33" t="n">
        <f aca="false">IF(AND(N('Hiring plan'!$F$21)&gt;0,BH$3&gt;='Hiring plan'!$G$21,BH$3&lt;=IF('Hiring plan'!$H$21="",999,'Hiring plan'!$H$21)),'Hiring plan'!$F$21,0)</f>
        <v>1</v>
      </c>
      <c r="BI25" s="33" t="n">
        <f aca="false">IF(AND(N('Hiring plan'!$F$21)&gt;0,BI$3&gt;='Hiring plan'!$G$21,BI$3&lt;=IF('Hiring plan'!$H$21="",999,'Hiring plan'!$H$21)),'Hiring plan'!$F$21,0)</f>
        <v>1</v>
      </c>
      <c r="BJ25" s="33" t="n">
        <f aca="false">IF(AND(N('Hiring plan'!$F$21)&gt;0,BJ$3&gt;='Hiring plan'!$G$21,BJ$3&lt;=IF('Hiring plan'!$H$21="",999,'Hiring plan'!$H$21)),'Hiring plan'!$F$21,0)</f>
        <v>1</v>
      </c>
      <c r="BK25" s="33" t="n">
        <f aca="false">IF(AND(N('Hiring plan'!$F$21)&gt;0,BK$3&gt;='Hiring plan'!$G$21,BK$3&lt;=IF('Hiring plan'!$H$21="",999,'Hiring plan'!$H$21)),'Hiring plan'!$F$21,0)</f>
        <v>1</v>
      </c>
      <c r="BL25" s="33" t="n">
        <f aca="false">IF(AND(N('Hiring plan'!$F$21)&gt;0,BL$3&gt;='Hiring plan'!$G$21,BL$3&lt;=IF('Hiring plan'!$H$21="",999,'Hiring plan'!$H$21)),'Hiring plan'!$F$21,0)</f>
        <v>1</v>
      </c>
    </row>
    <row r="26" customFormat="false" ht="15" hidden="false" customHeight="false" outlineLevel="0" collapsed="false">
      <c r="A26" s="12" t="str">
        <f aca="false">IF('Hiring plan'!$C$22="","(spare line 18)",'Hiring plan'!$C$22&amp;" · "&amp;'Hiring plan'!$D$22)</f>
        <v>Compliance analyst · SN</v>
      </c>
      <c r="B26" s="14" t="s">
        <v>222</v>
      </c>
      <c r="D26" s="41" t="n">
        <f aca="false">MAX(E26:BL26)</f>
        <v>1</v>
      </c>
      <c r="E26" s="33" t="n">
        <f aca="false">IF(AND(N('Hiring plan'!$F$22)&gt;0,E$3&gt;='Hiring plan'!$G$22,E$3&lt;=IF('Hiring plan'!$H$22="",999,'Hiring plan'!$H$22)),'Hiring plan'!$F$22,0)</f>
        <v>0</v>
      </c>
      <c r="F26" s="33" t="n">
        <f aca="false">IF(AND(N('Hiring plan'!$F$22)&gt;0,F$3&gt;='Hiring plan'!$G$22,F$3&lt;=IF('Hiring plan'!$H$22="",999,'Hiring plan'!$H$22)),'Hiring plan'!$F$22,0)</f>
        <v>0</v>
      </c>
      <c r="G26" s="33" t="n">
        <f aca="false">IF(AND(N('Hiring plan'!$F$22)&gt;0,G$3&gt;='Hiring plan'!$G$22,G$3&lt;=IF('Hiring plan'!$H$22="",999,'Hiring plan'!$H$22)),'Hiring plan'!$F$22,0)</f>
        <v>0</v>
      </c>
      <c r="H26" s="33" t="n">
        <f aca="false">IF(AND(N('Hiring plan'!$F$22)&gt;0,H$3&gt;='Hiring plan'!$G$22,H$3&lt;=IF('Hiring plan'!$H$22="",999,'Hiring plan'!$H$22)),'Hiring plan'!$F$22,0)</f>
        <v>0</v>
      </c>
      <c r="I26" s="33" t="n">
        <f aca="false">IF(AND(N('Hiring plan'!$F$22)&gt;0,I$3&gt;='Hiring plan'!$G$22,I$3&lt;=IF('Hiring plan'!$H$22="",999,'Hiring plan'!$H$22)),'Hiring plan'!$F$22,0)</f>
        <v>0</v>
      </c>
      <c r="J26" s="33" t="n">
        <f aca="false">IF(AND(N('Hiring plan'!$F$22)&gt;0,J$3&gt;='Hiring plan'!$G$22,J$3&lt;=IF('Hiring plan'!$H$22="",999,'Hiring plan'!$H$22)),'Hiring plan'!$F$22,0)</f>
        <v>0</v>
      </c>
      <c r="K26" s="33" t="n">
        <f aca="false">IF(AND(N('Hiring plan'!$F$22)&gt;0,K$3&gt;='Hiring plan'!$G$22,K$3&lt;=IF('Hiring plan'!$H$22="",999,'Hiring plan'!$H$22)),'Hiring plan'!$F$22,0)</f>
        <v>1</v>
      </c>
      <c r="L26" s="33" t="n">
        <f aca="false">IF(AND(N('Hiring plan'!$F$22)&gt;0,L$3&gt;='Hiring plan'!$G$22,L$3&lt;=IF('Hiring plan'!$H$22="",999,'Hiring plan'!$H$22)),'Hiring plan'!$F$22,0)</f>
        <v>1</v>
      </c>
      <c r="M26" s="33" t="n">
        <f aca="false">IF(AND(N('Hiring plan'!$F$22)&gt;0,M$3&gt;='Hiring plan'!$G$22,M$3&lt;=IF('Hiring plan'!$H$22="",999,'Hiring plan'!$H$22)),'Hiring plan'!$F$22,0)</f>
        <v>1</v>
      </c>
      <c r="N26" s="33" t="n">
        <f aca="false">IF(AND(N('Hiring plan'!$F$22)&gt;0,N$3&gt;='Hiring plan'!$G$22,N$3&lt;=IF('Hiring plan'!$H$22="",999,'Hiring plan'!$H$22)),'Hiring plan'!$F$22,0)</f>
        <v>1</v>
      </c>
      <c r="O26" s="33" t="n">
        <f aca="false">IF(AND(N('Hiring plan'!$F$22)&gt;0,O$3&gt;='Hiring plan'!$G$22,O$3&lt;=IF('Hiring plan'!$H$22="",999,'Hiring plan'!$H$22)),'Hiring plan'!$F$22,0)</f>
        <v>1</v>
      </c>
      <c r="P26" s="33" t="n">
        <f aca="false">IF(AND(N('Hiring plan'!$F$22)&gt;0,P$3&gt;='Hiring plan'!$G$22,P$3&lt;=IF('Hiring plan'!$H$22="",999,'Hiring plan'!$H$22)),'Hiring plan'!$F$22,0)</f>
        <v>1</v>
      </c>
      <c r="Q26" s="33" t="n">
        <f aca="false">IF(AND(N('Hiring plan'!$F$22)&gt;0,Q$3&gt;='Hiring plan'!$G$22,Q$3&lt;=IF('Hiring plan'!$H$22="",999,'Hiring plan'!$H$22)),'Hiring plan'!$F$22,0)</f>
        <v>1</v>
      </c>
      <c r="R26" s="33" t="n">
        <f aca="false">IF(AND(N('Hiring plan'!$F$22)&gt;0,R$3&gt;='Hiring plan'!$G$22,R$3&lt;=IF('Hiring plan'!$H$22="",999,'Hiring plan'!$H$22)),'Hiring plan'!$F$22,0)</f>
        <v>1</v>
      </c>
      <c r="S26" s="33" t="n">
        <f aca="false">IF(AND(N('Hiring plan'!$F$22)&gt;0,S$3&gt;='Hiring plan'!$G$22,S$3&lt;=IF('Hiring plan'!$H$22="",999,'Hiring plan'!$H$22)),'Hiring plan'!$F$22,0)</f>
        <v>1</v>
      </c>
      <c r="T26" s="33" t="n">
        <f aca="false">IF(AND(N('Hiring plan'!$F$22)&gt;0,T$3&gt;='Hiring plan'!$G$22,T$3&lt;=IF('Hiring plan'!$H$22="",999,'Hiring plan'!$H$22)),'Hiring plan'!$F$22,0)</f>
        <v>1</v>
      </c>
      <c r="U26" s="33" t="n">
        <f aca="false">IF(AND(N('Hiring plan'!$F$22)&gt;0,U$3&gt;='Hiring plan'!$G$22,U$3&lt;=IF('Hiring plan'!$H$22="",999,'Hiring plan'!$H$22)),'Hiring plan'!$F$22,0)</f>
        <v>1</v>
      </c>
      <c r="V26" s="33" t="n">
        <f aca="false">IF(AND(N('Hiring plan'!$F$22)&gt;0,V$3&gt;='Hiring plan'!$G$22,V$3&lt;=IF('Hiring plan'!$H$22="",999,'Hiring plan'!$H$22)),'Hiring plan'!$F$22,0)</f>
        <v>1</v>
      </c>
      <c r="W26" s="33" t="n">
        <f aca="false">IF(AND(N('Hiring plan'!$F$22)&gt;0,W$3&gt;='Hiring plan'!$G$22,W$3&lt;=IF('Hiring plan'!$H$22="",999,'Hiring plan'!$H$22)),'Hiring plan'!$F$22,0)</f>
        <v>1</v>
      </c>
      <c r="X26" s="33" t="n">
        <f aca="false">IF(AND(N('Hiring plan'!$F$22)&gt;0,X$3&gt;='Hiring plan'!$G$22,X$3&lt;=IF('Hiring plan'!$H$22="",999,'Hiring plan'!$H$22)),'Hiring plan'!$F$22,0)</f>
        <v>1</v>
      </c>
      <c r="Y26" s="33" t="n">
        <f aca="false">IF(AND(N('Hiring plan'!$F$22)&gt;0,Y$3&gt;='Hiring plan'!$G$22,Y$3&lt;=IF('Hiring plan'!$H$22="",999,'Hiring plan'!$H$22)),'Hiring plan'!$F$22,0)</f>
        <v>1</v>
      </c>
      <c r="Z26" s="33" t="n">
        <f aca="false">IF(AND(N('Hiring plan'!$F$22)&gt;0,Z$3&gt;='Hiring plan'!$G$22,Z$3&lt;=IF('Hiring plan'!$H$22="",999,'Hiring plan'!$H$22)),'Hiring plan'!$F$22,0)</f>
        <v>1</v>
      </c>
      <c r="AA26" s="33" t="n">
        <f aca="false">IF(AND(N('Hiring plan'!$F$22)&gt;0,AA$3&gt;='Hiring plan'!$G$22,AA$3&lt;=IF('Hiring plan'!$H$22="",999,'Hiring plan'!$H$22)),'Hiring plan'!$F$22,0)</f>
        <v>1</v>
      </c>
      <c r="AB26" s="33" t="n">
        <f aca="false">IF(AND(N('Hiring plan'!$F$22)&gt;0,AB$3&gt;='Hiring plan'!$G$22,AB$3&lt;=IF('Hiring plan'!$H$22="",999,'Hiring plan'!$H$22)),'Hiring plan'!$F$22,0)</f>
        <v>1</v>
      </c>
      <c r="AC26" s="33" t="n">
        <f aca="false">IF(AND(N('Hiring plan'!$F$22)&gt;0,AC$3&gt;='Hiring plan'!$G$22,AC$3&lt;=IF('Hiring plan'!$H$22="",999,'Hiring plan'!$H$22)),'Hiring plan'!$F$22,0)</f>
        <v>1</v>
      </c>
      <c r="AD26" s="33" t="n">
        <f aca="false">IF(AND(N('Hiring plan'!$F$22)&gt;0,AD$3&gt;='Hiring plan'!$G$22,AD$3&lt;=IF('Hiring plan'!$H$22="",999,'Hiring plan'!$H$22)),'Hiring plan'!$F$22,0)</f>
        <v>1</v>
      </c>
      <c r="AE26" s="33" t="n">
        <f aca="false">IF(AND(N('Hiring plan'!$F$22)&gt;0,AE$3&gt;='Hiring plan'!$G$22,AE$3&lt;=IF('Hiring plan'!$H$22="",999,'Hiring plan'!$H$22)),'Hiring plan'!$F$22,0)</f>
        <v>1</v>
      </c>
      <c r="AF26" s="33" t="n">
        <f aca="false">IF(AND(N('Hiring plan'!$F$22)&gt;0,AF$3&gt;='Hiring plan'!$G$22,AF$3&lt;=IF('Hiring plan'!$H$22="",999,'Hiring plan'!$H$22)),'Hiring plan'!$F$22,0)</f>
        <v>1</v>
      </c>
      <c r="AG26" s="33" t="n">
        <f aca="false">IF(AND(N('Hiring plan'!$F$22)&gt;0,AG$3&gt;='Hiring plan'!$G$22,AG$3&lt;=IF('Hiring plan'!$H$22="",999,'Hiring plan'!$H$22)),'Hiring plan'!$F$22,0)</f>
        <v>1</v>
      </c>
      <c r="AH26" s="33" t="n">
        <f aca="false">IF(AND(N('Hiring plan'!$F$22)&gt;0,AH$3&gt;='Hiring plan'!$G$22,AH$3&lt;=IF('Hiring plan'!$H$22="",999,'Hiring plan'!$H$22)),'Hiring plan'!$F$22,0)</f>
        <v>1</v>
      </c>
      <c r="AI26" s="33" t="n">
        <f aca="false">IF(AND(N('Hiring plan'!$F$22)&gt;0,AI$3&gt;='Hiring plan'!$G$22,AI$3&lt;=IF('Hiring plan'!$H$22="",999,'Hiring plan'!$H$22)),'Hiring plan'!$F$22,0)</f>
        <v>1</v>
      </c>
      <c r="AJ26" s="33" t="n">
        <f aca="false">IF(AND(N('Hiring plan'!$F$22)&gt;0,AJ$3&gt;='Hiring plan'!$G$22,AJ$3&lt;=IF('Hiring plan'!$H$22="",999,'Hiring plan'!$H$22)),'Hiring plan'!$F$22,0)</f>
        <v>1</v>
      </c>
      <c r="AK26" s="33" t="n">
        <f aca="false">IF(AND(N('Hiring plan'!$F$22)&gt;0,AK$3&gt;='Hiring plan'!$G$22,AK$3&lt;=IF('Hiring plan'!$H$22="",999,'Hiring plan'!$H$22)),'Hiring plan'!$F$22,0)</f>
        <v>1</v>
      </c>
      <c r="AL26" s="33" t="n">
        <f aca="false">IF(AND(N('Hiring plan'!$F$22)&gt;0,AL$3&gt;='Hiring plan'!$G$22,AL$3&lt;=IF('Hiring plan'!$H$22="",999,'Hiring plan'!$H$22)),'Hiring plan'!$F$22,0)</f>
        <v>1</v>
      </c>
      <c r="AM26" s="33" t="n">
        <f aca="false">IF(AND(N('Hiring plan'!$F$22)&gt;0,AM$3&gt;='Hiring plan'!$G$22,AM$3&lt;=IF('Hiring plan'!$H$22="",999,'Hiring plan'!$H$22)),'Hiring plan'!$F$22,0)</f>
        <v>1</v>
      </c>
      <c r="AN26" s="33" t="n">
        <f aca="false">IF(AND(N('Hiring plan'!$F$22)&gt;0,AN$3&gt;='Hiring plan'!$G$22,AN$3&lt;=IF('Hiring plan'!$H$22="",999,'Hiring plan'!$H$22)),'Hiring plan'!$F$22,0)</f>
        <v>1</v>
      </c>
      <c r="AO26" s="33" t="n">
        <f aca="false">IF(AND(N('Hiring plan'!$F$22)&gt;0,AO$3&gt;='Hiring plan'!$G$22,AO$3&lt;=IF('Hiring plan'!$H$22="",999,'Hiring plan'!$H$22)),'Hiring plan'!$F$22,0)</f>
        <v>1</v>
      </c>
      <c r="AP26" s="33" t="n">
        <f aca="false">IF(AND(N('Hiring plan'!$F$22)&gt;0,AP$3&gt;='Hiring plan'!$G$22,AP$3&lt;=IF('Hiring plan'!$H$22="",999,'Hiring plan'!$H$22)),'Hiring plan'!$F$22,0)</f>
        <v>1</v>
      </c>
      <c r="AQ26" s="33" t="n">
        <f aca="false">IF(AND(N('Hiring plan'!$F$22)&gt;0,AQ$3&gt;='Hiring plan'!$G$22,AQ$3&lt;=IF('Hiring plan'!$H$22="",999,'Hiring plan'!$H$22)),'Hiring plan'!$F$22,0)</f>
        <v>1</v>
      </c>
      <c r="AR26" s="33" t="n">
        <f aca="false">IF(AND(N('Hiring plan'!$F$22)&gt;0,AR$3&gt;='Hiring plan'!$G$22,AR$3&lt;=IF('Hiring plan'!$H$22="",999,'Hiring plan'!$H$22)),'Hiring plan'!$F$22,0)</f>
        <v>1</v>
      </c>
      <c r="AS26" s="33" t="n">
        <f aca="false">IF(AND(N('Hiring plan'!$F$22)&gt;0,AS$3&gt;='Hiring plan'!$G$22,AS$3&lt;=IF('Hiring plan'!$H$22="",999,'Hiring plan'!$H$22)),'Hiring plan'!$F$22,0)</f>
        <v>1</v>
      </c>
      <c r="AT26" s="33" t="n">
        <f aca="false">IF(AND(N('Hiring plan'!$F$22)&gt;0,AT$3&gt;='Hiring plan'!$G$22,AT$3&lt;=IF('Hiring plan'!$H$22="",999,'Hiring plan'!$H$22)),'Hiring plan'!$F$22,0)</f>
        <v>1</v>
      </c>
      <c r="AU26" s="33" t="n">
        <f aca="false">IF(AND(N('Hiring plan'!$F$22)&gt;0,AU$3&gt;='Hiring plan'!$G$22,AU$3&lt;=IF('Hiring plan'!$H$22="",999,'Hiring plan'!$H$22)),'Hiring plan'!$F$22,0)</f>
        <v>1</v>
      </c>
      <c r="AV26" s="33" t="n">
        <f aca="false">IF(AND(N('Hiring plan'!$F$22)&gt;0,AV$3&gt;='Hiring plan'!$G$22,AV$3&lt;=IF('Hiring plan'!$H$22="",999,'Hiring plan'!$H$22)),'Hiring plan'!$F$22,0)</f>
        <v>1</v>
      </c>
      <c r="AW26" s="33" t="n">
        <f aca="false">IF(AND(N('Hiring plan'!$F$22)&gt;0,AW$3&gt;='Hiring plan'!$G$22,AW$3&lt;=IF('Hiring plan'!$H$22="",999,'Hiring plan'!$H$22)),'Hiring plan'!$F$22,0)</f>
        <v>1</v>
      </c>
      <c r="AX26" s="33" t="n">
        <f aca="false">IF(AND(N('Hiring plan'!$F$22)&gt;0,AX$3&gt;='Hiring plan'!$G$22,AX$3&lt;=IF('Hiring plan'!$H$22="",999,'Hiring plan'!$H$22)),'Hiring plan'!$F$22,0)</f>
        <v>1</v>
      </c>
      <c r="AY26" s="33" t="n">
        <f aca="false">IF(AND(N('Hiring plan'!$F$22)&gt;0,AY$3&gt;='Hiring plan'!$G$22,AY$3&lt;=IF('Hiring plan'!$H$22="",999,'Hiring plan'!$H$22)),'Hiring plan'!$F$22,0)</f>
        <v>1</v>
      </c>
      <c r="AZ26" s="33" t="n">
        <f aca="false">IF(AND(N('Hiring plan'!$F$22)&gt;0,AZ$3&gt;='Hiring plan'!$G$22,AZ$3&lt;=IF('Hiring plan'!$H$22="",999,'Hiring plan'!$H$22)),'Hiring plan'!$F$22,0)</f>
        <v>1</v>
      </c>
      <c r="BA26" s="33" t="n">
        <f aca="false">IF(AND(N('Hiring plan'!$F$22)&gt;0,BA$3&gt;='Hiring plan'!$G$22,BA$3&lt;=IF('Hiring plan'!$H$22="",999,'Hiring plan'!$H$22)),'Hiring plan'!$F$22,0)</f>
        <v>1</v>
      </c>
      <c r="BB26" s="33" t="n">
        <f aca="false">IF(AND(N('Hiring plan'!$F$22)&gt;0,BB$3&gt;='Hiring plan'!$G$22,BB$3&lt;=IF('Hiring plan'!$H$22="",999,'Hiring plan'!$H$22)),'Hiring plan'!$F$22,0)</f>
        <v>1</v>
      </c>
      <c r="BC26" s="33" t="n">
        <f aca="false">IF(AND(N('Hiring plan'!$F$22)&gt;0,BC$3&gt;='Hiring plan'!$G$22,BC$3&lt;=IF('Hiring plan'!$H$22="",999,'Hiring plan'!$H$22)),'Hiring plan'!$F$22,0)</f>
        <v>1</v>
      </c>
      <c r="BD26" s="33" t="n">
        <f aca="false">IF(AND(N('Hiring plan'!$F$22)&gt;0,BD$3&gt;='Hiring plan'!$G$22,BD$3&lt;=IF('Hiring plan'!$H$22="",999,'Hiring plan'!$H$22)),'Hiring plan'!$F$22,0)</f>
        <v>1</v>
      </c>
      <c r="BE26" s="33" t="n">
        <f aca="false">IF(AND(N('Hiring plan'!$F$22)&gt;0,BE$3&gt;='Hiring plan'!$G$22,BE$3&lt;=IF('Hiring plan'!$H$22="",999,'Hiring plan'!$H$22)),'Hiring plan'!$F$22,0)</f>
        <v>1</v>
      </c>
      <c r="BF26" s="33" t="n">
        <f aca="false">IF(AND(N('Hiring plan'!$F$22)&gt;0,BF$3&gt;='Hiring plan'!$G$22,BF$3&lt;=IF('Hiring plan'!$H$22="",999,'Hiring plan'!$H$22)),'Hiring plan'!$F$22,0)</f>
        <v>1</v>
      </c>
      <c r="BG26" s="33" t="n">
        <f aca="false">IF(AND(N('Hiring plan'!$F$22)&gt;0,BG$3&gt;='Hiring plan'!$G$22,BG$3&lt;=IF('Hiring plan'!$H$22="",999,'Hiring plan'!$H$22)),'Hiring plan'!$F$22,0)</f>
        <v>1</v>
      </c>
      <c r="BH26" s="33" t="n">
        <f aca="false">IF(AND(N('Hiring plan'!$F$22)&gt;0,BH$3&gt;='Hiring plan'!$G$22,BH$3&lt;=IF('Hiring plan'!$H$22="",999,'Hiring plan'!$H$22)),'Hiring plan'!$F$22,0)</f>
        <v>1</v>
      </c>
      <c r="BI26" s="33" t="n">
        <f aca="false">IF(AND(N('Hiring plan'!$F$22)&gt;0,BI$3&gt;='Hiring plan'!$G$22,BI$3&lt;=IF('Hiring plan'!$H$22="",999,'Hiring plan'!$H$22)),'Hiring plan'!$F$22,0)</f>
        <v>1</v>
      </c>
      <c r="BJ26" s="33" t="n">
        <f aca="false">IF(AND(N('Hiring plan'!$F$22)&gt;0,BJ$3&gt;='Hiring plan'!$G$22,BJ$3&lt;=IF('Hiring plan'!$H$22="",999,'Hiring plan'!$H$22)),'Hiring plan'!$F$22,0)</f>
        <v>1</v>
      </c>
      <c r="BK26" s="33" t="n">
        <f aca="false">IF(AND(N('Hiring plan'!$F$22)&gt;0,BK$3&gt;='Hiring plan'!$G$22,BK$3&lt;=IF('Hiring plan'!$H$22="",999,'Hiring plan'!$H$22)),'Hiring plan'!$F$22,0)</f>
        <v>1</v>
      </c>
      <c r="BL26" s="33" t="n">
        <f aca="false">IF(AND(N('Hiring plan'!$F$22)&gt;0,BL$3&gt;='Hiring plan'!$G$22,BL$3&lt;=IF('Hiring plan'!$H$22="",999,'Hiring plan'!$H$22)),'Hiring plan'!$F$22,0)</f>
        <v>1</v>
      </c>
    </row>
    <row r="27" customFormat="false" ht="15" hidden="false" customHeight="false" outlineLevel="0" collapsed="false">
      <c r="A27" s="12" t="str">
        <f aca="false">IF('Hiring plan'!$C$23="","(spare line 19)",'Hiring plan'!$C$23&amp;" · "&amp;'Hiring plan'!$D$23)</f>
        <v>Compliance analyst · SN</v>
      </c>
      <c r="B27" s="14" t="s">
        <v>222</v>
      </c>
      <c r="D27" s="41" t="n">
        <f aca="false">MAX(E27:BL27)</f>
        <v>1</v>
      </c>
      <c r="E27" s="33" t="n">
        <f aca="false">IF(AND(N('Hiring plan'!$F$23)&gt;0,E$3&gt;='Hiring plan'!$G$23,E$3&lt;=IF('Hiring plan'!$H$23="",999,'Hiring plan'!$H$23)),'Hiring plan'!$F$23,0)</f>
        <v>0</v>
      </c>
      <c r="F27" s="33" t="n">
        <f aca="false">IF(AND(N('Hiring plan'!$F$23)&gt;0,F$3&gt;='Hiring plan'!$G$23,F$3&lt;=IF('Hiring plan'!$H$23="",999,'Hiring plan'!$H$23)),'Hiring plan'!$F$23,0)</f>
        <v>0</v>
      </c>
      <c r="G27" s="33" t="n">
        <f aca="false">IF(AND(N('Hiring plan'!$F$23)&gt;0,G$3&gt;='Hiring plan'!$G$23,G$3&lt;=IF('Hiring plan'!$H$23="",999,'Hiring plan'!$H$23)),'Hiring plan'!$F$23,0)</f>
        <v>0</v>
      </c>
      <c r="H27" s="33" t="n">
        <f aca="false">IF(AND(N('Hiring plan'!$F$23)&gt;0,H$3&gt;='Hiring plan'!$G$23,H$3&lt;=IF('Hiring plan'!$H$23="",999,'Hiring plan'!$H$23)),'Hiring plan'!$F$23,0)</f>
        <v>0</v>
      </c>
      <c r="I27" s="33" t="n">
        <f aca="false">IF(AND(N('Hiring plan'!$F$23)&gt;0,I$3&gt;='Hiring plan'!$G$23,I$3&lt;=IF('Hiring plan'!$H$23="",999,'Hiring plan'!$H$23)),'Hiring plan'!$F$23,0)</f>
        <v>0</v>
      </c>
      <c r="J27" s="33" t="n">
        <f aca="false">IF(AND(N('Hiring plan'!$F$23)&gt;0,J$3&gt;='Hiring plan'!$G$23,J$3&lt;=IF('Hiring plan'!$H$23="",999,'Hiring plan'!$H$23)),'Hiring plan'!$F$23,0)</f>
        <v>0</v>
      </c>
      <c r="K27" s="33" t="n">
        <f aca="false">IF(AND(N('Hiring plan'!$F$23)&gt;0,K$3&gt;='Hiring plan'!$G$23,K$3&lt;=IF('Hiring plan'!$H$23="",999,'Hiring plan'!$H$23)),'Hiring plan'!$F$23,0)</f>
        <v>0</v>
      </c>
      <c r="L27" s="33" t="n">
        <f aca="false">IF(AND(N('Hiring plan'!$F$23)&gt;0,L$3&gt;='Hiring plan'!$G$23,L$3&lt;=IF('Hiring plan'!$H$23="",999,'Hiring plan'!$H$23)),'Hiring plan'!$F$23,0)</f>
        <v>0</v>
      </c>
      <c r="M27" s="33" t="n">
        <f aca="false">IF(AND(N('Hiring plan'!$F$23)&gt;0,M$3&gt;='Hiring plan'!$G$23,M$3&lt;=IF('Hiring plan'!$H$23="",999,'Hiring plan'!$H$23)),'Hiring plan'!$F$23,0)</f>
        <v>0</v>
      </c>
      <c r="N27" s="33" t="n">
        <f aca="false">IF(AND(N('Hiring plan'!$F$23)&gt;0,N$3&gt;='Hiring plan'!$G$23,N$3&lt;=IF('Hiring plan'!$H$23="",999,'Hiring plan'!$H$23)),'Hiring plan'!$F$23,0)</f>
        <v>0</v>
      </c>
      <c r="O27" s="33" t="n">
        <f aca="false">IF(AND(N('Hiring plan'!$F$23)&gt;0,O$3&gt;='Hiring plan'!$G$23,O$3&lt;=IF('Hiring plan'!$H$23="",999,'Hiring plan'!$H$23)),'Hiring plan'!$F$23,0)</f>
        <v>0</v>
      </c>
      <c r="P27" s="33" t="n">
        <f aca="false">IF(AND(N('Hiring plan'!$F$23)&gt;0,P$3&gt;='Hiring plan'!$G$23,P$3&lt;=IF('Hiring plan'!$H$23="",999,'Hiring plan'!$H$23)),'Hiring plan'!$F$23,0)</f>
        <v>0</v>
      </c>
      <c r="Q27" s="33" t="n">
        <f aca="false">IF(AND(N('Hiring plan'!$F$23)&gt;0,Q$3&gt;='Hiring plan'!$G$23,Q$3&lt;=IF('Hiring plan'!$H$23="",999,'Hiring plan'!$H$23)),'Hiring plan'!$F$23,0)</f>
        <v>0</v>
      </c>
      <c r="R27" s="33" t="n">
        <f aca="false">IF(AND(N('Hiring plan'!$F$23)&gt;0,R$3&gt;='Hiring plan'!$G$23,R$3&lt;=IF('Hiring plan'!$H$23="",999,'Hiring plan'!$H$23)),'Hiring plan'!$F$23,0)</f>
        <v>0</v>
      </c>
      <c r="S27" s="33" t="n">
        <f aca="false">IF(AND(N('Hiring plan'!$F$23)&gt;0,S$3&gt;='Hiring plan'!$G$23,S$3&lt;=IF('Hiring plan'!$H$23="",999,'Hiring plan'!$H$23)),'Hiring plan'!$F$23,0)</f>
        <v>0</v>
      </c>
      <c r="T27" s="33" t="n">
        <f aca="false">IF(AND(N('Hiring plan'!$F$23)&gt;0,T$3&gt;='Hiring plan'!$G$23,T$3&lt;=IF('Hiring plan'!$H$23="",999,'Hiring plan'!$H$23)),'Hiring plan'!$F$23,0)</f>
        <v>0</v>
      </c>
      <c r="U27" s="33" t="n">
        <f aca="false">IF(AND(N('Hiring plan'!$F$23)&gt;0,U$3&gt;='Hiring plan'!$G$23,U$3&lt;=IF('Hiring plan'!$H$23="",999,'Hiring plan'!$H$23)),'Hiring plan'!$F$23,0)</f>
        <v>0</v>
      </c>
      <c r="V27" s="33" t="n">
        <f aca="false">IF(AND(N('Hiring plan'!$F$23)&gt;0,V$3&gt;='Hiring plan'!$G$23,V$3&lt;=IF('Hiring plan'!$H$23="",999,'Hiring plan'!$H$23)),'Hiring plan'!$F$23,0)</f>
        <v>0</v>
      </c>
      <c r="W27" s="33" t="n">
        <f aca="false">IF(AND(N('Hiring plan'!$F$23)&gt;0,W$3&gt;='Hiring plan'!$G$23,W$3&lt;=IF('Hiring plan'!$H$23="",999,'Hiring plan'!$H$23)),'Hiring plan'!$F$23,0)</f>
        <v>1</v>
      </c>
      <c r="X27" s="33" t="n">
        <f aca="false">IF(AND(N('Hiring plan'!$F$23)&gt;0,X$3&gt;='Hiring plan'!$G$23,X$3&lt;=IF('Hiring plan'!$H$23="",999,'Hiring plan'!$H$23)),'Hiring plan'!$F$23,0)</f>
        <v>1</v>
      </c>
      <c r="Y27" s="33" t="n">
        <f aca="false">IF(AND(N('Hiring plan'!$F$23)&gt;0,Y$3&gt;='Hiring plan'!$G$23,Y$3&lt;=IF('Hiring plan'!$H$23="",999,'Hiring plan'!$H$23)),'Hiring plan'!$F$23,0)</f>
        <v>1</v>
      </c>
      <c r="Z27" s="33" t="n">
        <f aca="false">IF(AND(N('Hiring plan'!$F$23)&gt;0,Z$3&gt;='Hiring plan'!$G$23,Z$3&lt;=IF('Hiring plan'!$H$23="",999,'Hiring plan'!$H$23)),'Hiring plan'!$F$23,0)</f>
        <v>1</v>
      </c>
      <c r="AA27" s="33" t="n">
        <f aca="false">IF(AND(N('Hiring plan'!$F$23)&gt;0,AA$3&gt;='Hiring plan'!$G$23,AA$3&lt;=IF('Hiring plan'!$H$23="",999,'Hiring plan'!$H$23)),'Hiring plan'!$F$23,0)</f>
        <v>1</v>
      </c>
      <c r="AB27" s="33" t="n">
        <f aca="false">IF(AND(N('Hiring plan'!$F$23)&gt;0,AB$3&gt;='Hiring plan'!$G$23,AB$3&lt;=IF('Hiring plan'!$H$23="",999,'Hiring plan'!$H$23)),'Hiring plan'!$F$23,0)</f>
        <v>1</v>
      </c>
      <c r="AC27" s="33" t="n">
        <f aca="false">IF(AND(N('Hiring plan'!$F$23)&gt;0,AC$3&gt;='Hiring plan'!$G$23,AC$3&lt;=IF('Hiring plan'!$H$23="",999,'Hiring plan'!$H$23)),'Hiring plan'!$F$23,0)</f>
        <v>1</v>
      </c>
      <c r="AD27" s="33" t="n">
        <f aca="false">IF(AND(N('Hiring plan'!$F$23)&gt;0,AD$3&gt;='Hiring plan'!$G$23,AD$3&lt;=IF('Hiring plan'!$H$23="",999,'Hiring plan'!$H$23)),'Hiring plan'!$F$23,0)</f>
        <v>1</v>
      </c>
      <c r="AE27" s="33" t="n">
        <f aca="false">IF(AND(N('Hiring plan'!$F$23)&gt;0,AE$3&gt;='Hiring plan'!$G$23,AE$3&lt;=IF('Hiring plan'!$H$23="",999,'Hiring plan'!$H$23)),'Hiring plan'!$F$23,0)</f>
        <v>1</v>
      </c>
      <c r="AF27" s="33" t="n">
        <f aca="false">IF(AND(N('Hiring plan'!$F$23)&gt;0,AF$3&gt;='Hiring plan'!$G$23,AF$3&lt;=IF('Hiring plan'!$H$23="",999,'Hiring plan'!$H$23)),'Hiring plan'!$F$23,0)</f>
        <v>1</v>
      </c>
      <c r="AG27" s="33" t="n">
        <f aca="false">IF(AND(N('Hiring plan'!$F$23)&gt;0,AG$3&gt;='Hiring plan'!$G$23,AG$3&lt;=IF('Hiring plan'!$H$23="",999,'Hiring plan'!$H$23)),'Hiring plan'!$F$23,0)</f>
        <v>1</v>
      </c>
      <c r="AH27" s="33" t="n">
        <f aca="false">IF(AND(N('Hiring plan'!$F$23)&gt;0,AH$3&gt;='Hiring plan'!$G$23,AH$3&lt;=IF('Hiring plan'!$H$23="",999,'Hiring plan'!$H$23)),'Hiring plan'!$F$23,0)</f>
        <v>1</v>
      </c>
      <c r="AI27" s="33" t="n">
        <f aca="false">IF(AND(N('Hiring plan'!$F$23)&gt;0,AI$3&gt;='Hiring plan'!$G$23,AI$3&lt;=IF('Hiring plan'!$H$23="",999,'Hiring plan'!$H$23)),'Hiring plan'!$F$23,0)</f>
        <v>1</v>
      </c>
      <c r="AJ27" s="33" t="n">
        <f aca="false">IF(AND(N('Hiring plan'!$F$23)&gt;0,AJ$3&gt;='Hiring plan'!$G$23,AJ$3&lt;=IF('Hiring plan'!$H$23="",999,'Hiring plan'!$H$23)),'Hiring plan'!$F$23,0)</f>
        <v>1</v>
      </c>
      <c r="AK27" s="33" t="n">
        <f aca="false">IF(AND(N('Hiring plan'!$F$23)&gt;0,AK$3&gt;='Hiring plan'!$G$23,AK$3&lt;=IF('Hiring plan'!$H$23="",999,'Hiring plan'!$H$23)),'Hiring plan'!$F$23,0)</f>
        <v>1</v>
      </c>
      <c r="AL27" s="33" t="n">
        <f aca="false">IF(AND(N('Hiring plan'!$F$23)&gt;0,AL$3&gt;='Hiring plan'!$G$23,AL$3&lt;=IF('Hiring plan'!$H$23="",999,'Hiring plan'!$H$23)),'Hiring plan'!$F$23,0)</f>
        <v>1</v>
      </c>
      <c r="AM27" s="33" t="n">
        <f aca="false">IF(AND(N('Hiring plan'!$F$23)&gt;0,AM$3&gt;='Hiring plan'!$G$23,AM$3&lt;=IF('Hiring plan'!$H$23="",999,'Hiring plan'!$H$23)),'Hiring plan'!$F$23,0)</f>
        <v>1</v>
      </c>
      <c r="AN27" s="33" t="n">
        <f aca="false">IF(AND(N('Hiring plan'!$F$23)&gt;0,AN$3&gt;='Hiring plan'!$G$23,AN$3&lt;=IF('Hiring plan'!$H$23="",999,'Hiring plan'!$H$23)),'Hiring plan'!$F$23,0)</f>
        <v>1</v>
      </c>
      <c r="AO27" s="33" t="n">
        <f aca="false">IF(AND(N('Hiring plan'!$F$23)&gt;0,AO$3&gt;='Hiring plan'!$G$23,AO$3&lt;=IF('Hiring plan'!$H$23="",999,'Hiring plan'!$H$23)),'Hiring plan'!$F$23,0)</f>
        <v>1</v>
      </c>
      <c r="AP27" s="33" t="n">
        <f aca="false">IF(AND(N('Hiring plan'!$F$23)&gt;0,AP$3&gt;='Hiring plan'!$G$23,AP$3&lt;=IF('Hiring plan'!$H$23="",999,'Hiring plan'!$H$23)),'Hiring plan'!$F$23,0)</f>
        <v>1</v>
      </c>
      <c r="AQ27" s="33" t="n">
        <f aca="false">IF(AND(N('Hiring plan'!$F$23)&gt;0,AQ$3&gt;='Hiring plan'!$G$23,AQ$3&lt;=IF('Hiring plan'!$H$23="",999,'Hiring plan'!$H$23)),'Hiring plan'!$F$23,0)</f>
        <v>1</v>
      </c>
      <c r="AR27" s="33" t="n">
        <f aca="false">IF(AND(N('Hiring plan'!$F$23)&gt;0,AR$3&gt;='Hiring plan'!$G$23,AR$3&lt;=IF('Hiring plan'!$H$23="",999,'Hiring plan'!$H$23)),'Hiring plan'!$F$23,0)</f>
        <v>1</v>
      </c>
      <c r="AS27" s="33" t="n">
        <f aca="false">IF(AND(N('Hiring plan'!$F$23)&gt;0,AS$3&gt;='Hiring plan'!$G$23,AS$3&lt;=IF('Hiring plan'!$H$23="",999,'Hiring plan'!$H$23)),'Hiring plan'!$F$23,0)</f>
        <v>1</v>
      </c>
      <c r="AT27" s="33" t="n">
        <f aca="false">IF(AND(N('Hiring plan'!$F$23)&gt;0,AT$3&gt;='Hiring plan'!$G$23,AT$3&lt;=IF('Hiring plan'!$H$23="",999,'Hiring plan'!$H$23)),'Hiring plan'!$F$23,0)</f>
        <v>1</v>
      </c>
      <c r="AU27" s="33" t="n">
        <f aca="false">IF(AND(N('Hiring plan'!$F$23)&gt;0,AU$3&gt;='Hiring plan'!$G$23,AU$3&lt;=IF('Hiring plan'!$H$23="",999,'Hiring plan'!$H$23)),'Hiring plan'!$F$23,0)</f>
        <v>1</v>
      </c>
      <c r="AV27" s="33" t="n">
        <f aca="false">IF(AND(N('Hiring plan'!$F$23)&gt;0,AV$3&gt;='Hiring plan'!$G$23,AV$3&lt;=IF('Hiring plan'!$H$23="",999,'Hiring plan'!$H$23)),'Hiring plan'!$F$23,0)</f>
        <v>1</v>
      </c>
      <c r="AW27" s="33" t="n">
        <f aca="false">IF(AND(N('Hiring plan'!$F$23)&gt;0,AW$3&gt;='Hiring plan'!$G$23,AW$3&lt;=IF('Hiring plan'!$H$23="",999,'Hiring plan'!$H$23)),'Hiring plan'!$F$23,0)</f>
        <v>1</v>
      </c>
      <c r="AX27" s="33" t="n">
        <f aca="false">IF(AND(N('Hiring plan'!$F$23)&gt;0,AX$3&gt;='Hiring plan'!$G$23,AX$3&lt;=IF('Hiring plan'!$H$23="",999,'Hiring plan'!$H$23)),'Hiring plan'!$F$23,0)</f>
        <v>1</v>
      </c>
      <c r="AY27" s="33" t="n">
        <f aca="false">IF(AND(N('Hiring plan'!$F$23)&gt;0,AY$3&gt;='Hiring plan'!$G$23,AY$3&lt;=IF('Hiring plan'!$H$23="",999,'Hiring plan'!$H$23)),'Hiring plan'!$F$23,0)</f>
        <v>1</v>
      </c>
      <c r="AZ27" s="33" t="n">
        <f aca="false">IF(AND(N('Hiring plan'!$F$23)&gt;0,AZ$3&gt;='Hiring plan'!$G$23,AZ$3&lt;=IF('Hiring plan'!$H$23="",999,'Hiring plan'!$H$23)),'Hiring plan'!$F$23,0)</f>
        <v>1</v>
      </c>
      <c r="BA27" s="33" t="n">
        <f aca="false">IF(AND(N('Hiring plan'!$F$23)&gt;0,BA$3&gt;='Hiring plan'!$G$23,BA$3&lt;=IF('Hiring plan'!$H$23="",999,'Hiring plan'!$H$23)),'Hiring plan'!$F$23,0)</f>
        <v>1</v>
      </c>
      <c r="BB27" s="33" t="n">
        <f aca="false">IF(AND(N('Hiring plan'!$F$23)&gt;0,BB$3&gt;='Hiring plan'!$G$23,BB$3&lt;=IF('Hiring plan'!$H$23="",999,'Hiring plan'!$H$23)),'Hiring plan'!$F$23,0)</f>
        <v>1</v>
      </c>
      <c r="BC27" s="33" t="n">
        <f aca="false">IF(AND(N('Hiring plan'!$F$23)&gt;0,BC$3&gt;='Hiring plan'!$G$23,BC$3&lt;=IF('Hiring plan'!$H$23="",999,'Hiring plan'!$H$23)),'Hiring plan'!$F$23,0)</f>
        <v>1</v>
      </c>
      <c r="BD27" s="33" t="n">
        <f aca="false">IF(AND(N('Hiring plan'!$F$23)&gt;0,BD$3&gt;='Hiring plan'!$G$23,BD$3&lt;=IF('Hiring plan'!$H$23="",999,'Hiring plan'!$H$23)),'Hiring plan'!$F$23,0)</f>
        <v>1</v>
      </c>
      <c r="BE27" s="33" t="n">
        <f aca="false">IF(AND(N('Hiring plan'!$F$23)&gt;0,BE$3&gt;='Hiring plan'!$G$23,BE$3&lt;=IF('Hiring plan'!$H$23="",999,'Hiring plan'!$H$23)),'Hiring plan'!$F$23,0)</f>
        <v>1</v>
      </c>
      <c r="BF27" s="33" t="n">
        <f aca="false">IF(AND(N('Hiring plan'!$F$23)&gt;0,BF$3&gt;='Hiring plan'!$G$23,BF$3&lt;=IF('Hiring plan'!$H$23="",999,'Hiring plan'!$H$23)),'Hiring plan'!$F$23,0)</f>
        <v>1</v>
      </c>
      <c r="BG27" s="33" t="n">
        <f aca="false">IF(AND(N('Hiring plan'!$F$23)&gt;0,BG$3&gt;='Hiring plan'!$G$23,BG$3&lt;=IF('Hiring plan'!$H$23="",999,'Hiring plan'!$H$23)),'Hiring plan'!$F$23,0)</f>
        <v>1</v>
      </c>
      <c r="BH27" s="33" t="n">
        <f aca="false">IF(AND(N('Hiring plan'!$F$23)&gt;0,BH$3&gt;='Hiring plan'!$G$23,BH$3&lt;=IF('Hiring plan'!$H$23="",999,'Hiring plan'!$H$23)),'Hiring plan'!$F$23,0)</f>
        <v>1</v>
      </c>
      <c r="BI27" s="33" t="n">
        <f aca="false">IF(AND(N('Hiring plan'!$F$23)&gt;0,BI$3&gt;='Hiring plan'!$G$23,BI$3&lt;=IF('Hiring plan'!$H$23="",999,'Hiring plan'!$H$23)),'Hiring plan'!$F$23,0)</f>
        <v>1</v>
      </c>
      <c r="BJ27" s="33" t="n">
        <f aca="false">IF(AND(N('Hiring plan'!$F$23)&gt;0,BJ$3&gt;='Hiring plan'!$G$23,BJ$3&lt;=IF('Hiring plan'!$H$23="",999,'Hiring plan'!$H$23)),'Hiring plan'!$F$23,0)</f>
        <v>1</v>
      </c>
      <c r="BK27" s="33" t="n">
        <f aca="false">IF(AND(N('Hiring plan'!$F$23)&gt;0,BK$3&gt;='Hiring plan'!$G$23,BK$3&lt;=IF('Hiring plan'!$H$23="",999,'Hiring plan'!$H$23)),'Hiring plan'!$F$23,0)</f>
        <v>1</v>
      </c>
      <c r="BL27" s="33" t="n">
        <f aca="false">IF(AND(N('Hiring plan'!$F$23)&gt;0,BL$3&gt;='Hiring plan'!$G$23,BL$3&lt;=IF('Hiring plan'!$H$23="",999,'Hiring plan'!$H$23)),'Hiring plan'!$F$23,0)</f>
        <v>1</v>
      </c>
    </row>
    <row r="28" customFormat="false" ht="15" hidden="false" customHeight="false" outlineLevel="0" collapsed="false">
      <c r="A28" s="12" t="str">
        <f aca="false">IF('Hiring plan'!$C$24="","(spare line 20)",'Hiring plan'!$C$24&amp;" · "&amp;'Hiring plan'!$D$24)</f>
        <v>Compliance officer, Abidjan · CI</v>
      </c>
      <c r="B28" s="14" t="s">
        <v>222</v>
      </c>
      <c r="D28" s="41" t="n">
        <f aca="false">MAX(E28:BL28)</f>
        <v>1</v>
      </c>
      <c r="E28" s="33" t="n">
        <f aca="false">IF(AND(N('Hiring plan'!$F$24)&gt;0,E$3&gt;='Hiring plan'!$G$24,E$3&lt;=IF('Hiring plan'!$H$24="",999,'Hiring plan'!$H$24)),'Hiring plan'!$F$24,0)</f>
        <v>0</v>
      </c>
      <c r="F28" s="33" t="n">
        <f aca="false">IF(AND(N('Hiring plan'!$F$24)&gt;0,F$3&gt;='Hiring plan'!$G$24,F$3&lt;=IF('Hiring plan'!$H$24="",999,'Hiring plan'!$H$24)),'Hiring plan'!$F$24,0)</f>
        <v>0</v>
      </c>
      <c r="G28" s="33" t="n">
        <f aca="false">IF(AND(N('Hiring plan'!$F$24)&gt;0,G$3&gt;='Hiring plan'!$G$24,G$3&lt;=IF('Hiring plan'!$H$24="",999,'Hiring plan'!$H$24)),'Hiring plan'!$F$24,0)</f>
        <v>0</v>
      </c>
      <c r="H28" s="33" t="n">
        <f aca="false">IF(AND(N('Hiring plan'!$F$24)&gt;0,H$3&gt;='Hiring plan'!$G$24,H$3&lt;=IF('Hiring plan'!$H$24="",999,'Hiring plan'!$H$24)),'Hiring plan'!$F$24,0)</f>
        <v>0</v>
      </c>
      <c r="I28" s="33" t="n">
        <f aca="false">IF(AND(N('Hiring plan'!$F$24)&gt;0,I$3&gt;='Hiring plan'!$G$24,I$3&lt;=IF('Hiring plan'!$H$24="",999,'Hiring plan'!$H$24)),'Hiring plan'!$F$24,0)</f>
        <v>0</v>
      </c>
      <c r="J28" s="33" t="n">
        <f aca="false">IF(AND(N('Hiring plan'!$F$24)&gt;0,J$3&gt;='Hiring plan'!$G$24,J$3&lt;=IF('Hiring plan'!$H$24="",999,'Hiring plan'!$H$24)),'Hiring plan'!$F$24,0)</f>
        <v>0</v>
      </c>
      <c r="K28" s="33" t="n">
        <f aca="false">IF(AND(N('Hiring plan'!$F$24)&gt;0,K$3&gt;='Hiring plan'!$G$24,K$3&lt;=IF('Hiring plan'!$H$24="",999,'Hiring plan'!$H$24)),'Hiring plan'!$F$24,0)</f>
        <v>0</v>
      </c>
      <c r="L28" s="33" t="n">
        <f aca="false">IF(AND(N('Hiring plan'!$F$24)&gt;0,L$3&gt;='Hiring plan'!$G$24,L$3&lt;=IF('Hiring plan'!$H$24="",999,'Hiring plan'!$H$24)),'Hiring plan'!$F$24,0)</f>
        <v>0</v>
      </c>
      <c r="M28" s="33" t="n">
        <f aca="false">IF(AND(N('Hiring plan'!$F$24)&gt;0,M$3&gt;='Hiring plan'!$G$24,M$3&lt;=IF('Hiring plan'!$H$24="",999,'Hiring plan'!$H$24)),'Hiring plan'!$F$24,0)</f>
        <v>0</v>
      </c>
      <c r="N28" s="33" t="n">
        <f aca="false">IF(AND(N('Hiring plan'!$F$24)&gt;0,N$3&gt;='Hiring plan'!$G$24,N$3&lt;=IF('Hiring plan'!$H$24="",999,'Hiring plan'!$H$24)),'Hiring plan'!$F$24,0)</f>
        <v>0</v>
      </c>
      <c r="O28" s="33" t="n">
        <f aca="false">IF(AND(N('Hiring plan'!$F$24)&gt;0,O$3&gt;='Hiring plan'!$G$24,O$3&lt;=IF('Hiring plan'!$H$24="",999,'Hiring plan'!$H$24)),'Hiring plan'!$F$24,0)</f>
        <v>0</v>
      </c>
      <c r="P28" s="33" t="n">
        <f aca="false">IF(AND(N('Hiring plan'!$F$24)&gt;0,P$3&gt;='Hiring plan'!$G$24,P$3&lt;=IF('Hiring plan'!$H$24="",999,'Hiring plan'!$H$24)),'Hiring plan'!$F$24,0)</f>
        <v>0</v>
      </c>
      <c r="Q28" s="33" t="n">
        <f aca="false">IF(AND(N('Hiring plan'!$F$24)&gt;0,Q$3&gt;='Hiring plan'!$G$24,Q$3&lt;=IF('Hiring plan'!$H$24="",999,'Hiring plan'!$H$24)),'Hiring plan'!$F$24,0)</f>
        <v>0</v>
      </c>
      <c r="R28" s="33" t="n">
        <f aca="false">IF(AND(N('Hiring plan'!$F$24)&gt;0,R$3&gt;='Hiring plan'!$G$24,R$3&lt;=IF('Hiring plan'!$H$24="",999,'Hiring plan'!$H$24)),'Hiring plan'!$F$24,0)</f>
        <v>0</v>
      </c>
      <c r="S28" s="33" t="n">
        <f aca="false">IF(AND(N('Hiring plan'!$F$24)&gt;0,S$3&gt;='Hiring plan'!$G$24,S$3&lt;=IF('Hiring plan'!$H$24="",999,'Hiring plan'!$H$24)),'Hiring plan'!$F$24,0)</f>
        <v>0</v>
      </c>
      <c r="T28" s="33" t="n">
        <f aca="false">IF(AND(N('Hiring plan'!$F$24)&gt;0,T$3&gt;='Hiring plan'!$G$24,T$3&lt;=IF('Hiring plan'!$H$24="",999,'Hiring plan'!$H$24)),'Hiring plan'!$F$24,0)</f>
        <v>1</v>
      </c>
      <c r="U28" s="33" t="n">
        <f aca="false">IF(AND(N('Hiring plan'!$F$24)&gt;0,U$3&gt;='Hiring plan'!$G$24,U$3&lt;=IF('Hiring plan'!$H$24="",999,'Hiring plan'!$H$24)),'Hiring plan'!$F$24,0)</f>
        <v>1</v>
      </c>
      <c r="V28" s="33" t="n">
        <f aca="false">IF(AND(N('Hiring plan'!$F$24)&gt;0,V$3&gt;='Hiring plan'!$G$24,V$3&lt;=IF('Hiring plan'!$H$24="",999,'Hiring plan'!$H$24)),'Hiring plan'!$F$24,0)</f>
        <v>1</v>
      </c>
      <c r="W28" s="33" t="n">
        <f aca="false">IF(AND(N('Hiring plan'!$F$24)&gt;0,W$3&gt;='Hiring plan'!$G$24,W$3&lt;=IF('Hiring plan'!$H$24="",999,'Hiring plan'!$H$24)),'Hiring plan'!$F$24,0)</f>
        <v>1</v>
      </c>
      <c r="X28" s="33" t="n">
        <f aca="false">IF(AND(N('Hiring plan'!$F$24)&gt;0,X$3&gt;='Hiring plan'!$G$24,X$3&lt;=IF('Hiring plan'!$H$24="",999,'Hiring plan'!$H$24)),'Hiring plan'!$F$24,0)</f>
        <v>1</v>
      </c>
      <c r="Y28" s="33" t="n">
        <f aca="false">IF(AND(N('Hiring plan'!$F$24)&gt;0,Y$3&gt;='Hiring plan'!$G$24,Y$3&lt;=IF('Hiring plan'!$H$24="",999,'Hiring plan'!$H$24)),'Hiring plan'!$F$24,0)</f>
        <v>1</v>
      </c>
      <c r="Z28" s="33" t="n">
        <f aca="false">IF(AND(N('Hiring plan'!$F$24)&gt;0,Z$3&gt;='Hiring plan'!$G$24,Z$3&lt;=IF('Hiring plan'!$H$24="",999,'Hiring plan'!$H$24)),'Hiring plan'!$F$24,0)</f>
        <v>1</v>
      </c>
      <c r="AA28" s="33" t="n">
        <f aca="false">IF(AND(N('Hiring plan'!$F$24)&gt;0,AA$3&gt;='Hiring plan'!$G$24,AA$3&lt;=IF('Hiring plan'!$H$24="",999,'Hiring plan'!$H$24)),'Hiring plan'!$F$24,0)</f>
        <v>1</v>
      </c>
      <c r="AB28" s="33" t="n">
        <f aca="false">IF(AND(N('Hiring plan'!$F$24)&gt;0,AB$3&gt;='Hiring plan'!$G$24,AB$3&lt;=IF('Hiring plan'!$H$24="",999,'Hiring plan'!$H$24)),'Hiring plan'!$F$24,0)</f>
        <v>1</v>
      </c>
      <c r="AC28" s="33" t="n">
        <f aca="false">IF(AND(N('Hiring plan'!$F$24)&gt;0,AC$3&gt;='Hiring plan'!$G$24,AC$3&lt;=IF('Hiring plan'!$H$24="",999,'Hiring plan'!$H$24)),'Hiring plan'!$F$24,0)</f>
        <v>1</v>
      </c>
      <c r="AD28" s="33" t="n">
        <f aca="false">IF(AND(N('Hiring plan'!$F$24)&gt;0,AD$3&gt;='Hiring plan'!$G$24,AD$3&lt;=IF('Hiring plan'!$H$24="",999,'Hiring plan'!$H$24)),'Hiring plan'!$F$24,0)</f>
        <v>1</v>
      </c>
      <c r="AE28" s="33" t="n">
        <f aca="false">IF(AND(N('Hiring plan'!$F$24)&gt;0,AE$3&gt;='Hiring plan'!$G$24,AE$3&lt;=IF('Hiring plan'!$H$24="",999,'Hiring plan'!$H$24)),'Hiring plan'!$F$24,0)</f>
        <v>1</v>
      </c>
      <c r="AF28" s="33" t="n">
        <f aca="false">IF(AND(N('Hiring plan'!$F$24)&gt;0,AF$3&gt;='Hiring plan'!$G$24,AF$3&lt;=IF('Hiring plan'!$H$24="",999,'Hiring plan'!$H$24)),'Hiring plan'!$F$24,0)</f>
        <v>1</v>
      </c>
      <c r="AG28" s="33" t="n">
        <f aca="false">IF(AND(N('Hiring plan'!$F$24)&gt;0,AG$3&gt;='Hiring plan'!$G$24,AG$3&lt;=IF('Hiring plan'!$H$24="",999,'Hiring plan'!$H$24)),'Hiring plan'!$F$24,0)</f>
        <v>1</v>
      </c>
      <c r="AH28" s="33" t="n">
        <f aca="false">IF(AND(N('Hiring plan'!$F$24)&gt;0,AH$3&gt;='Hiring plan'!$G$24,AH$3&lt;=IF('Hiring plan'!$H$24="",999,'Hiring plan'!$H$24)),'Hiring plan'!$F$24,0)</f>
        <v>1</v>
      </c>
      <c r="AI28" s="33" t="n">
        <f aca="false">IF(AND(N('Hiring plan'!$F$24)&gt;0,AI$3&gt;='Hiring plan'!$G$24,AI$3&lt;=IF('Hiring plan'!$H$24="",999,'Hiring plan'!$H$24)),'Hiring plan'!$F$24,0)</f>
        <v>1</v>
      </c>
      <c r="AJ28" s="33" t="n">
        <f aca="false">IF(AND(N('Hiring plan'!$F$24)&gt;0,AJ$3&gt;='Hiring plan'!$G$24,AJ$3&lt;=IF('Hiring plan'!$H$24="",999,'Hiring plan'!$H$24)),'Hiring plan'!$F$24,0)</f>
        <v>1</v>
      </c>
      <c r="AK28" s="33" t="n">
        <f aca="false">IF(AND(N('Hiring plan'!$F$24)&gt;0,AK$3&gt;='Hiring plan'!$G$24,AK$3&lt;=IF('Hiring plan'!$H$24="",999,'Hiring plan'!$H$24)),'Hiring plan'!$F$24,0)</f>
        <v>1</v>
      </c>
      <c r="AL28" s="33" t="n">
        <f aca="false">IF(AND(N('Hiring plan'!$F$24)&gt;0,AL$3&gt;='Hiring plan'!$G$24,AL$3&lt;=IF('Hiring plan'!$H$24="",999,'Hiring plan'!$H$24)),'Hiring plan'!$F$24,0)</f>
        <v>1</v>
      </c>
      <c r="AM28" s="33" t="n">
        <f aca="false">IF(AND(N('Hiring plan'!$F$24)&gt;0,AM$3&gt;='Hiring plan'!$G$24,AM$3&lt;=IF('Hiring plan'!$H$24="",999,'Hiring plan'!$H$24)),'Hiring plan'!$F$24,0)</f>
        <v>1</v>
      </c>
      <c r="AN28" s="33" t="n">
        <f aca="false">IF(AND(N('Hiring plan'!$F$24)&gt;0,AN$3&gt;='Hiring plan'!$G$24,AN$3&lt;=IF('Hiring plan'!$H$24="",999,'Hiring plan'!$H$24)),'Hiring plan'!$F$24,0)</f>
        <v>1</v>
      </c>
      <c r="AO28" s="33" t="n">
        <f aca="false">IF(AND(N('Hiring plan'!$F$24)&gt;0,AO$3&gt;='Hiring plan'!$G$24,AO$3&lt;=IF('Hiring plan'!$H$24="",999,'Hiring plan'!$H$24)),'Hiring plan'!$F$24,0)</f>
        <v>1</v>
      </c>
      <c r="AP28" s="33" t="n">
        <f aca="false">IF(AND(N('Hiring plan'!$F$24)&gt;0,AP$3&gt;='Hiring plan'!$G$24,AP$3&lt;=IF('Hiring plan'!$H$24="",999,'Hiring plan'!$H$24)),'Hiring plan'!$F$24,0)</f>
        <v>1</v>
      </c>
      <c r="AQ28" s="33" t="n">
        <f aca="false">IF(AND(N('Hiring plan'!$F$24)&gt;0,AQ$3&gt;='Hiring plan'!$G$24,AQ$3&lt;=IF('Hiring plan'!$H$24="",999,'Hiring plan'!$H$24)),'Hiring plan'!$F$24,0)</f>
        <v>1</v>
      </c>
      <c r="AR28" s="33" t="n">
        <f aca="false">IF(AND(N('Hiring plan'!$F$24)&gt;0,AR$3&gt;='Hiring plan'!$G$24,AR$3&lt;=IF('Hiring plan'!$H$24="",999,'Hiring plan'!$H$24)),'Hiring plan'!$F$24,0)</f>
        <v>1</v>
      </c>
      <c r="AS28" s="33" t="n">
        <f aca="false">IF(AND(N('Hiring plan'!$F$24)&gt;0,AS$3&gt;='Hiring plan'!$G$24,AS$3&lt;=IF('Hiring plan'!$H$24="",999,'Hiring plan'!$H$24)),'Hiring plan'!$F$24,0)</f>
        <v>1</v>
      </c>
      <c r="AT28" s="33" t="n">
        <f aca="false">IF(AND(N('Hiring plan'!$F$24)&gt;0,AT$3&gt;='Hiring plan'!$G$24,AT$3&lt;=IF('Hiring plan'!$H$24="",999,'Hiring plan'!$H$24)),'Hiring plan'!$F$24,0)</f>
        <v>1</v>
      </c>
      <c r="AU28" s="33" t="n">
        <f aca="false">IF(AND(N('Hiring plan'!$F$24)&gt;0,AU$3&gt;='Hiring plan'!$G$24,AU$3&lt;=IF('Hiring plan'!$H$24="",999,'Hiring plan'!$H$24)),'Hiring plan'!$F$24,0)</f>
        <v>1</v>
      </c>
      <c r="AV28" s="33" t="n">
        <f aca="false">IF(AND(N('Hiring plan'!$F$24)&gt;0,AV$3&gt;='Hiring plan'!$G$24,AV$3&lt;=IF('Hiring plan'!$H$24="",999,'Hiring plan'!$H$24)),'Hiring plan'!$F$24,0)</f>
        <v>1</v>
      </c>
      <c r="AW28" s="33" t="n">
        <f aca="false">IF(AND(N('Hiring plan'!$F$24)&gt;0,AW$3&gt;='Hiring plan'!$G$24,AW$3&lt;=IF('Hiring plan'!$H$24="",999,'Hiring plan'!$H$24)),'Hiring plan'!$F$24,0)</f>
        <v>1</v>
      </c>
      <c r="AX28" s="33" t="n">
        <f aca="false">IF(AND(N('Hiring plan'!$F$24)&gt;0,AX$3&gt;='Hiring plan'!$G$24,AX$3&lt;=IF('Hiring plan'!$H$24="",999,'Hiring plan'!$H$24)),'Hiring plan'!$F$24,0)</f>
        <v>1</v>
      </c>
      <c r="AY28" s="33" t="n">
        <f aca="false">IF(AND(N('Hiring plan'!$F$24)&gt;0,AY$3&gt;='Hiring plan'!$G$24,AY$3&lt;=IF('Hiring plan'!$H$24="",999,'Hiring plan'!$H$24)),'Hiring plan'!$F$24,0)</f>
        <v>1</v>
      </c>
      <c r="AZ28" s="33" t="n">
        <f aca="false">IF(AND(N('Hiring plan'!$F$24)&gt;0,AZ$3&gt;='Hiring plan'!$G$24,AZ$3&lt;=IF('Hiring plan'!$H$24="",999,'Hiring plan'!$H$24)),'Hiring plan'!$F$24,0)</f>
        <v>1</v>
      </c>
      <c r="BA28" s="33" t="n">
        <f aca="false">IF(AND(N('Hiring plan'!$F$24)&gt;0,BA$3&gt;='Hiring plan'!$G$24,BA$3&lt;=IF('Hiring plan'!$H$24="",999,'Hiring plan'!$H$24)),'Hiring plan'!$F$24,0)</f>
        <v>1</v>
      </c>
      <c r="BB28" s="33" t="n">
        <f aca="false">IF(AND(N('Hiring plan'!$F$24)&gt;0,BB$3&gt;='Hiring plan'!$G$24,BB$3&lt;=IF('Hiring plan'!$H$24="",999,'Hiring plan'!$H$24)),'Hiring plan'!$F$24,0)</f>
        <v>1</v>
      </c>
      <c r="BC28" s="33" t="n">
        <f aca="false">IF(AND(N('Hiring plan'!$F$24)&gt;0,BC$3&gt;='Hiring plan'!$G$24,BC$3&lt;=IF('Hiring plan'!$H$24="",999,'Hiring plan'!$H$24)),'Hiring plan'!$F$24,0)</f>
        <v>1</v>
      </c>
      <c r="BD28" s="33" t="n">
        <f aca="false">IF(AND(N('Hiring plan'!$F$24)&gt;0,BD$3&gt;='Hiring plan'!$G$24,BD$3&lt;=IF('Hiring plan'!$H$24="",999,'Hiring plan'!$H$24)),'Hiring plan'!$F$24,0)</f>
        <v>1</v>
      </c>
      <c r="BE28" s="33" t="n">
        <f aca="false">IF(AND(N('Hiring plan'!$F$24)&gt;0,BE$3&gt;='Hiring plan'!$G$24,BE$3&lt;=IF('Hiring plan'!$H$24="",999,'Hiring plan'!$H$24)),'Hiring plan'!$F$24,0)</f>
        <v>1</v>
      </c>
      <c r="BF28" s="33" t="n">
        <f aca="false">IF(AND(N('Hiring plan'!$F$24)&gt;0,BF$3&gt;='Hiring plan'!$G$24,BF$3&lt;=IF('Hiring plan'!$H$24="",999,'Hiring plan'!$H$24)),'Hiring plan'!$F$24,0)</f>
        <v>1</v>
      </c>
      <c r="BG28" s="33" t="n">
        <f aca="false">IF(AND(N('Hiring plan'!$F$24)&gt;0,BG$3&gt;='Hiring plan'!$G$24,BG$3&lt;=IF('Hiring plan'!$H$24="",999,'Hiring plan'!$H$24)),'Hiring plan'!$F$24,0)</f>
        <v>1</v>
      </c>
      <c r="BH28" s="33" t="n">
        <f aca="false">IF(AND(N('Hiring plan'!$F$24)&gt;0,BH$3&gt;='Hiring plan'!$G$24,BH$3&lt;=IF('Hiring plan'!$H$24="",999,'Hiring plan'!$H$24)),'Hiring plan'!$F$24,0)</f>
        <v>1</v>
      </c>
      <c r="BI28" s="33" t="n">
        <f aca="false">IF(AND(N('Hiring plan'!$F$24)&gt;0,BI$3&gt;='Hiring plan'!$G$24,BI$3&lt;=IF('Hiring plan'!$H$24="",999,'Hiring plan'!$H$24)),'Hiring plan'!$F$24,0)</f>
        <v>1</v>
      </c>
      <c r="BJ28" s="33" t="n">
        <f aca="false">IF(AND(N('Hiring plan'!$F$24)&gt;0,BJ$3&gt;='Hiring plan'!$G$24,BJ$3&lt;=IF('Hiring plan'!$H$24="",999,'Hiring plan'!$H$24)),'Hiring plan'!$F$24,0)</f>
        <v>1</v>
      </c>
      <c r="BK28" s="33" t="n">
        <f aca="false">IF(AND(N('Hiring plan'!$F$24)&gt;0,BK$3&gt;='Hiring plan'!$G$24,BK$3&lt;=IF('Hiring plan'!$H$24="",999,'Hiring plan'!$H$24)),'Hiring plan'!$F$24,0)</f>
        <v>1</v>
      </c>
      <c r="BL28" s="33" t="n">
        <f aca="false">IF(AND(N('Hiring plan'!$F$24)&gt;0,BL$3&gt;='Hiring plan'!$G$24,BL$3&lt;=IF('Hiring plan'!$H$24="",999,'Hiring plan'!$H$24)),'Hiring plan'!$F$24,0)</f>
        <v>1</v>
      </c>
    </row>
    <row r="29" customFormat="false" ht="15" hidden="false" customHeight="false" outlineLevel="0" collapsed="false">
      <c r="A29" s="12" t="str">
        <f aca="false">IF('Hiring plan'!$C$25="","(spare line 21)",'Hiring plan'!$C$25&amp;" · "&amp;'Hiring plan'!$D$25)</f>
        <v>Compliance analyst · SN</v>
      </c>
      <c r="B29" s="14" t="s">
        <v>222</v>
      </c>
      <c r="D29" s="41" t="n">
        <f aca="false">MAX(E29:BL29)</f>
        <v>1</v>
      </c>
      <c r="E29" s="33" t="n">
        <f aca="false">IF(AND(N('Hiring plan'!$F$25)&gt;0,E$3&gt;='Hiring plan'!$G$25,E$3&lt;=IF('Hiring plan'!$H$25="",999,'Hiring plan'!$H$25)),'Hiring plan'!$F$25,0)</f>
        <v>0</v>
      </c>
      <c r="F29" s="33" t="n">
        <f aca="false">IF(AND(N('Hiring plan'!$F$25)&gt;0,F$3&gt;='Hiring plan'!$G$25,F$3&lt;=IF('Hiring plan'!$H$25="",999,'Hiring plan'!$H$25)),'Hiring plan'!$F$25,0)</f>
        <v>0</v>
      </c>
      <c r="G29" s="33" t="n">
        <f aca="false">IF(AND(N('Hiring plan'!$F$25)&gt;0,G$3&gt;='Hiring plan'!$G$25,G$3&lt;=IF('Hiring plan'!$H$25="",999,'Hiring plan'!$H$25)),'Hiring plan'!$F$25,0)</f>
        <v>0</v>
      </c>
      <c r="H29" s="33" t="n">
        <f aca="false">IF(AND(N('Hiring plan'!$F$25)&gt;0,H$3&gt;='Hiring plan'!$G$25,H$3&lt;=IF('Hiring plan'!$H$25="",999,'Hiring plan'!$H$25)),'Hiring plan'!$F$25,0)</f>
        <v>0</v>
      </c>
      <c r="I29" s="33" t="n">
        <f aca="false">IF(AND(N('Hiring plan'!$F$25)&gt;0,I$3&gt;='Hiring plan'!$G$25,I$3&lt;=IF('Hiring plan'!$H$25="",999,'Hiring plan'!$H$25)),'Hiring plan'!$F$25,0)</f>
        <v>0</v>
      </c>
      <c r="J29" s="33" t="n">
        <f aca="false">IF(AND(N('Hiring plan'!$F$25)&gt;0,J$3&gt;='Hiring plan'!$G$25,J$3&lt;=IF('Hiring plan'!$H$25="",999,'Hiring plan'!$H$25)),'Hiring plan'!$F$25,0)</f>
        <v>0</v>
      </c>
      <c r="K29" s="33" t="n">
        <f aca="false">IF(AND(N('Hiring plan'!$F$25)&gt;0,K$3&gt;='Hiring plan'!$G$25,K$3&lt;=IF('Hiring plan'!$H$25="",999,'Hiring plan'!$H$25)),'Hiring plan'!$F$25,0)</f>
        <v>0</v>
      </c>
      <c r="L29" s="33" t="n">
        <f aca="false">IF(AND(N('Hiring plan'!$F$25)&gt;0,L$3&gt;='Hiring plan'!$G$25,L$3&lt;=IF('Hiring plan'!$H$25="",999,'Hiring plan'!$H$25)),'Hiring plan'!$F$25,0)</f>
        <v>0</v>
      </c>
      <c r="M29" s="33" t="n">
        <f aca="false">IF(AND(N('Hiring plan'!$F$25)&gt;0,M$3&gt;='Hiring plan'!$G$25,M$3&lt;=IF('Hiring plan'!$H$25="",999,'Hiring plan'!$H$25)),'Hiring plan'!$F$25,0)</f>
        <v>0</v>
      </c>
      <c r="N29" s="33" t="n">
        <f aca="false">IF(AND(N('Hiring plan'!$F$25)&gt;0,N$3&gt;='Hiring plan'!$G$25,N$3&lt;=IF('Hiring plan'!$H$25="",999,'Hiring plan'!$H$25)),'Hiring plan'!$F$25,0)</f>
        <v>0</v>
      </c>
      <c r="O29" s="33" t="n">
        <f aca="false">IF(AND(N('Hiring plan'!$F$25)&gt;0,O$3&gt;='Hiring plan'!$G$25,O$3&lt;=IF('Hiring plan'!$H$25="",999,'Hiring plan'!$H$25)),'Hiring plan'!$F$25,0)</f>
        <v>0</v>
      </c>
      <c r="P29" s="33" t="n">
        <f aca="false">IF(AND(N('Hiring plan'!$F$25)&gt;0,P$3&gt;='Hiring plan'!$G$25,P$3&lt;=IF('Hiring plan'!$H$25="",999,'Hiring plan'!$H$25)),'Hiring plan'!$F$25,0)</f>
        <v>0</v>
      </c>
      <c r="Q29" s="33" t="n">
        <f aca="false">IF(AND(N('Hiring plan'!$F$25)&gt;0,Q$3&gt;='Hiring plan'!$G$25,Q$3&lt;=IF('Hiring plan'!$H$25="",999,'Hiring plan'!$H$25)),'Hiring plan'!$F$25,0)</f>
        <v>0</v>
      </c>
      <c r="R29" s="33" t="n">
        <f aca="false">IF(AND(N('Hiring plan'!$F$25)&gt;0,R$3&gt;='Hiring plan'!$G$25,R$3&lt;=IF('Hiring plan'!$H$25="",999,'Hiring plan'!$H$25)),'Hiring plan'!$F$25,0)</f>
        <v>0</v>
      </c>
      <c r="S29" s="33" t="n">
        <f aca="false">IF(AND(N('Hiring plan'!$F$25)&gt;0,S$3&gt;='Hiring plan'!$G$25,S$3&lt;=IF('Hiring plan'!$H$25="",999,'Hiring plan'!$H$25)),'Hiring plan'!$F$25,0)</f>
        <v>0</v>
      </c>
      <c r="T29" s="33" t="n">
        <f aca="false">IF(AND(N('Hiring plan'!$F$25)&gt;0,T$3&gt;='Hiring plan'!$G$25,T$3&lt;=IF('Hiring plan'!$H$25="",999,'Hiring plan'!$H$25)),'Hiring plan'!$F$25,0)</f>
        <v>0</v>
      </c>
      <c r="U29" s="33" t="n">
        <f aca="false">IF(AND(N('Hiring plan'!$F$25)&gt;0,U$3&gt;='Hiring plan'!$G$25,U$3&lt;=IF('Hiring plan'!$H$25="",999,'Hiring plan'!$H$25)),'Hiring plan'!$F$25,0)</f>
        <v>0</v>
      </c>
      <c r="V29" s="33" t="n">
        <f aca="false">IF(AND(N('Hiring plan'!$F$25)&gt;0,V$3&gt;='Hiring plan'!$G$25,V$3&lt;=IF('Hiring plan'!$H$25="",999,'Hiring plan'!$H$25)),'Hiring plan'!$F$25,0)</f>
        <v>0</v>
      </c>
      <c r="W29" s="33" t="n">
        <f aca="false">IF(AND(N('Hiring plan'!$F$25)&gt;0,W$3&gt;='Hiring plan'!$G$25,W$3&lt;=IF('Hiring plan'!$H$25="",999,'Hiring plan'!$H$25)),'Hiring plan'!$F$25,0)</f>
        <v>0</v>
      </c>
      <c r="X29" s="33" t="n">
        <f aca="false">IF(AND(N('Hiring plan'!$F$25)&gt;0,X$3&gt;='Hiring plan'!$G$25,X$3&lt;=IF('Hiring plan'!$H$25="",999,'Hiring plan'!$H$25)),'Hiring plan'!$F$25,0)</f>
        <v>0</v>
      </c>
      <c r="Y29" s="33" t="n">
        <f aca="false">IF(AND(N('Hiring plan'!$F$25)&gt;0,Y$3&gt;='Hiring plan'!$G$25,Y$3&lt;=IF('Hiring plan'!$H$25="",999,'Hiring plan'!$H$25)),'Hiring plan'!$F$25,0)</f>
        <v>0</v>
      </c>
      <c r="Z29" s="33" t="n">
        <f aca="false">IF(AND(N('Hiring plan'!$F$25)&gt;0,Z$3&gt;='Hiring plan'!$G$25,Z$3&lt;=IF('Hiring plan'!$H$25="",999,'Hiring plan'!$H$25)),'Hiring plan'!$F$25,0)</f>
        <v>0</v>
      </c>
      <c r="AA29" s="33" t="n">
        <f aca="false">IF(AND(N('Hiring plan'!$F$25)&gt;0,AA$3&gt;='Hiring plan'!$G$25,AA$3&lt;=IF('Hiring plan'!$H$25="",999,'Hiring plan'!$H$25)),'Hiring plan'!$F$25,0)</f>
        <v>0</v>
      </c>
      <c r="AB29" s="33" t="n">
        <f aca="false">IF(AND(N('Hiring plan'!$F$25)&gt;0,AB$3&gt;='Hiring plan'!$G$25,AB$3&lt;=IF('Hiring plan'!$H$25="",999,'Hiring plan'!$H$25)),'Hiring plan'!$F$25,0)</f>
        <v>0</v>
      </c>
      <c r="AC29" s="33" t="n">
        <f aca="false">IF(AND(N('Hiring plan'!$F$25)&gt;0,AC$3&gt;='Hiring plan'!$G$25,AC$3&lt;=IF('Hiring plan'!$H$25="",999,'Hiring plan'!$H$25)),'Hiring plan'!$F$25,0)</f>
        <v>0</v>
      </c>
      <c r="AD29" s="33" t="n">
        <f aca="false">IF(AND(N('Hiring plan'!$F$25)&gt;0,AD$3&gt;='Hiring plan'!$G$25,AD$3&lt;=IF('Hiring plan'!$H$25="",999,'Hiring plan'!$H$25)),'Hiring plan'!$F$25,0)</f>
        <v>0</v>
      </c>
      <c r="AE29" s="33" t="n">
        <f aca="false">IF(AND(N('Hiring plan'!$F$25)&gt;0,AE$3&gt;='Hiring plan'!$G$25,AE$3&lt;=IF('Hiring plan'!$H$25="",999,'Hiring plan'!$H$25)),'Hiring plan'!$F$25,0)</f>
        <v>0</v>
      </c>
      <c r="AF29" s="33" t="n">
        <f aca="false">IF(AND(N('Hiring plan'!$F$25)&gt;0,AF$3&gt;='Hiring plan'!$G$25,AF$3&lt;=IF('Hiring plan'!$H$25="",999,'Hiring plan'!$H$25)),'Hiring plan'!$F$25,0)</f>
        <v>0</v>
      </c>
      <c r="AG29" s="33" t="n">
        <f aca="false">IF(AND(N('Hiring plan'!$F$25)&gt;0,AG$3&gt;='Hiring plan'!$G$25,AG$3&lt;=IF('Hiring plan'!$H$25="",999,'Hiring plan'!$H$25)),'Hiring plan'!$F$25,0)</f>
        <v>0</v>
      </c>
      <c r="AH29" s="33" t="n">
        <f aca="false">IF(AND(N('Hiring plan'!$F$25)&gt;0,AH$3&gt;='Hiring plan'!$G$25,AH$3&lt;=IF('Hiring plan'!$H$25="",999,'Hiring plan'!$H$25)),'Hiring plan'!$F$25,0)</f>
        <v>0</v>
      </c>
      <c r="AI29" s="33" t="n">
        <f aca="false">IF(AND(N('Hiring plan'!$F$25)&gt;0,AI$3&gt;='Hiring plan'!$G$25,AI$3&lt;=IF('Hiring plan'!$H$25="",999,'Hiring plan'!$H$25)),'Hiring plan'!$F$25,0)</f>
        <v>1</v>
      </c>
      <c r="AJ29" s="33" t="n">
        <f aca="false">IF(AND(N('Hiring plan'!$F$25)&gt;0,AJ$3&gt;='Hiring plan'!$G$25,AJ$3&lt;=IF('Hiring plan'!$H$25="",999,'Hiring plan'!$H$25)),'Hiring plan'!$F$25,0)</f>
        <v>1</v>
      </c>
      <c r="AK29" s="33" t="n">
        <f aca="false">IF(AND(N('Hiring plan'!$F$25)&gt;0,AK$3&gt;='Hiring plan'!$G$25,AK$3&lt;=IF('Hiring plan'!$H$25="",999,'Hiring plan'!$H$25)),'Hiring plan'!$F$25,0)</f>
        <v>1</v>
      </c>
      <c r="AL29" s="33" t="n">
        <f aca="false">IF(AND(N('Hiring plan'!$F$25)&gt;0,AL$3&gt;='Hiring plan'!$G$25,AL$3&lt;=IF('Hiring plan'!$H$25="",999,'Hiring plan'!$H$25)),'Hiring plan'!$F$25,0)</f>
        <v>1</v>
      </c>
      <c r="AM29" s="33" t="n">
        <f aca="false">IF(AND(N('Hiring plan'!$F$25)&gt;0,AM$3&gt;='Hiring plan'!$G$25,AM$3&lt;=IF('Hiring plan'!$H$25="",999,'Hiring plan'!$H$25)),'Hiring plan'!$F$25,0)</f>
        <v>1</v>
      </c>
      <c r="AN29" s="33" t="n">
        <f aca="false">IF(AND(N('Hiring plan'!$F$25)&gt;0,AN$3&gt;='Hiring plan'!$G$25,AN$3&lt;=IF('Hiring plan'!$H$25="",999,'Hiring plan'!$H$25)),'Hiring plan'!$F$25,0)</f>
        <v>1</v>
      </c>
      <c r="AO29" s="33" t="n">
        <f aca="false">IF(AND(N('Hiring plan'!$F$25)&gt;0,AO$3&gt;='Hiring plan'!$G$25,AO$3&lt;=IF('Hiring plan'!$H$25="",999,'Hiring plan'!$H$25)),'Hiring plan'!$F$25,0)</f>
        <v>1</v>
      </c>
      <c r="AP29" s="33" t="n">
        <f aca="false">IF(AND(N('Hiring plan'!$F$25)&gt;0,AP$3&gt;='Hiring plan'!$G$25,AP$3&lt;=IF('Hiring plan'!$H$25="",999,'Hiring plan'!$H$25)),'Hiring plan'!$F$25,0)</f>
        <v>1</v>
      </c>
      <c r="AQ29" s="33" t="n">
        <f aca="false">IF(AND(N('Hiring plan'!$F$25)&gt;0,AQ$3&gt;='Hiring plan'!$G$25,AQ$3&lt;=IF('Hiring plan'!$H$25="",999,'Hiring plan'!$H$25)),'Hiring plan'!$F$25,0)</f>
        <v>1</v>
      </c>
      <c r="AR29" s="33" t="n">
        <f aca="false">IF(AND(N('Hiring plan'!$F$25)&gt;0,AR$3&gt;='Hiring plan'!$G$25,AR$3&lt;=IF('Hiring plan'!$H$25="",999,'Hiring plan'!$H$25)),'Hiring plan'!$F$25,0)</f>
        <v>1</v>
      </c>
      <c r="AS29" s="33" t="n">
        <f aca="false">IF(AND(N('Hiring plan'!$F$25)&gt;0,AS$3&gt;='Hiring plan'!$G$25,AS$3&lt;=IF('Hiring plan'!$H$25="",999,'Hiring plan'!$H$25)),'Hiring plan'!$F$25,0)</f>
        <v>1</v>
      </c>
      <c r="AT29" s="33" t="n">
        <f aca="false">IF(AND(N('Hiring plan'!$F$25)&gt;0,AT$3&gt;='Hiring plan'!$G$25,AT$3&lt;=IF('Hiring plan'!$H$25="",999,'Hiring plan'!$H$25)),'Hiring plan'!$F$25,0)</f>
        <v>1</v>
      </c>
      <c r="AU29" s="33" t="n">
        <f aca="false">IF(AND(N('Hiring plan'!$F$25)&gt;0,AU$3&gt;='Hiring plan'!$G$25,AU$3&lt;=IF('Hiring plan'!$H$25="",999,'Hiring plan'!$H$25)),'Hiring plan'!$F$25,0)</f>
        <v>1</v>
      </c>
      <c r="AV29" s="33" t="n">
        <f aca="false">IF(AND(N('Hiring plan'!$F$25)&gt;0,AV$3&gt;='Hiring plan'!$G$25,AV$3&lt;=IF('Hiring plan'!$H$25="",999,'Hiring plan'!$H$25)),'Hiring plan'!$F$25,0)</f>
        <v>1</v>
      </c>
      <c r="AW29" s="33" t="n">
        <f aca="false">IF(AND(N('Hiring plan'!$F$25)&gt;0,AW$3&gt;='Hiring plan'!$G$25,AW$3&lt;=IF('Hiring plan'!$H$25="",999,'Hiring plan'!$H$25)),'Hiring plan'!$F$25,0)</f>
        <v>1</v>
      </c>
      <c r="AX29" s="33" t="n">
        <f aca="false">IF(AND(N('Hiring plan'!$F$25)&gt;0,AX$3&gt;='Hiring plan'!$G$25,AX$3&lt;=IF('Hiring plan'!$H$25="",999,'Hiring plan'!$H$25)),'Hiring plan'!$F$25,0)</f>
        <v>1</v>
      </c>
      <c r="AY29" s="33" t="n">
        <f aca="false">IF(AND(N('Hiring plan'!$F$25)&gt;0,AY$3&gt;='Hiring plan'!$G$25,AY$3&lt;=IF('Hiring plan'!$H$25="",999,'Hiring plan'!$H$25)),'Hiring plan'!$F$25,0)</f>
        <v>1</v>
      </c>
      <c r="AZ29" s="33" t="n">
        <f aca="false">IF(AND(N('Hiring plan'!$F$25)&gt;0,AZ$3&gt;='Hiring plan'!$G$25,AZ$3&lt;=IF('Hiring plan'!$H$25="",999,'Hiring plan'!$H$25)),'Hiring plan'!$F$25,0)</f>
        <v>1</v>
      </c>
      <c r="BA29" s="33" t="n">
        <f aca="false">IF(AND(N('Hiring plan'!$F$25)&gt;0,BA$3&gt;='Hiring plan'!$G$25,BA$3&lt;=IF('Hiring plan'!$H$25="",999,'Hiring plan'!$H$25)),'Hiring plan'!$F$25,0)</f>
        <v>1</v>
      </c>
      <c r="BB29" s="33" t="n">
        <f aca="false">IF(AND(N('Hiring plan'!$F$25)&gt;0,BB$3&gt;='Hiring plan'!$G$25,BB$3&lt;=IF('Hiring plan'!$H$25="",999,'Hiring plan'!$H$25)),'Hiring plan'!$F$25,0)</f>
        <v>1</v>
      </c>
      <c r="BC29" s="33" t="n">
        <f aca="false">IF(AND(N('Hiring plan'!$F$25)&gt;0,BC$3&gt;='Hiring plan'!$G$25,BC$3&lt;=IF('Hiring plan'!$H$25="",999,'Hiring plan'!$H$25)),'Hiring plan'!$F$25,0)</f>
        <v>1</v>
      </c>
      <c r="BD29" s="33" t="n">
        <f aca="false">IF(AND(N('Hiring plan'!$F$25)&gt;0,BD$3&gt;='Hiring plan'!$G$25,BD$3&lt;=IF('Hiring plan'!$H$25="",999,'Hiring plan'!$H$25)),'Hiring plan'!$F$25,0)</f>
        <v>1</v>
      </c>
      <c r="BE29" s="33" t="n">
        <f aca="false">IF(AND(N('Hiring plan'!$F$25)&gt;0,BE$3&gt;='Hiring plan'!$G$25,BE$3&lt;=IF('Hiring plan'!$H$25="",999,'Hiring plan'!$H$25)),'Hiring plan'!$F$25,0)</f>
        <v>1</v>
      </c>
      <c r="BF29" s="33" t="n">
        <f aca="false">IF(AND(N('Hiring plan'!$F$25)&gt;0,BF$3&gt;='Hiring plan'!$G$25,BF$3&lt;=IF('Hiring plan'!$H$25="",999,'Hiring plan'!$H$25)),'Hiring plan'!$F$25,0)</f>
        <v>1</v>
      </c>
      <c r="BG29" s="33" t="n">
        <f aca="false">IF(AND(N('Hiring plan'!$F$25)&gt;0,BG$3&gt;='Hiring plan'!$G$25,BG$3&lt;=IF('Hiring plan'!$H$25="",999,'Hiring plan'!$H$25)),'Hiring plan'!$F$25,0)</f>
        <v>1</v>
      </c>
      <c r="BH29" s="33" t="n">
        <f aca="false">IF(AND(N('Hiring plan'!$F$25)&gt;0,BH$3&gt;='Hiring plan'!$G$25,BH$3&lt;=IF('Hiring plan'!$H$25="",999,'Hiring plan'!$H$25)),'Hiring plan'!$F$25,0)</f>
        <v>1</v>
      </c>
      <c r="BI29" s="33" t="n">
        <f aca="false">IF(AND(N('Hiring plan'!$F$25)&gt;0,BI$3&gt;='Hiring plan'!$G$25,BI$3&lt;=IF('Hiring plan'!$H$25="",999,'Hiring plan'!$H$25)),'Hiring plan'!$F$25,0)</f>
        <v>1</v>
      </c>
      <c r="BJ29" s="33" t="n">
        <f aca="false">IF(AND(N('Hiring plan'!$F$25)&gt;0,BJ$3&gt;='Hiring plan'!$G$25,BJ$3&lt;=IF('Hiring plan'!$H$25="",999,'Hiring plan'!$H$25)),'Hiring plan'!$F$25,0)</f>
        <v>1</v>
      </c>
      <c r="BK29" s="33" t="n">
        <f aca="false">IF(AND(N('Hiring plan'!$F$25)&gt;0,BK$3&gt;='Hiring plan'!$G$25,BK$3&lt;=IF('Hiring plan'!$H$25="",999,'Hiring plan'!$H$25)),'Hiring plan'!$F$25,0)</f>
        <v>1</v>
      </c>
      <c r="BL29" s="33" t="n">
        <f aca="false">IF(AND(N('Hiring plan'!$F$25)&gt;0,BL$3&gt;='Hiring plan'!$G$25,BL$3&lt;=IF('Hiring plan'!$H$25="",999,'Hiring plan'!$H$25)),'Hiring plan'!$F$25,0)</f>
        <v>1</v>
      </c>
    </row>
    <row r="30" customFormat="false" ht="15" hidden="false" customHeight="false" outlineLevel="0" collapsed="false">
      <c r="A30" s="12" t="str">
        <f aca="false">IF('Hiring plan'!$C$26="","(spare line 22)",'Hiring plan'!$C$26&amp;" · "&amp;'Hiring plan'!$D$26)</f>
        <v>Compliance analyst · SN</v>
      </c>
      <c r="B30" s="14" t="s">
        <v>222</v>
      </c>
      <c r="D30" s="41" t="n">
        <f aca="false">MAX(E30:BL30)</f>
        <v>1</v>
      </c>
      <c r="E30" s="33" t="n">
        <f aca="false">IF(AND(N('Hiring plan'!$F$26)&gt;0,E$3&gt;='Hiring plan'!$G$26,E$3&lt;=IF('Hiring plan'!$H$26="",999,'Hiring plan'!$H$26)),'Hiring plan'!$F$26,0)</f>
        <v>0</v>
      </c>
      <c r="F30" s="33" t="n">
        <f aca="false">IF(AND(N('Hiring plan'!$F$26)&gt;0,F$3&gt;='Hiring plan'!$G$26,F$3&lt;=IF('Hiring plan'!$H$26="",999,'Hiring plan'!$H$26)),'Hiring plan'!$F$26,0)</f>
        <v>0</v>
      </c>
      <c r="G30" s="33" t="n">
        <f aca="false">IF(AND(N('Hiring plan'!$F$26)&gt;0,G$3&gt;='Hiring plan'!$G$26,G$3&lt;=IF('Hiring plan'!$H$26="",999,'Hiring plan'!$H$26)),'Hiring plan'!$F$26,0)</f>
        <v>0</v>
      </c>
      <c r="H30" s="33" t="n">
        <f aca="false">IF(AND(N('Hiring plan'!$F$26)&gt;0,H$3&gt;='Hiring plan'!$G$26,H$3&lt;=IF('Hiring plan'!$H$26="",999,'Hiring plan'!$H$26)),'Hiring plan'!$F$26,0)</f>
        <v>0</v>
      </c>
      <c r="I30" s="33" t="n">
        <f aca="false">IF(AND(N('Hiring plan'!$F$26)&gt;0,I$3&gt;='Hiring plan'!$G$26,I$3&lt;=IF('Hiring plan'!$H$26="",999,'Hiring plan'!$H$26)),'Hiring plan'!$F$26,0)</f>
        <v>0</v>
      </c>
      <c r="J30" s="33" t="n">
        <f aca="false">IF(AND(N('Hiring plan'!$F$26)&gt;0,J$3&gt;='Hiring plan'!$G$26,J$3&lt;=IF('Hiring plan'!$H$26="",999,'Hiring plan'!$H$26)),'Hiring plan'!$F$26,0)</f>
        <v>0</v>
      </c>
      <c r="K30" s="33" t="n">
        <f aca="false">IF(AND(N('Hiring plan'!$F$26)&gt;0,K$3&gt;='Hiring plan'!$G$26,K$3&lt;=IF('Hiring plan'!$H$26="",999,'Hiring plan'!$H$26)),'Hiring plan'!$F$26,0)</f>
        <v>0</v>
      </c>
      <c r="L30" s="33" t="n">
        <f aca="false">IF(AND(N('Hiring plan'!$F$26)&gt;0,L$3&gt;='Hiring plan'!$G$26,L$3&lt;=IF('Hiring plan'!$H$26="",999,'Hiring plan'!$H$26)),'Hiring plan'!$F$26,0)</f>
        <v>0</v>
      </c>
      <c r="M30" s="33" t="n">
        <f aca="false">IF(AND(N('Hiring plan'!$F$26)&gt;0,M$3&gt;='Hiring plan'!$G$26,M$3&lt;=IF('Hiring plan'!$H$26="",999,'Hiring plan'!$H$26)),'Hiring plan'!$F$26,0)</f>
        <v>0</v>
      </c>
      <c r="N30" s="33" t="n">
        <f aca="false">IF(AND(N('Hiring plan'!$F$26)&gt;0,N$3&gt;='Hiring plan'!$G$26,N$3&lt;=IF('Hiring plan'!$H$26="",999,'Hiring plan'!$H$26)),'Hiring plan'!$F$26,0)</f>
        <v>0</v>
      </c>
      <c r="O30" s="33" t="n">
        <f aca="false">IF(AND(N('Hiring plan'!$F$26)&gt;0,O$3&gt;='Hiring plan'!$G$26,O$3&lt;=IF('Hiring plan'!$H$26="",999,'Hiring plan'!$H$26)),'Hiring plan'!$F$26,0)</f>
        <v>0</v>
      </c>
      <c r="P30" s="33" t="n">
        <f aca="false">IF(AND(N('Hiring plan'!$F$26)&gt;0,P$3&gt;='Hiring plan'!$G$26,P$3&lt;=IF('Hiring plan'!$H$26="",999,'Hiring plan'!$H$26)),'Hiring plan'!$F$26,0)</f>
        <v>0</v>
      </c>
      <c r="Q30" s="33" t="n">
        <f aca="false">IF(AND(N('Hiring plan'!$F$26)&gt;0,Q$3&gt;='Hiring plan'!$G$26,Q$3&lt;=IF('Hiring plan'!$H$26="",999,'Hiring plan'!$H$26)),'Hiring plan'!$F$26,0)</f>
        <v>0</v>
      </c>
      <c r="R30" s="33" t="n">
        <f aca="false">IF(AND(N('Hiring plan'!$F$26)&gt;0,R$3&gt;='Hiring plan'!$G$26,R$3&lt;=IF('Hiring plan'!$H$26="",999,'Hiring plan'!$H$26)),'Hiring plan'!$F$26,0)</f>
        <v>0</v>
      </c>
      <c r="S30" s="33" t="n">
        <f aca="false">IF(AND(N('Hiring plan'!$F$26)&gt;0,S$3&gt;='Hiring plan'!$G$26,S$3&lt;=IF('Hiring plan'!$H$26="",999,'Hiring plan'!$H$26)),'Hiring plan'!$F$26,0)</f>
        <v>0</v>
      </c>
      <c r="T30" s="33" t="n">
        <f aca="false">IF(AND(N('Hiring plan'!$F$26)&gt;0,T$3&gt;='Hiring plan'!$G$26,T$3&lt;=IF('Hiring plan'!$H$26="",999,'Hiring plan'!$H$26)),'Hiring plan'!$F$26,0)</f>
        <v>0</v>
      </c>
      <c r="U30" s="33" t="n">
        <f aca="false">IF(AND(N('Hiring plan'!$F$26)&gt;0,U$3&gt;='Hiring plan'!$G$26,U$3&lt;=IF('Hiring plan'!$H$26="",999,'Hiring plan'!$H$26)),'Hiring plan'!$F$26,0)</f>
        <v>0</v>
      </c>
      <c r="V30" s="33" t="n">
        <f aca="false">IF(AND(N('Hiring plan'!$F$26)&gt;0,V$3&gt;='Hiring plan'!$G$26,V$3&lt;=IF('Hiring plan'!$H$26="",999,'Hiring plan'!$H$26)),'Hiring plan'!$F$26,0)</f>
        <v>0</v>
      </c>
      <c r="W30" s="33" t="n">
        <f aca="false">IF(AND(N('Hiring plan'!$F$26)&gt;0,W$3&gt;='Hiring plan'!$G$26,W$3&lt;=IF('Hiring plan'!$H$26="",999,'Hiring plan'!$H$26)),'Hiring plan'!$F$26,0)</f>
        <v>0</v>
      </c>
      <c r="X30" s="33" t="n">
        <f aca="false">IF(AND(N('Hiring plan'!$F$26)&gt;0,X$3&gt;='Hiring plan'!$G$26,X$3&lt;=IF('Hiring plan'!$H$26="",999,'Hiring plan'!$H$26)),'Hiring plan'!$F$26,0)</f>
        <v>0</v>
      </c>
      <c r="Y30" s="33" t="n">
        <f aca="false">IF(AND(N('Hiring plan'!$F$26)&gt;0,Y$3&gt;='Hiring plan'!$G$26,Y$3&lt;=IF('Hiring plan'!$H$26="",999,'Hiring plan'!$H$26)),'Hiring plan'!$F$26,0)</f>
        <v>0</v>
      </c>
      <c r="Z30" s="33" t="n">
        <f aca="false">IF(AND(N('Hiring plan'!$F$26)&gt;0,Z$3&gt;='Hiring plan'!$G$26,Z$3&lt;=IF('Hiring plan'!$H$26="",999,'Hiring plan'!$H$26)),'Hiring plan'!$F$26,0)</f>
        <v>0</v>
      </c>
      <c r="AA30" s="33" t="n">
        <f aca="false">IF(AND(N('Hiring plan'!$F$26)&gt;0,AA$3&gt;='Hiring plan'!$G$26,AA$3&lt;=IF('Hiring plan'!$H$26="",999,'Hiring plan'!$H$26)),'Hiring plan'!$F$26,0)</f>
        <v>0</v>
      </c>
      <c r="AB30" s="33" t="n">
        <f aca="false">IF(AND(N('Hiring plan'!$F$26)&gt;0,AB$3&gt;='Hiring plan'!$G$26,AB$3&lt;=IF('Hiring plan'!$H$26="",999,'Hiring plan'!$H$26)),'Hiring plan'!$F$26,0)</f>
        <v>0</v>
      </c>
      <c r="AC30" s="33" t="n">
        <f aca="false">IF(AND(N('Hiring plan'!$F$26)&gt;0,AC$3&gt;='Hiring plan'!$G$26,AC$3&lt;=IF('Hiring plan'!$H$26="",999,'Hiring plan'!$H$26)),'Hiring plan'!$F$26,0)</f>
        <v>0</v>
      </c>
      <c r="AD30" s="33" t="n">
        <f aca="false">IF(AND(N('Hiring plan'!$F$26)&gt;0,AD$3&gt;='Hiring plan'!$G$26,AD$3&lt;=IF('Hiring plan'!$H$26="",999,'Hiring plan'!$H$26)),'Hiring plan'!$F$26,0)</f>
        <v>0</v>
      </c>
      <c r="AE30" s="33" t="n">
        <f aca="false">IF(AND(N('Hiring plan'!$F$26)&gt;0,AE$3&gt;='Hiring plan'!$G$26,AE$3&lt;=IF('Hiring plan'!$H$26="",999,'Hiring plan'!$H$26)),'Hiring plan'!$F$26,0)</f>
        <v>0</v>
      </c>
      <c r="AF30" s="33" t="n">
        <f aca="false">IF(AND(N('Hiring plan'!$F$26)&gt;0,AF$3&gt;='Hiring plan'!$G$26,AF$3&lt;=IF('Hiring plan'!$H$26="",999,'Hiring plan'!$H$26)),'Hiring plan'!$F$26,0)</f>
        <v>0</v>
      </c>
      <c r="AG30" s="33" t="n">
        <f aca="false">IF(AND(N('Hiring plan'!$F$26)&gt;0,AG$3&gt;='Hiring plan'!$G$26,AG$3&lt;=IF('Hiring plan'!$H$26="",999,'Hiring plan'!$H$26)),'Hiring plan'!$F$26,0)</f>
        <v>0</v>
      </c>
      <c r="AH30" s="33" t="n">
        <f aca="false">IF(AND(N('Hiring plan'!$F$26)&gt;0,AH$3&gt;='Hiring plan'!$G$26,AH$3&lt;=IF('Hiring plan'!$H$26="",999,'Hiring plan'!$H$26)),'Hiring plan'!$F$26,0)</f>
        <v>0</v>
      </c>
      <c r="AI30" s="33" t="n">
        <f aca="false">IF(AND(N('Hiring plan'!$F$26)&gt;0,AI$3&gt;='Hiring plan'!$G$26,AI$3&lt;=IF('Hiring plan'!$H$26="",999,'Hiring plan'!$H$26)),'Hiring plan'!$F$26,0)</f>
        <v>0</v>
      </c>
      <c r="AJ30" s="33" t="n">
        <f aca="false">IF(AND(N('Hiring plan'!$F$26)&gt;0,AJ$3&gt;='Hiring plan'!$G$26,AJ$3&lt;=IF('Hiring plan'!$H$26="",999,'Hiring plan'!$H$26)),'Hiring plan'!$F$26,0)</f>
        <v>0</v>
      </c>
      <c r="AK30" s="33" t="n">
        <f aca="false">IF(AND(N('Hiring plan'!$F$26)&gt;0,AK$3&gt;='Hiring plan'!$G$26,AK$3&lt;=IF('Hiring plan'!$H$26="",999,'Hiring plan'!$H$26)),'Hiring plan'!$F$26,0)</f>
        <v>0</v>
      </c>
      <c r="AL30" s="33" t="n">
        <f aca="false">IF(AND(N('Hiring plan'!$F$26)&gt;0,AL$3&gt;='Hiring plan'!$G$26,AL$3&lt;=IF('Hiring plan'!$H$26="",999,'Hiring plan'!$H$26)),'Hiring plan'!$F$26,0)</f>
        <v>0</v>
      </c>
      <c r="AM30" s="33" t="n">
        <f aca="false">IF(AND(N('Hiring plan'!$F$26)&gt;0,AM$3&gt;='Hiring plan'!$G$26,AM$3&lt;=IF('Hiring plan'!$H$26="",999,'Hiring plan'!$H$26)),'Hiring plan'!$F$26,0)</f>
        <v>0</v>
      </c>
      <c r="AN30" s="33" t="n">
        <f aca="false">IF(AND(N('Hiring plan'!$F$26)&gt;0,AN$3&gt;='Hiring plan'!$G$26,AN$3&lt;=IF('Hiring plan'!$H$26="",999,'Hiring plan'!$H$26)),'Hiring plan'!$F$26,0)</f>
        <v>0</v>
      </c>
      <c r="AO30" s="33" t="n">
        <f aca="false">IF(AND(N('Hiring plan'!$F$26)&gt;0,AO$3&gt;='Hiring plan'!$G$26,AO$3&lt;=IF('Hiring plan'!$H$26="",999,'Hiring plan'!$H$26)),'Hiring plan'!$F$26,0)</f>
        <v>0</v>
      </c>
      <c r="AP30" s="33" t="n">
        <f aca="false">IF(AND(N('Hiring plan'!$F$26)&gt;0,AP$3&gt;='Hiring plan'!$G$26,AP$3&lt;=IF('Hiring plan'!$H$26="",999,'Hiring plan'!$H$26)),'Hiring plan'!$F$26,0)</f>
        <v>0</v>
      </c>
      <c r="AQ30" s="33" t="n">
        <f aca="false">IF(AND(N('Hiring plan'!$F$26)&gt;0,AQ$3&gt;='Hiring plan'!$G$26,AQ$3&lt;=IF('Hiring plan'!$H$26="",999,'Hiring plan'!$H$26)),'Hiring plan'!$F$26,0)</f>
        <v>0</v>
      </c>
      <c r="AR30" s="33" t="n">
        <f aca="false">IF(AND(N('Hiring plan'!$F$26)&gt;0,AR$3&gt;='Hiring plan'!$G$26,AR$3&lt;=IF('Hiring plan'!$H$26="",999,'Hiring plan'!$H$26)),'Hiring plan'!$F$26,0)</f>
        <v>0</v>
      </c>
      <c r="AS30" s="33" t="n">
        <f aca="false">IF(AND(N('Hiring plan'!$F$26)&gt;0,AS$3&gt;='Hiring plan'!$G$26,AS$3&lt;=IF('Hiring plan'!$H$26="",999,'Hiring plan'!$H$26)),'Hiring plan'!$F$26,0)</f>
        <v>0</v>
      </c>
      <c r="AT30" s="33" t="n">
        <f aca="false">IF(AND(N('Hiring plan'!$F$26)&gt;0,AT$3&gt;='Hiring plan'!$G$26,AT$3&lt;=IF('Hiring plan'!$H$26="",999,'Hiring plan'!$H$26)),'Hiring plan'!$F$26,0)</f>
        <v>0</v>
      </c>
      <c r="AU30" s="33" t="n">
        <f aca="false">IF(AND(N('Hiring plan'!$F$26)&gt;0,AU$3&gt;='Hiring plan'!$G$26,AU$3&lt;=IF('Hiring plan'!$H$26="",999,'Hiring plan'!$H$26)),'Hiring plan'!$F$26,0)</f>
        <v>1</v>
      </c>
      <c r="AV30" s="33" t="n">
        <f aca="false">IF(AND(N('Hiring plan'!$F$26)&gt;0,AV$3&gt;='Hiring plan'!$G$26,AV$3&lt;=IF('Hiring plan'!$H$26="",999,'Hiring plan'!$H$26)),'Hiring plan'!$F$26,0)</f>
        <v>1</v>
      </c>
      <c r="AW30" s="33" t="n">
        <f aca="false">IF(AND(N('Hiring plan'!$F$26)&gt;0,AW$3&gt;='Hiring plan'!$G$26,AW$3&lt;=IF('Hiring plan'!$H$26="",999,'Hiring plan'!$H$26)),'Hiring plan'!$F$26,0)</f>
        <v>1</v>
      </c>
      <c r="AX30" s="33" t="n">
        <f aca="false">IF(AND(N('Hiring plan'!$F$26)&gt;0,AX$3&gt;='Hiring plan'!$G$26,AX$3&lt;=IF('Hiring plan'!$H$26="",999,'Hiring plan'!$H$26)),'Hiring plan'!$F$26,0)</f>
        <v>1</v>
      </c>
      <c r="AY30" s="33" t="n">
        <f aca="false">IF(AND(N('Hiring plan'!$F$26)&gt;0,AY$3&gt;='Hiring plan'!$G$26,AY$3&lt;=IF('Hiring plan'!$H$26="",999,'Hiring plan'!$H$26)),'Hiring plan'!$F$26,0)</f>
        <v>1</v>
      </c>
      <c r="AZ30" s="33" t="n">
        <f aca="false">IF(AND(N('Hiring plan'!$F$26)&gt;0,AZ$3&gt;='Hiring plan'!$G$26,AZ$3&lt;=IF('Hiring plan'!$H$26="",999,'Hiring plan'!$H$26)),'Hiring plan'!$F$26,0)</f>
        <v>1</v>
      </c>
      <c r="BA30" s="33" t="n">
        <f aca="false">IF(AND(N('Hiring plan'!$F$26)&gt;0,BA$3&gt;='Hiring plan'!$G$26,BA$3&lt;=IF('Hiring plan'!$H$26="",999,'Hiring plan'!$H$26)),'Hiring plan'!$F$26,0)</f>
        <v>1</v>
      </c>
      <c r="BB30" s="33" t="n">
        <f aca="false">IF(AND(N('Hiring plan'!$F$26)&gt;0,BB$3&gt;='Hiring plan'!$G$26,BB$3&lt;=IF('Hiring plan'!$H$26="",999,'Hiring plan'!$H$26)),'Hiring plan'!$F$26,0)</f>
        <v>1</v>
      </c>
      <c r="BC30" s="33" t="n">
        <f aca="false">IF(AND(N('Hiring plan'!$F$26)&gt;0,BC$3&gt;='Hiring plan'!$G$26,BC$3&lt;=IF('Hiring plan'!$H$26="",999,'Hiring plan'!$H$26)),'Hiring plan'!$F$26,0)</f>
        <v>1</v>
      </c>
      <c r="BD30" s="33" t="n">
        <f aca="false">IF(AND(N('Hiring plan'!$F$26)&gt;0,BD$3&gt;='Hiring plan'!$G$26,BD$3&lt;=IF('Hiring plan'!$H$26="",999,'Hiring plan'!$H$26)),'Hiring plan'!$F$26,0)</f>
        <v>1</v>
      </c>
      <c r="BE30" s="33" t="n">
        <f aca="false">IF(AND(N('Hiring plan'!$F$26)&gt;0,BE$3&gt;='Hiring plan'!$G$26,BE$3&lt;=IF('Hiring plan'!$H$26="",999,'Hiring plan'!$H$26)),'Hiring plan'!$F$26,0)</f>
        <v>1</v>
      </c>
      <c r="BF30" s="33" t="n">
        <f aca="false">IF(AND(N('Hiring plan'!$F$26)&gt;0,BF$3&gt;='Hiring plan'!$G$26,BF$3&lt;=IF('Hiring plan'!$H$26="",999,'Hiring plan'!$H$26)),'Hiring plan'!$F$26,0)</f>
        <v>1</v>
      </c>
      <c r="BG30" s="33" t="n">
        <f aca="false">IF(AND(N('Hiring plan'!$F$26)&gt;0,BG$3&gt;='Hiring plan'!$G$26,BG$3&lt;=IF('Hiring plan'!$H$26="",999,'Hiring plan'!$H$26)),'Hiring plan'!$F$26,0)</f>
        <v>1</v>
      </c>
      <c r="BH30" s="33" t="n">
        <f aca="false">IF(AND(N('Hiring plan'!$F$26)&gt;0,BH$3&gt;='Hiring plan'!$G$26,BH$3&lt;=IF('Hiring plan'!$H$26="",999,'Hiring plan'!$H$26)),'Hiring plan'!$F$26,0)</f>
        <v>1</v>
      </c>
      <c r="BI30" s="33" t="n">
        <f aca="false">IF(AND(N('Hiring plan'!$F$26)&gt;0,BI$3&gt;='Hiring plan'!$G$26,BI$3&lt;=IF('Hiring plan'!$H$26="",999,'Hiring plan'!$H$26)),'Hiring plan'!$F$26,0)</f>
        <v>1</v>
      </c>
      <c r="BJ30" s="33" t="n">
        <f aca="false">IF(AND(N('Hiring plan'!$F$26)&gt;0,BJ$3&gt;='Hiring plan'!$G$26,BJ$3&lt;=IF('Hiring plan'!$H$26="",999,'Hiring plan'!$H$26)),'Hiring plan'!$F$26,0)</f>
        <v>1</v>
      </c>
      <c r="BK30" s="33" t="n">
        <f aca="false">IF(AND(N('Hiring plan'!$F$26)&gt;0,BK$3&gt;='Hiring plan'!$G$26,BK$3&lt;=IF('Hiring plan'!$H$26="",999,'Hiring plan'!$H$26)),'Hiring plan'!$F$26,0)</f>
        <v>1</v>
      </c>
      <c r="BL30" s="33" t="n">
        <f aca="false">IF(AND(N('Hiring plan'!$F$26)&gt;0,BL$3&gt;='Hiring plan'!$G$26,BL$3&lt;=IF('Hiring plan'!$H$26="",999,'Hiring plan'!$H$26)),'Hiring plan'!$F$26,0)</f>
        <v>1</v>
      </c>
    </row>
    <row r="31" customFormat="false" ht="15" hidden="false" customHeight="false" outlineLevel="0" collapsed="false">
      <c r="A31" s="12" t="str">
        <f aca="false">IF('Hiring plan'!$C$27="","(spare line 23)",'Hiring plan'!$C$27&amp;" · "&amp;'Hiring plan'!$D$27)</f>
        <v>Credit risk manager · SN</v>
      </c>
      <c r="B31" s="14" t="s">
        <v>222</v>
      </c>
      <c r="D31" s="41" t="n">
        <f aca="false">MAX(E31:BL31)</f>
        <v>1</v>
      </c>
      <c r="E31" s="33" t="n">
        <f aca="false">IF(AND(N('Hiring plan'!$F$27)&gt;0,E$3&gt;='Hiring plan'!$G$27,E$3&lt;=IF('Hiring plan'!$H$27="",999,'Hiring plan'!$H$27)),'Hiring plan'!$F$27,0)</f>
        <v>0</v>
      </c>
      <c r="F31" s="33" t="n">
        <f aca="false">IF(AND(N('Hiring plan'!$F$27)&gt;0,F$3&gt;='Hiring plan'!$G$27,F$3&lt;=IF('Hiring plan'!$H$27="",999,'Hiring plan'!$H$27)),'Hiring plan'!$F$27,0)</f>
        <v>0</v>
      </c>
      <c r="G31" s="33" t="n">
        <f aca="false">IF(AND(N('Hiring plan'!$F$27)&gt;0,G$3&gt;='Hiring plan'!$G$27,G$3&lt;=IF('Hiring plan'!$H$27="",999,'Hiring plan'!$H$27)),'Hiring plan'!$F$27,0)</f>
        <v>0</v>
      </c>
      <c r="H31" s="33" t="n">
        <f aca="false">IF(AND(N('Hiring plan'!$F$27)&gt;0,H$3&gt;='Hiring plan'!$G$27,H$3&lt;=IF('Hiring plan'!$H$27="",999,'Hiring plan'!$H$27)),'Hiring plan'!$F$27,0)</f>
        <v>0</v>
      </c>
      <c r="I31" s="33" t="n">
        <f aca="false">IF(AND(N('Hiring plan'!$F$27)&gt;0,I$3&gt;='Hiring plan'!$G$27,I$3&lt;=IF('Hiring plan'!$H$27="",999,'Hiring plan'!$H$27)),'Hiring plan'!$F$27,0)</f>
        <v>0</v>
      </c>
      <c r="J31" s="33" t="n">
        <f aca="false">IF(AND(N('Hiring plan'!$F$27)&gt;0,J$3&gt;='Hiring plan'!$G$27,J$3&lt;=IF('Hiring plan'!$H$27="",999,'Hiring plan'!$H$27)),'Hiring plan'!$F$27,0)</f>
        <v>0</v>
      </c>
      <c r="K31" s="33" t="n">
        <f aca="false">IF(AND(N('Hiring plan'!$F$27)&gt;0,K$3&gt;='Hiring plan'!$G$27,K$3&lt;=IF('Hiring plan'!$H$27="",999,'Hiring plan'!$H$27)),'Hiring plan'!$F$27,0)</f>
        <v>1</v>
      </c>
      <c r="L31" s="33" t="n">
        <f aca="false">IF(AND(N('Hiring plan'!$F$27)&gt;0,L$3&gt;='Hiring plan'!$G$27,L$3&lt;=IF('Hiring plan'!$H$27="",999,'Hiring plan'!$H$27)),'Hiring plan'!$F$27,0)</f>
        <v>1</v>
      </c>
      <c r="M31" s="33" t="n">
        <f aca="false">IF(AND(N('Hiring plan'!$F$27)&gt;0,M$3&gt;='Hiring plan'!$G$27,M$3&lt;=IF('Hiring plan'!$H$27="",999,'Hiring plan'!$H$27)),'Hiring plan'!$F$27,0)</f>
        <v>1</v>
      </c>
      <c r="N31" s="33" t="n">
        <f aca="false">IF(AND(N('Hiring plan'!$F$27)&gt;0,N$3&gt;='Hiring plan'!$G$27,N$3&lt;=IF('Hiring plan'!$H$27="",999,'Hiring plan'!$H$27)),'Hiring plan'!$F$27,0)</f>
        <v>1</v>
      </c>
      <c r="O31" s="33" t="n">
        <f aca="false">IF(AND(N('Hiring plan'!$F$27)&gt;0,O$3&gt;='Hiring plan'!$G$27,O$3&lt;=IF('Hiring plan'!$H$27="",999,'Hiring plan'!$H$27)),'Hiring plan'!$F$27,0)</f>
        <v>1</v>
      </c>
      <c r="P31" s="33" t="n">
        <f aca="false">IF(AND(N('Hiring plan'!$F$27)&gt;0,P$3&gt;='Hiring plan'!$G$27,P$3&lt;=IF('Hiring plan'!$H$27="",999,'Hiring plan'!$H$27)),'Hiring plan'!$F$27,0)</f>
        <v>1</v>
      </c>
      <c r="Q31" s="33" t="n">
        <f aca="false">IF(AND(N('Hiring plan'!$F$27)&gt;0,Q$3&gt;='Hiring plan'!$G$27,Q$3&lt;=IF('Hiring plan'!$H$27="",999,'Hiring plan'!$H$27)),'Hiring plan'!$F$27,0)</f>
        <v>1</v>
      </c>
      <c r="R31" s="33" t="n">
        <f aca="false">IF(AND(N('Hiring plan'!$F$27)&gt;0,R$3&gt;='Hiring plan'!$G$27,R$3&lt;=IF('Hiring plan'!$H$27="",999,'Hiring plan'!$H$27)),'Hiring plan'!$F$27,0)</f>
        <v>1</v>
      </c>
      <c r="S31" s="33" t="n">
        <f aca="false">IF(AND(N('Hiring plan'!$F$27)&gt;0,S$3&gt;='Hiring plan'!$G$27,S$3&lt;=IF('Hiring plan'!$H$27="",999,'Hiring plan'!$H$27)),'Hiring plan'!$F$27,0)</f>
        <v>1</v>
      </c>
      <c r="T31" s="33" t="n">
        <f aca="false">IF(AND(N('Hiring plan'!$F$27)&gt;0,T$3&gt;='Hiring plan'!$G$27,T$3&lt;=IF('Hiring plan'!$H$27="",999,'Hiring plan'!$H$27)),'Hiring plan'!$F$27,0)</f>
        <v>1</v>
      </c>
      <c r="U31" s="33" t="n">
        <f aca="false">IF(AND(N('Hiring plan'!$F$27)&gt;0,U$3&gt;='Hiring plan'!$G$27,U$3&lt;=IF('Hiring plan'!$H$27="",999,'Hiring plan'!$H$27)),'Hiring plan'!$F$27,0)</f>
        <v>1</v>
      </c>
      <c r="V31" s="33" t="n">
        <f aca="false">IF(AND(N('Hiring plan'!$F$27)&gt;0,V$3&gt;='Hiring plan'!$G$27,V$3&lt;=IF('Hiring plan'!$H$27="",999,'Hiring plan'!$H$27)),'Hiring plan'!$F$27,0)</f>
        <v>1</v>
      </c>
      <c r="W31" s="33" t="n">
        <f aca="false">IF(AND(N('Hiring plan'!$F$27)&gt;0,W$3&gt;='Hiring plan'!$G$27,W$3&lt;=IF('Hiring plan'!$H$27="",999,'Hiring plan'!$H$27)),'Hiring plan'!$F$27,0)</f>
        <v>1</v>
      </c>
      <c r="X31" s="33" t="n">
        <f aca="false">IF(AND(N('Hiring plan'!$F$27)&gt;0,X$3&gt;='Hiring plan'!$G$27,X$3&lt;=IF('Hiring plan'!$H$27="",999,'Hiring plan'!$H$27)),'Hiring plan'!$F$27,0)</f>
        <v>1</v>
      </c>
      <c r="Y31" s="33" t="n">
        <f aca="false">IF(AND(N('Hiring plan'!$F$27)&gt;0,Y$3&gt;='Hiring plan'!$G$27,Y$3&lt;=IF('Hiring plan'!$H$27="",999,'Hiring plan'!$H$27)),'Hiring plan'!$F$27,0)</f>
        <v>1</v>
      </c>
      <c r="Z31" s="33" t="n">
        <f aca="false">IF(AND(N('Hiring plan'!$F$27)&gt;0,Z$3&gt;='Hiring plan'!$G$27,Z$3&lt;=IF('Hiring plan'!$H$27="",999,'Hiring plan'!$H$27)),'Hiring plan'!$F$27,0)</f>
        <v>1</v>
      </c>
      <c r="AA31" s="33" t="n">
        <f aca="false">IF(AND(N('Hiring plan'!$F$27)&gt;0,AA$3&gt;='Hiring plan'!$G$27,AA$3&lt;=IF('Hiring plan'!$H$27="",999,'Hiring plan'!$H$27)),'Hiring plan'!$F$27,0)</f>
        <v>1</v>
      </c>
      <c r="AB31" s="33" t="n">
        <f aca="false">IF(AND(N('Hiring plan'!$F$27)&gt;0,AB$3&gt;='Hiring plan'!$G$27,AB$3&lt;=IF('Hiring plan'!$H$27="",999,'Hiring plan'!$H$27)),'Hiring plan'!$F$27,0)</f>
        <v>1</v>
      </c>
      <c r="AC31" s="33" t="n">
        <f aca="false">IF(AND(N('Hiring plan'!$F$27)&gt;0,AC$3&gt;='Hiring plan'!$G$27,AC$3&lt;=IF('Hiring plan'!$H$27="",999,'Hiring plan'!$H$27)),'Hiring plan'!$F$27,0)</f>
        <v>1</v>
      </c>
      <c r="AD31" s="33" t="n">
        <f aca="false">IF(AND(N('Hiring plan'!$F$27)&gt;0,AD$3&gt;='Hiring plan'!$G$27,AD$3&lt;=IF('Hiring plan'!$H$27="",999,'Hiring plan'!$H$27)),'Hiring plan'!$F$27,0)</f>
        <v>1</v>
      </c>
      <c r="AE31" s="33" t="n">
        <f aca="false">IF(AND(N('Hiring plan'!$F$27)&gt;0,AE$3&gt;='Hiring plan'!$G$27,AE$3&lt;=IF('Hiring plan'!$H$27="",999,'Hiring plan'!$H$27)),'Hiring plan'!$F$27,0)</f>
        <v>1</v>
      </c>
      <c r="AF31" s="33" t="n">
        <f aca="false">IF(AND(N('Hiring plan'!$F$27)&gt;0,AF$3&gt;='Hiring plan'!$G$27,AF$3&lt;=IF('Hiring plan'!$H$27="",999,'Hiring plan'!$H$27)),'Hiring plan'!$F$27,0)</f>
        <v>1</v>
      </c>
      <c r="AG31" s="33" t="n">
        <f aca="false">IF(AND(N('Hiring plan'!$F$27)&gt;0,AG$3&gt;='Hiring plan'!$G$27,AG$3&lt;=IF('Hiring plan'!$H$27="",999,'Hiring plan'!$H$27)),'Hiring plan'!$F$27,0)</f>
        <v>1</v>
      </c>
      <c r="AH31" s="33" t="n">
        <f aca="false">IF(AND(N('Hiring plan'!$F$27)&gt;0,AH$3&gt;='Hiring plan'!$G$27,AH$3&lt;=IF('Hiring plan'!$H$27="",999,'Hiring plan'!$H$27)),'Hiring plan'!$F$27,0)</f>
        <v>1</v>
      </c>
      <c r="AI31" s="33" t="n">
        <f aca="false">IF(AND(N('Hiring plan'!$F$27)&gt;0,AI$3&gt;='Hiring plan'!$G$27,AI$3&lt;=IF('Hiring plan'!$H$27="",999,'Hiring plan'!$H$27)),'Hiring plan'!$F$27,0)</f>
        <v>1</v>
      </c>
      <c r="AJ31" s="33" t="n">
        <f aca="false">IF(AND(N('Hiring plan'!$F$27)&gt;0,AJ$3&gt;='Hiring plan'!$G$27,AJ$3&lt;=IF('Hiring plan'!$H$27="",999,'Hiring plan'!$H$27)),'Hiring plan'!$F$27,0)</f>
        <v>1</v>
      </c>
      <c r="AK31" s="33" t="n">
        <f aca="false">IF(AND(N('Hiring plan'!$F$27)&gt;0,AK$3&gt;='Hiring plan'!$G$27,AK$3&lt;=IF('Hiring plan'!$H$27="",999,'Hiring plan'!$H$27)),'Hiring plan'!$F$27,0)</f>
        <v>1</v>
      </c>
      <c r="AL31" s="33" t="n">
        <f aca="false">IF(AND(N('Hiring plan'!$F$27)&gt;0,AL$3&gt;='Hiring plan'!$G$27,AL$3&lt;=IF('Hiring plan'!$H$27="",999,'Hiring plan'!$H$27)),'Hiring plan'!$F$27,0)</f>
        <v>1</v>
      </c>
      <c r="AM31" s="33" t="n">
        <f aca="false">IF(AND(N('Hiring plan'!$F$27)&gt;0,AM$3&gt;='Hiring plan'!$G$27,AM$3&lt;=IF('Hiring plan'!$H$27="",999,'Hiring plan'!$H$27)),'Hiring plan'!$F$27,0)</f>
        <v>1</v>
      </c>
      <c r="AN31" s="33" t="n">
        <f aca="false">IF(AND(N('Hiring plan'!$F$27)&gt;0,AN$3&gt;='Hiring plan'!$G$27,AN$3&lt;=IF('Hiring plan'!$H$27="",999,'Hiring plan'!$H$27)),'Hiring plan'!$F$27,0)</f>
        <v>1</v>
      </c>
      <c r="AO31" s="33" t="n">
        <f aca="false">IF(AND(N('Hiring plan'!$F$27)&gt;0,AO$3&gt;='Hiring plan'!$G$27,AO$3&lt;=IF('Hiring plan'!$H$27="",999,'Hiring plan'!$H$27)),'Hiring plan'!$F$27,0)</f>
        <v>1</v>
      </c>
      <c r="AP31" s="33" t="n">
        <f aca="false">IF(AND(N('Hiring plan'!$F$27)&gt;0,AP$3&gt;='Hiring plan'!$G$27,AP$3&lt;=IF('Hiring plan'!$H$27="",999,'Hiring plan'!$H$27)),'Hiring plan'!$F$27,0)</f>
        <v>1</v>
      </c>
      <c r="AQ31" s="33" t="n">
        <f aca="false">IF(AND(N('Hiring plan'!$F$27)&gt;0,AQ$3&gt;='Hiring plan'!$G$27,AQ$3&lt;=IF('Hiring plan'!$H$27="",999,'Hiring plan'!$H$27)),'Hiring plan'!$F$27,0)</f>
        <v>1</v>
      </c>
      <c r="AR31" s="33" t="n">
        <f aca="false">IF(AND(N('Hiring plan'!$F$27)&gt;0,AR$3&gt;='Hiring plan'!$G$27,AR$3&lt;=IF('Hiring plan'!$H$27="",999,'Hiring plan'!$H$27)),'Hiring plan'!$F$27,0)</f>
        <v>1</v>
      </c>
      <c r="AS31" s="33" t="n">
        <f aca="false">IF(AND(N('Hiring plan'!$F$27)&gt;0,AS$3&gt;='Hiring plan'!$G$27,AS$3&lt;=IF('Hiring plan'!$H$27="",999,'Hiring plan'!$H$27)),'Hiring plan'!$F$27,0)</f>
        <v>1</v>
      </c>
      <c r="AT31" s="33" t="n">
        <f aca="false">IF(AND(N('Hiring plan'!$F$27)&gt;0,AT$3&gt;='Hiring plan'!$G$27,AT$3&lt;=IF('Hiring plan'!$H$27="",999,'Hiring plan'!$H$27)),'Hiring plan'!$F$27,0)</f>
        <v>1</v>
      </c>
      <c r="AU31" s="33" t="n">
        <f aca="false">IF(AND(N('Hiring plan'!$F$27)&gt;0,AU$3&gt;='Hiring plan'!$G$27,AU$3&lt;=IF('Hiring plan'!$H$27="",999,'Hiring plan'!$H$27)),'Hiring plan'!$F$27,0)</f>
        <v>1</v>
      </c>
      <c r="AV31" s="33" t="n">
        <f aca="false">IF(AND(N('Hiring plan'!$F$27)&gt;0,AV$3&gt;='Hiring plan'!$G$27,AV$3&lt;=IF('Hiring plan'!$H$27="",999,'Hiring plan'!$H$27)),'Hiring plan'!$F$27,0)</f>
        <v>1</v>
      </c>
      <c r="AW31" s="33" t="n">
        <f aca="false">IF(AND(N('Hiring plan'!$F$27)&gt;0,AW$3&gt;='Hiring plan'!$G$27,AW$3&lt;=IF('Hiring plan'!$H$27="",999,'Hiring plan'!$H$27)),'Hiring plan'!$F$27,0)</f>
        <v>1</v>
      </c>
      <c r="AX31" s="33" t="n">
        <f aca="false">IF(AND(N('Hiring plan'!$F$27)&gt;0,AX$3&gt;='Hiring plan'!$G$27,AX$3&lt;=IF('Hiring plan'!$H$27="",999,'Hiring plan'!$H$27)),'Hiring plan'!$F$27,0)</f>
        <v>1</v>
      </c>
      <c r="AY31" s="33" t="n">
        <f aca="false">IF(AND(N('Hiring plan'!$F$27)&gt;0,AY$3&gt;='Hiring plan'!$G$27,AY$3&lt;=IF('Hiring plan'!$H$27="",999,'Hiring plan'!$H$27)),'Hiring plan'!$F$27,0)</f>
        <v>1</v>
      </c>
      <c r="AZ31" s="33" t="n">
        <f aca="false">IF(AND(N('Hiring plan'!$F$27)&gt;0,AZ$3&gt;='Hiring plan'!$G$27,AZ$3&lt;=IF('Hiring plan'!$H$27="",999,'Hiring plan'!$H$27)),'Hiring plan'!$F$27,0)</f>
        <v>1</v>
      </c>
      <c r="BA31" s="33" t="n">
        <f aca="false">IF(AND(N('Hiring plan'!$F$27)&gt;0,BA$3&gt;='Hiring plan'!$G$27,BA$3&lt;=IF('Hiring plan'!$H$27="",999,'Hiring plan'!$H$27)),'Hiring plan'!$F$27,0)</f>
        <v>1</v>
      </c>
      <c r="BB31" s="33" t="n">
        <f aca="false">IF(AND(N('Hiring plan'!$F$27)&gt;0,BB$3&gt;='Hiring plan'!$G$27,BB$3&lt;=IF('Hiring plan'!$H$27="",999,'Hiring plan'!$H$27)),'Hiring plan'!$F$27,0)</f>
        <v>1</v>
      </c>
      <c r="BC31" s="33" t="n">
        <f aca="false">IF(AND(N('Hiring plan'!$F$27)&gt;0,BC$3&gt;='Hiring plan'!$G$27,BC$3&lt;=IF('Hiring plan'!$H$27="",999,'Hiring plan'!$H$27)),'Hiring plan'!$F$27,0)</f>
        <v>1</v>
      </c>
      <c r="BD31" s="33" t="n">
        <f aca="false">IF(AND(N('Hiring plan'!$F$27)&gt;0,BD$3&gt;='Hiring plan'!$G$27,BD$3&lt;=IF('Hiring plan'!$H$27="",999,'Hiring plan'!$H$27)),'Hiring plan'!$F$27,0)</f>
        <v>1</v>
      </c>
      <c r="BE31" s="33" t="n">
        <f aca="false">IF(AND(N('Hiring plan'!$F$27)&gt;0,BE$3&gt;='Hiring plan'!$G$27,BE$3&lt;=IF('Hiring plan'!$H$27="",999,'Hiring plan'!$H$27)),'Hiring plan'!$F$27,0)</f>
        <v>1</v>
      </c>
      <c r="BF31" s="33" t="n">
        <f aca="false">IF(AND(N('Hiring plan'!$F$27)&gt;0,BF$3&gt;='Hiring plan'!$G$27,BF$3&lt;=IF('Hiring plan'!$H$27="",999,'Hiring plan'!$H$27)),'Hiring plan'!$F$27,0)</f>
        <v>1</v>
      </c>
      <c r="BG31" s="33" t="n">
        <f aca="false">IF(AND(N('Hiring plan'!$F$27)&gt;0,BG$3&gt;='Hiring plan'!$G$27,BG$3&lt;=IF('Hiring plan'!$H$27="",999,'Hiring plan'!$H$27)),'Hiring plan'!$F$27,0)</f>
        <v>1</v>
      </c>
      <c r="BH31" s="33" t="n">
        <f aca="false">IF(AND(N('Hiring plan'!$F$27)&gt;0,BH$3&gt;='Hiring plan'!$G$27,BH$3&lt;=IF('Hiring plan'!$H$27="",999,'Hiring plan'!$H$27)),'Hiring plan'!$F$27,0)</f>
        <v>1</v>
      </c>
      <c r="BI31" s="33" t="n">
        <f aca="false">IF(AND(N('Hiring plan'!$F$27)&gt;0,BI$3&gt;='Hiring plan'!$G$27,BI$3&lt;=IF('Hiring plan'!$H$27="",999,'Hiring plan'!$H$27)),'Hiring plan'!$F$27,0)</f>
        <v>1</v>
      </c>
      <c r="BJ31" s="33" t="n">
        <f aca="false">IF(AND(N('Hiring plan'!$F$27)&gt;0,BJ$3&gt;='Hiring plan'!$G$27,BJ$3&lt;=IF('Hiring plan'!$H$27="",999,'Hiring plan'!$H$27)),'Hiring plan'!$F$27,0)</f>
        <v>1</v>
      </c>
      <c r="BK31" s="33" t="n">
        <f aca="false">IF(AND(N('Hiring plan'!$F$27)&gt;0,BK$3&gt;='Hiring plan'!$G$27,BK$3&lt;=IF('Hiring plan'!$H$27="",999,'Hiring plan'!$H$27)),'Hiring plan'!$F$27,0)</f>
        <v>1</v>
      </c>
      <c r="BL31" s="33" t="n">
        <f aca="false">IF(AND(N('Hiring plan'!$F$27)&gt;0,BL$3&gt;='Hiring plan'!$G$27,BL$3&lt;=IF('Hiring plan'!$H$27="",999,'Hiring plan'!$H$27)),'Hiring plan'!$F$27,0)</f>
        <v>1</v>
      </c>
    </row>
    <row r="32" customFormat="false" ht="15" hidden="false" customHeight="false" outlineLevel="0" collapsed="false">
      <c r="A32" s="12" t="str">
        <f aca="false">IF('Hiring plan'!$C$28="","(spare line 24)",'Hiring plan'!$C$28&amp;" · "&amp;'Hiring plan'!$D$28)</f>
        <v>Credit analyst · SN</v>
      </c>
      <c r="B32" s="14" t="s">
        <v>222</v>
      </c>
      <c r="D32" s="41" t="n">
        <f aca="false">MAX(E32:BL32)</f>
        <v>1</v>
      </c>
      <c r="E32" s="33" t="n">
        <f aca="false">IF(AND(N('Hiring plan'!$F$28)&gt;0,E$3&gt;='Hiring plan'!$G$28,E$3&lt;=IF('Hiring plan'!$H$28="",999,'Hiring plan'!$H$28)),'Hiring plan'!$F$28,0)</f>
        <v>0</v>
      </c>
      <c r="F32" s="33" t="n">
        <f aca="false">IF(AND(N('Hiring plan'!$F$28)&gt;0,F$3&gt;='Hiring plan'!$G$28,F$3&lt;=IF('Hiring plan'!$H$28="",999,'Hiring plan'!$H$28)),'Hiring plan'!$F$28,0)</f>
        <v>0</v>
      </c>
      <c r="G32" s="33" t="n">
        <f aca="false">IF(AND(N('Hiring plan'!$F$28)&gt;0,G$3&gt;='Hiring plan'!$G$28,G$3&lt;=IF('Hiring plan'!$H$28="",999,'Hiring plan'!$H$28)),'Hiring plan'!$F$28,0)</f>
        <v>0</v>
      </c>
      <c r="H32" s="33" t="n">
        <f aca="false">IF(AND(N('Hiring plan'!$F$28)&gt;0,H$3&gt;='Hiring plan'!$G$28,H$3&lt;=IF('Hiring plan'!$H$28="",999,'Hiring plan'!$H$28)),'Hiring plan'!$F$28,0)</f>
        <v>0</v>
      </c>
      <c r="I32" s="33" t="n">
        <f aca="false">IF(AND(N('Hiring plan'!$F$28)&gt;0,I$3&gt;='Hiring plan'!$G$28,I$3&lt;=IF('Hiring plan'!$H$28="",999,'Hiring plan'!$H$28)),'Hiring plan'!$F$28,0)</f>
        <v>0</v>
      </c>
      <c r="J32" s="33" t="n">
        <f aca="false">IF(AND(N('Hiring plan'!$F$28)&gt;0,J$3&gt;='Hiring plan'!$G$28,J$3&lt;=IF('Hiring plan'!$H$28="",999,'Hiring plan'!$H$28)),'Hiring plan'!$F$28,0)</f>
        <v>0</v>
      </c>
      <c r="K32" s="33" t="n">
        <f aca="false">IF(AND(N('Hiring plan'!$F$28)&gt;0,K$3&gt;='Hiring plan'!$G$28,K$3&lt;=IF('Hiring plan'!$H$28="",999,'Hiring plan'!$H$28)),'Hiring plan'!$F$28,0)</f>
        <v>0</v>
      </c>
      <c r="L32" s="33" t="n">
        <f aca="false">IF(AND(N('Hiring plan'!$F$28)&gt;0,L$3&gt;='Hiring plan'!$G$28,L$3&lt;=IF('Hiring plan'!$H$28="",999,'Hiring plan'!$H$28)),'Hiring plan'!$F$28,0)</f>
        <v>0</v>
      </c>
      <c r="M32" s="33" t="n">
        <f aca="false">IF(AND(N('Hiring plan'!$F$28)&gt;0,M$3&gt;='Hiring plan'!$G$28,M$3&lt;=IF('Hiring plan'!$H$28="",999,'Hiring plan'!$H$28)),'Hiring plan'!$F$28,0)</f>
        <v>0</v>
      </c>
      <c r="N32" s="33" t="n">
        <f aca="false">IF(AND(N('Hiring plan'!$F$28)&gt;0,N$3&gt;='Hiring plan'!$G$28,N$3&lt;=IF('Hiring plan'!$H$28="",999,'Hiring plan'!$H$28)),'Hiring plan'!$F$28,0)</f>
        <v>0</v>
      </c>
      <c r="O32" s="33" t="n">
        <f aca="false">IF(AND(N('Hiring plan'!$F$28)&gt;0,O$3&gt;='Hiring plan'!$G$28,O$3&lt;=IF('Hiring plan'!$H$28="",999,'Hiring plan'!$H$28)),'Hiring plan'!$F$28,0)</f>
        <v>0</v>
      </c>
      <c r="P32" s="33" t="n">
        <f aca="false">IF(AND(N('Hiring plan'!$F$28)&gt;0,P$3&gt;='Hiring plan'!$G$28,P$3&lt;=IF('Hiring plan'!$H$28="",999,'Hiring plan'!$H$28)),'Hiring plan'!$F$28,0)</f>
        <v>0</v>
      </c>
      <c r="Q32" s="33" t="n">
        <f aca="false">IF(AND(N('Hiring plan'!$F$28)&gt;0,Q$3&gt;='Hiring plan'!$G$28,Q$3&lt;=IF('Hiring plan'!$H$28="",999,'Hiring plan'!$H$28)),'Hiring plan'!$F$28,0)</f>
        <v>0</v>
      </c>
      <c r="R32" s="33" t="n">
        <f aca="false">IF(AND(N('Hiring plan'!$F$28)&gt;0,R$3&gt;='Hiring plan'!$G$28,R$3&lt;=IF('Hiring plan'!$H$28="",999,'Hiring plan'!$H$28)),'Hiring plan'!$F$28,0)</f>
        <v>0</v>
      </c>
      <c r="S32" s="33" t="n">
        <f aca="false">IF(AND(N('Hiring plan'!$F$28)&gt;0,S$3&gt;='Hiring plan'!$G$28,S$3&lt;=IF('Hiring plan'!$H$28="",999,'Hiring plan'!$H$28)),'Hiring plan'!$F$28,0)</f>
        <v>0</v>
      </c>
      <c r="T32" s="33" t="n">
        <f aca="false">IF(AND(N('Hiring plan'!$F$28)&gt;0,T$3&gt;='Hiring plan'!$G$28,T$3&lt;=IF('Hiring plan'!$H$28="",999,'Hiring plan'!$H$28)),'Hiring plan'!$F$28,0)</f>
        <v>0</v>
      </c>
      <c r="U32" s="33" t="n">
        <f aca="false">IF(AND(N('Hiring plan'!$F$28)&gt;0,U$3&gt;='Hiring plan'!$G$28,U$3&lt;=IF('Hiring plan'!$H$28="",999,'Hiring plan'!$H$28)),'Hiring plan'!$F$28,0)</f>
        <v>0</v>
      </c>
      <c r="V32" s="33" t="n">
        <f aca="false">IF(AND(N('Hiring plan'!$F$28)&gt;0,V$3&gt;='Hiring plan'!$G$28,V$3&lt;=IF('Hiring plan'!$H$28="",999,'Hiring plan'!$H$28)),'Hiring plan'!$F$28,0)</f>
        <v>0</v>
      </c>
      <c r="W32" s="33" t="n">
        <f aca="false">IF(AND(N('Hiring plan'!$F$28)&gt;0,W$3&gt;='Hiring plan'!$G$28,W$3&lt;=IF('Hiring plan'!$H$28="",999,'Hiring plan'!$H$28)),'Hiring plan'!$F$28,0)</f>
        <v>1</v>
      </c>
      <c r="X32" s="33" t="n">
        <f aca="false">IF(AND(N('Hiring plan'!$F$28)&gt;0,X$3&gt;='Hiring plan'!$G$28,X$3&lt;=IF('Hiring plan'!$H$28="",999,'Hiring plan'!$H$28)),'Hiring plan'!$F$28,0)</f>
        <v>1</v>
      </c>
      <c r="Y32" s="33" t="n">
        <f aca="false">IF(AND(N('Hiring plan'!$F$28)&gt;0,Y$3&gt;='Hiring plan'!$G$28,Y$3&lt;=IF('Hiring plan'!$H$28="",999,'Hiring plan'!$H$28)),'Hiring plan'!$F$28,0)</f>
        <v>1</v>
      </c>
      <c r="Z32" s="33" t="n">
        <f aca="false">IF(AND(N('Hiring plan'!$F$28)&gt;0,Z$3&gt;='Hiring plan'!$G$28,Z$3&lt;=IF('Hiring plan'!$H$28="",999,'Hiring plan'!$H$28)),'Hiring plan'!$F$28,0)</f>
        <v>1</v>
      </c>
      <c r="AA32" s="33" t="n">
        <f aca="false">IF(AND(N('Hiring plan'!$F$28)&gt;0,AA$3&gt;='Hiring plan'!$G$28,AA$3&lt;=IF('Hiring plan'!$H$28="",999,'Hiring plan'!$H$28)),'Hiring plan'!$F$28,0)</f>
        <v>1</v>
      </c>
      <c r="AB32" s="33" t="n">
        <f aca="false">IF(AND(N('Hiring plan'!$F$28)&gt;0,AB$3&gt;='Hiring plan'!$G$28,AB$3&lt;=IF('Hiring plan'!$H$28="",999,'Hiring plan'!$H$28)),'Hiring plan'!$F$28,0)</f>
        <v>1</v>
      </c>
      <c r="AC32" s="33" t="n">
        <f aca="false">IF(AND(N('Hiring plan'!$F$28)&gt;0,AC$3&gt;='Hiring plan'!$G$28,AC$3&lt;=IF('Hiring plan'!$H$28="",999,'Hiring plan'!$H$28)),'Hiring plan'!$F$28,0)</f>
        <v>1</v>
      </c>
      <c r="AD32" s="33" t="n">
        <f aca="false">IF(AND(N('Hiring plan'!$F$28)&gt;0,AD$3&gt;='Hiring plan'!$G$28,AD$3&lt;=IF('Hiring plan'!$H$28="",999,'Hiring plan'!$H$28)),'Hiring plan'!$F$28,0)</f>
        <v>1</v>
      </c>
      <c r="AE32" s="33" t="n">
        <f aca="false">IF(AND(N('Hiring plan'!$F$28)&gt;0,AE$3&gt;='Hiring plan'!$G$28,AE$3&lt;=IF('Hiring plan'!$H$28="",999,'Hiring plan'!$H$28)),'Hiring plan'!$F$28,0)</f>
        <v>1</v>
      </c>
      <c r="AF32" s="33" t="n">
        <f aca="false">IF(AND(N('Hiring plan'!$F$28)&gt;0,AF$3&gt;='Hiring plan'!$G$28,AF$3&lt;=IF('Hiring plan'!$H$28="",999,'Hiring plan'!$H$28)),'Hiring plan'!$F$28,0)</f>
        <v>1</v>
      </c>
      <c r="AG32" s="33" t="n">
        <f aca="false">IF(AND(N('Hiring plan'!$F$28)&gt;0,AG$3&gt;='Hiring plan'!$G$28,AG$3&lt;=IF('Hiring plan'!$H$28="",999,'Hiring plan'!$H$28)),'Hiring plan'!$F$28,0)</f>
        <v>1</v>
      </c>
      <c r="AH32" s="33" t="n">
        <f aca="false">IF(AND(N('Hiring plan'!$F$28)&gt;0,AH$3&gt;='Hiring plan'!$G$28,AH$3&lt;=IF('Hiring plan'!$H$28="",999,'Hiring plan'!$H$28)),'Hiring plan'!$F$28,0)</f>
        <v>1</v>
      </c>
      <c r="AI32" s="33" t="n">
        <f aca="false">IF(AND(N('Hiring plan'!$F$28)&gt;0,AI$3&gt;='Hiring plan'!$G$28,AI$3&lt;=IF('Hiring plan'!$H$28="",999,'Hiring plan'!$H$28)),'Hiring plan'!$F$28,0)</f>
        <v>1</v>
      </c>
      <c r="AJ32" s="33" t="n">
        <f aca="false">IF(AND(N('Hiring plan'!$F$28)&gt;0,AJ$3&gt;='Hiring plan'!$G$28,AJ$3&lt;=IF('Hiring plan'!$H$28="",999,'Hiring plan'!$H$28)),'Hiring plan'!$F$28,0)</f>
        <v>1</v>
      </c>
      <c r="AK32" s="33" t="n">
        <f aca="false">IF(AND(N('Hiring plan'!$F$28)&gt;0,AK$3&gt;='Hiring plan'!$G$28,AK$3&lt;=IF('Hiring plan'!$H$28="",999,'Hiring plan'!$H$28)),'Hiring plan'!$F$28,0)</f>
        <v>1</v>
      </c>
      <c r="AL32" s="33" t="n">
        <f aca="false">IF(AND(N('Hiring plan'!$F$28)&gt;0,AL$3&gt;='Hiring plan'!$G$28,AL$3&lt;=IF('Hiring plan'!$H$28="",999,'Hiring plan'!$H$28)),'Hiring plan'!$F$28,0)</f>
        <v>1</v>
      </c>
      <c r="AM32" s="33" t="n">
        <f aca="false">IF(AND(N('Hiring plan'!$F$28)&gt;0,AM$3&gt;='Hiring plan'!$G$28,AM$3&lt;=IF('Hiring plan'!$H$28="",999,'Hiring plan'!$H$28)),'Hiring plan'!$F$28,0)</f>
        <v>1</v>
      </c>
      <c r="AN32" s="33" t="n">
        <f aca="false">IF(AND(N('Hiring plan'!$F$28)&gt;0,AN$3&gt;='Hiring plan'!$G$28,AN$3&lt;=IF('Hiring plan'!$H$28="",999,'Hiring plan'!$H$28)),'Hiring plan'!$F$28,0)</f>
        <v>1</v>
      </c>
      <c r="AO32" s="33" t="n">
        <f aca="false">IF(AND(N('Hiring plan'!$F$28)&gt;0,AO$3&gt;='Hiring plan'!$G$28,AO$3&lt;=IF('Hiring plan'!$H$28="",999,'Hiring plan'!$H$28)),'Hiring plan'!$F$28,0)</f>
        <v>1</v>
      </c>
      <c r="AP32" s="33" t="n">
        <f aca="false">IF(AND(N('Hiring plan'!$F$28)&gt;0,AP$3&gt;='Hiring plan'!$G$28,AP$3&lt;=IF('Hiring plan'!$H$28="",999,'Hiring plan'!$H$28)),'Hiring plan'!$F$28,0)</f>
        <v>1</v>
      </c>
      <c r="AQ32" s="33" t="n">
        <f aca="false">IF(AND(N('Hiring plan'!$F$28)&gt;0,AQ$3&gt;='Hiring plan'!$G$28,AQ$3&lt;=IF('Hiring plan'!$H$28="",999,'Hiring plan'!$H$28)),'Hiring plan'!$F$28,0)</f>
        <v>1</v>
      </c>
      <c r="AR32" s="33" t="n">
        <f aca="false">IF(AND(N('Hiring plan'!$F$28)&gt;0,AR$3&gt;='Hiring plan'!$G$28,AR$3&lt;=IF('Hiring plan'!$H$28="",999,'Hiring plan'!$H$28)),'Hiring plan'!$F$28,0)</f>
        <v>1</v>
      </c>
      <c r="AS32" s="33" t="n">
        <f aca="false">IF(AND(N('Hiring plan'!$F$28)&gt;0,AS$3&gt;='Hiring plan'!$G$28,AS$3&lt;=IF('Hiring plan'!$H$28="",999,'Hiring plan'!$H$28)),'Hiring plan'!$F$28,0)</f>
        <v>1</v>
      </c>
      <c r="AT32" s="33" t="n">
        <f aca="false">IF(AND(N('Hiring plan'!$F$28)&gt;0,AT$3&gt;='Hiring plan'!$G$28,AT$3&lt;=IF('Hiring plan'!$H$28="",999,'Hiring plan'!$H$28)),'Hiring plan'!$F$28,0)</f>
        <v>1</v>
      </c>
      <c r="AU32" s="33" t="n">
        <f aca="false">IF(AND(N('Hiring plan'!$F$28)&gt;0,AU$3&gt;='Hiring plan'!$G$28,AU$3&lt;=IF('Hiring plan'!$H$28="",999,'Hiring plan'!$H$28)),'Hiring plan'!$F$28,0)</f>
        <v>1</v>
      </c>
      <c r="AV32" s="33" t="n">
        <f aca="false">IF(AND(N('Hiring plan'!$F$28)&gt;0,AV$3&gt;='Hiring plan'!$G$28,AV$3&lt;=IF('Hiring plan'!$H$28="",999,'Hiring plan'!$H$28)),'Hiring plan'!$F$28,0)</f>
        <v>1</v>
      </c>
      <c r="AW32" s="33" t="n">
        <f aca="false">IF(AND(N('Hiring plan'!$F$28)&gt;0,AW$3&gt;='Hiring plan'!$G$28,AW$3&lt;=IF('Hiring plan'!$H$28="",999,'Hiring plan'!$H$28)),'Hiring plan'!$F$28,0)</f>
        <v>1</v>
      </c>
      <c r="AX32" s="33" t="n">
        <f aca="false">IF(AND(N('Hiring plan'!$F$28)&gt;0,AX$3&gt;='Hiring plan'!$G$28,AX$3&lt;=IF('Hiring plan'!$H$28="",999,'Hiring plan'!$H$28)),'Hiring plan'!$F$28,0)</f>
        <v>1</v>
      </c>
      <c r="AY32" s="33" t="n">
        <f aca="false">IF(AND(N('Hiring plan'!$F$28)&gt;0,AY$3&gt;='Hiring plan'!$G$28,AY$3&lt;=IF('Hiring plan'!$H$28="",999,'Hiring plan'!$H$28)),'Hiring plan'!$F$28,0)</f>
        <v>1</v>
      </c>
      <c r="AZ32" s="33" t="n">
        <f aca="false">IF(AND(N('Hiring plan'!$F$28)&gt;0,AZ$3&gt;='Hiring plan'!$G$28,AZ$3&lt;=IF('Hiring plan'!$H$28="",999,'Hiring plan'!$H$28)),'Hiring plan'!$F$28,0)</f>
        <v>1</v>
      </c>
      <c r="BA32" s="33" t="n">
        <f aca="false">IF(AND(N('Hiring plan'!$F$28)&gt;0,BA$3&gt;='Hiring plan'!$G$28,BA$3&lt;=IF('Hiring plan'!$H$28="",999,'Hiring plan'!$H$28)),'Hiring plan'!$F$28,0)</f>
        <v>1</v>
      </c>
      <c r="BB32" s="33" t="n">
        <f aca="false">IF(AND(N('Hiring plan'!$F$28)&gt;0,BB$3&gt;='Hiring plan'!$G$28,BB$3&lt;=IF('Hiring plan'!$H$28="",999,'Hiring plan'!$H$28)),'Hiring plan'!$F$28,0)</f>
        <v>1</v>
      </c>
      <c r="BC32" s="33" t="n">
        <f aca="false">IF(AND(N('Hiring plan'!$F$28)&gt;0,BC$3&gt;='Hiring plan'!$G$28,BC$3&lt;=IF('Hiring plan'!$H$28="",999,'Hiring plan'!$H$28)),'Hiring plan'!$F$28,0)</f>
        <v>1</v>
      </c>
      <c r="BD32" s="33" t="n">
        <f aca="false">IF(AND(N('Hiring plan'!$F$28)&gt;0,BD$3&gt;='Hiring plan'!$G$28,BD$3&lt;=IF('Hiring plan'!$H$28="",999,'Hiring plan'!$H$28)),'Hiring plan'!$F$28,0)</f>
        <v>1</v>
      </c>
      <c r="BE32" s="33" t="n">
        <f aca="false">IF(AND(N('Hiring plan'!$F$28)&gt;0,BE$3&gt;='Hiring plan'!$G$28,BE$3&lt;=IF('Hiring plan'!$H$28="",999,'Hiring plan'!$H$28)),'Hiring plan'!$F$28,0)</f>
        <v>1</v>
      </c>
      <c r="BF32" s="33" t="n">
        <f aca="false">IF(AND(N('Hiring plan'!$F$28)&gt;0,BF$3&gt;='Hiring plan'!$G$28,BF$3&lt;=IF('Hiring plan'!$H$28="",999,'Hiring plan'!$H$28)),'Hiring plan'!$F$28,0)</f>
        <v>1</v>
      </c>
      <c r="BG32" s="33" t="n">
        <f aca="false">IF(AND(N('Hiring plan'!$F$28)&gt;0,BG$3&gt;='Hiring plan'!$G$28,BG$3&lt;=IF('Hiring plan'!$H$28="",999,'Hiring plan'!$H$28)),'Hiring plan'!$F$28,0)</f>
        <v>1</v>
      </c>
      <c r="BH32" s="33" t="n">
        <f aca="false">IF(AND(N('Hiring plan'!$F$28)&gt;0,BH$3&gt;='Hiring plan'!$G$28,BH$3&lt;=IF('Hiring plan'!$H$28="",999,'Hiring plan'!$H$28)),'Hiring plan'!$F$28,0)</f>
        <v>1</v>
      </c>
      <c r="BI32" s="33" t="n">
        <f aca="false">IF(AND(N('Hiring plan'!$F$28)&gt;0,BI$3&gt;='Hiring plan'!$G$28,BI$3&lt;=IF('Hiring plan'!$H$28="",999,'Hiring plan'!$H$28)),'Hiring plan'!$F$28,0)</f>
        <v>1</v>
      </c>
      <c r="BJ32" s="33" t="n">
        <f aca="false">IF(AND(N('Hiring plan'!$F$28)&gt;0,BJ$3&gt;='Hiring plan'!$G$28,BJ$3&lt;=IF('Hiring plan'!$H$28="",999,'Hiring plan'!$H$28)),'Hiring plan'!$F$28,0)</f>
        <v>1</v>
      </c>
      <c r="BK32" s="33" t="n">
        <f aca="false">IF(AND(N('Hiring plan'!$F$28)&gt;0,BK$3&gt;='Hiring plan'!$G$28,BK$3&lt;=IF('Hiring plan'!$H$28="",999,'Hiring plan'!$H$28)),'Hiring plan'!$F$28,0)</f>
        <v>1</v>
      </c>
      <c r="BL32" s="33" t="n">
        <f aca="false">IF(AND(N('Hiring plan'!$F$28)&gt;0,BL$3&gt;='Hiring plan'!$G$28,BL$3&lt;=IF('Hiring plan'!$H$28="",999,'Hiring plan'!$H$28)),'Hiring plan'!$F$28,0)</f>
        <v>1</v>
      </c>
    </row>
    <row r="33" customFormat="false" ht="15" hidden="false" customHeight="false" outlineLevel="0" collapsed="false">
      <c r="A33" s="12" t="str">
        <f aca="false">IF('Hiring plan'!$C$29="","(spare line 25)",'Hiring plan'!$C$29&amp;" · "&amp;'Hiring plan'!$D$29)</f>
        <v>Collections agent (incl. variable pay) · SN</v>
      </c>
      <c r="B33" s="14" t="s">
        <v>222</v>
      </c>
      <c r="D33" s="41" t="n">
        <f aca="false">MAX(E33:BL33)</f>
        <v>2</v>
      </c>
      <c r="E33" s="33" t="n">
        <f aca="false">IF(AND(N('Hiring plan'!$F$29)&gt;0,E$3&gt;='Hiring plan'!$G$29,E$3&lt;=IF('Hiring plan'!$H$29="",999,'Hiring plan'!$H$29)),'Hiring plan'!$F$29,0)</f>
        <v>0</v>
      </c>
      <c r="F33" s="33" t="n">
        <f aca="false">IF(AND(N('Hiring plan'!$F$29)&gt;0,F$3&gt;='Hiring plan'!$G$29,F$3&lt;=IF('Hiring plan'!$H$29="",999,'Hiring plan'!$H$29)),'Hiring plan'!$F$29,0)</f>
        <v>0</v>
      </c>
      <c r="G33" s="33" t="n">
        <f aca="false">IF(AND(N('Hiring plan'!$F$29)&gt;0,G$3&gt;='Hiring plan'!$G$29,G$3&lt;=IF('Hiring plan'!$H$29="",999,'Hiring plan'!$H$29)),'Hiring plan'!$F$29,0)</f>
        <v>0</v>
      </c>
      <c r="H33" s="33" t="n">
        <f aca="false">IF(AND(N('Hiring plan'!$F$29)&gt;0,H$3&gt;='Hiring plan'!$G$29,H$3&lt;=IF('Hiring plan'!$H$29="",999,'Hiring plan'!$H$29)),'Hiring plan'!$F$29,0)</f>
        <v>0</v>
      </c>
      <c r="I33" s="33" t="n">
        <f aca="false">IF(AND(N('Hiring plan'!$F$29)&gt;0,I$3&gt;='Hiring plan'!$G$29,I$3&lt;=IF('Hiring plan'!$H$29="",999,'Hiring plan'!$H$29)),'Hiring plan'!$F$29,0)</f>
        <v>0</v>
      </c>
      <c r="J33" s="33" t="n">
        <f aca="false">IF(AND(N('Hiring plan'!$F$29)&gt;0,J$3&gt;='Hiring plan'!$G$29,J$3&lt;=IF('Hiring plan'!$H$29="",999,'Hiring plan'!$H$29)),'Hiring plan'!$F$29,0)</f>
        <v>0</v>
      </c>
      <c r="K33" s="33" t="n">
        <f aca="false">IF(AND(N('Hiring plan'!$F$29)&gt;0,K$3&gt;='Hiring plan'!$G$29,K$3&lt;=IF('Hiring plan'!$H$29="",999,'Hiring plan'!$H$29)),'Hiring plan'!$F$29,0)</f>
        <v>0</v>
      </c>
      <c r="L33" s="33" t="n">
        <f aca="false">IF(AND(N('Hiring plan'!$F$29)&gt;0,L$3&gt;='Hiring plan'!$G$29,L$3&lt;=IF('Hiring plan'!$H$29="",999,'Hiring plan'!$H$29)),'Hiring plan'!$F$29,0)</f>
        <v>0</v>
      </c>
      <c r="M33" s="33" t="n">
        <f aca="false">IF(AND(N('Hiring plan'!$F$29)&gt;0,M$3&gt;='Hiring plan'!$G$29,M$3&lt;=IF('Hiring plan'!$H$29="",999,'Hiring plan'!$H$29)),'Hiring plan'!$F$29,0)</f>
        <v>0</v>
      </c>
      <c r="N33" s="33" t="n">
        <f aca="false">IF(AND(N('Hiring plan'!$F$29)&gt;0,N$3&gt;='Hiring plan'!$G$29,N$3&lt;=IF('Hiring plan'!$H$29="",999,'Hiring plan'!$H$29)),'Hiring plan'!$F$29,0)</f>
        <v>0</v>
      </c>
      <c r="O33" s="33" t="n">
        <f aca="false">IF(AND(N('Hiring plan'!$F$29)&gt;0,O$3&gt;='Hiring plan'!$G$29,O$3&lt;=IF('Hiring plan'!$H$29="",999,'Hiring plan'!$H$29)),'Hiring plan'!$F$29,0)</f>
        <v>0</v>
      </c>
      <c r="P33" s="33" t="n">
        <f aca="false">IF(AND(N('Hiring plan'!$F$29)&gt;0,P$3&gt;='Hiring plan'!$G$29,P$3&lt;=IF('Hiring plan'!$H$29="",999,'Hiring plan'!$H$29)),'Hiring plan'!$F$29,0)</f>
        <v>0</v>
      </c>
      <c r="Q33" s="33" t="n">
        <f aca="false">IF(AND(N('Hiring plan'!$F$29)&gt;0,Q$3&gt;='Hiring plan'!$G$29,Q$3&lt;=IF('Hiring plan'!$H$29="",999,'Hiring plan'!$H$29)),'Hiring plan'!$F$29,0)</f>
        <v>0</v>
      </c>
      <c r="R33" s="33" t="n">
        <f aca="false">IF(AND(N('Hiring plan'!$F$29)&gt;0,R$3&gt;='Hiring plan'!$G$29,R$3&lt;=IF('Hiring plan'!$H$29="",999,'Hiring plan'!$H$29)),'Hiring plan'!$F$29,0)</f>
        <v>0</v>
      </c>
      <c r="S33" s="33" t="n">
        <f aca="false">IF(AND(N('Hiring plan'!$F$29)&gt;0,S$3&gt;='Hiring plan'!$G$29,S$3&lt;=IF('Hiring plan'!$H$29="",999,'Hiring plan'!$H$29)),'Hiring plan'!$F$29,0)</f>
        <v>0</v>
      </c>
      <c r="T33" s="33" t="n">
        <f aca="false">IF(AND(N('Hiring plan'!$F$29)&gt;0,T$3&gt;='Hiring plan'!$G$29,T$3&lt;=IF('Hiring plan'!$H$29="",999,'Hiring plan'!$H$29)),'Hiring plan'!$F$29,0)</f>
        <v>0</v>
      </c>
      <c r="U33" s="33" t="n">
        <f aca="false">IF(AND(N('Hiring plan'!$F$29)&gt;0,U$3&gt;='Hiring plan'!$G$29,U$3&lt;=IF('Hiring plan'!$H$29="",999,'Hiring plan'!$H$29)),'Hiring plan'!$F$29,0)</f>
        <v>0</v>
      </c>
      <c r="V33" s="33" t="n">
        <f aca="false">IF(AND(N('Hiring plan'!$F$29)&gt;0,V$3&gt;='Hiring plan'!$G$29,V$3&lt;=IF('Hiring plan'!$H$29="",999,'Hiring plan'!$H$29)),'Hiring plan'!$F$29,0)</f>
        <v>0</v>
      </c>
      <c r="W33" s="33" t="n">
        <f aca="false">IF(AND(N('Hiring plan'!$F$29)&gt;0,W$3&gt;='Hiring plan'!$G$29,W$3&lt;=IF('Hiring plan'!$H$29="",999,'Hiring plan'!$H$29)),'Hiring plan'!$F$29,0)</f>
        <v>2</v>
      </c>
      <c r="X33" s="33" t="n">
        <f aca="false">IF(AND(N('Hiring plan'!$F$29)&gt;0,X$3&gt;='Hiring plan'!$G$29,X$3&lt;=IF('Hiring plan'!$H$29="",999,'Hiring plan'!$H$29)),'Hiring plan'!$F$29,0)</f>
        <v>2</v>
      </c>
      <c r="Y33" s="33" t="n">
        <f aca="false">IF(AND(N('Hiring plan'!$F$29)&gt;0,Y$3&gt;='Hiring plan'!$G$29,Y$3&lt;=IF('Hiring plan'!$H$29="",999,'Hiring plan'!$H$29)),'Hiring plan'!$F$29,0)</f>
        <v>2</v>
      </c>
      <c r="Z33" s="33" t="n">
        <f aca="false">IF(AND(N('Hiring plan'!$F$29)&gt;0,Z$3&gt;='Hiring plan'!$G$29,Z$3&lt;=IF('Hiring plan'!$H$29="",999,'Hiring plan'!$H$29)),'Hiring plan'!$F$29,0)</f>
        <v>2</v>
      </c>
      <c r="AA33" s="33" t="n">
        <f aca="false">IF(AND(N('Hiring plan'!$F$29)&gt;0,AA$3&gt;='Hiring plan'!$G$29,AA$3&lt;=IF('Hiring plan'!$H$29="",999,'Hiring plan'!$H$29)),'Hiring plan'!$F$29,0)</f>
        <v>2</v>
      </c>
      <c r="AB33" s="33" t="n">
        <f aca="false">IF(AND(N('Hiring plan'!$F$29)&gt;0,AB$3&gt;='Hiring plan'!$G$29,AB$3&lt;=IF('Hiring plan'!$H$29="",999,'Hiring plan'!$H$29)),'Hiring plan'!$F$29,0)</f>
        <v>2</v>
      </c>
      <c r="AC33" s="33" t="n">
        <f aca="false">IF(AND(N('Hiring plan'!$F$29)&gt;0,AC$3&gt;='Hiring plan'!$G$29,AC$3&lt;=IF('Hiring plan'!$H$29="",999,'Hiring plan'!$H$29)),'Hiring plan'!$F$29,0)</f>
        <v>2</v>
      </c>
      <c r="AD33" s="33" t="n">
        <f aca="false">IF(AND(N('Hiring plan'!$F$29)&gt;0,AD$3&gt;='Hiring plan'!$G$29,AD$3&lt;=IF('Hiring plan'!$H$29="",999,'Hiring plan'!$H$29)),'Hiring plan'!$F$29,0)</f>
        <v>2</v>
      </c>
      <c r="AE33" s="33" t="n">
        <f aca="false">IF(AND(N('Hiring plan'!$F$29)&gt;0,AE$3&gt;='Hiring plan'!$G$29,AE$3&lt;=IF('Hiring plan'!$H$29="",999,'Hiring plan'!$H$29)),'Hiring plan'!$F$29,0)</f>
        <v>2</v>
      </c>
      <c r="AF33" s="33" t="n">
        <f aca="false">IF(AND(N('Hiring plan'!$F$29)&gt;0,AF$3&gt;='Hiring plan'!$G$29,AF$3&lt;=IF('Hiring plan'!$H$29="",999,'Hiring plan'!$H$29)),'Hiring plan'!$F$29,0)</f>
        <v>2</v>
      </c>
      <c r="AG33" s="33" t="n">
        <f aca="false">IF(AND(N('Hiring plan'!$F$29)&gt;0,AG$3&gt;='Hiring plan'!$G$29,AG$3&lt;=IF('Hiring plan'!$H$29="",999,'Hiring plan'!$H$29)),'Hiring plan'!$F$29,0)</f>
        <v>2</v>
      </c>
      <c r="AH33" s="33" t="n">
        <f aca="false">IF(AND(N('Hiring plan'!$F$29)&gt;0,AH$3&gt;='Hiring plan'!$G$29,AH$3&lt;=IF('Hiring plan'!$H$29="",999,'Hiring plan'!$H$29)),'Hiring plan'!$F$29,0)</f>
        <v>2</v>
      </c>
      <c r="AI33" s="33" t="n">
        <f aca="false">IF(AND(N('Hiring plan'!$F$29)&gt;0,AI$3&gt;='Hiring plan'!$G$29,AI$3&lt;=IF('Hiring plan'!$H$29="",999,'Hiring plan'!$H$29)),'Hiring plan'!$F$29,0)</f>
        <v>2</v>
      </c>
      <c r="AJ33" s="33" t="n">
        <f aca="false">IF(AND(N('Hiring plan'!$F$29)&gt;0,AJ$3&gt;='Hiring plan'!$G$29,AJ$3&lt;=IF('Hiring plan'!$H$29="",999,'Hiring plan'!$H$29)),'Hiring plan'!$F$29,0)</f>
        <v>2</v>
      </c>
      <c r="AK33" s="33" t="n">
        <f aca="false">IF(AND(N('Hiring plan'!$F$29)&gt;0,AK$3&gt;='Hiring plan'!$G$29,AK$3&lt;=IF('Hiring plan'!$H$29="",999,'Hiring plan'!$H$29)),'Hiring plan'!$F$29,0)</f>
        <v>2</v>
      </c>
      <c r="AL33" s="33" t="n">
        <f aca="false">IF(AND(N('Hiring plan'!$F$29)&gt;0,AL$3&gt;='Hiring plan'!$G$29,AL$3&lt;=IF('Hiring plan'!$H$29="",999,'Hiring plan'!$H$29)),'Hiring plan'!$F$29,0)</f>
        <v>2</v>
      </c>
      <c r="AM33" s="33" t="n">
        <f aca="false">IF(AND(N('Hiring plan'!$F$29)&gt;0,AM$3&gt;='Hiring plan'!$G$29,AM$3&lt;=IF('Hiring plan'!$H$29="",999,'Hiring plan'!$H$29)),'Hiring plan'!$F$29,0)</f>
        <v>2</v>
      </c>
      <c r="AN33" s="33" t="n">
        <f aca="false">IF(AND(N('Hiring plan'!$F$29)&gt;0,AN$3&gt;='Hiring plan'!$G$29,AN$3&lt;=IF('Hiring plan'!$H$29="",999,'Hiring plan'!$H$29)),'Hiring plan'!$F$29,0)</f>
        <v>2</v>
      </c>
      <c r="AO33" s="33" t="n">
        <f aca="false">IF(AND(N('Hiring plan'!$F$29)&gt;0,AO$3&gt;='Hiring plan'!$G$29,AO$3&lt;=IF('Hiring plan'!$H$29="",999,'Hiring plan'!$H$29)),'Hiring plan'!$F$29,0)</f>
        <v>2</v>
      </c>
      <c r="AP33" s="33" t="n">
        <f aca="false">IF(AND(N('Hiring plan'!$F$29)&gt;0,AP$3&gt;='Hiring plan'!$G$29,AP$3&lt;=IF('Hiring plan'!$H$29="",999,'Hiring plan'!$H$29)),'Hiring plan'!$F$29,0)</f>
        <v>2</v>
      </c>
      <c r="AQ33" s="33" t="n">
        <f aca="false">IF(AND(N('Hiring plan'!$F$29)&gt;0,AQ$3&gt;='Hiring plan'!$G$29,AQ$3&lt;=IF('Hiring plan'!$H$29="",999,'Hiring plan'!$H$29)),'Hiring plan'!$F$29,0)</f>
        <v>2</v>
      </c>
      <c r="AR33" s="33" t="n">
        <f aca="false">IF(AND(N('Hiring plan'!$F$29)&gt;0,AR$3&gt;='Hiring plan'!$G$29,AR$3&lt;=IF('Hiring plan'!$H$29="",999,'Hiring plan'!$H$29)),'Hiring plan'!$F$29,0)</f>
        <v>2</v>
      </c>
      <c r="AS33" s="33" t="n">
        <f aca="false">IF(AND(N('Hiring plan'!$F$29)&gt;0,AS$3&gt;='Hiring plan'!$G$29,AS$3&lt;=IF('Hiring plan'!$H$29="",999,'Hiring plan'!$H$29)),'Hiring plan'!$F$29,0)</f>
        <v>2</v>
      </c>
      <c r="AT33" s="33" t="n">
        <f aca="false">IF(AND(N('Hiring plan'!$F$29)&gt;0,AT$3&gt;='Hiring plan'!$G$29,AT$3&lt;=IF('Hiring plan'!$H$29="",999,'Hiring plan'!$H$29)),'Hiring plan'!$F$29,0)</f>
        <v>2</v>
      </c>
      <c r="AU33" s="33" t="n">
        <f aca="false">IF(AND(N('Hiring plan'!$F$29)&gt;0,AU$3&gt;='Hiring plan'!$G$29,AU$3&lt;=IF('Hiring plan'!$H$29="",999,'Hiring plan'!$H$29)),'Hiring plan'!$F$29,0)</f>
        <v>2</v>
      </c>
      <c r="AV33" s="33" t="n">
        <f aca="false">IF(AND(N('Hiring plan'!$F$29)&gt;0,AV$3&gt;='Hiring plan'!$G$29,AV$3&lt;=IF('Hiring plan'!$H$29="",999,'Hiring plan'!$H$29)),'Hiring plan'!$F$29,0)</f>
        <v>2</v>
      </c>
      <c r="AW33" s="33" t="n">
        <f aca="false">IF(AND(N('Hiring plan'!$F$29)&gt;0,AW$3&gt;='Hiring plan'!$G$29,AW$3&lt;=IF('Hiring plan'!$H$29="",999,'Hiring plan'!$H$29)),'Hiring plan'!$F$29,0)</f>
        <v>2</v>
      </c>
      <c r="AX33" s="33" t="n">
        <f aca="false">IF(AND(N('Hiring plan'!$F$29)&gt;0,AX$3&gt;='Hiring plan'!$G$29,AX$3&lt;=IF('Hiring plan'!$H$29="",999,'Hiring plan'!$H$29)),'Hiring plan'!$F$29,0)</f>
        <v>2</v>
      </c>
      <c r="AY33" s="33" t="n">
        <f aca="false">IF(AND(N('Hiring plan'!$F$29)&gt;0,AY$3&gt;='Hiring plan'!$G$29,AY$3&lt;=IF('Hiring plan'!$H$29="",999,'Hiring plan'!$H$29)),'Hiring plan'!$F$29,0)</f>
        <v>2</v>
      </c>
      <c r="AZ33" s="33" t="n">
        <f aca="false">IF(AND(N('Hiring plan'!$F$29)&gt;0,AZ$3&gt;='Hiring plan'!$G$29,AZ$3&lt;=IF('Hiring plan'!$H$29="",999,'Hiring plan'!$H$29)),'Hiring plan'!$F$29,0)</f>
        <v>2</v>
      </c>
      <c r="BA33" s="33" t="n">
        <f aca="false">IF(AND(N('Hiring plan'!$F$29)&gt;0,BA$3&gt;='Hiring plan'!$G$29,BA$3&lt;=IF('Hiring plan'!$H$29="",999,'Hiring plan'!$H$29)),'Hiring plan'!$F$29,0)</f>
        <v>2</v>
      </c>
      <c r="BB33" s="33" t="n">
        <f aca="false">IF(AND(N('Hiring plan'!$F$29)&gt;0,BB$3&gt;='Hiring plan'!$G$29,BB$3&lt;=IF('Hiring plan'!$H$29="",999,'Hiring plan'!$H$29)),'Hiring plan'!$F$29,0)</f>
        <v>2</v>
      </c>
      <c r="BC33" s="33" t="n">
        <f aca="false">IF(AND(N('Hiring plan'!$F$29)&gt;0,BC$3&gt;='Hiring plan'!$G$29,BC$3&lt;=IF('Hiring plan'!$H$29="",999,'Hiring plan'!$H$29)),'Hiring plan'!$F$29,0)</f>
        <v>2</v>
      </c>
      <c r="BD33" s="33" t="n">
        <f aca="false">IF(AND(N('Hiring plan'!$F$29)&gt;0,BD$3&gt;='Hiring plan'!$G$29,BD$3&lt;=IF('Hiring plan'!$H$29="",999,'Hiring plan'!$H$29)),'Hiring plan'!$F$29,0)</f>
        <v>2</v>
      </c>
      <c r="BE33" s="33" t="n">
        <f aca="false">IF(AND(N('Hiring plan'!$F$29)&gt;0,BE$3&gt;='Hiring plan'!$G$29,BE$3&lt;=IF('Hiring plan'!$H$29="",999,'Hiring plan'!$H$29)),'Hiring plan'!$F$29,0)</f>
        <v>2</v>
      </c>
      <c r="BF33" s="33" t="n">
        <f aca="false">IF(AND(N('Hiring plan'!$F$29)&gt;0,BF$3&gt;='Hiring plan'!$G$29,BF$3&lt;=IF('Hiring plan'!$H$29="",999,'Hiring plan'!$H$29)),'Hiring plan'!$F$29,0)</f>
        <v>2</v>
      </c>
      <c r="BG33" s="33" t="n">
        <f aca="false">IF(AND(N('Hiring plan'!$F$29)&gt;0,BG$3&gt;='Hiring plan'!$G$29,BG$3&lt;=IF('Hiring plan'!$H$29="",999,'Hiring plan'!$H$29)),'Hiring plan'!$F$29,0)</f>
        <v>2</v>
      </c>
      <c r="BH33" s="33" t="n">
        <f aca="false">IF(AND(N('Hiring plan'!$F$29)&gt;0,BH$3&gt;='Hiring plan'!$G$29,BH$3&lt;=IF('Hiring plan'!$H$29="",999,'Hiring plan'!$H$29)),'Hiring plan'!$F$29,0)</f>
        <v>2</v>
      </c>
      <c r="BI33" s="33" t="n">
        <f aca="false">IF(AND(N('Hiring plan'!$F$29)&gt;0,BI$3&gt;='Hiring plan'!$G$29,BI$3&lt;=IF('Hiring plan'!$H$29="",999,'Hiring plan'!$H$29)),'Hiring plan'!$F$29,0)</f>
        <v>2</v>
      </c>
      <c r="BJ33" s="33" t="n">
        <f aca="false">IF(AND(N('Hiring plan'!$F$29)&gt;0,BJ$3&gt;='Hiring plan'!$G$29,BJ$3&lt;=IF('Hiring plan'!$H$29="",999,'Hiring plan'!$H$29)),'Hiring plan'!$F$29,0)</f>
        <v>2</v>
      </c>
      <c r="BK33" s="33" t="n">
        <f aca="false">IF(AND(N('Hiring plan'!$F$29)&gt;0,BK$3&gt;='Hiring plan'!$G$29,BK$3&lt;=IF('Hiring plan'!$H$29="",999,'Hiring plan'!$H$29)),'Hiring plan'!$F$29,0)</f>
        <v>2</v>
      </c>
      <c r="BL33" s="33" t="n">
        <f aca="false">IF(AND(N('Hiring plan'!$F$29)&gt;0,BL$3&gt;='Hiring plan'!$G$29,BL$3&lt;=IF('Hiring plan'!$H$29="",999,'Hiring plan'!$H$29)),'Hiring plan'!$F$29,0)</f>
        <v>2</v>
      </c>
    </row>
    <row r="34" customFormat="false" ht="15" hidden="false" customHeight="false" outlineLevel="0" collapsed="false">
      <c r="A34" s="12" t="str">
        <f aca="false">IF('Hiring plan'!$C$30="","(spare line 26)",'Hiring plan'!$C$30&amp;" · "&amp;'Hiring plan'!$D$30)</f>
        <v>Credit analyst · SN</v>
      </c>
      <c r="B34" s="14" t="s">
        <v>222</v>
      </c>
      <c r="D34" s="41" t="n">
        <f aca="false">MAX(E34:BL34)</f>
        <v>2</v>
      </c>
      <c r="E34" s="33" t="n">
        <f aca="false">IF(AND(N('Hiring plan'!$F$30)&gt;0,E$3&gt;='Hiring plan'!$G$30,E$3&lt;=IF('Hiring plan'!$H$30="",999,'Hiring plan'!$H$30)),'Hiring plan'!$F$30,0)</f>
        <v>0</v>
      </c>
      <c r="F34" s="33" t="n">
        <f aca="false">IF(AND(N('Hiring plan'!$F$30)&gt;0,F$3&gt;='Hiring plan'!$G$30,F$3&lt;=IF('Hiring plan'!$H$30="",999,'Hiring plan'!$H$30)),'Hiring plan'!$F$30,0)</f>
        <v>0</v>
      </c>
      <c r="G34" s="33" t="n">
        <f aca="false">IF(AND(N('Hiring plan'!$F$30)&gt;0,G$3&gt;='Hiring plan'!$G$30,G$3&lt;=IF('Hiring plan'!$H$30="",999,'Hiring plan'!$H$30)),'Hiring plan'!$F$30,0)</f>
        <v>0</v>
      </c>
      <c r="H34" s="33" t="n">
        <f aca="false">IF(AND(N('Hiring plan'!$F$30)&gt;0,H$3&gt;='Hiring plan'!$G$30,H$3&lt;=IF('Hiring plan'!$H$30="",999,'Hiring plan'!$H$30)),'Hiring plan'!$F$30,0)</f>
        <v>0</v>
      </c>
      <c r="I34" s="33" t="n">
        <f aca="false">IF(AND(N('Hiring plan'!$F$30)&gt;0,I$3&gt;='Hiring plan'!$G$30,I$3&lt;=IF('Hiring plan'!$H$30="",999,'Hiring plan'!$H$30)),'Hiring plan'!$F$30,0)</f>
        <v>0</v>
      </c>
      <c r="J34" s="33" t="n">
        <f aca="false">IF(AND(N('Hiring plan'!$F$30)&gt;0,J$3&gt;='Hiring plan'!$G$30,J$3&lt;=IF('Hiring plan'!$H$30="",999,'Hiring plan'!$H$30)),'Hiring plan'!$F$30,0)</f>
        <v>0</v>
      </c>
      <c r="K34" s="33" t="n">
        <f aca="false">IF(AND(N('Hiring plan'!$F$30)&gt;0,K$3&gt;='Hiring plan'!$G$30,K$3&lt;=IF('Hiring plan'!$H$30="",999,'Hiring plan'!$H$30)),'Hiring plan'!$F$30,0)</f>
        <v>0</v>
      </c>
      <c r="L34" s="33" t="n">
        <f aca="false">IF(AND(N('Hiring plan'!$F$30)&gt;0,L$3&gt;='Hiring plan'!$G$30,L$3&lt;=IF('Hiring plan'!$H$30="",999,'Hiring plan'!$H$30)),'Hiring plan'!$F$30,0)</f>
        <v>0</v>
      </c>
      <c r="M34" s="33" t="n">
        <f aca="false">IF(AND(N('Hiring plan'!$F$30)&gt;0,M$3&gt;='Hiring plan'!$G$30,M$3&lt;=IF('Hiring plan'!$H$30="",999,'Hiring plan'!$H$30)),'Hiring plan'!$F$30,0)</f>
        <v>0</v>
      </c>
      <c r="N34" s="33" t="n">
        <f aca="false">IF(AND(N('Hiring plan'!$F$30)&gt;0,N$3&gt;='Hiring plan'!$G$30,N$3&lt;=IF('Hiring plan'!$H$30="",999,'Hiring plan'!$H$30)),'Hiring plan'!$F$30,0)</f>
        <v>0</v>
      </c>
      <c r="O34" s="33" t="n">
        <f aca="false">IF(AND(N('Hiring plan'!$F$30)&gt;0,O$3&gt;='Hiring plan'!$G$30,O$3&lt;=IF('Hiring plan'!$H$30="",999,'Hiring plan'!$H$30)),'Hiring plan'!$F$30,0)</f>
        <v>0</v>
      </c>
      <c r="P34" s="33" t="n">
        <f aca="false">IF(AND(N('Hiring plan'!$F$30)&gt;0,P$3&gt;='Hiring plan'!$G$30,P$3&lt;=IF('Hiring plan'!$H$30="",999,'Hiring plan'!$H$30)),'Hiring plan'!$F$30,0)</f>
        <v>0</v>
      </c>
      <c r="Q34" s="33" t="n">
        <f aca="false">IF(AND(N('Hiring plan'!$F$30)&gt;0,Q$3&gt;='Hiring plan'!$G$30,Q$3&lt;=IF('Hiring plan'!$H$30="",999,'Hiring plan'!$H$30)),'Hiring plan'!$F$30,0)</f>
        <v>0</v>
      </c>
      <c r="R34" s="33" t="n">
        <f aca="false">IF(AND(N('Hiring plan'!$F$30)&gt;0,R$3&gt;='Hiring plan'!$G$30,R$3&lt;=IF('Hiring plan'!$H$30="",999,'Hiring plan'!$H$30)),'Hiring plan'!$F$30,0)</f>
        <v>0</v>
      </c>
      <c r="S34" s="33" t="n">
        <f aca="false">IF(AND(N('Hiring plan'!$F$30)&gt;0,S$3&gt;='Hiring plan'!$G$30,S$3&lt;=IF('Hiring plan'!$H$30="",999,'Hiring plan'!$H$30)),'Hiring plan'!$F$30,0)</f>
        <v>0</v>
      </c>
      <c r="T34" s="33" t="n">
        <f aca="false">IF(AND(N('Hiring plan'!$F$30)&gt;0,T$3&gt;='Hiring plan'!$G$30,T$3&lt;=IF('Hiring plan'!$H$30="",999,'Hiring plan'!$H$30)),'Hiring plan'!$F$30,0)</f>
        <v>0</v>
      </c>
      <c r="U34" s="33" t="n">
        <f aca="false">IF(AND(N('Hiring plan'!$F$30)&gt;0,U$3&gt;='Hiring plan'!$G$30,U$3&lt;=IF('Hiring plan'!$H$30="",999,'Hiring plan'!$H$30)),'Hiring plan'!$F$30,0)</f>
        <v>0</v>
      </c>
      <c r="V34" s="33" t="n">
        <f aca="false">IF(AND(N('Hiring plan'!$F$30)&gt;0,V$3&gt;='Hiring plan'!$G$30,V$3&lt;=IF('Hiring plan'!$H$30="",999,'Hiring plan'!$H$30)),'Hiring plan'!$F$30,0)</f>
        <v>0</v>
      </c>
      <c r="W34" s="33" t="n">
        <f aca="false">IF(AND(N('Hiring plan'!$F$30)&gt;0,W$3&gt;='Hiring plan'!$G$30,W$3&lt;=IF('Hiring plan'!$H$30="",999,'Hiring plan'!$H$30)),'Hiring plan'!$F$30,0)</f>
        <v>0</v>
      </c>
      <c r="X34" s="33" t="n">
        <f aca="false">IF(AND(N('Hiring plan'!$F$30)&gt;0,X$3&gt;='Hiring plan'!$G$30,X$3&lt;=IF('Hiring plan'!$H$30="",999,'Hiring plan'!$H$30)),'Hiring plan'!$F$30,0)</f>
        <v>0</v>
      </c>
      <c r="Y34" s="33" t="n">
        <f aca="false">IF(AND(N('Hiring plan'!$F$30)&gt;0,Y$3&gt;='Hiring plan'!$G$30,Y$3&lt;=IF('Hiring plan'!$H$30="",999,'Hiring plan'!$H$30)),'Hiring plan'!$F$30,0)</f>
        <v>0</v>
      </c>
      <c r="Z34" s="33" t="n">
        <f aca="false">IF(AND(N('Hiring plan'!$F$30)&gt;0,Z$3&gt;='Hiring plan'!$G$30,Z$3&lt;=IF('Hiring plan'!$H$30="",999,'Hiring plan'!$H$30)),'Hiring plan'!$F$30,0)</f>
        <v>0</v>
      </c>
      <c r="AA34" s="33" t="n">
        <f aca="false">IF(AND(N('Hiring plan'!$F$30)&gt;0,AA$3&gt;='Hiring plan'!$G$30,AA$3&lt;=IF('Hiring plan'!$H$30="",999,'Hiring plan'!$H$30)),'Hiring plan'!$F$30,0)</f>
        <v>0</v>
      </c>
      <c r="AB34" s="33" t="n">
        <f aca="false">IF(AND(N('Hiring plan'!$F$30)&gt;0,AB$3&gt;='Hiring plan'!$G$30,AB$3&lt;=IF('Hiring plan'!$H$30="",999,'Hiring plan'!$H$30)),'Hiring plan'!$F$30,0)</f>
        <v>0</v>
      </c>
      <c r="AC34" s="33" t="n">
        <f aca="false">IF(AND(N('Hiring plan'!$F$30)&gt;0,AC$3&gt;='Hiring plan'!$G$30,AC$3&lt;=IF('Hiring plan'!$H$30="",999,'Hiring plan'!$H$30)),'Hiring plan'!$F$30,0)</f>
        <v>0</v>
      </c>
      <c r="AD34" s="33" t="n">
        <f aca="false">IF(AND(N('Hiring plan'!$F$30)&gt;0,AD$3&gt;='Hiring plan'!$G$30,AD$3&lt;=IF('Hiring plan'!$H$30="",999,'Hiring plan'!$H$30)),'Hiring plan'!$F$30,0)</f>
        <v>0</v>
      </c>
      <c r="AE34" s="33" t="n">
        <f aca="false">IF(AND(N('Hiring plan'!$F$30)&gt;0,AE$3&gt;='Hiring plan'!$G$30,AE$3&lt;=IF('Hiring plan'!$H$30="",999,'Hiring plan'!$H$30)),'Hiring plan'!$F$30,0)</f>
        <v>0</v>
      </c>
      <c r="AF34" s="33" t="n">
        <f aca="false">IF(AND(N('Hiring plan'!$F$30)&gt;0,AF$3&gt;='Hiring plan'!$G$30,AF$3&lt;=IF('Hiring plan'!$H$30="",999,'Hiring plan'!$H$30)),'Hiring plan'!$F$30,0)</f>
        <v>0</v>
      </c>
      <c r="AG34" s="33" t="n">
        <f aca="false">IF(AND(N('Hiring plan'!$F$30)&gt;0,AG$3&gt;='Hiring plan'!$G$30,AG$3&lt;=IF('Hiring plan'!$H$30="",999,'Hiring plan'!$H$30)),'Hiring plan'!$F$30,0)</f>
        <v>0</v>
      </c>
      <c r="AH34" s="33" t="n">
        <f aca="false">IF(AND(N('Hiring plan'!$F$30)&gt;0,AH$3&gt;='Hiring plan'!$G$30,AH$3&lt;=IF('Hiring plan'!$H$30="",999,'Hiring plan'!$H$30)),'Hiring plan'!$F$30,0)</f>
        <v>0</v>
      </c>
      <c r="AI34" s="33" t="n">
        <f aca="false">IF(AND(N('Hiring plan'!$F$30)&gt;0,AI$3&gt;='Hiring plan'!$G$30,AI$3&lt;=IF('Hiring plan'!$H$30="",999,'Hiring plan'!$H$30)),'Hiring plan'!$F$30,0)</f>
        <v>2</v>
      </c>
      <c r="AJ34" s="33" t="n">
        <f aca="false">IF(AND(N('Hiring plan'!$F$30)&gt;0,AJ$3&gt;='Hiring plan'!$G$30,AJ$3&lt;=IF('Hiring plan'!$H$30="",999,'Hiring plan'!$H$30)),'Hiring plan'!$F$30,0)</f>
        <v>2</v>
      </c>
      <c r="AK34" s="33" t="n">
        <f aca="false">IF(AND(N('Hiring plan'!$F$30)&gt;0,AK$3&gt;='Hiring plan'!$G$30,AK$3&lt;=IF('Hiring plan'!$H$30="",999,'Hiring plan'!$H$30)),'Hiring plan'!$F$30,0)</f>
        <v>2</v>
      </c>
      <c r="AL34" s="33" t="n">
        <f aca="false">IF(AND(N('Hiring plan'!$F$30)&gt;0,AL$3&gt;='Hiring plan'!$G$30,AL$3&lt;=IF('Hiring plan'!$H$30="",999,'Hiring plan'!$H$30)),'Hiring plan'!$F$30,0)</f>
        <v>2</v>
      </c>
      <c r="AM34" s="33" t="n">
        <f aca="false">IF(AND(N('Hiring plan'!$F$30)&gt;0,AM$3&gt;='Hiring plan'!$G$30,AM$3&lt;=IF('Hiring plan'!$H$30="",999,'Hiring plan'!$H$30)),'Hiring plan'!$F$30,0)</f>
        <v>2</v>
      </c>
      <c r="AN34" s="33" t="n">
        <f aca="false">IF(AND(N('Hiring plan'!$F$30)&gt;0,AN$3&gt;='Hiring plan'!$G$30,AN$3&lt;=IF('Hiring plan'!$H$30="",999,'Hiring plan'!$H$30)),'Hiring plan'!$F$30,0)</f>
        <v>2</v>
      </c>
      <c r="AO34" s="33" t="n">
        <f aca="false">IF(AND(N('Hiring plan'!$F$30)&gt;0,AO$3&gt;='Hiring plan'!$G$30,AO$3&lt;=IF('Hiring plan'!$H$30="",999,'Hiring plan'!$H$30)),'Hiring plan'!$F$30,0)</f>
        <v>2</v>
      </c>
      <c r="AP34" s="33" t="n">
        <f aca="false">IF(AND(N('Hiring plan'!$F$30)&gt;0,AP$3&gt;='Hiring plan'!$G$30,AP$3&lt;=IF('Hiring plan'!$H$30="",999,'Hiring plan'!$H$30)),'Hiring plan'!$F$30,0)</f>
        <v>2</v>
      </c>
      <c r="AQ34" s="33" t="n">
        <f aca="false">IF(AND(N('Hiring plan'!$F$30)&gt;0,AQ$3&gt;='Hiring plan'!$G$30,AQ$3&lt;=IF('Hiring plan'!$H$30="",999,'Hiring plan'!$H$30)),'Hiring plan'!$F$30,0)</f>
        <v>2</v>
      </c>
      <c r="AR34" s="33" t="n">
        <f aca="false">IF(AND(N('Hiring plan'!$F$30)&gt;0,AR$3&gt;='Hiring plan'!$G$30,AR$3&lt;=IF('Hiring plan'!$H$30="",999,'Hiring plan'!$H$30)),'Hiring plan'!$F$30,0)</f>
        <v>2</v>
      </c>
      <c r="AS34" s="33" t="n">
        <f aca="false">IF(AND(N('Hiring plan'!$F$30)&gt;0,AS$3&gt;='Hiring plan'!$G$30,AS$3&lt;=IF('Hiring plan'!$H$30="",999,'Hiring plan'!$H$30)),'Hiring plan'!$F$30,0)</f>
        <v>2</v>
      </c>
      <c r="AT34" s="33" t="n">
        <f aca="false">IF(AND(N('Hiring plan'!$F$30)&gt;0,AT$3&gt;='Hiring plan'!$G$30,AT$3&lt;=IF('Hiring plan'!$H$30="",999,'Hiring plan'!$H$30)),'Hiring plan'!$F$30,0)</f>
        <v>2</v>
      </c>
      <c r="AU34" s="33" t="n">
        <f aca="false">IF(AND(N('Hiring plan'!$F$30)&gt;0,AU$3&gt;='Hiring plan'!$G$30,AU$3&lt;=IF('Hiring plan'!$H$30="",999,'Hiring plan'!$H$30)),'Hiring plan'!$F$30,0)</f>
        <v>2</v>
      </c>
      <c r="AV34" s="33" t="n">
        <f aca="false">IF(AND(N('Hiring plan'!$F$30)&gt;0,AV$3&gt;='Hiring plan'!$G$30,AV$3&lt;=IF('Hiring plan'!$H$30="",999,'Hiring plan'!$H$30)),'Hiring plan'!$F$30,0)</f>
        <v>2</v>
      </c>
      <c r="AW34" s="33" t="n">
        <f aca="false">IF(AND(N('Hiring plan'!$F$30)&gt;0,AW$3&gt;='Hiring plan'!$G$30,AW$3&lt;=IF('Hiring plan'!$H$30="",999,'Hiring plan'!$H$30)),'Hiring plan'!$F$30,0)</f>
        <v>2</v>
      </c>
      <c r="AX34" s="33" t="n">
        <f aca="false">IF(AND(N('Hiring plan'!$F$30)&gt;0,AX$3&gt;='Hiring plan'!$G$30,AX$3&lt;=IF('Hiring plan'!$H$30="",999,'Hiring plan'!$H$30)),'Hiring plan'!$F$30,0)</f>
        <v>2</v>
      </c>
      <c r="AY34" s="33" t="n">
        <f aca="false">IF(AND(N('Hiring plan'!$F$30)&gt;0,AY$3&gt;='Hiring plan'!$G$30,AY$3&lt;=IF('Hiring plan'!$H$30="",999,'Hiring plan'!$H$30)),'Hiring plan'!$F$30,0)</f>
        <v>2</v>
      </c>
      <c r="AZ34" s="33" t="n">
        <f aca="false">IF(AND(N('Hiring plan'!$F$30)&gt;0,AZ$3&gt;='Hiring plan'!$G$30,AZ$3&lt;=IF('Hiring plan'!$H$30="",999,'Hiring plan'!$H$30)),'Hiring plan'!$F$30,0)</f>
        <v>2</v>
      </c>
      <c r="BA34" s="33" t="n">
        <f aca="false">IF(AND(N('Hiring plan'!$F$30)&gt;0,BA$3&gt;='Hiring plan'!$G$30,BA$3&lt;=IF('Hiring plan'!$H$30="",999,'Hiring plan'!$H$30)),'Hiring plan'!$F$30,0)</f>
        <v>2</v>
      </c>
      <c r="BB34" s="33" t="n">
        <f aca="false">IF(AND(N('Hiring plan'!$F$30)&gt;0,BB$3&gt;='Hiring plan'!$G$30,BB$3&lt;=IF('Hiring plan'!$H$30="",999,'Hiring plan'!$H$30)),'Hiring plan'!$F$30,0)</f>
        <v>2</v>
      </c>
      <c r="BC34" s="33" t="n">
        <f aca="false">IF(AND(N('Hiring plan'!$F$30)&gt;0,BC$3&gt;='Hiring plan'!$G$30,BC$3&lt;=IF('Hiring plan'!$H$30="",999,'Hiring plan'!$H$30)),'Hiring plan'!$F$30,0)</f>
        <v>2</v>
      </c>
      <c r="BD34" s="33" t="n">
        <f aca="false">IF(AND(N('Hiring plan'!$F$30)&gt;0,BD$3&gt;='Hiring plan'!$G$30,BD$3&lt;=IF('Hiring plan'!$H$30="",999,'Hiring plan'!$H$30)),'Hiring plan'!$F$30,0)</f>
        <v>2</v>
      </c>
      <c r="BE34" s="33" t="n">
        <f aca="false">IF(AND(N('Hiring plan'!$F$30)&gt;0,BE$3&gt;='Hiring plan'!$G$30,BE$3&lt;=IF('Hiring plan'!$H$30="",999,'Hiring plan'!$H$30)),'Hiring plan'!$F$30,0)</f>
        <v>2</v>
      </c>
      <c r="BF34" s="33" t="n">
        <f aca="false">IF(AND(N('Hiring plan'!$F$30)&gt;0,BF$3&gt;='Hiring plan'!$G$30,BF$3&lt;=IF('Hiring plan'!$H$30="",999,'Hiring plan'!$H$30)),'Hiring plan'!$F$30,0)</f>
        <v>2</v>
      </c>
      <c r="BG34" s="33" t="n">
        <f aca="false">IF(AND(N('Hiring plan'!$F$30)&gt;0,BG$3&gt;='Hiring plan'!$G$30,BG$3&lt;=IF('Hiring plan'!$H$30="",999,'Hiring plan'!$H$30)),'Hiring plan'!$F$30,0)</f>
        <v>2</v>
      </c>
      <c r="BH34" s="33" t="n">
        <f aca="false">IF(AND(N('Hiring plan'!$F$30)&gt;0,BH$3&gt;='Hiring plan'!$G$30,BH$3&lt;=IF('Hiring plan'!$H$30="",999,'Hiring plan'!$H$30)),'Hiring plan'!$F$30,0)</f>
        <v>2</v>
      </c>
      <c r="BI34" s="33" t="n">
        <f aca="false">IF(AND(N('Hiring plan'!$F$30)&gt;0,BI$3&gt;='Hiring plan'!$G$30,BI$3&lt;=IF('Hiring plan'!$H$30="",999,'Hiring plan'!$H$30)),'Hiring plan'!$F$30,0)</f>
        <v>2</v>
      </c>
      <c r="BJ34" s="33" t="n">
        <f aca="false">IF(AND(N('Hiring plan'!$F$30)&gt;0,BJ$3&gt;='Hiring plan'!$G$30,BJ$3&lt;=IF('Hiring plan'!$H$30="",999,'Hiring plan'!$H$30)),'Hiring plan'!$F$30,0)</f>
        <v>2</v>
      </c>
      <c r="BK34" s="33" t="n">
        <f aca="false">IF(AND(N('Hiring plan'!$F$30)&gt;0,BK$3&gt;='Hiring plan'!$G$30,BK$3&lt;=IF('Hiring plan'!$H$30="",999,'Hiring plan'!$H$30)),'Hiring plan'!$F$30,0)</f>
        <v>2</v>
      </c>
      <c r="BL34" s="33" t="n">
        <f aca="false">IF(AND(N('Hiring plan'!$F$30)&gt;0,BL$3&gt;='Hiring plan'!$G$30,BL$3&lt;=IF('Hiring plan'!$H$30="",999,'Hiring plan'!$H$30)),'Hiring plan'!$F$30,0)</f>
        <v>2</v>
      </c>
    </row>
    <row r="35" customFormat="false" ht="15" hidden="false" customHeight="false" outlineLevel="0" collapsed="false">
      <c r="A35" s="12" t="str">
        <f aca="false">IF('Hiring plan'!$C$31="","(spare line 27)",'Hiring plan'!$C$31&amp;" · "&amp;'Hiring plan'!$D$31)</f>
        <v>Collections agent (incl. variable pay) · SN</v>
      </c>
      <c r="B35" s="14" t="s">
        <v>222</v>
      </c>
      <c r="D35" s="41" t="n">
        <f aca="false">MAX(E35:BL35)</f>
        <v>1</v>
      </c>
      <c r="E35" s="33" t="n">
        <f aca="false">IF(AND(N('Hiring plan'!$F$31)&gt;0,E$3&gt;='Hiring plan'!$G$31,E$3&lt;=IF('Hiring plan'!$H$31="",999,'Hiring plan'!$H$31)),'Hiring plan'!$F$31,0)</f>
        <v>0</v>
      </c>
      <c r="F35" s="33" t="n">
        <f aca="false">IF(AND(N('Hiring plan'!$F$31)&gt;0,F$3&gt;='Hiring plan'!$G$31,F$3&lt;=IF('Hiring plan'!$H$31="",999,'Hiring plan'!$H$31)),'Hiring plan'!$F$31,0)</f>
        <v>0</v>
      </c>
      <c r="G35" s="33" t="n">
        <f aca="false">IF(AND(N('Hiring plan'!$F$31)&gt;0,G$3&gt;='Hiring plan'!$G$31,G$3&lt;=IF('Hiring plan'!$H$31="",999,'Hiring plan'!$H$31)),'Hiring plan'!$F$31,0)</f>
        <v>0</v>
      </c>
      <c r="H35" s="33" t="n">
        <f aca="false">IF(AND(N('Hiring plan'!$F$31)&gt;0,H$3&gt;='Hiring plan'!$G$31,H$3&lt;=IF('Hiring plan'!$H$31="",999,'Hiring plan'!$H$31)),'Hiring plan'!$F$31,0)</f>
        <v>0</v>
      </c>
      <c r="I35" s="33" t="n">
        <f aca="false">IF(AND(N('Hiring plan'!$F$31)&gt;0,I$3&gt;='Hiring plan'!$G$31,I$3&lt;=IF('Hiring plan'!$H$31="",999,'Hiring plan'!$H$31)),'Hiring plan'!$F$31,0)</f>
        <v>0</v>
      </c>
      <c r="J35" s="33" t="n">
        <f aca="false">IF(AND(N('Hiring plan'!$F$31)&gt;0,J$3&gt;='Hiring plan'!$G$31,J$3&lt;=IF('Hiring plan'!$H$31="",999,'Hiring plan'!$H$31)),'Hiring plan'!$F$31,0)</f>
        <v>0</v>
      </c>
      <c r="K35" s="33" t="n">
        <f aca="false">IF(AND(N('Hiring plan'!$F$31)&gt;0,K$3&gt;='Hiring plan'!$G$31,K$3&lt;=IF('Hiring plan'!$H$31="",999,'Hiring plan'!$H$31)),'Hiring plan'!$F$31,0)</f>
        <v>0</v>
      </c>
      <c r="L35" s="33" t="n">
        <f aca="false">IF(AND(N('Hiring plan'!$F$31)&gt;0,L$3&gt;='Hiring plan'!$G$31,L$3&lt;=IF('Hiring plan'!$H$31="",999,'Hiring plan'!$H$31)),'Hiring plan'!$F$31,0)</f>
        <v>0</v>
      </c>
      <c r="M35" s="33" t="n">
        <f aca="false">IF(AND(N('Hiring plan'!$F$31)&gt;0,M$3&gt;='Hiring plan'!$G$31,M$3&lt;=IF('Hiring plan'!$H$31="",999,'Hiring plan'!$H$31)),'Hiring plan'!$F$31,0)</f>
        <v>0</v>
      </c>
      <c r="N35" s="33" t="n">
        <f aca="false">IF(AND(N('Hiring plan'!$F$31)&gt;0,N$3&gt;='Hiring plan'!$G$31,N$3&lt;=IF('Hiring plan'!$H$31="",999,'Hiring plan'!$H$31)),'Hiring plan'!$F$31,0)</f>
        <v>0</v>
      </c>
      <c r="O35" s="33" t="n">
        <f aca="false">IF(AND(N('Hiring plan'!$F$31)&gt;0,O$3&gt;='Hiring plan'!$G$31,O$3&lt;=IF('Hiring plan'!$H$31="",999,'Hiring plan'!$H$31)),'Hiring plan'!$F$31,0)</f>
        <v>0</v>
      </c>
      <c r="P35" s="33" t="n">
        <f aca="false">IF(AND(N('Hiring plan'!$F$31)&gt;0,P$3&gt;='Hiring plan'!$G$31,P$3&lt;=IF('Hiring plan'!$H$31="",999,'Hiring plan'!$H$31)),'Hiring plan'!$F$31,0)</f>
        <v>0</v>
      </c>
      <c r="Q35" s="33" t="n">
        <f aca="false">IF(AND(N('Hiring plan'!$F$31)&gt;0,Q$3&gt;='Hiring plan'!$G$31,Q$3&lt;=IF('Hiring plan'!$H$31="",999,'Hiring plan'!$H$31)),'Hiring plan'!$F$31,0)</f>
        <v>0</v>
      </c>
      <c r="R35" s="33" t="n">
        <f aca="false">IF(AND(N('Hiring plan'!$F$31)&gt;0,R$3&gt;='Hiring plan'!$G$31,R$3&lt;=IF('Hiring plan'!$H$31="",999,'Hiring plan'!$H$31)),'Hiring plan'!$F$31,0)</f>
        <v>0</v>
      </c>
      <c r="S35" s="33" t="n">
        <f aca="false">IF(AND(N('Hiring plan'!$F$31)&gt;0,S$3&gt;='Hiring plan'!$G$31,S$3&lt;=IF('Hiring plan'!$H$31="",999,'Hiring plan'!$H$31)),'Hiring plan'!$F$31,0)</f>
        <v>0</v>
      </c>
      <c r="T35" s="33" t="n">
        <f aca="false">IF(AND(N('Hiring plan'!$F$31)&gt;0,T$3&gt;='Hiring plan'!$G$31,T$3&lt;=IF('Hiring plan'!$H$31="",999,'Hiring plan'!$H$31)),'Hiring plan'!$F$31,0)</f>
        <v>0</v>
      </c>
      <c r="U35" s="33" t="n">
        <f aca="false">IF(AND(N('Hiring plan'!$F$31)&gt;0,U$3&gt;='Hiring plan'!$G$31,U$3&lt;=IF('Hiring plan'!$H$31="",999,'Hiring plan'!$H$31)),'Hiring plan'!$F$31,0)</f>
        <v>0</v>
      </c>
      <c r="V35" s="33" t="n">
        <f aca="false">IF(AND(N('Hiring plan'!$F$31)&gt;0,V$3&gt;='Hiring plan'!$G$31,V$3&lt;=IF('Hiring plan'!$H$31="",999,'Hiring plan'!$H$31)),'Hiring plan'!$F$31,0)</f>
        <v>0</v>
      </c>
      <c r="W35" s="33" t="n">
        <f aca="false">IF(AND(N('Hiring plan'!$F$31)&gt;0,W$3&gt;='Hiring plan'!$G$31,W$3&lt;=IF('Hiring plan'!$H$31="",999,'Hiring plan'!$H$31)),'Hiring plan'!$F$31,0)</f>
        <v>0</v>
      </c>
      <c r="X35" s="33" t="n">
        <f aca="false">IF(AND(N('Hiring plan'!$F$31)&gt;0,X$3&gt;='Hiring plan'!$G$31,X$3&lt;=IF('Hiring plan'!$H$31="",999,'Hiring plan'!$H$31)),'Hiring plan'!$F$31,0)</f>
        <v>0</v>
      </c>
      <c r="Y35" s="33" t="n">
        <f aca="false">IF(AND(N('Hiring plan'!$F$31)&gt;0,Y$3&gt;='Hiring plan'!$G$31,Y$3&lt;=IF('Hiring plan'!$H$31="",999,'Hiring plan'!$H$31)),'Hiring plan'!$F$31,0)</f>
        <v>0</v>
      </c>
      <c r="Z35" s="33" t="n">
        <f aca="false">IF(AND(N('Hiring plan'!$F$31)&gt;0,Z$3&gt;='Hiring plan'!$G$31,Z$3&lt;=IF('Hiring plan'!$H$31="",999,'Hiring plan'!$H$31)),'Hiring plan'!$F$31,0)</f>
        <v>0</v>
      </c>
      <c r="AA35" s="33" t="n">
        <f aca="false">IF(AND(N('Hiring plan'!$F$31)&gt;0,AA$3&gt;='Hiring plan'!$G$31,AA$3&lt;=IF('Hiring plan'!$H$31="",999,'Hiring plan'!$H$31)),'Hiring plan'!$F$31,0)</f>
        <v>0</v>
      </c>
      <c r="AB35" s="33" t="n">
        <f aca="false">IF(AND(N('Hiring plan'!$F$31)&gt;0,AB$3&gt;='Hiring plan'!$G$31,AB$3&lt;=IF('Hiring plan'!$H$31="",999,'Hiring plan'!$H$31)),'Hiring plan'!$F$31,0)</f>
        <v>0</v>
      </c>
      <c r="AC35" s="33" t="n">
        <f aca="false">IF(AND(N('Hiring plan'!$F$31)&gt;0,AC$3&gt;='Hiring plan'!$G$31,AC$3&lt;=IF('Hiring plan'!$H$31="",999,'Hiring plan'!$H$31)),'Hiring plan'!$F$31,0)</f>
        <v>0</v>
      </c>
      <c r="AD35" s="33" t="n">
        <f aca="false">IF(AND(N('Hiring plan'!$F$31)&gt;0,AD$3&gt;='Hiring plan'!$G$31,AD$3&lt;=IF('Hiring plan'!$H$31="",999,'Hiring plan'!$H$31)),'Hiring plan'!$F$31,0)</f>
        <v>0</v>
      </c>
      <c r="AE35" s="33" t="n">
        <f aca="false">IF(AND(N('Hiring plan'!$F$31)&gt;0,AE$3&gt;='Hiring plan'!$G$31,AE$3&lt;=IF('Hiring plan'!$H$31="",999,'Hiring plan'!$H$31)),'Hiring plan'!$F$31,0)</f>
        <v>0</v>
      </c>
      <c r="AF35" s="33" t="n">
        <f aca="false">IF(AND(N('Hiring plan'!$F$31)&gt;0,AF$3&gt;='Hiring plan'!$G$31,AF$3&lt;=IF('Hiring plan'!$H$31="",999,'Hiring plan'!$H$31)),'Hiring plan'!$F$31,0)</f>
        <v>0</v>
      </c>
      <c r="AG35" s="33" t="n">
        <f aca="false">IF(AND(N('Hiring plan'!$F$31)&gt;0,AG$3&gt;='Hiring plan'!$G$31,AG$3&lt;=IF('Hiring plan'!$H$31="",999,'Hiring plan'!$H$31)),'Hiring plan'!$F$31,0)</f>
        <v>0</v>
      </c>
      <c r="AH35" s="33" t="n">
        <f aca="false">IF(AND(N('Hiring plan'!$F$31)&gt;0,AH$3&gt;='Hiring plan'!$G$31,AH$3&lt;=IF('Hiring plan'!$H$31="",999,'Hiring plan'!$H$31)),'Hiring plan'!$F$31,0)</f>
        <v>0</v>
      </c>
      <c r="AI35" s="33" t="n">
        <f aca="false">IF(AND(N('Hiring plan'!$F$31)&gt;0,AI$3&gt;='Hiring plan'!$G$31,AI$3&lt;=IF('Hiring plan'!$H$31="",999,'Hiring plan'!$H$31)),'Hiring plan'!$F$31,0)</f>
        <v>1</v>
      </c>
      <c r="AJ35" s="33" t="n">
        <f aca="false">IF(AND(N('Hiring plan'!$F$31)&gt;0,AJ$3&gt;='Hiring plan'!$G$31,AJ$3&lt;=IF('Hiring plan'!$H$31="",999,'Hiring plan'!$H$31)),'Hiring plan'!$F$31,0)</f>
        <v>1</v>
      </c>
      <c r="AK35" s="33" t="n">
        <f aca="false">IF(AND(N('Hiring plan'!$F$31)&gt;0,AK$3&gt;='Hiring plan'!$G$31,AK$3&lt;=IF('Hiring plan'!$H$31="",999,'Hiring plan'!$H$31)),'Hiring plan'!$F$31,0)</f>
        <v>1</v>
      </c>
      <c r="AL35" s="33" t="n">
        <f aca="false">IF(AND(N('Hiring plan'!$F$31)&gt;0,AL$3&gt;='Hiring plan'!$G$31,AL$3&lt;=IF('Hiring plan'!$H$31="",999,'Hiring plan'!$H$31)),'Hiring plan'!$F$31,0)</f>
        <v>1</v>
      </c>
      <c r="AM35" s="33" t="n">
        <f aca="false">IF(AND(N('Hiring plan'!$F$31)&gt;0,AM$3&gt;='Hiring plan'!$G$31,AM$3&lt;=IF('Hiring plan'!$H$31="",999,'Hiring plan'!$H$31)),'Hiring plan'!$F$31,0)</f>
        <v>1</v>
      </c>
      <c r="AN35" s="33" t="n">
        <f aca="false">IF(AND(N('Hiring plan'!$F$31)&gt;0,AN$3&gt;='Hiring plan'!$G$31,AN$3&lt;=IF('Hiring plan'!$H$31="",999,'Hiring plan'!$H$31)),'Hiring plan'!$F$31,0)</f>
        <v>1</v>
      </c>
      <c r="AO35" s="33" t="n">
        <f aca="false">IF(AND(N('Hiring plan'!$F$31)&gt;0,AO$3&gt;='Hiring plan'!$G$31,AO$3&lt;=IF('Hiring plan'!$H$31="",999,'Hiring plan'!$H$31)),'Hiring plan'!$F$31,0)</f>
        <v>1</v>
      </c>
      <c r="AP35" s="33" t="n">
        <f aca="false">IF(AND(N('Hiring plan'!$F$31)&gt;0,AP$3&gt;='Hiring plan'!$G$31,AP$3&lt;=IF('Hiring plan'!$H$31="",999,'Hiring plan'!$H$31)),'Hiring plan'!$F$31,0)</f>
        <v>1</v>
      </c>
      <c r="AQ35" s="33" t="n">
        <f aca="false">IF(AND(N('Hiring plan'!$F$31)&gt;0,AQ$3&gt;='Hiring plan'!$G$31,AQ$3&lt;=IF('Hiring plan'!$H$31="",999,'Hiring plan'!$H$31)),'Hiring plan'!$F$31,0)</f>
        <v>1</v>
      </c>
      <c r="AR35" s="33" t="n">
        <f aca="false">IF(AND(N('Hiring plan'!$F$31)&gt;0,AR$3&gt;='Hiring plan'!$G$31,AR$3&lt;=IF('Hiring plan'!$H$31="",999,'Hiring plan'!$H$31)),'Hiring plan'!$F$31,0)</f>
        <v>1</v>
      </c>
      <c r="AS35" s="33" t="n">
        <f aca="false">IF(AND(N('Hiring plan'!$F$31)&gt;0,AS$3&gt;='Hiring plan'!$G$31,AS$3&lt;=IF('Hiring plan'!$H$31="",999,'Hiring plan'!$H$31)),'Hiring plan'!$F$31,0)</f>
        <v>1</v>
      </c>
      <c r="AT35" s="33" t="n">
        <f aca="false">IF(AND(N('Hiring plan'!$F$31)&gt;0,AT$3&gt;='Hiring plan'!$G$31,AT$3&lt;=IF('Hiring plan'!$H$31="",999,'Hiring plan'!$H$31)),'Hiring plan'!$F$31,0)</f>
        <v>1</v>
      </c>
      <c r="AU35" s="33" t="n">
        <f aca="false">IF(AND(N('Hiring plan'!$F$31)&gt;0,AU$3&gt;='Hiring plan'!$G$31,AU$3&lt;=IF('Hiring plan'!$H$31="",999,'Hiring plan'!$H$31)),'Hiring plan'!$F$31,0)</f>
        <v>1</v>
      </c>
      <c r="AV35" s="33" t="n">
        <f aca="false">IF(AND(N('Hiring plan'!$F$31)&gt;0,AV$3&gt;='Hiring plan'!$G$31,AV$3&lt;=IF('Hiring plan'!$H$31="",999,'Hiring plan'!$H$31)),'Hiring plan'!$F$31,0)</f>
        <v>1</v>
      </c>
      <c r="AW35" s="33" t="n">
        <f aca="false">IF(AND(N('Hiring plan'!$F$31)&gt;0,AW$3&gt;='Hiring plan'!$G$31,AW$3&lt;=IF('Hiring plan'!$H$31="",999,'Hiring plan'!$H$31)),'Hiring plan'!$F$31,0)</f>
        <v>1</v>
      </c>
      <c r="AX35" s="33" t="n">
        <f aca="false">IF(AND(N('Hiring plan'!$F$31)&gt;0,AX$3&gt;='Hiring plan'!$G$31,AX$3&lt;=IF('Hiring plan'!$H$31="",999,'Hiring plan'!$H$31)),'Hiring plan'!$F$31,0)</f>
        <v>1</v>
      </c>
      <c r="AY35" s="33" t="n">
        <f aca="false">IF(AND(N('Hiring plan'!$F$31)&gt;0,AY$3&gt;='Hiring plan'!$G$31,AY$3&lt;=IF('Hiring plan'!$H$31="",999,'Hiring plan'!$H$31)),'Hiring plan'!$F$31,0)</f>
        <v>1</v>
      </c>
      <c r="AZ35" s="33" t="n">
        <f aca="false">IF(AND(N('Hiring plan'!$F$31)&gt;0,AZ$3&gt;='Hiring plan'!$G$31,AZ$3&lt;=IF('Hiring plan'!$H$31="",999,'Hiring plan'!$H$31)),'Hiring plan'!$F$31,0)</f>
        <v>1</v>
      </c>
      <c r="BA35" s="33" t="n">
        <f aca="false">IF(AND(N('Hiring plan'!$F$31)&gt;0,BA$3&gt;='Hiring plan'!$G$31,BA$3&lt;=IF('Hiring plan'!$H$31="",999,'Hiring plan'!$H$31)),'Hiring plan'!$F$31,0)</f>
        <v>1</v>
      </c>
      <c r="BB35" s="33" t="n">
        <f aca="false">IF(AND(N('Hiring plan'!$F$31)&gt;0,BB$3&gt;='Hiring plan'!$G$31,BB$3&lt;=IF('Hiring plan'!$H$31="",999,'Hiring plan'!$H$31)),'Hiring plan'!$F$31,0)</f>
        <v>1</v>
      </c>
      <c r="BC35" s="33" t="n">
        <f aca="false">IF(AND(N('Hiring plan'!$F$31)&gt;0,BC$3&gt;='Hiring plan'!$G$31,BC$3&lt;=IF('Hiring plan'!$H$31="",999,'Hiring plan'!$H$31)),'Hiring plan'!$F$31,0)</f>
        <v>1</v>
      </c>
      <c r="BD35" s="33" t="n">
        <f aca="false">IF(AND(N('Hiring plan'!$F$31)&gt;0,BD$3&gt;='Hiring plan'!$G$31,BD$3&lt;=IF('Hiring plan'!$H$31="",999,'Hiring plan'!$H$31)),'Hiring plan'!$F$31,0)</f>
        <v>1</v>
      </c>
      <c r="BE35" s="33" t="n">
        <f aca="false">IF(AND(N('Hiring plan'!$F$31)&gt;0,BE$3&gt;='Hiring plan'!$G$31,BE$3&lt;=IF('Hiring plan'!$H$31="",999,'Hiring plan'!$H$31)),'Hiring plan'!$F$31,0)</f>
        <v>1</v>
      </c>
      <c r="BF35" s="33" t="n">
        <f aca="false">IF(AND(N('Hiring plan'!$F$31)&gt;0,BF$3&gt;='Hiring plan'!$G$31,BF$3&lt;=IF('Hiring plan'!$H$31="",999,'Hiring plan'!$H$31)),'Hiring plan'!$F$31,0)</f>
        <v>1</v>
      </c>
      <c r="BG35" s="33" t="n">
        <f aca="false">IF(AND(N('Hiring plan'!$F$31)&gt;0,BG$3&gt;='Hiring plan'!$G$31,BG$3&lt;=IF('Hiring plan'!$H$31="",999,'Hiring plan'!$H$31)),'Hiring plan'!$F$31,0)</f>
        <v>1</v>
      </c>
      <c r="BH35" s="33" t="n">
        <f aca="false">IF(AND(N('Hiring plan'!$F$31)&gt;0,BH$3&gt;='Hiring plan'!$G$31,BH$3&lt;=IF('Hiring plan'!$H$31="",999,'Hiring plan'!$H$31)),'Hiring plan'!$F$31,0)</f>
        <v>1</v>
      </c>
      <c r="BI35" s="33" t="n">
        <f aca="false">IF(AND(N('Hiring plan'!$F$31)&gt;0,BI$3&gt;='Hiring plan'!$G$31,BI$3&lt;=IF('Hiring plan'!$H$31="",999,'Hiring plan'!$H$31)),'Hiring plan'!$F$31,0)</f>
        <v>1</v>
      </c>
      <c r="BJ35" s="33" t="n">
        <f aca="false">IF(AND(N('Hiring plan'!$F$31)&gt;0,BJ$3&gt;='Hiring plan'!$G$31,BJ$3&lt;=IF('Hiring plan'!$H$31="",999,'Hiring plan'!$H$31)),'Hiring plan'!$F$31,0)</f>
        <v>1</v>
      </c>
      <c r="BK35" s="33" t="n">
        <f aca="false">IF(AND(N('Hiring plan'!$F$31)&gt;0,BK$3&gt;='Hiring plan'!$G$31,BK$3&lt;=IF('Hiring plan'!$H$31="",999,'Hiring plan'!$H$31)),'Hiring plan'!$F$31,0)</f>
        <v>1</v>
      </c>
      <c r="BL35" s="33" t="n">
        <f aca="false">IF(AND(N('Hiring plan'!$F$31)&gt;0,BL$3&gt;='Hiring plan'!$G$31,BL$3&lt;=IF('Hiring plan'!$H$31="",999,'Hiring plan'!$H$31)),'Hiring plan'!$F$31,0)</f>
        <v>1</v>
      </c>
    </row>
    <row r="36" customFormat="false" ht="15" hidden="false" customHeight="false" outlineLevel="0" collapsed="false">
      <c r="A36" s="12" t="str">
        <f aca="false">IF('Hiring plan'!$C$32="","(spare line 28)",'Hiring plan'!$C$32&amp;" · "&amp;'Hiring plan'!$D$32)</f>
        <v>Credit analyst · SN</v>
      </c>
      <c r="B36" s="14" t="s">
        <v>222</v>
      </c>
      <c r="D36" s="41" t="n">
        <f aca="false">MAX(E36:BL36)</f>
        <v>1</v>
      </c>
      <c r="E36" s="33" t="n">
        <f aca="false">IF(AND(N('Hiring plan'!$F$32)&gt;0,E$3&gt;='Hiring plan'!$G$32,E$3&lt;=IF('Hiring plan'!$H$32="",999,'Hiring plan'!$H$32)),'Hiring plan'!$F$32,0)</f>
        <v>0</v>
      </c>
      <c r="F36" s="33" t="n">
        <f aca="false">IF(AND(N('Hiring plan'!$F$32)&gt;0,F$3&gt;='Hiring plan'!$G$32,F$3&lt;=IF('Hiring plan'!$H$32="",999,'Hiring plan'!$H$32)),'Hiring plan'!$F$32,0)</f>
        <v>0</v>
      </c>
      <c r="G36" s="33" t="n">
        <f aca="false">IF(AND(N('Hiring plan'!$F$32)&gt;0,G$3&gt;='Hiring plan'!$G$32,G$3&lt;=IF('Hiring plan'!$H$32="",999,'Hiring plan'!$H$32)),'Hiring plan'!$F$32,0)</f>
        <v>0</v>
      </c>
      <c r="H36" s="33" t="n">
        <f aca="false">IF(AND(N('Hiring plan'!$F$32)&gt;0,H$3&gt;='Hiring plan'!$G$32,H$3&lt;=IF('Hiring plan'!$H$32="",999,'Hiring plan'!$H$32)),'Hiring plan'!$F$32,0)</f>
        <v>0</v>
      </c>
      <c r="I36" s="33" t="n">
        <f aca="false">IF(AND(N('Hiring plan'!$F$32)&gt;0,I$3&gt;='Hiring plan'!$G$32,I$3&lt;=IF('Hiring plan'!$H$32="",999,'Hiring plan'!$H$32)),'Hiring plan'!$F$32,0)</f>
        <v>0</v>
      </c>
      <c r="J36" s="33" t="n">
        <f aca="false">IF(AND(N('Hiring plan'!$F$32)&gt;0,J$3&gt;='Hiring plan'!$G$32,J$3&lt;=IF('Hiring plan'!$H$32="",999,'Hiring plan'!$H$32)),'Hiring plan'!$F$32,0)</f>
        <v>0</v>
      </c>
      <c r="K36" s="33" t="n">
        <f aca="false">IF(AND(N('Hiring plan'!$F$32)&gt;0,K$3&gt;='Hiring plan'!$G$32,K$3&lt;=IF('Hiring plan'!$H$32="",999,'Hiring plan'!$H$32)),'Hiring plan'!$F$32,0)</f>
        <v>0</v>
      </c>
      <c r="L36" s="33" t="n">
        <f aca="false">IF(AND(N('Hiring plan'!$F$32)&gt;0,L$3&gt;='Hiring plan'!$G$32,L$3&lt;=IF('Hiring plan'!$H$32="",999,'Hiring plan'!$H$32)),'Hiring plan'!$F$32,0)</f>
        <v>0</v>
      </c>
      <c r="M36" s="33" t="n">
        <f aca="false">IF(AND(N('Hiring plan'!$F$32)&gt;0,M$3&gt;='Hiring plan'!$G$32,M$3&lt;=IF('Hiring plan'!$H$32="",999,'Hiring plan'!$H$32)),'Hiring plan'!$F$32,0)</f>
        <v>0</v>
      </c>
      <c r="N36" s="33" t="n">
        <f aca="false">IF(AND(N('Hiring plan'!$F$32)&gt;0,N$3&gt;='Hiring plan'!$G$32,N$3&lt;=IF('Hiring plan'!$H$32="",999,'Hiring plan'!$H$32)),'Hiring plan'!$F$32,0)</f>
        <v>0</v>
      </c>
      <c r="O36" s="33" t="n">
        <f aca="false">IF(AND(N('Hiring plan'!$F$32)&gt;0,O$3&gt;='Hiring plan'!$G$32,O$3&lt;=IF('Hiring plan'!$H$32="",999,'Hiring plan'!$H$32)),'Hiring plan'!$F$32,0)</f>
        <v>0</v>
      </c>
      <c r="P36" s="33" t="n">
        <f aca="false">IF(AND(N('Hiring plan'!$F$32)&gt;0,P$3&gt;='Hiring plan'!$G$32,P$3&lt;=IF('Hiring plan'!$H$32="",999,'Hiring plan'!$H$32)),'Hiring plan'!$F$32,0)</f>
        <v>0</v>
      </c>
      <c r="Q36" s="33" t="n">
        <f aca="false">IF(AND(N('Hiring plan'!$F$32)&gt;0,Q$3&gt;='Hiring plan'!$G$32,Q$3&lt;=IF('Hiring plan'!$H$32="",999,'Hiring plan'!$H$32)),'Hiring plan'!$F$32,0)</f>
        <v>0</v>
      </c>
      <c r="R36" s="33" t="n">
        <f aca="false">IF(AND(N('Hiring plan'!$F$32)&gt;0,R$3&gt;='Hiring plan'!$G$32,R$3&lt;=IF('Hiring plan'!$H$32="",999,'Hiring plan'!$H$32)),'Hiring plan'!$F$32,0)</f>
        <v>0</v>
      </c>
      <c r="S36" s="33" t="n">
        <f aca="false">IF(AND(N('Hiring plan'!$F$32)&gt;0,S$3&gt;='Hiring plan'!$G$32,S$3&lt;=IF('Hiring plan'!$H$32="",999,'Hiring plan'!$H$32)),'Hiring plan'!$F$32,0)</f>
        <v>0</v>
      </c>
      <c r="T36" s="33" t="n">
        <f aca="false">IF(AND(N('Hiring plan'!$F$32)&gt;0,T$3&gt;='Hiring plan'!$G$32,T$3&lt;=IF('Hiring plan'!$H$32="",999,'Hiring plan'!$H$32)),'Hiring plan'!$F$32,0)</f>
        <v>0</v>
      </c>
      <c r="U36" s="33" t="n">
        <f aca="false">IF(AND(N('Hiring plan'!$F$32)&gt;0,U$3&gt;='Hiring plan'!$G$32,U$3&lt;=IF('Hiring plan'!$H$32="",999,'Hiring plan'!$H$32)),'Hiring plan'!$F$32,0)</f>
        <v>0</v>
      </c>
      <c r="V36" s="33" t="n">
        <f aca="false">IF(AND(N('Hiring plan'!$F$32)&gt;0,V$3&gt;='Hiring plan'!$G$32,V$3&lt;=IF('Hiring plan'!$H$32="",999,'Hiring plan'!$H$32)),'Hiring plan'!$F$32,0)</f>
        <v>0</v>
      </c>
      <c r="W36" s="33" t="n">
        <f aca="false">IF(AND(N('Hiring plan'!$F$32)&gt;0,W$3&gt;='Hiring plan'!$G$32,W$3&lt;=IF('Hiring plan'!$H$32="",999,'Hiring plan'!$H$32)),'Hiring plan'!$F$32,0)</f>
        <v>0</v>
      </c>
      <c r="X36" s="33" t="n">
        <f aca="false">IF(AND(N('Hiring plan'!$F$32)&gt;0,X$3&gt;='Hiring plan'!$G$32,X$3&lt;=IF('Hiring plan'!$H$32="",999,'Hiring plan'!$H$32)),'Hiring plan'!$F$32,0)</f>
        <v>0</v>
      </c>
      <c r="Y36" s="33" t="n">
        <f aca="false">IF(AND(N('Hiring plan'!$F$32)&gt;0,Y$3&gt;='Hiring plan'!$G$32,Y$3&lt;=IF('Hiring plan'!$H$32="",999,'Hiring plan'!$H$32)),'Hiring plan'!$F$32,0)</f>
        <v>0</v>
      </c>
      <c r="Z36" s="33" t="n">
        <f aca="false">IF(AND(N('Hiring plan'!$F$32)&gt;0,Z$3&gt;='Hiring plan'!$G$32,Z$3&lt;=IF('Hiring plan'!$H$32="",999,'Hiring plan'!$H$32)),'Hiring plan'!$F$32,0)</f>
        <v>0</v>
      </c>
      <c r="AA36" s="33" t="n">
        <f aca="false">IF(AND(N('Hiring plan'!$F$32)&gt;0,AA$3&gt;='Hiring plan'!$G$32,AA$3&lt;=IF('Hiring plan'!$H$32="",999,'Hiring plan'!$H$32)),'Hiring plan'!$F$32,0)</f>
        <v>0</v>
      </c>
      <c r="AB36" s="33" t="n">
        <f aca="false">IF(AND(N('Hiring plan'!$F$32)&gt;0,AB$3&gt;='Hiring plan'!$G$32,AB$3&lt;=IF('Hiring plan'!$H$32="",999,'Hiring plan'!$H$32)),'Hiring plan'!$F$32,0)</f>
        <v>0</v>
      </c>
      <c r="AC36" s="33" t="n">
        <f aca="false">IF(AND(N('Hiring plan'!$F$32)&gt;0,AC$3&gt;='Hiring plan'!$G$32,AC$3&lt;=IF('Hiring plan'!$H$32="",999,'Hiring plan'!$H$32)),'Hiring plan'!$F$32,0)</f>
        <v>0</v>
      </c>
      <c r="AD36" s="33" t="n">
        <f aca="false">IF(AND(N('Hiring plan'!$F$32)&gt;0,AD$3&gt;='Hiring plan'!$G$32,AD$3&lt;=IF('Hiring plan'!$H$32="",999,'Hiring plan'!$H$32)),'Hiring plan'!$F$32,0)</f>
        <v>0</v>
      </c>
      <c r="AE36" s="33" t="n">
        <f aca="false">IF(AND(N('Hiring plan'!$F$32)&gt;0,AE$3&gt;='Hiring plan'!$G$32,AE$3&lt;=IF('Hiring plan'!$H$32="",999,'Hiring plan'!$H$32)),'Hiring plan'!$F$32,0)</f>
        <v>0</v>
      </c>
      <c r="AF36" s="33" t="n">
        <f aca="false">IF(AND(N('Hiring plan'!$F$32)&gt;0,AF$3&gt;='Hiring plan'!$G$32,AF$3&lt;=IF('Hiring plan'!$H$32="",999,'Hiring plan'!$H$32)),'Hiring plan'!$F$32,0)</f>
        <v>0</v>
      </c>
      <c r="AG36" s="33" t="n">
        <f aca="false">IF(AND(N('Hiring plan'!$F$32)&gt;0,AG$3&gt;='Hiring plan'!$G$32,AG$3&lt;=IF('Hiring plan'!$H$32="",999,'Hiring plan'!$H$32)),'Hiring plan'!$F$32,0)</f>
        <v>0</v>
      </c>
      <c r="AH36" s="33" t="n">
        <f aca="false">IF(AND(N('Hiring plan'!$F$32)&gt;0,AH$3&gt;='Hiring plan'!$G$32,AH$3&lt;=IF('Hiring plan'!$H$32="",999,'Hiring plan'!$H$32)),'Hiring plan'!$F$32,0)</f>
        <v>0</v>
      </c>
      <c r="AI36" s="33" t="n">
        <f aca="false">IF(AND(N('Hiring plan'!$F$32)&gt;0,AI$3&gt;='Hiring plan'!$G$32,AI$3&lt;=IF('Hiring plan'!$H$32="",999,'Hiring plan'!$H$32)),'Hiring plan'!$F$32,0)</f>
        <v>0</v>
      </c>
      <c r="AJ36" s="33" t="n">
        <f aca="false">IF(AND(N('Hiring plan'!$F$32)&gt;0,AJ$3&gt;='Hiring plan'!$G$32,AJ$3&lt;=IF('Hiring plan'!$H$32="",999,'Hiring plan'!$H$32)),'Hiring plan'!$F$32,0)</f>
        <v>0</v>
      </c>
      <c r="AK36" s="33" t="n">
        <f aca="false">IF(AND(N('Hiring plan'!$F$32)&gt;0,AK$3&gt;='Hiring plan'!$G$32,AK$3&lt;=IF('Hiring plan'!$H$32="",999,'Hiring plan'!$H$32)),'Hiring plan'!$F$32,0)</f>
        <v>0</v>
      </c>
      <c r="AL36" s="33" t="n">
        <f aca="false">IF(AND(N('Hiring plan'!$F$32)&gt;0,AL$3&gt;='Hiring plan'!$G$32,AL$3&lt;=IF('Hiring plan'!$H$32="",999,'Hiring plan'!$H$32)),'Hiring plan'!$F$32,0)</f>
        <v>0</v>
      </c>
      <c r="AM36" s="33" t="n">
        <f aca="false">IF(AND(N('Hiring plan'!$F$32)&gt;0,AM$3&gt;='Hiring plan'!$G$32,AM$3&lt;=IF('Hiring plan'!$H$32="",999,'Hiring plan'!$H$32)),'Hiring plan'!$F$32,0)</f>
        <v>0</v>
      </c>
      <c r="AN36" s="33" t="n">
        <f aca="false">IF(AND(N('Hiring plan'!$F$32)&gt;0,AN$3&gt;='Hiring plan'!$G$32,AN$3&lt;=IF('Hiring plan'!$H$32="",999,'Hiring plan'!$H$32)),'Hiring plan'!$F$32,0)</f>
        <v>0</v>
      </c>
      <c r="AO36" s="33" t="n">
        <f aca="false">IF(AND(N('Hiring plan'!$F$32)&gt;0,AO$3&gt;='Hiring plan'!$G$32,AO$3&lt;=IF('Hiring plan'!$H$32="",999,'Hiring plan'!$H$32)),'Hiring plan'!$F$32,0)</f>
        <v>0</v>
      </c>
      <c r="AP36" s="33" t="n">
        <f aca="false">IF(AND(N('Hiring plan'!$F$32)&gt;0,AP$3&gt;='Hiring plan'!$G$32,AP$3&lt;=IF('Hiring plan'!$H$32="",999,'Hiring plan'!$H$32)),'Hiring plan'!$F$32,0)</f>
        <v>0</v>
      </c>
      <c r="AQ36" s="33" t="n">
        <f aca="false">IF(AND(N('Hiring plan'!$F$32)&gt;0,AQ$3&gt;='Hiring plan'!$G$32,AQ$3&lt;=IF('Hiring plan'!$H$32="",999,'Hiring plan'!$H$32)),'Hiring plan'!$F$32,0)</f>
        <v>0</v>
      </c>
      <c r="AR36" s="33" t="n">
        <f aca="false">IF(AND(N('Hiring plan'!$F$32)&gt;0,AR$3&gt;='Hiring plan'!$G$32,AR$3&lt;=IF('Hiring plan'!$H$32="",999,'Hiring plan'!$H$32)),'Hiring plan'!$F$32,0)</f>
        <v>0</v>
      </c>
      <c r="AS36" s="33" t="n">
        <f aca="false">IF(AND(N('Hiring plan'!$F$32)&gt;0,AS$3&gt;='Hiring plan'!$G$32,AS$3&lt;=IF('Hiring plan'!$H$32="",999,'Hiring plan'!$H$32)),'Hiring plan'!$F$32,0)</f>
        <v>0</v>
      </c>
      <c r="AT36" s="33" t="n">
        <f aca="false">IF(AND(N('Hiring plan'!$F$32)&gt;0,AT$3&gt;='Hiring plan'!$G$32,AT$3&lt;=IF('Hiring plan'!$H$32="",999,'Hiring plan'!$H$32)),'Hiring plan'!$F$32,0)</f>
        <v>0</v>
      </c>
      <c r="AU36" s="33" t="n">
        <f aca="false">IF(AND(N('Hiring plan'!$F$32)&gt;0,AU$3&gt;='Hiring plan'!$G$32,AU$3&lt;=IF('Hiring plan'!$H$32="",999,'Hiring plan'!$H$32)),'Hiring plan'!$F$32,0)</f>
        <v>1</v>
      </c>
      <c r="AV36" s="33" t="n">
        <f aca="false">IF(AND(N('Hiring plan'!$F$32)&gt;0,AV$3&gt;='Hiring plan'!$G$32,AV$3&lt;=IF('Hiring plan'!$H$32="",999,'Hiring plan'!$H$32)),'Hiring plan'!$F$32,0)</f>
        <v>1</v>
      </c>
      <c r="AW36" s="33" t="n">
        <f aca="false">IF(AND(N('Hiring plan'!$F$32)&gt;0,AW$3&gt;='Hiring plan'!$G$32,AW$3&lt;=IF('Hiring plan'!$H$32="",999,'Hiring plan'!$H$32)),'Hiring plan'!$F$32,0)</f>
        <v>1</v>
      </c>
      <c r="AX36" s="33" t="n">
        <f aca="false">IF(AND(N('Hiring plan'!$F$32)&gt;0,AX$3&gt;='Hiring plan'!$G$32,AX$3&lt;=IF('Hiring plan'!$H$32="",999,'Hiring plan'!$H$32)),'Hiring plan'!$F$32,0)</f>
        <v>1</v>
      </c>
      <c r="AY36" s="33" t="n">
        <f aca="false">IF(AND(N('Hiring plan'!$F$32)&gt;0,AY$3&gt;='Hiring plan'!$G$32,AY$3&lt;=IF('Hiring plan'!$H$32="",999,'Hiring plan'!$H$32)),'Hiring plan'!$F$32,0)</f>
        <v>1</v>
      </c>
      <c r="AZ36" s="33" t="n">
        <f aca="false">IF(AND(N('Hiring plan'!$F$32)&gt;0,AZ$3&gt;='Hiring plan'!$G$32,AZ$3&lt;=IF('Hiring plan'!$H$32="",999,'Hiring plan'!$H$32)),'Hiring plan'!$F$32,0)</f>
        <v>1</v>
      </c>
      <c r="BA36" s="33" t="n">
        <f aca="false">IF(AND(N('Hiring plan'!$F$32)&gt;0,BA$3&gt;='Hiring plan'!$G$32,BA$3&lt;=IF('Hiring plan'!$H$32="",999,'Hiring plan'!$H$32)),'Hiring plan'!$F$32,0)</f>
        <v>1</v>
      </c>
      <c r="BB36" s="33" t="n">
        <f aca="false">IF(AND(N('Hiring plan'!$F$32)&gt;0,BB$3&gt;='Hiring plan'!$G$32,BB$3&lt;=IF('Hiring plan'!$H$32="",999,'Hiring plan'!$H$32)),'Hiring plan'!$F$32,0)</f>
        <v>1</v>
      </c>
      <c r="BC36" s="33" t="n">
        <f aca="false">IF(AND(N('Hiring plan'!$F$32)&gt;0,BC$3&gt;='Hiring plan'!$G$32,BC$3&lt;=IF('Hiring plan'!$H$32="",999,'Hiring plan'!$H$32)),'Hiring plan'!$F$32,0)</f>
        <v>1</v>
      </c>
      <c r="BD36" s="33" t="n">
        <f aca="false">IF(AND(N('Hiring plan'!$F$32)&gt;0,BD$3&gt;='Hiring plan'!$G$32,BD$3&lt;=IF('Hiring plan'!$H$32="",999,'Hiring plan'!$H$32)),'Hiring plan'!$F$32,0)</f>
        <v>1</v>
      </c>
      <c r="BE36" s="33" t="n">
        <f aca="false">IF(AND(N('Hiring plan'!$F$32)&gt;0,BE$3&gt;='Hiring plan'!$G$32,BE$3&lt;=IF('Hiring plan'!$H$32="",999,'Hiring plan'!$H$32)),'Hiring plan'!$F$32,0)</f>
        <v>1</v>
      </c>
      <c r="BF36" s="33" t="n">
        <f aca="false">IF(AND(N('Hiring plan'!$F$32)&gt;0,BF$3&gt;='Hiring plan'!$G$32,BF$3&lt;=IF('Hiring plan'!$H$32="",999,'Hiring plan'!$H$32)),'Hiring plan'!$F$32,0)</f>
        <v>1</v>
      </c>
      <c r="BG36" s="33" t="n">
        <f aca="false">IF(AND(N('Hiring plan'!$F$32)&gt;0,BG$3&gt;='Hiring plan'!$G$32,BG$3&lt;=IF('Hiring plan'!$H$32="",999,'Hiring plan'!$H$32)),'Hiring plan'!$F$32,0)</f>
        <v>1</v>
      </c>
      <c r="BH36" s="33" t="n">
        <f aca="false">IF(AND(N('Hiring plan'!$F$32)&gt;0,BH$3&gt;='Hiring plan'!$G$32,BH$3&lt;=IF('Hiring plan'!$H$32="",999,'Hiring plan'!$H$32)),'Hiring plan'!$F$32,0)</f>
        <v>1</v>
      </c>
      <c r="BI36" s="33" t="n">
        <f aca="false">IF(AND(N('Hiring plan'!$F$32)&gt;0,BI$3&gt;='Hiring plan'!$G$32,BI$3&lt;=IF('Hiring plan'!$H$32="",999,'Hiring plan'!$H$32)),'Hiring plan'!$F$32,0)</f>
        <v>1</v>
      </c>
      <c r="BJ36" s="33" t="n">
        <f aca="false">IF(AND(N('Hiring plan'!$F$32)&gt;0,BJ$3&gt;='Hiring plan'!$G$32,BJ$3&lt;=IF('Hiring plan'!$H$32="",999,'Hiring plan'!$H$32)),'Hiring plan'!$F$32,0)</f>
        <v>1</v>
      </c>
      <c r="BK36" s="33" t="n">
        <f aca="false">IF(AND(N('Hiring plan'!$F$32)&gt;0,BK$3&gt;='Hiring plan'!$G$32,BK$3&lt;=IF('Hiring plan'!$H$32="",999,'Hiring plan'!$H$32)),'Hiring plan'!$F$32,0)</f>
        <v>1</v>
      </c>
      <c r="BL36" s="33" t="n">
        <f aca="false">IF(AND(N('Hiring plan'!$F$32)&gt;0,BL$3&gt;='Hiring plan'!$G$32,BL$3&lt;=IF('Hiring plan'!$H$32="",999,'Hiring plan'!$H$32)),'Hiring plan'!$F$32,0)</f>
        <v>1</v>
      </c>
    </row>
    <row r="37" customFormat="false" ht="15" hidden="false" customHeight="false" outlineLevel="0" collapsed="false">
      <c r="A37" s="12" t="str">
        <f aca="false">IF('Hiring plan'!$C$33="","(spare line 29)",'Hiring plan'!$C$33&amp;" · "&amp;'Hiring plan'!$D$33)</f>
        <v>Collections agent (incl. variable pay) · SN</v>
      </c>
      <c r="B37" s="14" t="s">
        <v>222</v>
      </c>
      <c r="D37" s="41" t="n">
        <f aca="false">MAX(E37:BL37)</f>
        <v>2</v>
      </c>
      <c r="E37" s="33" t="n">
        <f aca="false">IF(AND(N('Hiring plan'!$F$33)&gt;0,E$3&gt;='Hiring plan'!$G$33,E$3&lt;=IF('Hiring plan'!$H$33="",999,'Hiring plan'!$H$33)),'Hiring plan'!$F$33,0)</f>
        <v>0</v>
      </c>
      <c r="F37" s="33" t="n">
        <f aca="false">IF(AND(N('Hiring plan'!$F$33)&gt;0,F$3&gt;='Hiring plan'!$G$33,F$3&lt;=IF('Hiring plan'!$H$33="",999,'Hiring plan'!$H$33)),'Hiring plan'!$F$33,0)</f>
        <v>0</v>
      </c>
      <c r="G37" s="33" t="n">
        <f aca="false">IF(AND(N('Hiring plan'!$F$33)&gt;0,G$3&gt;='Hiring plan'!$G$33,G$3&lt;=IF('Hiring plan'!$H$33="",999,'Hiring plan'!$H$33)),'Hiring plan'!$F$33,0)</f>
        <v>0</v>
      </c>
      <c r="H37" s="33" t="n">
        <f aca="false">IF(AND(N('Hiring plan'!$F$33)&gt;0,H$3&gt;='Hiring plan'!$G$33,H$3&lt;=IF('Hiring plan'!$H$33="",999,'Hiring plan'!$H$33)),'Hiring plan'!$F$33,0)</f>
        <v>0</v>
      </c>
      <c r="I37" s="33" t="n">
        <f aca="false">IF(AND(N('Hiring plan'!$F$33)&gt;0,I$3&gt;='Hiring plan'!$G$33,I$3&lt;=IF('Hiring plan'!$H$33="",999,'Hiring plan'!$H$33)),'Hiring plan'!$F$33,0)</f>
        <v>0</v>
      </c>
      <c r="J37" s="33" t="n">
        <f aca="false">IF(AND(N('Hiring plan'!$F$33)&gt;0,J$3&gt;='Hiring plan'!$G$33,J$3&lt;=IF('Hiring plan'!$H$33="",999,'Hiring plan'!$H$33)),'Hiring plan'!$F$33,0)</f>
        <v>0</v>
      </c>
      <c r="K37" s="33" t="n">
        <f aca="false">IF(AND(N('Hiring plan'!$F$33)&gt;0,K$3&gt;='Hiring plan'!$G$33,K$3&lt;=IF('Hiring plan'!$H$33="",999,'Hiring plan'!$H$33)),'Hiring plan'!$F$33,0)</f>
        <v>0</v>
      </c>
      <c r="L37" s="33" t="n">
        <f aca="false">IF(AND(N('Hiring plan'!$F$33)&gt;0,L$3&gt;='Hiring plan'!$G$33,L$3&lt;=IF('Hiring plan'!$H$33="",999,'Hiring plan'!$H$33)),'Hiring plan'!$F$33,0)</f>
        <v>0</v>
      </c>
      <c r="M37" s="33" t="n">
        <f aca="false">IF(AND(N('Hiring plan'!$F$33)&gt;0,M$3&gt;='Hiring plan'!$G$33,M$3&lt;=IF('Hiring plan'!$H$33="",999,'Hiring plan'!$H$33)),'Hiring plan'!$F$33,0)</f>
        <v>0</v>
      </c>
      <c r="N37" s="33" t="n">
        <f aca="false">IF(AND(N('Hiring plan'!$F$33)&gt;0,N$3&gt;='Hiring plan'!$G$33,N$3&lt;=IF('Hiring plan'!$H$33="",999,'Hiring plan'!$H$33)),'Hiring plan'!$F$33,0)</f>
        <v>0</v>
      </c>
      <c r="O37" s="33" t="n">
        <f aca="false">IF(AND(N('Hiring plan'!$F$33)&gt;0,O$3&gt;='Hiring plan'!$G$33,O$3&lt;=IF('Hiring plan'!$H$33="",999,'Hiring plan'!$H$33)),'Hiring plan'!$F$33,0)</f>
        <v>0</v>
      </c>
      <c r="P37" s="33" t="n">
        <f aca="false">IF(AND(N('Hiring plan'!$F$33)&gt;0,P$3&gt;='Hiring plan'!$G$33,P$3&lt;=IF('Hiring plan'!$H$33="",999,'Hiring plan'!$H$33)),'Hiring plan'!$F$33,0)</f>
        <v>0</v>
      </c>
      <c r="Q37" s="33" t="n">
        <f aca="false">IF(AND(N('Hiring plan'!$F$33)&gt;0,Q$3&gt;='Hiring plan'!$G$33,Q$3&lt;=IF('Hiring plan'!$H$33="",999,'Hiring plan'!$H$33)),'Hiring plan'!$F$33,0)</f>
        <v>0</v>
      </c>
      <c r="R37" s="33" t="n">
        <f aca="false">IF(AND(N('Hiring plan'!$F$33)&gt;0,R$3&gt;='Hiring plan'!$G$33,R$3&lt;=IF('Hiring plan'!$H$33="",999,'Hiring plan'!$H$33)),'Hiring plan'!$F$33,0)</f>
        <v>0</v>
      </c>
      <c r="S37" s="33" t="n">
        <f aca="false">IF(AND(N('Hiring plan'!$F$33)&gt;0,S$3&gt;='Hiring plan'!$G$33,S$3&lt;=IF('Hiring plan'!$H$33="",999,'Hiring plan'!$H$33)),'Hiring plan'!$F$33,0)</f>
        <v>0</v>
      </c>
      <c r="T37" s="33" t="n">
        <f aca="false">IF(AND(N('Hiring plan'!$F$33)&gt;0,T$3&gt;='Hiring plan'!$G$33,T$3&lt;=IF('Hiring plan'!$H$33="",999,'Hiring plan'!$H$33)),'Hiring plan'!$F$33,0)</f>
        <v>0</v>
      </c>
      <c r="U37" s="33" t="n">
        <f aca="false">IF(AND(N('Hiring plan'!$F$33)&gt;0,U$3&gt;='Hiring plan'!$G$33,U$3&lt;=IF('Hiring plan'!$H$33="",999,'Hiring plan'!$H$33)),'Hiring plan'!$F$33,0)</f>
        <v>0</v>
      </c>
      <c r="V37" s="33" t="n">
        <f aca="false">IF(AND(N('Hiring plan'!$F$33)&gt;0,V$3&gt;='Hiring plan'!$G$33,V$3&lt;=IF('Hiring plan'!$H$33="",999,'Hiring plan'!$H$33)),'Hiring plan'!$F$33,0)</f>
        <v>0</v>
      </c>
      <c r="W37" s="33" t="n">
        <f aca="false">IF(AND(N('Hiring plan'!$F$33)&gt;0,W$3&gt;='Hiring plan'!$G$33,W$3&lt;=IF('Hiring plan'!$H$33="",999,'Hiring plan'!$H$33)),'Hiring plan'!$F$33,0)</f>
        <v>0</v>
      </c>
      <c r="X37" s="33" t="n">
        <f aca="false">IF(AND(N('Hiring plan'!$F$33)&gt;0,X$3&gt;='Hiring plan'!$G$33,X$3&lt;=IF('Hiring plan'!$H$33="",999,'Hiring plan'!$H$33)),'Hiring plan'!$F$33,0)</f>
        <v>0</v>
      </c>
      <c r="Y37" s="33" t="n">
        <f aca="false">IF(AND(N('Hiring plan'!$F$33)&gt;0,Y$3&gt;='Hiring plan'!$G$33,Y$3&lt;=IF('Hiring plan'!$H$33="",999,'Hiring plan'!$H$33)),'Hiring plan'!$F$33,0)</f>
        <v>0</v>
      </c>
      <c r="Z37" s="33" t="n">
        <f aca="false">IF(AND(N('Hiring plan'!$F$33)&gt;0,Z$3&gt;='Hiring plan'!$G$33,Z$3&lt;=IF('Hiring plan'!$H$33="",999,'Hiring plan'!$H$33)),'Hiring plan'!$F$33,0)</f>
        <v>0</v>
      </c>
      <c r="AA37" s="33" t="n">
        <f aca="false">IF(AND(N('Hiring plan'!$F$33)&gt;0,AA$3&gt;='Hiring plan'!$G$33,AA$3&lt;=IF('Hiring plan'!$H$33="",999,'Hiring plan'!$H$33)),'Hiring plan'!$F$33,0)</f>
        <v>0</v>
      </c>
      <c r="AB37" s="33" t="n">
        <f aca="false">IF(AND(N('Hiring plan'!$F$33)&gt;0,AB$3&gt;='Hiring plan'!$G$33,AB$3&lt;=IF('Hiring plan'!$H$33="",999,'Hiring plan'!$H$33)),'Hiring plan'!$F$33,0)</f>
        <v>0</v>
      </c>
      <c r="AC37" s="33" t="n">
        <f aca="false">IF(AND(N('Hiring plan'!$F$33)&gt;0,AC$3&gt;='Hiring plan'!$G$33,AC$3&lt;=IF('Hiring plan'!$H$33="",999,'Hiring plan'!$H$33)),'Hiring plan'!$F$33,0)</f>
        <v>0</v>
      </c>
      <c r="AD37" s="33" t="n">
        <f aca="false">IF(AND(N('Hiring plan'!$F$33)&gt;0,AD$3&gt;='Hiring plan'!$G$33,AD$3&lt;=IF('Hiring plan'!$H$33="",999,'Hiring plan'!$H$33)),'Hiring plan'!$F$33,0)</f>
        <v>0</v>
      </c>
      <c r="AE37" s="33" t="n">
        <f aca="false">IF(AND(N('Hiring plan'!$F$33)&gt;0,AE$3&gt;='Hiring plan'!$G$33,AE$3&lt;=IF('Hiring plan'!$H$33="",999,'Hiring plan'!$H$33)),'Hiring plan'!$F$33,0)</f>
        <v>0</v>
      </c>
      <c r="AF37" s="33" t="n">
        <f aca="false">IF(AND(N('Hiring plan'!$F$33)&gt;0,AF$3&gt;='Hiring plan'!$G$33,AF$3&lt;=IF('Hiring plan'!$H$33="",999,'Hiring plan'!$H$33)),'Hiring plan'!$F$33,0)</f>
        <v>0</v>
      </c>
      <c r="AG37" s="33" t="n">
        <f aca="false">IF(AND(N('Hiring plan'!$F$33)&gt;0,AG$3&gt;='Hiring plan'!$G$33,AG$3&lt;=IF('Hiring plan'!$H$33="",999,'Hiring plan'!$H$33)),'Hiring plan'!$F$33,0)</f>
        <v>0</v>
      </c>
      <c r="AH37" s="33" t="n">
        <f aca="false">IF(AND(N('Hiring plan'!$F$33)&gt;0,AH$3&gt;='Hiring plan'!$G$33,AH$3&lt;=IF('Hiring plan'!$H$33="",999,'Hiring plan'!$H$33)),'Hiring plan'!$F$33,0)</f>
        <v>0</v>
      </c>
      <c r="AI37" s="33" t="n">
        <f aca="false">IF(AND(N('Hiring plan'!$F$33)&gt;0,AI$3&gt;='Hiring plan'!$G$33,AI$3&lt;=IF('Hiring plan'!$H$33="",999,'Hiring plan'!$H$33)),'Hiring plan'!$F$33,0)</f>
        <v>0</v>
      </c>
      <c r="AJ37" s="33" t="n">
        <f aca="false">IF(AND(N('Hiring plan'!$F$33)&gt;0,AJ$3&gt;='Hiring plan'!$G$33,AJ$3&lt;=IF('Hiring plan'!$H$33="",999,'Hiring plan'!$H$33)),'Hiring plan'!$F$33,0)</f>
        <v>0</v>
      </c>
      <c r="AK37" s="33" t="n">
        <f aca="false">IF(AND(N('Hiring plan'!$F$33)&gt;0,AK$3&gt;='Hiring plan'!$G$33,AK$3&lt;=IF('Hiring plan'!$H$33="",999,'Hiring plan'!$H$33)),'Hiring plan'!$F$33,0)</f>
        <v>0</v>
      </c>
      <c r="AL37" s="33" t="n">
        <f aca="false">IF(AND(N('Hiring plan'!$F$33)&gt;0,AL$3&gt;='Hiring plan'!$G$33,AL$3&lt;=IF('Hiring plan'!$H$33="",999,'Hiring plan'!$H$33)),'Hiring plan'!$F$33,0)</f>
        <v>0</v>
      </c>
      <c r="AM37" s="33" t="n">
        <f aca="false">IF(AND(N('Hiring plan'!$F$33)&gt;0,AM$3&gt;='Hiring plan'!$G$33,AM$3&lt;=IF('Hiring plan'!$H$33="",999,'Hiring plan'!$H$33)),'Hiring plan'!$F$33,0)</f>
        <v>0</v>
      </c>
      <c r="AN37" s="33" t="n">
        <f aca="false">IF(AND(N('Hiring plan'!$F$33)&gt;0,AN$3&gt;='Hiring plan'!$G$33,AN$3&lt;=IF('Hiring plan'!$H$33="",999,'Hiring plan'!$H$33)),'Hiring plan'!$F$33,0)</f>
        <v>0</v>
      </c>
      <c r="AO37" s="33" t="n">
        <f aca="false">IF(AND(N('Hiring plan'!$F$33)&gt;0,AO$3&gt;='Hiring plan'!$G$33,AO$3&lt;=IF('Hiring plan'!$H$33="",999,'Hiring plan'!$H$33)),'Hiring plan'!$F$33,0)</f>
        <v>0</v>
      </c>
      <c r="AP37" s="33" t="n">
        <f aca="false">IF(AND(N('Hiring plan'!$F$33)&gt;0,AP$3&gt;='Hiring plan'!$G$33,AP$3&lt;=IF('Hiring plan'!$H$33="",999,'Hiring plan'!$H$33)),'Hiring plan'!$F$33,0)</f>
        <v>0</v>
      </c>
      <c r="AQ37" s="33" t="n">
        <f aca="false">IF(AND(N('Hiring plan'!$F$33)&gt;0,AQ$3&gt;='Hiring plan'!$G$33,AQ$3&lt;=IF('Hiring plan'!$H$33="",999,'Hiring plan'!$H$33)),'Hiring plan'!$F$33,0)</f>
        <v>0</v>
      </c>
      <c r="AR37" s="33" t="n">
        <f aca="false">IF(AND(N('Hiring plan'!$F$33)&gt;0,AR$3&gt;='Hiring plan'!$G$33,AR$3&lt;=IF('Hiring plan'!$H$33="",999,'Hiring plan'!$H$33)),'Hiring plan'!$F$33,0)</f>
        <v>0</v>
      </c>
      <c r="AS37" s="33" t="n">
        <f aca="false">IF(AND(N('Hiring plan'!$F$33)&gt;0,AS$3&gt;='Hiring plan'!$G$33,AS$3&lt;=IF('Hiring plan'!$H$33="",999,'Hiring plan'!$H$33)),'Hiring plan'!$F$33,0)</f>
        <v>0</v>
      </c>
      <c r="AT37" s="33" t="n">
        <f aca="false">IF(AND(N('Hiring plan'!$F$33)&gt;0,AT$3&gt;='Hiring plan'!$G$33,AT$3&lt;=IF('Hiring plan'!$H$33="",999,'Hiring plan'!$H$33)),'Hiring plan'!$F$33,0)</f>
        <v>0</v>
      </c>
      <c r="AU37" s="33" t="n">
        <f aca="false">IF(AND(N('Hiring plan'!$F$33)&gt;0,AU$3&gt;='Hiring plan'!$G$33,AU$3&lt;=IF('Hiring plan'!$H$33="",999,'Hiring plan'!$H$33)),'Hiring plan'!$F$33,0)</f>
        <v>2</v>
      </c>
      <c r="AV37" s="33" t="n">
        <f aca="false">IF(AND(N('Hiring plan'!$F$33)&gt;0,AV$3&gt;='Hiring plan'!$G$33,AV$3&lt;=IF('Hiring plan'!$H$33="",999,'Hiring plan'!$H$33)),'Hiring plan'!$F$33,0)</f>
        <v>2</v>
      </c>
      <c r="AW37" s="33" t="n">
        <f aca="false">IF(AND(N('Hiring plan'!$F$33)&gt;0,AW$3&gt;='Hiring plan'!$G$33,AW$3&lt;=IF('Hiring plan'!$H$33="",999,'Hiring plan'!$H$33)),'Hiring plan'!$F$33,0)</f>
        <v>2</v>
      </c>
      <c r="AX37" s="33" t="n">
        <f aca="false">IF(AND(N('Hiring plan'!$F$33)&gt;0,AX$3&gt;='Hiring plan'!$G$33,AX$3&lt;=IF('Hiring plan'!$H$33="",999,'Hiring plan'!$H$33)),'Hiring plan'!$F$33,0)</f>
        <v>2</v>
      </c>
      <c r="AY37" s="33" t="n">
        <f aca="false">IF(AND(N('Hiring plan'!$F$33)&gt;0,AY$3&gt;='Hiring plan'!$G$33,AY$3&lt;=IF('Hiring plan'!$H$33="",999,'Hiring plan'!$H$33)),'Hiring plan'!$F$33,0)</f>
        <v>2</v>
      </c>
      <c r="AZ37" s="33" t="n">
        <f aca="false">IF(AND(N('Hiring plan'!$F$33)&gt;0,AZ$3&gt;='Hiring plan'!$G$33,AZ$3&lt;=IF('Hiring plan'!$H$33="",999,'Hiring plan'!$H$33)),'Hiring plan'!$F$33,0)</f>
        <v>2</v>
      </c>
      <c r="BA37" s="33" t="n">
        <f aca="false">IF(AND(N('Hiring plan'!$F$33)&gt;0,BA$3&gt;='Hiring plan'!$G$33,BA$3&lt;=IF('Hiring plan'!$H$33="",999,'Hiring plan'!$H$33)),'Hiring plan'!$F$33,0)</f>
        <v>2</v>
      </c>
      <c r="BB37" s="33" t="n">
        <f aca="false">IF(AND(N('Hiring plan'!$F$33)&gt;0,BB$3&gt;='Hiring plan'!$G$33,BB$3&lt;=IF('Hiring plan'!$H$33="",999,'Hiring plan'!$H$33)),'Hiring plan'!$F$33,0)</f>
        <v>2</v>
      </c>
      <c r="BC37" s="33" t="n">
        <f aca="false">IF(AND(N('Hiring plan'!$F$33)&gt;0,BC$3&gt;='Hiring plan'!$G$33,BC$3&lt;=IF('Hiring plan'!$H$33="",999,'Hiring plan'!$H$33)),'Hiring plan'!$F$33,0)</f>
        <v>2</v>
      </c>
      <c r="BD37" s="33" t="n">
        <f aca="false">IF(AND(N('Hiring plan'!$F$33)&gt;0,BD$3&gt;='Hiring plan'!$G$33,BD$3&lt;=IF('Hiring plan'!$H$33="",999,'Hiring plan'!$H$33)),'Hiring plan'!$F$33,0)</f>
        <v>2</v>
      </c>
      <c r="BE37" s="33" t="n">
        <f aca="false">IF(AND(N('Hiring plan'!$F$33)&gt;0,BE$3&gt;='Hiring plan'!$G$33,BE$3&lt;=IF('Hiring plan'!$H$33="",999,'Hiring plan'!$H$33)),'Hiring plan'!$F$33,0)</f>
        <v>2</v>
      </c>
      <c r="BF37" s="33" t="n">
        <f aca="false">IF(AND(N('Hiring plan'!$F$33)&gt;0,BF$3&gt;='Hiring plan'!$G$33,BF$3&lt;=IF('Hiring plan'!$H$33="",999,'Hiring plan'!$H$33)),'Hiring plan'!$F$33,0)</f>
        <v>2</v>
      </c>
      <c r="BG37" s="33" t="n">
        <f aca="false">IF(AND(N('Hiring plan'!$F$33)&gt;0,BG$3&gt;='Hiring plan'!$G$33,BG$3&lt;=IF('Hiring plan'!$H$33="",999,'Hiring plan'!$H$33)),'Hiring plan'!$F$33,0)</f>
        <v>2</v>
      </c>
      <c r="BH37" s="33" t="n">
        <f aca="false">IF(AND(N('Hiring plan'!$F$33)&gt;0,BH$3&gt;='Hiring plan'!$G$33,BH$3&lt;=IF('Hiring plan'!$H$33="",999,'Hiring plan'!$H$33)),'Hiring plan'!$F$33,0)</f>
        <v>2</v>
      </c>
      <c r="BI37" s="33" t="n">
        <f aca="false">IF(AND(N('Hiring plan'!$F$33)&gt;0,BI$3&gt;='Hiring plan'!$G$33,BI$3&lt;=IF('Hiring plan'!$H$33="",999,'Hiring plan'!$H$33)),'Hiring plan'!$F$33,0)</f>
        <v>2</v>
      </c>
      <c r="BJ37" s="33" t="n">
        <f aca="false">IF(AND(N('Hiring plan'!$F$33)&gt;0,BJ$3&gt;='Hiring plan'!$G$33,BJ$3&lt;=IF('Hiring plan'!$H$33="",999,'Hiring plan'!$H$33)),'Hiring plan'!$F$33,0)</f>
        <v>2</v>
      </c>
      <c r="BK37" s="33" t="n">
        <f aca="false">IF(AND(N('Hiring plan'!$F$33)&gt;0,BK$3&gt;='Hiring plan'!$G$33,BK$3&lt;=IF('Hiring plan'!$H$33="",999,'Hiring plan'!$H$33)),'Hiring plan'!$F$33,0)</f>
        <v>2</v>
      </c>
      <c r="BL37" s="33" t="n">
        <f aca="false">IF(AND(N('Hiring plan'!$F$33)&gt;0,BL$3&gt;='Hiring plan'!$G$33,BL$3&lt;=IF('Hiring plan'!$H$33="",999,'Hiring plan'!$H$33)),'Hiring plan'!$F$33,0)</f>
        <v>2</v>
      </c>
    </row>
    <row r="38" customFormat="false" ht="15" hidden="false" customHeight="false" outlineLevel="0" collapsed="false">
      <c r="A38" s="12" t="str">
        <f aca="false">IF('Hiring plan'!$C$34="","(spare line 30)",'Hiring plan'!$C$34&amp;" · "&amp;'Hiring plan'!$D$34)</f>
        <v>KYC / onboarding agent · SN</v>
      </c>
      <c r="B38" s="14" t="s">
        <v>222</v>
      </c>
      <c r="D38" s="41" t="n">
        <f aca="false">MAX(E38:BL38)</f>
        <v>2</v>
      </c>
      <c r="E38" s="33" t="n">
        <f aca="false">IF(AND(N('Hiring plan'!$F$34)&gt;0,E$3&gt;='Hiring plan'!$G$34,E$3&lt;=IF('Hiring plan'!$H$34="",999,'Hiring plan'!$H$34)),'Hiring plan'!$F$34,0)</f>
        <v>0</v>
      </c>
      <c r="F38" s="33" t="n">
        <f aca="false">IF(AND(N('Hiring plan'!$F$34)&gt;0,F$3&gt;='Hiring plan'!$G$34,F$3&lt;=IF('Hiring plan'!$H$34="",999,'Hiring plan'!$H$34)),'Hiring plan'!$F$34,0)</f>
        <v>0</v>
      </c>
      <c r="G38" s="33" t="n">
        <f aca="false">IF(AND(N('Hiring plan'!$F$34)&gt;0,G$3&gt;='Hiring plan'!$G$34,G$3&lt;=IF('Hiring plan'!$H$34="",999,'Hiring plan'!$H$34)),'Hiring plan'!$F$34,0)</f>
        <v>0</v>
      </c>
      <c r="H38" s="33" t="n">
        <f aca="false">IF(AND(N('Hiring plan'!$F$34)&gt;0,H$3&gt;='Hiring plan'!$G$34,H$3&lt;=IF('Hiring plan'!$H$34="",999,'Hiring plan'!$H$34)),'Hiring plan'!$F$34,0)</f>
        <v>2</v>
      </c>
      <c r="I38" s="33" t="n">
        <f aca="false">IF(AND(N('Hiring plan'!$F$34)&gt;0,I$3&gt;='Hiring plan'!$G$34,I$3&lt;=IF('Hiring plan'!$H$34="",999,'Hiring plan'!$H$34)),'Hiring plan'!$F$34,0)</f>
        <v>2</v>
      </c>
      <c r="J38" s="33" t="n">
        <f aca="false">IF(AND(N('Hiring plan'!$F$34)&gt;0,J$3&gt;='Hiring plan'!$G$34,J$3&lt;=IF('Hiring plan'!$H$34="",999,'Hiring plan'!$H$34)),'Hiring plan'!$F$34,0)</f>
        <v>2</v>
      </c>
      <c r="K38" s="33" t="n">
        <f aca="false">IF(AND(N('Hiring plan'!$F$34)&gt;0,K$3&gt;='Hiring plan'!$G$34,K$3&lt;=IF('Hiring plan'!$H$34="",999,'Hiring plan'!$H$34)),'Hiring plan'!$F$34,0)</f>
        <v>2</v>
      </c>
      <c r="L38" s="33" t="n">
        <f aca="false">IF(AND(N('Hiring plan'!$F$34)&gt;0,L$3&gt;='Hiring plan'!$G$34,L$3&lt;=IF('Hiring plan'!$H$34="",999,'Hiring plan'!$H$34)),'Hiring plan'!$F$34,0)</f>
        <v>2</v>
      </c>
      <c r="M38" s="33" t="n">
        <f aca="false">IF(AND(N('Hiring plan'!$F$34)&gt;0,M$3&gt;='Hiring plan'!$G$34,M$3&lt;=IF('Hiring plan'!$H$34="",999,'Hiring plan'!$H$34)),'Hiring plan'!$F$34,0)</f>
        <v>2</v>
      </c>
      <c r="N38" s="33" t="n">
        <f aca="false">IF(AND(N('Hiring plan'!$F$34)&gt;0,N$3&gt;='Hiring plan'!$G$34,N$3&lt;=IF('Hiring plan'!$H$34="",999,'Hiring plan'!$H$34)),'Hiring plan'!$F$34,0)</f>
        <v>2</v>
      </c>
      <c r="O38" s="33" t="n">
        <f aca="false">IF(AND(N('Hiring plan'!$F$34)&gt;0,O$3&gt;='Hiring plan'!$G$34,O$3&lt;=IF('Hiring plan'!$H$34="",999,'Hiring plan'!$H$34)),'Hiring plan'!$F$34,0)</f>
        <v>2</v>
      </c>
      <c r="P38" s="33" t="n">
        <f aca="false">IF(AND(N('Hiring plan'!$F$34)&gt;0,P$3&gt;='Hiring plan'!$G$34,P$3&lt;=IF('Hiring plan'!$H$34="",999,'Hiring plan'!$H$34)),'Hiring plan'!$F$34,0)</f>
        <v>2</v>
      </c>
      <c r="Q38" s="33" t="n">
        <f aca="false">IF(AND(N('Hiring plan'!$F$34)&gt;0,Q$3&gt;='Hiring plan'!$G$34,Q$3&lt;=IF('Hiring plan'!$H$34="",999,'Hiring plan'!$H$34)),'Hiring plan'!$F$34,0)</f>
        <v>2</v>
      </c>
      <c r="R38" s="33" t="n">
        <f aca="false">IF(AND(N('Hiring plan'!$F$34)&gt;0,R$3&gt;='Hiring plan'!$G$34,R$3&lt;=IF('Hiring plan'!$H$34="",999,'Hiring plan'!$H$34)),'Hiring plan'!$F$34,0)</f>
        <v>2</v>
      </c>
      <c r="S38" s="33" t="n">
        <f aca="false">IF(AND(N('Hiring plan'!$F$34)&gt;0,S$3&gt;='Hiring plan'!$G$34,S$3&lt;=IF('Hiring plan'!$H$34="",999,'Hiring plan'!$H$34)),'Hiring plan'!$F$34,0)</f>
        <v>2</v>
      </c>
      <c r="T38" s="33" t="n">
        <f aca="false">IF(AND(N('Hiring plan'!$F$34)&gt;0,T$3&gt;='Hiring plan'!$G$34,T$3&lt;=IF('Hiring plan'!$H$34="",999,'Hiring plan'!$H$34)),'Hiring plan'!$F$34,0)</f>
        <v>2</v>
      </c>
      <c r="U38" s="33" t="n">
        <f aca="false">IF(AND(N('Hiring plan'!$F$34)&gt;0,U$3&gt;='Hiring plan'!$G$34,U$3&lt;=IF('Hiring plan'!$H$34="",999,'Hiring plan'!$H$34)),'Hiring plan'!$F$34,0)</f>
        <v>2</v>
      </c>
      <c r="V38" s="33" t="n">
        <f aca="false">IF(AND(N('Hiring plan'!$F$34)&gt;0,V$3&gt;='Hiring plan'!$G$34,V$3&lt;=IF('Hiring plan'!$H$34="",999,'Hiring plan'!$H$34)),'Hiring plan'!$F$34,0)</f>
        <v>2</v>
      </c>
      <c r="W38" s="33" t="n">
        <f aca="false">IF(AND(N('Hiring plan'!$F$34)&gt;0,W$3&gt;='Hiring plan'!$G$34,W$3&lt;=IF('Hiring plan'!$H$34="",999,'Hiring plan'!$H$34)),'Hiring plan'!$F$34,0)</f>
        <v>2</v>
      </c>
      <c r="X38" s="33" t="n">
        <f aca="false">IF(AND(N('Hiring plan'!$F$34)&gt;0,X$3&gt;='Hiring plan'!$G$34,X$3&lt;=IF('Hiring plan'!$H$34="",999,'Hiring plan'!$H$34)),'Hiring plan'!$F$34,0)</f>
        <v>2</v>
      </c>
      <c r="Y38" s="33" t="n">
        <f aca="false">IF(AND(N('Hiring plan'!$F$34)&gt;0,Y$3&gt;='Hiring plan'!$G$34,Y$3&lt;=IF('Hiring plan'!$H$34="",999,'Hiring plan'!$H$34)),'Hiring plan'!$F$34,0)</f>
        <v>2</v>
      </c>
      <c r="Z38" s="33" t="n">
        <f aca="false">IF(AND(N('Hiring plan'!$F$34)&gt;0,Z$3&gt;='Hiring plan'!$G$34,Z$3&lt;=IF('Hiring plan'!$H$34="",999,'Hiring plan'!$H$34)),'Hiring plan'!$F$34,0)</f>
        <v>2</v>
      </c>
      <c r="AA38" s="33" t="n">
        <f aca="false">IF(AND(N('Hiring plan'!$F$34)&gt;0,AA$3&gt;='Hiring plan'!$G$34,AA$3&lt;=IF('Hiring plan'!$H$34="",999,'Hiring plan'!$H$34)),'Hiring plan'!$F$34,0)</f>
        <v>2</v>
      </c>
      <c r="AB38" s="33" t="n">
        <f aca="false">IF(AND(N('Hiring plan'!$F$34)&gt;0,AB$3&gt;='Hiring plan'!$G$34,AB$3&lt;=IF('Hiring plan'!$H$34="",999,'Hiring plan'!$H$34)),'Hiring plan'!$F$34,0)</f>
        <v>2</v>
      </c>
      <c r="AC38" s="33" t="n">
        <f aca="false">IF(AND(N('Hiring plan'!$F$34)&gt;0,AC$3&gt;='Hiring plan'!$G$34,AC$3&lt;=IF('Hiring plan'!$H$34="",999,'Hiring plan'!$H$34)),'Hiring plan'!$F$34,0)</f>
        <v>2</v>
      </c>
      <c r="AD38" s="33" t="n">
        <f aca="false">IF(AND(N('Hiring plan'!$F$34)&gt;0,AD$3&gt;='Hiring plan'!$G$34,AD$3&lt;=IF('Hiring plan'!$H$34="",999,'Hiring plan'!$H$34)),'Hiring plan'!$F$34,0)</f>
        <v>2</v>
      </c>
      <c r="AE38" s="33" t="n">
        <f aca="false">IF(AND(N('Hiring plan'!$F$34)&gt;0,AE$3&gt;='Hiring plan'!$G$34,AE$3&lt;=IF('Hiring plan'!$H$34="",999,'Hiring plan'!$H$34)),'Hiring plan'!$F$34,0)</f>
        <v>2</v>
      </c>
      <c r="AF38" s="33" t="n">
        <f aca="false">IF(AND(N('Hiring plan'!$F$34)&gt;0,AF$3&gt;='Hiring plan'!$G$34,AF$3&lt;=IF('Hiring plan'!$H$34="",999,'Hiring plan'!$H$34)),'Hiring plan'!$F$34,0)</f>
        <v>2</v>
      </c>
      <c r="AG38" s="33" t="n">
        <f aca="false">IF(AND(N('Hiring plan'!$F$34)&gt;0,AG$3&gt;='Hiring plan'!$G$34,AG$3&lt;=IF('Hiring plan'!$H$34="",999,'Hiring plan'!$H$34)),'Hiring plan'!$F$34,0)</f>
        <v>2</v>
      </c>
      <c r="AH38" s="33" t="n">
        <f aca="false">IF(AND(N('Hiring plan'!$F$34)&gt;0,AH$3&gt;='Hiring plan'!$G$34,AH$3&lt;=IF('Hiring plan'!$H$34="",999,'Hiring plan'!$H$34)),'Hiring plan'!$F$34,0)</f>
        <v>2</v>
      </c>
      <c r="AI38" s="33" t="n">
        <f aca="false">IF(AND(N('Hiring plan'!$F$34)&gt;0,AI$3&gt;='Hiring plan'!$G$34,AI$3&lt;=IF('Hiring plan'!$H$34="",999,'Hiring plan'!$H$34)),'Hiring plan'!$F$34,0)</f>
        <v>2</v>
      </c>
      <c r="AJ38" s="33" t="n">
        <f aca="false">IF(AND(N('Hiring plan'!$F$34)&gt;0,AJ$3&gt;='Hiring plan'!$G$34,AJ$3&lt;=IF('Hiring plan'!$H$34="",999,'Hiring plan'!$H$34)),'Hiring plan'!$F$34,0)</f>
        <v>2</v>
      </c>
      <c r="AK38" s="33" t="n">
        <f aca="false">IF(AND(N('Hiring plan'!$F$34)&gt;0,AK$3&gt;='Hiring plan'!$G$34,AK$3&lt;=IF('Hiring plan'!$H$34="",999,'Hiring plan'!$H$34)),'Hiring plan'!$F$34,0)</f>
        <v>2</v>
      </c>
      <c r="AL38" s="33" t="n">
        <f aca="false">IF(AND(N('Hiring plan'!$F$34)&gt;0,AL$3&gt;='Hiring plan'!$G$34,AL$3&lt;=IF('Hiring plan'!$H$34="",999,'Hiring plan'!$H$34)),'Hiring plan'!$F$34,0)</f>
        <v>2</v>
      </c>
      <c r="AM38" s="33" t="n">
        <f aca="false">IF(AND(N('Hiring plan'!$F$34)&gt;0,AM$3&gt;='Hiring plan'!$G$34,AM$3&lt;=IF('Hiring plan'!$H$34="",999,'Hiring plan'!$H$34)),'Hiring plan'!$F$34,0)</f>
        <v>2</v>
      </c>
      <c r="AN38" s="33" t="n">
        <f aca="false">IF(AND(N('Hiring plan'!$F$34)&gt;0,AN$3&gt;='Hiring plan'!$G$34,AN$3&lt;=IF('Hiring plan'!$H$34="",999,'Hiring plan'!$H$34)),'Hiring plan'!$F$34,0)</f>
        <v>2</v>
      </c>
      <c r="AO38" s="33" t="n">
        <f aca="false">IF(AND(N('Hiring plan'!$F$34)&gt;0,AO$3&gt;='Hiring plan'!$G$34,AO$3&lt;=IF('Hiring plan'!$H$34="",999,'Hiring plan'!$H$34)),'Hiring plan'!$F$34,0)</f>
        <v>2</v>
      </c>
      <c r="AP38" s="33" t="n">
        <f aca="false">IF(AND(N('Hiring plan'!$F$34)&gt;0,AP$3&gt;='Hiring plan'!$G$34,AP$3&lt;=IF('Hiring plan'!$H$34="",999,'Hiring plan'!$H$34)),'Hiring plan'!$F$34,0)</f>
        <v>2</v>
      </c>
      <c r="AQ38" s="33" t="n">
        <f aca="false">IF(AND(N('Hiring plan'!$F$34)&gt;0,AQ$3&gt;='Hiring plan'!$G$34,AQ$3&lt;=IF('Hiring plan'!$H$34="",999,'Hiring plan'!$H$34)),'Hiring plan'!$F$34,0)</f>
        <v>2</v>
      </c>
      <c r="AR38" s="33" t="n">
        <f aca="false">IF(AND(N('Hiring plan'!$F$34)&gt;0,AR$3&gt;='Hiring plan'!$G$34,AR$3&lt;=IF('Hiring plan'!$H$34="",999,'Hiring plan'!$H$34)),'Hiring plan'!$F$34,0)</f>
        <v>2</v>
      </c>
      <c r="AS38" s="33" t="n">
        <f aca="false">IF(AND(N('Hiring plan'!$F$34)&gt;0,AS$3&gt;='Hiring plan'!$G$34,AS$3&lt;=IF('Hiring plan'!$H$34="",999,'Hiring plan'!$H$34)),'Hiring plan'!$F$34,0)</f>
        <v>2</v>
      </c>
      <c r="AT38" s="33" t="n">
        <f aca="false">IF(AND(N('Hiring plan'!$F$34)&gt;0,AT$3&gt;='Hiring plan'!$G$34,AT$3&lt;=IF('Hiring plan'!$H$34="",999,'Hiring plan'!$H$34)),'Hiring plan'!$F$34,0)</f>
        <v>2</v>
      </c>
      <c r="AU38" s="33" t="n">
        <f aca="false">IF(AND(N('Hiring plan'!$F$34)&gt;0,AU$3&gt;='Hiring plan'!$G$34,AU$3&lt;=IF('Hiring plan'!$H$34="",999,'Hiring plan'!$H$34)),'Hiring plan'!$F$34,0)</f>
        <v>2</v>
      </c>
      <c r="AV38" s="33" t="n">
        <f aca="false">IF(AND(N('Hiring plan'!$F$34)&gt;0,AV$3&gt;='Hiring plan'!$G$34,AV$3&lt;=IF('Hiring plan'!$H$34="",999,'Hiring plan'!$H$34)),'Hiring plan'!$F$34,0)</f>
        <v>2</v>
      </c>
      <c r="AW38" s="33" t="n">
        <f aca="false">IF(AND(N('Hiring plan'!$F$34)&gt;0,AW$3&gt;='Hiring plan'!$G$34,AW$3&lt;=IF('Hiring plan'!$H$34="",999,'Hiring plan'!$H$34)),'Hiring plan'!$F$34,0)</f>
        <v>2</v>
      </c>
      <c r="AX38" s="33" t="n">
        <f aca="false">IF(AND(N('Hiring plan'!$F$34)&gt;0,AX$3&gt;='Hiring plan'!$G$34,AX$3&lt;=IF('Hiring plan'!$H$34="",999,'Hiring plan'!$H$34)),'Hiring plan'!$F$34,0)</f>
        <v>2</v>
      </c>
      <c r="AY38" s="33" t="n">
        <f aca="false">IF(AND(N('Hiring plan'!$F$34)&gt;0,AY$3&gt;='Hiring plan'!$G$34,AY$3&lt;=IF('Hiring plan'!$H$34="",999,'Hiring plan'!$H$34)),'Hiring plan'!$F$34,0)</f>
        <v>2</v>
      </c>
      <c r="AZ38" s="33" t="n">
        <f aca="false">IF(AND(N('Hiring plan'!$F$34)&gt;0,AZ$3&gt;='Hiring plan'!$G$34,AZ$3&lt;=IF('Hiring plan'!$H$34="",999,'Hiring plan'!$H$34)),'Hiring plan'!$F$34,0)</f>
        <v>2</v>
      </c>
      <c r="BA38" s="33" t="n">
        <f aca="false">IF(AND(N('Hiring plan'!$F$34)&gt;0,BA$3&gt;='Hiring plan'!$G$34,BA$3&lt;=IF('Hiring plan'!$H$34="",999,'Hiring plan'!$H$34)),'Hiring plan'!$F$34,0)</f>
        <v>2</v>
      </c>
      <c r="BB38" s="33" t="n">
        <f aca="false">IF(AND(N('Hiring plan'!$F$34)&gt;0,BB$3&gt;='Hiring plan'!$G$34,BB$3&lt;=IF('Hiring plan'!$H$34="",999,'Hiring plan'!$H$34)),'Hiring plan'!$F$34,0)</f>
        <v>2</v>
      </c>
      <c r="BC38" s="33" t="n">
        <f aca="false">IF(AND(N('Hiring plan'!$F$34)&gt;0,BC$3&gt;='Hiring plan'!$G$34,BC$3&lt;=IF('Hiring plan'!$H$34="",999,'Hiring plan'!$H$34)),'Hiring plan'!$F$34,0)</f>
        <v>2</v>
      </c>
      <c r="BD38" s="33" t="n">
        <f aca="false">IF(AND(N('Hiring plan'!$F$34)&gt;0,BD$3&gt;='Hiring plan'!$G$34,BD$3&lt;=IF('Hiring plan'!$H$34="",999,'Hiring plan'!$H$34)),'Hiring plan'!$F$34,0)</f>
        <v>2</v>
      </c>
      <c r="BE38" s="33" t="n">
        <f aca="false">IF(AND(N('Hiring plan'!$F$34)&gt;0,BE$3&gt;='Hiring plan'!$G$34,BE$3&lt;=IF('Hiring plan'!$H$34="",999,'Hiring plan'!$H$34)),'Hiring plan'!$F$34,0)</f>
        <v>2</v>
      </c>
      <c r="BF38" s="33" t="n">
        <f aca="false">IF(AND(N('Hiring plan'!$F$34)&gt;0,BF$3&gt;='Hiring plan'!$G$34,BF$3&lt;=IF('Hiring plan'!$H$34="",999,'Hiring plan'!$H$34)),'Hiring plan'!$F$34,0)</f>
        <v>2</v>
      </c>
      <c r="BG38" s="33" t="n">
        <f aca="false">IF(AND(N('Hiring plan'!$F$34)&gt;0,BG$3&gt;='Hiring plan'!$G$34,BG$3&lt;=IF('Hiring plan'!$H$34="",999,'Hiring plan'!$H$34)),'Hiring plan'!$F$34,0)</f>
        <v>2</v>
      </c>
      <c r="BH38" s="33" t="n">
        <f aca="false">IF(AND(N('Hiring plan'!$F$34)&gt;0,BH$3&gt;='Hiring plan'!$G$34,BH$3&lt;=IF('Hiring plan'!$H$34="",999,'Hiring plan'!$H$34)),'Hiring plan'!$F$34,0)</f>
        <v>2</v>
      </c>
      <c r="BI38" s="33" t="n">
        <f aca="false">IF(AND(N('Hiring plan'!$F$34)&gt;0,BI$3&gt;='Hiring plan'!$G$34,BI$3&lt;=IF('Hiring plan'!$H$34="",999,'Hiring plan'!$H$34)),'Hiring plan'!$F$34,0)</f>
        <v>2</v>
      </c>
      <c r="BJ38" s="33" t="n">
        <f aca="false">IF(AND(N('Hiring plan'!$F$34)&gt;0,BJ$3&gt;='Hiring plan'!$G$34,BJ$3&lt;=IF('Hiring plan'!$H$34="",999,'Hiring plan'!$H$34)),'Hiring plan'!$F$34,0)</f>
        <v>2</v>
      </c>
      <c r="BK38" s="33" t="n">
        <f aca="false">IF(AND(N('Hiring plan'!$F$34)&gt;0,BK$3&gt;='Hiring plan'!$G$34,BK$3&lt;=IF('Hiring plan'!$H$34="",999,'Hiring plan'!$H$34)),'Hiring plan'!$F$34,0)</f>
        <v>2</v>
      </c>
      <c r="BL38" s="33" t="n">
        <f aca="false">IF(AND(N('Hiring plan'!$F$34)&gt;0,BL$3&gt;='Hiring plan'!$G$34,BL$3&lt;=IF('Hiring plan'!$H$34="",999,'Hiring plan'!$H$34)),'Hiring plan'!$F$34,0)</f>
        <v>2</v>
      </c>
    </row>
    <row r="39" customFormat="false" ht="15" hidden="false" customHeight="false" outlineLevel="0" collapsed="false">
      <c r="A39" s="12" t="str">
        <f aca="false">IF('Hiring plan'!$C$35="","(spare line 31)",'Hiring plan'!$C$35&amp;" · "&amp;'Hiring plan'!$D$35)</f>
        <v>Customer support agent · SN</v>
      </c>
      <c r="B39" s="14" t="s">
        <v>222</v>
      </c>
      <c r="D39" s="41" t="n">
        <f aca="false">MAX(E39:BL39)</f>
        <v>1</v>
      </c>
      <c r="E39" s="33" t="n">
        <f aca="false">IF(AND(N('Hiring plan'!$F$35)&gt;0,E$3&gt;='Hiring plan'!$G$35,E$3&lt;=IF('Hiring plan'!$H$35="",999,'Hiring plan'!$H$35)),'Hiring plan'!$F$35,0)</f>
        <v>0</v>
      </c>
      <c r="F39" s="33" t="n">
        <f aca="false">IF(AND(N('Hiring plan'!$F$35)&gt;0,F$3&gt;='Hiring plan'!$G$35,F$3&lt;=IF('Hiring plan'!$H$35="",999,'Hiring plan'!$H$35)),'Hiring plan'!$F$35,0)</f>
        <v>0</v>
      </c>
      <c r="G39" s="33" t="n">
        <f aca="false">IF(AND(N('Hiring plan'!$F$35)&gt;0,G$3&gt;='Hiring plan'!$G$35,G$3&lt;=IF('Hiring plan'!$H$35="",999,'Hiring plan'!$H$35)),'Hiring plan'!$F$35,0)</f>
        <v>0</v>
      </c>
      <c r="H39" s="33" t="n">
        <f aca="false">IF(AND(N('Hiring plan'!$F$35)&gt;0,H$3&gt;='Hiring plan'!$G$35,H$3&lt;=IF('Hiring plan'!$H$35="",999,'Hiring plan'!$H$35)),'Hiring plan'!$F$35,0)</f>
        <v>1</v>
      </c>
      <c r="I39" s="33" t="n">
        <f aca="false">IF(AND(N('Hiring plan'!$F$35)&gt;0,I$3&gt;='Hiring plan'!$G$35,I$3&lt;=IF('Hiring plan'!$H$35="",999,'Hiring plan'!$H$35)),'Hiring plan'!$F$35,0)</f>
        <v>1</v>
      </c>
      <c r="J39" s="33" t="n">
        <f aca="false">IF(AND(N('Hiring plan'!$F$35)&gt;0,J$3&gt;='Hiring plan'!$G$35,J$3&lt;=IF('Hiring plan'!$H$35="",999,'Hiring plan'!$H$35)),'Hiring plan'!$F$35,0)</f>
        <v>1</v>
      </c>
      <c r="K39" s="33" t="n">
        <f aca="false">IF(AND(N('Hiring plan'!$F$35)&gt;0,K$3&gt;='Hiring plan'!$G$35,K$3&lt;=IF('Hiring plan'!$H$35="",999,'Hiring plan'!$H$35)),'Hiring plan'!$F$35,0)</f>
        <v>1</v>
      </c>
      <c r="L39" s="33" t="n">
        <f aca="false">IF(AND(N('Hiring plan'!$F$35)&gt;0,L$3&gt;='Hiring plan'!$G$35,L$3&lt;=IF('Hiring plan'!$H$35="",999,'Hiring plan'!$H$35)),'Hiring plan'!$F$35,0)</f>
        <v>1</v>
      </c>
      <c r="M39" s="33" t="n">
        <f aca="false">IF(AND(N('Hiring plan'!$F$35)&gt;0,M$3&gt;='Hiring plan'!$G$35,M$3&lt;=IF('Hiring plan'!$H$35="",999,'Hiring plan'!$H$35)),'Hiring plan'!$F$35,0)</f>
        <v>1</v>
      </c>
      <c r="N39" s="33" t="n">
        <f aca="false">IF(AND(N('Hiring plan'!$F$35)&gt;0,N$3&gt;='Hiring plan'!$G$35,N$3&lt;=IF('Hiring plan'!$H$35="",999,'Hiring plan'!$H$35)),'Hiring plan'!$F$35,0)</f>
        <v>1</v>
      </c>
      <c r="O39" s="33" t="n">
        <f aca="false">IF(AND(N('Hiring plan'!$F$35)&gt;0,O$3&gt;='Hiring plan'!$G$35,O$3&lt;=IF('Hiring plan'!$H$35="",999,'Hiring plan'!$H$35)),'Hiring plan'!$F$35,0)</f>
        <v>1</v>
      </c>
      <c r="P39" s="33" t="n">
        <f aca="false">IF(AND(N('Hiring plan'!$F$35)&gt;0,P$3&gt;='Hiring plan'!$G$35,P$3&lt;=IF('Hiring plan'!$H$35="",999,'Hiring plan'!$H$35)),'Hiring plan'!$F$35,0)</f>
        <v>1</v>
      </c>
      <c r="Q39" s="33" t="n">
        <f aca="false">IF(AND(N('Hiring plan'!$F$35)&gt;0,Q$3&gt;='Hiring plan'!$G$35,Q$3&lt;=IF('Hiring plan'!$H$35="",999,'Hiring plan'!$H$35)),'Hiring plan'!$F$35,0)</f>
        <v>1</v>
      </c>
      <c r="R39" s="33" t="n">
        <f aca="false">IF(AND(N('Hiring plan'!$F$35)&gt;0,R$3&gt;='Hiring plan'!$G$35,R$3&lt;=IF('Hiring plan'!$H$35="",999,'Hiring plan'!$H$35)),'Hiring plan'!$F$35,0)</f>
        <v>1</v>
      </c>
      <c r="S39" s="33" t="n">
        <f aca="false">IF(AND(N('Hiring plan'!$F$35)&gt;0,S$3&gt;='Hiring plan'!$G$35,S$3&lt;=IF('Hiring plan'!$H$35="",999,'Hiring plan'!$H$35)),'Hiring plan'!$F$35,0)</f>
        <v>1</v>
      </c>
      <c r="T39" s="33" t="n">
        <f aca="false">IF(AND(N('Hiring plan'!$F$35)&gt;0,T$3&gt;='Hiring plan'!$G$35,T$3&lt;=IF('Hiring plan'!$H$35="",999,'Hiring plan'!$H$35)),'Hiring plan'!$F$35,0)</f>
        <v>1</v>
      </c>
      <c r="U39" s="33" t="n">
        <f aca="false">IF(AND(N('Hiring plan'!$F$35)&gt;0,U$3&gt;='Hiring plan'!$G$35,U$3&lt;=IF('Hiring plan'!$H$35="",999,'Hiring plan'!$H$35)),'Hiring plan'!$F$35,0)</f>
        <v>1</v>
      </c>
      <c r="V39" s="33" t="n">
        <f aca="false">IF(AND(N('Hiring plan'!$F$35)&gt;0,V$3&gt;='Hiring plan'!$G$35,V$3&lt;=IF('Hiring plan'!$H$35="",999,'Hiring plan'!$H$35)),'Hiring plan'!$F$35,0)</f>
        <v>1</v>
      </c>
      <c r="W39" s="33" t="n">
        <f aca="false">IF(AND(N('Hiring plan'!$F$35)&gt;0,W$3&gt;='Hiring plan'!$G$35,W$3&lt;=IF('Hiring plan'!$H$35="",999,'Hiring plan'!$H$35)),'Hiring plan'!$F$35,0)</f>
        <v>1</v>
      </c>
      <c r="X39" s="33" t="n">
        <f aca="false">IF(AND(N('Hiring plan'!$F$35)&gt;0,X$3&gt;='Hiring plan'!$G$35,X$3&lt;=IF('Hiring plan'!$H$35="",999,'Hiring plan'!$H$35)),'Hiring plan'!$F$35,0)</f>
        <v>1</v>
      </c>
      <c r="Y39" s="33" t="n">
        <f aca="false">IF(AND(N('Hiring plan'!$F$35)&gt;0,Y$3&gt;='Hiring plan'!$G$35,Y$3&lt;=IF('Hiring plan'!$H$35="",999,'Hiring plan'!$H$35)),'Hiring plan'!$F$35,0)</f>
        <v>1</v>
      </c>
      <c r="Z39" s="33" t="n">
        <f aca="false">IF(AND(N('Hiring plan'!$F$35)&gt;0,Z$3&gt;='Hiring plan'!$G$35,Z$3&lt;=IF('Hiring plan'!$H$35="",999,'Hiring plan'!$H$35)),'Hiring plan'!$F$35,0)</f>
        <v>1</v>
      </c>
      <c r="AA39" s="33" t="n">
        <f aca="false">IF(AND(N('Hiring plan'!$F$35)&gt;0,AA$3&gt;='Hiring plan'!$G$35,AA$3&lt;=IF('Hiring plan'!$H$35="",999,'Hiring plan'!$H$35)),'Hiring plan'!$F$35,0)</f>
        <v>1</v>
      </c>
      <c r="AB39" s="33" t="n">
        <f aca="false">IF(AND(N('Hiring plan'!$F$35)&gt;0,AB$3&gt;='Hiring plan'!$G$35,AB$3&lt;=IF('Hiring plan'!$H$35="",999,'Hiring plan'!$H$35)),'Hiring plan'!$F$35,0)</f>
        <v>1</v>
      </c>
      <c r="AC39" s="33" t="n">
        <f aca="false">IF(AND(N('Hiring plan'!$F$35)&gt;0,AC$3&gt;='Hiring plan'!$G$35,AC$3&lt;=IF('Hiring plan'!$H$35="",999,'Hiring plan'!$H$35)),'Hiring plan'!$F$35,0)</f>
        <v>1</v>
      </c>
      <c r="AD39" s="33" t="n">
        <f aca="false">IF(AND(N('Hiring plan'!$F$35)&gt;0,AD$3&gt;='Hiring plan'!$G$35,AD$3&lt;=IF('Hiring plan'!$H$35="",999,'Hiring plan'!$H$35)),'Hiring plan'!$F$35,0)</f>
        <v>1</v>
      </c>
      <c r="AE39" s="33" t="n">
        <f aca="false">IF(AND(N('Hiring plan'!$F$35)&gt;0,AE$3&gt;='Hiring plan'!$G$35,AE$3&lt;=IF('Hiring plan'!$H$35="",999,'Hiring plan'!$H$35)),'Hiring plan'!$F$35,0)</f>
        <v>1</v>
      </c>
      <c r="AF39" s="33" t="n">
        <f aca="false">IF(AND(N('Hiring plan'!$F$35)&gt;0,AF$3&gt;='Hiring plan'!$G$35,AF$3&lt;=IF('Hiring plan'!$H$35="",999,'Hiring plan'!$H$35)),'Hiring plan'!$F$35,0)</f>
        <v>1</v>
      </c>
      <c r="AG39" s="33" t="n">
        <f aca="false">IF(AND(N('Hiring plan'!$F$35)&gt;0,AG$3&gt;='Hiring plan'!$G$35,AG$3&lt;=IF('Hiring plan'!$H$35="",999,'Hiring plan'!$H$35)),'Hiring plan'!$F$35,0)</f>
        <v>1</v>
      </c>
      <c r="AH39" s="33" t="n">
        <f aca="false">IF(AND(N('Hiring plan'!$F$35)&gt;0,AH$3&gt;='Hiring plan'!$G$35,AH$3&lt;=IF('Hiring plan'!$H$35="",999,'Hiring plan'!$H$35)),'Hiring plan'!$F$35,0)</f>
        <v>1</v>
      </c>
      <c r="AI39" s="33" t="n">
        <f aca="false">IF(AND(N('Hiring plan'!$F$35)&gt;0,AI$3&gt;='Hiring plan'!$G$35,AI$3&lt;=IF('Hiring plan'!$H$35="",999,'Hiring plan'!$H$35)),'Hiring plan'!$F$35,0)</f>
        <v>1</v>
      </c>
      <c r="AJ39" s="33" t="n">
        <f aca="false">IF(AND(N('Hiring plan'!$F$35)&gt;0,AJ$3&gt;='Hiring plan'!$G$35,AJ$3&lt;=IF('Hiring plan'!$H$35="",999,'Hiring plan'!$H$35)),'Hiring plan'!$F$35,0)</f>
        <v>1</v>
      </c>
      <c r="AK39" s="33" t="n">
        <f aca="false">IF(AND(N('Hiring plan'!$F$35)&gt;0,AK$3&gt;='Hiring plan'!$G$35,AK$3&lt;=IF('Hiring plan'!$H$35="",999,'Hiring plan'!$H$35)),'Hiring plan'!$F$35,0)</f>
        <v>1</v>
      </c>
      <c r="AL39" s="33" t="n">
        <f aca="false">IF(AND(N('Hiring plan'!$F$35)&gt;0,AL$3&gt;='Hiring plan'!$G$35,AL$3&lt;=IF('Hiring plan'!$H$35="",999,'Hiring plan'!$H$35)),'Hiring plan'!$F$35,0)</f>
        <v>1</v>
      </c>
      <c r="AM39" s="33" t="n">
        <f aca="false">IF(AND(N('Hiring plan'!$F$35)&gt;0,AM$3&gt;='Hiring plan'!$G$35,AM$3&lt;=IF('Hiring plan'!$H$35="",999,'Hiring plan'!$H$35)),'Hiring plan'!$F$35,0)</f>
        <v>1</v>
      </c>
      <c r="AN39" s="33" t="n">
        <f aca="false">IF(AND(N('Hiring plan'!$F$35)&gt;0,AN$3&gt;='Hiring plan'!$G$35,AN$3&lt;=IF('Hiring plan'!$H$35="",999,'Hiring plan'!$H$35)),'Hiring plan'!$F$35,0)</f>
        <v>1</v>
      </c>
      <c r="AO39" s="33" t="n">
        <f aca="false">IF(AND(N('Hiring plan'!$F$35)&gt;0,AO$3&gt;='Hiring plan'!$G$35,AO$3&lt;=IF('Hiring plan'!$H$35="",999,'Hiring plan'!$H$35)),'Hiring plan'!$F$35,0)</f>
        <v>1</v>
      </c>
      <c r="AP39" s="33" t="n">
        <f aca="false">IF(AND(N('Hiring plan'!$F$35)&gt;0,AP$3&gt;='Hiring plan'!$G$35,AP$3&lt;=IF('Hiring plan'!$H$35="",999,'Hiring plan'!$H$35)),'Hiring plan'!$F$35,0)</f>
        <v>1</v>
      </c>
      <c r="AQ39" s="33" t="n">
        <f aca="false">IF(AND(N('Hiring plan'!$F$35)&gt;0,AQ$3&gt;='Hiring plan'!$G$35,AQ$3&lt;=IF('Hiring plan'!$H$35="",999,'Hiring plan'!$H$35)),'Hiring plan'!$F$35,0)</f>
        <v>1</v>
      </c>
      <c r="AR39" s="33" t="n">
        <f aca="false">IF(AND(N('Hiring plan'!$F$35)&gt;0,AR$3&gt;='Hiring plan'!$G$35,AR$3&lt;=IF('Hiring plan'!$H$35="",999,'Hiring plan'!$H$35)),'Hiring plan'!$F$35,0)</f>
        <v>1</v>
      </c>
      <c r="AS39" s="33" t="n">
        <f aca="false">IF(AND(N('Hiring plan'!$F$35)&gt;0,AS$3&gt;='Hiring plan'!$G$35,AS$3&lt;=IF('Hiring plan'!$H$35="",999,'Hiring plan'!$H$35)),'Hiring plan'!$F$35,0)</f>
        <v>1</v>
      </c>
      <c r="AT39" s="33" t="n">
        <f aca="false">IF(AND(N('Hiring plan'!$F$35)&gt;0,AT$3&gt;='Hiring plan'!$G$35,AT$3&lt;=IF('Hiring plan'!$H$35="",999,'Hiring plan'!$H$35)),'Hiring plan'!$F$35,0)</f>
        <v>1</v>
      </c>
      <c r="AU39" s="33" t="n">
        <f aca="false">IF(AND(N('Hiring plan'!$F$35)&gt;0,AU$3&gt;='Hiring plan'!$G$35,AU$3&lt;=IF('Hiring plan'!$H$35="",999,'Hiring plan'!$H$35)),'Hiring plan'!$F$35,0)</f>
        <v>1</v>
      </c>
      <c r="AV39" s="33" t="n">
        <f aca="false">IF(AND(N('Hiring plan'!$F$35)&gt;0,AV$3&gt;='Hiring plan'!$G$35,AV$3&lt;=IF('Hiring plan'!$H$35="",999,'Hiring plan'!$H$35)),'Hiring plan'!$F$35,0)</f>
        <v>1</v>
      </c>
      <c r="AW39" s="33" t="n">
        <f aca="false">IF(AND(N('Hiring plan'!$F$35)&gt;0,AW$3&gt;='Hiring plan'!$G$35,AW$3&lt;=IF('Hiring plan'!$H$35="",999,'Hiring plan'!$H$35)),'Hiring plan'!$F$35,0)</f>
        <v>1</v>
      </c>
      <c r="AX39" s="33" t="n">
        <f aca="false">IF(AND(N('Hiring plan'!$F$35)&gt;0,AX$3&gt;='Hiring plan'!$G$35,AX$3&lt;=IF('Hiring plan'!$H$35="",999,'Hiring plan'!$H$35)),'Hiring plan'!$F$35,0)</f>
        <v>1</v>
      </c>
      <c r="AY39" s="33" t="n">
        <f aca="false">IF(AND(N('Hiring plan'!$F$35)&gt;0,AY$3&gt;='Hiring plan'!$G$35,AY$3&lt;=IF('Hiring plan'!$H$35="",999,'Hiring plan'!$H$35)),'Hiring plan'!$F$35,0)</f>
        <v>1</v>
      </c>
      <c r="AZ39" s="33" t="n">
        <f aca="false">IF(AND(N('Hiring plan'!$F$35)&gt;0,AZ$3&gt;='Hiring plan'!$G$35,AZ$3&lt;=IF('Hiring plan'!$H$35="",999,'Hiring plan'!$H$35)),'Hiring plan'!$F$35,0)</f>
        <v>1</v>
      </c>
      <c r="BA39" s="33" t="n">
        <f aca="false">IF(AND(N('Hiring plan'!$F$35)&gt;0,BA$3&gt;='Hiring plan'!$G$35,BA$3&lt;=IF('Hiring plan'!$H$35="",999,'Hiring plan'!$H$35)),'Hiring plan'!$F$35,0)</f>
        <v>1</v>
      </c>
      <c r="BB39" s="33" t="n">
        <f aca="false">IF(AND(N('Hiring plan'!$F$35)&gt;0,BB$3&gt;='Hiring plan'!$G$35,BB$3&lt;=IF('Hiring plan'!$H$35="",999,'Hiring plan'!$H$35)),'Hiring plan'!$F$35,0)</f>
        <v>1</v>
      </c>
      <c r="BC39" s="33" t="n">
        <f aca="false">IF(AND(N('Hiring plan'!$F$35)&gt;0,BC$3&gt;='Hiring plan'!$G$35,BC$3&lt;=IF('Hiring plan'!$H$35="",999,'Hiring plan'!$H$35)),'Hiring plan'!$F$35,0)</f>
        <v>1</v>
      </c>
      <c r="BD39" s="33" t="n">
        <f aca="false">IF(AND(N('Hiring plan'!$F$35)&gt;0,BD$3&gt;='Hiring plan'!$G$35,BD$3&lt;=IF('Hiring plan'!$H$35="",999,'Hiring plan'!$H$35)),'Hiring plan'!$F$35,0)</f>
        <v>1</v>
      </c>
      <c r="BE39" s="33" t="n">
        <f aca="false">IF(AND(N('Hiring plan'!$F$35)&gt;0,BE$3&gt;='Hiring plan'!$G$35,BE$3&lt;=IF('Hiring plan'!$H$35="",999,'Hiring plan'!$H$35)),'Hiring plan'!$F$35,0)</f>
        <v>1</v>
      </c>
      <c r="BF39" s="33" t="n">
        <f aca="false">IF(AND(N('Hiring plan'!$F$35)&gt;0,BF$3&gt;='Hiring plan'!$G$35,BF$3&lt;=IF('Hiring plan'!$H$35="",999,'Hiring plan'!$H$35)),'Hiring plan'!$F$35,0)</f>
        <v>1</v>
      </c>
      <c r="BG39" s="33" t="n">
        <f aca="false">IF(AND(N('Hiring plan'!$F$35)&gt;0,BG$3&gt;='Hiring plan'!$G$35,BG$3&lt;=IF('Hiring plan'!$H$35="",999,'Hiring plan'!$H$35)),'Hiring plan'!$F$35,0)</f>
        <v>1</v>
      </c>
      <c r="BH39" s="33" t="n">
        <f aca="false">IF(AND(N('Hiring plan'!$F$35)&gt;0,BH$3&gt;='Hiring plan'!$G$35,BH$3&lt;=IF('Hiring plan'!$H$35="",999,'Hiring plan'!$H$35)),'Hiring plan'!$F$35,0)</f>
        <v>1</v>
      </c>
      <c r="BI39" s="33" t="n">
        <f aca="false">IF(AND(N('Hiring plan'!$F$35)&gt;0,BI$3&gt;='Hiring plan'!$G$35,BI$3&lt;=IF('Hiring plan'!$H$35="",999,'Hiring plan'!$H$35)),'Hiring plan'!$F$35,0)</f>
        <v>1</v>
      </c>
      <c r="BJ39" s="33" t="n">
        <f aca="false">IF(AND(N('Hiring plan'!$F$35)&gt;0,BJ$3&gt;='Hiring plan'!$G$35,BJ$3&lt;=IF('Hiring plan'!$H$35="",999,'Hiring plan'!$H$35)),'Hiring plan'!$F$35,0)</f>
        <v>1</v>
      </c>
      <c r="BK39" s="33" t="n">
        <f aca="false">IF(AND(N('Hiring plan'!$F$35)&gt;0,BK$3&gt;='Hiring plan'!$G$35,BK$3&lt;=IF('Hiring plan'!$H$35="",999,'Hiring plan'!$H$35)),'Hiring plan'!$F$35,0)</f>
        <v>1</v>
      </c>
      <c r="BL39" s="33" t="n">
        <f aca="false">IF(AND(N('Hiring plan'!$F$35)&gt;0,BL$3&gt;='Hiring plan'!$G$35,BL$3&lt;=IF('Hiring plan'!$H$35="",999,'Hiring plan'!$H$35)),'Hiring plan'!$F$35,0)</f>
        <v>1</v>
      </c>
    </row>
    <row r="40" customFormat="false" ht="15" hidden="false" customHeight="false" outlineLevel="0" collapsed="false">
      <c r="A40" s="12" t="str">
        <f aca="false">IF('Hiring plan'!$C$36="","(spare line 32)",'Hiring plan'!$C$36&amp;" · "&amp;'Hiring plan'!$D$36)</f>
        <v>KYC / onboarding agent · SN</v>
      </c>
      <c r="B40" s="14" t="s">
        <v>222</v>
      </c>
      <c r="D40" s="41" t="n">
        <f aca="false">MAX(E40:BL40)</f>
        <v>1</v>
      </c>
      <c r="E40" s="33" t="n">
        <f aca="false">IF(AND(N('Hiring plan'!$F$36)&gt;0,E$3&gt;='Hiring plan'!$G$36,E$3&lt;=IF('Hiring plan'!$H$36="",999,'Hiring plan'!$H$36)),'Hiring plan'!$F$36,0)</f>
        <v>0</v>
      </c>
      <c r="F40" s="33" t="n">
        <f aca="false">IF(AND(N('Hiring plan'!$F$36)&gt;0,F$3&gt;='Hiring plan'!$G$36,F$3&lt;=IF('Hiring plan'!$H$36="",999,'Hiring plan'!$H$36)),'Hiring plan'!$F$36,0)</f>
        <v>0</v>
      </c>
      <c r="G40" s="33" t="n">
        <f aca="false">IF(AND(N('Hiring plan'!$F$36)&gt;0,G$3&gt;='Hiring plan'!$G$36,G$3&lt;=IF('Hiring plan'!$H$36="",999,'Hiring plan'!$H$36)),'Hiring plan'!$F$36,0)</f>
        <v>0</v>
      </c>
      <c r="H40" s="33" t="n">
        <f aca="false">IF(AND(N('Hiring plan'!$F$36)&gt;0,H$3&gt;='Hiring plan'!$G$36,H$3&lt;=IF('Hiring plan'!$H$36="",999,'Hiring plan'!$H$36)),'Hiring plan'!$F$36,0)</f>
        <v>0</v>
      </c>
      <c r="I40" s="33" t="n">
        <f aca="false">IF(AND(N('Hiring plan'!$F$36)&gt;0,I$3&gt;='Hiring plan'!$G$36,I$3&lt;=IF('Hiring plan'!$H$36="",999,'Hiring plan'!$H$36)),'Hiring plan'!$F$36,0)</f>
        <v>0</v>
      </c>
      <c r="J40" s="33" t="n">
        <f aca="false">IF(AND(N('Hiring plan'!$F$36)&gt;0,J$3&gt;='Hiring plan'!$G$36,J$3&lt;=IF('Hiring plan'!$H$36="",999,'Hiring plan'!$H$36)),'Hiring plan'!$F$36,0)</f>
        <v>0</v>
      </c>
      <c r="K40" s="33" t="n">
        <f aca="false">IF(AND(N('Hiring plan'!$F$36)&gt;0,K$3&gt;='Hiring plan'!$G$36,K$3&lt;=IF('Hiring plan'!$H$36="",999,'Hiring plan'!$H$36)),'Hiring plan'!$F$36,0)</f>
        <v>0</v>
      </c>
      <c r="L40" s="33" t="n">
        <f aca="false">IF(AND(N('Hiring plan'!$F$36)&gt;0,L$3&gt;='Hiring plan'!$G$36,L$3&lt;=IF('Hiring plan'!$H$36="",999,'Hiring plan'!$H$36)),'Hiring plan'!$F$36,0)</f>
        <v>0</v>
      </c>
      <c r="M40" s="33" t="n">
        <f aca="false">IF(AND(N('Hiring plan'!$F$36)&gt;0,M$3&gt;='Hiring plan'!$G$36,M$3&lt;=IF('Hiring plan'!$H$36="",999,'Hiring plan'!$H$36)),'Hiring plan'!$F$36,0)</f>
        <v>0</v>
      </c>
      <c r="N40" s="33" t="n">
        <f aca="false">IF(AND(N('Hiring plan'!$F$36)&gt;0,N$3&gt;='Hiring plan'!$G$36,N$3&lt;=IF('Hiring plan'!$H$36="",999,'Hiring plan'!$H$36)),'Hiring plan'!$F$36,0)</f>
        <v>0</v>
      </c>
      <c r="O40" s="33" t="n">
        <f aca="false">IF(AND(N('Hiring plan'!$F$36)&gt;0,O$3&gt;='Hiring plan'!$G$36,O$3&lt;=IF('Hiring plan'!$H$36="",999,'Hiring plan'!$H$36)),'Hiring plan'!$F$36,0)</f>
        <v>0</v>
      </c>
      <c r="P40" s="33" t="n">
        <f aca="false">IF(AND(N('Hiring plan'!$F$36)&gt;0,P$3&gt;='Hiring plan'!$G$36,P$3&lt;=IF('Hiring plan'!$H$36="",999,'Hiring plan'!$H$36)),'Hiring plan'!$F$36,0)</f>
        <v>0</v>
      </c>
      <c r="Q40" s="33" t="n">
        <f aca="false">IF(AND(N('Hiring plan'!$F$36)&gt;0,Q$3&gt;='Hiring plan'!$G$36,Q$3&lt;=IF('Hiring plan'!$H$36="",999,'Hiring plan'!$H$36)),'Hiring plan'!$F$36,0)</f>
        <v>0</v>
      </c>
      <c r="R40" s="33" t="n">
        <f aca="false">IF(AND(N('Hiring plan'!$F$36)&gt;0,R$3&gt;='Hiring plan'!$G$36,R$3&lt;=IF('Hiring plan'!$H$36="",999,'Hiring plan'!$H$36)),'Hiring plan'!$F$36,0)</f>
        <v>0</v>
      </c>
      <c r="S40" s="33" t="n">
        <f aca="false">IF(AND(N('Hiring plan'!$F$36)&gt;0,S$3&gt;='Hiring plan'!$G$36,S$3&lt;=IF('Hiring plan'!$H$36="",999,'Hiring plan'!$H$36)),'Hiring plan'!$F$36,0)</f>
        <v>0</v>
      </c>
      <c r="T40" s="33" t="n">
        <f aca="false">IF(AND(N('Hiring plan'!$F$36)&gt;0,T$3&gt;='Hiring plan'!$G$36,T$3&lt;=IF('Hiring plan'!$H$36="",999,'Hiring plan'!$H$36)),'Hiring plan'!$F$36,0)</f>
        <v>0</v>
      </c>
      <c r="U40" s="33" t="n">
        <f aca="false">IF(AND(N('Hiring plan'!$F$36)&gt;0,U$3&gt;='Hiring plan'!$G$36,U$3&lt;=IF('Hiring plan'!$H$36="",999,'Hiring plan'!$H$36)),'Hiring plan'!$F$36,0)</f>
        <v>0</v>
      </c>
      <c r="V40" s="33" t="n">
        <f aca="false">IF(AND(N('Hiring plan'!$F$36)&gt;0,V$3&gt;='Hiring plan'!$G$36,V$3&lt;=IF('Hiring plan'!$H$36="",999,'Hiring plan'!$H$36)),'Hiring plan'!$F$36,0)</f>
        <v>0</v>
      </c>
      <c r="W40" s="33" t="n">
        <f aca="false">IF(AND(N('Hiring plan'!$F$36)&gt;0,W$3&gt;='Hiring plan'!$G$36,W$3&lt;=IF('Hiring plan'!$H$36="",999,'Hiring plan'!$H$36)),'Hiring plan'!$F$36,0)</f>
        <v>1</v>
      </c>
      <c r="X40" s="33" t="n">
        <f aca="false">IF(AND(N('Hiring plan'!$F$36)&gt;0,X$3&gt;='Hiring plan'!$G$36,X$3&lt;=IF('Hiring plan'!$H$36="",999,'Hiring plan'!$H$36)),'Hiring plan'!$F$36,0)</f>
        <v>1</v>
      </c>
      <c r="Y40" s="33" t="n">
        <f aca="false">IF(AND(N('Hiring plan'!$F$36)&gt;0,Y$3&gt;='Hiring plan'!$G$36,Y$3&lt;=IF('Hiring plan'!$H$36="",999,'Hiring plan'!$H$36)),'Hiring plan'!$F$36,0)</f>
        <v>1</v>
      </c>
      <c r="Z40" s="33" t="n">
        <f aca="false">IF(AND(N('Hiring plan'!$F$36)&gt;0,Z$3&gt;='Hiring plan'!$G$36,Z$3&lt;=IF('Hiring plan'!$H$36="",999,'Hiring plan'!$H$36)),'Hiring plan'!$F$36,0)</f>
        <v>1</v>
      </c>
      <c r="AA40" s="33" t="n">
        <f aca="false">IF(AND(N('Hiring plan'!$F$36)&gt;0,AA$3&gt;='Hiring plan'!$G$36,AA$3&lt;=IF('Hiring plan'!$H$36="",999,'Hiring plan'!$H$36)),'Hiring plan'!$F$36,0)</f>
        <v>1</v>
      </c>
      <c r="AB40" s="33" t="n">
        <f aca="false">IF(AND(N('Hiring plan'!$F$36)&gt;0,AB$3&gt;='Hiring plan'!$G$36,AB$3&lt;=IF('Hiring plan'!$H$36="",999,'Hiring plan'!$H$36)),'Hiring plan'!$F$36,0)</f>
        <v>1</v>
      </c>
      <c r="AC40" s="33" t="n">
        <f aca="false">IF(AND(N('Hiring plan'!$F$36)&gt;0,AC$3&gt;='Hiring plan'!$G$36,AC$3&lt;=IF('Hiring plan'!$H$36="",999,'Hiring plan'!$H$36)),'Hiring plan'!$F$36,0)</f>
        <v>1</v>
      </c>
      <c r="AD40" s="33" t="n">
        <f aca="false">IF(AND(N('Hiring plan'!$F$36)&gt;0,AD$3&gt;='Hiring plan'!$G$36,AD$3&lt;=IF('Hiring plan'!$H$36="",999,'Hiring plan'!$H$36)),'Hiring plan'!$F$36,0)</f>
        <v>1</v>
      </c>
      <c r="AE40" s="33" t="n">
        <f aca="false">IF(AND(N('Hiring plan'!$F$36)&gt;0,AE$3&gt;='Hiring plan'!$G$36,AE$3&lt;=IF('Hiring plan'!$H$36="",999,'Hiring plan'!$H$36)),'Hiring plan'!$F$36,0)</f>
        <v>1</v>
      </c>
      <c r="AF40" s="33" t="n">
        <f aca="false">IF(AND(N('Hiring plan'!$F$36)&gt;0,AF$3&gt;='Hiring plan'!$G$36,AF$3&lt;=IF('Hiring plan'!$H$36="",999,'Hiring plan'!$H$36)),'Hiring plan'!$F$36,0)</f>
        <v>1</v>
      </c>
      <c r="AG40" s="33" t="n">
        <f aca="false">IF(AND(N('Hiring plan'!$F$36)&gt;0,AG$3&gt;='Hiring plan'!$G$36,AG$3&lt;=IF('Hiring plan'!$H$36="",999,'Hiring plan'!$H$36)),'Hiring plan'!$F$36,0)</f>
        <v>1</v>
      </c>
      <c r="AH40" s="33" t="n">
        <f aca="false">IF(AND(N('Hiring plan'!$F$36)&gt;0,AH$3&gt;='Hiring plan'!$G$36,AH$3&lt;=IF('Hiring plan'!$H$36="",999,'Hiring plan'!$H$36)),'Hiring plan'!$F$36,0)</f>
        <v>1</v>
      </c>
      <c r="AI40" s="33" t="n">
        <f aca="false">IF(AND(N('Hiring plan'!$F$36)&gt;0,AI$3&gt;='Hiring plan'!$G$36,AI$3&lt;=IF('Hiring plan'!$H$36="",999,'Hiring plan'!$H$36)),'Hiring plan'!$F$36,0)</f>
        <v>1</v>
      </c>
      <c r="AJ40" s="33" t="n">
        <f aca="false">IF(AND(N('Hiring plan'!$F$36)&gt;0,AJ$3&gt;='Hiring plan'!$G$36,AJ$3&lt;=IF('Hiring plan'!$H$36="",999,'Hiring plan'!$H$36)),'Hiring plan'!$F$36,0)</f>
        <v>1</v>
      </c>
      <c r="AK40" s="33" t="n">
        <f aca="false">IF(AND(N('Hiring plan'!$F$36)&gt;0,AK$3&gt;='Hiring plan'!$G$36,AK$3&lt;=IF('Hiring plan'!$H$36="",999,'Hiring plan'!$H$36)),'Hiring plan'!$F$36,0)</f>
        <v>1</v>
      </c>
      <c r="AL40" s="33" t="n">
        <f aca="false">IF(AND(N('Hiring plan'!$F$36)&gt;0,AL$3&gt;='Hiring plan'!$G$36,AL$3&lt;=IF('Hiring plan'!$H$36="",999,'Hiring plan'!$H$36)),'Hiring plan'!$F$36,0)</f>
        <v>1</v>
      </c>
      <c r="AM40" s="33" t="n">
        <f aca="false">IF(AND(N('Hiring plan'!$F$36)&gt;0,AM$3&gt;='Hiring plan'!$G$36,AM$3&lt;=IF('Hiring plan'!$H$36="",999,'Hiring plan'!$H$36)),'Hiring plan'!$F$36,0)</f>
        <v>1</v>
      </c>
      <c r="AN40" s="33" t="n">
        <f aca="false">IF(AND(N('Hiring plan'!$F$36)&gt;0,AN$3&gt;='Hiring plan'!$G$36,AN$3&lt;=IF('Hiring plan'!$H$36="",999,'Hiring plan'!$H$36)),'Hiring plan'!$F$36,0)</f>
        <v>1</v>
      </c>
      <c r="AO40" s="33" t="n">
        <f aca="false">IF(AND(N('Hiring plan'!$F$36)&gt;0,AO$3&gt;='Hiring plan'!$G$36,AO$3&lt;=IF('Hiring plan'!$H$36="",999,'Hiring plan'!$H$36)),'Hiring plan'!$F$36,0)</f>
        <v>1</v>
      </c>
      <c r="AP40" s="33" t="n">
        <f aca="false">IF(AND(N('Hiring plan'!$F$36)&gt;0,AP$3&gt;='Hiring plan'!$G$36,AP$3&lt;=IF('Hiring plan'!$H$36="",999,'Hiring plan'!$H$36)),'Hiring plan'!$F$36,0)</f>
        <v>1</v>
      </c>
      <c r="AQ40" s="33" t="n">
        <f aca="false">IF(AND(N('Hiring plan'!$F$36)&gt;0,AQ$3&gt;='Hiring plan'!$G$36,AQ$3&lt;=IF('Hiring plan'!$H$36="",999,'Hiring plan'!$H$36)),'Hiring plan'!$F$36,0)</f>
        <v>1</v>
      </c>
      <c r="AR40" s="33" t="n">
        <f aca="false">IF(AND(N('Hiring plan'!$F$36)&gt;0,AR$3&gt;='Hiring plan'!$G$36,AR$3&lt;=IF('Hiring plan'!$H$36="",999,'Hiring plan'!$H$36)),'Hiring plan'!$F$36,0)</f>
        <v>1</v>
      </c>
      <c r="AS40" s="33" t="n">
        <f aca="false">IF(AND(N('Hiring plan'!$F$36)&gt;0,AS$3&gt;='Hiring plan'!$G$36,AS$3&lt;=IF('Hiring plan'!$H$36="",999,'Hiring plan'!$H$36)),'Hiring plan'!$F$36,0)</f>
        <v>1</v>
      </c>
      <c r="AT40" s="33" t="n">
        <f aca="false">IF(AND(N('Hiring plan'!$F$36)&gt;0,AT$3&gt;='Hiring plan'!$G$36,AT$3&lt;=IF('Hiring plan'!$H$36="",999,'Hiring plan'!$H$36)),'Hiring plan'!$F$36,0)</f>
        <v>1</v>
      </c>
      <c r="AU40" s="33" t="n">
        <f aca="false">IF(AND(N('Hiring plan'!$F$36)&gt;0,AU$3&gt;='Hiring plan'!$G$36,AU$3&lt;=IF('Hiring plan'!$H$36="",999,'Hiring plan'!$H$36)),'Hiring plan'!$F$36,0)</f>
        <v>1</v>
      </c>
      <c r="AV40" s="33" t="n">
        <f aca="false">IF(AND(N('Hiring plan'!$F$36)&gt;0,AV$3&gt;='Hiring plan'!$G$36,AV$3&lt;=IF('Hiring plan'!$H$36="",999,'Hiring plan'!$H$36)),'Hiring plan'!$F$36,0)</f>
        <v>1</v>
      </c>
      <c r="AW40" s="33" t="n">
        <f aca="false">IF(AND(N('Hiring plan'!$F$36)&gt;0,AW$3&gt;='Hiring plan'!$G$36,AW$3&lt;=IF('Hiring plan'!$H$36="",999,'Hiring plan'!$H$36)),'Hiring plan'!$F$36,0)</f>
        <v>1</v>
      </c>
      <c r="AX40" s="33" t="n">
        <f aca="false">IF(AND(N('Hiring plan'!$F$36)&gt;0,AX$3&gt;='Hiring plan'!$G$36,AX$3&lt;=IF('Hiring plan'!$H$36="",999,'Hiring plan'!$H$36)),'Hiring plan'!$F$36,0)</f>
        <v>1</v>
      </c>
      <c r="AY40" s="33" t="n">
        <f aca="false">IF(AND(N('Hiring plan'!$F$36)&gt;0,AY$3&gt;='Hiring plan'!$G$36,AY$3&lt;=IF('Hiring plan'!$H$36="",999,'Hiring plan'!$H$36)),'Hiring plan'!$F$36,0)</f>
        <v>1</v>
      </c>
      <c r="AZ40" s="33" t="n">
        <f aca="false">IF(AND(N('Hiring plan'!$F$36)&gt;0,AZ$3&gt;='Hiring plan'!$G$36,AZ$3&lt;=IF('Hiring plan'!$H$36="",999,'Hiring plan'!$H$36)),'Hiring plan'!$F$36,0)</f>
        <v>1</v>
      </c>
      <c r="BA40" s="33" t="n">
        <f aca="false">IF(AND(N('Hiring plan'!$F$36)&gt;0,BA$3&gt;='Hiring plan'!$G$36,BA$3&lt;=IF('Hiring plan'!$H$36="",999,'Hiring plan'!$H$36)),'Hiring plan'!$F$36,0)</f>
        <v>1</v>
      </c>
      <c r="BB40" s="33" t="n">
        <f aca="false">IF(AND(N('Hiring plan'!$F$36)&gt;0,BB$3&gt;='Hiring plan'!$G$36,BB$3&lt;=IF('Hiring plan'!$H$36="",999,'Hiring plan'!$H$36)),'Hiring plan'!$F$36,0)</f>
        <v>1</v>
      </c>
      <c r="BC40" s="33" t="n">
        <f aca="false">IF(AND(N('Hiring plan'!$F$36)&gt;0,BC$3&gt;='Hiring plan'!$G$36,BC$3&lt;=IF('Hiring plan'!$H$36="",999,'Hiring plan'!$H$36)),'Hiring plan'!$F$36,0)</f>
        <v>1</v>
      </c>
      <c r="BD40" s="33" t="n">
        <f aca="false">IF(AND(N('Hiring plan'!$F$36)&gt;0,BD$3&gt;='Hiring plan'!$G$36,BD$3&lt;=IF('Hiring plan'!$H$36="",999,'Hiring plan'!$H$36)),'Hiring plan'!$F$36,0)</f>
        <v>1</v>
      </c>
      <c r="BE40" s="33" t="n">
        <f aca="false">IF(AND(N('Hiring plan'!$F$36)&gt;0,BE$3&gt;='Hiring plan'!$G$36,BE$3&lt;=IF('Hiring plan'!$H$36="",999,'Hiring plan'!$H$36)),'Hiring plan'!$F$36,0)</f>
        <v>1</v>
      </c>
      <c r="BF40" s="33" t="n">
        <f aca="false">IF(AND(N('Hiring plan'!$F$36)&gt;0,BF$3&gt;='Hiring plan'!$G$36,BF$3&lt;=IF('Hiring plan'!$H$36="",999,'Hiring plan'!$H$36)),'Hiring plan'!$F$36,0)</f>
        <v>1</v>
      </c>
      <c r="BG40" s="33" t="n">
        <f aca="false">IF(AND(N('Hiring plan'!$F$36)&gt;0,BG$3&gt;='Hiring plan'!$G$36,BG$3&lt;=IF('Hiring plan'!$H$36="",999,'Hiring plan'!$H$36)),'Hiring plan'!$F$36,0)</f>
        <v>1</v>
      </c>
      <c r="BH40" s="33" t="n">
        <f aca="false">IF(AND(N('Hiring plan'!$F$36)&gt;0,BH$3&gt;='Hiring plan'!$G$36,BH$3&lt;=IF('Hiring plan'!$H$36="",999,'Hiring plan'!$H$36)),'Hiring plan'!$F$36,0)</f>
        <v>1</v>
      </c>
      <c r="BI40" s="33" t="n">
        <f aca="false">IF(AND(N('Hiring plan'!$F$36)&gt;0,BI$3&gt;='Hiring plan'!$G$36,BI$3&lt;=IF('Hiring plan'!$H$36="",999,'Hiring plan'!$H$36)),'Hiring plan'!$F$36,0)</f>
        <v>1</v>
      </c>
      <c r="BJ40" s="33" t="n">
        <f aca="false">IF(AND(N('Hiring plan'!$F$36)&gt;0,BJ$3&gt;='Hiring plan'!$G$36,BJ$3&lt;=IF('Hiring plan'!$H$36="",999,'Hiring plan'!$H$36)),'Hiring plan'!$F$36,0)</f>
        <v>1</v>
      </c>
      <c r="BK40" s="33" t="n">
        <f aca="false">IF(AND(N('Hiring plan'!$F$36)&gt;0,BK$3&gt;='Hiring plan'!$G$36,BK$3&lt;=IF('Hiring plan'!$H$36="",999,'Hiring plan'!$H$36)),'Hiring plan'!$F$36,0)</f>
        <v>1</v>
      </c>
      <c r="BL40" s="33" t="n">
        <f aca="false">IF(AND(N('Hiring plan'!$F$36)&gt;0,BL$3&gt;='Hiring plan'!$G$36,BL$3&lt;=IF('Hiring plan'!$H$36="",999,'Hiring plan'!$H$36)),'Hiring plan'!$F$36,0)</f>
        <v>1</v>
      </c>
    </row>
    <row r="41" customFormat="false" ht="15" hidden="false" customHeight="false" outlineLevel="0" collapsed="false">
      <c r="A41" s="12" t="str">
        <f aca="false">IF('Hiring plan'!$C$37="","(spare line 33)",'Hiring plan'!$C$37&amp;" · "&amp;'Hiring plan'!$D$37)</f>
        <v>Customer support agent · SN</v>
      </c>
      <c r="B41" s="14" t="s">
        <v>222</v>
      </c>
      <c r="D41" s="41" t="n">
        <f aca="false">MAX(E41:BL41)</f>
        <v>3</v>
      </c>
      <c r="E41" s="33" t="n">
        <f aca="false">IF(AND(N('Hiring plan'!$F$37)&gt;0,E$3&gt;='Hiring plan'!$G$37,E$3&lt;=IF('Hiring plan'!$H$37="",999,'Hiring plan'!$H$37)),'Hiring plan'!$F$37,0)</f>
        <v>0</v>
      </c>
      <c r="F41" s="33" t="n">
        <f aca="false">IF(AND(N('Hiring plan'!$F$37)&gt;0,F$3&gt;='Hiring plan'!$G$37,F$3&lt;=IF('Hiring plan'!$H$37="",999,'Hiring plan'!$H$37)),'Hiring plan'!$F$37,0)</f>
        <v>0</v>
      </c>
      <c r="G41" s="33" t="n">
        <f aca="false">IF(AND(N('Hiring plan'!$F$37)&gt;0,G$3&gt;='Hiring plan'!$G$37,G$3&lt;=IF('Hiring plan'!$H$37="",999,'Hiring plan'!$H$37)),'Hiring plan'!$F$37,0)</f>
        <v>0</v>
      </c>
      <c r="H41" s="33" t="n">
        <f aca="false">IF(AND(N('Hiring plan'!$F$37)&gt;0,H$3&gt;='Hiring plan'!$G$37,H$3&lt;=IF('Hiring plan'!$H$37="",999,'Hiring plan'!$H$37)),'Hiring plan'!$F$37,0)</f>
        <v>0</v>
      </c>
      <c r="I41" s="33" t="n">
        <f aca="false">IF(AND(N('Hiring plan'!$F$37)&gt;0,I$3&gt;='Hiring plan'!$G$37,I$3&lt;=IF('Hiring plan'!$H$37="",999,'Hiring plan'!$H$37)),'Hiring plan'!$F$37,0)</f>
        <v>0</v>
      </c>
      <c r="J41" s="33" t="n">
        <f aca="false">IF(AND(N('Hiring plan'!$F$37)&gt;0,J$3&gt;='Hiring plan'!$G$37,J$3&lt;=IF('Hiring plan'!$H$37="",999,'Hiring plan'!$H$37)),'Hiring plan'!$F$37,0)</f>
        <v>0</v>
      </c>
      <c r="K41" s="33" t="n">
        <f aca="false">IF(AND(N('Hiring plan'!$F$37)&gt;0,K$3&gt;='Hiring plan'!$G$37,K$3&lt;=IF('Hiring plan'!$H$37="",999,'Hiring plan'!$H$37)),'Hiring plan'!$F$37,0)</f>
        <v>0</v>
      </c>
      <c r="L41" s="33" t="n">
        <f aca="false">IF(AND(N('Hiring plan'!$F$37)&gt;0,L$3&gt;='Hiring plan'!$G$37,L$3&lt;=IF('Hiring plan'!$H$37="",999,'Hiring plan'!$H$37)),'Hiring plan'!$F$37,0)</f>
        <v>0</v>
      </c>
      <c r="M41" s="33" t="n">
        <f aca="false">IF(AND(N('Hiring plan'!$F$37)&gt;0,M$3&gt;='Hiring plan'!$G$37,M$3&lt;=IF('Hiring plan'!$H$37="",999,'Hiring plan'!$H$37)),'Hiring plan'!$F$37,0)</f>
        <v>0</v>
      </c>
      <c r="N41" s="33" t="n">
        <f aca="false">IF(AND(N('Hiring plan'!$F$37)&gt;0,N$3&gt;='Hiring plan'!$G$37,N$3&lt;=IF('Hiring plan'!$H$37="",999,'Hiring plan'!$H$37)),'Hiring plan'!$F$37,0)</f>
        <v>0</v>
      </c>
      <c r="O41" s="33" t="n">
        <f aca="false">IF(AND(N('Hiring plan'!$F$37)&gt;0,O$3&gt;='Hiring plan'!$G$37,O$3&lt;=IF('Hiring plan'!$H$37="",999,'Hiring plan'!$H$37)),'Hiring plan'!$F$37,0)</f>
        <v>0</v>
      </c>
      <c r="P41" s="33" t="n">
        <f aca="false">IF(AND(N('Hiring plan'!$F$37)&gt;0,P$3&gt;='Hiring plan'!$G$37,P$3&lt;=IF('Hiring plan'!$H$37="",999,'Hiring plan'!$H$37)),'Hiring plan'!$F$37,0)</f>
        <v>0</v>
      </c>
      <c r="Q41" s="33" t="n">
        <f aca="false">IF(AND(N('Hiring plan'!$F$37)&gt;0,Q$3&gt;='Hiring plan'!$G$37,Q$3&lt;=IF('Hiring plan'!$H$37="",999,'Hiring plan'!$H$37)),'Hiring plan'!$F$37,0)</f>
        <v>0</v>
      </c>
      <c r="R41" s="33" t="n">
        <f aca="false">IF(AND(N('Hiring plan'!$F$37)&gt;0,R$3&gt;='Hiring plan'!$G$37,R$3&lt;=IF('Hiring plan'!$H$37="",999,'Hiring plan'!$H$37)),'Hiring plan'!$F$37,0)</f>
        <v>0</v>
      </c>
      <c r="S41" s="33" t="n">
        <f aca="false">IF(AND(N('Hiring plan'!$F$37)&gt;0,S$3&gt;='Hiring plan'!$G$37,S$3&lt;=IF('Hiring plan'!$H$37="",999,'Hiring plan'!$H$37)),'Hiring plan'!$F$37,0)</f>
        <v>0</v>
      </c>
      <c r="T41" s="33" t="n">
        <f aca="false">IF(AND(N('Hiring plan'!$F$37)&gt;0,T$3&gt;='Hiring plan'!$G$37,T$3&lt;=IF('Hiring plan'!$H$37="",999,'Hiring plan'!$H$37)),'Hiring plan'!$F$37,0)</f>
        <v>0</v>
      </c>
      <c r="U41" s="33" t="n">
        <f aca="false">IF(AND(N('Hiring plan'!$F$37)&gt;0,U$3&gt;='Hiring plan'!$G$37,U$3&lt;=IF('Hiring plan'!$H$37="",999,'Hiring plan'!$H$37)),'Hiring plan'!$F$37,0)</f>
        <v>0</v>
      </c>
      <c r="V41" s="33" t="n">
        <f aca="false">IF(AND(N('Hiring plan'!$F$37)&gt;0,V$3&gt;='Hiring plan'!$G$37,V$3&lt;=IF('Hiring plan'!$H$37="",999,'Hiring plan'!$H$37)),'Hiring plan'!$F$37,0)</f>
        <v>0</v>
      </c>
      <c r="W41" s="33" t="n">
        <f aca="false">IF(AND(N('Hiring plan'!$F$37)&gt;0,W$3&gt;='Hiring plan'!$G$37,W$3&lt;=IF('Hiring plan'!$H$37="",999,'Hiring plan'!$H$37)),'Hiring plan'!$F$37,0)</f>
        <v>3</v>
      </c>
      <c r="X41" s="33" t="n">
        <f aca="false">IF(AND(N('Hiring plan'!$F$37)&gt;0,X$3&gt;='Hiring plan'!$G$37,X$3&lt;=IF('Hiring plan'!$H$37="",999,'Hiring plan'!$H$37)),'Hiring plan'!$F$37,0)</f>
        <v>3</v>
      </c>
      <c r="Y41" s="33" t="n">
        <f aca="false">IF(AND(N('Hiring plan'!$F$37)&gt;0,Y$3&gt;='Hiring plan'!$G$37,Y$3&lt;=IF('Hiring plan'!$H$37="",999,'Hiring plan'!$H$37)),'Hiring plan'!$F$37,0)</f>
        <v>3</v>
      </c>
      <c r="Z41" s="33" t="n">
        <f aca="false">IF(AND(N('Hiring plan'!$F$37)&gt;0,Z$3&gt;='Hiring plan'!$G$37,Z$3&lt;=IF('Hiring plan'!$H$37="",999,'Hiring plan'!$H$37)),'Hiring plan'!$F$37,0)</f>
        <v>3</v>
      </c>
      <c r="AA41" s="33" t="n">
        <f aca="false">IF(AND(N('Hiring plan'!$F$37)&gt;0,AA$3&gt;='Hiring plan'!$G$37,AA$3&lt;=IF('Hiring plan'!$H$37="",999,'Hiring plan'!$H$37)),'Hiring plan'!$F$37,0)</f>
        <v>3</v>
      </c>
      <c r="AB41" s="33" t="n">
        <f aca="false">IF(AND(N('Hiring plan'!$F$37)&gt;0,AB$3&gt;='Hiring plan'!$G$37,AB$3&lt;=IF('Hiring plan'!$H$37="",999,'Hiring plan'!$H$37)),'Hiring plan'!$F$37,0)</f>
        <v>3</v>
      </c>
      <c r="AC41" s="33" t="n">
        <f aca="false">IF(AND(N('Hiring plan'!$F$37)&gt;0,AC$3&gt;='Hiring plan'!$G$37,AC$3&lt;=IF('Hiring plan'!$H$37="",999,'Hiring plan'!$H$37)),'Hiring plan'!$F$37,0)</f>
        <v>3</v>
      </c>
      <c r="AD41" s="33" t="n">
        <f aca="false">IF(AND(N('Hiring plan'!$F$37)&gt;0,AD$3&gt;='Hiring plan'!$G$37,AD$3&lt;=IF('Hiring plan'!$H$37="",999,'Hiring plan'!$H$37)),'Hiring plan'!$F$37,0)</f>
        <v>3</v>
      </c>
      <c r="AE41" s="33" t="n">
        <f aca="false">IF(AND(N('Hiring plan'!$F$37)&gt;0,AE$3&gt;='Hiring plan'!$G$37,AE$3&lt;=IF('Hiring plan'!$H$37="",999,'Hiring plan'!$H$37)),'Hiring plan'!$F$37,0)</f>
        <v>3</v>
      </c>
      <c r="AF41" s="33" t="n">
        <f aca="false">IF(AND(N('Hiring plan'!$F$37)&gt;0,AF$3&gt;='Hiring plan'!$G$37,AF$3&lt;=IF('Hiring plan'!$H$37="",999,'Hiring plan'!$H$37)),'Hiring plan'!$F$37,0)</f>
        <v>3</v>
      </c>
      <c r="AG41" s="33" t="n">
        <f aca="false">IF(AND(N('Hiring plan'!$F$37)&gt;0,AG$3&gt;='Hiring plan'!$G$37,AG$3&lt;=IF('Hiring plan'!$H$37="",999,'Hiring plan'!$H$37)),'Hiring plan'!$F$37,0)</f>
        <v>3</v>
      </c>
      <c r="AH41" s="33" t="n">
        <f aca="false">IF(AND(N('Hiring plan'!$F$37)&gt;0,AH$3&gt;='Hiring plan'!$G$37,AH$3&lt;=IF('Hiring plan'!$H$37="",999,'Hiring plan'!$H$37)),'Hiring plan'!$F$37,0)</f>
        <v>3</v>
      </c>
      <c r="AI41" s="33" t="n">
        <f aca="false">IF(AND(N('Hiring plan'!$F$37)&gt;0,AI$3&gt;='Hiring plan'!$G$37,AI$3&lt;=IF('Hiring plan'!$H$37="",999,'Hiring plan'!$H$37)),'Hiring plan'!$F$37,0)</f>
        <v>3</v>
      </c>
      <c r="AJ41" s="33" t="n">
        <f aca="false">IF(AND(N('Hiring plan'!$F$37)&gt;0,AJ$3&gt;='Hiring plan'!$G$37,AJ$3&lt;=IF('Hiring plan'!$H$37="",999,'Hiring plan'!$H$37)),'Hiring plan'!$F$37,0)</f>
        <v>3</v>
      </c>
      <c r="AK41" s="33" t="n">
        <f aca="false">IF(AND(N('Hiring plan'!$F$37)&gt;0,AK$3&gt;='Hiring plan'!$G$37,AK$3&lt;=IF('Hiring plan'!$H$37="",999,'Hiring plan'!$H$37)),'Hiring plan'!$F$37,0)</f>
        <v>3</v>
      </c>
      <c r="AL41" s="33" t="n">
        <f aca="false">IF(AND(N('Hiring plan'!$F$37)&gt;0,AL$3&gt;='Hiring plan'!$G$37,AL$3&lt;=IF('Hiring plan'!$H$37="",999,'Hiring plan'!$H$37)),'Hiring plan'!$F$37,0)</f>
        <v>3</v>
      </c>
      <c r="AM41" s="33" t="n">
        <f aca="false">IF(AND(N('Hiring plan'!$F$37)&gt;0,AM$3&gt;='Hiring plan'!$G$37,AM$3&lt;=IF('Hiring plan'!$H$37="",999,'Hiring plan'!$H$37)),'Hiring plan'!$F$37,0)</f>
        <v>3</v>
      </c>
      <c r="AN41" s="33" t="n">
        <f aca="false">IF(AND(N('Hiring plan'!$F$37)&gt;0,AN$3&gt;='Hiring plan'!$G$37,AN$3&lt;=IF('Hiring plan'!$H$37="",999,'Hiring plan'!$H$37)),'Hiring plan'!$F$37,0)</f>
        <v>3</v>
      </c>
      <c r="AO41" s="33" t="n">
        <f aca="false">IF(AND(N('Hiring plan'!$F$37)&gt;0,AO$3&gt;='Hiring plan'!$G$37,AO$3&lt;=IF('Hiring plan'!$H$37="",999,'Hiring plan'!$H$37)),'Hiring plan'!$F$37,0)</f>
        <v>3</v>
      </c>
      <c r="AP41" s="33" t="n">
        <f aca="false">IF(AND(N('Hiring plan'!$F$37)&gt;0,AP$3&gt;='Hiring plan'!$G$37,AP$3&lt;=IF('Hiring plan'!$H$37="",999,'Hiring plan'!$H$37)),'Hiring plan'!$F$37,0)</f>
        <v>3</v>
      </c>
      <c r="AQ41" s="33" t="n">
        <f aca="false">IF(AND(N('Hiring plan'!$F$37)&gt;0,AQ$3&gt;='Hiring plan'!$G$37,AQ$3&lt;=IF('Hiring plan'!$H$37="",999,'Hiring plan'!$H$37)),'Hiring plan'!$F$37,0)</f>
        <v>3</v>
      </c>
      <c r="AR41" s="33" t="n">
        <f aca="false">IF(AND(N('Hiring plan'!$F$37)&gt;0,AR$3&gt;='Hiring plan'!$G$37,AR$3&lt;=IF('Hiring plan'!$H$37="",999,'Hiring plan'!$H$37)),'Hiring plan'!$F$37,0)</f>
        <v>3</v>
      </c>
      <c r="AS41" s="33" t="n">
        <f aca="false">IF(AND(N('Hiring plan'!$F$37)&gt;0,AS$3&gt;='Hiring plan'!$G$37,AS$3&lt;=IF('Hiring plan'!$H$37="",999,'Hiring plan'!$H$37)),'Hiring plan'!$F$37,0)</f>
        <v>3</v>
      </c>
      <c r="AT41" s="33" t="n">
        <f aca="false">IF(AND(N('Hiring plan'!$F$37)&gt;0,AT$3&gt;='Hiring plan'!$G$37,AT$3&lt;=IF('Hiring plan'!$H$37="",999,'Hiring plan'!$H$37)),'Hiring plan'!$F$37,0)</f>
        <v>3</v>
      </c>
      <c r="AU41" s="33" t="n">
        <f aca="false">IF(AND(N('Hiring plan'!$F$37)&gt;0,AU$3&gt;='Hiring plan'!$G$37,AU$3&lt;=IF('Hiring plan'!$H$37="",999,'Hiring plan'!$H$37)),'Hiring plan'!$F$37,0)</f>
        <v>3</v>
      </c>
      <c r="AV41" s="33" t="n">
        <f aca="false">IF(AND(N('Hiring plan'!$F$37)&gt;0,AV$3&gt;='Hiring plan'!$G$37,AV$3&lt;=IF('Hiring plan'!$H$37="",999,'Hiring plan'!$H$37)),'Hiring plan'!$F$37,0)</f>
        <v>3</v>
      </c>
      <c r="AW41" s="33" t="n">
        <f aca="false">IF(AND(N('Hiring plan'!$F$37)&gt;0,AW$3&gt;='Hiring plan'!$G$37,AW$3&lt;=IF('Hiring plan'!$H$37="",999,'Hiring plan'!$H$37)),'Hiring plan'!$F$37,0)</f>
        <v>3</v>
      </c>
      <c r="AX41" s="33" t="n">
        <f aca="false">IF(AND(N('Hiring plan'!$F$37)&gt;0,AX$3&gt;='Hiring plan'!$G$37,AX$3&lt;=IF('Hiring plan'!$H$37="",999,'Hiring plan'!$H$37)),'Hiring plan'!$F$37,0)</f>
        <v>3</v>
      </c>
      <c r="AY41" s="33" t="n">
        <f aca="false">IF(AND(N('Hiring plan'!$F$37)&gt;0,AY$3&gt;='Hiring plan'!$G$37,AY$3&lt;=IF('Hiring plan'!$H$37="",999,'Hiring plan'!$H$37)),'Hiring plan'!$F$37,0)</f>
        <v>3</v>
      </c>
      <c r="AZ41" s="33" t="n">
        <f aca="false">IF(AND(N('Hiring plan'!$F$37)&gt;0,AZ$3&gt;='Hiring plan'!$G$37,AZ$3&lt;=IF('Hiring plan'!$H$37="",999,'Hiring plan'!$H$37)),'Hiring plan'!$F$37,0)</f>
        <v>3</v>
      </c>
      <c r="BA41" s="33" t="n">
        <f aca="false">IF(AND(N('Hiring plan'!$F$37)&gt;0,BA$3&gt;='Hiring plan'!$G$37,BA$3&lt;=IF('Hiring plan'!$H$37="",999,'Hiring plan'!$H$37)),'Hiring plan'!$F$37,0)</f>
        <v>3</v>
      </c>
      <c r="BB41" s="33" t="n">
        <f aca="false">IF(AND(N('Hiring plan'!$F$37)&gt;0,BB$3&gt;='Hiring plan'!$G$37,BB$3&lt;=IF('Hiring plan'!$H$37="",999,'Hiring plan'!$H$37)),'Hiring plan'!$F$37,0)</f>
        <v>3</v>
      </c>
      <c r="BC41" s="33" t="n">
        <f aca="false">IF(AND(N('Hiring plan'!$F$37)&gt;0,BC$3&gt;='Hiring plan'!$G$37,BC$3&lt;=IF('Hiring plan'!$H$37="",999,'Hiring plan'!$H$37)),'Hiring plan'!$F$37,0)</f>
        <v>3</v>
      </c>
      <c r="BD41" s="33" t="n">
        <f aca="false">IF(AND(N('Hiring plan'!$F$37)&gt;0,BD$3&gt;='Hiring plan'!$G$37,BD$3&lt;=IF('Hiring plan'!$H$37="",999,'Hiring plan'!$H$37)),'Hiring plan'!$F$37,0)</f>
        <v>3</v>
      </c>
      <c r="BE41" s="33" t="n">
        <f aca="false">IF(AND(N('Hiring plan'!$F$37)&gt;0,BE$3&gt;='Hiring plan'!$G$37,BE$3&lt;=IF('Hiring plan'!$H$37="",999,'Hiring plan'!$H$37)),'Hiring plan'!$F$37,0)</f>
        <v>3</v>
      </c>
      <c r="BF41" s="33" t="n">
        <f aca="false">IF(AND(N('Hiring plan'!$F$37)&gt;0,BF$3&gt;='Hiring plan'!$G$37,BF$3&lt;=IF('Hiring plan'!$H$37="",999,'Hiring plan'!$H$37)),'Hiring plan'!$F$37,0)</f>
        <v>3</v>
      </c>
      <c r="BG41" s="33" t="n">
        <f aca="false">IF(AND(N('Hiring plan'!$F$37)&gt;0,BG$3&gt;='Hiring plan'!$G$37,BG$3&lt;=IF('Hiring plan'!$H$37="",999,'Hiring plan'!$H$37)),'Hiring plan'!$F$37,0)</f>
        <v>3</v>
      </c>
      <c r="BH41" s="33" t="n">
        <f aca="false">IF(AND(N('Hiring plan'!$F$37)&gt;0,BH$3&gt;='Hiring plan'!$G$37,BH$3&lt;=IF('Hiring plan'!$H$37="",999,'Hiring plan'!$H$37)),'Hiring plan'!$F$37,0)</f>
        <v>3</v>
      </c>
      <c r="BI41" s="33" t="n">
        <f aca="false">IF(AND(N('Hiring plan'!$F$37)&gt;0,BI$3&gt;='Hiring plan'!$G$37,BI$3&lt;=IF('Hiring plan'!$H$37="",999,'Hiring plan'!$H$37)),'Hiring plan'!$F$37,0)</f>
        <v>3</v>
      </c>
      <c r="BJ41" s="33" t="n">
        <f aca="false">IF(AND(N('Hiring plan'!$F$37)&gt;0,BJ$3&gt;='Hiring plan'!$G$37,BJ$3&lt;=IF('Hiring plan'!$H$37="",999,'Hiring plan'!$H$37)),'Hiring plan'!$F$37,0)</f>
        <v>3</v>
      </c>
      <c r="BK41" s="33" t="n">
        <f aca="false">IF(AND(N('Hiring plan'!$F$37)&gt;0,BK$3&gt;='Hiring plan'!$G$37,BK$3&lt;=IF('Hiring plan'!$H$37="",999,'Hiring plan'!$H$37)),'Hiring plan'!$F$37,0)</f>
        <v>3</v>
      </c>
      <c r="BL41" s="33" t="n">
        <f aca="false">IF(AND(N('Hiring plan'!$F$37)&gt;0,BL$3&gt;='Hiring plan'!$G$37,BL$3&lt;=IF('Hiring plan'!$H$37="",999,'Hiring plan'!$H$37)),'Hiring plan'!$F$37,0)</f>
        <v>3</v>
      </c>
    </row>
    <row r="42" customFormat="false" ht="15" hidden="false" customHeight="false" outlineLevel="0" collapsed="false">
      <c r="A42" s="12" t="str">
        <f aca="false">IF('Hiring plan'!$C$38="","(spare line 34)",'Hiring plan'!$C$38&amp;" · "&amp;'Hiring plan'!$D$38)</f>
        <v>KYC and support agent, Abidjan · CI</v>
      </c>
      <c r="B42" s="14" t="s">
        <v>222</v>
      </c>
      <c r="D42" s="41" t="n">
        <f aca="false">MAX(E42:BL42)</f>
        <v>2</v>
      </c>
      <c r="E42" s="33" t="n">
        <f aca="false">IF(AND(N('Hiring plan'!$F$38)&gt;0,E$3&gt;='Hiring plan'!$G$38,E$3&lt;=IF('Hiring plan'!$H$38="",999,'Hiring plan'!$H$38)),'Hiring plan'!$F$38,0)</f>
        <v>0</v>
      </c>
      <c r="F42" s="33" t="n">
        <f aca="false">IF(AND(N('Hiring plan'!$F$38)&gt;0,F$3&gt;='Hiring plan'!$G$38,F$3&lt;=IF('Hiring plan'!$H$38="",999,'Hiring plan'!$H$38)),'Hiring plan'!$F$38,0)</f>
        <v>0</v>
      </c>
      <c r="G42" s="33" t="n">
        <f aca="false">IF(AND(N('Hiring plan'!$F$38)&gt;0,G$3&gt;='Hiring plan'!$G$38,G$3&lt;=IF('Hiring plan'!$H$38="",999,'Hiring plan'!$H$38)),'Hiring plan'!$F$38,0)</f>
        <v>0</v>
      </c>
      <c r="H42" s="33" t="n">
        <f aca="false">IF(AND(N('Hiring plan'!$F$38)&gt;0,H$3&gt;='Hiring plan'!$G$38,H$3&lt;=IF('Hiring plan'!$H$38="",999,'Hiring plan'!$H$38)),'Hiring plan'!$F$38,0)</f>
        <v>0</v>
      </c>
      <c r="I42" s="33" t="n">
        <f aca="false">IF(AND(N('Hiring plan'!$F$38)&gt;0,I$3&gt;='Hiring plan'!$G$38,I$3&lt;=IF('Hiring plan'!$H$38="",999,'Hiring plan'!$H$38)),'Hiring plan'!$F$38,0)</f>
        <v>0</v>
      </c>
      <c r="J42" s="33" t="n">
        <f aca="false">IF(AND(N('Hiring plan'!$F$38)&gt;0,J$3&gt;='Hiring plan'!$G$38,J$3&lt;=IF('Hiring plan'!$H$38="",999,'Hiring plan'!$H$38)),'Hiring plan'!$F$38,0)</f>
        <v>0</v>
      </c>
      <c r="K42" s="33" t="n">
        <f aca="false">IF(AND(N('Hiring plan'!$F$38)&gt;0,K$3&gt;='Hiring plan'!$G$38,K$3&lt;=IF('Hiring plan'!$H$38="",999,'Hiring plan'!$H$38)),'Hiring plan'!$F$38,0)</f>
        <v>0</v>
      </c>
      <c r="L42" s="33" t="n">
        <f aca="false">IF(AND(N('Hiring plan'!$F$38)&gt;0,L$3&gt;='Hiring plan'!$G$38,L$3&lt;=IF('Hiring plan'!$H$38="",999,'Hiring plan'!$H$38)),'Hiring plan'!$F$38,0)</f>
        <v>0</v>
      </c>
      <c r="M42" s="33" t="n">
        <f aca="false">IF(AND(N('Hiring plan'!$F$38)&gt;0,M$3&gt;='Hiring plan'!$G$38,M$3&lt;=IF('Hiring plan'!$H$38="",999,'Hiring plan'!$H$38)),'Hiring plan'!$F$38,0)</f>
        <v>0</v>
      </c>
      <c r="N42" s="33" t="n">
        <f aca="false">IF(AND(N('Hiring plan'!$F$38)&gt;0,N$3&gt;='Hiring plan'!$G$38,N$3&lt;=IF('Hiring plan'!$H$38="",999,'Hiring plan'!$H$38)),'Hiring plan'!$F$38,0)</f>
        <v>0</v>
      </c>
      <c r="O42" s="33" t="n">
        <f aca="false">IF(AND(N('Hiring plan'!$F$38)&gt;0,O$3&gt;='Hiring plan'!$G$38,O$3&lt;=IF('Hiring plan'!$H$38="",999,'Hiring plan'!$H$38)),'Hiring plan'!$F$38,0)</f>
        <v>0</v>
      </c>
      <c r="P42" s="33" t="n">
        <f aca="false">IF(AND(N('Hiring plan'!$F$38)&gt;0,P$3&gt;='Hiring plan'!$G$38,P$3&lt;=IF('Hiring plan'!$H$38="",999,'Hiring plan'!$H$38)),'Hiring plan'!$F$38,0)</f>
        <v>0</v>
      </c>
      <c r="Q42" s="33" t="n">
        <f aca="false">IF(AND(N('Hiring plan'!$F$38)&gt;0,Q$3&gt;='Hiring plan'!$G$38,Q$3&lt;=IF('Hiring plan'!$H$38="",999,'Hiring plan'!$H$38)),'Hiring plan'!$F$38,0)</f>
        <v>0</v>
      </c>
      <c r="R42" s="33" t="n">
        <f aca="false">IF(AND(N('Hiring plan'!$F$38)&gt;0,R$3&gt;='Hiring plan'!$G$38,R$3&lt;=IF('Hiring plan'!$H$38="",999,'Hiring plan'!$H$38)),'Hiring plan'!$F$38,0)</f>
        <v>0</v>
      </c>
      <c r="S42" s="33" t="n">
        <f aca="false">IF(AND(N('Hiring plan'!$F$38)&gt;0,S$3&gt;='Hiring plan'!$G$38,S$3&lt;=IF('Hiring plan'!$H$38="",999,'Hiring plan'!$H$38)),'Hiring plan'!$F$38,0)</f>
        <v>0</v>
      </c>
      <c r="T42" s="33" t="n">
        <f aca="false">IF(AND(N('Hiring plan'!$F$38)&gt;0,T$3&gt;='Hiring plan'!$G$38,T$3&lt;=IF('Hiring plan'!$H$38="",999,'Hiring plan'!$H$38)),'Hiring plan'!$F$38,0)</f>
        <v>0</v>
      </c>
      <c r="U42" s="33" t="n">
        <f aca="false">IF(AND(N('Hiring plan'!$F$38)&gt;0,U$3&gt;='Hiring plan'!$G$38,U$3&lt;=IF('Hiring plan'!$H$38="",999,'Hiring plan'!$H$38)),'Hiring plan'!$F$38,0)</f>
        <v>0</v>
      </c>
      <c r="V42" s="33" t="n">
        <f aca="false">IF(AND(N('Hiring plan'!$F$38)&gt;0,V$3&gt;='Hiring plan'!$G$38,V$3&lt;=IF('Hiring plan'!$H$38="",999,'Hiring plan'!$H$38)),'Hiring plan'!$F$38,0)</f>
        <v>0</v>
      </c>
      <c r="W42" s="33" t="n">
        <f aca="false">IF(AND(N('Hiring plan'!$F$38)&gt;0,W$3&gt;='Hiring plan'!$G$38,W$3&lt;=IF('Hiring plan'!$H$38="",999,'Hiring plan'!$H$38)),'Hiring plan'!$F$38,0)</f>
        <v>2</v>
      </c>
      <c r="X42" s="33" t="n">
        <f aca="false">IF(AND(N('Hiring plan'!$F$38)&gt;0,X$3&gt;='Hiring plan'!$G$38,X$3&lt;=IF('Hiring plan'!$H$38="",999,'Hiring plan'!$H$38)),'Hiring plan'!$F$38,0)</f>
        <v>2</v>
      </c>
      <c r="Y42" s="33" t="n">
        <f aca="false">IF(AND(N('Hiring plan'!$F$38)&gt;0,Y$3&gt;='Hiring plan'!$G$38,Y$3&lt;=IF('Hiring plan'!$H$38="",999,'Hiring plan'!$H$38)),'Hiring plan'!$F$38,0)</f>
        <v>2</v>
      </c>
      <c r="Z42" s="33" t="n">
        <f aca="false">IF(AND(N('Hiring plan'!$F$38)&gt;0,Z$3&gt;='Hiring plan'!$G$38,Z$3&lt;=IF('Hiring plan'!$H$38="",999,'Hiring plan'!$H$38)),'Hiring plan'!$F$38,0)</f>
        <v>2</v>
      </c>
      <c r="AA42" s="33" t="n">
        <f aca="false">IF(AND(N('Hiring plan'!$F$38)&gt;0,AA$3&gt;='Hiring plan'!$G$38,AA$3&lt;=IF('Hiring plan'!$H$38="",999,'Hiring plan'!$H$38)),'Hiring plan'!$F$38,0)</f>
        <v>2</v>
      </c>
      <c r="AB42" s="33" t="n">
        <f aca="false">IF(AND(N('Hiring plan'!$F$38)&gt;0,AB$3&gt;='Hiring plan'!$G$38,AB$3&lt;=IF('Hiring plan'!$H$38="",999,'Hiring plan'!$H$38)),'Hiring plan'!$F$38,0)</f>
        <v>2</v>
      </c>
      <c r="AC42" s="33" t="n">
        <f aca="false">IF(AND(N('Hiring plan'!$F$38)&gt;0,AC$3&gt;='Hiring plan'!$G$38,AC$3&lt;=IF('Hiring plan'!$H$38="",999,'Hiring plan'!$H$38)),'Hiring plan'!$F$38,0)</f>
        <v>2</v>
      </c>
      <c r="AD42" s="33" t="n">
        <f aca="false">IF(AND(N('Hiring plan'!$F$38)&gt;0,AD$3&gt;='Hiring plan'!$G$38,AD$3&lt;=IF('Hiring plan'!$H$38="",999,'Hiring plan'!$H$38)),'Hiring plan'!$F$38,0)</f>
        <v>2</v>
      </c>
      <c r="AE42" s="33" t="n">
        <f aca="false">IF(AND(N('Hiring plan'!$F$38)&gt;0,AE$3&gt;='Hiring plan'!$G$38,AE$3&lt;=IF('Hiring plan'!$H$38="",999,'Hiring plan'!$H$38)),'Hiring plan'!$F$38,0)</f>
        <v>2</v>
      </c>
      <c r="AF42" s="33" t="n">
        <f aca="false">IF(AND(N('Hiring plan'!$F$38)&gt;0,AF$3&gt;='Hiring plan'!$G$38,AF$3&lt;=IF('Hiring plan'!$H$38="",999,'Hiring plan'!$H$38)),'Hiring plan'!$F$38,0)</f>
        <v>2</v>
      </c>
      <c r="AG42" s="33" t="n">
        <f aca="false">IF(AND(N('Hiring plan'!$F$38)&gt;0,AG$3&gt;='Hiring plan'!$G$38,AG$3&lt;=IF('Hiring plan'!$H$38="",999,'Hiring plan'!$H$38)),'Hiring plan'!$F$38,0)</f>
        <v>2</v>
      </c>
      <c r="AH42" s="33" t="n">
        <f aca="false">IF(AND(N('Hiring plan'!$F$38)&gt;0,AH$3&gt;='Hiring plan'!$G$38,AH$3&lt;=IF('Hiring plan'!$H$38="",999,'Hiring plan'!$H$38)),'Hiring plan'!$F$38,0)</f>
        <v>2</v>
      </c>
      <c r="AI42" s="33" t="n">
        <f aca="false">IF(AND(N('Hiring plan'!$F$38)&gt;0,AI$3&gt;='Hiring plan'!$G$38,AI$3&lt;=IF('Hiring plan'!$H$38="",999,'Hiring plan'!$H$38)),'Hiring plan'!$F$38,0)</f>
        <v>2</v>
      </c>
      <c r="AJ42" s="33" t="n">
        <f aca="false">IF(AND(N('Hiring plan'!$F$38)&gt;0,AJ$3&gt;='Hiring plan'!$G$38,AJ$3&lt;=IF('Hiring plan'!$H$38="",999,'Hiring plan'!$H$38)),'Hiring plan'!$F$38,0)</f>
        <v>2</v>
      </c>
      <c r="AK42" s="33" t="n">
        <f aca="false">IF(AND(N('Hiring plan'!$F$38)&gt;0,AK$3&gt;='Hiring plan'!$G$38,AK$3&lt;=IF('Hiring plan'!$H$38="",999,'Hiring plan'!$H$38)),'Hiring plan'!$F$38,0)</f>
        <v>2</v>
      </c>
      <c r="AL42" s="33" t="n">
        <f aca="false">IF(AND(N('Hiring plan'!$F$38)&gt;0,AL$3&gt;='Hiring plan'!$G$38,AL$3&lt;=IF('Hiring plan'!$H$38="",999,'Hiring plan'!$H$38)),'Hiring plan'!$F$38,0)</f>
        <v>2</v>
      </c>
      <c r="AM42" s="33" t="n">
        <f aca="false">IF(AND(N('Hiring plan'!$F$38)&gt;0,AM$3&gt;='Hiring plan'!$G$38,AM$3&lt;=IF('Hiring plan'!$H$38="",999,'Hiring plan'!$H$38)),'Hiring plan'!$F$38,0)</f>
        <v>2</v>
      </c>
      <c r="AN42" s="33" t="n">
        <f aca="false">IF(AND(N('Hiring plan'!$F$38)&gt;0,AN$3&gt;='Hiring plan'!$G$38,AN$3&lt;=IF('Hiring plan'!$H$38="",999,'Hiring plan'!$H$38)),'Hiring plan'!$F$38,0)</f>
        <v>2</v>
      </c>
      <c r="AO42" s="33" t="n">
        <f aca="false">IF(AND(N('Hiring plan'!$F$38)&gt;0,AO$3&gt;='Hiring plan'!$G$38,AO$3&lt;=IF('Hiring plan'!$H$38="",999,'Hiring plan'!$H$38)),'Hiring plan'!$F$38,0)</f>
        <v>2</v>
      </c>
      <c r="AP42" s="33" t="n">
        <f aca="false">IF(AND(N('Hiring plan'!$F$38)&gt;0,AP$3&gt;='Hiring plan'!$G$38,AP$3&lt;=IF('Hiring plan'!$H$38="",999,'Hiring plan'!$H$38)),'Hiring plan'!$F$38,0)</f>
        <v>2</v>
      </c>
      <c r="AQ42" s="33" t="n">
        <f aca="false">IF(AND(N('Hiring plan'!$F$38)&gt;0,AQ$3&gt;='Hiring plan'!$G$38,AQ$3&lt;=IF('Hiring plan'!$H$38="",999,'Hiring plan'!$H$38)),'Hiring plan'!$F$38,0)</f>
        <v>2</v>
      </c>
      <c r="AR42" s="33" t="n">
        <f aca="false">IF(AND(N('Hiring plan'!$F$38)&gt;0,AR$3&gt;='Hiring plan'!$G$38,AR$3&lt;=IF('Hiring plan'!$H$38="",999,'Hiring plan'!$H$38)),'Hiring plan'!$F$38,0)</f>
        <v>2</v>
      </c>
      <c r="AS42" s="33" t="n">
        <f aca="false">IF(AND(N('Hiring plan'!$F$38)&gt;0,AS$3&gt;='Hiring plan'!$G$38,AS$3&lt;=IF('Hiring plan'!$H$38="",999,'Hiring plan'!$H$38)),'Hiring plan'!$F$38,0)</f>
        <v>2</v>
      </c>
      <c r="AT42" s="33" t="n">
        <f aca="false">IF(AND(N('Hiring plan'!$F$38)&gt;0,AT$3&gt;='Hiring plan'!$G$38,AT$3&lt;=IF('Hiring plan'!$H$38="",999,'Hiring plan'!$H$38)),'Hiring plan'!$F$38,0)</f>
        <v>2</v>
      </c>
      <c r="AU42" s="33" t="n">
        <f aca="false">IF(AND(N('Hiring plan'!$F$38)&gt;0,AU$3&gt;='Hiring plan'!$G$38,AU$3&lt;=IF('Hiring plan'!$H$38="",999,'Hiring plan'!$H$38)),'Hiring plan'!$F$38,0)</f>
        <v>2</v>
      </c>
      <c r="AV42" s="33" t="n">
        <f aca="false">IF(AND(N('Hiring plan'!$F$38)&gt;0,AV$3&gt;='Hiring plan'!$G$38,AV$3&lt;=IF('Hiring plan'!$H$38="",999,'Hiring plan'!$H$38)),'Hiring plan'!$F$38,0)</f>
        <v>2</v>
      </c>
      <c r="AW42" s="33" t="n">
        <f aca="false">IF(AND(N('Hiring plan'!$F$38)&gt;0,AW$3&gt;='Hiring plan'!$G$38,AW$3&lt;=IF('Hiring plan'!$H$38="",999,'Hiring plan'!$H$38)),'Hiring plan'!$F$38,0)</f>
        <v>2</v>
      </c>
      <c r="AX42" s="33" t="n">
        <f aca="false">IF(AND(N('Hiring plan'!$F$38)&gt;0,AX$3&gt;='Hiring plan'!$G$38,AX$3&lt;=IF('Hiring plan'!$H$38="",999,'Hiring plan'!$H$38)),'Hiring plan'!$F$38,0)</f>
        <v>2</v>
      </c>
      <c r="AY42" s="33" t="n">
        <f aca="false">IF(AND(N('Hiring plan'!$F$38)&gt;0,AY$3&gt;='Hiring plan'!$G$38,AY$3&lt;=IF('Hiring plan'!$H$38="",999,'Hiring plan'!$H$38)),'Hiring plan'!$F$38,0)</f>
        <v>2</v>
      </c>
      <c r="AZ42" s="33" t="n">
        <f aca="false">IF(AND(N('Hiring plan'!$F$38)&gt;0,AZ$3&gt;='Hiring plan'!$G$38,AZ$3&lt;=IF('Hiring plan'!$H$38="",999,'Hiring plan'!$H$38)),'Hiring plan'!$F$38,0)</f>
        <v>2</v>
      </c>
      <c r="BA42" s="33" t="n">
        <f aca="false">IF(AND(N('Hiring plan'!$F$38)&gt;0,BA$3&gt;='Hiring plan'!$G$38,BA$3&lt;=IF('Hiring plan'!$H$38="",999,'Hiring plan'!$H$38)),'Hiring plan'!$F$38,0)</f>
        <v>2</v>
      </c>
      <c r="BB42" s="33" t="n">
        <f aca="false">IF(AND(N('Hiring plan'!$F$38)&gt;0,BB$3&gt;='Hiring plan'!$G$38,BB$3&lt;=IF('Hiring plan'!$H$38="",999,'Hiring plan'!$H$38)),'Hiring plan'!$F$38,0)</f>
        <v>2</v>
      </c>
      <c r="BC42" s="33" t="n">
        <f aca="false">IF(AND(N('Hiring plan'!$F$38)&gt;0,BC$3&gt;='Hiring plan'!$G$38,BC$3&lt;=IF('Hiring plan'!$H$38="",999,'Hiring plan'!$H$38)),'Hiring plan'!$F$38,0)</f>
        <v>2</v>
      </c>
      <c r="BD42" s="33" t="n">
        <f aca="false">IF(AND(N('Hiring plan'!$F$38)&gt;0,BD$3&gt;='Hiring plan'!$G$38,BD$3&lt;=IF('Hiring plan'!$H$38="",999,'Hiring plan'!$H$38)),'Hiring plan'!$F$38,0)</f>
        <v>2</v>
      </c>
      <c r="BE42" s="33" t="n">
        <f aca="false">IF(AND(N('Hiring plan'!$F$38)&gt;0,BE$3&gt;='Hiring plan'!$G$38,BE$3&lt;=IF('Hiring plan'!$H$38="",999,'Hiring plan'!$H$38)),'Hiring plan'!$F$38,0)</f>
        <v>2</v>
      </c>
      <c r="BF42" s="33" t="n">
        <f aca="false">IF(AND(N('Hiring plan'!$F$38)&gt;0,BF$3&gt;='Hiring plan'!$G$38,BF$3&lt;=IF('Hiring plan'!$H$38="",999,'Hiring plan'!$H$38)),'Hiring plan'!$F$38,0)</f>
        <v>2</v>
      </c>
      <c r="BG42" s="33" t="n">
        <f aca="false">IF(AND(N('Hiring plan'!$F$38)&gt;0,BG$3&gt;='Hiring plan'!$G$38,BG$3&lt;=IF('Hiring plan'!$H$38="",999,'Hiring plan'!$H$38)),'Hiring plan'!$F$38,0)</f>
        <v>2</v>
      </c>
      <c r="BH42" s="33" t="n">
        <f aca="false">IF(AND(N('Hiring plan'!$F$38)&gt;0,BH$3&gt;='Hiring plan'!$G$38,BH$3&lt;=IF('Hiring plan'!$H$38="",999,'Hiring plan'!$H$38)),'Hiring plan'!$F$38,0)</f>
        <v>2</v>
      </c>
      <c r="BI42" s="33" t="n">
        <f aca="false">IF(AND(N('Hiring plan'!$F$38)&gt;0,BI$3&gt;='Hiring plan'!$G$38,BI$3&lt;=IF('Hiring plan'!$H$38="",999,'Hiring plan'!$H$38)),'Hiring plan'!$F$38,0)</f>
        <v>2</v>
      </c>
      <c r="BJ42" s="33" t="n">
        <f aca="false">IF(AND(N('Hiring plan'!$F$38)&gt;0,BJ$3&gt;='Hiring plan'!$G$38,BJ$3&lt;=IF('Hiring plan'!$H$38="",999,'Hiring plan'!$H$38)),'Hiring plan'!$F$38,0)</f>
        <v>2</v>
      </c>
      <c r="BK42" s="33" t="n">
        <f aca="false">IF(AND(N('Hiring plan'!$F$38)&gt;0,BK$3&gt;='Hiring plan'!$G$38,BK$3&lt;=IF('Hiring plan'!$H$38="",999,'Hiring plan'!$H$38)),'Hiring plan'!$F$38,0)</f>
        <v>2</v>
      </c>
      <c r="BL42" s="33" t="n">
        <f aca="false">IF(AND(N('Hiring plan'!$F$38)&gt;0,BL$3&gt;='Hiring plan'!$G$38,BL$3&lt;=IF('Hiring plan'!$H$38="",999,'Hiring plan'!$H$38)),'Hiring plan'!$F$38,0)</f>
        <v>2</v>
      </c>
    </row>
    <row r="43" customFormat="false" ht="15" hidden="false" customHeight="false" outlineLevel="0" collapsed="false">
      <c r="A43" s="12" t="str">
        <f aca="false">IF('Hiring plan'!$C$39="","(spare line 35)",'Hiring plan'!$C$39&amp;" · "&amp;'Hiring plan'!$D$39)</f>
        <v>Operations manager · SN</v>
      </c>
      <c r="B43" s="14" t="s">
        <v>222</v>
      </c>
      <c r="D43" s="41" t="n">
        <f aca="false">MAX(E43:BL43)</f>
        <v>1</v>
      </c>
      <c r="E43" s="33" t="n">
        <f aca="false">IF(AND(N('Hiring plan'!$F$39)&gt;0,E$3&gt;='Hiring plan'!$G$39,E$3&lt;=IF('Hiring plan'!$H$39="",999,'Hiring plan'!$H$39)),'Hiring plan'!$F$39,0)</f>
        <v>0</v>
      </c>
      <c r="F43" s="33" t="n">
        <f aca="false">IF(AND(N('Hiring plan'!$F$39)&gt;0,F$3&gt;='Hiring plan'!$G$39,F$3&lt;=IF('Hiring plan'!$H$39="",999,'Hiring plan'!$H$39)),'Hiring plan'!$F$39,0)</f>
        <v>0</v>
      </c>
      <c r="G43" s="33" t="n">
        <f aca="false">IF(AND(N('Hiring plan'!$F$39)&gt;0,G$3&gt;='Hiring plan'!$G$39,G$3&lt;=IF('Hiring plan'!$H$39="",999,'Hiring plan'!$H$39)),'Hiring plan'!$F$39,0)</f>
        <v>0</v>
      </c>
      <c r="H43" s="33" t="n">
        <f aca="false">IF(AND(N('Hiring plan'!$F$39)&gt;0,H$3&gt;='Hiring plan'!$G$39,H$3&lt;=IF('Hiring plan'!$H$39="",999,'Hiring plan'!$H$39)),'Hiring plan'!$F$39,0)</f>
        <v>0</v>
      </c>
      <c r="I43" s="33" t="n">
        <f aca="false">IF(AND(N('Hiring plan'!$F$39)&gt;0,I$3&gt;='Hiring plan'!$G$39,I$3&lt;=IF('Hiring plan'!$H$39="",999,'Hiring plan'!$H$39)),'Hiring plan'!$F$39,0)</f>
        <v>0</v>
      </c>
      <c r="J43" s="33" t="n">
        <f aca="false">IF(AND(N('Hiring plan'!$F$39)&gt;0,J$3&gt;='Hiring plan'!$G$39,J$3&lt;=IF('Hiring plan'!$H$39="",999,'Hiring plan'!$H$39)),'Hiring plan'!$F$39,0)</f>
        <v>0</v>
      </c>
      <c r="K43" s="33" t="n">
        <f aca="false">IF(AND(N('Hiring plan'!$F$39)&gt;0,K$3&gt;='Hiring plan'!$G$39,K$3&lt;=IF('Hiring plan'!$H$39="",999,'Hiring plan'!$H$39)),'Hiring plan'!$F$39,0)</f>
        <v>0</v>
      </c>
      <c r="L43" s="33" t="n">
        <f aca="false">IF(AND(N('Hiring plan'!$F$39)&gt;0,L$3&gt;='Hiring plan'!$G$39,L$3&lt;=IF('Hiring plan'!$H$39="",999,'Hiring plan'!$H$39)),'Hiring plan'!$F$39,0)</f>
        <v>0</v>
      </c>
      <c r="M43" s="33" t="n">
        <f aca="false">IF(AND(N('Hiring plan'!$F$39)&gt;0,M$3&gt;='Hiring plan'!$G$39,M$3&lt;=IF('Hiring plan'!$H$39="",999,'Hiring plan'!$H$39)),'Hiring plan'!$F$39,0)</f>
        <v>0</v>
      </c>
      <c r="N43" s="33" t="n">
        <f aca="false">IF(AND(N('Hiring plan'!$F$39)&gt;0,N$3&gt;='Hiring plan'!$G$39,N$3&lt;=IF('Hiring plan'!$H$39="",999,'Hiring plan'!$H$39)),'Hiring plan'!$F$39,0)</f>
        <v>0</v>
      </c>
      <c r="O43" s="33" t="n">
        <f aca="false">IF(AND(N('Hiring plan'!$F$39)&gt;0,O$3&gt;='Hiring plan'!$G$39,O$3&lt;=IF('Hiring plan'!$H$39="",999,'Hiring plan'!$H$39)),'Hiring plan'!$F$39,0)</f>
        <v>0</v>
      </c>
      <c r="P43" s="33" t="n">
        <f aca="false">IF(AND(N('Hiring plan'!$F$39)&gt;0,P$3&gt;='Hiring plan'!$G$39,P$3&lt;=IF('Hiring plan'!$H$39="",999,'Hiring plan'!$H$39)),'Hiring plan'!$F$39,0)</f>
        <v>0</v>
      </c>
      <c r="Q43" s="33" t="n">
        <f aca="false">IF(AND(N('Hiring plan'!$F$39)&gt;0,Q$3&gt;='Hiring plan'!$G$39,Q$3&lt;=IF('Hiring plan'!$H$39="",999,'Hiring plan'!$H$39)),'Hiring plan'!$F$39,0)</f>
        <v>0</v>
      </c>
      <c r="R43" s="33" t="n">
        <f aca="false">IF(AND(N('Hiring plan'!$F$39)&gt;0,R$3&gt;='Hiring plan'!$G$39,R$3&lt;=IF('Hiring plan'!$H$39="",999,'Hiring plan'!$H$39)),'Hiring plan'!$F$39,0)</f>
        <v>0</v>
      </c>
      <c r="S43" s="33" t="n">
        <f aca="false">IF(AND(N('Hiring plan'!$F$39)&gt;0,S$3&gt;='Hiring plan'!$G$39,S$3&lt;=IF('Hiring plan'!$H$39="",999,'Hiring plan'!$H$39)),'Hiring plan'!$F$39,0)</f>
        <v>0</v>
      </c>
      <c r="T43" s="33" t="n">
        <f aca="false">IF(AND(N('Hiring plan'!$F$39)&gt;0,T$3&gt;='Hiring plan'!$G$39,T$3&lt;=IF('Hiring plan'!$H$39="",999,'Hiring plan'!$H$39)),'Hiring plan'!$F$39,0)</f>
        <v>0</v>
      </c>
      <c r="U43" s="33" t="n">
        <f aca="false">IF(AND(N('Hiring plan'!$F$39)&gt;0,U$3&gt;='Hiring plan'!$G$39,U$3&lt;=IF('Hiring plan'!$H$39="",999,'Hiring plan'!$H$39)),'Hiring plan'!$F$39,0)</f>
        <v>0</v>
      </c>
      <c r="V43" s="33" t="n">
        <f aca="false">IF(AND(N('Hiring plan'!$F$39)&gt;0,V$3&gt;='Hiring plan'!$G$39,V$3&lt;=IF('Hiring plan'!$H$39="",999,'Hiring plan'!$H$39)),'Hiring plan'!$F$39,0)</f>
        <v>0</v>
      </c>
      <c r="W43" s="33" t="n">
        <f aca="false">IF(AND(N('Hiring plan'!$F$39)&gt;0,W$3&gt;='Hiring plan'!$G$39,W$3&lt;=IF('Hiring plan'!$H$39="",999,'Hiring plan'!$H$39)),'Hiring plan'!$F$39,0)</f>
        <v>0</v>
      </c>
      <c r="X43" s="33" t="n">
        <f aca="false">IF(AND(N('Hiring plan'!$F$39)&gt;0,X$3&gt;='Hiring plan'!$G$39,X$3&lt;=IF('Hiring plan'!$H$39="",999,'Hiring plan'!$H$39)),'Hiring plan'!$F$39,0)</f>
        <v>0</v>
      </c>
      <c r="Y43" s="33" t="n">
        <f aca="false">IF(AND(N('Hiring plan'!$F$39)&gt;0,Y$3&gt;='Hiring plan'!$G$39,Y$3&lt;=IF('Hiring plan'!$H$39="",999,'Hiring plan'!$H$39)),'Hiring plan'!$F$39,0)</f>
        <v>0</v>
      </c>
      <c r="Z43" s="33" t="n">
        <f aca="false">IF(AND(N('Hiring plan'!$F$39)&gt;0,Z$3&gt;='Hiring plan'!$G$39,Z$3&lt;=IF('Hiring plan'!$H$39="",999,'Hiring plan'!$H$39)),'Hiring plan'!$F$39,0)</f>
        <v>0</v>
      </c>
      <c r="AA43" s="33" t="n">
        <f aca="false">IF(AND(N('Hiring plan'!$F$39)&gt;0,AA$3&gt;='Hiring plan'!$G$39,AA$3&lt;=IF('Hiring plan'!$H$39="",999,'Hiring plan'!$H$39)),'Hiring plan'!$F$39,0)</f>
        <v>0</v>
      </c>
      <c r="AB43" s="33" t="n">
        <f aca="false">IF(AND(N('Hiring plan'!$F$39)&gt;0,AB$3&gt;='Hiring plan'!$G$39,AB$3&lt;=IF('Hiring plan'!$H$39="",999,'Hiring plan'!$H$39)),'Hiring plan'!$F$39,0)</f>
        <v>0</v>
      </c>
      <c r="AC43" s="33" t="n">
        <f aca="false">IF(AND(N('Hiring plan'!$F$39)&gt;0,AC$3&gt;='Hiring plan'!$G$39,AC$3&lt;=IF('Hiring plan'!$H$39="",999,'Hiring plan'!$H$39)),'Hiring plan'!$F$39,0)</f>
        <v>1</v>
      </c>
      <c r="AD43" s="33" t="n">
        <f aca="false">IF(AND(N('Hiring plan'!$F$39)&gt;0,AD$3&gt;='Hiring plan'!$G$39,AD$3&lt;=IF('Hiring plan'!$H$39="",999,'Hiring plan'!$H$39)),'Hiring plan'!$F$39,0)</f>
        <v>1</v>
      </c>
      <c r="AE43" s="33" t="n">
        <f aca="false">IF(AND(N('Hiring plan'!$F$39)&gt;0,AE$3&gt;='Hiring plan'!$G$39,AE$3&lt;=IF('Hiring plan'!$H$39="",999,'Hiring plan'!$H$39)),'Hiring plan'!$F$39,0)</f>
        <v>1</v>
      </c>
      <c r="AF43" s="33" t="n">
        <f aca="false">IF(AND(N('Hiring plan'!$F$39)&gt;0,AF$3&gt;='Hiring plan'!$G$39,AF$3&lt;=IF('Hiring plan'!$H$39="",999,'Hiring plan'!$H$39)),'Hiring plan'!$F$39,0)</f>
        <v>1</v>
      </c>
      <c r="AG43" s="33" t="n">
        <f aca="false">IF(AND(N('Hiring plan'!$F$39)&gt;0,AG$3&gt;='Hiring plan'!$G$39,AG$3&lt;=IF('Hiring plan'!$H$39="",999,'Hiring plan'!$H$39)),'Hiring plan'!$F$39,0)</f>
        <v>1</v>
      </c>
      <c r="AH43" s="33" t="n">
        <f aca="false">IF(AND(N('Hiring plan'!$F$39)&gt;0,AH$3&gt;='Hiring plan'!$G$39,AH$3&lt;=IF('Hiring plan'!$H$39="",999,'Hiring plan'!$H$39)),'Hiring plan'!$F$39,0)</f>
        <v>1</v>
      </c>
      <c r="AI43" s="33" t="n">
        <f aca="false">IF(AND(N('Hiring plan'!$F$39)&gt;0,AI$3&gt;='Hiring plan'!$G$39,AI$3&lt;=IF('Hiring plan'!$H$39="",999,'Hiring plan'!$H$39)),'Hiring plan'!$F$39,0)</f>
        <v>1</v>
      </c>
      <c r="AJ43" s="33" t="n">
        <f aca="false">IF(AND(N('Hiring plan'!$F$39)&gt;0,AJ$3&gt;='Hiring plan'!$G$39,AJ$3&lt;=IF('Hiring plan'!$H$39="",999,'Hiring plan'!$H$39)),'Hiring plan'!$F$39,0)</f>
        <v>1</v>
      </c>
      <c r="AK43" s="33" t="n">
        <f aca="false">IF(AND(N('Hiring plan'!$F$39)&gt;0,AK$3&gt;='Hiring plan'!$G$39,AK$3&lt;=IF('Hiring plan'!$H$39="",999,'Hiring plan'!$H$39)),'Hiring plan'!$F$39,0)</f>
        <v>1</v>
      </c>
      <c r="AL43" s="33" t="n">
        <f aca="false">IF(AND(N('Hiring plan'!$F$39)&gt;0,AL$3&gt;='Hiring plan'!$G$39,AL$3&lt;=IF('Hiring plan'!$H$39="",999,'Hiring plan'!$H$39)),'Hiring plan'!$F$39,0)</f>
        <v>1</v>
      </c>
      <c r="AM43" s="33" t="n">
        <f aca="false">IF(AND(N('Hiring plan'!$F$39)&gt;0,AM$3&gt;='Hiring plan'!$G$39,AM$3&lt;=IF('Hiring plan'!$H$39="",999,'Hiring plan'!$H$39)),'Hiring plan'!$F$39,0)</f>
        <v>1</v>
      </c>
      <c r="AN43" s="33" t="n">
        <f aca="false">IF(AND(N('Hiring plan'!$F$39)&gt;0,AN$3&gt;='Hiring plan'!$G$39,AN$3&lt;=IF('Hiring plan'!$H$39="",999,'Hiring plan'!$H$39)),'Hiring plan'!$F$39,0)</f>
        <v>1</v>
      </c>
      <c r="AO43" s="33" t="n">
        <f aca="false">IF(AND(N('Hiring plan'!$F$39)&gt;0,AO$3&gt;='Hiring plan'!$G$39,AO$3&lt;=IF('Hiring plan'!$H$39="",999,'Hiring plan'!$H$39)),'Hiring plan'!$F$39,0)</f>
        <v>1</v>
      </c>
      <c r="AP43" s="33" t="n">
        <f aca="false">IF(AND(N('Hiring plan'!$F$39)&gt;0,AP$3&gt;='Hiring plan'!$G$39,AP$3&lt;=IF('Hiring plan'!$H$39="",999,'Hiring plan'!$H$39)),'Hiring plan'!$F$39,0)</f>
        <v>1</v>
      </c>
      <c r="AQ43" s="33" t="n">
        <f aca="false">IF(AND(N('Hiring plan'!$F$39)&gt;0,AQ$3&gt;='Hiring plan'!$G$39,AQ$3&lt;=IF('Hiring plan'!$H$39="",999,'Hiring plan'!$H$39)),'Hiring plan'!$F$39,0)</f>
        <v>1</v>
      </c>
      <c r="AR43" s="33" t="n">
        <f aca="false">IF(AND(N('Hiring plan'!$F$39)&gt;0,AR$3&gt;='Hiring plan'!$G$39,AR$3&lt;=IF('Hiring plan'!$H$39="",999,'Hiring plan'!$H$39)),'Hiring plan'!$F$39,0)</f>
        <v>1</v>
      </c>
      <c r="AS43" s="33" t="n">
        <f aca="false">IF(AND(N('Hiring plan'!$F$39)&gt;0,AS$3&gt;='Hiring plan'!$G$39,AS$3&lt;=IF('Hiring plan'!$H$39="",999,'Hiring plan'!$H$39)),'Hiring plan'!$F$39,0)</f>
        <v>1</v>
      </c>
      <c r="AT43" s="33" t="n">
        <f aca="false">IF(AND(N('Hiring plan'!$F$39)&gt;0,AT$3&gt;='Hiring plan'!$G$39,AT$3&lt;=IF('Hiring plan'!$H$39="",999,'Hiring plan'!$H$39)),'Hiring plan'!$F$39,0)</f>
        <v>1</v>
      </c>
      <c r="AU43" s="33" t="n">
        <f aca="false">IF(AND(N('Hiring plan'!$F$39)&gt;0,AU$3&gt;='Hiring plan'!$G$39,AU$3&lt;=IF('Hiring plan'!$H$39="",999,'Hiring plan'!$H$39)),'Hiring plan'!$F$39,0)</f>
        <v>1</v>
      </c>
      <c r="AV43" s="33" t="n">
        <f aca="false">IF(AND(N('Hiring plan'!$F$39)&gt;0,AV$3&gt;='Hiring plan'!$G$39,AV$3&lt;=IF('Hiring plan'!$H$39="",999,'Hiring plan'!$H$39)),'Hiring plan'!$F$39,0)</f>
        <v>1</v>
      </c>
      <c r="AW43" s="33" t="n">
        <f aca="false">IF(AND(N('Hiring plan'!$F$39)&gt;0,AW$3&gt;='Hiring plan'!$G$39,AW$3&lt;=IF('Hiring plan'!$H$39="",999,'Hiring plan'!$H$39)),'Hiring plan'!$F$39,0)</f>
        <v>1</v>
      </c>
      <c r="AX43" s="33" t="n">
        <f aca="false">IF(AND(N('Hiring plan'!$F$39)&gt;0,AX$3&gt;='Hiring plan'!$G$39,AX$3&lt;=IF('Hiring plan'!$H$39="",999,'Hiring plan'!$H$39)),'Hiring plan'!$F$39,0)</f>
        <v>1</v>
      </c>
      <c r="AY43" s="33" t="n">
        <f aca="false">IF(AND(N('Hiring plan'!$F$39)&gt;0,AY$3&gt;='Hiring plan'!$G$39,AY$3&lt;=IF('Hiring plan'!$H$39="",999,'Hiring plan'!$H$39)),'Hiring plan'!$F$39,0)</f>
        <v>1</v>
      </c>
      <c r="AZ43" s="33" t="n">
        <f aca="false">IF(AND(N('Hiring plan'!$F$39)&gt;0,AZ$3&gt;='Hiring plan'!$G$39,AZ$3&lt;=IF('Hiring plan'!$H$39="",999,'Hiring plan'!$H$39)),'Hiring plan'!$F$39,0)</f>
        <v>1</v>
      </c>
      <c r="BA43" s="33" t="n">
        <f aca="false">IF(AND(N('Hiring plan'!$F$39)&gt;0,BA$3&gt;='Hiring plan'!$G$39,BA$3&lt;=IF('Hiring plan'!$H$39="",999,'Hiring plan'!$H$39)),'Hiring plan'!$F$39,0)</f>
        <v>1</v>
      </c>
      <c r="BB43" s="33" t="n">
        <f aca="false">IF(AND(N('Hiring plan'!$F$39)&gt;0,BB$3&gt;='Hiring plan'!$G$39,BB$3&lt;=IF('Hiring plan'!$H$39="",999,'Hiring plan'!$H$39)),'Hiring plan'!$F$39,0)</f>
        <v>1</v>
      </c>
      <c r="BC43" s="33" t="n">
        <f aca="false">IF(AND(N('Hiring plan'!$F$39)&gt;0,BC$3&gt;='Hiring plan'!$G$39,BC$3&lt;=IF('Hiring plan'!$H$39="",999,'Hiring plan'!$H$39)),'Hiring plan'!$F$39,0)</f>
        <v>1</v>
      </c>
      <c r="BD43" s="33" t="n">
        <f aca="false">IF(AND(N('Hiring plan'!$F$39)&gt;0,BD$3&gt;='Hiring plan'!$G$39,BD$3&lt;=IF('Hiring plan'!$H$39="",999,'Hiring plan'!$H$39)),'Hiring plan'!$F$39,0)</f>
        <v>1</v>
      </c>
      <c r="BE43" s="33" t="n">
        <f aca="false">IF(AND(N('Hiring plan'!$F$39)&gt;0,BE$3&gt;='Hiring plan'!$G$39,BE$3&lt;=IF('Hiring plan'!$H$39="",999,'Hiring plan'!$H$39)),'Hiring plan'!$F$39,0)</f>
        <v>1</v>
      </c>
      <c r="BF43" s="33" t="n">
        <f aca="false">IF(AND(N('Hiring plan'!$F$39)&gt;0,BF$3&gt;='Hiring plan'!$G$39,BF$3&lt;=IF('Hiring plan'!$H$39="",999,'Hiring plan'!$H$39)),'Hiring plan'!$F$39,0)</f>
        <v>1</v>
      </c>
      <c r="BG43" s="33" t="n">
        <f aca="false">IF(AND(N('Hiring plan'!$F$39)&gt;0,BG$3&gt;='Hiring plan'!$G$39,BG$3&lt;=IF('Hiring plan'!$H$39="",999,'Hiring plan'!$H$39)),'Hiring plan'!$F$39,0)</f>
        <v>1</v>
      </c>
      <c r="BH43" s="33" t="n">
        <f aca="false">IF(AND(N('Hiring plan'!$F$39)&gt;0,BH$3&gt;='Hiring plan'!$G$39,BH$3&lt;=IF('Hiring plan'!$H$39="",999,'Hiring plan'!$H$39)),'Hiring plan'!$F$39,0)</f>
        <v>1</v>
      </c>
      <c r="BI43" s="33" t="n">
        <f aca="false">IF(AND(N('Hiring plan'!$F$39)&gt;0,BI$3&gt;='Hiring plan'!$G$39,BI$3&lt;=IF('Hiring plan'!$H$39="",999,'Hiring plan'!$H$39)),'Hiring plan'!$F$39,0)</f>
        <v>1</v>
      </c>
      <c r="BJ43" s="33" t="n">
        <f aca="false">IF(AND(N('Hiring plan'!$F$39)&gt;0,BJ$3&gt;='Hiring plan'!$G$39,BJ$3&lt;=IF('Hiring plan'!$H$39="",999,'Hiring plan'!$H$39)),'Hiring plan'!$F$39,0)</f>
        <v>1</v>
      </c>
      <c r="BK43" s="33" t="n">
        <f aca="false">IF(AND(N('Hiring plan'!$F$39)&gt;0,BK$3&gt;='Hiring plan'!$G$39,BK$3&lt;=IF('Hiring plan'!$H$39="",999,'Hiring plan'!$H$39)),'Hiring plan'!$F$39,0)</f>
        <v>1</v>
      </c>
      <c r="BL43" s="33" t="n">
        <f aca="false">IF(AND(N('Hiring plan'!$F$39)&gt;0,BL$3&gt;='Hiring plan'!$G$39,BL$3&lt;=IF('Hiring plan'!$H$39="",999,'Hiring plan'!$H$39)),'Hiring plan'!$F$39,0)</f>
        <v>1</v>
      </c>
    </row>
    <row r="44" customFormat="false" ht="15" hidden="false" customHeight="false" outlineLevel="0" collapsed="false">
      <c r="A44" s="12" t="str">
        <f aca="false">IF('Hiring plan'!$C$40="","(spare line 36)",'Hiring plan'!$C$40&amp;" · "&amp;'Hiring plan'!$D$40)</f>
        <v>KYC / onboarding agent · SN</v>
      </c>
      <c r="B44" s="14" t="s">
        <v>222</v>
      </c>
      <c r="D44" s="41" t="n">
        <f aca="false">MAX(E44:BL44)</f>
        <v>2</v>
      </c>
      <c r="E44" s="33" t="n">
        <f aca="false">IF(AND(N('Hiring plan'!$F$40)&gt;0,E$3&gt;='Hiring plan'!$G$40,E$3&lt;=IF('Hiring plan'!$H$40="",999,'Hiring plan'!$H$40)),'Hiring plan'!$F$40,0)</f>
        <v>0</v>
      </c>
      <c r="F44" s="33" t="n">
        <f aca="false">IF(AND(N('Hiring plan'!$F$40)&gt;0,F$3&gt;='Hiring plan'!$G$40,F$3&lt;=IF('Hiring plan'!$H$40="",999,'Hiring plan'!$H$40)),'Hiring plan'!$F$40,0)</f>
        <v>0</v>
      </c>
      <c r="G44" s="33" t="n">
        <f aca="false">IF(AND(N('Hiring plan'!$F$40)&gt;0,G$3&gt;='Hiring plan'!$G$40,G$3&lt;=IF('Hiring plan'!$H$40="",999,'Hiring plan'!$H$40)),'Hiring plan'!$F$40,0)</f>
        <v>0</v>
      </c>
      <c r="H44" s="33" t="n">
        <f aca="false">IF(AND(N('Hiring plan'!$F$40)&gt;0,H$3&gt;='Hiring plan'!$G$40,H$3&lt;=IF('Hiring plan'!$H$40="",999,'Hiring plan'!$H$40)),'Hiring plan'!$F$40,0)</f>
        <v>0</v>
      </c>
      <c r="I44" s="33" t="n">
        <f aca="false">IF(AND(N('Hiring plan'!$F$40)&gt;0,I$3&gt;='Hiring plan'!$G$40,I$3&lt;=IF('Hiring plan'!$H$40="",999,'Hiring plan'!$H$40)),'Hiring plan'!$F$40,0)</f>
        <v>0</v>
      </c>
      <c r="J44" s="33" t="n">
        <f aca="false">IF(AND(N('Hiring plan'!$F$40)&gt;0,J$3&gt;='Hiring plan'!$G$40,J$3&lt;=IF('Hiring plan'!$H$40="",999,'Hiring plan'!$H$40)),'Hiring plan'!$F$40,0)</f>
        <v>0</v>
      </c>
      <c r="K44" s="33" t="n">
        <f aca="false">IF(AND(N('Hiring plan'!$F$40)&gt;0,K$3&gt;='Hiring plan'!$G$40,K$3&lt;=IF('Hiring plan'!$H$40="",999,'Hiring plan'!$H$40)),'Hiring plan'!$F$40,0)</f>
        <v>0</v>
      </c>
      <c r="L44" s="33" t="n">
        <f aca="false">IF(AND(N('Hiring plan'!$F$40)&gt;0,L$3&gt;='Hiring plan'!$G$40,L$3&lt;=IF('Hiring plan'!$H$40="",999,'Hiring plan'!$H$40)),'Hiring plan'!$F$40,0)</f>
        <v>0</v>
      </c>
      <c r="M44" s="33" t="n">
        <f aca="false">IF(AND(N('Hiring plan'!$F$40)&gt;0,M$3&gt;='Hiring plan'!$G$40,M$3&lt;=IF('Hiring plan'!$H$40="",999,'Hiring plan'!$H$40)),'Hiring plan'!$F$40,0)</f>
        <v>0</v>
      </c>
      <c r="N44" s="33" t="n">
        <f aca="false">IF(AND(N('Hiring plan'!$F$40)&gt;0,N$3&gt;='Hiring plan'!$G$40,N$3&lt;=IF('Hiring plan'!$H$40="",999,'Hiring plan'!$H$40)),'Hiring plan'!$F$40,0)</f>
        <v>0</v>
      </c>
      <c r="O44" s="33" t="n">
        <f aca="false">IF(AND(N('Hiring plan'!$F$40)&gt;0,O$3&gt;='Hiring plan'!$G$40,O$3&lt;=IF('Hiring plan'!$H$40="",999,'Hiring plan'!$H$40)),'Hiring plan'!$F$40,0)</f>
        <v>0</v>
      </c>
      <c r="P44" s="33" t="n">
        <f aca="false">IF(AND(N('Hiring plan'!$F$40)&gt;0,P$3&gt;='Hiring plan'!$G$40,P$3&lt;=IF('Hiring plan'!$H$40="",999,'Hiring plan'!$H$40)),'Hiring plan'!$F$40,0)</f>
        <v>0</v>
      </c>
      <c r="Q44" s="33" t="n">
        <f aca="false">IF(AND(N('Hiring plan'!$F$40)&gt;0,Q$3&gt;='Hiring plan'!$G$40,Q$3&lt;=IF('Hiring plan'!$H$40="",999,'Hiring plan'!$H$40)),'Hiring plan'!$F$40,0)</f>
        <v>0</v>
      </c>
      <c r="R44" s="33" t="n">
        <f aca="false">IF(AND(N('Hiring plan'!$F$40)&gt;0,R$3&gt;='Hiring plan'!$G$40,R$3&lt;=IF('Hiring plan'!$H$40="",999,'Hiring plan'!$H$40)),'Hiring plan'!$F$40,0)</f>
        <v>0</v>
      </c>
      <c r="S44" s="33" t="n">
        <f aca="false">IF(AND(N('Hiring plan'!$F$40)&gt;0,S$3&gt;='Hiring plan'!$G$40,S$3&lt;=IF('Hiring plan'!$H$40="",999,'Hiring plan'!$H$40)),'Hiring plan'!$F$40,0)</f>
        <v>0</v>
      </c>
      <c r="T44" s="33" t="n">
        <f aca="false">IF(AND(N('Hiring plan'!$F$40)&gt;0,T$3&gt;='Hiring plan'!$G$40,T$3&lt;=IF('Hiring plan'!$H$40="",999,'Hiring plan'!$H$40)),'Hiring plan'!$F$40,0)</f>
        <v>0</v>
      </c>
      <c r="U44" s="33" t="n">
        <f aca="false">IF(AND(N('Hiring plan'!$F$40)&gt;0,U$3&gt;='Hiring plan'!$G$40,U$3&lt;=IF('Hiring plan'!$H$40="",999,'Hiring plan'!$H$40)),'Hiring plan'!$F$40,0)</f>
        <v>0</v>
      </c>
      <c r="V44" s="33" t="n">
        <f aca="false">IF(AND(N('Hiring plan'!$F$40)&gt;0,V$3&gt;='Hiring plan'!$G$40,V$3&lt;=IF('Hiring plan'!$H$40="",999,'Hiring plan'!$H$40)),'Hiring plan'!$F$40,0)</f>
        <v>0</v>
      </c>
      <c r="W44" s="33" t="n">
        <f aca="false">IF(AND(N('Hiring plan'!$F$40)&gt;0,W$3&gt;='Hiring plan'!$G$40,W$3&lt;=IF('Hiring plan'!$H$40="",999,'Hiring plan'!$H$40)),'Hiring plan'!$F$40,0)</f>
        <v>0</v>
      </c>
      <c r="X44" s="33" t="n">
        <f aca="false">IF(AND(N('Hiring plan'!$F$40)&gt;0,X$3&gt;='Hiring plan'!$G$40,X$3&lt;=IF('Hiring plan'!$H$40="",999,'Hiring plan'!$H$40)),'Hiring plan'!$F$40,0)</f>
        <v>0</v>
      </c>
      <c r="Y44" s="33" t="n">
        <f aca="false">IF(AND(N('Hiring plan'!$F$40)&gt;0,Y$3&gt;='Hiring plan'!$G$40,Y$3&lt;=IF('Hiring plan'!$H$40="",999,'Hiring plan'!$H$40)),'Hiring plan'!$F$40,0)</f>
        <v>0</v>
      </c>
      <c r="Z44" s="33" t="n">
        <f aca="false">IF(AND(N('Hiring plan'!$F$40)&gt;0,Z$3&gt;='Hiring plan'!$G$40,Z$3&lt;=IF('Hiring plan'!$H$40="",999,'Hiring plan'!$H$40)),'Hiring plan'!$F$40,0)</f>
        <v>0</v>
      </c>
      <c r="AA44" s="33" t="n">
        <f aca="false">IF(AND(N('Hiring plan'!$F$40)&gt;0,AA$3&gt;='Hiring plan'!$G$40,AA$3&lt;=IF('Hiring plan'!$H$40="",999,'Hiring plan'!$H$40)),'Hiring plan'!$F$40,0)</f>
        <v>0</v>
      </c>
      <c r="AB44" s="33" t="n">
        <f aca="false">IF(AND(N('Hiring plan'!$F$40)&gt;0,AB$3&gt;='Hiring plan'!$G$40,AB$3&lt;=IF('Hiring plan'!$H$40="",999,'Hiring plan'!$H$40)),'Hiring plan'!$F$40,0)</f>
        <v>0</v>
      </c>
      <c r="AC44" s="33" t="n">
        <f aca="false">IF(AND(N('Hiring plan'!$F$40)&gt;0,AC$3&gt;='Hiring plan'!$G$40,AC$3&lt;=IF('Hiring plan'!$H$40="",999,'Hiring plan'!$H$40)),'Hiring plan'!$F$40,0)</f>
        <v>0</v>
      </c>
      <c r="AD44" s="33" t="n">
        <f aca="false">IF(AND(N('Hiring plan'!$F$40)&gt;0,AD$3&gt;='Hiring plan'!$G$40,AD$3&lt;=IF('Hiring plan'!$H$40="",999,'Hiring plan'!$H$40)),'Hiring plan'!$F$40,0)</f>
        <v>0</v>
      </c>
      <c r="AE44" s="33" t="n">
        <f aca="false">IF(AND(N('Hiring plan'!$F$40)&gt;0,AE$3&gt;='Hiring plan'!$G$40,AE$3&lt;=IF('Hiring plan'!$H$40="",999,'Hiring plan'!$H$40)),'Hiring plan'!$F$40,0)</f>
        <v>0</v>
      </c>
      <c r="AF44" s="33" t="n">
        <f aca="false">IF(AND(N('Hiring plan'!$F$40)&gt;0,AF$3&gt;='Hiring plan'!$G$40,AF$3&lt;=IF('Hiring plan'!$H$40="",999,'Hiring plan'!$H$40)),'Hiring plan'!$F$40,0)</f>
        <v>0</v>
      </c>
      <c r="AG44" s="33" t="n">
        <f aca="false">IF(AND(N('Hiring plan'!$F$40)&gt;0,AG$3&gt;='Hiring plan'!$G$40,AG$3&lt;=IF('Hiring plan'!$H$40="",999,'Hiring plan'!$H$40)),'Hiring plan'!$F$40,0)</f>
        <v>0</v>
      </c>
      <c r="AH44" s="33" t="n">
        <f aca="false">IF(AND(N('Hiring plan'!$F$40)&gt;0,AH$3&gt;='Hiring plan'!$G$40,AH$3&lt;=IF('Hiring plan'!$H$40="",999,'Hiring plan'!$H$40)),'Hiring plan'!$F$40,0)</f>
        <v>0</v>
      </c>
      <c r="AI44" s="33" t="n">
        <f aca="false">IF(AND(N('Hiring plan'!$F$40)&gt;0,AI$3&gt;='Hiring plan'!$G$40,AI$3&lt;=IF('Hiring plan'!$H$40="",999,'Hiring plan'!$H$40)),'Hiring plan'!$F$40,0)</f>
        <v>2</v>
      </c>
      <c r="AJ44" s="33" t="n">
        <f aca="false">IF(AND(N('Hiring plan'!$F$40)&gt;0,AJ$3&gt;='Hiring plan'!$G$40,AJ$3&lt;=IF('Hiring plan'!$H$40="",999,'Hiring plan'!$H$40)),'Hiring plan'!$F$40,0)</f>
        <v>2</v>
      </c>
      <c r="AK44" s="33" t="n">
        <f aca="false">IF(AND(N('Hiring plan'!$F$40)&gt;0,AK$3&gt;='Hiring plan'!$G$40,AK$3&lt;=IF('Hiring plan'!$H$40="",999,'Hiring plan'!$H$40)),'Hiring plan'!$F$40,0)</f>
        <v>2</v>
      </c>
      <c r="AL44" s="33" t="n">
        <f aca="false">IF(AND(N('Hiring plan'!$F$40)&gt;0,AL$3&gt;='Hiring plan'!$G$40,AL$3&lt;=IF('Hiring plan'!$H$40="",999,'Hiring plan'!$H$40)),'Hiring plan'!$F$40,0)</f>
        <v>2</v>
      </c>
      <c r="AM44" s="33" t="n">
        <f aca="false">IF(AND(N('Hiring plan'!$F$40)&gt;0,AM$3&gt;='Hiring plan'!$G$40,AM$3&lt;=IF('Hiring plan'!$H$40="",999,'Hiring plan'!$H$40)),'Hiring plan'!$F$40,0)</f>
        <v>2</v>
      </c>
      <c r="AN44" s="33" t="n">
        <f aca="false">IF(AND(N('Hiring plan'!$F$40)&gt;0,AN$3&gt;='Hiring plan'!$G$40,AN$3&lt;=IF('Hiring plan'!$H$40="",999,'Hiring plan'!$H$40)),'Hiring plan'!$F$40,0)</f>
        <v>2</v>
      </c>
      <c r="AO44" s="33" t="n">
        <f aca="false">IF(AND(N('Hiring plan'!$F$40)&gt;0,AO$3&gt;='Hiring plan'!$G$40,AO$3&lt;=IF('Hiring plan'!$H$40="",999,'Hiring plan'!$H$40)),'Hiring plan'!$F$40,0)</f>
        <v>2</v>
      </c>
      <c r="AP44" s="33" t="n">
        <f aca="false">IF(AND(N('Hiring plan'!$F$40)&gt;0,AP$3&gt;='Hiring plan'!$G$40,AP$3&lt;=IF('Hiring plan'!$H$40="",999,'Hiring plan'!$H$40)),'Hiring plan'!$F$40,0)</f>
        <v>2</v>
      </c>
      <c r="AQ44" s="33" t="n">
        <f aca="false">IF(AND(N('Hiring plan'!$F$40)&gt;0,AQ$3&gt;='Hiring plan'!$G$40,AQ$3&lt;=IF('Hiring plan'!$H$40="",999,'Hiring plan'!$H$40)),'Hiring plan'!$F$40,0)</f>
        <v>2</v>
      </c>
      <c r="AR44" s="33" t="n">
        <f aca="false">IF(AND(N('Hiring plan'!$F$40)&gt;0,AR$3&gt;='Hiring plan'!$G$40,AR$3&lt;=IF('Hiring plan'!$H$40="",999,'Hiring plan'!$H$40)),'Hiring plan'!$F$40,0)</f>
        <v>2</v>
      </c>
      <c r="AS44" s="33" t="n">
        <f aca="false">IF(AND(N('Hiring plan'!$F$40)&gt;0,AS$3&gt;='Hiring plan'!$G$40,AS$3&lt;=IF('Hiring plan'!$H$40="",999,'Hiring plan'!$H$40)),'Hiring plan'!$F$40,0)</f>
        <v>2</v>
      </c>
      <c r="AT44" s="33" t="n">
        <f aca="false">IF(AND(N('Hiring plan'!$F$40)&gt;0,AT$3&gt;='Hiring plan'!$G$40,AT$3&lt;=IF('Hiring plan'!$H$40="",999,'Hiring plan'!$H$40)),'Hiring plan'!$F$40,0)</f>
        <v>2</v>
      </c>
      <c r="AU44" s="33" t="n">
        <f aca="false">IF(AND(N('Hiring plan'!$F$40)&gt;0,AU$3&gt;='Hiring plan'!$G$40,AU$3&lt;=IF('Hiring plan'!$H$40="",999,'Hiring plan'!$H$40)),'Hiring plan'!$F$40,0)</f>
        <v>2</v>
      </c>
      <c r="AV44" s="33" t="n">
        <f aca="false">IF(AND(N('Hiring plan'!$F$40)&gt;0,AV$3&gt;='Hiring plan'!$G$40,AV$3&lt;=IF('Hiring plan'!$H$40="",999,'Hiring plan'!$H$40)),'Hiring plan'!$F$40,0)</f>
        <v>2</v>
      </c>
      <c r="AW44" s="33" t="n">
        <f aca="false">IF(AND(N('Hiring plan'!$F$40)&gt;0,AW$3&gt;='Hiring plan'!$G$40,AW$3&lt;=IF('Hiring plan'!$H$40="",999,'Hiring plan'!$H$40)),'Hiring plan'!$F$40,0)</f>
        <v>2</v>
      </c>
      <c r="AX44" s="33" t="n">
        <f aca="false">IF(AND(N('Hiring plan'!$F$40)&gt;0,AX$3&gt;='Hiring plan'!$G$40,AX$3&lt;=IF('Hiring plan'!$H$40="",999,'Hiring plan'!$H$40)),'Hiring plan'!$F$40,0)</f>
        <v>2</v>
      </c>
      <c r="AY44" s="33" t="n">
        <f aca="false">IF(AND(N('Hiring plan'!$F$40)&gt;0,AY$3&gt;='Hiring plan'!$G$40,AY$3&lt;=IF('Hiring plan'!$H$40="",999,'Hiring plan'!$H$40)),'Hiring plan'!$F$40,0)</f>
        <v>2</v>
      </c>
      <c r="AZ44" s="33" t="n">
        <f aca="false">IF(AND(N('Hiring plan'!$F$40)&gt;0,AZ$3&gt;='Hiring plan'!$G$40,AZ$3&lt;=IF('Hiring plan'!$H$40="",999,'Hiring plan'!$H$40)),'Hiring plan'!$F$40,0)</f>
        <v>2</v>
      </c>
      <c r="BA44" s="33" t="n">
        <f aca="false">IF(AND(N('Hiring plan'!$F$40)&gt;0,BA$3&gt;='Hiring plan'!$G$40,BA$3&lt;=IF('Hiring plan'!$H$40="",999,'Hiring plan'!$H$40)),'Hiring plan'!$F$40,0)</f>
        <v>2</v>
      </c>
      <c r="BB44" s="33" t="n">
        <f aca="false">IF(AND(N('Hiring plan'!$F$40)&gt;0,BB$3&gt;='Hiring plan'!$G$40,BB$3&lt;=IF('Hiring plan'!$H$40="",999,'Hiring plan'!$H$40)),'Hiring plan'!$F$40,0)</f>
        <v>2</v>
      </c>
      <c r="BC44" s="33" t="n">
        <f aca="false">IF(AND(N('Hiring plan'!$F$40)&gt;0,BC$3&gt;='Hiring plan'!$G$40,BC$3&lt;=IF('Hiring plan'!$H$40="",999,'Hiring plan'!$H$40)),'Hiring plan'!$F$40,0)</f>
        <v>2</v>
      </c>
      <c r="BD44" s="33" t="n">
        <f aca="false">IF(AND(N('Hiring plan'!$F$40)&gt;0,BD$3&gt;='Hiring plan'!$G$40,BD$3&lt;=IF('Hiring plan'!$H$40="",999,'Hiring plan'!$H$40)),'Hiring plan'!$F$40,0)</f>
        <v>2</v>
      </c>
      <c r="BE44" s="33" t="n">
        <f aca="false">IF(AND(N('Hiring plan'!$F$40)&gt;0,BE$3&gt;='Hiring plan'!$G$40,BE$3&lt;=IF('Hiring plan'!$H$40="",999,'Hiring plan'!$H$40)),'Hiring plan'!$F$40,0)</f>
        <v>2</v>
      </c>
      <c r="BF44" s="33" t="n">
        <f aca="false">IF(AND(N('Hiring plan'!$F$40)&gt;0,BF$3&gt;='Hiring plan'!$G$40,BF$3&lt;=IF('Hiring plan'!$H$40="",999,'Hiring plan'!$H$40)),'Hiring plan'!$F$40,0)</f>
        <v>2</v>
      </c>
      <c r="BG44" s="33" t="n">
        <f aca="false">IF(AND(N('Hiring plan'!$F$40)&gt;0,BG$3&gt;='Hiring plan'!$G$40,BG$3&lt;=IF('Hiring plan'!$H$40="",999,'Hiring plan'!$H$40)),'Hiring plan'!$F$40,0)</f>
        <v>2</v>
      </c>
      <c r="BH44" s="33" t="n">
        <f aca="false">IF(AND(N('Hiring plan'!$F$40)&gt;0,BH$3&gt;='Hiring plan'!$G$40,BH$3&lt;=IF('Hiring plan'!$H$40="",999,'Hiring plan'!$H$40)),'Hiring plan'!$F$40,0)</f>
        <v>2</v>
      </c>
      <c r="BI44" s="33" t="n">
        <f aca="false">IF(AND(N('Hiring plan'!$F$40)&gt;0,BI$3&gt;='Hiring plan'!$G$40,BI$3&lt;=IF('Hiring plan'!$H$40="",999,'Hiring plan'!$H$40)),'Hiring plan'!$F$40,0)</f>
        <v>2</v>
      </c>
      <c r="BJ44" s="33" t="n">
        <f aca="false">IF(AND(N('Hiring plan'!$F$40)&gt;0,BJ$3&gt;='Hiring plan'!$G$40,BJ$3&lt;=IF('Hiring plan'!$H$40="",999,'Hiring plan'!$H$40)),'Hiring plan'!$F$40,0)</f>
        <v>2</v>
      </c>
      <c r="BK44" s="33" t="n">
        <f aca="false">IF(AND(N('Hiring plan'!$F$40)&gt;0,BK$3&gt;='Hiring plan'!$G$40,BK$3&lt;=IF('Hiring plan'!$H$40="",999,'Hiring plan'!$H$40)),'Hiring plan'!$F$40,0)</f>
        <v>2</v>
      </c>
      <c r="BL44" s="33" t="n">
        <f aca="false">IF(AND(N('Hiring plan'!$F$40)&gt;0,BL$3&gt;='Hiring plan'!$G$40,BL$3&lt;=IF('Hiring plan'!$H$40="",999,'Hiring plan'!$H$40)),'Hiring plan'!$F$40,0)</f>
        <v>2</v>
      </c>
    </row>
    <row r="45" customFormat="false" ht="15" hidden="false" customHeight="false" outlineLevel="0" collapsed="false">
      <c r="A45" s="12" t="str">
        <f aca="false">IF('Hiring plan'!$C$41="","(spare line 37)",'Hiring plan'!$C$41&amp;" · "&amp;'Hiring plan'!$D$41)</f>
        <v>Customer support agent · SN</v>
      </c>
      <c r="B45" s="14" t="s">
        <v>222</v>
      </c>
      <c r="D45" s="41" t="n">
        <f aca="false">MAX(E45:BL45)</f>
        <v>2</v>
      </c>
      <c r="E45" s="33" t="n">
        <f aca="false">IF(AND(N('Hiring plan'!$F$41)&gt;0,E$3&gt;='Hiring plan'!$G$41,E$3&lt;=IF('Hiring plan'!$H$41="",999,'Hiring plan'!$H$41)),'Hiring plan'!$F$41,0)</f>
        <v>0</v>
      </c>
      <c r="F45" s="33" t="n">
        <f aca="false">IF(AND(N('Hiring plan'!$F$41)&gt;0,F$3&gt;='Hiring plan'!$G$41,F$3&lt;=IF('Hiring plan'!$H$41="",999,'Hiring plan'!$H$41)),'Hiring plan'!$F$41,0)</f>
        <v>0</v>
      </c>
      <c r="G45" s="33" t="n">
        <f aca="false">IF(AND(N('Hiring plan'!$F$41)&gt;0,G$3&gt;='Hiring plan'!$G$41,G$3&lt;=IF('Hiring plan'!$H$41="",999,'Hiring plan'!$H$41)),'Hiring plan'!$F$41,0)</f>
        <v>0</v>
      </c>
      <c r="H45" s="33" t="n">
        <f aca="false">IF(AND(N('Hiring plan'!$F$41)&gt;0,H$3&gt;='Hiring plan'!$G$41,H$3&lt;=IF('Hiring plan'!$H$41="",999,'Hiring plan'!$H$41)),'Hiring plan'!$F$41,0)</f>
        <v>0</v>
      </c>
      <c r="I45" s="33" t="n">
        <f aca="false">IF(AND(N('Hiring plan'!$F$41)&gt;0,I$3&gt;='Hiring plan'!$G$41,I$3&lt;=IF('Hiring plan'!$H$41="",999,'Hiring plan'!$H$41)),'Hiring plan'!$F$41,0)</f>
        <v>0</v>
      </c>
      <c r="J45" s="33" t="n">
        <f aca="false">IF(AND(N('Hiring plan'!$F$41)&gt;0,J$3&gt;='Hiring plan'!$G$41,J$3&lt;=IF('Hiring plan'!$H$41="",999,'Hiring plan'!$H$41)),'Hiring plan'!$F$41,0)</f>
        <v>0</v>
      </c>
      <c r="K45" s="33" t="n">
        <f aca="false">IF(AND(N('Hiring plan'!$F$41)&gt;0,K$3&gt;='Hiring plan'!$G$41,K$3&lt;=IF('Hiring plan'!$H$41="",999,'Hiring plan'!$H$41)),'Hiring plan'!$F$41,0)</f>
        <v>0</v>
      </c>
      <c r="L45" s="33" t="n">
        <f aca="false">IF(AND(N('Hiring plan'!$F$41)&gt;0,L$3&gt;='Hiring plan'!$G$41,L$3&lt;=IF('Hiring plan'!$H$41="",999,'Hiring plan'!$H$41)),'Hiring plan'!$F$41,0)</f>
        <v>0</v>
      </c>
      <c r="M45" s="33" t="n">
        <f aca="false">IF(AND(N('Hiring plan'!$F$41)&gt;0,M$3&gt;='Hiring plan'!$G$41,M$3&lt;=IF('Hiring plan'!$H$41="",999,'Hiring plan'!$H$41)),'Hiring plan'!$F$41,0)</f>
        <v>0</v>
      </c>
      <c r="N45" s="33" t="n">
        <f aca="false">IF(AND(N('Hiring plan'!$F$41)&gt;0,N$3&gt;='Hiring plan'!$G$41,N$3&lt;=IF('Hiring plan'!$H$41="",999,'Hiring plan'!$H$41)),'Hiring plan'!$F$41,0)</f>
        <v>0</v>
      </c>
      <c r="O45" s="33" t="n">
        <f aca="false">IF(AND(N('Hiring plan'!$F$41)&gt;0,O$3&gt;='Hiring plan'!$G$41,O$3&lt;=IF('Hiring plan'!$H$41="",999,'Hiring plan'!$H$41)),'Hiring plan'!$F$41,0)</f>
        <v>0</v>
      </c>
      <c r="P45" s="33" t="n">
        <f aca="false">IF(AND(N('Hiring plan'!$F$41)&gt;0,P$3&gt;='Hiring plan'!$G$41,P$3&lt;=IF('Hiring plan'!$H$41="",999,'Hiring plan'!$H$41)),'Hiring plan'!$F$41,0)</f>
        <v>0</v>
      </c>
      <c r="Q45" s="33" t="n">
        <f aca="false">IF(AND(N('Hiring plan'!$F$41)&gt;0,Q$3&gt;='Hiring plan'!$G$41,Q$3&lt;=IF('Hiring plan'!$H$41="",999,'Hiring plan'!$H$41)),'Hiring plan'!$F$41,0)</f>
        <v>0</v>
      </c>
      <c r="R45" s="33" t="n">
        <f aca="false">IF(AND(N('Hiring plan'!$F$41)&gt;0,R$3&gt;='Hiring plan'!$G$41,R$3&lt;=IF('Hiring plan'!$H$41="",999,'Hiring plan'!$H$41)),'Hiring plan'!$F$41,0)</f>
        <v>0</v>
      </c>
      <c r="S45" s="33" t="n">
        <f aca="false">IF(AND(N('Hiring plan'!$F$41)&gt;0,S$3&gt;='Hiring plan'!$G$41,S$3&lt;=IF('Hiring plan'!$H$41="",999,'Hiring plan'!$H$41)),'Hiring plan'!$F$41,0)</f>
        <v>0</v>
      </c>
      <c r="T45" s="33" t="n">
        <f aca="false">IF(AND(N('Hiring plan'!$F$41)&gt;0,T$3&gt;='Hiring plan'!$G$41,T$3&lt;=IF('Hiring plan'!$H$41="",999,'Hiring plan'!$H$41)),'Hiring plan'!$F$41,0)</f>
        <v>0</v>
      </c>
      <c r="U45" s="33" t="n">
        <f aca="false">IF(AND(N('Hiring plan'!$F$41)&gt;0,U$3&gt;='Hiring plan'!$G$41,U$3&lt;=IF('Hiring plan'!$H$41="",999,'Hiring plan'!$H$41)),'Hiring plan'!$F$41,0)</f>
        <v>0</v>
      </c>
      <c r="V45" s="33" t="n">
        <f aca="false">IF(AND(N('Hiring plan'!$F$41)&gt;0,V$3&gt;='Hiring plan'!$G$41,V$3&lt;=IF('Hiring plan'!$H$41="",999,'Hiring plan'!$H$41)),'Hiring plan'!$F$41,0)</f>
        <v>0</v>
      </c>
      <c r="W45" s="33" t="n">
        <f aca="false">IF(AND(N('Hiring plan'!$F$41)&gt;0,W$3&gt;='Hiring plan'!$G$41,W$3&lt;=IF('Hiring plan'!$H$41="",999,'Hiring plan'!$H$41)),'Hiring plan'!$F$41,0)</f>
        <v>0</v>
      </c>
      <c r="X45" s="33" t="n">
        <f aca="false">IF(AND(N('Hiring plan'!$F$41)&gt;0,X$3&gt;='Hiring plan'!$G$41,X$3&lt;=IF('Hiring plan'!$H$41="",999,'Hiring plan'!$H$41)),'Hiring plan'!$F$41,0)</f>
        <v>0</v>
      </c>
      <c r="Y45" s="33" t="n">
        <f aca="false">IF(AND(N('Hiring plan'!$F$41)&gt;0,Y$3&gt;='Hiring plan'!$G$41,Y$3&lt;=IF('Hiring plan'!$H$41="",999,'Hiring plan'!$H$41)),'Hiring plan'!$F$41,0)</f>
        <v>0</v>
      </c>
      <c r="Z45" s="33" t="n">
        <f aca="false">IF(AND(N('Hiring plan'!$F$41)&gt;0,Z$3&gt;='Hiring plan'!$G$41,Z$3&lt;=IF('Hiring plan'!$H$41="",999,'Hiring plan'!$H$41)),'Hiring plan'!$F$41,0)</f>
        <v>0</v>
      </c>
      <c r="AA45" s="33" t="n">
        <f aca="false">IF(AND(N('Hiring plan'!$F$41)&gt;0,AA$3&gt;='Hiring plan'!$G$41,AA$3&lt;=IF('Hiring plan'!$H$41="",999,'Hiring plan'!$H$41)),'Hiring plan'!$F$41,0)</f>
        <v>0</v>
      </c>
      <c r="AB45" s="33" t="n">
        <f aca="false">IF(AND(N('Hiring plan'!$F$41)&gt;0,AB$3&gt;='Hiring plan'!$G$41,AB$3&lt;=IF('Hiring plan'!$H$41="",999,'Hiring plan'!$H$41)),'Hiring plan'!$F$41,0)</f>
        <v>0</v>
      </c>
      <c r="AC45" s="33" t="n">
        <f aca="false">IF(AND(N('Hiring plan'!$F$41)&gt;0,AC$3&gt;='Hiring plan'!$G$41,AC$3&lt;=IF('Hiring plan'!$H$41="",999,'Hiring plan'!$H$41)),'Hiring plan'!$F$41,0)</f>
        <v>0</v>
      </c>
      <c r="AD45" s="33" t="n">
        <f aca="false">IF(AND(N('Hiring plan'!$F$41)&gt;0,AD$3&gt;='Hiring plan'!$G$41,AD$3&lt;=IF('Hiring plan'!$H$41="",999,'Hiring plan'!$H$41)),'Hiring plan'!$F$41,0)</f>
        <v>0</v>
      </c>
      <c r="AE45" s="33" t="n">
        <f aca="false">IF(AND(N('Hiring plan'!$F$41)&gt;0,AE$3&gt;='Hiring plan'!$G$41,AE$3&lt;=IF('Hiring plan'!$H$41="",999,'Hiring plan'!$H$41)),'Hiring plan'!$F$41,0)</f>
        <v>0</v>
      </c>
      <c r="AF45" s="33" t="n">
        <f aca="false">IF(AND(N('Hiring plan'!$F$41)&gt;0,AF$3&gt;='Hiring plan'!$G$41,AF$3&lt;=IF('Hiring plan'!$H$41="",999,'Hiring plan'!$H$41)),'Hiring plan'!$F$41,0)</f>
        <v>0</v>
      </c>
      <c r="AG45" s="33" t="n">
        <f aca="false">IF(AND(N('Hiring plan'!$F$41)&gt;0,AG$3&gt;='Hiring plan'!$G$41,AG$3&lt;=IF('Hiring plan'!$H$41="",999,'Hiring plan'!$H$41)),'Hiring plan'!$F$41,0)</f>
        <v>0</v>
      </c>
      <c r="AH45" s="33" t="n">
        <f aca="false">IF(AND(N('Hiring plan'!$F$41)&gt;0,AH$3&gt;='Hiring plan'!$G$41,AH$3&lt;=IF('Hiring plan'!$H$41="",999,'Hiring plan'!$H$41)),'Hiring plan'!$F$41,0)</f>
        <v>0</v>
      </c>
      <c r="AI45" s="33" t="n">
        <f aca="false">IF(AND(N('Hiring plan'!$F$41)&gt;0,AI$3&gt;='Hiring plan'!$G$41,AI$3&lt;=IF('Hiring plan'!$H$41="",999,'Hiring plan'!$H$41)),'Hiring plan'!$F$41,0)</f>
        <v>2</v>
      </c>
      <c r="AJ45" s="33" t="n">
        <f aca="false">IF(AND(N('Hiring plan'!$F$41)&gt;0,AJ$3&gt;='Hiring plan'!$G$41,AJ$3&lt;=IF('Hiring plan'!$H$41="",999,'Hiring plan'!$H$41)),'Hiring plan'!$F$41,0)</f>
        <v>2</v>
      </c>
      <c r="AK45" s="33" t="n">
        <f aca="false">IF(AND(N('Hiring plan'!$F$41)&gt;0,AK$3&gt;='Hiring plan'!$G$41,AK$3&lt;=IF('Hiring plan'!$H$41="",999,'Hiring plan'!$H$41)),'Hiring plan'!$F$41,0)</f>
        <v>2</v>
      </c>
      <c r="AL45" s="33" t="n">
        <f aca="false">IF(AND(N('Hiring plan'!$F$41)&gt;0,AL$3&gt;='Hiring plan'!$G$41,AL$3&lt;=IF('Hiring plan'!$H$41="",999,'Hiring plan'!$H$41)),'Hiring plan'!$F$41,0)</f>
        <v>2</v>
      </c>
      <c r="AM45" s="33" t="n">
        <f aca="false">IF(AND(N('Hiring plan'!$F$41)&gt;0,AM$3&gt;='Hiring plan'!$G$41,AM$3&lt;=IF('Hiring plan'!$H$41="",999,'Hiring plan'!$H$41)),'Hiring plan'!$F$41,0)</f>
        <v>2</v>
      </c>
      <c r="AN45" s="33" t="n">
        <f aca="false">IF(AND(N('Hiring plan'!$F$41)&gt;0,AN$3&gt;='Hiring plan'!$G$41,AN$3&lt;=IF('Hiring plan'!$H$41="",999,'Hiring plan'!$H$41)),'Hiring plan'!$F$41,0)</f>
        <v>2</v>
      </c>
      <c r="AO45" s="33" t="n">
        <f aca="false">IF(AND(N('Hiring plan'!$F$41)&gt;0,AO$3&gt;='Hiring plan'!$G$41,AO$3&lt;=IF('Hiring plan'!$H$41="",999,'Hiring plan'!$H$41)),'Hiring plan'!$F$41,0)</f>
        <v>2</v>
      </c>
      <c r="AP45" s="33" t="n">
        <f aca="false">IF(AND(N('Hiring plan'!$F$41)&gt;0,AP$3&gt;='Hiring plan'!$G$41,AP$3&lt;=IF('Hiring plan'!$H$41="",999,'Hiring plan'!$H$41)),'Hiring plan'!$F$41,0)</f>
        <v>2</v>
      </c>
      <c r="AQ45" s="33" t="n">
        <f aca="false">IF(AND(N('Hiring plan'!$F$41)&gt;0,AQ$3&gt;='Hiring plan'!$G$41,AQ$3&lt;=IF('Hiring plan'!$H$41="",999,'Hiring plan'!$H$41)),'Hiring plan'!$F$41,0)</f>
        <v>2</v>
      </c>
      <c r="AR45" s="33" t="n">
        <f aca="false">IF(AND(N('Hiring plan'!$F$41)&gt;0,AR$3&gt;='Hiring plan'!$G$41,AR$3&lt;=IF('Hiring plan'!$H$41="",999,'Hiring plan'!$H$41)),'Hiring plan'!$F$41,0)</f>
        <v>2</v>
      </c>
      <c r="AS45" s="33" t="n">
        <f aca="false">IF(AND(N('Hiring plan'!$F$41)&gt;0,AS$3&gt;='Hiring plan'!$G$41,AS$3&lt;=IF('Hiring plan'!$H$41="",999,'Hiring plan'!$H$41)),'Hiring plan'!$F$41,0)</f>
        <v>2</v>
      </c>
      <c r="AT45" s="33" t="n">
        <f aca="false">IF(AND(N('Hiring plan'!$F$41)&gt;0,AT$3&gt;='Hiring plan'!$G$41,AT$3&lt;=IF('Hiring plan'!$H$41="",999,'Hiring plan'!$H$41)),'Hiring plan'!$F$41,0)</f>
        <v>2</v>
      </c>
      <c r="AU45" s="33" t="n">
        <f aca="false">IF(AND(N('Hiring plan'!$F$41)&gt;0,AU$3&gt;='Hiring plan'!$G$41,AU$3&lt;=IF('Hiring plan'!$H$41="",999,'Hiring plan'!$H$41)),'Hiring plan'!$F$41,0)</f>
        <v>2</v>
      </c>
      <c r="AV45" s="33" t="n">
        <f aca="false">IF(AND(N('Hiring plan'!$F$41)&gt;0,AV$3&gt;='Hiring plan'!$G$41,AV$3&lt;=IF('Hiring plan'!$H$41="",999,'Hiring plan'!$H$41)),'Hiring plan'!$F$41,0)</f>
        <v>2</v>
      </c>
      <c r="AW45" s="33" t="n">
        <f aca="false">IF(AND(N('Hiring plan'!$F$41)&gt;0,AW$3&gt;='Hiring plan'!$G$41,AW$3&lt;=IF('Hiring plan'!$H$41="",999,'Hiring plan'!$H$41)),'Hiring plan'!$F$41,0)</f>
        <v>2</v>
      </c>
      <c r="AX45" s="33" t="n">
        <f aca="false">IF(AND(N('Hiring plan'!$F$41)&gt;0,AX$3&gt;='Hiring plan'!$G$41,AX$3&lt;=IF('Hiring plan'!$H$41="",999,'Hiring plan'!$H$41)),'Hiring plan'!$F$41,0)</f>
        <v>2</v>
      </c>
      <c r="AY45" s="33" t="n">
        <f aca="false">IF(AND(N('Hiring plan'!$F$41)&gt;0,AY$3&gt;='Hiring plan'!$G$41,AY$3&lt;=IF('Hiring plan'!$H$41="",999,'Hiring plan'!$H$41)),'Hiring plan'!$F$41,0)</f>
        <v>2</v>
      </c>
      <c r="AZ45" s="33" t="n">
        <f aca="false">IF(AND(N('Hiring plan'!$F$41)&gt;0,AZ$3&gt;='Hiring plan'!$G$41,AZ$3&lt;=IF('Hiring plan'!$H$41="",999,'Hiring plan'!$H$41)),'Hiring plan'!$F$41,0)</f>
        <v>2</v>
      </c>
      <c r="BA45" s="33" t="n">
        <f aca="false">IF(AND(N('Hiring plan'!$F$41)&gt;0,BA$3&gt;='Hiring plan'!$G$41,BA$3&lt;=IF('Hiring plan'!$H$41="",999,'Hiring plan'!$H$41)),'Hiring plan'!$F$41,0)</f>
        <v>2</v>
      </c>
      <c r="BB45" s="33" t="n">
        <f aca="false">IF(AND(N('Hiring plan'!$F$41)&gt;0,BB$3&gt;='Hiring plan'!$G$41,BB$3&lt;=IF('Hiring plan'!$H$41="",999,'Hiring plan'!$H$41)),'Hiring plan'!$F$41,0)</f>
        <v>2</v>
      </c>
      <c r="BC45" s="33" t="n">
        <f aca="false">IF(AND(N('Hiring plan'!$F$41)&gt;0,BC$3&gt;='Hiring plan'!$G$41,BC$3&lt;=IF('Hiring plan'!$H$41="",999,'Hiring plan'!$H$41)),'Hiring plan'!$F$41,0)</f>
        <v>2</v>
      </c>
      <c r="BD45" s="33" t="n">
        <f aca="false">IF(AND(N('Hiring plan'!$F$41)&gt;0,BD$3&gt;='Hiring plan'!$G$41,BD$3&lt;=IF('Hiring plan'!$H$41="",999,'Hiring plan'!$H$41)),'Hiring plan'!$F$41,0)</f>
        <v>2</v>
      </c>
      <c r="BE45" s="33" t="n">
        <f aca="false">IF(AND(N('Hiring plan'!$F$41)&gt;0,BE$3&gt;='Hiring plan'!$G$41,BE$3&lt;=IF('Hiring plan'!$H$41="",999,'Hiring plan'!$H$41)),'Hiring plan'!$F$41,0)</f>
        <v>2</v>
      </c>
      <c r="BF45" s="33" t="n">
        <f aca="false">IF(AND(N('Hiring plan'!$F$41)&gt;0,BF$3&gt;='Hiring plan'!$G$41,BF$3&lt;=IF('Hiring plan'!$H$41="",999,'Hiring plan'!$H$41)),'Hiring plan'!$F$41,0)</f>
        <v>2</v>
      </c>
      <c r="BG45" s="33" t="n">
        <f aca="false">IF(AND(N('Hiring plan'!$F$41)&gt;0,BG$3&gt;='Hiring plan'!$G$41,BG$3&lt;=IF('Hiring plan'!$H$41="",999,'Hiring plan'!$H$41)),'Hiring plan'!$F$41,0)</f>
        <v>2</v>
      </c>
      <c r="BH45" s="33" t="n">
        <f aca="false">IF(AND(N('Hiring plan'!$F$41)&gt;0,BH$3&gt;='Hiring plan'!$G$41,BH$3&lt;=IF('Hiring plan'!$H$41="",999,'Hiring plan'!$H$41)),'Hiring plan'!$F$41,0)</f>
        <v>2</v>
      </c>
      <c r="BI45" s="33" t="n">
        <f aca="false">IF(AND(N('Hiring plan'!$F$41)&gt;0,BI$3&gt;='Hiring plan'!$G$41,BI$3&lt;=IF('Hiring plan'!$H$41="",999,'Hiring plan'!$H$41)),'Hiring plan'!$F$41,0)</f>
        <v>2</v>
      </c>
      <c r="BJ45" s="33" t="n">
        <f aca="false">IF(AND(N('Hiring plan'!$F$41)&gt;0,BJ$3&gt;='Hiring plan'!$G$41,BJ$3&lt;=IF('Hiring plan'!$H$41="",999,'Hiring plan'!$H$41)),'Hiring plan'!$F$41,0)</f>
        <v>2</v>
      </c>
      <c r="BK45" s="33" t="n">
        <f aca="false">IF(AND(N('Hiring plan'!$F$41)&gt;0,BK$3&gt;='Hiring plan'!$G$41,BK$3&lt;=IF('Hiring plan'!$H$41="",999,'Hiring plan'!$H$41)),'Hiring plan'!$F$41,0)</f>
        <v>2</v>
      </c>
      <c r="BL45" s="33" t="n">
        <f aca="false">IF(AND(N('Hiring plan'!$F$41)&gt;0,BL$3&gt;='Hiring plan'!$G$41,BL$3&lt;=IF('Hiring plan'!$H$41="",999,'Hiring plan'!$H$41)),'Hiring plan'!$F$41,0)</f>
        <v>2</v>
      </c>
    </row>
    <row r="46" customFormat="false" ht="15" hidden="false" customHeight="false" outlineLevel="0" collapsed="false">
      <c r="A46" s="12" t="str">
        <f aca="false">IF('Hiring plan'!$C$42="","(spare line 38)",'Hiring plan'!$C$42&amp;" · "&amp;'Hiring plan'!$D$42)</f>
        <v>KYC and support agent, Abidjan · CI</v>
      </c>
      <c r="B46" s="14" t="s">
        <v>222</v>
      </c>
      <c r="D46" s="41" t="n">
        <f aca="false">MAX(E46:BL46)</f>
        <v>2</v>
      </c>
      <c r="E46" s="33" t="n">
        <f aca="false">IF(AND(N('Hiring plan'!$F$42)&gt;0,E$3&gt;='Hiring plan'!$G$42,E$3&lt;=IF('Hiring plan'!$H$42="",999,'Hiring plan'!$H$42)),'Hiring plan'!$F$42,0)</f>
        <v>0</v>
      </c>
      <c r="F46" s="33" t="n">
        <f aca="false">IF(AND(N('Hiring plan'!$F$42)&gt;0,F$3&gt;='Hiring plan'!$G$42,F$3&lt;=IF('Hiring plan'!$H$42="",999,'Hiring plan'!$H$42)),'Hiring plan'!$F$42,0)</f>
        <v>0</v>
      </c>
      <c r="G46" s="33" t="n">
        <f aca="false">IF(AND(N('Hiring plan'!$F$42)&gt;0,G$3&gt;='Hiring plan'!$G$42,G$3&lt;=IF('Hiring plan'!$H$42="",999,'Hiring plan'!$H$42)),'Hiring plan'!$F$42,0)</f>
        <v>0</v>
      </c>
      <c r="H46" s="33" t="n">
        <f aca="false">IF(AND(N('Hiring plan'!$F$42)&gt;0,H$3&gt;='Hiring plan'!$G$42,H$3&lt;=IF('Hiring plan'!$H$42="",999,'Hiring plan'!$H$42)),'Hiring plan'!$F$42,0)</f>
        <v>0</v>
      </c>
      <c r="I46" s="33" t="n">
        <f aca="false">IF(AND(N('Hiring plan'!$F$42)&gt;0,I$3&gt;='Hiring plan'!$G$42,I$3&lt;=IF('Hiring plan'!$H$42="",999,'Hiring plan'!$H$42)),'Hiring plan'!$F$42,0)</f>
        <v>0</v>
      </c>
      <c r="J46" s="33" t="n">
        <f aca="false">IF(AND(N('Hiring plan'!$F$42)&gt;0,J$3&gt;='Hiring plan'!$G$42,J$3&lt;=IF('Hiring plan'!$H$42="",999,'Hiring plan'!$H$42)),'Hiring plan'!$F$42,0)</f>
        <v>0</v>
      </c>
      <c r="K46" s="33" t="n">
        <f aca="false">IF(AND(N('Hiring plan'!$F$42)&gt;0,K$3&gt;='Hiring plan'!$G$42,K$3&lt;=IF('Hiring plan'!$H$42="",999,'Hiring plan'!$H$42)),'Hiring plan'!$F$42,0)</f>
        <v>0</v>
      </c>
      <c r="L46" s="33" t="n">
        <f aca="false">IF(AND(N('Hiring plan'!$F$42)&gt;0,L$3&gt;='Hiring plan'!$G$42,L$3&lt;=IF('Hiring plan'!$H$42="",999,'Hiring plan'!$H$42)),'Hiring plan'!$F$42,0)</f>
        <v>0</v>
      </c>
      <c r="M46" s="33" t="n">
        <f aca="false">IF(AND(N('Hiring plan'!$F$42)&gt;0,M$3&gt;='Hiring plan'!$G$42,M$3&lt;=IF('Hiring plan'!$H$42="",999,'Hiring plan'!$H$42)),'Hiring plan'!$F$42,0)</f>
        <v>0</v>
      </c>
      <c r="N46" s="33" t="n">
        <f aca="false">IF(AND(N('Hiring plan'!$F$42)&gt;0,N$3&gt;='Hiring plan'!$G$42,N$3&lt;=IF('Hiring plan'!$H$42="",999,'Hiring plan'!$H$42)),'Hiring plan'!$F$42,0)</f>
        <v>0</v>
      </c>
      <c r="O46" s="33" t="n">
        <f aca="false">IF(AND(N('Hiring plan'!$F$42)&gt;0,O$3&gt;='Hiring plan'!$G$42,O$3&lt;=IF('Hiring plan'!$H$42="",999,'Hiring plan'!$H$42)),'Hiring plan'!$F$42,0)</f>
        <v>0</v>
      </c>
      <c r="P46" s="33" t="n">
        <f aca="false">IF(AND(N('Hiring plan'!$F$42)&gt;0,P$3&gt;='Hiring plan'!$G$42,P$3&lt;=IF('Hiring plan'!$H$42="",999,'Hiring plan'!$H$42)),'Hiring plan'!$F$42,0)</f>
        <v>0</v>
      </c>
      <c r="Q46" s="33" t="n">
        <f aca="false">IF(AND(N('Hiring plan'!$F$42)&gt;0,Q$3&gt;='Hiring plan'!$G$42,Q$3&lt;=IF('Hiring plan'!$H$42="",999,'Hiring plan'!$H$42)),'Hiring plan'!$F$42,0)</f>
        <v>0</v>
      </c>
      <c r="R46" s="33" t="n">
        <f aca="false">IF(AND(N('Hiring plan'!$F$42)&gt;0,R$3&gt;='Hiring plan'!$G$42,R$3&lt;=IF('Hiring plan'!$H$42="",999,'Hiring plan'!$H$42)),'Hiring plan'!$F$42,0)</f>
        <v>0</v>
      </c>
      <c r="S46" s="33" t="n">
        <f aca="false">IF(AND(N('Hiring plan'!$F$42)&gt;0,S$3&gt;='Hiring plan'!$G$42,S$3&lt;=IF('Hiring plan'!$H$42="",999,'Hiring plan'!$H$42)),'Hiring plan'!$F$42,0)</f>
        <v>0</v>
      </c>
      <c r="T46" s="33" t="n">
        <f aca="false">IF(AND(N('Hiring plan'!$F$42)&gt;0,T$3&gt;='Hiring plan'!$G$42,T$3&lt;=IF('Hiring plan'!$H$42="",999,'Hiring plan'!$H$42)),'Hiring plan'!$F$42,0)</f>
        <v>0</v>
      </c>
      <c r="U46" s="33" t="n">
        <f aca="false">IF(AND(N('Hiring plan'!$F$42)&gt;0,U$3&gt;='Hiring plan'!$G$42,U$3&lt;=IF('Hiring plan'!$H$42="",999,'Hiring plan'!$H$42)),'Hiring plan'!$F$42,0)</f>
        <v>0</v>
      </c>
      <c r="V46" s="33" t="n">
        <f aca="false">IF(AND(N('Hiring plan'!$F$42)&gt;0,V$3&gt;='Hiring plan'!$G$42,V$3&lt;=IF('Hiring plan'!$H$42="",999,'Hiring plan'!$H$42)),'Hiring plan'!$F$42,0)</f>
        <v>0</v>
      </c>
      <c r="W46" s="33" t="n">
        <f aca="false">IF(AND(N('Hiring plan'!$F$42)&gt;0,W$3&gt;='Hiring plan'!$G$42,W$3&lt;=IF('Hiring plan'!$H$42="",999,'Hiring plan'!$H$42)),'Hiring plan'!$F$42,0)</f>
        <v>0</v>
      </c>
      <c r="X46" s="33" t="n">
        <f aca="false">IF(AND(N('Hiring plan'!$F$42)&gt;0,X$3&gt;='Hiring plan'!$G$42,X$3&lt;=IF('Hiring plan'!$H$42="",999,'Hiring plan'!$H$42)),'Hiring plan'!$F$42,0)</f>
        <v>0</v>
      </c>
      <c r="Y46" s="33" t="n">
        <f aca="false">IF(AND(N('Hiring plan'!$F$42)&gt;0,Y$3&gt;='Hiring plan'!$G$42,Y$3&lt;=IF('Hiring plan'!$H$42="",999,'Hiring plan'!$H$42)),'Hiring plan'!$F$42,0)</f>
        <v>0</v>
      </c>
      <c r="Z46" s="33" t="n">
        <f aca="false">IF(AND(N('Hiring plan'!$F$42)&gt;0,Z$3&gt;='Hiring plan'!$G$42,Z$3&lt;=IF('Hiring plan'!$H$42="",999,'Hiring plan'!$H$42)),'Hiring plan'!$F$42,0)</f>
        <v>0</v>
      </c>
      <c r="AA46" s="33" t="n">
        <f aca="false">IF(AND(N('Hiring plan'!$F$42)&gt;0,AA$3&gt;='Hiring plan'!$G$42,AA$3&lt;=IF('Hiring plan'!$H$42="",999,'Hiring plan'!$H$42)),'Hiring plan'!$F$42,0)</f>
        <v>0</v>
      </c>
      <c r="AB46" s="33" t="n">
        <f aca="false">IF(AND(N('Hiring plan'!$F$42)&gt;0,AB$3&gt;='Hiring plan'!$G$42,AB$3&lt;=IF('Hiring plan'!$H$42="",999,'Hiring plan'!$H$42)),'Hiring plan'!$F$42,0)</f>
        <v>0</v>
      </c>
      <c r="AC46" s="33" t="n">
        <f aca="false">IF(AND(N('Hiring plan'!$F$42)&gt;0,AC$3&gt;='Hiring plan'!$G$42,AC$3&lt;=IF('Hiring plan'!$H$42="",999,'Hiring plan'!$H$42)),'Hiring plan'!$F$42,0)</f>
        <v>0</v>
      </c>
      <c r="AD46" s="33" t="n">
        <f aca="false">IF(AND(N('Hiring plan'!$F$42)&gt;0,AD$3&gt;='Hiring plan'!$G$42,AD$3&lt;=IF('Hiring plan'!$H$42="",999,'Hiring plan'!$H$42)),'Hiring plan'!$F$42,0)</f>
        <v>0</v>
      </c>
      <c r="AE46" s="33" t="n">
        <f aca="false">IF(AND(N('Hiring plan'!$F$42)&gt;0,AE$3&gt;='Hiring plan'!$G$42,AE$3&lt;=IF('Hiring plan'!$H$42="",999,'Hiring plan'!$H$42)),'Hiring plan'!$F$42,0)</f>
        <v>0</v>
      </c>
      <c r="AF46" s="33" t="n">
        <f aca="false">IF(AND(N('Hiring plan'!$F$42)&gt;0,AF$3&gt;='Hiring plan'!$G$42,AF$3&lt;=IF('Hiring plan'!$H$42="",999,'Hiring plan'!$H$42)),'Hiring plan'!$F$42,0)</f>
        <v>0</v>
      </c>
      <c r="AG46" s="33" t="n">
        <f aca="false">IF(AND(N('Hiring plan'!$F$42)&gt;0,AG$3&gt;='Hiring plan'!$G$42,AG$3&lt;=IF('Hiring plan'!$H$42="",999,'Hiring plan'!$H$42)),'Hiring plan'!$F$42,0)</f>
        <v>0</v>
      </c>
      <c r="AH46" s="33" t="n">
        <f aca="false">IF(AND(N('Hiring plan'!$F$42)&gt;0,AH$3&gt;='Hiring plan'!$G$42,AH$3&lt;=IF('Hiring plan'!$H$42="",999,'Hiring plan'!$H$42)),'Hiring plan'!$F$42,0)</f>
        <v>0</v>
      </c>
      <c r="AI46" s="33" t="n">
        <f aca="false">IF(AND(N('Hiring plan'!$F$42)&gt;0,AI$3&gt;='Hiring plan'!$G$42,AI$3&lt;=IF('Hiring plan'!$H$42="",999,'Hiring plan'!$H$42)),'Hiring plan'!$F$42,0)</f>
        <v>0</v>
      </c>
      <c r="AJ46" s="33" t="n">
        <f aca="false">IF(AND(N('Hiring plan'!$F$42)&gt;0,AJ$3&gt;='Hiring plan'!$G$42,AJ$3&lt;=IF('Hiring plan'!$H$42="",999,'Hiring plan'!$H$42)),'Hiring plan'!$F$42,0)</f>
        <v>0</v>
      </c>
      <c r="AK46" s="33" t="n">
        <f aca="false">IF(AND(N('Hiring plan'!$F$42)&gt;0,AK$3&gt;='Hiring plan'!$G$42,AK$3&lt;=IF('Hiring plan'!$H$42="",999,'Hiring plan'!$H$42)),'Hiring plan'!$F$42,0)</f>
        <v>0</v>
      </c>
      <c r="AL46" s="33" t="n">
        <f aca="false">IF(AND(N('Hiring plan'!$F$42)&gt;0,AL$3&gt;='Hiring plan'!$G$42,AL$3&lt;=IF('Hiring plan'!$H$42="",999,'Hiring plan'!$H$42)),'Hiring plan'!$F$42,0)</f>
        <v>0</v>
      </c>
      <c r="AM46" s="33" t="n">
        <f aca="false">IF(AND(N('Hiring plan'!$F$42)&gt;0,AM$3&gt;='Hiring plan'!$G$42,AM$3&lt;=IF('Hiring plan'!$H$42="",999,'Hiring plan'!$H$42)),'Hiring plan'!$F$42,0)</f>
        <v>0</v>
      </c>
      <c r="AN46" s="33" t="n">
        <f aca="false">IF(AND(N('Hiring plan'!$F$42)&gt;0,AN$3&gt;='Hiring plan'!$G$42,AN$3&lt;=IF('Hiring plan'!$H$42="",999,'Hiring plan'!$H$42)),'Hiring plan'!$F$42,0)</f>
        <v>0</v>
      </c>
      <c r="AO46" s="33" t="n">
        <f aca="false">IF(AND(N('Hiring plan'!$F$42)&gt;0,AO$3&gt;='Hiring plan'!$G$42,AO$3&lt;=IF('Hiring plan'!$H$42="",999,'Hiring plan'!$H$42)),'Hiring plan'!$F$42,0)</f>
        <v>2</v>
      </c>
      <c r="AP46" s="33" t="n">
        <f aca="false">IF(AND(N('Hiring plan'!$F$42)&gt;0,AP$3&gt;='Hiring plan'!$G$42,AP$3&lt;=IF('Hiring plan'!$H$42="",999,'Hiring plan'!$H$42)),'Hiring plan'!$F$42,0)</f>
        <v>2</v>
      </c>
      <c r="AQ46" s="33" t="n">
        <f aca="false">IF(AND(N('Hiring plan'!$F$42)&gt;0,AQ$3&gt;='Hiring plan'!$G$42,AQ$3&lt;=IF('Hiring plan'!$H$42="",999,'Hiring plan'!$H$42)),'Hiring plan'!$F$42,0)</f>
        <v>2</v>
      </c>
      <c r="AR46" s="33" t="n">
        <f aca="false">IF(AND(N('Hiring plan'!$F$42)&gt;0,AR$3&gt;='Hiring plan'!$G$42,AR$3&lt;=IF('Hiring plan'!$H$42="",999,'Hiring plan'!$H$42)),'Hiring plan'!$F$42,0)</f>
        <v>2</v>
      </c>
      <c r="AS46" s="33" t="n">
        <f aca="false">IF(AND(N('Hiring plan'!$F$42)&gt;0,AS$3&gt;='Hiring plan'!$G$42,AS$3&lt;=IF('Hiring plan'!$H$42="",999,'Hiring plan'!$H$42)),'Hiring plan'!$F$42,0)</f>
        <v>2</v>
      </c>
      <c r="AT46" s="33" t="n">
        <f aca="false">IF(AND(N('Hiring plan'!$F$42)&gt;0,AT$3&gt;='Hiring plan'!$G$42,AT$3&lt;=IF('Hiring plan'!$H$42="",999,'Hiring plan'!$H$42)),'Hiring plan'!$F$42,0)</f>
        <v>2</v>
      </c>
      <c r="AU46" s="33" t="n">
        <f aca="false">IF(AND(N('Hiring plan'!$F$42)&gt;0,AU$3&gt;='Hiring plan'!$G$42,AU$3&lt;=IF('Hiring plan'!$H$42="",999,'Hiring plan'!$H$42)),'Hiring plan'!$F$42,0)</f>
        <v>2</v>
      </c>
      <c r="AV46" s="33" t="n">
        <f aca="false">IF(AND(N('Hiring plan'!$F$42)&gt;0,AV$3&gt;='Hiring plan'!$G$42,AV$3&lt;=IF('Hiring plan'!$H$42="",999,'Hiring plan'!$H$42)),'Hiring plan'!$F$42,0)</f>
        <v>2</v>
      </c>
      <c r="AW46" s="33" t="n">
        <f aca="false">IF(AND(N('Hiring plan'!$F$42)&gt;0,AW$3&gt;='Hiring plan'!$G$42,AW$3&lt;=IF('Hiring plan'!$H$42="",999,'Hiring plan'!$H$42)),'Hiring plan'!$F$42,0)</f>
        <v>2</v>
      </c>
      <c r="AX46" s="33" t="n">
        <f aca="false">IF(AND(N('Hiring plan'!$F$42)&gt;0,AX$3&gt;='Hiring plan'!$G$42,AX$3&lt;=IF('Hiring plan'!$H$42="",999,'Hiring plan'!$H$42)),'Hiring plan'!$F$42,0)</f>
        <v>2</v>
      </c>
      <c r="AY46" s="33" t="n">
        <f aca="false">IF(AND(N('Hiring plan'!$F$42)&gt;0,AY$3&gt;='Hiring plan'!$G$42,AY$3&lt;=IF('Hiring plan'!$H$42="",999,'Hiring plan'!$H$42)),'Hiring plan'!$F$42,0)</f>
        <v>2</v>
      </c>
      <c r="AZ46" s="33" t="n">
        <f aca="false">IF(AND(N('Hiring plan'!$F$42)&gt;0,AZ$3&gt;='Hiring plan'!$G$42,AZ$3&lt;=IF('Hiring plan'!$H$42="",999,'Hiring plan'!$H$42)),'Hiring plan'!$F$42,0)</f>
        <v>2</v>
      </c>
      <c r="BA46" s="33" t="n">
        <f aca="false">IF(AND(N('Hiring plan'!$F$42)&gt;0,BA$3&gt;='Hiring plan'!$G$42,BA$3&lt;=IF('Hiring plan'!$H$42="",999,'Hiring plan'!$H$42)),'Hiring plan'!$F$42,0)</f>
        <v>2</v>
      </c>
      <c r="BB46" s="33" t="n">
        <f aca="false">IF(AND(N('Hiring plan'!$F$42)&gt;0,BB$3&gt;='Hiring plan'!$G$42,BB$3&lt;=IF('Hiring plan'!$H$42="",999,'Hiring plan'!$H$42)),'Hiring plan'!$F$42,0)</f>
        <v>2</v>
      </c>
      <c r="BC46" s="33" t="n">
        <f aca="false">IF(AND(N('Hiring plan'!$F$42)&gt;0,BC$3&gt;='Hiring plan'!$G$42,BC$3&lt;=IF('Hiring plan'!$H$42="",999,'Hiring plan'!$H$42)),'Hiring plan'!$F$42,0)</f>
        <v>2</v>
      </c>
      <c r="BD46" s="33" t="n">
        <f aca="false">IF(AND(N('Hiring plan'!$F$42)&gt;0,BD$3&gt;='Hiring plan'!$G$42,BD$3&lt;=IF('Hiring plan'!$H$42="",999,'Hiring plan'!$H$42)),'Hiring plan'!$F$42,0)</f>
        <v>2</v>
      </c>
      <c r="BE46" s="33" t="n">
        <f aca="false">IF(AND(N('Hiring plan'!$F$42)&gt;0,BE$3&gt;='Hiring plan'!$G$42,BE$3&lt;=IF('Hiring plan'!$H$42="",999,'Hiring plan'!$H$42)),'Hiring plan'!$F$42,0)</f>
        <v>2</v>
      </c>
      <c r="BF46" s="33" t="n">
        <f aca="false">IF(AND(N('Hiring plan'!$F$42)&gt;0,BF$3&gt;='Hiring plan'!$G$42,BF$3&lt;=IF('Hiring plan'!$H$42="",999,'Hiring plan'!$H$42)),'Hiring plan'!$F$42,0)</f>
        <v>2</v>
      </c>
      <c r="BG46" s="33" t="n">
        <f aca="false">IF(AND(N('Hiring plan'!$F$42)&gt;0,BG$3&gt;='Hiring plan'!$G$42,BG$3&lt;=IF('Hiring plan'!$H$42="",999,'Hiring plan'!$H$42)),'Hiring plan'!$F$42,0)</f>
        <v>2</v>
      </c>
      <c r="BH46" s="33" t="n">
        <f aca="false">IF(AND(N('Hiring plan'!$F$42)&gt;0,BH$3&gt;='Hiring plan'!$G$42,BH$3&lt;=IF('Hiring plan'!$H$42="",999,'Hiring plan'!$H$42)),'Hiring plan'!$F$42,0)</f>
        <v>2</v>
      </c>
      <c r="BI46" s="33" t="n">
        <f aca="false">IF(AND(N('Hiring plan'!$F$42)&gt;0,BI$3&gt;='Hiring plan'!$G$42,BI$3&lt;=IF('Hiring plan'!$H$42="",999,'Hiring plan'!$H$42)),'Hiring plan'!$F$42,0)</f>
        <v>2</v>
      </c>
      <c r="BJ46" s="33" t="n">
        <f aca="false">IF(AND(N('Hiring plan'!$F$42)&gt;0,BJ$3&gt;='Hiring plan'!$G$42,BJ$3&lt;=IF('Hiring plan'!$H$42="",999,'Hiring plan'!$H$42)),'Hiring plan'!$F$42,0)</f>
        <v>2</v>
      </c>
      <c r="BK46" s="33" t="n">
        <f aca="false">IF(AND(N('Hiring plan'!$F$42)&gt;0,BK$3&gt;='Hiring plan'!$G$42,BK$3&lt;=IF('Hiring plan'!$H$42="",999,'Hiring plan'!$H$42)),'Hiring plan'!$F$42,0)</f>
        <v>2</v>
      </c>
      <c r="BL46" s="33" t="n">
        <f aca="false">IF(AND(N('Hiring plan'!$F$42)&gt;0,BL$3&gt;='Hiring plan'!$G$42,BL$3&lt;=IF('Hiring plan'!$H$42="",999,'Hiring plan'!$H$42)),'Hiring plan'!$F$42,0)</f>
        <v>2</v>
      </c>
    </row>
    <row r="47" customFormat="false" ht="15" hidden="false" customHeight="false" outlineLevel="0" collapsed="false">
      <c r="A47" s="12" t="str">
        <f aca="false">IF('Hiring plan'!$C$43="","(spare line 39)",'Hiring plan'!$C$43&amp;" · "&amp;'Hiring plan'!$D$43)</f>
        <v>KYC / onboarding agent · SN</v>
      </c>
      <c r="B47" s="14" t="s">
        <v>222</v>
      </c>
      <c r="D47" s="41" t="n">
        <f aca="false">MAX(E47:BL47)</f>
        <v>2</v>
      </c>
      <c r="E47" s="33" t="n">
        <f aca="false">IF(AND(N('Hiring plan'!$F$43)&gt;0,E$3&gt;='Hiring plan'!$G$43,E$3&lt;=IF('Hiring plan'!$H$43="",999,'Hiring plan'!$H$43)),'Hiring plan'!$F$43,0)</f>
        <v>0</v>
      </c>
      <c r="F47" s="33" t="n">
        <f aca="false">IF(AND(N('Hiring plan'!$F$43)&gt;0,F$3&gt;='Hiring plan'!$G$43,F$3&lt;=IF('Hiring plan'!$H$43="",999,'Hiring plan'!$H$43)),'Hiring plan'!$F$43,0)</f>
        <v>0</v>
      </c>
      <c r="G47" s="33" t="n">
        <f aca="false">IF(AND(N('Hiring plan'!$F$43)&gt;0,G$3&gt;='Hiring plan'!$G$43,G$3&lt;=IF('Hiring plan'!$H$43="",999,'Hiring plan'!$H$43)),'Hiring plan'!$F$43,0)</f>
        <v>0</v>
      </c>
      <c r="H47" s="33" t="n">
        <f aca="false">IF(AND(N('Hiring plan'!$F$43)&gt;0,H$3&gt;='Hiring plan'!$G$43,H$3&lt;=IF('Hiring plan'!$H$43="",999,'Hiring plan'!$H$43)),'Hiring plan'!$F$43,0)</f>
        <v>0</v>
      </c>
      <c r="I47" s="33" t="n">
        <f aca="false">IF(AND(N('Hiring plan'!$F$43)&gt;0,I$3&gt;='Hiring plan'!$G$43,I$3&lt;=IF('Hiring plan'!$H$43="",999,'Hiring plan'!$H$43)),'Hiring plan'!$F$43,0)</f>
        <v>0</v>
      </c>
      <c r="J47" s="33" t="n">
        <f aca="false">IF(AND(N('Hiring plan'!$F$43)&gt;0,J$3&gt;='Hiring plan'!$G$43,J$3&lt;=IF('Hiring plan'!$H$43="",999,'Hiring plan'!$H$43)),'Hiring plan'!$F$43,0)</f>
        <v>0</v>
      </c>
      <c r="K47" s="33" t="n">
        <f aca="false">IF(AND(N('Hiring plan'!$F$43)&gt;0,K$3&gt;='Hiring plan'!$G$43,K$3&lt;=IF('Hiring plan'!$H$43="",999,'Hiring plan'!$H$43)),'Hiring plan'!$F$43,0)</f>
        <v>0</v>
      </c>
      <c r="L47" s="33" t="n">
        <f aca="false">IF(AND(N('Hiring plan'!$F$43)&gt;0,L$3&gt;='Hiring plan'!$G$43,L$3&lt;=IF('Hiring plan'!$H$43="",999,'Hiring plan'!$H$43)),'Hiring plan'!$F$43,0)</f>
        <v>0</v>
      </c>
      <c r="M47" s="33" t="n">
        <f aca="false">IF(AND(N('Hiring plan'!$F$43)&gt;0,M$3&gt;='Hiring plan'!$G$43,M$3&lt;=IF('Hiring plan'!$H$43="",999,'Hiring plan'!$H$43)),'Hiring plan'!$F$43,0)</f>
        <v>0</v>
      </c>
      <c r="N47" s="33" t="n">
        <f aca="false">IF(AND(N('Hiring plan'!$F$43)&gt;0,N$3&gt;='Hiring plan'!$G$43,N$3&lt;=IF('Hiring plan'!$H$43="",999,'Hiring plan'!$H$43)),'Hiring plan'!$F$43,0)</f>
        <v>0</v>
      </c>
      <c r="O47" s="33" t="n">
        <f aca="false">IF(AND(N('Hiring plan'!$F$43)&gt;0,O$3&gt;='Hiring plan'!$G$43,O$3&lt;=IF('Hiring plan'!$H$43="",999,'Hiring plan'!$H$43)),'Hiring plan'!$F$43,0)</f>
        <v>0</v>
      </c>
      <c r="P47" s="33" t="n">
        <f aca="false">IF(AND(N('Hiring plan'!$F$43)&gt;0,P$3&gt;='Hiring plan'!$G$43,P$3&lt;=IF('Hiring plan'!$H$43="",999,'Hiring plan'!$H$43)),'Hiring plan'!$F$43,0)</f>
        <v>0</v>
      </c>
      <c r="Q47" s="33" t="n">
        <f aca="false">IF(AND(N('Hiring plan'!$F$43)&gt;0,Q$3&gt;='Hiring plan'!$G$43,Q$3&lt;=IF('Hiring plan'!$H$43="",999,'Hiring plan'!$H$43)),'Hiring plan'!$F$43,0)</f>
        <v>0</v>
      </c>
      <c r="R47" s="33" t="n">
        <f aca="false">IF(AND(N('Hiring plan'!$F$43)&gt;0,R$3&gt;='Hiring plan'!$G$43,R$3&lt;=IF('Hiring plan'!$H$43="",999,'Hiring plan'!$H$43)),'Hiring plan'!$F$43,0)</f>
        <v>0</v>
      </c>
      <c r="S47" s="33" t="n">
        <f aca="false">IF(AND(N('Hiring plan'!$F$43)&gt;0,S$3&gt;='Hiring plan'!$G$43,S$3&lt;=IF('Hiring plan'!$H$43="",999,'Hiring plan'!$H$43)),'Hiring plan'!$F$43,0)</f>
        <v>0</v>
      </c>
      <c r="T47" s="33" t="n">
        <f aca="false">IF(AND(N('Hiring plan'!$F$43)&gt;0,T$3&gt;='Hiring plan'!$G$43,T$3&lt;=IF('Hiring plan'!$H$43="",999,'Hiring plan'!$H$43)),'Hiring plan'!$F$43,0)</f>
        <v>0</v>
      </c>
      <c r="U47" s="33" t="n">
        <f aca="false">IF(AND(N('Hiring plan'!$F$43)&gt;0,U$3&gt;='Hiring plan'!$G$43,U$3&lt;=IF('Hiring plan'!$H$43="",999,'Hiring plan'!$H$43)),'Hiring plan'!$F$43,0)</f>
        <v>0</v>
      </c>
      <c r="V47" s="33" t="n">
        <f aca="false">IF(AND(N('Hiring plan'!$F$43)&gt;0,V$3&gt;='Hiring plan'!$G$43,V$3&lt;=IF('Hiring plan'!$H$43="",999,'Hiring plan'!$H$43)),'Hiring plan'!$F$43,0)</f>
        <v>0</v>
      </c>
      <c r="W47" s="33" t="n">
        <f aca="false">IF(AND(N('Hiring plan'!$F$43)&gt;0,W$3&gt;='Hiring plan'!$G$43,W$3&lt;=IF('Hiring plan'!$H$43="",999,'Hiring plan'!$H$43)),'Hiring plan'!$F$43,0)</f>
        <v>0</v>
      </c>
      <c r="X47" s="33" t="n">
        <f aca="false">IF(AND(N('Hiring plan'!$F$43)&gt;0,X$3&gt;='Hiring plan'!$G$43,X$3&lt;=IF('Hiring plan'!$H$43="",999,'Hiring plan'!$H$43)),'Hiring plan'!$F$43,0)</f>
        <v>0</v>
      </c>
      <c r="Y47" s="33" t="n">
        <f aca="false">IF(AND(N('Hiring plan'!$F$43)&gt;0,Y$3&gt;='Hiring plan'!$G$43,Y$3&lt;=IF('Hiring plan'!$H$43="",999,'Hiring plan'!$H$43)),'Hiring plan'!$F$43,0)</f>
        <v>0</v>
      </c>
      <c r="Z47" s="33" t="n">
        <f aca="false">IF(AND(N('Hiring plan'!$F$43)&gt;0,Z$3&gt;='Hiring plan'!$G$43,Z$3&lt;=IF('Hiring plan'!$H$43="",999,'Hiring plan'!$H$43)),'Hiring plan'!$F$43,0)</f>
        <v>0</v>
      </c>
      <c r="AA47" s="33" t="n">
        <f aca="false">IF(AND(N('Hiring plan'!$F$43)&gt;0,AA$3&gt;='Hiring plan'!$G$43,AA$3&lt;=IF('Hiring plan'!$H$43="",999,'Hiring plan'!$H$43)),'Hiring plan'!$F$43,0)</f>
        <v>0</v>
      </c>
      <c r="AB47" s="33" t="n">
        <f aca="false">IF(AND(N('Hiring plan'!$F$43)&gt;0,AB$3&gt;='Hiring plan'!$G$43,AB$3&lt;=IF('Hiring plan'!$H$43="",999,'Hiring plan'!$H$43)),'Hiring plan'!$F$43,0)</f>
        <v>0</v>
      </c>
      <c r="AC47" s="33" t="n">
        <f aca="false">IF(AND(N('Hiring plan'!$F$43)&gt;0,AC$3&gt;='Hiring plan'!$G$43,AC$3&lt;=IF('Hiring plan'!$H$43="",999,'Hiring plan'!$H$43)),'Hiring plan'!$F$43,0)</f>
        <v>0</v>
      </c>
      <c r="AD47" s="33" t="n">
        <f aca="false">IF(AND(N('Hiring plan'!$F$43)&gt;0,AD$3&gt;='Hiring plan'!$G$43,AD$3&lt;=IF('Hiring plan'!$H$43="",999,'Hiring plan'!$H$43)),'Hiring plan'!$F$43,0)</f>
        <v>0</v>
      </c>
      <c r="AE47" s="33" t="n">
        <f aca="false">IF(AND(N('Hiring plan'!$F$43)&gt;0,AE$3&gt;='Hiring plan'!$G$43,AE$3&lt;=IF('Hiring plan'!$H$43="",999,'Hiring plan'!$H$43)),'Hiring plan'!$F$43,0)</f>
        <v>0</v>
      </c>
      <c r="AF47" s="33" t="n">
        <f aca="false">IF(AND(N('Hiring plan'!$F$43)&gt;0,AF$3&gt;='Hiring plan'!$G$43,AF$3&lt;=IF('Hiring plan'!$H$43="",999,'Hiring plan'!$H$43)),'Hiring plan'!$F$43,0)</f>
        <v>0</v>
      </c>
      <c r="AG47" s="33" t="n">
        <f aca="false">IF(AND(N('Hiring plan'!$F$43)&gt;0,AG$3&gt;='Hiring plan'!$G$43,AG$3&lt;=IF('Hiring plan'!$H$43="",999,'Hiring plan'!$H$43)),'Hiring plan'!$F$43,0)</f>
        <v>0</v>
      </c>
      <c r="AH47" s="33" t="n">
        <f aca="false">IF(AND(N('Hiring plan'!$F$43)&gt;0,AH$3&gt;='Hiring plan'!$G$43,AH$3&lt;=IF('Hiring plan'!$H$43="",999,'Hiring plan'!$H$43)),'Hiring plan'!$F$43,0)</f>
        <v>0</v>
      </c>
      <c r="AI47" s="33" t="n">
        <f aca="false">IF(AND(N('Hiring plan'!$F$43)&gt;0,AI$3&gt;='Hiring plan'!$G$43,AI$3&lt;=IF('Hiring plan'!$H$43="",999,'Hiring plan'!$H$43)),'Hiring plan'!$F$43,0)</f>
        <v>0</v>
      </c>
      <c r="AJ47" s="33" t="n">
        <f aca="false">IF(AND(N('Hiring plan'!$F$43)&gt;0,AJ$3&gt;='Hiring plan'!$G$43,AJ$3&lt;=IF('Hiring plan'!$H$43="",999,'Hiring plan'!$H$43)),'Hiring plan'!$F$43,0)</f>
        <v>0</v>
      </c>
      <c r="AK47" s="33" t="n">
        <f aca="false">IF(AND(N('Hiring plan'!$F$43)&gt;0,AK$3&gt;='Hiring plan'!$G$43,AK$3&lt;=IF('Hiring plan'!$H$43="",999,'Hiring plan'!$H$43)),'Hiring plan'!$F$43,0)</f>
        <v>0</v>
      </c>
      <c r="AL47" s="33" t="n">
        <f aca="false">IF(AND(N('Hiring plan'!$F$43)&gt;0,AL$3&gt;='Hiring plan'!$G$43,AL$3&lt;=IF('Hiring plan'!$H$43="",999,'Hiring plan'!$H$43)),'Hiring plan'!$F$43,0)</f>
        <v>0</v>
      </c>
      <c r="AM47" s="33" t="n">
        <f aca="false">IF(AND(N('Hiring plan'!$F$43)&gt;0,AM$3&gt;='Hiring plan'!$G$43,AM$3&lt;=IF('Hiring plan'!$H$43="",999,'Hiring plan'!$H$43)),'Hiring plan'!$F$43,0)</f>
        <v>0</v>
      </c>
      <c r="AN47" s="33" t="n">
        <f aca="false">IF(AND(N('Hiring plan'!$F$43)&gt;0,AN$3&gt;='Hiring plan'!$G$43,AN$3&lt;=IF('Hiring plan'!$H$43="",999,'Hiring plan'!$H$43)),'Hiring plan'!$F$43,0)</f>
        <v>0</v>
      </c>
      <c r="AO47" s="33" t="n">
        <f aca="false">IF(AND(N('Hiring plan'!$F$43)&gt;0,AO$3&gt;='Hiring plan'!$G$43,AO$3&lt;=IF('Hiring plan'!$H$43="",999,'Hiring plan'!$H$43)),'Hiring plan'!$F$43,0)</f>
        <v>0</v>
      </c>
      <c r="AP47" s="33" t="n">
        <f aca="false">IF(AND(N('Hiring plan'!$F$43)&gt;0,AP$3&gt;='Hiring plan'!$G$43,AP$3&lt;=IF('Hiring plan'!$H$43="",999,'Hiring plan'!$H$43)),'Hiring plan'!$F$43,0)</f>
        <v>0</v>
      </c>
      <c r="AQ47" s="33" t="n">
        <f aca="false">IF(AND(N('Hiring plan'!$F$43)&gt;0,AQ$3&gt;='Hiring plan'!$G$43,AQ$3&lt;=IF('Hiring plan'!$H$43="",999,'Hiring plan'!$H$43)),'Hiring plan'!$F$43,0)</f>
        <v>0</v>
      </c>
      <c r="AR47" s="33" t="n">
        <f aca="false">IF(AND(N('Hiring plan'!$F$43)&gt;0,AR$3&gt;='Hiring plan'!$G$43,AR$3&lt;=IF('Hiring plan'!$H$43="",999,'Hiring plan'!$H$43)),'Hiring plan'!$F$43,0)</f>
        <v>0</v>
      </c>
      <c r="AS47" s="33" t="n">
        <f aca="false">IF(AND(N('Hiring plan'!$F$43)&gt;0,AS$3&gt;='Hiring plan'!$G$43,AS$3&lt;=IF('Hiring plan'!$H$43="",999,'Hiring plan'!$H$43)),'Hiring plan'!$F$43,0)</f>
        <v>0</v>
      </c>
      <c r="AT47" s="33" t="n">
        <f aca="false">IF(AND(N('Hiring plan'!$F$43)&gt;0,AT$3&gt;='Hiring plan'!$G$43,AT$3&lt;=IF('Hiring plan'!$H$43="",999,'Hiring plan'!$H$43)),'Hiring plan'!$F$43,0)</f>
        <v>0</v>
      </c>
      <c r="AU47" s="33" t="n">
        <f aca="false">IF(AND(N('Hiring plan'!$F$43)&gt;0,AU$3&gt;='Hiring plan'!$G$43,AU$3&lt;=IF('Hiring plan'!$H$43="",999,'Hiring plan'!$H$43)),'Hiring plan'!$F$43,0)</f>
        <v>2</v>
      </c>
      <c r="AV47" s="33" t="n">
        <f aca="false">IF(AND(N('Hiring plan'!$F$43)&gt;0,AV$3&gt;='Hiring plan'!$G$43,AV$3&lt;=IF('Hiring plan'!$H$43="",999,'Hiring plan'!$H$43)),'Hiring plan'!$F$43,0)</f>
        <v>2</v>
      </c>
      <c r="AW47" s="33" t="n">
        <f aca="false">IF(AND(N('Hiring plan'!$F$43)&gt;0,AW$3&gt;='Hiring plan'!$G$43,AW$3&lt;=IF('Hiring plan'!$H$43="",999,'Hiring plan'!$H$43)),'Hiring plan'!$F$43,0)</f>
        <v>2</v>
      </c>
      <c r="AX47" s="33" t="n">
        <f aca="false">IF(AND(N('Hiring plan'!$F$43)&gt;0,AX$3&gt;='Hiring plan'!$G$43,AX$3&lt;=IF('Hiring plan'!$H$43="",999,'Hiring plan'!$H$43)),'Hiring plan'!$F$43,0)</f>
        <v>2</v>
      </c>
      <c r="AY47" s="33" t="n">
        <f aca="false">IF(AND(N('Hiring plan'!$F$43)&gt;0,AY$3&gt;='Hiring plan'!$G$43,AY$3&lt;=IF('Hiring plan'!$H$43="",999,'Hiring plan'!$H$43)),'Hiring plan'!$F$43,0)</f>
        <v>2</v>
      </c>
      <c r="AZ47" s="33" t="n">
        <f aca="false">IF(AND(N('Hiring plan'!$F$43)&gt;0,AZ$3&gt;='Hiring plan'!$G$43,AZ$3&lt;=IF('Hiring plan'!$H$43="",999,'Hiring plan'!$H$43)),'Hiring plan'!$F$43,0)</f>
        <v>2</v>
      </c>
      <c r="BA47" s="33" t="n">
        <f aca="false">IF(AND(N('Hiring plan'!$F$43)&gt;0,BA$3&gt;='Hiring plan'!$G$43,BA$3&lt;=IF('Hiring plan'!$H$43="",999,'Hiring plan'!$H$43)),'Hiring plan'!$F$43,0)</f>
        <v>2</v>
      </c>
      <c r="BB47" s="33" t="n">
        <f aca="false">IF(AND(N('Hiring plan'!$F$43)&gt;0,BB$3&gt;='Hiring plan'!$G$43,BB$3&lt;=IF('Hiring plan'!$H$43="",999,'Hiring plan'!$H$43)),'Hiring plan'!$F$43,0)</f>
        <v>2</v>
      </c>
      <c r="BC47" s="33" t="n">
        <f aca="false">IF(AND(N('Hiring plan'!$F$43)&gt;0,BC$3&gt;='Hiring plan'!$G$43,BC$3&lt;=IF('Hiring plan'!$H$43="",999,'Hiring plan'!$H$43)),'Hiring plan'!$F$43,0)</f>
        <v>2</v>
      </c>
      <c r="BD47" s="33" t="n">
        <f aca="false">IF(AND(N('Hiring plan'!$F$43)&gt;0,BD$3&gt;='Hiring plan'!$G$43,BD$3&lt;=IF('Hiring plan'!$H$43="",999,'Hiring plan'!$H$43)),'Hiring plan'!$F$43,0)</f>
        <v>2</v>
      </c>
      <c r="BE47" s="33" t="n">
        <f aca="false">IF(AND(N('Hiring plan'!$F$43)&gt;0,BE$3&gt;='Hiring plan'!$G$43,BE$3&lt;=IF('Hiring plan'!$H$43="",999,'Hiring plan'!$H$43)),'Hiring plan'!$F$43,0)</f>
        <v>2</v>
      </c>
      <c r="BF47" s="33" t="n">
        <f aca="false">IF(AND(N('Hiring plan'!$F$43)&gt;0,BF$3&gt;='Hiring plan'!$G$43,BF$3&lt;=IF('Hiring plan'!$H$43="",999,'Hiring plan'!$H$43)),'Hiring plan'!$F$43,0)</f>
        <v>2</v>
      </c>
      <c r="BG47" s="33" t="n">
        <f aca="false">IF(AND(N('Hiring plan'!$F$43)&gt;0,BG$3&gt;='Hiring plan'!$G$43,BG$3&lt;=IF('Hiring plan'!$H$43="",999,'Hiring plan'!$H$43)),'Hiring plan'!$F$43,0)</f>
        <v>2</v>
      </c>
      <c r="BH47" s="33" t="n">
        <f aca="false">IF(AND(N('Hiring plan'!$F$43)&gt;0,BH$3&gt;='Hiring plan'!$G$43,BH$3&lt;=IF('Hiring plan'!$H$43="",999,'Hiring plan'!$H$43)),'Hiring plan'!$F$43,0)</f>
        <v>2</v>
      </c>
      <c r="BI47" s="33" t="n">
        <f aca="false">IF(AND(N('Hiring plan'!$F$43)&gt;0,BI$3&gt;='Hiring plan'!$G$43,BI$3&lt;=IF('Hiring plan'!$H$43="",999,'Hiring plan'!$H$43)),'Hiring plan'!$F$43,0)</f>
        <v>2</v>
      </c>
      <c r="BJ47" s="33" t="n">
        <f aca="false">IF(AND(N('Hiring plan'!$F$43)&gt;0,BJ$3&gt;='Hiring plan'!$G$43,BJ$3&lt;=IF('Hiring plan'!$H$43="",999,'Hiring plan'!$H$43)),'Hiring plan'!$F$43,0)</f>
        <v>2</v>
      </c>
      <c r="BK47" s="33" t="n">
        <f aca="false">IF(AND(N('Hiring plan'!$F$43)&gt;0,BK$3&gt;='Hiring plan'!$G$43,BK$3&lt;=IF('Hiring plan'!$H$43="",999,'Hiring plan'!$H$43)),'Hiring plan'!$F$43,0)</f>
        <v>2</v>
      </c>
      <c r="BL47" s="33" t="n">
        <f aca="false">IF(AND(N('Hiring plan'!$F$43)&gt;0,BL$3&gt;='Hiring plan'!$G$43,BL$3&lt;=IF('Hiring plan'!$H$43="",999,'Hiring plan'!$H$43)),'Hiring plan'!$F$43,0)</f>
        <v>2</v>
      </c>
    </row>
    <row r="48" customFormat="false" ht="15" hidden="false" customHeight="false" outlineLevel="0" collapsed="false">
      <c r="A48" s="12" t="str">
        <f aca="false">IF('Hiring plan'!$C$44="","(spare line 40)",'Hiring plan'!$C$44&amp;" · "&amp;'Hiring plan'!$D$44)</f>
        <v>Customer support agent · SN</v>
      </c>
      <c r="B48" s="14" t="s">
        <v>222</v>
      </c>
      <c r="D48" s="41" t="n">
        <f aca="false">MAX(E48:BL48)</f>
        <v>3</v>
      </c>
      <c r="E48" s="33" t="n">
        <f aca="false">IF(AND(N('Hiring plan'!$F$44)&gt;0,E$3&gt;='Hiring plan'!$G$44,E$3&lt;=IF('Hiring plan'!$H$44="",999,'Hiring plan'!$H$44)),'Hiring plan'!$F$44,0)</f>
        <v>0</v>
      </c>
      <c r="F48" s="33" t="n">
        <f aca="false">IF(AND(N('Hiring plan'!$F$44)&gt;0,F$3&gt;='Hiring plan'!$G$44,F$3&lt;=IF('Hiring plan'!$H$44="",999,'Hiring plan'!$H$44)),'Hiring plan'!$F$44,0)</f>
        <v>0</v>
      </c>
      <c r="G48" s="33" t="n">
        <f aca="false">IF(AND(N('Hiring plan'!$F$44)&gt;0,G$3&gt;='Hiring plan'!$G$44,G$3&lt;=IF('Hiring plan'!$H$44="",999,'Hiring plan'!$H$44)),'Hiring plan'!$F$44,0)</f>
        <v>0</v>
      </c>
      <c r="H48" s="33" t="n">
        <f aca="false">IF(AND(N('Hiring plan'!$F$44)&gt;0,H$3&gt;='Hiring plan'!$G$44,H$3&lt;=IF('Hiring plan'!$H$44="",999,'Hiring plan'!$H$44)),'Hiring plan'!$F$44,0)</f>
        <v>0</v>
      </c>
      <c r="I48" s="33" t="n">
        <f aca="false">IF(AND(N('Hiring plan'!$F$44)&gt;0,I$3&gt;='Hiring plan'!$G$44,I$3&lt;=IF('Hiring plan'!$H$44="",999,'Hiring plan'!$H$44)),'Hiring plan'!$F$44,0)</f>
        <v>0</v>
      </c>
      <c r="J48" s="33" t="n">
        <f aca="false">IF(AND(N('Hiring plan'!$F$44)&gt;0,J$3&gt;='Hiring plan'!$G$44,J$3&lt;=IF('Hiring plan'!$H$44="",999,'Hiring plan'!$H$44)),'Hiring plan'!$F$44,0)</f>
        <v>0</v>
      </c>
      <c r="K48" s="33" t="n">
        <f aca="false">IF(AND(N('Hiring plan'!$F$44)&gt;0,K$3&gt;='Hiring plan'!$G$44,K$3&lt;=IF('Hiring plan'!$H$44="",999,'Hiring plan'!$H$44)),'Hiring plan'!$F$44,0)</f>
        <v>0</v>
      </c>
      <c r="L48" s="33" t="n">
        <f aca="false">IF(AND(N('Hiring plan'!$F$44)&gt;0,L$3&gt;='Hiring plan'!$G$44,L$3&lt;=IF('Hiring plan'!$H$44="",999,'Hiring plan'!$H$44)),'Hiring plan'!$F$44,0)</f>
        <v>0</v>
      </c>
      <c r="M48" s="33" t="n">
        <f aca="false">IF(AND(N('Hiring plan'!$F$44)&gt;0,M$3&gt;='Hiring plan'!$G$44,M$3&lt;=IF('Hiring plan'!$H$44="",999,'Hiring plan'!$H$44)),'Hiring plan'!$F$44,0)</f>
        <v>0</v>
      </c>
      <c r="N48" s="33" t="n">
        <f aca="false">IF(AND(N('Hiring plan'!$F$44)&gt;0,N$3&gt;='Hiring plan'!$G$44,N$3&lt;=IF('Hiring plan'!$H$44="",999,'Hiring plan'!$H$44)),'Hiring plan'!$F$44,0)</f>
        <v>0</v>
      </c>
      <c r="O48" s="33" t="n">
        <f aca="false">IF(AND(N('Hiring plan'!$F$44)&gt;0,O$3&gt;='Hiring plan'!$G$44,O$3&lt;=IF('Hiring plan'!$H$44="",999,'Hiring plan'!$H$44)),'Hiring plan'!$F$44,0)</f>
        <v>0</v>
      </c>
      <c r="P48" s="33" t="n">
        <f aca="false">IF(AND(N('Hiring plan'!$F$44)&gt;0,P$3&gt;='Hiring plan'!$G$44,P$3&lt;=IF('Hiring plan'!$H$44="",999,'Hiring plan'!$H$44)),'Hiring plan'!$F$44,0)</f>
        <v>0</v>
      </c>
      <c r="Q48" s="33" t="n">
        <f aca="false">IF(AND(N('Hiring plan'!$F$44)&gt;0,Q$3&gt;='Hiring plan'!$G$44,Q$3&lt;=IF('Hiring plan'!$H$44="",999,'Hiring plan'!$H$44)),'Hiring plan'!$F$44,0)</f>
        <v>0</v>
      </c>
      <c r="R48" s="33" t="n">
        <f aca="false">IF(AND(N('Hiring plan'!$F$44)&gt;0,R$3&gt;='Hiring plan'!$G$44,R$3&lt;=IF('Hiring plan'!$H$44="",999,'Hiring plan'!$H$44)),'Hiring plan'!$F$44,0)</f>
        <v>0</v>
      </c>
      <c r="S48" s="33" t="n">
        <f aca="false">IF(AND(N('Hiring plan'!$F$44)&gt;0,S$3&gt;='Hiring plan'!$G$44,S$3&lt;=IF('Hiring plan'!$H$44="",999,'Hiring plan'!$H$44)),'Hiring plan'!$F$44,0)</f>
        <v>0</v>
      </c>
      <c r="T48" s="33" t="n">
        <f aca="false">IF(AND(N('Hiring plan'!$F$44)&gt;0,T$3&gt;='Hiring plan'!$G$44,T$3&lt;=IF('Hiring plan'!$H$44="",999,'Hiring plan'!$H$44)),'Hiring plan'!$F$44,0)</f>
        <v>0</v>
      </c>
      <c r="U48" s="33" t="n">
        <f aca="false">IF(AND(N('Hiring plan'!$F$44)&gt;0,U$3&gt;='Hiring plan'!$G$44,U$3&lt;=IF('Hiring plan'!$H$44="",999,'Hiring plan'!$H$44)),'Hiring plan'!$F$44,0)</f>
        <v>0</v>
      </c>
      <c r="V48" s="33" t="n">
        <f aca="false">IF(AND(N('Hiring plan'!$F$44)&gt;0,V$3&gt;='Hiring plan'!$G$44,V$3&lt;=IF('Hiring plan'!$H$44="",999,'Hiring plan'!$H$44)),'Hiring plan'!$F$44,0)</f>
        <v>0</v>
      </c>
      <c r="W48" s="33" t="n">
        <f aca="false">IF(AND(N('Hiring plan'!$F$44)&gt;0,W$3&gt;='Hiring plan'!$G$44,W$3&lt;=IF('Hiring plan'!$H$44="",999,'Hiring plan'!$H$44)),'Hiring plan'!$F$44,0)</f>
        <v>0</v>
      </c>
      <c r="X48" s="33" t="n">
        <f aca="false">IF(AND(N('Hiring plan'!$F$44)&gt;0,X$3&gt;='Hiring plan'!$G$44,X$3&lt;=IF('Hiring plan'!$H$44="",999,'Hiring plan'!$H$44)),'Hiring plan'!$F$44,0)</f>
        <v>0</v>
      </c>
      <c r="Y48" s="33" t="n">
        <f aca="false">IF(AND(N('Hiring plan'!$F$44)&gt;0,Y$3&gt;='Hiring plan'!$G$44,Y$3&lt;=IF('Hiring plan'!$H$44="",999,'Hiring plan'!$H$44)),'Hiring plan'!$F$44,0)</f>
        <v>0</v>
      </c>
      <c r="Z48" s="33" t="n">
        <f aca="false">IF(AND(N('Hiring plan'!$F$44)&gt;0,Z$3&gt;='Hiring plan'!$G$44,Z$3&lt;=IF('Hiring plan'!$H$44="",999,'Hiring plan'!$H$44)),'Hiring plan'!$F$44,0)</f>
        <v>0</v>
      </c>
      <c r="AA48" s="33" t="n">
        <f aca="false">IF(AND(N('Hiring plan'!$F$44)&gt;0,AA$3&gt;='Hiring plan'!$G$44,AA$3&lt;=IF('Hiring plan'!$H$44="",999,'Hiring plan'!$H$44)),'Hiring plan'!$F$44,0)</f>
        <v>0</v>
      </c>
      <c r="AB48" s="33" t="n">
        <f aca="false">IF(AND(N('Hiring plan'!$F$44)&gt;0,AB$3&gt;='Hiring plan'!$G$44,AB$3&lt;=IF('Hiring plan'!$H$44="",999,'Hiring plan'!$H$44)),'Hiring plan'!$F$44,0)</f>
        <v>0</v>
      </c>
      <c r="AC48" s="33" t="n">
        <f aca="false">IF(AND(N('Hiring plan'!$F$44)&gt;0,AC$3&gt;='Hiring plan'!$G$44,AC$3&lt;=IF('Hiring plan'!$H$44="",999,'Hiring plan'!$H$44)),'Hiring plan'!$F$44,0)</f>
        <v>0</v>
      </c>
      <c r="AD48" s="33" t="n">
        <f aca="false">IF(AND(N('Hiring plan'!$F$44)&gt;0,AD$3&gt;='Hiring plan'!$G$44,AD$3&lt;=IF('Hiring plan'!$H$44="",999,'Hiring plan'!$H$44)),'Hiring plan'!$F$44,0)</f>
        <v>0</v>
      </c>
      <c r="AE48" s="33" t="n">
        <f aca="false">IF(AND(N('Hiring plan'!$F$44)&gt;0,AE$3&gt;='Hiring plan'!$G$44,AE$3&lt;=IF('Hiring plan'!$H$44="",999,'Hiring plan'!$H$44)),'Hiring plan'!$F$44,0)</f>
        <v>0</v>
      </c>
      <c r="AF48" s="33" t="n">
        <f aca="false">IF(AND(N('Hiring plan'!$F$44)&gt;0,AF$3&gt;='Hiring plan'!$G$44,AF$3&lt;=IF('Hiring plan'!$H$44="",999,'Hiring plan'!$H$44)),'Hiring plan'!$F$44,0)</f>
        <v>0</v>
      </c>
      <c r="AG48" s="33" t="n">
        <f aca="false">IF(AND(N('Hiring plan'!$F$44)&gt;0,AG$3&gt;='Hiring plan'!$G$44,AG$3&lt;=IF('Hiring plan'!$H$44="",999,'Hiring plan'!$H$44)),'Hiring plan'!$F$44,0)</f>
        <v>0</v>
      </c>
      <c r="AH48" s="33" t="n">
        <f aca="false">IF(AND(N('Hiring plan'!$F$44)&gt;0,AH$3&gt;='Hiring plan'!$G$44,AH$3&lt;=IF('Hiring plan'!$H$44="",999,'Hiring plan'!$H$44)),'Hiring plan'!$F$44,0)</f>
        <v>0</v>
      </c>
      <c r="AI48" s="33" t="n">
        <f aca="false">IF(AND(N('Hiring plan'!$F$44)&gt;0,AI$3&gt;='Hiring plan'!$G$44,AI$3&lt;=IF('Hiring plan'!$H$44="",999,'Hiring plan'!$H$44)),'Hiring plan'!$F$44,0)</f>
        <v>0</v>
      </c>
      <c r="AJ48" s="33" t="n">
        <f aca="false">IF(AND(N('Hiring plan'!$F$44)&gt;0,AJ$3&gt;='Hiring plan'!$G$44,AJ$3&lt;=IF('Hiring plan'!$H$44="",999,'Hiring plan'!$H$44)),'Hiring plan'!$F$44,0)</f>
        <v>0</v>
      </c>
      <c r="AK48" s="33" t="n">
        <f aca="false">IF(AND(N('Hiring plan'!$F$44)&gt;0,AK$3&gt;='Hiring plan'!$G$44,AK$3&lt;=IF('Hiring plan'!$H$44="",999,'Hiring plan'!$H$44)),'Hiring plan'!$F$44,0)</f>
        <v>0</v>
      </c>
      <c r="AL48" s="33" t="n">
        <f aca="false">IF(AND(N('Hiring plan'!$F$44)&gt;0,AL$3&gt;='Hiring plan'!$G$44,AL$3&lt;=IF('Hiring plan'!$H$44="",999,'Hiring plan'!$H$44)),'Hiring plan'!$F$44,0)</f>
        <v>0</v>
      </c>
      <c r="AM48" s="33" t="n">
        <f aca="false">IF(AND(N('Hiring plan'!$F$44)&gt;0,AM$3&gt;='Hiring plan'!$G$44,AM$3&lt;=IF('Hiring plan'!$H$44="",999,'Hiring plan'!$H$44)),'Hiring plan'!$F$44,0)</f>
        <v>0</v>
      </c>
      <c r="AN48" s="33" t="n">
        <f aca="false">IF(AND(N('Hiring plan'!$F$44)&gt;0,AN$3&gt;='Hiring plan'!$G$44,AN$3&lt;=IF('Hiring plan'!$H$44="",999,'Hiring plan'!$H$44)),'Hiring plan'!$F$44,0)</f>
        <v>0</v>
      </c>
      <c r="AO48" s="33" t="n">
        <f aca="false">IF(AND(N('Hiring plan'!$F$44)&gt;0,AO$3&gt;='Hiring plan'!$G$44,AO$3&lt;=IF('Hiring plan'!$H$44="",999,'Hiring plan'!$H$44)),'Hiring plan'!$F$44,0)</f>
        <v>0</v>
      </c>
      <c r="AP48" s="33" t="n">
        <f aca="false">IF(AND(N('Hiring plan'!$F$44)&gt;0,AP$3&gt;='Hiring plan'!$G$44,AP$3&lt;=IF('Hiring plan'!$H$44="",999,'Hiring plan'!$H$44)),'Hiring plan'!$F$44,0)</f>
        <v>0</v>
      </c>
      <c r="AQ48" s="33" t="n">
        <f aca="false">IF(AND(N('Hiring plan'!$F$44)&gt;0,AQ$3&gt;='Hiring plan'!$G$44,AQ$3&lt;=IF('Hiring plan'!$H$44="",999,'Hiring plan'!$H$44)),'Hiring plan'!$F$44,0)</f>
        <v>0</v>
      </c>
      <c r="AR48" s="33" t="n">
        <f aca="false">IF(AND(N('Hiring plan'!$F$44)&gt;0,AR$3&gt;='Hiring plan'!$G$44,AR$3&lt;=IF('Hiring plan'!$H$44="",999,'Hiring plan'!$H$44)),'Hiring plan'!$F$44,0)</f>
        <v>0</v>
      </c>
      <c r="AS48" s="33" t="n">
        <f aca="false">IF(AND(N('Hiring plan'!$F$44)&gt;0,AS$3&gt;='Hiring plan'!$G$44,AS$3&lt;=IF('Hiring plan'!$H$44="",999,'Hiring plan'!$H$44)),'Hiring plan'!$F$44,0)</f>
        <v>0</v>
      </c>
      <c r="AT48" s="33" t="n">
        <f aca="false">IF(AND(N('Hiring plan'!$F$44)&gt;0,AT$3&gt;='Hiring plan'!$G$44,AT$3&lt;=IF('Hiring plan'!$H$44="",999,'Hiring plan'!$H$44)),'Hiring plan'!$F$44,0)</f>
        <v>0</v>
      </c>
      <c r="AU48" s="33" t="n">
        <f aca="false">IF(AND(N('Hiring plan'!$F$44)&gt;0,AU$3&gt;='Hiring plan'!$G$44,AU$3&lt;=IF('Hiring plan'!$H$44="",999,'Hiring plan'!$H$44)),'Hiring plan'!$F$44,0)</f>
        <v>3</v>
      </c>
      <c r="AV48" s="33" t="n">
        <f aca="false">IF(AND(N('Hiring plan'!$F$44)&gt;0,AV$3&gt;='Hiring plan'!$G$44,AV$3&lt;=IF('Hiring plan'!$H$44="",999,'Hiring plan'!$H$44)),'Hiring plan'!$F$44,0)</f>
        <v>3</v>
      </c>
      <c r="AW48" s="33" t="n">
        <f aca="false">IF(AND(N('Hiring plan'!$F$44)&gt;0,AW$3&gt;='Hiring plan'!$G$44,AW$3&lt;=IF('Hiring plan'!$H$44="",999,'Hiring plan'!$H$44)),'Hiring plan'!$F$44,0)</f>
        <v>3</v>
      </c>
      <c r="AX48" s="33" t="n">
        <f aca="false">IF(AND(N('Hiring plan'!$F$44)&gt;0,AX$3&gt;='Hiring plan'!$G$44,AX$3&lt;=IF('Hiring plan'!$H$44="",999,'Hiring plan'!$H$44)),'Hiring plan'!$F$44,0)</f>
        <v>3</v>
      </c>
      <c r="AY48" s="33" t="n">
        <f aca="false">IF(AND(N('Hiring plan'!$F$44)&gt;0,AY$3&gt;='Hiring plan'!$G$44,AY$3&lt;=IF('Hiring plan'!$H$44="",999,'Hiring plan'!$H$44)),'Hiring plan'!$F$44,0)</f>
        <v>3</v>
      </c>
      <c r="AZ48" s="33" t="n">
        <f aca="false">IF(AND(N('Hiring plan'!$F$44)&gt;0,AZ$3&gt;='Hiring plan'!$G$44,AZ$3&lt;=IF('Hiring plan'!$H$44="",999,'Hiring plan'!$H$44)),'Hiring plan'!$F$44,0)</f>
        <v>3</v>
      </c>
      <c r="BA48" s="33" t="n">
        <f aca="false">IF(AND(N('Hiring plan'!$F$44)&gt;0,BA$3&gt;='Hiring plan'!$G$44,BA$3&lt;=IF('Hiring plan'!$H$44="",999,'Hiring plan'!$H$44)),'Hiring plan'!$F$44,0)</f>
        <v>3</v>
      </c>
      <c r="BB48" s="33" t="n">
        <f aca="false">IF(AND(N('Hiring plan'!$F$44)&gt;0,BB$3&gt;='Hiring plan'!$G$44,BB$3&lt;=IF('Hiring plan'!$H$44="",999,'Hiring plan'!$H$44)),'Hiring plan'!$F$44,0)</f>
        <v>3</v>
      </c>
      <c r="BC48" s="33" t="n">
        <f aca="false">IF(AND(N('Hiring plan'!$F$44)&gt;0,BC$3&gt;='Hiring plan'!$G$44,BC$3&lt;=IF('Hiring plan'!$H$44="",999,'Hiring plan'!$H$44)),'Hiring plan'!$F$44,0)</f>
        <v>3</v>
      </c>
      <c r="BD48" s="33" t="n">
        <f aca="false">IF(AND(N('Hiring plan'!$F$44)&gt;0,BD$3&gt;='Hiring plan'!$G$44,BD$3&lt;=IF('Hiring plan'!$H$44="",999,'Hiring plan'!$H$44)),'Hiring plan'!$F$44,0)</f>
        <v>3</v>
      </c>
      <c r="BE48" s="33" t="n">
        <f aca="false">IF(AND(N('Hiring plan'!$F$44)&gt;0,BE$3&gt;='Hiring plan'!$G$44,BE$3&lt;=IF('Hiring plan'!$H$44="",999,'Hiring plan'!$H$44)),'Hiring plan'!$F$44,0)</f>
        <v>3</v>
      </c>
      <c r="BF48" s="33" t="n">
        <f aca="false">IF(AND(N('Hiring plan'!$F$44)&gt;0,BF$3&gt;='Hiring plan'!$G$44,BF$3&lt;=IF('Hiring plan'!$H$44="",999,'Hiring plan'!$H$44)),'Hiring plan'!$F$44,0)</f>
        <v>3</v>
      </c>
      <c r="BG48" s="33" t="n">
        <f aca="false">IF(AND(N('Hiring plan'!$F$44)&gt;0,BG$3&gt;='Hiring plan'!$G$44,BG$3&lt;=IF('Hiring plan'!$H$44="",999,'Hiring plan'!$H$44)),'Hiring plan'!$F$44,0)</f>
        <v>3</v>
      </c>
      <c r="BH48" s="33" t="n">
        <f aca="false">IF(AND(N('Hiring plan'!$F$44)&gt;0,BH$3&gt;='Hiring plan'!$G$44,BH$3&lt;=IF('Hiring plan'!$H$44="",999,'Hiring plan'!$H$44)),'Hiring plan'!$F$44,0)</f>
        <v>3</v>
      </c>
      <c r="BI48" s="33" t="n">
        <f aca="false">IF(AND(N('Hiring plan'!$F$44)&gt;0,BI$3&gt;='Hiring plan'!$G$44,BI$3&lt;=IF('Hiring plan'!$H$44="",999,'Hiring plan'!$H$44)),'Hiring plan'!$F$44,0)</f>
        <v>3</v>
      </c>
      <c r="BJ48" s="33" t="n">
        <f aca="false">IF(AND(N('Hiring plan'!$F$44)&gt;0,BJ$3&gt;='Hiring plan'!$G$44,BJ$3&lt;=IF('Hiring plan'!$H$44="",999,'Hiring plan'!$H$44)),'Hiring plan'!$F$44,0)</f>
        <v>3</v>
      </c>
      <c r="BK48" s="33" t="n">
        <f aca="false">IF(AND(N('Hiring plan'!$F$44)&gt;0,BK$3&gt;='Hiring plan'!$G$44,BK$3&lt;=IF('Hiring plan'!$H$44="",999,'Hiring plan'!$H$44)),'Hiring plan'!$F$44,0)</f>
        <v>3</v>
      </c>
      <c r="BL48" s="33" t="n">
        <f aca="false">IF(AND(N('Hiring plan'!$F$44)&gt;0,BL$3&gt;='Hiring plan'!$G$44,BL$3&lt;=IF('Hiring plan'!$H$44="",999,'Hiring plan'!$H$44)),'Hiring plan'!$F$44,0)</f>
        <v>3</v>
      </c>
    </row>
    <row r="49" customFormat="false" ht="15" hidden="false" customHeight="false" outlineLevel="0" collapsed="false">
      <c r="A49" s="12" t="str">
        <f aca="false">IF('Hiring plan'!$C$45="","(spare line 41)",'Hiring plan'!$C$45&amp;" · "&amp;'Hiring plan'!$D$45)</f>
        <v>Head of sales (incl. 25% bonus) · SN</v>
      </c>
      <c r="B49" s="14" t="s">
        <v>222</v>
      </c>
      <c r="D49" s="41" t="n">
        <f aca="false">MAX(E49:BL49)</f>
        <v>1</v>
      </c>
      <c r="E49" s="33" t="n">
        <f aca="false">IF(AND(N('Hiring plan'!$F$45)&gt;0,E$3&gt;='Hiring plan'!$G$45,E$3&lt;=IF('Hiring plan'!$H$45="",999,'Hiring plan'!$H$45)),'Hiring plan'!$F$45,0)</f>
        <v>0</v>
      </c>
      <c r="F49" s="33" t="n">
        <f aca="false">IF(AND(N('Hiring plan'!$F$45)&gt;0,F$3&gt;='Hiring plan'!$G$45,F$3&lt;=IF('Hiring plan'!$H$45="",999,'Hiring plan'!$H$45)),'Hiring plan'!$F$45,0)</f>
        <v>1</v>
      </c>
      <c r="G49" s="33" t="n">
        <f aca="false">IF(AND(N('Hiring plan'!$F$45)&gt;0,G$3&gt;='Hiring plan'!$G$45,G$3&lt;=IF('Hiring plan'!$H$45="",999,'Hiring plan'!$H$45)),'Hiring plan'!$F$45,0)</f>
        <v>1</v>
      </c>
      <c r="H49" s="33" t="n">
        <f aca="false">IF(AND(N('Hiring plan'!$F$45)&gt;0,H$3&gt;='Hiring plan'!$G$45,H$3&lt;=IF('Hiring plan'!$H$45="",999,'Hiring plan'!$H$45)),'Hiring plan'!$F$45,0)</f>
        <v>1</v>
      </c>
      <c r="I49" s="33" t="n">
        <f aca="false">IF(AND(N('Hiring plan'!$F$45)&gt;0,I$3&gt;='Hiring plan'!$G$45,I$3&lt;=IF('Hiring plan'!$H$45="",999,'Hiring plan'!$H$45)),'Hiring plan'!$F$45,0)</f>
        <v>1</v>
      </c>
      <c r="J49" s="33" t="n">
        <f aca="false">IF(AND(N('Hiring plan'!$F$45)&gt;0,J$3&gt;='Hiring plan'!$G$45,J$3&lt;=IF('Hiring plan'!$H$45="",999,'Hiring plan'!$H$45)),'Hiring plan'!$F$45,0)</f>
        <v>1</v>
      </c>
      <c r="K49" s="33" t="n">
        <f aca="false">IF(AND(N('Hiring plan'!$F$45)&gt;0,K$3&gt;='Hiring plan'!$G$45,K$3&lt;=IF('Hiring plan'!$H$45="",999,'Hiring plan'!$H$45)),'Hiring plan'!$F$45,0)</f>
        <v>1</v>
      </c>
      <c r="L49" s="33" t="n">
        <f aca="false">IF(AND(N('Hiring plan'!$F$45)&gt;0,L$3&gt;='Hiring plan'!$G$45,L$3&lt;=IF('Hiring plan'!$H$45="",999,'Hiring plan'!$H$45)),'Hiring plan'!$F$45,0)</f>
        <v>1</v>
      </c>
      <c r="M49" s="33" t="n">
        <f aca="false">IF(AND(N('Hiring plan'!$F$45)&gt;0,M$3&gt;='Hiring plan'!$G$45,M$3&lt;=IF('Hiring plan'!$H$45="",999,'Hiring plan'!$H$45)),'Hiring plan'!$F$45,0)</f>
        <v>1</v>
      </c>
      <c r="N49" s="33" t="n">
        <f aca="false">IF(AND(N('Hiring plan'!$F$45)&gt;0,N$3&gt;='Hiring plan'!$G$45,N$3&lt;=IF('Hiring plan'!$H$45="",999,'Hiring plan'!$H$45)),'Hiring plan'!$F$45,0)</f>
        <v>1</v>
      </c>
      <c r="O49" s="33" t="n">
        <f aca="false">IF(AND(N('Hiring plan'!$F$45)&gt;0,O$3&gt;='Hiring plan'!$G$45,O$3&lt;=IF('Hiring plan'!$H$45="",999,'Hiring plan'!$H$45)),'Hiring plan'!$F$45,0)</f>
        <v>1</v>
      </c>
      <c r="P49" s="33" t="n">
        <f aca="false">IF(AND(N('Hiring plan'!$F$45)&gt;0,P$3&gt;='Hiring plan'!$G$45,P$3&lt;=IF('Hiring plan'!$H$45="",999,'Hiring plan'!$H$45)),'Hiring plan'!$F$45,0)</f>
        <v>1</v>
      </c>
      <c r="Q49" s="33" t="n">
        <f aca="false">IF(AND(N('Hiring plan'!$F$45)&gt;0,Q$3&gt;='Hiring plan'!$G$45,Q$3&lt;=IF('Hiring plan'!$H$45="",999,'Hiring plan'!$H$45)),'Hiring plan'!$F$45,0)</f>
        <v>1</v>
      </c>
      <c r="R49" s="33" t="n">
        <f aca="false">IF(AND(N('Hiring plan'!$F$45)&gt;0,R$3&gt;='Hiring plan'!$G$45,R$3&lt;=IF('Hiring plan'!$H$45="",999,'Hiring plan'!$H$45)),'Hiring plan'!$F$45,0)</f>
        <v>1</v>
      </c>
      <c r="S49" s="33" t="n">
        <f aca="false">IF(AND(N('Hiring plan'!$F$45)&gt;0,S$3&gt;='Hiring plan'!$G$45,S$3&lt;=IF('Hiring plan'!$H$45="",999,'Hiring plan'!$H$45)),'Hiring plan'!$F$45,0)</f>
        <v>1</v>
      </c>
      <c r="T49" s="33" t="n">
        <f aca="false">IF(AND(N('Hiring plan'!$F$45)&gt;0,T$3&gt;='Hiring plan'!$G$45,T$3&lt;=IF('Hiring plan'!$H$45="",999,'Hiring plan'!$H$45)),'Hiring plan'!$F$45,0)</f>
        <v>1</v>
      </c>
      <c r="U49" s="33" t="n">
        <f aca="false">IF(AND(N('Hiring plan'!$F$45)&gt;0,U$3&gt;='Hiring plan'!$G$45,U$3&lt;=IF('Hiring plan'!$H$45="",999,'Hiring plan'!$H$45)),'Hiring plan'!$F$45,0)</f>
        <v>1</v>
      </c>
      <c r="V49" s="33" t="n">
        <f aca="false">IF(AND(N('Hiring plan'!$F$45)&gt;0,V$3&gt;='Hiring plan'!$G$45,V$3&lt;=IF('Hiring plan'!$H$45="",999,'Hiring plan'!$H$45)),'Hiring plan'!$F$45,0)</f>
        <v>1</v>
      </c>
      <c r="W49" s="33" t="n">
        <f aca="false">IF(AND(N('Hiring plan'!$F$45)&gt;0,W$3&gt;='Hiring plan'!$G$45,W$3&lt;=IF('Hiring plan'!$H$45="",999,'Hiring plan'!$H$45)),'Hiring plan'!$F$45,0)</f>
        <v>1</v>
      </c>
      <c r="X49" s="33" t="n">
        <f aca="false">IF(AND(N('Hiring plan'!$F$45)&gt;0,X$3&gt;='Hiring plan'!$G$45,X$3&lt;=IF('Hiring plan'!$H$45="",999,'Hiring plan'!$H$45)),'Hiring plan'!$F$45,0)</f>
        <v>1</v>
      </c>
      <c r="Y49" s="33" t="n">
        <f aca="false">IF(AND(N('Hiring plan'!$F$45)&gt;0,Y$3&gt;='Hiring plan'!$G$45,Y$3&lt;=IF('Hiring plan'!$H$45="",999,'Hiring plan'!$H$45)),'Hiring plan'!$F$45,0)</f>
        <v>1</v>
      </c>
      <c r="Z49" s="33" t="n">
        <f aca="false">IF(AND(N('Hiring plan'!$F$45)&gt;0,Z$3&gt;='Hiring plan'!$G$45,Z$3&lt;=IF('Hiring plan'!$H$45="",999,'Hiring plan'!$H$45)),'Hiring plan'!$F$45,0)</f>
        <v>1</v>
      </c>
      <c r="AA49" s="33" t="n">
        <f aca="false">IF(AND(N('Hiring plan'!$F$45)&gt;0,AA$3&gt;='Hiring plan'!$G$45,AA$3&lt;=IF('Hiring plan'!$H$45="",999,'Hiring plan'!$H$45)),'Hiring plan'!$F$45,0)</f>
        <v>1</v>
      </c>
      <c r="AB49" s="33" t="n">
        <f aca="false">IF(AND(N('Hiring plan'!$F$45)&gt;0,AB$3&gt;='Hiring plan'!$G$45,AB$3&lt;=IF('Hiring plan'!$H$45="",999,'Hiring plan'!$H$45)),'Hiring plan'!$F$45,0)</f>
        <v>1</v>
      </c>
      <c r="AC49" s="33" t="n">
        <f aca="false">IF(AND(N('Hiring plan'!$F$45)&gt;0,AC$3&gt;='Hiring plan'!$G$45,AC$3&lt;=IF('Hiring plan'!$H$45="",999,'Hiring plan'!$H$45)),'Hiring plan'!$F$45,0)</f>
        <v>1</v>
      </c>
      <c r="AD49" s="33" t="n">
        <f aca="false">IF(AND(N('Hiring plan'!$F$45)&gt;0,AD$3&gt;='Hiring plan'!$G$45,AD$3&lt;=IF('Hiring plan'!$H$45="",999,'Hiring plan'!$H$45)),'Hiring plan'!$F$45,0)</f>
        <v>1</v>
      </c>
      <c r="AE49" s="33" t="n">
        <f aca="false">IF(AND(N('Hiring plan'!$F$45)&gt;0,AE$3&gt;='Hiring plan'!$G$45,AE$3&lt;=IF('Hiring plan'!$H$45="",999,'Hiring plan'!$H$45)),'Hiring plan'!$F$45,0)</f>
        <v>1</v>
      </c>
      <c r="AF49" s="33" t="n">
        <f aca="false">IF(AND(N('Hiring plan'!$F$45)&gt;0,AF$3&gt;='Hiring plan'!$G$45,AF$3&lt;=IF('Hiring plan'!$H$45="",999,'Hiring plan'!$H$45)),'Hiring plan'!$F$45,0)</f>
        <v>1</v>
      </c>
      <c r="AG49" s="33" t="n">
        <f aca="false">IF(AND(N('Hiring plan'!$F$45)&gt;0,AG$3&gt;='Hiring plan'!$G$45,AG$3&lt;=IF('Hiring plan'!$H$45="",999,'Hiring plan'!$H$45)),'Hiring plan'!$F$45,0)</f>
        <v>1</v>
      </c>
      <c r="AH49" s="33" t="n">
        <f aca="false">IF(AND(N('Hiring plan'!$F$45)&gt;0,AH$3&gt;='Hiring plan'!$G$45,AH$3&lt;=IF('Hiring plan'!$H$45="",999,'Hiring plan'!$H$45)),'Hiring plan'!$F$45,0)</f>
        <v>1</v>
      </c>
      <c r="AI49" s="33" t="n">
        <f aca="false">IF(AND(N('Hiring plan'!$F$45)&gt;0,AI$3&gt;='Hiring plan'!$G$45,AI$3&lt;=IF('Hiring plan'!$H$45="",999,'Hiring plan'!$H$45)),'Hiring plan'!$F$45,0)</f>
        <v>1</v>
      </c>
      <c r="AJ49" s="33" t="n">
        <f aca="false">IF(AND(N('Hiring plan'!$F$45)&gt;0,AJ$3&gt;='Hiring plan'!$G$45,AJ$3&lt;=IF('Hiring plan'!$H$45="",999,'Hiring plan'!$H$45)),'Hiring plan'!$F$45,0)</f>
        <v>1</v>
      </c>
      <c r="AK49" s="33" t="n">
        <f aca="false">IF(AND(N('Hiring plan'!$F$45)&gt;0,AK$3&gt;='Hiring plan'!$G$45,AK$3&lt;=IF('Hiring plan'!$H$45="",999,'Hiring plan'!$H$45)),'Hiring plan'!$F$45,0)</f>
        <v>1</v>
      </c>
      <c r="AL49" s="33" t="n">
        <f aca="false">IF(AND(N('Hiring plan'!$F$45)&gt;0,AL$3&gt;='Hiring plan'!$G$45,AL$3&lt;=IF('Hiring plan'!$H$45="",999,'Hiring plan'!$H$45)),'Hiring plan'!$F$45,0)</f>
        <v>1</v>
      </c>
      <c r="AM49" s="33" t="n">
        <f aca="false">IF(AND(N('Hiring plan'!$F$45)&gt;0,AM$3&gt;='Hiring plan'!$G$45,AM$3&lt;=IF('Hiring plan'!$H$45="",999,'Hiring plan'!$H$45)),'Hiring plan'!$F$45,0)</f>
        <v>1</v>
      </c>
      <c r="AN49" s="33" t="n">
        <f aca="false">IF(AND(N('Hiring plan'!$F$45)&gt;0,AN$3&gt;='Hiring plan'!$G$45,AN$3&lt;=IF('Hiring plan'!$H$45="",999,'Hiring plan'!$H$45)),'Hiring plan'!$F$45,0)</f>
        <v>1</v>
      </c>
      <c r="AO49" s="33" t="n">
        <f aca="false">IF(AND(N('Hiring plan'!$F$45)&gt;0,AO$3&gt;='Hiring plan'!$G$45,AO$3&lt;=IF('Hiring plan'!$H$45="",999,'Hiring plan'!$H$45)),'Hiring plan'!$F$45,0)</f>
        <v>1</v>
      </c>
      <c r="AP49" s="33" t="n">
        <f aca="false">IF(AND(N('Hiring plan'!$F$45)&gt;0,AP$3&gt;='Hiring plan'!$G$45,AP$3&lt;=IF('Hiring plan'!$H$45="",999,'Hiring plan'!$H$45)),'Hiring plan'!$F$45,0)</f>
        <v>1</v>
      </c>
      <c r="AQ49" s="33" t="n">
        <f aca="false">IF(AND(N('Hiring plan'!$F$45)&gt;0,AQ$3&gt;='Hiring plan'!$G$45,AQ$3&lt;=IF('Hiring plan'!$H$45="",999,'Hiring plan'!$H$45)),'Hiring plan'!$F$45,0)</f>
        <v>1</v>
      </c>
      <c r="AR49" s="33" t="n">
        <f aca="false">IF(AND(N('Hiring plan'!$F$45)&gt;0,AR$3&gt;='Hiring plan'!$G$45,AR$3&lt;=IF('Hiring plan'!$H$45="",999,'Hiring plan'!$H$45)),'Hiring plan'!$F$45,0)</f>
        <v>1</v>
      </c>
      <c r="AS49" s="33" t="n">
        <f aca="false">IF(AND(N('Hiring plan'!$F$45)&gt;0,AS$3&gt;='Hiring plan'!$G$45,AS$3&lt;=IF('Hiring plan'!$H$45="",999,'Hiring plan'!$H$45)),'Hiring plan'!$F$45,0)</f>
        <v>1</v>
      </c>
      <c r="AT49" s="33" t="n">
        <f aca="false">IF(AND(N('Hiring plan'!$F$45)&gt;0,AT$3&gt;='Hiring plan'!$G$45,AT$3&lt;=IF('Hiring plan'!$H$45="",999,'Hiring plan'!$H$45)),'Hiring plan'!$F$45,0)</f>
        <v>1</v>
      </c>
      <c r="AU49" s="33" t="n">
        <f aca="false">IF(AND(N('Hiring plan'!$F$45)&gt;0,AU$3&gt;='Hiring plan'!$G$45,AU$3&lt;=IF('Hiring plan'!$H$45="",999,'Hiring plan'!$H$45)),'Hiring plan'!$F$45,0)</f>
        <v>1</v>
      </c>
      <c r="AV49" s="33" t="n">
        <f aca="false">IF(AND(N('Hiring plan'!$F$45)&gt;0,AV$3&gt;='Hiring plan'!$G$45,AV$3&lt;=IF('Hiring plan'!$H$45="",999,'Hiring plan'!$H$45)),'Hiring plan'!$F$45,0)</f>
        <v>1</v>
      </c>
      <c r="AW49" s="33" t="n">
        <f aca="false">IF(AND(N('Hiring plan'!$F$45)&gt;0,AW$3&gt;='Hiring plan'!$G$45,AW$3&lt;=IF('Hiring plan'!$H$45="",999,'Hiring plan'!$H$45)),'Hiring plan'!$F$45,0)</f>
        <v>1</v>
      </c>
      <c r="AX49" s="33" t="n">
        <f aca="false">IF(AND(N('Hiring plan'!$F$45)&gt;0,AX$3&gt;='Hiring plan'!$G$45,AX$3&lt;=IF('Hiring plan'!$H$45="",999,'Hiring plan'!$H$45)),'Hiring plan'!$F$45,0)</f>
        <v>1</v>
      </c>
      <c r="AY49" s="33" t="n">
        <f aca="false">IF(AND(N('Hiring plan'!$F$45)&gt;0,AY$3&gt;='Hiring plan'!$G$45,AY$3&lt;=IF('Hiring plan'!$H$45="",999,'Hiring plan'!$H$45)),'Hiring plan'!$F$45,0)</f>
        <v>1</v>
      </c>
      <c r="AZ49" s="33" t="n">
        <f aca="false">IF(AND(N('Hiring plan'!$F$45)&gt;0,AZ$3&gt;='Hiring plan'!$G$45,AZ$3&lt;=IF('Hiring plan'!$H$45="",999,'Hiring plan'!$H$45)),'Hiring plan'!$F$45,0)</f>
        <v>1</v>
      </c>
      <c r="BA49" s="33" t="n">
        <f aca="false">IF(AND(N('Hiring plan'!$F$45)&gt;0,BA$3&gt;='Hiring plan'!$G$45,BA$3&lt;=IF('Hiring plan'!$H$45="",999,'Hiring plan'!$H$45)),'Hiring plan'!$F$45,0)</f>
        <v>1</v>
      </c>
      <c r="BB49" s="33" t="n">
        <f aca="false">IF(AND(N('Hiring plan'!$F$45)&gt;0,BB$3&gt;='Hiring plan'!$G$45,BB$3&lt;=IF('Hiring plan'!$H$45="",999,'Hiring plan'!$H$45)),'Hiring plan'!$F$45,0)</f>
        <v>1</v>
      </c>
      <c r="BC49" s="33" t="n">
        <f aca="false">IF(AND(N('Hiring plan'!$F$45)&gt;0,BC$3&gt;='Hiring plan'!$G$45,BC$3&lt;=IF('Hiring plan'!$H$45="",999,'Hiring plan'!$H$45)),'Hiring plan'!$F$45,0)</f>
        <v>1</v>
      </c>
      <c r="BD49" s="33" t="n">
        <f aca="false">IF(AND(N('Hiring plan'!$F$45)&gt;0,BD$3&gt;='Hiring plan'!$G$45,BD$3&lt;=IF('Hiring plan'!$H$45="",999,'Hiring plan'!$H$45)),'Hiring plan'!$F$45,0)</f>
        <v>1</v>
      </c>
      <c r="BE49" s="33" t="n">
        <f aca="false">IF(AND(N('Hiring plan'!$F$45)&gt;0,BE$3&gt;='Hiring plan'!$G$45,BE$3&lt;=IF('Hiring plan'!$H$45="",999,'Hiring plan'!$H$45)),'Hiring plan'!$F$45,0)</f>
        <v>1</v>
      </c>
      <c r="BF49" s="33" t="n">
        <f aca="false">IF(AND(N('Hiring plan'!$F$45)&gt;0,BF$3&gt;='Hiring plan'!$G$45,BF$3&lt;=IF('Hiring plan'!$H$45="",999,'Hiring plan'!$H$45)),'Hiring plan'!$F$45,0)</f>
        <v>1</v>
      </c>
      <c r="BG49" s="33" t="n">
        <f aca="false">IF(AND(N('Hiring plan'!$F$45)&gt;0,BG$3&gt;='Hiring plan'!$G$45,BG$3&lt;=IF('Hiring plan'!$H$45="",999,'Hiring plan'!$H$45)),'Hiring plan'!$F$45,0)</f>
        <v>1</v>
      </c>
      <c r="BH49" s="33" t="n">
        <f aca="false">IF(AND(N('Hiring plan'!$F$45)&gt;0,BH$3&gt;='Hiring plan'!$G$45,BH$3&lt;=IF('Hiring plan'!$H$45="",999,'Hiring plan'!$H$45)),'Hiring plan'!$F$45,0)</f>
        <v>1</v>
      </c>
      <c r="BI49" s="33" t="n">
        <f aca="false">IF(AND(N('Hiring plan'!$F$45)&gt;0,BI$3&gt;='Hiring plan'!$G$45,BI$3&lt;=IF('Hiring plan'!$H$45="",999,'Hiring plan'!$H$45)),'Hiring plan'!$F$45,0)</f>
        <v>1</v>
      </c>
      <c r="BJ49" s="33" t="n">
        <f aca="false">IF(AND(N('Hiring plan'!$F$45)&gt;0,BJ$3&gt;='Hiring plan'!$G$45,BJ$3&lt;=IF('Hiring plan'!$H$45="",999,'Hiring plan'!$H$45)),'Hiring plan'!$F$45,0)</f>
        <v>1</v>
      </c>
      <c r="BK49" s="33" t="n">
        <f aca="false">IF(AND(N('Hiring plan'!$F$45)&gt;0,BK$3&gt;='Hiring plan'!$G$45,BK$3&lt;=IF('Hiring plan'!$H$45="",999,'Hiring plan'!$H$45)),'Hiring plan'!$F$45,0)</f>
        <v>1</v>
      </c>
      <c r="BL49" s="33" t="n">
        <f aca="false">IF(AND(N('Hiring plan'!$F$45)&gt;0,BL$3&gt;='Hiring plan'!$G$45,BL$3&lt;=IF('Hiring plan'!$H$45="",999,'Hiring plan'!$H$45)),'Hiring plan'!$F$45,0)</f>
        <v>1</v>
      </c>
    </row>
    <row r="50" customFormat="false" ht="15" hidden="false" customHeight="false" outlineLevel="0" collapsed="false">
      <c r="A50" s="12" t="str">
        <f aca="false">IF('Hiring plan'!$C$46="","(spare line 42)",'Hiring plan'!$C$46&amp;" · "&amp;'Hiring plan'!$D$46)</f>
        <v>Partnerships manager (accountants, payroll software) · SN</v>
      </c>
      <c r="B50" s="14" t="s">
        <v>222</v>
      </c>
      <c r="D50" s="41" t="n">
        <f aca="false">MAX(E50:BL50)</f>
        <v>1</v>
      </c>
      <c r="E50" s="33" t="n">
        <f aca="false">IF(AND(N('Hiring plan'!$F$46)&gt;0,E$3&gt;='Hiring plan'!$G$46,E$3&lt;=IF('Hiring plan'!$H$46="",999,'Hiring plan'!$H$46)),'Hiring plan'!$F$46,0)</f>
        <v>0</v>
      </c>
      <c r="F50" s="33" t="n">
        <f aca="false">IF(AND(N('Hiring plan'!$F$46)&gt;0,F$3&gt;='Hiring plan'!$G$46,F$3&lt;=IF('Hiring plan'!$H$46="",999,'Hiring plan'!$H$46)),'Hiring plan'!$F$46,0)</f>
        <v>0</v>
      </c>
      <c r="G50" s="33" t="n">
        <f aca="false">IF(AND(N('Hiring plan'!$F$46)&gt;0,G$3&gt;='Hiring plan'!$G$46,G$3&lt;=IF('Hiring plan'!$H$46="",999,'Hiring plan'!$H$46)),'Hiring plan'!$F$46,0)</f>
        <v>0</v>
      </c>
      <c r="H50" s="33" t="n">
        <f aca="false">IF(AND(N('Hiring plan'!$F$46)&gt;0,H$3&gt;='Hiring plan'!$G$46,H$3&lt;=IF('Hiring plan'!$H$46="",999,'Hiring plan'!$H$46)),'Hiring plan'!$F$46,0)</f>
        <v>1</v>
      </c>
      <c r="I50" s="33" t="n">
        <f aca="false">IF(AND(N('Hiring plan'!$F$46)&gt;0,I$3&gt;='Hiring plan'!$G$46,I$3&lt;=IF('Hiring plan'!$H$46="",999,'Hiring plan'!$H$46)),'Hiring plan'!$F$46,0)</f>
        <v>1</v>
      </c>
      <c r="J50" s="33" t="n">
        <f aca="false">IF(AND(N('Hiring plan'!$F$46)&gt;0,J$3&gt;='Hiring plan'!$G$46,J$3&lt;=IF('Hiring plan'!$H$46="",999,'Hiring plan'!$H$46)),'Hiring plan'!$F$46,0)</f>
        <v>1</v>
      </c>
      <c r="K50" s="33" t="n">
        <f aca="false">IF(AND(N('Hiring plan'!$F$46)&gt;0,K$3&gt;='Hiring plan'!$G$46,K$3&lt;=IF('Hiring plan'!$H$46="",999,'Hiring plan'!$H$46)),'Hiring plan'!$F$46,0)</f>
        <v>1</v>
      </c>
      <c r="L50" s="33" t="n">
        <f aca="false">IF(AND(N('Hiring plan'!$F$46)&gt;0,L$3&gt;='Hiring plan'!$G$46,L$3&lt;=IF('Hiring plan'!$H$46="",999,'Hiring plan'!$H$46)),'Hiring plan'!$F$46,0)</f>
        <v>1</v>
      </c>
      <c r="M50" s="33" t="n">
        <f aca="false">IF(AND(N('Hiring plan'!$F$46)&gt;0,M$3&gt;='Hiring plan'!$G$46,M$3&lt;=IF('Hiring plan'!$H$46="",999,'Hiring plan'!$H$46)),'Hiring plan'!$F$46,0)</f>
        <v>1</v>
      </c>
      <c r="N50" s="33" t="n">
        <f aca="false">IF(AND(N('Hiring plan'!$F$46)&gt;0,N$3&gt;='Hiring plan'!$G$46,N$3&lt;=IF('Hiring plan'!$H$46="",999,'Hiring plan'!$H$46)),'Hiring plan'!$F$46,0)</f>
        <v>1</v>
      </c>
      <c r="O50" s="33" t="n">
        <f aca="false">IF(AND(N('Hiring plan'!$F$46)&gt;0,O$3&gt;='Hiring plan'!$G$46,O$3&lt;=IF('Hiring plan'!$H$46="",999,'Hiring plan'!$H$46)),'Hiring plan'!$F$46,0)</f>
        <v>1</v>
      </c>
      <c r="P50" s="33" t="n">
        <f aca="false">IF(AND(N('Hiring plan'!$F$46)&gt;0,P$3&gt;='Hiring plan'!$G$46,P$3&lt;=IF('Hiring plan'!$H$46="",999,'Hiring plan'!$H$46)),'Hiring plan'!$F$46,0)</f>
        <v>1</v>
      </c>
      <c r="Q50" s="33" t="n">
        <f aca="false">IF(AND(N('Hiring plan'!$F$46)&gt;0,Q$3&gt;='Hiring plan'!$G$46,Q$3&lt;=IF('Hiring plan'!$H$46="",999,'Hiring plan'!$H$46)),'Hiring plan'!$F$46,0)</f>
        <v>1</v>
      </c>
      <c r="R50" s="33" t="n">
        <f aca="false">IF(AND(N('Hiring plan'!$F$46)&gt;0,R$3&gt;='Hiring plan'!$G$46,R$3&lt;=IF('Hiring plan'!$H$46="",999,'Hiring plan'!$H$46)),'Hiring plan'!$F$46,0)</f>
        <v>1</v>
      </c>
      <c r="S50" s="33" t="n">
        <f aca="false">IF(AND(N('Hiring plan'!$F$46)&gt;0,S$3&gt;='Hiring plan'!$G$46,S$3&lt;=IF('Hiring plan'!$H$46="",999,'Hiring plan'!$H$46)),'Hiring plan'!$F$46,0)</f>
        <v>1</v>
      </c>
      <c r="T50" s="33" t="n">
        <f aca="false">IF(AND(N('Hiring plan'!$F$46)&gt;0,T$3&gt;='Hiring plan'!$G$46,T$3&lt;=IF('Hiring plan'!$H$46="",999,'Hiring plan'!$H$46)),'Hiring plan'!$F$46,0)</f>
        <v>1</v>
      </c>
      <c r="U50" s="33" t="n">
        <f aca="false">IF(AND(N('Hiring plan'!$F$46)&gt;0,U$3&gt;='Hiring plan'!$G$46,U$3&lt;=IF('Hiring plan'!$H$46="",999,'Hiring plan'!$H$46)),'Hiring plan'!$F$46,0)</f>
        <v>1</v>
      </c>
      <c r="V50" s="33" t="n">
        <f aca="false">IF(AND(N('Hiring plan'!$F$46)&gt;0,V$3&gt;='Hiring plan'!$G$46,V$3&lt;=IF('Hiring plan'!$H$46="",999,'Hiring plan'!$H$46)),'Hiring plan'!$F$46,0)</f>
        <v>1</v>
      </c>
      <c r="W50" s="33" t="n">
        <f aca="false">IF(AND(N('Hiring plan'!$F$46)&gt;0,W$3&gt;='Hiring plan'!$G$46,W$3&lt;=IF('Hiring plan'!$H$46="",999,'Hiring plan'!$H$46)),'Hiring plan'!$F$46,0)</f>
        <v>1</v>
      </c>
      <c r="X50" s="33" t="n">
        <f aca="false">IF(AND(N('Hiring plan'!$F$46)&gt;0,X$3&gt;='Hiring plan'!$G$46,X$3&lt;=IF('Hiring plan'!$H$46="",999,'Hiring plan'!$H$46)),'Hiring plan'!$F$46,0)</f>
        <v>1</v>
      </c>
      <c r="Y50" s="33" t="n">
        <f aca="false">IF(AND(N('Hiring plan'!$F$46)&gt;0,Y$3&gt;='Hiring plan'!$G$46,Y$3&lt;=IF('Hiring plan'!$H$46="",999,'Hiring plan'!$H$46)),'Hiring plan'!$F$46,0)</f>
        <v>1</v>
      </c>
      <c r="Z50" s="33" t="n">
        <f aca="false">IF(AND(N('Hiring plan'!$F$46)&gt;0,Z$3&gt;='Hiring plan'!$G$46,Z$3&lt;=IF('Hiring plan'!$H$46="",999,'Hiring plan'!$H$46)),'Hiring plan'!$F$46,0)</f>
        <v>1</v>
      </c>
      <c r="AA50" s="33" t="n">
        <f aca="false">IF(AND(N('Hiring plan'!$F$46)&gt;0,AA$3&gt;='Hiring plan'!$G$46,AA$3&lt;=IF('Hiring plan'!$H$46="",999,'Hiring plan'!$H$46)),'Hiring plan'!$F$46,0)</f>
        <v>1</v>
      </c>
      <c r="AB50" s="33" t="n">
        <f aca="false">IF(AND(N('Hiring plan'!$F$46)&gt;0,AB$3&gt;='Hiring plan'!$G$46,AB$3&lt;=IF('Hiring plan'!$H$46="",999,'Hiring plan'!$H$46)),'Hiring plan'!$F$46,0)</f>
        <v>1</v>
      </c>
      <c r="AC50" s="33" t="n">
        <f aca="false">IF(AND(N('Hiring plan'!$F$46)&gt;0,AC$3&gt;='Hiring plan'!$G$46,AC$3&lt;=IF('Hiring plan'!$H$46="",999,'Hiring plan'!$H$46)),'Hiring plan'!$F$46,0)</f>
        <v>1</v>
      </c>
      <c r="AD50" s="33" t="n">
        <f aca="false">IF(AND(N('Hiring plan'!$F$46)&gt;0,AD$3&gt;='Hiring plan'!$G$46,AD$3&lt;=IF('Hiring plan'!$H$46="",999,'Hiring plan'!$H$46)),'Hiring plan'!$F$46,0)</f>
        <v>1</v>
      </c>
      <c r="AE50" s="33" t="n">
        <f aca="false">IF(AND(N('Hiring plan'!$F$46)&gt;0,AE$3&gt;='Hiring plan'!$G$46,AE$3&lt;=IF('Hiring plan'!$H$46="",999,'Hiring plan'!$H$46)),'Hiring plan'!$F$46,0)</f>
        <v>1</v>
      </c>
      <c r="AF50" s="33" t="n">
        <f aca="false">IF(AND(N('Hiring plan'!$F$46)&gt;0,AF$3&gt;='Hiring plan'!$G$46,AF$3&lt;=IF('Hiring plan'!$H$46="",999,'Hiring plan'!$H$46)),'Hiring plan'!$F$46,0)</f>
        <v>1</v>
      </c>
      <c r="AG50" s="33" t="n">
        <f aca="false">IF(AND(N('Hiring plan'!$F$46)&gt;0,AG$3&gt;='Hiring plan'!$G$46,AG$3&lt;=IF('Hiring plan'!$H$46="",999,'Hiring plan'!$H$46)),'Hiring plan'!$F$46,0)</f>
        <v>1</v>
      </c>
      <c r="AH50" s="33" t="n">
        <f aca="false">IF(AND(N('Hiring plan'!$F$46)&gt;0,AH$3&gt;='Hiring plan'!$G$46,AH$3&lt;=IF('Hiring plan'!$H$46="",999,'Hiring plan'!$H$46)),'Hiring plan'!$F$46,0)</f>
        <v>1</v>
      </c>
      <c r="AI50" s="33" t="n">
        <f aca="false">IF(AND(N('Hiring plan'!$F$46)&gt;0,AI$3&gt;='Hiring plan'!$G$46,AI$3&lt;=IF('Hiring plan'!$H$46="",999,'Hiring plan'!$H$46)),'Hiring plan'!$F$46,0)</f>
        <v>1</v>
      </c>
      <c r="AJ50" s="33" t="n">
        <f aca="false">IF(AND(N('Hiring plan'!$F$46)&gt;0,AJ$3&gt;='Hiring plan'!$G$46,AJ$3&lt;=IF('Hiring plan'!$H$46="",999,'Hiring plan'!$H$46)),'Hiring plan'!$F$46,0)</f>
        <v>1</v>
      </c>
      <c r="AK50" s="33" t="n">
        <f aca="false">IF(AND(N('Hiring plan'!$F$46)&gt;0,AK$3&gt;='Hiring plan'!$G$46,AK$3&lt;=IF('Hiring plan'!$H$46="",999,'Hiring plan'!$H$46)),'Hiring plan'!$F$46,0)</f>
        <v>1</v>
      </c>
      <c r="AL50" s="33" t="n">
        <f aca="false">IF(AND(N('Hiring plan'!$F$46)&gt;0,AL$3&gt;='Hiring plan'!$G$46,AL$3&lt;=IF('Hiring plan'!$H$46="",999,'Hiring plan'!$H$46)),'Hiring plan'!$F$46,0)</f>
        <v>1</v>
      </c>
      <c r="AM50" s="33" t="n">
        <f aca="false">IF(AND(N('Hiring plan'!$F$46)&gt;0,AM$3&gt;='Hiring plan'!$G$46,AM$3&lt;=IF('Hiring plan'!$H$46="",999,'Hiring plan'!$H$46)),'Hiring plan'!$F$46,0)</f>
        <v>1</v>
      </c>
      <c r="AN50" s="33" t="n">
        <f aca="false">IF(AND(N('Hiring plan'!$F$46)&gt;0,AN$3&gt;='Hiring plan'!$G$46,AN$3&lt;=IF('Hiring plan'!$H$46="",999,'Hiring plan'!$H$46)),'Hiring plan'!$F$46,0)</f>
        <v>1</v>
      </c>
      <c r="AO50" s="33" t="n">
        <f aca="false">IF(AND(N('Hiring plan'!$F$46)&gt;0,AO$3&gt;='Hiring plan'!$G$46,AO$3&lt;=IF('Hiring plan'!$H$46="",999,'Hiring plan'!$H$46)),'Hiring plan'!$F$46,0)</f>
        <v>1</v>
      </c>
      <c r="AP50" s="33" t="n">
        <f aca="false">IF(AND(N('Hiring plan'!$F$46)&gt;0,AP$3&gt;='Hiring plan'!$G$46,AP$3&lt;=IF('Hiring plan'!$H$46="",999,'Hiring plan'!$H$46)),'Hiring plan'!$F$46,0)</f>
        <v>1</v>
      </c>
      <c r="AQ50" s="33" t="n">
        <f aca="false">IF(AND(N('Hiring plan'!$F$46)&gt;0,AQ$3&gt;='Hiring plan'!$G$46,AQ$3&lt;=IF('Hiring plan'!$H$46="",999,'Hiring plan'!$H$46)),'Hiring plan'!$F$46,0)</f>
        <v>1</v>
      </c>
      <c r="AR50" s="33" t="n">
        <f aca="false">IF(AND(N('Hiring plan'!$F$46)&gt;0,AR$3&gt;='Hiring plan'!$G$46,AR$3&lt;=IF('Hiring plan'!$H$46="",999,'Hiring plan'!$H$46)),'Hiring plan'!$F$46,0)</f>
        <v>1</v>
      </c>
      <c r="AS50" s="33" t="n">
        <f aca="false">IF(AND(N('Hiring plan'!$F$46)&gt;0,AS$3&gt;='Hiring plan'!$G$46,AS$3&lt;=IF('Hiring plan'!$H$46="",999,'Hiring plan'!$H$46)),'Hiring plan'!$F$46,0)</f>
        <v>1</v>
      </c>
      <c r="AT50" s="33" t="n">
        <f aca="false">IF(AND(N('Hiring plan'!$F$46)&gt;0,AT$3&gt;='Hiring plan'!$G$46,AT$3&lt;=IF('Hiring plan'!$H$46="",999,'Hiring plan'!$H$46)),'Hiring plan'!$F$46,0)</f>
        <v>1</v>
      </c>
      <c r="AU50" s="33" t="n">
        <f aca="false">IF(AND(N('Hiring plan'!$F$46)&gt;0,AU$3&gt;='Hiring plan'!$G$46,AU$3&lt;=IF('Hiring plan'!$H$46="",999,'Hiring plan'!$H$46)),'Hiring plan'!$F$46,0)</f>
        <v>1</v>
      </c>
      <c r="AV50" s="33" t="n">
        <f aca="false">IF(AND(N('Hiring plan'!$F$46)&gt;0,AV$3&gt;='Hiring plan'!$G$46,AV$3&lt;=IF('Hiring plan'!$H$46="",999,'Hiring plan'!$H$46)),'Hiring plan'!$F$46,0)</f>
        <v>1</v>
      </c>
      <c r="AW50" s="33" t="n">
        <f aca="false">IF(AND(N('Hiring plan'!$F$46)&gt;0,AW$3&gt;='Hiring plan'!$G$46,AW$3&lt;=IF('Hiring plan'!$H$46="",999,'Hiring plan'!$H$46)),'Hiring plan'!$F$46,0)</f>
        <v>1</v>
      </c>
      <c r="AX50" s="33" t="n">
        <f aca="false">IF(AND(N('Hiring plan'!$F$46)&gt;0,AX$3&gt;='Hiring plan'!$G$46,AX$3&lt;=IF('Hiring plan'!$H$46="",999,'Hiring plan'!$H$46)),'Hiring plan'!$F$46,0)</f>
        <v>1</v>
      </c>
      <c r="AY50" s="33" t="n">
        <f aca="false">IF(AND(N('Hiring plan'!$F$46)&gt;0,AY$3&gt;='Hiring plan'!$G$46,AY$3&lt;=IF('Hiring plan'!$H$46="",999,'Hiring plan'!$H$46)),'Hiring plan'!$F$46,0)</f>
        <v>1</v>
      </c>
      <c r="AZ50" s="33" t="n">
        <f aca="false">IF(AND(N('Hiring plan'!$F$46)&gt;0,AZ$3&gt;='Hiring plan'!$G$46,AZ$3&lt;=IF('Hiring plan'!$H$46="",999,'Hiring plan'!$H$46)),'Hiring plan'!$F$46,0)</f>
        <v>1</v>
      </c>
      <c r="BA50" s="33" t="n">
        <f aca="false">IF(AND(N('Hiring plan'!$F$46)&gt;0,BA$3&gt;='Hiring plan'!$G$46,BA$3&lt;=IF('Hiring plan'!$H$46="",999,'Hiring plan'!$H$46)),'Hiring plan'!$F$46,0)</f>
        <v>1</v>
      </c>
      <c r="BB50" s="33" t="n">
        <f aca="false">IF(AND(N('Hiring plan'!$F$46)&gt;0,BB$3&gt;='Hiring plan'!$G$46,BB$3&lt;=IF('Hiring plan'!$H$46="",999,'Hiring plan'!$H$46)),'Hiring plan'!$F$46,0)</f>
        <v>1</v>
      </c>
      <c r="BC50" s="33" t="n">
        <f aca="false">IF(AND(N('Hiring plan'!$F$46)&gt;0,BC$3&gt;='Hiring plan'!$G$46,BC$3&lt;=IF('Hiring plan'!$H$46="",999,'Hiring plan'!$H$46)),'Hiring plan'!$F$46,0)</f>
        <v>1</v>
      </c>
      <c r="BD50" s="33" t="n">
        <f aca="false">IF(AND(N('Hiring plan'!$F$46)&gt;0,BD$3&gt;='Hiring plan'!$G$46,BD$3&lt;=IF('Hiring plan'!$H$46="",999,'Hiring plan'!$H$46)),'Hiring plan'!$F$46,0)</f>
        <v>1</v>
      </c>
      <c r="BE50" s="33" t="n">
        <f aca="false">IF(AND(N('Hiring plan'!$F$46)&gt;0,BE$3&gt;='Hiring plan'!$G$46,BE$3&lt;=IF('Hiring plan'!$H$46="",999,'Hiring plan'!$H$46)),'Hiring plan'!$F$46,0)</f>
        <v>1</v>
      </c>
      <c r="BF50" s="33" t="n">
        <f aca="false">IF(AND(N('Hiring plan'!$F$46)&gt;0,BF$3&gt;='Hiring plan'!$G$46,BF$3&lt;=IF('Hiring plan'!$H$46="",999,'Hiring plan'!$H$46)),'Hiring plan'!$F$46,0)</f>
        <v>1</v>
      </c>
      <c r="BG50" s="33" t="n">
        <f aca="false">IF(AND(N('Hiring plan'!$F$46)&gt;0,BG$3&gt;='Hiring plan'!$G$46,BG$3&lt;=IF('Hiring plan'!$H$46="",999,'Hiring plan'!$H$46)),'Hiring plan'!$F$46,0)</f>
        <v>1</v>
      </c>
      <c r="BH50" s="33" t="n">
        <f aca="false">IF(AND(N('Hiring plan'!$F$46)&gt;0,BH$3&gt;='Hiring plan'!$G$46,BH$3&lt;=IF('Hiring plan'!$H$46="",999,'Hiring plan'!$H$46)),'Hiring plan'!$F$46,0)</f>
        <v>1</v>
      </c>
      <c r="BI50" s="33" t="n">
        <f aca="false">IF(AND(N('Hiring plan'!$F$46)&gt;0,BI$3&gt;='Hiring plan'!$G$46,BI$3&lt;=IF('Hiring plan'!$H$46="",999,'Hiring plan'!$H$46)),'Hiring plan'!$F$46,0)</f>
        <v>1</v>
      </c>
      <c r="BJ50" s="33" t="n">
        <f aca="false">IF(AND(N('Hiring plan'!$F$46)&gt;0,BJ$3&gt;='Hiring plan'!$G$46,BJ$3&lt;=IF('Hiring plan'!$H$46="",999,'Hiring plan'!$H$46)),'Hiring plan'!$F$46,0)</f>
        <v>1</v>
      </c>
      <c r="BK50" s="33" t="n">
        <f aca="false">IF(AND(N('Hiring plan'!$F$46)&gt;0,BK$3&gt;='Hiring plan'!$G$46,BK$3&lt;=IF('Hiring plan'!$H$46="",999,'Hiring plan'!$H$46)),'Hiring plan'!$F$46,0)</f>
        <v>1</v>
      </c>
      <c r="BL50" s="33" t="n">
        <f aca="false">IF(AND(N('Hiring plan'!$F$46)&gt;0,BL$3&gt;='Hiring plan'!$G$46,BL$3&lt;=IF('Hiring plan'!$H$46="",999,'Hiring plan'!$H$46)),'Hiring plan'!$F$46,0)</f>
        <v>1</v>
      </c>
    </row>
    <row r="51" customFormat="false" ht="15" hidden="false" customHeight="false" outlineLevel="0" collapsed="false">
      <c r="A51" s="12" t="str">
        <f aca="false">IF('Hiring plan'!$C$47="","(spare line 43)",'Hiring plan'!$C$47&amp;" · "&amp;'Hiring plan'!$D$47)</f>
        <v>Field sales rep (300k fixed + ~100k commission) · SN</v>
      </c>
      <c r="B51" s="14" t="s">
        <v>222</v>
      </c>
      <c r="D51" s="41" t="n">
        <f aca="false">MAX(E51:BL51)</f>
        <v>2</v>
      </c>
      <c r="E51" s="33" t="n">
        <f aca="false">IF(AND(N('Hiring plan'!$F$47)&gt;0,E$3&gt;='Hiring plan'!$G$47,E$3&lt;=IF('Hiring plan'!$H$47="",999,'Hiring plan'!$H$47)),'Hiring plan'!$F$47,0)</f>
        <v>0</v>
      </c>
      <c r="F51" s="33" t="n">
        <f aca="false">IF(AND(N('Hiring plan'!$F$47)&gt;0,F$3&gt;='Hiring plan'!$G$47,F$3&lt;=IF('Hiring plan'!$H$47="",999,'Hiring plan'!$H$47)),'Hiring plan'!$F$47,0)</f>
        <v>0</v>
      </c>
      <c r="G51" s="33" t="n">
        <f aca="false">IF(AND(N('Hiring plan'!$F$47)&gt;0,G$3&gt;='Hiring plan'!$G$47,G$3&lt;=IF('Hiring plan'!$H$47="",999,'Hiring plan'!$H$47)),'Hiring plan'!$F$47,0)</f>
        <v>0</v>
      </c>
      <c r="H51" s="33" t="n">
        <f aca="false">IF(AND(N('Hiring plan'!$F$47)&gt;0,H$3&gt;='Hiring plan'!$G$47,H$3&lt;=IF('Hiring plan'!$H$47="",999,'Hiring plan'!$H$47)),'Hiring plan'!$F$47,0)</f>
        <v>2</v>
      </c>
      <c r="I51" s="33" t="n">
        <f aca="false">IF(AND(N('Hiring plan'!$F$47)&gt;0,I$3&gt;='Hiring plan'!$G$47,I$3&lt;=IF('Hiring plan'!$H$47="",999,'Hiring plan'!$H$47)),'Hiring plan'!$F$47,0)</f>
        <v>2</v>
      </c>
      <c r="J51" s="33" t="n">
        <f aca="false">IF(AND(N('Hiring plan'!$F$47)&gt;0,J$3&gt;='Hiring plan'!$G$47,J$3&lt;=IF('Hiring plan'!$H$47="",999,'Hiring plan'!$H$47)),'Hiring plan'!$F$47,0)</f>
        <v>2</v>
      </c>
      <c r="K51" s="33" t="n">
        <f aca="false">IF(AND(N('Hiring plan'!$F$47)&gt;0,K$3&gt;='Hiring plan'!$G$47,K$3&lt;=IF('Hiring plan'!$H$47="",999,'Hiring plan'!$H$47)),'Hiring plan'!$F$47,0)</f>
        <v>2</v>
      </c>
      <c r="L51" s="33" t="n">
        <f aca="false">IF(AND(N('Hiring plan'!$F$47)&gt;0,L$3&gt;='Hiring plan'!$G$47,L$3&lt;=IF('Hiring plan'!$H$47="",999,'Hiring plan'!$H$47)),'Hiring plan'!$F$47,0)</f>
        <v>2</v>
      </c>
      <c r="M51" s="33" t="n">
        <f aca="false">IF(AND(N('Hiring plan'!$F$47)&gt;0,M$3&gt;='Hiring plan'!$G$47,M$3&lt;=IF('Hiring plan'!$H$47="",999,'Hiring plan'!$H$47)),'Hiring plan'!$F$47,0)</f>
        <v>2</v>
      </c>
      <c r="N51" s="33" t="n">
        <f aca="false">IF(AND(N('Hiring plan'!$F$47)&gt;0,N$3&gt;='Hiring plan'!$G$47,N$3&lt;=IF('Hiring plan'!$H$47="",999,'Hiring plan'!$H$47)),'Hiring plan'!$F$47,0)</f>
        <v>2</v>
      </c>
      <c r="O51" s="33" t="n">
        <f aca="false">IF(AND(N('Hiring plan'!$F$47)&gt;0,O$3&gt;='Hiring plan'!$G$47,O$3&lt;=IF('Hiring plan'!$H$47="",999,'Hiring plan'!$H$47)),'Hiring plan'!$F$47,0)</f>
        <v>2</v>
      </c>
      <c r="P51" s="33" t="n">
        <f aca="false">IF(AND(N('Hiring plan'!$F$47)&gt;0,P$3&gt;='Hiring plan'!$G$47,P$3&lt;=IF('Hiring plan'!$H$47="",999,'Hiring plan'!$H$47)),'Hiring plan'!$F$47,0)</f>
        <v>2</v>
      </c>
      <c r="Q51" s="33" t="n">
        <f aca="false">IF(AND(N('Hiring plan'!$F$47)&gt;0,Q$3&gt;='Hiring plan'!$G$47,Q$3&lt;=IF('Hiring plan'!$H$47="",999,'Hiring plan'!$H$47)),'Hiring plan'!$F$47,0)</f>
        <v>2</v>
      </c>
      <c r="R51" s="33" t="n">
        <f aca="false">IF(AND(N('Hiring plan'!$F$47)&gt;0,R$3&gt;='Hiring plan'!$G$47,R$3&lt;=IF('Hiring plan'!$H$47="",999,'Hiring plan'!$H$47)),'Hiring plan'!$F$47,0)</f>
        <v>2</v>
      </c>
      <c r="S51" s="33" t="n">
        <f aca="false">IF(AND(N('Hiring plan'!$F$47)&gt;0,S$3&gt;='Hiring plan'!$G$47,S$3&lt;=IF('Hiring plan'!$H$47="",999,'Hiring plan'!$H$47)),'Hiring plan'!$F$47,0)</f>
        <v>2</v>
      </c>
      <c r="T51" s="33" t="n">
        <f aca="false">IF(AND(N('Hiring plan'!$F$47)&gt;0,T$3&gt;='Hiring plan'!$G$47,T$3&lt;=IF('Hiring plan'!$H$47="",999,'Hiring plan'!$H$47)),'Hiring plan'!$F$47,0)</f>
        <v>2</v>
      </c>
      <c r="U51" s="33" t="n">
        <f aca="false">IF(AND(N('Hiring plan'!$F$47)&gt;0,U$3&gt;='Hiring plan'!$G$47,U$3&lt;=IF('Hiring plan'!$H$47="",999,'Hiring plan'!$H$47)),'Hiring plan'!$F$47,0)</f>
        <v>2</v>
      </c>
      <c r="V51" s="33" t="n">
        <f aca="false">IF(AND(N('Hiring plan'!$F$47)&gt;0,V$3&gt;='Hiring plan'!$G$47,V$3&lt;=IF('Hiring plan'!$H$47="",999,'Hiring plan'!$H$47)),'Hiring plan'!$F$47,0)</f>
        <v>2</v>
      </c>
      <c r="W51" s="33" t="n">
        <f aca="false">IF(AND(N('Hiring plan'!$F$47)&gt;0,W$3&gt;='Hiring plan'!$G$47,W$3&lt;=IF('Hiring plan'!$H$47="",999,'Hiring plan'!$H$47)),'Hiring plan'!$F$47,0)</f>
        <v>2</v>
      </c>
      <c r="X51" s="33" t="n">
        <f aca="false">IF(AND(N('Hiring plan'!$F$47)&gt;0,X$3&gt;='Hiring plan'!$G$47,X$3&lt;=IF('Hiring plan'!$H$47="",999,'Hiring plan'!$H$47)),'Hiring plan'!$F$47,0)</f>
        <v>2</v>
      </c>
      <c r="Y51" s="33" t="n">
        <f aca="false">IF(AND(N('Hiring plan'!$F$47)&gt;0,Y$3&gt;='Hiring plan'!$G$47,Y$3&lt;=IF('Hiring plan'!$H$47="",999,'Hiring plan'!$H$47)),'Hiring plan'!$F$47,0)</f>
        <v>2</v>
      </c>
      <c r="Z51" s="33" t="n">
        <f aca="false">IF(AND(N('Hiring plan'!$F$47)&gt;0,Z$3&gt;='Hiring plan'!$G$47,Z$3&lt;=IF('Hiring plan'!$H$47="",999,'Hiring plan'!$H$47)),'Hiring plan'!$F$47,0)</f>
        <v>2</v>
      </c>
      <c r="AA51" s="33" t="n">
        <f aca="false">IF(AND(N('Hiring plan'!$F$47)&gt;0,AA$3&gt;='Hiring plan'!$G$47,AA$3&lt;=IF('Hiring plan'!$H$47="",999,'Hiring plan'!$H$47)),'Hiring plan'!$F$47,0)</f>
        <v>2</v>
      </c>
      <c r="AB51" s="33" t="n">
        <f aca="false">IF(AND(N('Hiring plan'!$F$47)&gt;0,AB$3&gt;='Hiring plan'!$G$47,AB$3&lt;=IF('Hiring plan'!$H$47="",999,'Hiring plan'!$H$47)),'Hiring plan'!$F$47,0)</f>
        <v>2</v>
      </c>
      <c r="AC51" s="33" t="n">
        <f aca="false">IF(AND(N('Hiring plan'!$F$47)&gt;0,AC$3&gt;='Hiring plan'!$G$47,AC$3&lt;=IF('Hiring plan'!$H$47="",999,'Hiring plan'!$H$47)),'Hiring plan'!$F$47,0)</f>
        <v>2</v>
      </c>
      <c r="AD51" s="33" t="n">
        <f aca="false">IF(AND(N('Hiring plan'!$F$47)&gt;0,AD$3&gt;='Hiring plan'!$G$47,AD$3&lt;=IF('Hiring plan'!$H$47="",999,'Hiring plan'!$H$47)),'Hiring plan'!$F$47,0)</f>
        <v>2</v>
      </c>
      <c r="AE51" s="33" t="n">
        <f aca="false">IF(AND(N('Hiring plan'!$F$47)&gt;0,AE$3&gt;='Hiring plan'!$G$47,AE$3&lt;=IF('Hiring plan'!$H$47="",999,'Hiring plan'!$H$47)),'Hiring plan'!$F$47,0)</f>
        <v>2</v>
      </c>
      <c r="AF51" s="33" t="n">
        <f aca="false">IF(AND(N('Hiring plan'!$F$47)&gt;0,AF$3&gt;='Hiring plan'!$G$47,AF$3&lt;=IF('Hiring plan'!$H$47="",999,'Hiring plan'!$H$47)),'Hiring plan'!$F$47,0)</f>
        <v>2</v>
      </c>
      <c r="AG51" s="33" t="n">
        <f aca="false">IF(AND(N('Hiring plan'!$F$47)&gt;0,AG$3&gt;='Hiring plan'!$G$47,AG$3&lt;=IF('Hiring plan'!$H$47="",999,'Hiring plan'!$H$47)),'Hiring plan'!$F$47,0)</f>
        <v>2</v>
      </c>
      <c r="AH51" s="33" t="n">
        <f aca="false">IF(AND(N('Hiring plan'!$F$47)&gt;0,AH$3&gt;='Hiring plan'!$G$47,AH$3&lt;=IF('Hiring plan'!$H$47="",999,'Hiring plan'!$H$47)),'Hiring plan'!$F$47,0)</f>
        <v>2</v>
      </c>
      <c r="AI51" s="33" t="n">
        <f aca="false">IF(AND(N('Hiring plan'!$F$47)&gt;0,AI$3&gt;='Hiring plan'!$G$47,AI$3&lt;=IF('Hiring plan'!$H$47="",999,'Hiring plan'!$H$47)),'Hiring plan'!$F$47,0)</f>
        <v>2</v>
      </c>
      <c r="AJ51" s="33" t="n">
        <f aca="false">IF(AND(N('Hiring plan'!$F$47)&gt;0,AJ$3&gt;='Hiring plan'!$G$47,AJ$3&lt;=IF('Hiring plan'!$H$47="",999,'Hiring plan'!$H$47)),'Hiring plan'!$F$47,0)</f>
        <v>2</v>
      </c>
      <c r="AK51" s="33" t="n">
        <f aca="false">IF(AND(N('Hiring plan'!$F$47)&gt;0,AK$3&gt;='Hiring plan'!$G$47,AK$3&lt;=IF('Hiring plan'!$H$47="",999,'Hiring plan'!$H$47)),'Hiring plan'!$F$47,0)</f>
        <v>2</v>
      </c>
      <c r="AL51" s="33" t="n">
        <f aca="false">IF(AND(N('Hiring plan'!$F$47)&gt;0,AL$3&gt;='Hiring plan'!$G$47,AL$3&lt;=IF('Hiring plan'!$H$47="",999,'Hiring plan'!$H$47)),'Hiring plan'!$F$47,0)</f>
        <v>2</v>
      </c>
      <c r="AM51" s="33" t="n">
        <f aca="false">IF(AND(N('Hiring plan'!$F$47)&gt;0,AM$3&gt;='Hiring plan'!$G$47,AM$3&lt;=IF('Hiring plan'!$H$47="",999,'Hiring plan'!$H$47)),'Hiring plan'!$F$47,0)</f>
        <v>2</v>
      </c>
      <c r="AN51" s="33" t="n">
        <f aca="false">IF(AND(N('Hiring plan'!$F$47)&gt;0,AN$3&gt;='Hiring plan'!$G$47,AN$3&lt;=IF('Hiring plan'!$H$47="",999,'Hiring plan'!$H$47)),'Hiring plan'!$F$47,0)</f>
        <v>2</v>
      </c>
      <c r="AO51" s="33" t="n">
        <f aca="false">IF(AND(N('Hiring plan'!$F$47)&gt;0,AO$3&gt;='Hiring plan'!$G$47,AO$3&lt;=IF('Hiring plan'!$H$47="",999,'Hiring plan'!$H$47)),'Hiring plan'!$F$47,0)</f>
        <v>2</v>
      </c>
      <c r="AP51" s="33" t="n">
        <f aca="false">IF(AND(N('Hiring plan'!$F$47)&gt;0,AP$3&gt;='Hiring plan'!$G$47,AP$3&lt;=IF('Hiring plan'!$H$47="",999,'Hiring plan'!$H$47)),'Hiring plan'!$F$47,0)</f>
        <v>2</v>
      </c>
      <c r="AQ51" s="33" t="n">
        <f aca="false">IF(AND(N('Hiring plan'!$F$47)&gt;0,AQ$3&gt;='Hiring plan'!$G$47,AQ$3&lt;=IF('Hiring plan'!$H$47="",999,'Hiring plan'!$H$47)),'Hiring plan'!$F$47,0)</f>
        <v>2</v>
      </c>
      <c r="AR51" s="33" t="n">
        <f aca="false">IF(AND(N('Hiring plan'!$F$47)&gt;0,AR$3&gt;='Hiring plan'!$G$47,AR$3&lt;=IF('Hiring plan'!$H$47="",999,'Hiring plan'!$H$47)),'Hiring plan'!$F$47,0)</f>
        <v>2</v>
      </c>
      <c r="AS51" s="33" t="n">
        <f aca="false">IF(AND(N('Hiring plan'!$F$47)&gt;0,AS$3&gt;='Hiring plan'!$G$47,AS$3&lt;=IF('Hiring plan'!$H$47="",999,'Hiring plan'!$H$47)),'Hiring plan'!$F$47,0)</f>
        <v>2</v>
      </c>
      <c r="AT51" s="33" t="n">
        <f aca="false">IF(AND(N('Hiring plan'!$F$47)&gt;0,AT$3&gt;='Hiring plan'!$G$47,AT$3&lt;=IF('Hiring plan'!$H$47="",999,'Hiring plan'!$H$47)),'Hiring plan'!$F$47,0)</f>
        <v>2</v>
      </c>
      <c r="AU51" s="33" t="n">
        <f aca="false">IF(AND(N('Hiring plan'!$F$47)&gt;0,AU$3&gt;='Hiring plan'!$G$47,AU$3&lt;=IF('Hiring plan'!$H$47="",999,'Hiring plan'!$H$47)),'Hiring plan'!$F$47,0)</f>
        <v>2</v>
      </c>
      <c r="AV51" s="33" t="n">
        <f aca="false">IF(AND(N('Hiring plan'!$F$47)&gt;0,AV$3&gt;='Hiring plan'!$G$47,AV$3&lt;=IF('Hiring plan'!$H$47="",999,'Hiring plan'!$H$47)),'Hiring plan'!$F$47,0)</f>
        <v>2</v>
      </c>
      <c r="AW51" s="33" t="n">
        <f aca="false">IF(AND(N('Hiring plan'!$F$47)&gt;0,AW$3&gt;='Hiring plan'!$G$47,AW$3&lt;=IF('Hiring plan'!$H$47="",999,'Hiring plan'!$H$47)),'Hiring plan'!$F$47,0)</f>
        <v>2</v>
      </c>
      <c r="AX51" s="33" t="n">
        <f aca="false">IF(AND(N('Hiring plan'!$F$47)&gt;0,AX$3&gt;='Hiring plan'!$G$47,AX$3&lt;=IF('Hiring plan'!$H$47="",999,'Hiring plan'!$H$47)),'Hiring plan'!$F$47,0)</f>
        <v>2</v>
      </c>
      <c r="AY51" s="33" t="n">
        <f aca="false">IF(AND(N('Hiring plan'!$F$47)&gt;0,AY$3&gt;='Hiring plan'!$G$47,AY$3&lt;=IF('Hiring plan'!$H$47="",999,'Hiring plan'!$H$47)),'Hiring plan'!$F$47,0)</f>
        <v>2</v>
      </c>
      <c r="AZ51" s="33" t="n">
        <f aca="false">IF(AND(N('Hiring plan'!$F$47)&gt;0,AZ$3&gt;='Hiring plan'!$G$47,AZ$3&lt;=IF('Hiring plan'!$H$47="",999,'Hiring plan'!$H$47)),'Hiring plan'!$F$47,0)</f>
        <v>2</v>
      </c>
      <c r="BA51" s="33" t="n">
        <f aca="false">IF(AND(N('Hiring plan'!$F$47)&gt;0,BA$3&gt;='Hiring plan'!$G$47,BA$3&lt;=IF('Hiring plan'!$H$47="",999,'Hiring plan'!$H$47)),'Hiring plan'!$F$47,0)</f>
        <v>2</v>
      </c>
      <c r="BB51" s="33" t="n">
        <f aca="false">IF(AND(N('Hiring plan'!$F$47)&gt;0,BB$3&gt;='Hiring plan'!$G$47,BB$3&lt;=IF('Hiring plan'!$H$47="",999,'Hiring plan'!$H$47)),'Hiring plan'!$F$47,0)</f>
        <v>2</v>
      </c>
      <c r="BC51" s="33" t="n">
        <f aca="false">IF(AND(N('Hiring plan'!$F$47)&gt;0,BC$3&gt;='Hiring plan'!$G$47,BC$3&lt;=IF('Hiring plan'!$H$47="",999,'Hiring plan'!$H$47)),'Hiring plan'!$F$47,0)</f>
        <v>2</v>
      </c>
      <c r="BD51" s="33" t="n">
        <f aca="false">IF(AND(N('Hiring plan'!$F$47)&gt;0,BD$3&gt;='Hiring plan'!$G$47,BD$3&lt;=IF('Hiring plan'!$H$47="",999,'Hiring plan'!$H$47)),'Hiring plan'!$F$47,0)</f>
        <v>2</v>
      </c>
      <c r="BE51" s="33" t="n">
        <f aca="false">IF(AND(N('Hiring plan'!$F$47)&gt;0,BE$3&gt;='Hiring plan'!$G$47,BE$3&lt;=IF('Hiring plan'!$H$47="",999,'Hiring plan'!$H$47)),'Hiring plan'!$F$47,0)</f>
        <v>2</v>
      </c>
      <c r="BF51" s="33" t="n">
        <f aca="false">IF(AND(N('Hiring plan'!$F$47)&gt;0,BF$3&gt;='Hiring plan'!$G$47,BF$3&lt;=IF('Hiring plan'!$H$47="",999,'Hiring plan'!$H$47)),'Hiring plan'!$F$47,0)</f>
        <v>2</v>
      </c>
      <c r="BG51" s="33" t="n">
        <f aca="false">IF(AND(N('Hiring plan'!$F$47)&gt;0,BG$3&gt;='Hiring plan'!$G$47,BG$3&lt;=IF('Hiring plan'!$H$47="",999,'Hiring plan'!$H$47)),'Hiring plan'!$F$47,0)</f>
        <v>2</v>
      </c>
      <c r="BH51" s="33" t="n">
        <f aca="false">IF(AND(N('Hiring plan'!$F$47)&gt;0,BH$3&gt;='Hiring plan'!$G$47,BH$3&lt;=IF('Hiring plan'!$H$47="",999,'Hiring plan'!$H$47)),'Hiring plan'!$F$47,0)</f>
        <v>2</v>
      </c>
      <c r="BI51" s="33" t="n">
        <f aca="false">IF(AND(N('Hiring plan'!$F$47)&gt;0,BI$3&gt;='Hiring plan'!$G$47,BI$3&lt;=IF('Hiring plan'!$H$47="",999,'Hiring plan'!$H$47)),'Hiring plan'!$F$47,0)</f>
        <v>2</v>
      </c>
      <c r="BJ51" s="33" t="n">
        <f aca="false">IF(AND(N('Hiring plan'!$F$47)&gt;0,BJ$3&gt;='Hiring plan'!$G$47,BJ$3&lt;=IF('Hiring plan'!$H$47="",999,'Hiring plan'!$H$47)),'Hiring plan'!$F$47,0)</f>
        <v>2</v>
      </c>
      <c r="BK51" s="33" t="n">
        <f aca="false">IF(AND(N('Hiring plan'!$F$47)&gt;0,BK$3&gt;='Hiring plan'!$G$47,BK$3&lt;=IF('Hiring plan'!$H$47="",999,'Hiring plan'!$H$47)),'Hiring plan'!$F$47,0)</f>
        <v>2</v>
      </c>
      <c r="BL51" s="33" t="n">
        <f aca="false">IF(AND(N('Hiring plan'!$F$47)&gt;0,BL$3&gt;='Hiring plan'!$G$47,BL$3&lt;=IF('Hiring plan'!$H$47="",999,'Hiring plan'!$H$47)),'Hiring plan'!$F$47,0)</f>
        <v>2</v>
      </c>
    </row>
    <row r="52" customFormat="false" ht="15" hidden="false" customHeight="false" outlineLevel="0" collapsed="false">
      <c r="A52" s="12" t="str">
        <f aca="false">IF('Hiring plan'!$C$48="","(spare line 44)",'Hiring plan'!$C$48&amp;" · "&amp;'Hiring plan'!$D$48)</f>
        <v>Field sales rep · SN</v>
      </c>
      <c r="B52" s="14" t="s">
        <v>222</v>
      </c>
      <c r="D52" s="41" t="n">
        <f aca="false">MAX(E52:BL52)</f>
        <v>2</v>
      </c>
      <c r="E52" s="33" t="n">
        <f aca="false">IF(AND(N('Hiring plan'!$F$48)&gt;0,E$3&gt;='Hiring plan'!$G$48,E$3&lt;=IF('Hiring plan'!$H$48="",999,'Hiring plan'!$H$48)),'Hiring plan'!$F$48,0)</f>
        <v>0</v>
      </c>
      <c r="F52" s="33" t="n">
        <f aca="false">IF(AND(N('Hiring plan'!$F$48)&gt;0,F$3&gt;='Hiring plan'!$G$48,F$3&lt;=IF('Hiring plan'!$H$48="",999,'Hiring plan'!$H$48)),'Hiring plan'!$F$48,0)</f>
        <v>0</v>
      </c>
      <c r="G52" s="33" t="n">
        <f aca="false">IF(AND(N('Hiring plan'!$F$48)&gt;0,G$3&gt;='Hiring plan'!$G$48,G$3&lt;=IF('Hiring plan'!$H$48="",999,'Hiring plan'!$H$48)),'Hiring plan'!$F$48,0)</f>
        <v>0</v>
      </c>
      <c r="H52" s="33" t="n">
        <f aca="false">IF(AND(N('Hiring plan'!$F$48)&gt;0,H$3&gt;='Hiring plan'!$G$48,H$3&lt;=IF('Hiring plan'!$H$48="",999,'Hiring plan'!$H$48)),'Hiring plan'!$F$48,0)</f>
        <v>0</v>
      </c>
      <c r="I52" s="33" t="n">
        <f aca="false">IF(AND(N('Hiring plan'!$F$48)&gt;0,I$3&gt;='Hiring plan'!$G$48,I$3&lt;=IF('Hiring plan'!$H$48="",999,'Hiring plan'!$H$48)),'Hiring plan'!$F$48,0)</f>
        <v>0</v>
      </c>
      <c r="J52" s="33" t="n">
        <f aca="false">IF(AND(N('Hiring plan'!$F$48)&gt;0,J$3&gt;='Hiring plan'!$G$48,J$3&lt;=IF('Hiring plan'!$H$48="",999,'Hiring plan'!$H$48)),'Hiring plan'!$F$48,0)</f>
        <v>0</v>
      </c>
      <c r="K52" s="33" t="n">
        <f aca="false">IF(AND(N('Hiring plan'!$F$48)&gt;0,K$3&gt;='Hiring plan'!$G$48,K$3&lt;=IF('Hiring plan'!$H$48="",999,'Hiring plan'!$H$48)),'Hiring plan'!$F$48,0)</f>
        <v>2</v>
      </c>
      <c r="L52" s="33" t="n">
        <f aca="false">IF(AND(N('Hiring plan'!$F$48)&gt;0,L$3&gt;='Hiring plan'!$G$48,L$3&lt;=IF('Hiring plan'!$H$48="",999,'Hiring plan'!$H$48)),'Hiring plan'!$F$48,0)</f>
        <v>2</v>
      </c>
      <c r="M52" s="33" t="n">
        <f aca="false">IF(AND(N('Hiring plan'!$F$48)&gt;0,M$3&gt;='Hiring plan'!$G$48,M$3&lt;=IF('Hiring plan'!$H$48="",999,'Hiring plan'!$H$48)),'Hiring plan'!$F$48,0)</f>
        <v>2</v>
      </c>
      <c r="N52" s="33" t="n">
        <f aca="false">IF(AND(N('Hiring plan'!$F$48)&gt;0,N$3&gt;='Hiring plan'!$G$48,N$3&lt;=IF('Hiring plan'!$H$48="",999,'Hiring plan'!$H$48)),'Hiring plan'!$F$48,0)</f>
        <v>2</v>
      </c>
      <c r="O52" s="33" t="n">
        <f aca="false">IF(AND(N('Hiring plan'!$F$48)&gt;0,O$3&gt;='Hiring plan'!$G$48,O$3&lt;=IF('Hiring plan'!$H$48="",999,'Hiring plan'!$H$48)),'Hiring plan'!$F$48,0)</f>
        <v>2</v>
      </c>
      <c r="P52" s="33" t="n">
        <f aca="false">IF(AND(N('Hiring plan'!$F$48)&gt;0,P$3&gt;='Hiring plan'!$G$48,P$3&lt;=IF('Hiring plan'!$H$48="",999,'Hiring plan'!$H$48)),'Hiring plan'!$F$48,0)</f>
        <v>2</v>
      </c>
      <c r="Q52" s="33" t="n">
        <f aca="false">IF(AND(N('Hiring plan'!$F$48)&gt;0,Q$3&gt;='Hiring plan'!$G$48,Q$3&lt;=IF('Hiring plan'!$H$48="",999,'Hiring plan'!$H$48)),'Hiring plan'!$F$48,0)</f>
        <v>2</v>
      </c>
      <c r="R52" s="33" t="n">
        <f aca="false">IF(AND(N('Hiring plan'!$F$48)&gt;0,R$3&gt;='Hiring plan'!$G$48,R$3&lt;=IF('Hiring plan'!$H$48="",999,'Hiring plan'!$H$48)),'Hiring plan'!$F$48,0)</f>
        <v>2</v>
      </c>
      <c r="S52" s="33" t="n">
        <f aca="false">IF(AND(N('Hiring plan'!$F$48)&gt;0,S$3&gt;='Hiring plan'!$G$48,S$3&lt;=IF('Hiring plan'!$H$48="",999,'Hiring plan'!$H$48)),'Hiring plan'!$F$48,0)</f>
        <v>2</v>
      </c>
      <c r="T52" s="33" t="n">
        <f aca="false">IF(AND(N('Hiring plan'!$F$48)&gt;0,T$3&gt;='Hiring plan'!$G$48,T$3&lt;=IF('Hiring plan'!$H$48="",999,'Hiring plan'!$H$48)),'Hiring plan'!$F$48,0)</f>
        <v>2</v>
      </c>
      <c r="U52" s="33" t="n">
        <f aca="false">IF(AND(N('Hiring plan'!$F$48)&gt;0,U$3&gt;='Hiring plan'!$G$48,U$3&lt;=IF('Hiring plan'!$H$48="",999,'Hiring plan'!$H$48)),'Hiring plan'!$F$48,0)</f>
        <v>2</v>
      </c>
      <c r="V52" s="33" t="n">
        <f aca="false">IF(AND(N('Hiring plan'!$F$48)&gt;0,V$3&gt;='Hiring plan'!$G$48,V$3&lt;=IF('Hiring plan'!$H$48="",999,'Hiring plan'!$H$48)),'Hiring plan'!$F$48,0)</f>
        <v>2</v>
      </c>
      <c r="W52" s="33" t="n">
        <f aca="false">IF(AND(N('Hiring plan'!$F$48)&gt;0,W$3&gt;='Hiring plan'!$G$48,W$3&lt;=IF('Hiring plan'!$H$48="",999,'Hiring plan'!$H$48)),'Hiring plan'!$F$48,0)</f>
        <v>2</v>
      </c>
      <c r="X52" s="33" t="n">
        <f aca="false">IF(AND(N('Hiring plan'!$F$48)&gt;0,X$3&gt;='Hiring plan'!$G$48,X$3&lt;=IF('Hiring plan'!$H$48="",999,'Hiring plan'!$H$48)),'Hiring plan'!$F$48,0)</f>
        <v>2</v>
      </c>
      <c r="Y52" s="33" t="n">
        <f aca="false">IF(AND(N('Hiring plan'!$F$48)&gt;0,Y$3&gt;='Hiring plan'!$G$48,Y$3&lt;=IF('Hiring plan'!$H$48="",999,'Hiring plan'!$H$48)),'Hiring plan'!$F$48,0)</f>
        <v>2</v>
      </c>
      <c r="Z52" s="33" t="n">
        <f aca="false">IF(AND(N('Hiring plan'!$F$48)&gt;0,Z$3&gt;='Hiring plan'!$G$48,Z$3&lt;=IF('Hiring plan'!$H$48="",999,'Hiring plan'!$H$48)),'Hiring plan'!$F$48,0)</f>
        <v>2</v>
      </c>
      <c r="AA52" s="33" t="n">
        <f aca="false">IF(AND(N('Hiring plan'!$F$48)&gt;0,AA$3&gt;='Hiring plan'!$G$48,AA$3&lt;=IF('Hiring plan'!$H$48="",999,'Hiring plan'!$H$48)),'Hiring plan'!$F$48,0)</f>
        <v>2</v>
      </c>
      <c r="AB52" s="33" t="n">
        <f aca="false">IF(AND(N('Hiring plan'!$F$48)&gt;0,AB$3&gt;='Hiring plan'!$G$48,AB$3&lt;=IF('Hiring plan'!$H$48="",999,'Hiring plan'!$H$48)),'Hiring plan'!$F$48,0)</f>
        <v>2</v>
      </c>
      <c r="AC52" s="33" t="n">
        <f aca="false">IF(AND(N('Hiring plan'!$F$48)&gt;0,AC$3&gt;='Hiring plan'!$G$48,AC$3&lt;=IF('Hiring plan'!$H$48="",999,'Hiring plan'!$H$48)),'Hiring plan'!$F$48,0)</f>
        <v>2</v>
      </c>
      <c r="AD52" s="33" t="n">
        <f aca="false">IF(AND(N('Hiring plan'!$F$48)&gt;0,AD$3&gt;='Hiring plan'!$G$48,AD$3&lt;=IF('Hiring plan'!$H$48="",999,'Hiring plan'!$H$48)),'Hiring plan'!$F$48,0)</f>
        <v>2</v>
      </c>
      <c r="AE52" s="33" t="n">
        <f aca="false">IF(AND(N('Hiring plan'!$F$48)&gt;0,AE$3&gt;='Hiring plan'!$G$48,AE$3&lt;=IF('Hiring plan'!$H$48="",999,'Hiring plan'!$H$48)),'Hiring plan'!$F$48,0)</f>
        <v>2</v>
      </c>
      <c r="AF52" s="33" t="n">
        <f aca="false">IF(AND(N('Hiring plan'!$F$48)&gt;0,AF$3&gt;='Hiring plan'!$G$48,AF$3&lt;=IF('Hiring plan'!$H$48="",999,'Hiring plan'!$H$48)),'Hiring plan'!$F$48,0)</f>
        <v>2</v>
      </c>
      <c r="AG52" s="33" t="n">
        <f aca="false">IF(AND(N('Hiring plan'!$F$48)&gt;0,AG$3&gt;='Hiring plan'!$G$48,AG$3&lt;=IF('Hiring plan'!$H$48="",999,'Hiring plan'!$H$48)),'Hiring plan'!$F$48,0)</f>
        <v>2</v>
      </c>
      <c r="AH52" s="33" t="n">
        <f aca="false">IF(AND(N('Hiring plan'!$F$48)&gt;0,AH$3&gt;='Hiring plan'!$G$48,AH$3&lt;=IF('Hiring plan'!$H$48="",999,'Hiring plan'!$H$48)),'Hiring plan'!$F$48,0)</f>
        <v>2</v>
      </c>
      <c r="AI52" s="33" t="n">
        <f aca="false">IF(AND(N('Hiring plan'!$F$48)&gt;0,AI$3&gt;='Hiring plan'!$G$48,AI$3&lt;=IF('Hiring plan'!$H$48="",999,'Hiring plan'!$H$48)),'Hiring plan'!$F$48,0)</f>
        <v>2</v>
      </c>
      <c r="AJ52" s="33" t="n">
        <f aca="false">IF(AND(N('Hiring plan'!$F$48)&gt;0,AJ$3&gt;='Hiring plan'!$G$48,AJ$3&lt;=IF('Hiring plan'!$H$48="",999,'Hiring plan'!$H$48)),'Hiring plan'!$F$48,0)</f>
        <v>2</v>
      </c>
      <c r="AK52" s="33" t="n">
        <f aca="false">IF(AND(N('Hiring plan'!$F$48)&gt;0,AK$3&gt;='Hiring plan'!$G$48,AK$3&lt;=IF('Hiring plan'!$H$48="",999,'Hiring plan'!$H$48)),'Hiring plan'!$F$48,0)</f>
        <v>2</v>
      </c>
      <c r="AL52" s="33" t="n">
        <f aca="false">IF(AND(N('Hiring plan'!$F$48)&gt;0,AL$3&gt;='Hiring plan'!$G$48,AL$3&lt;=IF('Hiring plan'!$H$48="",999,'Hiring plan'!$H$48)),'Hiring plan'!$F$48,0)</f>
        <v>2</v>
      </c>
      <c r="AM52" s="33" t="n">
        <f aca="false">IF(AND(N('Hiring plan'!$F$48)&gt;0,AM$3&gt;='Hiring plan'!$G$48,AM$3&lt;=IF('Hiring plan'!$H$48="",999,'Hiring plan'!$H$48)),'Hiring plan'!$F$48,0)</f>
        <v>2</v>
      </c>
      <c r="AN52" s="33" t="n">
        <f aca="false">IF(AND(N('Hiring plan'!$F$48)&gt;0,AN$3&gt;='Hiring plan'!$G$48,AN$3&lt;=IF('Hiring plan'!$H$48="",999,'Hiring plan'!$H$48)),'Hiring plan'!$F$48,0)</f>
        <v>2</v>
      </c>
      <c r="AO52" s="33" t="n">
        <f aca="false">IF(AND(N('Hiring plan'!$F$48)&gt;0,AO$3&gt;='Hiring plan'!$G$48,AO$3&lt;=IF('Hiring plan'!$H$48="",999,'Hiring plan'!$H$48)),'Hiring plan'!$F$48,0)</f>
        <v>2</v>
      </c>
      <c r="AP52" s="33" t="n">
        <f aca="false">IF(AND(N('Hiring plan'!$F$48)&gt;0,AP$3&gt;='Hiring plan'!$G$48,AP$3&lt;=IF('Hiring plan'!$H$48="",999,'Hiring plan'!$H$48)),'Hiring plan'!$F$48,0)</f>
        <v>2</v>
      </c>
      <c r="AQ52" s="33" t="n">
        <f aca="false">IF(AND(N('Hiring plan'!$F$48)&gt;0,AQ$3&gt;='Hiring plan'!$G$48,AQ$3&lt;=IF('Hiring plan'!$H$48="",999,'Hiring plan'!$H$48)),'Hiring plan'!$F$48,0)</f>
        <v>2</v>
      </c>
      <c r="AR52" s="33" t="n">
        <f aca="false">IF(AND(N('Hiring plan'!$F$48)&gt;0,AR$3&gt;='Hiring plan'!$G$48,AR$3&lt;=IF('Hiring plan'!$H$48="",999,'Hiring plan'!$H$48)),'Hiring plan'!$F$48,0)</f>
        <v>2</v>
      </c>
      <c r="AS52" s="33" t="n">
        <f aca="false">IF(AND(N('Hiring plan'!$F$48)&gt;0,AS$3&gt;='Hiring plan'!$G$48,AS$3&lt;=IF('Hiring plan'!$H$48="",999,'Hiring plan'!$H$48)),'Hiring plan'!$F$48,0)</f>
        <v>2</v>
      </c>
      <c r="AT52" s="33" t="n">
        <f aca="false">IF(AND(N('Hiring plan'!$F$48)&gt;0,AT$3&gt;='Hiring plan'!$G$48,AT$3&lt;=IF('Hiring plan'!$H$48="",999,'Hiring plan'!$H$48)),'Hiring plan'!$F$48,0)</f>
        <v>2</v>
      </c>
      <c r="AU52" s="33" t="n">
        <f aca="false">IF(AND(N('Hiring plan'!$F$48)&gt;0,AU$3&gt;='Hiring plan'!$G$48,AU$3&lt;=IF('Hiring plan'!$H$48="",999,'Hiring plan'!$H$48)),'Hiring plan'!$F$48,0)</f>
        <v>2</v>
      </c>
      <c r="AV52" s="33" t="n">
        <f aca="false">IF(AND(N('Hiring plan'!$F$48)&gt;0,AV$3&gt;='Hiring plan'!$G$48,AV$3&lt;=IF('Hiring plan'!$H$48="",999,'Hiring plan'!$H$48)),'Hiring plan'!$F$48,0)</f>
        <v>2</v>
      </c>
      <c r="AW52" s="33" t="n">
        <f aca="false">IF(AND(N('Hiring plan'!$F$48)&gt;0,AW$3&gt;='Hiring plan'!$G$48,AW$3&lt;=IF('Hiring plan'!$H$48="",999,'Hiring plan'!$H$48)),'Hiring plan'!$F$48,0)</f>
        <v>2</v>
      </c>
      <c r="AX52" s="33" t="n">
        <f aca="false">IF(AND(N('Hiring plan'!$F$48)&gt;0,AX$3&gt;='Hiring plan'!$G$48,AX$3&lt;=IF('Hiring plan'!$H$48="",999,'Hiring plan'!$H$48)),'Hiring plan'!$F$48,0)</f>
        <v>2</v>
      </c>
      <c r="AY52" s="33" t="n">
        <f aca="false">IF(AND(N('Hiring plan'!$F$48)&gt;0,AY$3&gt;='Hiring plan'!$G$48,AY$3&lt;=IF('Hiring plan'!$H$48="",999,'Hiring plan'!$H$48)),'Hiring plan'!$F$48,0)</f>
        <v>2</v>
      </c>
      <c r="AZ52" s="33" t="n">
        <f aca="false">IF(AND(N('Hiring plan'!$F$48)&gt;0,AZ$3&gt;='Hiring plan'!$G$48,AZ$3&lt;=IF('Hiring plan'!$H$48="",999,'Hiring plan'!$H$48)),'Hiring plan'!$F$48,0)</f>
        <v>2</v>
      </c>
      <c r="BA52" s="33" t="n">
        <f aca="false">IF(AND(N('Hiring plan'!$F$48)&gt;0,BA$3&gt;='Hiring plan'!$G$48,BA$3&lt;=IF('Hiring plan'!$H$48="",999,'Hiring plan'!$H$48)),'Hiring plan'!$F$48,0)</f>
        <v>2</v>
      </c>
      <c r="BB52" s="33" t="n">
        <f aca="false">IF(AND(N('Hiring plan'!$F$48)&gt;0,BB$3&gt;='Hiring plan'!$G$48,BB$3&lt;=IF('Hiring plan'!$H$48="",999,'Hiring plan'!$H$48)),'Hiring plan'!$F$48,0)</f>
        <v>2</v>
      </c>
      <c r="BC52" s="33" t="n">
        <f aca="false">IF(AND(N('Hiring plan'!$F$48)&gt;0,BC$3&gt;='Hiring plan'!$G$48,BC$3&lt;=IF('Hiring plan'!$H$48="",999,'Hiring plan'!$H$48)),'Hiring plan'!$F$48,0)</f>
        <v>2</v>
      </c>
      <c r="BD52" s="33" t="n">
        <f aca="false">IF(AND(N('Hiring plan'!$F$48)&gt;0,BD$3&gt;='Hiring plan'!$G$48,BD$3&lt;=IF('Hiring plan'!$H$48="",999,'Hiring plan'!$H$48)),'Hiring plan'!$F$48,0)</f>
        <v>2</v>
      </c>
      <c r="BE52" s="33" t="n">
        <f aca="false">IF(AND(N('Hiring plan'!$F$48)&gt;0,BE$3&gt;='Hiring plan'!$G$48,BE$3&lt;=IF('Hiring plan'!$H$48="",999,'Hiring plan'!$H$48)),'Hiring plan'!$F$48,0)</f>
        <v>2</v>
      </c>
      <c r="BF52" s="33" t="n">
        <f aca="false">IF(AND(N('Hiring plan'!$F$48)&gt;0,BF$3&gt;='Hiring plan'!$G$48,BF$3&lt;=IF('Hiring plan'!$H$48="",999,'Hiring plan'!$H$48)),'Hiring plan'!$F$48,0)</f>
        <v>2</v>
      </c>
      <c r="BG52" s="33" t="n">
        <f aca="false">IF(AND(N('Hiring plan'!$F$48)&gt;0,BG$3&gt;='Hiring plan'!$G$48,BG$3&lt;=IF('Hiring plan'!$H$48="",999,'Hiring plan'!$H$48)),'Hiring plan'!$F$48,0)</f>
        <v>2</v>
      </c>
      <c r="BH52" s="33" t="n">
        <f aca="false">IF(AND(N('Hiring plan'!$F$48)&gt;0,BH$3&gt;='Hiring plan'!$G$48,BH$3&lt;=IF('Hiring plan'!$H$48="",999,'Hiring plan'!$H$48)),'Hiring plan'!$F$48,0)</f>
        <v>2</v>
      </c>
      <c r="BI52" s="33" t="n">
        <f aca="false">IF(AND(N('Hiring plan'!$F$48)&gt;0,BI$3&gt;='Hiring plan'!$G$48,BI$3&lt;=IF('Hiring plan'!$H$48="",999,'Hiring plan'!$H$48)),'Hiring plan'!$F$48,0)</f>
        <v>2</v>
      </c>
      <c r="BJ52" s="33" t="n">
        <f aca="false">IF(AND(N('Hiring plan'!$F$48)&gt;0,BJ$3&gt;='Hiring plan'!$G$48,BJ$3&lt;=IF('Hiring plan'!$H$48="",999,'Hiring plan'!$H$48)),'Hiring plan'!$F$48,0)</f>
        <v>2</v>
      </c>
      <c r="BK52" s="33" t="n">
        <f aca="false">IF(AND(N('Hiring plan'!$F$48)&gt;0,BK$3&gt;='Hiring plan'!$G$48,BK$3&lt;=IF('Hiring plan'!$H$48="",999,'Hiring plan'!$H$48)),'Hiring plan'!$F$48,0)</f>
        <v>2</v>
      </c>
      <c r="BL52" s="33" t="n">
        <f aca="false">IF(AND(N('Hiring plan'!$F$48)&gt;0,BL$3&gt;='Hiring plan'!$G$48,BL$3&lt;=IF('Hiring plan'!$H$48="",999,'Hiring plan'!$H$48)),'Hiring plan'!$F$48,0)</f>
        <v>2</v>
      </c>
    </row>
    <row r="53" customFormat="false" ht="15" hidden="false" customHeight="false" outlineLevel="0" collapsed="false">
      <c r="A53" s="12" t="str">
        <f aca="false">IF('Hiring plan'!$C$49="","(spare line 45)",'Hiring plan'!$C$49&amp;" · "&amp;'Hiring plan'!$D$49)</f>
        <v>Field sales rep · SN</v>
      </c>
      <c r="B53" s="14" t="s">
        <v>222</v>
      </c>
      <c r="D53" s="41" t="n">
        <f aca="false">MAX(E53:BL53)</f>
        <v>4</v>
      </c>
      <c r="E53" s="33" t="n">
        <f aca="false">IF(AND(N('Hiring plan'!$F$49)&gt;0,E$3&gt;='Hiring plan'!$G$49,E$3&lt;=IF('Hiring plan'!$H$49="",999,'Hiring plan'!$H$49)),'Hiring plan'!$F$49,0)</f>
        <v>0</v>
      </c>
      <c r="F53" s="33" t="n">
        <f aca="false">IF(AND(N('Hiring plan'!$F$49)&gt;0,F$3&gt;='Hiring plan'!$G$49,F$3&lt;=IF('Hiring plan'!$H$49="",999,'Hiring plan'!$H$49)),'Hiring plan'!$F$49,0)</f>
        <v>0</v>
      </c>
      <c r="G53" s="33" t="n">
        <f aca="false">IF(AND(N('Hiring plan'!$F$49)&gt;0,G$3&gt;='Hiring plan'!$G$49,G$3&lt;=IF('Hiring plan'!$H$49="",999,'Hiring plan'!$H$49)),'Hiring plan'!$F$49,0)</f>
        <v>0</v>
      </c>
      <c r="H53" s="33" t="n">
        <f aca="false">IF(AND(N('Hiring plan'!$F$49)&gt;0,H$3&gt;='Hiring plan'!$G$49,H$3&lt;=IF('Hiring plan'!$H$49="",999,'Hiring plan'!$H$49)),'Hiring plan'!$F$49,0)</f>
        <v>0</v>
      </c>
      <c r="I53" s="33" t="n">
        <f aca="false">IF(AND(N('Hiring plan'!$F$49)&gt;0,I$3&gt;='Hiring plan'!$G$49,I$3&lt;=IF('Hiring plan'!$H$49="",999,'Hiring plan'!$H$49)),'Hiring plan'!$F$49,0)</f>
        <v>0</v>
      </c>
      <c r="J53" s="33" t="n">
        <f aca="false">IF(AND(N('Hiring plan'!$F$49)&gt;0,J$3&gt;='Hiring plan'!$G$49,J$3&lt;=IF('Hiring plan'!$H$49="",999,'Hiring plan'!$H$49)),'Hiring plan'!$F$49,0)</f>
        <v>0</v>
      </c>
      <c r="K53" s="33" t="n">
        <f aca="false">IF(AND(N('Hiring plan'!$F$49)&gt;0,K$3&gt;='Hiring plan'!$G$49,K$3&lt;=IF('Hiring plan'!$H$49="",999,'Hiring plan'!$H$49)),'Hiring plan'!$F$49,0)</f>
        <v>0</v>
      </c>
      <c r="L53" s="33" t="n">
        <f aca="false">IF(AND(N('Hiring plan'!$F$49)&gt;0,L$3&gt;='Hiring plan'!$G$49,L$3&lt;=IF('Hiring plan'!$H$49="",999,'Hiring plan'!$H$49)),'Hiring plan'!$F$49,0)</f>
        <v>0</v>
      </c>
      <c r="M53" s="33" t="n">
        <f aca="false">IF(AND(N('Hiring plan'!$F$49)&gt;0,M$3&gt;='Hiring plan'!$G$49,M$3&lt;=IF('Hiring plan'!$H$49="",999,'Hiring plan'!$H$49)),'Hiring plan'!$F$49,0)</f>
        <v>0</v>
      </c>
      <c r="N53" s="33" t="n">
        <f aca="false">IF(AND(N('Hiring plan'!$F$49)&gt;0,N$3&gt;='Hiring plan'!$G$49,N$3&lt;=IF('Hiring plan'!$H$49="",999,'Hiring plan'!$H$49)),'Hiring plan'!$F$49,0)</f>
        <v>0</v>
      </c>
      <c r="O53" s="33" t="n">
        <f aca="false">IF(AND(N('Hiring plan'!$F$49)&gt;0,O$3&gt;='Hiring plan'!$G$49,O$3&lt;=IF('Hiring plan'!$H$49="",999,'Hiring plan'!$H$49)),'Hiring plan'!$F$49,0)</f>
        <v>0</v>
      </c>
      <c r="P53" s="33" t="n">
        <f aca="false">IF(AND(N('Hiring plan'!$F$49)&gt;0,P$3&gt;='Hiring plan'!$G$49,P$3&lt;=IF('Hiring plan'!$H$49="",999,'Hiring plan'!$H$49)),'Hiring plan'!$F$49,0)</f>
        <v>0</v>
      </c>
      <c r="Q53" s="33" t="n">
        <f aca="false">IF(AND(N('Hiring plan'!$F$49)&gt;0,Q$3&gt;='Hiring plan'!$G$49,Q$3&lt;=IF('Hiring plan'!$H$49="",999,'Hiring plan'!$H$49)),'Hiring plan'!$F$49,0)</f>
        <v>0</v>
      </c>
      <c r="R53" s="33" t="n">
        <f aca="false">IF(AND(N('Hiring plan'!$F$49)&gt;0,R$3&gt;='Hiring plan'!$G$49,R$3&lt;=IF('Hiring plan'!$H$49="",999,'Hiring plan'!$H$49)),'Hiring plan'!$F$49,0)</f>
        <v>0</v>
      </c>
      <c r="S53" s="33" t="n">
        <f aca="false">IF(AND(N('Hiring plan'!$F$49)&gt;0,S$3&gt;='Hiring plan'!$G$49,S$3&lt;=IF('Hiring plan'!$H$49="",999,'Hiring plan'!$H$49)),'Hiring plan'!$F$49,0)</f>
        <v>0</v>
      </c>
      <c r="T53" s="33" t="n">
        <f aca="false">IF(AND(N('Hiring plan'!$F$49)&gt;0,T$3&gt;='Hiring plan'!$G$49,T$3&lt;=IF('Hiring plan'!$H$49="",999,'Hiring plan'!$H$49)),'Hiring plan'!$F$49,0)</f>
        <v>0</v>
      </c>
      <c r="U53" s="33" t="n">
        <f aca="false">IF(AND(N('Hiring plan'!$F$49)&gt;0,U$3&gt;='Hiring plan'!$G$49,U$3&lt;=IF('Hiring plan'!$H$49="",999,'Hiring plan'!$H$49)),'Hiring plan'!$F$49,0)</f>
        <v>0</v>
      </c>
      <c r="V53" s="33" t="n">
        <f aca="false">IF(AND(N('Hiring plan'!$F$49)&gt;0,V$3&gt;='Hiring plan'!$G$49,V$3&lt;=IF('Hiring plan'!$H$49="",999,'Hiring plan'!$H$49)),'Hiring plan'!$F$49,0)</f>
        <v>0</v>
      </c>
      <c r="W53" s="33" t="n">
        <f aca="false">IF(AND(N('Hiring plan'!$F$49)&gt;0,W$3&gt;='Hiring plan'!$G$49,W$3&lt;=IF('Hiring plan'!$H$49="",999,'Hiring plan'!$H$49)),'Hiring plan'!$F$49,0)</f>
        <v>4</v>
      </c>
      <c r="X53" s="33" t="n">
        <f aca="false">IF(AND(N('Hiring plan'!$F$49)&gt;0,X$3&gt;='Hiring plan'!$G$49,X$3&lt;=IF('Hiring plan'!$H$49="",999,'Hiring plan'!$H$49)),'Hiring plan'!$F$49,0)</f>
        <v>4</v>
      </c>
      <c r="Y53" s="33" t="n">
        <f aca="false">IF(AND(N('Hiring plan'!$F$49)&gt;0,Y$3&gt;='Hiring plan'!$G$49,Y$3&lt;=IF('Hiring plan'!$H$49="",999,'Hiring plan'!$H$49)),'Hiring plan'!$F$49,0)</f>
        <v>4</v>
      </c>
      <c r="Z53" s="33" t="n">
        <f aca="false">IF(AND(N('Hiring plan'!$F$49)&gt;0,Z$3&gt;='Hiring plan'!$G$49,Z$3&lt;=IF('Hiring plan'!$H$49="",999,'Hiring plan'!$H$49)),'Hiring plan'!$F$49,0)</f>
        <v>4</v>
      </c>
      <c r="AA53" s="33" t="n">
        <f aca="false">IF(AND(N('Hiring plan'!$F$49)&gt;0,AA$3&gt;='Hiring plan'!$G$49,AA$3&lt;=IF('Hiring plan'!$H$49="",999,'Hiring plan'!$H$49)),'Hiring plan'!$F$49,0)</f>
        <v>4</v>
      </c>
      <c r="AB53" s="33" t="n">
        <f aca="false">IF(AND(N('Hiring plan'!$F$49)&gt;0,AB$3&gt;='Hiring plan'!$G$49,AB$3&lt;=IF('Hiring plan'!$H$49="",999,'Hiring plan'!$H$49)),'Hiring plan'!$F$49,0)</f>
        <v>4</v>
      </c>
      <c r="AC53" s="33" t="n">
        <f aca="false">IF(AND(N('Hiring plan'!$F$49)&gt;0,AC$3&gt;='Hiring plan'!$G$49,AC$3&lt;=IF('Hiring plan'!$H$49="",999,'Hiring plan'!$H$49)),'Hiring plan'!$F$49,0)</f>
        <v>4</v>
      </c>
      <c r="AD53" s="33" t="n">
        <f aca="false">IF(AND(N('Hiring plan'!$F$49)&gt;0,AD$3&gt;='Hiring plan'!$G$49,AD$3&lt;=IF('Hiring plan'!$H$49="",999,'Hiring plan'!$H$49)),'Hiring plan'!$F$49,0)</f>
        <v>4</v>
      </c>
      <c r="AE53" s="33" t="n">
        <f aca="false">IF(AND(N('Hiring plan'!$F$49)&gt;0,AE$3&gt;='Hiring plan'!$G$49,AE$3&lt;=IF('Hiring plan'!$H$49="",999,'Hiring plan'!$H$49)),'Hiring plan'!$F$49,0)</f>
        <v>4</v>
      </c>
      <c r="AF53" s="33" t="n">
        <f aca="false">IF(AND(N('Hiring plan'!$F$49)&gt;0,AF$3&gt;='Hiring plan'!$G$49,AF$3&lt;=IF('Hiring plan'!$H$49="",999,'Hiring plan'!$H$49)),'Hiring plan'!$F$49,0)</f>
        <v>4</v>
      </c>
      <c r="AG53" s="33" t="n">
        <f aca="false">IF(AND(N('Hiring plan'!$F$49)&gt;0,AG$3&gt;='Hiring plan'!$G$49,AG$3&lt;=IF('Hiring plan'!$H$49="",999,'Hiring plan'!$H$49)),'Hiring plan'!$F$49,0)</f>
        <v>4</v>
      </c>
      <c r="AH53" s="33" t="n">
        <f aca="false">IF(AND(N('Hiring plan'!$F$49)&gt;0,AH$3&gt;='Hiring plan'!$G$49,AH$3&lt;=IF('Hiring plan'!$H$49="",999,'Hiring plan'!$H$49)),'Hiring plan'!$F$49,0)</f>
        <v>4</v>
      </c>
      <c r="AI53" s="33" t="n">
        <f aca="false">IF(AND(N('Hiring plan'!$F$49)&gt;0,AI$3&gt;='Hiring plan'!$G$49,AI$3&lt;=IF('Hiring plan'!$H$49="",999,'Hiring plan'!$H$49)),'Hiring plan'!$F$49,0)</f>
        <v>4</v>
      </c>
      <c r="AJ53" s="33" t="n">
        <f aca="false">IF(AND(N('Hiring plan'!$F$49)&gt;0,AJ$3&gt;='Hiring plan'!$G$49,AJ$3&lt;=IF('Hiring plan'!$H$49="",999,'Hiring plan'!$H$49)),'Hiring plan'!$F$49,0)</f>
        <v>4</v>
      </c>
      <c r="AK53" s="33" t="n">
        <f aca="false">IF(AND(N('Hiring plan'!$F$49)&gt;0,AK$3&gt;='Hiring plan'!$G$49,AK$3&lt;=IF('Hiring plan'!$H$49="",999,'Hiring plan'!$H$49)),'Hiring plan'!$F$49,0)</f>
        <v>4</v>
      </c>
      <c r="AL53" s="33" t="n">
        <f aca="false">IF(AND(N('Hiring plan'!$F$49)&gt;0,AL$3&gt;='Hiring plan'!$G$49,AL$3&lt;=IF('Hiring plan'!$H$49="",999,'Hiring plan'!$H$49)),'Hiring plan'!$F$49,0)</f>
        <v>4</v>
      </c>
      <c r="AM53" s="33" t="n">
        <f aca="false">IF(AND(N('Hiring plan'!$F$49)&gt;0,AM$3&gt;='Hiring plan'!$G$49,AM$3&lt;=IF('Hiring plan'!$H$49="",999,'Hiring plan'!$H$49)),'Hiring plan'!$F$49,0)</f>
        <v>4</v>
      </c>
      <c r="AN53" s="33" t="n">
        <f aca="false">IF(AND(N('Hiring plan'!$F$49)&gt;0,AN$3&gt;='Hiring plan'!$G$49,AN$3&lt;=IF('Hiring plan'!$H$49="",999,'Hiring plan'!$H$49)),'Hiring plan'!$F$49,0)</f>
        <v>4</v>
      </c>
      <c r="AO53" s="33" t="n">
        <f aca="false">IF(AND(N('Hiring plan'!$F$49)&gt;0,AO$3&gt;='Hiring plan'!$G$49,AO$3&lt;=IF('Hiring plan'!$H$49="",999,'Hiring plan'!$H$49)),'Hiring plan'!$F$49,0)</f>
        <v>4</v>
      </c>
      <c r="AP53" s="33" t="n">
        <f aca="false">IF(AND(N('Hiring plan'!$F$49)&gt;0,AP$3&gt;='Hiring plan'!$G$49,AP$3&lt;=IF('Hiring plan'!$H$49="",999,'Hiring plan'!$H$49)),'Hiring plan'!$F$49,0)</f>
        <v>4</v>
      </c>
      <c r="AQ53" s="33" t="n">
        <f aca="false">IF(AND(N('Hiring plan'!$F$49)&gt;0,AQ$3&gt;='Hiring plan'!$G$49,AQ$3&lt;=IF('Hiring plan'!$H$49="",999,'Hiring plan'!$H$49)),'Hiring plan'!$F$49,0)</f>
        <v>4</v>
      </c>
      <c r="AR53" s="33" t="n">
        <f aca="false">IF(AND(N('Hiring plan'!$F$49)&gt;0,AR$3&gt;='Hiring plan'!$G$49,AR$3&lt;=IF('Hiring plan'!$H$49="",999,'Hiring plan'!$H$49)),'Hiring plan'!$F$49,0)</f>
        <v>4</v>
      </c>
      <c r="AS53" s="33" t="n">
        <f aca="false">IF(AND(N('Hiring plan'!$F$49)&gt;0,AS$3&gt;='Hiring plan'!$G$49,AS$3&lt;=IF('Hiring plan'!$H$49="",999,'Hiring plan'!$H$49)),'Hiring plan'!$F$49,0)</f>
        <v>4</v>
      </c>
      <c r="AT53" s="33" t="n">
        <f aca="false">IF(AND(N('Hiring plan'!$F$49)&gt;0,AT$3&gt;='Hiring plan'!$G$49,AT$3&lt;=IF('Hiring plan'!$H$49="",999,'Hiring plan'!$H$49)),'Hiring plan'!$F$49,0)</f>
        <v>4</v>
      </c>
      <c r="AU53" s="33" t="n">
        <f aca="false">IF(AND(N('Hiring plan'!$F$49)&gt;0,AU$3&gt;='Hiring plan'!$G$49,AU$3&lt;=IF('Hiring plan'!$H$49="",999,'Hiring plan'!$H$49)),'Hiring plan'!$F$49,0)</f>
        <v>4</v>
      </c>
      <c r="AV53" s="33" t="n">
        <f aca="false">IF(AND(N('Hiring plan'!$F$49)&gt;0,AV$3&gt;='Hiring plan'!$G$49,AV$3&lt;=IF('Hiring plan'!$H$49="",999,'Hiring plan'!$H$49)),'Hiring plan'!$F$49,0)</f>
        <v>4</v>
      </c>
      <c r="AW53" s="33" t="n">
        <f aca="false">IF(AND(N('Hiring plan'!$F$49)&gt;0,AW$3&gt;='Hiring plan'!$G$49,AW$3&lt;=IF('Hiring plan'!$H$49="",999,'Hiring plan'!$H$49)),'Hiring plan'!$F$49,0)</f>
        <v>4</v>
      </c>
      <c r="AX53" s="33" t="n">
        <f aca="false">IF(AND(N('Hiring plan'!$F$49)&gt;0,AX$3&gt;='Hiring plan'!$G$49,AX$3&lt;=IF('Hiring plan'!$H$49="",999,'Hiring plan'!$H$49)),'Hiring plan'!$F$49,0)</f>
        <v>4</v>
      </c>
      <c r="AY53" s="33" t="n">
        <f aca="false">IF(AND(N('Hiring plan'!$F$49)&gt;0,AY$3&gt;='Hiring plan'!$G$49,AY$3&lt;=IF('Hiring plan'!$H$49="",999,'Hiring plan'!$H$49)),'Hiring plan'!$F$49,0)</f>
        <v>4</v>
      </c>
      <c r="AZ53" s="33" t="n">
        <f aca="false">IF(AND(N('Hiring plan'!$F$49)&gt;0,AZ$3&gt;='Hiring plan'!$G$49,AZ$3&lt;=IF('Hiring plan'!$H$49="",999,'Hiring plan'!$H$49)),'Hiring plan'!$F$49,0)</f>
        <v>4</v>
      </c>
      <c r="BA53" s="33" t="n">
        <f aca="false">IF(AND(N('Hiring plan'!$F$49)&gt;0,BA$3&gt;='Hiring plan'!$G$49,BA$3&lt;=IF('Hiring plan'!$H$49="",999,'Hiring plan'!$H$49)),'Hiring plan'!$F$49,0)</f>
        <v>4</v>
      </c>
      <c r="BB53" s="33" t="n">
        <f aca="false">IF(AND(N('Hiring plan'!$F$49)&gt;0,BB$3&gt;='Hiring plan'!$G$49,BB$3&lt;=IF('Hiring plan'!$H$49="",999,'Hiring plan'!$H$49)),'Hiring plan'!$F$49,0)</f>
        <v>4</v>
      </c>
      <c r="BC53" s="33" t="n">
        <f aca="false">IF(AND(N('Hiring plan'!$F$49)&gt;0,BC$3&gt;='Hiring plan'!$G$49,BC$3&lt;=IF('Hiring plan'!$H$49="",999,'Hiring plan'!$H$49)),'Hiring plan'!$F$49,0)</f>
        <v>4</v>
      </c>
      <c r="BD53" s="33" t="n">
        <f aca="false">IF(AND(N('Hiring plan'!$F$49)&gt;0,BD$3&gt;='Hiring plan'!$G$49,BD$3&lt;=IF('Hiring plan'!$H$49="",999,'Hiring plan'!$H$49)),'Hiring plan'!$F$49,0)</f>
        <v>4</v>
      </c>
      <c r="BE53" s="33" t="n">
        <f aca="false">IF(AND(N('Hiring plan'!$F$49)&gt;0,BE$3&gt;='Hiring plan'!$G$49,BE$3&lt;=IF('Hiring plan'!$H$49="",999,'Hiring plan'!$H$49)),'Hiring plan'!$F$49,0)</f>
        <v>4</v>
      </c>
      <c r="BF53" s="33" t="n">
        <f aca="false">IF(AND(N('Hiring plan'!$F$49)&gt;0,BF$3&gt;='Hiring plan'!$G$49,BF$3&lt;=IF('Hiring plan'!$H$49="",999,'Hiring plan'!$H$49)),'Hiring plan'!$F$49,0)</f>
        <v>4</v>
      </c>
      <c r="BG53" s="33" t="n">
        <f aca="false">IF(AND(N('Hiring plan'!$F$49)&gt;0,BG$3&gt;='Hiring plan'!$G$49,BG$3&lt;=IF('Hiring plan'!$H$49="",999,'Hiring plan'!$H$49)),'Hiring plan'!$F$49,0)</f>
        <v>4</v>
      </c>
      <c r="BH53" s="33" t="n">
        <f aca="false">IF(AND(N('Hiring plan'!$F$49)&gt;0,BH$3&gt;='Hiring plan'!$G$49,BH$3&lt;=IF('Hiring plan'!$H$49="",999,'Hiring plan'!$H$49)),'Hiring plan'!$F$49,0)</f>
        <v>4</v>
      </c>
      <c r="BI53" s="33" t="n">
        <f aca="false">IF(AND(N('Hiring plan'!$F$49)&gt;0,BI$3&gt;='Hiring plan'!$G$49,BI$3&lt;=IF('Hiring plan'!$H$49="",999,'Hiring plan'!$H$49)),'Hiring plan'!$F$49,0)</f>
        <v>4</v>
      </c>
      <c r="BJ53" s="33" t="n">
        <f aca="false">IF(AND(N('Hiring plan'!$F$49)&gt;0,BJ$3&gt;='Hiring plan'!$G$49,BJ$3&lt;=IF('Hiring plan'!$H$49="",999,'Hiring plan'!$H$49)),'Hiring plan'!$F$49,0)</f>
        <v>4</v>
      </c>
      <c r="BK53" s="33" t="n">
        <f aca="false">IF(AND(N('Hiring plan'!$F$49)&gt;0,BK$3&gt;='Hiring plan'!$G$49,BK$3&lt;=IF('Hiring plan'!$H$49="",999,'Hiring plan'!$H$49)),'Hiring plan'!$F$49,0)</f>
        <v>4</v>
      </c>
      <c r="BL53" s="33" t="n">
        <f aca="false">IF(AND(N('Hiring plan'!$F$49)&gt;0,BL$3&gt;='Hiring plan'!$G$49,BL$3&lt;=IF('Hiring plan'!$H$49="",999,'Hiring plan'!$H$49)),'Hiring plan'!$F$49,0)</f>
        <v>4</v>
      </c>
    </row>
    <row r="54" customFormat="false" ht="15" hidden="false" customHeight="false" outlineLevel="0" collapsed="false">
      <c r="A54" s="12" t="str">
        <f aca="false">IF('Hiring plan'!$C$50="","(spare line 46)",'Hiring plan'!$C$50&amp;" · "&amp;'Hiring plan'!$D$50)</f>
        <v>Field sales rep, Abidjan · CI</v>
      </c>
      <c r="B54" s="14" t="s">
        <v>222</v>
      </c>
      <c r="D54" s="41" t="n">
        <f aca="false">MAX(E54:BL54)</f>
        <v>3</v>
      </c>
      <c r="E54" s="33" t="n">
        <f aca="false">IF(AND(N('Hiring plan'!$F$50)&gt;0,E$3&gt;='Hiring plan'!$G$50,E$3&lt;=IF('Hiring plan'!$H$50="",999,'Hiring plan'!$H$50)),'Hiring plan'!$F$50,0)</f>
        <v>0</v>
      </c>
      <c r="F54" s="33" t="n">
        <f aca="false">IF(AND(N('Hiring plan'!$F$50)&gt;0,F$3&gt;='Hiring plan'!$G$50,F$3&lt;=IF('Hiring plan'!$H$50="",999,'Hiring plan'!$H$50)),'Hiring plan'!$F$50,0)</f>
        <v>0</v>
      </c>
      <c r="G54" s="33" t="n">
        <f aca="false">IF(AND(N('Hiring plan'!$F$50)&gt;0,G$3&gt;='Hiring plan'!$G$50,G$3&lt;=IF('Hiring plan'!$H$50="",999,'Hiring plan'!$H$50)),'Hiring plan'!$F$50,0)</f>
        <v>0</v>
      </c>
      <c r="H54" s="33" t="n">
        <f aca="false">IF(AND(N('Hiring plan'!$F$50)&gt;0,H$3&gt;='Hiring plan'!$G$50,H$3&lt;=IF('Hiring plan'!$H$50="",999,'Hiring plan'!$H$50)),'Hiring plan'!$F$50,0)</f>
        <v>0</v>
      </c>
      <c r="I54" s="33" t="n">
        <f aca="false">IF(AND(N('Hiring plan'!$F$50)&gt;0,I$3&gt;='Hiring plan'!$G$50,I$3&lt;=IF('Hiring plan'!$H$50="",999,'Hiring plan'!$H$50)),'Hiring plan'!$F$50,0)</f>
        <v>0</v>
      </c>
      <c r="J54" s="33" t="n">
        <f aca="false">IF(AND(N('Hiring plan'!$F$50)&gt;0,J$3&gt;='Hiring plan'!$G$50,J$3&lt;=IF('Hiring plan'!$H$50="",999,'Hiring plan'!$H$50)),'Hiring plan'!$F$50,0)</f>
        <v>0</v>
      </c>
      <c r="K54" s="33" t="n">
        <f aca="false">IF(AND(N('Hiring plan'!$F$50)&gt;0,K$3&gt;='Hiring plan'!$G$50,K$3&lt;=IF('Hiring plan'!$H$50="",999,'Hiring plan'!$H$50)),'Hiring plan'!$F$50,0)</f>
        <v>0</v>
      </c>
      <c r="L54" s="33" t="n">
        <f aca="false">IF(AND(N('Hiring plan'!$F$50)&gt;0,L$3&gt;='Hiring plan'!$G$50,L$3&lt;=IF('Hiring plan'!$H$50="",999,'Hiring plan'!$H$50)),'Hiring plan'!$F$50,0)</f>
        <v>0</v>
      </c>
      <c r="M54" s="33" t="n">
        <f aca="false">IF(AND(N('Hiring plan'!$F$50)&gt;0,M$3&gt;='Hiring plan'!$G$50,M$3&lt;=IF('Hiring plan'!$H$50="",999,'Hiring plan'!$H$50)),'Hiring plan'!$F$50,0)</f>
        <v>0</v>
      </c>
      <c r="N54" s="33" t="n">
        <f aca="false">IF(AND(N('Hiring plan'!$F$50)&gt;0,N$3&gt;='Hiring plan'!$G$50,N$3&lt;=IF('Hiring plan'!$H$50="",999,'Hiring plan'!$H$50)),'Hiring plan'!$F$50,0)</f>
        <v>0</v>
      </c>
      <c r="O54" s="33" t="n">
        <f aca="false">IF(AND(N('Hiring plan'!$F$50)&gt;0,O$3&gt;='Hiring plan'!$G$50,O$3&lt;=IF('Hiring plan'!$H$50="",999,'Hiring plan'!$H$50)),'Hiring plan'!$F$50,0)</f>
        <v>0</v>
      </c>
      <c r="P54" s="33" t="n">
        <f aca="false">IF(AND(N('Hiring plan'!$F$50)&gt;0,P$3&gt;='Hiring plan'!$G$50,P$3&lt;=IF('Hiring plan'!$H$50="",999,'Hiring plan'!$H$50)),'Hiring plan'!$F$50,0)</f>
        <v>0</v>
      </c>
      <c r="Q54" s="33" t="n">
        <f aca="false">IF(AND(N('Hiring plan'!$F$50)&gt;0,Q$3&gt;='Hiring plan'!$G$50,Q$3&lt;=IF('Hiring plan'!$H$50="",999,'Hiring plan'!$H$50)),'Hiring plan'!$F$50,0)</f>
        <v>0</v>
      </c>
      <c r="R54" s="33" t="n">
        <f aca="false">IF(AND(N('Hiring plan'!$F$50)&gt;0,R$3&gt;='Hiring plan'!$G$50,R$3&lt;=IF('Hiring plan'!$H$50="",999,'Hiring plan'!$H$50)),'Hiring plan'!$F$50,0)</f>
        <v>0</v>
      </c>
      <c r="S54" s="33" t="n">
        <f aca="false">IF(AND(N('Hiring plan'!$F$50)&gt;0,S$3&gt;='Hiring plan'!$G$50,S$3&lt;=IF('Hiring plan'!$H$50="",999,'Hiring plan'!$H$50)),'Hiring plan'!$F$50,0)</f>
        <v>0</v>
      </c>
      <c r="T54" s="33" t="n">
        <f aca="false">IF(AND(N('Hiring plan'!$F$50)&gt;0,T$3&gt;='Hiring plan'!$G$50,T$3&lt;=IF('Hiring plan'!$H$50="",999,'Hiring plan'!$H$50)),'Hiring plan'!$F$50,0)</f>
        <v>0</v>
      </c>
      <c r="U54" s="33" t="n">
        <f aca="false">IF(AND(N('Hiring plan'!$F$50)&gt;0,U$3&gt;='Hiring plan'!$G$50,U$3&lt;=IF('Hiring plan'!$H$50="",999,'Hiring plan'!$H$50)),'Hiring plan'!$F$50,0)</f>
        <v>0</v>
      </c>
      <c r="V54" s="33" t="n">
        <f aca="false">IF(AND(N('Hiring plan'!$F$50)&gt;0,V$3&gt;='Hiring plan'!$G$50,V$3&lt;=IF('Hiring plan'!$H$50="",999,'Hiring plan'!$H$50)),'Hiring plan'!$F$50,0)</f>
        <v>0</v>
      </c>
      <c r="W54" s="33" t="n">
        <f aca="false">IF(AND(N('Hiring plan'!$F$50)&gt;0,W$3&gt;='Hiring plan'!$G$50,W$3&lt;=IF('Hiring plan'!$H$50="",999,'Hiring plan'!$H$50)),'Hiring plan'!$F$50,0)</f>
        <v>3</v>
      </c>
      <c r="X54" s="33" t="n">
        <f aca="false">IF(AND(N('Hiring plan'!$F$50)&gt;0,X$3&gt;='Hiring plan'!$G$50,X$3&lt;=IF('Hiring plan'!$H$50="",999,'Hiring plan'!$H$50)),'Hiring plan'!$F$50,0)</f>
        <v>3</v>
      </c>
      <c r="Y54" s="33" t="n">
        <f aca="false">IF(AND(N('Hiring plan'!$F$50)&gt;0,Y$3&gt;='Hiring plan'!$G$50,Y$3&lt;=IF('Hiring plan'!$H$50="",999,'Hiring plan'!$H$50)),'Hiring plan'!$F$50,0)</f>
        <v>3</v>
      </c>
      <c r="Z54" s="33" t="n">
        <f aca="false">IF(AND(N('Hiring plan'!$F$50)&gt;0,Z$3&gt;='Hiring plan'!$G$50,Z$3&lt;=IF('Hiring plan'!$H$50="",999,'Hiring plan'!$H$50)),'Hiring plan'!$F$50,0)</f>
        <v>3</v>
      </c>
      <c r="AA54" s="33" t="n">
        <f aca="false">IF(AND(N('Hiring plan'!$F$50)&gt;0,AA$3&gt;='Hiring plan'!$G$50,AA$3&lt;=IF('Hiring plan'!$H$50="",999,'Hiring plan'!$H$50)),'Hiring plan'!$F$50,0)</f>
        <v>3</v>
      </c>
      <c r="AB54" s="33" t="n">
        <f aca="false">IF(AND(N('Hiring plan'!$F$50)&gt;0,AB$3&gt;='Hiring plan'!$G$50,AB$3&lt;=IF('Hiring plan'!$H$50="",999,'Hiring plan'!$H$50)),'Hiring plan'!$F$50,0)</f>
        <v>3</v>
      </c>
      <c r="AC54" s="33" t="n">
        <f aca="false">IF(AND(N('Hiring plan'!$F$50)&gt;0,AC$3&gt;='Hiring plan'!$G$50,AC$3&lt;=IF('Hiring plan'!$H$50="",999,'Hiring plan'!$H$50)),'Hiring plan'!$F$50,0)</f>
        <v>3</v>
      </c>
      <c r="AD54" s="33" t="n">
        <f aca="false">IF(AND(N('Hiring plan'!$F$50)&gt;0,AD$3&gt;='Hiring plan'!$G$50,AD$3&lt;=IF('Hiring plan'!$H$50="",999,'Hiring plan'!$H$50)),'Hiring plan'!$F$50,0)</f>
        <v>3</v>
      </c>
      <c r="AE54" s="33" t="n">
        <f aca="false">IF(AND(N('Hiring plan'!$F$50)&gt;0,AE$3&gt;='Hiring plan'!$G$50,AE$3&lt;=IF('Hiring plan'!$H$50="",999,'Hiring plan'!$H$50)),'Hiring plan'!$F$50,0)</f>
        <v>3</v>
      </c>
      <c r="AF54" s="33" t="n">
        <f aca="false">IF(AND(N('Hiring plan'!$F$50)&gt;0,AF$3&gt;='Hiring plan'!$G$50,AF$3&lt;=IF('Hiring plan'!$H$50="",999,'Hiring plan'!$H$50)),'Hiring plan'!$F$50,0)</f>
        <v>3</v>
      </c>
      <c r="AG54" s="33" t="n">
        <f aca="false">IF(AND(N('Hiring plan'!$F$50)&gt;0,AG$3&gt;='Hiring plan'!$G$50,AG$3&lt;=IF('Hiring plan'!$H$50="",999,'Hiring plan'!$H$50)),'Hiring plan'!$F$50,0)</f>
        <v>3</v>
      </c>
      <c r="AH54" s="33" t="n">
        <f aca="false">IF(AND(N('Hiring plan'!$F$50)&gt;0,AH$3&gt;='Hiring plan'!$G$50,AH$3&lt;=IF('Hiring plan'!$H$50="",999,'Hiring plan'!$H$50)),'Hiring plan'!$F$50,0)</f>
        <v>3</v>
      </c>
      <c r="AI54" s="33" t="n">
        <f aca="false">IF(AND(N('Hiring plan'!$F$50)&gt;0,AI$3&gt;='Hiring plan'!$G$50,AI$3&lt;=IF('Hiring plan'!$H$50="",999,'Hiring plan'!$H$50)),'Hiring plan'!$F$50,0)</f>
        <v>3</v>
      </c>
      <c r="AJ54" s="33" t="n">
        <f aca="false">IF(AND(N('Hiring plan'!$F$50)&gt;0,AJ$3&gt;='Hiring plan'!$G$50,AJ$3&lt;=IF('Hiring plan'!$H$50="",999,'Hiring plan'!$H$50)),'Hiring plan'!$F$50,0)</f>
        <v>3</v>
      </c>
      <c r="AK54" s="33" t="n">
        <f aca="false">IF(AND(N('Hiring plan'!$F$50)&gt;0,AK$3&gt;='Hiring plan'!$G$50,AK$3&lt;=IF('Hiring plan'!$H$50="",999,'Hiring plan'!$H$50)),'Hiring plan'!$F$50,0)</f>
        <v>3</v>
      </c>
      <c r="AL54" s="33" t="n">
        <f aca="false">IF(AND(N('Hiring plan'!$F$50)&gt;0,AL$3&gt;='Hiring plan'!$G$50,AL$3&lt;=IF('Hiring plan'!$H$50="",999,'Hiring plan'!$H$50)),'Hiring plan'!$F$50,0)</f>
        <v>3</v>
      </c>
      <c r="AM54" s="33" t="n">
        <f aca="false">IF(AND(N('Hiring plan'!$F$50)&gt;0,AM$3&gt;='Hiring plan'!$G$50,AM$3&lt;=IF('Hiring plan'!$H$50="",999,'Hiring plan'!$H$50)),'Hiring plan'!$F$50,0)</f>
        <v>3</v>
      </c>
      <c r="AN54" s="33" t="n">
        <f aca="false">IF(AND(N('Hiring plan'!$F$50)&gt;0,AN$3&gt;='Hiring plan'!$G$50,AN$3&lt;=IF('Hiring plan'!$H$50="",999,'Hiring plan'!$H$50)),'Hiring plan'!$F$50,0)</f>
        <v>3</v>
      </c>
      <c r="AO54" s="33" t="n">
        <f aca="false">IF(AND(N('Hiring plan'!$F$50)&gt;0,AO$3&gt;='Hiring plan'!$G$50,AO$3&lt;=IF('Hiring plan'!$H$50="",999,'Hiring plan'!$H$50)),'Hiring plan'!$F$50,0)</f>
        <v>3</v>
      </c>
      <c r="AP54" s="33" t="n">
        <f aca="false">IF(AND(N('Hiring plan'!$F$50)&gt;0,AP$3&gt;='Hiring plan'!$G$50,AP$3&lt;=IF('Hiring plan'!$H$50="",999,'Hiring plan'!$H$50)),'Hiring plan'!$F$50,0)</f>
        <v>3</v>
      </c>
      <c r="AQ54" s="33" t="n">
        <f aca="false">IF(AND(N('Hiring plan'!$F$50)&gt;0,AQ$3&gt;='Hiring plan'!$G$50,AQ$3&lt;=IF('Hiring plan'!$H$50="",999,'Hiring plan'!$H$50)),'Hiring plan'!$F$50,0)</f>
        <v>3</v>
      </c>
      <c r="AR54" s="33" t="n">
        <f aca="false">IF(AND(N('Hiring plan'!$F$50)&gt;0,AR$3&gt;='Hiring plan'!$G$50,AR$3&lt;=IF('Hiring plan'!$H$50="",999,'Hiring plan'!$H$50)),'Hiring plan'!$F$50,0)</f>
        <v>3</v>
      </c>
      <c r="AS54" s="33" t="n">
        <f aca="false">IF(AND(N('Hiring plan'!$F$50)&gt;0,AS$3&gt;='Hiring plan'!$G$50,AS$3&lt;=IF('Hiring plan'!$H$50="",999,'Hiring plan'!$H$50)),'Hiring plan'!$F$50,0)</f>
        <v>3</v>
      </c>
      <c r="AT54" s="33" t="n">
        <f aca="false">IF(AND(N('Hiring plan'!$F$50)&gt;0,AT$3&gt;='Hiring plan'!$G$50,AT$3&lt;=IF('Hiring plan'!$H$50="",999,'Hiring plan'!$H$50)),'Hiring plan'!$F$50,0)</f>
        <v>3</v>
      </c>
      <c r="AU54" s="33" t="n">
        <f aca="false">IF(AND(N('Hiring plan'!$F$50)&gt;0,AU$3&gt;='Hiring plan'!$G$50,AU$3&lt;=IF('Hiring plan'!$H$50="",999,'Hiring plan'!$H$50)),'Hiring plan'!$F$50,0)</f>
        <v>3</v>
      </c>
      <c r="AV54" s="33" t="n">
        <f aca="false">IF(AND(N('Hiring plan'!$F$50)&gt;0,AV$3&gt;='Hiring plan'!$G$50,AV$3&lt;=IF('Hiring plan'!$H$50="",999,'Hiring plan'!$H$50)),'Hiring plan'!$F$50,0)</f>
        <v>3</v>
      </c>
      <c r="AW54" s="33" t="n">
        <f aca="false">IF(AND(N('Hiring plan'!$F$50)&gt;0,AW$3&gt;='Hiring plan'!$G$50,AW$3&lt;=IF('Hiring plan'!$H$50="",999,'Hiring plan'!$H$50)),'Hiring plan'!$F$50,0)</f>
        <v>3</v>
      </c>
      <c r="AX54" s="33" t="n">
        <f aca="false">IF(AND(N('Hiring plan'!$F$50)&gt;0,AX$3&gt;='Hiring plan'!$G$50,AX$3&lt;=IF('Hiring plan'!$H$50="",999,'Hiring plan'!$H$50)),'Hiring plan'!$F$50,0)</f>
        <v>3</v>
      </c>
      <c r="AY54" s="33" t="n">
        <f aca="false">IF(AND(N('Hiring plan'!$F$50)&gt;0,AY$3&gt;='Hiring plan'!$G$50,AY$3&lt;=IF('Hiring plan'!$H$50="",999,'Hiring plan'!$H$50)),'Hiring plan'!$F$50,0)</f>
        <v>3</v>
      </c>
      <c r="AZ54" s="33" t="n">
        <f aca="false">IF(AND(N('Hiring plan'!$F$50)&gt;0,AZ$3&gt;='Hiring plan'!$G$50,AZ$3&lt;=IF('Hiring plan'!$H$50="",999,'Hiring plan'!$H$50)),'Hiring plan'!$F$50,0)</f>
        <v>3</v>
      </c>
      <c r="BA54" s="33" t="n">
        <f aca="false">IF(AND(N('Hiring plan'!$F$50)&gt;0,BA$3&gt;='Hiring plan'!$G$50,BA$3&lt;=IF('Hiring plan'!$H$50="",999,'Hiring plan'!$H$50)),'Hiring plan'!$F$50,0)</f>
        <v>3</v>
      </c>
      <c r="BB54" s="33" t="n">
        <f aca="false">IF(AND(N('Hiring plan'!$F$50)&gt;0,BB$3&gt;='Hiring plan'!$G$50,BB$3&lt;=IF('Hiring plan'!$H$50="",999,'Hiring plan'!$H$50)),'Hiring plan'!$F$50,0)</f>
        <v>3</v>
      </c>
      <c r="BC54" s="33" t="n">
        <f aca="false">IF(AND(N('Hiring plan'!$F$50)&gt;0,BC$3&gt;='Hiring plan'!$G$50,BC$3&lt;=IF('Hiring plan'!$H$50="",999,'Hiring plan'!$H$50)),'Hiring plan'!$F$50,0)</f>
        <v>3</v>
      </c>
      <c r="BD54" s="33" t="n">
        <f aca="false">IF(AND(N('Hiring plan'!$F$50)&gt;0,BD$3&gt;='Hiring plan'!$G$50,BD$3&lt;=IF('Hiring plan'!$H$50="",999,'Hiring plan'!$H$50)),'Hiring plan'!$F$50,0)</f>
        <v>3</v>
      </c>
      <c r="BE54" s="33" t="n">
        <f aca="false">IF(AND(N('Hiring plan'!$F$50)&gt;0,BE$3&gt;='Hiring plan'!$G$50,BE$3&lt;=IF('Hiring plan'!$H$50="",999,'Hiring plan'!$H$50)),'Hiring plan'!$F$50,0)</f>
        <v>3</v>
      </c>
      <c r="BF54" s="33" t="n">
        <f aca="false">IF(AND(N('Hiring plan'!$F$50)&gt;0,BF$3&gt;='Hiring plan'!$G$50,BF$3&lt;=IF('Hiring plan'!$H$50="",999,'Hiring plan'!$H$50)),'Hiring plan'!$F$50,0)</f>
        <v>3</v>
      </c>
      <c r="BG54" s="33" t="n">
        <f aca="false">IF(AND(N('Hiring plan'!$F$50)&gt;0,BG$3&gt;='Hiring plan'!$G$50,BG$3&lt;=IF('Hiring plan'!$H$50="",999,'Hiring plan'!$H$50)),'Hiring plan'!$F$50,0)</f>
        <v>3</v>
      </c>
      <c r="BH54" s="33" t="n">
        <f aca="false">IF(AND(N('Hiring plan'!$F$50)&gt;0,BH$3&gt;='Hiring plan'!$G$50,BH$3&lt;=IF('Hiring plan'!$H$50="",999,'Hiring plan'!$H$50)),'Hiring plan'!$F$50,0)</f>
        <v>3</v>
      </c>
      <c r="BI54" s="33" t="n">
        <f aca="false">IF(AND(N('Hiring plan'!$F$50)&gt;0,BI$3&gt;='Hiring plan'!$G$50,BI$3&lt;=IF('Hiring plan'!$H$50="",999,'Hiring plan'!$H$50)),'Hiring plan'!$F$50,0)</f>
        <v>3</v>
      </c>
      <c r="BJ54" s="33" t="n">
        <f aca="false">IF(AND(N('Hiring plan'!$F$50)&gt;0,BJ$3&gt;='Hiring plan'!$G$50,BJ$3&lt;=IF('Hiring plan'!$H$50="",999,'Hiring plan'!$H$50)),'Hiring plan'!$F$50,0)</f>
        <v>3</v>
      </c>
      <c r="BK54" s="33" t="n">
        <f aca="false">IF(AND(N('Hiring plan'!$F$50)&gt;0,BK$3&gt;='Hiring plan'!$G$50,BK$3&lt;=IF('Hiring plan'!$H$50="",999,'Hiring plan'!$H$50)),'Hiring plan'!$F$50,0)</f>
        <v>3</v>
      </c>
      <c r="BL54" s="33" t="n">
        <f aca="false">IF(AND(N('Hiring plan'!$F$50)&gt;0,BL$3&gt;='Hiring plan'!$G$50,BL$3&lt;=IF('Hiring plan'!$H$50="",999,'Hiring plan'!$H$50)),'Hiring plan'!$F$50,0)</f>
        <v>3</v>
      </c>
    </row>
    <row r="55" customFormat="false" ht="15" hidden="false" customHeight="false" outlineLevel="0" collapsed="false">
      <c r="A55" s="12" t="str">
        <f aca="false">IF('Hiring plan'!$C$51="","(spare line 47)",'Hiring plan'!$C$51&amp;" · "&amp;'Hiring plan'!$D$51)</f>
        <v>Key account manager (Grande clients) · SN</v>
      </c>
      <c r="B55" s="14" t="s">
        <v>222</v>
      </c>
      <c r="D55" s="41" t="n">
        <f aca="false">MAX(E55:BL55)</f>
        <v>1</v>
      </c>
      <c r="E55" s="33" t="n">
        <f aca="false">IF(AND(N('Hiring plan'!$F$51)&gt;0,E$3&gt;='Hiring plan'!$G$51,E$3&lt;=IF('Hiring plan'!$H$51="",999,'Hiring plan'!$H$51)),'Hiring plan'!$F$51,0)</f>
        <v>0</v>
      </c>
      <c r="F55" s="33" t="n">
        <f aca="false">IF(AND(N('Hiring plan'!$F$51)&gt;0,F$3&gt;='Hiring plan'!$G$51,F$3&lt;=IF('Hiring plan'!$H$51="",999,'Hiring plan'!$H$51)),'Hiring plan'!$F$51,0)</f>
        <v>0</v>
      </c>
      <c r="G55" s="33" t="n">
        <f aca="false">IF(AND(N('Hiring plan'!$F$51)&gt;0,G$3&gt;='Hiring plan'!$G$51,G$3&lt;=IF('Hiring plan'!$H$51="",999,'Hiring plan'!$H$51)),'Hiring plan'!$F$51,0)</f>
        <v>0</v>
      </c>
      <c r="H55" s="33" t="n">
        <f aca="false">IF(AND(N('Hiring plan'!$F$51)&gt;0,H$3&gt;='Hiring plan'!$G$51,H$3&lt;=IF('Hiring plan'!$H$51="",999,'Hiring plan'!$H$51)),'Hiring plan'!$F$51,0)</f>
        <v>0</v>
      </c>
      <c r="I55" s="33" t="n">
        <f aca="false">IF(AND(N('Hiring plan'!$F$51)&gt;0,I$3&gt;='Hiring plan'!$G$51,I$3&lt;=IF('Hiring plan'!$H$51="",999,'Hiring plan'!$H$51)),'Hiring plan'!$F$51,0)</f>
        <v>0</v>
      </c>
      <c r="J55" s="33" t="n">
        <f aca="false">IF(AND(N('Hiring plan'!$F$51)&gt;0,J$3&gt;='Hiring plan'!$G$51,J$3&lt;=IF('Hiring plan'!$H$51="",999,'Hiring plan'!$H$51)),'Hiring plan'!$F$51,0)</f>
        <v>0</v>
      </c>
      <c r="K55" s="33" t="n">
        <f aca="false">IF(AND(N('Hiring plan'!$F$51)&gt;0,K$3&gt;='Hiring plan'!$G$51,K$3&lt;=IF('Hiring plan'!$H$51="",999,'Hiring plan'!$H$51)),'Hiring plan'!$F$51,0)</f>
        <v>0</v>
      </c>
      <c r="L55" s="33" t="n">
        <f aca="false">IF(AND(N('Hiring plan'!$F$51)&gt;0,L$3&gt;='Hiring plan'!$G$51,L$3&lt;=IF('Hiring plan'!$H$51="",999,'Hiring plan'!$H$51)),'Hiring plan'!$F$51,0)</f>
        <v>0</v>
      </c>
      <c r="M55" s="33" t="n">
        <f aca="false">IF(AND(N('Hiring plan'!$F$51)&gt;0,M$3&gt;='Hiring plan'!$G$51,M$3&lt;=IF('Hiring plan'!$H$51="",999,'Hiring plan'!$H$51)),'Hiring plan'!$F$51,0)</f>
        <v>0</v>
      </c>
      <c r="N55" s="33" t="n">
        <f aca="false">IF(AND(N('Hiring plan'!$F$51)&gt;0,N$3&gt;='Hiring plan'!$G$51,N$3&lt;=IF('Hiring plan'!$H$51="",999,'Hiring plan'!$H$51)),'Hiring plan'!$F$51,0)</f>
        <v>0</v>
      </c>
      <c r="O55" s="33" t="n">
        <f aca="false">IF(AND(N('Hiring plan'!$F$51)&gt;0,O$3&gt;='Hiring plan'!$G$51,O$3&lt;=IF('Hiring plan'!$H$51="",999,'Hiring plan'!$H$51)),'Hiring plan'!$F$51,0)</f>
        <v>0</v>
      </c>
      <c r="P55" s="33" t="n">
        <f aca="false">IF(AND(N('Hiring plan'!$F$51)&gt;0,P$3&gt;='Hiring plan'!$G$51,P$3&lt;=IF('Hiring plan'!$H$51="",999,'Hiring plan'!$H$51)),'Hiring plan'!$F$51,0)</f>
        <v>0</v>
      </c>
      <c r="Q55" s="33" t="n">
        <f aca="false">IF(AND(N('Hiring plan'!$F$51)&gt;0,Q$3&gt;='Hiring plan'!$G$51,Q$3&lt;=IF('Hiring plan'!$H$51="",999,'Hiring plan'!$H$51)),'Hiring plan'!$F$51,0)</f>
        <v>0</v>
      </c>
      <c r="R55" s="33" t="n">
        <f aca="false">IF(AND(N('Hiring plan'!$F$51)&gt;0,R$3&gt;='Hiring plan'!$G$51,R$3&lt;=IF('Hiring plan'!$H$51="",999,'Hiring plan'!$H$51)),'Hiring plan'!$F$51,0)</f>
        <v>0</v>
      </c>
      <c r="S55" s="33" t="n">
        <f aca="false">IF(AND(N('Hiring plan'!$F$51)&gt;0,S$3&gt;='Hiring plan'!$G$51,S$3&lt;=IF('Hiring plan'!$H$51="",999,'Hiring plan'!$H$51)),'Hiring plan'!$F$51,0)</f>
        <v>0</v>
      </c>
      <c r="T55" s="33" t="n">
        <f aca="false">IF(AND(N('Hiring plan'!$F$51)&gt;0,T$3&gt;='Hiring plan'!$G$51,T$3&lt;=IF('Hiring plan'!$H$51="",999,'Hiring plan'!$H$51)),'Hiring plan'!$F$51,0)</f>
        <v>0</v>
      </c>
      <c r="U55" s="33" t="n">
        <f aca="false">IF(AND(N('Hiring plan'!$F$51)&gt;0,U$3&gt;='Hiring plan'!$G$51,U$3&lt;=IF('Hiring plan'!$H$51="",999,'Hiring plan'!$H$51)),'Hiring plan'!$F$51,0)</f>
        <v>0</v>
      </c>
      <c r="V55" s="33" t="n">
        <f aca="false">IF(AND(N('Hiring plan'!$F$51)&gt;0,V$3&gt;='Hiring plan'!$G$51,V$3&lt;=IF('Hiring plan'!$H$51="",999,'Hiring plan'!$H$51)),'Hiring plan'!$F$51,0)</f>
        <v>0</v>
      </c>
      <c r="W55" s="33" t="n">
        <f aca="false">IF(AND(N('Hiring plan'!$F$51)&gt;0,W$3&gt;='Hiring plan'!$G$51,W$3&lt;=IF('Hiring plan'!$H$51="",999,'Hiring plan'!$H$51)),'Hiring plan'!$F$51,0)</f>
        <v>0</v>
      </c>
      <c r="X55" s="33" t="n">
        <f aca="false">IF(AND(N('Hiring plan'!$F$51)&gt;0,X$3&gt;='Hiring plan'!$G$51,X$3&lt;=IF('Hiring plan'!$H$51="",999,'Hiring plan'!$H$51)),'Hiring plan'!$F$51,0)</f>
        <v>0</v>
      </c>
      <c r="Y55" s="33" t="n">
        <f aca="false">IF(AND(N('Hiring plan'!$F$51)&gt;0,Y$3&gt;='Hiring plan'!$G$51,Y$3&lt;=IF('Hiring plan'!$H$51="",999,'Hiring plan'!$H$51)),'Hiring plan'!$F$51,0)</f>
        <v>0</v>
      </c>
      <c r="Z55" s="33" t="n">
        <f aca="false">IF(AND(N('Hiring plan'!$F$51)&gt;0,Z$3&gt;='Hiring plan'!$G$51,Z$3&lt;=IF('Hiring plan'!$H$51="",999,'Hiring plan'!$H$51)),'Hiring plan'!$F$51,0)</f>
        <v>0</v>
      </c>
      <c r="AA55" s="33" t="n">
        <f aca="false">IF(AND(N('Hiring plan'!$F$51)&gt;0,AA$3&gt;='Hiring plan'!$G$51,AA$3&lt;=IF('Hiring plan'!$H$51="",999,'Hiring plan'!$H$51)),'Hiring plan'!$F$51,0)</f>
        <v>0</v>
      </c>
      <c r="AB55" s="33" t="n">
        <f aca="false">IF(AND(N('Hiring plan'!$F$51)&gt;0,AB$3&gt;='Hiring plan'!$G$51,AB$3&lt;=IF('Hiring plan'!$H$51="",999,'Hiring plan'!$H$51)),'Hiring plan'!$F$51,0)</f>
        <v>0</v>
      </c>
      <c r="AC55" s="33" t="n">
        <f aca="false">IF(AND(N('Hiring plan'!$F$51)&gt;0,AC$3&gt;='Hiring plan'!$G$51,AC$3&lt;=IF('Hiring plan'!$H$51="",999,'Hiring plan'!$H$51)),'Hiring plan'!$F$51,0)</f>
        <v>1</v>
      </c>
      <c r="AD55" s="33" t="n">
        <f aca="false">IF(AND(N('Hiring plan'!$F$51)&gt;0,AD$3&gt;='Hiring plan'!$G$51,AD$3&lt;=IF('Hiring plan'!$H$51="",999,'Hiring plan'!$H$51)),'Hiring plan'!$F$51,0)</f>
        <v>1</v>
      </c>
      <c r="AE55" s="33" t="n">
        <f aca="false">IF(AND(N('Hiring plan'!$F$51)&gt;0,AE$3&gt;='Hiring plan'!$G$51,AE$3&lt;=IF('Hiring plan'!$H$51="",999,'Hiring plan'!$H$51)),'Hiring plan'!$F$51,0)</f>
        <v>1</v>
      </c>
      <c r="AF55" s="33" t="n">
        <f aca="false">IF(AND(N('Hiring plan'!$F$51)&gt;0,AF$3&gt;='Hiring plan'!$G$51,AF$3&lt;=IF('Hiring plan'!$H$51="",999,'Hiring plan'!$H$51)),'Hiring plan'!$F$51,0)</f>
        <v>1</v>
      </c>
      <c r="AG55" s="33" t="n">
        <f aca="false">IF(AND(N('Hiring plan'!$F$51)&gt;0,AG$3&gt;='Hiring plan'!$G$51,AG$3&lt;=IF('Hiring plan'!$H$51="",999,'Hiring plan'!$H$51)),'Hiring plan'!$F$51,0)</f>
        <v>1</v>
      </c>
      <c r="AH55" s="33" t="n">
        <f aca="false">IF(AND(N('Hiring plan'!$F$51)&gt;0,AH$3&gt;='Hiring plan'!$G$51,AH$3&lt;=IF('Hiring plan'!$H$51="",999,'Hiring plan'!$H$51)),'Hiring plan'!$F$51,0)</f>
        <v>1</v>
      </c>
      <c r="AI55" s="33" t="n">
        <f aca="false">IF(AND(N('Hiring plan'!$F$51)&gt;0,AI$3&gt;='Hiring plan'!$G$51,AI$3&lt;=IF('Hiring plan'!$H$51="",999,'Hiring plan'!$H$51)),'Hiring plan'!$F$51,0)</f>
        <v>1</v>
      </c>
      <c r="AJ55" s="33" t="n">
        <f aca="false">IF(AND(N('Hiring plan'!$F$51)&gt;0,AJ$3&gt;='Hiring plan'!$G$51,AJ$3&lt;=IF('Hiring plan'!$H$51="",999,'Hiring plan'!$H$51)),'Hiring plan'!$F$51,0)</f>
        <v>1</v>
      </c>
      <c r="AK55" s="33" t="n">
        <f aca="false">IF(AND(N('Hiring plan'!$F$51)&gt;0,AK$3&gt;='Hiring plan'!$G$51,AK$3&lt;=IF('Hiring plan'!$H$51="",999,'Hiring plan'!$H$51)),'Hiring plan'!$F$51,0)</f>
        <v>1</v>
      </c>
      <c r="AL55" s="33" t="n">
        <f aca="false">IF(AND(N('Hiring plan'!$F$51)&gt;0,AL$3&gt;='Hiring plan'!$G$51,AL$3&lt;=IF('Hiring plan'!$H$51="",999,'Hiring plan'!$H$51)),'Hiring plan'!$F$51,0)</f>
        <v>1</v>
      </c>
      <c r="AM55" s="33" t="n">
        <f aca="false">IF(AND(N('Hiring plan'!$F$51)&gt;0,AM$3&gt;='Hiring plan'!$G$51,AM$3&lt;=IF('Hiring plan'!$H$51="",999,'Hiring plan'!$H$51)),'Hiring plan'!$F$51,0)</f>
        <v>1</v>
      </c>
      <c r="AN55" s="33" t="n">
        <f aca="false">IF(AND(N('Hiring plan'!$F$51)&gt;0,AN$3&gt;='Hiring plan'!$G$51,AN$3&lt;=IF('Hiring plan'!$H$51="",999,'Hiring plan'!$H$51)),'Hiring plan'!$F$51,0)</f>
        <v>1</v>
      </c>
      <c r="AO55" s="33" t="n">
        <f aca="false">IF(AND(N('Hiring plan'!$F$51)&gt;0,AO$3&gt;='Hiring plan'!$G$51,AO$3&lt;=IF('Hiring plan'!$H$51="",999,'Hiring plan'!$H$51)),'Hiring plan'!$F$51,0)</f>
        <v>1</v>
      </c>
      <c r="AP55" s="33" t="n">
        <f aca="false">IF(AND(N('Hiring plan'!$F$51)&gt;0,AP$3&gt;='Hiring plan'!$G$51,AP$3&lt;=IF('Hiring plan'!$H$51="",999,'Hiring plan'!$H$51)),'Hiring plan'!$F$51,0)</f>
        <v>1</v>
      </c>
      <c r="AQ55" s="33" t="n">
        <f aca="false">IF(AND(N('Hiring plan'!$F$51)&gt;0,AQ$3&gt;='Hiring plan'!$G$51,AQ$3&lt;=IF('Hiring plan'!$H$51="",999,'Hiring plan'!$H$51)),'Hiring plan'!$F$51,0)</f>
        <v>1</v>
      </c>
      <c r="AR55" s="33" t="n">
        <f aca="false">IF(AND(N('Hiring plan'!$F$51)&gt;0,AR$3&gt;='Hiring plan'!$G$51,AR$3&lt;=IF('Hiring plan'!$H$51="",999,'Hiring plan'!$H$51)),'Hiring plan'!$F$51,0)</f>
        <v>1</v>
      </c>
      <c r="AS55" s="33" t="n">
        <f aca="false">IF(AND(N('Hiring plan'!$F$51)&gt;0,AS$3&gt;='Hiring plan'!$G$51,AS$3&lt;=IF('Hiring plan'!$H$51="",999,'Hiring plan'!$H$51)),'Hiring plan'!$F$51,0)</f>
        <v>1</v>
      </c>
      <c r="AT55" s="33" t="n">
        <f aca="false">IF(AND(N('Hiring plan'!$F$51)&gt;0,AT$3&gt;='Hiring plan'!$G$51,AT$3&lt;=IF('Hiring plan'!$H$51="",999,'Hiring plan'!$H$51)),'Hiring plan'!$F$51,0)</f>
        <v>1</v>
      </c>
      <c r="AU55" s="33" t="n">
        <f aca="false">IF(AND(N('Hiring plan'!$F$51)&gt;0,AU$3&gt;='Hiring plan'!$G$51,AU$3&lt;=IF('Hiring plan'!$H$51="",999,'Hiring plan'!$H$51)),'Hiring plan'!$F$51,0)</f>
        <v>1</v>
      </c>
      <c r="AV55" s="33" t="n">
        <f aca="false">IF(AND(N('Hiring plan'!$F$51)&gt;0,AV$3&gt;='Hiring plan'!$G$51,AV$3&lt;=IF('Hiring plan'!$H$51="",999,'Hiring plan'!$H$51)),'Hiring plan'!$F$51,0)</f>
        <v>1</v>
      </c>
      <c r="AW55" s="33" t="n">
        <f aca="false">IF(AND(N('Hiring plan'!$F$51)&gt;0,AW$3&gt;='Hiring plan'!$G$51,AW$3&lt;=IF('Hiring plan'!$H$51="",999,'Hiring plan'!$H$51)),'Hiring plan'!$F$51,0)</f>
        <v>1</v>
      </c>
      <c r="AX55" s="33" t="n">
        <f aca="false">IF(AND(N('Hiring plan'!$F$51)&gt;0,AX$3&gt;='Hiring plan'!$G$51,AX$3&lt;=IF('Hiring plan'!$H$51="",999,'Hiring plan'!$H$51)),'Hiring plan'!$F$51,0)</f>
        <v>1</v>
      </c>
      <c r="AY55" s="33" t="n">
        <f aca="false">IF(AND(N('Hiring plan'!$F$51)&gt;0,AY$3&gt;='Hiring plan'!$G$51,AY$3&lt;=IF('Hiring plan'!$H$51="",999,'Hiring plan'!$H$51)),'Hiring plan'!$F$51,0)</f>
        <v>1</v>
      </c>
      <c r="AZ55" s="33" t="n">
        <f aca="false">IF(AND(N('Hiring plan'!$F$51)&gt;0,AZ$3&gt;='Hiring plan'!$G$51,AZ$3&lt;=IF('Hiring plan'!$H$51="",999,'Hiring plan'!$H$51)),'Hiring plan'!$F$51,0)</f>
        <v>1</v>
      </c>
      <c r="BA55" s="33" t="n">
        <f aca="false">IF(AND(N('Hiring plan'!$F$51)&gt;0,BA$3&gt;='Hiring plan'!$G$51,BA$3&lt;=IF('Hiring plan'!$H$51="",999,'Hiring plan'!$H$51)),'Hiring plan'!$F$51,0)</f>
        <v>1</v>
      </c>
      <c r="BB55" s="33" t="n">
        <f aca="false">IF(AND(N('Hiring plan'!$F$51)&gt;0,BB$3&gt;='Hiring plan'!$G$51,BB$3&lt;=IF('Hiring plan'!$H$51="",999,'Hiring plan'!$H$51)),'Hiring plan'!$F$51,0)</f>
        <v>1</v>
      </c>
      <c r="BC55" s="33" t="n">
        <f aca="false">IF(AND(N('Hiring plan'!$F$51)&gt;0,BC$3&gt;='Hiring plan'!$G$51,BC$3&lt;=IF('Hiring plan'!$H$51="",999,'Hiring plan'!$H$51)),'Hiring plan'!$F$51,0)</f>
        <v>1</v>
      </c>
      <c r="BD55" s="33" t="n">
        <f aca="false">IF(AND(N('Hiring plan'!$F$51)&gt;0,BD$3&gt;='Hiring plan'!$G$51,BD$3&lt;=IF('Hiring plan'!$H$51="",999,'Hiring plan'!$H$51)),'Hiring plan'!$F$51,0)</f>
        <v>1</v>
      </c>
      <c r="BE55" s="33" t="n">
        <f aca="false">IF(AND(N('Hiring plan'!$F$51)&gt;0,BE$3&gt;='Hiring plan'!$G$51,BE$3&lt;=IF('Hiring plan'!$H$51="",999,'Hiring plan'!$H$51)),'Hiring plan'!$F$51,0)</f>
        <v>1</v>
      </c>
      <c r="BF55" s="33" t="n">
        <f aca="false">IF(AND(N('Hiring plan'!$F$51)&gt;0,BF$3&gt;='Hiring plan'!$G$51,BF$3&lt;=IF('Hiring plan'!$H$51="",999,'Hiring plan'!$H$51)),'Hiring plan'!$F$51,0)</f>
        <v>1</v>
      </c>
      <c r="BG55" s="33" t="n">
        <f aca="false">IF(AND(N('Hiring plan'!$F$51)&gt;0,BG$3&gt;='Hiring plan'!$G$51,BG$3&lt;=IF('Hiring plan'!$H$51="",999,'Hiring plan'!$H$51)),'Hiring plan'!$F$51,0)</f>
        <v>1</v>
      </c>
      <c r="BH55" s="33" t="n">
        <f aca="false">IF(AND(N('Hiring plan'!$F$51)&gt;0,BH$3&gt;='Hiring plan'!$G$51,BH$3&lt;=IF('Hiring plan'!$H$51="",999,'Hiring plan'!$H$51)),'Hiring plan'!$F$51,0)</f>
        <v>1</v>
      </c>
      <c r="BI55" s="33" t="n">
        <f aca="false">IF(AND(N('Hiring plan'!$F$51)&gt;0,BI$3&gt;='Hiring plan'!$G$51,BI$3&lt;=IF('Hiring plan'!$H$51="",999,'Hiring plan'!$H$51)),'Hiring plan'!$F$51,0)</f>
        <v>1</v>
      </c>
      <c r="BJ55" s="33" t="n">
        <f aca="false">IF(AND(N('Hiring plan'!$F$51)&gt;0,BJ$3&gt;='Hiring plan'!$G$51,BJ$3&lt;=IF('Hiring plan'!$H$51="",999,'Hiring plan'!$H$51)),'Hiring plan'!$F$51,0)</f>
        <v>1</v>
      </c>
      <c r="BK55" s="33" t="n">
        <f aca="false">IF(AND(N('Hiring plan'!$F$51)&gt;0,BK$3&gt;='Hiring plan'!$G$51,BK$3&lt;=IF('Hiring plan'!$H$51="",999,'Hiring plan'!$H$51)),'Hiring plan'!$F$51,0)</f>
        <v>1</v>
      </c>
      <c r="BL55" s="33" t="n">
        <f aca="false">IF(AND(N('Hiring plan'!$F$51)&gt;0,BL$3&gt;='Hiring plan'!$G$51,BL$3&lt;=IF('Hiring plan'!$H$51="",999,'Hiring plan'!$H$51)),'Hiring plan'!$F$51,0)</f>
        <v>1</v>
      </c>
    </row>
    <row r="56" customFormat="false" ht="15" hidden="false" customHeight="false" outlineLevel="0" collapsed="false">
      <c r="A56" s="12" t="str">
        <f aca="false">IF('Hiring plan'!$C$52="","(spare line 48)",'Hiring plan'!$C$52&amp;" · "&amp;'Hiring plan'!$D$52)</f>
        <v>Field sales rep · SN</v>
      </c>
      <c r="B56" s="14" t="s">
        <v>222</v>
      </c>
      <c r="D56" s="41" t="n">
        <f aca="false">MAX(E56:BL56)</f>
        <v>4</v>
      </c>
      <c r="E56" s="33" t="n">
        <f aca="false">IF(AND(N('Hiring plan'!$F$52)&gt;0,E$3&gt;='Hiring plan'!$G$52,E$3&lt;=IF('Hiring plan'!$H$52="",999,'Hiring plan'!$H$52)),'Hiring plan'!$F$52,0)</f>
        <v>0</v>
      </c>
      <c r="F56" s="33" t="n">
        <f aca="false">IF(AND(N('Hiring plan'!$F$52)&gt;0,F$3&gt;='Hiring plan'!$G$52,F$3&lt;=IF('Hiring plan'!$H$52="",999,'Hiring plan'!$H$52)),'Hiring plan'!$F$52,0)</f>
        <v>0</v>
      </c>
      <c r="G56" s="33" t="n">
        <f aca="false">IF(AND(N('Hiring plan'!$F$52)&gt;0,G$3&gt;='Hiring plan'!$G$52,G$3&lt;=IF('Hiring plan'!$H$52="",999,'Hiring plan'!$H$52)),'Hiring plan'!$F$52,0)</f>
        <v>0</v>
      </c>
      <c r="H56" s="33" t="n">
        <f aca="false">IF(AND(N('Hiring plan'!$F$52)&gt;0,H$3&gt;='Hiring plan'!$G$52,H$3&lt;=IF('Hiring plan'!$H$52="",999,'Hiring plan'!$H$52)),'Hiring plan'!$F$52,0)</f>
        <v>0</v>
      </c>
      <c r="I56" s="33" t="n">
        <f aca="false">IF(AND(N('Hiring plan'!$F$52)&gt;0,I$3&gt;='Hiring plan'!$G$52,I$3&lt;=IF('Hiring plan'!$H$52="",999,'Hiring plan'!$H$52)),'Hiring plan'!$F$52,0)</f>
        <v>0</v>
      </c>
      <c r="J56" s="33" t="n">
        <f aca="false">IF(AND(N('Hiring plan'!$F$52)&gt;0,J$3&gt;='Hiring plan'!$G$52,J$3&lt;=IF('Hiring plan'!$H$52="",999,'Hiring plan'!$H$52)),'Hiring plan'!$F$52,0)</f>
        <v>0</v>
      </c>
      <c r="K56" s="33" t="n">
        <f aca="false">IF(AND(N('Hiring plan'!$F$52)&gt;0,K$3&gt;='Hiring plan'!$G$52,K$3&lt;=IF('Hiring plan'!$H$52="",999,'Hiring plan'!$H$52)),'Hiring plan'!$F$52,0)</f>
        <v>0</v>
      </c>
      <c r="L56" s="33" t="n">
        <f aca="false">IF(AND(N('Hiring plan'!$F$52)&gt;0,L$3&gt;='Hiring plan'!$G$52,L$3&lt;=IF('Hiring plan'!$H$52="",999,'Hiring plan'!$H$52)),'Hiring plan'!$F$52,0)</f>
        <v>0</v>
      </c>
      <c r="M56" s="33" t="n">
        <f aca="false">IF(AND(N('Hiring plan'!$F$52)&gt;0,M$3&gt;='Hiring plan'!$G$52,M$3&lt;=IF('Hiring plan'!$H$52="",999,'Hiring plan'!$H$52)),'Hiring plan'!$F$52,0)</f>
        <v>0</v>
      </c>
      <c r="N56" s="33" t="n">
        <f aca="false">IF(AND(N('Hiring plan'!$F$52)&gt;0,N$3&gt;='Hiring plan'!$G$52,N$3&lt;=IF('Hiring plan'!$H$52="",999,'Hiring plan'!$H$52)),'Hiring plan'!$F$52,0)</f>
        <v>0</v>
      </c>
      <c r="O56" s="33" t="n">
        <f aca="false">IF(AND(N('Hiring plan'!$F$52)&gt;0,O$3&gt;='Hiring plan'!$G$52,O$3&lt;=IF('Hiring plan'!$H$52="",999,'Hiring plan'!$H$52)),'Hiring plan'!$F$52,0)</f>
        <v>0</v>
      </c>
      <c r="P56" s="33" t="n">
        <f aca="false">IF(AND(N('Hiring plan'!$F$52)&gt;0,P$3&gt;='Hiring plan'!$G$52,P$3&lt;=IF('Hiring plan'!$H$52="",999,'Hiring plan'!$H$52)),'Hiring plan'!$F$52,0)</f>
        <v>0</v>
      </c>
      <c r="Q56" s="33" t="n">
        <f aca="false">IF(AND(N('Hiring plan'!$F$52)&gt;0,Q$3&gt;='Hiring plan'!$G$52,Q$3&lt;=IF('Hiring plan'!$H$52="",999,'Hiring plan'!$H$52)),'Hiring plan'!$F$52,0)</f>
        <v>0</v>
      </c>
      <c r="R56" s="33" t="n">
        <f aca="false">IF(AND(N('Hiring plan'!$F$52)&gt;0,R$3&gt;='Hiring plan'!$G$52,R$3&lt;=IF('Hiring plan'!$H$52="",999,'Hiring plan'!$H$52)),'Hiring plan'!$F$52,0)</f>
        <v>0</v>
      </c>
      <c r="S56" s="33" t="n">
        <f aca="false">IF(AND(N('Hiring plan'!$F$52)&gt;0,S$3&gt;='Hiring plan'!$G$52,S$3&lt;=IF('Hiring plan'!$H$52="",999,'Hiring plan'!$H$52)),'Hiring plan'!$F$52,0)</f>
        <v>0</v>
      </c>
      <c r="T56" s="33" t="n">
        <f aca="false">IF(AND(N('Hiring plan'!$F$52)&gt;0,T$3&gt;='Hiring plan'!$G$52,T$3&lt;=IF('Hiring plan'!$H$52="",999,'Hiring plan'!$H$52)),'Hiring plan'!$F$52,0)</f>
        <v>0</v>
      </c>
      <c r="U56" s="33" t="n">
        <f aca="false">IF(AND(N('Hiring plan'!$F$52)&gt;0,U$3&gt;='Hiring plan'!$G$52,U$3&lt;=IF('Hiring plan'!$H$52="",999,'Hiring plan'!$H$52)),'Hiring plan'!$F$52,0)</f>
        <v>0</v>
      </c>
      <c r="V56" s="33" t="n">
        <f aca="false">IF(AND(N('Hiring plan'!$F$52)&gt;0,V$3&gt;='Hiring plan'!$G$52,V$3&lt;=IF('Hiring plan'!$H$52="",999,'Hiring plan'!$H$52)),'Hiring plan'!$F$52,0)</f>
        <v>0</v>
      </c>
      <c r="W56" s="33" t="n">
        <f aca="false">IF(AND(N('Hiring plan'!$F$52)&gt;0,W$3&gt;='Hiring plan'!$G$52,W$3&lt;=IF('Hiring plan'!$H$52="",999,'Hiring plan'!$H$52)),'Hiring plan'!$F$52,0)</f>
        <v>0</v>
      </c>
      <c r="X56" s="33" t="n">
        <f aca="false">IF(AND(N('Hiring plan'!$F$52)&gt;0,X$3&gt;='Hiring plan'!$G$52,X$3&lt;=IF('Hiring plan'!$H$52="",999,'Hiring plan'!$H$52)),'Hiring plan'!$F$52,0)</f>
        <v>0</v>
      </c>
      <c r="Y56" s="33" t="n">
        <f aca="false">IF(AND(N('Hiring plan'!$F$52)&gt;0,Y$3&gt;='Hiring plan'!$G$52,Y$3&lt;=IF('Hiring plan'!$H$52="",999,'Hiring plan'!$H$52)),'Hiring plan'!$F$52,0)</f>
        <v>0</v>
      </c>
      <c r="Z56" s="33" t="n">
        <f aca="false">IF(AND(N('Hiring plan'!$F$52)&gt;0,Z$3&gt;='Hiring plan'!$G$52,Z$3&lt;=IF('Hiring plan'!$H$52="",999,'Hiring plan'!$H$52)),'Hiring plan'!$F$52,0)</f>
        <v>0</v>
      </c>
      <c r="AA56" s="33" t="n">
        <f aca="false">IF(AND(N('Hiring plan'!$F$52)&gt;0,AA$3&gt;='Hiring plan'!$G$52,AA$3&lt;=IF('Hiring plan'!$H$52="",999,'Hiring plan'!$H$52)),'Hiring plan'!$F$52,0)</f>
        <v>0</v>
      </c>
      <c r="AB56" s="33" t="n">
        <f aca="false">IF(AND(N('Hiring plan'!$F$52)&gt;0,AB$3&gt;='Hiring plan'!$G$52,AB$3&lt;=IF('Hiring plan'!$H$52="",999,'Hiring plan'!$H$52)),'Hiring plan'!$F$52,0)</f>
        <v>0</v>
      </c>
      <c r="AC56" s="33" t="n">
        <f aca="false">IF(AND(N('Hiring plan'!$F$52)&gt;0,AC$3&gt;='Hiring plan'!$G$52,AC$3&lt;=IF('Hiring plan'!$H$52="",999,'Hiring plan'!$H$52)),'Hiring plan'!$F$52,0)</f>
        <v>0</v>
      </c>
      <c r="AD56" s="33" t="n">
        <f aca="false">IF(AND(N('Hiring plan'!$F$52)&gt;0,AD$3&gt;='Hiring plan'!$G$52,AD$3&lt;=IF('Hiring plan'!$H$52="",999,'Hiring plan'!$H$52)),'Hiring plan'!$F$52,0)</f>
        <v>0</v>
      </c>
      <c r="AE56" s="33" t="n">
        <f aca="false">IF(AND(N('Hiring plan'!$F$52)&gt;0,AE$3&gt;='Hiring plan'!$G$52,AE$3&lt;=IF('Hiring plan'!$H$52="",999,'Hiring plan'!$H$52)),'Hiring plan'!$F$52,0)</f>
        <v>0</v>
      </c>
      <c r="AF56" s="33" t="n">
        <f aca="false">IF(AND(N('Hiring plan'!$F$52)&gt;0,AF$3&gt;='Hiring plan'!$G$52,AF$3&lt;=IF('Hiring plan'!$H$52="",999,'Hiring plan'!$H$52)),'Hiring plan'!$F$52,0)</f>
        <v>0</v>
      </c>
      <c r="AG56" s="33" t="n">
        <f aca="false">IF(AND(N('Hiring plan'!$F$52)&gt;0,AG$3&gt;='Hiring plan'!$G$52,AG$3&lt;=IF('Hiring plan'!$H$52="",999,'Hiring plan'!$H$52)),'Hiring plan'!$F$52,0)</f>
        <v>0</v>
      </c>
      <c r="AH56" s="33" t="n">
        <f aca="false">IF(AND(N('Hiring plan'!$F$52)&gt;0,AH$3&gt;='Hiring plan'!$G$52,AH$3&lt;=IF('Hiring plan'!$H$52="",999,'Hiring plan'!$H$52)),'Hiring plan'!$F$52,0)</f>
        <v>0</v>
      </c>
      <c r="AI56" s="33" t="n">
        <f aca="false">IF(AND(N('Hiring plan'!$F$52)&gt;0,AI$3&gt;='Hiring plan'!$G$52,AI$3&lt;=IF('Hiring plan'!$H$52="",999,'Hiring plan'!$H$52)),'Hiring plan'!$F$52,0)</f>
        <v>4</v>
      </c>
      <c r="AJ56" s="33" t="n">
        <f aca="false">IF(AND(N('Hiring plan'!$F$52)&gt;0,AJ$3&gt;='Hiring plan'!$G$52,AJ$3&lt;=IF('Hiring plan'!$H$52="",999,'Hiring plan'!$H$52)),'Hiring plan'!$F$52,0)</f>
        <v>4</v>
      </c>
      <c r="AK56" s="33" t="n">
        <f aca="false">IF(AND(N('Hiring plan'!$F$52)&gt;0,AK$3&gt;='Hiring plan'!$G$52,AK$3&lt;=IF('Hiring plan'!$H$52="",999,'Hiring plan'!$H$52)),'Hiring plan'!$F$52,0)</f>
        <v>4</v>
      </c>
      <c r="AL56" s="33" t="n">
        <f aca="false">IF(AND(N('Hiring plan'!$F$52)&gt;0,AL$3&gt;='Hiring plan'!$G$52,AL$3&lt;=IF('Hiring plan'!$H$52="",999,'Hiring plan'!$H$52)),'Hiring plan'!$F$52,0)</f>
        <v>4</v>
      </c>
      <c r="AM56" s="33" t="n">
        <f aca="false">IF(AND(N('Hiring plan'!$F$52)&gt;0,AM$3&gt;='Hiring plan'!$G$52,AM$3&lt;=IF('Hiring plan'!$H$52="",999,'Hiring plan'!$H$52)),'Hiring plan'!$F$52,0)</f>
        <v>4</v>
      </c>
      <c r="AN56" s="33" t="n">
        <f aca="false">IF(AND(N('Hiring plan'!$F$52)&gt;0,AN$3&gt;='Hiring plan'!$G$52,AN$3&lt;=IF('Hiring plan'!$H$52="",999,'Hiring plan'!$H$52)),'Hiring plan'!$F$52,0)</f>
        <v>4</v>
      </c>
      <c r="AO56" s="33" t="n">
        <f aca="false">IF(AND(N('Hiring plan'!$F$52)&gt;0,AO$3&gt;='Hiring plan'!$G$52,AO$3&lt;=IF('Hiring plan'!$H$52="",999,'Hiring plan'!$H$52)),'Hiring plan'!$F$52,0)</f>
        <v>4</v>
      </c>
      <c r="AP56" s="33" t="n">
        <f aca="false">IF(AND(N('Hiring plan'!$F$52)&gt;0,AP$3&gt;='Hiring plan'!$G$52,AP$3&lt;=IF('Hiring plan'!$H$52="",999,'Hiring plan'!$H$52)),'Hiring plan'!$F$52,0)</f>
        <v>4</v>
      </c>
      <c r="AQ56" s="33" t="n">
        <f aca="false">IF(AND(N('Hiring plan'!$F$52)&gt;0,AQ$3&gt;='Hiring plan'!$G$52,AQ$3&lt;=IF('Hiring plan'!$H$52="",999,'Hiring plan'!$H$52)),'Hiring plan'!$F$52,0)</f>
        <v>4</v>
      </c>
      <c r="AR56" s="33" t="n">
        <f aca="false">IF(AND(N('Hiring plan'!$F$52)&gt;0,AR$3&gt;='Hiring plan'!$G$52,AR$3&lt;=IF('Hiring plan'!$H$52="",999,'Hiring plan'!$H$52)),'Hiring plan'!$F$52,0)</f>
        <v>4</v>
      </c>
      <c r="AS56" s="33" t="n">
        <f aca="false">IF(AND(N('Hiring plan'!$F$52)&gt;0,AS$3&gt;='Hiring plan'!$G$52,AS$3&lt;=IF('Hiring plan'!$H$52="",999,'Hiring plan'!$H$52)),'Hiring plan'!$F$52,0)</f>
        <v>4</v>
      </c>
      <c r="AT56" s="33" t="n">
        <f aca="false">IF(AND(N('Hiring plan'!$F$52)&gt;0,AT$3&gt;='Hiring plan'!$G$52,AT$3&lt;=IF('Hiring plan'!$H$52="",999,'Hiring plan'!$H$52)),'Hiring plan'!$F$52,0)</f>
        <v>4</v>
      </c>
      <c r="AU56" s="33" t="n">
        <f aca="false">IF(AND(N('Hiring plan'!$F$52)&gt;0,AU$3&gt;='Hiring plan'!$G$52,AU$3&lt;=IF('Hiring plan'!$H$52="",999,'Hiring plan'!$H$52)),'Hiring plan'!$F$52,0)</f>
        <v>4</v>
      </c>
      <c r="AV56" s="33" t="n">
        <f aca="false">IF(AND(N('Hiring plan'!$F$52)&gt;0,AV$3&gt;='Hiring plan'!$G$52,AV$3&lt;=IF('Hiring plan'!$H$52="",999,'Hiring plan'!$H$52)),'Hiring plan'!$F$52,0)</f>
        <v>4</v>
      </c>
      <c r="AW56" s="33" t="n">
        <f aca="false">IF(AND(N('Hiring plan'!$F$52)&gt;0,AW$3&gt;='Hiring plan'!$G$52,AW$3&lt;=IF('Hiring plan'!$H$52="",999,'Hiring plan'!$H$52)),'Hiring plan'!$F$52,0)</f>
        <v>4</v>
      </c>
      <c r="AX56" s="33" t="n">
        <f aca="false">IF(AND(N('Hiring plan'!$F$52)&gt;0,AX$3&gt;='Hiring plan'!$G$52,AX$3&lt;=IF('Hiring plan'!$H$52="",999,'Hiring plan'!$H$52)),'Hiring plan'!$F$52,0)</f>
        <v>4</v>
      </c>
      <c r="AY56" s="33" t="n">
        <f aca="false">IF(AND(N('Hiring plan'!$F$52)&gt;0,AY$3&gt;='Hiring plan'!$G$52,AY$3&lt;=IF('Hiring plan'!$H$52="",999,'Hiring plan'!$H$52)),'Hiring plan'!$F$52,0)</f>
        <v>4</v>
      </c>
      <c r="AZ56" s="33" t="n">
        <f aca="false">IF(AND(N('Hiring plan'!$F$52)&gt;0,AZ$3&gt;='Hiring plan'!$G$52,AZ$3&lt;=IF('Hiring plan'!$H$52="",999,'Hiring plan'!$H$52)),'Hiring plan'!$F$52,0)</f>
        <v>4</v>
      </c>
      <c r="BA56" s="33" t="n">
        <f aca="false">IF(AND(N('Hiring plan'!$F$52)&gt;0,BA$3&gt;='Hiring plan'!$G$52,BA$3&lt;=IF('Hiring plan'!$H$52="",999,'Hiring plan'!$H$52)),'Hiring plan'!$F$52,0)</f>
        <v>4</v>
      </c>
      <c r="BB56" s="33" t="n">
        <f aca="false">IF(AND(N('Hiring plan'!$F$52)&gt;0,BB$3&gt;='Hiring plan'!$G$52,BB$3&lt;=IF('Hiring plan'!$H$52="",999,'Hiring plan'!$H$52)),'Hiring plan'!$F$52,0)</f>
        <v>4</v>
      </c>
      <c r="BC56" s="33" t="n">
        <f aca="false">IF(AND(N('Hiring plan'!$F$52)&gt;0,BC$3&gt;='Hiring plan'!$G$52,BC$3&lt;=IF('Hiring plan'!$H$52="",999,'Hiring plan'!$H$52)),'Hiring plan'!$F$52,0)</f>
        <v>4</v>
      </c>
      <c r="BD56" s="33" t="n">
        <f aca="false">IF(AND(N('Hiring plan'!$F$52)&gt;0,BD$3&gt;='Hiring plan'!$G$52,BD$3&lt;=IF('Hiring plan'!$H$52="",999,'Hiring plan'!$H$52)),'Hiring plan'!$F$52,0)</f>
        <v>4</v>
      </c>
      <c r="BE56" s="33" t="n">
        <f aca="false">IF(AND(N('Hiring plan'!$F$52)&gt;0,BE$3&gt;='Hiring plan'!$G$52,BE$3&lt;=IF('Hiring plan'!$H$52="",999,'Hiring plan'!$H$52)),'Hiring plan'!$F$52,0)</f>
        <v>4</v>
      </c>
      <c r="BF56" s="33" t="n">
        <f aca="false">IF(AND(N('Hiring plan'!$F$52)&gt;0,BF$3&gt;='Hiring plan'!$G$52,BF$3&lt;=IF('Hiring plan'!$H$52="",999,'Hiring plan'!$H$52)),'Hiring plan'!$F$52,0)</f>
        <v>4</v>
      </c>
      <c r="BG56" s="33" t="n">
        <f aca="false">IF(AND(N('Hiring plan'!$F$52)&gt;0,BG$3&gt;='Hiring plan'!$G$52,BG$3&lt;=IF('Hiring plan'!$H$52="",999,'Hiring plan'!$H$52)),'Hiring plan'!$F$52,0)</f>
        <v>4</v>
      </c>
      <c r="BH56" s="33" t="n">
        <f aca="false">IF(AND(N('Hiring plan'!$F$52)&gt;0,BH$3&gt;='Hiring plan'!$G$52,BH$3&lt;=IF('Hiring plan'!$H$52="",999,'Hiring plan'!$H$52)),'Hiring plan'!$F$52,0)</f>
        <v>4</v>
      </c>
      <c r="BI56" s="33" t="n">
        <f aca="false">IF(AND(N('Hiring plan'!$F$52)&gt;0,BI$3&gt;='Hiring plan'!$G$52,BI$3&lt;=IF('Hiring plan'!$H$52="",999,'Hiring plan'!$H$52)),'Hiring plan'!$F$52,0)</f>
        <v>4</v>
      </c>
      <c r="BJ56" s="33" t="n">
        <f aca="false">IF(AND(N('Hiring plan'!$F$52)&gt;0,BJ$3&gt;='Hiring plan'!$G$52,BJ$3&lt;=IF('Hiring plan'!$H$52="",999,'Hiring plan'!$H$52)),'Hiring plan'!$F$52,0)</f>
        <v>4</v>
      </c>
      <c r="BK56" s="33" t="n">
        <f aca="false">IF(AND(N('Hiring plan'!$F$52)&gt;0,BK$3&gt;='Hiring plan'!$G$52,BK$3&lt;=IF('Hiring plan'!$H$52="",999,'Hiring plan'!$H$52)),'Hiring plan'!$F$52,0)</f>
        <v>4</v>
      </c>
      <c r="BL56" s="33" t="n">
        <f aca="false">IF(AND(N('Hiring plan'!$F$52)&gt;0,BL$3&gt;='Hiring plan'!$G$52,BL$3&lt;=IF('Hiring plan'!$H$52="",999,'Hiring plan'!$H$52)),'Hiring plan'!$F$52,0)</f>
        <v>4</v>
      </c>
    </row>
    <row r="57" customFormat="false" ht="15" hidden="false" customHeight="false" outlineLevel="0" collapsed="false">
      <c r="A57" s="12" t="str">
        <f aca="false">IF('Hiring plan'!$C$53="","(spare line 49)",'Hiring plan'!$C$53&amp;" · "&amp;'Hiring plan'!$D$53)</f>
        <v>Field sales rep, Abidjan · CI</v>
      </c>
      <c r="B57" s="14" t="s">
        <v>222</v>
      </c>
      <c r="D57" s="41" t="n">
        <f aca="false">MAX(E57:BL57)</f>
        <v>3</v>
      </c>
      <c r="E57" s="33" t="n">
        <f aca="false">IF(AND(N('Hiring plan'!$F$53)&gt;0,E$3&gt;='Hiring plan'!$G$53,E$3&lt;=IF('Hiring plan'!$H$53="",999,'Hiring plan'!$H$53)),'Hiring plan'!$F$53,0)</f>
        <v>0</v>
      </c>
      <c r="F57" s="33" t="n">
        <f aca="false">IF(AND(N('Hiring plan'!$F$53)&gt;0,F$3&gt;='Hiring plan'!$G$53,F$3&lt;=IF('Hiring plan'!$H$53="",999,'Hiring plan'!$H$53)),'Hiring plan'!$F$53,0)</f>
        <v>0</v>
      </c>
      <c r="G57" s="33" t="n">
        <f aca="false">IF(AND(N('Hiring plan'!$F$53)&gt;0,G$3&gt;='Hiring plan'!$G$53,G$3&lt;=IF('Hiring plan'!$H$53="",999,'Hiring plan'!$H$53)),'Hiring plan'!$F$53,0)</f>
        <v>0</v>
      </c>
      <c r="H57" s="33" t="n">
        <f aca="false">IF(AND(N('Hiring plan'!$F$53)&gt;0,H$3&gt;='Hiring plan'!$G$53,H$3&lt;=IF('Hiring plan'!$H$53="",999,'Hiring plan'!$H$53)),'Hiring plan'!$F$53,0)</f>
        <v>0</v>
      </c>
      <c r="I57" s="33" t="n">
        <f aca="false">IF(AND(N('Hiring plan'!$F$53)&gt;0,I$3&gt;='Hiring plan'!$G$53,I$3&lt;=IF('Hiring plan'!$H$53="",999,'Hiring plan'!$H$53)),'Hiring plan'!$F$53,0)</f>
        <v>0</v>
      </c>
      <c r="J57" s="33" t="n">
        <f aca="false">IF(AND(N('Hiring plan'!$F$53)&gt;0,J$3&gt;='Hiring plan'!$G$53,J$3&lt;=IF('Hiring plan'!$H$53="",999,'Hiring plan'!$H$53)),'Hiring plan'!$F$53,0)</f>
        <v>0</v>
      </c>
      <c r="K57" s="33" t="n">
        <f aca="false">IF(AND(N('Hiring plan'!$F$53)&gt;0,K$3&gt;='Hiring plan'!$G$53,K$3&lt;=IF('Hiring plan'!$H$53="",999,'Hiring plan'!$H$53)),'Hiring plan'!$F$53,0)</f>
        <v>0</v>
      </c>
      <c r="L57" s="33" t="n">
        <f aca="false">IF(AND(N('Hiring plan'!$F$53)&gt;0,L$3&gt;='Hiring plan'!$G$53,L$3&lt;=IF('Hiring plan'!$H$53="",999,'Hiring plan'!$H$53)),'Hiring plan'!$F$53,0)</f>
        <v>0</v>
      </c>
      <c r="M57" s="33" t="n">
        <f aca="false">IF(AND(N('Hiring plan'!$F$53)&gt;0,M$3&gt;='Hiring plan'!$G$53,M$3&lt;=IF('Hiring plan'!$H$53="",999,'Hiring plan'!$H$53)),'Hiring plan'!$F$53,0)</f>
        <v>0</v>
      </c>
      <c r="N57" s="33" t="n">
        <f aca="false">IF(AND(N('Hiring plan'!$F$53)&gt;0,N$3&gt;='Hiring plan'!$G$53,N$3&lt;=IF('Hiring plan'!$H$53="",999,'Hiring plan'!$H$53)),'Hiring plan'!$F$53,0)</f>
        <v>0</v>
      </c>
      <c r="O57" s="33" t="n">
        <f aca="false">IF(AND(N('Hiring plan'!$F$53)&gt;0,O$3&gt;='Hiring plan'!$G$53,O$3&lt;=IF('Hiring plan'!$H$53="",999,'Hiring plan'!$H$53)),'Hiring plan'!$F$53,0)</f>
        <v>0</v>
      </c>
      <c r="P57" s="33" t="n">
        <f aca="false">IF(AND(N('Hiring plan'!$F$53)&gt;0,P$3&gt;='Hiring plan'!$G$53,P$3&lt;=IF('Hiring plan'!$H$53="",999,'Hiring plan'!$H$53)),'Hiring plan'!$F$53,0)</f>
        <v>0</v>
      </c>
      <c r="Q57" s="33" t="n">
        <f aca="false">IF(AND(N('Hiring plan'!$F$53)&gt;0,Q$3&gt;='Hiring plan'!$G$53,Q$3&lt;=IF('Hiring plan'!$H$53="",999,'Hiring plan'!$H$53)),'Hiring plan'!$F$53,0)</f>
        <v>0</v>
      </c>
      <c r="R57" s="33" t="n">
        <f aca="false">IF(AND(N('Hiring plan'!$F$53)&gt;0,R$3&gt;='Hiring plan'!$G$53,R$3&lt;=IF('Hiring plan'!$H$53="",999,'Hiring plan'!$H$53)),'Hiring plan'!$F$53,0)</f>
        <v>0</v>
      </c>
      <c r="S57" s="33" t="n">
        <f aca="false">IF(AND(N('Hiring plan'!$F$53)&gt;0,S$3&gt;='Hiring plan'!$G$53,S$3&lt;=IF('Hiring plan'!$H$53="",999,'Hiring plan'!$H$53)),'Hiring plan'!$F$53,0)</f>
        <v>0</v>
      </c>
      <c r="T57" s="33" t="n">
        <f aca="false">IF(AND(N('Hiring plan'!$F$53)&gt;0,T$3&gt;='Hiring plan'!$G$53,T$3&lt;=IF('Hiring plan'!$H$53="",999,'Hiring plan'!$H$53)),'Hiring plan'!$F$53,0)</f>
        <v>0</v>
      </c>
      <c r="U57" s="33" t="n">
        <f aca="false">IF(AND(N('Hiring plan'!$F$53)&gt;0,U$3&gt;='Hiring plan'!$G$53,U$3&lt;=IF('Hiring plan'!$H$53="",999,'Hiring plan'!$H$53)),'Hiring plan'!$F$53,0)</f>
        <v>0</v>
      </c>
      <c r="V57" s="33" t="n">
        <f aca="false">IF(AND(N('Hiring plan'!$F$53)&gt;0,V$3&gt;='Hiring plan'!$G$53,V$3&lt;=IF('Hiring plan'!$H$53="",999,'Hiring plan'!$H$53)),'Hiring plan'!$F$53,0)</f>
        <v>0</v>
      </c>
      <c r="W57" s="33" t="n">
        <f aca="false">IF(AND(N('Hiring plan'!$F$53)&gt;0,W$3&gt;='Hiring plan'!$G$53,W$3&lt;=IF('Hiring plan'!$H$53="",999,'Hiring plan'!$H$53)),'Hiring plan'!$F$53,0)</f>
        <v>0</v>
      </c>
      <c r="X57" s="33" t="n">
        <f aca="false">IF(AND(N('Hiring plan'!$F$53)&gt;0,X$3&gt;='Hiring plan'!$G$53,X$3&lt;=IF('Hiring plan'!$H$53="",999,'Hiring plan'!$H$53)),'Hiring plan'!$F$53,0)</f>
        <v>0</v>
      </c>
      <c r="Y57" s="33" t="n">
        <f aca="false">IF(AND(N('Hiring plan'!$F$53)&gt;0,Y$3&gt;='Hiring plan'!$G$53,Y$3&lt;=IF('Hiring plan'!$H$53="",999,'Hiring plan'!$H$53)),'Hiring plan'!$F$53,0)</f>
        <v>0</v>
      </c>
      <c r="Z57" s="33" t="n">
        <f aca="false">IF(AND(N('Hiring plan'!$F$53)&gt;0,Z$3&gt;='Hiring plan'!$G$53,Z$3&lt;=IF('Hiring plan'!$H$53="",999,'Hiring plan'!$H$53)),'Hiring plan'!$F$53,0)</f>
        <v>0</v>
      </c>
      <c r="AA57" s="33" t="n">
        <f aca="false">IF(AND(N('Hiring plan'!$F$53)&gt;0,AA$3&gt;='Hiring plan'!$G$53,AA$3&lt;=IF('Hiring plan'!$H$53="",999,'Hiring plan'!$H$53)),'Hiring plan'!$F$53,0)</f>
        <v>0</v>
      </c>
      <c r="AB57" s="33" t="n">
        <f aca="false">IF(AND(N('Hiring plan'!$F$53)&gt;0,AB$3&gt;='Hiring plan'!$G$53,AB$3&lt;=IF('Hiring plan'!$H$53="",999,'Hiring plan'!$H$53)),'Hiring plan'!$F$53,0)</f>
        <v>0</v>
      </c>
      <c r="AC57" s="33" t="n">
        <f aca="false">IF(AND(N('Hiring plan'!$F$53)&gt;0,AC$3&gt;='Hiring plan'!$G$53,AC$3&lt;=IF('Hiring plan'!$H$53="",999,'Hiring plan'!$H$53)),'Hiring plan'!$F$53,0)</f>
        <v>0</v>
      </c>
      <c r="AD57" s="33" t="n">
        <f aca="false">IF(AND(N('Hiring plan'!$F$53)&gt;0,AD$3&gt;='Hiring plan'!$G$53,AD$3&lt;=IF('Hiring plan'!$H$53="",999,'Hiring plan'!$H$53)),'Hiring plan'!$F$53,0)</f>
        <v>0</v>
      </c>
      <c r="AE57" s="33" t="n">
        <f aca="false">IF(AND(N('Hiring plan'!$F$53)&gt;0,AE$3&gt;='Hiring plan'!$G$53,AE$3&lt;=IF('Hiring plan'!$H$53="",999,'Hiring plan'!$H$53)),'Hiring plan'!$F$53,0)</f>
        <v>0</v>
      </c>
      <c r="AF57" s="33" t="n">
        <f aca="false">IF(AND(N('Hiring plan'!$F$53)&gt;0,AF$3&gt;='Hiring plan'!$G$53,AF$3&lt;=IF('Hiring plan'!$H$53="",999,'Hiring plan'!$H$53)),'Hiring plan'!$F$53,0)</f>
        <v>0</v>
      </c>
      <c r="AG57" s="33" t="n">
        <f aca="false">IF(AND(N('Hiring plan'!$F$53)&gt;0,AG$3&gt;='Hiring plan'!$G$53,AG$3&lt;=IF('Hiring plan'!$H$53="",999,'Hiring plan'!$H$53)),'Hiring plan'!$F$53,0)</f>
        <v>0</v>
      </c>
      <c r="AH57" s="33" t="n">
        <f aca="false">IF(AND(N('Hiring plan'!$F$53)&gt;0,AH$3&gt;='Hiring plan'!$G$53,AH$3&lt;=IF('Hiring plan'!$H$53="",999,'Hiring plan'!$H$53)),'Hiring plan'!$F$53,0)</f>
        <v>0</v>
      </c>
      <c r="AI57" s="33" t="n">
        <f aca="false">IF(AND(N('Hiring plan'!$F$53)&gt;0,AI$3&gt;='Hiring plan'!$G$53,AI$3&lt;=IF('Hiring plan'!$H$53="",999,'Hiring plan'!$H$53)),'Hiring plan'!$F$53,0)</f>
        <v>3</v>
      </c>
      <c r="AJ57" s="33" t="n">
        <f aca="false">IF(AND(N('Hiring plan'!$F$53)&gt;0,AJ$3&gt;='Hiring plan'!$G$53,AJ$3&lt;=IF('Hiring plan'!$H$53="",999,'Hiring plan'!$H$53)),'Hiring plan'!$F$53,0)</f>
        <v>3</v>
      </c>
      <c r="AK57" s="33" t="n">
        <f aca="false">IF(AND(N('Hiring plan'!$F$53)&gt;0,AK$3&gt;='Hiring plan'!$G$53,AK$3&lt;=IF('Hiring plan'!$H$53="",999,'Hiring plan'!$H$53)),'Hiring plan'!$F$53,0)</f>
        <v>3</v>
      </c>
      <c r="AL57" s="33" t="n">
        <f aca="false">IF(AND(N('Hiring plan'!$F$53)&gt;0,AL$3&gt;='Hiring plan'!$G$53,AL$3&lt;=IF('Hiring plan'!$H$53="",999,'Hiring plan'!$H$53)),'Hiring plan'!$F$53,0)</f>
        <v>3</v>
      </c>
      <c r="AM57" s="33" t="n">
        <f aca="false">IF(AND(N('Hiring plan'!$F$53)&gt;0,AM$3&gt;='Hiring plan'!$G$53,AM$3&lt;=IF('Hiring plan'!$H$53="",999,'Hiring plan'!$H$53)),'Hiring plan'!$F$53,0)</f>
        <v>3</v>
      </c>
      <c r="AN57" s="33" t="n">
        <f aca="false">IF(AND(N('Hiring plan'!$F$53)&gt;0,AN$3&gt;='Hiring plan'!$G$53,AN$3&lt;=IF('Hiring plan'!$H$53="",999,'Hiring plan'!$H$53)),'Hiring plan'!$F$53,0)</f>
        <v>3</v>
      </c>
      <c r="AO57" s="33" t="n">
        <f aca="false">IF(AND(N('Hiring plan'!$F$53)&gt;0,AO$3&gt;='Hiring plan'!$G$53,AO$3&lt;=IF('Hiring plan'!$H$53="",999,'Hiring plan'!$H$53)),'Hiring plan'!$F$53,0)</f>
        <v>3</v>
      </c>
      <c r="AP57" s="33" t="n">
        <f aca="false">IF(AND(N('Hiring plan'!$F$53)&gt;0,AP$3&gt;='Hiring plan'!$G$53,AP$3&lt;=IF('Hiring plan'!$H$53="",999,'Hiring plan'!$H$53)),'Hiring plan'!$F$53,0)</f>
        <v>3</v>
      </c>
      <c r="AQ57" s="33" t="n">
        <f aca="false">IF(AND(N('Hiring plan'!$F$53)&gt;0,AQ$3&gt;='Hiring plan'!$G$53,AQ$3&lt;=IF('Hiring plan'!$H$53="",999,'Hiring plan'!$H$53)),'Hiring plan'!$F$53,0)</f>
        <v>3</v>
      </c>
      <c r="AR57" s="33" t="n">
        <f aca="false">IF(AND(N('Hiring plan'!$F$53)&gt;0,AR$3&gt;='Hiring plan'!$G$53,AR$3&lt;=IF('Hiring plan'!$H$53="",999,'Hiring plan'!$H$53)),'Hiring plan'!$F$53,0)</f>
        <v>3</v>
      </c>
      <c r="AS57" s="33" t="n">
        <f aca="false">IF(AND(N('Hiring plan'!$F$53)&gt;0,AS$3&gt;='Hiring plan'!$G$53,AS$3&lt;=IF('Hiring plan'!$H$53="",999,'Hiring plan'!$H$53)),'Hiring plan'!$F$53,0)</f>
        <v>3</v>
      </c>
      <c r="AT57" s="33" t="n">
        <f aca="false">IF(AND(N('Hiring plan'!$F$53)&gt;0,AT$3&gt;='Hiring plan'!$G$53,AT$3&lt;=IF('Hiring plan'!$H$53="",999,'Hiring plan'!$H$53)),'Hiring plan'!$F$53,0)</f>
        <v>3</v>
      </c>
      <c r="AU57" s="33" t="n">
        <f aca="false">IF(AND(N('Hiring plan'!$F$53)&gt;0,AU$3&gt;='Hiring plan'!$G$53,AU$3&lt;=IF('Hiring plan'!$H$53="",999,'Hiring plan'!$H$53)),'Hiring plan'!$F$53,0)</f>
        <v>3</v>
      </c>
      <c r="AV57" s="33" t="n">
        <f aca="false">IF(AND(N('Hiring plan'!$F$53)&gt;0,AV$3&gt;='Hiring plan'!$G$53,AV$3&lt;=IF('Hiring plan'!$H$53="",999,'Hiring plan'!$H$53)),'Hiring plan'!$F$53,0)</f>
        <v>3</v>
      </c>
      <c r="AW57" s="33" t="n">
        <f aca="false">IF(AND(N('Hiring plan'!$F$53)&gt;0,AW$3&gt;='Hiring plan'!$G$53,AW$3&lt;=IF('Hiring plan'!$H$53="",999,'Hiring plan'!$H$53)),'Hiring plan'!$F$53,0)</f>
        <v>3</v>
      </c>
      <c r="AX57" s="33" t="n">
        <f aca="false">IF(AND(N('Hiring plan'!$F$53)&gt;0,AX$3&gt;='Hiring plan'!$G$53,AX$3&lt;=IF('Hiring plan'!$H$53="",999,'Hiring plan'!$H$53)),'Hiring plan'!$F$53,0)</f>
        <v>3</v>
      </c>
      <c r="AY57" s="33" t="n">
        <f aca="false">IF(AND(N('Hiring plan'!$F$53)&gt;0,AY$3&gt;='Hiring plan'!$G$53,AY$3&lt;=IF('Hiring plan'!$H$53="",999,'Hiring plan'!$H$53)),'Hiring plan'!$F$53,0)</f>
        <v>3</v>
      </c>
      <c r="AZ57" s="33" t="n">
        <f aca="false">IF(AND(N('Hiring plan'!$F$53)&gt;0,AZ$3&gt;='Hiring plan'!$G$53,AZ$3&lt;=IF('Hiring plan'!$H$53="",999,'Hiring plan'!$H$53)),'Hiring plan'!$F$53,0)</f>
        <v>3</v>
      </c>
      <c r="BA57" s="33" t="n">
        <f aca="false">IF(AND(N('Hiring plan'!$F$53)&gt;0,BA$3&gt;='Hiring plan'!$G$53,BA$3&lt;=IF('Hiring plan'!$H$53="",999,'Hiring plan'!$H$53)),'Hiring plan'!$F$53,0)</f>
        <v>3</v>
      </c>
      <c r="BB57" s="33" t="n">
        <f aca="false">IF(AND(N('Hiring plan'!$F$53)&gt;0,BB$3&gt;='Hiring plan'!$G$53,BB$3&lt;=IF('Hiring plan'!$H$53="",999,'Hiring plan'!$H$53)),'Hiring plan'!$F$53,0)</f>
        <v>3</v>
      </c>
      <c r="BC57" s="33" t="n">
        <f aca="false">IF(AND(N('Hiring plan'!$F$53)&gt;0,BC$3&gt;='Hiring plan'!$G$53,BC$3&lt;=IF('Hiring plan'!$H$53="",999,'Hiring plan'!$H$53)),'Hiring plan'!$F$53,0)</f>
        <v>3</v>
      </c>
      <c r="BD57" s="33" t="n">
        <f aca="false">IF(AND(N('Hiring plan'!$F$53)&gt;0,BD$3&gt;='Hiring plan'!$G$53,BD$3&lt;=IF('Hiring plan'!$H$53="",999,'Hiring plan'!$H$53)),'Hiring plan'!$F$53,0)</f>
        <v>3</v>
      </c>
      <c r="BE57" s="33" t="n">
        <f aca="false">IF(AND(N('Hiring plan'!$F$53)&gt;0,BE$3&gt;='Hiring plan'!$G$53,BE$3&lt;=IF('Hiring plan'!$H$53="",999,'Hiring plan'!$H$53)),'Hiring plan'!$F$53,0)</f>
        <v>3</v>
      </c>
      <c r="BF57" s="33" t="n">
        <f aca="false">IF(AND(N('Hiring plan'!$F$53)&gt;0,BF$3&gt;='Hiring plan'!$G$53,BF$3&lt;=IF('Hiring plan'!$H$53="",999,'Hiring plan'!$H$53)),'Hiring plan'!$F$53,0)</f>
        <v>3</v>
      </c>
      <c r="BG57" s="33" t="n">
        <f aca="false">IF(AND(N('Hiring plan'!$F$53)&gt;0,BG$3&gt;='Hiring plan'!$G$53,BG$3&lt;=IF('Hiring plan'!$H$53="",999,'Hiring plan'!$H$53)),'Hiring plan'!$F$53,0)</f>
        <v>3</v>
      </c>
      <c r="BH57" s="33" t="n">
        <f aca="false">IF(AND(N('Hiring plan'!$F$53)&gt;0,BH$3&gt;='Hiring plan'!$G$53,BH$3&lt;=IF('Hiring plan'!$H$53="",999,'Hiring plan'!$H$53)),'Hiring plan'!$F$53,0)</f>
        <v>3</v>
      </c>
      <c r="BI57" s="33" t="n">
        <f aca="false">IF(AND(N('Hiring plan'!$F$53)&gt;0,BI$3&gt;='Hiring plan'!$G$53,BI$3&lt;=IF('Hiring plan'!$H$53="",999,'Hiring plan'!$H$53)),'Hiring plan'!$F$53,0)</f>
        <v>3</v>
      </c>
      <c r="BJ57" s="33" t="n">
        <f aca="false">IF(AND(N('Hiring plan'!$F$53)&gt;0,BJ$3&gt;='Hiring plan'!$G$53,BJ$3&lt;=IF('Hiring plan'!$H$53="",999,'Hiring plan'!$H$53)),'Hiring plan'!$F$53,0)</f>
        <v>3</v>
      </c>
      <c r="BK57" s="33" t="n">
        <f aca="false">IF(AND(N('Hiring plan'!$F$53)&gt;0,BK$3&gt;='Hiring plan'!$G$53,BK$3&lt;=IF('Hiring plan'!$H$53="",999,'Hiring plan'!$H$53)),'Hiring plan'!$F$53,0)</f>
        <v>3</v>
      </c>
      <c r="BL57" s="33" t="n">
        <f aca="false">IF(AND(N('Hiring plan'!$F$53)&gt;0,BL$3&gt;='Hiring plan'!$G$53,BL$3&lt;=IF('Hiring plan'!$H$53="",999,'Hiring plan'!$H$53)),'Hiring plan'!$F$53,0)</f>
        <v>3</v>
      </c>
    </row>
    <row r="58" customFormat="false" ht="15" hidden="false" customHeight="false" outlineLevel="0" collapsed="false">
      <c r="A58" s="12" t="str">
        <f aca="false">IF('Hiring plan'!$C$54="","(spare line 50)",'Hiring plan'!$C$54&amp;" · "&amp;'Hiring plan'!$D$54)</f>
        <v>Field sales rep · SN</v>
      </c>
      <c r="B58" s="14" t="s">
        <v>222</v>
      </c>
      <c r="D58" s="41" t="n">
        <f aca="false">MAX(E58:BL58)</f>
        <v>4</v>
      </c>
      <c r="E58" s="33" t="n">
        <f aca="false">IF(AND(N('Hiring plan'!$F$54)&gt;0,E$3&gt;='Hiring plan'!$G$54,E$3&lt;=IF('Hiring plan'!$H$54="",999,'Hiring plan'!$H$54)),'Hiring plan'!$F$54,0)</f>
        <v>0</v>
      </c>
      <c r="F58" s="33" t="n">
        <f aca="false">IF(AND(N('Hiring plan'!$F$54)&gt;0,F$3&gt;='Hiring plan'!$G$54,F$3&lt;=IF('Hiring plan'!$H$54="",999,'Hiring plan'!$H$54)),'Hiring plan'!$F$54,0)</f>
        <v>0</v>
      </c>
      <c r="G58" s="33" t="n">
        <f aca="false">IF(AND(N('Hiring plan'!$F$54)&gt;0,G$3&gt;='Hiring plan'!$G$54,G$3&lt;=IF('Hiring plan'!$H$54="",999,'Hiring plan'!$H$54)),'Hiring plan'!$F$54,0)</f>
        <v>0</v>
      </c>
      <c r="H58" s="33" t="n">
        <f aca="false">IF(AND(N('Hiring plan'!$F$54)&gt;0,H$3&gt;='Hiring plan'!$G$54,H$3&lt;=IF('Hiring plan'!$H$54="",999,'Hiring plan'!$H$54)),'Hiring plan'!$F$54,0)</f>
        <v>0</v>
      </c>
      <c r="I58" s="33" t="n">
        <f aca="false">IF(AND(N('Hiring plan'!$F$54)&gt;0,I$3&gt;='Hiring plan'!$G$54,I$3&lt;=IF('Hiring plan'!$H$54="",999,'Hiring plan'!$H$54)),'Hiring plan'!$F$54,0)</f>
        <v>0</v>
      </c>
      <c r="J58" s="33" t="n">
        <f aca="false">IF(AND(N('Hiring plan'!$F$54)&gt;0,J$3&gt;='Hiring plan'!$G$54,J$3&lt;=IF('Hiring plan'!$H$54="",999,'Hiring plan'!$H$54)),'Hiring plan'!$F$54,0)</f>
        <v>0</v>
      </c>
      <c r="K58" s="33" t="n">
        <f aca="false">IF(AND(N('Hiring plan'!$F$54)&gt;0,K$3&gt;='Hiring plan'!$G$54,K$3&lt;=IF('Hiring plan'!$H$54="",999,'Hiring plan'!$H$54)),'Hiring plan'!$F$54,0)</f>
        <v>0</v>
      </c>
      <c r="L58" s="33" t="n">
        <f aca="false">IF(AND(N('Hiring plan'!$F$54)&gt;0,L$3&gt;='Hiring plan'!$G$54,L$3&lt;=IF('Hiring plan'!$H$54="",999,'Hiring plan'!$H$54)),'Hiring plan'!$F$54,0)</f>
        <v>0</v>
      </c>
      <c r="M58" s="33" t="n">
        <f aca="false">IF(AND(N('Hiring plan'!$F$54)&gt;0,M$3&gt;='Hiring plan'!$G$54,M$3&lt;=IF('Hiring plan'!$H$54="",999,'Hiring plan'!$H$54)),'Hiring plan'!$F$54,0)</f>
        <v>0</v>
      </c>
      <c r="N58" s="33" t="n">
        <f aca="false">IF(AND(N('Hiring plan'!$F$54)&gt;0,N$3&gt;='Hiring plan'!$G$54,N$3&lt;=IF('Hiring plan'!$H$54="",999,'Hiring plan'!$H$54)),'Hiring plan'!$F$54,0)</f>
        <v>0</v>
      </c>
      <c r="O58" s="33" t="n">
        <f aca="false">IF(AND(N('Hiring plan'!$F$54)&gt;0,O$3&gt;='Hiring plan'!$G$54,O$3&lt;=IF('Hiring plan'!$H$54="",999,'Hiring plan'!$H$54)),'Hiring plan'!$F$54,0)</f>
        <v>0</v>
      </c>
      <c r="P58" s="33" t="n">
        <f aca="false">IF(AND(N('Hiring plan'!$F$54)&gt;0,P$3&gt;='Hiring plan'!$G$54,P$3&lt;=IF('Hiring plan'!$H$54="",999,'Hiring plan'!$H$54)),'Hiring plan'!$F$54,0)</f>
        <v>0</v>
      </c>
      <c r="Q58" s="33" t="n">
        <f aca="false">IF(AND(N('Hiring plan'!$F$54)&gt;0,Q$3&gt;='Hiring plan'!$G$54,Q$3&lt;=IF('Hiring plan'!$H$54="",999,'Hiring plan'!$H$54)),'Hiring plan'!$F$54,0)</f>
        <v>0</v>
      </c>
      <c r="R58" s="33" t="n">
        <f aca="false">IF(AND(N('Hiring plan'!$F$54)&gt;0,R$3&gt;='Hiring plan'!$G$54,R$3&lt;=IF('Hiring plan'!$H$54="",999,'Hiring plan'!$H$54)),'Hiring plan'!$F$54,0)</f>
        <v>0</v>
      </c>
      <c r="S58" s="33" t="n">
        <f aca="false">IF(AND(N('Hiring plan'!$F$54)&gt;0,S$3&gt;='Hiring plan'!$G$54,S$3&lt;=IF('Hiring plan'!$H$54="",999,'Hiring plan'!$H$54)),'Hiring plan'!$F$54,0)</f>
        <v>0</v>
      </c>
      <c r="T58" s="33" t="n">
        <f aca="false">IF(AND(N('Hiring plan'!$F$54)&gt;0,T$3&gt;='Hiring plan'!$G$54,T$3&lt;=IF('Hiring plan'!$H$54="",999,'Hiring plan'!$H$54)),'Hiring plan'!$F$54,0)</f>
        <v>0</v>
      </c>
      <c r="U58" s="33" t="n">
        <f aca="false">IF(AND(N('Hiring plan'!$F$54)&gt;0,U$3&gt;='Hiring plan'!$G$54,U$3&lt;=IF('Hiring plan'!$H$54="",999,'Hiring plan'!$H$54)),'Hiring plan'!$F$54,0)</f>
        <v>0</v>
      </c>
      <c r="V58" s="33" t="n">
        <f aca="false">IF(AND(N('Hiring plan'!$F$54)&gt;0,V$3&gt;='Hiring plan'!$G$54,V$3&lt;=IF('Hiring plan'!$H$54="",999,'Hiring plan'!$H$54)),'Hiring plan'!$F$54,0)</f>
        <v>0</v>
      </c>
      <c r="W58" s="33" t="n">
        <f aca="false">IF(AND(N('Hiring plan'!$F$54)&gt;0,W$3&gt;='Hiring plan'!$G$54,W$3&lt;=IF('Hiring plan'!$H$54="",999,'Hiring plan'!$H$54)),'Hiring plan'!$F$54,0)</f>
        <v>0</v>
      </c>
      <c r="X58" s="33" t="n">
        <f aca="false">IF(AND(N('Hiring plan'!$F$54)&gt;0,X$3&gt;='Hiring plan'!$G$54,X$3&lt;=IF('Hiring plan'!$H$54="",999,'Hiring plan'!$H$54)),'Hiring plan'!$F$54,0)</f>
        <v>0</v>
      </c>
      <c r="Y58" s="33" t="n">
        <f aca="false">IF(AND(N('Hiring plan'!$F$54)&gt;0,Y$3&gt;='Hiring plan'!$G$54,Y$3&lt;=IF('Hiring plan'!$H$54="",999,'Hiring plan'!$H$54)),'Hiring plan'!$F$54,0)</f>
        <v>0</v>
      </c>
      <c r="Z58" s="33" t="n">
        <f aca="false">IF(AND(N('Hiring plan'!$F$54)&gt;0,Z$3&gt;='Hiring plan'!$G$54,Z$3&lt;=IF('Hiring plan'!$H$54="",999,'Hiring plan'!$H$54)),'Hiring plan'!$F$54,0)</f>
        <v>0</v>
      </c>
      <c r="AA58" s="33" t="n">
        <f aca="false">IF(AND(N('Hiring plan'!$F$54)&gt;0,AA$3&gt;='Hiring plan'!$G$54,AA$3&lt;=IF('Hiring plan'!$H$54="",999,'Hiring plan'!$H$54)),'Hiring plan'!$F$54,0)</f>
        <v>0</v>
      </c>
      <c r="AB58" s="33" t="n">
        <f aca="false">IF(AND(N('Hiring plan'!$F$54)&gt;0,AB$3&gt;='Hiring plan'!$G$54,AB$3&lt;=IF('Hiring plan'!$H$54="",999,'Hiring plan'!$H$54)),'Hiring plan'!$F$54,0)</f>
        <v>0</v>
      </c>
      <c r="AC58" s="33" t="n">
        <f aca="false">IF(AND(N('Hiring plan'!$F$54)&gt;0,AC$3&gt;='Hiring plan'!$G$54,AC$3&lt;=IF('Hiring plan'!$H$54="",999,'Hiring plan'!$H$54)),'Hiring plan'!$F$54,0)</f>
        <v>0</v>
      </c>
      <c r="AD58" s="33" t="n">
        <f aca="false">IF(AND(N('Hiring plan'!$F$54)&gt;0,AD$3&gt;='Hiring plan'!$G$54,AD$3&lt;=IF('Hiring plan'!$H$54="",999,'Hiring plan'!$H$54)),'Hiring plan'!$F$54,0)</f>
        <v>0</v>
      </c>
      <c r="AE58" s="33" t="n">
        <f aca="false">IF(AND(N('Hiring plan'!$F$54)&gt;0,AE$3&gt;='Hiring plan'!$G$54,AE$3&lt;=IF('Hiring plan'!$H$54="",999,'Hiring plan'!$H$54)),'Hiring plan'!$F$54,0)</f>
        <v>0</v>
      </c>
      <c r="AF58" s="33" t="n">
        <f aca="false">IF(AND(N('Hiring plan'!$F$54)&gt;0,AF$3&gt;='Hiring plan'!$G$54,AF$3&lt;=IF('Hiring plan'!$H$54="",999,'Hiring plan'!$H$54)),'Hiring plan'!$F$54,0)</f>
        <v>0</v>
      </c>
      <c r="AG58" s="33" t="n">
        <f aca="false">IF(AND(N('Hiring plan'!$F$54)&gt;0,AG$3&gt;='Hiring plan'!$G$54,AG$3&lt;=IF('Hiring plan'!$H$54="",999,'Hiring plan'!$H$54)),'Hiring plan'!$F$54,0)</f>
        <v>0</v>
      </c>
      <c r="AH58" s="33" t="n">
        <f aca="false">IF(AND(N('Hiring plan'!$F$54)&gt;0,AH$3&gt;='Hiring plan'!$G$54,AH$3&lt;=IF('Hiring plan'!$H$54="",999,'Hiring plan'!$H$54)),'Hiring plan'!$F$54,0)</f>
        <v>0</v>
      </c>
      <c r="AI58" s="33" t="n">
        <f aca="false">IF(AND(N('Hiring plan'!$F$54)&gt;0,AI$3&gt;='Hiring plan'!$G$54,AI$3&lt;=IF('Hiring plan'!$H$54="",999,'Hiring plan'!$H$54)),'Hiring plan'!$F$54,0)</f>
        <v>0</v>
      </c>
      <c r="AJ58" s="33" t="n">
        <f aca="false">IF(AND(N('Hiring plan'!$F$54)&gt;0,AJ$3&gt;='Hiring plan'!$G$54,AJ$3&lt;=IF('Hiring plan'!$H$54="",999,'Hiring plan'!$H$54)),'Hiring plan'!$F$54,0)</f>
        <v>0</v>
      </c>
      <c r="AK58" s="33" t="n">
        <f aca="false">IF(AND(N('Hiring plan'!$F$54)&gt;0,AK$3&gt;='Hiring plan'!$G$54,AK$3&lt;=IF('Hiring plan'!$H$54="",999,'Hiring plan'!$H$54)),'Hiring plan'!$F$54,0)</f>
        <v>0</v>
      </c>
      <c r="AL58" s="33" t="n">
        <f aca="false">IF(AND(N('Hiring plan'!$F$54)&gt;0,AL$3&gt;='Hiring plan'!$G$54,AL$3&lt;=IF('Hiring plan'!$H$54="",999,'Hiring plan'!$H$54)),'Hiring plan'!$F$54,0)</f>
        <v>0</v>
      </c>
      <c r="AM58" s="33" t="n">
        <f aca="false">IF(AND(N('Hiring plan'!$F$54)&gt;0,AM$3&gt;='Hiring plan'!$G$54,AM$3&lt;=IF('Hiring plan'!$H$54="",999,'Hiring plan'!$H$54)),'Hiring plan'!$F$54,0)</f>
        <v>0</v>
      </c>
      <c r="AN58" s="33" t="n">
        <f aca="false">IF(AND(N('Hiring plan'!$F$54)&gt;0,AN$3&gt;='Hiring plan'!$G$54,AN$3&lt;=IF('Hiring plan'!$H$54="",999,'Hiring plan'!$H$54)),'Hiring plan'!$F$54,0)</f>
        <v>0</v>
      </c>
      <c r="AO58" s="33" t="n">
        <f aca="false">IF(AND(N('Hiring plan'!$F$54)&gt;0,AO$3&gt;='Hiring plan'!$G$54,AO$3&lt;=IF('Hiring plan'!$H$54="",999,'Hiring plan'!$H$54)),'Hiring plan'!$F$54,0)</f>
        <v>0</v>
      </c>
      <c r="AP58" s="33" t="n">
        <f aca="false">IF(AND(N('Hiring plan'!$F$54)&gt;0,AP$3&gt;='Hiring plan'!$G$54,AP$3&lt;=IF('Hiring plan'!$H$54="",999,'Hiring plan'!$H$54)),'Hiring plan'!$F$54,0)</f>
        <v>0</v>
      </c>
      <c r="AQ58" s="33" t="n">
        <f aca="false">IF(AND(N('Hiring plan'!$F$54)&gt;0,AQ$3&gt;='Hiring plan'!$G$54,AQ$3&lt;=IF('Hiring plan'!$H$54="",999,'Hiring plan'!$H$54)),'Hiring plan'!$F$54,0)</f>
        <v>0</v>
      </c>
      <c r="AR58" s="33" t="n">
        <f aca="false">IF(AND(N('Hiring plan'!$F$54)&gt;0,AR$3&gt;='Hiring plan'!$G$54,AR$3&lt;=IF('Hiring plan'!$H$54="",999,'Hiring plan'!$H$54)),'Hiring plan'!$F$54,0)</f>
        <v>0</v>
      </c>
      <c r="AS58" s="33" t="n">
        <f aca="false">IF(AND(N('Hiring plan'!$F$54)&gt;0,AS$3&gt;='Hiring plan'!$G$54,AS$3&lt;=IF('Hiring plan'!$H$54="",999,'Hiring plan'!$H$54)),'Hiring plan'!$F$54,0)</f>
        <v>0</v>
      </c>
      <c r="AT58" s="33" t="n">
        <f aca="false">IF(AND(N('Hiring plan'!$F$54)&gt;0,AT$3&gt;='Hiring plan'!$G$54,AT$3&lt;=IF('Hiring plan'!$H$54="",999,'Hiring plan'!$H$54)),'Hiring plan'!$F$54,0)</f>
        <v>0</v>
      </c>
      <c r="AU58" s="33" t="n">
        <f aca="false">IF(AND(N('Hiring plan'!$F$54)&gt;0,AU$3&gt;='Hiring plan'!$G$54,AU$3&lt;=IF('Hiring plan'!$H$54="",999,'Hiring plan'!$H$54)),'Hiring plan'!$F$54,0)</f>
        <v>4</v>
      </c>
      <c r="AV58" s="33" t="n">
        <f aca="false">IF(AND(N('Hiring plan'!$F$54)&gt;0,AV$3&gt;='Hiring plan'!$G$54,AV$3&lt;=IF('Hiring plan'!$H$54="",999,'Hiring plan'!$H$54)),'Hiring plan'!$F$54,0)</f>
        <v>4</v>
      </c>
      <c r="AW58" s="33" t="n">
        <f aca="false">IF(AND(N('Hiring plan'!$F$54)&gt;0,AW$3&gt;='Hiring plan'!$G$54,AW$3&lt;=IF('Hiring plan'!$H$54="",999,'Hiring plan'!$H$54)),'Hiring plan'!$F$54,0)</f>
        <v>4</v>
      </c>
      <c r="AX58" s="33" t="n">
        <f aca="false">IF(AND(N('Hiring plan'!$F$54)&gt;0,AX$3&gt;='Hiring plan'!$G$54,AX$3&lt;=IF('Hiring plan'!$H$54="",999,'Hiring plan'!$H$54)),'Hiring plan'!$F$54,0)</f>
        <v>4</v>
      </c>
      <c r="AY58" s="33" t="n">
        <f aca="false">IF(AND(N('Hiring plan'!$F$54)&gt;0,AY$3&gt;='Hiring plan'!$G$54,AY$3&lt;=IF('Hiring plan'!$H$54="",999,'Hiring plan'!$H$54)),'Hiring plan'!$F$54,0)</f>
        <v>4</v>
      </c>
      <c r="AZ58" s="33" t="n">
        <f aca="false">IF(AND(N('Hiring plan'!$F$54)&gt;0,AZ$3&gt;='Hiring plan'!$G$54,AZ$3&lt;=IF('Hiring plan'!$H$54="",999,'Hiring plan'!$H$54)),'Hiring plan'!$F$54,0)</f>
        <v>4</v>
      </c>
      <c r="BA58" s="33" t="n">
        <f aca="false">IF(AND(N('Hiring plan'!$F$54)&gt;0,BA$3&gt;='Hiring plan'!$G$54,BA$3&lt;=IF('Hiring plan'!$H$54="",999,'Hiring plan'!$H$54)),'Hiring plan'!$F$54,0)</f>
        <v>4</v>
      </c>
      <c r="BB58" s="33" t="n">
        <f aca="false">IF(AND(N('Hiring plan'!$F$54)&gt;0,BB$3&gt;='Hiring plan'!$G$54,BB$3&lt;=IF('Hiring plan'!$H$54="",999,'Hiring plan'!$H$54)),'Hiring plan'!$F$54,0)</f>
        <v>4</v>
      </c>
      <c r="BC58" s="33" t="n">
        <f aca="false">IF(AND(N('Hiring plan'!$F$54)&gt;0,BC$3&gt;='Hiring plan'!$G$54,BC$3&lt;=IF('Hiring plan'!$H$54="",999,'Hiring plan'!$H$54)),'Hiring plan'!$F$54,0)</f>
        <v>4</v>
      </c>
      <c r="BD58" s="33" t="n">
        <f aca="false">IF(AND(N('Hiring plan'!$F$54)&gt;0,BD$3&gt;='Hiring plan'!$G$54,BD$3&lt;=IF('Hiring plan'!$H$54="",999,'Hiring plan'!$H$54)),'Hiring plan'!$F$54,0)</f>
        <v>4</v>
      </c>
      <c r="BE58" s="33" t="n">
        <f aca="false">IF(AND(N('Hiring plan'!$F$54)&gt;0,BE$3&gt;='Hiring plan'!$G$54,BE$3&lt;=IF('Hiring plan'!$H$54="",999,'Hiring plan'!$H$54)),'Hiring plan'!$F$54,0)</f>
        <v>4</v>
      </c>
      <c r="BF58" s="33" t="n">
        <f aca="false">IF(AND(N('Hiring plan'!$F$54)&gt;0,BF$3&gt;='Hiring plan'!$G$54,BF$3&lt;=IF('Hiring plan'!$H$54="",999,'Hiring plan'!$H$54)),'Hiring plan'!$F$54,0)</f>
        <v>4</v>
      </c>
      <c r="BG58" s="33" t="n">
        <f aca="false">IF(AND(N('Hiring plan'!$F$54)&gt;0,BG$3&gt;='Hiring plan'!$G$54,BG$3&lt;=IF('Hiring plan'!$H$54="",999,'Hiring plan'!$H$54)),'Hiring plan'!$F$54,0)</f>
        <v>4</v>
      </c>
      <c r="BH58" s="33" t="n">
        <f aca="false">IF(AND(N('Hiring plan'!$F$54)&gt;0,BH$3&gt;='Hiring plan'!$G$54,BH$3&lt;=IF('Hiring plan'!$H$54="",999,'Hiring plan'!$H$54)),'Hiring plan'!$F$54,0)</f>
        <v>4</v>
      </c>
      <c r="BI58" s="33" t="n">
        <f aca="false">IF(AND(N('Hiring plan'!$F$54)&gt;0,BI$3&gt;='Hiring plan'!$G$54,BI$3&lt;=IF('Hiring plan'!$H$54="",999,'Hiring plan'!$H$54)),'Hiring plan'!$F$54,0)</f>
        <v>4</v>
      </c>
      <c r="BJ58" s="33" t="n">
        <f aca="false">IF(AND(N('Hiring plan'!$F$54)&gt;0,BJ$3&gt;='Hiring plan'!$G$54,BJ$3&lt;=IF('Hiring plan'!$H$54="",999,'Hiring plan'!$H$54)),'Hiring plan'!$F$54,0)</f>
        <v>4</v>
      </c>
      <c r="BK58" s="33" t="n">
        <f aca="false">IF(AND(N('Hiring plan'!$F$54)&gt;0,BK$3&gt;='Hiring plan'!$G$54,BK$3&lt;=IF('Hiring plan'!$H$54="",999,'Hiring plan'!$H$54)),'Hiring plan'!$F$54,0)</f>
        <v>4</v>
      </c>
      <c r="BL58" s="33" t="n">
        <f aca="false">IF(AND(N('Hiring plan'!$F$54)&gt;0,BL$3&gt;='Hiring plan'!$G$54,BL$3&lt;=IF('Hiring plan'!$H$54="",999,'Hiring plan'!$H$54)),'Hiring plan'!$F$54,0)</f>
        <v>4</v>
      </c>
    </row>
    <row r="59" customFormat="false" ht="15" hidden="false" customHeight="false" outlineLevel="0" collapsed="false">
      <c r="A59" s="12" t="str">
        <f aca="false">IF('Hiring plan'!$C$55="","(spare line 51)",'Hiring plan'!$C$55&amp;" · "&amp;'Hiring plan'!$D$55)</f>
        <v>Field sales rep, Abidjan · CI</v>
      </c>
      <c r="B59" s="14" t="s">
        <v>222</v>
      </c>
      <c r="D59" s="41" t="n">
        <f aca="false">MAX(E59:BL59)</f>
        <v>3</v>
      </c>
      <c r="E59" s="33" t="n">
        <f aca="false">IF(AND(N('Hiring plan'!$F$55)&gt;0,E$3&gt;='Hiring plan'!$G$55,E$3&lt;=IF('Hiring plan'!$H$55="",999,'Hiring plan'!$H$55)),'Hiring plan'!$F$55,0)</f>
        <v>0</v>
      </c>
      <c r="F59" s="33" t="n">
        <f aca="false">IF(AND(N('Hiring plan'!$F$55)&gt;0,F$3&gt;='Hiring plan'!$G$55,F$3&lt;=IF('Hiring plan'!$H$55="",999,'Hiring plan'!$H$55)),'Hiring plan'!$F$55,0)</f>
        <v>0</v>
      </c>
      <c r="G59" s="33" t="n">
        <f aca="false">IF(AND(N('Hiring plan'!$F$55)&gt;0,G$3&gt;='Hiring plan'!$G$55,G$3&lt;=IF('Hiring plan'!$H$55="",999,'Hiring plan'!$H$55)),'Hiring plan'!$F$55,0)</f>
        <v>0</v>
      </c>
      <c r="H59" s="33" t="n">
        <f aca="false">IF(AND(N('Hiring plan'!$F$55)&gt;0,H$3&gt;='Hiring plan'!$G$55,H$3&lt;=IF('Hiring plan'!$H$55="",999,'Hiring plan'!$H$55)),'Hiring plan'!$F$55,0)</f>
        <v>0</v>
      </c>
      <c r="I59" s="33" t="n">
        <f aca="false">IF(AND(N('Hiring plan'!$F$55)&gt;0,I$3&gt;='Hiring plan'!$G$55,I$3&lt;=IF('Hiring plan'!$H$55="",999,'Hiring plan'!$H$55)),'Hiring plan'!$F$55,0)</f>
        <v>0</v>
      </c>
      <c r="J59" s="33" t="n">
        <f aca="false">IF(AND(N('Hiring plan'!$F$55)&gt;0,J$3&gt;='Hiring plan'!$G$55,J$3&lt;=IF('Hiring plan'!$H$55="",999,'Hiring plan'!$H$55)),'Hiring plan'!$F$55,0)</f>
        <v>0</v>
      </c>
      <c r="K59" s="33" t="n">
        <f aca="false">IF(AND(N('Hiring plan'!$F$55)&gt;0,K$3&gt;='Hiring plan'!$G$55,K$3&lt;=IF('Hiring plan'!$H$55="",999,'Hiring plan'!$H$55)),'Hiring plan'!$F$55,0)</f>
        <v>0</v>
      </c>
      <c r="L59" s="33" t="n">
        <f aca="false">IF(AND(N('Hiring plan'!$F$55)&gt;0,L$3&gt;='Hiring plan'!$G$55,L$3&lt;=IF('Hiring plan'!$H$55="",999,'Hiring plan'!$H$55)),'Hiring plan'!$F$55,0)</f>
        <v>0</v>
      </c>
      <c r="M59" s="33" t="n">
        <f aca="false">IF(AND(N('Hiring plan'!$F$55)&gt;0,M$3&gt;='Hiring plan'!$G$55,M$3&lt;=IF('Hiring plan'!$H$55="",999,'Hiring plan'!$H$55)),'Hiring plan'!$F$55,0)</f>
        <v>0</v>
      </c>
      <c r="N59" s="33" t="n">
        <f aca="false">IF(AND(N('Hiring plan'!$F$55)&gt;0,N$3&gt;='Hiring plan'!$G$55,N$3&lt;=IF('Hiring plan'!$H$55="",999,'Hiring plan'!$H$55)),'Hiring plan'!$F$55,0)</f>
        <v>0</v>
      </c>
      <c r="O59" s="33" t="n">
        <f aca="false">IF(AND(N('Hiring plan'!$F$55)&gt;0,O$3&gt;='Hiring plan'!$G$55,O$3&lt;=IF('Hiring plan'!$H$55="",999,'Hiring plan'!$H$55)),'Hiring plan'!$F$55,0)</f>
        <v>0</v>
      </c>
      <c r="P59" s="33" t="n">
        <f aca="false">IF(AND(N('Hiring plan'!$F$55)&gt;0,P$3&gt;='Hiring plan'!$G$55,P$3&lt;=IF('Hiring plan'!$H$55="",999,'Hiring plan'!$H$55)),'Hiring plan'!$F$55,0)</f>
        <v>0</v>
      </c>
      <c r="Q59" s="33" t="n">
        <f aca="false">IF(AND(N('Hiring plan'!$F$55)&gt;0,Q$3&gt;='Hiring plan'!$G$55,Q$3&lt;=IF('Hiring plan'!$H$55="",999,'Hiring plan'!$H$55)),'Hiring plan'!$F$55,0)</f>
        <v>0</v>
      </c>
      <c r="R59" s="33" t="n">
        <f aca="false">IF(AND(N('Hiring plan'!$F$55)&gt;0,R$3&gt;='Hiring plan'!$G$55,R$3&lt;=IF('Hiring plan'!$H$55="",999,'Hiring plan'!$H$55)),'Hiring plan'!$F$55,0)</f>
        <v>0</v>
      </c>
      <c r="S59" s="33" t="n">
        <f aca="false">IF(AND(N('Hiring plan'!$F$55)&gt;0,S$3&gt;='Hiring plan'!$G$55,S$3&lt;=IF('Hiring plan'!$H$55="",999,'Hiring plan'!$H$55)),'Hiring plan'!$F$55,0)</f>
        <v>0</v>
      </c>
      <c r="T59" s="33" t="n">
        <f aca="false">IF(AND(N('Hiring plan'!$F$55)&gt;0,T$3&gt;='Hiring plan'!$G$55,T$3&lt;=IF('Hiring plan'!$H$55="",999,'Hiring plan'!$H$55)),'Hiring plan'!$F$55,0)</f>
        <v>0</v>
      </c>
      <c r="U59" s="33" t="n">
        <f aca="false">IF(AND(N('Hiring plan'!$F$55)&gt;0,U$3&gt;='Hiring plan'!$G$55,U$3&lt;=IF('Hiring plan'!$H$55="",999,'Hiring plan'!$H$55)),'Hiring plan'!$F$55,0)</f>
        <v>0</v>
      </c>
      <c r="V59" s="33" t="n">
        <f aca="false">IF(AND(N('Hiring plan'!$F$55)&gt;0,V$3&gt;='Hiring plan'!$G$55,V$3&lt;=IF('Hiring plan'!$H$55="",999,'Hiring plan'!$H$55)),'Hiring plan'!$F$55,0)</f>
        <v>0</v>
      </c>
      <c r="W59" s="33" t="n">
        <f aca="false">IF(AND(N('Hiring plan'!$F$55)&gt;0,W$3&gt;='Hiring plan'!$G$55,W$3&lt;=IF('Hiring plan'!$H$55="",999,'Hiring plan'!$H$55)),'Hiring plan'!$F$55,0)</f>
        <v>0</v>
      </c>
      <c r="X59" s="33" t="n">
        <f aca="false">IF(AND(N('Hiring plan'!$F$55)&gt;0,X$3&gt;='Hiring plan'!$G$55,X$3&lt;=IF('Hiring plan'!$H$55="",999,'Hiring plan'!$H$55)),'Hiring plan'!$F$55,0)</f>
        <v>0</v>
      </c>
      <c r="Y59" s="33" t="n">
        <f aca="false">IF(AND(N('Hiring plan'!$F$55)&gt;0,Y$3&gt;='Hiring plan'!$G$55,Y$3&lt;=IF('Hiring plan'!$H$55="",999,'Hiring plan'!$H$55)),'Hiring plan'!$F$55,0)</f>
        <v>0</v>
      </c>
      <c r="Z59" s="33" t="n">
        <f aca="false">IF(AND(N('Hiring plan'!$F$55)&gt;0,Z$3&gt;='Hiring plan'!$G$55,Z$3&lt;=IF('Hiring plan'!$H$55="",999,'Hiring plan'!$H$55)),'Hiring plan'!$F$55,0)</f>
        <v>0</v>
      </c>
      <c r="AA59" s="33" t="n">
        <f aca="false">IF(AND(N('Hiring plan'!$F$55)&gt;0,AA$3&gt;='Hiring plan'!$G$55,AA$3&lt;=IF('Hiring plan'!$H$55="",999,'Hiring plan'!$H$55)),'Hiring plan'!$F$55,0)</f>
        <v>0</v>
      </c>
      <c r="AB59" s="33" t="n">
        <f aca="false">IF(AND(N('Hiring plan'!$F$55)&gt;0,AB$3&gt;='Hiring plan'!$G$55,AB$3&lt;=IF('Hiring plan'!$H$55="",999,'Hiring plan'!$H$55)),'Hiring plan'!$F$55,0)</f>
        <v>0</v>
      </c>
      <c r="AC59" s="33" t="n">
        <f aca="false">IF(AND(N('Hiring plan'!$F$55)&gt;0,AC$3&gt;='Hiring plan'!$G$55,AC$3&lt;=IF('Hiring plan'!$H$55="",999,'Hiring plan'!$H$55)),'Hiring plan'!$F$55,0)</f>
        <v>0</v>
      </c>
      <c r="AD59" s="33" t="n">
        <f aca="false">IF(AND(N('Hiring plan'!$F$55)&gt;0,AD$3&gt;='Hiring plan'!$G$55,AD$3&lt;=IF('Hiring plan'!$H$55="",999,'Hiring plan'!$H$55)),'Hiring plan'!$F$55,0)</f>
        <v>0</v>
      </c>
      <c r="AE59" s="33" t="n">
        <f aca="false">IF(AND(N('Hiring plan'!$F$55)&gt;0,AE$3&gt;='Hiring plan'!$G$55,AE$3&lt;=IF('Hiring plan'!$H$55="",999,'Hiring plan'!$H$55)),'Hiring plan'!$F$55,0)</f>
        <v>0</v>
      </c>
      <c r="AF59" s="33" t="n">
        <f aca="false">IF(AND(N('Hiring plan'!$F$55)&gt;0,AF$3&gt;='Hiring plan'!$G$55,AF$3&lt;=IF('Hiring plan'!$H$55="",999,'Hiring plan'!$H$55)),'Hiring plan'!$F$55,0)</f>
        <v>0</v>
      </c>
      <c r="AG59" s="33" t="n">
        <f aca="false">IF(AND(N('Hiring plan'!$F$55)&gt;0,AG$3&gt;='Hiring plan'!$G$55,AG$3&lt;=IF('Hiring plan'!$H$55="",999,'Hiring plan'!$H$55)),'Hiring plan'!$F$55,0)</f>
        <v>0</v>
      </c>
      <c r="AH59" s="33" t="n">
        <f aca="false">IF(AND(N('Hiring plan'!$F$55)&gt;0,AH$3&gt;='Hiring plan'!$G$55,AH$3&lt;=IF('Hiring plan'!$H$55="",999,'Hiring plan'!$H$55)),'Hiring plan'!$F$55,0)</f>
        <v>0</v>
      </c>
      <c r="AI59" s="33" t="n">
        <f aca="false">IF(AND(N('Hiring plan'!$F$55)&gt;0,AI$3&gt;='Hiring plan'!$G$55,AI$3&lt;=IF('Hiring plan'!$H$55="",999,'Hiring plan'!$H$55)),'Hiring plan'!$F$55,0)</f>
        <v>0</v>
      </c>
      <c r="AJ59" s="33" t="n">
        <f aca="false">IF(AND(N('Hiring plan'!$F$55)&gt;0,AJ$3&gt;='Hiring plan'!$G$55,AJ$3&lt;=IF('Hiring plan'!$H$55="",999,'Hiring plan'!$H$55)),'Hiring plan'!$F$55,0)</f>
        <v>0</v>
      </c>
      <c r="AK59" s="33" t="n">
        <f aca="false">IF(AND(N('Hiring plan'!$F$55)&gt;0,AK$3&gt;='Hiring plan'!$G$55,AK$3&lt;=IF('Hiring plan'!$H$55="",999,'Hiring plan'!$H$55)),'Hiring plan'!$F$55,0)</f>
        <v>0</v>
      </c>
      <c r="AL59" s="33" t="n">
        <f aca="false">IF(AND(N('Hiring plan'!$F$55)&gt;0,AL$3&gt;='Hiring plan'!$G$55,AL$3&lt;=IF('Hiring plan'!$H$55="",999,'Hiring plan'!$H$55)),'Hiring plan'!$F$55,0)</f>
        <v>0</v>
      </c>
      <c r="AM59" s="33" t="n">
        <f aca="false">IF(AND(N('Hiring plan'!$F$55)&gt;0,AM$3&gt;='Hiring plan'!$G$55,AM$3&lt;=IF('Hiring plan'!$H$55="",999,'Hiring plan'!$H$55)),'Hiring plan'!$F$55,0)</f>
        <v>0</v>
      </c>
      <c r="AN59" s="33" t="n">
        <f aca="false">IF(AND(N('Hiring plan'!$F$55)&gt;0,AN$3&gt;='Hiring plan'!$G$55,AN$3&lt;=IF('Hiring plan'!$H$55="",999,'Hiring plan'!$H$55)),'Hiring plan'!$F$55,0)</f>
        <v>0</v>
      </c>
      <c r="AO59" s="33" t="n">
        <f aca="false">IF(AND(N('Hiring plan'!$F$55)&gt;0,AO$3&gt;='Hiring plan'!$G$55,AO$3&lt;=IF('Hiring plan'!$H$55="",999,'Hiring plan'!$H$55)),'Hiring plan'!$F$55,0)</f>
        <v>0</v>
      </c>
      <c r="AP59" s="33" t="n">
        <f aca="false">IF(AND(N('Hiring plan'!$F$55)&gt;0,AP$3&gt;='Hiring plan'!$G$55,AP$3&lt;=IF('Hiring plan'!$H$55="",999,'Hiring plan'!$H$55)),'Hiring plan'!$F$55,0)</f>
        <v>0</v>
      </c>
      <c r="AQ59" s="33" t="n">
        <f aca="false">IF(AND(N('Hiring plan'!$F$55)&gt;0,AQ$3&gt;='Hiring plan'!$G$55,AQ$3&lt;=IF('Hiring plan'!$H$55="",999,'Hiring plan'!$H$55)),'Hiring plan'!$F$55,0)</f>
        <v>0</v>
      </c>
      <c r="AR59" s="33" t="n">
        <f aca="false">IF(AND(N('Hiring plan'!$F$55)&gt;0,AR$3&gt;='Hiring plan'!$G$55,AR$3&lt;=IF('Hiring plan'!$H$55="",999,'Hiring plan'!$H$55)),'Hiring plan'!$F$55,0)</f>
        <v>0</v>
      </c>
      <c r="AS59" s="33" t="n">
        <f aca="false">IF(AND(N('Hiring plan'!$F$55)&gt;0,AS$3&gt;='Hiring plan'!$G$55,AS$3&lt;=IF('Hiring plan'!$H$55="",999,'Hiring plan'!$H$55)),'Hiring plan'!$F$55,0)</f>
        <v>0</v>
      </c>
      <c r="AT59" s="33" t="n">
        <f aca="false">IF(AND(N('Hiring plan'!$F$55)&gt;0,AT$3&gt;='Hiring plan'!$G$55,AT$3&lt;=IF('Hiring plan'!$H$55="",999,'Hiring plan'!$H$55)),'Hiring plan'!$F$55,0)</f>
        <v>0</v>
      </c>
      <c r="AU59" s="33" t="n">
        <f aca="false">IF(AND(N('Hiring plan'!$F$55)&gt;0,AU$3&gt;='Hiring plan'!$G$55,AU$3&lt;=IF('Hiring plan'!$H$55="",999,'Hiring plan'!$H$55)),'Hiring plan'!$F$55,0)</f>
        <v>3</v>
      </c>
      <c r="AV59" s="33" t="n">
        <f aca="false">IF(AND(N('Hiring plan'!$F$55)&gt;0,AV$3&gt;='Hiring plan'!$G$55,AV$3&lt;=IF('Hiring plan'!$H$55="",999,'Hiring plan'!$H$55)),'Hiring plan'!$F$55,0)</f>
        <v>3</v>
      </c>
      <c r="AW59" s="33" t="n">
        <f aca="false">IF(AND(N('Hiring plan'!$F$55)&gt;0,AW$3&gt;='Hiring plan'!$G$55,AW$3&lt;=IF('Hiring plan'!$H$55="",999,'Hiring plan'!$H$55)),'Hiring plan'!$F$55,0)</f>
        <v>3</v>
      </c>
      <c r="AX59" s="33" t="n">
        <f aca="false">IF(AND(N('Hiring plan'!$F$55)&gt;0,AX$3&gt;='Hiring plan'!$G$55,AX$3&lt;=IF('Hiring plan'!$H$55="",999,'Hiring plan'!$H$55)),'Hiring plan'!$F$55,0)</f>
        <v>3</v>
      </c>
      <c r="AY59" s="33" t="n">
        <f aca="false">IF(AND(N('Hiring plan'!$F$55)&gt;0,AY$3&gt;='Hiring plan'!$G$55,AY$3&lt;=IF('Hiring plan'!$H$55="",999,'Hiring plan'!$H$55)),'Hiring plan'!$F$55,0)</f>
        <v>3</v>
      </c>
      <c r="AZ59" s="33" t="n">
        <f aca="false">IF(AND(N('Hiring plan'!$F$55)&gt;0,AZ$3&gt;='Hiring plan'!$G$55,AZ$3&lt;=IF('Hiring plan'!$H$55="",999,'Hiring plan'!$H$55)),'Hiring plan'!$F$55,0)</f>
        <v>3</v>
      </c>
      <c r="BA59" s="33" t="n">
        <f aca="false">IF(AND(N('Hiring plan'!$F$55)&gt;0,BA$3&gt;='Hiring plan'!$G$55,BA$3&lt;=IF('Hiring plan'!$H$55="",999,'Hiring plan'!$H$55)),'Hiring plan'!$F$55,0)</f>
        <v>3</v>
      </c>
      <c r="BB59" s="33" t="n">
        <f aca="false">IF(AND(N('Hiring plan'!$F$55)&gt;0,BB$3&gt;='Hiring plan'!$G$55,BB$3&lt;=IF('Hiring plan'!$H$55="",999,'Hiring plan'!$H$55)),'Hiring plan'!$F$55,0)</f>
        <v>3</v>
      </c>
      <c r="BC59" s="33" t="n">
        <f aca="false">IF(AND(N('Hiring plan'!$F$55)&gt;0,BC$3&gt;='Hiring plan'!$G$55,BC$3&lt;=IF('Hiring plan'!$H$55="",999,'Hiring plan'!$H$55)),'Hiring plan'!$F$55,0)</f>
        <v>3</v>
      </c>
      <c r="BD59" s="33" t="n">
        <f aca="false">IF(AND(N('Hiring plan'!$F$55)&gt;0,BD$3&gt;='Hiring plan'!$G$55,BD$3&lt;=IF('Hiring plan'!$H$55="",999,'Hiring plan'!$H$55)),'Hiring plan'!$F$55,0)</f>
        <v>3</v>
      </c>
      <c r="BE59" s="33" t="n">
        <f aca="false">IF(AND(N('Hiring plan'!$F$55)&gt;0,BE$3&gt;='Hiring plan'!$G$55,BE$3&lt;=IF('Hiring plan'!$H$55="",999,'Hiring plan'!$H$55)),'Hiring plan'!$F$55,0)</f>
        <v>3</v>
      </c>
      <c r="BF59" s="33" t="n">
        <f aca="false">IF(AND(N('Hiring plan'!$F$55)&gt;0,BF$3&gt;='Hiring plan'!$G$55,BF$3&lt;=IF('Hiring plan'!$H$55="",999,'Hiring plan'!$H$55)),'Hiring plan'!$F$55,0)</f>
        <v>3</v>
      </c>
      <c r="BG59" s="33" t="n">
        <f aca="false">IF(AND(N('Hiring plan'!$F$55)&gt;0,BG$3&gt;='Hiring plan'!$G$55,BG$3&lt;=IF('Hiring plan'!$H$55="",999,'Hiring plan'!$H$55)),'Hiring plan'!$F$55,0)</f>
        <v>3</v>
      </c>
      <c r="BH59" s="33" t="n">
        <f aca="false">IF(AND(N('Hiring plan'!$F$55)&gt;0,BH$3&gt;='Hiring plan'!$G$55,BH$3&lt;=IF('Hiring plan'!$H$55="",999,'Hiring plan'!$H$55)),'Hiring plan'!$F$55,0)</f>
        <v>3</v>
      </c>
      <c r="BI59" s="33" t="n">
        <f aca="false">IF(AND(N('Hiring plan'!$F$55)&gt;0,BI$3&gt;='Hiring plan'!$G$55,BI$3&lt;=IF('Hiring plan'!$H$55="",999,'Hiring plan'!$H$55)),'Hiring plan'!$F$55,0)</f>
        <v>3</v>
      </c>
      <c r="BJ59" s="33" t="n">
        <f aca="false">IF(AND(N('Hiring plan'!$F$55)&gt;0,BJ$3&gt;='Hiring plan'!$G$55,BJ$3&lt;=IF('Hiring plan'!$H$55="",999,'Hiring plan'!$H$55)),'Hiring plan'!$F$55,0)</f>
        <v>3</v>
      </c>
      <c r="BK59" s="33" t="n">
        <f aca="false">IF(AND(N('Hiring plan'!$F$55)&gt;0,BK$3&gt;='Hiring plan'!$G$55,BK$3&lt;=IF('Hiring plan'!$H$55="",999,'Hiring plan'!$H$55)),'Hiring plan'!$F$55,0)</f>
        <v>3</v>
      </c>
      <c r="BL59" s="33" t="n">
        <f aca="false">IF(AND(N('Hiring plan'!$F$55)&gt;0,BL$3&gt;='Hiring plan'!$G$55,BL$3&lt;=IF('Hiring plan'!$H$55="",999,'Hiring plan'!$H$55)),'Hiring plan'!$F$55,0)</f>
        <v>3</v>
      </c>
    </row>
    <row r="60" customFormat="false" ht="15" hidden="false" customHeight="false" outlineLevel="0" collapsed="false">
      <c r="A60" s="12" t="str">
        <f aca="false">IF('Hiring plan'!$C$56="","(spare line 52)",'Hiring plan'!$C$56&amp;" · "&amp;'Hiring plan'!$D$56)</f>
        <v>Marketing and growth manager · SN</v>
      </c>
      <c r="B60" s="14" t="s">
        <v>222</v>
      </c>
      <c r="D60" s="41" t="n">
        <f aca="false">MAX(E60:BL60)</f>
        <v>1</v>
      </c>
      <c r="E60" s="33" t="n">
        <f aca="false">IF(AND(N('Hiring plan'!$F$56)&gt;0,E$3&gt;='Hiring plan'!$G$56,E$3&lt;=IF('Hiring plan'!$H$56="",999,'Hiring plan'!$H$56)),'Hiring plan'!$F$56,0)</f>
        <v>0</v>
      </c>
      <c r="F60" s="33" t="n">
        <f aca="false">IF(AND(N('Hiring plan'!$F$56)&gt;0,F$3&gt;='Hiring plan'!$G$56,F$3&lt;=IF('Hiring plan'!$H$56="",999,'Hiring plan'!$H$56)),'Hiring plan'!$F$56,0)</f>
        <v>0</v>
      </c>
      <c r="G60" s="33" t="n">
        <f aca="false">IF(AND(N('Hiring plan'!$F$56)&gt;0,G$3&gt;='Hiring plan'!$G$56,G$3&lt;=IF('Hiring plan'!$H$56="",999,'Hiring plan'!$H$56)),'Hiring plan'!$F$56,0)</f>
        <v>0</v>
      </c>
      <c r="H60" s="33" t="n">
        <f aca="false">IF(AND(N('Hiring plan'!$F$56)&gt;0,H$3&gt;='Hiring plan'!$G$56,H$3&lt;=IF('Hiring plan'!$H$56="",999,'Hiring plan'!$H$56)),'Hiring plan'!$F$56,0)</f>
        <v>0</v>
      </c>
      <c r="I60" s="33" t="n">
        <f aca="false">IF(AND(N('Hiring plan'!$F$56)&gt;0,I$3&gt;='Hiring plan'!$G$56,I$3&lt;=IF('Hiring plan'!$H$56="",999,'Hiring plan'!$H$56)),'Hiring plan'!$F$56,0)</f>
        <v>0</v>
      </c>
      <c r="J60" s="33" t="n">
        <f aca="false">IF(AND(N('Hiring plan'!$F$56)&gt;0,J$3&gt;='Hiring plan'!$G$56,J$3&lt;=IF('Hiring plan'!$H$56="",999,'Hiring plan'!$H$56)),'Hiring plan'!$F$56,0)</f>
        <v>1</v>
      </c>
      <c r="K60" s="33" t="n">
        <f aca="false">IF(AND(N('Hiring plan'!$F$56)&gt;0,K$3&gt;='Hiring plan'!$G$56,K$3&lt;=IF('Hiring plan'!$H$56="",999,'Hiring plan'!$H$56)),'Hiring plan'!$F$56,0)</f>
        <v>1</v>
      </c>
      <c r="L60" s="33" t="n">
        <f aca="false">IF(AND(N('Hiring plan'!$F$56)&gt;0,L$3&gt;='Hiring plan'!$G$56,L$3&lt;=IF('Hiring plan'!$H$56="",999,'Hiring plan'!$H$56)),'Hiring plan'!$F$56,0)</f>
        <v>1</v>
      </c>
      <c r="M60" s="33" t="n">
        <f aca="false">IF(AND(N('Hiring plan'!$F$56)&gt;0,M$3&gt;='Hiring plan'!$G$56,M$3&lt;=IF('Hiring plan'!$H$56="",999,'Hiring plan'!$H$56)),'Hiring plan'!$F$56,0)</f>
        <v>1</v>
      </c>
      <c r="N60" s="33" t="n">
        <f aca="false">IF(AND(N('Hiring plan'!$F$56)&gt;0,N$3&gt;='Hiring plan'!$G$56,N$3&lt;=IF('Hiring plan'!$H$56="",999,'Hiring plan'!$H$56)),'Hiring plan'!$F$56,0)</f>
        <v>1</v>
      </c>
      <c r="O60" s="33" t="n">
        <f aca="false">IF(AND(N('Hiring plan'!$F$56)&gt;0,O$3&gt;='Hiring plan'!$G$56,O$3&lt;=IF('Hiring plan'!$H$56="",999,'Hiring plan'!$H$56)),'Hiring plan'!$F$56,0)</f>
        <v>1</v>
      </c>
      <c r="P60" s="33" t="n">
        <f aca="false">IF(AND(N('Hiring plan'!$F$56)&gt;0,P$3&gt;='Hiring plan'!$G$56,P$3&lt;=IF('Hiring plan'!$H$56="",999,'Hiring plan'!$H$56)),'Hiring plan'!$F$56,0)</f>
        <v>1</v>
      </c>
      <c r="Q60" s="33" t="n">
        <f aca="false">IF(AND(N('Hiring plan'!$F$56)&gt;0,Q$3&gt;='Hiring plan'!$G$56,Q$3&lt;=IF('Hiring plan'!$H$56="",999,'Hiring plan'!$H$56)),'Hiring plan'!$F$56,0)</f>
        <v>1</v>
      </c>
      <c r="R60" s="33" t="n">
        <f aca="false">IF(AND(N('Hiring plan'!$F$56)&gt;0,R$3&gt;='Hiring plan'!$G$56,R$3&lt;=IF('Hiring plan'!$H$56="",999,'Hiring plan'!$H$56)),'Hiring plan'!$F$56,0)</f>
        <v>1</v>
      </c>
      <c r="S60" s="33" t="n">
        <f aca="false">IF(AND(N('Hiring plan'!$F$56)&gt;0,S$3&gt;='Hiring plan'!$G$56,S$3&lt;=IF('Hiring plan'!$H$56="",999,'Hiring plan'!$H$56)),'Hiring plan'!$F$56,0)</f>
        <v>1</v>
      </c>
      <c r="T60" s="33" t="n">
        <f aca="false">IF(AND(N('Hiring plan'!$F$56)&gt;0,T$3&gt;='Hiring plan'!$G$56,T$3&lt;=IF('Hiring plan'!$H$56="",999,'Hiring plan'!$H$56)),'Hiring plan'!$F$56,0)</f>
        <v>1</v>
      </c>
      <c r="U60" s="33" t="n">
        <f aca="false">IF(AND(N('Hiring plan'!$F$56)&gt;0,U$3&gt;='Hiring plan'!$G$56,U$3&lt;=IF('Hiring plan'!$H$56="",999,'Hiring plan'!$H$56)),'Hiring plan'!$F$56,0)</f>
        <v>1</v>
      </c>
      <c r="V60" s="33" t="n">
        <f aca="false">IF(AND(N('Hiring plan'!$F$56)&gt;0,V$3&gt;='Hiring plan'!$G$56,V$3&lt;=IF('Hiring plan'!$H$56="",999,'Hiring plan'!$H$56)),'Hiring plan'!$F$56,0)</f>
        <v>1</v>
      </c>
      <c r="W60" s="33" t="n">
        <f aca="false">IF(AND(N('Hiring plan'!$F$56)&gt;0,W$3&gt;='Hiring plan'!$G$56,W$3&lt;=IF('Hiring plan'!$H$56="",999,'Hiring plan'!$H$56)),'Hiring plan'!$F$56,0)</f>
        <v>1</v>
      </c>
      <c r="X60" s="33" t="n">
        <f aca="false">IF(AND(N('Hiring plan'!$F$56)&gt;0,X$3&gt;='Hiring plan'!$G$56,X$3&lt;=IF('Hiring plan'!$H$56="",999,'Hiring plan'!$H$56)),'Hiring plan'!$F$56,0)</f>
        <v>1</v>
      </c>
      <c r="Y60" s="33" t="n">
        <f aca="false">IF(AND(N('Hiring plan'!$F$56)&gt;0,Y$3&gt;='Hiring plan'!$G$56,Y$3&lt;=IF('Hiring plan'!$H$56="",999,'Hiring plan'!$H$56)),'Hiring plan'!$F$56,0)</f>
        <v>1</v>
      </c>
      <c r="Z60" s="33" t="n">
        <f aca="false">IF(AND(N('Hiring plan'!$F$56)&gt;0,Z$3&gt;='Hiring plan'!$G$56,Z$3&lt;=IF('Hiring plan'!$H$56="",999,'Hiring plan'!$H$56)),'Hiring plan'!$F$56,0)</f>
        <v>1</v>
      </c>
      <c r="AA60" s="33" t="n">
        <f aca="false">IF(AND(N('Hiring plan'!$F$56)&gt;0,AA$3&gt;='Hiring plan'!$G$56,AA$3&lt;=IF('Hiring plan'!$H$56="",999,'Hiring plan'!$H$56)),'Hiring plan'!$F$56,0)</f>
        <v>1</v>
      </c>
      <c r="AB60" s="33" t="n">
        <f aca="false">IF(AND(N('Hiring plan'!$F$56)&gt;0,AB$3&gt;='Hiring plan'!$G$56,AB$3&lt;=IF('Hiring plan'!$H$56="",999,'Hiring plan'!$H$56)),'Hiring plan'!$F$56,0)</f>
        <v>1</v>
      </c>
      <c r="AC60" s="33" t="n">
        <f aca="false">IF(AND(N('Hiring plan'!$F$56)&gt;0,AC$3&gt;='Hiring plan'!$G$56,AC$3&lt;=IF('Hiring plan'!$H$56="",999,'Hiring plan'!$H$56)),'Hiring plan'!$F$56,0)</f>
        <v>1</v>
      </c>
      <c r="AD60" s="33" t="n">
        <f aca="false">IF(AND(N('Hiring plan'!$F$56)&gt;0,AD$3&gt;='Hiring plan'!$G$56,AD$3&lt;=IF('Hiring plan'!$H$56="",999,'Hiring plan'!$H$56)),'Hiring plan'!$F$56,0)</f>
        <v>1</v>
      </c>
      <c r="AE60" s="33" t="n">
        <f aca="false">IF(AND(N('Hiring plan'!$F$56)&gt;0,AE$3&gt;='Hiring plan'!$G$56,AE$3&lt;=IF('Hiring plan'!$H$56="",999,'Hiring plan'!$H$56)),'Hiring plan'!$F$56,0)</f>
        <v>1</v>
      </c>
      <c r="AF60" s="33" t="n">
        <f aca="false">IF(AND(N('Hiring plan'!$F$56)&gt;0,AF$3&gt;='Hiring plan'!$G$56,AF$3&lt;=IF('Hiring plan'!$H$56="",999,'Hiring plan'!$H$56)),'Hiring plan'!$F$56,0)</f>
        <v>1</v>
      </c>
      <c r="AG60" s="33" t="n">
        <f aca="false">IF(AND(N('Hiring plan'!$F$56)&gt;0,AG$3&gt;='Hiring plan'!$G$56,AG$3&lt;=IF('Hiring plan'!$H$56="",999,'Hiring plan'!$H$56)),'Hiring plan'!$F$56,0)</f>
        <v>1</v>
      </c>
      <c r="AH60" s="33" t="n">
        <f aca="false">IF(AND(N('Hiring plan'!$F$56)&gt;0,AH$3&gt;='Hiring plan'!$G$56,AH$3&lt;=IF('Hiring plan'!$H$56="",999,'Hiring plan'!$H$56)),'Hiring plan'!$F$56,0)</f>
        <v>1</v>
      </c>
      <c r="AI60" s="33" t="n">
        <f aca="false">IF(AND(N('Hiring plan'!$F$56)&gt;0,AI$3&gt;='Hiring plan'!$G$56,AI$3&lt;=IF('Hiring plan'!$H$56="",999,'Hiring plan'!$H$56)),'Hiring plan'!$F$56,0)</f>
        <v>1</v>
      </c>
      <c r="AJ60" s="33" t="n">
        <f aca="false">IF(AND(N('Hiring plan'!$F$56)&gt;0,AJ$3&gt;='Hiring plan'!$G$56,AJ$3&lt;=IF('Hiring plan'!$H$56="",999,'Hiring plan'!$H$56)),'Hiring plan'!$F$56,0)</f>
        <v>1</v>
      </c>
      <c r="AK60" s="33" t="n">
        <f aca="false">IF(AND(N('Hiring plan'!$F$56)&gt;0,AK$3&gt;='Hiring plan'!$G$56,AK$3&lt;=IF('Hiring plan'!$H$56="",999,'Hiring plan'!$H$56)),'Hiring plan'!$F$56,0)</f>
        <v>1</v>
      </c>
      <c r="AL60" s="33" t="n">
        <f aca="false">IF(AND(N('Hiring plan'!$F$56)&gt;0,AL$3&gt;='Hiring plan'!$G$56,AL$3&lt;=IF('Hiring plan'!$H$56="",999,'Hiring plan'!$H$56)),'Hiring plan'!$F$56,0)</f>
        <v>1</v>
      </c>
      <c r="AM60" s="33" t="n">
        <f aca="false">IF(AND(N('Hiring plan'!$F$56)&gt;0,AM$3&gt;='Hiring plan'!$G$56,AM$3&lt;=IF('Hiring plan'!$H$56="",999,'Hiring plan'!$H$56)),'Hiring plan'!$F$56,0)</f>
        <v>1</v>
      </c>
      <c r="AN60" s="33" t="n">
        <f aca="false">IF(AND(N('Hiring plan'!$F$56)&gt;0,AN$3&gt;='Hiring plan'!$G$56,AN$3&lt;=IF('Hiring plan'!$H$56="",999,'Hiring plan'!$H$56)),'Hiring plan'!$F$56,0)</f>
        <v>1</v>
      </c>
      <c r="AO60" s="33" t="n">
        <f aca="false">IF(AND(N('Hiring plan'!$F$56)&gt;0,AO$3&gt;='Hiring plan'!$G$56,AO$3&lt;=IF('Hiring plan'!$H$56="",999,'Hiring plan'!$H$56)),'Hiring plan'!$F$56,0)</f>
        <v>1</v>
      </c>
      <c r="AP60" s="33" t="n">
        <f aca="false">IF(AND(N('Hiring plan'!$F$56)&gt;0,AP$3&gt;='Hiring plan'!$G$56,AP$3&lt;=IF('Hiring plan'!$H$56="",999,'Hiring plan'!$H$56)),'Hiring plan'!$F$56,0)</f>
        <v>1</v>
      </c>
      <c r="AQ60" s="33" t="n">
        <f aca="false">IF(AND(N('Hiring plan'!$F$56)&gt;0,AQ$3&gt;='Hiring plan'!$G$56,AQ$3&lt;=IF('Hiring plan'!$H$56="",999,'Hiring plan'!$H$56)),'Hiring plan'!$F$56,0)</f>
        <v>1</v>
      </c>
      <c r="AR60" s="33" t="n">
        <f aca="false">IF(AND(N('Hiring plan'!$F$56)&gt;0,AR$3&gt;='Hiring plan'!$G$56,AR$3&lt;=IF('Hiring plan'!$H$56="",999,'Hiring plan'!$H$56)),'Hiring plan'!$F$56,0)</f>
        <v>1</v>
      </c>
      <c r="AS60" s="33" t="n">
        <f aca="false">IF(AND(N('Hiring plan'!$F$56)&gt;0,AS$3&gt;='Hiring plan'!$G$56,AS$3&lt;=IF('Hiring plan'!$H$56="",999,'Hiring plan'!$H$56)),'Hiring plan'!$F$56,0)</f>
        <v>1</v>
      </c>
      <c r="AT60" s="33" t="n">
        <f aca="false">IF(AND(N('Hiring plan'!$F$56)&gt;0,AT$3&gt;='Hiring plan'!$G$56,AT$3&lt;=IF('Hiring plan'!$H$56="",999,'Hiring plan'!$H$56)),'Hiring plan'!$F$56,0)</f>
        <v>1</v>
      </c>
      <c r="AU60" s="33" t="n">
        <f aca="false">IF(AND(N('Hiring plan'!$F$56)&gt;0,AU$3&gt;='Hiring plan'!$G$56,AU$3&lt;=IF('Hiring plan'!$H$56="",999,'Hiring plan'!$H$56)),'Hiring plan'!$F$56,0)</f>
        <v>1</v>
      </c>
      <c r="AV60" s="33" t="n">
        <f aca="false">IF(AND(N('Hiring plan'!$F$56)&gt;0,AV$3&gt;='Hiring plan'!$G$56,AV$3&lt;=IF('Hiring plan'!$H$56="",999,'Hiring plan'!$H$56)),'Hiring plan'!$F$56,0)</f>
        <v>1</v>
      </c>
      <c r="AW60" s="33" t="n">
        <f aca="false">IF(AND(N('Hiring plan'!$F$56)&gt;0,AW$3&gt;='Hiring plan'!$G$56,AW$3&lt;=IF('Hiring plan'!$H$56="",999,'Hiring plan'!$H$56)),'Hiring plan'!$F$56,0)</f>
        <v>1</v>
      </c>
      <c r="AX60" s="33" t="n">
        <f aca="false">IF(AND(N('Hiring plan'!$F$56)&gt;0,AX$3&gt;='Hiring plan'!$G$56,AX$3&lt;=IF('Hiring plan'!$H$56="",999,'Hiring plan'!$H$56)),'Hiring plan'!$F$56,0)</f>
        <v>1</v>
      </c>
      <c r="AY60" s="33" t="n">
        <f aca="false">IF(AND(N('Hiring plan'!$F$56)&gt;0,AY$3&gt;='Hiring plan'!$G$56,AY$3&lt;=IF('Hiring plan'!$H$56="",999,'Hiring plan'!$H$56)),'Hiring plan'!$F$56,0)</f>
        <v>1</v>
      </c>
      <c r="AZ60" s="33" t="n">
        <f aca="false">IF(AND(N('Hiring plan'!$F$56)&gt;0,AZ$3&gt;='Hiring plan'!$G$56,AZ$3&lt;=IF('Hiring plan'!$H$56="",999,'Hiring plan'!$H$56)),'Hiring plan'!$F$56,0)</f>
        <v>1</v>
      </c>
      <c r="BA60" s="33" t="n">
        <f aca="false">IF(AND(N('Hiring plan'!$F$56)&gt;0,BA$3&gt;='Hiring plan'!$G$56,BA$3&lt;=IF('Hiring plan'!$H$56="",999,'Hiring plan'!$H$56)),'Hiring plan'!$F$56,0)</f>
        <v>1</v>
      </c>
      <c r="BB60" s="33" t="n">
        <f aca="false">IF(AND(N('Hiring plan'!$F$56)&gt;0,BB$3&gt;='Hiring plan'!$G$56,BB$3&lt;=IF('Hiring plan'!$H$56="",999,'Hiring plan'!$H$56)),'Hiring plan'!$F$56,0)</f>
        <v>1</v>
      </c>
      <c r="BC60" s="33" t="n">
        <f aca="false">IF(AND(N('Hiring plan'!$F$56)&gt;0,BC$3&gt;='Hiring plan'!$G$56,BC$3&lt;=IF('Hiring plan'!$H$56="",999,'Hiring plan'!$H$56)),'Hiring plan'!$F$56,0)</f>
        <v>1</v>
      </c>
      <c r="BD60" s="33" t="n">
        <f aca="false">IF(AND(N('Hiring plan'!$F$56)&gt;0,BD$3&gt;='Hiring plan'!$G$56,BD$3&lt;=IF('Hiring plan'!$H$56="",999,'Hiring plan'!$H$56)),'Hiring plan'!$F$56,0)</f>
        <v>1</v>
      </c>
      <c r="BE60" s="33" t="n">
        <f aca="false">IF(AND(N('Hiring plan'!$F$56)&gt;0,BE$3&gt;='Hiring plan'!$G$56,BE$3&lt;=IF('Hiring plan'!$H$56="",999,'Hiring plan'!$H$56)),'Hiring plan'!$F$56,0)</f>
        <v>1</v>
      </c>
      <c r="BF60" s="33" t="n">
        <f aca="false">IF(AND(N('Hiring plan'!$F$56)&gt;0,BF$3&gt;='Hiring plan'!$G$56,BF$3&lt;=IF('Hiring plan'!$H$56="",999,'Hiring plan'!$H$56)),'Hiring plan'!$F$56,0)</f>
        <v>1</v>
      </c>
      <c r="BG60" s="33" t="n">
        <f aca="false">IF(AND(N('Hiring plan'!$F$56)&gt;0,BG$3&gt;='Hiring plan'!$G$56,BG$3&lt;=IF('Hiring plan'!$H$56="",999,'Hiring plan'!$H$56)),'Hiring plan'!$F$56,0)</f>
        <v>1</v>
      </c>
      <c r="BH60" s="33" t="n">
        <f aca="false">IF(AND(N('Hiring plan'!$F$56)&gt;0,BH$3&gt;='Hiring plan'!$G$56,BH$3&lt;=IF('Hiring plan'!$H$56="",999,'Hiring plan'!$H$56)),'Hiring plan'!$F$56,0)</f>
        <v>1</v>
      </c>
      <c r="BI60" s="33" t="n">
        <f aca="false">IF(AND(N('Hiring plan'!$F$56)&gt;0,BI$3&gt;='Hiring plan'!$G$56,BI$3&lt;=IF('Hiring plan'!$H$56="",999,'Hiring plan'!$H$56)),'Hiring plan'!$F$56,0)</f>
        <v>1</v>
      </c>
      <c r="BJ60" s="33" t="n">
        <f aca="false">IF(AND(N('Hiring plan'!$F$56)&gt;0,BJ$3&gt;='Hiring plan'!$G$56,BJ$3&lt;=IF('Hiring plan'!$H$56="",999,'Hiring plan'!$H$56)),'Hiring plan'!$F$56,0)</f>
        <v>1</v>
      </c>
      <c r="BK60" s="33" t="n">
        <f aca="false">IF(AND(N('Hiring plan'!$F$56)&gt;0,BK$3&gt;='Hiring plan'!$G$56,BK$3&lt;=IF('Hiring plan'!$H$56="",999,'Hiring plan'!$H$56)),'Hiring plan'!$F$56,0)</f>
        <v>1</v>
      </c>
      <c r="BL60" s="33" t="n">
        <f aca="false">IF(AND(N('Hiring plan'!$F$56)&gt;0,BL$3&gt;='Hiring plan'!$G$56,BL$3&lt;=IF('Hiring plan'!$H$56="",999,'Hiring plan'!$H$56)),'Hiring plan'!$F$56,0)</f>
        <v>1</v>
      </c>
    </row>
    <row r="61" customFormat="false" ht="15" hidden="false" customHeight="false" outlineLevel="0" collapsed="false">
      <c r="A61" s="12" t="str">
        <f aca="false">IF('Hiring plan'!$C$57="","(spare line 53)",'Hiring plan'!$C$57&amp;" · "&amp;'Hiring plan'!$D$57)</f>
        <v>Content and community officer · SN</v>
      </c>
      <c r="B61" s="14" t="s">
        <v>222</v>
      </c>
      <c r="D61" s="41" t="n">
        <f aca="false">MAX(E61:BL61)</f>
        <v>1</v>
      </c>
      <c r="E61" s="33" t="n">
        <f aca="false">IF(AND(N('Hiring plan'!$F$57)&gt;0,E$3&gt;='Hiring plan'!$G$57,E$3&lt;=IF('Hiring plan'!$H$57="",999,'Hiring plan'!$H$57)),'Hiring plan'!$F$57,0)</f>
        <v>0</v>
      </c>
      <c r="F61" s="33" t="n">
        <f aca="false">IF(AND(N('Hiring plan'!$F$57)&gt;0,F$3&gt;='Hiring plan'!$G$57,F$3&lt;=IF('Hiring plan'!$H$57="",999,'Hiring plan'!$H$57)),'Hiring plan'!$F$57,0)</f>
        <v>0</v>
      </c>
      <c r="G61" s="33" t="n">
        <f aca="false">IF(AND(N('Hiring plan'!$F$57)&gt;0,G$3&gt;='Hiring plan'!$G$57,G$3&lt;=IF('Hiring plan'!$H$57="",999,'Hiring plan'!$H$57)),'Hiring plan'!$F$57,0)</f>
        <v>0</v>
      </c>
      <c r="H61" s="33" t="n">
        <f aca="false">IF(AND(N('Hiring plan'!$F$57)&gt;0,H$3&gt;='Hiring plan'!$G$57,H$3&lt;=IF('Hiring plan'!$H$57="",999,'Hiring plan'!$H$57)),'Hiring plan'!$F$57,0)</f>
        <v>0</v>
      </c>
      <c r="I61" s="33" t="n">
        <f aca="false">IF(AND(N('Hiring plan'!$F$57)&gt;0,I$3&gt;='Hiring plan'!$G$57,I$3&lt;=IF('Hiring plan'!$H$57="",999,'Hiring plan'!$H$57)),'Hiring plan'!$F$57,0)</f>
        <v>0</v>
      </c>
      <c r="J61" s="33" t="n">
        <f aca="false">IF(AND(N('Hiring plan'!$F$57)&gt;0,J$3&gt;='Hiring plan'!$G$57,J$3&lt;=IF('Hiring plan'!$H$57="",999,'Hiring plan'!$H$57)),'Hiring plan'!$F$57,0)</f>
        <v>0</v>
      </c>
      <c r="K61" s="33" t="n">
        <f aca="false">IF(AND(N('Hiring plan'!$F$57)&gt;0,K$3&gt;='Hiring plan'!$G$57,K$3&lt;=IF('Hiring plan'!$H$57="",999,'Hiring plan'!$H$57)),'Hiring plan'!$F$57,0)</f>
        <v>0</v>
      </c>
      <c r="L61" s="33" t="n">
        <f aca="false">IF(AND(N('Hiring plan'!$F$57)&gt;0,L$3&gt;='Hiring plan'!$G$57,L$3&lt;=IF('Hiring plan'!$H$57="",999,'Hiring plan'!$H$57)),'Hiring plan'!$F$57,0)</f>
        <v>0</v>
      </c>
      <c r="M61" s="33" t="n">
        <f aca="false">IF(AND(N('Hiring plan'!$F$57)&gt;0,M$3&gt;='Hiring plan'!$G$57,M$3&lt;=IF('Hiring plan'!$H$57="",999,'Hiring plan'!$H$57)),'Hiring plan'!$F$57,0)</f>
        <v>0</v>
      </c>
      <c r="N61" s="33" t="n">
        <f aca="false">IF(AND(N('Hiring plan'!$F$57)&gt;0,N$3&gt;='Hiring plan'!$G$57,N$3&lt;=IF('Hiring plan'!$H$57="",999,'Hiring plan'!$H$57)),'Hiring plan'!$F$57,0)</f>
        <v>0</v>
      </c>
      <c r="O61" s="33" t="n">
        <f aca="false">IF(AND(N('Hiring plan'!$F$57)&gt;0,O$3&gt;='Hiring plan'!$G$57,O$3&lt;=IF('Hiring plan'!$H$57="",999,'Hiring plan'!$H$57)),'Hiring plan'!$F$57,0)</f>
        <v>0</v>
      </c>
      <c r="P61" s="33" t="n">
        <f aca="false">IF(AND(N('Hiring plan'!$F$57)&gt;0,P$3&gt;='Hiring plan'!$G$57,P$3&lt;=IF('Hiring plan'!$H$57="",999,'Hiring plan'!$H$57)),'Hiring plan'!$F$57,0)</f>
        <v>0</v>
      </c>
      <c r="Q61" s="33" t="n">
        <f aca="false">IF(AND(N('Hiring plan'!$F$57)&gt;0,Q$3&gt;='Hiring plan'!$G$57,Q$3&lt;=IF('Hiring plan'!$H$57="",999,'Hiring plan'!$H$57)),'Hiring plan'!$F$57,0)</f>
        <v>0</v>
      </c>
      <c r="R61" s="33" t="n">
        <f aca="false">IF(AND(N('Hiring plan'!$F$57)&gt;0,R$3&gt;='Hiring plan'!$G$57,R$3&lt;=IF('Hiring plan'!$H$57="",999,'Hiring plan'!$H$57)),'Hiring plan'!$F$57,0)</f>
        <v>0</v>
      </c>
      <c r="S61" s="33" t="n">
        <f aca="false">IF(AND(N('Hiring plan'!$F$57)&gt;0,S$3&gt;='Hiring plan'!$G$57,S$3&lt;=IF('Hiring plan'!$H$57="",999,'Hiring plan'!$H$57)),'Hiring plan'!$F$57,0)</f>
        <v>0</v>
      </c>
      <c r="T61" s="33" t="n">
        <f aca="false">IF(AND(N('Hiring plan'!$F$57)&gt;0,T$3&gt;='Hiring plan'!$G$57,T$3&lt;=IF('Hiring plan'!$H$57="",999,'Hiring plan'!$H$57)),'Hiring plan'!$F$57,0)</f>
        <v>0</v>
      </c>
      <c r="U61" s="33" t="n">
        <f aca="false">IF(AND(N('Hiring plan'!$F$57)&gt;0,U$3&gt;='Hiring plan'!$G$57,U$3&lt;=IF('Hiring plan'!$H$57="",999,'Hiring plan'!$H$57)),'Hiring plan'!$F$57,0)</f>
        <v>0</v>
      </c>
      <c r="V61" s="33" t="n">
        <f aca="false">IF(AND(N('Hiring plan'!$F$57)&gt;0,V$3&gt;='Hiring plan'!$G$57,V$3&lt;=IF('Hiring plan'!$H$57="",999,'Hiring plan'!$H$57)),'Hiring plan'!$F$57,0)</f>
        <v>0</v>
      </c>
      <c r="W61" s="33" t="n">
        <f aca="false">IF(AND(N('Hiring plan'!$F$57)&gt;0,W$3&gt;='Hiring plan'!$G$57,W$3&lt;=IF('Hiring plan'!$H$57="",999,'Hiring plan'!$H$57)),'Hiring plan'!$F$57,0)</f>
        <v>1</v>
      </c>
      <c r="X61" s="33" t="n">
        <f aca="false">IF(AND(N('Hiring plan'!$F$57)&gt;0,X$3&gt;='Hiring plan'!$G$57,X$3&lt;=IF('Hiring plan'!$H$57="",999,'Hiring plan'!$H$57)),'Hiring plan'!$F$57,0)</f>
        <v>1</v>
      </c>
      <c r="Y61" s="33" t="n">
        <f aca="false">IF(AND(N('Hiring plan'!$F$57)&gt;0,Y$3&gt;='Hiring plan'!$G$57,Y$3&lt;=IF('Hiring plan'!$H$57="",999,'Hiring plan'!$H$57)),'Hiring plan'!$F$57,0)</f>
        <v>1</v>
      </c>
      <c r="Z61" s="33" t="n">
        <f aca="false">IF(AND(N('Hiring plan'!$F$57)&gt;0,Z$3&gt;='Hiring plan'!$G$57,Z$3&lt;=IF('Hiring plan'!$H$57="",999,'Hiring plan'!$H$57)),'Hiring plan'!$F$57,0)</f>
        <v>1</v>
      </c>
      <c r="AA61" s="33" t="n">
        <f aca="false">IF(AND(N('Hiring plan'!$F$57)&gt;0,AA$3&gt;='Hiring plan'!$G$57,AA$3&lt;=IF('Hiring plan'!$H$57="",999,'Hiring plan'!$H$57)),'Hiring plan'!$F$57,0)</f>
        <v>1</v>
      </c>
      <c r="AB61" s="33" t="n">
        <f aca="false">IF(AND(N('Hiring plan'!$F$57)&gt;0,AB$3&gt;='Hiring plan'!$G$57,AB$3&lt;=IF('Hiring plan'!$H$57="",999,'Hiring plan'!$H$57)),'Hiring plan'!$F$57,0)</f>
        <v>1</v>
      </c>
      <c r="AC61" s="33" t="n">
        <f aca="false">IF(AND(N('Hiring plan'!$F$57)&gt;0,AC$3&gt;='Hiring plan'!$G$57,AC$3&lt;=IF('Hiring plan'!$H$57="",999,'Hiring plan'!$H$57)),'Hiring plan'!$F$57,0)</f>
        <v>1</v>
      </c>
      <c r="AD61" s="33" t="n">
        <f aca="false">IF(AND(N('Hiring plan'!$F$57)&gt;0,AD$3&gt;='Hiring plan'!$G$57,AD$3&lt;=IF('Hiring plan'!$H$57="",999,'Hiring plan'!$H$57)),'Hiring plan'!$F$57,0)</f>
        <v>1</v>
      </c>
      <c r="AE61" s="33" t="n">
        <f aca="false">IF(AND(N('Hiring plan'!$F$57)&gt;0,AE$3&gt;='Hiring plan'!$G$57,AE$3&lt;=IF('Hiring plan'!$H$57="",999,'Hiring plan'!$H$57)),'Hiring plan'!$F$57,0)</f>
        <v>1</v>
      </c>
      <c r="AF61" s="33" t="n">
        <f aca="false">IF(AND(N('Hiring plan'!$F$57)&gt;0,AF$3&gt;='Hiring plan'!$G$57,AF$3&lt;=IF('Hiring plan'!$H$57="",999,'Hiring plan'!$H$57)),'Hiring plan'!$F$57,0)</f>
        <v>1</v>
      </c>
      <c r="AG61" s="33" t="n">
        <f aca="false">IF(AND(N('Hiring plan'!$F$57)&gt;0,AG$3&gt;='Hiring plan'!$G$57,AG$3&lt;=IF('Hiring plan'!$H$57="",999,'Hiring plan'!$H$57)),'Hiring plan'!$F$57,0)</f>
        <v>1</v>
      </c>
      <c r="AH61" s="33" t="n">
        <f aca="false">IF(AND(N('Hiring plan'!$F$57)&gt;0,AH$3&gt;='Hiring plan'!$G$57,AH$3&lt;=IF('Hiring plan'!$H$57="",999,'Hiring plan'!$H$57)),'Hiring plan'!$F$57,0)</f>
        <v>1</v>
      </c>
      <c r="AI61" s="33" t="n">
        <f aca="false">IF(AND(N('Hiring plan'!$F$57)&gt;0,AI$3&gt;='Hiring plan'!$G$57,AI$3&lt;=IF('Hiring plan'!$H$57="",999,'Hiring plan'!$H$57)),'Hiring plan'!$F$57,0)</f>
        <v>1</v>
      </c>
      <c r="AJ61" s="33" t="n">
        <f aca="false">IF(AND(N('Hiring plan'!$F$57)&gt;0,AJ$3&gt;='Hiring plan'!$G$57,AJ$3&lt;=IF('Hiring plan'!$H$57="",999,'Hiring plan'!$H$57)),'Hiring plan'!$F$57,0)</f>
        <v>1</v>
      </c>
      <c r="AK61" s="33" t="n">
        <f aca="false">IF(AND(N('Hiring plan'!$F$57)&gt;0,AK$3&gt;='Hiring plan'!$G$57,AK$3&lt;=IF('Hiring plan'!$H$57="",999,'Hiring plan'!$H$57)),'Hiring plan'!$F$57,0)</f>
        <v>1</v>
      </c>
      <c r="AL61" s="33" t="n">
        <f aca="false">IF(AND(N('Hiring plan'!$F$57)&gt;0,AL$3&gt;='Hiring plan'!$G$57,AL$3&lt;=IF('Hiring plan'!$H$57="",999,'Hiring plan'!$H$57)),'Hiring plan'!$F$57,0)</f>
        <v>1</v>
      </c>
      <c r="AM61" s="33" t="n">
        <f aca="false">IF(AND(N('Hiring plan'!$F$57)&gt;0,AM$3&gt;='Hiring plan'!$G$57,AM$3&lt;=IF('Hiring plan'!$H$57="",999,'Hiring plan'!$H$57)),'Hiring plan'!$F$57,0)</f>
        <v>1</v>
      </c>
      <c r="AN61" s="33" t="n">
        <f aca="false">IF(AND(N('Hiring plan'!$F$57)&gt;0,AN$3&gt;='Hiring plan'!$G$57,AN$3&lt;=IF('Hiring plan'!$H$57="",999,'Hiring plan'!$H$57)),'Hiring plan'!$F$57,0)</f>
        <v>1</v>
      </c>
      <c r="AO61" s="33" t="n">
        <f aca="false">IF(AND(N('Hiring plan'!$F$57)&gt;0,AO$3&gt;='Hiring plan'!$G$57,AO$3&lt;=IF('Hiring plan'!$H$57="",999,'Hiring plan'!$H$57)),'Hiring plan'!$F$57,0)</f>
        <v>1</v>
      </c>
      <c r="AP61" s="33" t="n">
        <f aca="false">IF(AND(N('Hiring plan'!$F$57)&gt;0,AP$3&gt;='Hiring plan'!$G$57,AP$3&lt;=IF('Hiring plan'!$H$57="",999,'Hiring plan'!$H$57)),'Hiring plan'!$F$57,0)</f>
        <v>1</v>
      </c>
      <c r="AQ61" s="33" t="n">
        <f aca="false">IF(AND(N('Hiring plan'!$F$57)&gt;0,AQ$3&gt;='Hiring plan'!$G$57,AQ$3&lt;=IF('Hiring plan'!$H$57="",999,'Hiring plan'!$H$57)),'Hiring plan'!$F$57,0)</f>
        <v>1</v>
      </c>
      <c r="AR61" s="33" t="n">
        <f aca="false">IF(AND(N('Hiring plan'!$F$57)&gt;0,AR$3&gt;='Hiring plan'!$G$57,AR$3&lt;=IF('Hiring plan'!$H$57="",999,'Hiring plan'!$H$57)),'Hiring plan'!$F$57,0)</f>
        <v>1</v>
      </c>
      <c r="AS61" s="33" t="n">
        <f aca="false">IF(AND(N('Hiring plan'!$F$57)&gt;0,AS$3&gt;='Hiring plan'!$G$57,AS$3&lt;=IF('Hiring plan'!$H$57="",999,'Hiring plan'!$H$57)),'Hiring plan'!$F$57,0)</f>
        <v>1</v>
      </c>
      <c r="AT61" s="33" t="n">
        <f aca="false">IF(AND(N('Hiring plan'!$F$57)&gt;0,AT$3&gt;='Hiring plan'!$G$57,AT$3&lt;=IF('Hiring plan'!$H$57="",999,'Hiring plan'!$H$57)),'Hiring plan'!$F$57,0)</f>
        <v>1</v>
      </c>
      <c r="AU61" s="33" t="n">
        <f aca="false">IF(AND(N('Hiring plan'!$F$57)&gt;0,AU$3&gt;='Hiring plan'!$G$57,AU$3&lt;=IF('Hiring plan'!$H$57="",999,'Hiring plan'!$H$57)),'Hiring plan'!$F$57,0)</f>
        <v>1</v>
      </c>
      <c r="AV61" s="33" t="n">
        <f aca="false">IF(AND(N('Hiring plan'!$F$57)&gt;0,AV$3&gt;='Hiring plan'!$G$57,AV$3&lt;=IF('Hiring plan'!$H$57="",999,'Hiring plan'!$H$57)),'Hiring plan'!$F$57,0)</f>
        <v>1</v>
      </c>
      <c r="AW61" s="33" t="n">
        <f aca="false">IF(AND(N('Hiring plan'!$F$57)&gt;0,AW$3&gt;='Hiring plan'!$G$57,AW$3&lt;=IF('Hiring plan'!$H$57="",999,'Hiring plan'!$H$57)),'Hiring plan'!$F$57,0)</f>
        <v>1</v>
      </c>
      <c r="AX61" s="33" t="n">
        <f aca="false">IF(AND(N('Hiring plan'!$F$57)&gt;0,AX$3&gt;='Hiring plan'!$G$57,AX$3&lt;=IF('Hiring plan'!$H$57="",999,'Hiring plan'!$H$57)),'Hiring plan'!$F$57,0)</f>
        <v>1</v>
      </c>
      <c r="AY61" s="33" t="n">
        <f aca="false">IF(AND(N('Hiring plan'!$F$57)&gt;0,AY$3&gt;='Hiring plan'!$G$57,AY$3&lt;=IF('Hiring plan'!$H$57="",999,'Hiring plan'!$H$57)),'Hiring plan'!$F$57,0)</f>
        <v>1</v>
      </c>
      <c r="AZ61" s="33" t="n">
        <f aca="false">IF(AND(N('Hiring plan'!$F$57)&gt;0,AZ$3&gt;='Hiring plan'!$G$57,AZ$3&lt;=IF('Hiring plan'!$H$57="",999,'Hiring plan'!$H$57)),'Hiring plan'!$F$57,0)</f>
        <v>1</v>
      </c>
      <c r="BA61" s="33" t="n">
        <f aca="false">IF(AND(N('Hiring plan'!$F$57)&gt;0,BA$3&gt;='Hiring plan'!$G$57,BA$3&lt;=IF('Hiring plan'!$H$57="",999,'Hiring plan'!$H$57)),'Hiring plan'!$F$57,0)</f>
        <v>1</v>
      </c>
      <c r="BB61" s="33" t="n">
        <f aca="false">IF(AND(N('Hiring plan'!$F$57)&gt;0,BB$3&gt;='Hiring plan'!$G$57,BB$3&lt;=IF('Hiring plan'!$H$57="",999,'Hiring plan'!$H$57)),'Hiring plan'!$F$57,0)</f>
        <v>1</v>
      </c>
      <c r="BC61" s="33" t="n">
        <f aca="false">IF(AND(N('Hiring plan'!$F$57)&gt;0,BC$3&gt;='Hiring plan'!$G$57,BC$3&lt;=IF('Hiring plan'!$H$57="",999,'Hiring plan'!$H$57)),'Hiring plan'!$F$57,0)</f>
        <v>1</v>
      </c>
      <c r="BD61" s="33" t="n">
        <f aca="false">IF(AND(N('Hiring plan'!$F$57)&gt;0,BD$3&gt;='Hiring plan'!$G$57,BD$3&lt;=IF('Hiring plan'!$H$57="",999,'Hiring plan'!$H$57)),'Hiring plan'!$F$57,0)</f>
        <v>1</v>
      </c>
      <c r="BE61" s="33" t="n">
        <f aca="false">IF(AND(N('Hiring plan'!$F$57)&gt;0,BE$3&gt;='Hiring plan'!$G$57,BE$3&lt;=IF('Hiring plan'!$H$57="",999,'Hiring plan'!$H$57)),'Hiring plan'!$F$57,0)</f>
        <v>1</v>
      </c>
      <c r="BF61" s="33" t="n">
        <f aca="false">IF(AND(N('Hiring plan'!$F$57)&gt;0,BF$3&gt;='Hiring plan'!$G$57,BF$3&lt;=IF('Hiring plan'!$H$57="",999,'Hiring plan'!$H$57)),'Hiring plan'!$F$57,0)</f>
        <v>1</v>
      </c>
      <c r="BG61" s="33" t="n">
        <f aca="false">IF(AND(N('Hiring plan'!$F$57)&gt;0,BG$3&gt;='Hiring plan'!$G$57,BG$3&lt;=IF('Hiring plan'!$H$57="",999,'Hiring plan'!$H$57)),'Hiring plan'!$F$57,0)</f>
        <v>1</v>
      </c>
      <c r="BH61" s="33" t="n">
        <f aca="false">IF(AND(N('Hiring plan'!$F$57)&gt;0,BH$3&gt;='Hiring plan'!$G$57,BH$3&lt;=IF('Hiring plan'!$H$57="",999,'Hiring plan'!$H$57)),'Hiring plan'!$F$57,0)</f>
        <v>1</v>
      </c>
      <c r="BI61" s="33" t="n">
        <f aca="false">IF(AND(N('Hiring plan'!$F$57)&gt;0,BI$3&gt;='Hiring plan'!$G$57,BI$3&lt;=IF('Hiring plan'!$H$57="",999,'Hiring plan'!$H$57)),'Hiring plan'!$F$57,0)</f>
        <v>1</v>
      </c>
      <c r="BJ61" s="33" t="n">
        <f aca="false">IF(AND(N('Hiring plan'!$F$57)&gt;0,BJ$3&gt;='Hiring plan'!$G$57,BJ$3&lt;=IF('Hiring plan'!$H$57="",999,'Hiring plan'!$H$57)),'Hiring plan'!$F$57,0)</f>
        <v>1</v>
      </c>
      <c r="BK61" s="33" t="n">
        <f aca="false">IF(AND(N('Hiring plan'!$F$57)&gt;0,BK$3&gt;='Hiring plan'!$G$57,BK$3&lt;=IF('Hiring plan'!$H$57="",999,'Hiring plan'!$H$57)),'Hiring plan'!$F$57,0)</f>
        <v>1</v>
      </c>
      <c r="BL61" s="33" t="n">
        <f aca="false">IF(AND(N('Hiring plan'!$F$57)&gt;0,BL$3&gt;='Hiring plan'!$G$57,BL$3&lt;=IF('Hiring plan'!$H$57="",999,'Hiring plan'!$H$57)),'Hiring plan'!$F$57,0)</f>
        <v>1</v>
      </c>
    </row>
    <row r="62" customFormat="false" ht="15" hidden="false" customHeight="false" outlineLevel="0" collapsed="false">
      <c r="A62" s="12" t="str">
        <f aca="false">IF('Hiring plan'!$C$58="","(spare line 54)",'Hiring plan'!$C$58&amp;" · "&amp;'Hiring plan'!$D$58)</f>
        <v>Accountant · SN</v>
      </c>
      <c r="B62" s="14" t="s">
        <v>222</v>
      </c>
      <c r="D62" s="41" t="n">
        <f aca="false">MAX(E62:BL62)</f>
        <v>1</v>
      </c>
      <c r="E62" s="33" t="n">
        <f aca="false">IF(AND(N('Hiring plan'!$F$58)&gt;0,E$3&gt;='Hiring plan'!$G$58,E$3&lt;=IF('Hiring plan'!$H$58="",999,'Hiring plan'!$H$58)),'Hiring plan'!$F$58,0)</f>
        <v>1</v>
      </c>
      <c r="F62" s="33" t="n">
        <f aca="false">IF(AND(N('Hiring plan'!$F$58)&gt;0,F$3&gt;='Hiring plan'!$G$58,F$3&lt;=IF('Hiring plan'!$H$58="",999,'Hiring plan'!$H$58)),'Hiring plan'!$F$58,0)</f>
        <v>1</v>
      </c>
      <c r="G62" s="33" t="n">
        <f aca="false">IF(AND(N('Hiring plan'!$F$58)&gt;0,G$3&gt;='Hiring plan'!$G$58,G$3&lt;=IF('Hiring plan'!$H$58="",999,'Hiring plan'!$H$58)),'Hiring plan'!$F$58,0)</f>
        <v>1</v>
      </c>
      <c r="H62" s="33" t="n">
        <f aca="false">IF(AND(N('Hiring plan'!$F$58)&gt;0,H$3&gt;='Hiring plan'!$G$58,H$3&lt;=IF('Hiring plan'!$H$58="",999,'Hiring plan'!$H$58)),'Hiring plan'!$F$58,0)</f>
        <v>1</v>
      </c>
      <c r="I62" s="33" t="n">
        <f aca="false">IF(AND(N('Hiring plan'!$F$58)&gt;0,I$3&gt;='Hiring plan'!$G$58,I$3&lt;=IF('Hiring plan'!$H$58="",999,'Hiring plan'!$H$58)),'Hiring plan'!$F$58,0)</f>
        <v>1</v>
      </c>
      <c r="J62" s="33" t="n">
        <f aca="false">IF(AND(N('Hiring plan'!$F$58)&gt;0,J$3&gt;='Hiring plan'!$G$58,J$3&lt;=IF('Hiring plan'!$H$58="",999,'Hiring plan'!$H$58)),'Hiring plan'!$F$58,0)</f>
        <v>1</v>
      </c>
      <c r="K62" s="33" t="n">
        <f aca="false">IF(AND(N('Hiring plan'!$F$58)&gt;0,K$3&gt;='Hiring plan'!$G$58,K$3&lt;=IF('Hiring plan'!$H$58="",999,'Hiring plan'!$H$58)),'Hiring plan'!$F$58,0)</f>
        <v>1</v>
      </c>
      <c r="L62" s="33" t="n">
        <f aca="false">IF(AND(N('Hiring plan'!$F$58)&gt;0,L$3&gt;='Hiring plan'!$G$58,L$3&lt;=IF('Hiring plan'!$H$58="",999,'Hiring plan'!$H$58)),'Hiring plan'!$F$58,0)</f>
        <v>1</v>
      </c>
      <c r="M62" s="33" t="n">
        <f aca="false">IF(AND(N('Hiring plan'!$F$58)&gt;0,M$3&gt;='Hiring plan'!$G$58,M$3&lt;=IF('Hiring plan'!$H$58="",999,'Hiring plan'!$H$58)),'Hiring plan'!$F$58,0)</f>
        <v>1</v>
      </c>
      <c r="N62" s="33" t="n">
        <f aca="false">IF(AND(N('Hiring plan'!$F$58)&gt;0,N$3&gt;='Hiring plan'!$G$58,N$3&lt;=IF('Hiring plan'!$H$58="",999,'Hiring plan'!$H$58)),'Hiring plan'!$F$58,0)</f>
        <v>1</v>
      </c>
      <c r="O62" s="33" t="n">
        <f aca="false">IF(AND(N('Hiring plan'!$F$58)&gt;0,O$3&gt;='Hiring plan'!$G$58,O$3&lt;=IF('Hiring plan'!$H$58="",999,'Hiring plan'!$H$58)),'Hiring plan'!$F$58,0)</f>
        <v>1</v>
      </c>
      <c r="P62" s="33" t="n">
        <f aca="false">IF(AND(N('Hiring plan'!$F$58)&gt;0,P$3&gt;='Hiring plan'!$G$58,P$3&lt;=IF('Hiring plan'!$H$58="",999,'Hiring plan'!$H$58)),'Hiring plan'!$F$58,0)</f>
        <v>1</v>
      </c>
      <c r="Q62" s="33" t="n">
        <f aca="false">IF(AND(N('Hiring plan'!$F$58)&gt;0,Q$3&gt;='Hiring plan'!$G$58,Q$3&lt;=IF('Hiring plan'!$H$58="",999,'Hiring plan'!$H$58)),'Hiring plan'!$F$58,0)</f>
        <v>1</v>
      </c>
      <c r="R62" s="33" t="n">
        <f aca="false">IF(AND(N('Hiring plan'!$F$58)&gt;0,R$3&gt;='Hiring plan'!$G$58,R$3&lt;=IF('Hiring plan'!$H$58="",999,'Hiring plan'!$H$58)),'Hiring plan'!$F$58,0)</f>
        <v>1</v>
      </c>
      <c r="S62" s="33" t="n">
        <f aca="false">IF(AND(N('Hiring plan'!$F$58)&gt;0,S$3&gt;='Hiring plan'!$G$58,S$3&lt;=IF('Hiring plan'!$H$58="",999,'Hiring plan'!$H$58)),'Hiring plan'!$F$58,0)</f>
        <v>1</v>
      </c>
      <c r="T62" s="33" t="n">
        <f aca="false">IF(AND(N('Hiring plan'!$F$58)&gt;0,T$3&gt;='Hiring plan'!$G$58,T$3&lt;=IF('Hiring plan'!$H$58="",999,'Hiring plan'!$H$58)),'Hiring plan'!$F$58,0)</f>
        <v>1</v>
      </c>
      <c r="U62" s="33" t="n">
        <f aca="false">IF(AND(N('Hiring plan'!$F$58)&gt;0,U$3&gt;='Hiring plan'!$G$58,U$3&lt;=IF('Hiring plan'!$H$58="",999,'Hiring plan'!$H$58)),'Hiring plan'!$F$58,0)</f>
        <v>1</v>
      </c>
      <c r="V62" s="33" t="n">
        <f aca="false">IF(AND(N('Hiring plan'!$F$58)&gt;0,V$3&gt;='Hiring plan'!$G$58,V$3&lt;=IF('Hiring plan'!$H$58="",999,'Hiring plan'!$H$58)),'Hiring plan'!$F$58,0)</f>
        <v>1</v>
      </c>
      <c r="W62" s="33" t="n">
        <f aca="false">IF(AND(N('Hiring plan'!$F$58)&gt;0,W$3&gt;='Hiring plan'!$G$58,W$3&lt;=IF('Hiring plan'!$H$58="",999,'Hiring plan'!$H$58)),'Hiring plan'!$F$58,0)</f>
        <v>1</v>
      </c>
      <c r="X62" s="33" t="n">
        <f aca="false">IF(AND(N('Hiring plan'!$F$58)&gt;0,X$3&gt;='Hiring plan'!$G$58,X$3&lt;=IF('Hiring plan'!$H$58="",999,'Hiring plan'!$H$58)),'Hiring plan'!$F$58,0)</f>
        <v>1</v>
      </c>
      <c r="Y62" s="33" t="n">
        <f aca="false">IF(AND(N('Hiring plan'!$F$58)&gt;0,Y$3&gt;='Hiring plan'!$G$58,Y$3&lt;=IF('Hiring plan'!$H$58="",999,'Hiring plan'!$H$58)),'Hiring plan'!$F$58,0)</f>
        <v>1</v>
      </c>
      <c r="Z62" s="33" t="n">
        <f aca="false">IF(AND(N('Hiring plan'!$F$58)&gt;0,Z$3&gt;='Hiring plan'!$G$58,Z$3&lt;=IF('Hiring plan'!$H$58="",999,'Hiring plan'!$H$58)),'Hiring plan'!$F$58,0)</f>
        <v>1</v>
      </c>
      <c r="AA62" s="33" t="n">
        <f aca="false">IF(AND(N('Hiring plan'!$F$58)&gt;0,AA$3&gt;='Hiring plan'!$G$58,AA$3&lt;=IF('Hiring plan'!$H$58="",999,'Hiring plan'!$H$58)),'Hiring plan'!$F$58,0)</f>
        <v>1</v>
      </c>
      <c r="AB62" s="33" t="n">
        <f aca="false">IF(AND(N('Hiring plan'!$F$58)&gt;0,AB$3&gt;='Hiring plan'!$G$58,AB$3&lt;=IF('Hiring plan'!$H$58="",999,'Hiring plan'!$H$58)),'Hiring plan'!$F$58,0)</f>
        <v>1</v>
      </c>
      <c r="AC62" s="33" t="n">
        <f aca="false">IF(AND(N('Hiring plan'!$F$58)&gt;0,AC$3&gt;='Hiring plan'!$G$58,AC$3&lt;=IF('Hiring plan'!$H$58="",999,'Hiring plan'!$H$58)),'Hiring plan'!$F$58,0)</f>
        <v>1</v>
      </c>
      <c r="AD62" s="33" t="n">
        <f aca="false">IF(AND(N('Hiring plan'!$F$58)&gt;0,AD$3&gt;='Hiring plan'!$G$58,AD$3&lt;=IF('Hiring plan'!$H$58="",999,'Hiring plan'!$H$58)),'Hiring plan'!$F$58,0)</f>
        <v>1</v>
      </c>
      <c r="AE62" s="33" t="n">
        <f aca="false">IF(AND(N('Hiring plan'!$F$58)&gt;0,AE$3&gt;='Hiring plan'!$G$58,AE$3&lt;=IF('Hiring plan'!$H$58="",999,'Hiring plan'!$H$58)),'Hiring plan'!$F$58,0)</f>
        <v>1</v>
      </c>
      <c r="AF62" s="33" t="n">
        <f aca="false">IF(AND(N('Hiring plan'!$F$58)&gt;0,AF$3&gt;='Hiring plan'!$G$58,AF$3&lt;=IF('Hiring plan'!$H$58="",999,'Hiring plan'!$H$58)),'Hiring plan'!$F$58,0)</f>
        <v>1</v>
      </c>
      <c r="AG62" s="33" t="n">
        <f aca="false">IF(AND(N('Hiring plan'!$F$58)&gt;0,AG$3&gt;='Hiring plan'!$G$58,AG$3&lt;=IF('Hiring plan'!$H$58="",999,'Hiring plan'!$H$58)),'Hiring plan'!$F$58,0)</f>
        <v>1</v>
      </c>
      <c r="AH62" s="33" t="n">
        <f aca="false">IF(AND(N('Hiring plan'!$F$58)&gt;0,AH$3&gt;='Hiring plan'!$G$58,AH$3&lt;=IF('Hiring plan'!$H$58="",999,'Hiring plan'!$H$58)),'Hiring plan'!$F$58,0)</f>
        <v>1</v>
      </c>
      <c r="AI62" s="33" t="n">
        <f aca="false">IF(AND(N('Hiring plan'!$F$58)&gt;0,AI$3&gt;='Hiring plan'!$G$58,AI$3&lt;=IF('Hiring plan'!$H$58="",999,'Hiring plan'!$H$58)),'Hiring plan'!$F$58,0)</f>
        <v>1</v>
      </c>
      <c r="AJ62" s="33" t="n">
        <f aca="false">IF(AND(N('Hiring plan'!$F$58)&gt;0,AJ$3&gt;='Hiring plan'!$G$58,AJ$3&lt;=IF('Hiring plan'!$H$58="",999,'Hiring plan'!$H$58)),'Hiring plan'!$F$58,0)</f>
        <v>1</v>
      </c>
      <c r="AK62" s="33" t="n">
        <f aca="false">IF(AND(N('Hiring plan'!$F$58)&gt;0,AK$3&gt;='Hiring plan'!$G$58,AK$3&lt;=IF('Hiring plan'!$H$58="",999,'Hiring plan'!$H$58)),'Hiring plan'!$F$58,0)</f>
        <v>1</v>
      </c>
      <c r="AL62" s="33" t="n">
        <f aca="false">IF(AND(N('Hiring plan'!$F$58)&gt;0,AL$3&gt;='Hiring plan'!$G$58,AL$3&lt;=IF('Hiring plan'!$H$58="",999,'Hiring plan'!$H$58)),'Hiring plan'!$F$58,0)</f>
        <v>1</v>
      </c>
      <c r="AM62" s="33" t="n">
        <f aca="false">IF(AND(N('Hiring plan'!$F$58)&gt;0,AM$3&gt;='Hiring plan'!$G$58,AM$3&lt;=IF('Hiring plan'!$H$58="",999,'Hiring plan'!$H$58)),'Hiring plan'!$F$58,0)</f>
        <v>1</v>
      </c>
      <c r="AN62" s="33" t="n">
        <f aca="false">IF(AND(N('Hiring plan'!$F$58)&gt;0,AN$3&gt;='Hiring plan'!$G$58,AN$3&lt;=IF('Hiring plan'!$H$58="",999,'Hiring plan'!$H$58)),'Hiring plan'!$F$58,0)</f>
        <v>1</v>
      </c>
      <c r="AO62" s="33" t="n">
        <f aca="false">IF(AND(N('Hiring plan'!$F$58)&gt;0,AO$3&gt;='Hiring plan'!$G$58,AO$3&lt;=IF('Hiring plan'!$H$58="",999,'Hiring plan'!$H$58)),'Hiring plan'!$F$58,0)</f>
        <v>1</v>
      </c>
      <c r="AP62" s="33" t="n">
        <f aca="false">IF(AND(N('Hiring plan'!$F$58)&gt;0,AP$3&gt;='Hiring plan'!$G$58,AP$3&lt;=IF('Hiring plan'!$H$58="",999,'Hiring plan'!$H$58)),'Hiring plan'!$F$58,0)</f>
        <v>1</v>
      </c>
      <c r="AQ62" s="33" t="n">
        <f aca="false">IF(AND(N('Hiring plan'!$F$58)&gt;0,AQ$3&gt;='Hiring plan'!$G$58,AQ$3&lt;=IF('Hiring plan'!$H$58="",999,'Hiring plan'!$H$58)),'Hiring plan'!$F$58,0)</f>
        <v>1</v>
      </c>
      <c r="AR62" s="33" t="n">
        <f aca="false">IF(AND(N('Hiring plan'!$F$58)&gt;0,AR$3&gt;='Hiring plan'!$G$58,AR$3&lt;=IF('Hiring plan'!$H$58="",999,'Hiring plan'!$H$58)),'Hiring plan'!$F$58,0)</f>
        <v>1</v>
      </c>
      <c r="AS62" s="33" t="n">
        <f aca="false">IF(AND(N('Hiring plan'!$F$58)&gt;0,AS$3&gt;='Hiring plan'!$G$58,AS$3&lt;=IF('Hiring plan'!$H$58="",999,'Hiring plan'!$H$58)),'Hiring plan'!$F$58,0)</f>
        <v>1</v>
      </c>
      <c r="AT62" s="33" t="n">
        <f aca="false">IF(AND(N('Hiring plan'!$F$58)&gt;0,AT$3&gt;='Hiring plan'!$G$58,AT$3&lt;=IF('Hiring plan'!$H$58="",999,'Hiring plan'!$H$58)),'Hiring plan'!$F$58,0)</f>
        <v>1</v>
      </c>
      <c r="AU62" s="33" t="n">
        <f aca="false">IF(AND(N('Hiring plan'!$F$58)&gt;0,AU$3&gt;='Hiring plan'!$G$58,AU$3&lt;=IF('Hiring plan'!$H$58="",999,'Hiring plan'!$H$58)),'Hiring plan'!$F$58,0)</f>
        <v>1</v>
      </c>
      <c r="AV62" s="33" t="n">
        <f aca="false">IF(AND(N('Hiring plan'!$F$58)&gt;0,AV$3&gt;='Hiring plan'!$G$58,AV$3&lt;=IF('Hiring plan'!$H$58="",999,'Hiring plan'!$H$58)),'Hiring plan'!$F$58,0)</f>
        <v>1</v>
      </c>
      <c r="AW62" s="33" t="n">
        <f aca="false">IF(AND(N('Hiring plan'!$F$58)&gt;0,AW$3&gt;='Hiring plan'!$G$58,AW$3&lt;=IF('Hiring plan'!$H$58="",999,'Hiring plan'!$H$58)),'Hiring plan'!$F$58,0)</f>
        <v>1</v>
      </c>
      <c r="AX62" s="33" t="n">
        <f aca="false">IF(AND(N('Hiring plan'!$F$58)&gt;0,AX$3&gt;='Hiring plan'!$G$58,AX$3&lt;=IF('Hiring plan'!$H$58="",999,'Hiring plan'!$H$58)),'Hiring plan'!$F$58,0)</f>
        <v>1</v>
      </c>
      <c r="AY62" s="33" t="n">
        <f aca="false">IF(AND(N('Hiring plan'!$F$58)&gt;0,AY$3&gt;='Hiring plan'!$G$58,AY$3&lt;=IF('Hiring plan'!$H$58="",999,'Hiring plan'!$H$58)),'Hiring plan'!$F$58,0)</f>
        <v>1</v>
      </c>
      <c r="AZ62" s="33" t="n">
        <f aca="false">IF(AND(N('Hiring plan'!$F$58)&gt;0,AZ$3&gt;='Hiring plan'!$G$58,AZ$3&lt;=IF('Hiring plan'!$H$58="",999,'Hiring plan'!$H$58)),'Hiring plan'!$F$58,0)</f>
        <v>1</v>
      </c>
      <c r="BA62" s="33" t="n">
        <f aca="false">IF(AND(N('Hiring plan'!$F$58)&gt;0,BA$3&gt;='Hiring plan'!$G$58,BA$3&lt;=IF('Hiring plan'!$H$58="",999,'Hiring plan'!$H$58)),'Hiring plan'!$F$58,0)</f>
        <v>1</v>
      </c>
      <c r="BB62" s="33" t="n">
        <f aca="false">IF(AND(N('Hiring plan'!$F$58)&gt;0,BB$3&gt;='Hiring plan'!$G$58,BB$3&lt;=IF('Hiring plan'!$H$58="",999,'Hiring plan'!$H$58)),'Hiring plan'!$F$58,0)</f>
        <v>1</v>
      </c>
      <c r="BC62" s="33" t="n">
        <f aca="false">IF(AND(N('Hiring plan'!$F$58)&gt;0,BC$3&gt;='Hiring plan'!$G$58,BC$3&lt;=IF('Hiring plan'!$H$58="",999,'Hiring plan'!$H$58)),'Hiring plan'!$F$58,0)</f>
        <v>1</v>
      </c>
      <c r="BD62" s="33" t="n">
        <f aca="false">IF(AND(N('Hiring plan'!$F$58)&gt;0,BD$3&gt;='Hiring plan'!$G$58,BD$3&lt;=IF('Hiring plan'!$H$58="",999,'Hiring plan'!$H$58)),'Hiring plan'!$F$58,0)</f>
        <v>1</v>
      </c>
      <c r="BE62" s="33" t="n">
        <f aca="false">IF(AND(N('Hiring plan'!$F$58)&gt;0,BE$3&gt;='Hiring plan'!$G$58,BE$3&lt;=IF('Hiring plan'!$H$58="",999,'Hiring plan'!$H$58)),'Hiring plan'!$F$58,0)</f>
        <v>1</v>
      </c>
      <c r="BF62" s="33" t="n">
        <f aca="false">IF(AND(N('Hiring plan'!$F$58)&gt;0,BF$3&gt;='Hiring plan'!$G$58,BF$3&lt;=IF('Hiring plan'!$H$58="",999,'Hiring plan'!$H$58)),'Hiring plan'!$F$58,0)</f>
        <v>1</v>
      </c>
      <c r="BG62" s="33" t="n">
        <f aca="false">IF(AND(N('Hiring plan'!$F$58)&gt;0,BG$3&gt;='Hiring plan'!$G$58,BG$3&lt;=IF('Hiring plan'!$H$58="",999,'Hiring plan'!$H$58)),'Hiring plan'!$F$58,0)</f>
        <v>1</v>
      </c>
      <c r="BH62" s="33" t="n">
        <f aca="false">IF(AND(N('Hiring plan'!$F$58)&gt;0,BH$3&gt;='Hiring plan'!$G$58,BH$3&lt;=IF('Hiring plan'!$H$58="",999,'Hiring plan'!$H$58)),'Hiring plan'!$F$58,0)</f>
        <v>1</v>
      </c>
      <c r="BI62" s="33" t="n">
        <f aca="false">IF(AND(N('Hiring plan'!$F$58)&gt;0,BI$3&gt;='Hiring plan'!$G$58,BI$3&lt;=IF('Hiring plan'!$H$58="",999,'Hiring plan'!$H$58)),'Hiring plan'!$F$58,0)</f>
        <v>1</v>
      </c>
      <c r="BJ62" s="33" t="n">
        <f aca="false">IF(AND(N('Hiring plan'!$F$58)&gt;0,BJ$3&gt;='Hiring plan'!$G$58,BJ$3&lt;=IF('Hiring plan'!$H$58="",999,'Hiring plan'!$H$58)),'Hiring plan'!$F$58,0)</f>
        <v>1</v>
      </c>
      <c r="BK62" s="33" t="n">
        <f aca="false">IF(AND(N('Hiring plan'!$F$58)&gt;0,BK$3&gt;='Hiring plan'!$G$58,BK$3&lt;=IF('Hiring plan'!$H$58="",999,'Hiring plan'!$H$58)),'Hiring plan'!$F$58,0)</f>
        <v>1</v>
      </c>
      <c r="BL62" s="33" t="n">
        <f aca="false">IF(AND(N('Hiring plan'!$F$58)&gt;0,BL$3&gt;='Hiring plan'!$G$58,BL$3&lt;=IF('Hiring plan'!$H$58="",999,'Hiring plan'!$H$58)),'Hiring plan'!$F$58,0)</f>
        <v>1</v>
      </c>
    </row>
    <row r="63" customFormat="false" ht="15" hidden="false" customHeight="false" outlineLevel="0" collapsed="false">
      <c r="A63" s="12" t="str">
        <f aca="false">IF('Hiring plan'!$C$59="","(spare line 55)",'Hiring plan'!$C$59&amp;" · "&amp;'Hiring plan'!$D$59)</f>
        <v>HR / admin assistant · SN</v>
      </c>
      <c r="B63" s="14" t="s">
        <v>222</v>
      </c>
      <c r="D63" s="41" t="n">
        <f aca="false">MAX(E63:BL63)</f>
        <v>1</v>
      </c>
      <c r="E63" s="33" t="n">
        <f aca="false">IF(AND(N('Hiring plan'!$F$59)&gt;0,E$3&gt;='Hiring plan'!$G$59,E$3&lt;=IF('Hiring plan'!$H$59="",999,'Hiring plan'!$H$59)),'Hiring plan'!$F$59,0)</f>
        <v>0</v>
      </c>
      <c r="F63" s="33" t="n">
        <f aca="false">IF(AND(N('Hiring plan'!$F$59)&gt;0,F$3&gt;='Hiring plan'!$G$59,F$3&lt;=IF('Hiring plan'!$H$59="",999,'Hiring plan'!$H$59)),'Hiring plan'!$F$59,0)</f>
        <v>0</v>
      </c>
      <c r="G63" s="33" t="n">
        <f aca="false">IF(AND(N('Hiring plan'!$F$59)&gt;0,G$3&gt;='Hiring plan'!$G$59,G$3&lt;=IF('Hiring plan'!$H$59="",999,'Hiring plan'!$H$59)),'Hiring plan'!$F$59,0)</f>
        <v>0</v>
      </c>
      <c r="H63" s="33" t="n">
        <f aca="false">IF(AND(N('Hiring plan'!$F$59)&gt;0,H$3&gt;='Hiring plan'!$G$59,H$3&lt;=IF('Hiring plan'!$H$59="",999,'Hiring plan'!$H$59)),'Hiring plan'!$F$59,0)</f>
        <v>0</v>
      </c>
      <c r="I63" s="33" t="n">
        <f aca="false">IF(AND(N('Hiring plan'!$F$59)&gt;0,I$3&gt;='Hiring plan'!$G$59,I$3&lt;=IF('Hiring plan'!$H$59="",999,'Hiring plan'!$H$59)),'Hiring plan'!$F$59,0)</f>
        <v>0</v>
      </c>
      <c r="J63" s="33" t="n">
        <f aca="false">IF(AND(N('Hiring plan'!$F$59)&gt;0,J$3&gt;='Hiring plan'!$G$59,J$3&lt;=IF('Hiring plan'!$H$59="",999,'Hiring plan'!$H$59)),'Hiring plan'!$F$59,0)</f>
        <v>0</v>
      </c>
      <c r="K63" s="33" t="n">
        <f aca="false">IF(AND(N('Hiring plan'!$F$59)&gt;0,K$3&gt;='Hiring plan'!$G$59,K$3&lt;=IF('Hiring plan'!$H$59="",999,'Hiring plan'!$H$59)),'Hiring plan'!$F$59,0)</f>
        <v>0</v>
      </c>
      <c r="L63" s="33" t="n">
        <f aca="false">IF(AND(N('Hiring plan'!$F$59)&gt;0,L$3&gt;='Hiring plan'!$G$59,L$3&lt;=IF('Hiring plan'!$H$59="",999,'Hiring plan'!$H$59)),'Hiring plan'!$F$59,0)</f>
        <v>0</v>
      </c>
      <c r="M63" s="33" t="n">
        <f aca="false">IF(AND(N('Hiring plan'!$F$59)&gt;0,M$3&gt;='Hiring plan'!$G$59,M$3&lt;=IF('Hiring plan'!$H$59="",999,'Hiring plan'!$H$59)),'Hiring plan'!$F$59,0)</f>
        <v>0</v>
      </c>
      <c r="N63" s="33" t="n">
        <f aca="false">IF(AND(N('Hiring plan'!$F$59)&gt;0,N$3&gt;='Hiring plan'!$G$59,N$3&lt;=IF('Hiring plan'!$H$59="",999,'Hiring plan'!$H$59)),'Hiring plan'!$F$59,0)</f>
        <v>0</v>
      </c>
      <c r="O63" s="33" t="n">
        <f aca="false">IF(AND(N('Hiring plan'!$F$59)&gt;0,O$3&gt;='Hiring plan'!$G$59,O$3&lt;=IF('Hiring plan'!$H$59="",999,'Hiring plan'!$H$59)),'Hiring plan'!$F$59,0)</f>
        <v>0</v>
      </c>
      <c r="P63" s="33" t="n">
        <f aca="false">IF(AND(N('Hiring plan'!$F$59)&gt;0,P$3&gt;='Hiring plan'!$G$59,P$3&lt;=IF('Hiring plan'!$H$59="",999,'Hiring plan'!$H$59)),'Hiring plan'!$F$59,0)</f>
        <v>0</v>
      </c>
      <c r="Q63" s="33" t="n">
        <f aca="false">IF(AND(N('Hiring plan'!$F$59)&gt;0,Q$3&gt;='Hiring plan'!$G$59,Q$3&lt;=IF('Hiring plan'!$H$59="",999,'Hiring plan'!$H$59)),'Hiring plan'!$F$59,0)</f>
        <v>0</v>
      </c>
      <c r="R63" s="33" t="n">
        <f aca="false">IF(AND(N('Hiring plan'!$F$59)&gt;0,R$3&gt;='Hiring plan'!$G$59,R$3&lt;=IF('Hiring plan'!$H$59="",999,'Hiring plan'!$H$59)),'Hiring plan'!$F$59,0)</f>
        <v>0</v>
      </c>
      <c r="S63" s="33" t="n">
        <f aca="false">IF(AND(N('Hiring plan'!$F$59)&gt;0,S$3&gt;='Hiring plan'!$G$59,S$3&lt;=IF('Hiring plan'!$H$59="",999,'Hiring plan'!$H$59)),'Hiring plan'!$F$59,0)</f>
        <v>0</v>
      </c>
      <c r="T63" s="33" t="n">
        <f aca="false">IF(AND(N('Hiring plan'!$F$59)&gt;0,T$3&gt;='Hiring plan'!$G$59,T$3&lt;=IF('Hiring plan'!$H$59="",999,'Hiring plan'!$H$59)),'Hiring plan'!$F$59,0)</f>
        <v>0</v>
      </c>
      <c r="U63" s="33" t="n">
        <f aca="false">IF(AND(N('Hiring plan'!$F$59)&gt;0,U$3&gt;='Hiring plan'!$G$59,U$3&lt;=IF('Hiring plan'!$H$59="",999,'Hiring plan'!$H$59)),'Hiring plan'!$F$59,0)</f>
        <v>0</v>
      </c>
      <c r="V63" s="33" t="n">
        <f aca="false">IF(AND(N('Hiring plan'!$F$59)&gt;0,V$3&gt;='Hiring plan'!$G$59,V$3&lt;=IF('Hiring plan'!$H$59="",999,'Hiring plan'!$H$59)),'Hiring plan'!$F$59,0)</f>
        <v>0</v>
      </c>
      <c r="W63" s="33" t="n">
        <f aca="false">IF(AND(N('Hiring plan'!$F$59)&gt;0,W$3&gt;='Hiring plan'!$G$59,W$3&lt;=IF('Hiring plan'!$H$59="",999,'Hiring plan'!$H$59)),'Hiring plan'!$F$59,0)</f>
        <v>1</v>
      </c>
      <c r="X63" s="33" t="n">
        <f aca="false">IF(AND(N('Hiring plan'!$F$59)&gt;0,X$3&gt;='Hiring plan'!$G$59,X$3&lt;=IF('Hiring plan'!$H$59="",999,'Hiring plan'!$H$59)),'Hiring plan'!$F$59,0)</f>
        <v>1</v>
      </c>
      <c r="Y63" s="33" t="n">
        <f aca="false">IF(AND(N('Hiring plan'!$F$59)&gt;0,Y$3&gt;='Hiring plan'!$G$59,Y$3&lt;=IF('Hiring plan'!$H$59="",999,'Hiring plan'!$H$59)),'Hiring plan'!$F$59,0)</f>
        <v>1</v>
      </c>
      <c r="Z63" s="33" t="n">
        <f aca="false">IF(AND(N('Hiring plan'!$F$59)&gt;0,Z$3&gt;='Hiring plan'!$G$59,Z$3&lt;=IF('Hiring plan'!$H$59="",999,'Hiring plan'!$H$59)),'Hiring plan'!$F$59,0)</f>
        <v>1</v>
      </c>
      <c r="AA63" s="33" t="n">
        <f aca="false">IF(AND(N('Hiring plan'!$F$59)&gt;0,AA$3&gt;='Hiring plan'!$G$59,AA$3&lt;=IF('Hiring plan'!$H$59="",999,'Hiring plan'!$H$59)),'Hiring plan'!$F$59,0)</f>
        <v>1</v>
      </c>
      <c r="AB63" s="33" t="n">
        <f aca="false">IF(AND(N('Hiring plan'!$F$59)&gt;0,AB$3&gt;='Hiring plan'!$G$59,AB$3&lt;=IF('Hiring plan'!$H$59="",999,'Hiring plan'!$H$59)),'Hiring plan'!$F$59,0)</f>
        <v>1</v>
      </c>
      <c r="AC63" s="33" t="n">
        <f aca="false">IF(AND(N('Hiring plan'!$F$59)&gt;0,AC$3&gt;='Hiring plan'!$G$59,AC$3&lt;=IF('Hiring plan'!$H$59="",999,'Hiring plan'!$H$59)),'Hiring plan'!$F$59,0)</f>
        <v>1</v>
      </c>
      <c r="AD63" s="33" t="n">
        <f aca="false">IF(AND(N('Hiring plan'!$F$59)&gt;0,AD$3&gt;='Hiring plan'!$G$59,AD$3&lt;=IF('Hiring plan'!$H$59="",999,'Hiring plan'!$H$59)),'Hiring plan'!$F$59,0)</f>
        <v>1</v>
      </c>
      <c r="AE63" s="33" t="n">
        <f aca="false">IF(AND(N('Hiring plan'!$F$59)&gt;0,AE$3&gt;='Hiring plan'!$G$59,AE$3&lt;=IF('Hiring plan'!$H$59="",999,'Hiring plan'!$H$59)),'Hiring plan'!$F$59,0)</f>
        <v>1</v>
      </c>
      <c r="AF63" s="33" t="n">
        <f aca="false">IF(AND(N('Hiring plan'!$F$59)&gt;0,AF$3&gt;='Hiring plan'!$G$59,AF$3&lt;=IF('Hiring plan'!$H$59="",999,'Hiring plan'!$H$59)),'Hiring plan'!$F$59,0)</f>
        <v>1</v>
      </c>
      <c r="AG63" s="33" t="n">
        <f aca="false">IF(AND(N('Hiring plan'!$F$59)&gt;0,AG$3&gt;='Hiring plan'!$G$59,AG$3&lt;=IF('Hiring plan'!$H$59="",999,'Hiring plan'!$H$59)),'Hiring plan'!$F$59,0)</f>
        <v>1</v>
      </c>
      <c r="AH63" s="33" t="n">
        <f aca="false">IF(AND(N('Hiring plan'!$F$59)&gt;0,AH$3&gt;='Hiring plan'!$G$59,AH$3&lt;=IF('Hiring plan'!$H$59="",999,'Hiring plan'!$H$59)),'Hiring plan'!$F$59,0)</f>
        <v>1</v>
      </c>
      <c r="AI63" s="33" t="n">
        <f aca="false">IF(AND(N('Hiring plan'!$F$59)&gt;0,AI$3&gt;='Hiring plan'!$G$59,AI$3&lt;=IF('Hiring plan'!$H$59="",999,'Hiring plan'!$H$59)),'Hiring plan'!$F$59,0)</f>
        <v>1</v>
      </c>
      <c r="AJ63" s="33" t="n">
        <f aca="false">IF(AND(N('Hiring plan'!$F$59)&gt;0,AJ$3&gt;='Hiring plan'!$G$59,AJ$3&lt;=IF('Hiring plan'!$H$59="",999,'Hiring plan'!$H$59)),'Hiring plan'!$F$59,0)</f>
        <v>1</v>
      </c>
      <c r="AK63" s="33" t="n">
        <f aca="false">IF(AND(N('Hiring plan'!$F$59)&gt;0,AK$3&gt;='Hiring plan'!$G$59,AK$3&lt;=IF('Hiring plan'!$H$59="",999,'Hiring plan'!$H$59)),'Hiring plan'!$F$59,0)</f>
        <v>1</v>
      </c>
      <c r="AL63" s="33" t="n">
        <f aca="false">IF(AND(N('Hiring plan'!$F$59)&gt;0,AL$3&gt;='Hiring plan'!$G$59,AL$3&lt;=IF('Hiring plan'!$H$59="",999,'Hiring plan'!$H$59)),'Hiring plan'!$F$59,0)</f>
        <v>1</v>
      </c>
      <c r="AM63" s="33" t="n">
        <f aca="false">IF(AND(N('Hiring plan'!$F$59)&gt;0,AM$3&gt;='Hiring plan'!$G$59,AM$3&lt;=IF('Hiring plan'!$H$59="",999,'Hiring plan'!$H$59)),'Hiring plan'!$F$59,0)</f>
        <v>1</v>
      </c>
      <c r="AN63" s="33" t="n">
        <f aca="false">IF(AND(N('Hiring plan'!$F$59)&gt;0,AN$3&gt;='Hiring plan'!$G$59,AN$3&lt;=IF('Hiring plan'!$H$59="",999,'Hiring plan'!$H$59)),'Hiring plan'!$F$59,0)</f>
        <v>1</v>
      </c>
      <c r="AO63" s="33" t="n">
        <f aca="false">IF(AND(N('Hiring plan'!$F$59)&gt;0,AO$3&gt;='Hiring plan'!$G$59,AO$3&lt;=IF('Hiring plan'!$H$59="",999,'Hiring plan'!$H$59)),'Hiring plan'!$F$59,0)</f>
        <v>1</v>
      </c>
      <c r="AP63" s="33" t="n">
        <f aca="false">IF(AND(N('Hiring plan'!$F$59)&gt;0,AP$3&gt;='Hiring plan'!$G$59,AP$3&lt;=IF('Hiring plan'!$H$59="",999,'Hiring plan'!$H$59)),'Hiring plan'!$F$59,0)</f>
        <v>1</v>
      </c>
      <c r="AQ63" s="33" t="n">
        <f aca="false">IF(AND(N('Hiring plan'!$F$59)&gt;0,AQ$3&gt;='Hiring plan'!$G$59,AQ$3&lt;=IF('Hiring plan'!$H$59="",999,'Hiring plan'!$H$59)),'Hiring plan'!$F$59,0)</f>
        <v>1</v>
      </c>
      <c r="AR63" s="33" t="n">
        <f aca="false">IF(AND(N('Hiring plan'!$F$59)&gt;0,AR$3&gt;='Hiring plan'!$G$59,AR$3&lt;=IF('Hiring plan'!$H$59="",999,'Hiring plan'!$H$59)),'Hiring plan'!$F$59,0)</f>
        <v>1</v>
      </c>
      <c r="AS63" s="33" t="n">
        <f aca="false">IF(AND(N('Hiring plan'!$F$59)&gt;0,AS$3&gt;='Hiring plan'!$G$59,AS$3&lt;=IF('Hiring plan'!$H$59="",999,'Hiring plan'!$H$59)),'Hiring plan'!$F$59,0)</f>
        <v>1</v>
      </c>
      <c r="AT63" s="33" t="n">
        <f aca="false">IF(AND(N('Hiring plan'!$F$59)&gt;0,AT$3&gt;='Hiring plan'!$G$59,AT$3&lt;=IF('Hiring plan'!$H$59="",999,'Hiring plan'!$H$59)),'Hiring plan'!$F$59,0)</f>
        <v>1</v>
      </c>
      <c r="AU63" s="33" t="n">
        <f aca="false">IF(AND(N('Hiring plan'!$F$59)&gt;0,AU$3&gt;='Hiring plan'!$G$59,AU$3&lt;=IF('Hiring plan'!$H$59="",999,'Hiring plan'!$H$59)),'Hiring plan'!$F$59,0)</f>
        <v>1</v>
      </c>
      <c r="AV63" s="33" t="n">
        <f aca="false">IF(AND(N('Hiring plan'!$F$59)&gt;0,AV$3&gt;='Hiring plan'!$G$59,AV$3&lt;=IF('Hiring plan'!$H$59="",999,'Hiring plan'!$H$59)),'Hiring plan'!$F$59,0)</f>
        <v>1</v>
      </c>
      <c r="AW63" s="33" t="n">
        <f aca="false">IF(AND(N('Hiring plan'!$F$59)&gt;0,AW$3&gt;='Hiring plan'!$G$59,AW$3&lt;=IF('Hiring plan'!$H$59="",999,'Hiring plan'!$H$59)),'Hiring plan'!$F$59,0)</f>
        <v>1</v>
      </c>
      <c r="AX63" s="33" t="n">
        <f aca="false">IF(AND(N('Hiring plan'!$F$59)&gt;0,AX$3&gt;='Hiring plan'!$G$59,AX$3&lt;=IF('Hiring plan'!$H$59="",999,'Hiring plan'!$H$59)),'Hiring plan'!$F$59,0)</f>
        <v>1</v>
      </c>
      <c r="AY63" s="33" t="n">
        <f aca="false">IF(AND(N('Hiring plan'!$F$59)&gt;0,AY$3&gt;='Hiring plan'!$G$59,AY$3&lt;=IF('Hiring plan'!$H$59="",999,'Hiring plan'!$H$59)),'Hiring plan'!$F$59,0)</f>
        <v>1</v>
      </c>
      <c r="AZ63" s="33" t="n">
        <f aca="false">IF(AND(N('Hiring plan'!$F$59)&gt;0,AZ$3&gt;='Hiring plan'!$G$59,AZ$3&lt;=IF('Hiring plan'!$H$59="",999,'Hiring plan'!$H$59)),'Hiring plan'!$F$59,0)</f>
        <v>1</v>
      </c>
      <c r="BA63" s="33" t="n">
        <f aca="false">IF(AND(N('Hiring plan'!$F$59)&gt;0,BA$3&gt;='Hiring plan'!$G$59,BA$3&lt;=IF('Hiring plan'!$H$59="",999,'Hiring plan'!$H$59)),'Hiring plan'!$F$59,0)</f>
        <v>1</v>
      </c>
      <c r="BB63" s="33" t="n">
        <f aca="false">IF(AND(N('Hiring plan'!$F$59)&gt;0,BB$3&gt;='Hiring plan'!$G$59,BB$3&lt;=IF('Hiring plan'!$H$59="",999,'Hiring plan'!$H$59)),'Hiring plan'!$F$59,0)</f>
        <v>1</v>
      </c>
      <c r="BC63" s="33" t="n">
        <f aca="false">IF(AND(N('Hiring plan'!$F$59)&gt;0,BC$3&gt;='Hiring plan'!$G$59,BC$3&lt;=IF('Hiring plan'!$H$59="",999,'Hiring plan'!$H$59)),'Hiring plan'!$F$59,0)</f>
        <v>1</v>
      </c>
      <c r="BD63" s="33" t="n">
        <f aca="false">IF(AND(N('Hiring plan'!$F$59)&gt;0,BD$3&gt;='Hiring plan'!$G$59,BD$3&lt;=IF('Hiring plan'!$H$59="",999,'Hiring plan'!$H$59)),'Hiring plan'!$F$59,0)</f>
        <v>1</v>
      </c>
      <c r="BE63" s="33" t="n">
        <f aca="false">IF(AND(N('Hiring plan'!$F$59)&gt;0,BE$3&gt;='Hiring plan'!$G$59,BE$3&lt;=IF('Hiring plan'!$H$59="",999,'Hiring plan'!$H$59)),'Hiring plan'!$F$59,0)</f>
        <v>1</v>
      </c>
      <c r="BF63" s="33" t="n">
        <f aca="false">IF(AND(N('Hiring plan'!$F$59)&gt;0,BF$3&gt;='Hiring plan'!$G$59,BF$3&lt;=IF('Hiring plan'!$H$59="",999,'Hiring plan'!$H$59)),'Hiring plan'!$F$59,0)</f>
        <v>1</v>
      </c>
      <c r="BG63" s="33" t="n">
        <f aca="false">IF(AND(N('Hiring plan'!$F$59)&gt;0,BG$3&gt;='Hiring plan'!$G$59,BG$3&lt;=IF('Hiring plan'!$H$59="",999,'Hiring plan'!$H$59)),'Hiring plan'!$F$59,0)</f>
        <v>1</v>
      </c>
      <c r="BH63" s="33" t="n">
        <f aca="false">IF(AND(N('Hiring plan'!$F$59)&gt;0,BH$3&gt;='Hiring plan'!$G$59,BH$3&lt;=IF('Hiring plan'!$H$59="",999,'Hiring plan'!$H$59)),'Hiring plan'!$F$59,0)</f>
        <v>1</v>
      </c>
      <c r="BI63" s="33" t="n">
        <f aca="false">IF(AND(N('Hiring plan'!$F$59)&gt;0,BI$3&gt;='Hiring plan'!$G$59,BI$3&lt;=IF('Hiring plan'!$H$59="",999,'Hiring plan'!$H$59)),'Hiring plan'!$F$59,0)</f>
        <v>1</v>
      </c>
      <c r="BJ63" s="33" t="n">
        <f aca="false">IF(AND(N('Hiring plan'!$F$59)&gt;0,BJ$3&gt;='Hiring plan'!$G$59,BJ$3&lt;=IF('Hiring plan'!$H$59="",999,'Hiring plan'!$H$59)),'Hiring plan'!$F$59,0)</f>
        <v>1</v>
      </c>
      <c r="BK63" s="33" t="n">
        <f aca="false">IF(AND(N('Hiring plan'!$F$59)&gt;0,BK$3&gt;='Hiring plan'!$G$59,BK$3&lt;=IF('Hiring plan'!$H$59="",999,'Hiring plan'!$H$59)),'Hiring plan'!$F$59,0)</f>
        <v>1</v>
      </c>
      <c r="BL63" s="33" t="n">
        <f aca="false">IF(AND(N('Hiring plan'!$F$59)&gt;0,BL$3&gt;='Hiring plan'!$G$59,BL$3&lt;=IF('Hiring plan'!$H$59="",999,'Hiring plan'!$H$59)),'Hiring plan'!$F$59,0)</f>
        <v>1</v>
      </c>
    </row>
    <row r="64" customFormat="false" ht="15" hidden="false" customHeight="false" outlineLevel="0" collapsed="false">
      <c r="A64" s="12" t="str">
        <f aca="false">IF('Hiring plan'!$C$60="","(spare line 56)",'Hiring plan'!$C$60&amp;" · "&amp;'Hiring plan'!$D$60)</f>
        <v>Accountant · SN</v>
      </c>
      <c r="B64" s="14" t="s">
        <v>222</v>
      </c>
      <c r="D64" s="41" t="n">
        <f aca="false">MAX(E64:BL64)</f>
        <v>1</v>
      </c>
      <c r="E64" s="33" t="n">
        <f aca="false">IF(AND(N('Hiring plan'!$F$60)&gt;0,E$3&gt;='Hiring plan'!$G$60,E$3&lt;=IF('Hiring plan'!$H$60="",999,'Hiring plan'!$H$60)),'Hiring plan'!$F$60,0)</f>
        <v>0</v>
      </c>
      <c r="F64" s="33" t="n">
        <f aca="false">IF(AND(N('Hiring plan'!$F$60)&gt;0,F$3&gt;='Hiring plan'!$G$60,F$3&lt;=IF('Hiring plan'!$H$60="",999,'Hiring plan'!$H$60)),'Hiring plan'!$F$60,0)</f>
        <v>0</v>
      </c>
      <c r="G64" s="33" t="n">
        <f aca="false">IF(AND(N('Hiring plan'!$F$60)&gt;0,G$3&gt;='Hiring plan'!$G$60,G$3&lt;=IF('Hiring plan'!$H$60="",999,'Hiring plan'!$H$60)),'Hiring plan'!$F$60,0)</f>
        <v>0</v>
      </c>
      <c r="H64" s="33" t="n">
        <f aca="false">IF(AND(N('Hiring plan'!$F$60)&gt;0,H$3&gt;='Hiring plan'!$G$60,H$3&lt;=IF('Hiring plan'!$H$60="",999,'Hiring plan'!$H$60)),'Hiring plan'!$F$60,0)</f>
        <v>0</v>
      </c>
      <c r="I64" s="33" t="n">
        <f aca="false">IF(AND(N('Hiring plan'!$F$60)&gt;0,I$3&gt;='Hiring plan'!$G$60,I$3&lt;=IF('Hiring plan'!$H$60="",999,'Hiring plan'!$H$60)),'Hiring plan'!$F$60,0)</f>
        <v>0</v>
      </c>
      <c r="J64" s="33" t="n">
        <f aca="false">IF(AND(N('Hiring plan'!$F$60)&gt;0,J$3&gt;='Hiring plan'!$G$60,J$3&lt;=IF('Hiring plan'!$H$60="",999,'Hiring plan'!$H$60)),'Hiring plan'!$F$60,0)</f>
        <v>0</v>
      </c>
      <c r="K64" s="33" t="n">
        <f aca="false">IF(AND(N('Hiring plan'!$F$60)&gt;0,K$3&gt;='Hiring plan'!$G$60,K$3&lt;=IF('Hiring plan'!$H$60="",999,'Hiring plan'!$H$60)),'Hiring plan'!$F$60,0)</f>
        <v>0</v>
      </c>
      <c r="L64" s="33" t="n">
        <f aca="false">IF(AND(N('Hiring plan'!$F$60)&gt;0,L$3&gt;='Hiring plan'!$G$60,L$3&lt;=IF('Hiring plan'!$H$60="",999,'Hiring plan'!$H$60)),'Hiring plan'!$F$60,0)</f>
        <v>0</v>
      </c>
      <c r="M64" s="33" t="n">
        <f aca="false">IF(AND(N('Hiring plan'!$F$60)&gt;0,M$3&gt;='Hiring plan'!$G$60,M$3&lt;=IF('Hiring plan'!$H$60="",999,'Hiring plan'!$H$60)),'Hiring plan'!$F$60,0)</f>
        <v>0</v>
      </c>
      <c r="N64" s="33" t="n">
        <f aca="false">IF(AND(N('Hiring plan'!$F$60)&gt;0,N$3&gt;='Hiring plan'!$G$60,N$3&lt;=IF('Hiring plan'!$H$60="",999,'Hiring plan'!$H$60)),'Hiring plan'!$F$60,0)</f>
        <v>0</v>
      </c>
      <c r="O64" s="33" t="n">
        <f aca="false">IF(AND(N('Hiring plan'!$F$60)&gt;0,O$3&gt;='Hiring plan'!$G$60,O$3&lt;=IF('Hiring plan'!$H$60="",999,'Hiring plan'!$H$60)),'Hiring plan'!$F$60,0)</f>
        <v>0</v>
      </c>
      <c r="P64" s="33" t="n">
        <f aca="false">IF(AND(N('Hiring plan'!$F$60)&gt;0,P$3&gt;='Hiring plan'!$G$60,P$3&lt;=IF('Hiring plan'!$H$60="",999,'Hiring plan'!$H$60)),'Hiring plan'!$F$60,0)</f>
        <v>0</v>
      </c>
      <c r="Q64" s="33" t="n">
        <f aca="false">IF(AND(N('Hiring plan'!$F$60)&gt;0,Q$3&gt;='Hiring plan'!$G$60,Q$3&lt;=IF('Hiring plan'!$H$60="",999,'Hiring plan'!$H$60)),'Hiring plan'!$F$60,0)</f>
        <v>0</v>
      </c>
      <c r="R64" s="33" t="n">
        <f aca="false">IF(AND(N('Hiring plan'!$F$60)&gt;0,R$3&gt;='Hiring plan'!$G$60,R$3&lt;=IF('Hiring plan'!$H$60="",999,'Hiring plan'!$H$60)),'Hiring plan'!$F$60,0)</f>
        <v>0</v>
      </c>
      <c r="S64" s="33" t="n">
        <f aca="false">IF(AND(N('Hiring plan'!$F$60)&gt;0,S$3&gt;='Hiring plan'!$G$60,S$3&lt;=IF('Hiring plan'!$H$60="",999,'Hiring plan'!$H$60)),'Hiring plan'!$F$60,0)</f>
        <v>0</v>
      </c>
      <c r="T64" s="33" t="n">
        <f aca="false">IF(AND(N('Hiring plan'!$F$60)&gt;0,T$3&gt;='Hiring plan'!$G$60,T$3&lt;=IF('Hiring plan'!$H$60="",999,'Hiring plan'!$H$60)),'Hiring plan'!$F$60,0)</f>
        <v>0</v>
      </c>
      <c r="U64" s="33" t="n">
        <f aca="false">IF(AND(N('Hiring plan'!$F$60)&gt;0,U$3&gt;='Hiring plan'!$G$60,U$3&lt;=IF('Hiring plan'!$H$60="",999,'Hiring plan'!$H$60)),'Hiring plan'!$F$60,0)</f>
        <v>0</v>
      </c>
      <c r="V64" s="33" t="n">
        <f aca="false">IF(AND(N('Hiring plan'!$F$60)&gt;0,V$3&gt;='Hiring plan'!$G$60,V$3&lt;=IF('Hiring plan'!$H$60="",999,'Hiring plan'!$H$60)),'Hiring plan'!$F$60,0)</f>
        <v>0</v>
      </c>
      <c r="W64" s="33" t="n">
        <f aca="false">IF(AND(N('Hiring plan'!$F$60)&gt;0,W$3&gt;='Hiring plan'!$G$60,W$3&lt;=IF('Hiring plan'!$H$60="",999,'Hiring plan'!$H$60)),'Hiring plan'!$F$60,0)</f>
        <v>0</v>
      </c>
      <c r="X64" s="33" t="n">
        <f aca="false">IF(AND(N('Hiring plan'!$F$60)&gt;0,X$3&gt;='Hiring plan'!$G$60,X$3&lt;=IF('Hiring plan'!$H$60="",999,'Hiring plan'!$H$60)),'Hiring plan'!$F$60,0)</f>
        <v>0</v>
      </c>
      <c r="Y64" s="33" t="n">
        <f aca="false">IF(AND(N('Hiring plan'!$F$60)&gt;0,Y$3&gt;='Hiring plan'!$G$60,Y$3&lt;=IF('Hiring plan'!$H$60="",999,'Hiring plan'!$H$60)),'Hiring plan'!$F$60,0)</f>
        <v>0</v>
      </c>
      <c r="Z64" s="33" t="n">
        <f aca="false">IF(AND(N('Hiring plan'!$F$60)&gt;0,Z$3&gt;='Hiring plan'!$G$60,Z$3&lt;=IF('Hiring plan'!$H$60="",999,'Hiring plan'!$H$60)),'Hiring plan'!$F$60,0)</f>
        <v>0</v>
      </c>
      <c r="AA64" s="33" t="n">
        <f aca="false">IF(AND(N('Hiring plan'!$F$60)&gt;0,AA$3&gt;='Hiring plan'!$G$60,AA$3&lt;=IF('Hiring plan'!$H$60="",999,'Hiring plan'!$H$60)),'Hiring plan'!$F$60,0)</f>
        <v>0</v>
      </c>
      <c r="AB64" s="33" t="n">
        <f aca="false">IF(AND(N('Hiring plan'!$F$60)&gt;0,AB$3&gt;='Hiring plan'!$G$60,AB$3&lt;=IF('Hiring plan'!$H$60="",999,'Hiring plan'!$H$60)),'Hiring plan'!$F$60,0)</f>
        <v>0</v>
      </c>
      <c r="AC64" s="33" t="n">
        <f aca="false">IF(AND(N('Hiring plan'!$F$60)&gt;0,AC$3&gt;='Hiring plan'!$G$60,AC$3&lt;=IF('Hiring plan'!$H$60="",999,'Hiring plan'!$H$60)),'Hiring plan'!$F$60,0)</f>
        <v>0</v>
      </c>
      <c r="AD64" s="33" t="n">
        <f aca="false">IF(AND(N('Hiring plan'!$F$60)&gt;0,AD$3&gt;='Hiring plan'!$G$60,AD$3&lt;=IF('Hiring plan'!$H$60="",999,'Hiring plan'!$H$60)),'Hiring plan'!$F$60,0)</f>
        <v>0</v>
      </c>
      <c r="AE64" s="33" t="n">
        <f aca="false">IF(AND(N('Hiring plan'!$F$60)&gt;0,AE$3&gt;='Hiring plan'!$G$60,AE$3&lt;=IF('Hiring plan'!$H$60="",999,'Hiring plan'!$H$60)),'Hiring plan'!$F$60,0)</f>
        <v>0</v>
      </c>
      <c r="AF64" s="33" t="n">
        <f aca="false">IF(AND(N('Hiring plan'!$F$60)&gt;0,AF$3&gt;='Hiring plan'!$G$60,AF$3&lt;=IF('Hiring plan'!$H$60="",999,'Hiring plan'!$H$60)),'Hiring plan'!$F$60,0)</f>
        <v>0</v>
      </c>
      <c r="AG64" s="33" t="n">
        <f aca="false">IF(AND(N('Hiring plan'!$F$60)&gt;0,AG$3&gt;='Hiring plan'!$G$60,AG$3&lt;=IF('Hiring plan'!$H$60="",999,'Hiring plan'!$H$60)),'Hiring plan'!$F$60,0)</f>
        <v>0</v>
      </c>
      <c r="AH64" s="33" t="n">
        <f aca="false">IF(AND(N('Hiring plan'!$F$60)&gt;0,AH$3&gt;='Hiring plan'!$G$60,AH$3&lt;=IF('Hiring plan'!$H$60="",999,'Hiring plan'!$H$60)),'Hiring plan'!$F$60,0)</f>
        <v>0</v>
      </c>
      <c r="AI64" s="33" t="n">
        <f aca="false">IF(AND(N('Hiring plan'!$F$60)&gt;0,AI$3&gt;='Hiring plan'!$G$60,AI$3&lt;=IF('Hiring plan'!$H$60="",999,'Hiring plan'!$H$60)),'Hiring plan'!$F$60,0)</f>
        <v>1</v>
      </c>
      <c r="AJ64" s="33" t="n">
        <f aca="false">IF(AND(N('Hiring plan'!$F$60)&gt;0,AJ$3&gt;='Hiring plan'!$G$60,AJ$3&lt;=IF('Hiring plan'!$H$60="",999,'Hiring plan'!$H$60)),'Hiring plan'!$F$60,0)</f>
        <v>1</v>
      </c>
      <c r="AK64" s="33" t="n">
        <f aca="false">IF(AND(N('Hiring plan'!$F$60)&gt;0,AK$3&gt;='Hiring plan'!$G$60,AK$3&lt;=IF('Hiring plan'!$H$60="",999,'Hiring plan'!$H$60)),'Hiring plan'!$F$60,0)</f>
        <v>1</v>
      </c>
      <c r="AL64" s="33" t="n">
        <f aca="false">IF(AND(N('Hiring plan'!$F$60)&gt;0,AL$3&gt;='Hiring plan'!$G$60,AL$3&lt;=IF('Hiring plan'!$H$60="",999,'Hiring plan'!$H$60)),'Hiring plan'!$F$60,0)</f>
        <v>1</v>
      </c>
      <c r="AM64" s="33" t="n">
        <f aca="false">IF(AND(N('Hiring plan'!$F$60)&gt;0,AM$3&gt;='Hiring plan'!$G$60,AM$3&lt;=IF('Hiring plan'!$H$60="",999,'Hiring plan'!$H$60)),'Hiring plan'!$F$60,0)</f>
        <v>1</v>
      </c>
      <c r="AN64" s="33" t="n">
        <f aca="false">IF(AND(N('Hiring plan'!$F$60)&gt;0,AN$3&gt;='Hiring plan'!$G$60,AN$3&lt;=IF('Hiring plan'!$H$60="",999,'Hiring plan'!$H$60)),'Hiring plan'!$F$60,0)</f>
        <v>1</v>
      </c>
      <c r="AO64" s="33" t="n">
        <f aca="false">IF(AND(N('Hiring plan'!$F$60)&gt;0,AO$3&gt;='Hiring plan'!$G$60,AO$3&lt;=IF('Hiring plan'!$H$60="",999,'Hiring plan'!$H$60)),'Hiring plan'!$F$60,0)</f>
        <v>1</v>
      </c>
      <c r="AP64" s="33" t="n">
        <f aca="false">IF(AND(N('Hiring plan'!$F$60)&gt;0,AP$3&gt;='Hiring plan'!$G$60,AP$3&lt;=IF('Hiring plan'!$H$60="",999,'Hiring plan'!$H$60)),'Hiring plan'!$F$60,0)</f>
        <v>1</v>
      </c>
      <c r="AQ64" s="33" t="n">
        <f aca="false">IF(AND(N('Hiring plan'!$F$60)&gt;0,AQ$3&gt;='Hiring plan'!$G$60,AQ$3&lt;=IF('Hiring plan'!$H$60="",999,'Hiring plan'!$H$60)),'Hiring plan'!$F$60,0)</f>
        <v>1</v>
      </c>
      <c r="AR64" s="33" t="n">
        <f aca="false">IF(AND(N('Hiring plan'!$F$60)&gt;0,AR$3&gt;='Hiring plan'!$G$60,AR$3&lt;=IF('Hiring plan'!$H$60="",999,'Hiring plan'!$H$60)),'Hiring plan'!$F$60,0)</f>
        <v>1</v>
      </c>
      <c r="AS64" s="33" t="n">
        <f aca="false">IF(AND(N('Hiring plan'!$F$60)&gt;0,AS$3&gt;='Hiring plan'!$G$60,AS$3&lt;=IF('Hiring plan'!$H$60="",999,'Hiring plan'!$H$60)),'Hiring plan'!$F$60,0)</f>
        <v>1</v>
      </c>
      <c r="AT64" s="33" t="n">
        <f aca="false">IF(AND(N('Hiring plan'!$F$60)&gt;0,AT$3&gt;='Hiring plan'!$G$60,AT$3&lt;=IF('Hiring plan'!$H$60="",999,'Hiring plan'!$H$60)),'Hiring plan'!$F$60,0)</f>
        <v>1</v>
      </c>
      <c r="AU64" s="33" t="n">
        <f aca="false">IF(AND(N('Hiring plan'!$F$60)&gt;0,AU$3&gt;='Hiring plan'!$G$60,AU$3&lt;=IF('Hiring plan'!$H$60="",999,'Hiring plan'!$H$60)),'Hiring plan'!$F$60,0)</f>
        <v>1</v>
      </c>
      <c r="AV64" s="33" t="n">
        <f aca="false">IF(AND(N('Hiring plan'!$F$60)&gt;0,AV$3&gt;='Hiring plan'!$G$60,AV$3&lt;=IF('Hiring plan'!$H$60="",999,'Hiring plan'!$H$60)),'Hiring plan'!$F$60,0)</f>
        <v>1</v>
      </c>
      <c r="AW64" s="33" t="n">
        <f aca="false">IF(AND(N('Hiring plan'!$F$60)&gt;0,AW$3&gt;='Hiring plan'!$G$60,AW$3&lt;=IF('Hiring plan'!$H$60="",999,'Hiring plan'!$H$60)),'Hiring plan'!$F$60,0)</f>
        <v>1</v>
      </c>
      <c r="AX64" s="33" t="n">
        <f aca="false">IF(AND(N('Hiring plan'!$F$60)&gt;0,AX$3&gt;='Hiring plan'!$G$60,AX$3&lt;=IF('Hiring plan'!$H$60="",999,'Hiring plan'!$H$60)),'Hiring plan'!$F$60,0)</f>
        <v>1</v>
      </c>
      <c r="AY64" s="33" t="n">
        <f aca="false">IF(AND(N('Hiring plan'!$F$60)&gt;0,AY$3&gt;='Hiring plan'!$G$60,AY$3&lt;=IF('Hiring plan'!$H$60="",999,'Hiring plan'!$H$60)),'Hiring plan'!$F$60,0)</f>
        <v>1</v>
      </c>
      <c r="AZ64" s="33" t="n">
        <f aca="false">IF(AND(N('Hiring plan'!$F$60)&gt;0,AZ$3&gt;='Hiring plan'!$G$60,AZ$3&lt;=IF('Hiring plan'!$H$60="",999,'Hiring plan'!$H$60)),'Hiring plan'!$F$60,0)</f>
        <v>1</v>
      </c>
      <c r="BA64" s="33" t="n">
        <f aca="false">IF(AND(N('Hiring plan'!$F$60)&gt;0,BA$3&gt;='Hiring plan'!$G$60,BA$3&lt;=IF('Hiring plan'!$H$60="",999,'Hiring plan'!$H$60)),'Hiring plan'!$F$60,0)</f>
        <v>1</v>
      </c>
      <c r="BB64" s="33" t="n">
        <f aca="false">IF(AND(N('Hiring plan'!$F$60)&gt;0,BB$3&gt;='Hiring plan'!$G$60,BB$3&lt;=IF('Hiring plan'!$H$60="",999,'Hiring plan'!$H$60)),'Hiring plan'!$F$60,0)</f>
        <v>1</v>
      </c>
      <c r="BC64" s="33" t="n">
        <f aca="false">IF(AND(N('Hiring plan'!$F$60)&gt;0,BC$3&gt;='Hiring plan'!$G$60,BC$3&lt;=IF('Hiring plan'!$H$60="",999,'Hiring plan'!$H$60)),'Hiring plan'!$F$60,0)</f>
        <v>1</v>
      </c>
      <c r="BD64" s="33" t="n">
        <f aca="false">IF(AND(N('Hiring plan'!$F$60)&gt;0,BD$3&gt;='Hiring plan'!$G$60,BD$3&lt;=IF('Hiring plan'!$H$60="",999,'Hiring plan'!$H$60)),'Hiring plan'!$F$60,0)</f>
        <v>1</v>
      </c>
      <c r="BE64" s="33" t="n">
        <f aca="false">IF(AND(N('Hiring plan'!$F$60)&gt;0,BE$3&gt;='Hiring plan'!$G$60,BE$3&lt;=IF('Hiring plan'!$H$60="",999,'Hiring plan'!$H$60)),'Hiring plan'!$F$60,0)</f>
        <v>1</v>
      </c>
      <c r="BF64" s="33" t="n">
        <f aca="false">IF(AND(N('Hiring plan'!$F$60)&gt;0,BF$3&gt;='Hiring plan'!$G$60,BF$3&lt;=IF('Hiring plan'!$H$60="",999,'Hiring plan'!$H$60)),'Hiring plan'!$F$60,0)</f>
        <v>1</v>
      </c>
      <c r="BG64" s="33" t="n">
        <f aca="false">IF(AND(N('Hiring plan'!$F$60)&gt;0,BG$3&gt;='Hiring plan'!$G$60,BG$3&lt;=IF('Hiring plan'!$H$60="",999,'Hiring plan'!$H$60)),'Hiring plan'!$F$60,0)</f>
        <v>1</v>
      </c>
      <c r="BH64" s="33" t="n">
        <f aca="false">IF(AND(N('Hiring plan'!$F$60)&gt;0,BH$3&gt;='Hiring plan'!$G$60,BH$3&lt;=IF('Hiring plan'!$H$60="",999,'Hiring plan'!$H$60)),'Hiring plan'!$F$60,0)</f>
        <v>1</v>
      </c>
      <c r="BI64" s="33" t="n">
        <f aca="false">IF(AND(N('Hiring plan'!$F$60)&gt;0,BI$3&gt;='Hiring plan'!$G$60,BI$3&lt;=IF('Hiring plan'!$H$60="",999,'Hiring plan'!$H$60)),'Hiring plan'!$F$60,0)</f>
        <v>1</v>
      </c>
      <c r="BJ64" s="33" t="n">
        <f aca="false">IF(AND(N('Hiring plan'!$F$60)&gt;0,BJ$3&gt;='Hiring plan'!$G$60,BJ$3&lt;=IF('Hiring plan'!$H$60="",999,'Hiring plan'!$H$60)),'Hiring plan'!$F$60,0)</f>
        <v>1</v>
      </c>
      <c r="BK64" s="33" t="n">
        <f aca="false">IF(AND(N('Hiring plan'!$F$60)&gt;0,BK$3&gt;='Hiring plan'!$G$60,BK$3&lt;=IF('Hiring plan'!$H$60="",999,'Hiring plan'!$H$60)),'Hiring plan'!$F$60,0)</f>
        <v>1</v>
      </c>
      <c r="BL64" s="33" t="n">
        <f aca="false">IF(AND(N('Hiring plan'!$F$60)&gt;0,BL$3&gt;='Hiring plan'!$G$60,BL$3&lt;=IF('Hiring plan'!$H$60="",999,'Hiring plan'!$H$60)),'Hiring plan'!$F$60,0)</f>
        <v>1</v>
      </c>
    </row>
    <row r="65" customFormat="false" ht="15" hidden="false" customHeight="false" outlineLevel="0" collapsed="false">
      <c r="A65" s="12" t="str">
        <f aca="false">IF('Hiring plan'!$C$61="","(spare line 57)",'Hiring plan'!$C$61&amp;" · "&amp;'Hiring plan'!$D$61)</f>
        <v>Senior backend developer · SN</v>
      </c>
      <c r="B65" s="14" t="s">
        <v>222</v>
      </c>
      <c r="D65" s="41" t="n">
        <f aca="false">MAX(E65:BL65)</f>
        <v>1</v>
      </c>
      <c r="E65" s="33" t="n">
        <f aca="false">IF(AND(N('Hiring plan'!$F$61)&gt;0,E$3&gt;='Hiring plan'!$G$61,E$3&lt;=IF('Hiring plan'!$H$61="",999,'Hiring plan'!$H$61)),'Hiring plan'!$F$61,0)</f>
        <v>0</v>
      </c>
      <c r="F65" s="33" t="n">
        <f aca="false">IF(AND(N('Hiring plan'!$F$61)&gt;0,F$3&gt;='Hiring plan'!$G$61,F$3&lt;=IF('Hiring plan'!$H$61="",999,'Hiring plan'!$H$61)),'Hiring plan'!$F$61,0)</f>
        <v>0</v>
      </c>
      <c r="G65" s="33" t="n">
        <f aca="false">IF(AND(N('Hiring plan'!$F$61)&gt;0,G$3&gt;='Hiring plan'!$G$61,G$3&lt;=IF('Hiring plan'!$H$61="",999,'Hiring plan'!$H$61)),'Hiring plan'!$F$61,0)</f>
        <v>0</v>
      </c>
      <c r="H65" s="33" t="n">
        <f aca="false">IF(AND(N('Hiring plan'!$F$61)&gt;0,H$3&gt;='Hiring plan'!$G$61,H$3&lt;=IF('Hiring plan'!$H$61="",999,'Hiring plan'!$H$61)),'Hiring plan'!$F$61,0)</f>
        <v>0</v>
      </c>
      <c r="I65" s="33" t="n">
        <f aca="false">IF(AND(N('Hiring plan'!$F$61)&gt;0,I$3&gt;='Hiring plan'!$G$61,I$3&lt;=IF('Hiring plan'!$H$61="",999,'Hiring plan'!$H$61)),'Hiring plan'!$F$61,0)</f>
        <v>0</v>
      </c>
      <c r="J65" s="33" t="n">
        <f aca="false">IF(AND(N('Hiring plan'!$F$61)&gt;0,J$3&gt;='Hiring plan'!$G$61,J$3&lt;=IF('Hiring plan'!$H$61="",999,'Hiring plan'!$H$61)),'Hiring plan'!$F$61,0)</f>
        <v>0</v>
      </c>
      <c r="K65" s="33" t="n">
        <f aca="false">IF(AND(N('Hiring plan'!$F$61)&gt;0,K$3&gt;='Hiring plan'!$G$61,K$3&lt;=IF('Hiring plan'!$H$61="",999,'Hiring plan'!$H$61)),'Hiring plan'!$F$61,0)</f>
        <v>0</v>
      </c>
      <c r="L65" s="33" t="n">
        <f aca="false">IF(AND(N('Hiring plan'!$F$61)&gt;0,L$3&gt;='Hiring plan'!$G$61,L$3&lt;=IF('Hiring plan'!$H$61="",999,'Hiring plan'!$H$61)),'Hiring plan'!$F$61,0)</f>
        <v>0</v>
      </c>
      <c r="M65" s="33" t="n">
        <f aca="false">IF(AND(N('Hiring plan'!$F$61)&gt;0,M$3&gt;='Hiring plan'!$G$61,M$3&lt;=IF('Hiring plan'!$H$61="",999,'Hiring plan'!$H$61)),'Hiring plan'!$F$61,0)</f>
        <v>0</v>
      </c>
      <c r="N65" s="33" t="n">
        <f aca="false">IF(AND(N('Hiring plan'!$F$61)&gt;0,N$3&gt;='Hiring plan'!$G$61,N$3&lt;=IF('Hiring plan'!$H$61="",999,'Hiring plan'!$H$61)),'Hiring plan'!$F$61,0)</f>
        <v>0</v>
      </c>
      <c r="O65" s="33" t="n">
        <f aca="false">IF(AND(N('Hiring plan'!$F$61)&gt;0,O$3&gt;='Hiring plan'!$G$61,O$3&lt;=IF('Hiring plan'!$H$61="",999,'Hiring plan'!$H$61)),'Hiring plan'!$F$61,0)</f>
        <v>0</v>
      </c>
      <c r="P65" s="33" t="n">
        <f aca="false">IF(AND(N('Hiring plan'!$F$61)&gt;0,P$3&gt;='Hiring plan'!$G$61,P$3&lt;=IF('Hiring plan'!$H$61="",999,'Hiring plan'!$H$61)),'Hiring plan'!$F$61,0)</f>
        <v>0</v>
      </c>
      <c r="Q65" s="33" t="n">
        <f aca="false">IF(AND(N('Hiring plan'!$F$61)&gt;0,Q$3&gt;='Hiring plan'!$G$61,Q$3&lt;=IF('Hiring plan'!$H$61="",999,'Hiring plan'!$H$61)),'Hiring plan'!$F$61,0)</f>
        <v>0</v>
      </c>
      <c r="R65" s="33" t="n">
        <f aca="false">IF(AND(N('Hiring plan'!$F$61)&gt;0,R$3&gt;='Hiring plan'!$G$61,R$3&lt;=IF('Hiring plan'!$H$61="",999,'Hiring plan'!$H$61)),'Hiring plan'!$F$61,0)</f>
        <v>0</v>
      </c>
      <c r="S65" s="33" t="n">
        <f aca="false">IF(AND(N('Hiring plan'!$F$61)&gt;0,S$3&gt;='Hiring plan'!$G$61,S$3&lt;=IF('Hiring plan'!$H$61="",999,'Hiring plan'!$H$61)),'Hiring plan'!$F$61,0)</f>
        <v>0</v>
      </c>
      <c r="T65" s="33" t="n">
        <f aca="false">IF(AND(N('Hiring plan'!$F$61)&gt;0,T$3&gt;='Hiring plan'!$G$61,T$3&lt;=IF('Hiring plan'!$H$61="",999,'Hiring plan'!$H$61)),'Hiring plan'!$F$61,0)</f>
        <v>0</v>
      </c>
      <c r="U65" s="33" t="n">
        <f aca="false">IF(AND(N('Hiring plan'!$F$61)&gt;0,U$3&gt;='Hiring plan'!$G$61,U$3&lt;=IF('Hiring plan'!$H$61="",999,'Hiring plan'!$H$61)),'Hiring plan'!$F$61,0)</f>
        <v>0</v>
      </c>
      <c r="V65" s="33" t="n">
        <f aca="false">IF(AND(N('Hiring plan'!$F$61)&gt;0,V$3&gt;='Hiring plan'!$G$61,V$3&lt;=IF('Hiring plan'!$H$61="",999,'Hiring plan'!$H$61)),'Hiring plan'!$F$61,0)</f>
        <v>0</v>
      </c>
      <c r="W65" s="33" t="n">
        <f aca="false">IF(AND(N('Hiring plan'!$F$61)&gt;0,W$3&gt;='Hiring plan'!$G$61,W$3&lt;=IF('Hiring plan'!$H$61="",999,'Hiring plan'!$H$61)),'Hiring plan'!$F$61,0)</f>
        <v>0</v>
      </c>
      <c r="X65" s="33" t="n">
        <f aca="false">IF(AND(N('Hiring plan'!$F$61)&gt;0,X$3&gt;='Hiring plan'!$G$61,X$3&lt;=IF('Hiring plan'!$H$61="",999,'Hiring plan'!$H$61)),'Hiring plan'!$F$61,0)</f>
        <v>0</v>
      </c>
      <c r="Y65" s="33" t="n">
        <f aca="false">IF(AND(N('Hiring plan'!$F$61)&gt;0,Y$3&gt;='Hiring plan'!$G$61,Y$3&lt;=IF('Hiring plan'!$H$61="",999,'Hiring plan'!$H$61)),'Hiring plan'!$F$61,0)</f>
        <v>0</v>
      </c>
      <c r="Z65" s="33" t="n">
        <f aca="false">IF(AND(N('Hiring plan'!$F$61)&gt;0,Z$3&gt;='Hiring plan'!$G$61,Z$3&lt;=IF('Hiring plan'!$H$61="",999,'Hiring plan'!$H$61)),'Hiring plan'!$F$61,0)</f>
        <v>0</v>
      </c>
      <c r="AA65" s="33" t="n">
        <f aca="false">IF(AND(N('Hiring plan'!$F$61)&gt;0,AA$3&gt;='Hiring plan'!$G$61,AA$3&lt;=IF('Hiring plan'!$H$61="",999,'Hiring plan'!$H$61)),'Hiring plan'!$F$61,0)</f>
        <v>0</v>
      </c>
      <c r="AB65" s="33" t="n">
        <f aca="false">IF(AND(N('Hiring plan'!$F$61)&gt;0,AB$3&gt;='Hiring plan'!$G$61,AB$3&lt;=IF('Hiring plan'!$H$61="",999,'Hiring plan'!$H$61)),'Hiring plan'!$F$61,0)</f>
        <v>0</v>
      </c>
      <c r="AC65" s="33" t="n">
        <f aca="false">IF(AND(N('Hiring plan'!$F$61)&gt;0,AC$3&gt;='Hiring plan'!$G$61,AC$3&lt;=IF('Hiring plan'!$H$61="",999,'Hiring plan'!$H$61)),'Hiring plan'!$F$61,0)</f>
        <v>0</v>
      </c>
      <c r="AD65" s="33" t="n">
        <f aca="false">IF(AND(N('Hiring plan'!$F$61)&gt;0,AD$3&gt;='Hiring plan'!$G$61,AD$3&lt;=IF('Hiring plan'!$H$61="",999,'Hiring plan'!$H$61)),'Hiring plan'!$F$61,0)</f>
        <v>0</v>
      </c>
      <c r="AE65" s="33" t="n">
        <f aca="false">IF(AND(N('Hiring plan'!$F$61)&gt;0,AE$3&gt;='Hiring plan'!$G$61,AE$3&lt;=IF('Hiring plan'!$H$61="",999,'Hiring plan'!$H$61)),'Hiring plan'!$F$61,0)</f>
        <v>0</v>
      </c>
      <c r="AF65" s="33" t="n">
        <f aca="false">IF(AND(N('Hiring plan'!$F$61)&gt;0,AF$3&gt;='Hiring plan'!$G$61,AF$3&lt;=IF('Hiring plan'!$H$61="",999,'Hiring plan'!$H$61)),'Hiring plan'!$F$61,0)</f>
        <v>0</v>
      </c>
      <c r="AG65" s="33" t="n">
        <f aca="false">IF(AND(N('Hiring plan'!$F$61)&gt;0,AG$3&gt;='Hiring plan'!$G$61,AG$3&lt;=IF('Hiring plan'!$H$61="",999,'Hiring plan'!$H$61)),'Hiring plan'!$F$61,0)</f>
        <v>0</v>
      </c>
      <c r="AH65" s="33" t="n">
        <f aca="false">IF(AND(N('Hiring plan'!$F$61)&gt;0,AH$3&gt;='Hiring plan'!$G$61,AH$3&lt;=IF('Hiring plan'!$H$61="",999,'Hiring plan'!$H$61)),'Hiring plan'!$F$61,0)</f>
        <v>0</v>
      </c>
      <c r="AI65" s="33" t="n">
        <f aca="false">IF(AND(N('Hiring plan'!$F$61)&gt;0,AI$3&gt;='Hiring plan'!$G$61,AI$3&lt;=IF('Hiring plan'!$H$61="",999,'Hiring plan'!$H$61)),'Hiring plan'!$F$61,0)</f>
        <v>0</v>
      </c>
      <c r="AJ65" s="33" t="n">
        <f aca="false">IF(AND(N('Hiring plan'!$F$61)&gt;0,AJ$3&gt;='Hiring plan'!$G$61,AJ$3&lt;=IF('Hiring plan'!$H$61="",999,'Hiring plan'!$H$61)),'Hiring plan'!$F$61,0)</f>
        <v>0</v>
      </c>
      <c r="AK65" s="33" t="n">
        <f aca="false">IF(AND(N('Hiring plan'!$F$61)&gt;0,AK$3&gt;='Hiring plan'!$G$61,AK$3&lt;=IF('Hiring plan'!$H$61="",999,'Hiring plan'!$H$61)),'Hiring plan'!$F$61,0)</f>
        <v>0</v>
      </c>
      <c r="AL65" s="33" t="n">
        <f aca="false">IF(AND(N('Hiring plan'!$F$61)&gt;0,AL$3&gt;='Hiring plan'!$G$61,AL$3&lt;=IF('Hiring plan'!$H$61="",999,'Hiring plan'!$H$61)),'Hiring plan'!$F$61,0)</f>
        <v>0</v>
      </c>
      <c r="AM65" s="33" t="n">
        <f aca="false">IF(AND(N('Hiring plan'!$F$61)&gt;0,AM$3&gt;='Hiring plan'!$G$61,AM$3&lt;=IF('Hiring plan'!$H$61="",999,'Hiring plan'!$H$61)),'Hiring plan'!$F$61,0)</f>
        <v>0</v>
      </c>
      <c r="AN65" s="33" t="n">
        <f aca="false">IF(AND(N('Hiring plan'!$F$61)&gt;0,AN$3&gt;='Hiring plan'!$G$61,AN$3&lt;=IF('Hiring plan'!$H$61="",999,'Hiring plan'!$H$61)),'Hiring plan'!$F$61,0)</f>
        <v>0</v>
      </c>
      <c r="AO65" s="33" t="n">
        <f aca="false">IF(AND(N('Hiring plan'!$F$61)&gt;0,AO$3&gt;='Hiring plan'!$G$61,AO$3&lt;=IF('Hiring plan'!$H$61="",999,'Hiring plan'!$H$61)),'Hiring plan'!$F$61,0)</f>
        <v>0</v>
      </c>
      <c r="AP65" s="33" t="n">
        <f aca="false">IF(AND(N('Hiring plan'!$F$61)&gt;0,AP$3&gt;='Hiring plan'!$G$61,AP$3&lt;=IF('Hiring plan'!$H$61="",999,'Hiring plan'!$H$61)),'Hiring plan'!$F$61,0)</f>
        <v>0</v>
      </c>
      <c r="AQ65" s="33" t="n">
        <f aca="false">IF(AND(N('Hiring plan'!$F$61)&gt;0,AQ$3&gt;='Hiring plan'!$G$61,AQ$3&lt;=IF('Hiring plan'!$H$61="",999,'Hiring plan'!$H$61)),'Hiring plan'!$F$61,0)</f>
        <v>0</v>
      </c>
      <c r="AR65" s="33" t="n">
        <f aca="false">IF(AND(N('Hiring plan'!$F$61)&gt;0,AR$3&gt;='Hiring plan'!$G$61,AR$3&lt;=IF('Hiring plan'!$H$61="",999,'Hiring plan'!$H$61)),'Hiring plan'!$F$61,0)</f>
        <v>0</v>
      </c>
      <c r="AS65" s="33" t="n">
        <f aca="false">IF(AND(N('Hiring plan'!$F$61)&gt;0,AS$3&gt;='Hiring plan'!$G$61,AS$3&lt;=IF('Hiring plan'!$H$61="",999,'Hiring plan'!$H$61)),'Hiring plan'!$F$61,0)</f>
        <v>0</v>
      </c>
      <c r="AT65" s="33" t="n">
        <f aca="false">IF(AND(N('Hiring plan'!$F$61)&gt;0,AT$3&gt;='Hiring plan'!$G$61,AT$3&lt;=IF('Hiring plan'!$H$61="",999,'Hiring plan'!$H$61)),'Hiring plan'!$F$61,0)</f>
        <v>0</v>
      </c>
      <c r="AU65" s="33" t="n">
        <f aca="false">IF(AND(N('Hiring plan'!$F$61)&gt;0,AU$3&gt;='Hiring plan'!$G$61,AU$3&lt;=IF('Hiring plan'!$H$61="",999,'Hiring plan'!$H$61)),'Hiring plan'!$F$61,0)</f>
        <v>0</v>
      </c>
      <c r="AV65" s="33" t="n">
        <f aca="false">IF(AND(N('Hiring plan'!$F$61)&gt;0,AV$3&gt;='Hiring plan'!$G$61,AV$3&lt;=IF('Hiring plan'!$H$61="",999,'Hiring plan'!$H$61)),'Hiring plan'!$F$61,0)</f>
        <v>0</v>
      </c>
      <c r="AW65" s="33" t="n">
        <f aca="false">IF(AND(N('Hiring plan'!$F$61)&gt;0,AW$3&gt;='Hiring plan'!$G$61,AW$3&lt;=IF('Hiring plan'!$H$61="",999,'Hiring plan'!$H$61)),'Hiring plan'!$F$61,0)</f>
        <v>0</v>
      </c>
      <c r="AX65" s="33" t="n">
        <f aca="false">IF(AND(N('Hiring plan'!$F$61)&gt;0,AX$3&gt;='Hiring plan'!$G$61,AX$3&lt;=IF('Hiring plan'!$H$61="",999,'Hiring plan'!$H$61)),'Hiring plan'!$F$61,0)</f>
        <v>0</v>
      </c>
      <c r="AY65" s="33" t="n">
        <f aca="false">IF(AND(N('Hiring plan'!$F$61)&gt;0,AY$3&gt;='Hiring plan'!$G$61,AY$3&lt;=IF('Hiring plan'!$H$61="",999,'Hiring plan'!$H$61)),'Hiring plan'!$F$61,0)</f>
        <v>0</v>
      </c>
      <c r="AZ65" s="33" t="n">
        <f aca="false">IF(AND(N('Hiring plan'!$F$61)&gt;0,AZ$3&gt;='Hiring plan'!$G$61,AZ$3&lt;=IF('Hiring plan'!$H$61="",999,'Hiring plan'!$H$61)),'Hiring plan'!$F$61,0)</f>
        <v>0</v>
      </c>
      <c r="BA65" s="33" t="n">
        <f aca="false">IF(AND(N('Hiring plan'!$F$61)&gt;0,BA$3&gt;='Hiring plan'!$G$61,BA$3&lt;=IF('Hiring plan'!$H$61="",999,'Hiring plan'!$H$61)),'Hiring plan'!$F$61,0)</f>
        <v>1</v>
      </c>
      <c r="BB65" s="33" t="n">
        <f aca="false">IF(AND(N('Hiring plan'!$F$61)&gt;0,BB$3&gt;='Hiring plan'!$G$61,BB$3&lt;=IF('Hiring plan'!$H$61="",999,'Hiring plan'!$H$61)),'Hiring plan'!$F$61,0)</f>
        <v>1</v>
      </c>
      <c r="BC65" s="33" t="n">
        <f aca="false">IF(AND(N('Hiring plan'!$F$61)&gt;0,BC$3&gt;='Hiring plan'!$G$61,BC$3&lt;=IF('Hiring plan'!$H$61="",999,'Hiring plan'!$H$61)),'Hiring plan'!$F$61,0)</f>
        <v>1</v>
      </c>
      <c r="BD65" s="33" t="n">
        <f aca="false">IF(AND(N('Hiring plan'!$F$61)&gt;0,BD$3&gt;='Hiring plan'!$G$61,BD$3&lt;=IF('Hiring plan'!$H$61="",999,'Hiring plan'!$H$61)),'Hiring plan'!$F$61,0)</f>
        <v>1</v>
      </c>
      <c r="BE65" s="33" t="n">
        <f aca="false">IF(AND(N('Hiring plan'!$F$61)&gt;0,BE$3&gt;='Hiring plan'!$G$61,BE$3&lt;=IF('Hiring plan'!$H$61="",999,'Hiring plan'!$H$61)),'Hiring plan'!$F$61,0)</f>
        <v>1</v>
      </c>
      <c r="BF65" s="33" t="n">
        <f aca="false">IF(AND(N('Hiring plan'!$F$61)&gt;0,BF$3&gt;='Hiring plan'!$G$61,BF$3&lt;=IF('Hiring plan'!$H$61="",999,'Hiring plan'!$H$61)),'Hiring plan'!$F$61,0)</f>
        <v>1</v>
      </c>
      <c r="BG65" s="33" t="n">
        <f aca="false">IF(AND(N('Hiring plan'!$F$61)&gt;0,BG$3&gt;='Hiring plan'!$G$61,BG$3&lt;=IF('Hiring plan'!$H$61="",999,'Hiring plan'!$H$61)),'Hiring plan'!$F$61,0)</f>
        <v>1</v>
      </c>
      <c r="BH65" s="33" t="n">
        <f aca="false">IF(AND(N('Hiring plan'!$F$61)&gt;0,BH$3&gt;='Hiring plan'!$G$61,BH$3&lt;=IF('Hiring plan'!$H$61="",999,'Hiring plan'!$H$61)),'Hiring plan'!$F$61,0)</f>
        <v>1</v>
      </c>
      <c r="BI65" s="33" t="n">
        <f aca="false">IF(AND(N('Hiring plan'!$F$61)&gt;0,BI$3&gt;='Hiring plan'!$G$61,BI$3&lt;=IF('Hiring plan'!$H$61="",999,'Hiring plan'!$H$61)),'Hiring plan'!$F$61,0)</f>
        <v>1</v>
      </c>
      <c r="BJ65" s="33" t="n">
        <f aca="false">IF(AND(N('Hiring plan'!$F$61)&gt;0,BJ$3&gt;='Hiring plan'!$G$61,BJ$3&lt;=IF('Hiring plan'!$H$61="",999,'Hiring plan'!$H$61)),'Hiring plan'!$F$61,0)</f>
        <v>1</v>
      </c>
      <c r="BK65" s="33" t="n">
        <f aca="false">IF(AND(N('Hiring plan'!$F$61)&gt;0,BK$3&gt;='Hiring plan'!$G$61,BK$3&lt;=IF('Hiring plan'!$H$61="",999,'Hiring plan'!$H$61)),'Hiring plan'!$F$61,0)</f>
        <v>1</v>
      </c>
      <c r="BL65" s="33" t="n">
        <f aca="false">IF(AND(N('Hiring plan'!$F$61)&gt;0,BL$3&gt;='Hiring plan'!$G$61,BL$3&lt;=IF('Hiring plan'!$H$61="",999,'Hiring plan'!$H$61)),'Hiring plan'!$F$61,0)</f>
        <v>1</v>
      </c>
    </row>
    <row r="66" customFormat="false" ht="15" hidden="false" customHeight="false" outlineLevel="0" collapsed="false">
      <c r="A66" s="12" t="str">
        <f aca="false">IF('Hiring plan'!$C$62="","(spare line 58)",'Hiring plan'!$C$62&amp;" · "&amp;'Hiring plan'!$D$62)</f>
        <v>Compliance analyst · SN</v>
      </c>
      <c r="B66" s="14" t="s">
        <v>222</v>
      </c>
      <c r="D66" s="41" t="n">
        <f aca="false">MAX(E66:BL66)</f>
        <v>1</v>
      </c>
      <c r="E66" s="33" t="n">
        <f aca="false">IF(AND(N('Hiring plan'!$F$62)&gt;0,E$3&gt;='Hiring plan'!$G$62,E$3&lt;=IF('Hiring plan'!$H$62="",999,'Hiring plan'!$H$62)),'Hiring plan'!$F$62,0)</f>
        <v>0</v>
      </c>
      <c r="F66" s="33" t="n">
        <f aca="false">IF(AND(N('Hiring plan'!$F$62)&gt;0,F$3&gt;='Hiring plan'!$G$62,F$3&lt;=IF('Hiring plan'!$H$62="",999,'Hiring plan'!$H$62)),'Hiring plan'!$F$62,0)</f>
        <v>0</v>
      </c>
      <c r="G66" s="33" t="n">
        <f aca="false">IF(AND(N('Hiring plan'!$F$62)&gt;0,G$3&gt;='Hiring plan'!$G$62,G$3&lt;=IF('Hiring plan'!$H$62="",999,'Hiring plan'!$H$62)),'Hiring plan'!$F$62,0)</f>
        <v>0</v>
      </c>
      <c r="H66" s="33" t="n">
        <f aca="false">IF(AND(N('Hiring plan'!$F$62)&gt;0,H$3&gt;='Hiring plan'!$G$62,H$3&lt;=IF('Hiring plan'!$H$62="",999,'Hiring plan'!$H$62)),'Hiring plan'!$F$62,0)</f>
        <v>0</v>
      </c>
      <c r="I66" s="33" t="n">
        <f aca="false">IF(AND(N('Hiring plan'!$F$62)&gt;0,I$3&gt;='Hiring plan'!$G$62,I$3&lt;=IF('Hiring plan'!$H$62="",999,'Hiring plan'!$H$62)),'Hiring plan'!$F$62,0)</f>
        <v>0</v>
      </c>
      <c r="J66" s="33" t="n">
        <f aca="false">IF(AND(N('Hiring plan'!$F$62)&gt;0,J$3&gt;='Hiring plan'!$G$62,J$3&lt;=IF('Hiring plan'!$H$62="",999,'Hiring plan'!$H$62)),'Hiring plan'!$F$62,0)</f>
        <v>0</v>
      </c>
      <c r="K66" s="33" t="n">
        <f aca="false">IF(AND(N('Hiring plan'!$F$62)&gt;0,K$3&gt;='Hiring plan'!$G$62,K$3&lt;=IF('Hiring plan'!$H$62="",999,'Hiring plan'!$H$62)),'Hiring plan'!$F$62,0)</f>
        <v>0</v>
      </c>
      <c r="L66" s="33" t="n">
        <f aca="false">IF(AND(N('Hiring plan'!$F$62)&gt;0,L$3&gt;='Hiring plan'!$G$62,L$3&lt;=IF('Hiring plan'!$H$62="",999,'Hiring plan'!$H$62)),'Hiring plan'!$F$62,0)</f>
        <v>0</v>
      </c>
      <c r="M66" s="33" t="n">
        <f aca="false">IF(AND(N('Hiring plan'!$F$62)&gt;0,M$3&gt;='Hiring plan'!$G$62,M$3&lt;=IF('Hiring plan'!$H$62="",999,'Hiring plan'!$H$62)),'Hiring plan'!$F$62,0)</f>
        <v>0</v>
      </c>
      <c r="N66" s="33" t="n">
        <f aca="false">IF(AND(N('Hiring plan'!$F$62)&gt;0,N$3&gt;='Hiring plan'!$G$62,N$3&lt;=IF('Hiring plan'!$H$62="",999,'Hiring plan'!$H$62)),'Hiring plan'!$F$62,0)</f>
        <v>0</v>
      </c>
      <c r="O66" s="33" t="n">
        <f aca="false">IF(AND(N('Hiring plan'!$F$62)&gt;0,O$3&gt;='Hiring plan'!$G$62,O$3&lt;=IF('Hiring plan'!$H$62="",999,'Hiring plan'!$H$62)),'Hiring plan'!$F$62,0)</f>
        <v>0</v>
      </c>
      <c r="P66" s="33" t="n">
        <f aca="false">IF(AND(N('Hiring plan'!$F$62)&gt;0,P$3&gt;='Hiring plan'!$G$62,P$3&lt;=IF('Hiring plan'!$H$62="",999,'Hiring plan'!$H$62)),'Hiring plan'!$F$62,0)</f>
        <v>0</v>
      </c>
      <c r="Q66" s="33" t="n">
        <f aca="false">IF(AND(N('Hiring plan'!$F$62)&gt;0,Q$3&gt;='Hiring plan'!$G$62,Q$3&lt;=IF('Hiring plan'!$H$62="",999,'Hiring plan'!$H$62)),'Hiring plan'!$F$62,0)</f>
        <v>0</v>
      </c>
      <c r="R66" s="33" t="n">
        <f aca="false">IF(AND(N('Hiring plan'!$F$62)&gt;0,R$3&gt;='Hiring plan'!$G$62,R$3&lt;=IF('Hiring plan'!$H$62="",999,'Hiring plan'!$H$62)),'Hiring plan'!$F$62,0)</f>
        <v>0</v>
      </c>
      <c r="S66" s="33" t="n">
        <f aca="false">IF(AND(N('Hiring plan'!$F$62)&gt;0,S$3&gt;='Hiring plan'!$G$62,S$3&lt;=IF('Hiring plan'!$H$62="",999,'Hiring plan'!$H$62)),'Hiring plan'!$F$62,0)</f>
        <v>0</v>
      </c>
      <c r="T66" s="33" t="n">
        <f aca="false">IF(AND(N('Hiring plan'!$F$62)&gt;0,T$3&gt;='Hiring plan'!$G$62,T$3&lt;=IF('Hiring plan'!$H$62="",999,'Hiring plan'!$H$62)),'Hiring plan'!$F$62,0)</f>
        <v>0</v>
      </c>
      <c r="U66" s="33" t="n">
        <f aca="false">IF(AND(N('Hiring plan'!$F$62)&gt;0,U$3&gt;='Hiring plan'!$G$62,U$3&lt;=IF('Hiring plan'!$H$62="",999,'Hiring plan'!$H$62)),'Hiring plan'!$F$62,0)</f>
        <v>0</v>
      </c>
      <c r="V66" s="33" t="n">
        <f aca="false">IF(AND(N('Hiring plan'!$F$62)&gt;0,V$3&gt;='Hiring plan'!$G$62,V$3&lt;=IF('Hiring plan'!$H$62="",999,'Hiring plan'!$H$62)),'Hiring plan'!$F$62,0)</f>
        <v>0</v>
      </c>
      <c r="W66" s="33" t="n">
        <f aca="false">IF(AND(N('Hiring plan'!$F$62)&gt;0,W$3&gt;='Hiring plan'!$G$62,W$3&lt;=IF('Hiring plan'!$H$62="",999,'Hiring plan'!$H$62)),'Hiring plan'!$F$62,0)</f>
        <v>0</v>
      </c>
      <c r="X66" s="33" t="n">
        <f aca="false">IF(AND(N('Hiring plan'!$F$62)&gt;0,X$3&gt;='Hiring plan'!$G$62,X$3&lt;=IF('Hiring plan'!$H$62="",999,'Hiring plan'!$H$62)),'Hiring plan'!$F$62,0)</f>
        <v>0</v>
      </c>
      <c r="Y66" s="33" t="n">
        <f aca="false">IF(AND(N('Hiring plan'!$F$62)&gt;0,Y$3&gt;='Hiring plan'!$G$62,Y$3&lt;=IF('Hiring plan'!$H$62="",999,'Hiring plan'!$H$62)),'Hiring plan'!$F$62,0)</f>
        <v>0</v>
      </c>
      <c r="Z66" s="33" t="n">
        <f aca="false">IF(AND(N('Hiring plan'!$F$62)&gt;0,Z$3&gt;='Hiring plan'!$G$62,Z$3&lt;=IF('Hiring plan'!$H$62="",999,'Hiring plan'!$H$62)),'Hiring plan'!$F$62,0)</f>
        <v>0</v>
      </c>
      <c r="AA66" s="33" t="n">
        <f aca="false">IF(AND(N('Hiring plan'!$F$62)&gt;0,AA$3&gt;='Hiring plan'!$G$62,AA$3&lt;=IF('Hiring plan'!$H$62="",999,'Hiring plan'!$H$62)),'Hiring plan'!$F$62,0)</f>
        <v>0</v>
      </c>
      <c r="AB66" s="33" t="n">
        <f aca="false">IF(AND(N('Hiring plan'!$F$62)&gt;0,AB$3&gt;='Hiring plan'!$G$62,AB$3&lt;=IF('Hiring plan'!$H$62="",999,'Hiring plan'!$H$62)),'Hiring plan'!$F$62,0)</f>
        <v>0</v>
      </c>
      <c r="AC66" s="33" t="n">
        <f aca="false">IF(AND(N('Hiring plan'!$F$62)&gt;0,AC$3&gt;='Hiring plan'!$G$62,AC$3&lt;=IF('Hiring plan'!$H$62="",999,'Hiring plan'!$H$62)),'Hiring plan'!$F$62,0)</f>
        <v>0</v>
      </c>
      <c r="AD66" s="33" t="n">
        <f aca="false">IF(AND(N('Hiring plan'!$F$62)&gt;0,AD$3&gt;='Hiring plan'!$G$62,AD$3&lt;=IF('Hiring plan'!$H$62="",999,'Hiring plan'!$H$62)),'Hiring plan'!$F$62,0)</f>
        <v>0</v>
      </c>
      <c r="AE66" s="33" t="n">
        <f aca="false">IF(AND(N('Hiring plan'!$F$62)&gt;0,AE$3&gt;='Hiring plan'!$G$62,AE$3&lt;=IF('Hiring plan'!$H$62="",999,'Hiring plan'!$H$62)),'Hiring plan'!$F$62,0)</f>
        <v>0</v>
      </c>
      <c r="AF66" s="33" t="n">
        <f aca="false">IF(AND(N('Hiring plan'!$F$62)&gt;0,AF$3&gt;='Hiring plan'!$G$62,AF$3&lt;=IF('Hiring plan'!$H$62="",999,'Hiring plan'!$H$62)),'Hiring plan'!$F$62,0)</f>
        <v>0</v>
      </c>
      <c r="AG66" s="33" t="n">
        <f aca="false">IF(AND(N('Hiring plan'!$F$62)&gt;0,AG$3&gt;='Hiring plan'!$G$62,AG$3&lt;=IF('Hiring plan'!$H$62="",999,'Hiring plan'!$H$62)),'Hiring plan'!$F$62,0)</f>
        <v>0</v>
      </c>
      <c r="AH66" s="33" t="n">
        <f aca="false">IF(AND(N('Hiring plan'!$F$62)&gt;0,AH$3&gt;='Hiring plan'!$G$62,AH$3&lt;=IF('Hiring plan'!$H$62="",999,'Hiring plan'!$H$62)),'Hiring plan'!$F$62,0)</f>
        <v>0</v>
      </c>
      <c r="AI66" s="33" t="n">
        <f aca="false">IF(AND(N('Hiring plan'!$F$62)&gt;0,AI$3&gt;='Hiring plan'!$G$62,AI$3&lt;=IF('Hiring plan'!$H$62="",999,'Hiring plan'!$H$62)),'Hiring plan'!$F$62,0)</f>
        <v>0</v>
      </c>
      <c r="AJ66" s="33" t="n">
        <f aca="false">IF(AND(N('Hiring plan'!$F$62)&gt;0,AJ$3&gt;='Hiring plan'!$G$62,AJ$3&lt;=IF('Hiring plan'!$H$62="",999,'Hiring plan'!$H$62)),'Hiring plan'!$F$62,0)</f>
        <v>0</v>
      </c>
      <c r="AK66" s="33" t="n">
        <f aca="false">IF(AND(N('Hiring plan'!$F$62)&gt;0,AK$3&gt;='Hiring plan'!$G$62,AK$3&lt;=IF('Hiring plan'!$H$62="",999,'Hiring plan'!$H$62)),'Hiring plan'!$F$62,0)</f>
        <v>0</v>
      </c>
      <c r="AL66" s="33" t="n">
        <f aca="false">IF(AND(N('Hiring plan'!$F$62)&gt;0,AL$3&gt;='Hiring plan'!$G$62,AL$3&lt;=IF('Hiring plan'!$H$62="",999,'Hiring plan'!$H$62)),'Hiring plan'!$F$62,0)</f>
        <v>0</v>
      </c>
      <c r="AM66" s="33" t="n">
        <f aca="false">IF(AND(N('Hiring plan'!$F$62)&gt;0,AM$3&gt;='Hiring plan'!$G$62,AM$3&lt;=IF('Hiring plan'!$H$62="",999,'Hiring plan'!$H$62)),'Hiring plan'!$F$62,0)</f>
        <v>0</v>
      </c>
      <c r="AN66" s="33" t="n">
        <f aca="false">IF(AND(N('Hiring plan'!$F$62)&gt;0,AN$3&gt;='Hiring plan'!$G$62,AN$3&lt;=IF('Hiring plan'!$H$62="",999,'Hiring plan'!$H$62)),'Hiring plan'!$F$62,0)</f>
        <v>0</v>
      </c>
      <c r="AO66" s="33" t="n">
        <f aca="false">IF(AND(N('Hiring plan'!$F$62)&gt;0,AO$3&gt;='Hiring plan'!$G$62,AO$3&lt;=IF('Hiring plan'!$H$62="",999,'Hiring plan'!$H$62)),'Hiring plan'!$F$62,0)</f>
        <v>0</v>
      </c>
      <c r="AP66" s="33" t="n">
        <f aca="false">IF(AND(N('Hiring plan'!$F$62)&gt;0,AP$3&gt;='Hiring plan'!$G$62,AP$3&lt;=IF('Hiring plan'!$H$62="",999,'Hiring plan'!$H$62)),'Hiring plan'!$F$62,0)</f>
        <v>0</v>
      </c>
      <c r="AQ66" s="33" t="n">
        <f aca="false">IF(AND(N('Hiring plan'!$F$62)&gt;0,AQ$3&gt;='Hiring plan'!$G$62,AQ$3&lt;=IF('Hiring plan'!$H$62="",999,'Hiring plan'!$H$62)),'Hiring plan'!$F$62,0)</f>
        <v>0</v>
      </c>
      <c r="AR66" s="33" t="n">
        <f aca="false">IF(AND(N('Hiring plan'!$F$62)&gt;0,AR$3&gt;='Hiring plan'!$G$62,AR$3&lt;=IF('Hiring plan'!$H$62="",999,'Hiring plan'!$H$62)),'Hiring plan'!$F$62,0)</f>
        <v>0</v>
      </c>
      <c r="AS66" s="33" t="n">
        <f aca="false">IF(AND(N('Hiring plan'!$F$62)&gt;0,AS$3&gt;='Hiring plan'!$G$62,AS$3&lt;=IF('Hiring plan'!$H$62="",999,'Hiring plan'!$H$62)),'Hiring plan'!$F$62,0)</f>
        <v>0</v>
      </c>
      <c r="AT66" s="33" t="n">
        <f aca="false">IF(AND(N('Hiring plan'!$F$62)&gt;0,AT$3&gt;='Hiring plan'!$G$62,AT$3&lt;=IF('Hiring plan'!$H$62="",999,'Hiring plan'!$H$62)),'Hiring plan'!$F$62,0)</f>
        <v>0</v>
      </c>
      <c r="AU66" s="33" t="n">
        <f aca="false">IF(AND(N('Hiring plan'!$F$62)&gt;0,AU$3&gt;='Hiring plan'!$G$62,AU$3&lt;=IF('Hiring plan'!$H$62="",999,'Hiring plan'!$H$62)),'Hiring plan'!$F$62,0)</f>
        <v>0</v>
      </c>
      <c r="AV66" s="33" t="n">
        <f aca="false">IF(AND(N('Hiring plan'!$F$62)&gt;0,AV$3&gt;='Hiring plan'!$G$62,AV$3&lt;=IF('Hiring plan'!$H$62="",999,'Hiring plan'!$H$62)),'Hiring plan'!$F$62,0)</f>
        <v>0</v>
      </c>
      <c r="AW66" s="33" t="n">
        <f aca="false">IF(AND(N('Hiring plan'!$F$62)&gt;0,AW$3&gt;='Hiring plan'!$G$62,AW$3&lt;=IF('Hiring plan'!$H$62="",999,'Hiring plan'!$H$62)),'Hiring plan'!$F$62,0)</f>
        <v>0</v>
      </c>
      <c r="AX66" s="33" t="n">
        <f aca="false">IF(AND(N('Hiring plan'!$F$62)&gt;0,AX$3&gt;='Hiring plan'!$G$62,AX$3&lt;=IF('Hiring plan'!$H$62="",999,'Hiring plan'!$H$62)),'Hiring plan'!$F$62,0)</f>
        <v>0</v>
      </c>
      <c r="AY66" s="33" t="n">
        <f aca="false">IF(AND(N('Hiring plan'!$F$62)&gt;0,AY$3&gt;='Hiring plan'!$G$62,AY$3&lt;=IF('Hiring plan'!$H$62="",999,'Hiring plan'!$H$62)),'Hiring plan'!$F$62,0)</f>
        <v>0</v>
      </c>
      <c r="AZ66" s="33" t="n">
        <f aca="false">IF(AND(N('Hiring plan'!$F$62)&gt;0,AZ$3&gt;='Hiring plan'!$G$62,AZ$3&lt;=IF('Hiring plan'!$H$62="",999,'Hiring plan'!$H$62)),'Hiring plan'!$F$62,0)</f>
        <v>0</v>
      </c>
      <c r="BA66" s="33" t="n">
        <f aca="false">IF(AND(N('Hiring plan'!$F$62)&gt;0,BA$3&gt;='Hiring plan'!$G$62,BA$3&lt;=IF('Hiring plan'!$H$62="",999,'Hiring plan'!$H$62)),'Hiring plan'!$F$62,0)</f>
        <v>1</v>
      </c>
      <c r="BB66" s="33" t="n">
        <f aca="false">IF(AND(N('Hiring plan'!$F$62)&gt;0,BB$3&gt;='Hiring plan'!$G$62,BB$3&lt;=IF('Hiring plan'!$H$62="",999,'Hiring plan'!$H$62)),'Hiring plan'!$F$62,0)</f>
        <v>1</v>
      </c>
      <c r="BC66" s="33" t="n">
        <f aca="false">IF(AND(N('Hiring plan'!$F$62)&gt;0,BC$3&gt;='Hiring plan'!$G$62,BC$3&lt;=IF('Hiring plan'!$H$62="",999,'Hiring plan'!$H$62)),'Hiring plan'!$F$62,0)</f>
        <v>1</v>
      </c>
      <c r="BD66" s="33" t="n">
        <f aca="false">IF(AND(N('Hiring plan'!$F$62)&gt;0,BD$3&gt;='Hiring plan'!$G$62,BD$3&lt;=IF('Hiring plan'!$H$62="",999,'Hiring plan'!$H$62)),'Hiring plan'!$F$62,0)</f>
        <v>1</v>
      </c>
      <c r="BE66" s="33" t="n">
        <f aca="false">IF(AND(N('Hiring plan'!$F$62)&gt;0,BE$3&gt;='Hiring plan'!$G$62,BE$3&lt;=IF('Hiring plan'!$H$62="",999,'Hiring plan'!$H$62)),'Hiring plan'!$F$62,0)</f>
        <v>1</v>
      </c>
      <c r="BF66" s="33" t="n">
        <f aca="false">IF(AND(N('Hiring plan'!$F$62)&gt;0,BF$3&gt;='Hiring plan'!$G$62,BF$3&lt;=IF('Hiring plan'!$H$62="",999,'Hiring plan'!$H$62)),'Hiring plan'!$F$62,0)</f>
        <v>1</v>
      </c>
      <c r="BG66" s="33" t="n">
        <f aca="false">IF(AND(N('Hiring plan'!$F$62)&gt;0,BG$3&gt;='Hiring plan'!$G$62,BG$3&lt;=IF('Hiring plan'!$H$62="",999,'Hiring plan'!$H$62)),'Hiring plan'!$F$62,0)</f>
        <v>1</v>
      </c>
      <c r="BH66" s="33" t="n">
        <f aca="false">IF(AND(N('Hiring plan'!$F$62)&gt;0,BH$3&gt;='Hiring plan'!$G$62,BH$3&lt;=IF('Hiring plan'!$H$62="",999,'Hiring plan'!$H$62)),'Hiring plan'!$F$62,0)</f>
        <v>1</v>
      </c>
      <c r="BI66" s="33" t="n">
        <f aca="false">IF(AND(N('Hiring plan'!$F$62)&gt;0,BI$3&gt;='Hiring plan'!$G$62,BI$3&lt;=IF('Hiring plan'!$H$62="",999,'Hiring plan'!$H$62)),'Hiring plan'!$F$62,0)</f>
        <v>1</v>
      </c>
      <c r="BJ66" s="33" t="n">
        <f aca="false">IF(AND(N('Hiring plan'!$F$62)&gt;0,BJ$3&gt;='Hiring plan'!$G$62,BJ$3&lt;=IF('Hiring plan'!$H$62="",999,'Hiring plan'!$H$62)),'Hiring plan'!$F$62,0)</f>
        <v>1</v>
      </c>
      <c r="BK66" s="33" t="n">
        <f aca="false">IF(AND(N('Hiring plan'!$F$62)&gt;0,BK$3&gt;='Hiring plan'!$G$62,BK$3&lt;=IF('Hiring plan'!$H$62="",999,'Hiring plan'!$H$62)),'Hiring plan'!$F$62,0)</f>
        <v>1</v>
      </c>
      <c r="BL66" s="33" t="n">
        <f aca="false">IF(AND(N('Hiring plan'!$F$62)&gt;0,BL$3&gt;='Hiring plan'!$G$62,BL$3&lt;=IF('Hiring plan'!$H$62="",999,'Hiring plan'!$H$62)),'Hiring plan'!$F$62,0)</f>
        <v>1</v>
      </c>
    </row>
    <row r="67" customFormat="false" ht="15" hidden="false" customHeight="false" outlineLevel="0" collapsed="false">
      <c r="A67" s="12" t="str">
        <f aca="false">IF('Hiring plan'!$C$63="","(spare line 59)",'Hiring plan'!$C$63&amp;" · "&amp;'Hiring plan'!$D$63)</f>
        <v>Credit analyst · SN</v>
      </c>
      <c r="B67" s="14" t="s">
        <v>222</v>
      </c>
      <c r="D67" s="41" t="n">
        <f aca="false">MAX(E67:BL67)</f>
        <v>1</v>
      </c>
      <c r="E67" s="33" t="n">
        <f aca="false">IF(AND(N('Hiring plan'!$F$63)&gt;0,E$3&gt;='Hiring plan'!$G$63,E$3&lt;=IF('Hiring plan'!$H$63="",999,'Hiring plan'!$H$63)),'Hiring plan'!$F$63,0)</f>
        <v>0</v>
      </c>
      <c r="F67" s="33" t="n">
        <f aca="false">IF(AND(N('Hiring plan'!$F$63)&gt;0,F$3&gt;='Hiring plan'!$G$63,F$3&lt;=IF('Hiring plan'!$H$63="",999,'Hiring plan'!$H$63)),'Hiring plan'!$F$63,0)</f>
        <v>0</v>
      </c>
      <c r="G67" s="33" t="n">
        <f aca="false">IF(AND(N('Hiring plan'!$F$63)&gt;0,G$3&gt;='Hiring plan'!$G$63,G$3&lt;=IF('Hiring plan'!$H$63="",999,'Hiring plan'!$H$63)),'Hiring plan'!$F$63,0)</f>
        <v>0</v>
      </c>
      <c r="H67" s="33" t="n">
        <f aca="false">IF(AND(N('Hiring plan'!$F$63)&gt;0,H$3&gt;='Hiring plan'!$G$63,H$3&lt;=IF('Hiring plan'!$H$63="",999,'Hiring plan'!$H$63)),'Hiring plan'!$F$63,0)</f>
        <v>0</v>
      </c>
      <c r="I67" s="33" t="n">
        <f aca="false">IF(AND(N('Hiring plan'!$F$63)&gt;0,I$3&gt;='Hiring plan'!$G$63,I$3&lt;=IF('Hiring plan'!$H$63="",999,'Hiring plan'!$H$63)),'Hiring plan'!$F$63,0)</f>
        <v>0</v>
      </c>
      <c r="J67" s="33" t="n">
        <f aca="false">IF(AND(N('Hiring plan'!$F$63)&gt;0,J$3&gt;='Hiring plan'!$G$63,J$3&lt;=IF('Hiring plan'!$H$63="",999,'Hiring plan'!$H$63)),'Hiring plan'!$F$63,0)</f>
        <v>0</v>
      </c>
      <c r="K67" s="33" t="n">
        <f aca="false">IF(AND(N('Hiring plan'!$F$63)&gt;0,K$3&gt;='Hiring plan'!$G$63,K$3&lt;=IF('Hiring plan'!$H$63="",999,'Hiring plan'!$H$63)),'Hiring plan'!$F$63,0)</f>
        <v>0</v>
      </c>
      <c r="L67" s="33" t="n">
        <f aca="false">IF(AND(N('Hiring plan'!$F$63)&gt;0,L$3&gt;='Hiring plan'!$G$63,L$3&lt;=IF('Hiring plan'!$H$63="",999,'Hiring plan'!$H$63)),'Hiring plan'!$F$63,0)</f>
        <v>0</v>
      </c>
      <c r="M67" s="33" t="n">
        <f aca="false">IF(AND(N('Hiring plan'!$F$63)&gt;0,M$3&gt;='Hiring plan'!$G$63,M$3&lt;=IF('Hiring plan'!$H$63="",999,'Hiring plan'!$H$63)),'Hiring plan'!$F$63,0)</f>
        <v>0</v>
      </c>
      <c r="N67" s="33" t="n">
        <f aca="false">IF(AND(N('Hiring plan'!$F$63)&gt;0,N$3&gt;='Hiring plan'!$G$63,N$3&lt;=IF('Hiring plan'!$H$63="",999,'Hiring plan'!$H$63)),'Hiring plan'!$F$63,0)</f>
        <v>0</v>
      </c>
      <c r="O67" s="33" t="n">
        <f aca="false">IF(AND(N('Hiring plan'!$F$63)&gt;0,O$3&gt;='Hiring plan'!$G$63,O$3&lt;=IF('Hiring plan'!$H$63="",999,'Hiring plan'!$H$63)),'Hiring plan'!$F$63,0)</f>
        <v>0</v>
      </c>
      <c r="P67" s="33" t="n">
        <f aca="false">IF(AND(N('Hiring plan'!$F$63)&gt;0,P$3&gt;='Hiring plan'!$G$63,P$3&lt;=IF('Hiring plan'!$H$63="",999,'Hiring plan'!$H$63)),'Hiring plan'!$F$63,0)</f>
        <v>0</v>
      </c>
      <c r="Q67" s="33" t="n">
        <f aca="false">IF(AND(N('Hiring plan'!$F$63)&gt;0,Q$3&gt;='Hiring plan'!$G$63,Q$3&lt;=IF('Hiring plan'!$H$63="",999,'Hiring plan'!$H$63)),'Hiring plan'!$F$63,0)</f>
        <v>0</v>
      </c>
      <c r="R67" s="33" t="n">
        <f aca="false">IF(AND(N('Hiring plan'!$F$63)&gt;0,R$3&gt;='Hiring plan'!$G$63,R$3&lt;=IF('Hiring plan'!$H$63="",999,'Hiring plan'!$H$63)),'Hiring plan'!$F$63,0)</f>
        <v>0</v>
      </c>
      <c r="S67" s="33" t="n">
        <f aca="false">IF(AND(N('Hiring plan'!$F$63)&gt;0,S$3&gt;='Hiring plan'!$G$63,S$3&lt;=IF('Hiring plan'!$H$63="",999,'Hiring plan'!$H$63)),'Hiring plan'!$F$63,0)</f>
        <v>0</v>
      </c>
      <c r="T67" s="33" t="n">
        <f aca="false">IF(AND(N('Hiring plan'!$F$63)&gt;0,T$3&gt;='Hiring plan'!$G$63,T$3&lt;=IF('Hiring plan'!$H$63="",999,'Hiring plan'!$H$63)),'Hiring plan'!$F$63,0)</f>
        <v>0</v>
      </c>
      <c r="U67" s="33" t="n">
        <f aca="false">IF(AND(N('Hiring plan'!$F$63)&gt;0,U$3&gt;='Hiring plan'!$G$63,U$3&lt;=IF('Hiring plan'!$H$63="",999,'Hiring plan'!$H$63)),'Hiring plan'!$F$63,0)</f>
        <v>0</v>
      </c>
      <c r="V67" s="33" t="n">
        <f aca="false">IF(AND(N('Hiring plan'!$F$63)&gt;0,V$3&gt;='Hiring plan'!$G$63,V$3&lt;=IF('Hiring plan'!$H$63="",999,'Hiring plan'!$H$63)),'Hiring plan'!$F$63,0)</f>
        <v>0</v>
      </c>
      <c r="W67" s="33" t="n">
        <f aca="false">IF(AND(N('Hiring plan'!$F$63)&gt;0,W$3&gt;='Hiring plan'!$G$63,W$3&lt;=IF('Hiring plan'!$H$63="",999,'Hiring plan'!$H$63)),'Hiring plan'!$F$63,0)</f>
        <v>0</v>
      </c>
      <c r="X67" s="33" t="n">
        <f aca="false">IF(AND(N('Hiring plan'!$F$63)&gt;0,X$3&gt;='Hiring plan'!$G$63,X$3&lt;=IF('Hiring plan'!$H$63="",999,'Hiring plan'!$H$63)),'Hiring plan'!$F$63,0)</f>
        <v>0</v>
      </c>
      <c r="Y67" s="33" t="n">
        <f aca="false">IF(AND(N('Hiring plan'!$F$63)&gt;0,Y$3&gt;='Hiring plan'!$G$63,Y$3&lt;=IF('Hiring plan'!$H$63="",999,'Hiring plan'!$H$63)),'Hiring plan'!$F$63,0)</f>
        <v>0</v>
      </c>
      <c r="Z67" s="33" t="n">
        <f aca="false">IF(AND(N('Hiring plan'!$F$63)&gt;0,Z$3&gt;='Hiring plan'!$G$63,Z$3&lt;=IF('Hiring plan'!$H$63="",999,'Hiring plan'!$H$63)),'Hiring plan'!$F$63,0)</f>
        <v>0</v>
      </c>
      <c r="AA67" s="33" t="n">
        <f aca="false">IF(AND(N('Hiring plan'!$F$63)&gt;0,AA$3&gt;='Hiring plan'!$G$63,AA$3&lt;=IF('Hiring plan'!$H$63="",999,'Hiring plan'!$H$63)),'Hiring plan'!$F$63,0)</f>
        <v>0</v>
      </c>
      <c r="AB67" s="33" t="n">
        <f aca="false">IF(AND(N('Hiring plan'!$F$63)&gt;0,AB$3&gt;='Hiring plan'!$G$63,AB$3&lt;=IF('Hiring plan'!$H$63="",999,'Hiring plan'!$H$63)),'Hiring plan'!$F$63,0)</f>
        <v>0</v>
      </c>
      <c r="AC67" s="33" t="n">
        <f aca="false">IF(AND(N('Hiring plan'!$F$63)&gt;0,AC$3&gt;='Hiring plan'!$G$63,AC$3&lt;=IF('Hiring plan'!$H$63="",999,'Hiring plan'!$H$63)),'Hiring plan'!$F$63,0)</f>
        <v>0</v>
      </c>
      <c r="AD67" s="33" t="n">
        <f aca="false">IF(AND(N('Hiring plan'!$F$63)&gt;0,AD$3&gt;='Hiring plan'!$G$63,AD$3&lt;=IF('Hiring plan'!$H$63="",999,'Hiring plan'!$H$63)),'Hiring plan'!$F$63,0)</f>
        <v>0</v>
      </c>
      <c r="AE67" s="33" t="n">
        <f aca="false">IF(AND(N('Hiring plan'!$F$63)&gt;0,AE$3&gt;='Hiring plan'!$G$63,AE$3&lt;=IF('Hiring plan'!$H$63="",999,'Hiring plan'!$H$63)),'Hiring plan'!$F$63,0)</f>
        <v>0</v>
      </c>
      <c r="AF67" s="33" t="n">
        <f aca="false">IF(AND(N('Hiring plan'!$F$63)&gt;0,AF$3&gt;='Hiring plan'!$G$63,AF$3&lt;=IF('Hiring plan'!$H$63="",999,'Hiring plan'!$H$63)),'Hiring plan'!$F$63,0)</f>
        <v>0</v>
      </c>
      <c r="AG67" s="33" t="n">
        <f aca="false">IF(AND(N('Hiring plan'!$F$63)&gt;0,AG$3&gt;='Hiring plan'!$G$63,AG$3&lt;=IF('Hiring plan'!$H$63="",999,'Hiring plan'!$H$63)),'Hiring plan'!$F$63,0)</f>
        <v>0</v>
      </c>
      <c r="AH67" s="33" t="n">
        <f aca="false">IF(AND(N('Hiring plan'!$F$63)&gt;0,AH$3&gt;='Hiring plan'!$G$63,AH$3&lt;=IF('Hiring plan'!$H$63="",999,'Hiring plan'!$H$63)),'Hiring plan'!$F$63,0)</f>
        <v>0</v>
      </c>
      <c r="AI67" s="33" t="n">
        <f aca="false">IF(AND(N('Hiring plan'!$F$63)&gt;0,AI$3&gt;='Hiring plan'!$G$63,AI$3&lt;=IF('Hiring plan'!$H$63="",999,'Hiring plan'!$H$63)),'Hiring plan'!$F$63,0)</f>
        <v>0</v>
      </c>
      <c r="AJ67" s="33" t="n">
        <f aca="false">IF(AND(N('Hiring plan'!$F$63)&gt;0,AJ$3&gt;='Hiring plan'!$G$63,AJ$3&lt;=IF('Hiring plan'!$H$63="",999,'Hiring plan'!$H$63)),'Hiring plan'!$F$63,0)</f>
        <v>0</v>
      </c>
      <c r="AK67" s="33" t="n">
        <f aca="false">IF(AND(N('Hiring plan'!$F$63)&gt;0,AK$3&gt;='Hiring plan'!$G$63,AK$3&lt;=IF('Hiring plan'!$H$63="",999,'Hiring plan'!$H$63)),'Hiring plan'!$F$63,0)</f>
        <v>0</v>
      </c>
      <c r="AL67" s="33" t="n">
        <f aca="false">IF(AND(N('Hiring plan'!$F$63)&gt;0,AL$3&gt;='Hiring plan'!$G$63,AL$3&lt;=IF('Hiring plan'!$H$63="",999,'Hiring plan'!$H$63)),'Hiring plan'!$F$63,0)</f>
        <v>0</v>
      </c>
      <c r="AM67" s="33" t="n">
        <f aca="false">IF(AND(N('Hiring plan'!$F$63)&gt;0,AM$3&gt;='Hiring plan'!$G$63,AM$3&lt;=IF('Hiring plan'!$H$63="",999,'Hiring plan'!$H$63)),'Hiring plan'!$F$63,0)</f>
        <v>0</v>
      </c>
      <c r="AN67" s="33" t="n">
        <f aca="false">IF(AND(N('Hiring plan'!$F$63)&gt;0,AN$3&gt;='Hiring plan'!$G$63,AN$3&lt;=IF('Hiring plan'!$H$63="",999,'Hiring plan'!$H$63)),'Hiring plan'!$F$63,0)</f>
        <v>0</v>
      </c>
      <c r="AO67" s="33" t="n">
        <f aca="false">IF(AND(N('Hiring plan'!$F$63)&gt;0,AO$3&gt;='Hiring plan'!$G$63,AO$3&lt;=IF('Hiring plan'!$H$63="",999,'Hiring plan'!$H$63)),'Hiring plan'!$F$63,0)</f>
        <v>0</v>
      </c>
      <c r="AP67" s="33" t="n">
        <f aca="false">IF(AND(N('Hiring plan'!$F$63)&gt;0,AP$3&gt;='Hiring plan'!$G$63,AP$3&lt;=IF('Hiring plan'!$H$63="",999,'Hiring plan'!$H$63)),'Hiring plan'!$F$63,0)</f>
        <v>0</v>
      </c>
      <c r="AQ67" s="33" t="n">
        <f aca="false">IF(AND(N('Hiring plan'!$F$63)&gt;0,AQ$3&gt;='Hiring plan'!$G$63,AQ$3&lt;=IF('Hiring plan'!$H$63="",999,'Hiring plan'!$H$63)),'Hiring plan'!$F$63,0)</f>
        <v>0</v>
      </c>
      <c r="AR67" s="33" t="n">
        <f aca="false">IF(AND(N('Hiring plan'!$F$63)&gt;0,AR$3&gt;='Hiring plan'!$G$63,AR$3&lt;=IF('Hiring plan'!$H$63="",999,'Hiring plan'!$H$63)),'Hiring plan'!$F$63,0)</f>
        <v>0</v>
      </c>
      <c r="AS67" s="33" t="n">
        <f aca="false">IF(AND(N('Hiring plan'!$F$63)&gt;0,AS$3&gt;='Hiring plan'!$G$63,AS$3&lt;=IF('Hiring plan'!$H$63="",999,'Hiring plan'!$H$63)),'Hiring plan'!$F$63,0)</f>
        <v>0</v>
      </c>
      <c r="AT67" s="33" t="n">
        <f aca="false">IF(AND(N('Hiring plan'!$F$63)&gt;0,AT$3&gt;='Hiring plan'!$G$63,AT$3&lt;=IF('Hiring plan'!$H$63="",999,'Hiring plan'!$H$63)),'Hiring plan'!$F$63,0)</f>
        <v>0</v>
      </c>
      <c r="AU67" s="33" t="n">
        <f aca="false">IF(AND(N('Hiring plan'!$F$63)&gt;0,AU$3&gt;='Hiring plan'!$G$63,AU$3&lt;=IF('Hiring plan'!$H$63="",999,'Hiring plan'!$H$63)),'Hiring plan'!$F$63,0)</f>
        <v>0</v>
      </c>
      <c r="AV67" s="33" t="n">
        <f aca="false">IF(AND(N('Hiring plan'!$F$63)&gt;0,AV$3&gt;='Hiring plan'!$G$63,AV$3&lt;=IF('Hiring plan'!$H$63="",999,'Hiring plan'!$H$63)),'Hiring plan'!$F$63,0)</f>
        <v>0</v>
      </c>
      <c r="AW67" s="33" t="n">
        <f aca="false">IF(AND(N('Hiring plan'!$F$63)&gt;0,AW$3&gt;='Hiring plan'!$G$63,AW$3&lt;=IF('Hiring plan'!$H$63="",999,'Hiring plan'!$H$63)),'Hiring plan'!$F$63,0)</f>
        <v>0</v>
      </c>
      <c r="AX67" s="33" t="n">
        <f aca="false">IF(AND(N('Hiring plan'!$F$63)&gt;0,AX$3&gt;='Hiring plan'!$G$63,AX$3&lt;=IF('Hiring plan'!$H$63="",999,'Hiring plan'!$H$63)),'Hiring plan'!$F$63,0)</f>
        <v>0</v>
      </c>
      <c r="AY67" s="33" t="n">
        <f aca="false">IF(AND(N('Hiring plan'!$F$63)&gt;0,AY$3&gt;='Hiring plan'!$G$63,AY$3&lt;=IF('Hiring plan'!$H$63="",999,'Hiring plan'!$H$63)),'Hiring plan'!$F$63,0)</f>
        <v>0</v>
      </c>
      <c r="AZ67" s="33" t="n">
        <f aca="false">IF(AND(N('Hiring plan'!$F$63)&gt;0,AZ$3&gt;='Hiring plan'!$G$63,AZ$3&lt;=IF('Hiring plan'!$H$63="",999,'Hiring plan'!$H$63)),'Hiring plan'!$F$63,0)</f>
        <v>0</v>
      </c>
      <c r="BA67" s="33" t="n">
        <f aca="false">IF(AND(N('Hiring plan'!$F$63)&gt;0,BA$3&gt;='Hiring plan'!$G$63,BA$3&lt;=IF('Hiring plan'!$H$63="",999,'Hiring plan'!$H$63)),'Hiring plan'!$F$63,0)</f>
        <v>1</v>
      </c>
      <c r="BB67" s="33" t="n">
        <f aca="false">IF(AND(N('Hiring plan'!$F$63)&gt;0,BB$3&gt;='Hiring plan'!$G$63,BB$3&lt;=IF('Hiring plan'!$H$63="",999,'Hiring plan'!$H$63)),'Hiring plan'!$F$63,0)</f>
        <v>1</v>
      </c>
      <c r="BC67" s="33" t="n">
        <f aca="false">IF(AND(N('Hiring plan'!$F$63)&gt;0,BC$3&gt;='Hiring plan'!$G$63,BC$3&lt;=IF('Hiring plan'!$H$63="",999,'Hiring plan'!$H$63)),'Hiring plan'!$F$63,0)</f>
        <v>1</v>
      </c>
      <c r="BD67" s="33" t="n">
        <f aca="false">IF(AND(N('Hiring plan'!$F$63)&gt;0,BD$3&gt;='Hiring plan'!$G$63,BD$3&lt;=IF('Hiring plan'!$H$63="",999,'Hiring plan'!$H$63)),'Hiring plan'!$F$63,0)</f>
        <v>1</v>
      </c>
      <c r="BE67" s="33" t="n">
        <f aca="false">IF(AND(N('Hiring plan'!$F$63)&gt;0,BE$3&gt;='Hiring plan'!$G$63,BE$3&lt;=IF('Hiring plan'!$H$63="",999,'Hiring plan'!$H$63)),'Hiring plan'!$F$63,0)</f>
        <v>1</v>
      </c>
      <c r="BF67" s="33" t="n">
        <f aca="false">IF(AND(N('Hiring plan'!$F$63)&gt;0,BF$3&gt;='Hiring plan'!$G$63,BF$3&lt;=IF('Hiring plan'!$H$63="",999,'Hiring plan'!$H$63)),'Hiring plan'!$F$63,0)</f>
        <v>1</v>
      </c>
      <c r="BG67" s="33" t="n">
        <f aca="false">IF(AND(N('Hiring plan'!$F$63)&gt;0,BG$3&gt;='Hiring plan'!$G$63,BG$3&lt;=IF('Hiring plan'!$H$63="",999,'Hiring plan'!$H$63)),'Hiring plan'!$F$63,0)</f>
        <v>1</v>
      </c>
      <c r="BH67" s="33" t="n">
        <f aca="false">IF(AND(N('Hiring plan'!$F$63)&gt;0,BH$3&gt;='Hiring plan'!$G$63,BH$3&lt;=IF('Hiring plan'!$H$63="",999,'Hiring plan'!$H$63)),'Hiring plan'!$F$63,0)</f>
        <v>1</v>
      </c>
      <c r="BI67" s="33" t="n">
        <f aca="false">IF(AND(N('Hiring plan'!$F$63)&gt;0,BI$3&gt;='Hiring plan'!$G$63,BI$3&lt;=IF('Hiring plan'!$H$63="",999,'Hiring plan'!$H$63)),'Hiring plan'!$F$63,0)</f>
        <v>1</v>
      </c>
      <c r="BJ67" s="33" t="n">
        <f aca="false">IF(AND(N('Hiring plan'!$F$63)&gt;0,BJ$3&gt;='Hiring plan'!$G$63,BJ$3&lt;=IF('Hiring plan'!$H$63="",999,'Hiring plan'!$H$63)),'Hiring plan'!$F$63,0)</f>
        <v>1</v>
      </c>
      <c r="BK67" s="33" t="n">
        <f aca="false">IF(AND(N('Hiring plan'!$F$63)&gt;0,BK$3&gt;='Hiring plan'!$G$63,BK$3&lt;=IF('Hiring plan'!$H$63="",999,'Hiring plan'!$H$63)),'Hiring plan'!$F$63,0)</f>
        <v>1</v>
      </c>
      <c r="BL67" s="33" t="n">
        <f aca="false">IF(AND(N('Hiring plan'!$F$63)&gt;0,BL$3&gt;='Hiring plan'!$G$63,BL$3&lt;=IF('Hiring plan'!$H$63="",999,'Hiring plan'!$H$63)),'Hiring plan'!$F$63,0)</f>
        <v>1</v>
      </c>
    </row>
    <row r="68" customFormat="false" ht="15" hidden="false" customHeight="false" outlineLevel="0" collapsed="false">
      <c r="A68" s="12" t="str">
        <f aca="false">IF('Hiring plan'!$C$64="","(spare line 60)",'Hiring plan'!$C$64&amp;" · "&amp;'Hiring plan'!$D$64)</f>
        <v>Collections agent (incl. variable pay) · SN</v>
      </c>
      <c r="B68" s="14" t="s">
        <v>222</v>
      </c>
      <c r="D68" s="41" t="n">
        <f aca="false">MAX(E68:BL68)</f>
        <v>1</v>
      </c>
      <c r="E68" s="33" t="n">
        <f aca="false">IF(AND(N('Hiring plan'!$F$64)&gt;0,E$3&gt;='Hiring plan'!$G$64,E$3&lt;=IF('Hiring plan'!$H$64="",999,'Hiring plan'!$H$64)),'Hiring plan'!$F$64,0)</f>
        <v>0</v>
      </c>
      <c r="F68" s="33" t="n">
        <f aca="false">IF(AND(N('Hiring plan'!$F$64)&gt;0,F$3&gt;='Hiring plan'!$G$64,F$3&lt;=IF('Hiring plan'!$H$64="",999,'Hiring plan'!$H$64)),'Hiring plan'!$F$64,0)</f>
        <v>0</v>
      </c>
      <c r="G68" s="33" t="n">
        <f aca="false">IF(AND(N('Hiring plan'!$F$64)&gt;0,G$3&gt;='Hiring plan'!$G$64,G$3&lt;=IF('Hiring plan'!$H$64="",999,'Hiring plan'!$H$64)),'Hiring plan'!$F$64,0)</f>
        <v>0</v>
      </c>
      <c r="H68" s="33" t="n">
        <f aca="false">IF(AND(N('Hiring plan'!$F$64)&gt;0,H$3&gt;='Hiring plan'!$G$64,H$3&lt;=IF('Hiring plan'!$H$64="",999,'Hiring plan'!$H$64)),'Hiring plan'!$F$64,0)</f>
        <v>0</v>
      </c>
      <c r="I68" s="33" t="n">
        <f aca="false">IF(AND(N('Hiring plan'!$F$64)&gt;0,I$3&gt;='Hiring plan'!$G$64,I$3&lt;=IF('Hiring plan'!$H$64="",999,'Hiring plan'!$H$64)),'Hiring plan'!$F$64,0)</f>
        <v>0</v>
      </c>
      <c r="J68" s="33" t="n">
        <f aca="false">IF(AND(N('Hiring plan'!$F$64)&gt;0,J$3&gt;='Hiring plan'!$G$64,J$3&lt;=IF('Hiring plan'!$H$64="",999,'Hiring plan'!$H$64)),'Hiring plan'!$F$64,0)</f>
        <v>0</v>
      </c>
      <c r="K68" s="33" t="n">
        <f aca="false">IF(AND(N('Hiring plan'!$F$64)&gt;0,K$3&gt;='Hiring plan'!$G$64,K$3&lt;=IF('Hiring plan'!$H$64="",999,'Hiring plan'!$H$64)),'Hiring plan'!$F$64,0)</f>
        <v>0</v>
      </c>
      <c r="L68" s="33" t="n">
        <f aca="false">IF(AND(N('Hiring plan'!$F$64)&gt;0,L$3&gt;='Hiring plan'!$G$64,L$3&lt;=IF('Hiring plan'!$H$64="",999,'Hiring plan'!$H$64)),'Hiring plan'!$F$64,0)</f>
        <v>0</v>
      </c>
      <c r="M68" s="33" t="n">
        <f aca="false">IF(AND(N('Hiring plan'!$F$64)&gt;0,M$3&gt;='Hiring plan'!$G$64,M$3&lt;=IF('Hiring plan'!$H$64="",999,'Hiring plan'!$H$64)),'Hiring plan'!$F$64,0)</f>
        <v>0</v>
      </c>
      <c r="N68" s="33" t="n">
        <f aca="false">IF(AND(N('Hiring plan'!$F$64)&gt;0,N$3&gt;='Hiring plan'!$G$64,N$3&lt;=IF('Hiring plan'!$H$64="",999,'Hiring plan'!$H$64)),'Hiring plan'!$F$64,0)</f>
        <v>0</v>
      </c>
      <c r="O68" s="33" t="n">
        <f aca="false">IF(AND(N('Hiring plan'!$F$64)&gt;0,O$3&gt;='Hiring plan'!$G$64,O$3&lt;=IF('Hiring plan'!$H$64="",999,'Hiring plan'!$H$64)),'Hiring plan'!$F$64,0)</f>
        <v>0</v>
      </c>
      <c r="P68" s="33" t="n">
        <f aca="false">IF(AND(N('Hiring plan'!$F$64)&gt;0,P$3&gt;='Hiring plan'!$G$64,P$3&lt;=IF('Hiring plan'!$H$64="",999,'Hiring plan'!$H$64)),'Hiring plan'!$F$64,0)</f>
        <v>0</v>
      </c>
      <c r="Q68" s="33" t="n">
        <f aca="false">IF(AND(N('Hiring plan'!$F$64)&gt;0,Q$3&gt;='Hiring plan'!$G$64,Q$3&lt;=IF('Hiring plan'!$H$64="",999,'Hiring plan'!$H$64)),'Hiring plan'!$F$64,0)</f>
        <v>0</v>
      </c>
      <c r="R68" s="33" t="n">
        <f aca="false">IF(AND(N('Hiring plan'!$F$64)&gt;0,R$3&gt;='Hiring plan'!$G$64,R$3&lt;=IF('Hiring plan'!$H$64="",999,'Hiring plan'!$H$64)),'Hiring plan'!$F$64,0)</f>
        <v>0</v>
      </c>
      <c r="S68" s="33" t="n">
        <f aca="false">IF(AND(N('Hiring plan'!$F$64)&gt;0,S$3&gt;='Hiring plan'!$G$64,S$3&lt;=IF('Hiring plan'!$H$64="",999,'Hiring plan'!$H$64)),'Hiring plan'!$F$64,0)</f>
        <v>0</v>
      </c>
      <c r="T68" s="33" t="n">
        <f aca="false">IF(AND(N('Hiring plan'!$F$64)&gt;0,T$3&gt;='Hiring plan'!$G$64,T$3&lt;=IF('Hiring plan'!$H$64="",999,'Hiring plan'!$H$64)),'Hiring plan'!$F$64,0)</f>
        <v>0</v>
      </c>
      <c r="U68" s="33" t="n">
        <f aca="false">IF(AND(N('Hiring plan'!$F$64)&gt;0,U$3&gt;='Hiring plan'!$G$64,U$3&lt;=IF('Hiring plan'!$H$64="",999,'Hiring plan'!$H$64)),'Hiring plan'!$F$64,0)</f>
        <v>0</v>
      </c>
      <c r="V68" s="33" t="n">
        <f aca="false">IF(AND(N('Hiring plan'!$F$64)&gt;0,V$3&gt;='Hiring plan'!$G$64,V$3&lt;=IF('Hiring plan'!$H$64="",999,'Hiring plan'!$H$64)),'Hiring plan'!$F$64,0)</f>
        <v>0</v>
      </c>
      <c r="W68" s="33" t="n">
        <f aca="false">IF(AND(N('Hiring plan'!$F$64)&gt;0,W$3&gt;='Hiring plan'!$G$64,W$3&lt;=IF('Hiring plan'!$H$64="",999,'Hiring plan'!$H$64)),'Hiring plan'!$F$64,0)</f>
        <v>0</v>
      </c>
      <c r="X68" s="33" t="n">
        <f aca="false">IF(AND(N('Hiring plan'!$F$64)&gt;0,X$3&gt;='Hiring plan'!$G$64,X$3&lt;=IF('Hiring plan'!$H$64="",999,'Hiring plan'!$H$64)),'Hiring plan'!$F$64,0)</f>
        <v>0</v>
      </c>
      <c r="Y68" s="33" t="n">
        <f aca="false">IF(AND(N('Hiring plan'!$F$64)&gt;0,Y$3&gt;='Hiring plan'!$G$64,Y$3&lt;=IF('Hiring plan'!$H$64="",999,'Hiring plan'!$H$64)),'Hiring plan'!$F$64,0)</f>
        <v>0</v>
      </c>
      <c r="Z68" s="33" t="n">
        <f aca="false">IF(AND(N('Hiring plan'!$F$64)&gt;0,Z$3&gt;='Hiring plan'!$G$64,Z$3&lt;=IF('Hiring plan'!$H$64="",999,'Hiring plan'!$H$64)),'Hiring plan'!$F$64,0)</f>
        <v>0</v>
      </c>
      <c r="AA68" s="33" t="n">
        <f aca="false">IF(AND(N('Hiring plan'!$F$64)&gt;0,AA$3&gt;='Hiring plan'!$G$64,AA$3&lt;=IF('Hiring plan'!$H$64="",999,'Hiring plan'!$H$64)),'Hiring plan'!$F$64,0)</f>
        <v>0</v>
      </c>
      <c r="AB68" s="33" t="n">
        <f aca="false">IF(AND(N('Hiring plan'!$F$64)&gt;0,AB$3&gt;='Hiring plan'!$G$64,AB$3&lt;=IF('Hiring plan'!$H$64="",999,'Hiring plan'!$H$64)),'Hiring plan'!$F$64,0)</f>
        <v>0</v>
      </c>
      <c r="AC68" s="33" t="n">
        <f aca="false">IF(AND(N('Hiring plan'!$F$64)&gt;0,AC$3&gt;='Hiring plan'!$G$64,AC$3&lt;=IF('Hiring plan'!$H$64="",999,'Hiring plan'!$H$64)),'Hiring plan'!$F$64,0)</f>
        <v>0</v>
      </c>
      <c r="AD68" s="33" t="n">
        <f aca="false">IF(AND(N('Hiring plan'!$F$64)&gt;0,AD$3&gt;='Hiring plan'!$G$64,AD$3&lt;=IF('Hiring plan'!$H$64="",999,'Hiring plan'!$H$64)),'Hiring plan'!$F$64,0)</f>
        <v>0</v>
      </c>
      <c r="AE68" s="33" t="n">
        <f aca="false">IF(AND(N('Hiring plan'!$F$64)&gt;0,AE$3&gt;='Hiring plan'!$G$64,AE$3&lt;=IF('Hiring plan'!$H$64="",999,'Hiring plan'!$H$64)),'Hiring plan'!$F$64,0)</f>
        <v>0</v>
      </c>
      <c r="AF68" s="33" t="n">
        <f aca="false">IF(AND(N('Hiring plan'!$F$64)&gt;0,AF$3&gt;='Hiring plan'!$G$64,AF$3&lt;=IF('Hiring plan'!$H$64="",999,'Hiring plan'!$H$64)),'Hiring plan'!$F$64,0)</f>
        <v>0</v>
      </c>
      <c r="AG68" s="33" t="n">
        <f aca="false">IF(AND(N('Hiring plan'!$F$64)&gt;0,AG$3&gt;='Hiring plan'!$G$64,AG$3&lt;=IF('Hiring plan'!$H$64="",999,'Hiring plan'!$H$64)),'Hiring plan'!$F$64,0)</f>
        <v>0</v>
      </c>
      <c r="AH68" s="33" t="n">
        <f aca="false">IF(AND(N('Hiring plan'!$F$64)&gt;0,AH$3&gt;='Hiring plan'!$G$64,AH$3&lt;=IF('Hiring plan'!$H$64="",999,'Hiring plan'!$H$64)),'Hiring plan'!$F$64,0)</f>
        <v>0</v>
      </c>
      <c r="AI68" s="33" t="n">
        <f aca="false">IF(AND(N('Hiring plan'!$F$64)&gt;0,AI$3&gt;='Hiring plan'!$G$64,AI$3&lt;=IF('Hiring plan'!$H$64="",999,'Hiring plan'!$H$64)),'Hiring plan'!$F$64,0)</f>
        <v>0</v>
      </c>
      <c r="AJ68" s="33" t="n">
        <f aca="false">IF(AND(N('Hiring plan'!$F$64)&gt;0,AJ$3&gt;='Hiring plan'!$G$64,AJ$3&lt;=IF('Hiring plan'!$H$64="",999,'Hiring plan'!$H$64)),'Hiring plan'!$F$64,0)</f>
        <v>0</v>
      </c>
      <c r="AK68" s="33" t="n">
        <f aca="false">IF(AND(N('Hiring plan'!$F$64)&gt;0,AK$3&gt;='Hiring plan'!$G$64,AK$3&lt;=IF('Hiring plan'!$H$64="",999,'Hiring plan'!$H$64)),'Hiring plan'!$F$64,0)</f>
        <v>0</v>
      </c>
      <c r="AL68" s="33" t="n">
        <f aca="false">IF(AND(N('Hiring plan'!$F$64)&gt;0,AL$3&gt;='Hiring plan'!$G$64,AL$3&lt;=IF('Hiring plan'!$H$64="",999,'Hiring plan'!$H$64)),'Hiring plan'!$F$64,0)</f>
        <v>0</v>
      </c>
      <c r="AM68" s="33" t="n">
        <f aca="false">IF(AND(N('Hiring plan'!$F$64)&gt;0,AM$3&gt;='Hiring plan'!$G$64,AM$3&lt;=IF('Hiring plan'!$H$64="",999,'Hiring plan'!$H$64)),'Hiring plan'!$F$64,0)</f>
        <v>0</v>
      </c>
      <c r="AN68" s="33" t="n">
        <f aca="false">IF(AND(N('Hiring plan'!$F$64)&gt;0,AN$3&gt;='Hiring plan'!$G$64,AN$3&lt;=IF('Hiring plan'!$H$64="",999,'Hiring plan'!$H$64)),'Hiring plan'!$F$64,0)</f>
        <v>0</v>
      </c>
      <c r="AO68" s="33" t="n">
        <f aca="false">IF(AND(N('Hiring plan'!$F$64)&gt;0,AO$3&gt;='Hiring plan'!$G$64,AO$3&lt;=IF('Hiring plan'!$H$64="",999,'Hiring plan'!$H$64)),'Hiring plan'!$F$64,0)</f>
        <v>0</v>
      </c>
      <c r="AP68" s="33" t="n">
        <f aca="false">IF(AND(N('Hiring plan'!$F$64)&gt;0,AP$3&gt;='Hiring plan'!$G$64,AP$3&lt;=IF('Hiring plan'!$H$64="",999,'Hiring plan'!$H$64)),'Hiring plan'!$F$64,0)</f>
        <v>0</v>
      </c>
      <c r="AQ68" s="33" t="n">
        <f aca="false">IF(AND(N('Hiring plan'!$F$64)&gt;0,AQ$3&gt;='Hiring plan'!$G$64,AQ$3&lt;=IF('Hiring plan'!$H$64="",999,'Hiring plan'!$H$64)),'Hiring plan'!$F$64,0)</f>
        <v>0</v>
      </c>
      <c r="AR68" s="33" t="n">
        <f aca="false">IF(AND(N('Hiring plan'!$F$64)&gt;0,AR$3&gt;='Hiring plan'!$G$64,AR$3&lt;=IF('Hiring plan'!$H$64="",999,'Hiring plan'!$H$64)),'Hiring plan'!$F$64,0)</f>
        <v>0</v>
      </c>
      <c r="AS68" s="33" t="n">
        <f aca="false">IF(AND(N('Hiring plan'!$F$64)&gt;0,AS$3&gt;='Hiring plan'!$G$64,AS$3&lt;=IF('Hiring plan'!$H$64="",999,'Hiring plan'!$H$64)),'Hiring plan'!$F$64,0)</f>
        <v>0</v>
      </c>
      <c r="AT68" s="33" t="n">
        <f aca="false">IF(AND(N('Hiring plan'!$F$64)&gt;0,AT$3&gt;='Hiring plan'!$G$64,AT$3&lt;=IF('Hiring plan'!$H$64="",999,'Hiring plan'!$H$64)),'Hiring plan'!$F$64,0)</f>
        <v>0</v>
      </c>
      <c r="AU68" s="33" t="n">
        <f aca="false">IF(AND(N('Hiring plan'!$F$64)&gt;0,AU$3&gt;='Hiring plan'!$G$64,AU$3&lt;=IF('Hiring plan'!$H$64="",999,'Hiring plan'!$H$64)),'Hiring plan'!$F$64,0)</f>
        <v>0</v>
      </c>
      <c r="AV68" s="33" t="n">
        <f aca="false">IF(AND(N('Hiring plan'!$F$64)&gt;0,AV$3&gt;='Hiring plan'!$G$64,AV$3&lt;=IF('Hiring plan'!$H$64="",999,'Hiring plan'!$H$64)),'Hiring plan'!$F$64,0)</f>
        <v>0</v>
      </c>
      <c r="AW68" s="33" t="n">
        <f aca="false">IF(AND(N('Hiring plan'!$F$64)&gt;0,AW$3&gt;='Hiring plan'!$G$64,AW$3&lt;=IF('Hiring plan'!$H$64="",999,'Hiring plan'!$H$64)),'Hiring plan'!$F$64,0)</f>
        <v>0</v>
      </c>
      <c r="AX68" s="33" t="n">
        <f aca="false">IF(AND(N('Hiring plan'!$F$64)&gt;0,AX$3&gt;='Hiring plan'!$G$64,AX$3&lt;=IF('Hiring plan'!$H$64="",999,'Hiring plan'!$H$64)),'Hiring plan'!$F$64,0)</f>
        <v>0</v>
      </c>
      <c r="AY68" s="33" t="n">
        <f aca="false">IF(AND(N('Hiring plan'!$F$64)&gt;0,AY$3&gt;='Hiring plan'!$G$64,AY$3&lt;=IF('Hiring plan'!$H$64="",999,'Hiring plan'!$H$64)),'Hiring plan'!$F$64,0)</f>
        <v>0</v>
      </c>
      <c r="AZ68" s="33" t="n">
        <f aca="false">IF(AND(N('Hiring plan'!$F$64)&gt;0,AZ$3&gt;='Hiring plan'!$G$64,AZ$3&lt;=IF('Hiring plan'!$H$64="",999,'Hiring plan'!$H$64)),'Hiring plan'!$F$64,0)</f>
        <v>0</v>
      </c>
      <c r="BA68" s="33" t="n">
        <f aca="false">IF(AND(N('Hiring plan'!$F$64)&gt;0,BA$3&gt;='Hiring plan'!$G$64,BA$3&lt;=IF('Hiring plan'!$H$64="",999,'Hiring plan'!$H$64)),'Hiring plan'!$F$64,0)</f>
        <v>1</v>
      </c>
      <c r="BB68" s="33" t="n">
        <f aca="false">IF(AND(N('Hiring plan'!$F$64)&gt;0,BB$3&gt;='Hiring plan'!$G$64,BB$3&lt;=IF('Hiring plan'!$H$64="",999,'Hiring plan'!$H$64)),'Hiring plan'!$F$64,0)</f>
        <v>1</v>
      </c>
      <c r="BC68" s="33" t="n">
        <f aca="false">IF(AND(N('Hiring plan'!$F$64)&gt;0,BC$3&gt;='Hiring plan'!$G$64,BC$3&lt;=IF('Hiring plan'!$H$64="",999,'Hiring plan'!$H$64)),'Hiring plan'!$F$64,0)</f>
        <v>1</v>
      </c>
      <c r="BD68" s="33" t="n">
        <f aca="false">IF(AND(N('Hiring plan'!$F$64)&gt;0,BD$3&gt;='Hiring plan'!$G$64,BD$3&lt;=IF('Hiring plan'!$H$64="",999,'Hiring plan'!$H$64)),'Hiring plan'!$F$64,0)</f>
        <v>1</v>
      </c>
      <c r="BE68" s="33" t="n">
        <f aca="false">IF(AND(N('Hiring plan'!$F$64)&gt;0,BE$3&gt;='Hiring plan'!$G$64,BE$3&lt;=IF('Hiring plan'!$H$64="",999,'Hiring plan'!$H$64)),'Hiring plan'!$F$64,0)</f>
        <v>1</v>
      </c>
      <c r="BF68" s="33" t="n">
        <f aca="false">IF(AND(N('Hiring plan'!$F$64)&gt;0,BF$3&gt;='Hiring plan'!$G$64,BF$3&lt;=IF('Hiring plan'!$H$64="",999,'Hiring plan'!$H$64)),'Hiring plan'!$F$64,0)</f>
        <v>1</v>
      </c>
      <c r="BG68" s="33" t="n">
        <f aca="false">IF(AND(N('Hiring plan'!$F$64)&gt;0,BG$3&gt;='Hiring plan'!$G$64,BG$3&lt;=IF('Hiring plan'!$H$64="",999,'Hiring plan'!$H$64)),'Hiring plan'!$F$64,0)</f>
        <v>1</v>
      </c>
      <c r="BH68" s="33" t="n">
        <f aca="false">IF(AND(N('Hiring plan'!$F$64)&gt;0,BH$3&gt;='Hiring plan'!$G$64,BH$3&lt;=IF('Hiring plan'!$H$64="",999,'Hiring plan'!$H$64)),'Hiring plan'!$F$64,0)</f>
        <v>1</v>
      </c>
      <c r="BI68" s="33" t="n">
        <f aca="false">IF(AND(N('Hiring plan'!$F$64)&gt;0,BI$3&gt;='Hiring plan'!$G$64,BI$3&lt;=IF('Hiring plan'!$H$64="",999,'Hiring plan'!$H$64)),'Hiring plan'!$F$64,0)</f>
        <v>1</v>
      </c>
      <c r="BJ68" s="33" t="n">
        <f aca="false">IF(AND(N('Hiring plan'!$F$64)&gt;0,BJ$3&gt;='Hiring plan'!$G$64,BJ$3&lt;=IF('Hiring plan'!$H$64="",999,'Hiring plan'!$H$64)),'Hiring plan'!$F$64,0)</f>
        <v>1</v>
      </c>
      <c r="BK68" s="33" t="n">
        <f aca="false">IF(AND(N('Hiring plan'!$F$64)&gt;0,BK$3&gt;='Hiring plan'!$G$64,BK$3&lt;=IF('Hiring plan'!$H$64="",999,'Hiring plan'!$H$64)),'Hiring plan'!$F$64,0)</f>
        <v>1</v>
      </c>
      <c r="BL68" s="33" t="n">
        <f aca="false">IF(AND(N('Hiring plan'!$F$64)&gt;0,BL$3&gt;='Hiring plan'!$G$64,BL$3&lt;=IF('Hiring plan'!$H$64="",999,'Hiring plan'!$H$64)),'Hiring plan'!$F$64,0)</f>
        <v>1</v>
      </c>
    </row>
    <row r="69" customFormat="false" ht="15" hidden="false" customHeight="false" outlineLevel="0" collapsed="false">
      <c r="A69" s="12" t="str">
        <f aca="false">IF('Hiring plan'!$C$65="","(spare line 61)",'Hiring plan'!$C$65&amp;" · "&amp;'Hiring plan'!$D$65)</f>
        <v>KYC / onboarding agent · SN</v>
      </c>
      <c r="B69" s="14" t="s">
        <v>222</v>
      </c>
      <c r="D69" s="41" t="n">
        <f aca="false">MAX(E69:BL69)</f>
        <v>2</v>
      </c>
      <c r="E69" s="33" t="n">
        <f aca="false">IF(AND(N('Hiring plan'!$F$65)&gt;0,E$3&gt;='Hiring plan'!$G$65,E$3&lt;=IF('Hiring plan'!$H$65="",999,'Hiring plan'!$H$65)),'Hiring plan'!$F$65,0)</f>
        <v>0</v>
      </c>
      <c r="F69" s="33" t="n">
        <f aca="false">IF(AND(N('Hiring plan'!$F$65)&gt;0,F$3&gt;='Hiring plan'!$G$65,F$3&lt;=IF('Hiring plan'!$H$65="",999,'Hiring plan'!$H$65)),'Hiring plan'!$F$65,0)</f>
        <v>0</v>
      </c>
      <c r="G69" s="33" t="n">
        <f aca="false">IF(AND(N('Hiring plan'!$F$65)&gt;0,G$3&gt;='Hiring plan'!$G$65,G$3&lt;=IF('Hiring plan'!$H$65="",999,'Hiring plan'!$H$65)),'Hiring plan'!$F$65,0)</f>
        <v>0</v>
      </c>
      <c r="H69" s="33" t="n">
        <f aca="false">IF(AND(N('Hiring plan'!$F$65)&gt;0,H$3&gt;='Hiring plan'!$G$65,H$3&lt;=IF('Hiring plan'!$H$65="",999,'Hiring plan'!$H$65)),'Hiring plan'!$F$65,0)</f>
        <v>0</v>
      </c>
      <c r="I69" s="33" t="n">
        <f aca="false">IF(AND(N('Hiring plan'!$F$65)&gt;0,I$3&gt;='Hiring plan'!$G$65,I$3&lt;=IF('Hiring plan'!$H$65="",999,'Hiring plan'!$H$65)),'Hiring plan'!$F$65,0)</f>
        <v>0</v>
      </c>
      <c r="J69" s="33" t="n">
        <f aca="false">IF(AND(N('Hiring plan'!$F$65)&gt;0,J$3&gt;='Hiring plan'!$G$65,J$3&lt;=IF('Hiring plan'!$H$65="",999,'Hiring plan'!$H$65)),'Hiring plan'!$F$65,0)</f>
        <v>0</v>
      </c>
      <c r="K69" s="33" t="n">
        <f aca="false">IF(AND(N('Hiring plan'!$F$65)&gt;0,K$3&gt;='Hiring plan'!$G$65,K$3&lt;=IF('Hiring plan'!$H$65="",999,'Hiring plan'!$H$65)),'Hiring plan'!$F$65,0)</f>
        <v>0</v>
      </c>
      <c r="L69" s="33" t="n">
        <f aca="false">IF(AND(N('Hiring plan'!$F$65)&gt;0,L$3&gt;='Hiring plan'!$G$65,L$3&lt;=IF('Hiring plan'!$H$65="",999,'Hiring plan'!$H$65)),'Hiring plan'!$F$65,0)</f>
        <v>0</v>
      </c>
      <c r="M69" s="33" t="n">
        <f aca="false">IF(AND(N('Hiring plan'!$F$65)&gt;0,M$3&gt;='Hiring plan'!$G$65,M$3&lt;=IF('Hiring plan'!$H$65="",999,'Hiring plan'!$H$65)),'Hiring plan'!$F$65,0)</f>
        <v>0</v>
      </c>
      <c r="N69" s="33" t="n">
        <f aca="false">IF(AND(N('Hiring plan'!$F$65)&gt;0,N$3&gt;='Hiring plan'!$G$65,N$3&lt;=IF('Hiring plan'!$H$65="",999,'Hiring plan'!$H$65)),'Hiring plan'!$F$65,0)</f>
        <v>0</v>
      </c>
      <c r="O69" s="33" t="n">
        <f aca="false">IF(AND(N('Hiring plan'!$F$65)&gt;0,O$3&gt;='Hiring plan'!$G$65,O$3&lt;=IF('Hiring plan'!$H$65="",999,'Hiring plan'!$H$65)),'Hiring plan'!$F$65,0)</f>
        <v>0</v>
      </c>
      <c r="P69" s="33" t="n">
        <f aca="false">IF(AND(N('Hiring plan'!$F$65)&gt;0,P$3&gt;='Hiring plan'!$G$65,P$3&lt;=IF('Hiring plan'!$H$65="",999,'Hiring plan'!$H$65)),'Hiring plan'!$F$65,0)</f>
        <v>0</v>
      </c>
      <c r="Q69" s="33" t="n">
        <f aca="false">IF(AND(N('Hiring plan'!$F$65)&gt;0,Q$3&gt;='Hiring plan'!$G$65,Q$3&lt;=IF('Hiring plan'!$H$65="",999,'Hiring plan'!$H$65)),'Hiring plan'!$F$65,0)</f>
        <v>0</v>
      </c>
      <c r="R69" s="33" t="n">
        <f aca="false">IF(AND(N('Hiring plan'!$F$65)&gt;0,R$3&gt;='Hiring plan'!$G$65,R$3&lt;=IF('Hiring plan'!$H$65="",999,'Hiring plan'!$H$65)),'Hiring plan'!$F$65,0)</f>
        <v>0</v>
      </c>
      <c r="S69" s="33" t="n">
        <f aca="false">IF(AND(N('Hiring plan'!$F$65)&gt;0,S$3&gt;='Hiring plan'!$G$65,S$3&lt;=IF('Hiring plan'!$H$65="",999,'Hiring plan'!$H$65)),'Hiring plan'!$F$65,0)</f>
        <v>0</v>
      </c>
      <c r="T69" s="33" t="n">
        <f aca="false">IF(AND(N('Hiring plan'!$F$65)&gt;0,T$3&gt;='Hiring plan'!$G$65,T$3&lt;=IF('Hiring plan'!$H$65="",999,'Hiring plan'!$H$65)),'Hiring plan'!$F$65,0)</f>
        <v>0</v>
      </c>
      <c r="U69" s="33" t="n">
        <f aca="false">IF(AND(N('Hiring plan'!$F$65)&gt;0,U$3&gt;='Hiring plan'!$G$65,U$3&lt;=IF('Hiring plan'!$H$65="",999,'Hiring plan'!$H$65)),'Hiring plan'!$F$65,0)</f>
        <v>0</v>
      </c>
      <c r="V69" s="33" t="n">
        <f aca="false">IF(AND(N('Hiring plan'!$F$65)&gt;0,V$3&gt;='Hiring plan'!$G$65,V$3&lt;=IF('Hiring plan'!$H$65="",999,'Hiring plan'!$H$65)),'Hiring plan'!$F$65,0)</f>
        <v>0</v>
      </c>
      <c r="W69" s="33" t="n">
        <f aca="false">IF(AND(N('Hiring plan'!$F$65)&gt;0,W$3&gt;='Hiring plan'!$G$65,W$3&lt;=IF('Hiring plan'!$H$65="",999,'Hiring plan'!$H$65)),'Hiring plan'!$F$65,0)</f>
        <v>0</v>
      </c>
      <c r="X69" s="33" t="n">
        <f aca="false">IF(AND(N('Hiring plan'!$F$65)&gt;0,X$3&gt;='Hiring plan'!$G$65,X$3&lt;=IF('Hiring plan'!$H$65="",999,'Hiring plan'!$H$65)),'Hiring plan'!$F$65,0)</f>
        <v>0</v>
      </c>
      <c r="Y69" s="33" t="n">
        <f aca="false">IF(AND(N('Hiring plan'!$F$65)&gt;0,Y$3&gt;='Hiring plan'!$G$65,Y$3&lt;=IF('Hiring plan'!$H$65="",999,'Hiring plan'!$H$65)),'Hiring plan'!$F$65,0)</f>
        <v>0</v>
      </c>
      <c r="Z69" s="33" t="n">
        <f aca="false">IF(AND(N('Hiring plan'!$F$65)&gt;0,Z$3&gt;='Hiring plan'!$G$65,Z$3&lt;=IF('Hiring plan'!$H$65="",999,'Hiring plan'!$H$65)),'Hiring plan'!$F$65,0)</f>
        <v>0</v>
      </c>
      <c r="AA69" s="33" t="n">
        <f aca="false">IF(AND(N('Hiring plan'!$F$65)&gt;0,AA$3&gt;='Hiring plan'!$G$65,AA$3&lt;=IF('Hiring plan'!$H$65="",999,'Hiring plan'!$H$65)),'Hiring plan'!$F$65,0)</f>
        <v>0</v>
      </c>
      <c r="AB69" s="33" t="n">
        <f aca="false">IF(AND(N('Hiring plan'!$F$65)&gt;0,AB$3&gt;='Hiring plan'!$G$65,AB$3&lt;=IF('Hiring plan'!$H$65="",999,'Hiring plan'!$H$65)),'Hiring plan'!$F$65,0)</f>
        <v>0</v>
      </c>
      <c r="AC69" s="33" t="n">
        <f aca="false">IF(AND(N('Hiring plan'!$F$65)&gt;0,AC$3&gt;='Hiring plan'!$G$65,AC$3&lt;=IF('Hiring plan'!$H$65="",999,'Hiring plan'!$H$65)),'Hiring plan'!$F$65,0)</f>
        <v>0</v>
      </c>
      <c r="AD69" s="33" t="n">
        <f aca="false">IF(AND(N('Hiring plan'!$F$65)&gt;0,AD$3&gt;='Hiring plan'!$G$65,AD$3&lt;=IF('Hiring plan'!$H$65="",999,'Hiring plan'!$H$65)),'Hiring plan'!$F$65,0)</f>
        <v>0</v>
      </c>
      <c r="AE69" s="33" t="n">
        <f aca="false">IF(AND(N('Hiring plan'!$F$65)&gt;0,AE$3&gt;='Hiring plan'!$G$65,AE$3&lt;=IF('Hiring plan'!$H$65="",999,'Hiring plan'!$H$65)),'Hiring plan'!$F$65,0)</f>
        <v>0</v>
      </c>
      <c r="AF69" s="33" t="n">
        <f aca="false">IF(AND(N('Hiring plan'!$F$65)&gt;0,AF$3&gt;='Hiring plan'!$G$65,AF$3&lt;=IF('Hiring plan'!$H$65="",999,'Hiring plan'!$H$65)),'Hiring plan'!$F$65,0)</f>
        <v>0</v>
      </c>
      <c r="AG69" s="33" t="n">
        <f aca="false">IF(AND(N('Hiring plan'!$F$65)&gt;0,AG$3&gt;='Hiring plan'!$G$65,AG$3&lt;=IF('Hiring plan'!$H$65="",999,'Hiring plan'!$H$65)),'Hiring plan'!$F$65,0)</f>
        <v>0</v>
      </c>
      <c r="AH69" s="33" t="n">
        <f aca="false">IF(AND(N('Hiring plan'!$F$65)&gt;0,AH$3&gt;='Hiring plan'!$G$65,AH$3&lt;=IF('Hiring plan'!$H$65="",999,'Hiring plan'!$H$65)),'Hiring plan'!$F$65,0)</f>
        <v>0</v>
      </c>
      <c r="AI69" s="33" t="n">
        <f aca="false">IF(AND(N('Hiring plan'!$F$65)&gt;0,AI$3&gt;='Hiring plan'!$G$65,AI$3&lt;=IF('Hiring plan'!$H$65="",999,'Hiring plan'!$H$65)),'Hiring plan'!$F$65,0)</f>
        <v>0</v>
      </c>
      <c r="AJ69" s="33" t="n">
        <f aca="false">IF(AND(N('Hiring plan'!$F$65)&gt;0,AJ$3&gt;='Hiring plan'!$G$65,AJ$3&lt;=IF('Hiring plan'!$H$65="",999,'Hiring plan'!$H$65)),'Hiring plan'!$F$65,0)</f>
        <v>0</v>
      </c>
      <c r="AK69" s="33" t="n">
        <f aca="false">IF(AND(N('Hiring plan'!$F$65)&gt;0,AK$3&gt;='Hiring plan'!$G$65,AK$3&lt;=IF('Hiring plan'!$H$65="",999,'Hiring plan'!$H$65)),'Hiring plan'!$F$65,0)</f>
        <v>0</v>
      </c>
      <c r="AL69" s="33" t="n">
        <f aca="false">IF(AND(N('Hiring plan'!$F$65)&gt;0,AL$3&gt;='Hiring plan'!$G$65,AL$3&lt;=IF('Hiring plan'!$H$65="",999,'Hiring plan'!$H$65)),'Hiring plan'!$F$65,0)</f>
        <v>0</v>
      </c>
      <c r="AM69" s="33" t="n">
        <f aca="false">IF(AND(N('Hiring plan'!$F$65)&gt;0,AM$3&gt;='Hiring plan'!$G$65,AM$3&lt;=IF('Hiring plan'!$H$65="",999,'Hiring plan'!$H$65)),'Hiring plan'!$F$65,0)</f>
        <v>0</v>
      </c>
      <c r="AN69" s="33" t="n">
        <f aca="false">IF(AND(N('Hiring plan'!$F$65)&gt;0,AN$3&gt;='Hiring plan'!$G$65,AN$3&lt;=IF('Hiring plan'!$H$65="",999,'Hiring plan'!$H$65)),'Hiring plan'!$F$65,0)</f>
        <v>0</v>
      </c>
      <c r="AO69" s="33" t="n">
        <f aca="false">IF(AND(N('Hiring plan'!$F$65)&gt;0,AO$3&gt;='Hiring plan'!$G$65,AO$3&lt;=IF('Hiring plan'!$H$65="",999,'Hiring plan'!$H$65)),'Hiring plan'!$F$65,0)</f>
        <v>0</v>
      </c>
      <c r="AP69" s="33" t="n">
        <f aca="false">IF(AND(N('Hiring plan'!$F$65)&gt;0,AP$3&gt;='Hiring plan'!$G$65,AP$3&lt;=IF('Hiring plan'!$H$65="",999,'Hiring plan'!$H$65)),'Hiring plan'!$F$65,0)</f>
        <v>0</v>
      </c>
      <c r="AQ69" s="33" t="n">
        <f aca="false">IF(AND(N('Hiring plan'!$F$65)&gt;0,AQ$3&gt;='Hiring plan'!$G$65,AQ$3&lt;=IF('Hiring plan'!$H$65="",999,'Hiring plan'!$H$65)),'Hiring plan'!$F$65,0)</f>
        <v>0</v>
      </c>
      <c r="AR69" s="33" t="n">
        <f aca="false">IF(AND(N('Hiring plan'!$F$65)&gt;0,AR$3&gt;='Hiring plan'!$G$65,AR$3&lt;=IF('Hiring plan'!$H$65="",999,'Hiring plan'!$H$65)),'Hiring plan'!$F$65,0)</f>
        <v>0</v>
      </c>
      <c r="AS69" s="33" t="n">
        <f aca="false">IF(AND(N('Hiring plan'!$F$65)&gt;0,AS$3&gt;='Hiring plan'!$G$65,AS$3&lt;=IF('Hiring plan'!$H$65="",999,'Hiring plan'!$H$65)),'Hiring plan'!$F$65,0)</f>
        <v>0</v>
      </c>
      <c r="AT69" s="33" t="n">
        <f aca="false">IF(AND(N('Hiring plan'!$F$65)&gt;0,AT$3&gt;='Hiring plan'!$G$65,AT$3&lt;=IF('Hiring plan'!$H$65="",999,'Hiring plan'!$H$65)),'Hiring plan'!$F$65,0)</f>
        <v>0</v>
      </c>
      <c r="AU69" s="33" t="n">
        <f aca="false">IF(AND(N('Hiring plan'!$F$65)&gt;0,AU$3&gt;='Hiring plan'!$G$65,AU$3&lt;=IF('Hiring plan'!$H$65="",999,'Hiring plan'!$H$65)),'Hiring plan'!$F$65,0)</f>
        <v>0</v>
      </c>
      <c r="AV69" s="33" t="n">
        <f aca="false">IF(AND(N('Hiring plan'!$F$65)&gt;0,AV$3&gt;='Hiring plan'!$G$65,AV$3&lt;=IF('Hiring plan'!$H$65="",999,'Hiring plan'!$H$65)),'Hiring plan'!$F$65,0)</f>
        <v>0</v>
      </c>
      <c r="AW69" s="33" t="n">
        <f aca="false">IF(AND(N('Hiring plan'!$F$65)&gt;0,AW$3&gt;='Hiring plan'!$G$65,AW$3&lt;=IF('Hiring plan'!$H$65="",999,'Hiring plan'!$H$65)),'Hiring plan'!$F$65,0)</f>
        <v>0</v>
      </c>
      <c r="AX69" s="33" t="n">
        <f aca="false">IF(AND(N('Hiring plan'!$F$65)&gt;0,AX$3&gt;='Hiring plan'!$G$65,AX$3&lt;=IF('Hiring plan'!$H$65="",999,'Hiring plan'!$H$65)),'Hiring plan'!$F$65,0)</f>
        <v>0</v>
      </c>
      <c r="AY69" s="33" t="n">
        <f aca="false">IF(AND(N('Hiring plan'!$F$65)&gt;0,AY$3&gt;='Hiring plan'!$G$65,AY$3&lt;=IF('Hiring plan'!$H$65="",999,'Hiring plan'!$H$65)),'Hiring plan'!$F$65,0)</f>
        <v>0</v>
      </c>
      <c r="AZ69" s="33" t="n">
        <f aca="false">IF(AND(N('Hiring plan'!$F$65)&gt;0,AZ$3&gt;='Hiring plan'!$G$65,AZ$3&lt;=IF('Hiring plan'!$H$65="",999,'Hiring plan'!$H$65)),'Hiring plan'!$F$65,0)</f>
        <v>0</v>
      </c>
      <c r="BA69" s="33" t="n">
        <f aca="false">IF(AND(N('Hiring plan'!$F$65)&gt;0,BA$3&gt;='Hiring plan'!$G$65,BA$3&lt;=IF('Hiring plan'!$H$65="",999,'Hiring plan'!$H$65)),'Hiring plan'!$F$65,0)</f>
        <v>2</v>
      </c>
      <c r="BB69" s="33" t="n">
        <f aca="false">IF(AND(N('Hiring plan'!$F$65)&gt;0,BB$3&gt;='Hiring plan'!$G$65,BB$3&lt;=IF('Hiring plan'!$H$65="",999,'Hiring plan'!$H$65)),'Hiring plan'!$F$65,0)</f>
        <v>2</v>
      </c>
      <c r="BC69" s="33" t="n">
        <f aca="false">IF(AND(N('Hiring plan'!$F$65)&gt;0,BC$3&gt;='Hiring plan'!$G$65,BC$3&lt;=IF('Hiring plan'!$H$65="",999,'Hiring plan'!$H$65)),'Hiring plan'!$F$65,0)</f>
        <v>2</v>
      </c>
      <c r="BD69" s="33" t="n">
        <f aca="false">IF(AND(N('Hiring plan'!$F$65)&gt;0,BD$3&gt;='Hiring plan'!$G$65,BD$3&lt;=IF('Hiring plan'!$H$65="",999,'Hiring plan'!$H$65)),'Hiring plan'!$F$65,0)</f>
        <v>2</v>
      </c>
      <c r="BE69" s="33" t="n">
        <f aca="false">IF(AND(N('Hiring plan'!$F$65)&gt;0,BE$3&gt;='Hiring plan'!$G$65,BE$3&lt;=IF('Hiring plan'!$H$65="",999,'Hiring plan'!$H$65)),'Hiring plan'!$F$65,0)</f>
        <v>2</v>
      </c>
      <c r="BF69" s="33" t="n">
        <f aca="false">IF(AND(N('Hiring plan'!$F$65)&gt;0,BF$3&gt;='Hiring plan'!$G$65,BF$3&lt;=IF('Hiring plan'!$H$65="",999,'Hiring plan'!$H$65)),'Hiring plan'!$F$65,0)</f>
        <v>2</v>
      </c>
      <c r="BG69" s="33" t="n">
        <f aca="false">IF(AND(N('Hiring plan'!$F$65)&gt;0,BG$3&gt;='Hiring plan'!$G$65,BG$3&lt;=IF('Hiring plan'!$H$65="",999,'Hiring plan'!$H$65)),'Hiring plan'!$F$65,0)</f>
        <v>2</v>
      </c>
      <c r="BH69" s="33" t="n">
        <f aca="false">IF(AND(N('Hiring plan'!$F$65)&gt;0,BH$3&gt;='Hiring plan'!$G$65,BH$3&lt;=IF('Hiring plan'!$H$65="",999,'Hiring plan'!$H$65)),'Hiring plan'!$F$65,0)</f>
        <v>2</v>
      </c>
      <c r="BI69" s="33" t="n">
        <f aca="false">IF(AND(N('Hiring plan'!$F$65)&gt;0,BI$3&gt;='Hiring plan'!$G$65,BI$3&lt;=IF('Hiring plan'!$H$65="",999,'Hiring plan'!$H$65)),'Hiring plan'!$F$65,0)</f>
        <v>2</v>
      </c>
      <c r="BJ69" s="33" t="n">
        <f aca="false">IF(AND(N('Hiring plan'!$F$65)&gt;0,BJ$3&gt;='Hiring plan'!$G$65,BJ$3&lt;=IF('Hiring plan'!$H$65="",999,'Hiring plan'!$H$65)),'Hiring plan'!$F$65,0)</f>
        <v>2</v>
      </c>
      <c r="BK69" s="33" t="n">
        <f aca="false">IF(AND(N('Hiring plan'!$F$65)&gt;0,BK$3&gt;='Hiring plan'!$G$65,BK$3&lt;=IF('Hiring plan'!$H$65="",999,'Hiring plan'!$H$65)),'Hiring plan'!$F$65,0)</f>
        <v>2</v>
      </c>
      <c r="BL69" s="33" t="n">
        <f aca="false">IF(AND(N('Hiring plan'!$F$65)&gt;0,BL$3&gt;='Hiring plan'!$G$65,BL$3&lt;=IF('Hiring plan'!$H$65="",999,'Hiring plan'!$H$65)),'Hiring plan'!$F$65,0)</f>
        <v>2</v>
      </c>
    </row>
    <row r="70" customFormat="false" ht="15" hidden="false" customHeight="false" outlineLevel="0" collapsed="false">
      <c r="A70" s="12" t="str">
        <f aca="false">IF('Hiring plan'!$C$66="","(spare line 62)",'Hiring plan'!$C$66&amp;" · "&amp;'Hiring plan'!$D$66)</f>
        <v>Customer support agent · SN</v>
      </c>
      <c r="B70" s="14" t="s">
        <v>222</v>
      </c>
      <c r="D70" s="41" t="n">
        <f aca="false">MAX(E70:BL70)</f>
        <v>3</v>
      </c>
      <c r="E70" s="33" t="n">
        <f aca="false">IF(AND(N('Hiring plan'!$F$66)&gt;0,E$3&gt;='Hiring plan'!$G$66,E$3&lt;=IF('Hiring plan'!$H$66="",999,'Hiring plan'!$H$66)),'Hiring plan'!$F$66,0)</f>
        <v>0</v>
      </c>
      <c r="F70" s="33" t="n">
        <f aca="false">IF(AND(N('Hiring plan'!$F$66)&gt;0,F$3&gt;='Hiring plan'!$G$66,F$3&lt;=IF('Hiring plan'!$H$66="",999,'Hiring plan'!$H$66)),'Hiring plan'!$F$66,0)</f>
        <v>0</v>
      </c>
      <c r="G70" s="33" t="n">
        <f aca="false">IF(AND(N('Hiring plan'!$F$66)&gt;0,G$3&gt;='Hiring plan'!$G$66,G$3&lt;=IF('Hiring plan'!$H$66="",999,'Hiring plan'!$H$66)),'Hiring plan'!$F$66,0)</f>
        <v>0</v>
      </c>
      <c r="H70" s="33" t="n">
        <f aca="false">IF(AND(N('Hiring plan'!$F$66)&gt;0,H$3&gt;='Hiring plan'!$G$66,H$3&lt;=IF('Hiring plan'!$H$66="",999,'Hiring plan'!$H$66)),'Hiring plan'!$F$66,0)</f>
        <v>0</v>
      </c>
      <c r="I70" s="33" t="n">
        <f aca="false">IF(AND(N('Hiring plan'!$F$66)&gt;0,I$3&gt;='Hiring plan'!$G$66,I$3&lt;=IF('Hiring plan'!$H$66="",999,'Hiring plan'!$H$66)),'Hiring plan'!$F$66,0)</f>
        <v>0</v>
      </c>
      <c r="J70" s="33" t="n">
        <f aca="false">IF(AND(N('Hiring plan'!$F$66)&gt;0,J$3&gt;='Hiring plan'!$G$66,J$3&lt;=IF('Hiring plan'!$H$66="",999,'Hiring plan'!$H$66)),'Hiring plan'!$F$66,0)</f>
        <v>0</v>
      </c>
      <c r="K70" s="33" t="n">
        <f aca="false">IF(AND(N('Hiring plan'!$F$66)&gt;0,K$3&gt;='Hiring plan'!$G$66,K$3&lt;=IF('Hiring plan'!$H$66="",999,'Hiring plan'!$H$66)),'Hiring plan'!$F$66,0)</f>
        <v>0</v>
      </c>
      <c r="L70" s="33" t="n">
        <f aca="false">IF(AND(N('Hiring plan'!$F$66)&gt;0,L$3&gt;='Hiring plan'!$G$66,L$3&lt;=IF('Hiring plan'!$H$66="",999,'Hiring plan'!$H$66)),'Hiring plan'!$F$66,0)</f>
        <v>0</v>
      </c>
      <c r="M70" s="33" t="n">
        <f aca="false">IF(AND(N('Hiring plan'!$F$66)&gt;0,M$3&gt;='Hiring plan'!$G$66,M$3&lt;=IF('Hiring plan'!$H$66="",999,'Hiring plan'!$H$66)),'Hiring plan'!$F$66,0)</f>
        <v>0</v>
      </c>
      <c r="N70" s="33" t="n">
        <f aca="false">IF(AND(N('Hiring plan'!$F$66)&gt;0,N$3&gt;='Hiring plan'!$G$66,N$3&lt;=IF('Hiring plan'!$H$66="",999,'Hiring plan'!$H$66)),'Hiring plan'!$F$66,0)</f>
        <v>0</v>
      </c>
      <c r="O70" s="33" t="n">
        <f aca="false">IF(AND(N('Hiring plan'!$F$66)&gt;0,O$3&gt;='Hiring plan'!$G$66,O$3&lt;=IF('Hiring plan'!$H$66="",999,'Hiring plan'!$H$66)),'Hiring plan'!$F$66,0)</f>
        <v>0</v>
      </c>
      <c r="P70" s="33" t="n">
        <f aca="false">IF(AND(N('Hiring plan'!$F$66)&gt;0,P$3&gt;='Hiring plan'!$G$66,P$3&lt;=IF('Hiring plan'!$H$66="",999,'Hiring plan'!$H$66)),'Hiring plan'!$F$66,0)</f>
        <v>0</v>
      </c>
      <c r="Q70" s="33" t="n">
        <f aca="false">IF(AND(N('Hiring plan'!$F$66)&gt;0,Q$3&gt;='Hiring plan'!$G$66,Q$3&lt;=IF('Hiring plan'!$H$66="",999,'Hiring plan'!$H$66)),'Hiring plan'!$F$66,0)</f>
        <v>0</v>
      </c>
      <c r="R70" s="33" t="n">
        <f aca="false">IF(AND(N('Hiring plan'!$F$66)&gt;0,R$3&gt;='Hiring plan'!$G$66,R$3&lt;=IF('Hiring plan'!$H$66="",999,'Hiring plan'!$H$66)),'Hiring plan'!$F$66,0)</f>
        <v>0</v>
      </c>
      <c r="S70" s="33" t="n">
        <f aca="false">IF(AND(N('Hiring plan'!$F$66)&gt;0,S$3&gt;='Hiring plan'!$G$66,S$3&lt;=IF('Hiring plan'!$H$66="",999,'Hiring plan'!$H$66)),'Hiring plan'!$F$66,0)</f>
        <v>0</v>
      </c>
      <c r="T70" s="33" t="n">
        <f aca="false">IF(AND(N('Hiring plan'!$F$66)&gt;0,T$3&gt;='Hiring plan'!$G$66,T$3&lt;=IF('Hiring plan'!$H$66="",999,'Hiring plan'!$H$66)),'Hiring plan'!$F$66,0)</f>
        <v>0</v>
      </c>
      <c r="U70" s="33" t="n">
        <f aca="false">IF(AND(N('Hiring plan'!$F$66)&gt;0,U$3&gt;='Hiring plan'!$G$66,U$3&lt;=IF('Hiring plan'!$H$66="",999,'Hiring plan'!$H$66)),'Hiring plan'!$F$66,0)</f>
        <v>0</v>
      </c>
      <c r="V70" s="33" t="n">
        <f aca="false">IF(AND(N('Hiring plan'!$F$66)&gt;0,V$3&gt;='Hiring plan'!$G$66,V$3&lt;=IF('Hiring plan'!$H$66="",999,'Hiring plan'!$H$66)),'Hiring plan'!$F$66,0)</f>
        <v>0</v>
      </c>
      <c r="W70" s="33" t="n">
        <f aca="false">IF(AND(N('Hiring plan'!$F$66)&gt;0,W$3&gt;='Hiring plan'!$G$66,W$3&lt;=IF('Hiring plan'!$H$66="",999,'Hiring plan'!$H$66)),'Hiring plan'!$F$66,0)</f>
        <v>0</v>
      </c>
      <c r="X70" s="33" t="n">
        <f aca="false">IF(AND(N('Hiring plan'!$F$66)&gt;0,X$3&gt;='Hiring plan'!$G$66,X$3&lt;=IF('Hiring plan'!$H$66="",999,'Hiring plan'!$H$66)),'Hiring plan'!$F$66,0)</f>
        <v>0</v>
      </c>
      <c r="Y70" s="33" t="n">
        <f aca="false">IF(AND(N('Hiring plan'!$F$66)&gt;0,Y$3&gt;='Hiring plan'!$G$66,Y$3&lt;=IF('Hiring plan'!$H$66="",999,'Hiring plan'!$H$66)),'Hiring plan'!$F$66,0)</f>
        <v>0</v>
      </c>
      <c r="Z70" s="33" t="n">
        <f aca="false">IF(AND(N('Hiring plan'!$F$66)&gt;0,Z$3&gt;='Hiring plan'!$G$66,Z$3&lt;=IF('Hiring plan'!$H$66="",999,'Hiring plan'!$H$66)),'Hiring plan'!$F$66,0)</f>
        <v>0</v>
      </c>
      <c r="AA70" s="33" t="n">
        <f aca="false">IF(AND(N('Hiring plan'!$F$66)&gt;0,AA$3&gt;='Hiring plan'!$G$66,AA$3&lt;=IF('Hiring plan'!$H$66="",999,'Hiring plan'!$H$66)),'Hiring plan'!$F$66,0)</f>
        <v>0</v>
      </c>
      <c r="AB70" s="33" t="n">
        <f aca="false">IF(AND(N('Hiring plan'!$F$66)&gt;0,AB$3&gt;='Hiring plan'!$G$66,AB$3&lt;=IF('Hiring plan'!$H$66="",999,'Hiring plan'!$H$66)),'Hiring plan'!$F$66,0)</f>
        <v>0</v>
      </c>
      <c r="AC70" s="33" t="n">
        <f aca="false">IF(AND(N('Hiring plan'!$F$66)&gt;0,AC$3&gt;='Hiring plan'!$G$66,AC$3&lt;=IF('Hiring plan'!$H$66="",999,'Hiring plan'!$H$66)),'Hiring plan'!$F$66,0)</f>
        <v>0</v>
      </c>
      <c r="AD70" s="33" t="n">
        <f aca="false">IF(AND(N('Hiring plan'!$F$66)&gt;0,AD$3&gt;='Hiring plan'!$G$66,AD$3&lt;=IF('Hiring plan'!$H$66="",999,'Hiring plan'!$H$66)),'Hiring plan'!$F$66,0)</f>
        <v>0</v>
      </c>
      <c r="AE70" s="33" t="n">
        <f aca="false">IF(AND(N('Hiring plan'!$F$66)&gt;0,AE$3&gt;='Hiring plan'!$G$66,AE$3&lt;=IF('Hiring plan'!$H$66="",999,'Hiring plan'!$H$66)),'Hiring plan'!$F$66,0)</f>
        <v>0</v>
      </c>
      <c r="AF70" s="33" t="n">
        <f aca="false">IF(AND(N('Hiring plan'!$F$66)&gt;0,AF$3&gt;='Hiring plan'!$G$66,AF$3&lt;=IF('Hiring plan'!$H$66="",999,'Hiring plan'!$H$66)),'Hiring plan'!$F$66,0)</f>
        <v>0</v>
      </c>
      <c r="AG70" s="33" t="n">
        <f aca="false">IF(AND(N('Hiring plan'!$F$66)&gt;0,AG$3&gt;='Hiring plan'!$G$66,AG$3&lt;=IF('Hiring plan'!$H$66="",999,'Hiring plan'!$H$66)),'Hiring plan'!$F$66,0)</f>
        <v>0</v>
      </c>
      <c r="AH70" s="33" t="n">
        <f aca="false">IF(AND(N('Hiring plan'!$F$66)&gt;0,AH$3&gt;='Hiring plan'!$G$66,AH$3&lt;=IF('Hiring plan'!$H$66="",999,'Hiring plan'!$H$66)),'Hiring plan'!$F$66,0)</f>
        <v>0</v>
      </c>
      <c r="AI70" s="33" t="n">
        <f aca="false">IF(AND(N('Hiring plan'!$F$66)&gt;0,AI$3&gt;='Hiring plan'!$G$66,AI$3&lt;=IF('Hiring plan'!$H$66="",999,'Hiring plan'!$H$66)),'Hiring plan'!$F$66,0)</f>
        <v>0</v>
      </c>
      <c r="AJ70" s="33" t="n">
        <f aca="false">IF(AND(N('Hiring plan'!$F$66)&gt;0,AJ$3&gt;='Hiring plan'!$G$66,AJ$3&lt;=IF('Hiring plan'!$H$66="",999,'Hiring plan'!$H$66)),'Hiring plan'!$F$66,0)</f>
        <v>0</v>
      </c>
      <c r="AK70" s="33" t="n">
        <f aca="false">IF(AND(N('Hiring plan'!$F$66)&gt;0,AK$3&gt;='Hiring plan'!$G$66,AK$3&lt;=IF('Hiring plan'!$H$66="",999,'Hiring plan'!$H$66)),'Hiring plan'!$F$66,0)</f>
        <v>0</v>
      </c>
      <c r="AL70" s="33" t="n">
        <f aca="false">IF(AND(N('Hiring plan'!$F$66)&gt;0,AL$3&gt;='Hiring plan'!$G$66,AL$3&lt;=IF('Hiring plan'!$H$66="",999,'Hiring plan'!$H$66)),'Hiring plan'!$F$66,0)</f>
        <v>0</v>
      </c>
      <c r="AM70" s="33" t="n">
        <f aca="false">IF(AND(N('Hiring plan'!$F$66)&gt;0,AM$3&gt;='Hiring plan'!$G$66,AM$3&lt;=IF('Hiring plan'!$H$66="",999,'Hiring plan'!$H$66)),'Hiring plan'!$F$66,0)</f>
        <v>0</v>
      </c>
      <c r="AN70" s="33" t="n">
        <f aca="false">IF(AND(N('Hiring plan'!$F$66)&gt;0,AN$3&gt;='Hiring plan'!$G$66,AN$3&lt;=IF('Hiring plan'!$H$66="",999,'Hiring plan'!$H$66)),'Hiring plan'!$F$66,0)</f>
        <v>0</v>
      </c>
      <c r="AO70" s="33" t="n">
        <f aca="false">IF(AND(N('Hiring plan'!$F$66)&gt;0,AO$3&gt;='Hiring plan'!$G$66,AO$3&lt;=IF('Hiring plan'!$H$66="",999,'Hiring plan'!$H$66)),'Hiring plan'!$F$66,0)</f>
        <v>0</v>
      </c>
      <c r="AP70" s="33" t="n">
        <f aca="false">IF(AND(N('Hiring plan'!$F$66)&gt;0,AP$3&gt;='Hiring plan'!$G$66,AP$3&lt;=IF('Hiring plan'!$H$66="",999,'Hiring plan'!$H$66)),'Hiring plan'!$F$66,0)</f>
        <v>0</v>
      </c>
      <c r="AQ70" s="33" t="n">
        <f aca="false">IF(AND(N('Hiring plan'!$F$66)&gt;0,AQ$3&gt;='Hiring plan'!$G$66,AQ$3&lt;=IF('Hiring plan'!$H$66="",999,'Hiring plan'!$H$66)),'Hiring plan'!$F$66,0)</f>
        <v>0</v>
      </c>
      <c r="AR70" s="33" t="n">
        <f aca="false">IF(AND(N('Hiring plan'!$F$66)&gt;0,AR$3&gt;='Hiring plan'!$G$66,AR$3&lt;=IF('Hiring plan'!$H$66="",999,'Hiring plan'!$H$66)),'Hiring plan'!$F$66,0)</f>
        <v>0</v>
      </c>
      <c r="AS70" s="33" t="n">
        <f aca="false">IF(AND(N('Hiring plan'!$F$66)&gt;0,AS$3&gt;='Hiring plan'!$G$66,AS$3&lt;=IF('Hiring plan'!$H$66="",999,'Hiring plan'!$H$66)),'Hiring plan'!$F$66,0)</f>
        <v>0</v>
      </c>
      <c r="AT70" s="33" t="n">
        <f aca="false">IF(AND(N('Hiring plan'!$F$66)&gt;0,AT$3&gt;='Hiring plan'!$G$66,AT$3&lt;=IF('Hiring plan'!$H$66="",999,'Hiring plan'!$H$66)),'Hiring plan'!$F$66,0)</f>
        <v>0</v>
      </c>
      <c r="AU70" s="33" t="n">
        <f aca="false">IF(AND(N('Hiring plan'!$F$66)&gt;0,AU$3&gt;='Hiring plan'!$G$66,AU$3&lt;=IF('Hiring plan'!$H$66="",999,'Hiring plan'!$H$66)),'Hiring plan'!$F$66,0)</f>
        <v>0</v>
      </c>
      <c r="AV70" s="33" t="n">
        <f aca="false">IF(AND(N('Hiring plan'!$F$66)&gt;0,AV$3&gt;='Hiring plan'!$G$66,AV$3&lt;=IF('Hiring plan'!$H$66="",999,'Hiring plan'!$H$66)),'Hiring plan'!$F$66,0)</f>
        <v>0</v>
      </c>
      <c r="AW70" s="33" t="n">
        <f aca="false">IF(AND(N('Hiring plan'!$F$66)&gt;0,AW$3&gt;='Hiring plan'!$G$66,AW$3&lt;=IF('Hiring plan'!$H$66="",999,'Hiring plan'!$H$66)),'Hiring plan'!$F$66,0)</f>
        <v>0</v>
      </c>
      <c r="AX70" s="33" t="n">
        <f aca="false">IF(AND(N('Hiring plan'!$F$66)&gt;0,AX$3&gt;='Hiring plan'!$G$66,AX$3&lt;=IF('Hiring plan'!$H$66="",999,'Hiring plan'!$H$66)),'Hiring plan'!$F$66,0)</f>
        <v>0</v>
      </c>
      <c r="AY70" s="33" t="n">
        <f aca="false">IF(AND(N('Hiring plan'!$F$66)&gt;0,AY$3&gt;='Hiring plan'!$G$66,AY$3&lt;=IF('Hiring plan'!$H$66="",999,'Hiring plan'!$H$66)),'Hiring plan'!$F$66,0)</f>
        <v>0</v>
      </c>
      <c r="AZ70" s="33" t="n">
        <f aca="false">IF(AND(N('Hiring plan'!$F$66)&gt;0,AZ$3&gt;='Hiring plan'!$G$66,AZ$3&lt;=IF('Hiring plan'!$H$66="",999,'Hiring plan'!$H$66)),'Hiring plan'!$F$66,0)</f>
        <v>0</v>
      </c>
      <c r="BA70" s="33" t="n">
        <f aca="false">IF(AND(N('Hiring plan'!$F$66)&gt;0,BA$3&gt;='Hiring plan'!$G$66,BA$3&lt;=IF('Hiring plan'!$H$66="",999,'Hiring plan'!$H$66)),'Hiring plan'!$F$66,0)</f>
        <v>3</v>
      </c>
      <c r="BB70" s="33" t="n">
        <f aca="false">IF(AND(N('Hiring plan'!$F$66)&gt;0,BB$3&gt;='Hiring plan'!$G$66,BB$3&lt;=IF('Hiring plan'!$H$66="",999,'Hiring plan'!$H$66)),'Hiring plan'!$F$66,0)</f>
        <v>3</v>
      </c>
      <c r="BC70" s="33" t="n">
        <f aca="false">IF(AND(N('Hiring plan'!$F$66)&gt;0,BC$3&gt;='Hiring plan'!$G$66,BC$3&lt;=IF('Hiring plan'!$H$66="",999,'Hiring plan'!$H$66)),'Hiring plan'!$F$66,0)</f>
        <v>3</v>
      </c>
      <c r="BD70" s="33" t="n">
        <f aca="false">IF(AND(N('Hiring plan'!$F$66)&gt;0,BD$3&gt;='Hiring plan'!$G$66,BD$3&lt;=IF('Hiring plan'!$H$66="",999,'Hiring plan'!$H$66)),'Hiring plan'!$F$66,0)</f>
        <v>3</v>
      </c>
      <c r="BE70" s="33" t="n">
        <f aca="false">IF(AND(N('Hiring plan'!$F$66)&gt;0,BE$3&gt;='Hiring plan'!$G$66,BE$3&lt;=IF('Hiring plan'!$H$66="",999,'Hiring plan'!$H$66)),'Hiring plan'!$F$66,0)</f>
        <v>3</v>
      </c>
      <c r="BF70" s="33" t="n">
        <f aca="false">IF(AND(N('Hiring plan'!$F$66)&gt;0,BF$3&gt;='Hiring plan'!$G$66,BF$3&lt;=IF('Hiring plan'!$H$66="",999,'Hiring plan'!$H$66)),'Hiring plan'!$F$66,0)</f>
        <v>3</v>
      </c>
      <c r="BG70" s="33" t="n">
        <f aca="false">IF(AND(N('Hiring plan'!$F$66)&gt;0,BG$3&gt;='Hiring plan'!$G$66,BG$3&lt;=IF('Hiring plan'!$H$66="",999,'Hiring plan'!$H$66)),'Hiring plan'!$F$66,0)</f>
        <v>3</v>
      </c>
      <c r="BH70" s="33" t="n">
        <f aca="false">IF(AND(N('Hiring plan'!$F$66)&gt;0,BH$3&gt;='Hiring plan'!$G$66,BH$3&lt;=IF('Hiring plan'!$H$66="",999,'Hiring plan'!$H$66)),'Hiring plan'!$F$66,0)</f>
        <v>3</v>
      </c>
      <c r="BI70" s="33" t="n">
        <f aca="false">IF(AND(N('Hiring plan'!$F$66)&gt;0,BI$3&gt;='Hiring plan'!$G$66,BI$3&lt;=IF('Hiring plan'!$H$66="",999,'Hiring plan'!$H$66)),'Hiring plan'!$F$66,0)</f>
        <v>3</v>
      </c>
      <c r="BJ70" s="33" t="n">
        <f aca="false">IF(AND(N('Hiring plan'!$F$66)&gt;0,BJ$3&gt;='Hiring plan'!$G$66,BJ$3&lt;=IF('Hiring plan'!$H$66="",999,'Hiring plan'!$H$66)),'Hiring plan'!$F$66,0)</f>
        <v>3</v>
      </c>
      <c r="BK70" s="33" t="n">
        <f aca="false">IF(AND(N('Hiring plan'!$F$66)&gt;0,BK$3&gt;='Hiring plan'!$G$66,BK$3&lt;=IF('Hiring plan'!$H$66="",999,'Hiring plan'!$H$66)),'Hiring plan'!$F$66,0)</f>
        <v>3</v>
      </c>
      <c r="BL70" s="33" t="n">
        <f aca="false">IF(AND(N('Hiring plan'!$F$66)&gt;0,BL$3&gt;='Hiring plan'!$G$66,BL$3&lt;=IF('Hiring plan'!$H$66="",999,'Hiring plan'!$H$66)),'Hiring plan'!$F$66,0)</f>
        <v>3</v>
      </c>
    </row>
    <row r="71" customFormat="false" ht="15" hidden="false" customHeight="false" outlineLevel="0" collapsed="false">
      <c r="A71" s="12" t="str">
        <f aca="false">IF('Hiring plan'!$C$67="","(spare line 63)",'Hiring plan'!$C$67&amp;" · "&amp;'Hiring plan'!$D$67)</f>
        <v>KYC and support agent, Abidjan · CI</v>
      </c>
      <c r="B71" s="14" t="s">
        <v>222</v>
      </c>
      <c r="D71" s="41" t="n">
        <f aca="false">MAX(E71:BL71)</f>
        <v>2</v>
      </c>
      <c r="E71" s="33" t="n">
        <f aca="false">IF(AND(N('Hiring plan'!$F$67)&gt;0,E$3&gt;='Hiring plan'!$G$67,E$3&lt;=IF('Hiring plan'!$H$67="",999,'Hiring plan'!$H$67)),'Hiring plan'!$F$67,0)</f>
        <v>0</v>
      </c>
      <c r="F71" s="33" t="n">
        <f aca="false">IF(AND(N('Hiring plan'!$F$67)&gt;0,F$3&gt;='Hiring plan'!$G$67,F$3&lt;=IF('Hiring plan'!$H$67="",999,'Hiring plan'!$H$67)),'Hiring plan'!$F$67,0)</f>
        <v>0</v>
      </c>
      <c r="G71" s="33" t="n">
        <f aca="false">IF(AND(N('Hiring plan'!$F$67)&gt;0,G$3&gt;='Hiring plan'!$G$67,G$3&lt;=IF('Hiring plan'!$H$67="",999,'Hiring plan'!$H$67)),'Hiring plan'!$F$67,0)</f>
        <v>0</v>
      </c>
      <c r="H71" s="33" t="n">
        <f aca="false">IF(AND(N('Hiring plan'!$F$67)&gt;0,H$3&gt;='Hiring plan'!$G$67,H$3&lt;=IF('Hiring plan'!$H$67="",999,'Hiring plan'!$H$67)),'Hiring plan'!$F$67,0)</f>
        <v>0</v>
      </c>
      <c r="I71" s="33" t="n">
        <f aca="false">IF(AND(N('Hiring plan'!$F$67)&gt;0,I$3&gt;='Hiring plan'!$G$67,I$3&lt;=IF('Hiring plan'!$H$67="",999,'Hiring plan'!$H$67)),'Hiring plan'!$F$67,0)</f>
        <v>0</v>
      </c>
      <c r="J71" s="33" t="n">
        <f aca="false">IF(AND(N('Hiring plan'!$F$67)&gt;0,J$3&gt;='Hiring plan'!$G$67,J$3&lt;=IF('Hiring plan'!$H$67="",999,'Hiring plan'!$H$67)),'Hiring plan'!$F$67,0)</f>
        <v>0</v>
      </c>
      <c r="K71" s="33" t="n">
        <f aca="false">IF(AND(N('Hiring plan'!$F$67)&gt;0,K$3&gt;='Hiring plan'!$G$67,K$3&lt;=IF('Hiring plan'!$H$67="",999,'Hiring plan'!$H$67)),'Hiring plan'!$F$67,0)</f>
        <v>0</v>
      </c>
      <c r="L71" s="33" t="n">
        <f aca="false">IF(AND(N('Hiring plan'!$F$67)&gt;0,L$3&gt;='Hiring plan'!$G$67,L$3&lt;=IF('Hiring plan'!$H$67="",999,'Hiring plan'!$H$67)),'Hiring plan'!$F$67,0)</f>
        <v>0</v>
      </c>
      <c r="M71" s="33" t="n">
        <f aca="false">IF(AND(N('Hiring plan'!$F$67)&gt;0,M$3&gt;='Hiring plan'!$G$67,M$3&lt;=IF('Hiring plan'!$H$67="",999,'Hiring plan'!$H$67)),'Hiring plan'!$F$67,0)</f>
        <v>0</v>
      </c>
      <c r="N71" s="33" t="n">
        <f aca="false">IF(AND(N('Hiring plan'!$F$67)&gt;0,N$3&gt;='Hiring plan'!$G$67,N$3&lt;=IF('Hiring plan'!$H$67="",999,'Hiring plan'!$H$67)),'Hiring plan'!$F$67,0)</f>
        <v>0</v>
      </c>
      <c r="O71" s="33" t="n">
        <f aca="false">IF(AND(N('Hiring plan'!$F$67)&gt;0,O$3&gt;='Hiring plan'!$G$67,O$3&lt;=IF('Hiring plan'!$H$67="",999,'Hiring plan'!$H$67)),'Hiring plan'!$F$67,0)</f>
        <v>0</v>
      </c>
      <c r="P71" s="33" t="n">
        <f aca="false">IF(AND(N('Hiring plan'!$F$67)&gt;0,P$3&gt;='Hiring plan'!$G$67,P$3&lt;=IF('Hiring plan'!$H$67="",999,'Hiring plan'!$H$67)),'Hiring plan'!$F$67,0)</f>
        <v>0</v>
      </c>
      <c r="Q71" s="33" t="n">
        <f aca="false">IF(AND(N('Hiring plan'!$F$67)&gt;0,Q$3&gt;='Hiring plan'!$G$67,Q$3&lt;=IF('Hiring plan'!$H$67="",999,'Hiring plan'!$H$67)),'Hiring plan'!$F$67,0)</f>
        <v>0</v>
      </c>
      <c r="R71" s="33" t="n">
        <f aca="false">IF(AND(N('Hiring plan'!$F$67)&gt;0,R$3&gt;='Hiring plan'!$G$67,R$3&lt;=IF('Hiring plan'!$H$67="",999,'Hiring plan'!$H$67)),'Hiring plan'!$F$67,0)</f>
        <v>0</v>
      </c>
      <c r="S71" s="33" t="n">
        <f aca="false">IF(AND(N('Hiring plan'!$F$67)&gt;0,S$3&gt;='Hiring plan'!$G$67,S$3&lt;=IF('Hiring plan'!$H$67="",999,'Hiring plan'!$H$67)),'Hiring plan'!$F$67,0)</f>
        <v>0</v>
      </c>
      <c r="T71" s="33" t="n">
        <f aca="false">IF(AND(N('Hiring plan'!$F$67)&gt;0,T$3&gt;='Hiring plan'!$G$67,T$3&lt;=IF('Hiring plan'!$H$67="",999,'Hiring plan'!$H$67)),'Hiring plan'!$F$67,0)</f>
        <v>0</v>
      </c>
      <c r="U71" s="33" t="n">
        <f aca="false">IF(AND(N('Hiring plan'!$F$67)&gt;0,U$3&gt;='Hiring plan'!$G$67,U$3&lt;=IF('Hiring plan'!$H$67="",999,'Hiring plan'!$H$67)),'Hiring plan'!$F$67,0)</f>
        <v>0</v>
      </c>
      <c r="V71" s="33" t="n">
        <f aca="false">IF(AND(N('Hiring plan'!$F$67)&gt;0,V$3&gt;='Hiring plan'!$G$67,V$3&lt;=IF('Hiring plan'!$H$67="",999,'Hiring plan'!$H$67)),'Hiring plan'!$F$67,0)</f>
        <v>0</v>
      </c>
      <c r="W71" s="33" t="n">
        <f aca="false">IF(AND(N('Hiring plan'!$F$67)&gt;0,W$3&gt;='Hiring plan'!$G$67,W$3&lt;=IF('Hiring plan'!$H$67="",999,'Hiring plan'!$H$67)),'Hiring plan'!$F$67,0)</f>
        <v>0</v>
      </c>
      <c r="X71" s="33" t="n">
        <f aca="false">IF(AND(N('Hiring plan'!$F$67)&gt;0,X$3&gt;='Hiring plan'!$G$67,X$3&lt;=IF('Hiring plan'!$H$67="",999,'Hiring plan'!$H$67)),'Hiring plan'!$F$67,0)</f>
        <v>0</v>
      </c>
      <c r="Y71" s="33" t="n">
        <f aca="false">IF(AND(N('Hiring plan'!$F$67)&gt;0,Y$3&gt;='Hiring plan'!$G$67,Y$3&lt;=IF('Hiring plan'!$H$67="",999,'Hiring plan'!$H$67)),'Hiring plan'!$F$67,0)</f>
        <v>0</v>
      </c>
      <c r="Z71" s="33" t="n">
        <f aca="false">IF(AND(N('Hiring plan'!$F$67)&gt;0,Z$3&gt;='Hiring plan'!$G$67,Z$3&lt;=IF('Hiring plan'!$H$67="",999,'Hiring plan'!$H$67)),'Hiring plan'!$F$67,0)</f>
        <v>0</v>
      </c>
      <c r="AA71" s="33" t="n">
        <f aca="false">IF(AND(N('Hiring plan'!$F$67)&gt;0,AA$3&gt;='Hiring plan'!$G$67,AA$3&lt;=IF('Hiring plan'!$H$67="",999,'Hiring plan'!$H$67)),'Hiring plan'!$F$67,0)</f>
        <v>0</v>
      </c>
      <c r="AB71" s="33" t="n">
        <f aca="false">IF(AND(N('Hiring plan'!$F$67)&gt;0,AB$3&gt;='Hiring plan'!$G$67,AB$3&lt;=IF('Hiring plan'!$H$67="",999,'Hiring plan'!$H$67)),'Hiring plan'!$F$67,0)</f>
        <v>0</v>
      </c>
      <c r="AC71" s="33" t="n">
        <f aca="false">IF(AND(N('Hiring plan'!$F$67)&gt;0,AC$3&gt;='Hiring plan'!$G$67,AC$3&lt;=IF('Hiring plan'!$H$67="",999,'Hiring plan'!$H$67)),'Hiring plan'!$F$67,0)</f>
        <v>0</v>
      </c>
      <c r="AD71" s="33" t="n">
        <f aca="false">IF(AND(N('Hiring plan'!$F$67)&gt;0,AD$3&gt;='Hiring plan'!$G$67,AD$3&lt;=IF('Hiring plan'!$H$67="",999,'Hiring plan'!$H$67)),'Hiring plan'!$F$67,0)</f>
        <v>0</v>
      </c>
      <c r="AE71" s="33" t="n">
        <f aca="false">IF(AND(N('Hiring plan'!$F$67)&gt;0,AE$3&gt;='Hiring plan'!$G$67,AE$3&lt;=IF('Hiring plan'!$H$67="",999,'Hiring plan'!$H$67)),'Hiring plan'!$F$67,0)</f>
        <v>0</v>
      </c>
      <c r="AF71" s="33" t="n">
        <f aca="false">IF(AND(N('Hiring plan'!$F$67)&gt;0,AF$3&gt;='Hiring plan'!$G$67,AF$3&lt;=IF('Hiring plan'!$H$67="",999,'Hiring plan'!$H$67)),'Hiring plan'!$F$67,0)</f>
        <v>0</v>
      </c>
      <c r="AG71" s="33" t="n">
        <f aca="false">IF(AND(N('Hiring plan'!$F$67)&gt;0,AG$3&gt;='Hiring plan'!$G$67,AG$3&lt;=IF('Hiring plan'!$H$67="",999,'Hiring plan'!$H$67)),'Hiring plan'!$F$67,0)</f>
        <v>0</v>
      </c>
      <c r="AH71" s="33" t="n">
        <f aca="false">IF(AND(N('Hiring plan'!$F$67)&gt;0,AH$3&gt;='Hiring plan'!$G$67,AH$3&lt;=IF('Hiring plan'!$H$67="",999,'Hiring plan'!$H$67)),'Hiring plan'!$F$67,0)</f>
        <v>0</v>
      </c>
      <c r="AI71" s="33" t="n">
        <f aca="false">IF(AND(N('Hiring plan'!$F$67)&gt;0,AI$3&gt;='Hiring plan'!$G$67,AI$3&lt;=IF('Hiring plan'!$H$67="",999,'Hiring plan'!$H$67)),'Hiring plan'!$F$67,0)</f>
        <v>0</v>
      </c>
      <c r="AJ71" s="33" t="n">
        <f aca="false">IF(AND(N('Hiring plan'!$F$67)&gt;0,AJ$3&gt;='Hiring plan'!$G$67,AJ$3&lt;=IF('Hiring plan'!$H$67="",999,'Hiring plan'!$H$67)),'Hiring plan'!$F$67,0)</f>
        <v>0</v>
      </c>
      <c r="AK71" s="33" t="n">
        <f aca="false">IF(AND(N('Hiring plan'!$F$67)&gt;0,AK$3&gt;='Hiring plan'!$G$67,AK$3&lt;=IF('Hiring plan'!$H$67="",999,'Hiring plan'!$H$67)),'Hiring plan'!$F$67,0)</f>
        <v>0</v>
      </c>
      <c r="AL71" s="33" t="n">
        <f aca="false">IF(AND(N('Hiring plan'!$F$67)&gt;0,AL$3&gt;='Hiring plan'!$G$67,AL$3&lt;=IF('Hiring plan'!$H$67="",999,'Hiring plan'!$H$67)),'Hiring plan'!$F$67,0)</f>
        <v>0</v>
      </c>
      <c r="AM71" s="33" t="n">
        <f aca="false">IF(AND(N('Hiring plan'!$F$67)&gt;0,AM$3&gt;='Hiring plan'!$G$67,AM$3&lt;=IF('Hiring plan'!$H$67="",999,'Hiring plan'!$H$67)),'Hiring plan'!$F$67,0)</f>
        <v>0</v>
      </c>
      <c r="AN71" s="33" t="n">
        <f aca="false">IF(AND(N('Hiring plan'!$F$67)&gt;0,AN$3&gt;='Hiring plan'!$G$67,AN$3&lt;=IF('Hiring plan'!$H$67="",999,'Hiring plan'!$H$67)),'Hiring plan'!$F$67,0)</f>
        <v>0</v>
      </c>
      <c r="AO71" s="33" t="n">
        <f aca="false">IF(AND(N('Hiring plan'!$F$67)&gt;0,AO$3&gt;='Hiring plan'!$G$67,AO$3&lt;=IF('Hiring plan'!$H$67="",999,'Hiring plan'!$H$67)),'Hiring plan'!$F$67,0)</f>
        <v>0</v>
      </c>
      <c r="AP71" s="33" t="n">
        <f aca="false">IF(AND(N('Hiring plan'!$F$67)&gt;0,AP$3&gt;='Hiring plan'!$G$67,AP$3&lt;=IF('Hiring plan'!$H$67="",999,'Hiring plan'!$H$67)),'Hiring plan'!$F$67,0)</f>
        <v>0</v>
      </c>
      <c r="AQ71" s="33" t="n">
        <f aca="false">IF(AND(N('Hiring plan'!$F$67)&gt;0,AQ$3&gt;='Hiring plan'!$G$67,AQ$3&lt;=IF('Hiring plan'!$H$67="",999,'Hiring plan'!$H$67)),'Hiring plan'!$F$67,0)</f>
        <v>0</v>
      </c>
      <c r="AR71" s="33" t="n">
        <f aca="false">IF(AND(N('Hiring plan'!$F$67)&gt;0,AR$3&gt;='Hiring plan'!$G$67,AR$3&lt;=IF('Hiring plan'!$H$67="",999,'Hiring plan'!$H$67)),'Hiring plan'!$F$67,0)</f>
        <v>0</v>
      </c>
      <c r="AS71" s="33" t="n">
        <f aca="false">IF(AND(N('Hiring plan'!$F$67)&gt;0,AS$3&gt;='Hiring plan'!$G$67,AS$3&lt;=IF('Hiring plan'!$H$67="",999,'Hiring plan'!$H$67)),'Hiring plan'!$F$67,0)</f>
        <v>0</v>
      </c>
      <c r="AT71" s="33" t="n">
        <f aca="false">IF(AND(N('Hiring plan'!$F$67)&gt;0,AT$3&gt;='Hiring plan'!$G$67,AT$3&lt;=IF('Hiring plan'!$H$67="",999,'Hiring plan'!$H$67)),'Hiring plan'!$F$67,0)</f>
        <v>0</v>
      </c>
      <c r="AU71" s="33" t="n">
        <f aca="false">IF(AND(N('Hiring plan'!$F$67)&gt;0,AU$3&gt;='Hiring plan'!$G$67,AU$3&lt;=IF('Hiring plan'!$H$67="",999,'Hiring plan'!$H$67)),'Hiring plan'!$F$67,0)</f>
        <v>0</v>
      </c>
      <c r="AV71" s="33" t="n">
        <f aca="false">IF(AND(N('Hiring plan'!$F$67)&gt;0,AV$3&gt;='Hiring plan'!$G$67,AV$3&lt;=IF('Hiring plan'!$H$67="",999,'Hiring plan'!$H$67)),'Hiring plan'!$F$67,0)</f>
        <v>0</v>
      </c>
      <c r="AW71" s="33" t="n">
        <f aca="false">IF(AND(N('Hiring plan'!$F$67)&gt;0,AW$3&gt;='Hiring plan'!$G$67,AW$3&lt;=IF('Hiring plan'!$H$67="",999,'Hiring plan'!$H$67)),'Hiring plan'!$F$67,0)</f>
        <v>0</v>
      </c>
      <c r="AX71" s="33" t="n">
        <f aca="false">IF(AND(N('Hiring plan'!$F$67)&gt;0,AX$3&gt;='Hiring plan'!$G$67,AX$3&lt;=IF('Hiring plan'!$H$67="",999,'Hiring plan'!$H$67)),'Hiring plan'!$F$67,0)</f>
        <v>0</v>
      </c>
      <c r="AY71" s="33" t="n">
        <f aca="false">IF(AND(N('Hiring plan'!$F$67)&gt;0,AY$3&gt;='Hiring plan'!$G$67,AY$3&lt;=IF('Hiring plan'!$H$67="",999,'Hiring plan'!$H$67)),'Hiring plan'!$F$67,0)</f>
        <v>0</v>
      </c>
      <c r="AZ71" s="33" t="n">
        <f aca="false">IF(AND(N('Hiring plan'!$F$67)&gt;0,AZ$3&gt;='Hiring plan'!$G$67,AZ$3&lt;=IF('Hiring plan'!$H$67="",999,'Hiring plan'!$H$67)),'Hiring plan'!$F$67,0)</f>
        <v>0</v>
      </c>
      <c r="BA71" s="33" t="n">
        <f aca="false">IF(AND(N('Hiring plan'!$F$67)&gt;0,BA$3&gt;='Hiring plan'!$G$67,BA$3&lt;=IF('Hiring plan'!$H$67="",999,'Hiring plan'!$H$67)),'Hiring plan'!$F$67,0)</f>
        <v>2</v>
      </c>
      <c r="BB71" s="33" t="n">
        <f aca="false">IF(AND(N('Hiring plan'!$F$67)&gt;0,BB$3&gt;='Hiring plan'!$G$67,BB$3&lt;=IF('Hiring plan'!$H$67="",999,'Hiring plan'!$H$67)),'Hiring plan'!$F$67,0)</f>
        <v>2</v>
      </c>
      <c r="BC71" s="33" t="n">
        <f aca="false">IF(AND(N('Hiring plan'!$F$67)&gt;0,BC$3&gt;='Hiring plan'!$G$67,BC$3&lt;=IF('Hiring plan'!$H$67="",999,'Hiring plan'!$H$67)),'Hiring plan'!$F$67,0)</f>
        <v>2</v>
      </c>
      <c r="BD71" s="33" t="n">
        <f aca="false">IF(AND(N('Hiring plan'!$F$67)&gt;0,BD$3&gt;='Hiring plan'!$G$67,BD$3&lt;=IF('Hiring plan'!$H$67="",999,'Hiring plan'!$H$67)),'Hiring plan'!$F$67,0)</f>
        <v>2</v>
      </c>
      <c r="BE71" s="33" t="n">
        <f aca="false">IF(AND(N('Hiring plan'!$F$67)&gt;0,BE$3&gt;='Hiring plan'!$G$67,BE$3&lt;=IF('Hiring plan'!$H$67="",999,'Hiring plan'!$H$67)),'Hiring plan'!$F$67,0)</f>
        <v>2</v>
      </c>
      <c r="BF71" s="33" t="n">
        <f aca="false">IF(AND(N('Hiring plan'!$F$67)&gt;0,BF$3&gt;='Hiring plan'!$G$67,BF$3&lt;=IF('Hiring plan'!$H$67="",999,'Hiring plan'!$H$67)),'Hiring plan'!$F$67,0)</f>
        <v>2</v>
      </c>
      <c r="BG71" s="33" t="n">
        <f aca="false">IF(AND(N('Hiring plan'!$F$67)&gt;0,BG$3&gt;='Hiring plan'!$G$67,BG$3&lt;=IF('Hiring plan'!$H$67="",999,'Hiring plan'!$H$67)),'Hiring plan'!$F$67,0)</f>
        <v>2</v>
      </c>
      <c r="BH71" s="33" t="n">
        <f aca="false">IF(AND(N('Hiring plan'!$F$67)&gt;0,BH$3&gt;='Hiring plan'!$G$67,BH$3&lt;=IF('Hiring plan'!$H$67="",999,'Hiring plan'!$H$67)),'Hiring plan'!$F$67,0)</f>
        <v>2</v>
      </c>
      <c r="BI71" s="33" t="n">
        <f aca="false">IF(AND(N('Hiring plan'!$F$67)&gt;0,BI$3&gt;='Hiring plan'!$G$67,BI$3&lt;=IF('Hiring plan'!$H$67="",999,'Hiring plan'!$H$67)),'Hiring plan'!$F$67,0)</f>
        <v>2</v>
      </c>
      <c r="BJ71" s="33" t="n">
        <f aca="false">IF(AND(N('Hiring plan'!$F$67)&gt;0,BJ$3&gt;='Hiring plan'!$G$67,BJ$3&lt;=IF('Hiring plan'!$H$67="",999,'Hiring plan'!$H$67)),'Hiring plan'!$F$67,0)</f>
        <v>2</v>
      </c>
      <c r="BK71" s="33" t="n">
        <f aca="false">IF(AND(N('Hiring plan'!$F$67)&gt;0,BK$3&gt;='Hiring plan'!$G$67,BK$3&lt;=IF('Hiring plan'!$H$67="",999,'Hiring plan'!$H$67)),'Hiring plan'!$F$67,0)</f>
        <v>2</v>
      </c>
      <c r="BL71" s="33" t="n">
        <f aca="false">IF(AND(N('Hiring plan'!$F$67)&gt;0,BL$3&gt;='Hiring plan'!$G$67,BL$3&lt;=IF('Hiring plan'!$H$67="",999,'Hiring plan'!$H$67)),'Hiring plan'!$F$67,0)</f>
        <v>2</v>
      </c>
    </row>
    <row r="72" customFormat="false" ht="15" hidden="false" customHeight="false" outlineLevel="0" collapsed="false">
      <c r="A72" s="12" t="str">
        <f aca="false">IF('Hiring plan'!$C$68="","(spare line 64)",'Hiring plan'!$C$68&amp;" · "&amp;'Hiring plan'!$D$68)</f>
        <v>(spare line 64)</v>
      </c>
      <c r="B72" s="14" t="s">
        <v>222</v>
      </c>
      <c r="D72" s="41" t="n">
        <f aca="false">MAX(E72:BL72)</f>
        <v>0</v>
      </c>
      <c r="E72" s="33" t="n">
        <f aca="false">IF(AND(N('Hiring plan'!$F$68)&gt;0,E$3&gt;='Hiring plan'!$G$68,E$3&lt;=IF('Hiring plan'!$H$68="",999,'Hiring plan'!$H$68)),'Hiring plan'!$F$68,0)</f>
        <v>0</v>
      </c>
      <c r="F72" s="33" t="n">
        <f aca="false">IF(AND(N('Hiring plan'!$F$68)&gt;0,F$3&gt;='Hiring plan'!$G$68,F$3&lt;=IF('Hiring plan'!$H$68="",999,'Hiring plan'!$H$68)),'Hiring plan'!$F$68,0)</f>
        <v>0</v>
      </c>
      <c r="G72" s="33" t="n">
        <f aca="false">IF(AND(N('Hiring plan'!$F$68)&gt;0,G$3&gt;='Hiring plan'!$G$68,G$3&lt;=IF('Hiring plan'!$H$68="",999,'Hiring plan'!$H$68)),'Hiring plan'!$F$68,0)</f>
        <v>0</v>
      </c>
      <c r="H72" s="33" t="n">
        <f aca="false">IF(AND(N('Hiring plan'!$F$68)&gt;0,H$3&gt;='Hiring plan'!$G$68,H$3&lt;=IF('Hiring plan'!$H$68="",999,'Hiring plan'!$H$68)),'Hiring plan'!$F$68,0)</f>
        <v>0</v>
      </c>
      <c r="I72" s="33" t="n">
        <f aca="false">IF(AND(N('Hiring plan'!$F$68)&gt;0,I$3&gt;='Hiring plan'!$G$68,I$3&lt;=IF('Hiring plan'!$H$68="",999,'Hiring plan'!$H$68)),'Hiring plan'!$F$68,0)</f>
        <v>0</v>
      </c>
      <c r="J72" s="33" t="n">
        <f aca="false">IF(AND(N('Hiring plan'!$F$68)&gt;0,J$3&gt;='Hiring plan'!$G$68,J$3&lt;=IF('Hiring plan'!$H$68="",999,'Hiring plan'!$H$68)),'Hiring plan'!$F$68,0)</f>
        <v>0</v>
      </c>
      <c r="K72" s="33" t="n">
        <f aca="false">IF(AND(N('Hiring plan'!$F$68)&gt;0,K$3&gt;='Hiring plan'!$G$68,K$3&lt;=IF('Hiring plan'!$H$68="",999,'Hiring plan'!$H$68)),'Hiring plan'!$F$68,0)</f>
        <v>0</v>
      </c>
      <c r="L72" s="33" t="n">
        <f aca="false">IF(AND(N('Hiring plan'!$F$68)&gt;0,L$3&gt;='Hiring plan'!$G$68,L$3&lt;=IF('Hiring plan'!$H$68="",999,'Hiring plan'!$H$68)),'Hiring plan'!$F$68,0)</f>
        <v>0</v>
      </c>
      <c r="M72" s="33" t="n">
        <f aca="false">IF(AND(N('Hiring plan'!$F$68)&gt;0,M$3&gt;='Hiring plan'!$G$68,M$3&lt;=IF('Hiring plan'!$H$68="",999,'Hiring plan'!$H$68)),'Hiring plan'!$F$68,0)</f>
        <v>0</v>
      </c>
      <c r="N72" s="33" t="n">
        <f aca="false">IF(AND(N('Hiring plan'!$F$68)&gt;0,N$3&gt;='Hiring plan'!$G$68,N$3&lt;=IF('Hiring plan'!$H$68="",999,'Hiring plan'!$H$68)),'Hiring plan'!$F$68,0)</f>
        <v>0</v>
      </c>
      <c r="O72" s="33" t="n">
        <f aca="false">IF(AND(N('Hiring plan'!$F$68)&gt;0,O$3&gt;='Hiring plan'!$G$68,O$3&lt;=IF('Hiring plan'!$H$68="",999,'Hiring plan'!$H$68)),'Hiring plan'!$F$68,0)</f>
        <v>0</v>
      </c>
      <c r="P72" s="33" t="n">
        <f aca="false">IF(AND(N('Hiring plan'!$F$68)&gt;0,P$3&gt;='Hiring plan'!$G$68,P$3&lt;=IF('Hiring plan'!$H$68="",999,'Hiring plan'!$H$68)),'Hiring plan'!$F$68,0)</f>
        <v>0</v>
      </c>
      <c r="Q72" s="33" t="n">
        <f aca="false">IF(AND(N('Hiring plan'!$F$68)&gt;0,Q$3&gt;='Hiring plan'!$G$68,Q$3&lt;=IF('Hiring plan'!$H$68="",999,'Hiring plan'!$H$68)),'Hiring plan'!$F$68,0)</f>
        <v>0</v>
      </c>
      <c r="R72" s="33" t="n">
        <f aca="false">IF(AND(N('Hiring plan'!$F$68)&gt;0,R$3&gt;='Hiring plan'!$G$68,R$3&lt;=IF('Hiring plan'!$H$68="",999,'Hiring plan'!$H$68)),'Hiring plan'!$F$68,0)</f>
        <v>0</v>
      </c>
      <c r="S72" s="33" t="n">
        <f aca="false">IF(AND(N('Hiring plan'!$F$68)&gt;0,S$3&gt;='Hiring plan'!$G$68,S$3&lt;=IF('Hiring plan'!$H$68="",999,'Hiring plan'!$H$68)),'Hiring plan'!$F$68,0)</f>
        <v>0</v>
      </c>
      <c r="T72" s="33" t="n">
        <f aca="false">IF(AND(N('Hiring plan'!$F$68)&gt;0,T$3&gt;='Hiring plan'!$G$68,T$3&lt;=IF('Hiring plan'!$H$68="",999,'Hiring plan'!$H$68)),'Hiring plan'!$F$68,0)</f>
        <v>0</v>
      </c>
      <c r="U72" s="33" t="n">
        <f aca="false">IF(AND(N('Hiring plan'!$F$68)&gt;0,U$3&gt;='Hiring plan'!$G$68,U$3&lt;=IF('Hiring plan'!$H$68="",999,'Hiring plan'!$H$68)),'Hiring plan'!$F$68,0)</f>
        <v>0</v>
      </c>
      <c r="V72" s="33" t="n">
        <f aca="false">IF(AND(N('Hiring plan'!$F$68)&gt;0,V$3&gt;='Hiring plan'!$G$68,V$3&lt;=IF('Hiring plan'!$H$68="",999,'Hiring plan'!$H$68)),'Hiring plan'!$F$68,0)</f>
        <v>0</v>
      </c>
      <c r="W72" s="33" t="n">
        <f aca="false">IF(AND(N('Hiring plan'!$F$68)&gt;0,W$3&gt;='Hiring plan'!$G$68,W$3&lt;=IF('Hiring plan'!$H$68="",999,'Hiring plan'!$H$68)),'Hiring plan'!$F$68,0)</f>
        <v>0</v>
      </c>
      <c r="X72" s="33" t="n">
        <f aca="false">IF(AND(N('Hiring plan'!$F$68)&gt;0,X$3&gt;='Hiring plan'!$G$68,X$3&lt;=IF('Hiring plan'!$H$68="",999,'Hiring plan'!$H$68)),'Hiring plan'!$F$68,0)</f>
        <v>0</v>
      </c>
      <c r="Y72" s="33" t="n">
        <f aca="false">IF(AND(N('Hiring plan'!$F$68)&gt;0,Y$3&gt;='Hiring plan'!$G$68,Y$3&lt;=IF('Hiring plan'!$H$68="",999,'Hiring plan'!$H$68)),'Hiring plan'!$F$68,0)</f>
        <v>0</v>
      </c>
      <c r="Z72" s="33" t="n">
        <f aca="false">IF(AND(N('Hiring plan'!$F$68)&gt;0,Z$3&gt;='Hiring plan'!$G$68,Z$3&lt;=IF('Hiring plan'!$H$68="",999,'Hiring plan'!$H$68)),'Hiring plan'!$F$68,0)</f>
        <v>0</v>
      </c>
      <c r="AA72" s="33" t="n">
        <f aca="false">IF(AND(N('Hiring plan'!$F$68)&gt;0,AA$3&gt;='Hiring plan'!$G$68,AA$3&lt;=IF('Hiring plan'!$H$68="",999,'Hiring plan'!$H$68)),'Hiring plan'!$F$68,0)</f>
        <v>0</v>
      </c>
      <c r="AB72" s="33" t="n">
        <f aca="false">IF(AND(N('Hiring plan'!$F$68)&gt;0,AB$3&gt;='Hiring plan'!$G$68,AB$3&lt;=IF('Hiring plan'!$H$68="",999,'Hiring plan'!$H$68)),'Hiring plan'!$F$68,0)</f>
        <v>0</v>
      </c>
      <c r="AC72" s="33" t="n">
        <f aca="false">IF(AND(N('Hiring plan'!$F$68)&gt;0,AC$3&gt;='Hiring plan'!$G$68,AC$3&lt;=IF('Hiring plan'!$H$68="",999,'Hiring plan'!$H$68)),'Hiring plan'!$F$68,0)</f>
        <v>0</v>
      </c>
      <c r="AD72" s="33" t="n">
        <f aca="false">IF(AND(N('Hiring plan'!$F$68)&gt;0,AD$3&gt;='Hiring plan'!$G$68,AD$3&lt;=IF('Hiring plan'!$H$68="",999,'Hiring plan'!$H$68)),'Hiring plan'!$F$68,0)</f>
        <v>0</v>
      </c>
      <c r="AE72" s="33" t="n">
        <f aca="false">IF(AND(N('Hiring plan'!$F$68)&gt;0,AE$3&gt;='Hiring plan'!$G$68,AE$3&lt;=IF('Hiring plan'!$H$68="",999,'Hiring plan'!$H$68)),'Hiring plan'!$F$68,0)</f>
        <v>0</v>
      </c>
      <c r="AF72" s="33" t="n">
        <f aca="false">IF(AND(N('Hiring plan'!$F$68)&gt;0,AF$3&gt;='Hiring plan'!$G$68,AF$3&lt;=IF('Hiring plan'!$H$68="",999,'Hiring plan'!$H$68)),'Hiring plan'!$F$68,0)</f>
        <v>0</v>
      </c>
      <c r="AG72" s="33" t="n">
        <f aca="false">IF(AND(N('Hiring plan'!$F$68)&gt;0,AG$3&gt;='Hiring plan'!$G$68,AG$3&lt;=IF('Hiring plan'!$H$68="",999,'Hiring plan'!$H$68)),'Hiring plan'!$F$68,0)</f>
        <v>0</v>
      </c>
      <c r="AH72" s="33" t="n">
        <f aca="false">IF(AND(N('Hiring plan'!$F$68)&gt;0,AH$3&gt;='Hiring plan'!$G$68,AH$3&lt;=IF('Hiring plan'!$H$68="",999,'Hiring plan'!$H$68)),'Hiring plan'!$F$68,0)</f>
        <v>0</v>
      </c>
      <c r="AI72" s="33" t="n">
        <f aca="false">IF(AND(N('Hiring plan'!$F$68)&gt;0,AI$3&gt;='Hiring plan'!$G$68,AI$3&lt;=IF('Hiring plan'!$H$68="",999,'Hiring plan'!$H$68)),'Hiring plan'!$F$68,0)</f>
        <v>0</v>
      </c>
      <c r="AJ72" s="33" t="n">
        <f aca="false">IF(AND(N('Hiring plan'!$F$68)&gt;0,AJ$3&gt;='Hiring plan'!$G$68,AJ$3&lt;=IF('Hiring plan'!$H$68="",999,'Hiring plan'!$H$68)),'Hiring plan'!$F$68,0)</f>
        <v>0</v>
      </c>
      <c r="AK72" s="33" t="n">
        <f aca="false">IF(AND(N('Hiring plan'!$F$68)&gt;0,AK$3&gt;='Hiring plan'!$G$68,AK$3&lt;=IF('Hiring plan'!$H$68="",999,'Hiring plan'!$H$68)),'Hiring plan'!$F$68,0)</f>
        <v>0</v>
      </c>
      <c r="AL72" s="33" t="n">
        <f aca="false">IF(AND(N('Hiring plan'!$F$68)&gt;0,AL$3&gt;='Hiring plan'!$G$68,AL$3&lt;=IF('Hiring plan'!$H$68="",999,'Hiring plan'!$H$68)),'Hiring plan'!$F$68,0)</f>
        <v>0</v>
      </c>
      <c r="AM72" s="33" t="n">
        <f aca="false">IF(AND(N('Hiring plan'!$F$68)&gt;0,AM$3&gt;='Hiring plan'!$G$68,AM$3&lt;=IF('Hiring plan'!$H$68="",999,'Hiring plan'!$H$68)),'Hiring plan'!$F$68,0)</f>
        <v>0</v>
      </c>
      <c r="AN72" s="33" t="n">
        <f aca="false">IF(AND(N('Hiring plan'!$F$68)&gt;0,AN$3&gt;='Hiring plan'!$G$68,AN$3&lt;=IF('Hiring plan'!$H$68="",999,'Hiring plan'!$H$68)),'Hiring plan'!$F$68,0)</f>
        <v>0</v>
      </c>
      <c r="AO72" s="33" t="n">
        <f aca="false">IF(AND(N('Hiring plan'!$F$68)&gt;0,AO$3&gt;='Hiring plan'!$G$68,AO$3&lt;=IF('Hiring plan'!$H$68="",999,'Hiring plan'!$H$68)),'Hiring plan'!$F$68,0)</f>
        <v>0</v>
      </c>
      <c r="AP72" s="33" t="n">
        <f aca="false">IF(AND(N('Hiring plan'!$F$68)&gt;0,AP$3&gt;='Hiring plan'!$G$68,AP$3&lt;=IF('Hiring plan'!$H$68="",999,'Hiring plan'!$H$68)),'Hiring plan'!$F$68,0)</f>
        <v>0</v>
      </c>
      <c r="AQ72" s="33" t="n">
        <f aca="false">IF(AND(N('Hiring plan'!$F$68)&gt;0,AQ$3&gt;='Hiring plan'!$G$68,AQ$3&lt;=IF('Hiring plan'!$H$68="",999,'Hiring plan'!$H$68)),'Hiring plan'!$F$68,0)</f>
        <v>0</v>
      </c>
      <c r="AR72" s="33" t="n">
        <f aca="false">IF(AND(N('Hiring plan'!$F$68)&gt;0,AR$3&gt;='Hiring plan'!$G$68,AR$3&lt;=IF('Hiring plan'!$H$68="",999,'Hiring plan'!$H$68)),'Hiring plan'!$F$68,0)</f>
        <v>0</v>
      </c>
      <c r="AS72" s="33" t="n">
        <f aca="false">IF(AND(N('Hiring plan'!$F$68)&gt;0,AS$3&gt;='Hiring plan'!$G$68,AS$3&lt;=IF('Hiring plan'!$H$68="",999,'Hiring plan'!$H$68)),'Hiring plan'!$F$68,0)</f>
        <v>0</v>
      </c>
      <c r="AT72" s="33" t="n">
        <f aca="false">IF(AND(N('Hiring plan'!$F$68)&gt;0,AT$3&gt;='Hiring plan'!$G$68,AT$3&lt;=IF('Hiring plan'!$H$68="",999,'Hiring plan'!$H$68)),'Hiring plan'!$F$68,0)</f>
        <v>0</v>
      </c>
      <c r="AU72" s="33" t="n">
        <f aca="false">IF(AND(N('Hiring plan'!$F$68)&gt;0,AU$3&gt;='Hiring plan'!$G$68,AU$3&lt;=IF('Hiring plan'!$H$68="",999,'Hiring plan'!$H$68)),'Hiring plan'!$F$68,0)</f>
        <v>0</v>
      </c>
      <c r="AV72" s="33" t="n">
        <f aca="false">IF(AND(N('Hiring plan'!$F$68)&gt;0,AV$3&gt;='Hiring plan'!$G$68,AV$3&lt;=IF('Hiring plan'!$H$68="",999,'Hiring plan'!$H$68)),'Hiring plan'!$F$68,0)</f>
        <v>0</v>
      </c>
      <c r="AW72" s="33" t="n">
        <f aca="false">IF(AND(N('Hiring plan'!$F$68)&gt;0,AW$3&gt;='Hiring plan'!$G$68,AW$3&lt;=IF('Hiring plan'!$H$68="",999,'Hiring plan'!$H$68)),'Hiring plan'!$F$68,0)</f>
        <v>0</v>
      </c>
      <c r="AX72" s="33" t="n">
        <f aca="false">IF(AND(N('Hiring plan'!$F$68)&gt;0,AX$3&gt;='Hiring plan'!$G$68,AX$3&lt;=IF('Hiring plan'!$H$68="",999,'Hiring plan'!$H$68)),'Hiring plan'!$F$68,0)</f>
        <v>0</v>
      </c>
      <c r="AY72" s="33" t="n">
        <f aca="false">IF(AND(N('Hiring plan'!$F$68)&gt;0,AY$3&gt;='Hiring plan'!$G$68,AY$3&lt;=IF('Hiring plan'!$H$68="",999,'Hiring plan'!$H$68)),'Hiring plan'!$F$68,0)</f>
        <v>0</v>
      </c>
      <c r="AZ72" s="33" t="n">
        <f aca="false">IF(AND(N('Hiring plan'!$F$68)&gt;0,AZ$3&gt;='Hiring plan'!$G$68,AZ$3&lt;=IF('Hiring plan'!$H$68="",999,'Hiring plan'!$H$68)),'Hiring plan'!$F$68,0)</f>
        <v>0</v>
      </c>
      <c r="BA72" s="33" t="n">
        <f aca="false">IF(AND(N('Hiring plan'!$F$68)&gt;0,BA$3&gt;='Hiring plan'!$G$68,BA$3&lt;=IF('Hiring plan'!$H$68="",999,'Hiring plan'!$H$68)),'Hiring plan'!$F$68,0)</f>
        <v>0</v>
      </c>
      <c r="BB72" s="33" t="n">
        <f aca="false">IF(AND(N('Hiring plan'!$F$68)&gt;0,BB$3&gt;='Hiring plan'!$G$68,BB$3&lt;=IF('Hiring plan'!$H$68="",999,'Hiring plan'!$H$68)),'Hiring plan'!$F$68,0)</f>
        <v>0</v>
      </c>
      <c r="BC72" s="33" t="n">
        <f aca="false">IF(AND(N('Hiring plan'!$F$68)&gt;0,BC$3&gt;='Hiring plan'!$G$68,BC$3&lt;=IF('Hiring plan'!$H$68="",999,'Hiring plan'!$H$68)),'Hiring plan'!$F$68,0)</f>
        <v>0</v>
      </c>
      <c r="BD72" s="33" t="n">
        <f aca="false">IF(AND(N('Hiring plan'!$F$68)&gt;0,BD$3&gt;='Hiring plan'!$G$68,BD$3&lt;=IF('Hiring plan'!$H$68="",999,'Hiring plan'!$H$68)),'Hiring plan'!$F$68,0)</f>
        <v>0</v>
      </c>
      <c r="BE72" s="33" t="n">
        <f aca="false">IF(AND(N('Hiring plan'!$F$68)&gt;0,BE$3&gt;='Hiring plan'!$G$68,BE$3&lt;=IF('Hiring plan'!$H$68="",999,'Hiring plan'!$H$68)),'Hiring plan'!$F$68,0)</f>
        <v>0</v>
      </c>
      <c r="BF72" s="33" t="n">
        <f aca="false">IF(AND(N('Hiring plan'!$F$68)&gt;0,BF$3&gt;='Hiring plan'!$G$68,BF$3&lt;=IF('Hiring plan'!$H$68="",999,'Hiring plan'!$H$68)),'Hiring plan'!$F$68,0)</f>
        <v>0</v>
      </c>
      <c r="BG72" s="33" t="n">
        <f aca="false">IF(AND(N('Hiring plan'!$F$68)&gt;0,BG$3&gt;='Hiring plan'!$G$68,BG$3&lt;=IF('Hiring plan'!$H$68="",999,'Hiring plan'!$H$68)),'Hiring plan'!$F$68,0)</f>
        <v>0</v>
      </c>
      <c r="BH72" s="33" t="n">
        <f aca="false">IF(AND(N('Hiring plan'!$F$68)&gt;0,BH$3&gt;='Hiring plan'!$G$68,BH$3&lt;=IF('Hiring plan'!$H$68="",999,'Hiring plan'!$H$68)),'Hiring plan'!$F$68,0)</f>
        <v>0</v>
      </c>
      <c r="BI72" s="33" t="n">
        <f aca="false">IF(AND(N('Hiring plan'!$F$68)&gt;0,BI$3&gt;='Hiring plan'!$G$68,BI$3&lt;=IF('Hiring plan'!$H$68="",999,'Hiring plan'!$H$68)),'Hiring plan'!$F$68,0)</f>
        <v>0</v>
      </c>
      <c r="BJ72" s="33" t="n">
        <f aca="false">IF(AND(N('Hiring plan'!$F$68)&gt;0,BJ$3&gt;='Hiring plan'!$G$68,BJ$3&lt;=IF('Hiring plan'!$H$68="",999,'Hiring plan'!$H$68)),'Hiring plan'!$F$68,0)</f>
        <v>0</v>
      </c>
      <c r="BK72" s="33" t="n">
        <f aca="false">IF(AND(N('Hiring plan'!$F$68)&gt;0,BK$3&gt;='Hiring plan'!$G$68,BK$3&lt;=IF('Hiring plan'!$H$68="",999,'Hiring plan'!$H$68)),'Hiring plan'!$F$68,0)</f>
        <v>0</v>
      </c>
      <c r="BL72" s="33" t="n">
        <f aca="false">IF(AND(N('Hiring plan'!$F$68)&gt;0,BL$3&gt;='Hiring plan'!$G$68,BL$3&lt;=IF('Hiring plan'!$H$68="",999,'Hiring plan'!$H$68)),'Hiring plan'!$F$68,0)</f>
        <v>0</v>
      </c>
    </row>
    <row r="73" customFormat="false" ht="15" hidden="false" customHeight="false" outlineLevel="0" collapsed="false">
      <c r="A73" s="12" t="str">
        <f aca="false">IF('Hiring plan'!$C$69="","(spare line 65)",'Hiring plan'!$C$69&amp;" · "&amp;'Hiring plan'!$D$69)</f>
        <v>(spare line 65)</v>
      </c>
      <c r="B73" s="14" t="s">
        <v>222</v>
      </c>
      <c r="D73" s="41" t="n">
        <f aca="false">MAX(E73:BL73)</f>
        <v>0</v>
      </c>
      <c r="E73" s="33" t="n">
        <f aca="false">IF(AND(N('Hiring plan'!$F$69)&gt;0,E$3&gt;='Hiring plan'!$G$69,E$3&lt;=IF('Hiring plan'!$H$69="",999,'Hiring plan'!$H$69)),'Hiring plan'!$F$69,0)</f>
        <v>0</v>
      </c>
      <c r="F73" s="33" t="n">
        <f aca="false">IF(AND(N('Hiring plan'!$F$69)&gt;0,F$3&gt;='Hiring plan'!$G$69,F$3&lt;=IF('Hiring plan'!$H$69="",999,'Hiring plan'!$H$69)),'Hiring plan'!$F$69,0)</f>
        <v>0</v>
      </c>
      <c r="G73" s="33" t="n">
        <f aca="false">IF(AND(N('Hiring plan'!$F$69)&gt;0,G$3&gt;='Hiring plan'!$G$69,G$3&lt;=IF('Hiring plan'!$H$69="",999,'Hiring plan'!$H$69)),'Hiring plan'!$F$69,0)</f>
        <v>0</v>
      </c>
      <c r="H73" s="33" t="n">
        <f aca="false">IF(AND(N('Hiring plan'!$F$69)&gt;0,H$3&gt;='Hiring plan'!$G$69,H$3&lt;=IF('Hiring plan'!$H$69="",999,'Hiring plan'!$H$69)),'Hiring plan'!$F$69,0)</f>
        <v>0</v>
      </c>
      <c r="I73" s="33" t="n">
        <f aca="false">IF(AND(N('Hiring plan'!$F$69)&gt;0,I$3&gt;='Hiring plan'!$G$69,I$3&lt;=IF('Hiring plan'!$H$69="",999,'Hiring plan'!$H$69)),'Hiring plan'!$F$69,0)</f>
        <v>0</v>
      </c>
      <c r="J73" s="33" t="n">
        <f aca="false">IF(AND(N('Hiring plan'!$F$69)&gt;0,J$3&gt;='Hiring plan'!$G$69,J$3&lt;=IF('Hiring plan'!$H$69="",999,'Hiring plan'!$H$69)),'Hiring plan'!$F$69,0)</f>
        <v>0</v>
      </c>
      <c r="K73" s="33" t="n">
        <f aca="false">IF(AND(N('Hiring plan'!$F$69)&gt;0,K$3&gt;='Hiring plan'!$G$69,K$3&lt;=IF('Hiring plan'!$H$69="",999,'Hiring plan'!$H$69)),'Hiring plan'!$F$69,0)</f>
        <v>0</v>
      </c>
      <c r="L73" s="33" t="n">
        <f aca="false">IF(AND(N('Hiring plan'!$F$69)&gt;0,L$3&gt;='Hiring plan'!$G$69,L$3&lt;=IF('Hiring plan'!$H$69="",999,'Hiring plan'!$H$69)),'Hiring plan'!$F$69,0)</f>
        <v>0</v>
      </c>
      <c r="M73" s="33" t="n">
        <f aca="false">IF(AND(N('Hiring plan'!$F$69)&gt;0,M$3&gt;='Hiring plan'!$G$69,M$3&lt;=IF('Hiring plan'!$H$69="",999,'Hiring plan'!$H$69)),'Hiring plan'!$F$69,0)</f>
        <v>0</v>
      </c>
      <c r="N73" s="33" t="n">
        <f aca="false">IF(AND(N('Hiring plan'!$F$69)&gt;0,N$3&gt;='Hiring plan'!$G$69,N$3&lt;=IF('Hiring plan'!$H$69="",999,'Hiring plan'!$H$69)),'Hiring plan'!$F$69,0)</f>
        <v>0</v>
      </c>
      <c r="O73" s="33" t="n">
        <f aca="false">IF(AND(N('Hiring plan'!$F$69)&gt;0,O$3&gt;='Hiring plan'!$G$69,O$3&lt;=IF('Hiring plan'!$H$69="",999,'Hiring plan'!$H$69)),'Hiring plan'!$F$69,0)</f>
        <v>0</v>
      </c>
      <c r="P73" s="33" t="n">
        <f aca="false">IF(AND(N('Hiring plan'!$F$69)&gt;0,P$3&gt;='Hiring plan'!$G$69,P$3&lt;=IF('Hiring plan'!$H$69="",999,'Hiring plan'!$H$69)),'Hiring plan'!$F$69,0)</f>
        <v>0</v>
      </c>
      <c r="Q73" s="33" t="n">
        <f aca="false">IF(AND(N('Hiring plan'!$F$69)&gt;0,Q$3&gt;='Hiring plan'!$G$69,Q$3&lt;=IF('Hiring plan'!$H$69="",999,'Hiring plan'!$H$69)),'Hiring plan'!$F$69,0)</f>
        <v>0</v>
      </c>
      <c r="R73" s="33" t="n">
        <f aca="false">IF(AND(N('Hiring plan'!$F$69)&gt;0,R$3&gt;='Hiring plan'!$G$69,R$3&lt;=IF('Hiring plan'!$H$69="",999,'Hiring plan'!$H$69)),'Hiring plan'!$F$69,0)</f>
        <v>0</v>
      </c>
      <c r="S73" s="33" t="n">
        <f aca="false">IF(AND(N('Hiring plan'!$F$69)&gt;0,S$3&gt;='Hiring plan'!$G$69,S$3&lt;=IF('Hiring plan'!$H$69="",999,'Hiring plan'!$H$69)),'Hiring plan'!$F$69,0)</f>
        <v>0</v>
      </c>
      <c r="T73" s="33" t="n">
        <f aca="false">IF(AND(N('Hiring plan'!$F$69)&gt;0,T$3&gt;='Hiring plan'!$G$69,T$3&lt;=IF('Hiring plan'!$H$69="",999,'Hiring plan'!$H$69)),'Hiring plan'!$F$69,0)</f>
        <v>0</v>
      </c>
      <c r="U73" s="33" t="n">
        <f aca="false">IF(AND(N('Hiring plan'!$F$69)&gt;0,U$3&gt;='Hiring plan'!$G$69,U$3&lt;=IF('Hiring plan'!$H$69="",999,'Hiring plan'!$H$69)),'Hiring plan'!$F$69,0)</f>
        <v>0</v>
      </c>
      <c r="V73" s="33" t="n">
        <f aca="false">IF(AND(N('Hiring plan'!$F$69)&gt;0,V$3&gt;='Hiring plan'!$G$69,V$3&lt;=IF('Hiring plan'!$H$69="",999,'Hiring plan'!$H$69)),'Hiring plan'!$F$69,0)</f>
        <v>0</v>
      </c>
      <c r="W73" s="33" t="n">
        <f aca="false">IF(AND(N('Hiring plan'!$F$69)&gt;0,W$3&gt;='Hiring plan'!$G$69,W$3&lt;=IF('Hiring plan'!$H$69="",999,'Hiring plan'!$H$69)),'Hiring plan'!$F$69,0)</f>
        <v>0</v>
      </c>
      <c r="X73" s="33" t="n">
        <f aca="false">IF(AND(N('Hiring plan'!$F$69)&gt;0,X$3&gt;='Hiring plan'!$G$69,X$3&lt;=IF('Hiring plan'!$H$69="",999,'Hiring plan'!$H$69)),'Hiring plan'!$F$69,0)</f>
        <v>0</v>
      </c>
      <c r="Y73" s="33" t="n">
        <f aca="false">IF(AND(N('Hiring plan'!$F$69)&gt;0,Y$3&gt;='Hiring plan'!$G$69,Y$3&lt;=IF('Hiring plan'!$H$69="",999,'Hiring plan'!$H$69)),'Hiring plan'!$F$69,0)</f>
        <v>0</v>
      </c>
      <c r="Z73" s="33" t="n">
        <f aca="false">IF(AND(N('Hiring plan'!$F$69)&gt;0,Z$3&gt;='Hiring plan'!$G$69,Z$3&lt;=IF('Hiring plan'!$H$69="",999,'Hiring plan'!$H$69)),'Hiring plan'!$F$69,0)</f>
        <v>0</v>
      </c>
      <c r="AA73" s="33" t="n">
        <f aca="false">IF(AND(N('Hiring plan'!$F$69)&gt;0,AA$3&gt;='Hiring plan'!$G$69,AA$3&lt;=IF('Hiring plan'!$H$69="",999,'Hiring plan'!$H$69)),'Hiring plan'!$F$69,0)</f>
        <v>0</v>
      </c>
      <c r="AB73" s="33" t="n">
        <f aca="false">IF(AND(N('Hiring plan'!$F$69)&gt;0,AB$3&gt;='Hiring plan'!$G$69,AB$3&lt;=IF('Hiring plan'!$H$69="",999,'Hiring plan'!$H$69)),'Hiring plan'!$F$69,0)</f>
        <v>0</v>
      </c>
      <c r="AC73" s="33" t="n">
        <f aca="false">IF(AND(N('Hiring plan'!$F$69)&gt;0,AC$3&gt;='Hiring plan'!$G$69,AC$3&lt;=IF('Hiring plan'!$H$69="",999,'Hiring plan'!$H$69)),'Hiring plan'!$F$69,0)</f>
        <v>0</v>
      </c>
      <c r="AD73" s="33" t="n">
        <f aca="false">IF(AND(N('Hiring plan'!$F$69)&gt;0,AD$3&gt;='Hiring plan'!$G$69,AD$3&lt;=IF('Hiring plan'!$H$69="",999,'Hiring plan'!$H$69)),'Hiring plan'!$F$69,0)</f>
        <v>0</v>
      </c>
      <c r="AE73" s="33" t="n">
        <f aca="false">IF(AND(N('Hiring plan'!$F$69)&gt;0,AE$3&gt;='Hiring plan'!$G$69,AE$3&lt;=IF('Hiring plan'!$H$69="",999,'Hiring plan'!$H$69)),'Hiring plan'!$F$69,0)</f>
        <v>0</v>
      </c>
      <c r="AF73" s="33" t="n">
        <f aca="false">IF(AND(N('Hiring plan'!$F$69)&gt;0,AF$3&gt;='Hiring plan'!$G$69,AF$3&lt;=IF('Hiring plan'!$H$69="",999,'Hiring plan'!$H$69)),'Hiring plan'!$F$69,0)</f>
        <v>0</v>
      </c>
      <c r="AG73" s="33" t="n">
        <f aca="false">IF(AND(N('Hiring plan'!$F$69)&gt;0,AG$3&gt;='Hiring plan'!$G$69,AG$3&lt;=IF('Hiring plan'!$H$69="",999,'Hiring plan'!$H$69)),'Hiring plan'!$F$69,0)</f>
        <v>0</v>
      </c>
      <c r="AH73" s="33" t="n">
        <f aca="false">IF(AND(N('Hiring plan'!$F$69)&gt;0,AH$3&gt;='Hiring plan'!$G$69,AH$3&lt;=IF('Hiring plan'!$H$69="",999,'Hiring plan'!$H$69)),'Hiring plan'!$F$69,0)</f>
        <v>0</v>
      </c>
      <c r="AI73" s="33" t="n">
        <f aca="false">IF(AND(N('Hiring plan'!$F$69)&gt;0,AI$3&gt;='Hiring plan'!$G$69,AI$3&lt;=IF('Hiring plan'!$H$69="",999,'Hiring plan'!$H$69)),'Hiring plan'!$F$69,0)</f>
        <v>0</v>
      </c>
      <c r="AJ73" s="33" t="n">
        <f aca="false">IF(AND(N('Hiring plan'!$F$69)&gt;0,AJ$3&gt;='Hiring plan'!$G$69,AJ$3&lt;=IF('Hiring plan'!$H$69="",999,'Hiring plan'!$H$69)),'Hiring plan'!$F$69,0)</f>
        <v>0</v>
      </c>
      <c r="AK73" s="33" t="n">
        <f aca="false">IF(AND(N('Hiring plan'!$F$69)&gt;0,AK$3&gt;='Hiring plan'!$G$69,AK$3&lt;=IF('Hiring plan'!$H$69="",999,'Hiring plan'!$H$69)),'Hiring plan'!$F$69,0)</f>
        <v>0</v>
      </c>
      <c r="AL73" s="33" t="n">
        <f aca="false">IF(AND(N('Hiring plan'!$F$69)&gt;0,AL$3&gt;='Hiring plan'!$G$69,AL$3&lt;=IF('Hiring plan'!$H$69="",999,'Hiring plan'!$H$69)),'Hiring plan'!$F$69,0)</f>
        <v>0</v>
      </c>
      <c r="AM73" s="33" t="n">
        <f aca="false">IF(AND(N('Hiring plan'!$F$69)&gt;0,AM$3&gt;='Hiring plan'!$G$69,AM$3&lt;=IF('Hiring plan'!$H$69="",999,'Hiring plan'!$H$69)),'Hiring plan'!$F$69,0)</f>
        <v>0</v>
      </c>
      <c r="AN73" s="33" t="n">
        <f aca="false">IF(AND(N('Hiring plan'!$F$69)&gt;0,AN$3&gt;='Hiring plan'!$G$69,AN$3&lt;=IF('Hiring plan'!$H$69="",999,'Hiring plan'!$H$69)),'Hiring plan'!$F$69,0)</f>
        <v>0</v>
      </c>
      <c r="AO73" s="33" t="n">
        <f aca="false">IF(AND(N('Hiring plan'!$F$69)&gt;0,AO$3&gt;='Hiring plan'!$G$69,AO$3&lt;=IF('Hiring plan'!$H$69="",999,'Hiring plan'!$H$69)),'Hiring plan'!$F$69,0)</f>
        <v>0</v>
      </c>
      <c r="AP73" s="33" t="n">
        <f aca="false">IF(AND(N('Hiring plan'!$F$69)&gt;0,AP$3&gt;='Hiring plan'!$G$69,AP$3&lt;=IF('Hiring plan'!$H$69="",999,'Hiring plan'!$H$69)),'Hiring plan'!$F$69,0)</f>
        <v>0</v>
      </c>
      <c r="AQ73" s="33" t="n">
        <f aca="false">IF(AND(N('Hiring plan'!$F$69)&gt;0,AQ$3&gt;='Hiring plan'!$G$69,AQ$3&lt;=IF('Hiring plan'!$H$69="",999,'Hiring plan'!$H$69)),'Hiring plan'!$F$69,0)</f>
        <v>0</v>
      </c>
      <c r="AR73" s="33" t="n">
        <f aca="false">IF(AND(N('Hiring plan'!$F$69)&gt;0,AR$3&gt;='Hiring plan'!$G$69,AR$3&lt;=IF('Hiring plan'!$H$69="",999,'Hiring plan'!$H$69)),'Hiring plan'!$F$69,0)</f>
        <v>0</v>
      </c>
      <c r="AS73" s="33" t="n">
        <f aca="false">IF(AND(N('Hiring plan'!$F$69)&gt;0,AS$3&gt;='Hiring plan'!$G$69,AS$3&lt;=IF('Hiring plan'!$H$69="",999,'Hiring plan'!$H$69)),'Hiring plan'!$F$69,0)</f>
        <v>0</v>
      </c>
      <c r="AT73" s="33" t="n">
        <f aca="false">IF(AND(N('Hiring plan'!$F$69)&gt;0,AT$3&gt;='Hiring plan'!$G$69,AT$3&lt;=IF('Hiring plan'!$H$69="",999,'Hiring plan'!$H$69)),'Hiring plan'!$F$69,0)</f>
        <v>0</v>
      </c>
      <c r="AU73" s="33" t="n">
        <f aca="false">IF(AND(N('Hiring plan'!$F$69)&gt;0,AU$3&gt;='Hiring plan'!$G$69,AU$3&lt;=IF('Hiring plan'!$H$69="",999,'Hiring plan'!$H$69)),'Hiring plan'!$F$69,0)</f>
        <v>0</v>
      </c>
      <c r="AV73" s="33" t="n">
        <f aca="false">IF(AND(N('Hiring plan'!$F$69)&gt;0,AV$3&gt;='Hiring plan'!$G$69,AV$3&lt;=IF('Hiring plan'!$H$69="",999,'Hiring plan'!$H$69)),'Hiring plan'!$F$69,0)</f>
        <v>0</v>
      </c>
      <c r="AW73" s="33" t="n">
        <f aca="false">IF(AND(N('Hiring plan'!$F$69)&gt;0,AW$3&gt;='Hiring plan'!$G$69,AW$3&lt;=IF('Hiring plan'!$H$69="",999,'Hiring plan'!$H$69)),'Hiring plan'!$F$69,0)</f>
        <v>0</v>
      </c>
      <c r="AX73" s="33" t="n">
        <f aca="false">IF(AND(N('Hiring plan'!$F$69)&gt;0,AX$3&gt;='Hiring plan'!$G$69,AX$3&lt;=IF('Hiring plan'!$H$69="",999,'Hiring plan'!$H$69)),'Hiring plan'!$F$69,0)</f>
        <v>0</v>
      </c>
      <c r="AY73" s="33" t="n">
        <f aca="false">IF(AND(N('Hiring plan'!$F$69)&gt;0,AY$3&gt;='Hiring plan'!$G$69,AY$3&lt;=IF('Hiring plan'!$H$69="",999,'Hiring plan'!$H$69)),'Hiring plan'!$F$69,0)</f>
        <v>0</v>
      </c>
      <c r="AZ73" s="33" t="n">
        <f aca="false">IF(AND(N('Hiring plan'!$F$69)&gt;0,AZ$3&gt;='Hiring plan'!$G$69,AZ$3&lt;=IF('Hiring plan'!$H$69="",999,'Hiring plan'!$H$69)),'Hiring plan'!$F$69,0)</f>
        <v>0</v>
      </c>
      <c r="BA73" s="33" t="n">
        <f aca="false">IF(AND(N('Hiring plan'!$F$69)&gt;0,BA$3&gt;='Hiring plan'!$G$69,BA$3&lt;=IF('Hiring plan'!$H$69="",999,'Hiring plan'!$H$69)),'Hiring plan'!$F$69,0)</f>
        <v>0</v>
      </c>
      <c r="BB73" s="33" t="n">
        <f aca="false">IF(AND(N('Hiring plan'!$F$69)&gt;0,BB$3&gt;='Hiring plan'!$G$69,BB$3&lt;=IF('Hiring plan'!$H$69="",999,'Hiring plan'!$H$69)),'Hiring plan'!$F$69,0)</f>
        <v>0</v>
      </c>
      <c r="BC73" s="33" t="n">
        <f aca="false">IF(AND(N('Hiring plan'!$F$69)&gt;0,BC$3&gt;='Hiring plan'!$G$69,BC$3&lt;=IF('Hiring plan'!$H$69="",999,'Hiring plan'!$H$69)),'Hiring plan'!$F$69,0)</f>
        <v>0</v>
      </c>
      <c r="BD73" s="33" t="n">
        <f aca="false">IF(AND(N('Hiring plan'!$F$69)&gt;0,BD$3&gt;='Hiring plan'!$G$69,BD$3&lt;=IF('Hiring plan'!$H$69="",999,'Hiring plan'!$H$69)),'Hiring plan'!$F$69,0)</f>
        <v>0</v>
      </c>
      <c r="BE73" s="33" t="n">
        <f aca="false">IF(AND(N('Hiring plan'!$F$69)&gt;0,BE$3&gt;='Hiring plan'!$G$69,BE$3&lt;=IF('Hiring plan'!$H$69="",999,'Hiring plan'!$H$69)),'Hiring plan'!$F$69,0)</f>
        <v>0</v>
      </c>
      <c r="BF73" s="33" t="n">
        <f aca="false">IF(AND(N('Hiring plan'!$F$69)&gt;0,BF$3&gt;='Hiring plan'!$G$69,BF$3&lt;=IF('Hiring plan'!$H$69="",999,'Hiring plan'!$H$69)),'Hiring plan'!$F$69,0)</f>
        <v>0</v>
      </c>
      <c r="BG73" s="33" t="n">
        <f aca="false">IF(AND(N('Hiring plan'!$F$69)&gt;0,BG$3&gt;='Hiring plan'!$G$69,BG$3&lt;=IF('Hiring plan'!$H$69="",999,'Hiring plan'!$H$69)),'Hiring plan'!$F$69,0)</f>
        <v>0</v>
      </c>
      <c r="BH73" s="33" t="n">
        <f aca="false">IF(AND(N('Hiring plan'!$F$69)&gt;0,BH$3&gt;='Hiring plan'!$G$69,BH$3&lt;=IF('Hiring plan'!$H$69="",999,'Hiring plan'!$H$69)),'Hiring plan'!$F$69,0)</f>
        <v>0</v>
      </c>
      <c r="BI73" s="33" t="n">
        <f aca="false">IF(AND(N('Hiring plan'!$F$69)&gt;0,BI$3&gt;='Hiring plan'!$G$69,BI$3&lt;=IF('Hiring plan'!$H$69="",999,'Hiring plan'!$H$69)),'Hiring plan'!$F$69,0)</f>
        <v>0</v>
      </c>
      <c r="BJ73" s="33" t="n">
        <f aca="false">IF(AND(N('Hiring plan'!$F$69)&gt;0,BJ$3&gt;='Hiring plan'!$G$69,BJ$3&lt;=IF('Hiring plan'!$H$69="",999,'Hiring plan'!$H$69)),'Hiring plan'!$F$69,0)</f>
        <v>0</v>
      </c>
      <c r="BK73" s="33" t="n">
        <f aca="false">IF(AND(N('Hiring plan'!$F$69)&gt;0,BK$3&gt;='Hiring plan'!$G$69,BK$3&lt;=IF('Hiring plan'!$H$69="",999,'Hiring plan'!$H$69)),'Hiring plan'!$F$69,0)</f>
        <v>0</v>
      </c>
      <c r="BL73" s="33" t="n">
        <f aca="false">IF(AND(N('Hiring plan'!$F$69)&gt;0,BL$3&gt;='Hiring plan'!$G$69,BL$3&lt;=IF('Hiring plan'!$H$69="",999,'Hiring plan'!$H$69)),'Hiring plan'!$F$69,0)</f>
        <v>0</v>
      </c>
    </row>
    <row r="74" customFormat="false" ht="15" hidden="false" customHeight="false" outlineLevel="0" collapsed="false">
      <c r="A74" s="12" t="str">
        <f aca="false">IF('Hiring plan'!$C$70="","(spare line 66)",'Hiring plan'!$C$70&amp;" · "&amp;'Hiring plan'!$D$70)</f>
        <v>(spare line 66)</v>
      </c>
      <c r="B74" s="14" t="s">
        <v>222</v>
      </c>
      <c r="D74" s="41" t="n">
        <f aca="false">MAX(E74:BL74)</f>
        <v>0</v>
      </c>
      <c r="E74" s="33" t="n">
        <f aca="false">IF(AND(N('Hiring plan'!$F$70)&gt;0,E$3&gt;='Hiring plan'!$G$70,E$3&lt;=IF('Hiring plan'!$H$70="",999,'Hiring plan'!$H$70)),'Hiring plan'!$F$70,0)</f>
        <v>0</v>
      </c>
      <c r="F74" s="33" t="n">
        <f aca="false">IF(AND(N('Hiring plan'!$F$70)&gt;0,F$3&gt;='Hiring plan'!$G$70,F$3&lt;=IF('Hiring plan'!$H$70="",999,'Hiring plan'!$H$70)),'Hiring plan'!$F$70,0)</f>
        <v>0</v>
      </c>
      <c r="G74" s="33" t="n">
        <f aca="false">IF(AND(N('Hiring plan'!$F$70)&gt;0,G$3&gt;='Hiring plan'!$G$70,G$3&lt;=IF('Hiring plan'!$H$70="",999,'Hiring plan'!$H$70)),'Hiring plan'!$F$70,0)</f>
        <v>0</v>
      </c>
      <c r="H74" s="33" t="n">
        <f aca="false">IF(AND(N('Hiring plan'!$F$70)&gt;0,H$3&gt;='Hiring plan'!$G$70,H$3&lt;=IF('Hiring plan'!$H$70="",999,'Hiring plan'!$H$70)),'Hiring plan'!$F$70,0)</f>
        <v>0</v>
      </c>
      <c r="I74" s="33" t="n">
        <f aca="false">IF(AND(N('Hiring plan'!$F$70)&gt;0,I$3&gt;='Hiring plan'!$G$70,I$3&lt;=IF('Hiring plan'!$H$70="",999,'Hiring plan'!$H$70)),'Hiring plan'!$F$70,0)</f>
        <v>0</v>
      </c>
      <c r="J74" s="33" t="n">
        <f aca="false">IF(AND(N('Hiring plan'!$F$70)&gt;0,J$3&gt;='Hiring plan'!$G$70,J$3&lt;=IF('Hiring plan'!$H$70="",999,'Hiring plan'!$H$70)),'Hiring plan'!$F$70,0)</f>
        <v>0</v>
      </c>
      <c r="K74" s="33" t="n">
        <f aca="false">IF(AND(N('Hiring plan'!$F$70)&gt;0,K$3&gt;='Hiring plan'!$G$70,K$3&lt;=IF('Hiring plan'!$H$70="",999,'Hiring plan'!$H$70)),'Hiring plan'!$F$70,0)</f>
        <v>0</v>
      </c>
      <c r="L74" s="33" t="n">
        <f aca="false">IF(AND(N('Hiring plan'!$F$70)&gt;0,L$3&gt;='Hiring plan'!$G$70,L$3&lt;=IF('Hiring plan'!$H$70="",999,'Hiring plan'!$H$70)),'Hiring plan'!$F$70,0)</f>
        <v>0</v>
      </c>
      <c r="M74" s="33" t="n">
        <f aca="false">IF(AND(N('Hiring plan'!$F$70)&gt;0,M$3&gt;='Hiring plan'!$G$70,M$3&lt;=IF('Hiring plan'!$H$70="",999,'Hiring plan'!$H$70)),'Hiring plan'!$F$70,0)</f>
        <v>0</v>
      </c>
      <c r="N74" s="33" t="n">
        <f aca="false">IF(AND(N('Hiring plan'!$F$70)&gt;0,N$3&gt;='Hiring plan'!$G$70,N$3&lt;=IF('Hiring plan'!$H$70="",999,'Hiring plan'!$H$70)),'Hiring plan'!$F$70,0)</f>
        <v>0</v>
      </c>
      <c r="O74" s="33" t="n">
        <f aca="false">IF(AND(N('Hiring plan'!$F$70)&gt;0,O$3&gt;='Hiring plan'!$G$70,O$3&lt;=IF('Hiring plan'!$H$70="",999,'Hiring plan'!$H$70)),'Hiring plan'!$F$70,0)</f>
        <v>0</v>
      </c>
      <c r="P74" s="33" t="n">
        <f aca="false">IF(AND(N('Hiring plan'!$F$70)&gt;0,P$3&gt;='Hiring plan'!$G$70,P$3&lt;=IF('Hiring plan'!$H$70="",999,'Hiring plan'!$H$70)),'Hiring plan'!$F$70,0)</f>
        <v>0</v>
      </c>
      <c r="Q74" s="33" t="n">
        <f aca="false">IF(AND(N('Hiring plan'!$F$70)&gt;0,Q$3&gt;='Hiring plan'!$G$70,Q$3&lt;=IF('Hiring plan'!$H$70="",999,'Hiring plan'!$H$70)),'Hiring plan'!$F$70,0)</f>
        <v>0</v>
      </c>
      <c r="R74" s="33" t="n">
        <f aca="false">IF(AND(N('Hiring plan'!$F$70)&gt;0,R$3&gt;='Hiring plan'!$G$70,R$3&lt;=IF('Hiring plan'!$H$70="",999,'Hiring plan'!$H$70)),'Hiring plan'!$F$70,0)</f>
        <v>0</v>
      </c>
      <c r="S74" s="33" t="n">
        <f aca="false">IF(AND(N('Hiring plan'!$F$70)&gt;0,S$3&gt;='Hiring plan'!$G$70,S$3&lt;=IF('Hiring plan'!$H$70="",999,'Hiring plan'!$H$70)),'Hiring plan'!$F$70,0)</f>
        <v>0</v>
      </c>
      <c r="T74" s="33" t="n">
        <f aca="false">IF(AND(N('Hiring plan'!$F$70)&gt;0,T$3&gt;='Hiring plan'!$G$70,T$3&lt;=IF('Hiring plan'!$H$70="",999,'Hiring plan'!$H$70)),'Hiring plan'!$F$70,0)</f>
        <v>0</v>
      </c>
      <c r="U74" s="33" t="n">
        <f aca="false">IF(AND(N('Hiring plan'!$F$70)&gt;0,U$3&gt;='Hiring plan'!$G$70,U$3&lt;=IF('Hiring plan'!$H$70="",999,'Hiring plan'!$H$70)),'Hiring plan'!$F$70,0)</f>
        <v>0</v>
      </c>
      <c r="V74" s="33" t="n">
        <f aca="false">IF(AND(N('Hiring plan'!$F$70)&gt;0,V$3&gt;='Hiring plan'!$G$70,V$3&lt;=IF('Hiring plan'!$H$70="",999,'Hiring plan'!$H$70)),'Hiring plan'!$F$70,0)</f>
        <v>0</v>
      </c>
      <c r="W74" s="33" t="n">
        <f aca="false">IF(AND(N('Hiring plan'!$F$70)&gt;0,W$3&gt;='Hiring plan'!$G$70,W$3&lt;=IF('Hiring plan'!$H$70="",999,'Hiring plan'!$H$70)),'Hiring plan'!$F$70,0)</f>
        <v>0</v>
      </c>
      <c r="X74" s="33" t="n">
        <f aca="false">IF(AND(N('Hiring plan'!$F$70)&gt;0,X$3&gt;='Hiring plan'!$G$70,X$3&lt;=IF('Hiring plan'!$H$70="",999,'Hiring plan'!$H$70)),'Hiring plan'!$F$70,0)</f>
        <v>0</v>
      </c>
      <c r="Y74" s="33" t="n">
        <f aca="false">IF(AND(N('Hiring plan'!$F$70)&gt;0,Y$3&gt;='Hiring plan'!$G$70,Y$3&lt;=IF('Hiring plan'!$H$70="",999,'Hiring plan'!$H$70)),'Hiring plan'!$F$70,0)</f>
        <v>0</v>
      </c>
      <c r="Z74" s="33" t="n">
        <f aca="false">IF(AND(N('Hiring plan'!$F$70)&gt;0,Z$3&gt;='Hiring plan'!$G$70,Z$3&lt;=IF('Hiring plan'!$H$70="",999,'Hiring plan'!$H$70)),'Hiring plan'!$F$70,0)</f>
        <v>0</v>
      </c>
      <c r="AA74" s="33" t="n">
        <f aca="false">IF(AND(N('Hiring plan'!$F$70)&gt;0,AA$3&gt;='Hiring plan'!$G$70,AA$3&lt;=IF('Hiring plan'!$H$70="",999,'Hiring plan'!$H$70)),'Hiring plan'!$F$70,0)</f>
        <v>0</v>
      </c>
      <c r="AB74" s="33" t="n">
        <f aca="false">IF(AND(N('Hiring plan'!$F$70)&gt;0,AB$3&gt;='Hiring plan'!$G$70,AB$3&lt;=IF('Hiring plan'!$H$70="",999,'Hiring plan'!$H$70)),'Hiring plan'!$F$70,0)</f>
        <v>0</v>
      </c>
      <c r="AC74" s="33" t="n">
        <f aca="false">IF(AND(N('Hiring plan'!$F$70)&gt;0,AC$3&gt;='Hiring plan'!$G$70,AC$3&lt;=IF('Hiring plan'!$H$70="",999,'Hiring plan'!$H$70)),'Hiring plan'!$F$70,0)</f>
        <v>0</v>
      </c>
      <c r="AD74" s="33" t="n">
        <f aca="false">IF(AND(N('Hiring plan'!$F$70)&gt;0,AD$3&gt;='Hiring plan'!$G$70,AD$3&lt;=IF('Hiring plan'!$H$70="",999,'Hiring plan'!$H$70)),'Hiring plan'!$F$70,0)</f>
        <v>0</v>
      </c>
      <c r="AE74" s="33" t="n">
        <f aca="false">IF(AND(N('Hiring plan'!$F$70)&gt;0,AE$3&gt;='Hiring plan'!$G$70,AE$3&lt;=IF('Hiring plan'!$H$70="",999,'Hiring plan'!$H$70)),'Hiring plan'!$F$70,0)</f>
        <v>0</v>
      </c>
      <c r="AF74" s="33" t="n">
        <f aca="false">IF(AND(N('Hiring plan'!$F$70)&gt;0,AF$3&gt;='Hiring plan'!$G$70,AF$3&lt;=IF('Hiring plan'!$H$70="",999,'Hiring plan'!$H$70)),'Hiring plan'!$F$70,0)</f>
        <v>0</v>
      </c>
      <c r="AG74" s="33" t="n">
        <f aca="false">IF(AND(N('Hiring plan'!$F$70)&gt;0,AG$3&gt;='Hiring plan'!$G$70,AG$3&lt;=IF('Hiring plan'!$H$70="",999,'Hiring plan'!$H$70)),'Hiring plan'!$F$70,0)</f>
        <v>0</v>
      </c>
      <c r="AH74" s="33" t="n">
        <f aca="false">IF(AND(N('Hiring plan'!$F$70)&gt;0,AH$3&gt;='Hiring plan'!$G$70,AH$3&lt;=IF('Hiring plan'!$H$70="",999,'Hiring plan'!$H$70)),'Hiring plan'!$F$70,0)</f>
        <v>0</v>
      </c>
      <c r="AI74" s="33" t="n">
        <f aca="false">IF(AND(N('Hiring plan'!$F$70)&gt;0,AI$3&gt;='Hiring plan'!$G$70,AI$3&lt;=IF('Hiring plan'!$H$70="",999,'Hiring plan'!$H$70)),'Hiring plan'!$F$70,0)</f>
        <v>0</v>
      </c>
      <c r="AJ74" s="33" t="n">
        <f aca="false">IF(AND(N('Hiring plan'!$F$70)&gt;0,AJ$3&gt;='Hiring plan'!$G$70,AJ$3&lt;=IF('Hiring plan'!$H$70="",999,'Hiring plan'!$H$70)),'Hiring plan'!$F$70,0)</f>
        <v>0</v>
      </c>
      <c r="AK74" s="33" t="n">
        <f aca="false">IF(AND(N('Hiring plan'!$F$70)&gt;0,AK$3&gt;='Hiring plan'!$G$70,AK$3&lt;=IF('Hiring plan'!$H$70="",999,'Hiring plan'!$H$70)),'Hiring plan'!$F$70,0)</f>
        <v>0</v>
      </c>
      <c r="AL74" s="33" t="n">
        <f aca="false">IF(AND(N('Hiring plan'!$F$70)&gt;0,AL$3&gt;='Hiring plan'!$G$70,AL$3&lt;=IF('Hiring plan'!$H$70="",999,'Hiring plan'!$H$70)),'Hiring plan'!$F$70,0)</f>
        <v>0</v>
      </c>
      <c r="AM74" s="33" t="n">
        <f aca="false">IF(AND(N('Hiring plan'!$F$70)&gt;0,AM$3&gt;='Hiring plan'!$G$70,AM$3&lt;=IF('Hiring plan'!$H$70="",999,'Hiring plan'!$H$70)),'Hiring plan'!$F$70,0)</f>
        <v>0</v>
      </c>
      <c r="AN74" s="33" t="n">
        <f aca="false">IF(AND(N('Hiring plan'!$F$70)&gt;0,AN$3&gt;='Hiring plan'!$G$70,AN$3&lt;=IF('Hiring plan'!$H$70="",999,'Hiring plan'!$H$70)),'Hiring plan'!$F$70,0)</f>
        <v>0</v>
      </c>
      <c r="AO74" s="33" t="n">
        <f aca="false">IF(AND(N('Hiring plan'!$F$70)&gt;0,AO$3&gt;='Hiring plan'!$G$70,AO$3&lt;=IF('Hiring plan'!$H$70="",999,'Hiring plan'!$H$70)),'Hiring plan'!$F$70,0)</f>
        <v>0</v>
      </c>
      <c r="AP74" s="33" t="n">
        <f aca="false">IF(AND(N('Hiring plan'!$F$70)&gt;0,AP$3&gt;='Hiring plan'!$G$70,AP$3&lt;=IF('Hiring plan'!$H$70="",999,'Hiring plan'!$H$70)),'Hiring plan'!$F$70,0)</f>
        <v>0</v>
      </c>
      <c r="AQ74" s="33" t="n">
        <f aca="false">IF(AND(N('Hiring plan'!$F$70)&gt;0,AQ$3&gt;='Hiring plan'!$G$70,AQ$3&lt;=IF('Hiring plan'!$H$70="",999,'Hiring plan'!$H$70)),'Hiring plan'!$F$70,0)</f>
        <v>0</v>
      </c>
      <c r="AR74" s="33" t="n">
        <f aca="false">IF(AND(N('Hiring plan'!$F$70)&gt;0,AR$3&gt;='Hiring plan'!$G$70,AR$3&lt;=IF('Hiring plan'!$H$70="",999,'Hiring plan'!$H$70)),'Hiring plan'!$F$70,0)</f>
        <v>0</v>
      </c>
      <c r="AS74" s="33" t="n">
        <f aca="false">IF(AND(N('Hiring plan'!$F$70)&gt;0,AS$3&gt;='Hiring plan'!$G$70,AS$3&lt;=IF('Hiring plan'!$H$70="",999,'Hiring plan'!$H$70)),'Hiring plan'!$F$70,0)</f>
        <v>0</v>
      </c>
      <c r="AT74" s="33" t="n">
        <f aca="false">IF(AND(N('Hiring plan'!$F$70)&gt;0,AT$3&gt;='Hiring plan'!$G$70,AT$3&lt;=IF('Hiring plan'!$H$70="",999,'Hiring plan'!$H$70)),'Hiring plan'!$F$70,0)</f>
        <v>0</v>
      </c>
      <c r="AU74" s="33" t="n">
        <f aca="false">IF(AND(N('Hiring plan'!$F$70)&gt;0,AU$3&gt;='Hiring plan'!$G$70,AU$3&lt;=IF('Hiring plan'!$H$70="",999,'Hiring plan'!$H$70)),'Hiring plan'!$F$70,0)</f>
        <v>0</v>
      </c>
      <c r="AV74" s="33" t="n">
        <f aca="false">IF(AND(N('Hiring plan'!$F$70)&gt;0,AV$3&gt;='Hiring plan'!$G$70,AV$3&lt;=IF('Hiring plan'!$H$70="",999,'Hiring plan'!$H$70)),'Hiring plan'!$F$70,0)</f>
        <v>0</v>
      </c>
      <c r="AW74" s="33" t="n">
        <f aca="false">IF(AND(N('Hiring plan'!$F$70)&gt;0,AW$3&gt;='Hiring plan'!$G$70,AW$3&lt;=IF('Hiring plan'!$H$70="",999,'Hiring plan'!$H$70)),'Hiring plan'!$F$70,0)</f>
        <v>0</v>
      </c>
      <c r="AX74" s="33" t="n">
        <f aca="false">IF(AND(N('Hiring plan'!$F$70)&gt;0,AX$3&gt;='Hiring plan'!$G$70,AX$3&lt;=IF('Hiring plan'!$H$70="",999,'Hiring plan'!$H$70)),'Hiring plan'!$F$70,0)</f>
        <v>0</v>
      </c>
      <c r="AY74" s="33" t="n">
        <f aca="false">IF(AND(N('Hiring plan'!$F$70)&gt;0,AY$3&gt;='Hiring plan'!$G$70,AY$3&lt;=IF('Hiring plan'!$H$70="",999,'Hiring plan'!$H$70)),'Hiring plan'!$F$70,0)</f>
        <v>0</v>
      </c>
      <c r="AZ74" s="33" t="n">
        <f aca="false">IF(AND(N('Hiring plan'!$F$70)&gt;0,AZ$3&gt;='Hiring plan'!$G$70,AZ$3&lt;=IF('Hiring plan'!$H$70="",999,'Hiring plan'!$H$70)),'Hiring plan'!$F$70,0)</f>
        <v>0</v>
      </c>
      <c r="BA74" s="33" t="n">
        <f aca="false">IF(AND(N('Hiring plan'!$F$70)&gt;0,BA$3&gt;='Hiring plan'!$G$70,BA$3&lt;=IF('Hiring plan'!$H$70="",999,'Hiring plan'!$H$70)),'Hiring plan'!$F$70,0)</f>
        <v>0</v>
      </c>
      <c r="BB74" s="33" t="n">
        <f aca="false">IF(AND(N('Hiring plan'!$F$70)&gt;0,BB$3&gt;='Hiring plan'!$G$70,BB$3&lt;=IF('Hiring plan'!$H$70="",999,'Hiring plan'!$H$70)),'Hiring plan'!$F$70,0)</f>
        <v>0</v>
      </c>
      <c r="BC74" s="33" t="n">
        <f aca="false">IF(AND(N('Hiring plan'!$F$70)&gt;0,BC$3&gt;='Hiring plan'!$G$70,BC$3&lt;=IF('Hiring plan'!$H$70="",999,'Hiring plan'!$H$70)),'Hiring plan'!$F$70,0)</f>
        <v>0</v>
      </c>
      <c r="BD74" s="33" t="n">
        <f aca="false">IF(AND(N('Hiring plan'!$F$70)&gt;0,BD$3&gt;='Hiring plan'!$G$70,BD$3&lt;=IF('Hiring plan'!$H$70="",999,'Hiring plan'!$H$70)),'Hiring plan'!$F$70,0)</f>
        <v>0</v>
      </c>
      <c r="BE74" s="33" t="n">
        <f aca="false">IF(AND(N('Hiring plan'!$F$70)&gt;0,BE$3&gt;='Hiring plan'!$G$70,BE$3&lt;=IF('Hiring plan'!$H$70="",999,'Hiring plan'!$H$70)),'Hiring plan'!$F$70,0)</f>
        <v>0</v>
      </c>
      <c r="BF74" s="33" t="n">
        <f aca="false">IF(AND(N('Hiring plan'!$F$70)&gt;0,BF$3&gt;='Hiring plan'!$G$70,BF$3&lt;=IF('Hiring plan'!$H$70="",999,'Hiring plan'!$H$70)),'Hiring plan'!$F$70,0)</f>
        <v>0</v>
      </c>
      <c r="BG74" s="33" t="n">
        <f aca="false">IF(AND(N('Hiring plan'!$F$70)&gt;0,BG$3&gt;='Hiring plan'!$G$70,BG$3&lt;=IF('Hiring plan'!$H$70="",999,'Hiring plan'!$H$70)),'Hiring plan'!$F$70,0)</f>
        <v>0</v>
      </c>
      <c r="BH74" s="33" t="n">
        <f aca="false">IF(AND(N('Hiring plan'!$F$70)&gt;0,BH$3&gt;='Hiring plan'!$G$70,BH$3&lt;=IF('Hiring plan'!$H$70="",999,'Hiring plan'!$H$70)),'Hiring plan'!$F$70,0)</f>
        <v>0</v>
      </c>
      <c r="BI74" s="33" t="n">
        <f aca="false">IF(AND(N('Hiring plan'!$F$70)&gt;0,BI$3&gt;='Hiring plan'!$G$70,BI$3&lt;=IF('Hiring plan'!$H$70="",999,'Hiring plan'!$H$70)),'Hiring plan'!$F$70,0)</f>
        <v>0</v>
      </c>
      <c r="BJ74" s="33" t="n">
        <f aca="false">IF(AND(N('Hiring plan'!$F$70)&gt;0,BJ$3&gt;='Hiring plan'!$G$70,BJ$3&lt;=IF('Hiring plan'!$H$70="",999,'Hiring plan'!$H$70)),'Hiring plan'!$F$70,0)</f>
        <v>0</v>
      </c>
      <c r="BK74" s="33" t="n">
        <f aca="false">IF(AND(N('Hiring plan'!$F$70)&gt;0,BK$3&gt;='Hiring plan'!$G$70,BK$3&lt;=IF('Hiring plan'!$H$70="",999,'Hiring plan'!$H$70)),'Hiring plan'!$F$70,0)</f>
        <v>0</v>
      </c>
      <c r="BL74" s="33" t="n">
        <f aca="false">IF(AND(N('Hiring plan'!$F$70)&gt;0,BL$3&gt;='Hiring plan'!$G$70,BL$3&lt;=IF('Hiring plan'!$H$70="",999,'Hiring plan'!$H$70)),'Hiring plan'!$F$70,0)</f>
        <v>0</v>
      </c>
    </row>
    <row r="75" customFormat="false" ht="15" hidden="false" customHeight="false" outlineLevel="0" collapsed="false">
      <c r="A75" s="12" t="str">
        <f aca="false">IF('Hiring plan'!$C$71="","(spare line 67)",'Hiring plan'!$C$71&amp;" · "&amp;'Hiring plan'!$D$71)</f>
        <v>(spare line 67)</v>
      </c>
      <c r="B75" s="14" t="s">
        <v>222</v>
      </c>
      <c r="D75" s="41" t="n">
        <f aca="false">MAX(E75:BL75)</f>
        <v>0</v>
      </c>
      <c r="E75" s="33" t="n">
        <f aca="false">IF(AND(N('Hiring plan'!$F$71)&gt;0,E$3&gt;='Hiring plan'!$G$71,E$3&lt;=IF('Hiring plan'!$H$71="",999,'Hiring plan'!$H$71)),'Hiring plan'!$F$71,0)</f>
        <v>0</v>
      </c>
      <c r="F75" s="33" t="n">
        <f aca="false">IF(AND(N('Hiring plan'!$F$71)&gt;0,F$3&gt;='Hiring plan'!$G$71,F$3&lt;=IF('Hiring plan'!$H$71="",999,'Hiring plan'!$H$71)),'Hiring plan'!$F$71,0)</f>
        <v>0</v>
      </c>
      <c r="G75" s="33" t="n">
        <f aca="false">IF(AND(N('Hiring plan'!$F$71)&gt;0,G$3&gt;='Hiring plan'!$G$71,G$3&lt;=IF('Hiring plan'!$H$71="",999,'Hiring plan'!$H$71)),'Hiring plan'!$F$71,0)</f>
        <v>0</v>
      </c>
      <c r="H75" s="33" t="n">
        <f aca="false">IF(AND(N('Hiring plan'!$F$71)&gt;0,H$3&gt;='Hiring plan'!$G$71,H$3&lt;=IF('Hiring plan'!$H$71="",999,'Hiring plan'!$H$71)),'Hiring plan'!$F$71,0)</f>
        <v>0</v>
      </c>
      <c r="I75" s="33" t="n">
        <f aca="false">IF(AND(N('Hiring plan'!$F$71)&gt;0,I$3&gt;='Hiring plan'!$G$71,I$3&lt;=IF('Hiring plan'!$H$71="",999,'Hiring plan'!$H$71)),'Hiring plan'!$F$71,0)</f>
        <v>0</v>
      </c>
      <c r="J75" s="33" t="n">
        <f aca="false">IF(AND(N('Hiring plan'!$F$71)&gt;0,J$3&gt;='Hiring plan'!$G$71,J$3&lt;=IF('Hiring plan'!$H$71="",999,'Hiring plan'!$H$71)),'Hiring plan'!$F$71,0)</f>
        <v>0</v>
      </c>
      <c r="K75" s="33" t="n">
        <f aca="false">IF(AND(N('Hiring plan'!$F$71)&gt;0,K$3&gt;='Hiring plan'!$G$71,K$3&lt;=IF('Hiring plan'!$H$71="",999,'Hiring plan'!$H$71)),'Hiring plan'!$F$71,0)</f>
        <v>0</v>
      </c>
      <c r="L75" s="33" t="n">
        <f aca="false">IF(AND(N('Hiring plan'!$F$71)&gt;0,L$3&gt;='Hiring plan'!$G$71,L$3&lt;=IF('Hiring plan'!$H$71="",999,'Hiring plan'!$H$71)),'Hiring plan'!$F$71,0)</f>
        <v>0</v>
      </c>
      <c r="M75" s="33" t="n">
        <f aca="false">IF(AND(N('Hiring plan'!$F$71)&gt;0,M$3&gt;='Hiring plan'!$G$71,M$3&lt;=IF('Hiring plan'!$H$71="",999,'Hiring plan'!$H$71)),'Hiring plan'!$F$71,0)</f>
        <v>0</v>
      </c>
      <c r="N75" s="33" t="n">
        <f aca="false">IF(AND(N('Hiring plan'!$F$71)&gt;0,N$3&gt;='Hiring plan'!$G$71,N$3&lt;=IF('Hiring plan'!$H$71="",999,'Hiring plan'!$H$71)),'Hiring plan'!$F$71,0)</f>
        <v>0</v>
      </c>
      <c r="O75" s="33" t="n">
        <f aca="false">IF(AND(N('Hiring plan'!$F$71)&gt;0,O$3&gt;='Hiring plan'!$G$71,O$3&lt;=IF('Hiring plan'!$H$71="",999,'Hiring plan'!$H$71)),'Hiring plan'!$F$71,0)</f>
        <v>0</v>
      </c>
      <c r="P75" s="33" t="n">
        <f aca="false">IF(AND(N('Hiring plan'!$F$71)&gt;0,P$3&gt;='Hiring plan'!$G$71,P$3&lt;=IF('Hiring plan'!$H$71="",999,'Hiring plan'!$H$71)),'Hiring plan'!$F$71,0)</f>
        <v>0</v>
      </c>
      <c r="Q75" s="33" t="n">
        <f aca="false">IF(AND(N('Hiring plan'!$F$71)&gt;0,Q$3&gt;='Hiring plan'!$G$71,Q$3&lt;=IF('Hiring plan'!$H$71="",999,'Hiring plan'!$H$71)),'Hiring plan'!$F$71,0)</f>
        <v>0</v>
      </c>
      <c r="R75" s="33" t="n">
        <f aca="false">IF(AND(N('Hiring plan'!$F$71)&gt;0,R$3&gt;='Hiring plan'!$G$71,R$3&lt;=IF('Hiring plan'!$H$71="",999,'Hiring plan'!$H$71)),'Hiring plan'!$F$71,0)</f>
        <v>0</v>
      </c>
      <c r="S75" s="33" t="n">
        <f aca="false">IF(AND(N('Hiring plan'!$F$71)&gt;0,S$3&gt;='Hiring plan'!$G$71,S$3&lt;=IF('Hiring plan'!$H$71="",999,'Hiring plan'!$H$71)),'Hiring plan'!$F$71,0)</f>
        <v>0</v>
      </c>
      <c r="T75" s="33" t="n">
        <f aca="false">IF(AND(N('Hiring plan'!$F$71)&gt;0,T$3&gt;='Hiring plan'!$G$71,T$3&lt;=IF('Hiring plan'!$H$71="",999,'Hiring plan'!$H$71)),'Hiring plan'!$F$71,0)</f>
        <v>0</v>
      </c>
      <c r="U75" s="33" t="n">
        <f aca="false">IF(AND(N('Hiring plan'!$F$71)&gt;0,U$3&gt;='Hiring plan'!$G$71,U$3&lt;=IF('Hiring plan'!$H$71="",999,'Hiring plan'!$H$71)),'Hiring plan'!$F$71,0)</f>
        <v>0</v>
      </c>
      <c r="V75" s="33" t="n">
        <f aca="false">IF(AND(N('Hiring plan'!$F$71)&gt;0,V$3&gt;='Hiring plan'!$G$71,V$3&lt;=IF('Hiring plan'!$H$71="",999,'Hiring plan'!$H$71)),'Hiring plan'!$F$71,0)</f>
        <v>0</v>
      </c>
      <c r="W75" s="33" t="n">
        <f aca="false">IF(AND(N('Hiring plan'!$F$71)&gt;0,W$3&gt;='Hiring plan'!$G$71,W$3&lt;=IF('Hiring plan'!$H$71="",999,'Hiring plan'!$H$71)),'Hiring plan'!$F$71,0)</f>
        <v>0</v>
      </c>
      <c r="X75" s="33" t="n">
        <f aca="false">IF(AND(N('Hiring plan'!$F$71)&gt;0,X$3&gt;='Hiring plan'!$G$71,X$3&lt;=IF('Hiring plan'!$H$71="",999,'Hiring plan'!$H$71)),'Hiring plan'!$F$71,0)</f>
        <v>0</v>
      </c>
      <c r="Y75" s="33" t="n">
        <f aca="false">IF(AND(N('Hiring plan'!$F$71)&gt;0,Y$3&gt;='Hiring plan'!$G$71,Y$3&lt;=IF('Hiring plan'!$H$71="",999,'Hiring plan'!$H$71)),'Hiring plan'!$F$71,0)</f>
        <v>0</v>
      </c>
      <c r="Z75" s="33" t="n">
        <f aca="false">IF(AND(N('Hiring plan'!$F$71)&gt;0,Z$3&gt;='Hiring plan'!$G$71,Z$3&lt;=IF('Hiring plan'!$H$71="",999,'Hiring plan'!$H$71)),'Hiring plan'!$F$71,0)</f>
        <v>0</v>
      </c>
      <c r="AA75" s="33" t="n">
        <f aca="false">IF(AND(N('Hiring plan'!$F$71)&gt;0,AA$3&gt;='Hiring plan'!$G$71,AA$3&lt;=IF('Hiring plan'!$H$71="",999,'Hiring plan'!$H$71)),'Hiring plan'!$F$71,0)</f>
        <v>0</v>
      </c>
      <c r="AB75" s="33" t="n">
        <f aca="false">IF(AND(N('Hiring plan'!$F$71)&gt;0,AB$3&gt;='Hiring plan'!$G$71,AB$3&lt;=IF('Hiring plan'!$H$71="",999,'Hiring plan'!$H$71)),'Hiring plan'!$F$71,0)</f>
        <v>0</v>
      </c>
      <c r="AC75" s="33" t="n">
        <f aca="false">IF(AND(N('Hiring plan'!$F$71)&gt;0,AC$3&gt;='Hiring plan'!$G$71,AC$3&lt;=IF('Hiring plan'!$H$71="",999,'Hiring plan'!$H$71)),'Hiring plan'!$F$71,0)</f>
        <v>0</v>
      </c>
      <c r="AD75" s="33" t="n">
        <f aca="false">IF(AND(N('Hiring plan'!$F$71)&gt;0,AD$3&gt;='Hiring plan'!$G$71,AD$3&lt;=IF('Hiring plan'!$H$71="",999,'Hiring plan'!$H$71)),'Hiring plan'!$F$71,0)</f>
        <v>0</v>
      </c>
      <c r="AE75" s="33" t="n">
        <f aca="false">IF(AND(N('Hiring plan'!$F$71)&gt;0,AE$3&gt;='Hiring plan'!$G$71,AE$3&lt;=IF('Hiring plan'!$H$71="",999,'Hiring plan'!$H$71)),'Hiring plan'!$F$71,0)</f>
        <v>0</v>
      </c>
      <c r="AF75" s="33" t="n">
        <f aca="false">IF(AND(N('Hiring plan'!$F$71)&gt;0,AF$3&gt;='Hiring plan'!$G$71,AF$3&lt;=IF('Hiring plan'!$H$71="",999,'Hiring plan'!$H$71)),'Hiring plan'!$F$71,0)</f>
        <v>0</v>
      </c>
      <c r="AG75" s="33" t="n">
        <f aca="false">IF(AND(N('Hiring plan'!$F$71)&gt;0,AG$3&gt;='Hiring plan'!$G$71,AG$3&lt;=IF('Hiring plan'!$H$71="",999,'Hiring plan'!$H$71)),'Hiring plan'!$F$71,0)</f>
        <v>0</v>
      </c>
      <c r="AH75" s="33" t="n">
        <f aca="false">IF(AND(N('Hiring plan'!$F$71)&gt;0,AH$3&gt;='Hiring plan'!$G$71,AH$3&lt;=IF('Hiring plan'!$H$71="",999,'Hiring plan'!$H$71)),'Hiring plan'!$F$71,0)</f>
        <v>0</v>
      </c>
      <c r="AI75" s="33" t="n">
        <f aca="false">IF(AND(N('Hiring plan'!$F$71)&gt;0,AI$3&gt;='Hiring plan'!$G$71,AI$3&lt;=IF('Hiring plan'!$H$71="",999,'Hiring plan'!$H$71)),'Hiring plan'!$F$71,0)</f>
        <v>0</v>
      </c>
      <c r="AJ75" s="33" t="n">
        <f aca="false">IF(AND(N('Hiring plan'!$F$71)&gt;0,AJ$3&gt;='Hiring plan'!$G$71,AJ$3&lt;=IF('Hiring plan'!$H$71="",999,'Hiring plan'!$H$71)),'Hiring plan'!$F$71,0)</f>
        <v>0</v>
      </c>
      <c r="AK75" s="33" t="n">
        <f aca="false">IF(AND(N('Hiring plan'!$F$71)&gt;0,AK$3&gt;='Hiring plan'!$G$71,AK$3&lt;=IF('Hiring plan'!$H$71="",999,'Hiring plan'!$H$71)),'Hiring plan'!$F$71,0)</f>
        <v>0</v>
      </c>
      <c r="AL75" s="33" t="n">
        <f aca="false">IF(AND(N('Hiring plan'!$F$71)&gt;0,AL$3&gt;='Hiring plan'!$G$71,AL$3&lt;=IF('Hiring plan'!$H$71="",999,'Hiring plan'!$H$71)),'Hiring plan'!$F$71,0)</f>
        <v>0</v>
      </c>
      <c r="AM75" s="33" t="n">
        <f aca="false">IF(AND(N('Hiring plan'!$F$71)&gt;0,AM$3&gt;='Hiring plan'!$G$71,AM$3&lt;=IF('Hiring plan'!$H$71="",999,'Hiring plan'!$H$71)),'Hiring plan'!$F$71,0)</f>
        <v>0</v>
      </c>
      <c r="AN75" s="33" t="n">
        <f aca="false">IF(AND(N('Hiring plan'!$F$71)&gt;0,AN$3&gt;='Hiring plan'!$G$71,AN$3&lt;=IF('Hiring plan'!$H$71="",999,'Hiring plan'!$H$71)),'Hiring plan'!$F$71,0)</f>
        <v>0</v>
      </c>
      <c r="AO75" s="33" t="n">
        <f aca="false">IF(AND(N('Hiring plan'!$F$71)&gt;0,AO$3&gt;='Hiring plan'!$G$71,AO$3&lt;=IF('Hiring plan'!$H$71="",999,'Hiring plan'!$H$71)),'Hiring plan'!$F$71,0)</f>
        <v>0</v>
      </c>
      <c r="AP75" s="33" t="n">
        <f aca="false">IF(AND(N('Hiring plan'!$F$71)&gt;0,AP$3&gt;='Hiring plan'!$G$71,AP$3&lt;=IF('Hiring plan'!$H$71="",999,'Hiring plan'!$H$71)),'Hiring plan'!$F$71,0)</f>
        <v>0</v>
      </c>
      <c r="AQ75" s="33" t="n">
        <f aca="false">IF(AND(N('Hiring plan'!$F$71)&gt;0,AQ$3&gt;='Hiring plan'!$G$71,AQ$3&lt;=IF('Hiring plan'!$H$71="",999,'Hiring plan'!$H$71)),'Hiring plan'!$F$71,0)</f>
        <v>0</v>
      </c>
      <c r="AR75" s="33" t="n">
        <f aca="false">IF(AND(N('Hiring plan'!$F$71)&gt;0,AR$3&gt;='Hiring plan'!$G$71,AR$3&lt;=IF('Hiring plan'!$H$71="",999,'Hiring plan'!$H$71)),'Hiring plan'!$F$71,0)</f>
        <v>0</v>
      </c>
      <c r="AS75" s="33" t="n">
        <f aca="false">IF(AND(N('Hiring plan'!$F$71)&gt;0,AS$3&gt;='Hiring plan'!$G$71,AS$3&lt;=IF('Hiring plan'!$H$71="",999,'Hiring plan'!$H$71)),'Hiring plan'!$F$71,0)</f>
        <v>0</v>
      </c>
      <c r="AT75" s="33" t="n">
        <f aca="false">IF(AND(N('Hiring plan'!$F$71)&gt;0,AT$3&gt;='Hiring plan'!$G$71,AT$3&lt;=IF('Hiring plan'!$H$71="",999,'Hiring plan'!$H$71)),'Hiring plan'!$F$71,0)</f>
        <v>0</v>
      </c>
      <c r="AU75" s="33" t="n">
        <f aca="false">IF(AND(N('Hiring plan'!$F$71)&gt;0,AU$3&gt;='Hiring plan'!$G$71,AU$3&lt;=IF('Hiring plan'!$H$71="",999,'Hiring plan'!$H$71)),'Hiring plan'!$F$71,0)</f>
        <v>0</v>
      </c>
      <c r="AV75" s="33" t="n">
        <f aca="false">IF(AND(N('Hiring plan'!$F$71)&gt;0,AV$3&gt;='Hiring plan'!$G$71,AV$3&lt;=IF('Hiring plan'!$H$71="",999,'Hiring plan'!$H$71)),'Hiring plan'!$F$71,0)</f>
        <v>0</v>
      </c>
      <c r="AW75" s="33" t="n">
        <f aca="false">IF(AND(N('Hiring plan'!$F$71)&gt;0,AW$3&gt;='Hiring plan'!$G$71,AW$3&lt;=IF('Hiring plan'!$H$71="",999,'Hiring plan'!$H$71)),'Hiring plan'!$F$71,0)</f>
        <v>0</v>
      </c>
      <c r="AX75" s="33" t="n">
        <f aca="false">IF(AND(N('Hiring plan'!$F$71)&gt;0,AX$3&gt;='Hiring plan'!$G$71,AX$3&lt;=IF('Hiring plan'!$H$71="",999,'Hiring plan'!$H$71)),'Hiring plan'!$F$71,0)</f>
        <v>0</v>
      </c>
      <c r="AY75" s="33" t="n">
        <f aca="false">IF(AND(N('Hiring plan'!$F$71)&gt;0,AY$3&gt;='Hiring plan'!$G$71,AY$3&lt;=IF('Hiring plan'!$H$71="",999,'Hiring plan'!$H$71)),'Hiring plan'!$F$71,0)</f>
        <v>0</v>
      </c>
      <c r="AZ75" s="33" t="n">
        <f aca="false">IF(AND(N('Hiring plan'!$F$71)&gt;0,AZ$3&gt;='Hiring plan'!$G$71,AZ$3&lt;=IF('Hiring plan'!$H$71="",999,'Hiring plan'!$H$71)),'Hiring plan'!$F$71,0)</f>
        <v>0</v>
      </c>
      <c r="BA75" s="33" t="n">
        <f aca="false">IF(AND(N('Hiring plan'!$F$71)&gt;0,BA$3&gt;='Hiring plan'!$G$71,BA$3&lt;=IF('Hiring plan'!$H$71="",999,'Hiring plan'!$H$71)),'Hiring plan'!$F$71,0)</f>
        <v>0</v>
      </c>
      <c r="BB75" s="33" t="n">
        <f aca="false">IF(AND(N('Hiring plan'!$F$71)&gt;0,BB$3&gt;='Hiring plan'!$G$71,BB$3&lt;=IF('Hiring plan'!$H$71="",999,'Hiring plan'!$H$71)),'Hiring plan'!$F$71,0)</f>
        <v>0</v>
      </c>
      <c r="BC75" s="33" t="n">
        <f aca="false">IF(AND(N('Hiring plan'!$F$71)&gt;0,BC$3&gt;='Hiring plan'!$G$71,BC$3&lt;=IF('Hiring plan'!$H$71="",999,'Hiring plan'!$H$71)),'Hiring plan'!$F$71,0)</f>
        <v>0</v>
      </c>
      <c r="BD75" s="33" t="n">
        <f aca="false">IF(AND(N('Hiring plan'!$F$71)&gt;0,BD$3&gt;='Hiring plan'!$G$71,BD$3&lt;=IF('Hiring plan'!$H$71="",999,'Hiring plan'!$H$71)),'Hiring plan'!$F$71,0)</f>
        <v>0</v>
      </c>
      <c r="BE75" s="33" t="n">
        <f aca="false">IF(AND(N('Hiring plan'!$F$71)&gt;0,BE$3&gt;='Hiring plan'!$G$71,BE$3&lt;=IF('Hiring plan'!$H$71="",999,'Hiring plan'!$H$71)),'Hiring plan'!$F$71,0)</f>
        <v>0</v>
      </c>
      <c r="BF75" s="33" t="n">
        <f aca="false">IF(AND(N('Hiring plan'!$F$71)&gt;0,BF$3&gt;='Hiring plan'!$G$71,BF$3&lt;=IF('Hiring plan'!$H$71="",999,'Hiring plan'!$H$71)),'Hiring plan'!$F$71,0)</f>
        <v>0</v>
      </c>
      <c r="BG75" s="33" t="n">
        <f aca="false">IF(AND(N('Hiring plan'!$F$71)&gt;0,BG$3&gt;='Hiring plan'!$G$71,BG$3&lt;=IF('Hiring plan'!$H$71="",999,'Hiring plan'!$H$71)),'Hiring plan'!$F$71,0)</f>
        <v>0</v>
      </c>
      <c r="BH75" s="33" t="n">
        <f aca="false">IF(AND(N('Hiring plan'!$F$71)&gt;0,BH$3&gt;='Hiring plan'!$G$71,BH$3&lt;=IF('Hiring plan'!$H$71="",999,'Hiring plan'!$H$71)),'Hiring plan'!$F$71,0)</f>
        <v>0</v>
      </c>
      <c r="BI75" s="33" t="n">
        <f aca="false">IF(AND(N('Hiring plan'!$F$71)&gt;0,BI$3&gt;='Hiring plan'!$G$71,BI$3&lt;=IF('Hiring plan'!$H$71="",999,'Hiring plan'!$H$71)),'Hiring plan'!$F$71,0)</f>
        <v>0</v>
      </c>
      <c r="BJ75" s="33" t="n">
        <f aca="false">IF(AND(N('Hiring plan'!$F$71)&gt;0,BJ$3&gt;='Hiring plan'!$G$71,BJ$3&lt;=IF('Hiring plan'!$H$71="",999,'Hiring plan'!$H$71)),'Hiring plan'!$F$71,0)</f>
        <v>0</v>
      </c>
      <c r="BK75" s="33" t="n">
        <f aca="false">IF(AND(N('Hiring plan'!$F$71)&gt;0,BK$3&gt;='Hiring plan'!$G$71,BK$3&lt;=IF('Hiring plan'!$H$71="",999,'Hiring plan'!$H$71)),'Hiring plan'!$F$71,0)</f>
        <v>0</v>
      </c>
      <c r="BL75" s="33" t="n">
        <f aca="false">IF(AND(N('Hiring plan'!$F$71)&gt;0,BL$3&gt;='Hiring plan'!$G$71,BL$3&lt;=IF('Hiring plan'!$H$71="",999,'Hiring plan'!$H$71)),'Hiring plan'!$F$71,0)</f>
        <v>0</v>
      </c>
    </row>
    <row r="76" customFormat="false" ht="15" hidden="false" customHeight="false" outlineLevel="0" collapsed="false">
      <c r="A76" s="12" t="str">
        <f aca="false">IF('Hiring plan'!$C$72="","(spare line 68)",'Hiring plan'!$C$72&amp;" · "&amp;'Hiring plan'!$D$72)</f>
        <v>(spare line 68)</v>
      </c>
      <c r="B76" s="14" t="s">
        <v>222</v>
      </c>
      <c r="D76" s="41" t="n">
        <f aca="false">MAX(E76:BL76)</f>
        <v>0</v>
      </c>
      <c r="E76" s="33" t="n">
        <f aca="false">IF(AND(N('Hiring plan'!$F$72)&gt;0,E$3&gt;='Hiring plan'!$G$72,E$3&lt;=IF('Hiring plan'!$H$72="",999,'Hiring plan'!$H$72)),'Hiring plan'!$F$72,0)</f>
        <v>0</v>
      </c>
      <c r="F76" s="33" t="n">
        <f aca="false">IF(AND(N('Hiring plan'!$F$72)&gt;0,F$3&gt;='Hiring plan'!$G$72,F$3&lt;=IF('Hiring plan'!$H$72="",999,'Hiring plan'!$H$72)),'Hiring plan'!$F$72,0)</f>
        <v>0</v>
      </c>
      <c r="G76" s="33" t="n">
        <f aca="false">IF(AND(N('Hiring plan'!$F$72)&gt;0,G$3&gt;='Hiring plan'!$G$72,G$3&lt;=IF('Hiring plan'!$H$72="",999,'Hiring plan'!$H$72)),'Hiring plan'!$F$72,0)</f>
        <v>0</v>
      </c>
      <c r="H76" s="33" t="n">
        <f aca="false">IF(AND(N('Hiring plan'!$F$72)&gt;0,H$3&gt;='Hiring plan'!$G$72,H$3&lt;=IF('Hiring plan'!$H$72="",999,'Hiring plan'!$H$72)),'Hiring plan'!$F$72,0)</f>
        <v>0</v>
      </c>
      <c r="I76" s="33" t="n">
        <f aca="false">IF(AND(N('Hiring plan'!$F$72)&gt;0,I$3&gt;='Hiring plan'!$G$72,I$3&lt;=IF('Hiring plan'!$H$72="",999,'Hiring plan'!$H$72)),'Hiring plan'!$F$72,0)</f>
        <v>0</v>
      </c>
      <c r="J76" s="33" t="n">
        <f aca="false">IF(AND(N('Hiring plan'!$F$72)&gt;0,J$3&gt;='Hiring plan'!$G$72,J$3&lt;=IF('Hiring plan'!$H$72="",999,'Hiring plan'!$H$72)),'Hiring plan'!$F$72,0)</f>
        <v>0</v>
      </c>
      <c r="K76" s="33" t="n">
        <f aca="false">IF(AND(N('Hiring plan'!$F$72)&gt;0,K$3&gt;='Hiring plan'!$G$72,K$3&lt;=IF('Hiring plan'!$H$72="",999,'Hiring plan'!$H$72)),'Hiring plan'!$F$72,0)</f>
        <v>0</v>
      </c>
      <c r="L76" s="33" t="n">
        <f aca="false">IF(AND(N('Hiring plan'!$F$72)&gt;0,L$3&gt;='Hiring plan'!$G$72,L$3&lt;=IF('Hiring plan'!$H$72="",999,'Hiring plan'!$H$72)),'Hiring plan'!$F$72,0)</f>
        <v>0</v>
      </c>
      <c r="M76" s="33" t="n">
        <f aca="false">IF(AND(N('Hiring plan'!$F$72)&gt;0,M$3&gt;='Hiring plan'!$G$72,M$3&lt;=IF('Hiring plan'!$H$72="",999,'Hiring plan'!$H$72)),'Hiring plan'!$F$72,0)</f>
        <v>0</v>
      </c>
      <c r="N76" s="33" t="n">
        <f aca="false">IF(AND(N('Hiring plan'!$F$72)&gt;0,N$3&gt;='Hiring plan'!$G$72,N$3&lt;=IF('Hiring plan'!$H$72="",999,'Hiring plan'!$H$72)),'Hiring plan'!$F$72,0)</f>
        <v>0</v>
      </c>
      <c r="O76" s="33" t="n">
        <f aca="false">IF(AND(N('Hiring plan'!$F$72)&gt;0,O$3&gt;='Hiring plan'!$G$72,O$3&lt;=IF('Hiring plan'!$H$72="",999,'Hiring plan'!$H$72)),'Hiring plan'!$F$72,0)</f>
        <v>0</v>
      </c>
      <c r="P76" s="33" t="n">
        <f aca="false">IF(AND(N('Hiring plan'!$F$72)&gt;0,P$3&gt;='Hiring plan'!$G$72,P$3&lt;=IF('Hiring plan'!$H$72="",999,'Hiring plan'!$H$72)),'Hiring plan'!$F$72,0)</f>
        <v>0</v>
      </c>
      <c r="Q76" s="33" t="n">
        <f aca="false">IF(AND(N('Hiring plan'!$F$72)&gt;0,Q$3&gt;='Hiring plan'!$G$72,Q$3&lt;=IF('Hiring plan'!$H$72="",999,'Hiring plan'!$H$72)),'Hiring plan'!$F$72,0)</f>
        <v>0</v>
      </c>
      <c r="R76" s="33" t="n">
        <f aca="false">IF(AND(N('Hiring plan'!$F$72)&gt;0,R$3&gt;='Hiring plan'!$G$72,R$3&lt;=IF('Hiring plan'!$H$72="",999,'Hiring plan'!$H$72)),'Hiring plan'!$F$72,0)</f>
        <v>0</v>
      </c>
      <c r="S76" s="33" t="n">
        <f aca="false">IF(AND(N('Hiring plan'!$F$72)&gt;0,S$3&gt;='Hiring plan'!$G$72,S$3&lt;=IF('Hiring plan'!$H$72="",999,'Hiring plan'!$H$72)),'Hiring plan'!$F$72,0)</f>
        <v>0</v>
      </c>
      <c r="T76" s="33" t="n">
        <f aca="false">IF(AND(N('Hiring plan'!$F$72)&gt;0,T$3&gt;='Hiring plan'!$G$72,T$3&lt;=IF('Hiring plan'!$H$72="",999,'Hiring plan'!$H$72)),'Hiring plan'!$F$72,0)</f>
        <v>0</v>
      </c>
      <c r="U76" s="33" t="n">
        <f aca="false">IF(AND(N('Hiring plan'!$F$72)&gt;0,U$3&gt;='Hiring plan'!$G$72,U$3&lt;=IF('Hiring plan'!$H$72="",999,'Hiring plan'!$H$72)),'Hiring plan'!$F$72,0)</f>
        <v>0</v>
      </c>
      <c r="V76" s="33" t="n">
        <f aca="false">IF(AND(N('Hiring plan'!$F$72)&gt;0,V$3&gt;='Hiring plan'!$G$72,V$3&lt;=IF('Hiring plan'!$H$72="",999,'Hiring plan'!$H$72)),'Hiring plan'!$F$72,0)</f>
        <v>0</v>
      </c>
      <c r="W76" s="33" t="n">
        <f aca="false">IF(AND(N('Hiring plan'!$F$72)&gt;0,W$3&gt;='Hiring plan'!$G$72,W$3&lt;=IF('Hiring plan'!$H$72="",999,'Hiring plan'!$H$72)),'Hiring plan'!$F$72,0)</f>
        <v>0</v>
      </c>
      <c r="X76" s="33" t="n">
        <f aca="false">IF(AND(N('Hiring plan'!$F$72)&gt;0,X$3&gt;='Hiring plan'!$G$72,X$3&lt;=IF('Hiring plan'!$H$72="",999,'Hiring plan'!$H$72)),'Hiring plan'!$F$72,0)</f>
        <v>0</v>
      </c>
      <c r="Y76" s="33" t="n">
        <f aca="false">IF(AND(N('Hiring plan'!$F$72)&gt;0,Y$3&gt;='Hiring plan'!$G$72,Y$3&lt;=IF('Hiring plan'!$H$72="",999,'Hiring plan'!$H$72)),'Hiring plan'!$F$72,0)</f>
        <v>0</v>
      </c>
      <c r="Z76" s="33" t="n">
        <f aca="false">IF(AND(N('Hiring plan'!$F$72)&gt;0,Z$3&gt;='Hiring plan'!$G$72,Z$3&lt;=IF('Hiring plan'!$H$72="",999,'Hiring plan'!$H$72)),'Hiring plan'!$F$72,0)</f>
        <v>0</v>
      </c>
      <c r="AA76" s="33" t="n">
        <f aca="false">IF(AND(N('Hiring plan'!$F$72)&gt;0,AA$3&gt;='Hiring plan'!$G$72,AA$3&lt;=IF('Hiring plan'!$H$72="",999,'Hiring plan'!$H$72)),'Hiring plan'!$F$72,0)</f>
        <v>0</v>
      </c>
      <c r="AB76" s="33" t="n">
        <f aca="false">IF(AND(N('Hiring plan'!$F$72)&gt;0,AB$3&gt;='Hiring plan'!$G$72,AB$3&lt;=IF('Hiring plan'!$H$72="",999,'Hiring plan'!$H$72)),'Hiring plan'!$F$72,0)</f>
        <v>0</v>
      </c>
      <c r="AC76" s="33" t="n">
        <f aca="false">IF(AND(N('Hiring plan'!$F$72)&gt;0,AC$3&gt;='Hiring plan'!$G$72,AC$3&lt;=IF('Hiring plan'!$H$72="",999,'Hiring plan'!$H$72)),'Hiring plan'!$F$72,0)</f>
        <v>0</v>
      </c>
      <c r="AD76" s="33" t="n">
        <f aca="false">IF(AND(N('Hiring plan'!$F$72)&gt;0,AD$3&gt;='Hiring plan'!$G$72,AD$3&lt;=IF('Hiring plan'!$H$72="",999,'Hiring plan'!$H$72)),'Hiring plan'!$F$72,0)</f>
        <v>0</v>
      </c>
      <c r="AE76" s="33" t="n">
        <f aca="false">IF(AND(N('Hiring plan'!$F$72)&gt;0,AE$3&gt;='Hiring plan'!$G$72,AE$3&lt;=IF('Hiring plan'!$H$72="",999,'Hiring plan'!$H$72)),'Hiring plan'!$F$72,0)</f>
        <v>0</v>
      </c>
      <c r="AF76" s="33" t="n">
        <f aca="false">IF(AND(N('Hiring plan'!$F$72)&gt;0,AF$3&gt;='Hiring plan'!$G$72,AF$3&lt;=IF('Hiring plan'!$H$72="",999,'Hiring plan'!$H$72)),'Hiring plan'!$F$72,0)</f>
        <v>0</v>
      </c>
      <c r="AG76" s="33" t="n">
        <f aca="false">IF(AND(N('Hiring plan'!$F$72)&gt;0,AG$3&gt;='Hiring plan'!$G$72,AG$3&lt;=IF('Hiring plan'!$H$72="",999,'Hiring plan'!$H$72)),'Hiring plan'!$F$72,0)</f>
        <v>0</v>
      </c>
      <c r="AH76" s="33" t="n">
        <f aca="false">IF(AND(N('Hiring plan'!$F$72)&gt;0,AH$3&gt;='Hiring plan'!$G$72,AH$3&lt;=IF('Hiring plan'!$H$72="",999,'Hiring plan'!$H$72)),'Hiring plan'!$F$72,0)</f>
        <v>0</v>
      </c>
      <c r="AI76" s="33" t="n">
        <f aca="false">IF(AND(N('Hiring plan'!$F$72)&gt;0,AI$3&gt;='Hiring plan'!$G$72,AI$3&lt;=IF('Hiring plan'!$H$72="",999,'Hiring plan'!$H$72)),'Hiring plan'!$F$72,0)</f>
        <v>0</v>
      </c>
      <c r="AJ76" s="33" t="n">
        <f aca="false">IF(AND(N('Hiring plan'!$F$72)&gt;0,AJ$3&gt;='Hiring plan'!$G$72,AJ$3&lt;=IF('Hiring plan'!$H$72="",999,'Hiring plan'!$H$72)),'Hiring plan'!$F$72,0)</f>
        <v>0</v>
      </c>
      <c r="AK76" s="33" t="n">
        <f aca="false">IF(AND(N('Hiring plan'!$F$72)&gt;0,AK$3&gt;='Hiring plan'!$G$72,AK$3&lt;=IF('Hiring plan'!$H$72="",999,'Hiring plan'!$H$72)),'Hiring plan'!$F$72,0)</f>
        <v>0</v>
      </c>
      <c r="AL76" s="33" t="n">
        <f aca="false">IF(AND(N('Hiring plan'!$F$72)&gt;0,AL$3&gt;='Hiring plan'!$G$72,AL$3&lt;=IF('Hiring plan'!$H$72="",999,'Hiring plan'!$H$72)),'Hiring plan'!$F$72,0)</f>
        <v>0</v>
      </c>
      <c r="AM76" s="33" t="n">
        <f aca="false">IF(AND(N('Hiring plan'!$F$72)&gt;0,AM$3&gt;='Hiring plan'!$G$72,AM$3&lt;=IF('Hiring plan'!$H$72="",999,'Hiring plan'!$H$72)),'Hiring plan'!$F$72,0)</f>
        <v>0</v>
      </c>
      <c r="AN76" s="33" t="n">
        <f aca="false">IF(AND(N('Hiring plan'!$F$72)&gt;0,AN$3&gt;='Hiring plan'!$G$72,AN$3&lt;=IF('Hiring plan'!$H$72="",999,'Hiring plan'!$H$72)),'Hiring plan'!$F$72,0)</f>
        <v>0</v>
      </c>
      <c r="AO76" s="33" t="n">
        <f aca="false">IF(AND(N('Hiring plan'!$F$72)&gt;0,AO$3&gt;='Hiring plan'!$G$72,AO$3&lt;=IF('Hiring plan'!$H$72="",999,'Hiring plan'!$H$72)),'Hiring plan'!$F$72,0)</f>
        <v>0</v>
      </c>
      <c r="AP76" s="33" t="n">
        <f aca="false">IF(AND(N('Hiring plan'!$F$72)&gt;0,AP$3&gt;='Hiring plan'!$G$72,AP$3&lt;=IF('Hiring plan'!$H$72="",999,'Hiring plan'!$H$72)),'Hiring plan'!$F$72,0)</f>
        <v>0</v>
      </c>
      <c r="AQ76" s="33" t="n">
        <f aca="false">IF(AND(N('Hiring plan'!$F$72)&gt;0,AQ$3&gt;='Hiring plan'!$G$72,AQ$3&lt;=IF('Hiring plan'!$H$72="",999,'Hiring plan'!$H$72)),'Hiring plan'!$F$72,0)</f>
        <v>0</v>
      </c>
      <c r="AR76" s="33" t="n">
        <f aca="false">IF(AND(N('Hiring plan'!$F$72)&gt;0,AR$3&gt;='Hiring plan'!$G$72,AR$3&lt;=IF('Hiring plan'!$H$72="",999,'Hiring plan'!$H$72)),'Hiring plan'!$F$72,0)</f>
        <v>0</v>
      </c>
      <c r="AS76" s="33" t="n">
        <f aca="false">IF(AND(N('Hiring plan'!$F$72)&gt;0,AS$3&gt;='Hiring plan'!$G$72,AS$3&lt;=IF('Hiring plan'!$H$72="",999,'Hiring plan'!$H$72)),'Hiring plan'!$F$72,0)</f>
        <v>0</v>
      </c>
      <c r="AT76" s="33" t="n">
        <f aca="false">IF(AND(N('Hiring plan'!$F$72)&gt;0,AT$3&gt;='Hiring plan'!$G$72,AT$3&lt;=IF('Hiring plan'!$H$72="",999,'Hiring plan'!$H$72)),'Hiring plan'!$F$72,0)</f>
        <v>0</v>
      </c>
      <c r="AU76" s="33" t="n">
        <f aca="false">IF(AND(N('Hiring plan'!$F$72)&gt;0,AU$3&gt;='Hiring plan'!$G$72,AU$3&lt;=IF('Hiring plan'!$H$72="",999,'Hiring plan'!$H$72)),'Hiring plan'!$F$72,0)</f>
        <v>0</v>
      </c>
      <c r="AV76" s="33" t="n">
        <f aca="false">IF(AND(N('Hiring plan'!$F$72)&gt;0,AV$3&gt;='Hiring plan'!$G$72,AV$3&lt;=IF('Hiring plan'!$H$72="",999,'Hiring plan'!$H$72)),'Hiring plan'!$F$72,0)</f>
        <v>0</v>
      </c>
      <c r="AW76" s="33" t="n">
        <f aca="false">IF(AND(N('Hiring plan'!$F$72)&gt;0,AW$3&gt;='Hiring plan'!$G$72,AW$3&lt;=IF('Hiring plan'!$H$72="",999,'Hiring plan'!$H$72)),'Hiring plan'!$F$72,0)</f>
        <v>0</v>
      </c>
      <c r="AX76" s="33" t="n">
        <f aca="false">IF(AND(N('Hiring plan'!$F$72)&gt;0,AX$3&gt;='Hiring plan'!$G$72,AX$3&lt;=IF('Hiring plan'!$H$72="",999,'Hiring plan'!$H$72)),'Hiring plan'!$F$72,0)</f>
        <v>0</v>
      </c>
      <c r="AY76" s="33" t="n">
        <f aca="false">IF(AND(N('Hiring plan'!$F$72)&gt;0,AY$3&gt;='Hiring plan'!$G$72,AY$3&lt;=IF('Hiring plan'!$H$72="",999,'Hiring plan'!$H$72)),'Hiring plan'!$F$72,0)</f>
        <v>0</v>
      </c>
      <c r="AZ76" s="33" t="n">
        <f aca="false">IF(AND(N('Hiring plan'!$F$72)&gt;0,AZ$3&gt;='Hiring plan'!$G$72,AZ$3&lt;=IF('Hiring plan'!$H$72="",999,'Hiring plan'!$H$72)),'Hiring plan'!$F$72,0)</f>
        <v>0</v>
      </c>
      <c r="BA76" s="33" t="n">
        <f aca="false">IF(AND(N('Hiring plan'!$F$72)&gt;0,BA$3&gt;='Hiring plan'!$G$72,BA$3&lt;=IF('Hiring plan'!$H$72="",999,'Hiring plan'!$H$72)),'Hiring plan'!$F$72,0)</f>
        <v>0</v>
      </c>
      <c r="BB76" s="33" t="n">
        <f aca="false">IF(AND(N('Hiring plan'!$F$72)&gt;0,BB$3&gt;='Hiring plan'!$G$72,BB$3&lt;=IF('Hiring plan'!$H$72="",999,'Hiring plan'!$H$72)),'Hiring plan'!$F$72,0)</f>
        <v>0</v>
      </c>
      <c r="BC76" s="33" t="n">
        <f aca="false">IF(AND(N('Hiring plan'!$F$72)&gt;0,BC$3&gt;='Hiring plan'!$G$72,BC$3&lt;=IF('Hiring plan'!$H$72="",999,'Hiring plan'!$H$72)),'Hiring plan'!$F$72,0)</f>
        <v>0</v>
      </c>
      <c r="BD76" s="33" t="n">
        <f aca="false">IF(AND(N('Hiring plan'!$F$72)&gt;0,BD$3&gt;='Hiring plan'!$G$72,BD$3&lt;=IF('Hiring plan'!$H$72="",999,'Hiring plan'!$H$72)),'Hiring plan'!$F$72,0)</f>
        <v>0</v>
      </c>
      <c r="BE76" s="33" t="n">
        <f aca="false">IF(AND(N('Hiring plan'!$F$72)&gt;0,BE$3&gt;='Hiring plan'!$G$72,BE$3&lt;=IF('Hiring plan'!$H$72="",999,'Hiring plan'!$H$72)),'Hiring plan'!$F$72,0)</f>
        <v>0</v>
      </c>
      <c r="BF76" s="33" t="n">
        <f aca="false">IF(AND(N('Hiring plan'!$F$72)&gt;0,BF$3&gt;='Hiring plan'!$G$72,BF$3&lt;=IF('Hiring plan'!$H$72="",999,'Hiring plan'!$H$72)),'Hiring plan'!$F$72,0)</f>
        <v>0</v>
      </c>
      <c r="BG76" s="33" t="n">
        <f aca="false">IF(AND(N('Hiring plan'!$F$72)&gt;0,BG$3&gt;='Hiring plan'!$G$72,BG$3&lt;=IF('Hiring plan'!$H$72="",999,'Hiring plan'!$H$72)),'Hiring plan'!$F$72,0)</f>
        <v>0</v>
      </c>
      <c r="BH76" s="33" t="n">
        <f aca="false">IF(AND(N('Hiring plan'!$F$72)&gt;0,BH$3&gt;='Hiring plan'!$G$72,BH$3&lt;=IF('Hiring plan'!$H$72="",999,'Hiring plan'!$H$72)),'Hiring plan'!$F$72,0)</f>
        <v>0</v>
      </c>
      <c r="BI76" s="33" t="n">
        <f aca="false">IF(AND(N('Hiring plan'!$F$72)&gt;0,BI$3&gt;='Hiring plan'!$G$72,BI$3&lt;=IF('Hiring plan'!$H$72="",999,'Hiring plan'!$H$72)),'Hiring plan'!$F$72,0)</f>
        <v>0</v>
      </c>
      <c r="BJ76" s="33" t="n">
        <f aca="false">IF(AND(N('Hiring plan'!$F$72)&gt;0,BJ$3&gt;='Hiring plan'!$G$72,BJ$3&lt;=IF('Hiring plan'!$H$72="",999,'Hiring plan'!$H$72)),'Hiring plan'!$F$72,0)</f>
        <v>0</v>
      </c>
      <c r="BK76" s="33" t="n">
        <f aca="false">IF(AND(N('Hiring plan'!$F$72)&gt;0,BK$3&gt;='Hiring plan'!$G$72,BK$3&lt;=IF('Hiring plan'!$H$72="",999,'Hiring plan'!$H$72)),'Hiring plan'!$F$72,0)</f>
        <v>0</v>
      </c>
      <c r="BL76" s="33" t="n">
        <f aca="false">IF(AND(N('Hiring plan'!$F$72)&gt;0,BL$3&gt;='Hiring plan'!$G$72,BL$3&lt;=IF('Hiring plan'!$H$72="",999,'Hiring plan'!$H$72)),'Hiring plan'!$F$72,0)</f>
        <v>0</v>
      </c>
    </row>
    <row r="77" customFormat="false" ht="15" hidden="false" customHeight="false" outlineLevel="0" collapsed="false">
      <c r="A77" s="12" t="str">
        <f aca="false">IF('Hiring plan'!$C$73="","(spare line 69)",'Hiring plan'!$C$73&amp;" · "&amp;'Hiring plan'!$D$73)</f>
        <v>(spare line 69)</v>
      </c>
      <c r="B77" s="14" t="s">
        <v>222</v>
      </c>
      <c r="D77" s="41" t="n">
        <f aca="false">MAX(E77:BL77)</f>
        <v>0</v>
      </c>
      <c r="E77" s="33" t="n">
        <f aca="false">IF(AND(N('Hiring plan'!$F$73)&gt;0,E$3&gt;='Hiring plan'!$G$73,E$3&lt;=IF('Hiring plan'!$H$73="",999,'Hiring plan'!$H$73)),'Hiring plan'!$F$73,0)</f>
        <v>0</v>
      </c>
      <c r="F77" s="33" t="n">
        <f aca="false">IF(AND(N('Hiring plan'!$F$73)&gt;0,F$3&gt;='Hiring plan'!$G$73,F$3&lt;=IF('Hiring plan'!$H$73="",999,'Hiring plan'!$H$73)),'Hiring plan'!$F$73,0)</f>
        <v>0</v>
      </c>
      <c r="G77" s="33" t="n">
        <f aca="false">IF(AND(N('Hiring plan'!$F$73)&gt;0,G$3&gt;='Hiring plan'!$G$73,G$3&lt;=IF('Hiring plan'!$H$73="",999,'Hiring plan'!$H$73)),'Hiring plan'!$F$73,0)</f>
        <v>0</v>
      </c>
      <c r="H77" s="33" t="n">
        <f aca="false">IF(AND(N('Hiring plan'!$F$73)&gt;0,H$3&gt;='Hiring plan'!$G$73,H$3&lt;=IF('Hiring plan'!$H$73="",999,'Hiring plan'!$H$73)),'Hiring plan'!$F$73,0)</f>
        <v>0</v>
      </c>
      <c r="I77" s="33" t="n">
        <f aca="false">IF(AND(N('Hiring plan'!$F$73)&gt;0,I$3&gt;='Hiring plan'!$G$73,I$3&lt;=IF('Hiring plan'!$H$73="",999,'Hiring plan'!$H$73)),'Hiring plan'!$F$73,0)</f>
        <v>0</v>
      </c>
      <c r="J77" s="33" t="n">
        <f aca="false">IF(AND(N('Hiring plan'!$F$73)&gt;0,J$3&gt;='Hiring plan'!$G$73,J$3&lt;=IF('Hiring plan'!$H$73="",999,'Hiring plan'!$H$73)),'Hiring plan'!$F$73,0)</f>
        <v>0</v>
      </c>
      <c r="K77" s="33" t="n">
        <f aca="false">IF(AND(N('Hiring plan'!$F$73)&gt;0,K$3&gt;='Hiring plan'!$G$73,K$3&lt;=IF('Hiring plan'!$H$73="",999,'Hiring plan'!$H$73)),'Hiring plan'!$F$73,0)</f>
        <v>0</v>
      </c>
      <c r="L77" s="33" t="n">
        <f aca="false">IF(AND(N('Hiring plan'!$F$73)&gt;0,L$3&gt;='Hiring plan'!$G$73,L$3&lt;=IF('Hiring plan'!$H$73="",999,'Hiring plan'!$H$73)),'Hiring plan'!$F$73,0)</f>
        <v>0</v>
      </c>
      <c r="M77" s="33" t="n">
        <f aca="false">IF(AND(N('Hiring plan'!$F$73)&gt;0,M$3&gt;='Hiring plan'!$G$73,M$3&lt;=IF('Hiring plan'!$H$73="",999,'Hiring plan'!$H$73)),'Hiring plan'!$F$73,0)</f>
        <v>0</v>
      </c>
      <c r="N77" s="33" t="n">
        <f aca="false">IF(AND(N('Hiring plan'!$F$73)&gt;0,N$3&gt;='Hiring plan'!$G$73,N$3&lt;=IF('Hiring plan'!$H$73="",999,'Hiring plan'!$H$73)),'Hiring plan'!$F$73,0)</f>
        <v>0</v>
      </c>
      <c r="O77" s="33" t="n">
        <f aca="false">IF(AND(N('Hiring plan'!$F$73)&gt;0,O$3&gt;='Hiring plan'!$G$73,O$3&lt;=IF('Hiring plan'!$H$73="",999,'Hiring plan'!$H$73)),'Hiring plan'!$F$73,0)</f>
        <v>0</v>
      </c>
      <c r="P77" s="33" t="n">
        <f aca="false">IF(AND(N('Hiring plan'!$F$73)&gt;0,P$3&gt;='Hiring plan'!$G$73,P$3&lt;=IF('Hiring plan'!$H$73="",999,'Hiring plan'!$H$73)),'Hiring plan'!$F$73,0)</f>
        <v>0</v>
      </c>
      <c r="Q77" s="33" t="n">
        <f aca="false">IF(AND(N('Hiring plan'!$F$73)&gt;0,Q$3&gt;='Hiring plan'!$G$73,Q$3&lt;=IF('Hiring plan'!$H$73="",999,'Hiring plan'!$H$73)),'Hiring plan'!$F$73,0)</f>
        <v>0</v>
      </c>
      <c r="R77" s="33" t="n">
        <f aca="false">IF(AND(N('Hiring plan'!$F$73)&gt;0,R$3&gt;='Hiring plan'!$G$73,R$3&lt;=IF('Hiring plan'!$H$73="",999,'Hiring plan'!$H$73)),'Hiring plan'!$F$73,0)</f>
        <v>0</v>
      </c>
      <c r="S77" s="33" t="n">
        <f aca="false">IF(AND(N('Hiring plan'!$F$73)&gt;0,S$3&gt;='Hiring plan'!$G$73,S$3&lt;=IF('Hiring plan'!$H$73="",999,'Hiring plan'!$H$73)),'Hiring plan'!$F$73,0)</f>
        <v>0</v>
      </c>
      <c r="T77" s="33" t="n">
        <f aca="false">IF(AND(N('Hiring plan'!$F$73)&gt;0,T$3&gt;='Hiring plan'!$G$73,T$3&lt;=IF('Hiring plan'!$H$73="",999,'Hiring plan'!$H$73)),'Hiring plan'!$F$73,0)</f>
        <v>0</v>
      </c>
      <c r="U77" s="33" t="n">
        <f aca="false">IF(AND(N('Hiring plan'!$F$73)&gt;0,U$3&gt;='Hiring plan'!$G$73,U$3&lt;=IF('Hiring plan'!$H$73="",999,'Hiring plan'!$H$73)),'Hiring plan'!$F$73,0)</f>
        <v>0</v>
      </c>
      <c r="V77" s="33" t="n">
        <f aca="false">IF(AND(N('Hiring plan'!$F$73)&gt;0,V$3&gt;='Hiring plan'!$G$73,V$3&lt;=IF('Hiring plan'!$H$73="",999,'Hiring plan'!$H$73)),'Hiring plan'!$F$73,0)</f>
        <v>0</v>
      </c>
      <c r="W77" s="33" t="n">
        <f aca="false">IF(AND(N('Hiring plan'!$F$73)&gt;0,W$3&gt;='Hiring plan'!$G$73,W$3&lt;=IF('Hiring plan'!$H$73="",999,'Hiring plan'!$H$73)),'Hiring plan'!$F$73,0)</f>
        <v>0</v>
      </c>
      <c r="X77" s="33" t="n">
        <f aca="false">IF(AND(N('Hiring plan'!$F$73)&gt;0,X$3&gt;='Hiring plan'!$G$73,X$3&lt;=IF('Hiring plan'!$H$73="",999,'Hiring plan'!$H$73)),'Hiring plan'!$F$73,0)</f>
        <v>0</v>
      </c>
      <c r="Y77" s="33" t="n">
        <f aca="false">IF(AND(N('Hiring plan'!$F$73)&gt;0,Y$3&gt;='Hiring plan'!$G$73,Y$3&lt;=IF('Hiring plan'!$H$73="",999,'Hiring plan'!$H$73)),'Hiring plan'!$F$73,0)</f>
        <v>0</v>
      </c>
      <c r="Z77" s="33" t="n">
        <f aca="false">IF(AND(N('Hiring plan'!$F$73)&gt;0,Z$3&gt;='Hiring plan'!$G$73,Z$3&lt;=IF('Hiring plan'!$H$73="",999,'Hiring plan'!$H$73)),'Hiring plan'!$F$73,0)</f>
        <v>0</v>
      </c>
      <c r="AA77" s="33" t="n">
        <f aca="false">IF(AND(N('Hiring plan'!$F$73)&gt;0,AA$3&gt;='Hiring plan'!$G$73,AA$3&lt;=IF('Hiring plan'!$H$73="",999,'Hiring plan'!$H$73)),'Hiring plan'!$F$73,0)</f>
        <v>0</v>
      </c>
      <c r="AB77" s="33" t="n">
        <f aca="false">IF(AND(N('Hiring plan'!$F$73)&gt;0,AB$3&gt;='Hiring plan'!$G$73,AB$3&lt;=IF('Hiring plan'!$H$73="",999,'Hiring plan'!$H$73)),'Hiring plan'!$F$73,0)</f>
        <v>0</v>
      </c>
      <c r="AC77" s="33" t="n">
        <f aca="false">IF(AND(N('Hiring plan'!$F$73)&gt;0,AC$3&gt;='Hiring plan'!$G$73,AC$3&lt;=IF('Hiring plan'!$H$73="",999,'Hiring plan'!$H$73)),'Hiring plan'!$F$73,0)</f>
        <v>0</v>
      </c>
      <c r="AD77" s="33" t="n">
        <f aca="false">IF(AND(N('Hiring plan'!$F$73)&gt;0,AD$3&gt;='Hiring plan'!$G$73,AD$3&lt;=IF('Hiring plan'!$H$73="",999,'Hiring plan'!$H$73)),'Hiring plan'!$F$73,0)</f>
        <v>0</v>
      </c>
      <c r="AE77" s="33" t="n">
        <f aca="false">IF(AND(N('Hiring plan'!$F$73)&gt;0,AE$3&gt;='Hiring plan'!$G$73,AE$3&lt;=IF('Hiring plan'!$H$73="",999,'Hiring plan'!$H$73)),'Hiring plan'!$F$73,0)</f>
        <v>0</v>
      </c>
      <c r="AF77" s="33" t="n">
        <f aca="false">IF(AND(N('Hiring plan'!$F$73)&gt;0,AF$3&gt;='Hiring plan'!$G$73,AF$3&lt;=IF('Hiring plan'!$H$73="",999,'Hiring plan'!$H$73)),'Hiring plan'!$F$73,0)</f>
        <v>0</v>
      </c>
      <c r="AG77" s="33" t="n">
        <f aca="false">IF(AND(N('Hiring plan'!$F$73)&gt;0,AG$3&gt;='Hiring plan'!$G$73,AG$3&lt;=IF('Hiring plan'!$H$73="",999,'Hiring plan'!$H$73)),'Hiring plan'!$F$73,0)</f>
        <v>0</v>
      </c>
      <c r="AH77" s="33" t="n">
        <f aca="false">IF(AND(N('Hiring plan'!$F$73)&gt;0,AH$3&gt;='Hiring plan'!$G$73,AH$3&lt;=IF('Hiring plan'!$H$73="",999,'Hiring plan'!$H$73)),'Hiring plan'!$F$73,0)</f>
        <v>0</v>
      </c>
      <c r="AI77" s="33" t="n">
        <f aca="false">IF(AND(N('Hiring plan'!$F$73)&gt;0,AI$3&gt;='Hiring plan'!$G$73,AI$3&lt;=IF('Hiring plan'!$H$73="",999,'Hiring plan'!$H$73)),'Hiring plan'!$F$73,0)</f>
        <v>0</v>
      </c>
      <c r="AJ77" s="33" t="n">
        <f aca="false">IF(AND(N('Hiring plan'!$F$73)&gt;0,AJ$3&gt;='Hiring plan'!$G$73,AJ$3&lt;=IF('Hiring plan'!$H$73="",999,'Hiring plan'!$H$73)),'Hiring plan'!$F$73,0)</f>
        <v>0</v>
      </c>
      <c r="AK77" s="33" t="n">
        <f aca="false">IF(AND(N('Hiring plan'!$F$73)&gt;0,AK$3&gt;='Hiring plan'!$G$73,AK$3&lt;=IF('Hiring plan'!$H$73="",999,'Hiring plan'!$H$73)),'Hiring plan'!$F$73,0)</f>
        <v>0</v>
      </c>
      <c r="AL77" s="33" t="n">
        <f aca="false">IF(AND(N('Hiring plan'!$F$73)&gt;0,AL$3&gt;='Hiring plan'!$G$73,AL$3&lt;=IF('Hiring plan'!$H$73="",999,'Hiring plan'!$H$73)),'Hiring plan'!$F$73,0)</f>
        <v>0</v>
      </c>
      <c r="AM77" s="33" t="n">
        <f aca="false">IF(AND(N('Hiring plan'!$F$73)&gt;0,AM$3&gt;='Hiring plan'!$G$73,AM$3&lt;=IF('Hiring plan'!$H$73="",999,'Hiring plan'!$H$73)),'Hiring plan'!$F$73,0)</f>
        <v>0</v>
      </c>
      <c r="AN77" s="33" t="n">
        <f aca="false">IF(AND(N('Hiring plan'!$F$73)&gt;0,AN$3&gt;='Hiring plan'!$G$73,AN$3&lt;=IF('Hiring plan'!$H$73="",999,'Hiring plan'!$H$73)),'Hiring plan'!$F$73,0)</f>
        <v>0</v>
      </c>
      <c r="AO77" s="33" t="n">
        <f aca="false">IF(AND(N('Hiring plan'!$F$73)&gt;0,AO$3&gt;='Hiring plan'!$G$73,AO$3&lt;=IF('Hiring plan'!$H$73="",999,'Hiring plan'!$H$73)),'Hiring plan'!$F$73,0)</f>
        <v>0</v>
      </c>
      <c r="AP77" s="33" t="n">
        <f aca="false">IF(AND(N('Hiring plan'!$F$73)&gt;0,AP$3&gt;='Hiring plan'!$G$73,AP$3&lt;=IF('Hiring plan'!$H$73="",999,'Hiring plan'!$H$73)),'Hiring plan'!$F$73,0)</f>
        <v>0</v>
      </c>
      <c r="AQ77" s="33" t="n">
        <f aca="false">IF(AND(N('Hiring plan'!$F$73)&gt;0,AQ$3&gt;='Hiring plan'!$G$73,AQ$3&lt;=IF('Hiring plan'!$H$73="",999,'Hiring plan'!$H$73)),'Hiring plan'!$F$73,0)</f>
        <v>0</v>
      </c>
      <c r="AR77" s="33" t="n">
        <f aca="false">IF(AND(N('Hiring plan'!$F$73)&gt;0,AR$3&gt;='Hiring plan'!$G$73,AR$3&lt;=IF('Hiring plan'!$H$73="",999,'Hiring plan'!$H$73)),'Hiring plan'!$F$73,0)</f>
        <v>0</v>
      </c>
      <c r="AS77" s="33" t="n">
        <f aca="false">IF(AND(N('Hiring plan'!$F$73)&gt;0,AS$3&gt;='Hiring plan'!$G$73,AS$3&lt;=IF('Hiring plan'!$H$73="",999,'Hiring plan'!$H$73)),'Hiring plan'!$F$73,0)</f>
        <v>0</v>
      </c>
      <c r="AT77" s="33" t="n">
        <f aca="false">IF(AND(N('Hiring plan'!$F$73)&gt;0,AT$3&gt;='Hiring plan'!$G$73,AT$3&lt;=IF('Hiring plan'!$H$73="",999,'Hiring plan'!$H$73)),'Hiring plan'!$F$73,0)</f>
        <v>0</v>
      </c>
      <c r="AU77" s="33" t="n">
        <f aca="false">IF(AND(N('Hiring plan'!$F$73)&gt;0,AU$3&gt;='Hiring plan'!$G$73,AU$3&lt;=IF('Hiring plan'!$H$73="",999,'Hiring plan'!$H$73)),'Hiring plan'!$F$73,0)</f>
        <v>0</v>
      </c>
      <c r="AV77" s="33" t="n">
        <f aca="false">IF(AND(N('Hiring plan'!$F$73)&gt;0,AV$3&gt;='Hiring plan'!$G$73,AV$3&lt;=IF('Hiring plan'!$H$73="",999,'Hiring plan'!$H$73)),'Hiring plan'!$F$73,0)</f>
        <v>0</v>
      </c>
      <c r="AW77" s="33" t="n">
        <f aca="false">IF(AND(N('Hiring plan'!$F$73)&gt;0,AW$3&gt;='Hiring plan'!$G$73,AW$3&lt;=IF('Hiring plan'!$H$73="",999,'Hiring plan'!$H$73)),'Hiring plan'!$F$73,0)</f>
        <v>0</v>
      </c>
      <c r="AX77" s="33" t="n">
        <f aca="false">IF(AND(N('Hiring plan'!$F$73)&gt;0,AX$3&gt;='Hiring plan'!$G$73,AX$3&lt;=IF('Hiring plan'!$H$73="",999,'Hiring plan'!$H$73)),'Hiring plan'!$F$73,0)</f>
        <v>0</v>
      </c>
      <c r="AY77" s="33" t="n">
        <f aca="false">IF(AND(N('Hiring plan'!$F$73)&gt;0,AY$3&gt;='Hiring plan'!$G$73,AY$3&lt;=IF('Hiring plan'!$H$73="",999,'Hiring plan'!$H$73)),'Hiring plan'!$F$73,0)</f>
        <v>0</v>
      </c>
      <c r="AZ77" s="33" t="n">
        <f aca="false">IF(AND(N('Hiring plan'!$F$73)&gt;0,AZ$3&gt;='Hiring plan'!$G$73,AZ$3&lt;=IF('Hiring plan'!$H$73="",999,'Hiring plan'!$H$73)),'Hiring plan'!$F$73,0)</f>
        <v>0</v>
      </c>
      <c r="BA77" s="33" t="n">
        <f aca="false">IF(AND(N('Hiring plan'!$F$73)&gt;0,BA$3&gt;='Hiring plan'!$G$73,BA$3&lt;=IF('Hiring plan'!$H$73="",999,'Hiring plan'!$H$73)),'Hiring plan'!$F$73,0)</f>
        <v>0</v>
      </c>
      <c r="BB77" s="33" t="n">
        <f aca="false">IF(AND(N('Hiring plan'!$F$73)&gt;0,BB$3&gt;='Hiring plan'!$G$73,BB$3&lt;=IF('Hiring plan'!$H$73="",999,'Hiring plan'!$H$73)),'Hiring plan'!$F$73,0)</f>
        <v>0</v>
      </c>
      <c r="BC77" s="33" t="n">
        <f aca="false">IF(AND(N('Hiring plan'!$F$73)&gt;0,BC$3&gt;='Hiring plan'!$G$73,BC$3&lt;=IF('Hiring plan'!$H$73="",999,'Hiring plan'!$H$73)),'Hiring plan'!$F$73,0)</f>
        <v>0</v>
      </c>
      <c r="BD77" s="33" t="n">
        <f aca="false">IF(AND(N('Hiring plan'!$F$73)&gt;0,BD$3&gt;='Hiring plan'!$G$73,BD$3&lt;=IF('Hiring plan'!$H$73="",999,'Hiring plan'!$H$73)),'Hiring plan'!$F$73,0)</f>
        <v>0</v>
      </c>
      <c r="BE77" s="33" t="n">
        <f aca="false">IF(AND(N('Hiring plan'!$F$73)&gt;0,BE$3&gt;='Hiring plan'!$G$73,BE$3&lt;=IF('Hiring plan'!$H$73="",999,'Hiring plan'!$H$73)),'Hiring plan'!$F$73,0)</f>
        <v>0</v>
      </c>
      <c r="BF77" s="33" t="n">
        <f aca="false">IF(AND(N('Hiring plan'!$F$73)&gt;0,BF$3&gt;='Hiring plan'!$G$73,BF$3&lt;=IF('Hiring plan'!$H$73="",999,'Hiring plan'!$H$73)),'Hiring plan'!$F$73,0)</f>
        <v>0</v>
      </c>
      <c r="BG77" s="33" t="n">
        <f aca="false">IF(AND(N('Hiring plan'!$F$73)&gt;0,BG$3&gt;='Hiring plan'!$G$73,BG$3&lt;=IF('Hiring plan'!$H$73="",999,'Hiring plan'!$H$73)),'Hiring plan'!$F$73,0)</f>
        <v>0</v>
      </c>
      <c r="BH77" s="33" t="n">
        <f aca="false">IF(AND(N('Hiring plan'!$F$73)&gt;0,BH$3&gt;='Hiring plan'!$G$73,BH$3&lt;=IF('Hiring plan'!$H$73="",999,'Hiring plan'!$H$73)),'Hiring plan'!$F$73,0)</f>
        <v>0</v>
      </c>
      <c r="BI77" s="33" t="n">
        <f aca="false">IF(AND(N('Hiring plan'!$F$73)&gt;0,BI$3&gt;='Hiring plan'!$G$73,BI$3&lt;=IF('Hiring plan'!$H$73="",999,'Hiring plan'!$H$73)),'Hiring plan'!$F$73,0)</f>
        <v>0</v>
      </c>
      <c r="BJ77" s="33" t="n">
        <f aca="false">IF(AND(N('Hiring plan'!$F$73)&gt;0,BJ$3&gt;='Hiring plan'!$G$73,BJ$3&lt;=IF('Hiring plan'!$H$73="",999,'Hiring plan'!$H$73)),'Hiring plan'!$F$73,0)</f>
        <v>0</v>
      </c>
      <c r="BK77" s="33" t="n">
        <f aca="false">IF(AND(N('Hiring plan'!$F$73)&gt;0,BK$3&gt;='Hiring plan'!$G$73,BK$3&lt;=IF('Hiring plan'!$H$73="",999,'Hiring plan'!$H$73)),'Hiring plan'!$F$73,0)</f>
        <v>0</v>
      </c>
      <c r="BL77" s="33" t="n">
        <f aca="false">IF(AND(N('Hiring plan'!$F$73)&gt;0,BL$3&gt;='Hiring plan'!$G$73,BL$3&lt;=IF('Hiring plan'!$H$73="",999,'Hiring plan'!$H$73)),'Hiring plan'!$F$73,0)</f>
        <v>0</v>
      </c>
    </row>
    <row r="78" customFormat="false" ht="15" hidden="false" customHeight="false" outlineLevel="0" collapsed="false">
      <c r="A78" s="12" t="str">
        <f aca="false">IF('Hiring plan'!$C$74="","(spare line 70)",'Hiring plan'!$C$74&amp;" · "&amp;'Hiring plan'!$D$74)</f>
        <v>(spare line 70)</v>
      </c>
      <c r="B78" s="14" t="s">
        <v>222</v>
      </c>
      <c r="D78" s="41" t="n">
        <f aca="false">MAX(E78:BL78)</f>
        <v>0</v>
      </c>
      <c r="E78" s="33" t="n">
        <f aca="false">IF(AND(N('Hiring plan'!$F$74)&gt;0,E$3&gt;='Hiring plan'!$G$74,E$3&lt;=IF('Hiring plan'!$H$74="",999,'Hiring plan'!$H$74)),'Hiring plan'!$F$74,0)</f>
        <v>0</v>
      </c>
      <c r="F78" s="33" t="n">
        <f aca="false">IF(AND(N('Hiring plan'!$F$74)&gt;0,F$3&gt;='Hiring plan'!$G$74,F$3&lt;=IF('Hiring plan'!$H$74="",999,'Hiring plan'!$H$74)),'Hiring plan'!$F$74,0)</f>
        <v>0</v>
      </c>
      <c r="G78" s="33" t="n">
        <f aca="false">IF(AND(N('Hiring plan'!$F$74)&gt;0,G$3&gt;='Hiring plan'!$G$74,G$3&lt;=IF('Hiring plan'!$H$74="",999,'Hiring plan'!$H$74)),'Hiring plan'!$F$74,0)</f>
        <v>0</v>
      </c>
      <c r="H78" s="33" t="n">
        <f aca="false">IF(AND(N('Hiring plan'!$F$74)&gt;0,H$3&gt;='Hiring plan'!$G$74,H$3&lt;=IF('Hiring plan'!$H$74="",999,'Hiring plan'!$H$74)),'Hiring plan'!$F$74,0)</f>
        <v>0</v>
      </c>
      <c r="I78" s="33" t="n">
        <f aca="false">IF(AND(N('Hiring plan'!$F$74)&gt;0,I$3&gt;='Hiring plan'!$G$74,I$3&lt;=IF('Hiring plan'!$H$74="",999,'Hiring plan'!$H$74)),'Hiring plan'!$F$74,0)</f>
        <v>0</v>
      </c>
      <c r="J78" s="33" t="n">
        <f aca="false">IF(AND(N('Hiring plan'!$F$74)&gt;0,J$3&gt;='Hiring plan'!$G$74,J$3&lt;=IF('Hiring plan'!$H$74="",999,'Hiring plan'!$H$74)),'Hiring plan'!$F$74,0)</f>
        <v>0</v>
      </c>
      <c r="K78" s="33" t="n">
        <f aca="false">IF(AND(N('Hiring plan'!$F$74)&gt;0,K$3&gt;='Hiring plan'!$G$74,K$3&lt;=IF('Hiring plan'!$H$74="",999,'Hiring plan'!$H$74)),'Hiring plan'!$F$74,0)</f>
        <v>0</v>
      </c>
      <c r="L78" s="33" t="n">
        <f aca="false">IF(AND(N('Hiring plan'!$F$74)&gt;0,L$3&gt;='Hiring plan'!$G$74,L$3&lt;=IF('Hiring plan'!$H$74="",999,'Hiring plan'!$H$74)),'Hiring plan'!$F$74,0)</f>
        <v>0</v>
      </c>
      <c r="M78" s="33" t="n">
        <f aca="false">IF(AND(N('Hiring plan'!$F$74)&gt;0,M$3&gt;='Hiring plan'!$G$74,M$3&lt;=IF('Hiring plan'!$H$74="",999,'Hiring plan'!$H$74)),'Hiring plan'!$F$74,0)</f>
        <v>0</v>
      </c>
      <c r="N78" s="33" t="n">
        <f aca="false">IF(AND(N('Hiring plan'!$F$74)&gt;0,N$3&gt;='Hiring plan'!$G$74,N$3&lt;=IF('Hiring plan'!$H$74="",999,'Hiring plan'!$H$74)),'Hiring plan'!$F$74,0)</f>
        <v>0</v>
      </c>
      <c r="O78" s="33" t="n">
        <f aca="false">IF(AND(N('Hiring plan'!$F$74)&gt;0,O$3&gt;='Hiring plan'!$G$74,O$3&lt;=IF('Hiring plan'!$H$74="",999,'Hiring plan'!$H$74)),'Hiring plan'!$F$74,0)</f>
        <v>0</v>
      </c>
      <c r="P78" s="33" t="n">
        <f aca="false">IF(AND(N('Hiring plan'!$F$74)&gt;0,P$3&gt;='Hiring plan'!$G$74,P$3&lt;=IF('Hiring plan'!$H$74="",999,'Hiring plan'!$H$74)),'Hiring plan'!$F$74,0)</f>
        <v>0</v>
      </c>
      <c r="Q78" s="33" t="n">
        <f aca="false">IF(AND(N('Hiring plan'!$F$74)&gt;0,Q$3&gt;='Hiring plan'!$G$74,Q$3&lt;=IF('Hiring plan'!$H$74="",999,'Hiring plan'!$H$74)),'Hiring plan'!$F$74,0)</f>
        <v>0</v>
      </c>
      <c r="R78" s="33" t="n">
        <f aca="false">IF(AND(N('Hiring plan'!$F$74)&gt;0,R$3&gt;='Hiring plan'!$G$74,R$3&lt;=IF('Hiring plan'!$H$74="",999,'Hiring plan'!$H$74)),'Hiring plan'!$F$74,0)</f>
        <v>0</v>
      </c>
      <c r="S78" s="33" t="n">
        <f aca="false">IF(AND(N('Hiring plan'!$F$74)&gt;0,S$3&gt;='Hiring plan'!$G$74,S$3&lt;=IF('Hiring plan'!$H$74="",999,'Hiring plan'!$H$74)),'Hiring plan'!$F$74,0)</f>
        <v>0</v>
      </c>
      <c r="T78" s="33" t="n">
        <f aca="false">IF(AND(N('Hiring plan'!$F$74)&gt;0,T$3&gt;='Hiring plan'!$G$74,T$3&lt;=IF('Hiring plan'!$H$74="",999,'Hiring plan'!$H$74)),'Hiring plan'!$F$74,0)</f>
        <v>0</v>
      </c>
      <c r="U78" s="33" t="n">
        <f aca="false">IF(AND(N('Hiring plan'!$F$74)&gt;0,U$3&gt;='Hiring plan'!$G$74,U$3&lt;=IF('Hiring plan'!$H$74="",999,'Hiring plan'!$H$74)),'Hiring plan'!$F$74,0)</f>
        <v>0</v>
      </c>
      <c r="V78" s="33" t="n">
        <f aca="false">IF(AND(N('Hiring plan'!$F$74)&gt;0,V$3&gt;='Hiring plan'!$G$74,V$3&lt;=IF('Hiring plan'!$H$74="",999,'Hiring plan'!$H$74)),'Hiring plan'!$F$74,0)</f>
        <v>0</v>
      </c>
      <c r="W78" s="33" t="n">
        <f aca="false">IF(AND(N('Hiring plan'!$F$74)&gt;0,W$3&gt;='Hiring plan'!$G$74,W$3&lt;=IF('Hiring plan'!$H$74="",999,'Hiring plan'!$H$74)),'Hiring plan'!$F$74,0)</f>
        <v>0</v>
      </c>
      <c r="X78" s="33" t="n">
        <f aca="false">IF(AND(N('Hiring plan'!$F$74)&gt;0,X$3&gt;='Hiring plan'!$G$74,X$3&lt;=IF('Hiring plan'!$H$74="",999,'Hiring plan'!$H$74)),'Hiring plan'!$F$74,0)</f>
        <v>0</v>
      </c>
      <c r="Y78" s="33" t="n">
        <f aca="false">IF(AND(N('Hiring plan'!$F$74)&gt;0,Y$3&gt;='Hiring plan'!$G$74,Y$3&lt;=IF('Hiring plan'!$H$74="",999,'Hiring plan'!$H$74)),'Hiring plan'!$F$74,0)</f>
        <v>0</v>
      </c>
      <c r="Z78" s="33" t="n">
        <f aca="false">IF(AND(N('Hiring plan'!$F$74)&gt;0,Z$3&gt;='Hiring plan'!$G$74,Z$3&lt;=IF('Hiring plan'!$H$74="",999,'Hiring plan'!$H$74)),'Hiring plan'!$F$74,0)</f>
        <v>0</v>
      </c>
      <c r="AA78" s="33" t="n">
        <f aca="false">IF(AND(N('Hiring plan'!$F$74)&gt;0,AA$3&gt;='Hiring plan'!$G$74,AA$3&lt;=IF('Hiring plan'!$H$74="",999,'Hiring plan'!$H$74)),'Hiring plan'!$F$74,0)</f>
        <v>0</v>
      </c>
      <c r="AB78" s="33" t="n">
        <f aca="false">IF(AND(N('Hiring plan'!$F$74)&gt;0,AB$3&gt;='Hiring plan'!$G$74,AB$3&lt;=IF('Hiring plan'!$H$74="",999,'Hiring plan'!$H$74)),'Hiring plan'!$F$74,0)</f>
        <v>0</v>
      </c>
      <c r="AC78" s="33" t="n">
        <f aca="false">IF(AND(N('Hiring plan'!$F$74)&gt;0,AC$3&gt;='Hiring plan'!$G$74,AC$3&lt;=IF('Hiring plan'!$H$74="",999,'Hiring plan'!$H$74)),'Hiring plan'!$F$74,0)</f>
        <v>0</v>
      </c>
      <c r="AD78" s="33" t="n">
        <f aca="false">IF(AND(N('Hiring plan'!$F$74)&gt;0,AD$3&gt;='Hiring plan'!$G$74,AD$3&lt;=IF('Hiring plan'!$H$74="",999,'Hiring plan'!$H$74)),'Hiring plan'!$F$74,0)</f>
        <v>0</v>
      </c>
      <c r="AE78" s="33" t="n">
        <f aca="false">IF(AND(N('Hiring plan'!$F$74)&gt;0,AE$3&gt;='Hiring plan'!$G$74,AE$3&lt;=IF('Hiring plan'!$H$74="",999,'Hiring plan'!$H$74)),'Hiring plan'!$F$74,0)</f>
        <v>0</v>
      </c>
      <c r="AF78" s="33" t="n">
        <f aca="false">IF(AND(N('Hiring plan'!$F$74)&gt;0,AF$3&gt;='Hiring plan'!$G$74,AF$3&lt;=IF('Hiring plan'!$H$74="",999,'Hiring plan'!$H$74)),'Hiring plan'!$F$74,0)</f>
        <v>0</v>
      </c>
      <c r="AG78" s="33" t="n">
        <f aca="false">IF(AND(N('Hiring plan'!$F$74)&gt;0,AG$3&gt;='Hiring plan'!$G$74,AG$3&lt;=IF('Hiring plan'!$H$74="",999,'Hiring plan'!$H$74)),'Hiring plan'!$F$74,0)</f>
        <v>0</v>
      </c>
      <c r="AH78" s="33" t="n">
        <f aca="false">IF(AND(N('Hiring plan'!$F$74)&gt;0,AH$3&gt;='Hiring plan'!$G$74,AH$3&lt;=IF('Hiring plan'!$H$74="",999,'Hiring plan'!$H$74)),'Hiring plan'!$F$74,0)</f>
        <v>0</v>
      </c>
      <c r="AI78" s="33" t="n">
        <f aca="false">IF(AND(N('Hiring plan'!$F$74)&gt;0,AI$3&gt;='Hiring plan'!$G$74,AI$3&lt;=IF('Hiring plan'!$H$74="",999,'Hiring plan'!$H$74)),'Hiring plan'!$F$74,0)</f>
        <v>0</v>
      </c>
      <c r="AJ78" s="33" t="n">
        <f aca="false">IF(AND(N('Hiring plan'!$F$74)&gt;0,AJ$3&gt;='Hiring plan'!$G$74,AJ$3&lt;=IF('Hiring plan'!$H$74="",999,'Hiring plan'!$H$74)),'Hiring plan'!$F$74,0)</f>
        <v>0</v>
      </c>
      <c r="AK78" s="33" t="n">
        <f aca="false">IF(AND(N('Hiring plan'!$F$74)&gt;0,AK$3&gt;='Hiring plan'!$G$74,AK$3&lt;=IF('Hiring plan'!$H$74="",999,'Hiring plan'!$H$74)),'Hiring plan'!$F$74,0)</f>
        <v>0</v>
      </c>
      <c r="AL78" s="33" t="n">
        <f aca="false">IF(AND(N('Hiring plan'!$F$74)&gt;0,AL$3&gt;='Hiring plan'!$G$74,AL$3&lt;=IF('Hiring plan'!$H$74="",999,'Hiring plan'!$H$74)),'Hiring plan'!$F$74,0)</f>
        <v>0</v>
      </c>
      <c r="AM78" s="33" t="n">
        <f aca="false">IF(AND(N('Hiring plan'!$F$74)&gt;0,AM$3&gt;='Hiring plan'!$G$74,AM$3&lt;=IF('Hiring plan'!$H$74="",999,'Hiring plan'!$H$74)),'Hiring plan'!$F$74,0)</f>
        <v>0</v>
      </c>
      <c r="AN78" s="33" t="n">
        <f aca="false">IF(AND(N('Hiring plan'!$F$74)&gt;0,AN$3&gt;='Hiring plan'!$G$74,AN$3&lt;=IF('Hiring plan'!$H$74="",999,'Hiring plan'!$H$74)),'Hiring plan'!$F$74,0)</f>
        <v>0</v>
      </c>
      <c r="AO78" s="33" t="n">
        <f aca="false">IF(AND(N('Hiring plan'!$F$74)&gt;0,AO$3&gt;='Hiring plan'!$G$74,AO$3&lt;=IF('Hiring plan'!$H$74="",999,'Hiring plan'!$H$74)),'Hiring plan'!$F$74,0)</f>
        <v>0</v>
      </c>
      <c r="AP78" s="33" t="n">
        <f aca="false">IF(AND(N('Hiring plan'!$F$74)&gt;0,AP$3&gt;='Hiring plan'!$G$74,AP$3&lt;=IF('Hiring plan'!$H$74="",999,'Hiring plan'!$H$74)),'Hiring plan'!$F$74,0)</f>
        <v>0</v>
      </c>
      <c r="AQ78" s="33" t="n">
        <f aca="false">IF(AND(N('Hiring plan'!$F$74)&gt;0,AQ$3&gt;='Hiring plan'!$G$74,AQ$3&lt;=IF('Hiring plan'!$H$74="",999,'Hiring plan'!$H$74)),'Hiring plan'!$F$74,0)</f>
        <v>0</v>
      </c>
      <c r="AR78" s="33" t="n">
        <f aca="false">IF(AND(N('Hiring plan'!$F$74)&gt;0,AR$3&gt;='Hiring plan'!$G$74,AR$3&lt;=IF('Hiring plan'!$H$74="",999,'Hiring plan'!$H$74)),'Hiring plan'!$F$74,0)</f>
        <v>0</v>
      </c>
      <c r="AS78" s="33" t="n">
        <f aca="false">IF(AND(N('Hiring plan'!$F$74)&gt;0,AS$3&gt;='Hiring plan'!$G$74,AS$3&lt;=IF('Hiring plan'!$H$74="",999,'Hiring plan'!$H$74)),'Hiring plan'!$F$74,0)</f>
        <v>0</v>
      </c>
      <c r="AT78" s="33" t="n">
        <f aca="false">IF(AND(N('Hiring plan'!$F$74)&gt;0,AT$3&gt;='Hiring plan'!$G$74,AT$3&lt;=IF('Hiring plan'!$H$74="",999,'Hiring plan'!$H$74)),'Hiring plan'!$F$74,0)</f>
        <v>0</v>
      </c>
      <c r="AU78" s="33" t="n">
        <f aca="false">IF(AND(N('Hiring plan'!$F$74)&gt;0,AU$3&gt;='Hiring plan'!$G$74,AU$3&lt;=IF('Hiring plan'!$H$74="",999,'Hiring plan'!$H$74)),'Hiring plan'!$F$74,0)</f>
        <v>0</v>
      </c>
      <c r="AV78" s="33" t="n">
        <f aca="false">IF(AND(N('Hiring plan'!$F$74)&gt;0,AV$3&gt;='Hiring plan'!$G$74,AV$3&lt;=IF('Hiring plan'!$H$74="",999,'Hiring plan'!$H$74)),'Hiring plan'!$F$74,0)</f>
        <v>0</v>
      </c>
      <c r="AW78" s="33" t="n">
        <f aca="false">IF(AND(N('Hiring plan'!$F$74)&gt;0,AW$3&gt;='Hiring plan'!$G$74,AW$3&lt;=IF('Hiring plan'!$H$74="",999,'Hiring plan'!$H$74)),'Hiring plan'!$F$74,0)</f>
        <v>0</v>
      </c>
      <c r="AX78" s="33" t="n">
        <f aca="false">IF(AND(N('Hiring plan'!$F$74)&gt;0,AX$3&gt;='Hiring plan'!$G$74,AX$3&lt;=IF('Hiring plan'!$H$74="",999,'Hiring plan'!$H$74)),'Hiring plan'!$F$74,0)</f>
        <v>0</v>
      </c>
      <c r="AY78" s="33" t="n">
        <f aca="false">IF(AND(N('Hiring plan'!$F$74)&gt;0,AY$3&gt;='Hiring plan'!$G$74,AY$3&lt;=IF('Hiring plan'!$H$74="",999,'Hiring plan'!$H$74)),'Hiring plan'!$F$74,0)</f>
        <v>0</v>
      </c>
      <c r="AZ78" s="33" t="n">
        <f aca="false">IF(AND(N('Hiring plan'!$F$74)&gt;0,AZ$3&gt;='Hiring plan'!$G$74,AZ$3&lt;=IF('Hiring plan'!$H$74="",999,'Hiring plan'!$H$74)),'Hiring plan'!$F$74,0)</f>
        <v>0</v>
      </c>
      <c r="BA78" s="33" t="n">
        <f aca="false">IF(AND(N('Hiring plan'!$F$74)&gt;0,BA$3&gt;='Hiring plan'!$G$74,BA$3&lt;=IF('Hiring plan'!$H$74="",999,'Hiring plan'!$H$74)),'Hiring plan'!$F$74,0)</f>
        <v>0</v>
      </c>
      <c r="BB78" s="33" t="n">
        <f aca="false">IF(AND(N('Hiring plan'!$F$74)&gt;0,BB$3&gt;='Hiring plan'!$G$74,BB$3&lt;=IF('Hiring plan'!$H$74="",999,'Hiring plan'!$H$74)),'Hiring plan'!$F$74,0)</f>
        <v>0</v>
      </c>
      <c r="BC78" s="33" t="n">
        <f aca="false">IF(AND(N('Hiring plan'!$F$74)&gt;0,BC$3&gt;='Hiring plan'!$G$74,BC$3&lt;=IF('Hiring plan'!$H$74="",999,'Hiring plan'!$H$74)),'Hiring plan'!$F$74,0)</f>
        <v>0</v>
      </c>
      <c r="BD78" s="33" t="n">
        <f aca="false">IF(AND(N('Hiring plan'!$F$74)&gt;0,BD$3&gt;='Hiring plan'!$G$74,BD$3&lt;=IF('Hiring plan'!$H$74="",999,'Hiring plan'!$H$74)),'Hiring plan'!$F$74,0)</f>
        <v>0</v>
      </c>
      <c r="BE78" s="33" t="n">
        <f aca="false">IF(AND(N('Hiring plan'!$F$74)&gt;0,BE$3&gt;='Hiring plan'!$G$74,BE$3&lt;=IF('Hiring plan'!$H$74="",999,'Hiring plan'!$H$74)),'Hiring plan'!$F$74,0)</f>
        <v>0</v>
      </c>
      <c r="BF78" s="33" t="n">
        <f aca="false">IF(AND(N('Hiring plan'!$F$74)&gt;0,BF$3&gt;='Hiring plan'!$G$74,BF$3&lt;=IF('Hiring plan'!$H$74="",999,'Hiring plan'!$H$74)),'Hiring plan'!$F$74,0)</f>
        <v>0</v>
      </c>
      <c r="BG78" s="33" t="n">
        <f aca="false">IF(AND(N('Hiring plan'!$F$74)&gt;0,BG$3&gt;='Hiring plan'!$G$74,BG$3&lt;=IF('Hiring plan'!$H$74="",999,'Hiring plan'!$H$74)),'Hiring plan'!$F$74,0)</f>
        <v>0</v>
      </c>
      <c r="BH78" s="33" t="n">
        <f aca="false">IF(AND(N('Hiring plan'!$F$74)&gt;0,BH$3&gt;='Hiring plan'!$G$74,BH$3&lt;=IF('Hiring plan'!$H$74="",999,'Hiring plan'!$H$74)),'Hiring plan'!$F$74,0)</f>
        <v>0</v>
      </c>
      <c r="BI78" s="33" t="n">
        <f aca="false">IF(AND(N('Hiring plan'!$F$74)&gt;0,BI$3&gt;='Hiring plan'!$G$74,BI$3&lt;=IF('Hiring plan'!$H$74="",999,'Hiring plan'!$H$74)),'Hiring plan'!$F$74,0)</f>
        <v>0</v>
      </c>
      <c r="BJ78" s="33" t="n">
        <f aca="false">IF(AND(N('Hiring plan'!$F$74)&gt;0,BJ$3&gt;='Hiring plan'!$G$74,BJ$3&lt;=IF('Hiring plan'!$H$74="",999,'Hiring plan'!$H$74)),'Hiring plan'!$F$74,0)</f>
        <v>0</v>
      </c>
      <c r="BK78" s="33" t="n">
        <f aca="false">IF(AND(N('Hiring plan'!$F$74)&gt;0,BK$3&gt;='Hiring plan'!$G$74,BK$3&lt;=IF('Hiring plan'!$H$74="",999,'Hiring plan'!$H$74)),'Hiring plan'!$F$74,0)</f>
        <v>0</v>
      </c>
      <c r="BL78" s="33" t="n">
        <f aca="false">IF(AND(N('Hiring plan'!$F$74)&gt;0,BL$3&gt;='Hiring plan'!$G$74,BL$3&lt;=IF('Hiring plan'!$H$74="",999,'Hiring plan'!$H$74)),'Hiring plan'!$F$74,0)</f>
        <v>0</v>
      </c>
    </row>
    <row r="79" customFormat="false" ht="15" hidden="false" customHeight="false" outlineLevel="0" collapsed="false">
      <c r="A79" s="12" t="str">
        <f aca="false">IF('Hiring plan'!$C$75="","(spare line 71)",'Hiring plan'!$C$75&amp;" · "&amp;'Hiring plan'!$D$75)</f>
        <v>(spare line 71)</v>
      </c>
      <c r="B79" s="14" t="s">
        <v>222</v>
      </c>
      <c r="D79" s="41" t="n">
        <f aca="false">MAX(E79:BL79)</f>
        <v>0</v>
      </c>
      <c r="E79" s="33" t="n">
        <f aca="false">IF(AND(N('Hiring plan'!$F$75)&gt;0,E$3&gt;='Hiring plan'!$G$75,E$3&lt;=IF('Hiring plan'!$H$75="",999,'Hiring plan'!$H$75)),'Hiring plan'!$F$75,0)</f>
        <v>0</v>
      </c>
      <c r="F79" s="33" t="n">
        <f aca="false">IF(AND(N('Hiring plan'!$F$75)&gt;0,F$3&gt;='Hiring plan'!$G$75,F$3&lt;=IF('Hiring plan'!$H$75="",999,'Hiring plan'!$H$75)),'Hiring plan'!$F$75,0)</f>
        <v>0</v>
      </c>
      <c r="G79" s="33" t="n">
        <f aca="false">IF(AND(N('Hiring plan'!$F$75)&gt;0,G$3&gt;='Hiring plan'!$G$75,G$3&lt;=IF('Hiring plan'!$H$75="",999,'Hiring plan'!$H$75)),'Hiring plan'!$F$75,0)</f>
        <v>0</v>
      </c>
      <c r="H79" s="33" t="n">
        <f aca="false">IF(AND(N('Hiring plan'!$F$75)&gt;0,H$3&gt;='Hiring plan'!$G$75,H$3&lt;=IF('Hiring plan'!$H$75="",999,'Hiring plan'!$H$75)),'Hiring plan'!$F$75,0)</f>
        <v>0</v>
      </c>
      <c r="I79" s="33" t="n">
        <f aca="false">IF(AND(N('Hiring plan'!$F$75)&gt;0,I$3&gt;='Hiring plan'!$G$75,I$3&lt;=IF('Hiring plan'!$H$75="",999,'Hiring plan'!$H$75)),'Hiring plan'!$F$75,0)</f>
        <v>0</v>
      </c>
      <c r="J79" s="33" t="n">
        <f aca="false">IF(AND(N('Hiring plan'!$F$75)&gt;0,J$3&gt;='Hiring plan'!$G$75,J$3&lt;=IF('Hiring plan'!$H$75="",999,'Hiring plan'!$H$75)),'Hiring plan'!$F$75,0)</f>
        <v>0</v>
      </c>
      <c r="K79" s="33" t="n">
        <f aca="false">IF(AND(N('Hiring plan'!$F$75)&gt;0,K$3&gt;='Hiring plan'!$G$75,K$3&lt;=IF('Hiring plan'!$H$75="",999,'Hiring plan'!$H$75)),'Hiring plan'!$F$75,0)</f>
        <v>0</v>
      </c>
      <c r="L79" s="33" t="n">
        <f aca="false">IF(AND(N('Hiring plan'!$F$75)&gt;0,L$3&gt;='Hiring plan'!$G$75,L$3&lt;=IF('Hiring plan'!$H$75="",999,'Hiring plan'!$H$75)),'Hiring plan'!$F$75,0)</f>
        <v>0</v>
      </c>
      <c r="M79" s="33" t="n">
        <f aca="false">IF(AND(N('Hiring plan'!$F$75)&gt;0,M$3&gt;='Hiring plan'!$G$75,M$3&lt;=IF('Hiring plan'!$H$75="",999,'Hiring plan'!$H$75)),'Hiring plan'!$F$75,0)</f>
        <v>0</v>
      </c>
      <c r="N79" s="33" t="n">
        <f aca="false">IF(AND(N('Hiring plan'!$F$75)&gt;0,N$3&gt;='Hiring plan'!$G$75,N$3&lt;=IF('Hiring plan'!$H$75="",999,'Hiring plan'!$H$75)),'Hiring plan'!$F$75,0)</f>
        <v>0</v>
      </c>
      <c r="O79" s="33" t="n">
        <f aca="false">IF(AND(N('Hiring plan'!$F$75)&gt;0,O$3&gt;='Hiring plan'!$G$75,O$3&lt;=IF('Hiring plan'!$H$75="",999,'Hiring plan'!$H$75)),'Hiring plan'!$F$75,0)</f>
        <v>0</v>
      </c>
      <c r="P79" s="33" t="n">
        <f aca="false">IF(AND(N('Hiring plan'!$F$75)&gt;0,P$3&gt;='Hiring plan'!$G$75,P$3&lt;=IF('Hiring plan'!$H$75="",999,'Hiring plan'!$H$75)),'Hiring plan'!$F$75,0)</f>
        <v>0</v>
      </c>
      <c r="Q79" s="33" t="n">
        <f aca="false">IF(AND(N('Hiring plan'!$F$75)&gt;0,Q$3&gt;='Hiring plan'!$G$75,Q$3&lt;=IF('Hiring plan'!$H$75="",999,'Hiring plan'!$H$75)),'Hiring plan'!$F$75,0)</f>
        <v>0</v>
      </c>
      <c r="R79" s="33" t="n">
        <f aca="false">IF(AND(N('Hiring plan'!$F$75)&gt;0,R$3&gt;='Hiring plan'!$G$75,R$3&lt;=IF('Hiring plan'!$H$75="",999,'Hiring plan'!$H$75)),'Hiring plan'!$F$75,0)</f>
        <v>0</v>
      </c>
      <c r="S79" s="33" t="n">
        <f aca="false">IF(AND(N('Hiring plan'!$F$75)&gt;0,S$3&gt;='Hiring plan'!$G$75,S$3&lt;=IF('Hiring plan'!$H$75="",999,'Hiring plan'!$H$75)),'Hiring plan'!$F$75,0)</f>
        <v>0</v>
      </c>
      <c r="T79" s="33" t="n">
        <f aca="false">IF(AND(N('Hiring plan'!$F$75)&gt;0,T$3&gt;='Hiring plan'!$G$75,T$3&lt;=IF('Hiring plan'!$H$75="",999,'Hiring plan'!$H$75)),'Hiring plan'!$F$75,0)</f>
        <v>0</v>
      </c>
      <c r="U79" s="33" t="n">
        <f aca="false">IF(AND(N('Hiring plan'!$F$75)&gt;0,U$3&gt;='Hiring plan'!$G$75,U$3&lt;=IF('Hiring plan'!$H$75="",999,'Hiring plan'!$H$75)),'Hiring plan'!$F$75,0)</f>
        <v>0</v>
      </c>
      <c r="V79" s="33" t="n">
        <f aca="false">IF(AND(N('Hiring plan'!$F$75)&gt;0,V$3&gt;='Hiring plan'!$G$75,V$3&lt;=IF('Hiring plan'!$H$75="",999,'Hiring plan'!$H$75)),'Hiring plan'!$F$75,0)</f>
        <v>0</v>
      </c>
      <c r="W79" s="33" t="n">
        <f aca="false">IF(AND(N('Hiring plan'!$F$75)&gt;0,W$3&gt;='Hiring plan'!$G$75,W$3&lt;=IF('Hiring plan'!$H$75="",999,'Hiring plan'!$H$75)),'Hiring plan'!$F$75,0)</f>
        <v>0</v>
      </c>
      <c r="X79" s="33" t="n">
        <f aca="false">IF(AND(N('Hiring plan'!$F$75)&gt;0,X$3&gt;='Hiring plan'!$G$75,X$3&lt;=IF('Hiring plan'!$H$75="",999,'Hiring plan'!$H$75)),'Hiring plan'!$F$75,0)</f>
        <v>0</v>
      </c>
      <c r="Y79" s="33" t="n">
        <f aca="false">IF(AND(N('Hiring plan'!$F$75)&gt;0,Y$3&gt;='Hiring plan'!$G$75,Y$3&lt;=IF('Hiring plan'!$H$75="",999,'Hiring plan'!$H$75)),'Hiring plan'!$F$75,0)</f>
        <v>0</v>
      </c>
      <c r="Z79" s="33" t="n">
        <f aca="false">IF(AND(N('Hiring plan'!$F$75)&gt;0,Z$3&gt;='Hiring plan'!$G$75,Z$3&lt;=IF('Hiring plan'!$H$75="",999,'Hiring plan'!$H$75)),'Hiring plan'!$F$75,0)</f>
        <v>0</v>
      </c>
      <c r="AA79" s="33" t="n">
        <f aca="false">IF(AND(N('Hiring plan'!$F$75)&gt;0,AA$3&gt;='Hiring plan'!$G$75,AA$3&lt;=IF('Hiring plan'!$H$75="",999,'Hiring plan'!$H$75)),'Hiring plan'!$F$75,0)</f>
        <v>0</v>
      </c>
      <c r="AB79" s="33" t="n">
        <f aca="false">IF(AND(N('Hiring plan'!$F$75)&gt;0,AB$3&gt;='Hiring plan'!$G$75,AB$3&lt;=IF('Hiring plan'!$H$75="",999,'Hiring plan'!$H$75)),'Hiring plan'!$F$75,0)</f>
        <v>0</v>
      </c>
      <c r="AC79" s="33" t="n">
        <f aca="false">IF(AND(N('Hiring plan'!$F$75)&gt;0,AC$3&gt;='Hiring plan'!$G$75,AC$3&lt;=IF('Hiring plan'!$H$75="",999,'Hiring plan'!$H$75)),'Hiring plan'!$F$75,0)</f>
        <v>0</v>
      </c>
      <c r="AD79" s="33" t="n">
        <f aca="false">IF(AND(N('Hiring plan'!$F$75)&gt;0,AD$3&gt;='Hiring plan'!$G$75,AD$3&lt;=IF('Hiring plan'!$H$75="",999,'Hiring plan'!$H$75)),'Hiring plan'!$F$75,0)</f>
        <v>0</v>
      </c>
      <c r="AE79" s="33" t="n">
        <f aca="false">IF(AND(N('Hiring plan'!$F$75)&gt;0,AE$3&gt;='Hiring plan'!$G$75,AE$3&lt;=IF('Hiring plan'!$H$75="",999,'Hiring plan'!$H$75)),'Hiring plan'!$F$75,0)</f>
        <v>0</v>
      </c>
      <c r="AF79" s="33" t="n">
        <f aca="false">IF(AND(N('Hiring plan'!$F$75)&gt;0,AF$3&gt;='Hiring plan'!$G$75,AF$3&lt;=IF('Hiring plan'!$H$75="",999,'Hiring plan'!$H$75)),'Hiring plan'!$F$75,0)</f>
        <v>0</v>
      </c>
      <c r="AG79" s="33" t="n">
        <f aca="false">IF(AND(N('Hiring plan'!$F$75)&gt;0,AG$3&gt;='Hiring plan'!$G$75,AG$3&lt;=IF('Hiring plan'!$H$75="",999,'Hiring plan'!$H$75)),'Hiring plan'!$F$75,0)</f>
        <v>0</v>
      </c>
      <c r="AH79" s="33" t="n">
        <f aca="false">IF(AND(N('Hiring plan'!$F$75)&gt;0,AH$3&gt;='Hiring plan'!$G$75,AH$3&lt;=IF('Hiring plan'!$H$75="",999,'Hiring plan'!$H$75)),'Hiring plan'!$F$75,0)</f>
        <v>0</v>
      </c>
      <c r="AI79" s="33" t="n">
        <f aca="false">IF(AND(N('Hiring plan'!$F$75)&gt;0,AI$3&gt;='Hiring plan'!$G$75,AI$3&lt;=IF('Hiring plan'!$H$75="",999,'Hiring plan'!$H$75)),'Hiring plan'!$F$75,0)</f>
        <v>0</v>
      </c>
      <c r="AJ79" s="33" t="n">
        <f aca="false">IF(AND(N('Hiring plan'!$F$75)&gt;0,AJ$3&gt;='Hiring plan'!$G$75,AJ$3&lt;=IF('Hiring plan'!$H$75="",999,'Hiring plan'!$H$75)),'Hiring plan'!$F$75,0)</f>
        <v>0</v>
      </c>
      <c r="AK79" s="33" t="n">
        <f aca="false">IF(AND(N('Hiring plan'!$F$75)&gt;0,AK$3&gt;='Hiring plan'!$G$75,AK$3&lt;=IF('Hiring plan'!$H$75="",999,'Hiring plan'!$H$75)),'Hiring plan'!$F$75,0)</f>
        <v>0</v>
      </c>
      <c r="AL79" s="33" t="n">
        <f aca="false">IF(AND(N('Hiring plan'!$F$75)&gt;0,AL$3&gt;='Hiring plan'!$G$75,AL$3&lt;=IF('Hiring plan'!$H$75="",999,'Hiring plan'!$H$75)),'Hiring plan'!$F$75,0)</f>
        <v>0</v>
      </c>
      <c r="AM79" s="33" t="n">
        <f aca="false">IF(AND(N('Hiring plan'!$F$75)&gt;0,AM$3&gt;='Hiring plan'!$G$75,AM$3&lt;=IF('Hiring plan'!$H$75="",999,'Hiring plan'!$H$75)),'Hiring plan'!$F$75,0)</f>
        <v>0</v>
      </c>
      <c r="AN79" s="33" t="n">
        <f aca="false">IF(AND(N('Hiring plan'!$F$75)&gt;0,AN$3&gt;='Hiring plan'!$G$75,AN$3&lt;=IF('Hiring plan'!$H$75="",999,'Hiring plan'!$H$75)),'Hiring plan'!$F$75,0)</f>
        <v>0</v>
      </c>
      <c r="AO79" s="33" t="n">
        <f aca="false">IF(AND(N('Hiring plan'!$F$75)&gt;0,AO$3&gt;='Hiring plan'!$G$75,AO$3&lt;=IF('Hiring plan'!$H$75="",999,'Hiring plan'!$H$75)),'Hiring plan'!$F$75,0)</f>
        <v>0</v>
      </c>
      <c r="AP79" s="33" t="n">
        <f aca="false">IF(AND(N('Hiring plan'!$F$75)&gt;0,AP$3&gt;='Hiring plan'!$G$75,AP$3&lt;=IF('Hiring plan'!$H$75="",999,'Hiring plan'!$H$75)),'Hiring plan'!$F$75,0)</f>
        <v>0</v>
      </c>
      <c r="AQ79" s="33" t="n">
        <f aca="false">IF(AND(N('Hiring plan'!$F$75)&gt;0,AQ$3&gt;='Hiring plan'!$G$75,AQ$3&lt;=IF('Hiring plan'!$H$75="",999,'Hiring plan'!$H$75)),'Hiring plan'!$F$75,0)</f>
        <v>0</v>
      </c>
      <c r="AR79" s="33" t="n">
        <f aca="false">IF(AND(N('Hiring plan'!$F$75)&gt;0,AR$3&gt;='Hiring plan'!$G$75,AR$3&lt;=IF('Hiring plan'!$H$75="",999,'Hiring plan'!$H$75)),'Hiring plan'!$F$75,0)</f>
        <v>0</v>
      </c>
      <c r="AS79" s="33" t="n">
        <f aca="false">IF(AND(N('Hiring plan'!$F$75)&gt;0,AS$3&gt;='Hiring plan'!$G$75,AS$3&lt;=IF('Hiring plan'!$H$75="",999,'Hiring plan'!$H$75)),'Hiring plan'!$F$75,0)</f>
        <v>0</v>
      </c>
      <c r="AT79" s="33" t="n">
        <f aca="false">IF(AND(N('Hiring plan'!$F$75)&gt;0,AT$3&gt;='Hiring plan'!$G$75,AT$3&lt;=IF('Hiring plan'!$H$75="",999,'Hiring plan'!$H$75)),'Hiring plan'!$F$75,0)</f>
        <v>0</v>
      </c>
      <c r="AU79" s="33" t="n">
        <f aca="false">IF(AND(N('Hiring plan'!$F$75)&gt;0,AU$3&gt;='Hiring plan'!$G$75,AU$3&lt;=IF('Hiring plan'!$H$75="",999,'Hiring plan'!$H$75)),'Hiring plan'!$F$75,0)</f>
        <v>0</v>
      </c>
      <c r="AV79" s="33" t="n">
        <f aca="false">IF(AND(N('Hiring plan'!$F$75)&gt;0,AV$3&gt;='Hiring plan'!$G$75,AV$3&lt;=IF('Hiring plan'!$H$75="",999,'Hiring plan'!$H$75)),'Hiring plan'!$F$75,0)</f>
        <v>0</v>
      </c>
      <c r="AW79" s="33" t="n">
        <f aca="false">IF(AND(N('Hiring plan'!$F$75)&gt;0,AW$3&gt;='Hiring plan'!$G$75,AW$3&lt;=IF('Hiring plan'!$H$75="",999,'Hiring plan'!$H$75)),'Hiring plan'!$F$75,0)</f>
        <v>0</v>
      </c>
      <c r="AX79" s="33" t="n">
        <f aca="false">IF(AND(N('Hiring plan'!$F$75)&gt;0,AX$3&gt;='Hiring plan'!$G$75,AX$3&lt;=IF('Hiring plan'!$H$75="",999,'Hiring plan'!$H$75)),'Hiring plan'!$F$75,0)</f>
        <v>0</v>
      </c>
      <c r="AY79" s="33" t="n">
        <f aca="false">IF(AND(N('Hiring plan'!$F$75)&gt;0,AY$3&gt;='Hiring plan'!$G$75,AY$3&lt;=IF('Hiring plan'!$H$75="",999,'Hiring plan'!$H$75)),'Hiring plan'!$F$75,0)</f>
        <v>0</v>
      </c>
      <c r="AZ79" s="33" t="n">
        <f aca="false">IF(AND(N('Hiring plan'!$F$75)&gt;0,AZ$3&gt;='Hiring plan'!$G$75,AZ$3&lt;=IF('Hiring plan'!$H$75="",999,'Hiring plan'!$H$75)),'Hiring plan'!$F$75,0)</f>
        <v>0</v>
      </c>
      <c r="BA79" s="33" t="n">
        <f aca="false">IF(AND(N('Hiring plan'!$F$75)&gt;0,BA$3&gt;='Hiring plan'!$G$75,BA$3&lt;=IF('Hiring plan'!$H$75="",999,'Hiring plan'!$H$75)),'Hiring plan'!$F$75,0)</f>
        <v>0</v>
      </c>
      <c r="BB79" s="33" t="n">
        <f aca="false">IF(AND(N('Hiring plan'!$F$75)&gt;0,BB$3&gt;='Hiring plan'!$G$75,BB$3&lt;=IF('Hiring plan'!$H$75="",999,'Hiring plan'!$H$75)),'Hiring plan'!$F$75,0)</f>
        <v>0</v>
      </c>
      <c r="BC79" s="33" t="n">
        <f aca="false">IF(AND(N('Hiring plan'!$F$75)&gt;0,BC$3&gt;='Hiring plan'!$G$75,BC$3&lt;=IF('Hiring plan'!$H$75="",999,'Hiring plan'!$H$75)),'Hiring plan'!$F$75,0)</f>
        <v>0</v>
      </c>
      <c r="BD79" s="33" t="n">
        <f aca="false">IF(AND(N('Hiring plan'!$F$75)&gt;0,BD$3&gt;='Hiring plan'!$G$75,BD$3&lt;=IF('Hiring plan'!$H$75="",999,'Hiring plan'!$H$75)),'Hiring plan'!$F$75,0)</f>
        <v>0</v>
      </c>
      <c r="BE79" s="33" t="n">
        <f aca="false">IF(AND(N('Hiring plan'!$F$75)&gt;0,BE$3&gt;='Hiring plan'!$G$75,BE$3&lt;=IF('Hiring plan'!$H$75="",999,'Hiring plan'!$H$75)),'Hiring plan'!$F$75,0)</f>
        <v>0</v>
      </c>
      <c r="BF79" s="33" t="n">
        <f aca="false">IF(AND(N('Hiring plan'!$F$75)&gt;0,BF$3&gt;='Hiring plan'!$G$75,BF$3&lt;=IF('Hiring plan'!$H$75="",999,'Hiring plan'!$H$75)),'Hiring plan'!$F$75,0)</f>
        <v>0</v>
      </c>
      <c r="BG79" s="33" t="n">
        <f aca="false">IF(AND(N('Hiring plan'!$F$75)&gt;0,BG$3&gt;='Hiring plan'!$G$75,BG$3&lt;=IF('Hiring plan'!$H$75="",999,'Hiring plan'!$H$75)),'Hiring plan'!$F$75,0)</f>
        <v>0</v>
      </c>
      <c r="BH79" s="33" t="n">
        <f aca="false">IF(AND(N('Hiring plan'!$F$75)&gt;0,BH$3&gt;='Hiring plan'!$G$75,BH$3&lt;=IF('Hiring plan'!$H$75="",999,'Hiring plan'!$H$75)),'Hiring plan'!$F$75,0)</f>
        <v>0</v>
      </c>
      <c r="BI79" s="33" t="n">
        <f aca="false">IF(AND(N('Hiring plan'!$F$75)&gt;0,BI$3&gt;='Hiring plan'!$G$75,BI$3&lt;=IF('Hiring plan'!$H$75="",999,'Hiring plan'!$H$75)),'Hiring plan'!$F$75,0)</f>
        <v>0</v>
      </c>
      <c r="BJ79" s="33" t="n">
        <f aca="false">IF(AND(N('Hiring plan'!$F$75)&gt;0,BJ$3&gt;='Hiring plan'!$G$75,BJ$3&lt;=IF('Hiring plan'!$H$75="",999,'Hiring plan'!$H$75)),'Hiring plan'!$F$75,0)</f>
        <v>0</v>
      </c>
      <c r="BK79" s="33" t="n">
        <f aca="false">IF(AND(N('Hiring plan'!$F$75)&gt;0,BK$3&gt;='Hiring plan'!$G$75,BK$3&lt;=IF('Hiring plan'!$H$75="",999,'Hiring plan'!$H$75)),'Hiring plan'!$F$75,0)</f>
        <v>0</v>
      </c>
      <c r="BL79" s="33" t="n">
        <f aca="false">IF(AND(N('Hiring plan'!$F$75)&gt;0,BL$3&gt;='Hiring plan'!$G$75,BL$3&lt;=IF('Hiring plan'!$H$75="",999,'Hiring plan'!$H$75)),'Hiring plan'!$F$75,0)</f>
        <v>0</v>
      </c>
    </row>
    <row r="80" customFormat="false" ht="15" hidden="false" customHeight="false" outlineLevel="0" collapsed="false">
      <c r="A80" s="12" t="str">
        <f aca="false">IF('Hiring plan'!$C$76="","(spare line 72)",'Hiring plan'!$C$76&amp;" · "&amp;'Hiring plan'!$D$76)</f>
        <v>(spare line 72)</v>
      </c>
      <c r="B80" s="14" t="s">
        <v>222</v>
      </c>
      <c r="D80" s="41" t="n">
        <f aca="false">MAX(E80:BL80)</f>
        <v>0</v>
      </c>
      <c r="E80" s="33" t="n">
        <f aca="false">IF(AND(N('Hiring plan'!$F$76)&gt;0,E$3&gt;='Hiring plan'!$G$76,E$3&lt;=IF('Hiring plan'!$H$76="",999,'Hiring plan'!$H$76)),'Hiring plan'!$F$76,0)</f>
        <v>0</v>
      </c>
      <c r="F80" s="33" t="n">
        <f aca="false">IF(AND(N('Hiring plan'!$F$76)&gt;0,F$3&gt;='Hiring plan'!$G$76,F$3&lt;=IF('Hiring plan'!$H$76="",999,'Hiring plan'!$H$76)),'Hiring plan'!$F$76,0)</f>
        <v>0</v>
      </c>
      <c r="G80" s="33" t="n">
        <f aca="false">IF(AND(N('Hiring plan'!$F$76)&gt;0,G$3&gt;='Hiring plan'!$G$76,G$3&lt;=IF('Hiring plan'!$H$76="",999,'Hiring plan'!$H$76)),'Hiring plan'!$F$76,0)</f>
        <v>0</v>
      </c>
      <c r="H80" s="33" t="n">
        <f aca="false">IF(AND(N('Hiring plan'!$F$76)&gt;0,H$3&gt;='Hiring plan'!$G$76,H$3&lt;=IF('Hiring plan'!$H$76="",999,'Hiring plan'!$H$76)),'Hiring plan'!$F$76,0)</f>
        <v>0</v>
      </c>
      <c r="I80" s="33" t="n">
        <f aca="false">IF(AND(N('Hiring plan'!$F$76)&gt;0,I$3&gt;='Hiring plan'!$G$76,I$3&lt;=IF('Hiring plan'!$H$76="",999,'Hiring plan'!$H$76)),'Hiring plan'!$F$76,0)</f>
        <v>0</v>
      </c>
      <c r="J80" s="33" t="n">
        <f aca="false">IF(AND(N('Hiring plan'!$F$76)&gt;0,J$3&gt;='Hiring plan'!$G$76,J$3&lt;=IF('Hiring plan'!$H$76="",999,'Hiring plan'!$H$76)),'Hiring plan'!$F$76,0)</f>
        <v>0</v>
      </c>
      <c r="K80" s="33" t="n">
        <f aca="false">IF(AND(N('Hiring plan'!$F$76)&gt;0,K$3&gt;='Hiring plan'!$G$76,K$3&lt;=IF('Hiring plan'!$H$76="",999,'Hiring plan'!$H$76)),'Hiring plan'!$F$76,0)</f>
        <v>0</v>
      </c>
      <c r="L80" s="33" t="n">
        <f aca="false">IF(AND(N('Hiring plan'!$F$76)&gt;0,L$3&gt;='Hiring plan'!$G$76,L$3&lt;=IF('Hiring plan'!$H$76="",999,'Hiring plan'!$H$76)),'Hiring plan'!$F$76,0)</f>
        <v>0</v>
      </c>
      <c r="M80" s="33" t="n">
        <f aca="false">IF(AND(N('Hiring plan'!$F$76)&gt;0,M$3&gt;='Hiring plan'!$G$76,M$3&lt;=IF('Hiring plan'!$H$76="",999,'Hiring plan'!$H$76)),'Hiring plan'!$F$76,0)</f>
        <v>0</v>
      </c>
      <c r="N80" s="33" t="n">
        <f aca="false">IF(AND(N('Hiring plan'!$F$76)&gt;0,N$3&gt;='Hiring plan'!$G$76,N$3&lt;=IF('Hiring plan'!$H$76="",999,'Hiring plan'!$H$76)),'Hiring plan'!$F$76,0)</f>
        <v>0</v>
      </c>
      <c r="O80" s="33" t="n">
        <f aca="false">IF(AND(N('Hiring plan'!$F$76)&gt;0,O$3&gt;='Hiring plan'!$G$76,O$3&lt;=IF('Hiring plan'!$H$76="",999,'Hiring plan'!$H$76)),'Hiring plan'!$F$76,0)</f>
        <v>0</v>
      </c>
      <c r="P80" s="33" t="n">
        <f aca="false">IF(AND(N('Hiring plan'!$F$76)&gt;0,P$3&gt;='Hiring plan'!$G$76,P$3&lt;=IF('Hiring plan'!$H$76="",999,'Hiring plan'!$H$76)),'Hiring plan'!$F$76,0)</f>
        <v>0</v>
      </c>
      <c r="Q80" s="33" t="n">
        <f aca="false">IF(AND(N('Hiring plan'!$F$76)&gt;0,Q$3&gt;='Hiring plan'!$G$76,Q$3&lt;=IF('Hiring plan'!$H$76="",999,'Hiring plan'!$H$76)),'Hiring plan'!$F$76,0)</f>
        <v>0</v>
      </c>
      <c r="R80" s="33" t="n">
        <f aca="false">IF(AND(N('Hiring plan'!$F$76)&gt;0,R$3&gt;='Hiring plan'!$G$76,R$3&lt;=IF('Hiring plan'!$H$76="",999,'Hiring plan'!$H$76)),'Hiring plan'!$F$76,0)</f>
        <v>0</v>
      </c>
      <c r="S80" s="33" t="n">
        <f aca="false">IF(AND(N('Hiring plan'!$F$76)&gt;0,S$3&gt;='Hiring plan'!$G$76,S$3&lt;=IF('Hiring plan'!$H$76="",999,'Hiring plan'!$H$76)),'Hiring plan'!$F$76,0)</f>
        <v>0</v>
      </c>
      <c r="T80" s="33" t="n">
        <f aca="false">IF(AND(N('Hiring plan'!$F$76)&gt;0,T$3&gt;='Hiring plan'!$G$76,T$3&lt;=IF('Hiring plan'!$H$76="",999,'Hiring plan'!$H$76)),'Hiring plan'!$F$76,0)</f>
        <v>0</v>
      </c>
      <c r="U80" s="33" t="n">
        <f aca="false">IF(AND(N('Hiring plan'!$F$76)&gt;0,U$3&gt;='Hiring plan'!$G$76,U$3&lt;=IF('Hiring plan'!$H$76="",999,'Hiring plan'!$H$76)),'Hiring plan'!$F$76,0)</f>
        <v>0</v>
      </c>
      <c r="V80" s="33" t="n">
        <f aca="false">IF(AND(N('Hiring plan'!$F$76)&gt;0,V$3&gt;='Hiring plan'!$G$76,V$3&lt;=IF('Hiring plan'!$H$76="",999,'Hiring plan'!$H$76)),'Hiring plan'!$F$76,0)</f>
        <v>0</v>
      </c>
      <c r="W80" s="33" t="n">
        <f aca="false">IF(AND(N('Hiring plan'!$F$76)&gt;0,W$3&gt;='Hiring plan'!$G$76,W$3&lt;=IF('Hiring plan'!$H$76="",999,'Hiring plan'!$H$76)),'Hiring plan'!$F$76,0)</f>
        <v>0</v>
      </c>
      <c r="X80" s="33" t="n">
        <f aca="false">IF(AND(N('Hiring plan'!$F$76)&gt;0,X$3&gt;='Hiring plan'!$G$76,X$3&lt;=IF('Hiring plan'!$H$76="",999,'Hiring plan'!$H$76)),'Hiring plan'!$F$76,0)</f>
        <v>0</v>
      </c>
      <c r="Y80" s="33" t="n">
        <f aca="false">IF(AND(N('Hiring plan'!$F$76)&gt;0,Y$3&gt;='Hiring plan'!$G$76,Y$3&lt;=IF('Hiring plan'!$H$76="",999,'Hiring plan'!$H$76)),'Hiring plan'!$F$76,0)</f>
        <v>0</v>
      </c>
      <c r="Z80" s="33" t="n">
        <f aca="false">IF(AND(N('Hiring plan'!$F$76)&gt;0,Z$3&gt;='Hiring plan'!$G$76,Z$3&lt;=IF('Hiring plan'!$H$76="",999,'Hiring plan'!$H$76)),'Hiring plan'!$F$76,0)</f>
        <v>0</v>
      </c>
      <c r="AA80" s="33" t="n">
        <f aca="false">IF(AND(N('Hiring plan'!$F$76)&gt;0,AA$3&gt;='Hiring plan'!$G$76,AA$3&lt;=IF('Hiring plan'!$H$76="",999,'Hiring plan'!$H$76)),'Hiring plan'!$F$76,0)</f>
        <v>0</v>
      </c>
      <c r="AB80" s="33" t="n">
        <f aca="false">IF(AND(N('Hiring plan'!$F$76)&gt;0,AB$3&gt;='Hiring plan'!$G$76,AB$3&lt;=IF('Hiring plan'!$H$76="",999,'Hiring plan'!$H$76)),'Hiring plan'!$F$76,0)</f>
        <v>0</v>
      </c>
      <c r="AC80" s="33" t="n">
        <f aca="false">IF(AND(N('Hiring plan'!$F$76)&gt;0,AC$3&gt;='Hiring plan'!$G$76,AC$3&lt;=IF('Hiring plan'!$H$76="",999,'Hiring plan'!$H$76)),'Hiring plan'!$F$76,0)</f>
        <v>0</v>
      </c>
      <c r="AD80" s="33" t="n">
        <f aca="false">IF(AND(N('Hiring plan'!$F$76)&gt;0,AD$3&gt;='Hiring plan'!$G$76,AD$3&lt;=IF('Hiring plan'!$H$76="",999,'Hiring plan'!$H$76)),'Hiring plan'!$F$76,0)</f>
        <v>0</v>
      </c>
      <c r="AE80" s="33" t="n">
        <f aca="false">IF(AND(N('Hiring plan'!$F$76)&gt;0,AE$3&gt;='Hiring plan'!$G$76,AE$3&lt;=IF('Hiring plan'!$H$76="",999,'Hiring plan'!$H$76)),'Hiring plan'!$F$76,0)</f>
        <v>0</v>
      </c>
      <c r="AF80" s="33" t="n">
        <f aca="false">IF(AND(N('Hiring plan'!$F$76)&gt;0,AF$3&gt;='Hiring plan'!$G$76,AF$3&lt;=IF('Hiring plan'!$H$76="",999,'Hiring plan'!$H$76)),'Hiring plan'!$F$76,0)</f>
        <v>0</v>
      </c>
      <c r="AG80" s="33" t="n">
        <f aca="false">IF(AND(N('Hiring plan'!$F$76)&gt;0,AG$3&gt;='Hiring plan'!$G$76,AG$3&lt;=IF('Hiring plan'!$H$76="",999,'Hiring plan'!$H$76)),'Hiring plan'!$F$76,0)</f>
        <v>0</v>
      </c>
      <c r="AH80" s="33" t="n">
        <f aca="false">IF(AND(N('Hiring plan'!$F$76)&gt;0,AH$3&gt;='Hiring plan'!$G$76,AH$3&lt;=IF('Hiring plan'!$H$76="",999,'Hiring plan'!$H$76)),'Hiring plan'!$F$76,0)</f>
        <v>0</v>
      </c>
      <c r="AI80" s="33" t="n">
        <f aca="false">IF(AND(N('Hiring plan'!$F$76)&gt;0,AI$3&gt;='Hiring plan'!$G$76,AI$3&lt;=IF('Hiring plan'!$H$76="",999,'Hiring plan'!$H$76)),'Hiring plan'!$F$76,0)</f>
        <v>0</v>
      </c>
      <c r="AJ80" s="33" t="n">
        <f aca="false">IF(AND(N('Hiring plan'!$F$76)&gt;0,AJ$3&gt;='Hiring plan'!$G$76,AJ$3&lt;=IF('Hiring plan'!$H$76="",999,'Hiring plan'!$H$76)),'Hiring plan'!$F$76,0)</f>
        <v>0</v>
      </c>
      <c r="AK80" s="33" t="n">
        <f aca="false">IF(AND(N('Hiring plan'!$F$76)&gt;0,AK$3&gt;='Hiring plan'!$G$76,AK$3&lt;=IF('Hiring plan'!$H$76="",999,'Hiring plan'!$H$76)),'Hiring plan'!$F$76,0)</f>
        <v>0</v>
      </c>
      <c r="AL80" s="33" t="n">
        <f aca="false">IF(AND(N('Hiring plan'!$F$76)&gt;0,AL$3&gt;='Hiring plan'!$G$76,AL$3&lt;=IF('Hiring plan'!$H$76="",999,'Hiring plan'!$H$76)),'Hiring plan'!$F$76,0)</f>
        <v>0</v>
      </c>
      <c r="AM80" s="33" t="n">
        <f aca="false">IF(AND(N('Hiring plan'!$F$76)&gt;0,AM$3&gt;='Hiring plan'!$G$76,AM$3&lt;=IF('Hiring plan'!$H$76="",999,'Hiring plan'!$H$76)),'Hiring plan'!$F$76,0)</f>
        <v>0</v>
      </c>
      <c r="AN80" s="33" t="n">
        <f aca="false">IF(AND(N('Hiring plan'!$F$76)&gt;0,AN$3&gt;='Hiring plan'!$G$76,AN$3&lt;=IF('Hiring plan'!$H$76="",999,'Hiring plan'!$H$76)),'Hiring plan'!$F$76,0)</f>
        <v>0</v>
      </c>
      <c r="AO80" s="33" t="n">
        <f aca="false">IF(AND(N('Hiring plan'!$F$76)&gt;0,AO$3&gt;='Hiring plan'!$G$76,AO$3&lt;=IF('Hiring plan'!$H$76="",999,'Hiring plan'!$H$76)),'Hiring plan'!$F$76,0)</f>
        <v>0</v>
      </c>
      <c r="AP80" s="33" t="n">
        <f aca="false">IF(AND(N('Hiring plan'!$F$76)&gt;0,AP$3&gt;='Hiring plan'!$G$76,AP$3&lt;=IF('Hiring plan'!$H$76="",999,'Hiring plan'!$H$76)),'Hiring plan'!$F$76,0)</f>
        <v>0</v>
      </c>
      <c r="AQ80" s="33" t="n">
        <f aca="false">IF(AND(N('Hiring plan'!$F$76)&gt;0,AQ$3&gt;='Hiring plan'!$G$76,AQ$3&lt;=IF('Hiring plan'!$H$76="",999,'Hiring plan'!$H$76)),'Hiring plan'!$F$76,0)</f>
        <v>0</v>
      </c>
      <c r="AR80" s="33" t="n">
        <f aca="false">IF(AND(N('Hiring plan'!$F$76)&gt;0,AR$3&gt;='Hiring plan'!$G$76,AR$3&lt;=IF('Hiring plan'!$H$76="",999,'Hiring plan'!$H$76)),'Hiring plan'!$F$76,0)</f>
        <v>0</v>
      </c>
      <c r="AS80" s="33" t="n">
        <f aca="false">IF(AND(N('Hiring plan'!$F$76)&gt;0,AS$3&gt;='Hiring plan'!$G$76,AS$3&lt;=IF('Hiring plan'!$H$76="",999,'Hiring plan'!$H$76)),'Hiring plan'!$F$76,0)</f>
        <v>0</v>
      </c>
      <c r="AT80" s="33" t="n">
        <f aca="false">IF(AND(N('Hiring plan'!$F$76)&gt;0,AT$3&gt;='Hiring plan'!$G$76,AT$3&lt;=IF('Hiring plan'!$H$76="",999,'Hiring plan'!$H$76)),'Hiring plan'!$F$76,0)</f>
        <v>0</v>
      </c>
      <c r="AU80" s="33" t="n">
        <f aca="false">IF(AND(N('Hiring plan'!$F$76)&gt;0,AU$3&gt;='Hiring plan'!$G$76,AU$3&lt;=IF('Hiring plan'!$H$76="",999,'Hiring plan'!$H$76)),'Hiring plan'!$F$76,0)</f>
        <v>0</v>
      </c>
      <c r="AV80" s="33" t="n">
        <f aca="false">IF(AND(N('Hiring plan'!$F$76)&gt;0,AV$3&gt;='Hiring plan'!$G$76,AV$3&lt;=IF('Hiring plan'!$H$76="",999,'Hiring plan'!$H$76)),'Hiring plan'!$F$76,0)</f>
        <v>0</v>
      </c>
      <c r="AW80" s="33" t="n">
        <f aca="false">IF(AND(N('Hiring plan'!$F$76)&gt;0,AW$3&gt;='Hiring plan'!$G$76,AW$3&lt;=IF('Hiring plan'!$H$76="",999,'Hiring plan'!$H$76)),'Hiring plan'!$F$76,0)</f>
        <v>0</v>
      </c>
      <c r="AX80" s="33" t="n">
        <f aca="false">IF(AND(N('Hiring plan'!$F$76)&gt;0,AX$3&gt;='Hiring plan'!$G$76,AX$3&lt;=IF('Hiring plan'!$H$76="",999,'Hiring plan'!$H$76)),'Hiring plan'!$F$76,0)</f>
        <v>0</v>
      </c>
      <c r="AY80" s="33" t="n">
        <f aca="false">IF(AND(N('Hiring plan'!$F$76)&gt;0,AY$3&gt;='Hiring plan'!$G$76,AY$3&lt;=IF('Hiring plan'!$H$76="",999,'Hiring plan'!$H$76)),'Hiring plan'!$F$76,0)</f>
        <v>0</v>
      </c>
      <c r="AZ80" s="33" t="n">
        <f aca="false">IF(AND(N('Hiring plan'!$F$76)&gt;0,AZ$3&gt;='Hiring plan'!$G$76,AZ$3&lt;=IF('Hiring plan'!$H$76="",999,'Hiring plan'!$H$76)),'Hiring plan'!$F$76,0)</f>
        <v>0</v>
      </c>
      <c r="BA80" s="33" t="n">
        <f aca="false">IF(AND(N('Hiring plan'!$F$76)&gt;0,BA$3&gt;='Hiring plan'!$G$76,BA$3&lt;=IF('Hiring plan'!$H$76="",999,'Hiring plan'!$H$76)),'Hiring plan'!$F$76,0)</f>
        <v>0</v>
      </c>
      <c r="BB80" s="33" t="n">
        <f aca="false">IF(AND(N('Hiring plan'!$F$76)&gt;0,BB$3&gt;='Hiring plan'!$G$76,BB$3&lt;=IF('Hiring plan'!$H$76="",999,'Hiring plan'!$H$76)),'Hiring plan'!$F$76,0)</f>
        <v>0</v>
      </c>
      <c r="BC80" s="33" t="n">
        <f aca="false">IF(AND(N('Hiring plan'!$F$76)&gt;0,BC$3&gt;='Hiring plan'!$G$76,BC$3&lt;=IF('Hiring plan'!$H$76="",999,'Hiring plan'!$H$76)),'Hiring plan'!$F$76,0)</f>
        <v>0</v>
      </c>
      <c r="BD80" s="33" t="n">
        <f aca="false">IF(AND(N('Hiring plan'!$F$76)&gt;0,BD$3&gt;='Hiring plan'!$G$76,BD$3&lt;=IF('Hiring plan'!$H$76="",999,'Hiring plan'!$H$76)),'Hiring plan'!$F$76,0)</f>
        <v>0</v>
      </c>
      <c r="BE80" s="33" t="n">
        <f aca="false">IF(AND(N('Hiring plan'!$F$76)&gt;0,BE$3&gt;='Hiring plan'!$G$76,BE$3&lt;=IF('Hiring plan'!$H$76="",999,'Hiring plan'!$H$76)),'Hiring plan'!$F$76,0)</f>
        <v>0</v>
      </c>
      <c r="BF80" s="33" t="n">
        <f aca="false">IF(AND(N('Hiring plan'!$F$76)&gt;0,BF$3&gt;='Hiring plan'!$G$76,BF$3&lt;=IF('Hiring plan'!$H$76="",999,'Hiring plan'!$H$76)),'Hiring plan'!$F$76,0)</f>
        <v>0</v>
      </c>
      <c r="BG80" s="33" t="n">
        <f aca="false">IF(AND(N('Hiring plan'!$F$76)&gt;0,BG$3&gt;='Hiring plan'!$G$76,BG$3&lt;=IF('Hiring plan'!$H$76="",999,'Hiring plan'!$H$76)),'Hiring plan'!$F$76,0)</f>
        <v>0</v>
      </c>
      <c r="BH80" s="33" t="n">
        <f aca="false">IF(AND(N('Hiring plan'!$F$76)&gt;0,BH$3&gt;='Hiring plan'!$G$76,BH$3&lt;=IF('Hiring plan'!$H$76="",999,'Hiring plan'!$H$76)),'Hiring plan'!$F$76,0)</f>
        <v>0</v>
      </c>
      <c r="BI80" s="33" t="n">
        <f aca="false">IF(AND(N('Hiring plan'!$F$76)&gt;0,BI$3&gt;='Hiring plan'!$G$76,BI$3&lt;=IF('Hiring plan'!$H$76="",999,'Hiring plan'!$H$76)),'Hiring plan'!$F$76,0)</f>
        <v>0</v>
      </c>
      <c r="BJ80" s="33" t="n">
        <f aca="false">IF(AND(N('Hiring plan'!$F$76)&gt;0,BJ$3&gt;='Hiring plan'!$G$76,BJ$3&lt;=IF('Hiring plan'!$H$76="",999,'Hiring plan'!$H$76)),'Hiring plan'!$F$76,0)</f>
        <v>0</v>
      </c>
      <c r="BK80" s="33" t="n">
        <f aca="false">IF(AND(N('Hiring plan'!$F$76)&gt;0,BK$3&gt;='Hiring plan'!$G$76,BK$3&lt;=IF('Hiring plan'!$H$76="",999,'Hiring plan'!$H$76)),'Hiring plan'!$F$76,0)</f>
        <v>0</v>
      </c>
      <c r="BL80" s="33" t="n">
        <f aca="false">IF(AND(N('Hiring plan'!$F$76)&gt;0,BL$3&gt;='Hiring plan'!$G$76,BL$3&lt;=IF('Hiring plan'!$H$76="",999,'Hiring plan'!$H$76)),'Hiring plan'!$F$76,0)</f>
        <v>0</v>
      </c>
    </row>
    <row r="81" customFormat="false" ht="15" hidden="false" customHeight="false" outlineLevel="0" collapsed="false">
      <c r="A81" s="12" t="str">
        <f aca="false">IF('Hiring plan'!$C$77="","(spare line 73)",'Hiring plan'!$C$77&amp;" · "&amp;'Hiring plan'!$D$77)</f>
        <v>(spare line 73)</v>
      </c>
      <c r="B81" s="14" t="s">
        <v>222</v>
      </c>
      <c r="D81" s="41" t="n">
        <f aca="false">MAX(E81:BL81)</f>
        <v>0</v>
      </c>
      <c r="E81" s="33" t="n">
        <f aca="false">IF(AND(N('Hiring plan'!$F$77)&gt;0,E$3&gt;='Hiring plan'!$G$77,E$3&lt;=IF('Hiring plan'!$H$77="",999,'Hiring plan'!$H$77)),'Hiring plan'!$F$77,0)</f>
        <v>0</v>
      </c>
      <c r="F81" s="33" t="n">
        <f aca="false">IF(AND(N('Hiring plan'!$F$77)&gt;0,F$3&gt;='Hiring plan'!$G$77,F$3&lt;=IF('Hiring plan'!$H$77="",999,'Hiring plan'!$H$77)),'Hiring plan'!$F$77,0)</f>
        <v>0</v>
      </c>
      <c r="G81" s="33" t="n">
        <f aca="false">IF(AND(N('Hiring plan'!$F$77)&gt;0,G$3&gt;='Hiring plan'!$G$77,G$3&lt;=IF('Hiring plan'!$H$77="",999,'Hiring plan'!$H$77)),'Hiring plan'!$F$77,0)</f>
        <v>0</v>
      </c>
      <c r="H81" s="33" t="n">
        <f aca="false">IF(AND(N('Hiring plan'!$F$77)&gt;0,H$3&gt;='Hiring plan'!$G$77,H$3&lt;=IF('Hiring plan'!$H$77="",999,'Hiring plan'!$H$77)),'Hiring plan'!$F$77,0)</f>
        <v>0</v>
      </c>
      <c r="I81" s="33" t="n">
        <f aca="false">IF(AND(N('Hiring plan'!$F$77)&gt;0,I$3&gt;='Hiring plan'!$G$77,I$3&lt;=IF('Hiring plan'!$H$77="",999,'Hiring plan'!$H$77)),'Hiring plan'!$F$77,0)</f>
        <v>0</v>
      </c>
      <c r="J81" s="33" t="n">
        <f aca="false">IF(AND(N('Hiring plan'!$F$77)&gt;0,J$3&gt;='Hiring plan'!$G$77,J$3&lt;=IF('Hiring plan'!$H$77="",999,'Hiring plan'!$H$77)),'Hiring plan'!$F$77,0)</f>
        <v>0</v>
      </c>
      <c r="K81" s="33" t="n">
        <f aca="false">IF(AND(N('Hiring plan'!$F$77)&gt;0,K$3&gt;='Hiring plan'!$G$77,K$3&lt;=IF('Hiring plan'!$H$77="",999,'Hiring plan'!$H$77)),'Hiring plan'!$F$77,0)</f>
        <v>0</v>
      </c>
      <c r="L81" s="33" t="n">
        <f aca="false">IF(AND(N('Hiring plan'!$F$77)&gt;0,L$3&gt;='Hiring plan'!$G$77,L$3&lt;=IF('Hiring plan'!$H$77="",999,'Hiring plan'!$H$77)),'Hiring plan'!$F$77,0)</f>
        <v>0</v>
      </c>
      <c r="M81" s="33" t="n">
        <f aca="false">IF(AND(N('Hiring plan'!$F$77)&gt;0,M$3&gt;='Hiring plan'!$G$77,M$3&lt;=IF('Hiring plan'!$H$77="",999,'Hiring plan'!$H$77)),'Hiring plan'!$F$77,0)</f>
        <v>0</v>
      </c>
      <c r="N81" s="33" t="n">
        <f aca="false">IF(AND(N('Hiring plan'!$F$77)&gt;0,N$3&gt;='Hiring plan'!$G$77,N$3&lt;=IF('Hiring plan'!$H$77="",999,'Hiring plan'!$H$77)),'Hiring plan'!$F$77,0)</f>
        <v>0</v>
      </c>
      <c r="O81" s="33" t="n">
        <f aca="false">IF(AND(N('Hiring plan'!$F$77)&gt;0,O$3&gt;='Hiring plan'!$G$77,O$3&lt;=IF('Hiring plan'!$H$77="",999,'Hiring plan'!$H$77)),'Hiring plan'!$F$77,0)</f>
        <v>0</v>
      </c>
      <c r="P81" s="33" t="n">
        <f aca="false">IF(AND(N('Hiring plan'!$F$77)&gt;0,P$3&gt;='Hiring plan'!$G$77,P$3&lt;=IF('Hiring plan'!$H$77="",999,'Hiring plan'!$H$77)),'Hiring plan'!$F$77,0)</f>
        <v>0</v>
      </c>
      <c r="Q81" s="33" t="n">
        <f aca="false">IF(AND(N('Hiring plan'!$F$77)&gt;0,Q$3&gt;='Hiring plan'!$G$77,Q$3&lt;=IF('Hiring plan'!$H$77="",999,'Hiring plan'!$H$77)),'Hiring plan'!$F$77,0)</f>
        <v>0</v>
      </c>
      <c r="R81" s="33" t="n">
        <f aca="false">IF(AND(N('Hiring plan'!$F$77)&gt;0,R$3&gt;='Hiring plan'!$G$77,R$3&lt;=IF('Hiring plan'!$H$77="",999,'Hiring plan'!$H$77)),'Hiring plan'!$F$77,0)</f>
        <v>0</v>
      </c>
      <c r="S81" s="33" t="n">
        <f aca="false">IF(AND(N('Hiring plan'!$F$77)&gt;0,S$3&gt;='Hiring plan'!$G$77,S$3&lt;=IF('Hiring plan'!$H$77="",999,'Hiring plan'!$H$77)),'Hiring plan'!$F$77,0)</f>
        <v>0</v>
      </c>
      <c r="T81" s="33" t="n">
        <f aca="false">IF(AND(N('Hiring plan'!$F$77)&gt;0,T$3&gt;='Hiring plan'!$G$77,T$3&lt;=IF('Hiring plan'!$H$77="",999,'Hiring plan'!$H$77)),'Hiring plan'!$F$77,0)</f>
        <v>0</v>
      </c>
      <c r="U81" s="33" t="n">
        <f aca="false">IF(AND(N('Hiring plan'!$F$77)&gt;0,U$3&gt;='Hiring plan'!$G$77,U$3&lt;=IF('Hiring plan'!$H$77="",999,'Hiring plan'!$H$77)),'Hiring plan'!$F$77,0)</f>
        <v>0</v>
      </c>
      <c r="V81" s="33" t="n">
        <f aca="false">IF(AND(N('Hiring plan'!$F$77)&gt;0,V$3&gt;='Hiring plan'!$G$77,V$3&lt;=IF('Hiring plan'!$H$77="",999,'Hiring plan'!$H$77)),'Hiring plan'!$F$77,0)</f>
        <v>0</v>
      </c>
      <c r="W81" s="33" t="n">
        <f aca="false">IF(AND(N('Hiring plan'!$F$77)&gt;0,W$3&gt;='Hiring plan'!$G$77,W$3&lt;=IF('Hiring plan'!$H$77="",999,'Hiring plan'!$H$77)),'Hiring plan'!$F$77,0)</f>
        <v>0</v>
      </c>
      <c r="X81" s="33" t="n">
        <f aca="false">IF(AND(N('Hiring plan'!$F$77)&gt;0,X$3&gt;='Hiring plan'!$G$77,X$3&lt;=IF('Hiring plan'!$H$77="",999,'Hiring plan'!$H$77)),'Hiring plan'!$F$77,0)</f>
        <v>0</v>
      </c>
      <c r="Y81" s="33" t="n">
        <f aca="false">IF(AND(N('Hiring plan'!$F$77)&gt;0,Y$3&gt;='Hiring plan'!$G$77,Y$3&lt;=IF('Hiring plan'!$H$77="",999,'Hiring plan'!$H$77)),'Hiring plan'!$F$77,0)</f>
        <v>0</v>
      </c>
      <c r="Z81" s="33" t="n">
        <f aca="false">IF(AND(N('Hiring plan'!$F$77)&gt;0,Z$3&gt;='Hiring plan'!$G$77,Z$3&lt;=IF('Hiring plan'!$H$77="",999,'Hiring plan'!$H$77)),'Hiring plan'!$F$77,0)</f>
        <v>0</v>
      </c>
      <c r="AA81" s="33" t="n">
        <f aca="false">IF(AND(N('Hiring plan'!$F$77)&gt;0,AA$3&gt;='Hiring plan'!$G$77,AA$3&lt;=IF('Hiring plan'!$H$77="",999,'Hiring plan'!$H$77)),'Hiring plan'!$F$77,0)</f>
        <v>0</v>
      </c>
      <c r="AB81" s="33" t="n">
        <f aca="false">IF(AND(N('Hiring plan'!$F$77)&gt;0,AB$3&gt;='Hiring plan'!$G$77,AB$3&lt;=IF('Hiring plan'!$H$77="",999,'Hiring plan'!$H$77)),'Hiring plan'!$F$77,0)</f>
        <v>0</v>
      </c>
      <c r="AC81" s="33" t="n">
        <f aca="false">IF(AND(N('Hiring plan'!$F$77)&gt;0,AC$3&gt;='Hiring plan'!$G$77,AC$3&lt;=IF('Hiring plan'!$H$77="",999,'Hiring plan'!$H$77)),'Hiring plan'!$F$77,0)</f>
        <v>0</v>
      </c>
      <c r="AD81" s="33" t="n">
        <f aca="false">IF(AND(N('Hiring plan'!$F$77)&gt;0,AD$3&gt;='Hiring plan'!$G$77,AD$3&lt;=IF('Hiring plan'!$H$77="",999,'Hiring plan'!$H$77)),'Hiring plan'!$F$77,0)</f>
        <v>0</v>
      </c>
      <c r="AE81" s="33" t="n">
        <f aca="false">IF(AND(N('Hiring plan'!$F$77)&gt;0,AE$3&gt;='Hiring plan'!$G$77,AE$3&lt;=IF('Hiring plan'!$H$77="",999,'Hiring plan'!$H$77)),'Hiring plan'!$F$77,0)</f>
        <v>0</v>
      </c>
      <c r="AF81" s="33" t="n">
        <f aca="false">IF(AND(N('Hiring plan'!$F$77)&gt;0,AF$3&gt;='Hiring plan'!$G$77,AF$3&lt;=IF('Hiring plan'!$H$77="",999,'Hiring plan'!$H$77)),'Hiring plan'!$F$77,0)</f>
        <v>0</v>
      </c>
      <c r="AG81" s="33" t="n">
        <f aca="false">IF(AND(N('Hiring plan'!$F$77)&gt;0,AG$3&gt;='Hiring plan'!$G$77,AG$3&lt;=IF('Hiring plan'!$H$77="",999,'Hiring plan'!$H$77)),'Hiring plan'!$F$77,0)</f>
        <v>0</v>
      </c>
      <c r="AH81" s="33" t="n">
        <f aca="false">IF(AND(N('Hiring plan'!$F$77)&gt;0,AH$3&gt;='Hiring plan'!$G$77,AH$3&lt;=IF('Hiring plan'!$H$77="",999,'Hiring plan'!$H$77)),'Hiring plan'!$F$77,0)</f>
        <v>0</v>
      </c>
      <c r="AI81" s="33" t="n">
        <f aca="false">IF(AND(N('Hiring plan'!$F$77)&gt;0,AI$3&gt;='Hiring plan'!$G$77,AI$3&lt;=IF('Hiring plan'!$H$77="",999,'Hiring plan'!$H$77)),'Hiring plan'!$F$77,0)</f>
        <v>0</v>
      </c>
      <c r="AJ81" s="33" t="n">
        <f aca="false">IF(AND(N('Hiring plan'!$F$77)&gt;0,AJ$3&gt;='Hiring plan'!$G$77,AJ$3&lt;=IF('Hiring plan'!$H$77="",999,'Hiring plan'!$H$77)),'Hiring plan'!$F$77,0)</f>
        <v>0</v>
      </c>
      <c r="AK81" s="33" t="n">
        <f aca="false">IF(AND(N('Hiring plan'!$F$77)&gt;0,AK$3&gt;='Hiring plan'!$G$77,AK$3&lt;=IF('Hiring plan'!$H$77="",999,'Hiring plan'!$H$77)),'Hiring plan'!$F$77,0)</f>
        <v>0</v>
      </c>
      <c r="AL81" s="33" t="n">
        <f aca="false">IF(AND(N('Hiring plan'!$F$77)&gt;0,AL$3&gt;='Hiring plan'!$G$77,AL$3&lt;=IF('Hiring plan'!$H$77="",999,'Hiring plan'!$H$77)),'Hiring plan'!$F$77,0)</f>
        <v>0</v>
      </c>
      <c r="AM81" s="33" t="n">
        <f aca="false">IF(AND(N('Hiring plan'!$F$77)&gt;0,AM$3&gt;='Hiring plan'!$G$77,AM$3&lt;=IF('Hiring plan'!$H$77="",999,'Hiring plan'!$H$77)),'Hiring plan'!$F$77,0)</f>
        <v>0</v>
      </c>
      <c r="AN81" s="33" t="n">
        <f aca="false">IF(AND(N('Hiring plan'!$F$77)&gt;0,AN$3&gt;='Hiring plan'!$G$77,AN$3&lt;=IF('Hiring plan'!$H$77="",999,'Hiring plan'!$H$77)),'Hiring plan'!$F$77,0)</f>
        <v>0</v>
      </c>
      <c r="AO81" s="33" t="n">
        <f aca="false">IF(AND(N('Hiring plan'!$F$77)&gt;0,AO$3&gt;='Hiring plan'!$G$77,AO$3&lt;=IF('Hiring plan'!$H$77="",999,'Hiring plan'!$H$77)),'Hiring plan'!$F$77,0)</f>
        <v>0</v>
      </c>
      <c r="AP81" s="33" t="n">
        <f aca="false">IF(AND(N('Hiring plan'!$F$77)&gt;0,AP$3&gt;='Hiring plan'!$G$77,AP$3&lt;=IF('Hiring plan'!$H$77="",999,'Hiring plan'!$H$77)),'Hiring plan'!$F$77,0)</f>
        <v>0</v>
      </c>
      <c r="AQ81" s="33" t="n">
        <f aca="false">IF(AND(N('Hiring plan'!$F$77)&gt;0,AQ$3&gt;='Hiring plan'!$G$77,AQ$3&lt;=IF('Hiring plan'!$H$77="",999,'Hiring plan'!$H$77)),'Hiring plan'!$F$77,0)</f>
        <v>0</v>
      </c>
      <c r="AR81" s="33" t="n">
        <f aca="false">IF(AND(N('Hiring plan'!$F$77)&gt;0,AR$3&gt;='Hiring plan'!$G$77,AR$3&lt;=IF('Hiring plan'!$H$77="",999,'Hiring plan'!$H$77)),'Hiring plan'!$F$77,0)</f>
        <v>0</v>
      </c>
      <c r="AS81" s="33" t="n">
        <f aca="false">IF(AND(N('Hiring plan'!$F$77)&gt;0,AS$3&gt;='Hiring plan'!$G$77,AS$3&lt;=IF('Hiring plan'!$H$77="",999,'Hiring plan'!$H$77)),'Hiring plan'!$F$77,0)</f>
        <v>0</v>
      </c>
      <c r="AT81" s="33" t="n">
        <f aca="false">IF(AND(N('Hiring plan'!$F$77)&gt;0,AT$3&gt;='Hiring plan'!$G$77,AT$3&lt;=IF('Hiring plan'!$H$77="",999,'Hiring plan'!$H$77)),'Hiring plan'!$F$77,0)</f>
        <v>0</v>
      </c>
      <c r="AU81" s="33" t="n">
        <f aca="false">IF(AND(N('Hiring plan'!$F$77)&gt;0,AU$3&gt;='Hiring plan'!$G$77,AU$3&lt;=IF('Hiring plan'!$H$77="",999,'Hiring plan'!$H$77)),'Hiring plan'!$F$77,0)</f>
        <v>0</v>
      </c>
      <c r="AV81" s="33" t="n">
        <f aca="false">IF(AND(N('Hiring plan'!$F$77)&gt;0,AV$3&gt;='Hiring plan'!$G$77,AV$3&lt;=IF('Hiring plan'!$H$77="",999,'Hiring plan'!$H$77)),'Hiring plan'!$F$77,0)</f>
        <v>0</v>
      </c>
      <c r="AW81" s="33" t="n">
        <f aca="false">IF(AND(N('Hiring plan'!$F$77)&gt;0,AW$3&gt;='Hiring plan'!$G$77,AW$3&lt;=IF('Hiring plan'!$H$77="",999,'Hiring plan'!$H$77)),'Hiring plan'!$F$77,0)</f>
        <v>0</v>
      </c>
      <c r="AX81" s="33" t="n">
        <f aca="false">IF(AND(N('Hiring plan'!$F$77)&gt;0,AX$3&gt;='Hiring plan'!$G$77,AX$3&lt;=IF('Hiring plan'!$H$77="",999,'Hiring plan'!$H$77)),'Hiring plan'!$F$77,0)</f>
        <v>0</v>
      </c>
      <c r="AY81" s="33" t="n">
        <f aca="false">IF(AND(N('Hiring plan'!$F$77)&gt;0,AY$3&gt;='Hiring plan'!$G$77,AY$3&lt;=IF('Hiring plan'!$H$77="",999,'Hiring plan'!$H$77)),'Hiring plan'!$F$77,0)</f>
        <v>0</v>
      </c>
      <c r="AZ81" s="33" t="n">
        <f aca="false">IF(AND(N('Hiring plan'!$F$77)&gt;0,AZ$3&gt;='Hiring plan'!$G$77,AZ$3&lt;=IF('Hiring plan'!$H$77="",999,'Hiring plan'!$H$77)),'Hiring plan'!$F$77,0)</f>
        <v>0</v>
      </c>
      <c r="BA81" s="33" t="n">
        <f aca="false">IF(AND(N('Hiring plan'!$F$77)&gt;0,BA$3&gt;='Hiring plan'!$G$77,BA$3&lt;=IF('Hiring plan'!$H$77="",999,'Hiring plan'!$H$77)),'Hiring plan'!$F$77,0)</f>
        <v>0</v>
      </c>
      <c r="BB81" s="33" t="n">
        <f aca="false">IF(AND(N('Hiring plan'!$F$77)&gt;0,BB$3&gt;='Hiring plan'!$G$77,BB$3&lt;=IF('Hiring plan'!$H$77="",999,'Hiring plan'!$H$77)),'Hiring plan'!$F$77,0)</f>
        <v>0</v>
      </c>
      <c r="BC81" s="33" t="n">
        <f aca="false">IF(AND(N('Hiring plan'!$F$77)&gt;0,BC$3&gt;='Hiring plan'!$G$77,BC$3&lt;=IF('Hiring plan'!$H$77="",999,'Hiring plan'!$H$77)),'Hiring plan'!$F$77,0)</f>
        <v>0</v>
      </c>
      <c r="BD81" s="33" t="n">
        <f aca="false">IF(AND(N('Hiring plan'!$F$77)&gt;0,BD$3&gt;='Hiring plan'!$G$77,BD$3&lt;=IF('Hiring plan'!$H$77="",999,'Hiring plan'!$H$77)),'Hiring plan'!$F$77,0)</f>
        <v>0</v>
      </c>
      <c r="BE81" s="33" t="n">
        <f aca="false">IF(AND(N('Hiring plan'!$F$77)&gt;0,BE$3&gt;='Hiring plan'!$G$77,BE$3&lt;=IF('Hiring plan'!$H$77="",999,'Hiring plan'!$H$77)),'Hiring plan'!$F$77,0)</f>
        <v>0</v>
      </c>
      <c r="BF81" s="33" t="n">
        <f aca="false">IF(AND(N('Hiring plan'!$F$77)&gt;0,BF$3&gt;='Hiring plan'!$G$77,BF$3&lt;=IF('Hiring plan'!$H$77="",999,'Hiring plan'!$H$77)),'Hiring plan'!$F$77,0)</f>
        <v>0</v>
      </c>
      <c r="BG81" s="33" t="n">
        <f aca="false">IF(AND(N('Hiring plan'!$F$77)&gt;0,BG$3&gt;='Hiring plan'!$G$77,BG$3&lt;=IF('Hiring plan'!$H$77="",999,'Hiring plan'!$H$77)),'Hiring plan'!$F$77,0)</f>
        <v>0</v>
      </c>
      <c r="BH81" s="33" t="n">
        <f aca="false">IF(AND(N('Hiring plan'!$F$77)&gt;0,BH$3&gt;='Hiring plan'!$G$77,BH$3&lt;=IF('Hiring plan'!$H$77="",999,'Hiring plan'!$H$77)),'Hiring plan'!$F$77,0)</f>
        <v>0</v>
      </c>
      <c r="BI81" s="33" t="n">
        <f aca="false">IF(AND(N('Hiring plan'!$F$77)&gt;0,BI$3&gt;='Hiring plan'!$G$77,BI$3&lt;=IF('Hiring plan'!$H$77="",999,'Hiring plan'!$H$77)),'Hiring plan'!$F$77,0)</f>
        <v>0</v>
      </c>
      <c r="BJ81" s="33" t="n">
        <f aca="false">IF(AND(N('Hiring plan'!$F$77)&gt;0,BJ$3&gt;='Hiring plan'!$G$77,BJ$3&lt;=IF('Hiring plan'!$H$77="",999,'Hiring plan'!$H$77)),'Hiring plan'!$F$77,0)</f>
        <v>0</v>
      </c>
      <c r="BK81" s="33" t="n">
        <f aca="false">IF(AND(N('Hiring plan'!$F$77)&gt;0,BK$3&gt;='Hiring plan'!$G$77,BK$3&lt;=IF('Hiring plan'!$H$77="",999,'Hiring plan'!$H$77)),'Hiring plan'!$F$77,0)</f>
        <v>0</v>
      </c>
      <c r="BL81" s="33" t="n">
        <f aca="false">IF(AND(N('Hiring plan'!$F$77)&gt;0,BL$3&gt;='Hiring plan'!$G$77,BL$3&lt;=IF('Hiring plan'!$H$77="",999,'Hiring plan'!$H$77)),'Hiring plan'!$F$77,0)</f>
        <v>0</v>
      </c>
    </row>
    <row r="82" customFormat="false" ht="15" hidden="false" customHeight="false" outlineLevel="0" collapsed="false">
      <c r="A82" s="12" t="str">
        <f aca="false">IF('Hiring plan'!$C$78="","(spare line 74)",'Hiring plan'!$C$78&amp;" · "&amp;'Hiring plan'!$D$78)</f>
        <v>(spare line 74)</v>
      </c>
      <c r="B82" s="14" t="s">
        <v>222</v>
      </c>
      <c r="D82" s="41" t="n">
        <f aca="false">MAX(E82:BL82)</f>
        <v>0</v>
      </c>
      <c r="E82" s="33" t="n">
        <f aca="false">IF(AND(N('Hiring plan'!$F$78)&gt;0,E$3&gt;='Hiring plan'!$G$78,E$3&lt;=IF('Hiring plan'!$H$78="",999,'Hiring plan'!$H$78)),'Hiring plan'!$F$78,0)</f>
        <v>0</v>
      </c>
      <c r="F82" s="33" t="n">
        <f aca="false">IF(AND(N('Hiring plan'!$F$78)&gt;0,F$3&gt;='Hiring plan'!$G$78,F$3&lt;=IF('Hiring plan'!$H$78="",999,'Hiring plan'!$H$78)),'Hiring plan'!$F$78,0)</f>
        <v>0</v>
      </c>
      <c r="G82" s="33" t="n">
        <f aca="false">IF(AND(N('Hiring plan'!$F$78)&gt;0,G$3&gt;='Hiring plan'!$G$78,G$3&lt;=IF('Hiring plan'!$H$78="",999,'Hiring plan'!$H$78)),'Hiring plan'!$F$78,0)</f>
        <v>0</v>
      </c>
      <c r="H82" s="33" t="n">
        <f aca="false">IF(AND(N('Hiring plan'!$F$78)&gt;0,H$3&gt;='Hiring plan'!$G$78,H$3&lt;=IF('Hiring plan'!$H$78="",999,'Hiring plan'!$H$78)),'Hiring plan'!$F$78,0)</f>
        <v>0</v>
      </c>
      <c r="I82" s="33" t="n">
        <f aca="false">IF(AND(N('Hiring plan'!$F$78)&gt;0,I$3&gt;='Hiring plan'!$G$78,I$3&lt;=IF('Hiring plan'!$H$78="",999,'Hiring plan'!$H$78)),'Hiring plan'!$F$78,0)</f>
        <v>0</v>
      </c>
      <c r="J82" s="33" t="n">
        <f aca="false">IF(AND(N('Hiring plan'!$F$78)&gt;0,J$3&gt;='Hiring plan'!$G$78,J$3&lt;=IF('Hiring plan'!$H$78="",999,'Hiring plan'!$H$78)),'Hiring plan'!$F$78,0)</f>
        <v>0</v>
      </c>
      <c r="K82" s="33" t="n">
        <f aca="false">IF(AND(N('Hiring plan'!$F$78)&gt;0,K$3&gt;='Hiring plan'!$G$78,K$3&lt;=IF('Hiring plan'!$H$78="",999,'Hiring plan'!$H$78)),'Hiring plan'!$F$78,0)</f>
        <v>0</v>
      </c>
      <c r="L82" s="33" t="n">
        <f aca="false">IF(AND(N('Hiring plan'!$F$78)&gt;0,L$3&gt;='Hiring plan'!$G$78,L$3&lt;=IF('Hiring plan'!$H$78="",999,'Hiring plan'!$H$78)),'Hiring plan'!$F$78,0)</f>
        <v>0</v>
      </c>
      <c r="M82" s="33" t="n">
        <f aca="false">IF(AND(N('Hiring plan'!$F$78)&gt;0,M$3&gt;='Hiring plan'!$G$78,M$3&lt;=IF('Hiring plan'!$H$78="",999,'Hiring plan'!$H$78)),'Hiring plan'!$F$78,0)</f>
        <v>0</v>
      </c>
      <c r="N82" s="33" t="n">
        <f aca="false">IF(AND(N('Hiring plan'!$F$78)&gt;0,N$3&gt;='Hiring plan'!$G$78,N$3&lt;=IF('Hiring plan'!$H$78="",999,'Hiring plan'!$H$78)),'Hiring plan'!$F$78,0)</f>
        <v>0</v>
      </c>
      <c r="O82" s="33" t="n">
        <f aca="false">IF(AND(N('Hiring plan'!$F$78)&gt;0,O$3&gt;='Hiring plan'!$G$78,O$3&lt;=IF('Hiring plan'!$H$78="",999,'Hiring plan'!$H$78)),'Hiring plan'!$F$78,0)</f>
        <v>0</v>
      </c>
      <c r="P82" s="33" t="n">
        <f aca="false">IF(AND(N('Hiring plan'!$F$78)&gt;0,P$3&gt;='Hiring plan'!$G$78,P$3&lt;=IF('Hiring plan'!$H$78="",999,'Hiring plan'!$H$78)),'Hiring plan'!$F$78,0)</f>
        <v>0</v>
      </c>
      <c r="Q82" s="33" t="n">
        <f aca="false">IF(AND(N('Hiring plan'!$F$78)&gt;0,Q$3&gt;='Hiring plan'!$G$78,Q$3&lt;=IF('Hiring plan'!$H$78="",999,'Hiring plan'!$H$78)),'Hiring plan'!$F$78,0)</f>
        <v>0</v>
      </c>
      <c r="R82" s="33" t="n">
        <f aca="false">IF(AND(N('Hiring plan'!$F$78)&gt;0,R$3&gt;='Hiring plan'!$G$78,R$3&lt;=IF('Hiring plan'!$H$78="",999,'Hiring plan'!$H$78)),'Hiring plan'!$F$78,0)</f>
        <v>0</v>
      </c>
      <c r="S82" s="33" t="n">
        <f aca="false">IF(AND(N('Hiring plan'!$F$78)&gt;0,S$3&gt;='Hiring plan'!$G$78,S$3&lt;=IF('Hiring plan'!$H$78="",999,'Hiring plan'!$H$78)),'Hiring plan'!$F$78,0)</f>
        <v>0</v>
      </c>
      <c r="T82" s="33" t="n">
        <f aca="false">IF(AND(N('Hiring plan'!$F$78)&gt;0,T$3&gt;='Hiring plan'!$G$78,T$3&lt;=IF('Hiring plan'!$H$78="",999,'Hiring plan'!$H$78)),'Hiring plan'!$F$78,0)</f>
        <v>0</v>
      </c>
      <c r="U82" s="33" t="n">
        <f aca="false">IF(AND(N('Hiring plan'!$F$78)&gt;0,U$3&gt;='Hiring plan'!$G$78,U$3&lt;=IF('Hiring plan'!$H$78="",999,'Hiring plan'!$H$78)),'Hiring plan'!$F$78,0)</f>
        <v>0</v>
      </c>
      <c r="V82" s="33" t="n">
        <f aca="false">IF(AND(N('Hiring plan'!$F$78)&gt;0,V$3&gt;='Hiring plan'!$G$78,V$3&lt;=IF('Hiring plan'!$H$78="",999,'Hiring plan'!$H$78)),'Hiring plan'!$F$78,0)</f>
        <v>0</v>
      </c>
      <c r="W82" s="33" t="n">
        <f aca="false">IF(AND(N('Hiring plan'!$F$78)&gt;0,W$3&gt;='Hiring plan'!$G$78,W$3&lt;=IF('Hiring plan'!$H$78="",999,'Hiring plan'!$H$78)),'Hiring plan'!$F$78,0)</f>
        <v>0</v>
      </c>
      <c r="X82" s="33" t="n">
        <f aca="false">IF(AND(N('Hiring plan'!$F$78)&gt;0,X$3&gt;='Hiring plan'!$G$78,X$3&lt;=IF('Hiring plan'!$H$78="",999,'Hiring plan'!$H$78)),'Hiring plan'!$F$78,0)</f>
        <v>0</v>
      </c>
      <c r="Y82" s="33" t="n">
        <f aca="false">IF(AND(N('Hiring plan'!$F$78)&gt;0,Y$3&gt;='Hiring plan'!$G$78,Y$3&lt;=IF('Hiring plan'!$H$78="",999,'Hiring plan'!$H$78)),'Hiring plan'!$F$78,0)</f>
        <v>0</v>
      </c>
      <c r="Z82" s="33" t="n">
        <f aca="false">IF(AND(N('Hiring plan'!$F$78)&gt;0,Z$3&gt;='Hiring plan'!$G$78,Z$3&lt;=IF('Hiring plan'!$H$78="",999,'Hiring plan'!$H$78)),'Hiring plan'!$F$78,0)</f>
        <v>0</v>
      </c>
      <c r="AA82" s="33" t="n">
        <f aca="false">IF(AND(N('Hiring plan'!$F$78)&gt;0,AA$3&gt;='Hiring plan'!$G$78,AA$3&lt;=IF('Hiring plan'!$H$78="",999,'Hiring plan'!$H$78)),'Hiring plan'!$F$78,0)</f>
        <v>0</v>
      </c>
      <c r="AB82" s="33" t="n">
        <f aca="false">IF(AND(N('Hiring plan'!$F$78)&gt;0,AB$3&gt;='Hiring plan'!$G$78,AB$3&lt;=IF('Hiring plan'!$H$78="",999,'Hiring plan'!$H$78)),'Hiring plan'!$F$78,0)</f>
        <v>0</v>
      </c>
      <c r="AC82" s="33" t="n">
        <f aca="false">IF(AND(N('Hiring plan'!$F$78)&gt;0,AC$3&gt;='Hiring plan'!$G$78,AC$3&lt;=IF('Hiring plan'!$H$78="",999,'Hiring plan'!$H$78)),'Hiring plan'!$F$78,0)</f>
        <v>0</v>
      </c>
      <c r="AD82" s="33" t="n">
        <f aca="false">IF(AND(N('Hiring plan'!$F$78)&gt;0,AD$3&gt;='Hiring plan'!$G$78,AD$3&lt;=IF('Hiring plan'!$H$78="",999,'Hiring plan'!$H$78)),'Hiring plan'!$F$78,0)</f>
        <v>0</v>
      </c>
      <c r="AE82" s="33" t="n">
        <f aca="false">IF(AND(N('Hiring plan'!$F$78)&gt;0,AE$3&gt;='Hiring plan'!$G$78,AE$3&lt;=IF('Hiring plan'!$H$78="",999,'Hiring plan'!$H$78)),'Hiring plan'!$F$78,0)</f>
        <v>0</v>
      </c>
      <c r="AF82" s="33" t="n">
        <f aca="false">IF(AND(N('Hiring plan'!$F$78)&gt;0,AF$3&gt;='Hiring plan'!$G$78,AF$3&lt;=IF('Hiring plan'!$H$78="",999,'Hiring plan'!$H$78)),'Hiring plan'!$F$78,0)</f>
        <v>0</v>
      </c>
      <c r="AG82" s="33" t="n">
        <f aca="false">IF(AND(N('Hiring plan'!$F$78)&gt;0,AG$3&gt;='Hiring plan'!$G$78,AG$3&lt;=IF('Hiring plan'!$H$78="",999,'Hiring plan'!$H$78)),'Hiring plan'!$F$78,0)</f>
        <v>0</v>
      </c>
      <c r="AH82" s="33" t="n">
        <f aca="false">IF(AND(N('Hiring plan'!$F$78)&gt;0,AH$3&gt;='Hiring plan'!$G$78,AH$3&lt;=IF('Hiring plan'!$H$78="",999,'Hiring plan'!$H$78)),'Hiring plan'!$F$78,0)</f>
        <v>0</v>
      </c>
      <c r="AI82" s="33" t="n">
        <f aca="false">IF(AND(N('Hiring plan'!$F$78)&gt;0,AI$3&gt;='Hiring plan'!$G$78,AI$3&lt;=IF('Hiring plan'!$H$78="",999,'Hiring plan'!$H$78)),'Hiring plan'!$F$78,0)</f>
        <v>0</v>
      </c>
      <c r="AJ82" s="33" t="n">
        <f aca="false">IF(AND(N('Hiring plan'!$F$78)&gt;0,AJ$3&gt;='Hiring plan'!$G$78,AJ$3&lt;=IF('Hiring plan'!$H$78="",999,'Hiring plan'!$H$78)),'Hiring plan'!$F$78,0)</f>
        <v>0</v>
      </c>
      <c r="AK82" s="33" t="n">
        <f aca="false">IF(AND(N('Hiring plan'!$F$78)&gt;0,AK$3&gt;='Hiring plan'!$G$78,AK$3&lt;=IF('Hiring plan'!$H$78="",999,'Hiring plan'!$H$78)),'Hiring plan'!$F$78,0)</f>
        <v>0</v>
      </c>
      <c r="AL82" s="33" t="n">
        <f aca="false">IF(AND(N('Hiring plan'!$F$78)&gt;0,AL$3&gt;='Hiring plan'!$G$78,AL$3&lt;=IF('Hiring plan'!$H$78="",999,'Hiring plan'!$H$78)),'Hiring plan'!$F$78,0)</f>
        <v>0</v>
      </c>
      <c r="AM82" s="33" t="n">
        <f aca="false">IF(AND(N('Hiring plan'!$F$78)&gt;0,AM$3&gt;='Hiring plan'!$G$78,AM$3&lt;=IF('Hiring plan'!$H$78="",999,'Hiring plan'!$H$78)),'Hiring plan'!$F$78,0)</f>
        <v>0</v>
      </c>
      <c r="AN82" s="33" t="n">
        <f aca="false">IF(AND(N('Hiring plan'!$F$78)&gt;0,AN$3&gt;='Hiring plan'!$G$78,AN$3&lt;=IF('Hiring plan'!$H$78="",999,'Hiring plan'!$H$78)),'Hiring plan'!$F$78,0)</f>
        <v>0</v>
      </c>
      <c r="AO82" s="33" t="n">
        <f aca="false">IF(AND(N('Hiring plan'!$F$78)&gt;0,AO$3&gt;='Hiring plan'!$G$78,AO$3&lt;=IF('Hiring plan'!$H$78="",999,'Hiring plan'!$H$78)),'Hiring plan'!$F$78,0)</f>
        <v>0</v>
      </c>
      <c r="AP82" s="33" t="n">
        <f aca="false">IF(AND(N('Hiring plan'!$F$78)&gt;0,AP$3&gt;='Hiring plan'!$G$78,AP$3&lt;=IF('Hiring plan'!$H$78="",999,'Hiring plan'!$H$78)),'Hiring plan'!$F$78,0)</f>
        <v>0</v>
      </c>
      <c r="AQ82" s="33" t="n">
        <f aca="false">IF(AND(N('Hiring plan'!$F$78)&gt;0,AQ$3&gt;='Hiring plan'!$G$78,AQ$3&lt;=IF('Hiring plan'!$H$78="",999,'Hiring plan'!$H$78)),'Hiring plan'!$F$78,0)</f>
        <v>0</v>
      </c>
      <c r="AR82" s="33" t="n">
        <f aca="false">IF(AND(N('Hiring plan'!$F$78)&gt;0,AR$3&gt;='Hiring plan'!$G$78,AR$3&lt;=IF('Hiring plan'!$H$78="",999,'Hiring plan'!$H$78)),'Hiring plan'!$F$78,0)</f>
        <v>0</v>
      </c>
      <c r="AS82" s="33" t="n">
        <f aca="false">IF(AND(N('Hiring plan'!$F$78)&gt;0,AS$3&gt;='Hiring plan'!$G$78,AS$3&lt;=IF('Hiring plan'!$H$78="",999,'Hiring plan'!$H$78)),'Hiring plan'!$F$78,0)</f>
        <v>0</v>
      </c>
      <c r="AT82" s="33" t="n">
        <f aca="false">IF(AND(N('Hiring plan'!$F$78)&gt;0,AT$3&gt;='Hiring plan'!$G$78,AT$3&lt;=IF('Hiring plan'!$H$78="",999,'Hiring plan'!$H$78)),'Hiring plan'!$F$78,0)</f>
        <v>0</v>
      </c>
      <c r="AU82" s="33" t="n">
        <f aca="false">IF(AND(N('Hiring plan'!$F$78)&gt;0,AU$3&gt;='Hiring plan'!$G$78,AU$3&lt;=IF('Hiring plan'!$H$78="",999,'Hiring plan'!$H$78)),'Hiring plan'!$F$78,0)</f>
        <v>0</v>
      </c>
      <c r="AV82" s="33" t="n">
        <f aca="false">IF(AND(N('Hiring plan'!$F$78)&gt;0,AV$3&gt;='Hiring plan'!$G$78,AV$3&lt;=IF('Hiring plan'!$H$78="",999,'Hiring plan'!$H$78)),'Hiring plan'!$F$78,0)</f>
        <v>0</v>
      </c>
      <c r="AW82" s="33" t="n">
        <f aca="false">IF(AND(N('Hiring plan'!$F$78)&gt;0,AW$3&gt;='Hiring plan'!$G$78,AW$3&lt;=IF('Hiring plan'!$H$78="",999,'Hiring plan'!$H$78)),'Hiring plan'!$F$78,0)</f>
        <v>0</v>
      </c>
      <c r="AX82" s="33" t="n">
        <f aca="false">IF(AND(N('Hiring plan'!$F$78)&gt;0,AX$3&gt;='Hiring plan'!$G$78,AX$3&lt;=IF('Hiring plan'!$H$78="",999,'Hiring plan'!$H$78)),'Hiring plan'!$F$78,0)</f>
        <v>0</v>
      </c>
      <c r="AY82" s="33" t="n">
        <f aca="false">IF(AND(N('Hiring plan'!$F$78)&gt;0,AY$3&gt;='Hiring plan'!$G$78,AY$3&lt;=IF('Hiring plan'!$H$78="",999,'Hiring plan'!$H$78)),'Hiring plan'!$F$78,0)</f>
        <v>0</v>
      </c>
      <c r="AZ82" s="33" t="n">
        <f aca="false">IF(AND(N('Hiring plan'!$F$78)&gt;0,AZ$3&gt;='Hiring plan'!$G$78,AZ$3&lt;=IF('Hiring plan'!$H$78="",999,'Hiring plan'!$H$78)),'Hiring plan'!$F$78,0)</f>
        <v>0</v>
      </c>
      <c r="BA82" s="33" t="n">
        <f aca="false">IF(AND(N('Hiring plan'!$F$78)&gt;0,BA$3&gt;='Hiring plan'!$G$78,BA$3&lt;=IF('Hiring plan'!$H$78="",999,'Hiring plan'!$H$78)),'Hiring plan'!$F$78,0)</f>
        <v>0</v>
      </c>
      <c r="BB82" s="33" t="n">
        <f aca="false">IF(AND(N('Hiring plan'!$F$78)&gt;0,BB$3&gt;='Hiring plan'!$G$78,BB$3&lt;=IF('Hiring plan'!$H$78="",999,'Hiring plan'!$H$78)),'Hiring plan'!$F$78,0)</f>
        <v>0</v>
      </c>
      <c r="BC82" s="33" t="n">
        <f aca="false">IF(AND(N('Hiring plan'!$F$78)&gt;0,BC$3&gt;='Hiring plan'!$G$78,BC$3&lt;=IF('Hiring plan'!$H$78="",999,'Hiring plan'!$H$78)),'Hiring plan'!$F$78,0)</f>
        <v>0</v>
      </c>
      <c r="BD82" s="33" t="n">
        <f aca="false">IF(AND(N('Hiring plan'!$F$78)&gt;0,BD$3&gt;='Hiring plan'!$G$78,BD$3&lt;=IF('Hiring plan'!$H$78="",999,'Hiring plan'!$H$78)),'Hiring plan'!$F$78,0)</f>
        <v>0</v>
      </c>
      <c r="BE82" s="33" t="n">
        <f aca="false">IF(AND(N('Hiring plan'!$F$78)&gt;0,BE$3&gt;='Hiring plan'!$G$78,BE$3&lt;=IF('Hiring plan'!$H$78="",999,'Hiring plan'!$H$78)),'Hiring plan'!$F$78,0)</f>
        <v>0</v>
      </c>
      <c r="BF82" s="33" t="n">
        <f aca="false">IF(AND(N('Hiring plan'!$F$78)&gt;0,BF$3&gt;='Hiring plan'!$G$78,BF$3&lt;=IF('Hiring plan'!$H$78="",999,'Hiring plan'!$H$78)),'Hiring plan'!$F$78,0)</f>
        <v>0</v>
      </c>
      <c r="BG82" s="33" t="n">
        <f aca="false">IF(AND(N('Hiring plan'!$F$78)&gt;0,BG$3&gt;='Hiring plan'!$G$78,BG$3&lt;=IF('Hiring plan'!$H$78="",999,'Hiring plan'!$H$78)),'Hiring plan'!$F$78,0)</f>
        <v>0</v>
      </c>
      <c r="BH82" s="33" t="n">
        <f aca="false">IF(AND(N('Hiring plan'!$F$78)&gt;0,BH$3&gt;='Hiring plan'!$G$78,BH$3&lt;=IF('Hiring plan'!$H$78="",999,'Hiring plan'!$H$78)),'Hiring plan'!$F$78,0)</f>
        <v>0</v>
      </c>
      <c r="BI82" s="33" t="n">
        <f aca="false">IF(AND(N('Hiring plan'!$F$78)&gt;0,BI$3&gt;='Hiring plan'!$G$78,BI$3&lt;=IF('Hiring plan'!$H$78="",999,'Hiring plan'!$H$78)),'Hiring plan'!$F$78,0)</f>
        <v>0</v>
      </c>
      <c r="BJ82" s="33" t="n">
        <f aca="false">IF(AND(N('Hiring plan'!$F$78)&gt;0,BJ$3&gt;='Hiring plan'!$G$78,BJ$3&lt;=IF('Hiring plan'!$H$78="",999,'Hiring plan'!$H$78)),'Hiring plan'!$F$78,0)</f>
        <v>0</v>
      </c>
      <c r="BK82" s="33" t="n">
        <f aca="false">IF(AND(N('Hiring plan'!$F$78)&gt;0,BK$3&gt;='Hiring plan'!$G$78,BK$3&lt;=IF('Hiring plan'!$H$78="",999,'Hiring plan'!$H$78)),'Hiring plan'!$F$78,0)</f>
        <v>0</v>
      </c>
      <c r="BL82" s="33" t="n">
        <f aca="false">IF(AND(N('Hiring plan'!$F$78)&gt;0,BL$3&gt;='Hiring plan'!$G$78,BL$3&lt;=IF('Hiring plan'!$H$78="",999,'Hiring plan'!$H$78)),'Hiring plan'!$F$78,0)</f>
        <v>0</v>
      </c>
    </row>
    <row r="83" customFormat="false" ht="15" hidden="false" customHeight="false" outlineLevel="0" collapsed="false">
      <c r="A83" s="12" t="str">
        <f aca="false">IF('Hiring plan'!$C$79="","(spare line 75)",'Hiring plan'!$C$79&amp;" · "&amp;'Hiring plan'!$D$79)</f>
        <v>(spare line 75)</v>
      </c>
      <c r="B83" s="14" t="s">
        <v>222</v>
      </c>
      <c r="D83" s="41" t="n">
        <f aca="false">MAX(E83:BL83)</f>
        <v>0</v>
      </c>
      <c r="E83" s="33" t="n">
        <f aca="false">IF(AND(N('Hiring plan'!$F$79)&gt;0,E$3&gt;='Hiring plan'!$G$79,E$3&lt;=IF('Hiring plan'!$H$79="",999,'Hiring plan'!$H$79)),'Hiring plan'!$F$79,0)</f>
        <v>0</v>
      </c>
      <c r="F83" s="33" t="n">
        <f aca="false">IF(AND(N('Hiring plan'!$F$79)&gt;0,F$3&gt;='Hiring plan'!$G$79,F$3&lt;=IF('Hiring plan'!$H$79="",999,'Hiring plan'!$H$79)),'Hiring plan'!$F$79,0)</f>
        <v>0</v>
      </c>
      <c r="G83" s="33" t="n">
        <f aca="false">IF(AND(N('Hiring plan'!$F$79)&gt;0,G$3&gt;='Hiring plan'!$G$79,G$3&lt;=IF('Hiring plan'!$H$79="",999,'Hiring plan'!$H$79)),'Hiring plan'!$F$79,0)</f>
        <v>0</v>
      </c>
      <c r="H83" s="33" t="n">
        <f aca="false">IF(AND(N('Hiring plan'!$F$79)&gt;0,H$3&gt;='Hiring plan'!$G$79,H$3&lt;=IF('Hiring plan'!$H$79="",999,'Hiring plan'!$H$79)),'Hiring plan'!$F$79,0)</f>
        <v>0</v>
      </c>
      <c r="I83" s="33" t="n">
        <f aca="false">IF(AND(N('Hiring plan'!$F$79)&gt;0,I$3&gt;='Hiring plan'!$G$79,I$3&lt;=IF('Hiring plan'!$H$79="",999,'Hiring plan'!$H$79)),'Hiring plan'!$F$79,0)</f>
        <v>0</v>
      </c>
      <c r="J83" s="33" t="n">
        <f aca="false">IF(AND(N('Hiring plan'!$F$79)&gt;0,J$3&gt;='Hiring plan'!$G$79,J$3&lt;=IF('Hiring plan'!$H$79="",999,'Hiring plan'!$H$79)),'Hiring plan'!$F$79,0)</f>
        <v>0</v>
      </c>
      <c r="K83" s="33" t="n">
        <f aca="false">IF(AND(N('Hiring plan'!$F$79)&gt;0,K$3&gt;='Hiring plan'!$G$79,K$3&lt;=IF('Hiring plan'!$H$79="",999,'Hiring plan'!$H$79)),'Hiring plan'!$F$79,0)</f>
        <v>0</v>
      </c>
      <c r="L83" s="33" t="n">
        <f aca="false">IF(AND(N('Hiring plan'!$F$79)&gt;0,L$3&gt;='Hiring plan'!$G$79,L$3&lt;=IF('Hiring plan'!$H$79="",999,'Hiring plan'!$H$79)),'Hiring plan'!$F$79,0)</f>
        <v>0</v>
      </c>
      <c r="M83" s="33" t="n">
        <f aca="false">IF(AND(N('Hiring plan'!$F$79)&gt;0,M$3&gt;='Hiring plan'!$G$79,M$3&lt;=IF('Hiring plan'!$H$79="",999,'Hiring plan'!$H$79)),'Hiring plan'!$F$79,0)</f>
        <v>0</v>
      </c>
      <c r="N83" s="33" t="n">
        <f aca="false">IF(AND(N('Hiring plan'!$F$79)&gt;0,N$3&gt;='Hiring plan'!$G$79,N$3&lt;=IF('Hiring plan'!$H$79="",999,'Hiring plan'!$H$79)),'Hiring plan'!$F$79,0)</f>
        <v>0</v>
      </c>
      <c r="O83" s="33" t="n">
        <f aca="false">IF(AND(N('Hiring plan'!$F$79)&gt;0,O$3&gt;='Hiring plan'!$G$79,O$3&lt;=IF('Hiring plan'!$H$79="",999,'Hiring plan'!$H$79)),'Hiring plan'!$F$79,0)</f>
        <v>0</v>
      </c>
      <c r="P83" s="33" t="n">
        <f aca="false">IF(AND(N('Hiring plan'!$F$79)&gt;0,P$3&gt;='Hiring plan'!$G$79,P$3&lt;=IF('Hiring plan'!$H$79="",999,'Hiring plan'!$H$79)),'Hiring plan'!$F$79,0)</f>
        <v>0</v>
      </c>
      <c r="Q83" s="33" t="n">
        <f aca="false">IF(AND(N('Hiring plan'!$F$79)&gt;0,Q$3&gt;='Hiring plan'!$G$79,Q$3&lt;=IF('Hiring plan'!$H$79="",999,'Hiring plan'!$H$79)),'Hiring plan'!$F$79,0)</f>
        <v>0</v>
      </c>
      <c r="R83" s="33" t="n">
        <f aca="false">IF(AND(N('Hiring plan'!$F$79)&gt;0,R$3&gt;='Hiring plan'!$G$79,R$3&lt;=IF('Hiring plan'!$H$79="",999,'Hiring plan'!$H$79)),'Hiring plan'!$F$79,0)</f>
        <v>0</v>
      </c>
      <c r="S83" s="33" t="n">
        <f aca="false">IF(AND(N('Hiring plan'!$F$79)&gt;0,S$3&gt;='Hiring plan'!$G$79,S$3&lt;=IF('Hiring plan'!$H$79="",999,'Hiring plan'!$H$79)),'Hiring plan'!$F$79,0)</f>
        <v>0</v>
      </c>
      <c r="T83" s="33" t="n">
        <f aca="false">IF(AND(N('Hiring plan'!$F$79)&gt;0,T$3&gt;='Hiring plan'!$G$79,T$3&lt;=IF('Hiring plan'!$H$79="",999,'Hiring plan'!$H$79)),'Hiring plan'!$F$79,0)</f>
        <v>0</v>
      </c>
      <c r="U83" s="33" t="n">
        <f aca="false">IF(AND(N('Hiring plan'!$F$79)&gt;0,U$3&gt;='Hiring plan'!$G$79,U$3&lt;=IF('Hiring plan'!$H$79="",999,'Hiring plan'!$H$79)),'Hiring plan'!$F$79,0)</f>
        <v>0</v>
      </c>
      <c r="V83" s="33" t="n">
        <f aca="false">IF(AND(N('Hiring plan'!$F$79)&gt;0,V$3&gt;='Hiring plan'!$G$79,V$3&lt;=IF('Hiring plan'!$H$79="",999,'Hiring plan'!$H$79)),'Hiring plan'!$F$79,0)</f>
        <v>0</v>
      </c>
      <c r="W83" s="33" t="n">
        <f aca="false">IF(AND(N('Hiring plan'!$F$79)&gt;0,W$3&gt;='Hiring plan'!$G$79,W$3&lt;=IF('Hiring plan'!$H$79="",999,'Hiring plan'!$H$79)),'Hiring plan'!$F$79,0)</f>
        <v>0</v>
      </c>
      <c r="X83" s="33" t="n">
        <f aca="false">IF(AND(N('Hiring plan'!$F$79)&gt;0,X$3&gt;='Hiring plan'!$G$79,X$3&lt;=IF('Hiring plan'!$H$79="",999,'Hiring plan'!$H$79)),'Hiring plan'!$F$79,0)</f>
        <v>0</v>
      </c>
      <c r="Y83" s="33" t="n">
        <f aca="false">IF(AND(N('Hiring plan'!$F$79)&gt;0,Y$3&gt;='Hiring plan'!$G$79,Y$3&lt;=IF('Hiring plan'!$H$79="",999,'Hiring plan'!$H$79)),'Hiring plan'!$F$79,0)</f>
        <v>0</v>
      </c>
      <c r="Z83" s="33" t="n">
        <f aca="false">IF(AND(N('Hiring plan'!$F$79)&gt;0,Z$3&gt;='Hiring plan'!$G$79,Z$3&lt;=IF('Hiring plan'!$H$79="",999,'Hiring plan'!$H$79)),'Hiring plan'!$F$79,0)</f>
        <v>0</v>
      </c>
      <c r="AA83" s="33" t="n">
        <f aca="false">IF(AND(N('Hiring plan'!$F$79)&gt;0,AA$3&gt;='Hiring plan'!$G$79,AA$3&lt;=IF('Hiring plan'!$H$79="",999,'Hiring plan'!$H$79)),'Hiring plan'!$F$79,0)</f>
        <v>0</v>
      </c>
      <c r="AB83" s="33" t="n">
        <f aca="false">IF(AND(N('Hiring plan'!$F$79)&gt;0,AB$3&gt;='Hiring plan'!$G$79,AB$3&lt;=IF('Hiring plan'!$H$79="",999,'Hiring plan'!$H$79)),'Hiring plan'!$F$79,0)</f>
        <v>0</v>
      </c>
      <c r="AC83" s="33" t="n">
        <f aca="false">IF(AND(N('Hiring plan'!$F$79)&gt;0,AC$3&gt;='Hiring plan'!$G$79,AC$3&lt;=IF('Hiring plan'!$H$79="",999,'Hiring plan'!$H$79)),'Hiring plan'!$F$79,0)</f>
        <v>0</v>
      </c>
      <c r="AD83" s="33" t="n">
        <f aca="false">IF(AND(N('Hiring plan'!$F$79)&gt;0,AD$3&gt;='Hiring plan'!$G$79,AD$3&lt;=IF('Hiring plan'!$H$79="",999,'Hiring plan'!$H$79)),'Hiring plan'!$F$79,0)</f>
        <v>0</v>
      </c>
      <c r="AE83" s="33" t="n">
        <f aca="false">IF(AND(N('Hiring plan'!$F$79)&gt;0,AE$3&gt;='Hiring plan'!$G$79,AE$3&lt;=IF('Hiring plan'!$H$79="",999,'Hiring plan'!$H$79)),'Hiring plan'!$F$79,0)</f>
        <v>0</v>
      </c>
      <c r="AF83" s="33" t="n">
        <f aca="false">IF(AND(N('Hiring plan'!$F$79)&gt;0,AF$3&gt;='Hiring plan'!$G$79,AF$3&lt;=IF('Hiring plan'!$H$79="",999,'Hiring plan'!$H$79)),'Hiring plan'!$F$79,0)</f>
        <v>0</v>
      </c>
      <c r="AG83" s="33" t="n">
        <f aca="false">IF(AND(N('Hiring plan'!$F$79)&gt;0,AG$3&gt;='Hiring plan'!$G$79,AG$3&lt;=IF('Hiring plan'!$H$79="",999,'Hiring plan'!$H$79)),'Hiring plan'!$F$79,0)</f>
        <v>0</v>
      </c>
      <c r="AH83" s="33" t="n">
        <f aca="false">IF(AND(N('Hiring plan'!$F$79)&gt;0,AH$3&gt;='Hiring plan'!$G$79,AH$3&lt;=IF('Hiring plan'!$H$79="",999,'Hiring plan'!$H$79)),'Hiring plan'!$F$79,0)</f>
        <v>0</v>
      </c>
      <c r="AI83" s="33" t="n">
        <f aca="false">IF(AND(N('Hiring plan'!$F$79)&gt;0,AI$3&gt;='Hiring plan'!$G$79,AI$3&lt;=IF('Hiring plan'!$H$79="",999,'Hiring plan'!$H$79)),'Hiring plan'!$F$79,0)</f>
        <v>0</v>
      </c>
      <c r="AJ83" s="33" t="n">
        <f aca="false">IF(AND(N('Hiring plan'!$F$79)&gt;0,AJ$3&gt;='Hiring plan'!$G$79,AJ$3&lt;=IF('Hiring plan'!$H$79="",999,'Hiring plan'!$H$79)),'Hiring plan'!$F$79,0)</f>
        <v>0</v>
      </c>
      <c r="AK83" s="33" t="n">
        <f aca="false">IF(AND(N('Hiring plan'!$F$79)&gt;0,AK$3&gt;='Hiring plan'!$G$79,AK$3&lt;=IF('Hiring plan'!$H$79="",999,'Hiring plan'!$H$79)),'Hiring plan'!$F$79,0)</f>
        <v>0</v>
      </c>
      <c r="AL83" s="33" t="n">
        <f aca="false">IF(AND(N('Hiring plan'!$F$79)&gt;0,AL$3&gt;='Hiring plan'!$G$79,AL$3&lt;=IF('Hiring plan'!$H$79="",999,'Hiring plan'!$H$79)),'Hiring plan'!$F$79,0)</f>
        <v>0</v>
      </c>
      <c r="AM83" s="33" t="n">
        <f aca="false">IF(AND(N('Hiring plan'!$F$79)&gt;0,AM$3&gt;='Hiring plan'!$G$79,AM$3&lt;=IF('Hiring plan'!$H$79="",999,'Hiring plan'!$H$79)),'Hiring plan'!$F$79,0)</f>
        <v>0</v>
      </c>
      <c r="AN83" s="33" t="n">
        <f aca="false">IF(AND(N('Hiring plan'!$F$79)&gt;0,AN$3&gt;='Hiring plan'!$G$79,AN$3&lt;=IF('Hiring plan'!$H$79="",999,'Hiring plan'!$H$79)),'Hiring plan'!$F$79,0)</f>
        <v>0</v>
      </c>
      <c r="AO83" s="33" t="n">
        <f aca="false">IF(AND(N('Hiring plan'!$F$79)&gt;0,AO$3&gt;='Hiring plan'!$G$79,AO$3&lt;=IF('Hiring plan'!$H$79="",999,'Hiring plan'!$H$79)),'Hiring plan'!$F$79,0)</f>
        <v>0</v>
      </c>
      <c r="AP83" s="33" t="n">
        <f aca="false">IF(AND(N('Hiring plan'!$F$79)&gt;0,AP$3&gt;='Hiring plan'!$G$79,AP$3&lt;=IF('Hiring plan'!$H$79="",999,'Hiring plan'!$H$79)),'Hiring plan'!$F$79,0)</f>
        <v>0</v>
      </c>
      <c r="AQ83" s="33" t="n">
        <f aca="false">IF(AND(N('Hiring plan'!$F$79)&gt;0,AQ$3&gt;='Hiring plan'!$G$79,AQ$3&lt;=IF('Hiring plan'!$H$79="",999,'Hiring plan'!$H$79)),'Hiring plan'!$F$79,0)</f>
        <v>0</v>
      </c>
      <c r="AR83" s="33" t="n">
        <f aca="false">IF(AND(N('Hiring plan'!$F$79)&gt;0,AR$3&gt;='Hiring plan'!$G$79,AR$3&lt;=IF('Hiring plan'!$H$79="",999,'Hiring plan'!$H$79)),'Hiring plan'!$F$79,0)</f>
        <v>0</v>
      </c>
      <c r="AS83" s="33" t="n">
        <f aca="false">IF(AND(N('Hiring plan'!$F$79)&gt;0,AS$3&gt;='Hiring plan'!$G$79,AS$3&lt;=IF('Hiring plan'!$H$79="",999,'Hiring plan'!$H$79)),'Hiring plan'!$F$79,0)</f>
        <v>0</v>
      </c>
      <c r="AT83" s="33" t="n">
        <f aca="false">IF(AND(N('Hiring plan'!$F$79)&gt;0,AT$3&gt;='Hiring plan'!$G$79,AT$3&lt;=IF('Hiring plan'!$H$79="",999,'Hiring plan'!$H$79)),'Hiring plan'!$F$79,0)</f>
        <v>0</v>
      </c>
      <c r="AU83" s="33" t="n">
        <f aca="false">IF(AND(N('Hiring plan'!$F$79)&gt;0,AU$3&gt;='Hiring plan'!$G$79,AU$3&lt;=IF('Hiring plan'!$H$79="",999,'Hiring plan'!$H$79)),'Hiring plan'!$F$79,0)</f>
        <v>0</v>
      </c>
      <c r="AV83" s="33" t="n">
        <f aca="false">IF(AND(N('Hiring plan'!$F$79)&gt;0,AV$3&gt;='Hiring plan'!$G$79,AV$3&lt;=IF('Hiring plan'!$H$79="",999,'Hiring plan'!$H$79)),'Hiring plan'!$F$79,0)</f>
        <v>0</v>
      </c>
      <c r="AW83" s="33" t="n">
        <f aca="false">IF(AND(N('Hiring plan'!$F$79)&gt;0,AW$3&gt;='Hiring plan'!$G$79,AW$3&lt;=IF('Hiring plan'!$H$79="",999,'Hiring plan'!$H$79)),'Hiring plan'!$F$79,0)</f>
        <v>0</v>
      </c>
      <c r="AX83" s="33" t="n">
        <f aca="false">IF(AND(N('Hiring plan'!$F$79)&gt;0,AX$3&gt;='Hiring plan'!$G$79,AX$3&lt;=IF('Hiring plan'!$H$79="",999,'Hiring plan'!$H$79)),'Hiring plan'!$F$79,0)</f>
        <v>0</v>
      </c>
      <c r="AY83" s="33" t="n">
        <f aca="false">IF(AND(N('Hiring plan'!$F$79)&gt;0,AY$3&gt;='Hiring plan'!$G$79,AY$3&lt;=IF('Hiring plan'!$H$79="",999,'Hiring plan'!$H$79)),'Hiring plan'!$F$79,0)</f>
        <v>0</v>
      </c>
      <c r="AZ83" s="33" t="n">
        <f aca="false">IF(AND(N('Hiring plan'!$F$79)&gt;0,AZ$3&gt;='Hiring plan'!$G$79,AZ$3&lt;=IF('Hiring plan'!$H$79="",999,'Hiring plan'!$H$79)),'Hiring plan'!$F$79,0)</f>
        <v>0</v>
      </c>
      <c r="BA83" s="33" t="n">
        <f aca="false">IF(AND(N('Hiring plan'!$F$79)&gt;0,BA$3&gt;='Hiring plan'!$G$79,BA$3&lt;=IF('Hiring plan'!$H$79="",999,'Hiring plan'!$H$79)),'Hiring plan'!$F$79,0)</f>
        <v>0</v>
      </c>
      <c r="BB83" s="33" t="n">
        <f aca="false">IF(AND(N('Hiring plan'!$F$79)&gt;0,BB$3&gt;='Hiring plan'!$G$79,BB$3&lt;=IF('Hiring plan'!$H$79="",999,'Hiring plan'!$H$79)),'Hiring plan'!$F$79,0)</f>
        <v>0</v>
      </c>
      <c r="BC83" s="33" t="n">
        <f aca="false">IF(AND(N('Hiring plan'!$F$79)&gt;0,BC$3&gt;='Hiring plan'!$G$79,BC$3&lt;=IF('Hiring plan'!$H$79="",999,'Hiring plan'!$H$79)),'Hiring plan'!$F$79,0)</f>
        <v>0</v>
      </c>
      <c r="BD83" s="33" t="n">
        <f aca="false">IF(AND(N('Hiring plan'!$F$79)&gt;0,BD$3&gt;='Hiring plan'!$G$79,BD$3&lt;=IF('Hiring plan'!$H$79="",999,'Hiring plan'!$H$79)),'Hiring plan'!$F$79,0)</f>
        <v>0</v>
      </c>
      <c r="BE83" s="33" t="n">
        <f aca="false">IF(AND(N('Hiring plan'!$F$79)&gt;0,BE$3&gt;='Hiring plan'!$G$79,BE$3&lt;=IF('Hiring plan'!$H$79="",999,'Hiring plan'!$H$79)),'Hiring plan'!$F$79,0)</f>
        <v>0</v>
      </c>
      <c r="BF83" s="33" t="n">
        <f aca="false">IF(AND(N('Hiring plan'!$F$79)&gt;0,BF$3&gt;='Hiring plan'!$G$79,BF$3&lt;=IF('Hiring plan'!$H$79="",999,'Hiring plan'!$H$79)),'Hiring plan'!$F$79,0)</f>
        <v>0</v>
      </c>
      <c r="BG83" s="33" t="n">
        <f aca="false">IF(AND(N('Hiring plan'!$F$79)&gt;0,BG$3&gt;='Hiring plan'!$G$79,BG$3&lt;=IF('Hiring plan'!$H$79="",999,'Hiring plan'!$H$79)),'Hiring plan'!$F$79,0)</f>
        <v>0</v>
      </c>
      <c r="BH83" s="33" t="n">
        <f aca="false">IF(AND(N('Hiring plan'!$F$79)&gt;0,BH$3&gt;='Hiring plan'!$G$79,BH$3&lt;=IF('Hiring plan'!$H$79="",999,'Hiring plan'!$H$79)),'Hiring plan'!$F$79,0)</f>
        <v>0</v>
      </c>
      <c r="BI83" s="33" t="n">
        <f aca="false">IF(AND(N('Hiring plan'!$F$79)&gt;0,BI$3&gt;='Hiring plan'!$G$79,BI$3&lt;=IF('Hiring plan'!$H$79="",999,'Hiring plan'!$H$79)),'Hiring plan'!$F$79,0)</f>
        <v>0</v>
      </c>
      <c r="BJ83" s="33" t="n">
        <f aca="false">IF(AND(N('Hiring plan'!$F$79)&gt;0,BJ$3&gt;='Hiring plan'!$G$79,BJ$3&lt;=IF('Hiring plan'!$H$79="",999,'Hiring plan'!$H$79)),'Hiring plan'!$F$79,0)</f>
        <v>0</v>
      </c>
      <c r="BK83" s="33" t="n">
        <f aca="false">IF(AND(N('Hiring plan'!$F$79)&gt;0,BK$3&gt;='Hiring plan'!$G$79,BK$3&lt;=IF('Hiring plan'!$H$79="",999,'Hiring plan'!$H$79)),'Hiring plan'!$F$79,0)</f>
        <v>0</v>
      </c>
      <c r="BL83" s="33" t="n">
        <f aca="false">IF(AND(N('Hiring plan'!$F$79)&gt;0,BL$3&gt;='Hiring plan'!$G$79,BL$3&lt;=IF('Hiring plan'!$H$79="",999,'Hiring plan'!$H$79)),'Hiring plan'!$F$79,0)</f>
        <v>0</v>
      </c>
    </row>
    <row r="84" customFormat="false" ht="15" hidden="false" customHeight="false" outlineLevel="0" collapsed="false">
      <c r="A84" s="12" t="str">
        <f aca="false">IF('Hiring plan'!$C$80="","(spare line 76)",'Hiring plan'!$C$80&amp;" · "&amp;'Hiring plan'!$D$80)</f>
        <v>(spare line 76)</v>
      </c>
      <c r="B84" s="14" t="s">
        <v>222</v>
      </c>
      <c r="D84" s="41" t="n">
        <f aca="false">MAX(E84:BL84)</f>
        <v>0</v>
      </c>
      <c r="E84" s="33" t="n">
        <f aca="false">IF(AND(N('Hiring plan'!$F$80)&gt;0,E$3&gt;='Hiring plan'!$G$80,E$3&lt;=IF('Hiring plan'!$H$80="",999,'Hiring plan'!$H$80)),'Hiring plan'!$F$80,0)</f>
        <v>0</v>
      </c>
      <c r="F84" s="33" t="n">
        <f aca="false">IF(AND(N('Hiring plan'!$F$80)&gt;0,F$3&gt;='Hiring plan'!$G$80,F$3&lt;=IF('Hiring plan'!$H$80="",999,'Hiring plan'!$H$80)),'Hiring plan'!$F$80,0)</f>
        <v>0</v>
      </c>
      <c r="G84" s="33" t="n">
        <f aca="false">IF(AND(N('Hiring plan'!$F$80)&gt;0,G$3&gt;='Hiring plan'!$G$80,G$3&lt;=IF('Hiring plan'!$H$80="",999,'Hiring plan'!$H$80)),'Hiring plan'!$F$80,0)</f>
        <v>0</v>
      </c>
      <c r="H84" s="33" t="n">
        <f aca="false">IF(AND(N('Hiring plan'!$F$80)&gt;0,H$3&gt;='Hiring plan'!$G$80,H$3&lt;=IF('Hiring plan'!$H$80="",999,'Hiring plan'!$H$80)),'Hiring plan'!$F$80,0)</f>
        <v>0</v>
      </c>
      <c r="I84" s="33" t="n">
        <f aca="false">IF(AND(N('Hiring plan'!$F$80)&gt;0,I$3&gt;='Hiring plan'!$G$80,I$3&lt;=IF('Hiring plan'!$H$80="",999,'Hiring plan'!$H$80)),'Hiring plan'!$F$80,0)</f>
        <v>0</v>
      </c>
      <c r="J84" s="33" t="n">
        <f aca="false">IF(AND(N('Hiring plan'!$F$80)&gt;0,J$3&gt;='Hiring plan'!$G$80,J$3&lt;=IF('Hiring plan'!$H$80="",999,'Hiring plan'!$H$80)),'Hiring plan'!$F$80,0)</f>
        <v>0</v>
      </c>
      <c r="K84" s="33" t="n">
        <f aca="false">IF(AND(N('Hiring plan'!$F$80)&gt;0,K$3&gt;='Hiring plan'!$G$80,K$3&lt;=IF('Hiring plan'!$H$80="",999,'Hiring plan'!$H$80)),'Hiring plan'!$F$80,0)</f>
        <v>0</v>
      </c>
      <c r="L84" s="33" t="n">
        <f aca="false">IF(AND(N('Hiring plan'!$F$80)&gt;0,L$3&gt;='Hiring plan'!$G$80,L$3&lt;=IF('Hiring plan'!$H$80="",999,'Hiring plan'!$H$80)),'Hiring plan'!$F$80,0)</f>
        <v>0</v>
      </c>
      <c r="M84" s="33" t="n">
        <f aca="false">IF(AND(N('Hiring plan'!$F$80)&gt;0,M$3&gt;='Hiring plan'!$G$80,M$3&lt;=IF('Hiring plan'!$H$80="",999,'Hiring plan'!$H$80)),'Hiring plan'!$F$80,0)</f>
        <v>0</v>
      </c>
      <c r="N84" s="33" t="n">
        <f aca="false">IF(AND(N('Hiring plan'!$F$80)&gt;0,N$3&gt;='Hiring plan'!$G$80,N$3&lt;=IF('Hiring plan'!$H$80="",999,'Hiring plan'!$H$80)),'Hiring plan'!$F$80,0)</f>
        <v>0</v>
      </c>
      <c r="O84" s="33" t="n">
        <f aca="false">IF(AND(N('Hiring plan'!$F$80)&gt;0,O$3&gt;='Hiring plan'!$G$80,O$3&lt;=IF('Hiring plan'!$H$80="",999,'Hiring plan'!$H$80)),'Hiring plan'!$F$80,0)</f>
        <v>0</v>
      </c>
      <c r="P84" s="33" t="n">
        <f aca="false">IF(AND(N('Hiring plan'!$F$80)&gt;0,P$3&gt;='Hiring plan'!$G$80,P$3&lt;=IF('Hiring plan'!$H$80="",999,'Hiring plan'!$H$80)),'Hiring plan'!$F$80,0)</f>
        <v>0</v>
      </c>
      <c r="Q84" s="33" t="n">
        <f aca="false">IF(AND(N('Hiring plan'!$F$80)&gt;0,Q$3&gt;='Hiring plan'!$G$80,Q$3&lt;=IF('Hiring plan'!$H$80="",999,'Hiring plan'!$H$80)),'Hiring plan'!$F$80,0)</f>
        <v>0</v>
      </c>
      <c r="R84" s="33" t="n">
        <f aca="false">IF(AND(N('Hiring plan'!$F$80)&gt;0,R$3&gt;='Hiring plan'!$G$80,R$3&lt;=IF('Hiring plan'!$H$80="",999,'Hiring plan'!$H$80)),'Hiring plan'!$F$80,0)</f>
        <v>0</v>
      </c>
      <c r="S84" s="33" t="n">
        <f aca="false">IF(AND(N('Hiring plan'!$F$80)&gt;0,S$3&gt;='Hiring plan'!$G$80,S$3&lt;=IF('Hiring plan'!$H$80="",999,'Hiring plan'!$H$80)),'Hiring plan'!$F$80,0)</f>
        <v>0</v>
      </c>
      <c r="T84" s="33" t="n">
        <f aca="false">IF(AND(N('Hiring plan'!$F$80)&gt;0,T$3&gt;='Hiring plan'!$G$80,T$3&lt;=IF('Hiring plan'!$H$80="",999,'Hiring plan'!$H$80)),'Hiring plan'!$F$80,0)</f>
        <v>0</v>
      </c>
      <c r="U84" s="33" t="n">
        <f aca="false">IF(AND(N('Hiring plan'!$F$80)&gt;0,U$3&gt;='Hiring plan'!$G$80,U$3&lt;=IF('Hiring plan'!$H$80="",999,'Hiring plan'!$H$80)),'Hiring plan'!$F$80,0)</f>
        <v>0</v>
      </c>
      <c r="V84" s="33" t="n">
        <f aca="false">IF(AND(N('Hiring plan'!$F$80)&gt;0,V$3&gt;='Hiring plan'!$G$80,V$3&lt;=IF('Hiring plan'!$H$80="",999,'Hiring plan'!$H$80)),'Hiring plan'!$F$80,0)</f>
        <v>0</v>
      </c>
      <c r="W84" s="33" t="n">
        <f aca="false">IF(AND(N('Hiring plan'!$F$80)&gt;0,W$3&gt;='Hiring plan'!$G$80,W$3&lt;=IF('Hiring plan'!$H$80="",999,'Hiring plan'!$H$80)),'Hiring plan'!$F$80,0)</f>
        <v>0</v>
      </c>
      <c r="X84" s="33" t="n">
        <f aca="false">IF(AND(N('Hiring plan'!$F$80)&gt;0,X$3&gt;='Hiring plan'!$G$80,X$3&lt;=IF('Hiring plan'!$H$80="",999,'Hiring plan'!$H$80)),'Hiring plan'!$F$80,0)</f>
        <v>0</v>
      </c>
      <c r="Y84" s="33" t="n">
        <f aca="false">IF(AND(N('Hiring plan'!$F$80)&gt;0,Y$3&gt;='Hiring plan'!$G$80,Y$3&lt;=IF('Hiring plan'!$H$80="",999,'Hiring plan'!$H$80)),'Hiring plan'!$F$80,0)</f>
        <v>0</v>
      </c>
      <c r="Z84" s="33" t="n">
        <f aca="false">IF(AND(N('Hiring plan'!$F$80)&gt;0,Z$3&gt;='Hiring plan'!$G$80,Z$3&lt;=IF('Hiring plan'!$H$80="",999,'Hiring plan'!$H$80)),'Hiring plan'!$F$80,0)</f>
        <v>0</v>
      </c>
      <c r="AA84" s="33" t="n">
        <f aca="false">IF(AND(N('Hiring plan'!$F$80)&gt;0,AA$3&gt;='Hiring plan'!$G$80,AA$3&lt;=IF('Hiring plan'!$H$80="",999,'Hiring plan'!$H$80)),'Hiring plan'!$F$80,0)</f>
        <v>0</v>
      </c>
      <c r="AB84" s="33" t="n">
        <f aca="false">IF(AND(N('Hiring plan'!$F$80)&gt;0,AB$3&gt;='Hiring plan'!$G$80,AB$3&lt;=IF('Hiring plan'!$H$80="",999,'Hiring plan'!$H$80)),'Hiring plan'!$F$80,0)</f>
        <v>0</v>
      </c>
      <c r="AC84" s="33" t="n">
        <f aca="false">IF(AND(N('Hiring plan'!$F$80)&gt;0,AC$3&gt;='Hiring plan'!$G$80,AC$3&lt;=IF('Hiring plan'!$H$80="",999,'Hiring plan'!$H$80)),'Hiring plan'!$F$80,0)</f>
        <v>0</v>
      </c>
      <c r="AD84" s="33" t="n">
        <f aca="false">IF(AND(N('Hiring plan'!$F$80)&gt;0,AD$3&gt;='Hiring plan'!$G$80,AD$3&lt;=IF('Hiring plan'!$H$80="",999,'Hiring plan'!$H$80)),'Hiring plan'!$F$80,0)</f>
        <v>0</v>
      </c>
      <c r="AE84" s="33" t="n">
        <f aca="false">IF(AND(N('Hiring plan'!$F$80)&gt;0,AE$3&gt;='Hiring plan'!$G$80,AE$3&lt;=IF('Hiring plan'!$H$80="",999,'Hiring plan'!$H$80)),'Hiring plan'!$F$80,0)</f>
        <v>0</v>
      </c>
      <c r="AF84" s="33" t="n">
        <f aca="false">IF(AND(N('Hiring plan'!$F$80)&gt;0,AF$3&gt;='Hiring plan'!$G$80,AF$3&lt;=IF('Hiring plan'!$H$80="",999,'Hiring plan'!$H$80)),'Hiring plan'!$F$80,0)</f>
        <v>0</v>
      </c>
      <c r="AG84" s="33" t="n">
        <f aca="false">IF(AND(N('Hiring plan'!$F$80)&gt;0,AG$3&gt;='Hiring plan'!$G$80,AG$3&lt;=IF('Hiring plan'!$H$80="",999,'Hiring plan'!$H$80)),'Hiring plan'!$F$80,0)</f>
        <v>0</v>
      </c>
      <c r="AH84" s="33" t="n">
        <f aca="false">IF(AND(N('Hiring plan'!$F$80)&gt;0,AH$3&gt;='Hiring plan'!$G$80,AH$3&lt;=IF('Hiring plan'!$H$80="",999,'Hiring plan'!$H$80)),'Hiring plan'!$F$80,0)</f>
        <v>0</v>
      </c>
      <c r="AI84" s="33" t="n">
        <f aca="false">IF(AND(N('Hiring plan'!$F$80)&gt;0,AI$3&gt;='Hiring plan'!$G$80,AI$3&lt;=IF('Hiring plan'!$H$80="",999,'Hiring plan'!$H$80)),'Hiring plan'!$F$80,0)</f>
        <v>0</v>
      </c>
      <c r="AJ84" s="33" t="n">
        <f aca="false">IF(AND(N('Hiring plan'!$F$80)&gt;0,AJ$3&gt;='Hiring plan'!$G$80,AJ$3&lt;=IF('Hiring plan'!$H$80="",999,'Hiring plan'!$H$80)),'Hiring plan'!$F$80,0)</f>
        <v>0</v>
      </c>
      <c r="AK84" s="33" t="n">
        <f aca="false">IF(AND(N('Hiring plan'!$F$80)&gt;0,AK$3&gt;='Hiring plan'!$G$80,AK$3&lt;=IF('Hiring plan'!$H$80="",999,'Hiring plan'!$H$80)),'Hiring plan'!$F$80,0)</f>
        <v>0</v>
      </c>
      <c r="AL84" s="33" t="n">
        <f aca="false">IF(AND(N('Hiring plan'!$F$80)&gt;0,AL$3&gt;='Hiring plan'!$G$80,AL$3&lt;=IF('Hiring plan'!$H$80="",999,'Hiring plan'!$H$80)),'Hiring plan'!$F$80,0)</f>
        <v>0</v>
      </c>
      <c r="AM84" s="33" t="n">
        <f aca="false">IF(AND(N('Hiring plan'!$F$80)&gt;0,AM$3&gt;='Hiring plan'!$G$80,AM$3&lt;=IF('Hiring plan'!$H$80="",999,'Hiring plan'!$H$80)),'Hiring plan'!$F$80,0)</f>
        <v>0</v>
      </c>
      <c r="AN84" s="33" t="n">
        <f aca="false">IF(AND(N('Hiring plan'!$F$80)&gt;0,AN$3&gt;='Hiring plan'!$G$80,AN$3&lt;=IF('Hiring plan'!$H$80="",999,'Hiring plan'!$H$80)),'Hiring plan'!$F$80,0)</f>
        <v>0</v>
      </c>
      <c r="AO84" s="33" t="n">
        <f aca="false">IF(AND(N('Hiring plan'!$F$80)&gt;0,AO$3&gt;='Hiring plan'!$G$80,AO$3&lt;=IF('Hiring plan'!$H$80="",999,'Hiring plan'!$H$80)),'Hiring plan'!$F$80,0)</f>
        <v>0</v>
      </c>
      <c r="AP84" s="33" t="n">
        <f aca="false">IF(AND(N('Hiring plan'!$F$80)&gt;0,AP$3&gt;='Hiring plan'!$G$80,AP$3&lt;=IF('Hiring plan'!$H$80="",999,'Hiring plan'!$H$80)),'Hiring plan'!$F$80,0)</f>
        <v>0</v>
      </c>
      <c r="AQ84" s="33" t="n">
        <f aca="false">IF(AND(N('Hiring plan'!$F$80)&gt;0,AQ$3&gt;='Hiring plan'!$G$80,AQ$3&lt;=IF('Hiring plan'!$H$80="",999,'Hiring plan'!$H$80)),'Hiring plan'!$F$80,0)</f>
        <v>0</v>
      </c>
      <c r="AR84" s="33" t="n">
        <f aca="false">IF(AND(N('Hiring plan'!$F$80)&gt;0,AR$3&gt;='Hiring plan'!$G$80,AR$3&lt;=IF('Hiring plan'!$H$80="",999,'Hiring plan'!$H$80)),'Hiring plan'!$F$80,0)</f>
        <v>0</v>
      </c>
      <c r="AS84" s="33" t="n">
        <f aca="false">IF(AND(N('Hiring plan'!$F$80)&gt;0,AS$3&gt;='Hiring plan'!$G$80,AS$3&lt;=IF('Hiring plan'!$H$80="",999,'Hiring plan'!$H$80)),'Hiring plan'!$F$80,0)</f>
        <v>0</v>
      </c>
      <c r="AT84" s="33" t="n">
        <f aca="false">IF(AND(N('Hiring plan'!$F$80)&gt;0,AT$3&gt;='Hiring plan'!$G$80,AT$3&lt;=IF('Hiring plan'!$H$80="",999,'Hiring plan'!$H$80)),'Hiring plan'!$F$80,0)</f>
        <v>0</v>
      </c>
      <c r="AU84" s="33" t="n">
        <f aca="false">IF(AND(N('Hiring plan'!$F$80)&gt;0,AU$3&gt;='Hiring plan'!$G$80,AU$3&lt;=IF('Hiring plan'!$H$80="",999,'Hiring plan'!$H$80)),'Hiring plan'!$F$80,0)</f>
        <v>0</v>
      </c>
      <c r="AV84" s="33" t="n">
        <f aca="false">IF(AND(N('Hiring plan'!$F$80)&gt;0,AV$3&gt;='Hiring plan'!$G$80,AV$3&lt;=IF('Hiring plan'!$H$80="",999,'Hiring plan'!$H$80)),'Hiring plan'!$F$80,0)</f>
        <v>0</v>
      </c>
      <c r="AW84" s="33" t="n">
        <f aca="false">IF(AND(N('Hiring plan'!$F$80)&gt;0,AW$3&gt;='Hiring plan'!$G$80,AW$3&lt;=IF('Hiring plan'!$H$80="",999,'Hiring plan'!$H$80)),'Hiring plan'!$F$80,0)</f>
        <v>0</v>
      </c>
      <c r="AX84" s="33" t="n">
        <f aca="false">IF(AND(N('Hiring plan'!$F$80)&gt;0,AX$3&gt;='Hiring plan'!$G$80,AX$3&lt;=IF('Hiring plan'!$H$80="",999,'Hiring plan'!$H$80)),'Hiring plan'!$F$80,0)</f>
        <v>0</v>
      </c>
      <c r="AY84" s="33" t="n">
        <f aca="false">IF(AND(N('Hiring plan'!$F$80)&gt;0,AY$3&gt;='Hiring plan'!$G$80,AY$3&lt;=IF('Hiring plan'!$H$80="",999,'Hiring plan'!$H$80)),'Hiring plan'!$F$80,0)</f>
        <v>0</v>
      </c>
      <c r="AZ84" s="33" t="n">
        <f aca="false">IF(AND(N('Hiring plan'!$F$80)&gt;0,AZ$3&gt;='Hiring plan'!$G$80,AZ$3&lt;=IF('Hiring plan'!$H$80="",999,'Hiring plan'!$H$80)),'Hiring plan'!$F$80,0)</f>
        <v>0</v>
      </c>
      <c r="BA84" s="33" t="n">
        <f aca="false">IF(AND(N('Hiring plan'!$F$80)&gt;0,BA$3&gt;='Hiring plan'!$G$80,BA$3&lt;=IF('Hiring plan'!$H$80="",999,'Hiring plan'!$H$80)),'Hiring plan'!$F$80,0)</f>
        <v>0</v>
      </c>
      <c r="BB84" s="33" t="n">
        <f aca="false">IF(AND(N('Hiring plan'!$F$80)&gt;0,BB$3&gt;='Hiring plan'!$G$80,BB$3&lt;=IF('Hiring plan'!$H$80="",999,'Hiring plan'!$H$80)),'Hiring plan'!$F$80,0)</f>
        <v>0</v>
      </c>
      <c r="BC84" s="33" t="n">
        <f aca="false">IF(AND(N('Hiring plan'!$F$80)&gt;0,BC$3&gt;='Hiring plan'!$G$80,BC$3&lt;=IF('Hiring plan'!$H$80="",999,'Hiring plan'!$H$80)),'Hiring plan'!$F$80,0)</f>
        <v>0</v>
      </c>
      <c r="BD84" s="33" t="n">
        <f aca="false">IF(AND(N('Hiring plan'!$F$80)&gt;0,BD$3&gt;='Hiring plan'!$G$80,BD$3&lt;=IF('Hiring plan'!$H$80="",999,'Hiring plan'!$H$80)),'Hiring plan'!$F$80,0)</f>
        <v>0</v>
      </c>
      <c r="BE84" s="33" t="n">
        <f aca="false">IF(AND(N('Hiring plan'!$F$80)&gt;0,BE$3&gt;='Hiring plan'!$G$80,BE$3&lt;=IF('Hiring plan'!$H$80="",999,'Hiring plan'!$H$80)),'Hiring plan'!$F$80,0)</f>
        <v>0</v>
      </c>
      <c r="BF84" s="33" t="n">
        <f aca="false">IF(AND(N('Hiring plan'!$F$80)&gt;0,BF$3&gt;='Hiring plan'!$G$80,BF$3&lt;=IF('Hiring plan'!$H$80="",999,'Hiring plan'!$H$80)),'Hiring plan'!$F$80,0)</f>
        <v>0</v>
      </c>
      <c r="BG84" s="33" t="n">
        <f aca="false">IF(AND(N('Hiring plan'!$F$80)&gt;0,BG$3&gt;='Hiring plan'!$G$80,BG$3&lt;=IF('Hiring plan'!$H$80="",999,'Hiring plan'!$H$80)),'Hiring plan'!$F$80,0)</f>
        <v>0</v>
      </c>
      <c r="BH84" s="33" t="n">
        <f aca="false">IF(AND(N('Hiring plan'!$F$80)&gt;0,BH$3&gt;='Hiring plan'!$G$80,BH$3&lt;=IF('Hiring plan'!$H$80="",999,'Hiring plan'!$H$80)),'Hiring plan'!$F$80,0)</f>
        <v>0</v>
      </c>
      <c r="BI84" s="33" t="n">
        <f aca="false">IF(AND(N('Hiring plan'!$F$80)&gt;0,BI$3&gt;='Hiring plan'!$G$80,BI$3&lt;=IF('Hiring plan'!$H$80="",999,'Hiring plan'!$H$80)),'Hiring plan'!$F$80,0)</f>
        <v>0</v>
      </c>
      <c r="BJ84" s="33" t="n">
        <f aca="false">IF(AND(N('Hiring plan'!$F$80)&gt;0,BJ$3&gt;='Hiring plan'!$G$80,BJ$3&lt;=IF('Hiring plan'!$H$80="",999,'Hiring plan'!$H$80)),'Hiring plan'!$F$80,0)</f>
        <v>0</v>
      </c>
      <c r="BK84" s="33" t="n">
        <f aca="false">IF(AND(N('Hiring plan'!$F$80)&gt;0,BK$3&gt;='Hiring plan'!$G$80,BK$3&lt;=IF('Hiring plan'!$H$80="",999,'Hiring plan'!$H$80)),'Hiring plan'!$F$80,0)</f>
        <v>0</v>
      </c>
      <c r="BL84" s="33" t="n">
        <f aca="false">IF(AND(N('Hiring plan'!$F$80)&gt;0,BL$3&gt;='Hiring plan'!$G$80,BL$3&lt;=IF('Hiring plan'!$H$80="",999,'Hiring plan'!$H$80)),'Hiring plan'!$F$80,0)</f>
        <v>0</v>
      </c>
    </row>
    <row r="85" customFormat="false" ht="15" hidden="false" customHeight="false" outlineLevel="0" collapsed="false">
      <c r="A85" s="12" t="str">
        <f aca="false">IF('Hiring plan'!$C$81="","(spare line 77)",'Hiring plan'!$C$81&amp;" · "&amp;'Hiring plan'!$D$81)</f>
        <v>(spare line 77)</v>
      </c>
      <c r="B85" s="14" t="s">
        <v>222</v>
      </c>
      <c r="D85" s="41" t="n">
        <f aca="false">MAX(E85:BL85)</f>
        <v>0</v>
      </c>
      <c r="E85" s="33" t="n">
        <f aca="false">IF(AND(N('Hiring plan'!$F$81)&gt;0,E$3&gt;='Hiring plan'!$G$81,E$3&lt;=IF('Hiring plan'!$H$81="",999,'Hiring plan'!$H$81)),'Hiring plan'!$F$81,0)</f>
        <v>0</v>
      </c>
      <c r="F85" s="33" t="n">
        <f aca="false">IF(AND(N('Hiring plan'!$F$81)&gt;0,F$3&gt;='Hiring plan'!$G$81,F$3&lt;=IF('Hiring plan'!$H$81="",999,'Hiring plan'!$H$81)),'Hiring plan'!$F$81,0)</f>
        <v>0</v>
      </c>
      <c r="G85" s="33" t="n">
        <f aca="false">IF(AND(N('Hiring plan'!$F$81)&gt;0,G$3&gt;='Hiring plan'!$G$81,G$3&lt;=IF('Hiring plan'!$H$81="",999,'Hiring plan'!$H$81)),'Hiring plan'!$F$81,0)</f>
        <v>0</v>
      </c>
      <c r="H85" s="33" t="n">
        <f aca="false">IF(AND(N('Hiring plan'!$F$81)&gt;0,H$3&gt;='Hiring plan'!$G$81,H$3&lt;=IF('Hiring plan'!$H$81="",999,'Hiring plan'!$H$81)),'Hiring plan'!$F$81,0)</f>
        <v>0</v>
      </c>
      <c r="I85" s="33" t="n">
        <f aca="false">IF(AND(N('Hiring plan'!$F$81)&gt;0,I$3&gt;='Hiring plan'!$G$81,I$3&lt;=IF('Hiring plan'!$H$81="",999,'Hiring plan'!$H$81)),'Hiring plan'!$F$81,0)</f>
        <v>0</v>
      </c>
      <c r="J85" s="33" t="n">
        <f aca="false">IF(AND(N('Hiring plan'!$F$81)&gt;0,J$3&gt;='Hiring plan'!$G$81,J$3&lt;=IF('Hiring plan'!$H$81="",999,'Hiring plan'!$H$81)),'Hiring plan'!$F$81,0)</f>
        <v>0</v>
      </c>
      <c r="K85" s="33" t="n">
        <f aca="false">IF(AND(N('Hiring plan'!$F$81)&gt;0,K$3&gt;='Hiring plan'!$G$81,K$3&lt;=IF('Hiring plan'!$H$81="",999,'Hiring plan'!$H$81)),'Hiring plan'!$F$81,0)</f>
        <v>0</v>
      </c>
      <c r="L85" s="33" t="n">
        <f aca="false">IF(AND(N('Hiring plan'!$F$81)&gt;0,L$3&gt;='Hiring plan'!$G$81,L$3&lt;=IF('Hiring plan'!$H$81="",999,'Hiring plan'!$H$81)),'Hiring plan'!$F$81,0)</f>
        <v>0</v>
      </c>
      <c r="M85" s="33" t="n">
        <f aca="false">IF(AND(N('Hiring plan'!$F$81)&gt;0,M$3&gt;='Hiring plan'!$G$81,M$3&lt;=IF('Hiring plan'!$H$81="",999,'Hiring plan'!$H$81)),'Hiring plan'!$F$81,0)</f>
        <v>0</v>
      </c>
      <c r="N85" s="33" t="n">
        <f aca="false">IF(AND(N('Hiring plan'!$F$81)&gt;0,N$3&gt;='Hiring plan'!$G$81,N$3&lt;=IF('Hiring plan'!$H$81="",999,'Hiring plan'!$H$81)),'Hiring plan'!$F$81,0)</f>
        <v>0</v>
      </c>
      <c r="O85" s="33" t="n">
        <f aca="false">IF(AND(N('Hiring plan'!$F$81)&gt;0,O$3&gt;='Hiring plan'!$G$81,O$3&lt;=IF('Hiring plan'!$H$81="",999,'Hiring plan'!$H$81)),'Hiring plan'!$F$81,0)</f>
        <v>0</v>
      </c>
      <c r="P85" s="33" t="n">
        <f aca="false">IF(AND(N('Hiring plan'!$F$81)&gt;0,P$3&gt;='Hiring plan'!$G$81,P$3&lt;=IF('Hiring plan'!$H$81="",999,'Hiring plan'!$H$81)),'Hiring plan'!$F$81,0)</f>
        <v>0</v>
      </c>
      <c r="Q85" s="33" t="n">
        <f aca="false">IF(AND(N('Hiring plan'!$F$81)&gt;0,Q$3&gt;='Hiring plan'!$G$81,Q$3&lt;=IF('Hiring plan'!$H$81="",999,'Hiring plan'!$H$81)),'Hiring plan'!$F$81,0)</f>
        <v>0</v>
      </c>
      <c r="R85" s="33" t="n">
        <f aca="false">IF(AND(N('Hiring plan'!$F$81)&gt;0,R$3&gt;='Hiring plan'!$G$81,R$3&lt;=IF('Hiring plan'!$H$81="",999,'Hiring plan'!$H$81)),'Hiring plan'!$F$81,0)</f>
        <v>0</v>
      </c>
      <c r="S85" s="33" t="n">
        <f aca="false">IF(AND(N('Hiring plan'!$F$81)&gt;0,S$3&gt;='Hiring plan'!$G$81,S$3&lt;=IF('Hiring plan'!$H$81="",999,'Hiring plan'!$H$81)),'Hiring plan'!$F$81,0)</f>
        <v>0</v>
      </c>
      <c r="T85" s="33" t="n">
        <f aca="false">IF(AND(N('Hiring plan'!$F$81)&gt;0,T$3&gt;='Hiring plan'!$G$81,T$3&lt;=IF('Hiring plan'!$H$81="",999,'Hiring plan'!$H$81)),'Hiring plan'!$F$81,0)</f>
        <v>0</v>
      </c>
      <c r="U85" s="33" t="n">
        <f aca="false">IF(AND(N('Hiring plan'!$F$81)&gt;0,U$3&gt;='Hiring plan'!$G$81,U$3&lt;=IF('Hiring plan'!$H$81="",999,'Hiring plan'!$H$81)),'Hiring plan'!$F$81,0)</f>
        <v>0</v>
      </c>
      <c r="V85" s="33" t="n">
        <f aca="false">IF(AND(N('Hiring plan'!$F$81)&gt;0,V$3&gt;='Hiring plan'!$G$81,V$3&lt;=IF('Hiring plan'!$H$81="",999,'Hiring plan'!$H$81)),'Hiring plan'!$F$81,0)</f>
        <v>0</v>
      </c>
      <c r="W85" s="33" t="n">
        <f aca="false">IF(AND(N('Hiring plan'!$F$81)&gt;0,W$3&gt;='Hiring plan'!$G$81,W$3&lt;=IF('Hiring plan'!$H$81="",999,'Hiring plan'!$H$81)),'Hiring plan'!$F$81,0)</f>
        <v>0</v>
      </c>
      <c r="X85" s="33" t="n">
        <f aca="false">IF(AND(N('Hiring plan'!$F$81)&gt;0,X$3&gt;='Hiring plan'!$G$81,X$3&lt;=IF('Hiring plan'!$H$81="",999,'Hiring plan'!$H$81)),'Hiring plan'!$F$81,0)</f>
        <v>0</v>
      </c>
      <c r="Y85" s="33" t="n">
        <f aca="false">IF(AND(N('Hiring plan'!$F$81)&gt;0,Y$3&gt;='Hiring plan'!$G$81,Y$3&lt;=IF('Hiring plan'!$H$81="",999,'Hiring plan'!$H$81)),'Hiring plan'!$F$81,0)</f>
        <v>0</v>
      </c>
      <c r="Z85" s="33" t="n">
        <f aca="false">IF(AND(N('Hiring plan'!$F$81)&gt;0,Z$3&gt;='Hiring plan'!$G$81,Z$3&lt;=IF('Hiring plan'!$H$81="",999,'Hiring plan'!$H$81)),'Hiring plan'!$F$81,0)</f>
        <v>0</v>
      </c>
      <c r="AA85" s="33" t="n">
        <f aca="false">IF(AND(N('Hiring plan'!$F$81)&gt;0,AA$3&gt;='Hiring plan'!$G$81,AA$3&lt;=IF('Hiring plan'!$H$81="",999,'Hiring plan'!$H$81)),'Hiring plan'!$F$81,0)</f>
        <v>0</v>
      </c>
      <c r="AB85" s="33" t="n">
        <f aca="false">IF(AND(N('Hiring plan'!$F$81)&gt;0,AB$3&gt;='Hiring plan'!$G$81,AB$3&lt;=IF('Hiring plan'!$H$81="",999,'Hiring plan'!$H$81)),'Hiring plan'!$F$81,0)</f>
        <v>0</v>
      </c>
      <c r="AC85" s="33" t="n">
        <f aca="false">IF(AND(N('Hiring plan'!$F$81)&gt;0,AC$3&gt;='Hiring plan'!$G$81,AC$3&lt;=IF('Hiring plan'!$H$81="",999,'Hiring plan'!$H$81)),'Hiring plan'!$F$81,0)</f>
        <v>0</v>
      </c>
      <c r="AD85" s="33" t="n">
        <f aca="false">IF(AND(N('Hiring plan'!$F$81)&gt;0,AD$3&gt;='Hiring plan'!$G$81,AD$3&lt;=IF('Hiring plan'!$H$81="",999,'Hiring plan'!$H$81)),'Hiring plan'!$F$81,0)</f>
        <v>0</v>
      </c>
      <c r="AE85" s="33" t="n">
        <f aca="false">IF(AND(N('Hiring plan'!$F$81)&gt;0,AE$3&gt;='Hiring plan'!$G$81,AE$3&lt;=IF('Hiring plan'!$H$81="",999,'Hiring plan'!$H$81)),'Hiring plan'!$F$81,0)</f>
        <v>0</v>
      </c>
      <c r="AF85" s="33" t="n">
        <f aca="false">IF(AND(N('Hiring plan'!$F$81)&gt;0,AF$3&gt;='Hiring plan'!$G$81,AF$3&lt;=IF('Hiring plan'!$H$81="",999,'Hiring plan'!$H$81)),'Hiring plan'!$F$81,0)</f>
        <v>0</v>
      </c>
      <c r="AG85" s="33" t="n">
        <f aca="false">IF(AND(N('Hiring plan'!$F$81)&gt;0,AG$3&gt;='Hiring plan'!$G$81,AG$3&lt;=IF('Hiring plan'!$H$81="",999,'Hiring plan'!$H$81)),'Hiring plan'!$F$81,0)</f>
        <v>0</v>
      </c>
      <c r="AH85" s="33" t="n">
        <f aca="false">IF(AND(N('Hiring plan'!$F$81)&gt;0,AH$3&gt;='Hiring plan'!$G$81,AH$3&lt;=IF('Hiring plan'!$H$81="",999,'Hiring plan'!$H$81)),'Hiring plan'!$F$81,0)</f>
        <v>0</v>
      </c>
      <c r="AI85" s="33" t="n">
        <f aca="false">IF(AND(N('Hiring plan'!$F$81)&gt;0,AI$3&gt;='Hiring plan'!$G$81,AI$3&lt;=IF('Hiring plan'!$H$81="",999,'Hiring plan'!$H$81)),'Hiring plan'!$F$81,0)</f>
        <v>0</v>
      </c>
      <c r="AJ85" s="33" t="n">
        <f aca="false">IF(AND(N('Hiring plan'!$F$81)&gt;0,AJ$3&gt;='Hiring plan'!$G$81,AJ$3&lt;=IF('Hiring plan'!$H$81="",999,'Hiring plan'!$H$81)),'Hiring plan'!$F$81,0)</f>
        <v>0</v>
      </c>
      <c r="AK85" s="33" t="n">
        <f aca="false">IF(AND(N('Hiring plan'!$F$81)&gt;0,AK$3&gt;='Hiring plan'!$G$81,AK$3&lt;=IF('Hiring plan'!$H$81="",999,'Hiring plan'!$H$81)),'Hiring plan'!$F$81,0)</f>
        <v>0</v>
      </c>
      <c r="AL85" s="33" t="n">
        <f aca="false">IF(AND(N('Hiring plan'!$F$81)&gt;0,AL$3&gt;='Hiring plan'!$G$81,AL$3&lt;=IF('Hiring plan'!$H$81="",999,'Hiring plan'!$H$81)),'Hiring plan'!$F$81,0)</f>
        <v>0</v>
      </c>
      <c r="AM85" s="33" t="n">
        <f aca="false">IF(AND(N('Hiring plan'!$F$81)&gt;0,AM$3&gt;='Hiring plan'!$G$81,AM$3&lt;=IF('Hiring plan'!$H$81="",999,'Hiring plan'!$H$81)),'Hiring plan'!$F$81,0)</f>
        <v>0</v>
      </c>
      <c r="AN85" s="33" t="n">
        <f aca="false">IF(AND(N('Hiring plan'!$F$81)&gt;0,AN$3&gt;='Hiring plan'!$G$81,AN$3&lt;=IF('Hiring plan'!$H$81="",999,'Hiring plan'!$H$81)),'Hiring plan'!$F$81,0)</f>
        <v>0</v>
      </c>
      <c r="AO85" s="33" t="n">
        <f aca="false">IF(AND(N('Hiring plan'!$F$81)&gt;0,AO$3&gt;='Hiring plan'!$G$81,AO$3&lt;=IF('Hiring plan'!$H$81="",999,'Hiring plan'!$H$81)),'Hiring plan'!$F$81,0)</f>
        <v>0</v>
      </c>
      <c r="AP85" s="33" t="n">
        <f aca="false">IF(AND(N('Hiring plan'!$F$81)&gt;0,AP$3&gt;='Hiring plan'!$G$81,AP$3&lt;=IF('Hiring plan'!$H$81="",999,'Hiring plan'!$H$81)),'Hiring plan'!$F$81,0)</f>
        <v>0</v>
      </c>
      <c r="AQ85" s="33" t="n">
        <f aca="false">IF(AND(N('Hiring plan'!$F$81)&gt;0,AQ$3&gt;='Hiring plan'!$G$81,AQ$3&lt;=IF('Hiring plan'!$H$81="",999,'Hiring plan'!$H$81)),'Hiring plan'!$F$81,0)</f>
        <v>0</v>
      </c>
      <c r="AR85" s="33" t="n">
        <f aca="false">IF(AND(N('Hiring plan'!$F$81)&gt;0,AR$3&gt;='Hiring plan'!$G$81,AR$3&lt;=IF('Hiring plan'!$H$81="",999,'Hiring plan'!$H$81)),'Hiring plan'!$F$81,0)</f>
        <v>0</v>
      </c>
      <c r="AS85" s="33" t="n">
        <f aca="false">IF(AND(N('Hiring plan'!$F$81)&gt;0,AS$3&gt;='Hiring plan'!$G$81,AS$3&lt;=IF('Hiring plan'!$H$81="",999,'Hiring plan'!$H$81)),'Hiring plan'!$F$81,0)</f>
        <v>0</v>
      </c>
      <c r="AT85" s="33" t="n">
        <f aca="false">IF(AND(N('Hiring plan'!$F$81)&gt;0,AT$3&gt;='Hiring plan'!$G$81,AT$3&lt;=IF('Hiring plan'!$H$81="",999,'Hiring plan'!$H$81)),'Hiring plan'!$F$81,0)</f>
        <v>0</v>
      </c>
      <c r="AU85" s="33" t="n">
        <f aca="false">IF(AND(N('Hiring plan'!$F$81)&gt;0,AU$3&gt;='Hiring plan'!$G$81,AU$3&lt;=IF('Hiring plan'!$H$81="",999,'Hiring plan'!$H$81)),'Hiring plan'!$F$81,0)</f>
        <v>0</v>
      </c>
      <c r="AV85" s="33" t="n">
        <f aca="false">IF(AND(N('Hiring plan'!$F$81)&gt;0,AV$3&gt;='Hiring plan'!$G$81,AV$3&lt;=IF('Hiring plan'!$H$81="",999,'Hiring plan'!$H$81)),'Hiring plan'!$F$81,0)</f>
        <v>0</v>
      </c>
      <c r="AW85" s="33" t="n">
        <f aca="false">IF(AND(N('Hiring plan'!$F$81)&gt;0,AW$3&gt;='Hiring plan'!$G$81,AW$3&lt;=IF('Hiring plan'!$H$81="",999,'Hiring plan'!$H$81)),'Hiring plan'!$F$81,0)</f>
        <v>0</v>
      </c>
      <c r="AX85" s="33" t="n">
        <f aca="false">IF(AND(N('Hiring plan'!$F$81)&gt;0,AX$3&gt;='Hiring plan'!$G$81,AX$3&lt;=IF('Hiring plan'!$H$81="",999,'Hiring plan'!$H$81)),'Hiring plan'!$F$81,0)</f>
        <v>0</v>
      </c>
      <c r="AY85" s="33" t="n">
        <f aca="false">IF(AND(N('Hiring plan'!$F$81)&gt;0,AY$3&gt;='Hiring plan'!$G$81,AY$3&lt;=IF('Hiring plan'!$H$81="",999,'Hiring plan'!$H$81)),'Hiring plan'!$F$81,0)</f>
        <v>0</v>
      </c>
      <c r="AZ85" s="33" t="n">
        <f aca="false">IF(AND(N('Hiring plan'!$F$81)&gt;0,AZ$3&gt;='Hiring plan'!$G$81,AZ$3&lt;=IF('Hiring plan'!$H$81="",999,'Hiring plan'!$H$81)),'Hiring plan'!$F$81,0)</f>
        <v>0</v>
      </c>
      <c r="BA85" s="33" t="n">
        <f aca="false">IF(AND(N('Hiring plan'!$F$81)&gt;0,BA$3&gt;='Hiring plan'!$G$81,BA$3&lt;=IF('Hiring plan'!$H$81="",999,'Hiring plan'!$H$81)),'Hiring plan'!$F$81,0)</f>
        <v>0</v>
      </c>
      <c r="BB85" s="33" t="n">
        <f aca="false">IF(AND(N('Hiring plan'!$F$81)&gt;0,BB$3&gt;='Hiring plan'!$G$81,BB$3&lt;=IF('Hiring plan'!$H$81="",999,'Hiring plan'!$H$81)),'Hiring plan'!$F$81,0)</f>
        <v>0</v>
      </c>
      <c r="BC85" s="33" t="n">
        <f aca="false">IF(AND(N('Hiring plan'!$F$81)&gt;0,BC$3&gt;='Hiring plan'!$G$81,BC$3&lt;=IF('Hiring plan'!$H$81="",999,'Hiring plan'!$H$81)),'Hiring plan'!$F$81,0)</f>
        <v>0</v>
      </c>
      <c r="BD85" s="33" t="n">
        <f aca="false">IF(AND(N('Hiring plan'!$F$81)&gt;0,BD$3&gt;='Hiring plan'!$G$81,BD$3&lt;=IF('Hiring plan'!$H$81="",999,'Hiring plan'!$H$81)),'Hiring plan'!$F$81,0)</f>
        <v>0</v>
      </c>
      <c r="BE85" s="33" t="n">
        <f aca="false">IF(AND(N('Hiring plan'!$F$81)&gt;0,BE$3&gt;='Hiring plan'!$G$81,BE$3&lt;=IF('Hiring plan'!$H$81="",999,'Hiring plan'!$H$81)),'Hiring plan'!$F$81,0)</f>
        <v>0</v>
      </c>
      <c r="BF85" s="33" t="n">
        <f aca="false">IF(AND(N('Hiring plan'!$F$81)&gt;0,BF$3&gt;='Hiring plan'!$G$81,BF$3&lt;=IF('Hiring plan'!$H$81="",999,'Hiring plan'!$H$81)),'Hiring plan'!$F$81,0)</f>
        <v>0</v>
      </c>
      <c r="BG85" s="33" t="n">
        <f aca="false">IF(AND(N('Hiring plan'!$F$81)&gt;0,BG$3&gt;='Hiring plan'!$G$81,BG$3&lt;=IF('Hiring plan'!$H$81="",999,'Hiring plan'!$H$81)),'Hiring plan'!$F$81,0)</f>
        <v>0</v>
      </c>
      <c r="BH85" s="33" t="n">
        <f aca="false">IF(AND(N('Hiring plan'!$F$81)&gt;0,BH$3&gt;='Hiring plan'!$G$81,BH$3&lt;=IF('Hiring plan'!$H$81="",999,'Hiring plan'!$H$81)),'Hiring plan'!$F$81,0)</f>
        <v>0</v>
      </c>
      <c r="BI85" s="33" t="n">
        <f aca="false">IF(AND(N('Hiring plan'!$F$81)&gt;0,BI$3&gt;='Hiring plan'!$G$81,BI$3&lt;=IF('Hiring plan'!$H$81="",999,'Hiring plan'!$H$81)),'Hiring plan'!$F$81,0)</f>
        <v>0</v>
      </c>
      <c r="BJ85" s="33" t="n">
        <f aca="false">IF(AND(N('Hiring plan'!$F$81)&gt;0,BJ$3&gt;='Hiring plan'!$G$81,BJ$3&lt;=IF('Hiring plan'!$H$81="",999,'Hiring plan'!$H$81)),'Hiring plan'!$F$81,0)</f>
        <v>0</v>
      </c>
      <c r="BK85" s="33" t="n">
        <f aca="false">IF(AND(N('Hiring plan'!$F$81)&gt;0,BK$3&gt;='Hiring plan'!$G$81,BK$3&lt;=IF('Hiring plan'!$H$81="",999,'Hiring plan'!$H$81)),'Hiring plan'!$F$81,0)</f>
        <v>0</v>
      </c>
      <c r="BL85" s="33" t="n">
        <f aca="false">IF(AND(N('Hiring plan'!$F$81)&gt;0,BL$3&gt;='Hiring plan'!$G$81,BL$3&lt;=IF('Hiring plan'!$H$81="",999,'Hiring plan'!$H$81)),'Hiring plan'!$F$81,0)</f>
        <v>0</v>
      </c>
    </row>
    <row r="86" customFormat="false" ht="15" hidden="false" customHeight="false" outlineLevel="0" collapsed="false">
      <c r="A86" s="12" t="str">
        <f aca="false">IF('Hiring plan'!$C$82="","(spare line 78)",'Hiring plan'!$C$82&amp;" · "&amp;'Hiring plan'!$D$82)</f>
        <v>(spare line 78)</v>
      </c>
      <c r="B86" s="14" t="s">
        <v>222</v>
      </c>
      <c r="D86" s="41" t="n">
        <f aca="false">MAX(E86:BL86)</f>
        <v>0</v>
      </c>
      <c r="E86" s="33" t="n">
        <f aca="false">IF(AND(N('Hiring plan'!$F$82)&gt;0,E$3&gt;='Hiring plan'!$G$82,E$3&lt;=IF('Hiring plan'!$H$82="",999,'Hiring plan'!$H$82)),'Hiring plan'!$F$82,0)</f>
        <v>0</v>
      </c>
      <c r="F86" s="33" t="n">
        <f aca="false">IF(AND(N('Hiring plan'!$F$82)&gt;0,F$3&gt;='Hiring plan'!$G$82,F$3&lt;=IF('Hiring plan'!$H$82="",999,'Hiring plan'!$H$82)),'Hiring plan'!$F$82,0)</f>
        <v>0</v>
      </c>
      <c r="G86" s="33" t="n">
        <f aca="false">IF(AND(N('Hiring plan'!$F$82)&gt;0,G$3&gt;='Hiring plan'!$G$82,G$3&lt;=IF('Hiring plan'!$H$82="",999,'Hiring plan'!$H$82)),'Hiring plan'!$F$82,0)</f>
        <v>0</v>
      </c>
      <c r="H86" s="33" t="n">
        <f aca="false">IF(AND(N('Hiring plan'!$F$82)&gt;0,H$3&gt;='Hiring plan'!$G$82,H$3&lt;=IF('Hiring plan'!$H$82="",999,'Hiring plan'!$H$82)),'Hiring plan'!$F$82,0)</f>
        <v>0</v>
      </c>
      <c r="I86" s="33" t="n">
        <f aca="false">IF(AND(N('Hiring plan'!$F$82)&gt;0,I$3&gt;='Hiring plan'!$G$82,I$3&lt;=IF('Hiring plan'!$H$82="",999,'Hiring plan'!$H$82)),'Hiring plan'!$F$82,0)</f>
        <v>0</v>
      </c>
      <c r="J86" s="33" t="n">
        <f aca="false">IF(AND(N('Hiring plan'!$F$82)&gt;0,J$3&gt;='Hiring plan'!$G$82,J$3&lt;=IF('Hiring plan'!$H$82="",999,'Hiring plan'!$H$82)),'Hiring plan'!$F$82,0)</f>
        <v>0</v>
      </c>
      <c r="K86" s="33" t="n">
        <f aca="false">IF(AND(N('Hiring plan'!$F$82)&gt;0,K$3&gt;='Hiring plan'!$G$82,K$3&lt;=IF('Hiring plan'!$H$82="",999,'Hiring plan'!$H$82)),'Hiring plan'!$F$82,0)</f>
        <v>0</v>
      </c>
      <c r="L86" s="33" t="n">
        <f aca="false">IF(AND(N('Hiring plan'!$F$82)&gt;0,L$3&gt;='Hiring plan'!$G$82,L$3&lt;=IF('Hiring plan'!$H$82="",999,'Hiring plan'!$H$82)),'Hiring plan'!$F$82,0)</f>
        <v>0</v>
      </c>
      <c r="M86" s="33" t="n">
        <f aca="false">IF(AND(N('Hiring plan'!$F$82)&gt;0,M$3&gt;='Hiring plan'!$G$82,M$3&lt;=IF('Hiring plan'!$H$82="",999,'Hiring plan'!$H$82)),'Hiring plan'!$F$82,0)</f>
        <v>0</v>
      </c>
      <c r="N86" s="33" t="n">
        <f aca="false">IF(AND(N('Hiring plan'!$F$82)&gt;0,N$3&gt;='Hiring plan'!$G$82,N$3&lt;=IF('Hiring plan'!$H$82="",999,'Hiring plan'!$H$82)),'Hiring plan'!$F$82,0)</f>
        <v>0</v>
      </c>
      <c r="O86" s="33" t="n">
        <f aca="false">IF(AND(N('Hiring plan'!$F$82)&gt;0,O$3&gt;='Hiring plan'!$G$82,O$3&lt;=IF('Hiring plan'!$H$82="",999,'Hiring plan'!$H$82)),'Hiring plan'!$F$82,0)</f>
        <v>0</v>
      </c>
      <c r="P86" s="33" t="n">
        <f aca="false">IF(AND(N('Hiring plan'!$F$82)&gt;0,P$3&gt;='Hiring plan'!$G$82,P$3&lt;=IF('Hiring plan'!$H$82="",999,'Hiring plan'!$H$82)),'Hiring plan'!$F$82,0)</f>
        <v>0</v>
      </c>
      <c r="Q86" s="33" t="n">
        <f aca="false">IF(AND(N('Hiring plan'!$F$82)&gt;0,Q$3&gt;='Hiring plan'!$G$82,Q$3&lt;=IF('Hiring plan'!$H$82="",999,'Hiring plan'!$H$82)),'Hiring plan'!$F$82,0)</f>
        <v>0</v>
      </c>
      <c r="R86" s="33" t="n">
        <f aca="false">IF(AND(N('Hiring plan'!$F$82)&gt;0,R$3&gt;='Hiring plan'!$G$82,R$3&lt;=IF('Hiring plan'!$H$82="",999,'Hiring plan'!$H$82)),'Hiring plan'!$F$82,0)</f>
        <v>0</v>
      </c>
      <c r="S86" s="33" t="n">
        <f aca="false">IF(AND(N('Hiring plan'!$F$82)&gt;0,S$3&gt;='Hiring plan'!$G$82,S$3&lt;=IF('Hiring plan'!$H$82="",999,'Hiring plan'!$H$82)),'Hiring plan'!$F$82,0)</f>
        <v>0</v>
      </c>
      <c r="T86" s="33" t="n">
        <f aca="false">IF(AND(N('Hiring plan'!$F$82)&gt;0,T$3&gt;='Hiring plan'!$G$82,T$3&lt;=IF('Hiring plan'!$H$82="",999,'Hiring plan'!$H$82)),'Hiring plan'!$F$82,0)</f>
        <v>0</v>
      </c>
      <c r="U86" s="33" t="n">
        <f aca="false">IF(AND(N('Hiring plan'!$F$82)&gt;0,U$3&gt;='Hiring plan'!$G$82,U$3&lt;=IF('Hiring plan'!$H$82="",999,'Hiring plan'!$H$82)),'Hiring plan'!$F$82,0)</f>
        <v>0</v>
      </c>
      <c r="V86" s="33" t="n">
        <f aca="false">IF(AND(N('Hiring plan'!$F$82)&gt;0,V$3&gt;='Hiring plan'!$G$82,V$3&lt;=IF('Hiring plan'!$H$82="",999,'Hiring plan'!$H$82)),'Hiring plan'!$F$82,0)</f>
        <v>0</v>
      </c>
      <c r="W86" s="33" t="n">
        <f aca="false">IF(AND(N('Hiring plan'!$F$82)&gt;0,W$3&gt;='Hiring plan'!$G$82,W$3&lt;=IF('Hiring plan'!$H$82="",999,'Hiring plan'!$H$82)),'Hiring plan'!$F$82,0)</f>
        <v>0</v>
      </c>
      <c r="X86" s="33" t="n">
        <f aca="false">IF(AND(N('Hiring plan'!$F$82)&gt;0,X$3&gt;='Hiring plan'!$G$82,X$3&lt;=IF('Hiring plan'!$H$82="",999,'Hiring plan'!$H$82)),'Hiring plan'!$F$82,0)</f>
        <v>0</v>
      </c>
      <c r="Y86" s="33" t="n">
        <f aca="false">IF(AND(N('Hiring plan'!$F$82)&gt;0,Y$3&gt;='Hiring plan'!$G$82,Y$3&lt;=IF('Hiring plan'!$H$82="",999,'Hiring plan'!$H$82)),'Hiring plan'!$F$82,0)</f>
        <v>0</v>
      </c>
      <c r="Z86" s="33" t="n">
        <f aca="false">IF(AND(N('Hiring plan'!$F$82)&gt;0,Z$3&gt;='Hiring plan'!$G$82,Z$3&lt;=IF('Hiring plan'!$H$82="",999,'Hiring plan'!$H$82)),'Hiring plan'!$F$82,0)</f>
        <v>0</v>
      </c>
      <c r="AA86" s="33" t="n">
        <f aca="false">IF(AND(N('Hiring plan'!$F$82)&gt;0,AA$3&gt;='Hiring plan'!$G$82,AA$3&lt;=IF('Hiring plan'!$H$82="",999,'Hiring plan'!$H$82)),'Hiring plan'!$F$82,0)</f>
        <v>0</v>
      </c>
      <c r="AB86" s="33" t="n">
        <f aca="false">IF(AND(N('Hiring plan'!$F$82)&gt;0,AB$3&gt;='Hiring plan'!$G$82,AB$3&lt;=IF('Hiring plan'!$H$82="",999,'Hiring plan'!$H$82)),'Hiring plan'!$F$82,0)</f>
        <v>0</v>
      </c>
      <c r="AC86" s="33" t="n">
        <f aca="false">IF(AND(N('Hiring plan'!$F$82)&gt;0,AC$3&gt;='Hiring plan'!$G$82,AC$3&lt;=IF('Hiring plan'!$H$82="",999,'Hiring plan'!$H$82)),'Hiring plan'!$F$82,0)</f>
        <v>0</v>
      </c>
      <c r="AD86" s="33" t="n">
        <f aca="false">IF(AND(N('Hiring plan'!$F$82)&gt;0,AD$3&gt;='Hiring plan'!$G$82,AD$3&lt;=IF('Hiring plan'!$H$82="",999,'Hiring plan'!$H$82)),'Hiring plan'!$F$82,0)</f>
        <v>0</v>
      </c>
      <c r="AE86" s="33" t="n">
        <f aca="false">IF(AND(N('Hiring plan'!$F$82)&gt;0,AE$3&gt;='Hiring plan'!$G$82,AE$3&lt;=IF('Hiring plan'!$H$82="",999,'Hiring plan'!$H$82)),'Hiring plan'!$F$82,0)</f>
        <v>0</v>
      </c>
      <c r="AF86" s="33" t="n">
        <f aca="false">IF(AND(N('Hiring plan'!$F$82)&gt;0,AF$3&gt;='Hiring plan'!$G$82,AF$3&lt;=IF('Hiring plan'!$H$82="",999,'Hiring plan'!$H$82)),'Hiring plan'!$F$82,0)</f>
        <v>0</v>
      </c>
      <c r="AG86" s="33" t="n">
        <f aca="false">IF(AND(N('Hiring plan'!$F$82)&gt;0,AG$3&gt;='Hiring plan'!$G$82,AG$3&lt;=IF('Hiring plan'!$H$82="",999,'Hiring plan'!$H$82)),'Hiring plan'!$F$82,0)</f>
        <v>0</v>
      </c>
      <c r="AH86" s="33" t="n">
        <f aca="false">IF(AND(N('Hiring plan'!$F$82)&gt;0,AH$3&gt;='Hiring plan'!$G$82,AH$3&lt;=IF('Hiring plan'!$H$82="",999,'Hiring plan'!$H$82)),'Hiring plan'!$F$82,0)</f>
        <v>0</v>
      </c>
      <c r="AI86" s="33" t="n">
        <f aca="false">IF(AND(N('Hiring plan'!$F$82)&gt;0,AI$3&gt;='Hiring plan'!$G$82,AI$3&lt;=IF('Hiring plan'!$H$82="",999,'Hiring plan'!$H$82)),'Hiring plan'!$F$82,0)</f>
        <v>0</v>
      </c>
      <c r="AJ86" s="33" t="n">
        <f aca="false">IF(AND(N('Hiring plan'!$F$82)&gt;0,AJ$3&gt;='Hiring plan'!$G$82,AJ$3&lt;=IF('Hiring plan'!$H$82="",999,'Hiring plan'!$H$82)),'Hiring plan'!$F$82,0)</f>
        <v>0</v>
      </c>
      <c r="AK86" s="33" t="n">
        <f aca="false">IF(AND(N('Hiring plan'!$F$82)&gt;0,AK$3&gt;='Hiring plan'!$G$82,AK$3&lt;=IF('Hiring plan'!$H$82="",999,'Hiring plan'!$H$82)),'Hiring plan'!$F$82,0)</f>
        <v>0</v>
      </c>
      <c r="AL86" s="33" t="n">
        <f aca="false">IF(AND(N('Hiring plan'!$F$82)&gt;0,AL$3&gt;='Hiring plan'!$G$82,AL$3&lt;=IF('Hiring plan'!$H$82="",999,'Hiring plan'!$H$82)),'Hiring plan'!$F$82,0)</f>
        <v>0</v>
      </c>
      <c r="AM86" s="33" t="n">
        <f aca="false">IF(AND(N('Hiring plan'!$F$82)&gt;0,AM$3&gt;='Hiring plan'!$G$82,AM$3&lt;=IF('Hiring plan'!$H$82="",999,'Hiring plan'!$H$82)),'Hiring plan'!$F$82,0)</f>
        <v>0</v>
      </c>
      <c r="AN86" s="33" t="n">
        <f aca="false">IF(AND(N('Hiring plan'!$F$82)&gt;0,AN$3&gt;='Hiring plan'!$G$82,AN$3&lt;=IF('Hiring plan'!$H$82="",999,'Hiring plan'!$H$82)),'Hiring plan'!$F$82,0)</f>
        <v>0</v>
      </c>
      <c r="AO86" s="33" t="n">
        <f aca="false">IF(AND(N('Hiring plan'!$F$82)&gt;0,AO$3&gt;='Hiring plan'!$G$82,AO$3&lt;=IF('Hiring plan'!$H$82="",999,'Hiring plan'!$H$82)),'Hiring plan'!$F$82,0)</f>
        <v>0</v>
      </c>
      <c r="AP86" s="33" t="n">
        <f aca="false">IF(AND(N('Hiring plan'!$F$82)&gt;0,AP$3&gt;='Hiring plan'!$G$82,AP$3&lt;=IF('Hiring plan'!$H$82="",999,'Hiring plan'!$H$82)),'Hiring plan'!$F$82,0)</f>
        <v>0</v>
      </c>
      <c r="AQ86" s="33" t="n">
        <f aca="false">IF(AND(N('Hiring plan'!$F$82)&gt;0,AQ$3&gt;='Hiring plan'!$G$82,AQ$3&lt;=IF('Hiring plan'!$H$82="",999,'Hiring plan'!$H$82)),'Hiring plan'!$F$82,0)</f>
        <v>0</v>
      </c>
      <c r="AR86" s="33" t="n">
        <f aca="false">IF(AND(N('Hiring plan'!$F$82)&gt;0,AR$3&gt;='Hiring plan'!$G$82,AR$3&lt;=IF('Hiring plan'!$H$82="",999,'Hiring plan'!$H$82)),'Hiring plan'!$F$82,0)</f>
        <v>0</v>
      </c>
      <c r="AS86" s="33" t="n">
        <f aca="false">IF(AND(N('Hiring plan'!$F$82)&gt;0,AS$3&gt;='Hiring plan'!$G$82,AS$3&lt;=IF('Hiring plan'!$H$82="",999,'Hiring plan'!$H$82)),'Hiring plan'!$F$82,0)</f>
        <v>0</v>
      </c>
      <c r="AT86" s="33" t="n">
        <f aca="false">IF(AND(N('Hiring plan'!$F$82)&gt;0,AT$3&gt;='Hiring plan'!$G$82,AT$3&lt;=IF('Hiring plan'!$H$82="",999,'Hiring plan'!$H$82)),'Hiring plan'!$F$82,0)</f>
        <v>0</v>
      </c>
      <c r="AU86" s="33" t="n">
        <f aca="false">IF(AND(N('Hiring plan'!$F$82)&gt;0,AU$3&gt;='Hiring plan'!$G$82,AU$3&lt;=IF('Hiring plan'!$H$82="",999,'Hiring plan'!$H$82)),'Hiring plan'!$F$82,0)</f>
        <v>0</v>
      </c>
      <c r="AV86" s="33" t="n">
        <f aca="false">IF(AND(N('Hiring plan'!$F$82)&gt;0,AV$3&gt;='Hiring plan'!$G$82,AV$3&lt;=IF('Hiring plan'!$H$82="",999,'Hiring plan'!$H$82)),'Hiring plan'!$F$82,0)</f>
        <v>0</v>
      </c>
      <c r="AW86" s="33" t="n">
        <f aca="false">IF(AND(N('Hiring plan'!$F$82)&gt;0,AW$3&gt;='Hiring plan'!$G$82,AW$3&lt;=IF('Hiring plan'!$H$82="",999,'Hiring plan'!$H$82)),'Hiring plan'!$F$82,0)</f>
        <v>0</v>
      </c>
      <c r="AX86" s="33" t="n">
        <f aca="false">IF(AND(N('Hiring plan'!$F$82)&gt;0,AX$3&gt;='Hiring plan'!$G$82,AX$3&lt;=IF('Hiring plan'!$H$82="",999,'Hiring plan'!$H$82)),'Hiring plan'!$F$82,0)</f>
        <v>0</v>
      </c>
      <c r="AY86" s="33" t="n">
        <f aca="false">IF(AND(N('Hiring plan'!$F$82)&gt;0,AY$3&gt;='Hiring plan'!$G$82,AY$3&lt;=IF('Hiring plan'!$H$82="",999,'Hiring plan'!$H$82)),'Hiring plan'!$F$82,0)</f>
        <v>0</v>
      </c>
      <c r="AZ86" s="33" t="n">
        <f aca="false">IF(AND(N('Hiring plan'!$F$82)&gt;0,AZ$3&gt;='Hiring plan'!$G$82,AZ$3&lt;=IF('Hiring plan'!$H$82="",999,'Hiring plan'!$H$82)),'Hiring plan'!$F$82,0)</f>
        <v>0</v>
      </c>
      <c r="BA86" s="33" t="n">
        <f aca="false">IF(AND(N('Hiring plan'!$F$82)&gt;0,BA$3&gt;='Hiring plan'!$G$82,BA$3&lt;=IF('Hiring plan'!$H$82="",999,'Hiring plan'!$H$82)),'Hiring plan'!$F$82,0)</f>
        <v>0</v>
      </c>
      <c r="BB86" s="33" t="n">
        <f aca="false">IF(AND(N('Hiring plan'!$F$82)&gt;0,BB$3&gt;='Hiring plan'!$G$82,BB$3&lt;=IF('Hiring plan'!$H$82="",999,'Hiring plan'!$H$82)),'Hiring plan'!$F$82,0)</f>
        <v>0</v>
      </c>
      <c r="BC86" s="33" t="n">
        <f aca="false">IF(AND(N('Hiring plan'!$F$82)&gt;0,BC$3&gt;='Hiring plan'!$G$82,BC$3&lt;=IF('Hiring plan'!$H$82="",999,'Hiring plan'!$H$82)),'Hiring plan'!$F$82,0)</f>
        <v>0</v>
      </c>
      <c r="BD86" s="33" t="n">
        <f aca="false">IF(AND(N('Hiring plan'!$F$82)&gt;0,BD$3&gt;='Hiring plan'!$G$82,BD$3&lt;=IF('Hiring plan'!$H$82="",999,'Hiring plan'!$H$82)),'Hiring plan'!$F$82,0)</f>
        <v>0</v>
      </c>
      <c r="BE86" s="33" t="n">
        <f aca="false">IF(AND(N('Hiring plan'!$F$82)&gt;0,BE$3&gt;='Hiring plan'!$G$82,BE$3&lt;=IF('Hiring plan'!$H$82="",999,'Hiring plan'!$H$82)),'Hiring plan'!$F$82,0)</f>
        <v>0</v>
      </c>
      <c r="BF86" s="33" t="n">
        <f aca="false">IF(AND(N('Hiring plan'!$F$82)&gt;0,BF$3&gt;='Hiring plan'!$G$82,BF$3&lt;=IF('Hiring plan'!$H$82="",999,'Hiring plan'!$H$82)),'Hiring plan'!$F$82,0)</f>
        <v>0</v>
      </c>
      <c r="BG86" s="33" t="n">
        <f aca="false">IF(AND(N('Hiring plan'!$F$82)&gt;0,BG$3&gt;='Hiring plan'!$G$82,BG$3&lt;=IF('Hiring plan'!$H$82="",999,'Hiring plan'!$H$82)),'Hiring plan'!$F$82,0)</f>
        <v>0</v>
      </c>
      <c r="BH86" s="33" t="n">
        <f aca="false">IF(AND(N('Hiring plan'!$F$82)&gt;0,BH$3&gt;='Hiring plan'!$G$82,BH$3&lt;=IF('Hiring plan'!$H$82="",999,'Hiring plan'!$H$82)),'Hiring plan'!$F$82,0)</f>
        <v>0</v>
      </c>
      <c r="BI86" s="33" t="n">
        <f aca="false">IF(AND(N('Hiring plan'!$F$82)&gt;0,BI$3&gt;='Hiring plan'!$G$82,BI$3&lt;=IF('Hiring plan'!$H$82="",999,'Hiring plan'!$H$82)),'Hiring plan'!$F$82,0)</f>
        <v>0</v>
      </c>
      <c r="BJ86" s="33" t="n">
        <f aca="false">IF(AND(N('Hiring plan'!$F$82)&gt;0,BJ$3&gt;='Hiring plan'!$G$82,BJ$3&lt;=IF('Hiring plan'!$H$82="",999,'Hiring plan'!$H$82)),'Hiring plan'!$F$82,0)</f>
        <v>0</v>
      </c>
      <c r="BK86" s="33" t="n">
        <f aca="false">IF(AND(N('Hiring plan'!$F$82)&gt;0,BK$3&gt;='Hiring plan'!$G$82,BK$3&lt;=IF('Hiring plan'!$H$82="",999,'Hiring plan'!$H$82)),'Hiring plan'!$F$82,0)</f>
        <v>0</v>
      </c>
      <c r="BL86" s="33" t="n">
        <f aca="false">IF(AND(N('Hiring plan'!$F$82)&gt;0,BL$3&gt;='Hiring plan'!$G$82,BL$3&lt;=IF('Hiring plan'!$H$82="",999,'Hiring plan'!$H$82)),'Hiring plan'!$F$82,0)</f>
        <v>0</v>
      </c>
    </row>
    <row r="87" customFormat="false" ht="15" hidden="false" customHeight="false" outlineLevel="0" collapsed="false">
      <c r="A87" s="12" t="str">
        <f aca="false">IF('Hiring plan'!$C$83="","(spare line 79)",'Hiring plan'!$C$83&amp;" · "&amp;'Hiring plan'!$D$83)</f>
        <v>(spare line 79)</v>
      </c>
      <c r="B87" s="14" t="s">
        <v>222</v>
      </c>
      <c r="D87" s="41" t="n">
        <f aca="false">MAX(E87:BL87)</f>
        <v>0</v>
      </c>
      <c r="E87" s="33" t="n">
        <f aca="false">IF(AND(N('Hiring plan'!$F$83)&gt;0,E$3&gt;='Hiring plan'!$G$83,E$3&lt;=IF('Hiring plan'!$H$83="",999,'Hiring plan'!$H$83)),'Hiring plan'!$F$83,0)</f>
        <v>0</v>
      </c>
      <c r="F87" s="33" t="n">
        <f aca="false">IF(AND(N('Hiring plan'!$F$83)&gt;0,F$3&gt;='Hiring plan'!$G$83,F$3&lt;=IF('Hiring plan'!$H$83="",999,'Hiring plan'!$H$83)),'Hiring plan'!$F$83,0)</f>
        <v>0</v>
      </c>
      <c r="G87" s="33" t="n">
        <f aca="false">IF(AND(N('Hiring plan'!$F$83)&gt;0,G$3&gt;='Hiring plan'!$G$83,G$3&lt;=IF('Hiring plan'!$H$83="",999,'Hiring plan'!$H$83)),'Hiring plan'!$F$83,0)</f>
        <v>0</v>
      </c>
      <c r="H87" s="33" t="n">
        <f aca="false">IF(AND(N('Hiring plan'!$F$83)&gt;0,H$3&gt;='Hiring plan'!$G$83,H$3&lt;=IF('Hiring plan'!$H$83="",999,'Hiring plan'!$H$83)),'Hiring plan'!$F$83,0)</f>
        <v>0</v>
      </c>
      <c r="I87" s="33" t="n">
        <f aca="false">IF(AND(N('Hiring plan'!$F$83)&gt;0,I$3&gt;='Hiring plan'!$G$83,I$3&lt;=IF('Hiring plan'!$H$83="",999,'Hiring plan'!$H$83)),'Hiring plan'!$F$83,0)</f>
        <v>0</v>
      </c>
      <c r="J87" s="33" t="n">
        <f aca="false">IF(AND(N('Hiring plan'!$F$83)&gt;0,J$3&gt;='Hiring plan'!$G$83,J$3&lt;=IF('Hiring plan'!$H$83="",999,'Hiring plan'!$H$83)),'Hiring plan'!$F$83,0)</f>
        <v>0</v>
      </c>
      <c r="K87" s="33" t="n">
        <f aca="false">IF(AND(N('Hiring plan'!$F$83)&gt;0,K$3&gt;='Hiring plan'!$G$83,K$3&lt;=IF('Hiring plan'!$H$83="",999,'Hiring plan'!$H$83)),'Hiring plan'!$F$83,0)</f>
        <v>0</v>
      </c>
      <c r="L87" s="33" t="n">
        <f aca="false">IF(AND(N('Hiring plan'!$F$83)&gt;0,L$3&gt;='Hiring plan'!$G$83,L$3&lt;=IF('Hiring plan'!$H$83="",999,'Hiring plan'!$H$83)),'Hiring plan'!$F$83,0)</f>
        <v>0</v>
      </c>
      <c r="M87" s="33" t="n">
        <f aca="false">IF(AND(N('Hiring plan'!$F$83)&gt;0,M$3&gt;='Hiring plan'!$G$83,M$3&lt;=IF('Hiring plan'!$H$83="",999,'Hiring plan'!$H$83)),'Hiring plan'!$F$83,0)</f>
        <v>0</v>
      </c>
      <c r="N87" s="33" t="n">
        <f aca="false">IF(AND(N('Hiring plan'!$F$83)&gt;0,N$3&gt;='Hiring plan'!$G$83,N$3&lt;=IF('Hiring plan'!$H$83="",999,'Hiring plan'!$H$83)),'Hiring plan'!$F$83,0)</f>
        <v>0</v>
      </c>
      <c r="O87" s="33" t="n">
        <f aca="false">IF(AND(N('Hiring plan'!$F$83)&gt;0,O$3&gt;='Hiring plan'!$G$83,O$3&lt;=IF('Hiring plan'!$H$83="",999,'Hiring plan'!$H$83)),'Hiring plan'!$F$83,0)</f>
        <v>0</v>
      </c>
      <c r="P87" s="33" t="n">
        <f aca="false">IF(AND(N('Hiring plan'!$F$83)&gt;0,P$3&gt;='Hiring plan'!$G$83,P$3&lt;=IF('Hiring plan'!$H$83="",999,'Hiring plan'!$H$83)),'Hiring plan'!$F$83,0)</f>
        <v>0</v>
      </c>
      <c r="Q87" s="33" t="n">
        <f aca="false">IF(AND(N('Hiring plan'!$F$83)&gt;0,Q$3&gt;='Hiring plan'!$G$83,Q$3&lt;=IF('Hiring plan'!$H$83="",999,'Hiring plan'!$H$83)),'Hiring plan'!$F$83,0)</f>
        <v>0</v>
      </c>
      <c r="R87" s="33" t="n">
        <f aca="false">IF(AND(N('Hiring plan'!$F$83)&gt;0,R$3&gt;='Hiring plan'!$G$83,R$3&lt;=IF('Hiring plan'!$H$83="",999,'Hiring plan'!$H$83)),'Hiring plan'!$F$83,0)</f>
        <v>0</v>
      </c>
      <c r="S87" s="33" t="n">
        <f aca="false">IF(AND(N('Hiring plan'!$F$83)&gt;0,S$3&gt;='Hiring plan'!$G$83,S$3&lt;=IF('Hiring plan'!$H$83="",999,'Hiring plan'!$H$83)),'Hiring plan'!$F$83,0)</f>
        <v>0</v>
      </c>
      <c r="T87" s="33" t="n">
        <f aca="false">IF(AND(N('Hiring plan'!$F$83)&gt;0,T$3&gt;='Hiring plan'!$G$83,T$3&lt;=IF('Hiring plan'!$H$83="",999,'Hiring plan'!$H$83)),'Hiring plan'!$F$83,0)</f>
        <v>0</v>
      </c>
      <c r="U87" s="33" t="n">
        <f aca="false">IF(AND(N('Hiring plan'!$F$83)&gt;0,U$3&gt;='Hiring plan'!$G$83,U$3&lt;=IF('Hiring plan'!$H$83="",999,'Hiring plan'!$H$83)),'Hiring plan'!$F$83,0)</f>
        <v>0</v>
      </c>
      <c r="V87" s="33" t="n">
        <f aca="false">IF(AND(N('Hiring plan'!$F$83)&gt;0,V$3&gt;='Hiring plan'!$G$83,V$3&lt;=IF('Hiring plan'!$H$83="",999,'Hiring plan'!$H$83)),'Hiring plan'!$F$83,0)</f>
        <v>0</v>
      </c>
      <c r="W87" s="33" t="n">
        <f aca="false">IF(AND(N('Hiring plan'!$F$83)&gt;0,W$3&gt;='Hiring plan'!$G$83,W$3&lt;=IF('Hiring plan'!$H$83="",999,'Hiring plan'!$H$83)),'Hiring plan'!$F$83,0)</f>
        <v>0</v>
      </c>
      <c r="X87" s="33" t="n">
        <f aca="false">IF(AND(N('Hiring plan'!$F$83)&gt;0,X$3&gt;='Hiring plan'!$G$83,X$3&lt;=IF('Hiring plan'!$H$83="",999,'Hiring plan'!$H$83)),'Hiring plan'!$F$83,0)</f>
        <v>0</v>
      </c>
      <c r="Y87" s="33" t="n">
        <f aca="false">IF(AND(N('Hiring plan'!$F$83)&gt;0,Y$3&gt;='Hiring plan'!$G$83,Y$3&lt;=IF('Hiring plan'!$H$83="",999,'Hiring plan'!$H$83)),'Hiring plan'!$F$83,0)</f>
        <v>0</v>
      </c>
      <c r="Z87" s="33" t="n">
        <f aca="false">IF(AND(N('Hiring plan'!$F$83)&gt;0,Z$3&gt;='Hiring plan'!$G$83,Z$3&lt;=IF('Hiring plan'!$H$83="",999,'Hiring plan'!$H$83)),'Hiring plan'!$F$83,0)</f>
        <v>0</v>
      </c>
      <c r="AA87" s="33" t="n">
        <f aca="false">IF(AND(N('Hiring plan'!$F$83)&gt;0,AA$3&gt;='Hiring plan'!$G$83,AA$3&lt;=IF('Hiring plan'!$H$83="",999,'Hiring plan'!$H$83)),'Hiring plan'!$F$83,0)</f>
        <v>0</v>
      </c>
      <c r="AB87" s="33" t="n">
        <f aca="false">IF(AND(N('Hiring plan'!$F$83)&gt;0,AB$3&gt;='Hiring plan'!$G$83,AB$3&lt;=IF('Hiring plan'!$H$83="",999,'Hiring plan'!$H$83)),'Hiring plan'!$F$83,0)</f>
        <v>0</v>
      </c>
      <c r="AC87" s="33" t="n">
        <f aca="false">IF(AND(N('Hiring plan'!$F$83)&gt;0,AC$3&gt;='Hiring plan'!$G$83,AC$3&lt;=IF('Hiring plan'!$H$83="",999,'Hiring plan'!$H$83)),'Hiring plan'!$F$83,0)</f>
        <v>0</v>
      </c>
      <c r="AD87" s="33" t="n">
        <f aca="false">IF(AND(N('Hiring plan'!$F$83)&gt;0,AD$3&gt;='Hiring plan'!$G$83,AD$3&lt;=IF('Hiring plan'!$H$83="",999,'Hiring plan'!$H$83)),'Hiring plan'!$F$83,0)</f>
        <v>0</v>
      </c>
      <c r="AE87" s="33" t="n">
        <f aca="false">IF(AND(N('Hiring plan'!$F$83)&gt;0,AE$3&gt;='Hiring plan'!$G$83,AE$3&lt;=IF('Hiring plan'!$H$83="",999,'Hiring plan'!$H$83)),'Hiring plan'!$F$83,0)</f>
        <v>0</v>
      </c>
      <c r="AF87" s="33" t="n">
        <f aca="false">IF(AND(N('Hiring plan'!$F$83)&gt;0,AF$3&gt;='Hiring plan'!$G$83,AF$3&lt;=IF('Hiring plan'!$H$83="",999,'Hiring plan'!$H$83)),'Hiring plan'!$F$83,0)</f>
        <v>0</v>
      </c>
      <c r="AG87" s="33" t="n">
        <f aca="false">IF(AND(N('Hiring plan'!$F$83)&gt;0,AG$3&gt;='Hiring plan'!$G$83,AG$3&lt;=IF('Hiring plan'!$H$83="",999,'Hiring plan'!$H$83)),'Hiring plan'!$F$83,0)</f>
        <v>0</v>
      </c>
      <c r="AH87" s="33" t="n">
        <f aca="false">IF(AND(N('Hiring plan'!$F$83)&gt;0,AH$3&gt;='Hiring plan'!$G$83,AH$3&lt;=IF('Hiring plan'!$H$83="",999,'Hiring plan'!$H$83)),'Hiring plan'!$F$83,0)</f>
        <v>0</v>
      </c>
      <c r="AI87" s="33" t="n">
        <f aca="false">IF(AND(N('Hiring plan'!$F$83)&gt;0,AI$3&gt;='Hiring plan'!$G$83,AI$3&lt;=IF('Hiring plan'!$H$83="",999,'Hiring plan'!$H$83)),'Hiring plan'!$F$83,0)</f>
        <v>0</v>
      </c>
      <c r="AJ87" s="33" t="n">
        <f aca="false">IF(AND(N('Hiring plan'!$F$83)&gt;0,AJ$3&gt;='Hiring plan'!$G$83,AJ$3&lt;=IF('Hiring plan'!$H$83="",999,'Hiring plan'!$H$83)),'Hiring plan'!$F$83,0)</f>
        <v>0</v>
      </c>
      <c r="AK87" s="33" t="n">
        <f aca="false">IF(AND(N('Hiring plan'!$F$83)&gt;0,AK$3&gt;='Hiring plan'!$G$83,AK$3&lt;=IF('Hiring plan'!$H$83="",999,'Hiring plan'!$H$83)),'Hiring plan'!$F$83,0)</f>
        <v>0</v>
      </c>
      <c r="AL87" s="33" t="n">
        <f aca="false">IF(AND(N('Hiring plan'!$F$83)&gt;0,AL$3&gt;='Hiring plan'!$G$83,AL$3&lt;=IF('Hiring plan'!$H$83="",999,'Hiring plan'!$H$83)),'Hiring plan'!$F$83,0)</f>
        <v>0</v>
      </c>
      <c r="AM87" s="33" t="n">
        <f aca="false">IF(AND(N('Hiring plan'!$F$83)&gt;0,AM$3&gt;='Hiring plan'!$G$83,AM$3&lt;=IF('Hiring plan'!$H$83="",999,'Hiring plan'!$H$83)),'Hiring plan'!$F$83,0)</f>
        <v>0</v>
      </c>
      <c r="AN87" s="33" t="n">
        <f aca="false">IF(AND(N('Hiring plan'!$F$83)&gt;0,AN$3&gt;='Hiring plan'!$G$83,AN$3&lt;=IF('Hiring plan'!$H$83="",999,'Hiring plan'!$H$83)),'Hiring plan'!$F$83,0)</f>
        <v>0</v>
      </c>
      <c r="AO87" s="33" t="n">
        <f aca="false">IF(AND(N('Hiring plan'!$F$83)&gt;0,AO$3&gt;='Hiring plan'!$G$83,AO$3&lt;=IF('Hiring plan'!$H$83="",999,'Hiring plan'!$H$83)),'Hiring plan'!$F$83,0)</f>
        <v>0</v>
      </c>
      <c r="AP87" s="33" t="n">
        <f aca="false">IF(AND(N('Hiring plan'!$F$83)&gt;0,AP$3&gt;='Hiring plan'!$G$83,AP$3&lt;=IF('Hiring plan'!$H$83="",999,'Hiring plan'!$H$83)),'Hiring plan'!$F$83,0)</f>
        <v>0</v>
      </c>
      <c r="AQ87" s="33" t="n">
        <f aca="false">IF(AND(N('Hiring plan'!$F$83)&gt;0,AQ$3&gt;='Hiring plan'!$G$83,AQ$3&lt;=IF('Hiring plan'!$H$83="",999,'Hiring plan'!$H$83)),'Hiring plan'!$F$83,0)</f>
        <v>0</v>
      </c>
      <c r="AR87" s="33" t="n">
        <f aca="false">IF(AND(N('Hiring plan'!$F$83)&gt;0,AR$3&gt;='Hiring plan'!$G$83,AR$3&lt;=IF('Hiring plan'!$H$83="",999,'Hiring plan'!$H$83)),'Hiring plan'!$F$83,0)</f>
        <v>0</v>
      </c>
      <c r="AS87" s="33" t="n">
        <f aca="false">IF(AND(N('Hiring plan'!$F$83)&gt;0,AS$3&gt;='Hiring plan'!$G$83,AS$3&lt;=IF('Hiring plan'!$H$83="",999,'Hiring plan'!$H$83)),'Hiring plan'!$F$83,0)</f>
        <v>0</v>
      </c>
      <c r="AT87" s="33" t="n">
        <f aca="false">IF(AND(N('Hiring plan'!$F$83)&gt;0,AT$3&gt;='Hiring plan'!$G$83,AT$3&lt;=IF('Hiring plan'!$H$83="",999,'Hiring plan'!$H$83)),'Hiring plan'!$F$83,0)</f>
        <v>0</v>
      </c>
      <c r="AU87" s="33" t="n">
        <f aca="false">IF(AND(N('Hiring plan'!$F$83)&gt;0,AU$3&gt;='Hiring plan'!$G$83,AU$3&lt;=IF('Hiring plan'!$H$83="",999,'Hiring plan'!$H$83)),'Hiring plan'!$F$83,0)</f>
        <v>0</v>
      </c>
      <c r="AV87" s="33" t="n">
        <f aca="false">IF(AND(N('Hiring plan'!$F$83)&gt;0,AV$3&gt;='Hiring plan'!$G$83,AV$3&lt;=IF('Hiring plan'!$H$83="",999,'Hiring plan'!$H$83)),'Hiring plan'!$F$83,0)</f>
        <v>0</v>
      </c>
      <c r="AW87" s="33" t="n">
        <f aca="false">IF(AND(N('Hiring plan'!$F$83)&gt;0,AW$3&gt;='Hiring plan'!$G$83,AW$3&lt;=IF('Hiring plan'!$H$83="",999,'Hiring plan'!$H$83)),'Hiring plan'!$F$83,0)</f>
        <v>0</v>
      </c>
      <c r="AX87" s="33" t="n">
        <f aca="false">IF(AND(N('Hiring plan'!$F$83)&gt;0,AX$3&gt;='Hiring plan'!$G$83,AX$3&lt;=IF('Hiring plan'!$H$83="",999,'Hiring plan'!$H$83)),'Hiring plan'!$F$83,0)</f>
        <v>0</v>
      </c>
      <c r="AY87" s="33" t="n">
        <f aca="false">IF(AND(N('Hiring plan'!$F$83)&gt;0,AY$3&gt;='Hiring plan'!$G$83,AY$3&lt;=IF('Hiring plan'!$H$83="",999,'Hiring plan'!$H$83)),'Hiring plan'!$F$83,0)</f>
        <v>0</v>
      </c>
      <c r="AZ87" s="33" t="n">
        <f aca="false">IF(AND(N('Hiring plan'!$F$83)&gt;0,AZ$3&gt;='Hiring plan'!$G$83,AZ$3&lt;=IF('Hiring plan'!$H$83="",999,'Hiring plan'!$H$83)),'Hiring plan'!$F$83,0)</f>
        <v>0</v>
      </c>
      <c r="BA87" s="33" t="n">
        <f aca="false">IF(AND(N('Hiring plan'!$F$83)&gt;0,BA$3&gt;='Hiring plan'!$G$83,BA$3&lt;=IF('Hiring plan'!$H$83="",999,'Hiring plan'!$H$83)),'Hiring plan'!$F$83,0)</f>
        <v>0</v>
      </c>
      <c r="BB87" s="33" t="n">
        <f aca="false">IF(AND(N('Hiring plan'!$F$83)&gt;0,BB$3&gt;='Hiring plan'!$G$83,BB$3&lt;=IF('Hiring plan'!$H$83="",999,'Hiring plan'!$H$83)),'Hiring plan'!$F$83,0)</f>
        <v>0</v>
      </c>
      <c r="BC87" s="33" t="n">
        <f aca="false">IF(AND(N('Hiring plan'!$F$83)&gt;0,BC$3&gt;='Hiring plan'!$G$83,BC$3&lt;=IF('Hiring plan'!$H$83="",999,'Hiring plan'!$H$83)),'Hiring plan'!$F$83,0)</f>
        <v>0</v>
      </c>
      <c r="BD87" s="33" t="n">
        <f aca="false">IF(AND(N('Hiring plan'!$F$83)&gt;0,BD$3&gt;='Hiring plan'!$G$83,BD$3&lt;=IF('Hiring plan'!$H$83="",999,'Hiring plan'!$H$83)),'Hiring plan'!$F$83,0)</f>
        <v>0</v>
      </c>
      <c r="BE87" s="33" t="n">
        <f aca="false">IF(AND(N('Hiring plan'!$F$83)&gt;0,BE$3&gt;='Hiring plan'!$G$83,BE$3&lt;=IF('Hiring plan'!$H$83="",999,'Hiring plan'!$H$83)),'Hiring plan'!$F$83,0)</f>
        <v>0</v>
      </c>
      <c r="BF87" s="33" t="n">
        <f aca="false">IF(AND(N('Hiring plan'!$F$83)&gt;0,BF$3&gt;='Hiring plan'!$G$83,BF$3&lt;=IF('Hiring plan'!$H$83="",999,'Hiring plan'!$H$83)),'Hiring plan'!$F$83,0)</f>
        <v>0</v>
      </c>
      <c r="BG87" s="33" t="n">
        <f aca="false">IF(AND(N('Hiring plan'!$F$83)&gt;0,BG$3&gt;='Hiring plan'!$G$83,BG$3&lt;=IF('Hiring plan'!$H$83="",999,'Hiring plan'!$H$83)),'Hiring plan'!$F$83,0)</f>
        <v>0</v>
      </c>
      <c r="BH87" s="33" t="n">
        <f aca="false">IF(AND(N('Hiring plan'!$F$83)&gt;0,BH$3&gt;='Hiring plan'!$G$83,BH$3&lt;=IF('Hiring plan'!$H$83="",999,'Hiring plan'!$H$83)),'Hiring plan'!$F$83,0)</f>
        <v>0</v>
      </c>
      <c r="BI87" s="33" t="n">
        <f aca="false">IF(AND(N('Hiring plan'!$F$83)&gt;0,BI$3&gt;='Hiring plan'!$G$83,BI$3&lt;=IF('Hiring plan'!$H$83="",999,'Hiring plan'!$H$83)),'Hiring plan'!$F$83,0)</f>
        <v>0</v>
      </c>
      <c r="BJ87" s="33" t="n">
        <f aca="false">IF(AND(N('Hiring plan'!$F$83)&gt;0,BJ$3&gt;='Hiring plan'!$G$83,BJ$3&lt;=IF('Hiring plan'!$H$83="",999,'Hiring plan'!$H$83)),'Hiring plan'!$F$83,0)</f>
        <v>0</v>
      </c>
      <c r="BK87" s="33" t="n">
        <f aca="false">IF(AND(N('Hiring plan'!$F$83)&gt;0,BK$3&gt;='Hiring plan'!$G$83,BK$3&lt;=IF('Hiring plan'!$H$83="",999,'Hiring plan'!$H$83)),'Hiring plan'!$F$83,0)</f>
        <v>0</v>
      </c>
      <c r="BL87" s="33" t="n">
        <f aca="false">IF(AND(N('Hiring plan'!$F$83)&gt;0,BL$3&gt;='Hiring plan'!$G$83,BL$3&lt;=IF('Hiring plan'!$H$83="",999,'Hiring plan'!$H$83)),'Hiring plan'!$F$83,0)</f>
        <v>0</v>
      </c>
    </row>
    <row r="88" customFormat="false" ht="15" hidden="false" customHeight="false" outlineLevel="0" collapsed="false">
      <c r="A88" s="12" t="str">
        <f aca="false">IF('Hiring plan'!$C$84="","(spare line 80)",'Hiring plan'!$C$84&amp;" · "&amp;'Hiring plan'!$D$84)</f>
        <v>(spare line 80)</v>
      </c>
      <c r="B88" s="14" t="s">
        <v>222</v>
      </c>
      <c r="D88" s="41" t="n">
        <f aca="false">MAX(E88:BL88)</f>
        <v>0</v>
      </c>
      <c r="E88" s="33" t="n">
        <f aca="false">IF(AND(N('Hiring plan'!$F$84)&gt;0,E$3&gt;='Hiring plan'!$G$84,E$3&lt;=IF('Hiring plan'!$H$84="",999,'Hiring plan'!$H$84)),'Hiring plan'!$F$84,0)</f>
        <v>0</v>
      </c>
      <c r="F88" s="33" t="n">
        <f aca="false">IF(AND(N('Hiring plan'!$F$84)&gt;0,F$3&gt;='Hiring plan'!$G$84,F$3&lt;=IF('Hiring plan'!$H$84="",999,'Hiring plan'!$H$84)),'Hiring plan'!$F$84,0)</f>
        <v>0</v>
      </c>
      <c r="G88" s="33" t="n">
        <f aca="false">IF(AND(N('Hiring plan'!$F$84)&gt;0,G$3&gt;='Hiring plan'!$G$84,G$3&lt;=IF('Hiring plan'!$H$84="",999,'Hiring plan'!$H$84)),'Hiring plan'!$F$84,0)</f>
        <v>0</v>
      </c>
      <c r="H88" s="33" t="n">
        <f aca="false">IF(AND(N('Hiring plan'!$F$84)&gt;0,H$3&gt;='Hiring plan'!$G$84,H$3&lt;=IF('Hiring plan'!$H$84="",999,'Hiring plan'!$H$84)),'Hiring plan'!$F$84,0)</f>
        <v>0</v>
      </c>
      <c r="I88" s="33" t="n">
        <f aca="false">IF(AND(N('Hiring plan'!$F$84)&gt;0,I$3&gt;='Hiring plan'!$G$84,I$3&lt;=IF('Hiring plan'!$H$84="",999,'Hiring plan'!$H$84)),'Hiring plan'!$F$84,0)</f>
        <v>0</v>
      </c>
      <c r="J88" s="33" t="n">
        <f aca="false">IF(AND(N('Hiring plan'!$F$84)&gt;0,J$3&gt;='Hiring plan'!$G$84,J$3&lt;=IF('Hiring plan'!$H$84="",999,'Hiring plan'!$H$84)),'Hiring plan'!$F$84,0)</f>
        <v>0</v>
      </c>
      <c r="K88" s="33" t="n">
        <f aca="false">IF(AND(N('Hiring plan'!$F$84)&gt;0,K$3&gt;='Hiring plan'!$G$84,K$3&lt;=IF('Hiring plan'!$H$84="",999,'Hiring plan'!$H$84)),'Hiring plan'!$F$84,0)</f>
        <v>0</v>
      </c>
      <c r="L88" s="33" t="n">
        <f aca="false">IF(AND(N('Hiring plan'!$F$84)&gt;0,L$3&gt;='Hiring plan'!$G$84,L$3&lt;=IF('Hiring plan'!$H$84="",999,'Hiring plan'!$H$84)),'Hiring plan'!$F$84,0)</f>
        <v>0</v>
      </c>
      <c r="M88" s="33" t="n">
        <f aca="false">IF(AND(N('Hiring plan'!$F$84)&gt;0,M$3&gt;='Hiring plan'!$G$84,M$3&lt;=IF('Hiring plan'!$H$84="",999,'Hiring plan'!$H$84)),'Hiring plan'!$F$84,0)</f>
        <v>0</v>
      </c>
      <c r="N88" s="33" t="n">
        <f aca="false">IF(AND(N('Hiring plan'!$F$84)&gt;0,N$3&gt;='Hiring plan'!$G$84,N$3&lt;=IF('Hiring plan'!$H$84="",999,'Hiring plan'!$H$84)),'Hiring plan'!$F$84,0)</f>
        <v>0</v>
      </c>
      <c r="O88" s="33" t="n">
        <f aca="false">IF(AND(N('Hiring plan'!$F$84)&gt;0,O$3&gt;='Hiring plan'!$G$84,O$3&lt;=IF('Hiring plan'!$H$84="",999,'Hiring plan'!$H$84)),'Hiring plan'!$F$84,0)</f>
        <v>0</v>
      </c>
      <c r="P88" s="33" t="n">
        <f aca="false">IF(AND(N('Hiring plan'!$F$84)&gt;0,P$3&gt;='Hiring plan'!$G$84,P$3&lt;=IF('Hiring plan'!$H$84="",999,'Hiring plan'!$H$84)),'Hiring plan'!$F$84,0)</f>
        <v>0</v>
      </c>
      <c r="Q88" s="33" t="n">
        <f aca="false">IF(AND(N('Hiring plan'!$F$84)&gt;0,Q$3&gt;='Hiring plan'!$G$84,Q$3&lt;=IF('Hiring plan'!$H$84="",999,'Hiring plan'!$H$84)),'Hiring plan'!$F$84,0)</f>
        <v>0</v>
      </c>
      <c r="R88" s="33" t="n">
        <f aca="false">IF(AND(N('Hiring plan'!$F$84)&gt;0,R$3&gt;='Hiring plan'!$G$84,R$3&lt;=IF('Hiring plan'!$H$84="",999,'Hiring plan'!$H$84)),'Hiring plan'!$F$84,0)</f>
        <v>0</v>
      </c>
      <c r="S88" s="33" t="n">
        <f aca="false">IF(AND(N('Hiring plan'!$F$84)&gt;0,S$3&gt;='Hiring plan'!$G$84,S$3&lt;=IF('Hiring plan'!$H$84="",999,'Hiring plan'!$H$84)),'Hiring plan'!$F$84,0)</f>
        <v>0</v>
      </c>
      <c r="T88" s="33" t="n">
        <f aca="false">IF(AND(N('Hiring plan'!$F$84)&gt;0,T$3&gt;='Hiring plan'!$G$84,T$3&lt;=IF('Hiring plan'!$H$84="",999,'Hiring plan'!$H$84)),'Hiring plan'!$F$84,0)</f>
        <v>0</v>
      </c>
      <c r="U88" s="33" t="n">
        <f aca="false">IF(AND(N('Hiring plan'!$F$84)&gt;0,U$3&gt;='Hiring plan'!$G$84,U$3&lt;=IF('Hiring plan'!$H$84="",999,'Hiring plan'!$H$84)),'Hiring plan'!$F$84,0)</f>
        <v>0</v>
      </c>
      <c r="V88" s="33" t="n">
        <f aca="false">IF(AND(N('Hiring plan'!$F$84)&gt;0,V$3&gt;='Hiring plan'!$G$84,V$3&lt;=IF('Hiring plan'!$H$84="",999,'Hiring plan'!$H$84)),'Hiring plan'!$F$84,0)</f>
        <v>0</v>
      </c>
      <c r="W88" s="33" t="n">
        <f aca="false">IF(AND(N('Hiring plan'!$F$84)&gt;0,W$3&gt;='Hiring plan'!$G$84,W$3&lt;=IF('Hiring plan'!$H$84="",999,'Hiring plan'!$H$84)),'Hiring plan'!$F$84,0)</f>
        <v>0</v>
      </c>
      <c r="X88" s="33" t="n">
        <f aca="false">IF(AND(N('Hiring plan'!$F$84)&gt;0,X$3&gt;='Hiring plan'!$G$84,X$3&lt;=IF('Hiring plan'!$H$84="",999,'Hiring plan'!$H$84)),'Hiring plan'!$F$84,0)</f>
        <v>0</v>
      </c>
      <c r="Y88" s="33" t="n">
        <f aca="false">IF(AND(N('Hiring plan'!$F$84)&gt;0,Y$3&gt;='Hiring plan'!$G$84,Y$3&lt;=IF('Hiring plan'!$H$84="",999,'Hiring plan'!$H$84)),'Hiring plan'!$F$84,0)</f>
        <v>0</v>
      </c>
      <c r="Z88" s="33" t="n">
        <f aca="false">IF(AND(N('Hiring plan'!$F$84)&gt;0,Z$3&gt;='Hiring plan'!$G$84,Z$3&lt;=IF('Hiring plan'!$H$84="",999,'Hiring plan'!$H$84)),'Hiring plan'!$F$84,0)</f>
        <v>0</v>
      </c>
      <c r="AA88" s="33" t="n">
        <f aca="false">IF(AND(N('Hiring plan'!$F$84)&gt;0,AA$3&gt;='Hiring plan'!$G$84,AA$3&lt;=IF('Hiring plan'!$H$84="",999,'Hiring plan'!$H$84)),'Hiring plan'!$F$84,0)</f>
        <v>0</v>
      </c>
      <c r="AB88" s="33" t="n">
        <f aca="false">IF(AND(N('Hiring plan'!$F$84)&gt;0,AB$3&gt;='Hiring plan'!$G$84,AB$3&lt;=IF('Hiring plan'!$H$84="",999,'Hiring plan'!$H$84)),'Hiring plan'!$F$84,0)</f>
        <v>0</v>
      </c>
      <c r="AC88" s="33" t="n">
        <f aca="false">IF(AND(N('Hiring plan'!$F$84)&gt;0,AC$3&gt;='Hiring plan'!$G$84,AC$3&lt;=IF('Hiring plan'!$H$84="",999,'Hiring plan'!$H$84)),'Hiring plan'!$F$84,0)</f>
        <v>0</v>
      </c>
      <c r="AD88" s="33" t="n">
        <f aca="false">IF(AND(N('Hiring plan'!$F$84)&gt;0,AD$3&gt;='Hiring plan'!$G$84,AD$3&lt;=IF('Hiring plan'!$H$84="",999,'Hiring plan'!$H$84)),'Hiring plan'!$F$84,0)</f>
        <v>0</v>
      </c>
      <c r="AE88" s="33" t="n">
        <f aca="false">IF(AND(N('Hiring plan'!$F$84)&gt;0,AE$3&gt;='Hiring plan'!$G$84,AE$3&lt;=IF('Hiring plan'!$H$84="",999,'Hiring plan'!$H$84)),'Hiring plan'!$F$84,0)</f>
        <v>0</v>
      </c>
      <c r="AF88" s="33" t="n">
        <f aca="false">IF(AND(N('Hiring plan'!$F$84)&gt;0,AF$3&gt;='Hiring plan'!$G$84,AF$3&lt;=IF('Hiring plan'!$H$84="",999,'Hiring plan'!$H$84)),'Hiring plan'!$F$84,0)</f>
        <v>0</v>
      </c>
      <c r="AG88" s="33" t="n">
        <f aca="false">IF(AND(N('Hiring plan'!$F$84)&gt;0,AG$3&gt;='Hiring plan'!$G$84,AG$3&lt;=IF('Hiring plan'!$H$84="",999,'Hiring plan'!$H$84)),'Hiring plan'!$F$84,0)</f>
        <v>0</v>
      </c>
      <c r="AH88" s="33" t="n">
        <f aca="false">IF(AND(N('Hiring plan'!$F$84)&gt;0,AH$3&gt;='Hiring plan'!$G$84,AH$3&lt;=IF('Hiring plan'!$H$84="",999,'Hiring plan'!$H$84)),'Hiring plan'!$F$84,0)</f>
        <v>0</v>
      </c>
      <c r="AI88" s="33" t="n">
        <f aca="false">IF(AND(N('Hiring plan'!$F$84)&gt;0,AI$3&gt;='Hiring plan'!$G$84,AI$3&lt;=IF('Hiring plan'!$H$84="",999,'Hiring plan'!$H$84)),'Hiring plan'!$F$84,0)</f>
        <v>0</v>
      </c>
      <c r="AJ88" s="33" t="n">
        <f aca="false">IF(AND(N('Hiring plan'!$F$84)&gt;0,AJ$3&gt;='Hiring plan'!$G$84,AJ$3&lt;=IF('Hiring plan'!$H$84="",999,'Hiring plan'!$H$84)),'Hiring plan'!$F$84,0)</f>
        <v>0</v>
      </c>
      <c r="AK88" s="33" t="n">
        <f aca="false">IF(AND(N('Hiring plan'!$F$84)&gt;0,AK$3&gt;='Hiring plan'!$G$84,AK$3&lt;=IF('Hiring plan'!$H$84="",999,'Hiring plan'!$H$84)),'Hiring plan'!$F$84,0)</f>
        <v>0</v>
      </c>
      <c r="AL88" s="33" t="n">
        <f aca="false">IF(AND(N('Hiring plan'!$F$84)&gt;0,AL$3&gt;='Hiring plan'!$G$84,AL$3&lt;=IF('Hiring plan'!$H$84="",999,'Hiring plan'!$H$84)),'Hiring plan'!$F$84,0)</f>
        <v>0</v>
      </c>
      <c r="AM88" s="33" t="n">
        <f aca="false">IF(AND(N('Hiring plan'!$F$84)&gt;0,AM$3&gt;='Hiring plan'!$G$84,AM$3&lt;=IF('Hiring plan'!$H$84="",999,'Hiring plan'!$H$84)),'Hiring plan'!$F$84,0)</f>
        <v>0</v>
      </c>
      <c r="AN88" s="33" t="n">
        <f aca="false">IF(AND(N('Hiring plan'!$F$84)&gt;0,AN$3&gt;='Hiring plan'!$G$84,AN$3&lt;=IF('Hiring plan'!$H$84="",999,'Hiring plan'!$H$84)),'Hiring plan'!$F$84,0)</f>
        <v>0</v>
      </c>
      <c r="AO88" s="33" t="n">
        <f aca="false">IF(AND(N('Hiring plan'!$F$84)&gt;0,AO$3&gt;='Hiring plan'!$G$84,AO$3&lt;=IF('Hiring plan'!$H$84="",999,'Hiring plan'!$H$84)),'Hiring plan'!$F$84,0)</f>
        <v>0</v>
      </c>
      <c r="AP88" s="33" t="n">
        <f aca="false">IF(AND(N('Hiring plan'!$F$84)&gt;0,AP$3&gt;='Hiring plan'!$G$84,AP$3&lt;=IF('Hiring plan'!$H$84="",999,'Hiring plan'!$H$84)),'Hiring plan'!$F$84,0)</f>
        <v>0</v>
      </c>
      <c r="AQ88" s="33" t="n">
        <f aca="false">IF(AND(N('Hiring plan'!$F$84)&gt;0,AQ$3&gt;='Hiring plan'!$G$84,AQ$3&lt;=IF('Hiring plan'!$H$84="",999,'Hiring plan'!$H$84)),'Hiring plan'!$F$84,0)</f>
        <v>0</v>
      </c>
      <c r="AR88" s="33" t="n">
        <f aca="false">IF(AND(N('Hiring plan'!$F$84)&gt;0,AR$3&gt;='Hiring plan'!$G$84,AR$3&lt;=IF('Hiring plan'!$H$84="",999,'Hiring plan'!$H$84)),'Hiring plan'!$F$84,0)</f>
        <v>0</v>
      </c>
      <c r="AS88" s="33" t="n">
        <f aca="false">IF(AND(N('Hiring plan'!$F$84)&gt;0,AS$3&gt;='Hiring plan'!$G$84,AS$3&lt;=IF('Hiring plan'!$H$84="",999,'Hiring plan'!$H$84)),'Hiring plan'!$F$84,0)</f>
        <v>0</v>
      </c>
      <c r="AT88" s="33" t="n">
        <f aca="false">IF(AND(N('Hiring plan'!$F$84)&gt;0,AT$3&gt;='Hiring plan'!$G$84,AT$3&lt;=IF('Hiring plan'!$H$84="",999,'Hiring plan'!$H$84)),'Hiring plan'!$F$84,0)</f>
        <v>0</v>
      </c>
      <c r="AU88" s="33" t="n">
        <f aca="false">IF(AND(N('Hiring plan'!$F$84)&gt;0,AU$3&gt;='Hiring plan'!$G$84,AU$3&lt;=IF('Hiring plan'!$H$84="",999,'Hiring plan'!$H$84)),'Hiring plan'!$F$84,0)</f>
        <v>0</v>
      </c>
      <c r="AV88" s="33" t="n">
        <f aca="false">IF(AND(N('Hiring plan'!$F$84)&gt;0,AV$3&gt;='Hiring plan'!$G$84,AV$3&lt;=IF('Hiring plan'!$H$84="",999,'Hiring plan'!$H$84)),'Hiring plan'!$F$84,0)</f>
        <v>0</v>
      </c>
      <c r="AW88" s="33" t="n">
        <f aca="false">IF(AND(N('Hiring plan'!$F$84)&gt;0,AW$3&gt;='Hiring plan'!$G$84,AW$3&lt;=IF('Hiring plan'!$H$84="",999,'Hiring plan'!$H$84)),'Hiring plan'!$F$84,0)</f>
        <v>0</v>
      </c>
      <c r="AX88" s="33" t="n">
        <f aca="false">IF(AND(N('Hiring plan'!$F$84)&gt;0,AX$3&gt;='Hiring plan'!$G$84,AX$3&lt;=IF('Hiring plan'!$H$84="",999,'Hiring plan'!$H$84)),'Hiring plan'!$F$84,0)</f>
        <v>0</v>
      </c>
      <c r="AY88" s="33" t="n">
        <f aca="false">IF(AND(N('Hiring plan'!$F$84)&gt;0,AY$3&gt;='Hiring plan'!$G$84,AY$3&lt;=IF('Hiring plan'!$H$84="",999,'Hiring plan'!$H$84)),'Hiring plan'!$F$84,0)</f>
        <v>0</v>
      </c>
      <c r="AZ88" s="33" t="n">
        <f aca="false">IF(AND(N('Hiring plan'!$F$84)&gt;0,AZ$3&gt;='Hiring plan'!$G$84,AZ$3&lt;=IF('Hiring plan'!$H$84="",999,'Hiring plan'!$H$84)),'Hiring plan'!$F$84,0)</f>
        <v>0</v>
      </c>
      <c r="BA88" s="33" t="n">
        <f aca="false">IF(AND(N('Hiring plan'!$F$84)&gt;0,BA$3&gt;='Hiring plan'!$G$84,BA$3&lt;=IF('Hiring plan'!$H$84="",999,'Hiring plan'!$H$84)),'Hiring plan'!$F$84,0)</f>
        <v>0</v>
      </c>
      <c r="BB88" s="33" t="n">
        <f aca="false">IF(AND(N('Hiring plan'!$F$84)&gt;0,BB$3&gt;='Hiring plan'!$G$84,BB$3&lt;=IF('Hiring plan'!$H$84="",999,'Hiring plan'!$H$84)),'Hiring plan'!$F$84,0)</f>
        <v>0</v>
      </c>
      <c r="BC88" s="33" t="n">
        <f aca="false">IF(AND(N('Hiring plan'!$F$84)&gt;0,BC$3&gt;='Hiring plan'!$G$84,BC$3&lt;=IF('Hiring plan'!$H$84="",999,'Hiring plan'!$H$84)),'Hiring plan'!$F$84,0)</f>
        <v>0</v>
      </c>
      <c r="BD88" s="33" t="n">
        <f aca="false">IF(AND(N('Hiring plan'!$F$84)&gt;0,BD$3&gt;='Hiring plan'!$G$84,BD$3&lt;=IF('Hiring plan'!$H$84="",999,'Hiring plan'!$H$84)),'Hiring plan'!$F$84,0)</f>
        <v>0</v>
      </c>
      <c r="BE88" s="33" t="n">
        <f aca="false">IF(AND(N('Hiring plan'!$F$84)&gt;0,BE$3&gt;='Hiring plan'!$G$84,BE$3&lt;=IF('Hiring plan'!$H$84="",999,'Hiring plan'!$H$84)),'Hiring plan'!$F$84,0)</f>
        <v>0</v>
      </c>
      <c r="BF88" s="33" t="n">
        <f aca="false">IF(AND(N('Hiring plan'!$F$84)&gt;0,BF$3&gt;='Hiring plan'!$G$84,BF$3&lt;=IF('Hiring plan'!$H$84="",999,'Hiring plan'!$H$84)),'Hiring plan'!$F$84,0)</f>
        <v>0</v>
      </c>
      <c r="BG88" s="33" t="n">
        <f aca="false">IF(AND(N('Hiring plan'!$F$84)&gt;0,BG$3&gt;='Hiring plan'!$G$84,BG$3&lt;=IF('Hiring plan'!$H$84="",999,'Hiring plan'!$H$84)),'Hiring plan'!$F$84,0)</f>
        <v>0</v>
      </c>
      <c r="BH88" s="33" t="n">
        <f aca="false">IF(AND(N('Hiring plan'!$F$84)&gt;0,BH$3&gt;='Hiring plan'!$G$84,BH$3&lt;=IF('Hiring plan'!$H$84="",999,'Hiring plan'!$H$84)),'Hiring plan'!$F$84,0)</f>
        <v>0</v>
      </c>
      <c r="BI88" s="33" t="n">
        <f aca="false">IF(AND(N('Hiring plan'!$F$84)&gt;0,BI$3&gt;='Hiring plan'!$G$84,BI$3&lt;=IF('Hiring plan'!$H$84="",999,'Hiring plan'!$H$84)),'Hiring plan'!$F$84,0)</f>
        <v>0</v>
      </c>
      <c r="BJ88" s="33" t="n">
        <f aca="false">IF(AND(N('Hiring plan'!$F$84)&gt;0,BJ$3&gt;='Hiring plan'!$G$84,BJ$3&lt;=IF('Hiring plan'!$H$84="",999,'Hiring plan'!$H$84)),'Hiring plan'!$F$84,0)</f>
        <v>0</v>
      </c>
      <c r="BK88" s="33" t="n">
        <f aca="false">IF(AND(N('Hiring plan'!$F$84)&gt;0,BK$3&gt;='Hiring plan'!$G$84,BK$3&lt;=IF('Hiring plan'!$H$84="",999,'Hiring plan'!$H$84)),'Hiring plan'!$F$84,0)</f>
        <v>0</v>
      </c>
      <c r="BL88" s="33" t="n">
        <f aca="false">IF(AND(N('Hiring plan'!$F$84)&gt;0,BL$3&gt;='Hiring plan'!$G$84,BL$3&lt;=IF('Hiring plan'!$H$84="",999,'Hiring plan'!$H$84)),'Hiring plan'!$F$84,0)</f>
        <v>0</v>
      </c>
    </row>
    <row r="89" customFormat="false" ht="15" hidden="false" customHeight="false" outlineLevel="0" collapsed="false">
      <c r="A89" s="12" t="str">
        <f aca="false">IF('Hiring plan'!$C$85="","(spare line 81)",'Hiring plan'!$C$85&amp;" · "&amp;'Hiring plan'!$D$85)</f>
        <v>(spare line 81)</v>
      </c>
      <c r="B89" s="14" t="s">
        <v>222</v>
      </c>
      <c r="D89" s="41" t="n">
        <f aca="false">MAX(E89:BL89)</f>
        <v>0</v>
      </c>
      <c r="E89" s="33" t="n">
        <f aca="false">IF(AND(N('Hiring plan'!$F$85)&gt;0,E$3&gt;='Hiring plan'!$G$85,E$3&lt;=IF('Hiring plan'!$H$85="",999,'Hiring plan'!$H$85)),'Hiring plan'!$F$85,0)</f>
        <v>0</v>
      </c>
      <c r="F89" s="33" t="n">
        <f aca="false">IF(AND(N('Hiring plan'!$F$85)&gt;0,F$3&gt;='Hiring plan'!$G$85,F$3&lt;=IF('Hiring plan'!$H$85="",999,'Hiring plan'!$H$85)),'Hiring plan'!$F$85,0)</f>
        <v>0</v>
      </c>
      <c r="G89" s="33" t="n">
        <f aca="false">IF(AND(N('Hiring plan'!$F$85)&gt;0,G$3&gt;='Hiring plan'!$G$85,G$3&lt;=IF('Hiring plan'!$H$85="",999,'Hiring plan'!$H$85)),'Hiring plan'!$F$85,0)</f>
        <v>0</v>
      </c>
      <c r="H89" s="33" t="n">
        <f aca="false">IF(AND(N('Hiring plan'!$F$85)&gt;0,H$3&gt;='Hiring plan'!$G$85,H$3&lt;=IF('Hiring plan'!$H$85="",999,'Hiring plan'!$H$85)),'Hiring plan'!$F$85,0)</f>
        <v>0</v>
      </c>
      <c r="I89" s="33" t="n">
        <f aca="false">IF(AND(N('Hiring plan'!$F$85)&gt;0,I$3&gt;='Hiring plan'!$G$85,I$3&lt;=IF('Hiring plan'!$H$85="",999,'Hiring plan'!$H$85)),'Hiring plan'!$F$85,0)</f>
        <v>0</v>
      </c>
      <c r="J89" s="33" t="n">
        <f aca="false">IF(AND(N('Hiring plan'!$F$85)&gt;0,J$3&gt;='Hiring plan'!$G$85,J$3&lt;=IF('Hiring plan'!$H$85="",999,'Hiring plan'!$H$85)),'Hiring plan'!$F$85,0)</f>
        <v>0</v>
      </c>
      <c r="K89" s="33" t="n">
        <f aca="false">IF(AND(N('Hiring plan'!$F$85)&gt;0,K$3&gt;='Hiring plan'!$G$85,K$3&lt;=IF('Hiring plan'!$H$85="",999,'Hiring plan'!$H$85)),'Hiring plan'!$F$85,0)</f>
        <v>0</v>
      </c>
      <c r="L89" s="33" t="n">
        <f aca="false">IF(AND(N('Hiring plan'!$F$85)&gt;0,L$3&gt;='Hiring plan'!$G$85,L$3&lt;=IF('Hiring plan'!$H$85="",999,'Hiring plan'!$H$85)),'Hiring plan'!$F$85,0)</f>
        <v>0</v>
      </c>
      <c r="M89" s="33" t="n">
        <f aca="false">IF(AND(N('Hiring plan'!$F$85)&gt;0,M$3&gt;='Hiring plan'!$G$85,M$3&lt;=IF('Hiring plan'!$H$85="",999,'Hiring plan'!$H$85)),'Hiring plan'!$F$85,0)</f>
        <v>0</v>
      </c>
      <c r="N89" s="33" t="n">
        <f aca="false">IF(AND(N('Hiring plan'!$F$85)&gt;0,N$3&gt;='Hiring plan'!$G$85,N$3&lt;=IF('Hiring plan'!$H$85="",999,'Hiring plan'!$H$85)),'Hiring plan'!$F$85,0)</f>
        <v>0</v>
      </c>
      <c r="O89" s="33" t="n">
        <f aca="false">IF(AND(N('Hiring plan'!$F$85)&gt;0,O$3&gt;='Hiring plan'!$G$85,O$3&lt;=IF('Hiring plan'!$H$85="",999,'Hiring plan'!$H$85)),'Hiring plan'!$F$85,0)</f>
        <v>0</v>
      </c>
      <c r="P89" s="33" t="n">
        <f aca="false">IF(AND(N('Hiring plan'!$F$85)&gt;0,P$3&gt;='Hiring plan'!$G$85,P$3&lt;=IF('Hiring plan'!$H$85="",999,'Hiring plan'!$H$85)),'Hiring plan'!$F$85,0)</f>
        <v>0</v>
      </c>
      <c r="Q89" s="33" t="n">
        <f aca="false">IF(AND(N('Hiring plan'!$F$85)&gt;0,Q$3&gt;='Hiring plan'!$G$85,Q$3&lt;=IF('Hiring plan'!$H$85="",999,'Hiring plan'!$H$85)),'Hiring plan'!$F$85,0)</f>
        <v>0</v>
      </c>
      <c r="R89" s="33" t="n">
        <f aca="false">IF(AND(N('Hiring plan'!$F$85)&gt;0,R$3&gt;='Hiring plan'!$G$85,R$3&lt;=IF('Hiring plan'!$H$85="",999,'Hiring plan'!$H$85)),'Hiring plan'!$F$85,0)</f>
        <v>0</v>
      </c>
      <c r="S89" s="33" t="n">
        <f aca="false">IF(AND(N('Hiring plan'!$F$85)&gt;0,S$3&gt;='Hiring plan'!$G$85,S$3&lt;=IF('Hiring plan'!$H$85="",999,'Hiring plan'!$H$85)),'Hiring plan'!$F$85,0)</f>
        <v>0</v>
      </c>
      <c r="T89" s="33" t="n">
        <f aca="false">IF(AND(N('Hiring plan'!$F$85)&gt;0,T$3&gt;='Hiring plan'!$G$85,T$3&lt;=IF('Hiring plan'!$H$85="",999,'Hiring plan'!$H$85)),'Hiring plan'!$F$85,0)</f>
        <v>0</v>
      </c>
      <c r="U89" s="33" t="n">
        <f aca="false">IF(AND(N('Hiring plan'!$F$85)&gt;0,U$3&gt;='Hiring plan'!$G$85,U$3&lt;=IF('Hiring plan'!$H$85="",999,'Hiring plan'!$H$85)),'Hiring plan'!$F$85,0)</f>
        <v>0</v>
      </c>
      <c r="V89" s="33" t="n">
        <f aca="false">IF(AND(N('Hiring plan'!$F$85)&gt;0,V$3&gt;='Hiring plan'!$G$85,V$3&lt;=IF('Hiring plan'!$H$85="",999,'Hiring plan'!$H$85)),'Hiring plan'!$F$85,0)</f>
        <v>0</v>
      </c>
      <c r="W89" s="33" t="n">
        <f aca="false">IF(AND(N('Hiring plan'!$F$85)&gt;0,W$3&gt;='Hiring plan'!$G$85,W$3&lt;=IF('Hiring plan'!$H$85="",999,'Hiring plan'!$H$85)),'Hiring plan'!$F$85,0)</f>
        <v>0</v>
      </c>
      <c r="X89" s="33" t="n">
        <f aca="false">IF(AND(N('Hiring plan'!$F$85)&gt;0,X$3&gt;='Hiring plan'!$G$85,X$3&lt;=IF('Hiring plan'!$H$85="",999,'Hiring plan'!$H$85)),'Hiring plan'!$F$85,0)</f>
        <v>0</v>
      </c>
      <c r="Y89" s="33" t="n">
        <f aca="false">IF(AND(N('Hiring plan'!$F$85)&gt;0,Y$3&gt;='Hiring plan'!$G$85,Y$3&lt;=IF('Hiring plan'!$H$85="",999,'Hiring plan'!$H$85)),'Hiring plan'!$F$85,0)</f>
        <v>0</v>
      </c>
      <c r="Z89" s="33" t="n">
        <f aca="false">IF(AND(N('Hiring plan'!$F$85)&gt;0,Z$3&gt;='Hiring plan'!$G$85,Z$3&lt;=IF('Hiring plan'!$H$85="",999,'Hiring plan'!$H$85)),'Hiring plan'!$F$85,0)</f>
        <v>0</v>
      </c>
      <c r="AA89" s="33" t="n">
        <f aca="false">IF(AND(N('Hiring plan'!$F$85)&gt;0,AA$3&gt;='Hiring plan'!$G$85,AA$3&lt;=IF('Hiring plan'!$H$85="",999,'Hiring plan'!$H$85)),'Hiring plan'!$F$85,0)</f>
        <v>0</v>
      </c>
      <c r="AB89" s="33" t="n">
        <f aca="false">IF(AND(N('Hiring plan'!$F$85)&gt;0,AB$3&gt;='Hiring plan'!$G$85,AB$3&lt;=IF('Hiring plan'!$H$85="",999,'Hiring plan'!$H$85)),'Hiring plan'!$F$85,0)</f>
        <v>0</v>
      </c>
      <c r="AC89" s="33" t="n">
        <f aca="false">IF(AND(N('Hiring plan'!$F$85)&gt;0,AC$3&gt;='Hiring plan'!$G$85,AC$3&lt;=IF('Hiring plan'!$H$85="",999,'Hiring plan'!$H$85)),'Hiring plan'!$F$85,0)</f>
        <v>0</v>
      </c>
      <c r="AD89" s="33" t="n">
        <f aca="false">IF(AND(N('Hiring plan'!$F$85)&gt;0,AD$3&gt;='Hiring plan'!$G$85,AD$3&lt;=IF('Hiring plan'!$H$85="",999,'Hiring plan'!$H$85)),'Hiring plan'!$F$85,0)</f>
        <v>0</v>
      </c>
      <c r="AE89" s="33" t="n">
        <f aca="false">IF(AND(N('Hiring plan'!$F$85)&gt;0,AE$3&gt;='Hiring plan'!$G$85,AE$3&lt;=IF('Hiring plan'!$H$85="",999,'Hiring plan'!$H$85)),'Hiring plan'!$F$85,0)</f>
        <v>0</v>
      </c>
      <c r="AF89" s="33" t="n">
        <f aca="false">IF(AND(N('Hiring plan'!$F$85)&gt;0,AF$3&gt;='Hiring plan'!$G$85,AF$3&lt;=IF('Hiring plan'!$H$85="",999,'Hiring plan'!$H$85)),'Hiring plan'!$F$85,0)</f>
        <v>0</v>
      </c>
      <c r="AG89" s="33" t="n">
        <f aca="false">IF(AND(N('Hiring plan'!$F$85)&gt;0,AG$3&gt;='Hiring plan'!$G$85,AG$3&lt;=IF('Hiring plan'!$H$85="",999,'Hiring plan'!$H$85)),'Hiring plan'!$F$85,0)</f>
        <v>0</v>
      </c>
      <c r="AH89" s="33" t="n">
        <f aca="false">IF(AND(N('Hiring plan'!$F$85)&gt;0,AH$3&gt;='Hiring plan'!$G$85,AH$3&lt;=IF('Hiring plan'!$H$85="",999,'Hiring plan'!$H$85)),'Hiring plan'!$F$85,0)</f>
        <v>0</v>
      </c>
      <c r="AI89" s="33" t="n">
        <f aca="false">IF(AND(N('Hiring plan'!$F$85)&gt;0,AI$3&gt;='Hiring plan'!$G$85,AI$3&lt;=IF('Hiring plan'!$H$85="",999,'Hiring plan'!$H$85)),'Hiring plan'!$F$85,0)</f>
        <v>0</v>
      </c>
      <c r="AJ89" s="33" t="n">
        <f aca="false">IF(AND(N('Hiring plan'!$F$85)&gt;0,AJ$3&gt;='Hiring plan'!$G$85,AJ$3&lt;=IF('Hiring plan'!$H$85="",999,'Hiring plan'!$H$85)),'Hiring plan'!$F$85,0)</f>
        <v>0</v>
      </c>
      <c r="AK89" s="33" t="n">
        <f aca="false">IF(AND(N('Hiring plan'!$F$85)&gt;0,AK$3&gt;='Hiring plan'!$G$85,AK$3&lt;=IF('Hiring plan'!$H$85="",999,'Hiring plan'!$H$85)),'Hiring plan'!$F$85,0)</f>
        <v>0</v>
      </c>
      <c r="AL89" s="33" t="n">
        <f aca="false">IF(AND(N('Hiring plan'!$F$85)&gt;0,AL$3&gt;='Hiring plan'!$G$85,AL$3&lt;=IF('Hiring plan'!$H$85="",999,'Hiring plan'!$H$85)),'Hiring plan'!$F$85,0)</f>
        <v>0</v>
      </c>
      <c r="AM89" s="33" t="n">
        <f aca="false">IF(AND(N('Hiring plan'!$F$85)&gt;0,AM$3&gt;='Hiring plan'!$G$85,AM$3&lt;=IF('Hiring plan'!$H$85="",999,'Hiring plan'!$H$85)),'Hiring plan'!$F$85,0)</f>
        <v>0</v>
      </c>
      <c r="AN89" s="33" t="n">
        <f aca="false">IF(AND(N('Hiring plan'!$F$85)&gt;0,AN$3&gt;='Hiring plan'!$G$85,AN$3&lt;=IF('Hiring plan'!$H$85="",999,'Hiring plan'!$H$85)),'Hiring plan'!$F$85,0)</f>
        <v>0</v>
      </c>
      <c r="AO89" s="33" t="n">
        <f aca="false">IF(AND(N('Hiring plan'!$F$85)&gt;0,AO$3&gt;='Hiring plan'!$G$85,AO$3&lt;=IF('Hiring plan'!$H$85="",999,'Hiring plan'!$H$85)),'Hiring plan'!$F$85,0)</f>
        <v>0</v>
      </c>
      <c r="AP89" s="33" t="n">
        <f aca="false">IF(AND(N('Hiring plan'!$F$85)&gt;0,AP$3&gt;='Hiring plan'!$G$85,AP$3&lt;=IF('Hiring plan'!$H$85="",999,'Hiring plan'!$H$85)),'Hiring plan'!$F$85,0)</f>
        <v>0</v>
      </c>
      <c r="AQ89" s="33" t="n">
        <f aca="false">IF(AND(N('Hiring plan'!$F$85)&gt;0,AQ$3&gt;='Hiring plan'!$G$85,AQ$3&lt;=IF('Hiring plan'!$H$85="",999,'Hiring plan'!$H$85)),'Hiring plan'!$F$85,0)</f>
        <v>0</v>
      </c>
      <c r="AR89" s="33" t="n">
        <f aca="false">IF(AND(N('Hiring plan'!$F$85)&gt;0,AR$3&gt;='Hiring plan'!$G$85,AR$3&lt;=IF('Hiring plan'!$H$85="",999,'Hiring plan'!$H$85)),'Hiring plan'!$F$85,0)</f>
        <v>0</v>
      </c>
      <c r="AS89" s="33" t="n">
        <f aca="false">IF(AND(N('Hiring plan'!$F$85)&gt;0,AS$3&gt;='Hiring plan'!$G$85,AS$3&lt;=IF('Hiring plan'!$H$85="",999,'Hiring plan'!$H$85)),'Hiring plan'!$F$85,0)</f>
        <v>0</v>
      </c>
      <c r="AT89" s="33" t="n">
        <f aca="false">IF(AND(N('Hiring plan'!$F$85)&gt;0,AT$3&gt;='Hiring plan'!$G$85,AT$3&lt;=IF('Hiring plan'!$H$85="",999,'Hiring plan'!$H$85)),'Hiring plan'!$F$85,0)</f>
        <v>0</v>
      </c>
      <c r="AU89" s="33" t="n">
        <f aca="false">IF(AND(N('Hiring plan'!$F$85)&gt;0,AU$3&gt;='Hiring plan'!$G$85,AU$3&lt;=IF('Hiring plan'!$H$85="",999,'Hiring plan'!$H$85)),'Hiring plan'!$F$85,0)</f>
        <v>0</v>
      </c>
      <c r="AV89" s="33" t="n">
        <f aca="false">IF(AND(N('Hiring plan'!$F$85)&gt;0,AV$3&gt;='Hiring plan'!$G$85,AV$3&lt;=IF('Hiring plan'!$H$85="",999,'Hiring plan'!$H$85)),'Hiring plan'!$F$85,0)</f>
        <v>0</v>
      </c>
      <c r="AW89" s="33" t="n">
        <f aca="false">IF(AND(N('Hiring plan'!$F$85)&gt;0,AW$3&gt;='Hiring plan'!$G$85,AW$3&lt;=IF('Hiring plan'!$H$85="",999,'Hiring plan'!$H$85)),'Hiring plan'!$F$85,0)</f>
        <v>0</v>
      </c>
      <c r="AX89" s="33" t="n">
        <f aca="false">IF(AND(N('Hiring plan'!$F$85)&gt;0,AX$3&gt;='Hiring plan'!$G$85,AX$3&lt;=IF('Hiring plan'!$H$85="",999,'Hiring plan'!$H$85)),'Hiring plan'!$F$85,0)</f>
        <v>0</v>
      </c>
      <c r="AY89" s="33" t="n">
        <f aca="false">IF(AND(N('Hiring plan'!$F$85)&gt;0,AY$3&gt;='Hiring plan'!$G$85,AY$3&lt;=IF('Hiring plan'!$H$85="",999,'Hiring plan'!$H$85)),'Hiring plan'!$F$85,0)</f>
        <v>0</v>
      </c>
      <c r="AZ89" s="33" t="n">
        <f aca="false">IF(AND(N('Hiring plan'!$F$85)&gt;0,AZ$3&gt;='Hiring plan'!$G$85,AZ$3&lt;=IF('Hiring plan'!$H$85="",999,'Hiring plan'!$H$85)),'Hiring plan'!$F$85,0)</f>
        <v>0</v>
      </c>
      <c r="BA89" s="33" t="n">
        <f aca="false">IF(AND(N('Hiring plan'!$F$85)&gt;0,BA$3&gt;='Hiring plan'!$G$85,BA$3&lt;=IF('Hiring plan'!$H$85="",999,'Hiring plan'!$H$85)),'Hiring plan'!$F$85,0)</f>
        <v>0</v>
      </c>
      <c r="BB89" s="33" t="n">
        <f aca="false">IF(AND(N('Hiring plan'!$F$85)&gt;0,BB$3&gt;='Hiring plan'!$G$85,BB$3&lt;=IF('Hiring plan'!$H$85="",999,'Hiring plan'!$H$85)),'Hiring plan'!$F$85,0)</f>
        <v>0</v>
      </c>
      <c r="BC89" s="33" t="n">
        <f aca="false">IF(AND(N('Hiring plan'!$F$85)&gt;0,BC$3&gt;='Hiring plan'!$G$85,BC$3&lt;=IF('Hiring plan'!$H$85="",999,'Hiring plan'!$H$85)),'Hiring plan'!$F$85,0)</f>
        <v>0</v>
      </c>
      <c r="BD89" s="33" t="n">
        <f aca="false">IF(AND(N('Hiring plan'!$F$85)&gt;0,BD$3&gt;='Hiring plan'!$G$85,BD$3&lt;=IF('Hiring plan'!$H$85="",999,'Hiring plan'!$H$85)),'Hiring plan'!$F$85,0)</f>
        <v>0</v>
      </c>
      <c r="BE89" s="33" t="n">
        <f aca="false">IF(AND(N('Hiring plan'!$F$85)&gt;0,BE$3&gt;='Hiring plan'!$G$85,BE$3&lt;=IF('Hiring plan'!$H$85="",999,'Hiring plan'!$H$85)),'Hiring plan'!$F$85,0)</f>
        <v>0</v>
      </c>
      <c r="BF89" s="33" t="n">
        <f aca="false">IF(AND(N('Hiring plan'!$F$85)&gt;0,BF$3&gt;='Hiring plan'!$G$85,BF$3&lt;=IF('Hiring plan'!$H$85="",999,'Hiring plan'!$H$85)),'Hiring plan'!$F$85,0)</f>
        <v>0</v>
      </c>
      <c r="BG89" s="33" t="n">
        <f aca="false">IF(AND(N('Hiring plan'!$F$85)&gt;0,BG$3&gt;='Hiring plan'!$G$85,BG$3&lt;=IF('Hiring plan'!$H$85="",999,'Hiring plan'!$H$85)),'Hiring plan'!$F$85,0)</f>
        <v>0</v>
      </c>
      <c r="BH89" s="33" t="n">
        <f aca="false">IF(AND(N('Hiring plan'!$F$85)&gt;0,BH$3&gt;='Hiring plan'!$G$85,BH$3&lt;=IF('Hiring plan'!$H$85="",999,'Hiring plan'!$H$85)),'Hiring plan'!$F$85,0)</f>
        <v>0</v>
      </c>
      <c r="BI89" s="33" t="n">
        <f aca="false">IF(AND(N('Hiring plan'!$F$85)&gt;0,BI$3&gt;='Hiring plan'!$G$85,BI$3&lt;=IF('Hiring plan'!$H$85="",999,'Hiring plan'!$H$85)),'Hiring plan'!$F$85,0)</f>
        <v>0</v>
      </c>
      <c r="BJ89" s="33" t="n">
        <f aca="false">IF(AND(N('Hiring plan'!$F$85)&gt;0,BJ$3&gt;='Hiring plan'!$G$85,BJ$3&lt;=IF('Hiring plan'!$H$85="",999,'Hiring plan'!$H$85)),'Hiring plan'!$F$85,0)</f>
        <v>0</v>
      </c>
      <c r="BK89" s="33" t="n">
        <f aca="false">IF(AND(N('Hiring plan'!$F$85)&gt;0,BK$3&gt;='Hiring plan'!$G$85,BK$3&lt;=IF('Hiring plan'!$H$85="",999,'Hiring plan'!$H$85)),'Hiring plan'!$F$85,0)</f>
        <v>0</v>
      </c>
      <c r="BL89" s="33" t="n">
        <f aca="false">IF(AND(N('Hiring plan'!$F$85)&gt;0,BL$3&gt;='Hiring plan'!$G$85,BL$3&lt;=IF('Hiring plan'!$H$85="",999,'Hiring plan'!$H$85)),'Hiring plan'!$F$85,0)</f>
        <v>0</v>
      </c>
    </row>
    <row r="90" customFormat="false" ht="15" hidden="false" customHeight="false" outlineLevel="0" collapsed="false">
      <c r="A90" s="12" t="str">
        <f aca="false">IF('Hiring plan'!$C$86="","(spare line 82)",'Hiring plan'!$C$86&amp;" · "&amp;'Hiring plan'!$D$86)</f>
        <v>(spare line 82)</v>
      </c>
      <c r="B90" s="14" t="s">
        <v>222</v>
      </c>
      <c r="D90" s="41" t="n">
        <f aca="false">MAX(E90:BL90)</f>
        <v>0</v>
      </c>
      <c r="E90" s="33" t="n">
        <f aca="false">IF(AND(N('Hiring plan'!$F$86)&gt;0,E$3&gt;='Hiring plan'!$G$86,E$3&lt;=IF('Hiring plan'!$H$86="",999,'Hiring plan'!$H$86)),'Hiring plan'!$F$86,0)</f>
        <v>0</v>
      </c>
      <c r="F90" s="33" t="n">
        <f aca="false">IF(AND(N('Hiring plan'!$F$86)&gt;0,F$3&gt;='Hiring plan'!$G$86,F$3&lt;=IF('Hiring plan'!$H$86="",999,'Hiring plan'!$H$86)),'Hiring plan'!$F$86,0)</f>
        <v>0</v>
      </c>
      <c r="G90" s="33" t="n">
        <f aca="false">IF(AND(N('Hiring plan'!$F$86)&gt;0,G$3&gt;='Hiring plan'!$G$86,G$3&lt;=IF('Hiring plan'!$H$86="",999,'Hiring plan'!$H$86)),'Hiring plan'!$F$86,0)</f>
        <v>0</v>
      </c>
      <c r="H90" s="33" t="n">
        <f aca="false">IF(AND(N('Hiring plan'!$F$86)&gt;0,H$3&gt;='Hiring plan'!$G$86,H$3&lt;=IF('Hiring plan'!$H$86="",999,'Hiring plan'!$H$86)),'Hiring plan'!$F$86,0)</f>
        <v>0</v>
      </c>
      <c r="I90" s="33" t="n">
        <f aca="false">IF(AND(N('Hiring plan'!$F$86)&gt;0,I$3&gt;='Hiring plan'!$G$86,I$3&lt;=IF('Hiring plan'!$H$86="",999,'Hiring plan'!$H$86)),'Hiring plan'!$F$86,0)</f>
        <v>0</v>
      </c>
      <c r="J90" s="33" t="n">
        <f aca="false">IF(AND(N('Hiring plan'!$F$86)&gt;0,J$3&gt;='Hiring plan'!$G$86,J$3&lt;=IF('Hiring plan'!$H$86="",999,'Hiring plan'!$H$86)),'Hiring plan'!$F$86,0)</f>
        <v>0</v>
      </c>
      <c r="K90" s="33" t="n">
        <f aca="false">IF(AND(N('Hiring plan'!$F$86)&gt;0,K$3&gt;='Hiring plan'!$G$86,K$3&lt;=IF('Hiring plan'!$H$86="",999,'Hiring plan'!$H$86)),'Hiring plan'!$F$86,0)</f>
        <v>0</v>
      </c>
      <c r="L90" s="33" t="n">
        <f aca="false">IF(AND(N('Hiring plan'!$F$86)&gt;0,L$3&gt;='Hiring plan'!$G$86,L$3&lt;=IF('Hiring plan'!$H$86="",999,'Hiring plan'!$H$86)),'Hiring plan'!$F$86,0)</f>
        <v>0</v>
      </c>
      <c r="M90" s="33" t="n">
        <f aca="false">IF(AND(N('Hiring plan'!$F$86)&gt;0,M$3&gt;='Hiring plan'!$G$86,M$3&lt;=IF('Hiring plan'!$H$86="",999,'Hiring plan'!$H$86)),'Hiring plan'!$F$86,0)</f>
        <v>0</v>
      </c>
      <c r="N90" s="33" t="n">
        <f aca="false">IF(AND(N('Hiring plan'!$F$86)&gt;0,N$3&gt;='Hiring plan'!$G$86,N$3&lt;=IF('Hiring plan'!$H$86="",999,'Hiring plan'!$H$86)),'Hiring plan'!$F$86,0)</f>
        <v>0</v>
      </c>
      <c r="O90" s="33" t="n">
        <f aca="false">IF(AND(N('Hiring plan'!$F$86)&gt;0,O$3&gt;='Hiring plan'!$G$86,O$3&lt;=IF('Hiring plan'!$H$86="",999,'Hiring plan'!$H$86)),'Hiring plan'!$F$86,0)</f>
        <v>0</v>
      </c>
      <c r="P90" s="33" t="n">
        <f aca="false">IF(AND(N('Hiring plan'!$F$86)&gt;0,P$3&gt;='Hiring plan'!$G$86,P$3&lt;=IF('Hiring plan'!$H$86="",999,'Hiring plan'!$H$86)),'Hiring plan'!$F$86,0)</f>
        <v>0</v>
      </c>
      <c r="Q90" s="33" t="n">
        <f aca="false">IF(AND(N('Hiring plan'!$F$86)&gt;0,Q$3&gt;='Hiring plan'!$G$86,Q$3&lt;=IF('Hiring plan'!$H$86="",999,'Hiring plan'!$H$86)),'Hiring plan'!$F$86,0)</f>
        <v>0</v>
      </c>
      <c r="R90" s="33" t="n">
        <f aca="false">IF(AND(N('Hiring plan'!$F$86)&gt;0,R$3&gt;='Hiring plan'!$G$86,R$3&lt;=IF('Hiring plan'!$H$86="",999,'Hiring plan'!$H$86)),'Hiring plan'!$F$86,0)</f>
        <v>0</v>
      </c>
      <c r="S90" s="33" t="n">
        <f aca="false">IF(AND(N('Hiring plan'!$F$86)&gt;0,S$3&gt;='Hiring plan'!$G$86,S$3&lt;=IF('Hiring plan'!$H$86="",999,'Hiring plan'!$H$86)),'Hiring plan'!$F$86,0)</f>
        <v>0</v>
      </c>
      <c r="T90" s="33" t="n">
        <f aca="false">IF(AND(N('Hiring plan'!$F$86)&gt;0,T$3&gt;='Hiring plan'!$G$86,T$3&lt;=IF('Hiring plan'!$H$86="",999,'Hiring plan'!$H$86)),'Hiring plan'!$F$86,0)</f>
        <v>0</v>
      </c>
      <c r="U90" s="33" t="n">
        <f aca="false">IF(AND(N('Hiring plan'!$F$86)&gt;0,U$3&gt;='Hiring plan'!$G$86,U$3&lt;=IF('Hiring plan'!$H$86="",999,'Hiring plan'!$H$86)),'Hiring plan'!$F$86,0)</f>
        <v>0</v>
      </c>
      <c r="V90" s="33" t="n">
        <f aca="false">IF(AND(N('Hiring plan'!$F$86)&gt;0,V$3&gt;='Hiring plan'!$G$86,V$3&lt;=IF('Hiring plan'!$H$86="",999,'Hiring plan'!$H$86)),'Hiring plan'!$F$86,0)</f>
        <v>0</v>
      </c>
      <c r="W90" s="33" t="n">
        <f aca="false">IF(AND(N('Hiring plan'!$F$86)&gt;0,W$3&gt;='Hiring plan'!$G$86,W$3&lt;=IF('Hiring plan'!$H$86="",999,'Hiring plan'!$H$86)),'Hiring plan'!$F$86,0)</f>
        <v>0</v>
      </c>
      <c r="X90" s="33" t="n">
        <f aca="false">IF(AND(N('Hiring plan'!$F$86)&gt;0,X$3&gt;='Hiring plan'!$G$86,X$3&lt;=IF('Hiring plan'!$H$86="",999,'Hiring plan'!$H$86)),'Hiring plan'!$F$86,0)</f>
        <v>0</v>
      </c>
      <c r="Y90" s="33" t="n">
        <f aca="false">IF(AND(N('Hiring plan'!$F$86)&gt;0,Y$3&gt;='Hiring plan'!$G$86,Y$3&lt;=IF('Hiring plan'!$H$86="",999,'Hiring plan'!$H$86)),'Hiring plan'!$F$86,0)</f>
        <v>0</v>
      </c>
      <c r="Z90" s="33" t="n">
        <f aca="false">IF(AND(N('Hiring plan'!$F$86)&gt;0,Z$3&gt;='Hiring plan'!$G$86,Z$3&lt;=IF('Hiring plan'!$H$86="",999,'Hiring plan'!$H$86)),'Hiring plan'!$F$86,0)</f>
        <v>0</v>
      </c>
      <c r="AA90" s="33" t="n">
        <f aca="false">IF(AND(N('Hiring plan'!$F$86)&gt;0,AA$3&gt;='Hiring plan'!$G$86,AA$3&lt;=IF('Hiring plan'!$H$86="",999,'Hiring plan'!$H$86)),'Hiring plan'!$F$86,0)</f>
        <v>0</v>
      </c>
      <c r="AB90" s="33" t="n">
        <f aca="false">IF(AND(N('Hiring plan'!$F$86)&gt;0,AB$3&gt;='Hiring plan'!$G$86,AB$3&lt;=IF('Hiring plan'!$H$86="",999,'Hiring plan'!$H$86)),'Hiring plan'!$F$86,0)</f>
        <v>0</v>
      </c>
      <c r="AC90" s="33" t="n">
        <f aca="false">IF(AND(N('Hiring plan'!$F$86)&gt;0,AC$3&gt;='Hiring plan'!$G$86,AC$3&lt;=IF('Hiring plan'!$H$86="",999,'Hiring plan'!$H$86)),'Hiring plan'!$F$86,0)</f>
        <v>0</v>
      </c>
      <c r="AD90" s="33" t="n">
        <f aca="false">IF(AND(N('Hiring plan'!$F$86)&gt;0,AD$3&gt;='Hiring plan'!$G$86,AD$3&lt;=IF('Hiring plan'!$H$86="",999,'Hiring plan'!$H$86)),'Hiring plan'!$F$86,0)</f>
        <v>0</v>
      </c>
      <c r="AE90" s="33" t="n">
        <f aca="false">IF(AND(N('Hiring plan'!$F$86)&gt;0,AE$3&gt;='Hiring plan'!$G$86,AE$3&lt;=IF('Hiring plan'!$H$86="",999,'Hiring plan'!$H$86)),'Hiring plan'!$F$86,0)</f>
        <v>0</v>
      </c>
      <c r="AF90" s="33" t="n">
        <f aca="false">IF(AND(N('Hiring plan'!$F$86)&gt;0,AF$3&gt;='Hiring plan'!$G$86,AF$3&lt;=IF('Hiring plan'!$H$86="",999,'Hiring plan'!$H$86)),'Hiring plan'!$F$86,0)</f>
        <v>0</v>
      </c>
      <c r="AG90" s="33" t="n">
        <f aca="false">IF(AND(N('Hiring plan'!$F$86)&gt;0,AG$3&gt;='Hiring plan'!$G$86,AG$3&lt;=IF('Hiring plan'!$H$86="",999,'Hiring plan'!$H$86)),'Hiring plan'!$F$86,0)</f>
        <v>0</v>
      </c>
      <c r="AH90" s="33" t="n">
        <f aca="false">IF(AND(N('Hiring plan'!$F$86)&gt;0,AH$3&gt;='Hiring plan'!$G$86,AH$3&lt;=IF('Hiring plan'!$H$86="",999,'Hiring plan'!$H$86)),'Hiring plan'!$F$86,0)</f>
        <v>0</v>
      </c>
      <c r="AI90" s="33" t="n">
        <f aca="false">IF(AND(N('Hiring plan'!$F$86)&gt;0,AI$3&gt;='Hiring plan'!$G$86,AI$3&lt;=IF('Hiring plan'!$H$86="",999,'Hiring plan'!$H$86)),'Hiring plan'!$F$86,0)</f>
        <v>0</v>
      </c>
      <c r="AJ90" s="33" t="n">
        <f aca="false">IF(AND(N('Hiring plan'!$F$86)&gt;0,AJ$3&gt;='Hiring plan'!$G$86,AJ$3&lt;=IF('Hiring plan'!$H$86="",999,'Hiring plan'!$H$86)),'Hiring plan'!$F$86,0)</f>
        <v>0</v>
      </c>
      <c r="AK90" s="33" t="n">
        <f aca="false">IF(AND(N('Hiring plan'!$F$86)&gt;0,AK$3&gt;='Hiring plan'!$G$86,AK$3&lt;=IF('Hiring plan'!$H$86="",999,'Hiring plan'!$H$86)),'Hiring plan'!$F$86,0)</f>
        <v>0</v>
      </c>
      <c r="AL90" s="33" t="n">
        <f aca="false">IF(AND(N('Hiring plan'!$F$86)&gt;0,AL$3&gt;='Hiring plan'!$G$86,AL$3&lt;=IF('Hiring plan'!$H$86="",999,'Hiring plan'!$H$86)),'Hiring plan'!$F$86,0)</f>
        <v>0</v>
      </c>
      <c r="AM90" s="33" t="n">
        <f aca="false">IF(AND(N('Hiring plan'!$F$86)&gt;0,AM$3&gt;='Hiring plan'!$G$86,AM$3&lt;=IF('Hiring plan'!$H$86="",999,'Hiring plan'!$H$86)),'Hiring plan'!$F$86,0)</f>
        <v>0</v>
      </c>
      <c r="AN90" s="33" t="n">
        <f aca="false">IF(AND(N('Hiring plan'!$F$86)&gt;0,AN$3&gt;='Hiring plan'!$G$86,AN$3&lt;=IF('Hiring plan'!$H$86="",999,'Hiring plan'!$H$86)),'Hiring plan'!$F$86,0)</f>
        <v>0</v>
      </c>
      <c r="AO90" s="33" t="n">
        <f aca="false">IF(AND(N('Hiring plan'!$F$86)&gt;0,AO$3&gt;='Hiring plan'!$G$86,AO$3&lt;=IF('Hiring plan'!$H$86="",999,'Hiring plan'!$H$86)),'Hiring plan'!$F$86,0)</f>
        <v>0</v>
      </c>
      <c r="AP90" s="33" t="n">
        <f aca="false">IF(AND(N('Hiring plan'!$F$86)&gt;0,AP$3&gt;='Hiring plan'!$G$86,AP$3&lt;=IF('Hiring plan'!$H$86="",999,'Hiring plan'!$H$86)),'Hiring plan'!$F$86,0)</f>
        <v>0</v>
      </c>
      <c r="AQ90" s="33" t="n">
        <f aca="false">IF(AND(N('Hiring plan'!$F$86)&gt;0,AQ$3&gt;='Hiring plan'!$G$86,AQ$3&lt;=IF('Hiring plan'!$H$86="",999,'Hiring plan'!$H$86)),'Hiring plan'!$F$86,0)</f>
        <v>0</v>
      </c>
      <c r="AR90" s="33" t="n">
        <f aca="false">IF(AND(N('Hiring plan'!$F$86)&gt;0,AR$3&gt;='Hiring plan'!$G$86,AR$3&lt;=IF('Hiring plan'!$H$86="",999,'Hiring plan'!$H$86)),'Hiring plan'!$F$86,0)</f>
        <v>0</v>
      </c>
      <c r="AS90" s="33" t="n">
        <f aca="false">IF(AND(N('Hiring plan'!$F$86)&gt;0,AS$3&gt;='Hiring plan'!$G$86,AS$3&lt;=IF('Hiring plan'!$H$86="",999,'Hiring plan'!$H$86)),'Hiring plan'!$F$86,0)</f>
        <v>0</v>
      </c>
      <c r="AT90" s="33" t="n">
        <f aca="false">IF(AND(N('Hiring plan'!$F$86)&gt;0,AT$3&gt;='Hiring plan'!$G$86,AT$3&lt;=IF('Hiring plan'!$H$86="",999,'Hiring plan'!$H$86)),'Hiring plan'!$F$86,0)</f>
        <v>0</v>
      </c>
      <c r="AU90" s="33" t="n">
        <f aca="false">IF(AND(N('Hiring plan'!$F$86)&gt;0,AU$3&gt;='Hiring plan'!$G$86,AU$3&lt;=IF('Hiring plan'!$H$86="",999,'Hiring plan'!$H$86)),'Hiring plan'!$F$86,0)</f>
        <v>0</v>
      </c>
      <c r="AV90" s="33" t="n">
        <f aca="false">IF(AND(N('Hiring plan'!$F$86)&gt;0,AV$3&gt;='Hiring plan'!$G$86,AV$3&lt;=IF('Hiring plan'!$H$86="",999,'Hiring plan'!$H$86)),'Hiring plan'!$F$86,0)</f>
        <v>0</v>
      </c>
      <c r="AW90" s="33" t="n">
        <f aca="false">IF(AND(N('Hiring plan'!$F$86)&gt;0,AW$3&gt;='Hiring plan'!$G$86,AW$3&lt;=IF('Hiring plan'!$H$86="",999,'Hiring plan'!$H$86)),'Hiring plan'!$F$86,0)</f>
        <v>0</v>
      </c>
      <c r="AX90" s="33" t="n">
        <f aca="false">IF(AND(N('Hiring plan'!$F$86)&gt;0,AX$3&gt;='Hiring plan'!$G$86,AX$3&lt;=IF('Hiring plan'!$H$86="",999,'Hiring plan'!$H$86)),'Hiring plan'!$F$86,0)</f>
        <v>0</v>
      </c>
      <c r="AY90" s="33" t="n">
        <f aca="false">IF(AND(N('Hiring plan'!$F$86)&gt;0,AY$3&gt;='Hiring plan'!$G$86,AY$3&lt;=IF('Hiring plan'!$H$86="",999,'Hiring plan'!$H$86)),'Hiring plan'!$F$86,0)</f>
        <v>0</v>
      </c>
      <c r="AZ90" s="33" t="n">
        <f aca="false">IF(AND(N('Hiring plan'!$F$86)&gt;0,AZ$3&gt;='Hiring plan'!$G$86,AZ$3&lt;=IF('Hiring plan'!$H$86="",999,'Hiring plan'!$H$86)),'Hiring plan'!$F$86,0)</f>
        <v>0</v>
      </c>
      <c r="BA90" s="33" t="n">
        <f aca="false">IF(AND(N('Hiring plan'!$F$86)&gt;0,BA$3&gt;='Hiring plan'!$G$86,BA$3&lt;=IF('Hiring plan'!$H$86="",999,'Hiring plan'!$H$86)),'Hiring plan'!$F$86,0)</f>
        <v>0</v>
      </c>
      <c r="BB90" s="33" t="n">
        <f aca="false">IF(AND(N('Hiring plan'!$F$86)&gt;0,BB$3&gt;='Hiring plan'!$G$86,BB$3&lt;=IF('Hiring plan'!$H$86="",999,'Hiring plan'!$H$86)),'Hiring plan'!$F$86,0)</f>
        <v>0</v>
      </c>
      <c r="BC90" s="33" t="n">
        <f aca="false">IF(AND(N('Hiring plan'!$F$86)&gt;0,BC$3&gt;='Hiring plan'!$G$86,BC$3&lt;=IF('Hiring plan'!$H$86="",999,'Hiring plan'!$H$86)),'Hiring plan'!$F$86,0)</f>
        <v>0</v>
      </c>
      <c r="BD90" s="33" t="n">
        <f aca="false">IF(AND(N('Hiring plan'!$F$86)&gt;0,BD$3&gt;='Hiring plan'!$G$86,BD$3&lt;=IF('Hiring plan'!$H$86="",999,'Hiring plan'!$H$86)),'Hiring plan'!$F$86,0)</f>
        <v>0</v>
      </c>
      <c r="BE90" s="33" t="n">
        <f aca="false">IF(AND(N('Hiring plan'!$F$86)&gt;0,BE$3&gt;='Hiring plan'!$G$86,BE$3&lt;=IF('Hiring plan'!$H$86="",999,'Hiring plan'!$H$86)),'Hiring plan'!$F$86,0)</f>
        <v>0</v>
      </c>
      <c r="BF90" s="33" t="n">
        <f aca="false">IF(AND(N('Hiring plan'!$F$86)&gt;0,BF$3&gt;='Hiring plan'!$G$86,BF$3&lt;=IF('Hiring plan'!$H$86="",999,'Hiring plan'!$H$86)),'Hiring plan'!$F$86,0)</f>
        <v>0</v>
      </c>
      <c r="BG90" s="33" t="n">
        <f aca="false">IF(AND(N('Hiring plan'!$F$86)&gt;0,BG$3&gt;='Hiring plan'!$G$86,BG$3&lt;=IF('Hiring plan'!$H$86="",999,'Hiring plan'!$H$86)),'Hiring plan'!$F$86,0)</f>
        <v>0</v>
      </c>
      <c r="BH90" s="33" t="n">
        <f aca="false">IF(AND(N('Hiring plan'!$F$86)&gt;0,BH$3&gt;='Hiring plan'!$G$86,BH$3&lt;=IF('Hiring plan'!$H$86="",999,'Hiring plan'!$H$86)),'Hiring plan'!$F$86,0)</f>
        <v>0</v>
      </c>
      <c r="BI90" s="33" t="n">
        <f aca="false">IF(AND(N('Hiring plan'!$F$86)&gt;0,BI$3&gt;='Hiring plan'!$G$86,BI$3&lt;=IF('Hiring plan'!$H$86="",999,'Hiring plan'!$H$86)),'Hiring plan'!$F$86,0)</f>
        <v>0</v>
      </c>
      <c r="BJ90" s="33" t="n">
        <f aca="false">IF(AND(N('Hiring plan'!$F$86)&gt;0,BJ$3&gt;='Hiring plan'!$G$86,BJ$3&lt;=IF('Hiring plan'!$H$86="",999,'Hiring plan'!$H$86)),'Hiring plan'!$F$86,0)</f>
        <v>0</v>
      </c>
      <c r="BK90" s="33" t="n">
        <f aca="false">IF(AND(N('Hiring plan'!$F$86)&gt;0,BK$3&gt;='Hiring plan'!$G$86,BK$3&lt;=IF('Hiring plan'!$H$86="",999,'Hiring plan'!$H$86)),'Hiring plan'!$F$86,0)</f>
        <v>0</v>
      </c>
      <c r="BL90" s="33" t="n">
        <f aca="false">IF(AND(N('Hiring plan'!$F$86)&gt;0,BL$3&gt;='Hiring plan'!$G$86,BL$3&lt;=IF('Hiring plan'!$H$86="",999,'Hiring plan'!$H$86)),'Hiring plan'!$F$86,0)</f>
        <v>0</v>
      </c>
    </row>
    <row r="91" customFormat="false" ht="15" hidden="false" customHeight="false" outlineLevel="0" collapsed="false">
      <c r="A91" s="12" t="str">
        <f aca="false">IF('Hiring plan'!$C$87="","(spare line 83)",'Hiring plan'!$C$87&amp;" · "&amp;'Hiring plan'!$D$87)</f>
        <v>(spare line 83)</v>
      </c>
      <c r="B91" s="14" t="s">
        <v>222</v>
      </c>
      <c r="D91" s="41" t="n">
        <f aca="false">MAX(E91:BL91)</f>
        <v>0</v>
      </c>
      <c r="E91" s="33" t="n">
        <f aca="false">IF(AND(N('Hiring plan'!$F$87)&gt;0,E$3&gt;='Hiring plan'!$G$87,E$3&lt;=IF('Hiring plan'!$H$87="",999,'Hiring plan'!$H$87)),'Hiring plan'!$F$87,0)</f>
        <v>0</v>
      </c>
      <c r="F91" s="33" t="n">
        <f aca="false">IF(AND(N('Hiring plan'!$F$87)&gt;0,F$3&gt;='Hiring plan'!$G$87,F$3&lt;=IF('Hiring plan'!$H$87="",999,'Hiring plan'!$H$87)),'Hiring plan'!$F$87,0)</f>
        <v>0</v>
      </c>
      <c r="G91" s="33" t="n">
        <f aca="false">IF(AND(N('Hiring plan'!$F$87)&gt;0,G$3&gt;='Hiring plan'!$G$87,G$3&lt;=IF('Hiring plan'!$H$87="",999,'Hiring plan'!$H$87)),'Hiring plan'!$F$87,0)</f>
        <v>0</v>
      </c>
      <c r="H91" s="33" t="n">
        <f aca="false">IF(AND(N('Hiring plan'!$F$87)&gt;0,H$3&gt;='Hiring plan'!$G$87,H$3&lt;=IF('Hiring plan'!$H$87="",999,'Hiring plan'!$H$87)),'Hiring plan'!$F$87,0)</f>
        <v>0</v>
      </c>
      <c r="I91" s="33" t="n">
        <f aca="false">IF(AND(N('Hiring plan'!$F$87)&gt;0,I$3&gt;='Hiring plan'!$G$87,I$3&lt;=IF('Hiring plan'!$H$87="",999,'Hiring plan'!$H$87)),'Hiring plan'!$F$87,0)</f>
        <v>0</v>
      </c>
      <c r="J91" s="33" t="n">
        <f aca="false">IF(AND(N('Hiring plan'!$F$87)&gt;0,J$3&gt;='Hiring plan'!$G$87,J$3&lt;=IF('Hiring plan'!$H$87="",999,'Hiring plan'!$H$87)),'Hiring plan'!$F$87,0)</f>
        <v>0</v>
      </c>
      <c r="K91" s="33" t="n">
        <f aca="false">IF(AND(N('Hiring plan'!$F$87)&gt;0,K$3&gt;='Hiring plan'!$G$87,K$3&lt;=IF('Hiring plan'!$H$87="",999,'Hiring plan'!$H$87)),'Hiring plan'!$F$87,0)</f>
        <v>0</v>
      </c>
      <c r="L91" s="33" t="n">
        <f aca="false">IF(AND(N('Hiring plan'!$F$87)&gt;0,L$3&gt;='Hiring plan'!$G$87,L$3&lt;=IF('Hiring plan'!$H$87="",999,'Hiring plan'!$H$87)),'Hiring plan'!$F$87,0)</f>
        <v>0</v>
      </c>
      <c r="M91" s="33" t="n">
        <f aca="false">IF(AND(N('Hiring plan'!$F$87)&gt;0,M$3&gt;='Hiring plan'!$G$87,M$3&lt;=IF('Hiring plan'!$H$87="",999,'Hiring plan'!$H$87)),'Hiring plan'!$F$87,0)</f>
        <v>0</v>
      </c>
      <c r="N91" s="33" t="n">
        <f aca="false">IF(AND(N('Hiring plan'!$F$87)&gt;0,N$3&gt;='Hiring plan'!$G$87,N$3&lt;=IF('Hiring plan'!$H$87="",999,'Hiring plan'!$H$87)),'Hiring plan'!$F$87,0)</f>
        <v>0</v>
      </c>
      <c r="O91" s="33" t="n">
        <f aca="false">IF(AND(N('Hiring plan'!$F$87)&gt;0,O$3&gt;='Hiring plan'!$G$87,O$3&lt;=IF('Hiring plan'!$H$87="",999,'Hiring plan'!$H$87)),'Hiring plan'!$F$87,0)</f>
        <v>0</v>
      </c>
      <c r="P91" s="33" t="n">
        <f aca="false">IF(AND(N('Hiring plan'!$F$87)&gt;0,P$3&gt;='Hiring plan'!$G$87,P$3&lt;=IF('Hiring plan'!$H$87="",999,'Hiring plan'!$H$87)),'Hiring plan'!$F$87,0)</f>
        <v>0</v>
      </c>
      <c r="Q91" s="33" t="n">
        <f aca="false">IF(AND(N('Hiring plan'!$F$87)&gt;0,Q$3&gt;='Hiring plan'!$G$87,Q$3&lt;=IF('Hiring plan'!$H$87="",999,'Hiring plan'!$H$87)),'Hiring plan'!$F$87,0)</f>
        <v>0</v>
      </c>
      <c r="R91" s="33" t="n">
        <f aca="false">IF(AND(N('Hiring plan'!$F$87)&gt;0,R$3&gt;='Hiring plan'!$G$87,R$3&lt;=IF('Hiring plan'!$H$87="",999,'Hiring plan'!$H$87)),'Hiring plan'!$F$87,0)</f>
        <v>0</v>
      </c>
      <c r="S91" s="33" t="n">
        <f aca="false">IF(AND(N('Hiring plan'!$F$87)&gt;0,S$3&gt;='Hiring plan'!$G$87,S$3&lt;=IF('Hiring plan'!$H$87="",999,'Hiring plan'!$H$87)),'Hiring plan'!$F$87,0)</f>
        <v>0</v>
      </c>
      <c r="T91" s="33" t="n">
        <f aca="false">IF(AND(N('Hiring plan'!$F$87)&gt;0,T$3&gt;='Hiring plan'!$G$87,T$3&lt;=IF('Hiring plan'!$H$87="",999,'Hiring plan'!$H$87)),'Hiring plan'!$F$87,0)</f>
        <v>0</v>
      </c>
      <c r="U91" s="33" t="n">
        <f aca="false">IF(AND(N('Hiring plan'!$F$87)&gt;0,U$3&gt;='Hiring plan'!$G$87,U$3&lt;=IF('Hiring plan'!$H$87="",999,'Hiring plan'!$H$87)),'Hiring plan'!$F$87,0)</f>
        <v>0</v>
      </c>
      <c r="V91" s="33" t="n">
        <f aca="false">IF(AND(N('Hiring plan'!$F$87)&gt;0,V$3&gt;='Hiring plan'!$G$87,V$3&lt;=IF('Hiring plan'!$H$87="",999,'Hiring plan'!$H$87)),'Hiring plan'!$F$87,0)</f>
        <v>0</v>
      </c>
      <c r="W91" s="33" t="n">
        <f aca="false">IF(AND(N('Hiring plan'!$F$87)&gt;0,W$3&gt;='Hiring plan'!$G$87,W$3&lt;=IF('Hiring plan'!$H$87="",999,'Hiring plan'!$H$87)),'Hiring plan'!$F$87,0)</f>
        <v>0</v>
      </c>
      <c r="X91" s="33" t="n">
        <f aca="false">IF(AND(N('Hiring plan'!$F$87)&gt;0,X$3&gt;='Hiring plan'!$G$87,X$3&lt;=IF('Hiring plan'!$H$87="",999,'Hiring plan'!$H$87)),'Hiring plan'!$F$87,0)</f>
        <v>0</v>
      </c>
      <c r="Y91" s="33" t="n">
        <f aca="false">IF(AND(N('Hiring plan'!$F$87)&gt;0,Y$3&gt;='Hiring plan'!$G$87,Y$3&lt;=IF('Hiring plan'!$H$87="",999,'Hiring plan'!$H$87)),'Hiring plan'!$F$87,0)</f>
        <v>0</v>
      </c>
      <c r="Z91" s="33" t="n">
        <f aca="false">IF(AND(N('Hiring plan'!$F$87)&gt;0,Z$3&gt;='Hiring plan'!$G$87,Z$3&lt;=IF('Hiring plan'!$H$87="",999,'Hiring plan'!$H$87)),'Hiring plan'!$F$87,0)</f>
        <v>0</v>
      </c>
      <c r="AA91" s="33" t="n">
        <f aca="false">IF(AND(N('Hiring plan'!$F$87)&gt;0,AA$3&gt;='Hiring plan'!$G$87,AA$3&lt;=IF('Hiring plan'!$H$87="",999,'Hiring plan'!$H$87)),'Hiring plan'!$F$87,0)</f>
        <v>0</v>
      </c>
      <c r="AB91" s="33" t="n">
        <f aca="false">IF(AND(N('Hiring plan'!$F$87)&gt;0,AB$3&gt;='Hiring plan'!$G$87,AB$3&lt;=IF('Hiring plan'!$H$87="",999,'Hiring plan'!$H$87)),'Hiring plan'!$F$87,0)</f>
        <v>0</v>
      </c>
      <c r="AC91" s="33" t="n">
        <f aca="false">IF(AND(N('Hiring plan'!$F$87)&gt;0,AC$3&gt;='Hiring plan'!$G$87,AC$3&lt;=IF('Hiring plan'!$H$87="",999,'Hiring plan'!$H$87)),'Hiring plan'!$F$87,0)</f>
        <v>0</v>
      </c>
      <c r="AD91" s="33" t="n">
        <f aca="false">IF(AND(N('Hiring plan'!$F$87)&gt;0,AD$3&gt;='Hiring plan'!$G$87,AD$3&lt;=IF('Hiring plan'!$H$87="",999,'Hiring plan'!$H$87)),'Hiring plan'!$F$87,0)</f>
        <v>0</v>
      </c>
      <c r="AE91" s="33" t="n">
        <f aca="false">IF(AND(N('Hiring plan'!$F$87)&gt;0,AE$3&gt;='Hiring plan'!$G$87,AE$3&lt;=IF('Hiring plan'!$H$87="",999,'Hiring plan'!$H$87)),'Hiring plan'!$F$87,0)</f>
        <v>0</v>
      </c>
      <c r="AF91" s="33" t="n">
        <f aca="false">IF(AND(N('Hiring plan'!$F$87)&gt;0,AF$3&gt;='Hiring plan'!$G$87,AF$3&lt;=IF('Hiring plan'!$H$87="",999,'Hiring plan'!$H$87)),'Hiring plan'!$F$87,0)</f>
        <v>0</v>
      </c>
      <c r="AG91" s="33" t="n">
        <f aca="false">IF(AND(N('Hiring plan'!$F$87)&gt;0,AG$3&gt;='Hiring plan'!$G$87,AG$3&lt;=IF('Hiring plan'!$H$87="",999,'Hiring plan'!$H$87)),'Hiring plan'!$F$87,0)</f>
        <v>0</v>
      </c>
      <c r="AH91" s="33" t="n">
        <f aca="false">IF(AND(N('Hiring plan'!$F$87)&gt;0,AH$3&gt;='Hiring plan'!$G$87,AH$3&lt;=IF('Hiring plan'!$H$87="",999,'Hiring plan'!$H$87)),'Hiring plan'!$F$87,0)</f>
        <v>0</v>
      </c>
      <c r="AI91" s="33" t="n">
        <f aca="false">IF(AND(N('Hiring plan'!$F$87)&gt;0,AI$3&gt;='Hiring plan'!$G$87,AI$3&lt;=IF('Hiring plan'!$H$87="",999,'Hiring plan'!$H$87)),'Hiring plan'!$F$87,0)</f>
        <v>0</v>
      </c>
      <c r="AJ91" s="33" t="n">
        <f aca="false">IF(AND(N('Hiring plan'!$F$87)&gt;0,AJ$3&gt;='Hiring plan'!$G$87,AJ$3&lt;=IF('Hiring plan'!$H$87="",999,'Hiring plan'!$H$87)),'Hiring plan'!$F$87,0)</f>
        <v>0</v>
      </c>
      <c r="AK91" s="33" t="n">
        <f aca="false">IF(AND(N('Hiring plan'!$F$87)&gt;0,AK$3&gt;='Hiring plan'!$G$87,AK$3&lt;=IF('Hiring plan'!$H$87="",999,'Hiring plan'!$H$87)),'Hiring plan'!$F$87,0)</f>
        <v>0</v>
      </c>
      <c r="AL91" s="33" t="n">
        <f aca="false">IF(AND(N('Hiring plan'!$F$87)&gt;0,AL$3&gt;='Hiring plan'!$G$87,AL$3&lt;=IF('Hiring plan'!$H$87="",999,'Hiring plan'!$H$87)),'Hiring plan'!$F$87,0)</f>
        <v>0</v>
      </c>
      <c r="AM91" s="33" t="n">
        <f aca="false">IF(AND(N('Hiring plan'!$F$87)&gt;0,AM$3&gt;='Hiring plan'!$G$87,AM$3&lt;=IF('Hiring plan'!$H$87="",999,'Hiring plan'!$H$87)),'Hiring plan'!$F$87,0)</f>
        <v>0</v>
      </c>
      <c r="AN91" s="33" t="n">
        <f aca="false">IF(AND(N('Hiring plan'!$F$87)&gt;0,AN$3&gt;='Hiring plan'!$G$87,AN$3&lt;=IF('Hiring plan'!$H$87="",999,'Hiring plan'!$H$87)),'Hiring plan'!$F$87,0)</f>
        <v>0</v>
      </c>
      <c r="AO91" s="33" t="n">
        <f aca="false">IF(AND(N('Hiring plan'!$F$87)&gt;0,AO$3&gt;='Hiring plan'!$G$87,AO$3&lt;=IF('Hiring plan'!$H$87="",999,'Hiring plan'!$H$87)),'Hiring plan'!$F$87,0)</f>
        <v>0</v>
      </c>
      <c r="AP91" s="33" t="n">
        <f aca="false">IF(AND(N('Hiring plan'!$F$87)&gt;0,AP$3&gt;='Hiring plan'!$G$87,AP$3&lt;=IF('Hiring plan'!$H$87="",999,'Hiring plan'!$H$87)),'Hiring plan'!$F$87,0)</f>
        <v>0</v>
      </c>
      <c r="AQ91" s="33" t="n">
        <f aca="false">IF(AND(N('Hiring plan'!$F$87)&gt;0,AQ$3&gt;='Hiring plan'!$G$87,AQ$3&lt;=IF('Hiring plan'!$H$87="",999,'Hiring plan'!$H$87)),'Hiring plan'!$F$87,0)</f>
        <v>0</v>
      </c>
      <c r="AR91" s="33" t="n">
        <f aca="false">IF(AND(N('Hiring plan'!$F$87)&gt;0,AR$3&gt;='Hiring plan'!$G$87,AR$3&lt;=IF('Hiring plan'!$H$87="",999,'Hiring plan'!$H$87)),'Hiring plan'!$F$87,0)</f>
        <v>0</v>
      </c>
      <c r="AS91" s="33" t="n">
        <f aca="false">IF(AND(N('Hiring plan'!$F$87)&gt;0,AS$3&gt;='Hiring plan'!$G$87,AS$3&lt;=IF('Hiring plan'!$H$87="",999,'Hiring plan'!$H$87)),'Hiring plan'!$F$87,0)</f>
        <v>0</v>
      </c>
      <c r="AT91" s="33" t="n">
        <f aca="false">IF(AND(N('Hiring plan'!$F$87)&gt;0,AT$3&gt;='Hiring plan'!$G$87,AT$3&lt;=IF('Hiring plan'!$H$87="",999,'Hiring plan'!$H$87)),'Hiring plan'!$F$87,0)</f>
        <v>0</v>
      </c>
      <c r="AU91" s="33" t="n">
        <f aca="false">IF(AND(N('Hiring plan'!$F$87)&gt;0,AU$3&gt;='Hiring plan'!$G$87,AU$3&lt;=IF('Hiring plan'!$H$87="",999,'Hiring plan'!$H$87)),'Hiring plan'!$F$87,0)</f>
        <v>0</v>
      </c>
      <c r="AV91" s="33" t="n">
        <f aca="false">IF(AND(N('Hiring plan'!$F$87)&gt;0,AV$3&gt;='Hiring plan'!$G$87,AV$3&lt;=IF('Hiring plan'!$H$87="",999,'Hiring plan'!$H$87)),'Hiring plan'!$F$87,0)</f>
        <v>0</v>
      </c>
      <c r="AW91" s="33" t="n">
        <f aca="false">IF(AND(N('Hiring plan'!$F$87)&gt;0,AW$3&gt;='Hiring plan'!$G$87,AW$3&lt;=IF('Hiring plan'!$H$87="",999,'Hiring plan'!$H$87)),'Hiring plan'!$F$87,0)</f>
        <v>0</v>
      </c>
      <c r="AX91" s="33" t="n">
        <f aca="false">IF(AND(N('Hiring plan'!$F$87)&gt;0,AX$3&gt;='Hiring plan'!$G$87,AX$3&lt;=IF('Hiring plan'!$H$87="",999,'Hiring plan'!$H$87)),'Hiring plan'!$F$87,0)</f>
        <v>0</v>
      </c>
      <c r="AY91" s="33" t="n">
        <f aca="false">IF(AND(N('Hiring plan'!$F$87)&gt;0,AY$3&gt;='Hiring plan'!$G$87,AY$3&lt;=IF('Hiring plan'!$H$87="",999,'Hiring plan'!$H$87)),'Hiring plan'!$F$87,0)</f>
        <v>0</v>
      </c>
      <c r="AZ91" s="33" t="n">
        <f aca="false">IF(AND(N('Hiring plan'!$F$87)&gt;0,AZ$3&gt;='Hiring plan'!$G$87,AZ$3&lt;=IF('Hiring plan'!$H$87="",999,'Hiring plan'!$H$87)),'Hiring plan'!$F$87,0)</f>
        <v>0</v>
      </c>
      <c r="BA91" s="33" t="n">
        <f aca="false">IF(AND(N('Hiring plan'!$F$87)&gt;0,BA$3&gt;='Hiring plan'!$G$87,BA$3&lt;=IF('Hiring plan'!$H$87="",999,'Hiring plan'!$H$87)),'Hiring plan'!$F$87,0)</f>
        <v>0</v>
      </c>
      <c r="BB91" s="33" t="n">
        <f aca="false">IF(AND(N('Hiring plan'!$F$87)&gt;0,BB$3&gt;='Hiring plan'!$G$87,BB$3&lt;=IF('Hiring plan'!$H$87="",999,'Hiring plan'!$H$87)),'Hiring plan'!$F$87,0)</f>
        <v>0</v>
      </c>
      <c r="BC91" s="33" t="n">
        <f aca="false">IF(AND(N('Hiring plan'!$F$87)&gt;0,BC$3&gt;='Hiring plan'!$G$87,BC$3&lt;=IF('Hiring plan'!$H$87="",999,'Hiring plan'!$H$87)),'Hiring plan'!$F$87,0)</f>
        <v>0</v>
      </c>
      <c r="BD91" s="33" t="n">
        <f aca="false">IF(AND(N('Hiring plan'!$F$87)&gt;0,BD$3&gt;='Hiring plan'!$G$87,BD$3&lt;=IF('Hiring plan'!$H$87="",999,'Hiring plan'!$H$87)),'Hiring plan'!$F$87,0)</f>
        <v>0</v>
      </c>
      <c r="BE91" s="33" t="n">
        <f aca="false">IF(AND(N('Hiring plan'!$F$87)&gt;0,BE$3&gt;='Hiring plan'!$G$87,BE$3&lt;=IF('Hiring plan'!$H$87="",999,'Hiring plan'!$H$87)),'Hiring plan'!$F$87,0)</f>
        <v>0</v>
      </c>
      <c r="BF91" s="33" t="n">
        <f aca="false">IF(AND(N('Hiring plan'!$F$87)&gt;0,BF$3&gt;='Hiring plan'!$G$87,BF$3&lt;=IF('Hiring plan'!$H$87="",999,'Hiring plan'!$H$87)),'Hiring plan'!$F$87,0)</f>
        <v>0</v>
      </c>
      <c r="BG91" s="33" t="n">
        <f aca="false">IF(AND(N('Hiring plan'!$F$87)&gt;0,BG$3&gt;='Hiring plan'!$G$87,BG$3&lt;=IF('Hiring plan'!$H$87="",999,'Hiring plan'!$H$87)),'Hiring plan'!$F$87,0)</f>
        <v>0</v>
      </c>
      <c r="BH91" s="33" t="n">
        <f aca="false">IF(AND(N('Hiring plan'!$F$87)&gt;0,BH$3&gt;='Hiring plan'!$G$87,BH$3&lt;=IF('Hiring plan'!$H$87="",999,'Hiring plan'!$H$87)),'Hiring plan'!$F$87,0)</f>
        <v>0</v>
      </c>
      <c r="BI91" s="33" t="n">
        <f aca="false">IF(AND(N('Hiring plan'!$F$87)&gt;0,BI$3&gt;='Hiring plan'!$G$87,BI$3&lt;=IF('Hiring plan'!$H$87="",999,'Hiring plan'!$H$87)),'Hiring plan'!$F$87,0)</f>
        <v>0</v>
      </c>
      <c r="BJ91" s="33" t="n">
        <f aca="false">IF(AND(N('Hiring plan'!$F$87)&gt;0,BJ$3&gt;='Hiring plan'!$G$87,BJ$3&lt;=IF('Hiring plan'!$H$87="",999,'Hiring plan'!$H$87)),'Hiring plan'!$F$87,0)</f>
        <v>0</v>
      </c>
      <c r="BK91" s="33" t="n">
        <f aca="false">IF(AND(N('Hiring plan'!$F$87)&gt;0,BK$3&gt;='Hiring plan'!$G$87,BK$3&lt;=IF('Hiring plan'!$H$87="",999,'Hiring plan'!$H$87)),'Hiring plan'!$F$87,0)</f>
        <v>0</v>
      </c>
      <c r="BL91" s="33" t="n">
        <f aca="false">IF(AND(N('Hiring plan'!$F$87)&gt;0,BL$3&gt;='Hiring plan'!$G$87,BL$3&lt;=IF('Hiring plan'!$H$87="",999,'Hiring plan'!$H$87)),'Hiring plan'!$F$87,0)</f>
        <v>0</v>
      </c>
    </row>
    <row r="93" customFormat="false" ht="15" hidden="false" customHeight="false" outlineLevel="0" collapsed="false">
      <c r="A93" s="10" t="s">
        <v>519</v>
      </c>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row>
    <row r="94" customFormat="false" ht="15" hidden="false" customHeight="false" outlineLevel="0" collapsed="false">
      <c r="A94" s="12" t="str">
        <f aca="false">A9</f>
        <v>CEO · SN</v>
      </c>
      <c r="B94" s="14" t="s">
        <v>63</v>
      </c>
      <c r="D94" s="41" t="n">
        <f aca="false">SUM(E94:BL94)</f>
        <v>192508483.8349</v>
      </c>
      <c r="E94" s="33" t="n">
        <f aca="false">E9*'Hiring plan'!$K$5*(1+Salary_Raise)^(E$5-1)</f>
        <v>2903265.33333333</v>
      </c>
      <c r="F94" s="33" t="n">
        <f aca="false">F9*'Hiring plan'!$K$5*(1+Salary_Raise)^(F$5-1)</f>
        <v>2903265.33333333</v>
      </c>
      <c r="G94" s="33" t="n">
        <f aca="false">G9*'Hiring plan'!$K$5*(1+Salary_Raise)^(G$5-1)</f>
        <v>2903265.33333333</v>
      </c>
      <c r="H94" s="33" t="n">
        <f aca="false">H9*'Hiring plan'!$K$5*(1+Salary_Raise)^(H$5-1)</f>
        <v>2903265.33333333</v>
      </c>
      <c r="I94" s="33" t="n">
        <f aca="false">I9*'Hiring plan'!$K$5*(1+Salary_Raise)^(I$5-1)</f>
        <v>2903265.33333333</v>
      </c>
      <c r="J94" s="33" t="n">
        <f aca="false">J9*'Hiring plan'!$K$5*(1+Salary_Raise)^(J$5-1)</f>
        <v>2903265.33333333</v>
      </c>
      <c r="K94" s="33" t="n">
        <f aca="false">K9*'Hiring plan'!$K$5*(1+Salary_Raise)^(K$5-1)</f>
        <v>2903265.33333333</v>
      </c>
      <c r="L94" s="33" t="n">
        <f aca="false">L9*'Hiring plan'!$K$5*(1+Salary_Raise)^(L$5-1)</f>
        <v>2903265.33333333</v>
      </c>
      <c r="M94" s="33" t="n">
        <f aca="false">M9*'Hiring plan'!$K$5*(1+Salary_Raise)^(M$5-1)</f>
        <v>2903265.33333333</v>
      </c>
      <c r="N94" s="33" t="n">
        <f aca="false">N9*'Hiring plan'!$K$5*(1+Salary_Raise)^(N$5-1)</f>
        <v>2903265.33333333</v>
      </c>
      <c r="O94" s="33" t="n">
        <f aca="false">O9*'Hiring plan'!$K$5*(1+Salary_Raise)^(O$5-1)</f>
        <v>2903265.33333333</v>
      </c>
      <c r="P94" s="33" t="n">
        <f aca="false">P9*'Hiring plan'!$K$5*(1+Salary_Raise)^(P$5-1)</f>
        <v>2903265.33333333</v>
      </c>
      <c r="Q94" s="33" t="n">
        <f aca="false">Q9*'Hiring plan'!$K$5*(1+Salary_Raise)^(Q$5-1)</f>
        <v>3048428.6</v>
      </c>
      <c r="R94" s="33" t="n">
        <f aca="false">R9*'Hiring plan'!$K$5*(1+Salary_Raise)^(R$5-1)</f>
        <v>3048428.6</v>
      </c>
      <c r="S94" s="33" t="n">
        <f aca="false">S9*'Hiring plan'!$K$5*(1+Salary_Raise)^(S$5-1)</f>
        <v>3048428.6</v>
      </c>
      <c r="T94" s="33" t="n">
        <f aca="false">T9*'Hiring plan'!$K$5*(1+Salary_Raise)^(T$5-1)</f>
        <v>3048428.6</v>
      </c>
      <c r="U94" s="33" t="n">
        <f aca="false">U9*'Hiring plan'!$K$5*(1+Salary_Raise)^(U$5-1)</f>
        <v>3048428.6</v>
      </c>
      <c r="V94" s="33" t="n">
        <f aca="false">V9*'Hiring plan'!$K$5*(1+Salary_Raise)^(V$5-1)</f>
        <v>3048428.6</v>
      </c>
      <c r="W94" s="33" t="n">
        <f aca="false">W9*'Hiring plan'!$K$5*(1+Salary_Raise)^(W$5-1)</f>
        <v>3048428.6</v>
      </c>
      <c r="X94" s="33" t="n">
        <f aca="false">X9*'Hiring plan'!$K$5*(1+Salary_Raise)^(X$5-1)</f>
        <v>3048428.6</v>
      </c>
      <c r="Y94" s="33" t="n">
        <f aca="false">Y9*'Hiring plan'!$K$5*(1+Salary_Raise)^(Y$5-1)</f>
        <v>3048428.6</v>
      </c>
      <c r="Z94" s="33" t="n">
        <f aca="false">Z9*'Hiring plan'!$K$5*(1+Salary_Raise)^(Z$5-1)</f>
        <v>3048428.6</v>
      </c>
      <c r="AA94" s="33" t="n">
        <f aca="false">AA9*'Hiring plan'!$K$5*(1+Salary_Raise)^(AA$5-1)</f>
        <v>3048428.6</v>
      </c>
      <c r="AB94" s="33" t="n">
        <f aca="false">AB9*'Hiring plan'!$K$5*(1+Salary_Raise)^(AB$5-1)</f>
        <v>3048428.6</v>
      </c>
      <c r="AC94" s="33" t="n">
        <f aca="false">AC9*'Hiring plan'!$K$5*(1+Salary_Raise)^(AC$5-1)</f>
        <v>3200850.03</v>
      </c>
      <c r="AD94" s="33" t="n">
        <f aca="false">AD9*'Hiring plan'!$K$5*(1+Salary_Raise)^(AD$5-1)</f>
        <v>3200850.03</v>
      </c>
      <c r="AE94" s="33" t="n">
        <f aca="false">AE9*'Hiring plan'!$K$5*(1+Salary_Raise)^(AE$5-1)</f>
        <v>3200850.03</v>
      </c>
      <c r="AF94" s="33" t="n">
        <f aca="false">AF9*'Hiring plan'!$K$5*(1+Salary_Raise)^(AF$5-1)</f>
        <v>3200850.03</v>
      </c>
      <c r="AG94" s="33" t="n">
        <f aca="false">AG9*'Hiring plan'!$K$5*(1+Salary_Raise)^(AG$5-1)</f>
        <v>3200850.03</v>
      </c>
      <c r="AH94" s="33" t="n">
        <f aca="false">AH9*'Hiring plan'!$K$5*(1+Salary_Raise)^(AH$5-1)</f>
        <v>3200850.03</v>
      </c>
      <c r="AI94" s="33" t="n">
        <f aca="false">AI9*'Hiring plan'!$K$5*(1+Salary_Raise)^(AI$5-1)</f>
        <v>3200850.03</v>
      </c>
      <c r="AJ94" s="33" t="n">
        <f aca="false">AJ9*'Hiring plan'!$K$5*(1+Salary_Raise)^(AJ$5-1)</f>
        <v>3200850.03</v>
      </c>
      <c r="AK94" s="33" t="n">
        <f aca="false">AK9*'Hiring plan'!$K$5*(1+Salary_Raise)^(AK$5-1)</f>
        <v>3200850.03</v>
      </c>
      <c r="AL94" s="33" t="n">
        <f aca="false">AL9*'Hiring plan'!$K$5*(1+Salary_Raise)^(AL$5-1)</f>
        <v>3200850.03</v>
      </c>
      <c r="AM94" s="33" t="n">
        <f aca="false">AM9*'Hiring plan'!$K$5*(1+Salary_Raise)^(AM$5-1)</f>
        <v>3200850.03</v>
      </c>
      <c r="AN94" s="33" t="n">
        <f aca="false">AN9*'Hiring plan'!$K$5*(1+Salary_Raise)^(AN$5-1)</f>
        <v>3200850.03</v>
      </c>
      <c r="AO94" s="33" t="n">
        <f aca="false">AO9*'Hiring plan'!$K$5*(1+Salary_Raise)^(AO$5-1)</f>
        <v>3360892.5315</v>
      </c>
      <c r="AP94" s="33" t="n">
        <f aca="false">AP9*'Hiring plan'!$K$5*(1+Salary_Raise)^(AP$5-1)</f>
        <v>3360892.5315</v>
      </c>
      <c r="AQ94" s="33" t="n">
        <f aca="false">AQ9*'Hiring plan'!$K$5*(1+Salary_Raise)^(AQ$5-1)</f>
        <v>3360892.5315</v>
      </c>
      <c r="AR94" s="33" t="n">
        <f aca="false">AR9*'Hiring plan'!$K$5*(1+Salary_Raise)^(AR$5-1)</f>
        <v>3360892.5315</v>
      </c>
      <c r="AS94" s="33" t="n">
        <f aca="false">AS9*'Hiring plan'!$K$5*(1+Salary_Raise)^(AS$5-1)</f>
        <v>3360892.5315</v>
      </c>
      <c r="AT94" s="33" t="n">
        <f aca="false">AT9*'Hiring plan'!$K$5*(1+Salary_Raise)^(AT$5-1)</f>
        <v>3360892.5315</v>
      </c>
      <c r="AU94" s="33" t="n">
        <f aca="false">AU9*'Hiring plan'!$K$5*(1+Salary_Raise)^(AU$5-1)</f>
        <v>3360892.5315</v>
      </c>
      <c r="AV94" s="33" t="n">
        <f aca="false">AV9*'Hiring plan'!$K$5*(1+Salary_Raise)^(AV$5-1)</f>
        <v>3360892.5315</v>
      </c>
      <c r="AW94" s="33" t="n">
        <f aca="false">AW9*'Hiring plan'!$K$5*(1+Salary_Raise)^(AW$5-1)</f>
        <v>3360892.5315</v>
      </c>
      <c r="AX94" s="33" t="n">
        <f aca="false">AX9*'Hiring plan'!$K$5*(1+Salary_Raise)^(AX$5-1)</f>
        <v>3360892.5315</v>
      </c>
      <c r="AY94" s="33" t="n">
        <f aca="false">AY9*'Hiring plan'!$K$5*(1+Salary_Raise)^(AY$5-1)</f>
        <v>3360892.5315</v>
      </c>
      <c r="AZ94" s="33" t="n">
        <f aca="false">AZ9*'Hiring plan'!$K$5*(1+Salary_Raise)^(AZ$5-1)</f>
        <v>3360892.5315</v>
      </c>
      <c r="BA94" s="33" t="n">
        <f aca="false">BA9*'Hiring plan'!$K$5*(1+Salary_Raise)^(BA$5-1)</f>
        <v>3528937.158075</v>
      </c>
      <c r="BB94" s="33" t="n">
        <f aca="false">BB9*'Hiring plan'!$K$5*(1+Salary_Raise)^(BB$5-1)</f>
        <v>3528937.158075</v>
      </c>
      <c r="BC94" s="33" t="n">
        <f aca="false">BC9*'Hiring plan'!$K$5*(1+Salary_Raise)^(BC$5-1)</f>
        <v>3528937.158075</v>
      </c>
      <c r="BD94" s="33" t="n">
        <f aca="false">BD9*'Hiring plan'!$K$5*(1+Salary_Raise)^(BD$5-1)</f>
        <v>3528937.158075</v>
      </c>
      <c r="BE94" s="33" t="n">
        <f aca="false">BE9*'Hiring plan'!$K$5*(1+Salary_Raise)^(BE$5-1)</f>
        <v>3528937.158075</v>
      </c>
      <c r="BF94" s="33" t="n">
        <f aca="false">BF9*'Hiring plan'!$K$5*(1+Salary_Raise)^(BF$5-1)</f>
        <v>3528937.158075</v>
      </c>
      <c r="BG94" s="33" t="n">
        <f aca="false">BG9*'Hiring plan'!$K$5*(1+Salary_Raise)^(BG$5-1)</f>
        <v>3528937.158075</v>
      </c>
      <c r="BH94" s="33" t="n">
        <f aca="false">BH9*'Hiring plan'!$K$5*(1+Salary_Raise)^(BH$5-1)</f>
        <v>3528937.158075</v>
      </c>
      <c r="BI94" s="33" t="n">
        <f aca="false">BI9*'Hiring plan'!$K$5*(1+Salary_Raise)^(BI$5-1)</f>
        <v>3528937.158075</v>
      </c>
      <c r="BJ94" s="33" t="n">
        <f aca="false">BJ9*'Hiring plan'!$K$5*(1+Salary_Raise)^(BJ$5-1)</f>
        <v>3528937.158075</v>
      </c>
      <c r="BK94" s="33" t="n">
        <f aca="false">BK9*'Hiring plan'!$K$5*(1+Salary_Raise)^(BK$5-1)</f>
        <v>3528937.158075</v>
      </c>
      <c r="BL94" s="33" t="n">
        <f aca="false">BL9*'Hiring plan'!$K$5*(1+Salary_Raise)^(BL$5-1)</f>
        <v>3528937.158075</v>
      </c>
    </row>
    <row r="95" customFormat="false" ht="15" hidden="false" customHeight="false" outlineLevel="0" collapsed="false">
      <c r="A95" s="12" t="str">
        <f aca="false">A10</f>
        <v>CTO (also codes) · SN</v>
      </c>
      <c r="B95" s="14" t="s">
        <v>63</v>
      </c>
      <c r="D95" s="41" t="n">
        <f aca="false">SUM(E95:BL95)</f>
        <v>192508483.8349</v>
      </c>
      <c r="E95" s="33" t="n">
        <f aca="false">E10*'Hiring plan'!$K$6*(1+Salary_Raise)^(E$5-1)</f>
        <v>2903265.33333333</v>
      </c>
      <c r="F95" s="33" t="n">
        <f aca="false">F10*'Hiring plan'!$K$6*(1+Salary_Raise)^(F$5-1)</f>
        <v>2903265.33333333</v>
      </c>
      <c r="G95" s="33" t="n">
        <f aca="false">G10*'Hiring plan'!$K$6*(1+Salary_Raise)^(G$5-1)</f>
        <v>2903265.33333333</v>
      </c>
      <c r="H95" s="33" t="n">
        <f aca="false">H10*'Hiring plan'!$K$6*(1+Salary_Raise)^(H$5-1)</f>
        <v>2903265.33333333</v>
      </c>
      <c r="I95" s="33" t="n">
        <f aca="false">I10*'Hiring plan'!$K$6*(1+Salary_Raise)^(I$5-1)</f>
        <v>2903265.33333333</v>
      </c>
      <c r="J95" s="33" t="n">
        <f aca="false">J10*'Hiring plan'!$K$6*(1+Salary_Raise)^(J$5-1)</f>
        <v>2903265.33333333</v>
      </c>
      <c r="K95" s="33" t="n">
        <f aca="false">K10*'Hiring plan'!$K$6*(1+Salary_Raise)^(K$5-1)</f>
        <v>2903265.33333333</v>
      </c>
      <c r="L95" s="33" t="n">
        <f aca="false">L10*'Hiring plan'!$K$6*(1+Salary_Raise)^(L$5-1)</f>
        <v>2903265.33333333</v>
      </c>
      <c r="M95" s="33" t="n">
        <f aca="false">M10*'Hiring plan'!$K$6*(1+Salary_Raise)^(M$5-1)</f>
        <v>2903265.33333333</v>
      </c>
      <c r="N95" s="33" t="n">
        <f aca="false">N10*'Hiring plan'!$K$6*(1+Salary_Raise)^(N$5-1)</f>
        <v>2903265.33333333</v>
      </c>
      <c r="O95" s="33" t="n">
        <f aca="false">O10*'Hiring plan'!$K$6*(1+Salary_Raise)^(O$5-1)</f>
        <v>2903265.33333333</v>
      </c>
      <c r="P95" s="33" t="n">
        <f aca="false">P10*'Hiring plan'!$K$6*(1+Salary_Raise)^(P$5-1)</f>
        <v>2903265.33333333</v>
      </c>
      <c r="Q95" s="33" t="n">
        <f aca="false">Q10*'Hiring plan'!$K$6*(1+Salary_Raise)^(Q$5-1)</f>
        <v>3048428.6</v>
      </c>
      <c r="R95" s="33" t="n">
        <f aca="false">R10*'Hiring plan'!$K$6*(1+Salary_Raise)^(R$5-1)</f>
        <v>3048428.6</v>
      </c>
      <c r="S95" s="33" t="n">
        <f aca="false">S10*'Hiring plan'!$K$6*(1+Salary_Raise)^(S$5-1)</f>
        <v>3048428.6</v>
      </c>
      <c r="T95" s="33" t="n">
        <f aca="false">T10*'Hiring plan'!$K$6*(1+Salary_Raise)^(T$5-1)</f>
        <v>3048428.6</v>
      </c>
      <c r="U95" s="33" t="n">
        <f aca="false">U10*'Hiring plan'!$K$6*(1+Salary_Raise)^(U$5-1)</f>
        <v>3048428.6</v>
      </c>
      <c r="V95" s="33" t="n">
        <f aca="false">V10*'Hiring plan'!$K$6*(1+Salary_Raise)^(V$5-1)</f>
        <v>3048428.6</v>
      </c>
      <c r="W95" s="33" t="n">
        <f aca="false">W10*'Hiring plan'!$K$6*(1+Salary_Raise)^(W$5-1)</f>
        <v>3048428.6</v>
      </c>
      <c r="X95" s="33" t="n">
        <f aca="false">X10*'Hiring plan'!$K$6*(1+Salary_Raise)^(X$5-1)</f>
        <v>3048428.6</v>
      </c>
      <c r="Y95" s="33" t="n">
        <f aca="false">Y10*'Hiring plan'!$K$6*(1+Salary_Raise)^(Y$5-1)</f>
        <v>3048428.6</v>
      </c>
      <c r="Z95" s="33" t="n">
        <f aca="false">Z10*'Hiring plan'!$K$6*(1+Salary_Raise)^(Z$5-1)</f>
        <v>3048428.6</v>
      </c>
      <c r="AA95" s="33" t="n">
        <f aca="false">AA10*'Hiring plan'!$K$6*(1+Salary_Raise)^(AA$5-1)</f>
        <v>3048428.6</v>
      </c>
      <c r="AB95" s="33" t="n">
        <f aca="false">AB10*'Hiring plan'!$K$6*(1+Salary_Raise)^(AB$5-1)</f>
        <v>3048428.6</v>
      </c>
      <c r="AC95" s="33" t="n">
        <f aca="false">AC10*'Hiring plan'!$K$6*(1+Salary_Raise)^(AC$5-1)</f>
        <v>3200850.03</v>
      </c>
      <c r="AD95" s="33" t="n">
        <f aca="false">AD10*'Hiring plan'!$K$6*(1+Salary_Raise)^(AD$5-1)</f>
        <v>3200850.03</v>
      </c>
      <c r="AE95" s="33" t="n">
        <f aca="false">AE10*'Hiring plan'!$K$6*(1+Salary_Raise)^(AE$5-1)</f>
        <v>3200850.03</v>
      </c>
      <c r="AF95" s="33" t="n">
        <f aca="false">AF10*'Hiring plan'!$K$6*(1+Salary_Raise)^(AF$5-1)</f>
        <v>3200850.03</v>
      </c>
      <c r="AG95" s="33" t="n">
        <f aca="false">AG10*'Hiring plan'!$K$6*(1+Salary_Raise)^(AG$5-1)</f>
        <v>3200850.03</v>
      </c>
      <c r="AH95" s="33" t="n">
        <f aca="false">AH10*'Hiring plan'!$K$6*(1+Salary_Raise)^(AH$5-1)</f>
        <v>3200850.03</v>
      </c>
      <c r="AI95" s="33" t="n">
        <f aca="false">AI10*'Hiring plan'!$K$6*(1+Salary_Raise)^(AI$5-1)</f>
        <v>3200850.03</v>
      </c>
      <c r="AJ95" s="33" t="n">
        <f aca="false">AJ10*'Hiring plan'!$K$6*(1+Salary_Raise)^(AJ$5-1)</f>
        <v>3200850.03</v>
      </c>
      <c r="AK95" s="33" t="n">
        <f aca="false">AK10*'Hiring plan'!$K$6*(1+Salary_Raise)^(AK$5-1)</f>
        <v>3200850.03</v>
      </c>
      <c r="AL95" s="33" t="n">
        <f aca="false">AL10*'Hiring plan'!$K$6*(1+Salary_Raise)^(AL$5-1)</f>
        <v>3200850.03</v>
      </c>
      <c r="AM95" s="33" t="n">
        <f aca="false">AM10*'Hiring plan'!$K$6*(1+Salary_Raise)^(AM$5-1)</f>
        <v>3200850.03</v>
      </c>
      <c r="AN95" s="33" t="n">
        <f aca="false">AN10*'Hiring plan'!$K$6*(1+Salary_Raise)^(AN$5-1)</f>
        <v>3200850.03</v>
      </c>
      <c r="AO95" s="33" t="n">
        <f aca="false">AO10*'Hiring plan'!$K$6*(1+Salary_Raise)^(AO$5-1)</f>
        <v>3360892.5315</v>
      </c>
      <c r="AP95" s="33" t="n">
        <f aca="false">AP10*'Hiring plan'!$K$6*(1+Salary_Raise)^(AP$5-1)</f>
        <v>3360892.5315</v>
      </c>
      <c r="AQ95" s="33" t="n">
        <f aca="false">AQ10*'Hiring plan'!$K$6*(1+Salary_Raise)^(AQ$5-1)</f>
        <v>3360892.5315</v>
      </c>
      <c r="AR95" s="33" t="n">
        <f aca="false">AR10*'Hiring plan'!$K$6*(1+Salary_Raise)^(AR$5-1)</f>
        <v>3360892.5315</v>
      </c>
      <c r="AS95" s="33" t="n">
        <f aca="false">AS10*'Hiring plan'!$K$6*(1+Salary_Raise)^(AS$5-1)</f>
        <v>3360892.5315</v>
      </c>
      <c r="AT95" s="33" t="n">
        <f aca="false">AT10*'Hiring plan'!$K$6*(1+Salary_Raise)^(AT$5-1)</f>
        <v>3360892.5315</v>
      </c>
      <c r="AU95" s="33" t="n">
        <f aca="false">AU10*'Hiring plan'!$K$6*(1+Salary_Raise)^(AU$5-1)</f>
        <v>3360892.5315</v>
      </c>
      <c r="AV95" s="33" t="n">
        <f aca="false">AV10*'Hiring plan'!$K$6*(1+Salary_Raise)^(AV$5-1)</f>
        <v>3360892.5315</v>
      </c>
      <c r="AW95" s="33" t="n">
        <f aca="false">AW10*'Hiring plan'!$K$6*(1+Salary_Raise)^(AW$5-1)</f>
        <v>3360892.5315</v>
      </c>
      <c r="AX95" s="33" t="n">
        <f aca="false">AX10*'Hiring plan'!$K$6*(1+Salary_Raise)^(AX$5-1)</f>
        <v>3360892.5315</v>
      </c>
      <c r="AY95" s="33" t="n">
        <f aca="false">AY10*'Hiring plan'!$K$6*(1+Salary_Raise)^(AY$5-1)</f>
        <v>3360892.5315</v>
      </c>
      <c r="AZ95" s="33" t="n">
        <f aca="false">AZ10*'Hiring plan'!$K$6*(1+Salary_Raise)^(AZ$5-1)</f>
        <v>3360892.5315</v>
      </c>
      <c r="BA95" s="33" t="n">
        <f aca="false">BA10*'Hiring plan'!$K$6*(1+Salary_Raise)^(BA$5-1)</f>
        <v>3528937.158075</v>
      </c>
      <c r="BB95" s="33" t="n">
        <f aca="false">BB10*'Hiring plan'!$K$6*(1+Salary_Raise)^(BB$5-1)</f>
        <v>3528937.158075</v>
      </c>
      <c r="BC95" s="33" t="n">
        <f aca="false">BC10*'Hiring plan'!$K$6*(1+Salary_Raise)^(BC$5-1)</f>
        <v>3528937.158075</v>
      </c>
      <c r="BD95" s="33" t="n">
        <f aca="false">BD10*'Hiring plan'!$K$6*(1+Salary_Raise)^(BD$5-1)</f>
        <v>3528937.158075</v>
      </c>
      <c r="BE95" s="33" t="n">
        <f aca="false">BE10*'Hiring plan'!$K$6*(1+Salary_Raise)^(BE$5-1)</f>
        <v>3528937.158075</v>
      </c>
      <c r="BF95" s="33" t="n">
        <f aca="false">BF10*'Hiring plan'!$K$6*(1+Salary_Raise)^(BF$5-1)</f>
        <v>3528937.158075</v>
      </c>
      <c r="BG95" s="33" t="n">
        <f aca="false">BG10*'Hiring plan'!$K$6*(1+Salary_Raise)^(BG$5-1)</f>
        <v>3528937.158075</v>
      </c>
      <c r="BH95" s="33" t="n">
        <f aca="false">BH10*'Hiring plan'!$K$6*(1+Salary_Raise)^(BH$5-1)</f>
        <v>3528937.158075</v>
      </c>
      <c r="BI95" s="33" t="n">
        <f aca="false">BI10*'Hiring plan'!$K$6*(1+Salary_Raise)^(BI$5-1)</f>
        <v>3528937.158075</v>
      </c>
      <c r="BJ95" s="33" t="n">
        <f aca="false">BJ10*'Hiring plan'!$K$6*(1+Salary_Raise)^(BJ$5-1)</f>
        <v>3528937.158075</v>
      </c>
      <c r="BK95" s="33" t="n">
        <f aca="false">BK10*'Hiring plan'!$K$6*(1+Salary_Raise)^(BK$5-1)</f>
        <v>3528937.158075</v>
      </c>
      <c r="BL95" s="33" t="n">
        <f aca="false">BL10*'Hiring plan'!$K$6*(1+Salary_Raise)^(BL$5-1)</f>
        <v>3528937.158075</v>
      </c>
    </row>
    <row r="96" customFormat="false" ht="15" hidden="false" customHeight="false" outlineLevel="0" collapsed="false">
      <c r="A96" s="12" t="str">
        <f aca="false">A11</f>
        <v>COO · SN</v>
      </c>
      <c r="B96" s="14" t="s">
        <v>63</v>
      </c>
      <c r="D96" s="41" t="n">
        <f aca="false">SUM(E96:BL96)</f>
        <v>155597267.0849</v>
      </c>
      <c r="E96" s="33" t="n">
        <f aca="false">E11*'Hiring plan'!$K$7*(1+Salary_Raise)^(E$5-1)</f>
        <v>2346598.66666667</v>
      </c>
      <c r="F96" s="33" t="n">
        <f aca="false">F11*'Hiring plan'!$K$7*(1+Salary_Raise)^(F$5-1)</f>
        <v>2346598.66666667</v>
      </c>
      <c r="G96" s="33" t="n">
        <f aca="false">G11*'Hiring plan'!$K$7*(1+Salary_Raise)^(G$5-1)</f>
        <v>2346598.66666667</v>
      </c>
      <c r="H96" s="33" t="n">
        <f aca="false">H11*'Hiring plan'!$K$7*(1+Salary_Raise)^(H$5-1)</f>
        <v>2346598.66666667</v>
      </c>
      <c r="I96" s="33" t="n">
        <f aca="false">I11*'Hiring plan'!$K$7*(1+Salary_Raise)^(I$5-1)</f>
        <v>2346598.66666667</v>
      </c>
      <c r="J96" s="33" t="n">
        <f aca="false">J11*'Hiring plan'!$K$7*(1+Salary_Raise)^(J$5-1)</f>
        <v>2346598.66666667</v>
      </c>
      <c r="K96" s="33" t="n">
        <f aca="false">K11*'Hiring plan'!$K$7*(1+Salary_Raise)^(K$5-1)</f>
        <v>2346598.66666667</v>
      </c>
      <c r="L96" s="33" t="n">
        <f aca="false">L11*'Hiring plan'!$K$7*(1+Salary_Raise)^(L$5-1)</f>
        <v>2346598.66666667</v>
      </c>
      <c r="M96" s="33" t="n">
        <f aca="false">M11*'Hiring plan'!$K$7*(1+Salary_Raise)^(M$5-1)</f>
        <v>2346598.66666667</v>
      </c>
      <c r="N96" s="33" t="n">
        <f aca="false">N11*'Hiring plan'!$K$7*(1+Salary_Raise)^(N$5-1)</f>
        <v>2346598.66666667</v>
      </c>
      <c r="O96" s="33" t="n">
        <f aca="false">O11*'Hiring plan'!$K$7*(1+Salary_Raise)^(O$5-1)</f>
        <v>2346598.66666667</v>
      </c>
      <c r="P96" s="33" t="n">
        <f aca="false">P11*'Hiring plan'!$K$7*(1+Salary_Raise)^(P$5-1)</f>
        <v>2346598.66666667</v>
      </c>
      <c r="Q96" s="33" t="n">
        <f aca="false">Q11*'Hiring plan'!$K$7*(1+Salary_Raise)^(Q$5-1)</f>
        <v>2463928.6</v>
      </c>
      <c r="R96" s="33" t="n">
        <f aca="false">R11*'Hiring plan'!$K$7*(1+Salary_Raise)^(R$5-1)</f>
        <v>2463928.6</v>
      </c>
      <c r="S96" s="33" t="n">
        <f aca="false">S11*'Hiring plan'!$K$7*(1+Salary_Raise)^(S$5-1)</f>
        <v>2463928.6</v>
      </c>
      <c r="T96" s="33" t="n">
        <f aca="false">T11*'Hiring plan'!$K$7*(1+Salary_Raise)^(T$5-1)</f>
        <v>2463928.6</v>
      </c>
      <c r="U96" s="33" t="n">
        <f aca="false">U11*'Hiring plan'!$K$7*(1+Salary_Raise)^(U$5-1)</f>
        <v>2463928.6</v>
      </c>
      <c r="V96" s="33" t="n">
        <f aca="false">V11*'Hiring plan'!$K$7*(1+Salary_Raise)^(V$5-1)</f>
        <v>2463928.6</v>
      </c>
      <c r="W96" s="33" t="n">
        <f aca="false">W11*'Hiring plan'!$K$7*(1+Salary_Raise)^(W$5-1)</f>
        <v>2463928.6</v>
      </c>
      <c r="X96" s="33" t="n">
        <f aca="false">X11*'Hiring plan'!$K$7*(1+Salary_Raise)^(X$5-1)</f>
        <v>2463928.6</v>
      </c>
      <c r="Y96" s="33" t="n">
        <f aca="false">Y11*'Hiring plan'!$K$7*(1+Salary_Raise)^(Y$5-1)</f>
        <v>2463928.6</v>
      </c>
      <c r="Z96" s="33" t="n">
        <f aca="false">Z11*'Hiring plan'!$K$7*(1+Salary_Raise)^(Z$5-1)</f>
        <v>2463928.6</v>
      </c>
      <c r="AA96" s="33" t="n">
        <f aca="false">AA11*'Hiring plan'!$K$7*(1+Salary_Raise)^(AA$5-1)</f>
        <v>2463928.6</v>
      </c>
      <c r="AB96" s="33" t="n">
        <f aca="false">AB11*'Hiring plan'!$K$7*(1+Salary_Raise)^(AB$5-1)</f>
        <v>2463928.6</v>
      </c>
      <c r="AC96" s="33" t="n">
        <f aca="false">AC11*'Hiring plan'!$K$7*(1+Salary_Raise)^(AC$5-1)</f>
        <v>2587125.03</v>
      </c>
      <c r="AD96" s="33" t="n">
        <f aca="false">AD11*'Hiring plan'!$K$7*(1+Salary_Raise)^(AD$5-1)</f>
        <v>2587125.03</v>
      </c>
      <c r="AE96" s="33" t="n">
        <f aca="false">AE11*'Hiring plan'!$K$7*(1+Salary_Raise)^(AE$5-1)</f>
        <v>2587125.03</v>
      </c>
      <c r="AF96" s="33" t="n">
        <f aca="false">AF11*'Hiring plan'!$K$7*(1+Salary_Raise)^(AF$5-1)</f>
        <v>2587125.03</v>
      </c>
      <c r="AG96" s="33" t="n">
        <f aca="false">AG11*'Hiring plan'!$K$7*(1+Salary_Raise)^(AG$5-1)</f>
        <v>2587125.03</v>
      </c>
      <c r="AH96" s="33" t="n">
        <f aca="false">AH11*'Hiring plan'!$K$7*(1+Salary_Raise)^(AH$5-1)</f>
        <v>2587125.03</v>
      </c>
      <c r="AI96" s="33" t="n">
        <f aca="false">AI11*'Hiring plan'!$K$7*(1+Salary_Raise)^(AI$5-1)</f>
        <v>2587125.03</v>
      </c>
      <c r="AJ96" s="33" t="n">
        <f aca="false">AJ11*'Hiring plan'!$K$7*(1+Salary_Raise)^(AJ$5-1)</f>
        <v>2587125.03</v>
      </c>
      <c r="AK96" s="33" t="n">
        <f aca="false">AK11*'Hiring plan'!$K$7*(1+Salary_Raise)^(AK$5-1)</f>
        <v>2587125.03</v>
      </c>
      <c r="AL96" s="33" t="n">
        <f aca="false">AL11*'Hiring plan'!$K$7*(1+Salary_Raise)^(AL$5-1)</f>
        <v>2587125.03</v>
      </c>
      <c r="AM96" s="33" t="n">
        <f aca="false">AM11*'Hiring plan'!$K$7*(1+Salary_Raise)^(AM$5-1)</f>
        <v>2587125.03</v>
      </c>
      <c r="AN96" s="33" t="n">
        <f aca="false">AN11*'Hiring plan'!$K$7*(1+Salary_Raise)^(AN$5-1)</f>
        <v>2587125.03</v>
      </c>
      <c r="AO96" s="33" t="n">
        <f aca="false">AO11*'Hiring plan'!$K$7*(1+Salary_Raise)^(AO$5-1)</f>
        <v>2716481.2815</v>
      </c>
      <c r="AP96" s="33" t="n">
        <f aca="false">AP11*'Hiring plan'!$K$7*(1+Salary_Raise)^(AP$5-1)</f>
        <v>2716481.2815</v>
      </c>
      <c r="AQ96" s="33" t="n">
        <f aca="false">AQ11*'Hiring plan'!$K$7*(1+Salary_Raise)^(AQ$5-1)</f>
        <v>2716481.2815</v>
      </c>
      <c r="AR96" s="33" t="n">
        <f aca="false">AR11*'Hiring plan'!$K$7*(1+Salary_Raise)^(AR$5-1)</f>
        <v>2716481.2815</v>
      </c>
      <c r="AS96" s="33" t="n">
        <f aca="false">AS11*'Hiring plan'!$K$7*(1+Salary_Raise)^(AS$5-1)</f>
        <v>2716481.2815</v>
      </c>
      <c r="AT96" s="33" t="n">
        <f aca="false">AT11*'Hiring plan'!$K$7*(1+Salary_Raise)^(AT$5-1)</f>
        <v>2716481.2815</v>
      </c>
      <c r="AU96" s="33" t="n">
        <f aca="false">AU11*'Hiring plan'!$K$7*(1+Salary_Raise)^(AU$5-1)</f>
        <v>2716481.2815</v>
      </c>
      <c r="AV96" s="33" t="n">
        <f aca="false">AV11*'Hiring plan'!$K$7*(1+Salary_Raise)^(AV$5-1)</f>
        <v>2716481.2815</v>
      </c>
      <c r="AW96" s="33" t="n">
        <f aca="false">AW11*'Hiring plan'!$K$7*(1+Salary_Raise)^(AW$5-1)</f>
        <v>2716481.2815</v>
      </c>
      <c r="AX96" s="33" t="n">
        <f aca="false">AX11*'Hiring plan'!$K$7*(1+Salary_Raise)^(AX$5-1)</f>
        <v>2716481.2815</v>
      </c>
      <c r="AY96" s="33" t="n">
        <f aca="false">AY11*'Hiring plan'!$K$7*(1+Salary_Raise)^(AY$5-1)</f>
        <v>2716481.2815</v>
      </c>
      <c r="AZ96" s="33" t="n">
        <f aca="false">AZ11*'Hiring plan'!$K$7*(1+Salary_Raise)^(AZ$5-1)</f>
        <v>2716481.2815</v>
      </c>
      <c r="BA96" s="33" t="n">
        <f aca="false">BA11*'Hiring plan'!$K$7*(1+Salary_Raise)^(BA$5-1)</f>
        <v>2852305.345575</v>
      </c>
      <c r="BB96" s="33" t="n">
        <f aca="false">BB11*'Hiring plan'!$K$7*(1+Salary_Raise)^(BB$5-1)</f>
        <v>2852305.345575</v>
      </c>
      <c r="BC96" s="33" t="n">
        <f aca="false">BC11*'Hiring plan'!$K$7*(1+Salary_Raise)^(BC$5-1)</f>
        <v>2852305.345575</v>
      </c>
      <c r="BD96" s="33" t="n">
        <f aca="false">BD11*'Hiring plan'!$K$7*(1+Salary_Raise)^(BD$5-1)</f>
        <v>2852305.345575</v>
      </c>
      <c r="BE96" s="33" t="n">
        <f aca="false">BE11*'Hiring plan'!$K$7*(1+Salary_Raise)^(BE$5-1)</f>
        <v>2852305.345575</v>
      </c>
      <c r="BF96" s="33" t="n">
        <f aca="false">BF11*'Hiring plan'!$K$7*(1+Salary_Raise)^(BF$5-1)</f>
        <v>2852305.345575</v>
      </c>
      <c r="BG96" s="33" t="n">
        <f aca="false">BG11*'Hiring plan'!$K$7*(1+Salary_Raise)^(BG$5-1)</f>
        <v>2852305.345575</v>
      </c>
      <c r="BH96" s="33" t="n">
        <f aca="false">BH11*'Hiring plan'!$K$7*(1+Salary_Raise)^(BH$5-1)</f>
        <v>2852305.345575</v>
      </c>
      <c r="BI96" s="33" t="n">
        <f aca="false">BI11*'Hiring plan'!$K$7*(1+Salary_Raise)^(BI$5-1)</f>
        <v>2852305.345575</v>
      </c>
      <c r="BJ96" s="33" t="n">
        <f aca="false">BJ11*'Hiring plan'!$K$7*(1+Salary_Raise)^(BJ$5-1)</f>
        <v>2852305.345575</v>
      </c>
      <c r="BK96" s="33" t="n">
        <f aca="false">BK11*'Hiring plan'!$K$7*(1+Salary_Raise)^(BK$5-1)</f>
        <v>2852305.345575</v>
      </c>
      <c r="BL96" s="33" t="n">
        <f aca="false">BL11*'Hiring plan'!$K$7*(1+Salary_Raise)^(BL$5-1)</f>
        <v>2852305.345575</v>
      </c>
    </row>
    <row r="97" customFormat="false" ht="15" hidden="false" customHeight="false" outlineLevel="0" collapsed="false">
      <c r="A97" s="12" t="str">
        <f aca="false">A12</f>
        <v>CFO · SN</v>
      </c>
      <c r="B97" s="14" t="s">
        <v>63</v>
      </c>
      <c r="D97" s="41" t="n">
        <f aca="false">SUM(E97:BL97)</f>
        <v>112654511.4849</v>
      </c>
      <c r="E97" s="33" t="n">
        <f aca="false">E12*'Hiring plan'!$K$8*(1+Salary_Raise)^(E$5-1)</f>
        <v>0</v>
      </c>
      <c r="F97" s="33" t="n">
        <f aca="false">F12*'Hiring plan'!$K$8*(1+Salary_Raise)^(F$5-1)</f>
        <v>0</v>
      </c>
      <c r="G97" s="33" t="n">
        <f aca="false">G12*'Hiring plan'!$K$8*(1+Salary_Raise)^(G$5-1)</f>
        <v>0</v>
      </c>
      <c r="H97" s="33" t="n">
        <f aca="false">H12*'Hiring plan'!$K$8*(1+Salary_Raise)^(H$5-1)</f>
        <v>0</v>
      </c>
      <c r="I97" s="33" t="n">
        <f aca="false">I12*'Hiring plan'!$K$8*(1+Salary_Raise)^(I$5-1)</f>
        <v>0</v>
      </c>
      <c r="J97" s="33" t="n">
        <f aca="false">J12*'Hiring plan'!$K$8*(1+Salary_Raise)^(J$5-1)</f>
        <v>0</v>
      </c>
      <c r="K97" s="33" t="n">
        <f aca="false">K12*'Hiring plan'!$K$8*(1+Salary_Raise)^(K$5-1)</f>
        <v>0</v>
      </c>
      <c r="L97" s="33" t="n">
        <f aca="false">L12*'Hiring plan'!$K$8*(1+Salary_Raise)^(L$5-1)</f>
        <v>0</v>
      </c>
      <c r="M97" s="33" t="n">
        <f aca="false">M12*'Hiring plan'!$K$8*(1+Salary_Raise)^(M$5-1)</f>
        <v>0</v>
      </c>
      <c r="N97" s="33" t="n">
        <f aca="false">N12*'Hiring plan'!$K$8*(1+Salary_Raise)^(N$5-1)</f>
        <v>0</v>
      </c>
      <c r="O97" s="33" t="n">
        <f aca="false">O12*'Hiring plan'!$K$8*(1+Salary_Raise)^(O$5-1)</f>
        <v>0</v>
      </c>
      <c r="P97" s="33" t="n">
        <f aca="false">P12*'Hiring plan'!$K$8*(1+Salary_Raise)^(P$5-1)</f>
        <v>0</v>
      </c>
      <c r="Q97" s="33" t="n">
        <f aca="false">Q12*'Hiring plan'!$K$8*(1+Salary_Raise)^(Q$5-1)</f>
        <v>0</v>
      </c>
      <c r="R97" s="33" t="n">
        <f aca="false">R12*'Hiring plan'!$K$8*(1+Salary_Raise)^(R$5-1)</f>
        <v>0</v>
      </c>
      <c r="S97" s="33" t="n">
        <f aca="false">S12*'Hiring plan'!$K$8*(1+Salary_Raise)^(S$5-1)</f>
        <v>0</v>
      </c>
      <c r="T97" s="33" t="n">
        <f aca="false">T12*'Hiring plan'!$K$8*(1+Salary_Raise)^(T$5-1)</f>
        <v>0</v>
      </c>
      <c r="U97" s="33" t="n">
        <f aca="false">U12*'Hiring plan'!$K$8*(1+Salary_Raise)^(U$5-1)</f>
        <v>0</v>
      </c>
      <c r="V97" s="33" t="n">
        <f aca="false">V12*'Hiring plan'!$K$8*(1+Salary_Raise)^(V$5-1)</f>
        <v>0</v>
      </c>
      <c r="W97" s="33" t="n">
        <f aca="false">W12*'Hiring plan'!$K$8*(1+Salary_Raise)^(W$5-1)</f>
        <v>2463928.6</v>
      </c>
      <c r="X97" s="33" t="n">
        <f aca="false">X12*'Hiring plan'!$K$8*(1+Salary_Raise)^(X$5-1)</f>
        <v>2463928.6</v>
      </c>
      <c r="Y97" s="33" t="n">
        <f aca="false">Y12*'Hiring plan'!$K$8*(1+Salary_Raise)^(Y$5-1)</f>
        <v>2463928.6</v>
      </c>
      <c r="Z97" s="33" t="n">
        <f aca="false">Z12*'Hiring plan'!$K$8*(1+Salary_Raise)^(Z$5-1)</f>
        <v>2463928.6</v>
      </c>
      <c r="AA97" s="33" t="n">
        <f aca="false">AA12*'Hiring plan'!$K$8*(1+Salary_Raise)^(AA$5-1)</f>
        <v>2463928.6</v>
      </c>
      <c r="AB97" s="33" t="n">
        <f aca="false">AB12*'Hiring plan'!$K$8*(1+Salary_Raise)^(AB$5-1)</f>
        <v>2463928.6</v>
      </c>
      <c r="AC97" s="33" t="n">
        <f aca="false">AC12*'Hiring plan'!$K$8*(1+Salary_Raise)^(AC$5-1)</f>
        <v>2587125.03</v>
      </c>
      <c r="AD97" s="33" t="n">
        <f aca="false">AD12*'Hiring plan'!$K$8*(1+Salary_Raise)^(AD$5-1)</f>
        <v>2587125.03</v>
      </c>
      <c r="AE97" s="33" t="n">
        <f aca="false">AE12*'Hiring plan'!$K$8*(1+Salary_Raise)^(AE$5-1)</f>
        <v>2587125.03</v>
      </c>
      <c r="AF97" s="33" t="n">
        <f aca="false">AF12*'Hiring plan'!$K$8*(1+Salary_Raise)^(AF$5-1)</f>
        <v>2587125.03</v>
      </c>
      <c r="AG97" s="33" t="n">
        <f aca="false">AG12*'Hiring plan'!$K$8*(1+Salary_Raise)^(AG$5-1)</f>
        <v>2587125.03</v>
      </c>
      <c r="AH97" s="33" t="n">
        <f aca="false">AH12*'Hiring plan'!$K$8*(1+Salary_Raise)^(AH$5-1)</f>
        <v>2587125.03</v>
      </c>
      <c r="AI97" s="33" t="n">
        <f aca="false">AI12*'Hiring plan'!$K$8*(1+Salary_Raise)^(AI$5-1)</f>
        <v>2587125.03</v>
      </c>
      <c r="AJ97" s="33" t="n">
        <f aca="false">AJ12*'Hiring plan'!$K$8*(1+Salary_Raise)^(AJ$5-1)</f>
        <v>2587125.03</v>
      </c>
      <c r="AK97" s="33" t="n">
        <f aca="false">AK12*'Hiring plan'!$K$8*(1+Salary_Raise)^(AK$5-1)</f>
        <v>2587125.03</v>
      </c>
      <c r="AL97" s="33" t="n">
        <f aca="false">AL12*'Hiring plan'!$K$8*(1+Salary_Raise)^(AL$5-1)</f>
        <v>2587125.03</v>
      </c>
      <c r="AM97" s="33" t="n">
        <f aca="false">AM12*'Hiring plan'!$K$8*(1+Salary_Raise)^(AM$5-1)</f>
        <v>2587125.03</v>
      </c>
      <c r="AN97" s="33" t="n">
        <f aca="false">AN12*'Hiring plan'!$K$8*(1+Salary_Raise)^(AN$5-1)</f>
        <v>2587125.03</v>
      </c>
      <c r="AO97" s="33" t="n">
        <f aca="false">AO12*'Hiring plan'!$K$8*(1+Salary_Raise)^(AO$5-1)</f>
        <v>2716481.2815</v>
      </c>
      <c r="AP97" s="33" t="n">
        <f aca="false">AP12*'Hiring plan'!$K$8*(1+Salary_Raise)^(AP$5-1)</f>
        <v>2716481.2815</v>
      </c>
      <c r="AQ97" s="33" t="n">
        <f aca="false">AQ12*'Hiring plan'!$K$8*(1+Salary_Raise)^(AQ$5-1)</f>
        <v>2716481.2815</v>
      </c>
      <c r="AR97" s="33" t="n">
        <f aca="false">AR12*'Hiring plan'!$K$8*(1+Salary_Raise)^(AR$5-1)</f>
        <v>2716481.2815</v>
      </c>
      <c r="AS97" s="33" t="n">
        <f aca="false">AS12*'Hiring plan'!$K$8*(1+Salary_Raise)^(AS$5-1)</f>
        <v>2716481.2815</v>
      </c>
      <c r="AT97" s="33" t="n">
        <f aca="false">AT12*'Hiring plan'!$K$8*(1+Salary_Raise)^(AT$5-1)</f>
        <v>2716481.2815</v>
      </c>
      <c r="AU97" s="33" t="n">
        <f aca="false">AU12*'Hiring plan'!$K$8*(1+Salary_Raise)^(AU$5-1)</f>
        <v>2716481.2815</v>
      </c>
      <c r="AV97" s="33" t="n">
        <f aca="false">AV12*'Hiring plan'!$K$8*(1+Salary_Raise)^(AV$5-1)</f>
        <v>2716481.2815</v>
      </c>
      <c r="AW97" s="33" t="n">
        <f aca="false">AW12*'Hiring plan'!$K$8*(1+Salary_Raise)^(AW$5-1)</f>
        <v>2716481.2815</v>
      </c>
      <c r="AX97" s="33" t="n">
        <f aca="false">AX12*'Hiring plan'!$K$8*(1+Salary_Raise)^(AX$5-1)</f>
        <v>2716481.2815</v>
      </c>
      <c r="AY97" s="33" t="n">
        <f aca="false">AY12*'Hiring plan'!$K$8*(1+Salary_Raise)^(AY$5-1)</f>
        <v>2716481.2815</v>
      </c>
      <c r="AZ97" s="33" t="n">
        <f aca="false">AZ12*'Hiring plan'!$K$8*(1+Salary_Raise)^(AZ$5-1)</f>
        <v>2716481.2815</v>
      </c>
      <c r="BA97" s="33" t="n">
        <f aca="false">BA12*'Hiring plan'!$K$8*(1+Salary_Raise)^(BA$5-1)</f>
        <v>2852305.345575</v>
      </c>
      <c r="BB97" s="33" t="n">
        <f aca="false">BB12*'Hiring plan'!$K$8*(1+Salary_Raise)^(BB$5-1)</f>
        <v>2852305.345575</v>
      </c>
      <c r="BC97" s="33" t="n">
        <f aca="false">BC12*'Hiring plan'!$K$8*(1+Salary_Raise)^(BC$5-1)</f>
        <v>2852305.345575</v>
      </c>
      <c r="BD97" s="33" t="n">
        <f aca="false">BD12*'Hiring plan'!$K$8*(1+Salary_Raise)^(BD$5-1)</f>
        <v>2852305.345575</v>
      </c>
      <c r="BE97" s="33" t="n">
        <f aca="false">BE12*'Hiring plan'!$K$8*(1+Salary_Raise)^(BE$5-1)</f>
        <v>2852305.345575</v>
      </c>
      <c r="BF97" s="33" t="n">
        <f aca="false">BF12*'Hiring plan'!$K$8*(1+Salary_Raise)^(BF$5-1)</f>
        <v>2852305.345575</v>
      </c>
      <c r="BG97" s="33" t="n">
        <f aca="false">BG12*'Hiring plan'!$K$8*(1+Salary_Raise)^(BG$5-1)</f>
        <v>2852305.345575</v>
      </c>
      <c r="BH97" s="33" t="n">
        <f aca="false">BH12*'Hiring plan'!$K$8*(1+Salary_Raise)^(BH$5-1)</f>
        <v>2852305.345575</v>
      </c>
      <c r="BI97" s="33" t="n">
        <f aca="false">BI12*'Hiring plan'!$K$8*(1+Salary_Raise)^(BI$5-1)</f>
        <v>2852305.345575</v>
      </c>
      <c r="BJ97" s="33" t="n">
        <f aca="false">BJ12*'Hiring plan'!$K$8*(1+Salary_Raise)^(BJ$5-1)</f>
        <v>2852305.345575</v>
      </c>
      <c r="BK97" s="33" t="n">
        <f aca="false">BK12*'Hiring plan'!$K$8*(1+Salary_Raise)^(BK$5-1)</f>
        <v>2852305.345575</v>
      </c>
      <c r="BL97" s="33" t="n">
        <f aca="false">BL12*'Hiring plan'!$K$8*(1+Salary_Raise)^(BL$5-1)</f>
        <v>2852305.345575</v>
      </c>
    </row>
    <row r="98" customFormat="false" ht="15" hidden="false" customHeight="false" outlineLevel="0" collapsed="false">
      <c r="A98" s="12" t="str">
        <f aca="false">A13</f>
        <v>Country manager, Abidjan · CI</v>
      </c>
      <c r="B98" s="14" t="s">
        <v>63</v>
      </c>
      <c r="D98" s="41" t="n">
        <f aca="false">SUM(E98:BL98)</f>
        <v>175808029.8849</v>
      </c>
      <c r="E98" s="33" t="n">
        <f aca="false">E13*'Hiring plan'!$K$9*(1+Salary_Raise)^(E$5-1)</f>
        <v>0</v>
      </c>
      <c r="F98" s="33" t="n">
        <f aca="false">F13*'Hiring plan'!$K$9*(1+Salary_Raise)^(F$5-1)</f>
        <v>0</v>
      </c>
      <c r="G98" s="33" t="n">
        <f aca="false">G13*'Hiring plan'!$K$9*(1+Salary_Raise)^(G$5-1)</f>
        <v>0</v>
      </c>
      <c r="H98" s="33" t="n">
        <f aca="false">H13*'Hiring plan'!$K$9*(1+Salary_Raise)^(H$5-1)</f>
        <v>0</v>
      </c>
      <c r="I98" s="33" t="n">
        <f aca="false">I13*'Hiring plan'!$K$9*(1+Salary_Raise)^(I$5-1)</f>
        <v>0</v>
      </c>
      <c r="J98" s="33" t="n">
        <f aca="false">J13*'Hiring plan'!$K$9*(1+Salary_Raise)^(J$5-1)</f>
        <v>0</v>
      </c>
      <c r="K98" s="33" t="n">
        <f aca="false">K13*'Hiring plan'!$K$9*(1+Salary_Raise)^(K$5-1)</f>
        <v>0</v>
      </c>
      <c r="L98" s="33" t="n">
        <f aca="false">L13*'Hiring plan'!$K$9*(1+Salary_Raise)^(L$5-1)</f>
        <v>0</v>
      </c>
      <c r="M98" s="33" t="n">
        <f aca="false">M13*'Hiring plan'!$K$9*(1+Salary_Raise)^(M$5-1)</f>
        <v>0</v>
      </c>
      <c r="N98" s="33" t="n">
        <f aca="false">N13*'Hiring plan'!$K$9*(1+Salary_Raise)^(N$5-1)</f>
        <v>0</v>
      </c>
      <c r="O98" s="33" t="n">
        <f aca="false">O13*'Hiring plan'!$K$9*(1+Salary_Raise)^(O$5-1)</f>
        <v>0</v>
      </c>
      <c r="P98" s="33" t="n">
        <f aca="false">P13*'Hiring plan'!$K$9*(1+Salary_Raise)^(P$5-1)</f>
        <v>0</v>
      </c>
      <c r="Q98" s="33" t="n">
        <f aca="false">Q13*'Hiring plan'!$K$9*(1+Salary_Raise)^(Q$5-1)</f>
        <v>3399128.6</v>
      </c>
      <c r="R98" s="33" t="n">
        <f aca="false">R13*'Hiring plan'!$K$9*(1+Salary_Raise)^(R$5-1)</f>
        <v>3399128.6</v>
      </c>
      <c r="S98" s="33" t="n">
        <f aca="false">S13*'Hiring plan'!$K$9*(1+Salary_Raise)^(S$5-1)</f>
        <v>3399128.6</v>
      </c>
      <c r="T98" s="33" t="n">
        <f aca="false">T13*'Hiring plan'!$K$9*(1+Salary_Raise)^(T$5-1)</f>
        <v>3399128.6</v>
      </c>
      <c r="U98" s="33" t="n">
        <f aca="false">U13*'Hiring plan'!$K$9*(1+Salary_Raise)^(U$5-1)</f>
        <v>3399128.6</v>
      </c>
      <c r="V98" s="33" t="n">
        <f aca="false">V13*'Hiring plan'!$K$9*(1+Salary_Raise)^(V$5-1)</f>
        <v>3399128.6</v>
      </c>
      <c r="W98" s="33" t="n">
        <f aca="false">W13*'Hiring plan'!$K$9*(1+Salary_Raise)^(W$5-1)</f>
        <v>3399128.6</v>
      </c>
      <c r="X98" s="33" t="n">
        <f aca="false">X13*'Hiring plan'!$K$9*(1+Salary_Raise)^(X$5-1)</f>
        <v>3399128.6</v>
      </c>
      <c r="Y98" s="33" t="n">
        <f aca="false">Y13*'Hiring plan'!$K$9*(1+Salary_Raise)^(Y$5-1)</f>
        <v>3399128.6</v>
      </c>
      <c r="Z98" s="33" t="n">
        <f aca="false">Z13*'Hiring plan'!$K$9*(1+Salary_Raise)^(Z$5-1)</f>
        <v>3399128.6</v>
      </c>
      <c r="AA98" s="33" t="n">
        <f aca="false">AA13*'Hiring plan'!$K$9*(1+Salary_Raise)^(AA$5-1)</f>
        <v>3399128.6</v>
      </c>
      <c r="AB98" s="33" t="n">
        <f aca="false">AB13*'Hiring plan'!$K$9*(1+Salary_Raise)^(AB$5-1)</f>
        <v>3399128.6</v>
      </c>
      <c r="AC98" s="33" t="n">
        <f aca="false">AC13*'Hiring plan'!$K$9*(1+Salary_Raise)^(AC$5-1)</f>
        <v>3569085.03</v>
      </c>
      <c r="AD98" s="33" t="n">
        <f aca="false">AD13*'Hiring plan'!$K$9*(1+Salary_Raise)^(AD$5-1)</f>
        <v>3569085.03</v>
      </c>
      <c r="AE98" s="33" t="n">
        <f aca="false">AE13*'Hiring plan'!$K$9*(1+Salary_Raise)^(AE$5-1)</f>
        <v>3569085.03</v>
      </c>
      <c r="AF98" s="33" t="n">
        <f aca="false">AF13*'Hiring plan'!$K$9*(1+Salary_Raise)^(AF$5-1)</f>
        <v>3569085.03</v>
      </c>
      <c r="AG98" s="33" t="n">
        <f aca="false">AG13*'Hiring plan'!$K$9*(1+Salary_Raise)^(AG$5-1)</f>
        <v>3569085.03</v>
      </c>
      <c r="AH98" s="33" t="n">
        <f aca="false">AH13*'Hiring plan'!$K$9*(1+Salary_Raise)^(AH$5-1)</f>
        <v>3569085.03</v>
      </c>
      <c r="AI98" s="33" t="n">
        <f aca="false">AI13*'Hiring plan'!$K$9*(1+Salary_Raise)^(AI$5-1)</f>
        <v>3569085.03</v>
      </c>
      <c r="AJ98" s="33" t="n">
        <f aca="false">AJ13*'Hiring plan'!$K$9*(1+Salary_Raise)^(AJ$5-1)</f>
        <v>3569085.03</v>
      </c>
      <c r="AK98" s="33" t="n">
        <f aca="false">AK13*'Hiring plan'!$K$9*(1+Salary_Raise)^(AK$5-1)</f>
        <v>3569085.03</v>
      </c>
      <c r="AL98" s="33" t="n">
        <f aca="false">AL13*'Hiring plan'!$K$9*(1+Salary_Raise)^(AL$5-1)</f>
        <v>3569085.03</v>
      </c>
      <c r="AM98" s="33" t="n">
        <f aca="false">AM13*'Hiring plan'!$K$9*(1+Salary_Raise)^(AM$5-1)</f>
        <v>3569085.03</v>
      </c>
      <c r="AN98" s="33" t="n">
        <f aca="false">AN13*'Hiring plan'!$K$9*(1+Salary_Raise)^(AN$5-1)</f>
        <v>3569085.03</v>
      </c>
      <c r="AO98" s="33" t="n">
        <f aca="false">AO13*'Hiring plan'!$K$9*(1+Salary_Raise)^(AO$5-1)</f>
        <v>3747539.2815</v>
      </c>
      <c r="AP98" s="33" t="n">
        <f aca="false">AP13*'Hiring plan'!$K$9*(1+Salary_Raise)^(AP$5-1)</f>
        <v>3747539.2815</v>
      </c>
      <c r="AQ98" s="33" t="n">
        <f aca="false">AQ13*'Hiring plan'!$K$9*(1+Salary_Raise)^(AQ$5-1)</f>
        <v>3747539.2815</v>
      </c>
      <c r="AR98" s="33" t="n">
        <f aca="false">AR13*'Hiring plan'!$K$9*(1+Salary_Raise)^(AR$5-1)</f>
        <v>3747539.2815</v>
      </c>
      <c r="AS98" s="33" t="n">
        <f aca="false">AS13*'Hiring plan'!$K$9*(1+Salary_Raise)^(AS$5-1)</f>
        <v>3747539.2815</v>
      </c>
      <c r="AT98" s="33" t="n">
        <f aca="false">AT13*'Hiring plan'!$K$9*(1+Salary_Raise)^(AT$5-1)</f>
        <v>3747539.2815</v>
      </c>
      <c r="AU98" s="33" t="n">
        <f aca="false">AU13*'Hiring plan'!$K$9*(1+Salary_Raise)^(AU$5-1)</f>
        <v>3747539.2815</v>
      </c>
      <c r="AV98" s="33" t="n">
        <f aca="false">AV13*'Hiring plan'!$K$9*(1+Salary_Raise)^(AV$5-1)</f>
        <v>3747539.2815</v>
      </c>
      <c r="AW98" s="33" t="n">
        <f aca="false">AW13*'Hiring plan'!$K$9*(1+Salary_Raise)^(AW$5-1)</f>
        <v>3747539.2815</v>
      </c>
      <c r="AX98" s="33" t="n">
        <f aca="false">AX13*'Hiring plan'!$K$9*(1+Salary_Raise)^(AX$5-1)</f>
        <v>3747539.2815</v>
      </c>
      <c r="AY98" s="33" t="n">
        <f aca="false">AY13*'Hiring plan'!$K$9*(1+Salary_Raise)^(AY$5-1)</f>
        <v>3747539.2815</v>
      </c>
      <c r="AZ98" s="33" t="n">
        <f aca="false">AZ13*'Hiring plan'!$K$9*(1+Salary_Raise)^(AZ$5-1)</f>
        <v>3747539.2815</v>
      </c>
      <c r="BA98" s="33" t="n">
        <f aca="false">BA13*'Hiring plan'!$K$9*(1+Salary_Raise)^(BA$5-1)</f>
        <v>3934916.245575</v>
      </c>
      <c r="BB98" s="33" t="n">
        <f aca="false">BB13*'Hiring plan'!$K$9*(1+Salary_Raise)^(BB$5-1)</f>
        <v>3934916.245575</v>
      </c>
      <c r="BC98" s="33" t="n">
        <f aca="false">BC13*'Hiring plan'!$K$9*(1+Salary_Raise)^(BC$5-1)</f>
        <v>3934916.245575</v>
      </c>
      <c r="BD98" s="33" t="n">
        <f aca="false">BD13*'Hiring plan'!$K$9*(1+Salary_Raise)^(BD$5-1)</f>
        <v>3934916.245575</v>
      </c>
      <c r="BE98" s="33" t="n">
        <f aca="false">BE13*'Hiring plan'!$K$9*(1+Salary_Raise)^(BE$5-1)</f>
        <v>3934916.245575</v>
      </c>
      <c r="BF98" s="33" t="n">
        <f aca="false">BF13*'Hiring plan'!$K$9*(1+Salary_Raise)^(BF$5-1)</f>
        <v>3934916.245575</v>
      </c>
      <c r="BG98" s="33" t="n">
        <f aca="false">BG13*'Hiring plan'!$K$9*(1+Salary_Raise)^(BG$5-1)</f>
        <v>3934916.245575</v>
      </c>
      <c r="BH98" s="33" t="n">
        <f aca="false">BH13*'Hiring plan'!$K$9*(1+Salary_Raise)^(BH$5-1)</f>
        <v>3934916.245575</v>
      </c>
      <c r="BI98" s="33" t="n">
        <f aca="false">BI13*'Hiring plan'!$K$9*(1+Salary_Raise)^(BI$5-1)</f>
        <v>3934916.245575</v>
      </c>
      <c r="BJ98" s="33" t="n">
        <f aca="false">BJ13*'Hiring plan'!$K$9*(1+Salary_Raise)^(BJ$5-1)</f>
        <v>3934916.245575</v>
      </c>
      <c r="BK98" s="33" t="n">
        <f aca="false">BK13*'Hiring plan'!$K$9*(1+Salary_Raise)^(BK$5-1)</f>
        <v>3934916.245575</v>
      </c>
      <c r="BL98" s="33" t="n">
        <f aca="false">BL13*'Hiring plan'!$K$9*(1+Salary_Raise)^(BL$5-1)</f>
        <v>3934916.245575</v>
      </c>
    </row>
    <row r="99" customFormat="false" ht="15" hidden="false" customHeight="false" outlineLevel="0" collapsed="false">
      <c r="A99" s="12" t="str">
        <f aca="false">A14</f>
        <v>Senior backend developer · SN</v>
      </c>
      <c r="B99" s="14" t="s">
        <v>63</v>
      </c>
      <c r="D99" s="41" t="n">
        <f aca="false">SUM(E99:BL99)</f>
        <v>118686050.3349</v>
      </c>
      <c r="E99" s="33" t="n">
        <f aca="false">E14*'Hiring plan'!$K$10*(1+Salary_Raise)^(E$5-1)</f>
        <v>1789932</v>
      </c>
      <c r="F99" s="33" t="n">
        <f aca="false">F14*'Hiring plan'!$K$10*(1+Salary_Raise)^(F$5-1)</f>
        <v>1789932</v>
      </c>
      <c r="G99" s="33" t="n">
        <f aca="false">G14*'Hiring plan'!$K$10*(1+Salary_Raise)^(G$5-1)</f>
        <v>1789932</v>
      </c>
      <c r="H99" s="33" t="n">
        <f aca="false">H14*'Hiring plan'!$K$10*(1+Salary_Raise)^(H$5-1)</f>
        <v>1789932</v>
      </c>
      <c r="I99" s="33" t="n">
        <f aca="false">I14*'Hiring plan'!$K$10*(1+Salary_Raise)^(I$5-1)</f>
        <v>1789932</v>
      </c>
      <c r="J99" s="33" t="n">
        <f aca="false">J14*'Hiring plan'!$K$10*(1+Salary_Raise)^(J$5-1)</f>
        <v>1789932</v>
      </c>
      <c r="K99" s="33" t="n">
        <f aca="false">K14*'Hiring plan'!$K$10*(1+Salary_Raise)^(K$5-1)</f>
        <v>1789932</v>
      </c>
      <c r="L99" s="33" t="n">
        <f aca="false">L14*'Hiring plan'!$K$10*(1+Salary_Raise)^(L$5-1)</f>
        <v>1789932</v>
      </c>
      <c r="M99" s="33" t="n">
        <f aca="false">M14*'Hiring plan'!$K$10*(1+Salary_Raise)^(M$5-1)</f>
        <v>1789932</v>
      </c>
      <c r="N99" s="33" t="n">
        <f aca="false">N14*'Hiring plan'!$K$10*(1+Salary_Raise)^(N$5-1)</f>
        <v>1789932</v>
      </c>
      <c r="O99" s="33" t="n">
        <f aca="false">O14*'Hiring plan'!$K$10*(1+Salary_Raise)^(O$5-1)</f>
        <v>1789932</v>
      </c>
      <c r="P99" s="33" t="n">
        <f aca="false">P14*'Hiring plan'!$K$10*(1+Salary_Raise)^(P$5-1)</f>
        <v>1789932</v>
      </c>
      <c r="Q99" s="33" t="n">
        <f aca="false">Q14*'Hiring plan'!$K$10*(1+Salary_Raise)^(Q$5-1)</f>
        <v>1879428.6</v>
      </c>
      <c r="R99" s="33" t="n">
        <f aca="false">R14*'Hiring plan'!$K$10*(1+Salary_Raise)^(R$5-1)</f>
        <v>1879428.6</v>
      </c>
      <c r="S99" s="33" t="n">
        <f aca="false">S14*'Hiring plan'!$K$10*(1+Salary_Raise)^(S$5-1)</f>
        <v>1879428.6</v>
      </c>
      <c r="T99" s="33" t="n">
        <f aca="false">T14*'Hiring plan'!$K$10*(1+Salary_Raise)^(T$5-1)</f>
        <v>1879428.6</v>
      </c>
      <c r="U99" s="33" t="n">
        <f aca="false">U14*'Hiring plan'!$K$10*(1+Salary_Raise)^(U$5-1)</f>
        <v>1879428.6</v>
      </c>
      <c r="V99" s="33" t="n">
        <f aca="false">V14*'Hiring plan'!$K$10*(1+Salary_Raise)^(V$5-1)</f>
        <v>1879428.6</v>
      </c>
      <c r="W99" s="33" t="n">
        <f aca="false">W14*'Hiring plan'!$K$10*(1+Salary_Raise)^(W$5-1)</f>
        <v>1879428.6</v>
      </c>
      <c r="X99" s="33" t="n">
        <f aca="false">X14*'Hiring plan'!$K$10*(1+Salary_Raise)^(X$5-1)</f>
        <v>1879428.6</v>
      </c>
      <c r="Y99" s="33" t="n">
        <f aca="false">Y14*'Hiring plan'!$K$10*(1+Salary_Raise)^(Y$5-1)</f>
        <v>1879428.6</v>
      </c>
      <c r="Z99" s="33" t="n">
        <f aca="false">Z14*'Hiring plan'!$K$10*(1+Salary_Raise)^(Z$5-1)</f>
        <v>1879428.6</v>
      </c>
      <c r="AA99" s="33" t="n">
        <f aca="false">AA14*'Hiring plan'!$K$10*(1+Salary_Raise)^(AA$5-1)</f>
        <v>1879428.6</v>
      </c>
      <c r="AB99" s="33" t="n">
        <f aca="false">AB14*'Hiring plan'!$K$10*(1+Salary_Raise)^(AB$5-1)</f>
        <v>1879428.6</v>
      </c>
      <c r="AC99" s="33" t="n">
        <f aca="false">AC14*'Hiring plan'!$K$10*(1+Salary_Raise)^(AC$5-1)</f>
        <v>1973400.03</v>
      </c>
      <c r="AD99" s="33" t="n">
        <f aca="false">AD14*'Hiring plan'!$K$10*(1+Salary_Raise)^(AD$5-1)</f>
        <v>1973400.03</v>
      </c>
      <c r="AE99" s="33" t="n">
        <f aca="false">AE14*'Hiring plan'!$K$10*(1+Salary_Raise)^(AE$5-1)</f>
        <v>1973400.03</v>
      </c>
      <c r="AF99" s="33" t="n">
        <f aca="false">AF14*'Hiring plan'!$K$10*(1+Salary_Raise)^(AF$5-1)</f>
        <v>1973400.03</v>
      </c>
      <c r="AG99" s="33" t="n">
        <f aca="false">AG14*'Hiring plan'!$K$10*(1+Salary_Raise)^(AG$5-1)</f>
        <v>1973400.03</v>
      </c>
      <c r="AH99" s="33" t="n">
        <f aca="false">AH14*'Hiring plan'!$K$10*(1+Salary_Raise)^(AH$5-1)</f>
        <v>1973400.03</v>
      </c>
      <c r="AI99" s="33" t="n">
        <f aca="false">AI14*'Hiring plan'!$K$10*(1+Salary_Raise)^(AI$5-1)</f>
        <v>1973400.03</v>
      </c>
      <c r="AJ99" s="33" t="n">
        <f aca="false">AJ14*'Hiring plan'!$K$10*(1+Salary_Raise)^(AJ$5-1)</f>
        <v>1973400.03</v>
      </c>
      <c r="AK99" s="33" t="n">
        <f aca="false">AK14*'Hiring plan'!$K$10*(1+Salary_Raise)^(AK$5-1)</f>
        <v>1973400.03</v>
      </c>
      <c r="AL99" s="33" t="n">
        <f aca="false">AL14*'Hiring plan'!$K$10*(1+Salary_Raise)^(AL$5-1)</f>
        <v>1973400.03</v>
      </c>
      <c r="AM99" s="33" t="n">
        <f aca="false">AM14*'Hiring plan'!$K$10*(1+Salary_Raise)^(AM$5-1)</f>
        <v>1973400.03</v>
      </c>
      <c r="AN99" s="33" t="n">
        <f aca="false">AN14*'Hiring plan'!$K$10*(1+Salary_Raise)^(AN$5-1)</f>
        <v>1973400.03</v>
      </c>
      <c r="AO99" s="33" t="n">
        <f aca="false">AO14*'Hiring plan'!$K$10*(1+Salary_Raise)^(AO$5-1)</f>
        <v>2072070.0315</v>
      </c>
      <c r="AP99" s="33" t="n">
        <f aca="false">AP14*'Hiring plan'!$K$10*(1+Salary_Raise)^(AP$5-1)</f>
        <v>2072070.0315</v>
      </c>
      <c r="AQ99" s="33" t="n">
        <f aca="false">AQ14*'Hiring plan'!$K$10*(1+Salary_Raise)^(AQ$5-1)</f>
        <v>2072070.0315</v>
      </c>
      <c r="AR99" s="33" t="n">
        <f aca="false">AR14*'Hiring plan'!$K$10*(1+Salary_Raise)^(AR$5-1)</f>
        <v>2072070.0315</v>
      </c>
      <c r="AS99" s="33" t="n">
        <f aca="false">AS14*'Hiring plan'!$K$10*(1+Salary_Raise)^(AS$5-1)</f>
        <v>2072070.0315</v>
      </c>
      <c r="AT99" s="33" t="n">
        <f aca="false">AT14*'Hiring plan'!$K$10*(1+Salary_Raise)^(AT$5-1)</f>
        <v>2072070.0315</v>
      </c>
      <c r="AU99" s="33" t="n">
        <f aca="false">AU14*'Hiring plan'!$K$10*(1+Salary_Raise)^(AU$5-1)</f>
        <v>2072070.0315</v>
      </c>
      <c r="AV99" s="33" t="n">
        <f aca="false">AV14*'Hiring plan'!$K$10*(1+Salary_Raise)^(AV$5-1)</f>
        <v>2072070.0315</v>
      </c>
      <c r="AW99" s="33" t="n">
        <f aca="false">AW14*'Hiring plan'!$K$10*(1+Salary_Raise)^(AW$5-1)</f>
        <v>2072070.0315</v>
      </c>
      <c r="AX99" s="33" t="n">
        <f aca="false">AX14*'Hiring plan'!$K$10*(1+Salary_Raise)^(AX$5-1)</f>
        <v>2072070.0315</v>
      </c>
      <c r="AY99" s="33" t="n">
        <f aca="false">AY14*'Hiring plan'!$K$10*(1+Salary_Raise)^(AY$5-1)</f>
        <v>2072070.0315</v>
      </c>
      <c r="AZ99" s="33" t="n">
        <f aca="false">AZ14*'Hiring plan'!$K$10*(1+Salary_Raise)^(AZ$5-1)</f>
        <v>2072070.0315</v>
      </c>
      <c r="BA99" s="33" t="n">
        <f aca="false">BA14*'Hiring plan'!$K$10*(1+Salary_Raise)^(BA$5-1)</f>
        <v>2175673.533075</v>
      </c>
      <c r="BB99" s="33" t="n">
        <f aca="false">BB14*'Hiring plan'!$K$10*(1+Salary_Raise)^(BB$5-1)</f>
        <v>2175673.533075</v>
      </c>
      <c r="BC99" s="33" t="n">
        <f aca="false">BC14*'Hiring plan'!$K$10*(1+Salary_Raise)^(BC$5-1)</f>
        <v>2175673.533075</v>
      </c>
      <c r="BD99" s="33" t="n">
        <f aca="false">BD14*'Hiring plan'!$K$10*(1+Salary_Raise)^(BD$5-1)</f>
        <v>2175673.533075</v>
      </c>
      <c r="BE99" s="33" t="n">
        <f aca="false">BE14*'Hiring plan'!$K$10*(1+Salary_Raise)^(BE$5-1)</f>
        <v>2175673.533075</v>
      </c>
      <c r="BF99" s="33" t="n">
        <f aca="false">BF14*'Hiring plan'!$K$10*(1+Salary_Raise)^(BF$5-1)</f>
        <v>2175673.533075</v>
      </c>
      <c r="BG99" s="33" t="n">
        <f aca="false">BG14*'Hiring plan'!$K$10*(1+Salary_Raise)^(BG$5-1)</f>
        <v>2175673.533075</v>
      </c>
      <c r="BH99" s="33" t="n">
        <f aca="false">BH14*'Hiring plan'!$K$10*(1+Salary_Raise)^(BH$5-1)</f>
        <v>2175673.533075</v>
      </c>
      <c r="BI99" s="33" t="n">
        <f aca="false">BI14*'Hiring plan'!$K$10*(1+Salary_Raise)^(BI$5-1)</f>
        <v>2175673.533075</v>
      </c>
      <c r="BJ99" s="33" t="n">
        <f aca="false">BJ14*'Hiring plan'!$K$10*(1+Salary_Raise)^(BJ$5-1)</f>
        <v>2175673.533075</v>
      </c>
      <c r="BK99" s="33" t="n">
        <f aca="false">BK14*'Hiring plan'!$K$10*(1+Salary_Raise)^(BK$5-1)</f>
        <v>2175673.533075</v>
      </c>
      <c r="BL99" s="33" t="n">
        <f aca="false">BL14*'Hiring plan'!$K$10*(1+Salary_Raise)^(BL$5-1)</f>
        <v>2175673.533075</v>
      </c>
    </row>
    <row r="100" customFormat="false" ht="15" hidden="false" customHeight="false" outlineLevel="0" collapsed="false">
      <c r="A100" s="12" t="str">
        <f aca="false">A15</f>
        <v>Senior mobile developer (Flutter / React Native) · SN</v>
      </c>
      <c r="B100" s="14" t="s">
        <v>63</v>
      </c>
      <c r="D100" s="41" t="n">
        <f aca="false">SUM(E100:BL100)</f>
        <v>118686050.3349</v>
      </c>
      <c r="E100" s="33" t="n">
        <f aca="false">E15*'Hiring plan'!$K$11*(1+Salary_Raise)^(E$5-1)</f>
        <v>1789932</v>
      </c>
      <c r="F100" s="33" t="n">
        <f aca="false">F15*'Hiring plan'!$K$11*(1+Salary_Raise)^(F$5-1)</f>
        <v>1789932</v>
      </c>
      <c r="G100" s="33" t="n">
        <f aca="false">G15*'Hiring plan'!$K$11*(1+Salary_Raise)^(G$5-1)</f>
        <v>1789932</v>
      </c>
      <c r="H100" s="33" t="n">
        <f aca="false">H15*'Hiring plan'!$K$11*(1+Salary_Raise)^(H$5-1)</f>
        <v>1789932</v>
      </c>
      <c r="I100" s="33" t="n">
        <f aca="false">I15*'Hiring plan'!$K$11*(1+Salary_Raise)^(I$5-1)</f>
        <v>1789932</v>
      </c>
      <c r="J100" s="33" t="n">
        <f aca="false">J15*'Hiring plan'!$K$11*(1+Salary_Raise)^(J$5-1)</f>
        <v>1789932</v>
      </c>
      <c r="K100" s="33" t="n">
        <f aca="false">K15*'Hiring plan'!$K$11*(1+Salary_Raise)^(K$5-1)</f>
        <v>1789932</v>
      </c>
      <c r="L100" s="33" t="n">
        <f aca="false">L15*'Hiring plan'!$K$11*(1+Salary_Raise)^(L$5-1)</f>
        <v>1789932</v>
      </c>
      <c r="M100" s="33" t="n">
        <f aca="false">M15*'Hiring plan'!$K$11*(1+Salary_Raise)^(M$5-1)</f>
        <v>1789932</v>
      </c>
      <c r="N100" s="33" t="n">
        <f aca="false">N15*'Hiring plan'!$K$11*(1+Salary_Raise)^(N$5-1)</f>
        <v>1789932</v>
      </c>
      <c r="O100" s="33" t="n">
        <f aca="false">O15*'Hiring plan'!$K$11*(1+Salary_Raise)^(O$5-1)</f>
        <v>1789932</v>
      </c>
      <c r="P100" s="33" t="n">
        <f aca="false">P15*'Hiring plan'!$K$11*(1+Salary_Raise)^(P$5-1)</f>
        <v>1789932</v>
      </c>
      <c r="Q100" s="33" t="n">
        <f aca="false">Q15*'Hiring plan'!$K$11*(1+Salary_Raise)^(Q$5-1)</f>
        <v>1879428.6</v>
      </c>
      <c r="R100" s="33" t="n">
        <f aca="false">R15*'Hiring plan'!$K$11*(1+Salary_Raise)^(R$5-1)</f>
        <v>1879428.6</v>
      </c>
      <c r="S100" s="33" t="n">
        <f aca="false">S15*'Hiring plan'!$K$11*(1+Salary_Raise)^(S$5-1)</f>
        <v>1879428.6</v>
      </c>
      <c r="T100" s="33" t="n">
        <f aca="false">T15*'Hiring plan'!$K$11*(1+Salary_Raise)^(T$5-1)</f>
        <v>1879428.6</v>
      </c>
      <c r="U100" s="33" t="n">
        <f aca="false">U15*'Hiring plan'!$K$11*(1+Salary_Raise)^(U$5-1)</f>
        <v>1879428.6</v>
      </c>
      <c r="V100" s="33" t="n">
        <f aca="false">V15*'Hiring plan'!$K$11*(1+Salary_Raise)^(V$5-1)</f>
        <v>1879428.6</v>
      </c>
      <c r="W100" s="33" t="n">
        <f aca="false">W15*'Hiring plan'!$K$11*(1+Salary_Raise)^(W$5-1)</f>
        <v>1879428.6</v>
      </c>
      <c r="X100" s="33" t="n">
        <f aca="false">X15*'Hiring plan'!$K$11*(1+Salary_Raise)^(X$5-1)</f>
        <v>1879428.6</v>
      </c>
      <c r="Y100" s="33" t="n">
        <f aca="false">Y15*'Hiring plan'!$K$11*(1+Salary_Raise)^(Y$5-1)</f>
        <v>1879428.6</v>
      </c>
      <c r="Z100" s="33" t="n">
        <f aca="false">Z15*'Hiring plan'!$K$11*(1+Salary_Raise)^(Z$5-1)</f>
        <v>1879428.6</v>
      </c>
      <c r="AA100" s="33" t="n">
        <f aca="false">AA15*'Hiring plan'!$K$11*(1+Salary_Raise)^(AA$5-1)</f>
        <v>1879428.6</v>
      </c>
      <c r="AB100" s="33" t="n">
        <f aca="false">AB15*'Hiring plan'!$K$11*(1+Salary_Raise)^(AB$5-1)</f>
        <v>1879428.6</v>
      </c>
      <c r="AC100" s="33" t="n">
        <f aca="false">AC15*'Hiring plan'!$K$11*(1+Salary_Raise)^(AC$5-1)</f>
        <v>1973400.03</v>
      </c>
      <c r="AD100" s="33" t="n">
        <f aca="false">AD15*'Hiring plan'!$K$11*(1+Salary_Raise)^(AD$5-1)</f>
        <v>1973400.03</v>
      </c>
      <c r="AE100" s="33" t="n">
        <f aca="false">AE15*'Hiring plan'!$K$11*(1+Salary_Raise)^(AE$5-1)</f>
        <v>1973400.03</v>
      </c>
      <c r="AF100" s="33" t="n">
        <f aca="false">AF15*'Hiring plan'!$K$11*(1+Salary_Raise)^(AF$5-1)</f>
        <v>1973400.03</v>
      </c>
      <c r="AG100" s="33" t="n">
        <f aca="false">AG15*'Hiring plan'!$K$11*(1+Salary_Raise)^(AG$5-1)</f>
        <v>1973400.03</v>
      </c>
      <c r="AH100" s="33" t="n">
        <f aca="false">AH15*'Hiring plan'!$K$11*(1+Salary_Raise)^(AH$5-1)</f>
        <v>1973400.03</v>
      </c>
      <c r="AI100" s="33" t="n">
        <f aca="false">AI15*'Hiring plan'!$K$11*(1+Salary_Raise)^(AI$5-1)</f>
        <v>1973400.03</v>
      </c>
      <c r="AJ100" s="33" t="n">
        <f aca="false">AJ15*'Hiring plan'!$K$11*(1+Salary_Raise)^(AJ$5-1)</f>
        <v>1973400.03</v>
      </c>
      <c r="AK100" s="33" t="n">
        <f aca="false">AK15*'Hiring plan'!$K$11*(1+Salary_Raise)^(AK$5-1)</f>
        <v>1973400.03</v>
      </c>
      <c r="AL100" s="33" t="n">
        <f aca="false">AL15*'Hiring plan'!$K$11*(1+Salary_Raise)^(AL$5-1)</f>
        <v>1973400.03</v>
      </c>
      <c r="AM100" s="33" t="n">
        <f aca="false">AM15*'Hiring plan'!$K$11*(1+Salary_Raise)^(AM$5-1)</f>
        <v>1973400.03</v>
      </c>
      <c r="AN100" s="33" t="n">
        <f aca="false">AN15*'Hiring plan'!$K$11*(1+Salary_Raise)^(AN$5-1)</f>
        <v>1973400.03</v>
      </c>
      <c r="AO100" s="33" t="n">
        <f aca="false">AO15*'Hiring plan'!$K$11*(1+Salary_Raise)^(AO$5-1)</f>
        <v>2072070.0315</v>
      </c>
      <c r="AP100" s="33" t="n">
        <f aca="false">AP15*'Hiring plan'!$K$11*(1+Salary_Raise)^(AP$5-1)</f>
        <v>2072070.0315</v>
      </c>
      <c r="AQ100" s="33" t="n">
        <f aca="false">AQ15*'Hiring plan'!$K$11*(1+Salary_Raise)^(AQ$5-1)</f>
        <v>2072070.0315</v>
      </c>
      <c r="AR100" s="33" t="n">
        <f aca="false">AR15*'Hiring plan'!$K$11*(1+Salary_Raise)^(AR$5-1)</f>
        <v>2072070.0315</v>
      </c>
      <c r="AS100" s="33" t="n">
        <f aca="false">AS15*'Hiring plan'!$K$11*(1+Salary_Raise)^(AS$5-1)</f>
        <v>2072070.0315</v>
      </c>
      <c r="AT100" s="33" t="n">
        <f aca="false">AT15*'Hiring plan'!$K$11*(1+Salary_Raise)^(AT$5-1)</f>
        <v>2072070.0315</v>
      </c>
      <c r="AU100" s="33" t="n">
        <f aca="false">AU15*'Hiring plan'!$K$11*(1+Salary_Raise)^(AU$5-1)</f>
        <v>2072070.0315</v>
      </c>
      <c r="AV100" s="33" t="n">
        <f aca="false">AV15*'Hiring plan'!$K$11*(1+Salary_Raise)^(AV$5-1)</f>
        <v>2072070.0315</v>
      </c>
      <c r="AW100" s="33" t="n">
        <f aca="false">AW15*'Hiring plan'!$K$11*(1+Salary_Raise)^(AW$5-1)</f>
        <v>2072070.0315</v>
      </c>
      <c r="AX100" s="33" t="n">
        <f aca="false">AX15*'Hiring plan'!$K$11*(1+Salary_Raise)^(AX$5-1)</f>
        <v>2072070.0315</v>
      </c>
      <c r="AY100" s="33" t="n">
        <f aca="false">AY15*'Hiring plan'!$K$11*(1+Salary_Raise)^(AY$5-1)</f>
        <v>2072070.0315</v>
      </c>
      <c r="AZ100" s="33" t="n">
        <f aca="false">AZ15*'Hiring plan'!$K$11*(1+Salary_Raise)^(AZ$5-1)</f>
        <v>2072070.0315</v>
      </c>
      <c r="BA100" s="33" t="n">
        <f aca="false">BA15*'Hiring plan'!$K$11*(1+Salary_Raise)^(BA$5-1)</f>
        <v>2175673.533075</v>
      </c>
      <c r="BB100" s="33" t="n">
        <f aca="false">BB15*'Hiring plan'!$K$11*(1+Salary_Raise)^(BB$5-1)</f>
        <v>2175673.533075</v>
      </c>
      <c r="BC100" s="33" t="n">
        <f aca="false">BC15*'Hiring plan'!$K$11*(1+Salary_Raise)^(BC$5-1)</f>
        <v>2175673.533075</v>
      </c>
      <c r="BD100" s="33" t="n">
        <f aca="false">BD15*'Hiring plan'!$K$11*(1+Salary_Raise)^(BD$5-1)</f>
        <v>2175673.533075</v>
      </c>
      <c r="BE100" s="33" t="n">
        <f aca="false">BE15*'Hiring plan'!$K$11*(1+Salary_Raise)^(BE$5-1)</f>
        <v>2175673.533075</v>
      </c>
      <c r="BF100" s="33" t="n">
        <f aca="false">BF15*'Hiring plan'!$K$11*(1+Salary_Raise)^(BF$5-1)</f>
        <v>2175673.533075</v>
      </c>
      <c r="BG100" s="33" t="n">
        <f aca="false">BG15*'Hiring plan'!$K$11*(1+Salary_Raise)^(BG$5-1)</f>
        <v>2175673.533075</v>
      </c>
      <c r="BH100" s="33" t="n">
        <f aca="false">BH15*'Hiring plan'!$K$11*(1+Salary_Raise)^(BH$5-1)</f>
        <v>2175673.533075</v>
      </c>
      <c r="BI100" s="33" t="n">
        <f aca="false">BI15*'Hiring plan'!$K$11*(1+Salary_Raise)^(BI$5-1)</f>
        <v>2175673.533075</v>
      </c>
      <c r="BJ100" s="33" t="n">
        <f aca="false">BJ15*'Hiring plan'!$K$11*(1+Salary_Raise)^(BJ$5-1)</f>
        <v>2175673.533075</v>
      </c>
      <c r="BK100" s="33" t="n">
        <f aca="false">BK15*'Hiring plan'!$K$11*(1+Salary_Raise)^(BK$5-1)</f>
        <v>2175673.533075</v>
      </c>
      <c r="BL100" s="33" t="n">
        <f aca="false">BL15*'Hiring plan'!$K$11*(1+Salary_Raise)^(BL$5-1)</f>
        <v>2175673.533075</v>
      </c>
    </row>
    <row r="101" customFormat="false" ht="15" hidden="false" customHeight="false" outlineLevel="0" collapsed="false">
      <c r="A101" s="12" t="str">
        <f aca="false">A16</f>
        <v>Full-stack web developer · SN</v>
      </c>
      <c r="B101" s="14" t="s">
        <v>63</v>
      </c>
      <c r="D101" s="41" t="n">
        <f aca="false">SUM(E101:BL101)</f>
        <v>63840873.4923667</v>
      </c>
      <c r="E101" s="33" t="n">
        <f aca="false">E16*'Hiring plan'!$K$12*(1+Salary_Raise)^(E$5-1)</f>
        <v>0</v>
      </c>
      <c r="F101" s="33" t="n">
        <f aca="false">F16*'Hiring plan'!$K$12*(1+Salary_Raise)^(F$5-1)</f>
        <v>0</v>
      </c>
      <c r="G101" s="33" t="n">
        <f aca="false">G16*'Hiring plan'!$K$12*(1+Salary_Raise)^(G$5-1)</f>
        <v>992742.666666667</v>
      </c>
      <c r="H101" s="33" t="n">
        <f aca="false">H16*'Hiring plan'!$K$12*(1+Salary_Raise)^(H$5-1)</f>
        <v>992742.666666667</v>
      </c>
      <c r="I101" s="33" t="n">
        <f aca="false">I16*'Hiring plan'!$K$12*(1+Salary_Raise)^(I$5-1)</f>
        <v>992742.666666667</v>
      </c>
      <c r="J101" s="33" t="n">
        <f aca="false">J16*'Hiring plan'!$K$12*(1+Salary_Raise)^(J$5-1)</f>
        <v>992742.666666667</v>
      </c>
      <c r="K101" s="33" t="n">
        <f aca="false">K16*'Hiring plan'!$K$12*(1+Salary_Raise)^(K$5-1)</f>
        <v>992742.666666667</v>
      </c>
      <c r="L101" s="33" t="n">
        <f aca="false">L16*'Hiring plan'!$K$12*(1+Salary_Raise)^(L$5-1)</f>
        <v>992742.666666667</v>
      </c>
      <c r="M101" s="33" t="n">
        <f aca="false">M16*'Hiring plan'!$K$12*(1+Salary_Raise)^(M$5-1)</f>
        <v>992742.666666667</v>
      </c>
      <c r="N101" s="33" t="n">
        <f aca="false">N16*'Hiring plan'!$K$12*(1+Salary_Raise)^(N$5-1)</f>
        <v>992742.666666667</v>
      </c>
      <c r="O101" s="33" t="n">
        <f aca="false">O16*'Hiring plan'!$K$12*(1+Salary_Raise)^(O$5-1)</f>
        <v>992742.666666667</v>
      </c>
      <c r="P101" s="33" t="n">
        <f aca="false">P16*'Hiring plan'!$K$12*(1+Salary_Raise)^(P$5-1)</f>
        <v>992742.666666667</v>
      </c>
      <c r="Q101" s="33" t="n">
        <f aca="false">Q16*'Hiring plan'!$K$12*(1+Salary_Raise)^(Q$5-1)</f>
        <v>1042379.8</v>
      </c>
      <c r="R101" s="33" t="n">
        <f aca="false">R16*'Hiring plan'!$K$12*(1+Salary_Raise)^(R$5-1)</f>
        <v>1042379.8</v>
      </c>
      <c r="S101" s="33" t="n">
        <f aca="false">S16*'Hiring plan'!$K$12*(1+Salary_Raise)^(S$5-1)</f>
        <v>1042379.8</v>
      </c>
      <c r="T101" s="33" t="n">
        <f aca="false">T16*'Hiring plan'!$K$12*(1+Salary_Raise)^(T$5-1)</f>
        <v>1042379.8</v>
      </c>
      <c r="U101" s="33" t="n">
        <f aca="false">U16*'Hiring plan'!$K$12*(1+Salary_Raise)^(U$5-1)</f>
        <v>1042379.8</v>
      </c>
      <c r="V101" s="33" t="n">
        <f aca="false">V16*'Hiring plan'!$K$12*(1+Salary_Raise)^(V$5-1)</f>
        <v>1042379.8</v>
      </c>
      <c r="W101" s="33" t="n">
        <f aca="false">W16*'Hiring plan'!$K$12*(1+Salary_Raise)^(W$5-1)</f>
        <v>1042379.8</v>
      </c>
      <c r="X101" s="33" t="n">
        <f aca="false">X16*'Hiring plan'!$K$12*(1+Salary_Raise)^(X$5-1)</f>
        <v>1042379.8</v>
      </c>
      <c r="Y101" s="33" t="n">
        <f aca="false">Y16*'Hiring plan'!$K$12*(1+Salary_Raise)^(Y$5-1)</f>
        <v>1042379.8</v>
      </c>
      <c r="Z101" s="33" t="n">
        <f aca="false">Z16*'Hiring plan'!$K$12*(1+Salary_Raise)^(Z$5-1)</f>
        <v>1042379.8</v>
      </c>
      <c r="AA101" s="33" t="n">
        <f aca="false">AA16*'Hiring plan'!$K$12*(1+Salary_Raise)^(AA$5-1)</f>
        <v>1042379.8</v>
      </c>
      <c r="AB101" s="33" t="n">
        <f aca="false">AB16*'Hiring plan'!$K$12*(1+Salary_Raise)^(AB$5-1)</f>
        <v>1042379.8</v>
      </c>
      <c r="AC101" s="33" t="n">
        <f aca="false">AC16*'Hiring plan'!$K$12*(1+Salary_Raise)^(AC$5-1)</f>
        <v>1094498.79</v>
      </c>
      <c r="AD101" s="33" t="n">
        <f aca="false">AD16*'Hiring plan'!$K$12*(1+Salary_Raise)^(AD$5-1)</f>
        <v>1094498.79</v>
      </c>
      <c r="AE101" s="33" t="n">
        <f aca="false">AE16*'Hiring plan'!$K$12*(1+Salary_Raise)^(AE$5-1)</f>
        <v>1094498.79</v>
      </c>
      <c r="AF101" s="33" t="n">
        <f aca="false">AF16*'Hiring plan'!$K$12*(1+Salary_Raise)^(AF$5-1)</f>
        <v>1094498.79</v>
      </c>
      <c r="AG101" s="33" t="n">
        <f aca="false">AG16*'Hiring plan'!$K$12*(1+Salary_Raise)^(AG$5-1)</f>
        <v>1094498.79</v>
      </c>
      <c r="AH101" s="33" t="n">
        <f aca="false">AH16*'Hiring plan'!$K$12*(1+Salary_Raise)^(AH$5-1)</f>
        <v>1094498.79</v>
      </c>
      <c r="AI101" s="33" t="n">
        <f aca="false">AI16*'Hiring plan'!$K$12*(1+Salary_Raise)^(AI$5-1)</f>
        <v>1094498.79</v>
      </c>
      <c r="AJ101" s="33" t="n">
        <f aca="false">AJ16*'Hiring plan'!$K$12*(1+Salary_Raise)^(AJ$5-1)</f>
        <v>1094498.79</v>
      </c>
      <c r="AK101" s="33" t="n">
        <f aca="false">AK16*'Hiring plan'!$K$12*(1+Salary_Raise)^(AK$5-1)</f>
        <v>1094498.79</v>
      </c>
      <c r="AL101" s="33" t="n">
        <f aca="false">AL16*'Hiring plan'!$K$12*(1+Salary_Raise)^(AL$5-1)</f>
        <v>1094498.79</v>
      </c>
      <c r="AM101" s="33" t="n">
        <f aca="false">AM16*'Hiring plan'!$K$12*(1+Salary_Raise)^(AM$5-1)</f>
        <v>1094498.79</v>
      </c>
      <c r="AN101" s="33" t="n">
        <f aca="false">AN16*'Hiring plan'!$K$12*(1+Salary_Raise)^(AN$5-1)</f>
        <v>1094498.79</v>
      </c>
      <c r="AO101" s="33" t="n">
        <f aca="false">AO16*'Hiring plan'!$K$12*(1+Salary_Raise)^(AO$5-1)</f>
        <v>1149223.7295</v>
      </c>
      <c r="AP101" s="33" t="n">
        <f aca="false">AP16*'Hiring plan'!$K$12*(1+Salary_Raise)^(AP$5-1)</f>
        <v>1149223.7295</v>
      </c>
      <c r="AQ101" s="33" t="n">
        <f aca="false">AQ16*'Hiring plan'!$K$12*(1+Salary_Raise)^(AQ$5-1)</f>
        <v>1149223.7295</v>
      </c>
      <c r="AR101" s="33" t="n">
        <f aca="false">AR16*'Hiring plan'!$K$12*(1+Salary_Raise)^(AR$5-1)</f>
        <v>1149223.7295</v>
      </c>
      <c r="AS101" s="33" t="n">
        <f aca="false">AS16*'Hiring plan'!$K$12*(1+Salary_Raise)^(AS$5-1)</f>
        <v>1149223.7295</v>
      </c>
      <c r="AT101" s="33" t="n">
        <f aca="false">AT16*'Hiring plan'!$K$12*(1+Salary_Raise)^(AT$5-1)</f>
        <v>1149223.7295</v>
      </c>
      <c r="AU101" s="33" t="n">
        <f aca="false">AU16*'Hiring plan'!$K$12*(1+Salary_Raise)^(AU$5-1)</f>
        <v>1149223.7295</v>
      </c>
      <c r="AV101" s="33" t="n">
        <f aca="false">AV16*'Hiring plan'!$K$12*(1+Salary_Raise)^(AV$5-1)</f>
        <v>1149223.7295</v>
      </c>
      <c r="AW101" s="33" t="n">
        <f aca="false">AW16*'Hiring plan'!$K$12*(1+Salary_Raise)^(AW$5-1)</f>
        <v>1149223.7295</v>
      </c>
      <c r="AX101" s="33" t="n">
        <f aca="false">AX16*'Hiring plan'!$K$12*(1+Salary_Raise)^(AX$5-1)</f>
        <v>1149223.7295</v>
      </c>
      <c r="AY101" s="33" t="n">
        <f aca="false">AY16*'Hiring plan'!$K$12*(1+Salary_Raise)^(AY$5-1)</f>
        <v>1149223.7295</v>
      </c>
      <c r="AZ101" s="33" t="n">
        <f aca="false">AZ16*'Hiring plan'!$K$12*(1+Salary_Raise)^(AZ$5-1)</f>
        <v>1149223.7295</v>
      </c>
      <c r="BA101" s="33" t="n">
        <f aca="false">BA16*'Hiring plan'!$K$12*(1+Salary_Raise)^(BA$5-1)</f>
        <v>1206684.915975</v>
      </c>
      <c r="BB101" s="33" t="n">
        <f aca="false">BB16*'Hiring plan'!$K$12*(1+Salary_Raise)^(BB$5-1)</f>
        <v>1206684.915975</v>
      </c>
      <c r="BC101" s="33" t="n">
        <f aca="false">BC16*'Hiring plan'!$K$12*(1+Salary_Raise)^(BC$5-1)</f>
        <v>1206684.915975</v>
      </c>
      <c r="BD101" s="33" t="n">
        <f aca="false">BD16*'Hiring plan'!$K$12*(1+Salary_Raise)^(BD$5-1)</f>
        <v>1206684.915975</v>
      </c>
      <c r="BE101" s="33" t="n">
        <f aca="false">BE16*'Hiring plan'!$K$12*(1+Salary_Raise)^(BE$5-1)</f>
        <v>1206684.915975</v>
      </c>
      <c r="BF101" s="33" t="n">
        <f aca="false">BF16*'Hiring plan'!$K$12*(1+Salary_Raise)^(BF$5-1)</f>
        <v>1206684.915975</v>
      </c>
      <c r="BG101" s="33" t="n">
        <f aca="false">BG16*'Hiring plan'!$K$12*(1+Salary_Raise)^(BG$5-1)</f>
        <v>1206684.915975</v>
      </c>
      <c r="BH101" s="33" t="n">
        <f aca="false">BH16*'Hiring plan'!$K$12*(1+Salary_Raise)^(BH$5-1)</f>
        <v>1206684.915975</v>
      </c>
      <c r="BI101" s="33" t="n">
        <f aca="false">BI16*'Hiring plan'!$K$12*(1+Salary_Raise)^(BI$5-1)</f>
        <v>1206684.915975</v>
      </c>
      <c r="BJ101" s="33" t="n">
        <f aca="false">BJ16*'Hiring plan'!$K$12*(1+Salary_Raise)^(BJ$5-1)</f>
        <v>1206684.915975</v>
      </c>
      <c r="BK101" s="33" t="n">
        <f aca="false">BK16*'Hiring plan'!$K$12*(1+Salary_Raise)^(BK$5-1)</f>
        <v>1206684.915975</v>
      </c>
      <c r="BL101" s="33" t="n">
        <f aca="false">BL16*'Hiring plan'!$K$12*(1+Salary_Raise)^(BL$5-1)</f>
        <v>1206684.915975</v>
      </c>
    </row>
    <row r="102" customFormat="false" ht="15" hidden="false" customHeight="false" outlineLevel="0" collapsed="false">
      <c r="A102" s="12" t="str">
        <f aca="false">A17</f>
        <v>Product designer (UI/UX) · SN</v>
      </c>
      <c r="B102" s="14" t="s">
        <v>63</v>
      </c>
      <c r="D102" s="41" t="n">
        <f aca="false">SUM(E102:BL102)</f>
        <v>58205408.2057</v>
      </c>
      <c r="E102" s="33" t="n">
        <f aca="false">E17*'Hiring plan'!$K$13*(1+Salary_Raise)^(E$5-1)</f>
        <v>877809.333333333</v>
      </c>
      <c r="F102" s="33" t="n">
        <f aca="false">F17*'Hiring plan'!$K$13*(1+Salary_Raise)^(F$5-1)</f>
        <v>877809.333333333</v>
      </c>
      <c r="G102" s="33" t="n">
        <f aca="false">G17*'Hiring plan'!$K$13*(1+Salary_Raise)^(G$5-1)</f>
        <v>877809.333333333</v>
      </c>
      <c r="H102" s="33" t="n">
        <f aca="false">H17*'Hiring plan'!$K$13*(1+Salary_Raise)^(H$5-1)</f>
        <v>877809.333333333</v>
      </c>
      <c r="I102" s="33" t="n">
        <f aca="false">I17*'Hiring plan'!$K$13*(1+Salary_Raise)^(I$5-1)</f>
        <v>877809.333333333</v>
      </c>
      <c r="J102" s="33" t="n">
        <f aca="false">J17*'Hiring plan'!$K$13*(1+Salary_Raise)^(J$5-1)</f>
        <v>877809.333333333</v>
      </c>
      <c r="K102" s="33" t="n">
        <f aca="false">K17*'Hiring plan'!$K$13*(1+Salary_Raise)^(K$5-1)</f>
        <v>877809.333333333</v>
      </c>
      <c r="L102" s="33" t="n">
        <f aca="false">L17*'Hiring plan'!$K$13*(1+Salary_Raise)^(L$5-1)</f>
        <v>877809.333333333</v>
      </c>
      <c r="M102" s="33" t="n">
        <f aca="false">M17*'Hiring plan'!$K$13*(1+Salary_Raise)^(M$5-1)</f>
        <v>877809.333333333</v>
      </c>
      <c r="N102" s="33" t="n">
        <f aca="false">N17*'Hiring plan'!$K$13*(1+Salary_Raise)^(N$5-1)</f>
        <v>877809.333333333</v>
      </c>
      <c r="O102" s="33" t="n">
        <f aca="false">O17*'Hiring plan'!$K$13*(1+Salary_Raise)^(O$5-1)</f>
        <v>877809.333333333</v>
      </c>
      <c r="P102" s="33" t="n">
        <f aca="false">P17*'Hiring plan'!$K$13*(1+Salary_Raise)^(P$5-1)</f>
        <v>877809.333333333</v>
      </c>
      <c r="Q102" s="33" t="n">
        <f aca="false">Q17*'Hiring plan'!$K$13*(1+Salary_Raise)^(Q$5-1)</f>
        <v>921699.8</v>
      </c>
      <c r="R102" s="33" t="n">
        <f aca="false">R17*'Hiring plan'!$K$13*(1+Salary_Raise)^(R$5-1)</f>
        <v>921699.8</v>
      </c>
      <c r="S102" s="33" t="n">
        <f aca="false">S17*'Hiring plan'!$K$13*(1+Salary_Raise)^(S$5-1)</f>
        <v>921699.8</v>
      </c>
      <c r="T102" s="33" t="n">
        <f aca="false">T17*'Hiring plan'!$K$13*(1+Salary_Raise)^(T$5-1)</f>
        <v>921699.8</v>
      </c>
      <c r="U102" s="33" t="n">
        <f aca="false">U17*'Hiring plan'!$K$13*(1+Salary_Raise)^(U$5-1)</f>
        <v>921699.8</v>
      </c>
      <c r="V102" s="33" t="n">
        <f aca="false">V17*'Hiring plan'!$K$13*(1+Salary_Raise)^(V$5-1)</f>
        <v>921699.8</v>
      </c>
      <c r="W102" s="33" t="n">
        <f aca="false">W17*'Hiring plan'!$K$13*(1+Salary_Raise)^(W$5-1)</f>
        <v>921699.8</v>
      </c>
      <c r="X102" s="33" t="n">
        <f aca="false">X17*'Hiring plan'!$K$13*(1+Salary_Raise)^(X$5-1)</f>
        <v>921699.8</v>
      </c>
      <c r="Y102" s="33" t="n">
        <f aca="false">Y17*'Hiring plan'!$K$13*(1+Salary_Raise)^(Y$5-1)</f>
        <v>921699.8</v>
      </c>
      <c r="Z102" s="33" t="n">
        <f aca="false">Z17*'Hiring plan'!$K$13*(1+Salary_Raise)^(Z$5-1)</f>
        <v>921699.8</v>
      </c>
      <c r="AA102" s="33" t="n">
        <f aca="false">AA17*'Hiring plan'!$K$13*(1+Salary_Raise)^(AA$5-1)</f>
        <v>921699.8</v>
      </c>
      <c r="AB102" s="33" t="n">
        <f aca="false">AB17*'Hiring plan'!$K$13*(1+Salary_Raise)^(AB$5-1)</f>
        <v>921699.8</v>
      </c>
      <c r="AC102" s="33" t="n">
        <f aca="false">AC17*'Hiring plan'!$K$13*(1+Salary_Raise)^(AC$5-1)</f>
        <v>967784.79</v>
      </c>
      <c r="AD102" s="33" t="n">
        <f aca="false">AD17*'Hiring plan'!$K$13*(1+Salary_Raise)^(AD$5-1)</f>
        <v>967784.79</v>
      </c>
      <c r="AE102" s="33" t="n">
        <f aca="false">AE17*'Hiring plan'!$K$13*(1+Salary_Raise)^(AE$5-1)</f>
        <v>967784.79</v>
      </c>
      <c r="AF102" s="33" t="n">
        <f aca="false">AF17*'Hiring plan'!$K$13*(1+Salary_Raise)^(AF$5-1)</f>
        <v>967784.79</v>
      </c>
      <c r="AG102" s="33" t="n">
        <f aca="false">AG17*'Hiring plan'!$K$13*(1+Salary_Raise)^(AG$5-1)</f>
        <v>967784.79</v>
      </c>
      <c r="AH102" s="33" t="n">
        <f aca="false">AH17*'Hiring plan'!$K$13*(1+Salary_Raise)^(AH$5-1)</f>
        <v>967784.79</v>
      </c>
      <c r="AI102" s="33" t="n">
        <f aca="false">AI17*'Hiring plan'!$K$13*(1+Salary_Raise)^(AI$5-1)</f>
        <v>967784.79</v>
      </c>
      <c r="AJ102" s="33" t="n">
        <f aca="false">AJ17*'Hiring plan'!$K$13*(1+Salary_Raise)^(AJ$5-1)</f>
        <v>967784.79</v>
      </c>
      <c r="AK102" s="33" t="n">
        <f aca="false">AK17*'Hiring plan'!$K$13*(1+Salary_Raise)^(AK$5-1)</f>
        <v>967784.79</v>
      </c>
      <c r="AL102" s="33" t="n">
        <f aca="false">AL17*'Hiring plan'!$K$13*(1+Salary_Raise)^(AL$5-1)</f>
        <v>967784.79</v>
      </c>
      <c r="AM102" s="33" t="n">
        <f aca="false">AM17*'Hiring plan'!$K$13*(1+Salary_Raise)^(AM$5-1)</f>
        <v>967784.79</v>
      </c>
      <c r="AN102" s="33" t="n">
        <f aca="false">AN17*'Hiring plan'!$K$13*(1+Salary_Raise)^(AN$5-1)</f>
        <v>967784.79</v>
      </c>
      <c r="AO102" s="33" t="n">
        <f aca="false">AO17*'Hiring plan'!$K$13*(1+Salary_Raise)^(AO$5-1)</f>
        <v>1016174.0295</v>
      </c>
      <c r="AP102" s="33" t="n">
        <f aca="false">AP17*'Hiring plan'!$K$13*(1+Salary_Raise)^(AP$5-1)</f>
        <v>1016174.0295</v>
      </c>
      <c r="AQ102" s="33" t="n">
        <f aca="false">AQ17*'Hiring plan'!$K$13*(1+Salary_Raise)^(AQ$5-1)</f>
        <v>1016174.0295</v>
      </c>
      <c r="AR102" s="33" t="n">
        <f aca="false">AR17*'Hiring plan'!$K$13*(1+Salary_Raise)^(AR$5-1)</f>
        <v>1016174.0295</v>
      </c>
      <c r="AS102" s="33" t="n">
        <f aca="false">AS17*'Hiring plan'!$K$13*(1+Salary_Raise)^(AS$5-1)</f>
        <v>1016174.0295</v>
      </c>
      <c r="AT102" s="33" t="n">
        <f aca="false">AT17*'Hiring plan'!$K$13*(1+Salary_Raise)^(AT$5-1)</f>
        <v>1016174.0295</v>
      </c>
      <c r="AU102" s="33" t="n">
        <f aca="false">AU17*'Hiring plan'!$K$13*(1+Salary_Raise)^(AU$5-1)</f>
        <v>1016174.0295</v>
      </c>
      <c r="AV102" s="33" t="n">
        <f aca="false">AV17*'Hiring plan'!$K$13*(1+Salary_Raise)^(AV$5-1)</f>
        <v>1016174.0295</v>
      </c>
      <c r="AW102" s="33" t="n">
        <f aca="false">AW17*'Hiring plan'!$K$13*(1+Salary_Raise)^(AW$5-1)</f>
        <v>1016174.0295</v>
      </c>
      <c r="AX102" s="33" t="n">
        <f aca="false">AX17*'Hiring plan'!$K$13*(1+Salary_Raise)^(AX$5-1)</f>
        <v>1016174.0295</v>
      </c>
      <c r="AY102" s="33" t="n">
        <f aca="false">AY17*'Hiring plan'!$K$13*(1+Salary_Raise)^(AY$5-1)</f>
        <v>1016174.0295</v>
      </c>
      <c r="AZ102" s="33" t="n">
        <f aca="false">AZ17*'Hiring plan'!$K$13*(1+Salary_Raise)^(AZ$5-1)</f>
        <v>1016174.0295</v>
      </c>
      <c r="BA102" s="33" t="n">
        <f aca="false">BA17*'Hiring plan'!$K$13*(1+Salary_Raise)^(BA$5-1)</f>
        <v>1066982.730975</v>
      </c>
      <c r="BB102" s="33" t="n">
        <f aca="false">BB17*'Hiring plan'!$K$13*(1+Salary_Raise)^(BB$5-1)</f>
        <v>1066982.730975</v>
      </c>
      <c r="BC102" s="33" t="n">
        <f aca="false">BC17*'Hiring plan'!$K$13*(1+Salary_Raise)^(BC$5-1)</f>
        <v>1066982.730975</v>
      </c>
      <c r="BD102" s="33" t="n">
        <f aca="false">BD17*'Hiring plan'!$K$13*(1+Salary_Raise)^(BD$5-1)</f>
        <v>1066982.730975</v>
      </c>
      <c r="BE102" s="33" t="n">
        <f aca="false">BE17*'Hiring plan'!$K$13*(1+Salary_Raise)^(BE$5-1)</f>
        <v>1066982.730975</v>
      </c>
      <c r="BF102" s="33" t="n">
        <f aca="false">BF17*'Hiring plan'!$K$13*(1+Salary_Raise)^(BF$5-1)</f>
        <v>1066982.730975</v>
      </c>
      <c r="BG102" s="33" t="n">
        <f aca="false">BG17*'Hiring plan'!$K$13*(1+Salary_Raise)^(BG$5-1)</f>
        <v>1066982.730975</v>
      </c>
      <c r="BH102" s="33" t="n">
        <f aca="false">BH17*'Hiring plan'!$K$13*(1+Salary_Raise)^(BH$5-1)</f>
        <v>1066982.730975</v>
      </c>
      <c r="BI102" s="33" t="n">
        <f aca="false">BI17*'Hiring plan'!$K$13*(1+Salary_Raise)^(BI$5-1)</f>
        <v>1066982.730975</v>
      </c>
      <c r="BJ102" s="33" t="n">
        <f aca="false">BJ17*'Hiring plan'!$K$13*(1+Salary_Raise)^(BJ$5-1)</f>
        <v>1066982.730975</v>
      </c>
      <c r="BK102" s="33" t="n">
        <f aca="false">BK17*'Hiring plan'!$K$13*(1+Salary_Raise)^(BK$5-1)</f>
        <v>1066982.730975</v>
      </c>
      <c r="BL102" s="33" t="n">
        <f aca="false">BL17*'Hiring plan'!$K$13*(1+Salary_Raise)^(BL$5-1)</f>
        <v>1066982.730975</v>
      </c>
    </row>
    <row r="103" customFormat="false" ht="15" hidden="false" customHeight="false" outlineLevel="0" collapsed="false">
      <c r="A103" s="12" t="str">
        <f aca="false">A18</f>
        <v>Data scientist (credit scoring) · SN</v>
      </c>
      <c r="B103" s="14" t="s">
        <v>63</v>
      </c>
      <c r="D103" s="41" t="n">
        <f aca="false">SUM(E103:BL103)</f>
        <v>83237877.3057</v>
      </c>
      <c r="E103" s="33" t="n">
        <f aca="false">E18*'Hiring plan'!$K$14*(1+Salary_Raise)^(E$5-1)</f>
        <v>0</v>
      </c>
      <c r="F103" s="33" t="n">
        <f aca="false">F18*'Hiring plan'!$K$14*(1+Salary_Raise)^(F$5-1)</f>
        <v>0</v>
      </c>
      <c r="G103" s="33" t="n">
        <f aca="false">G18*'Hiring plan'!$K$14*(1+Salary_Raise)^(G$5-1)</f>
        <v>0</v>
      </c>
      <c r="H103" s="33" t="n">
        <f aca="false">H18*'Hiring plan'!$K$14*(1+Salary_Raise)^(H$5-1)</f>
        <v>0</v>
      </c>
      <c r="I103" s="33" t="n">
        <f aca="false">I18*'Hiring plan'!$K$14*(1+Salary_Raise)^(I$5-1)</f>
        <v>0</v>
      </c>
      <c r="J103" s="33" t="n">
        <f aca="false">J18*'Hiring plan'!$K$14*(1+Salary_Raise)^(J$5-1)</f>
        <v>0</v>
      </c>
      <c r="K103" s="33" t="n">
        <f aca="false">K18*'Hiring plan'!$K$14*(1+Salary_Raise)^(K$5-1)</f>
        <v>0</v>
      </c>
      <c r="L103" s="33" t="n">
        <f aca="false">L18*'Hiring plan'!$K$14*(1+Salary_Raise)^(L$5-1)</f>
        <v>0</v>
      </c>
      <c r="M103" s="33" t="n">
        <f aca="false">M18*'Hiring plan'!$K$14*(1+Salary_Raise)^(M$5-1)</f>
        <v>0</v>
      </c>
      <c r="N103" s="33" t="n">
        <f aca="false">N18*'Hiring plan'!$K$14*(1+Salary_Raise)^(N$5-1)</f>
        <v>1452476</v>
      </c>
      <c r="O103" s="33" t="n">
        <f aca="false">O18*'Hiring plan'!$K$14*(1+Salary_Raise)^(O$5-1)</f>
        <v>1452476</v>
      </c>
      <c r="P103" s="33" t="n">
        <f aca="false">P18*'Hiring plan'!$K$14*(1+Salary_Raise)^(P$5-1)</f>
        <v>1452476</v>
      </c>
      <c r="Q103" s="33" t="n">
        <f aca="false">Q18*'Hiring plan'!$K$14*(1+Salary_Raise)^(Q$5-1)</f>
        <v>1525099.8</v>
      </c>
      <c r="R103" s="33" t="n">
        <f aca="false">R18*'Hiring plan'!$K$14*(1+Salary_Raise)^(R$5-1)</f>
        <v>1525099.8</v>
      </c>
      <c r="S103" s="33" t="n">
        <f aca="false">S18*'Hiring plan'!$K$14*(1+Salary_Raise)^(S$5-1)</f>
        <v>1525099.8</v>
      </c>
      <c r="T103" s="33" t="n">
        <f aca="false">T18*'Hiring plan'!$K$14*(1+Salary_Raise)^(T$5-1)</f>
        <v>1525099.8</v>
      </c>
      <c r="U103" s="33" t="n">
        <f aca="false">U18*'Hiring plan'!$K$14*(1+Salary_Raise)^(U$5-1)</f>
        <v>1525099.8</v>
      </c>
      <c r="V103" s="33" t="n">
        <f aca="false">V18*'Hiring plan'!$K$14*(1+Salary_Raise)^(V$5-1)</f>
        <v>1525099.8</v>
      </c>
      <c r="W103" s="33" t="n">
        <f aca="false">W18*'Hiring plan'!$K$14*(1+Salary_Raise)^(W$5-1)</f>
        <v>1525099.8</v>
      </c>
      <c r="X103" s="33" t="n">
        <f aca="false">X18*'Hiring plan'!$K$14*(1+Salary_Raise)^(X$5-1)</f>
        <v>1525099.8</v>
      </c>
      <c r="Y103" s="33" t="n">
        <f aca="false">Y18*'Hiring plan'!$K$14*(1+Salary_Raise)^(Y$5-1)</f>
        <v>1525099.8</v>
      </c>
      <c r="Z103" s="33" t="n">
        <f aca="false">Z18*'Hiring plan'!$K$14*(1+Salary_Raise)^(Z$5-1)</f>
        <v>1525099.8</v>
      </c>
      <c r="AA103" s="33" t="n">
        <f aca="false">AA18*'Hiring plan'!$K$14*(1+Salary_Raise)^(AA$5-1)</f>
        <v>1525099.8</v>
      </c>
      <c r="AB103" s="33" t="n">
        <f aca="false">AB18*'Hiring plan'!$K$14*(1+Salary_Raise)^(AB$5-1)</f>
        <v>1525099.8</v>
      </c>
      <c r="AC103" s="33" t="n">
        <f aca="false">AC18*'Hiring plan'!$K$14*(1+Salary_Raise)^(AC$5-1)</f>
        <v>1601354.79</v>
      </c>
      <c r="AD103" s="33" t="n">
        <f aca="false">AD18*'Hiring plan'!$K$14*(1+Salary_Raise)^(AD$5-1)</f>
        <v>1601354.79</v>
      </c>
      <c r="AE103" s="33" t="n">
        <f aca="false">AE18*'Hiring plan'!$K$14*(1+Salary_Raise)^(AE$5-1)</f>
        <v>1601354.79</v>
      </c>
      <c r="AF103" s="33" t="n">
        <f aca="false">AF18*'Hiring plan'!$K$14*(1+Salary_Raise)^(AF$5-1)</f>
        <v>1601354.79</v>
      </c>
      <c r="AG103" s="33" t="n">
        <f aca="false">AG18*'Hiring plan'!$K$14*(1+Salary_Raise)^(AG$5-1)</f>
        <v>1601354.79</v>
      </c>
      <c r="AH103" s="33" t="n">
        <f aca="false">AH18*'Hiring plan'!$K$14*(1+Salary_Raise)^(AH$5-1)</f>
        <v>1601354.79</v>
      </c>
      <c r="AI103" s="33" t="n">
        <f aca="false">AI18*'Hiring plan'!$K$14*(1+Salary_Raise)^(AI$5-1)</f>
        <v>1601354.79</v>
      </c>
      <c r="AJ103" s="33" t="n">
        <f aca="false">AJ18*'Hiring plan'!$K$14*(1+Salary_Raise)^(AJ$5-1)</f>
        <v>1601354.79</v>
      </c>
      <c r="AK103" s="33" t="n">
        <f aca="false">AK18*'Hiring plan'!$K$14*(1+Salary_Raise)^(AK$5-1)</f>
        <v>1601354.79</v>
      </c>
      <c r="AL103" s="33" t="n">
        <f aca="false">AL18*'Hiring plan'!$K$14*(1+Salary_Raise)^(AL$5-1)</f>
        <v>1601354.79</v>
      </c>
      <c r="AM103" s="33" t="n">
        <f aca="false">AM18*'Hiring plan'!$K$14*(1+Salary_Raise)^(AM$5-1)</f>
        <v>1601354.79</v>
      </c>
      <c r="AN103" s="33" t="n">
        <f aca="false">AN18*'Hiring plan'!$K$14*(1+Salary_Raise)^(AN$5-1)</f>
        <v>1601354.79</v>
      </c>
      <c r="AO103" s="33" t="n">
        <f aca="false">AO18*'Hiring plan'!$K$14*(1+Salary_Raise)^(AO$5-1)</f>
        <v>1681422.5295</v>
      </c>
      <c r="AP103" s="33" t="n">
        <f aca="false">AP18*'Hiring plan'!$K$14*(1+Salary_Raise)^(AP$5-1)</f>
        <v>1681422.5295</v>
      </c>
      <c r="AQ103" s="33" t="n">
        <f aca="false">AQ18*'Hiring plan'!$K$14*(1+Salary_Raise)^(AQ$5-1)</f>
        <v>1681422.5295</v>
      </c>
      <c r="AR103" s="33" t="n">
        <f aca="false">AR18*'Hiring plan'!$K$14*(1+Salary_Raise)^(AR$5-1)</f>
        <v>1681422.5295</v>
      </c>
      <c r="AS103" s="33" t="n">
        <f aca="false">AS18*'Hiring plan'!$K$14*(1+Salary_Raise)^(AS$5-1)</f>
        <v>1681422.5295</v>
      </c>
      <c r="AT103" s="33" t="n">
        <f aca="false">AT18*'Hiring plan'!$K$14*(1+Salary_Raise)^(AT$5-1)</f>
        <v>1681422.5295</v>
      </c>
      <c r="AU103" s="33" t="n">
        <f aca="false">AU18*'Hiring plan'!$K$14*(1+Salary_Raise)^(AU$5-1)</f>
        <v>1681422.5295</v>
      </c>
      <c r="AV103" s="33" t="n">
        <f aca="false">AV18*'Hiring plan'!$K$14*(1+Salary_Raise)^(AV$5-1)</f>
        <v>1681422.5295</v>
      </c>
      <c r="AW103" s="33" t="n">
        <f aca="false">AW18*'Hiring plan'!$K$14*(1+Salary_Raise)^(AW$5-1)</f>
        <v>1681422.5295</v>
      </c>
      <c r="AX103" s="33" t="n">
        <f aca="false">AX18*'Hiring plan'!$K$14*(1+Salary_Raise)^(AX$5-1)</f>
        <v>1681422.5295</v>
      </c>
      <c r="AY103" s="33" t="n">
        <f aca="false">AY18*'Hiring plan'!$K$14*(1+Salary_Raise)^(AY$5-1)</f>
        <v>1681422.5295</v>
      </c>
      <c r="AZ103" s="33" t="n">
        <f aca="false">AZ18*'Hiring plan'!$K$14*(1+Salary_Raise)^(AZ$5-1)</f>
        <v>1681422.5295</v>
      </c>
      <c r="BA103" s="33" t="n">
        <f aca="false">BA18*'Hiring plan'!$K$14*(1+Salary_Raise)^(BA$5-1)</f>
        <v>1765493.655975</v>
      </c>
      <c r="BB103" s="33" t="n">
        <f aca="false">BB18*'Hiring plan'!$K$14*(1+Salary_Raise)^(BB$5-1)</f>
        <v>1765493.655975</v>
      </c>
      <c r="BC103" s="33" t="n">
        <f aca="false">BC18*'Hiring plan'!$K$14*(1+Salary_Raise)^(BC$5-1)</f>
        <v>1765493.655975</v>
      </c>
      <c r="BD103" s="33" t="n">
        <f aca="false">BD18*'Hiring plan'!$K$14*(1+Salary_Raise)^(BD$5-1)</f>
        <v>1765493.655975</v>
      </c>
      <c r="BE103" s="33" t="n">
        <f aca="false">BE18*'Hiring plan'!$K$14*(1+Salary_Raise)^(BE$5-1)</f>
        <v>1765493.655975</v>
      </c>
      <c r="BF103" s="33" t="n">
        <f aca="false">BF18*'Hiring plan'!$K$14*(1+Salary_Raise)^(BF$5-1)</f>
        <v>1765493.655975</v>
      </c>
      <c r="BG103" s="33" t="n">
        <f aca="false">BG18*'Hiring plan'!$K$14*(1+Salary_Raise)^(BG$5-1)</f>
        <v>1765493.655975</v>
      </c>
      <c r="BH103" s="33" t="n">
        <f aca="false">BH18*'Hiring plan'!$K$14*(1+Salary_Raise)^(BH$5-1)</f>
        <v>1765493.655975</v>
      </c>
      <c r="BI103" s="33" t="n">
        <f aca="false">BI18*'Hiring plan'!$K$14*(1+Salary_Raise)^(BI$5-1)</f>
        <v>1765493.655975</v>
      </c>
      <c r="BJ103" s="33" t="n">
        <f aca="false">BJ18*'Hiring plan'!$K$14*(1+Salary_Raise)^(BJ$5-1)</f>
        <v>1765493.655975</v>
      </c>
      <c r="BK103" s="33" t="n">
        <f aca="false">BK18*'Hiring plan'!$K$14*(1+Salary_Raise)^(BK$5-1)</f>
        <v>1765493.655975</v>
      </c>
      <c r="BL103" s="33" t="n">
        <f aca="false">BL18*'Hiring plan'!$K$14*(1+Salary_Raise)^(BL$5-1)</f>
        <v>1765493.655975</v>
      </c>
    </row>
    <row r="104" customFormat="false" ht="15" hidden="false" customHeight="false" outlineLevel="0" collapsed="false">
      <c r="A104" s="12" t="str">
        <f aca="false">A19</f>
        <v>Senior backend developer · SN</v>
      </c>
      <c r="B104" s="14" t="s">
        <v>63</v>
      </c>
      <c r="D104" s="41" t="n">
        <f aca="false">SUM(E104:BL104)</f>
        <v>85930294.7349</v>
      </c>
      <c r="E104" s="33" t="n">
        <f aca="false">E19*'Hiring plan'!$K$15*(1+Salary_Raise)^(E$5-1)</f>
        <v>0</v>
      </c>
      <c r="F104" s="33" t="n">
        <f aca="false">F19*'Hiring plan'!$K$15*(1+Salary_Raise)^(F$5-1)</f>
        <v>0</v>
      </c>
      <c r="G104" s="33" t="n">
        <f aca="false">G19*'Hiring plan'!$K$15*(1+Salary_Raise)^(G$5-1)</f>
        <v>0</v>
      </c>
      <c r="H104" s="33" t="n">
        <f aca="false">H19*'Hiring plan'!$K$15*(1+Salary_Raise)^(H$5-1)</f>
        <v>0</v>
      </c>
      <c r="I104" s="33" t="n">
        <f aca="false">I19*'Hiring plan'!$K$15*(1+Salary_Raise)^(I$5-1)</f>
        <v>0</v>
      </c>
      <c r="J104" s="33" t="n">
        <f aca="false">J19*'Hiring plan'!$K$15*(1+Salary_Raise)^(J$5-1)</f>
        <v>0</v>
      </c>
      <c r="K104" s="33" t="n">
        <f aca="false">K19*'Hiring plan'!$K$15*(1+Salary_Raise)^(K$5-1)</f>
        <v>0</v>
      </c>
      <c r="L104" s="33" t="n">
        <f aca="false">L19*'Hiring plan'!$K$15*(1+Salary_Raise)^(L$5-1)</f>
        <v>0</v>
      </c>
      <c r="M104" s="33" t="n">
        <f aca="false">M19*'Hiring plan'!$K$15*(1+Salary_Raise)^(M$5-1)</f>
        <v>0</v>
      </c>
      <c r="N104" s="33" t="n">
        <f aca="false">N19*'Hiring plan'!$K$15*(1+Salary_Raise)^(N$5-1)</f>
        <v>0</v>
      </c>
      <c r="O104" s="33" t="n">
        <f aca="false">O19*'Hiring plan'!$K$15*(1+Salary_Raise)^(O$5-1)</f>
        <v>0</v>
      </c>
      <c r="P104" s="33" t="n">
        <f aca="false">P19*'Hiring plan'!$K$15*(1+Salary_Raise)^(P$5-1)</f>
        <v>0</v>
      </c>
      <c r="Q104" s="33" t="n">
        <f aca="false">Q19*'Hiring plan'!$K$15*(1+Salary_Raise)^(Q$5-1)</f>
        <v>0</v>
      </c>
      <c r="R104" s="33" t="n">
        <f aca="false">R19*'Hiring plan'!$K$15*(1+Salary_Raise)^(R$5-1)</f>
        <v>0</v>
      </c>
      <c r="S104" s="33" t="n">
        <f aca="false">S19*'Hiring plan'!$K$15*(1+Salary_Raise)^(S$5-1)</f>
        <v>0</v>
      </c>
      <c r="T104" s="33" t="n">
        <f aca="false">T19*'Hiring plan'!$K$15*(1+Salary_Raise)^(T$5-1)</f>
        <v>0</v>
      </c>
      <c r="U104" s="33" t="n">
        <f aca="false">U19*'Hiring plan'!$K$15*(1+Salary_Raise)^(U$5-1)</f>
        <v>0</v>
      </c>
      <c r="V104" s="33" t="n">
        <f aca="false">V19*'Hiring plan'!$K$15*(1+Salary_Raise)^(V$5-1)</f>
        <v>0</v>
      </c>
      <c r="W104" s="33" t="n">
        <f aca="false">W19*'Hiring plan'!$K$15*(1+Salary_Raise)^(W$5-1)</f>
        <v>1879428.6</v>
      </c>
      <c r="X104" s="33" t="n">
        <f aca="false">X19*'Hiring plan'!$K$15*(1+Salary_Raise)^(X$5-1)</f>
        <v>1879428.6</v>
      </c>
      <c r="Y104" s="33" t="n">
        <f aca="false">Y19*'Hiring plan'!$K$15*(1+Salary_Raise)^(Y$5-1)</f>
        <v>1879428.6</v>
      </c>
      <c r="Z104" s="33" t="n">
        <f aca="false">Z19*'Hiring plan'!$K$15*(1+Salary_Raise)^(Z$5-1)</f>
        <v>1879428.6</v>
      </c>
      <c r="AA104" s="33" t="n">
        <f aca="false">AA19*'Hiring plan'!$K$15*(1+Salary_Raise)^(AA$5-1)</f>
        <v>1879428.6</v>
      </c>
      <c r="AB104" s="33" t="n">
        <f aca="false">AB19*'Hiring plan'!$K$15*(1+Salary_Raise)^(AB$5-1)</f>
        <v>1879428.6</v>
      </c>
      <c r="AC104" s="33" t="n">
        <f aca="false">AC19*'Hiring plan'!$K$15*(1+Salary_Raise)^(AC$5-1)</f>
        <v>1973400.03</v>
      </c>
      <c r="AD104" s="33" t="n">
        <f aca="false">AD19*'Hiring plan'!$K$15*(1+Salary_Raise)^(AD$5-1)</f>
        <v>1973400.03</v>
      </c>
      <c r="AE104" s="33" t="n">
        <f aca="false">AE19*'Hiring plan'!$K$15*(1+Salary_Raise)^(AE$5-1)</f>
        <v>1973400.03</v>
      </c>
      <c r="AF104" s="33" t="n">
        <f aca="false">AF19*'Hiring plan'!$K$15*(1+Salary_Raise)^(AF$5-1)</f>
        <v>1973400.03</v>
      </c>
      <c r="AG104" s="33" t="n">
        <f aca="false">AG19*'Hiring plan'!$K$15*(1+Salary_Raise)^(AG$5-1)</f>
        <v>1973400.03</v>
      </c>
      <c r="AH104" s="33" t="n">
        <f aca="false">AH19*'Hiring plan'!$K$15*(1+Salary_Raise)^(AH$5-1)</f>
        <v>1973400.03</v>
      </c>
      <c r="AI104" s="33" t="n">
        <f aca="false">AI19*'Hiring plan'!$K$15*(1+Salary_Raise)^(AI$5-1)</f>
        <v>1973400.03</v>
      </c>
      <c r="AJ104" s="33" t="n">
        <f aca="false">AJ19*'Hiring plan'!$K$15*(1+Salary_Raise)^(AJ$5-1)</f>
        <v>1973400.03</v>
      </c>
      <c r="AK104" s="33" t="n">
        <f aca="false">AK19*'Hiring plan'!$K$15*(1+Salary_Raise)^(AK$5-1)</f>
        <v>1973400.03</v>
      </c>
      <c r="AL104" s="33" t="n">
        <f aca="false">AL19*'Hiring plan'!$K$15*(1+Salary_Raise)^(AL$5-1)</f>
        <v>1973400.03</v>
      </c>
      <c r="AM104" s="33" t="n">
        <f aca="false">AM19*'Hiring plan'!$K$15*(1+Salary_Raise)^(AM$5-1)</f>
        <v>1973400.03</v>
      </c>
      <c r="AN104" s="33" t="n">
        <f aca="false">AN19*'Hiring plan'!$K$15*(1+Salary_Raise)^(AN$5-1)</f>
        <v>1973400.03</v>
      </c>
      <c r="AO104" s="33" t="n">
        <f aca="false">AO19*'Hiring plan'!$K$15*(1+Salary_Raise)^(AO$5-1)</f>
        <v>2072070.0315</v>
      </c>
      <c r="AP104" s="33" t="n">
        <f aca="false">AP19*'Hiring plan'!$K$15*(1+Salary_Raise)^(AP$5-1)</f>
        <v>2072070.0315</v>
      </c>
      <c r="AQ104" s="33" t="n">
        <f aca="false">AQ19*'Hiring plan'!$K$15*(1+Salary_Raise)^(AQ$5-1)</f>
        <v>2072070.0315</v>
      </c>
      <c r="AR104" s="33" t="n">
        <f aca="false">AR19*'Hiring plan'!$K$15*(1+Salary_Raise)^(AR$5-1)</f>
        <v>2072070.0315</v>
      </c>
      <c r="AS104" s="33" t="n">
        <f aca="false">AS19*'Hiring plan'!$K$15*(1+Salary_Raise)^(AS$5-1)</f>
        <v>2072070.0315</v>
      </c>
      <c r="AT104" s="33" t="n">
        <f aca="false">AT19*'Hiring plan'!$K$15*(1+Salary_Raise)^(AT$5-1)</f>
        <v>2072070.0315</v>
      </c>
      <c r="AU104" s="33" t="n">
        <f aca="false">AU19*'Hiring plan'!$K$15*(1+Salary_Raise)^(AU$5-1)</f>
        <v>2072070.0315</v>
      </c>
      <c r="AV104" s="33" t="n">
        <f aca="false">AV19*'Hiring plan'!$K$15*(1+Salary_Raise)^(AV$5-1)</f>
        <v>2072070.0315</v>
      </c>
      <c r="AW104" s="33" t="n">
        <f aca="false">AW19*'Hiring plan'!$K$15*(1+Salary_Raise)^(AW$5-1)</f>
        <v>2072070.0315</v>
      </c>
      <c r="AX104" s="33" t="n">
        <f aca="false">AX19*'Hiring plan'!$K$15*(1+Salary_Raise)^(AX$5-1)</f>
        <v>2072070.0315</v>
      </c>
      <c r="AY104" s="33" t="n">
        <f aca="false">AY19*'Hiring plan'!$K$15*(1+Salary_Raise)^(AY$5-1)</f>
        <v>2072070.0315</v>
      </c>
      <c r="AZ104" s="33" t="n">
        <f aca="false">AZ19*'Hiring plan'!$K$15*(1+Salary_Raise)^(AZ$5-1)</f>
        <v>2072070.0315</v>
      </c>
      <c r="BA104" s="33" t="n">
        <f aca="false">BA19*'Hiring plan'!$K$15*(1+Salary_Raise)^(BA$5-1)</f>
        <v>2175673.533075</v>
      </c>
      <c r="BB104" s="33" t="n">
        <f aca="false">BB19*'Hiring plan'!$K$15*(1+Salary_Raise)^(BB$5-1)</f>
        <v>2175673.533075</v>
      </c>
      <c r="BC104" s="33" t="n">
        <f aca="false">BC19*'Hiring plan'!$K$15*(1+Salary_Raise)^(BC$5-1)</f>
        <v>2175673.533075</v>
      </c>
      <c r="BD104" s="33" t="n">
        <f aca="false">BD19*'Hiring plan'!$K$15*(1+Salary_Raise)^(BD$5-1)</f>
        <v>2175673.533075</v>
      </c>
      <c r="BE104" s="33" t="n">
        <f aca="false">BE19*'Hiring plan'!$K$15*(1+Salary_Raise)^(BE$5-1)</f>
        <v>2175673.533075</v>
      </c>
      <c r="BF104" s="33" t="n">
        <f aca="false">BF19*'Hiring plan'!$K$15*(1+Salary_Raise)^(BF$5-1)</f>
        <v>2175673.533075</v>
      </c>
      <c r="BG104" s="33" t="n">
        <f aca="false">BG19*'Hiring plan'!$K$15*(1+Salary_Raise)^(BG$5-1)</f>
        <v>2175673.533075</v>
      </c>
      <c r="BH104" s="33" t="n">
        <f aca="false">BH19*'Hiring plan'!$K$15*(1+Salary_Raise)^(BH$5-1)</f>
        <v>2175673.533075</v>
      </c>
      <c r="BI104" s="33" t="n">
        <f aca="false">BI19*'Hiring plan'!$K$15*(1+Salary_Raise)^(BI$5-1)</f>
        <v>2175673.533075</v>
      </c>
      <c r="BJ104" s="33" t="n">
        <f aca="false">BJ19*'Hiring plan'!$K$15*(1+Salary_Raise)^(BJ$5-1)</f>
        <v>2175673.533075</v>
      </c>
      <c r="BK104" s="33" t="n">
        <f aca="false">BK19*'Hiring plan'!$K$15*(1+Salary_Raise)^(BK$5-1)</f>
        <v>2175673.533075</v>
      </c>
      <c r="BL104" s="33" t="n">
        <f aca="false">BL19*'Hiring plan'!$K$15*(1+Salary_Raise)^(BL$5-1)</f>
        <v>2175673.533075</v>
      </c>
    </row>
    <row r="105" customFormat="false" ht="15" hidden="false" customHeight="false" outlineLevel="0" collapsed="false">
      <c r="A105" s="12" t="str">
        <f aca="false">A20</f>
        <v>Full-stack web developer · SN</v>
      </c>
      <c r="B105" s="14" t="s">
        <v>63</v>
      </c>
      <c r="D105" s="41" t="n">
        <f aca="false">SUM(E105:BL105)</f>
        <v>47659168.0257</v>
      </c>
      <c r="E105" s="33" t="n">
        <f aca="false">E20*'Hiring plan'!$K$16*(1+Salary_Raise)^(E$5-1)</f>
        <v>0</v>
      </c>
      <c r="F105" s="33" t="n">
        <f aca="false">F20*'Hiring plan'!$K$16*(1+Salary_Raise)^(F$5-1)</f>
        <v>0</v>
      </c>
      <c r="G105" s="33" t="n">
        <f aca="false">G20*'Hiring plan'!$K$16*(1+Salary_Raise)^(G$5-1)</f>
        <v>0</v>
      </c>
      <c r="H105" s="33" t="n">
        <f aca="false">H20*'Hiring plan'!$K$16*(1+Salary_Raise)^(H$5-1)</f>
        <v>0</v>
      </c>
      <c r="I105" s="33" t="n">
        <f aca="false">I20*'Hiring plan'!$K$16*(1+Salary_Raise)^(I$5-1)</f>
        <v>0</v>
      </c>
      <c r="J105" s="33" t="n">
        <f aca="false">J20*'Hiring plan'!$K$16*(1+Salary_Raise)^(J$5-1)</f>
        <v>0</v>
      </c>
      <c r="K105" s="33" t="n">
        <f aca="false">K20*'Hiring plan'!$K$16*(1+Salary_Raise)^(K$5-1)</f>
        <v>0</v>
      </c>
      <c r="L105" s="33" t="n">
        <f aca="false">L20*'Hiring plan'!$K$16*(1+Salary_Raise)^(L$5-1)</f>
        <v>0</v>
      </c>
      <c r="M105" s="33" t="n">
        <f aca="false">M20*'Hiring plan'!$K$16*(1+Salary_Raise)^(M$5-1)</f>
        <v>0</v>
      </c>
      <c r="N105" s="33" t="n">
        <f aca="false">N20*'Hiring plan'!$K$16*(1+Salary_Raise)^(N$5-1)</f>
        <v>0</v>
      </c>
      <c r="O105" s="33" t="n">
        <f aca="false">O20*'Hiring plan'!$K$16*(1+Salary_Raise)^(O$5-1)</f>
        <v>0</v>
      </c>
      <c r="P105" s="33" t="n">
        <f aca="false">P20*'Hiring plan'!$K$16*(1+Salary_Raise)^(P$5-1)</f>
        <v>0</v>
      </c>
      <c r="Q105" s="33" t="n">
        <f aca="false">Q20*'Hiring plan'!$K$16*(1+Salary_Raise)^(Q$5-1)</f>
        <v>0</v>
      </c>
      <c r="R105" s="33" t="n">
        <f aca="false">R20*'Hiring plan'!$K$16*(1+Salary_Raise)^(R$5-1)</f>
        <v>0</v>
      </c>
      <c r="S105" s="33" t="n">
        <f aca="false">S20*'Hiring plan'!$K$16*(1+Salary_Raise)^(S$5-1)</f>
        <v>0</v>
      </c>
      <c r="T105" s="33" t="n">
        <f aca="false">T20*'Hiring plan'!$K$16*(1+Salary_Raise)^(T$5-1)</f>
        <v>0</v>
      </c>
      <c r="U105" s="33" t="n">
        <f aca="false">U20*'Hiring plan'!$K$16*(1+Salary_Raise)^(U$5-1)</f>
        <v>0</v>
      </c>
      <c r="V105" s="33" t="n">
        <f aca="false">V20*'Hiring plan'!$K$16*(1+Salary_Raise)^(V$5-1)</f>
        <v>0</v>
      </c>
      <c r="W105" s="33" t="n">
        <f aca="false">W20*'Hiring plan'!$K$16*(1+Salary_Raise)^(W$5-1)</f>
        <v>1042379.8</v>
      </c>
      <c r="X105" s="33" t="n">
        <f aca="false">X20*'Hiring plan'!$K$16*(1+Salary_Raise)^(X$5-1)</f>
        <v>1042379.8</v>
      </c>
      <c r="Y105" s="33" t="n">
        <f aca="false">Y20*'Hiring plan'!$K$16*(1+Salary_Raise)^(Y$5-1)</f>
        <v>1042379.8</v>
      </c>
      <c r="Z105" s="33" t="n">
        <f aca="false">Z20*'Hiring plan'!$K$16*(1+Salary_Raise)^(Z$5-1)</f>
        <v>1042379.8</v>
      </c>
      <c r="AA105" s="33" t="n">
        <f aca="false">AA20*'Hiring plan'!$K$16*(1+Salary_Raise)^(AA$5-1)</f>
        <v>1042379.8</v>
      </c>
      <c r="AB105" s="33" t="n">
        <f aca="false">AB20*'Hiring plan'!$K$16*(1+Salary_Raise)^(AB$5-1)</f>
        <v>1042379.8</v>
      </c>
      <c r="AC105" s="33" t="n">
        <f aca="false">AC20*'Hiring plan'!$K$16*(1+Salary_Raise)^(AC$5-1)</f>
        <v>1094498.79</v>
      </c>
      <c r="AD105" s="33" t="n">
        <f aca="false">AD20*'Hiring plan'!$K$16*(1+Salary_Raise)^(AD$5-1)</f>
        <v>1094498.79</v>
      </c>
      <c r="AE105" s="33" t="n">
        <f aca="false">AE20*'Hiring plan'!$K$16*(1+Salary_Raise)^(AE$5-1)</f>
        <v>1094498.79</v>
      </c>
      <c r="AF105" s="33" t="n">
        <f aca="false">AF20*'Hiring plan'!$K$16*(1+Salary_Raise)^(AF$5-1)</f>
        <v>1094498.79</v>
      </c>
      <c r="AG105" s="33" t="n">
        <f aca="false">AG20*'Hiring plan'!$K$16*(1+Salary_Raise)^(AG$5-1)</f>
        <v>1094498.79</v>
      </c>
      <c r="AH105" s="33" t="n">
        <f aca="false">AH20*'Hiring plan'!$K$16*(1+Salary_Raise)^(AH$5-1)</f>
        <v>1094498.79</v>
      </c>
      <c r="AI105" s="33" t="n">
        <f aca="false">AI20*'Hiring plan'!$K$16*(1+Salary_Raise)^(AI$5-1)</f>
        <v>1094498.79</v>
      </c>
      <c r="AJ105" s="33" t="n">
        <f aca="false">AJ20*'Hiring plan'!$K$16*(1+Salary_Raise)^(AJ$5-1)</f>
        <v>1094498.79</v>
      </c>
      <c r="AK105" s="33" t="n">
        <f aca="false">AK20*'Hiring plan'!$K$16*(1+Salary_Raise)^(AK$5-1)</f>
        <v>1094498.79</v>
      </c>
      <c r="AL105" s="33" t="n">
        <f aca="false">AL20*'Hiring plan'!$K$16*(1+Salary_Raise)^(AL$5-1)</f>
        <v>1094498.79</v>
      </c>
      <c r="AM105" s="33" t="n">
        <f aca="false">AM20*'Hiring plan'!$K$16*(1+Salary_Raise)^(AM$5-1)</f>
        <v>1094498.79</v>
      </c>
      <c r="AN105" s="33" t="n">
        <f aca="false">AN20*'Hiring plan'!$K$16*(1+Salary_Raise)^(AN$5-1)</f>
        <v>1094498.79</v>
      </c>
      <c r="AO105" s="33" t="n">
        <f aca="false">AO20*'Hiring plan'!$K$16*(1+Salary_Raise)^(AO$5-1)</f>
        <v>1149223.7295</v>
      </c>
      <c r="AP105" s="33" t="n">
        <f aca="false">AP20*'Hiring plan'!$K$16*(1+Salary_Raise)^(AP$5-1)</f>
        <v>1149223.7295</v>
      </c>
      <c r="AQ105" s="33" t="n">
        <f aca="false">AQ20*'Hiring plan'!$K$16*(1+Salary_Raise)^(AQ$5-1)</f>
        <v>1149223.7295</v>
      </c>
      <c r="AR105" s="33" t="n">
        <f aca="false">AR20*'Hiring plan'!$K$16*(1+Salary_Raise)^(AR$5-1)</f>
        <v>1149223.7295</v>
      </c>
      <c r="AS105" s="33" t="n">
        <f aca="false">AS20*'Hiring plan'!$K$16*(1+Salary_Raise)^(AS$5-1)</f>
        <v>1149223.7295</v>
      </c>
      <c r="AT105" s="33" t="n">
        <f aca="false">AT20*'Hiring plan'!$K$16*(1+Salary_Raise)^(AT$5-1)</f>
        <v>1149223.7295</v>
      </c>
      <c r="AU105" s="33" t="n">
        <f aca="false">AU20*'Hiring plan'!$K$16*(1+Salary_Raise)^(AU$5-1)</f>
        <v>1149223.7295</v>
      </c>
      <c r="AV105" s="33" t="n">
        <f aca="false">AV20*'Hiring plan'!$K$16*(1+Salary_Raise)^(AV$5-1)</f>
        <v>1149223.7295</v>
      </c>
      <c r="AW105" s="33" t="n">
        <f aca="false">AW20*'Hiring plan'!$K$16*(1+Salary_Raise)^(AW$5-1)</f>
        <v>1149223.7295</v>
      </c>
      <c r="AX105" s="33" t="n">
        <f aca="false">AX20*'Hiring plan'!$K$16*(1+Salary_Raise)^(AX$5-1)</f>
        <v>1149223.7295</v>
      </c>
      <c r="AY105" s="33" t="n">
        <f aca="false">AY20*'Hiring plan'!$K$16*(1+Salary_Raise)^(AY$5-1)</f>
        <v>1149223.7295</v>
      </c>
      <c r="AZ105" s="33" t="n">
        <f aca="false">AZ20*'Hiring plan'!$K$16*(1+Salary_Raise)^(AZ$5-1)</f>
        <v>1149223.7295</v>
      </c>
      <c r="BA105" s="33" t="n">
        <f aca="false">BA20*'Hiring plan'!$K$16*(1+Salary_Raise)^(BA$5-1)</f>
        <v>1206684.915975</v>
      </c>
      <c r="BB105" s="33" t="n">
        <f aca="false">BB20*'Hiring plan'!$K$16*(1+Salary_Raise)^(BB$5-1)</f>
        <v>1206684.915975</v>
      </c>
      <c r="BC105" s="33" t="n">
        <f aca="false">BC20*'Hiring plan'!$K$16*(1+Salary_Raise)^(BC$5-1)</f>
        <v>1206684.915975</v>
      </c>
      <c r="BD105" s="33" t="n">
        <f aca="false">BD20*'Hiring plan'!$K$16*(1+Salary_Raise)^(BD$5-1)</f>
        <v>1206684.915975</v>
      </c>
      <c r="BE105" s="33" t="n">
        <f aca="false">BE20*'Hiring plan'!$K$16*(1+Salary_Raise)^(BE$5-1)</f>
        <v>1206684.915975</v>
      </c>
      <c r="BF105" s="33" t="n">
        <f aca="false">BF20*'Hiring plan'!$K$16*(1+Salary_Raise)^(BF$5-1)</f>
        <v>1206684.915975</v>
      </c>
      <c r="BG105" s="33" t="n">
        <f aca="false">BG20*'Hiring plan'!$K$16*(1+Salary_Raise)^(BG$5-1)</f>
        <v>1206684.915975</v>
      </c>
      <c r="BH105" s="33" t="n">
        <f aca="false">BH20*'Hiring plan'!$K$16*(1+Salary_Raise)^(BH$5-1)</f>
        <v>1206684.915975</v>
      </c>
      <c r="BI105" s="33" t="n">
        <f aca="false">BI20*'Hiring plan'!$K$16*(1+Salary_Raise)^(BI$5-1)</f>
        <v>1206684.915975</v>
      </c>
      <c r="BJ105" s="33" t="n">
        <f aca="false">BJ20*'Hiring plan'!$K$16*(1+Salary_Raise)^(BJ$5-1)</f>
        <v>1206684.915975</v>
      </c>
      <c r="BK105" s="33" t="n">
        <f aca="false">BK20*'Hiring plan'!$K$16*(1+Salary_Raise)^(BK$5-1)</f>
        <v>1206684.915975</v>
      </c>
      <c r="BL105" s="33" t="n">
        <f aca="false">BL20*'Hiring plan'!$K$16*(1+Salary_Raise)^(BL$5-1)</f>
        <v>1206684.915975</v>
      </c>
    </row>
    <row r="106" customFormat="false" ht="15" hidden="false" customHeight="false" outlineLevel="0" collapsed="false">
      <c r="A106" s="12" t="str">
        <f aca="false">A21</f>
        <v>Product manager · SN</v>
      </c>
      <c r="B106" s="14" t="s">
        <v>63</v>
      </c>
      <c r="D106" s="41" t="n">
        <f aca="false">SUM(E106:BL106)</f>
        <v>65366836.4349</v>
      </c>
      <c r="E106" s="33" t="n">
        <f aca="false">E21*'Hiring plan'!$K$17*(1+Salary_Raise)^(E$5-1)</f>
        <v>0</v>
      </c>
      <c r="F106" s="33" t="n">
        <f aca="false">F21*'Hiring plan'!$K$17*(1+Salary_Raise)^(F$5-1)</f>
        <v>0</v>
      </c>
      <c r="G106" s="33" t="n">
        <f aca="false">G21*'Hiring plan'!$K$17*(1+Salary_Raise)^(G$5-1)</f>
        <v>0</v>
      </c>
      <c r="H106" s="33" t="n">
        <f aca="false">H21*'Hiring plan'!$K$17*(1+Salary_Raise)^(H$5-1)</f>
        <v>0</v>
      </c>
      <c r="I106" s="33" t="n">
        <f aca="false">I21*'Hiring plan'!$K$17*(1+Salary_Raise)^(I$5-1)</f>
        <v>0</v>
      </c>
      <c r="J106" s="33" t="n">
        <f aca="false">J21*'Hiring plan'!$K$17*(1+Salary_Raise)^(J$5-1)</f>
        <v>0</v>
      </c>
      <c r="K106" s="33" t="n">
        <f aca="false">K21*'Hiring plan'!$K$17*(1+Salary_Raise)^(K$5-1)</f>
        <v>0</v>
      </c>
      <c r="L106" s="33" t="n">
        <f aca="false">L21*'Hiring plan'!$K$17*(1+Salary_Raise)^(L$5-1)</f>
        <v>0</v>
      </c>
      <c r="M106" s="33" t="n">
        <f aca="false">M21*'Hiring plan'!$K$17*(1+Salary_Raise)^(M$5-1)</f>
        <v>0</v>
      </c>
      <c r="N106" s="33" t="n">
        <f aca="false">N21*'Hiring plan'!$K$17*(1+Salary_Raise)^(N$5-1)</f>
        <v>0</v>
      </c>
      <c r="O106" s="33" t="n">
        <f aca="false">O21*'Hiring plan'!$K$17*(1+Salary_Raise)^(O$5-1)</f>
        <v>0</v>
      </c>
      <c r="P106" s="33" t="n">
        <f aca="false">P21*'Hiring plan'!$K$17*(1+Salary_Raise)^(P$5-1)</f>
        <v>0</v>
      </c>
      <c r="Q106" s="33" t="n">
        <f aca="false">Q21*'Hiring plan'!$K$17*(1+Salary_Raise)^(Q$5-1)</f>
        <v>0</v>
      </c>
      <c r="R106" s="33" t="n">
        <f aca="false">R21*'Hiring plan'!$K$17*(1+Salary_Raise)^(R$5-1)</f>
        <v>0</v>
      </c>
      <c r="S106" s="33" t="n">
        <f aca="false">S21*'Hiring plan'!$K$17*(1+Salary_Raise)^(S$5-1)</f>
        <v>0</v>
      </c>
      <c r="T106" s="33" t="n">
        <f aca="false">T21*'Hiring plan'!$K$17*(1+Salary_Raise)^(T$5-1)</f>
        <v>0</v>
      </c>
      <c r="U106" s="33" t="n">
        <f aca="false">U21*'Hiring plan'!$K$17*(1+Salary_Raise)^(U$5-1)</f>
        <v>0</v>
      </c>
      <c r="V106" s="33" t="n">
        <f aca="false">V21*'Hiring plan'!$K$17*(1+Salary_Raise)^(V$5-1)</f>
        <v>0</v>
      </c>
      <c r="W106" s="33" t="n">
        <f aca="false">W21*'Hiring plan'!$K$17*(1+Salary_Raise)^(W$5-1)</f>
        <v>0</v>
      </c>
      <c r="X106" s="33" t="n">
        <f aca="false">X21*'Hiring plan'!$K$17*(1+Salary_Raise)^(X$5-1)</f>
        <v>0</v>
      </c>
      <c r="Y106" s="33" t="n">
        <f aca="false">Y21*'Hiring plan'!$K$17*(1+Salary_Raise)^(Y$5-1)</f>
        <v>0</v>
      </c>
      <c r="Z106" s="33" t="n">
        <f aca="false">Z21*'Hiring plan'!$K$17*(1+Salary_Raise)^(Z$5-1)</f>
        <v>0</v>
      </c>
      <c r="AA106" s="33" t="n">
        <f aca="false">AA21*'Hiring plan'!$K$17*(1+Salary_Raise)^(AA$5-1)</f>
        <v>0</v>
      </c>
      <c r="AB106" s="33" t="n">
        <f aca="false">AB21*'Hiring plan'!$K$17*(1+Salary_Raise)^(AB$5-1)</f>
        <v>0</v>
      </c>
      <c r="AC106" s="33" t="n">
        <f aca="false">AC21*'Hiring plan'!$K$17*(1+Salary_Raise)^(AC$5-1)</f>
        <v>1727910.03</v>
      </c>
      <c r="AD106" s="33" t="n">
        <f aca="false">AD21*'Hiring plan'!$K$17*(1+Salary_Raise)^(AD$5-1)</f>
        <v>1727910.03</v>
      </c>
      <c r="AE106" s="33" t="n">
        <f aca="false">AE21*'Hiring plan'!$K$17*(1+Salary_Raise)^(AE$5-1)</f>
        <v>1727910.03</v>
      </c>
      <c r="AF106" s="33" t="n">
        <f aca="false">AF21*'Hiring plan'!$K$17*(1+Salary_Raise)^(AF$5-1)</f>
        <v>1727910.03</v>
      </c>
      <c r="AG106" s="33" t="n">
        <f aca="false">AG21*'Hiring plan'!$K$17*(1+Salary_Raise)^(AG$5-1)</f>
        <v>1727910.03</v>
      </c>
      <c r="AH106" s="33" t="n">
        <f aca="false">AH21*'Hiring plan'!$K$17*(1+Salary_Raise)^(AH$5-1)</f>
        <v>1727910.03</v>
      </c>
      <c r="AI106" s="33" t="n">
        <f aca="false">AI21*'Hiring plan'!$K$17*(1+Salary_Raise)^(AI$5-1)</f>
        <v>1727910.03</v>
      </c>
      <c r="AJ106" s="33" t="n">
        <f aca="false">AJ21*'Hiring plan'!$K$17*(1+Salary_Raise)^(AJ$5-1)</f>
        <v>1727910.03</v>
      </c>
      <c r="AK106" s="33" t="n">
        <f aca="false">AK21*'Hiring plan'!$K$17*(1+Salary_Raise)^(AK$5-1)</f>
        <v>1727910.03</v>
      </c>
      <c r="AL106" s="33" t="n">
        <f aca="false">AL21*'Hiring plan'!$K$17*(1+Salary_Raise)^(AL$5-1)</f>
        <v>1727910.03</v>
      </c>
      <c r="AM106" s="33" t="n">
        <f aca="false">AM21*'Hiring plan'!$K$17*(1+Salary_Raise)^(AM$5-1)</f>
        <v>1727910.03</v>
      </c>
      <c r="AN106" s="33" t="n">
        <f aca="false">AN21*'Hiring plan'!$K$17*(1+Salary_Raise)^(AN$5-1)</f>
        <v>1727910.03</v>
      </c>
      <c r="AO106" s="33" t="n">
        <f aca="false">AO21*'Hiring plan'!$K$17*(1+Salary_Raise)^(AO$5-1)</f>
        <v>1814305.5315</v>
      </c>
      <c r="AP106" s="33" t="n">
        <f aca="false">AP21*'Hiring plan'!$K$17*(1+Salary_Raise)^(AP$5-1)</f>
        <v>1814305.5315</v>
      </c>
      <c r="AQ106" s="33" t="n">
        <f aca="false">AQ21*'Hiring plan'!$K$17*(1+Salary_Raise)^(AQ$5-1)</f>
        <v>1814305.5315</v>
      </c>
      <c r="AR106" s="33" t="n">
        <f aca="false">AR21*'Hiring plan'!$K$17*(1+Salary_Raise)^(AR$5-1)</f>
        <v>1814305.5315</v>
      </c>
      <c r="AS106" s="33" t="n">
        <f aca="false">AS21*'Hiring plan'!$K$17*(1+Salary_Raise)^(AS$5-1)</f>
        <v>1814305.5315</v>
      </c>
      <c r="AT106" s="33" t="n">
        <f aca="false">AT21*'Hiring plan'!$K$17*(1+Salary_Raise)^(AT$5-1)</f>
        <v>1814305.5315</v>
      </c>
      <c r="AU106" s="33" t="n">
        <f aca="false">AU21*'Hiring plan'!$K$17*(1+Salary_Raise)^(AU$5-1)</f>
        <v>1814305.5315</v>
      </c>
      <c r="AV106" s="33" t="n">
        <f aca="false">AV21*'Hiring plan'!$K$17*(1+Salary_Raise)^(AV$5-1)</f>
        <v>1814305.5315</v>
      </c>
      <c r="AW106" s="33" t="n">
        <f aca="false">AW21*'Hiring plan'!$K$17*(1+Salary_Raise)^(AW$5-1)</f>
        <v>1814305.5315</v>
      </c>
      <c r="AX106" s="33" t="n">
        <f aca="false">AX21*'Hiring plan'!$K$17*(1+Salary_Raise)^(AX$5-1)</f>
        <v>1814305.5315</v>
      </c>
      <c r="AY106" s="33" t="n">
        <f aca="false">AY21*'Hiring plan'!$K$17*(1+Salary_Raise)^(AY$5-1)</f>
        <v>1814305.5315</v>
      </c>
      <c r="AZ106" s="33" t="n">
        <f aca="false">AZ21*'Hiring plan'!$K$17*(1+Salary_Raise)^(AZ$5-1)</f>
        <v>1814305.5315</v>
      </c>
      <c r="BA106" s="33" t="n">
        <f aca="false">BA21*'Hiring plan'!$K$17*(1+Salary_Raise)^(BA$5-1)</f>
        <v>1905020.808075</v>
      </c>
      <c r="BB106" s="33" t="n">
        <f aca="false">BB21*'Hiring plan'!$K$17*(1+Salary_Raise)^(BB$5-1)</f>
        <v>1905020.808075</v>
      </c>
      <c r="BC106" s="33" t="n">
        <f aca="false">BC21*'Hiring plan'!$K$17*(1+Salary_Raise)^(BC$5-1)</f>
        <v>1905020.808075</v>
      </c>
      <c r="BD106" s="33" t="n">
        <f aca="false">BD21*'Hiring plan'!$K$17*(1+Salary_Raise)^(BD$5-1)</f>
        <v>1905020.808075</v>
      </c>
      <c r="BE106" s="33" t="n">
        <f aca="false">BE21*'Hiring plan'!$K$17*(1+Salary_Raise)^(BE$5-1)</f>
        <v>1905020.808075</v>
      </c>
      <c r="BF106" s="33" t="n">
        <f aca="false">BF21*'Hiring plan'!$K$17*(1+Salary_Raise)^(BF$5-1)</f>
        <v>1905020.808075</v>
      </c>
      <c r="BG106" s="33" t="n">
        <f aca="false">BG21*'Hiring plan'!$K$17*(1+Salary_Raise)^(BG$5-1)</f>
        <v>1905020.808075</v>
      </c>
      <c r="BH106" s="33" t="n">
        <f aca="false">BH21*'Hiring plan'!$K$17*(1+Salary_Raise)^(BH$5-1)</f>
        <v>1905020.808075</v>
      </c>
      <c r="BI106" s="33" t="n">
        <f aca="false">BI21*'Hiring plan'!$K$17*(1+Salary_Raise)^(BI$5-1)</f>
        <v>1905020.808075</v>
      </c>
      <c r="BJ106" s="33" t="n">
        <f aca="false">BJ21*'Hiring plan'!$K$17*(1+Salary_Raise)^(BJ$5-1)</f>
        <v>1905020.808075</v>
      </c>
      <c r="BK106" s="33" t="n">
        <f aca="false">BK21*'Hiring plan'!$K$17*(1+Salary_Raise)^(BK$5-1)</f>
        <v>1905020.808075</v>
      </c>
      <c r="BL106" s="33" t="n">
        <f aca="false">BL21*'Hiring plan'!$K$17*(1+Salary_Raise)^(BL$5-1)</f>
        <v>1905020.808075</v>
      </c>
    </row>
    <row r="107" customFormat="false" ht="15" hidden="false" customHeight="false" outlineLevel="0" collapsed="false">
      <c r="A107" s="12" t="str">
        <f aca="false">A22</f>
        <v>DevOps / security engineer · SN</v>
      </c>
      <c r="B107" s="14" t="s">
        <v>63</v>
      </c>
      <c r="D107" s="41" t="n">
        <f aca="false">SUM(E107:BL107)</f>
        <v>50971122.9657</v>
      </c>
      <c r="E107" s="33" t="n">
        <f aca="false">E22*'Hiring plan'!$K$18*(1+Salary_Raise)^(E$5-1)</f>
        <v>0</v>
      </c>
      <c r="F107" s="33" t="n">
        <f aca="false">F22*'Hiring plan'!$K$18*(1+Salary_Raise)^(F$5-1)</f>
        <v>0</v>
      </c>
      <c r="G107" s="33" t="n">
        <f aca="false">G22*'Hiring plan'!$K$18*(1+Salary_Raise)^(G$5-1)</f>
        <v>0</v>
      </c>
      <c r="H107" s="33" t="n">
        <f aca="false">H22*'Hiring plan'!$K$18*(1+Salary_Raise)^(H$5-1)</f>
        <v>0</v>
      </c>
      <c r="I107" s="33" t="n">
        <f aca="false">I22*'Hiring plan'!$K$18*(1+Salary_Raise)^(I$5-1)</f>
        <v>0</v>
      </c>
      <c r="J107" s="33" t="n">
        <f aca="false">J22*'Hiring plan'!$K$18*(1+Salary_Raise)^(J$5-1)</f>
        <v>0</v>
      </c>
      <c r="K107" s="33" t="n">
        <f aca="false">K22*'Hiring plan'!$K$18*(1+Salary_Raise)^(K$5-1)</f>
        <v>0</v>
      </c>
      <c r="L107" s="33" t="n">
        <f aca="false">L22*'Hiring plan'!$K$18*(1+Salary_Raise)^(L$5-1)</f>
        <v>0</v>
      </c>
      <c r="M107" s="33" t="n">
        <f aca="false">M22*'Hiring plan'!$K$18*(1+Salary_Raise)^(M$5-1)</f>
        <v>0</v>
      </c>
      <c r="N107" s="33" t="n">
        <f aca="false">N22*'Hiring plan'!$K$18*(1+Salary_Raise)^(N$5-1)</f>
        <v>0</v>
      </c>
      <c r="O107" s="33" t="n">
        <f aca="false">O22*'Hiring plan'!$K$18*(1+Salary_Raise)^(O$5-1)</f>
        <v>0</v>
      </c>
      <c r="P107" s="33" t="n">
        <f aca="false">P22*'Hiring plan'!$K$18*(1+Salary_Raise)^(P$5-1)</f>
        <v>0</v>
      </c>
      <c r="Q107" s="33" t="n">
        <f aca="false">Q22*'Hiring plan'!$K$18*(1+Salary_Raise)^(Q$5-1)</f>
        <v>0</v>
      </c>
      <c r="R107" s="33" t="n">
        <f aca="false">R22*'Hiring plan'!$K$18*(1+Salary_Raise)^(R$5-1)</f>
        <v>0</v>
      </c>
      <c r="S107" s="33" t="n">
        <f aca="false">S22*'Hiring plan'!$K$18*(1+Salary_Raise)^(S$5-1)</f>
        <v>0</v>
      </c>
      <c r="T107" s="33" t="n">
        <f aca="false">T22*'Hiring plan'!$K$18*(1+Salary_Raise)^(T$5-1)</f>
        <v>0</v>
      </c>
      <c r="U107" s="33" t="n">
        <f aca="false">U22*'Hiring plan'!$K$18*(1+Salary_Raise)^(U$5-1)</f>
        <v>0</v>
      </c>
      <c r="V107" s="33" t="n">
        <f aca="false">V22*'Hiring plan'!$K$18*(1+Salary_Raise)^(V$5-1)</f>
        <v>0</v>
      </c>
      <c r="W107" s="33" t="n">
        <f aca="false">W22*'Hiring plan'!$K$18*(1+Salary_Raise)^(W$5-1)</f>
        <v>0</v>
      </c>
      <c r="X107" s="33" t="n">
        <f aca="false">X22*'Hiring plan'!$K$18*(1+Salary_Raise)^(X$5-1)</f>
        <v>0</v>
      </c>
      <c r="Y107" s="33" t="n">
        <f aca="false">Y22*'Hiring plan'!$K$18*(1+Salary_Raise)^(Y$5-1)</f>
        <v>0</v>
      </c>
      <c r="Z107" s="33" t="n">
        <f aca="false">Z22*'Hiring plan'!$K$18*(1+Salary_Raise)^(Z$5-1)</f>
        <v>0</v>
      </c>
      <c r="AA107" s="33" t="n">
        <f aca="false">AA22*'Hiring plan'!$K$18*(1+Salary_Raise)^(AA$5-1)</f>
        <v>0</v>
      </c>
      <c r="AB107" s="33" t="n">
        <f aca="false">AB22*'Hiring plan'!$K$18*(1+Salary_Raise)^(AB$5-1)</f>
        <v>0</v>
      </c>
      <c r="AC107" s="33" t="n">
        <f aca="false">AC22*'Hiring plan'!$K$18*(1+Salary_Raise)^(AC$5-1)</f>
        <v>0</v>
      </c>
      <c r="AD107" s="33" t="n">
        <f aca="false">AD22*'Hiring plan'!$K$18*(1+Salary_Raise)^(AD$5-1)</f>
        <v>0</v>
      </c>
      <c r="AE107" s="33" t="n">
        <f aca="false">AE22*'Hiring plan'!$K$18*(1+Salary_Raise)^(AE$5-1)</f>
        <v>0</v>
      </c>
      <c r="AF107" s="33" t="n">
        <f aca="false">AF22*'Hiring plan'!$K$18*(1+Salary_Raise)^(AF$5-1)</f>
        <v>0</v>
      </c>
      <c r="AG107" s="33" t="n">
        <f aca="false">AG22*'Hiring plan'!$K$18*(1+Salary_Raise)^(AG$5-1)</f>
        <v>0</v>
      </c>
      <c r="AH107" s="33" t="n">
        <f aca="false">AH22*'Hiring plan'!$K$18*(1+Salary_Raise)^(AH$5-1)</f>
        <v>0</v>
      </c>
      <c r="AI107" s="33" t="n">
        <f aca="false">AI22*'Hiring plan'!$K$18*(1+Salary_Raise)^(AI$5-1)</f>
        <v>1601354.79</v>
      </c>
      <c r="AJ107" s="33" t="n">
        <f aca="false">AJ22*'Hiring plan'!$K$18*(1+Salary_Raise)^(AJ$5-1)</f>
        <v>1601354.79</v>
      </c>
      <c r="AK107" s="33" t="n">
        <f aca="false">AK22*'Hiring plan'!$K$18*(1+Salary_Raise)^(AK$5-1)</f>
        <v>1601354.79</v>
      </c>
      <c r="AL107" s="33" t="n">
        <f aca="false">AL22*'Hiring plan'!$K$18*(1+Salary_Raise)^(AL$5-1)</f>
        <v>1601354.79</v>
      </c>
      <c r="AM107" s="33" t="n">
        <f aca="false">AM22*'Hiring plan'!$K$18*(1+Salary_Raise)^(AM$5-1)</f>
        <v>1601354.79</v>
      </c>
      <c r="AN107" s="33" t="n">
        <f aca="false">AN22*'Hiring plan'!$K$18*(1+Salary_Raise)^(AN$5-1)</f>
        <v>1601354.79</v>
      </c>
      <c r="AO107" s="33" t="n">
        <f aca="false">AO22*'Hiring plan'!$K$18*(1+Salary_Raise)^(AO$5-1)</f>
        <v>1681422.5295</v>
      </c>
      <c r="AP107" s="33" t="n">
        <f aca="false">AP22*'Hiring plan'!$K$18*(1+Salary_Raise)^(AP$5-1)</f>
        <v>1681422.5295</v>
      </c>
      <c r="AQ107" s="33" t="n">
        <f aca="false">AQ22*'Hiring plan'!$K$18*(1+Salary_Raise)^(AQ$5-1)</f>
        <v>1681422.5295</v>
      </c>
      <c r="AR107" s="33" t="n">
        <f aca="false">AR22*'Hiring plan'!$K$18*(1+Salary_Raise)^(AR$5-1)</f>
        <v>1681422.5295</v>
      </c>
      <c r="AS107" s="33" t="n">
        <f aca="false">AS22*'Hiring plan'!$K$18*(1+Salary_Raise)^(AS$5-1)</f>
        <v>1681422.5295</v>
      </c>
      <c r="AT107" s="33" t="n">
        <f aca="false">AT22*'Hiring plan'!$K$18*(1+Salary_Raise)^(AT$5-1)</f>
        <v>1681422.5295</v>
      </c>
      <c r="AU107" s="33" t="n">
        <f aca="false">AU22*'Hiring plan'!$K$18*(1+Salary_Raise)^(AU$5-1)</f>
        <v>1681422.5295</v>
      </c>
      <c r="AV107" s="33" t="n">
        <f aca="false">AV22*'Hiring plan'!$K$18*(1+Salary_Raise)^(AV$5-1)</f>
        <v>1681422.5295</v>
      </c>
      <c r="AW107" s="33" t="n">
        <f aca="false">AW22*'Hiring plan'!$K$18*(1+Salary_Raise)^(AW$5-1)</f>
        <v>1681422.5295</v>
      </c>
      <c r="AX107" s="33" t="n">
        <f aca="false">AX22*'Hiring plan'!$K$18*(1+Salary_Raise)^(AX$5-1)</f>
        <v>1681422.5295</v>
      </c>
      <c r="AY107" s="33" t="n">
        <f aca="false">AY22*'Hiring plan'!$K$18*(1+Salary_Raise)^(AY$5-1)</f>
        <v>1681422.5295</v>
      </c>
      <c r="AZ107" s="33" t="n">
        <f aca="false">AZ22*'Hiring plan'!$K$18*(1+Salary_Raise)^(AZ$5-1)</f>
        <v>1681422.5295</v>
      </c>
      <c r="BA107" s="33" t="n">
        <f aca="false">BA22*'Hiring plan'!$K$18*(1+Salary_Raise)^(BA$5-1)</f>
        <v>1765493.655975</v>
      </c>
      <c r="BB107" s="33" t="n">
        <f aca="false">BB22*'Hiring plan'!$K$18*(1+Salary_Raise)^(BB$5-1)</f>
        <v>1765493.655975</v>
      </c>
      <c r="BC107" s="33" t="n">
        <f aca="false">BC22*'Hiring plan'!$K$18*(1+Salary_Raise)^(BC$5-1)</f>
        <v>1765493.655975</v>
      </c>
      <c r="BD107" s="33" t="n">
        <f aca="false">BD22*'Hiring plan'!$K$18*(1+Salary_Raise)^(BD$5-1)</f>
        <v>1765493.655975</v>
      </c>
      <c r="BE107" s="33" t="n">
        <f aca="false">BE22*'Hiring plan'!$K$18*(1+Salary_Raise)^(BE$5-1)</f>
        <v>1765493.655975</v>
      </c>
      <c r="BF107" s="33" t="n">
        <f aca="false">BF22*'Hiring plan'!$K$18*(1+Salary_Raise)^(BF$5-1)</f>
        <v>1765493.655975</v>
      </c>
      <c r="BG107" s="33" t="n">
        <f aca="false">BG22*'Hiring plan'!$K$18*(1+Salary_Raise)^(BG$5-1)</f>
        <v>1765493.655975</v>
      </c>
      <c r="BH107" s="33" t="n">
        <f aca="false">BH22*'Hiring plan'!$K$18*(1+Salary_Raise)^(BH$5-1)</f>
        <v>1765493.655975</v>
      </c>
      <c r="BI107" s="33" t="n">
        <f aca="false">BI22*'Hiring plan'!$K$18*(1+Salary_Raise)^(BI$5-1)</f>
        <v>1765493.655975</v>
      </c>
      <c r="BJ107" s="33" t="n">
        <f aca="false">BJ22*'Hiring plan'!$K$18*(1+Salary_Raise)^(BJ$5-1)</f>
        <v>1765493.655975</v>
      </c>
      <c r="BK107" s="33" t="n">
        <f aca="false">BK22*'Hiring plan'!$K$18*(1+Salary_Raise)^(BK$5-1)</f>
        <v>1765493.655975</v>
      </c>
      <c r="BL107" s="33" t="n">
        <f aca="false">BL22*'Hiring plan'!$K$18*(1+Salary_Raise)^(BL$5-1)</f>
        <v>1765493.655975</v>
      </c>
    </row>
    <row r="108" customFormat="false" ht="15" hidden="false" customHeight="false" outlineLevel="0" collapsed="false">
      <c r="A108" s="12" t="str">
        <f aca="false">A23</f>
        <v>Senior mobile developer · SN</v>
      </c>
      <c r="B108" s="14" t="s">
        <v>63</v>
      </c>
      <c r="D108" s="41" t="n">
        <f aca="false">SUM(E108:BL108)</f>
        <v>38540502.5859</v>
      </c>
      <c r="E108" s="33" t="n">
        <f aca="false">E23*'Hiring plan'!$K$19*(1+Salary_Raise)^(E$5-1)</f>
        <v>0</v>
      </c>
      <c r="F108" s="33" t="n">
        <f aca="false">F23*'Hiring plan'!$K$19*(1+Salary_Raise)^(F$5-1)</f>
        <v>0</v>
      </c>
      <c r="G108" s="33" t="n">
        <f aca="false">G23*'Hiring plan'!$K$19*(1+Salary_Raise)^(G$5-1)</f>
        <v>0</v>
      </c>
      <c r="H108" s="33" t="n">
        <f aca="false">H23*'Hiring plan'!$K$19*(1+Salary_Raise)^(H$5-1)</f>
        <v>0</v>
      </c>
      <c r="I108" s="33" t="n">
        <f aca="false">I23*'Hiring plan'!$K$19*(1+Salary_Raise)^(I$5-1)</f>
        <v>0</v>
      </c>
      <c r="J108" s="33" t="n">
        <f aca="false">J23*'Hiring plan'!$K$19*(1+Salary_Raise)^(J$5-1)</f>
        <v>0</v>
      </c>
      <c r="K108" s="33" t="n">
        <f aca="false">K23*'Hiring plan'!$K$19*(1+Salary_Raise)^(K$5-1)</f>
        <v>0</v>
      </c>
      <c r="L108" s="33" t="n">
        <f aca="false">L23*'Hiring plan'!$K$19*(1+Salary_Raise)^(L$5-1)</f>
        <v>0</v>
      </c>
      <c r="M108" s="33" t="n">
        <f aca="false">M23*'Hiring plan'!$K$19*(1+Salary_Raise)^(M$5-1)</f>
        <v>0</v>
      </c>
      <c r="N108" s="33" t="n">
        <f aca="false">N23*'Hiring plan'!$K$19*(1+Salary_Raise)^(N$5-1)</f>
        <v>0</v>
      </c>
      <c r="O108" s="33" t="n">
        <f aca="false">O23*'Hiring plan'!$K$19*(1+Salary_Raise)^(O$5-1)</f>
        <v>0</v>
      </c>
      <c r="P108" s="33" t="n">
        <f aca="false">P23*'Hiring plan'!$K$19*(1+Salary_Raise)^(P$5-1)</f>
        <v>0</v>
      </c>
      <c r="Q108" s="33" t="n">
        <f aca="false">Q23*'Hiring plan'!$K$19*(1+Salary_Raise)^(Q$5-1)</f>
        <v>0</v>
      </c>
      <c r="R108" s="33" t="n">
        <f aca="false">R23*'Hiring plan'!$K$19*(1+Salary_Raise)^(R$5-1)</f>
        <v>0</v>
      </c>
      <c r="S108" s="33" t="n">
        <f aca="false">S23*'Hiring plan'!$K$19*(1+Salary_Raise)^(S$5-1)</f>
        <v>0</v>
      </c>
      <c r="T108" s="33" t="n">
        <f aca="false">T23*'Hiring plan'!$K$19*(1+Salary_Raise)^(T$5-1)</f>
        <v>0</v>
      </c>
      <c r="U108" s="33" t="n">
        <f aca="false">U23*'Hiring plan'!$K$19*(1+Salary_Raise)^(U$5-1)</f>
        <v>0</v>
      </c>
      <c r="V108" s="33" t="n">
        <f aca="false">V23*'Hiring plan'!$K$19*(1+Salary_Raise)^(V$5-1)</f>
        <v>0</v>
      </c>
      <c r="W108" s="33" t="n">
        <f aca="false">W23*'Hiring plan'!$K$19*(1+Salary_Raise)^(W$5-1)</f>
        <v>0</v>
      </c>
      <c r="X108" s="33" t="n">
        <f aca="false">X23*'Hiring plan'!$K$19*(1+Salary_Raise)^(X$5-1)</f>
        <v>0</v>
      </c>
      <c r="Y108" s="33" t="n">
        <f aca="false">Y23*'Hiring plan'!$K$19*(1+Salary_Raise)^(Y$5-1)</f>
        <v>0</v>
      </c>
      <c r="Z108" s="33" t="n">
        <f aca="false">Z23*'Hiring plan'!$K$19*(1+Salary_Raise)^(Z$5-1)</f>
        <v>0</v>
      </c>
      <c r="AA108" s="33" t="n">
        <f aca="false">AA23*'Hiring plan'!$K$19*(1+Salary_Raise)^(AA$5-1)</f>
        <v>0</v>
      </c>
      <c r="AB108" s="33" t="n">
        <f aca="false">AB23*'Hiring plan'!$K$19*(1+Salary_Raise)^(AB$5-1)</f>
        <v>0</v>
      </c>
      <c r="AC108" s="33" t="n">
        <f aca="false">AC23*'Hiring plan'!$K$19*(1+Salary_Raise)^(AC$5-1)</f>
        <v>0</v>
      </c>
      <c r="AD108" s="33" t="n">
        <f aca="false">AD23*'Hiring plan'!$K$19*(1+Salary_Raise)^(AD$5-1)</f>
        <v>0</v>
      </c>
      <c r="AE108" s="33" t="n">
        <f aca="false">AE23*'Hiring plan'!$K$19*(1+Salary_Raise)^(AE$5-1)</f>
        <v>0</v>
      </c>
      <c r="AF108" s="33" t="n">
        <f aca="false">AF23*'Hiring plan'!$K$19*(1+Salary_Raise)^(AF$5-1)</f>
        <v>0</v>
      </c>
      <c r="AG108" s="33" t="n">
        <f aca="false">AG23*'Hiring plan'!$K$19*(1+Salary_Raise)^(AG$5-1)</f>
        <v>0</v>
      </c>
      <c r="AH108" s="33" t="n">
        <f aca="false">AH23*'Hiring plan'!$K$19*(1+Salary_Raise)^(AH$5-1)</f>
        <v>0</v>
      </c>
      <c r="AI108" s="33" t="n">
        <f aca="false">AI23*'Hiring plan'!$K$19*(1+Salary_Raise)^(AI$5-1)</f>
        <v>0</v>
      </c>
      <c r="AJ108" s="33" t="n">
        <f aca="false">AJ23*'Hiring plan'!$K$19*(1+Salary_Raise)^(AJ$5-1)</f>
        <v>0</v>
      </c>
      <c r="AK108" s="33" t="n">
        <f aca="false">AK23*'Hiring plan'!$K$19*(1+Salary_Raise)^(AK$5-1)</f>
        <v>0</v>
      </c>
      <c r="AL108" s="33" t="n">
        <f aca="false">AL23*'Hiring plan'!$K$19*(1+Salary_Raise)^(AL$5-1)</f>
        <v>0</v>
      </c>
      <c r="AM108" s="33" t="n">
        <f aca="false">AM23*'Hiring plan'!$K$19*(1+Salary_Raise)^(AM$5-1)</f>
        <v>0</v>
      </c>
      <c r="AN108" s="33" t="n">
        <f aca="false">AN23*'Hiring plan'!$K$19*(1+Salary_Raise)^(AN$5-1)</f>
        <v>0</v>
      </c>
      <c r="AO108" s="33" t="n">
        <f aca="false">AO23*'Hiring plan'!$K$19*(1+Salary_Raise)^(AO$5-1)</f>
        <v>0</v>
      </c>
      <c r="AP108" s="33" t="n">
        <f aca="false">AP23*'Hiring plan'!$K$19*(1+Salary_Raise)^(AP$5-1)</f>
        <v>0</v>
      </c>
      <c r="AQ108" s="33" t="n">
        <f aca="false">AQ23*'Hiring plan'!$K$19*(1+Salary_Raise)^(AQ$5-1)</f>
        <v>0</v>
      </c>
      <c r="AR108" s="33" t="n">
        <f aca="false">AR23*'Hiring plan'!$K$19*(1+Salary_Raise)^(AR$5-1)</f>
        <v>0</v>
      </c>
      <c r="AS108" s="33" t="n">
        <f aca="false">AS23*'Hiring plan'!$K$19*(1+Salary_Raise)^(AS$5-1)</f>
        <v>0</v>
      </c>
      <c r="AT108" s="33" t="n">
        <f aca="false">AT23*'Hiring plan'!$K$19*(1+Salary_Raise)^(AT$5-1)</f>
        <v>0</v>
      </c>
      <c r="AU108" s="33" t="n">
        <f aca="false">AU23*'Hiring plan'!$K$19*(1+Salary_Raise)^(AU$5-1)</f>
        <v>2072070.0315</v>
      </c>
      <c r="AV108" s="33" t="n">
        <f aca="false">AV23*'Hiring plan'!$K$19*(1+Salary_Raise)^(AV$5-1)</f>
        <v>2072070.0315</v>
      </c>
      <c r="AW108" s="33" t="n">
        <f aca="false">AW23*'Hiring plan'!$K$19*(1+Salary_Raise)^(AW$5-1)</f>
        <v>2072070.0315</v>
      </c>
      <c r="AX108" s="33" t="n">
        <f aca="false">AX23*'Hiring plan'!$K$19*(1+Salary_Raise)^(AX$5-1)</f>
        <v>2072070.0315</v>
      </c>
      <c r="AY108" s="33" t="n">
        <f aca="false">AY23*'Hiring plan'!$K$19*(1+Salary_Raise)^(AY$5-1)</f>
        <v>2072070.0315</v>
      </c>
      <c r="AZ108" s="33" t="n">
        <f aca="false">AZ23*'Hiring plan'!$K$19*(1+Salary_Raise)^(AZ$5-1)</f>
        <v>2072070.0315</v>
      </c>
      <c r="BA108" s="33" t="n">
        <f aca="false">BA23*'Hiring plan'!$K$19*(1+Salary_Raise)^(BA$5-1)</f>
        <v>2175673.533075</v>
      </c>
      <c r="BB108" s="33" t="n">
        <f aca="false">BB23*'Hiring plan'!$K$19*(1+Salary_Raise)^(BB$5-1)</f>
        <v>2175673.533075</v>
      </c>
      <c r="BC108" s="33" t="n">
        <f aca="false">BC23*'Hiring plan'!$K$19*(1+Salary_Raise)^(BC$5-1)</f>
        <v>2175673.533075</v>
      </c>
      <c r="BD108" s="33" t="n">
        <f aca="false">BD23*'Hiring plan'!$K$19*(1+Salary_Raise)^(BD$5-1)</f>
        <v>2175673.533075</v>
      </c>
      <c r="BE108" s="33" t="n">
        <f aca="false">BE23*'Hiring plan'!$K$19*(1+Salary_Raise)^(BE$5-1)</f>
        <v>2175673.533075</v>
      </c>
      <c r="BF108" s="33" t="n">
        <f aca="false">BF23*'Hiring plan'!$K$19*(1+Salary_Raise)^(BF$5-1)</f>
        <v>2175673.533075</v>
      </c>
      <c r="BG108" s="33" t="n">
        <f aca="false">BG23*'Hiring plan'!$K$19*(1+Salary_Raise)^(BG$5-1)</f>
        <v>2175673.533075</v>
      </c>
      <c r="BH108" s="33" t="n">
        <f aca="false">BH23*'Hiring plan'!$K$19*(1+Salary_Raise)^(BH$5-1)</f>
        <v>2175673.533075</v>
      </c>
      <c r="BI108" s="33" t="n">
        <f aca="false">BI23*'Hiring plan'!$K$19*(1+Salary_Raise)^(BI$5-1)</f>
        <v>2175673.533075</v>
      </c>
      <c r="BJ108" s="33" t="n">
        <f aca="false">BJ23*'Hiring plan'!$K$19*(1+Salary_Raise)^(BJ$5-1)</f>
        <v>2175673.533075</v>
      </c>
      <c r="BK108" s="33" t="n">
        <f aca="false">BK23*'Hiring plan'!$K$19*(1+Salary_Raise)^(BK$5-1)</f>
        <v>2175673.533075</v>
      </c>
      <c r="BL108" s="33" t="n">
        <f aca="false">BL23*'Hiring plan'!$K$19*(1+Salary_Raise)^(BL$5-1)</f>
        <v>2175673.533075</v>
      </c>
    </row>
    <row r="109" customFormat="false" ht="15" hidden="false" customHeight="false" outlineLevel="0" collapsed="false">
      <c r="A109" s="12" t="str">
        <f aca="false">A24</f>
        <v>Senior backend developer · SN</v>
      </c>
      <c r="B109" s="14" t="s">
        <v>63</v>
      </c>
      <c r="D109" s="41" t="n">
        <f aca="false">SUM(E109:BL109)</f>
        <v>38540502.5859</v>
      </c>
      <c r="E109" s="33" t="n">
        <f aca="false">E24*'Hiring plan'!$K$20*(1+Salary_Raise)^(E$5-1)</f>
        <v>0</v>
      </c>
      <c r="F109" s="33" t="n">
        <f aca="false">F24*'Hiring plan'!$K$20*(1+Salary_Raise)^(F$5-1)</f>
        <v>0</v>
      </c>
      <c r="G109" s="33" t="n">
        <f aca="false">G24*'Hiring plan'!$K$20*(1+Salary_Raise)^(G$5-1)</f>
        <v>0</v>
      </c>
      <c r="H109" s="33" t="n">
        <f aca="false">H24*'Hiring plan'!$K$20*(1+Salary_Raise)^(H$5-1)</f>
        <v>0</v>
      </c>
      <c r="I109" s="33" t="n">
        <f aca="false">I24*'Hiring plan'!$K$20*(1+Salary_Raise)^(I$5-1)</f>
        <v>0</v>
      </c>
      <c r="J109" s="33" t="n">
        <f aca="false">J24*'Hiring plan'!$K$20*(1+Salary_Raise)^(J$5-1)</f>
        <v>0</v>
      </c>
      <c r="K109" s="33" t="n">
        <f aca="false">K24*'Hiring plan'!$K$20*(1+Salary_Raise)^(K$5-1)</f>
        <v>0</v>
      </c>
      <c r="L109" s="33" t="n">
        <f aca="false">L24*'Hiring plan'!$K$20*(1+Salary_Raise)^(L$5-1)</f>
        <v>0</v>
      </c>
      <c r="M109" s="33" t="n">
        <f aca="false">M24*'Hiring plan'!$K$20*(1+Salary_Raise)^(M$5-1)</f>
        <v>0</v>
      </c>
      <c r="N109" s="33" t="n">
        <f aca="false">N24*'Hiring plan'!$K$20*(1+Salary_Raise)^(N$5-1)</f>
        <v>0</v>
      </c>
      <c r="O109" s="33" t="n">
        <f aca="false">O24*'Hiring plan'!$K$20*(1+Salary_Raise)^(O$5-1)</f>
        <v>0</v>
      </c>
      <c r="P109" s="33" t="n">
        <f aca="false">P24*'Hiring plan'!$K$20*(1+Salary_Raise)^(P$5-1)</f>
        <v>0</v>
      </c>
      <c r="Q109" s="33" t="n">
        <f aca="false">Q24*'Hiring plan'!$K$20*(1+Salary_Raise)^(Q$5-1)</f>
        <v>0</v>
      </c>
      <c r="R109" s="33" t="n">
        <f aca="false">R24*'Hiring plan'!$K$20*(1+Salary_Raise)^(R$5-1)</f>
        <v>0</v>
      </c>
      <c r="S109" s="33" t="n">
        <f aca="false">S24*'Hiring plan'!$K$20*(1+Salary_Raise)^(S$5-1)</f>
        <v>0</v>
      </c>
      <c r="T109" s="33" t="n">
        <f aca="false">T24*'Hiring plan'!$K$20*(1+Salary_Raise)^(T$5-1)</f>
        <v>0</v>
      </c>
      <c r="U109" s="33" t="n">
        <f aca="false">U24*'Hiring plan'!$K$20*(1+Salary_Raise)^(U$5-1)</f>
        <v>0</v>
      </c>
      <c r="V109" s="33" t="n">
        <f aca="false">V24*'Hiring plan'!$K$20*(1+Salary_Raise)^(V$5-1)</f>
        <v>0</v>
      </c>
      <c r="W109" s="33" t="n">
        <f aca="false">W24*'Hiring plan'!$K$20*(1+Salary_Raise)^(W$5-1)</f>
        <v>0</v>
      </c>
      <c r="X109" s="33" t="n">
        <f aca="false">X24*'Hiring plan'!$K$20*(1+Salary_Raise)^(X$5-1)</f>
        <v>0</v>
      </c>
      <c r="Y109" s="33" t="n">
        <f aca="false">Y24*'Hiring plan'!$K$20*(1+Salary_Raise)^(Y$5-1)</f>
        <v>0</v>
      </c>
      <c r="Z109" s="33" t="n">
        <f aca="false">Z24*'Hiring plan'!$K$20*(1+Salary_Raise)^(Z$5-1)</f>
        <v>0</v>
      </c>
      <c r="AA109" s="33" t="n">
        <f aca="false">AA24*'Hiring plan'!$K$20*(1+Salary_Raise)^(AA$5-1)</f>
        <v>0</v>
      </c>
      <c r="AB109" s="33" t="n">
        <f aca="false">AB24*'Hiring plan'!$K$20*(1+Salary_Raise)^(AB$5-1)</f>
        <v>0</v>
      </c>
      <c r="AC109" s="33" t="n">
        <f aca="false">AC24*'Hiring plan'!$K$20*(1+Salary_Raise)^(AC$5-1)</f>
        <v>0</v>
      </c>
      <c r="AD109" s="33" t="n">
        <f aca="false">AD24*'Hiring plan'!$K$20*(1+Salary_Raise)^(AD$5-1)</f>
        <v>0</v>
      </c>
      <c r="AE109" s="33" t="n">
        <f aca="false">AE24*'Hiring plan'!$K$20*(1+Salary_Raise)^(AE$5-1)</f>
        <v>0</v>
      </c>
      <c r="AF109" s="33" t="n">
        <f aca="false">AF24*'Hiring plan'!$K$20*(1+Salary_Raise)^(AF$5-1)</f>
        <v>0</v>
      </c>
      <c r="AG109" s="33" t="n">
        <f aca="false">AG24*'Hiring plan'!$K$20*(1+Salary_Raise)^(AG$5-1)</f>
        <v>0</v>
      </c>
      <c r="AH109" s="33" t="n">
        <f aca="false">AH24*'Hiring plan'!$K$20*(1+Salary_Raise)^(AH$5-1)</f>
        <v>0</v>
      </c>
      <c r="AI109" s="33" t="n">
        <f aca="false">AI24*'Hiring plan'!$K$20*(1+Salary_Raise)^(AI$5-1)</f>
        <v>0</v>
      </c>
      <c r="AJ109" s="33" t="n">
        <f aca="false">AJ24*'Hiring plan'!$K$20*(1+Salary_Raise)^(AJ$5-1)</f>
        <v>0</v>
      </c>
      <c r="AK109" s="33" t="n">
        <f aca="false">AK24*'Hiring plan'!$K$20*(1+Salary_Raise)^(AK$5-1)</f>
        <v>0</v>
      </c>
      <c r="AL109" s="33" t="n">
        <f aca="false">AL24*'Hiring plan'!$K$20*(1+Salary_Raise)^(AL$5-1)</f>
        <v>0</v>
      </c>
      <c r="AM109" s="33" t="n">
        <f aca="false">AM24*'Hiring plan'!$K$20*(1+Salary_Raise)^(AM$5-1)</f>
        <v>0</v>
      </c>
      <c r="AN109" s="33" t="n">
        <f aca="false">AN24*'Hiring plan'!$K$20*(1+Salary_Raise)^(AN$5-1)</f>
        <v>0</v>
      </c>
      <c r="AO109" s="33" t="n">
        <f aca="false">AO24*'Hiring plan'!$K$20*(1+Salary_Raise)^(AO$5-1)</f>
        <v>0</v>
      </c>
      <c r="AP109" s="33" t="n">
        <f aca="false">AP24*'Hiring plan'!$K$20*(1+Salary_Raise)^(AP$5-1)</f>
        <v>0</v>
      </c>
      <c r="AQ109" s="33" t="n">
        <f aca="false">AQ24*'Hiring plan'!$K$20*(1+Salary_Raise)^(AQ$5-1)</f>
        <v>0</v>
      </c>
      <c r="AR109" s="33" t="n">
        <f aca="false">AR24*'Hiring plan'!$K$20*(1+Salary_Raise)^(AR$5-1)</f>
        <v>0</v>
      </c>
      <c r="AS109" s="33" t="n">
        <f aca="false">AS24*'Hiring plan'!$K$20*(1+Salary_Raise)^(AS$5-1)</f>
        <v>0</v>
      </c>
      <c r="AT109" s="33" t="n">
        <f aca="false">AT24*'Hiring plan'!$K$20*(1+Salary_Raise)^(AT$5-1)</f>
        <v>0</v>
      </c>
      <c r="AU109" s="33" t="n">
        <f aca="false">AU24*'Hiring plan'!$K$20*(1+Salary_Raise)^(AU$5-1)</f>
        <v>2072070.0315</v>
      </c>
      <c r="AV109" s="33" t="n">
        <f aca="false">AV24*'Hiring plan'!$K$20*(1+Salary_Raise)^(AV$5-1)</f>
        <v>2072070.0315</v>
      </c>
      <c r="AW109" s="33" t="n">
        <f aca="false">AW24*'Hiring plan'!$K$20*(1+Salary_Raise)^(AW$5-1)</f>
        <v>2072070.0315</v>
      </c>
      <c r="AX109" s="33" t="n">
        <f aca="false">AX24*'Hiring plan'!$K$20*(1+Salary_Raise)^(AX$5-1)</f>
        <v>2072070.0315</v>
      </c>
      <c r="AY109" s="33" t="n">
        <f aca="false">AY24*'Hiring plan'!$K$20*(1+Salary_Raise)^(AY$5-1)</f>
        <v>2072070.0315</v>
      </c>
      <c r="AZ109" s="33" t="n">
        <f aca="false">AZ24*'Hiring plan'!$K$20*(1+Salary_Raise)^(AZ$5-1)</f>
        <v>2072070.0315</v>
      </c>
      <c r="BA109" s="33" t="n">
        <f aca="false">BA24*'Hiring plan'!$K$20*(1+Salary_Raise)^(BA$5-1)</f>
        <v>2175673.533075</v>
      </c>
      <c r="BB109" s="33" t="n">
        <f aca="false">BB24*'Hiring plan'!$K$20*(1+Salary_Raise)^(BB$5-1)</f>
        <v>2175673.533075</v>
      </c>
      <c r="BC109" s="33" t="n">
        <f aca="false">BC24*'Hiring plan'!$K$20*(1+Salary_Raise)^(BC$5-1)</f>
        <v>2175673.533075</v>
      </c>
      <c r="BD109" s="33" t="n">
        <f aca="false">BD24*'Hiring plan'!$K$20*(1+Salary_Raise)^(BD$5-1)</f>
        <v>2175673.533075</v>
      </c>
      <c r="BE109" s="33" t="n">
        <f aca="false">BE24*'Hiring plan'!$K$20*(1+Salary_Raise)^(BE$5-1)</f>
        <v>2175673.533075</v>
      </c>
      <c r="BF109" s="33" t="n">
        <f aca="false">BF24*'Hiring plan'!$K$20*(1+Salary_Raise)^(BF$5-1)</f>
        <v>2175673.533075</v>
      </c>
      <c r="BG109" s="33" t="n">
        <f aca="false">BG24*'Hiring plan'!$K$20*(1+Salary_Raise)^(BG$5-1)</f>
        <v>2175673.533075</v>
      </c>
      <c r="BH109" s="33" t="n">
        <f aca="false">BH24*'Hiring plan'!$K$20*(1+Salary_Raise)^(BH$5-1)</f>
        <v>2175673.533075</v>
      </c>
      <c r="BI109" s="33" t="n">
        <f aca="false">BI24*'Hiring plan'!$K$20*(1+Salary_Raise)^(BI$5-1)</f>
        <v>2175673.533075</v>
      </c>
      <c r="BJ109" s="33" t="n">
        <f aca="false">BJ24*'Hiring plan'!$K$20*(1+Salary_Raise)^(BJ$5-1)</f>
        <v>2175673.533075</v>
      </c>
      <c r="BK109" s="33" t="n">
        <f aca="false">BK24*'Hiring plan'!$K$20*(1+Salary_Raise)^(BK$5-1)</f>
        <v>2175673.533075</v>
      </c>
      <c r="BL109" s="33" t="n">
        <f aca="false">BL24*'Hiring plan'!$K$20*(1+Salary_Raise)^(BL$5-1)</f>
        <v>2175673.533075</v>
      </c>
    </row>
    <row r="110" customFormat="false" ht="15" hidden="false" customHeight="false" outlineLevel="0" collapsed="false">
      <c r="A110" s="12" t="str">
        <f aca="false">A25</f>
        <v>Head of compliance / AML officer · SN</v>
      </c>
      <c r="B110" s="14" t="s">
        <v>63</v>
      </c>
      <c r="D110" s="41" t="n">
        <f aca="false">SUM(E110:BL110)</f>
        <v>115106186.3349</v>
      </c>
      <c r="E110" s="33" t="n">
        <f aca="false">E25*'Hiring plan'!$K$21*(1+Salary_Raise)^(E$5-1)</f>
        <v>0</v>
      </c>
      <c r="F110" s="33" t="n">
        <f aca="false">F25*'Hiring plan'!$K$21*(1+Salary_Raise)^(F$5-1)</f>
        <v>0</v>
      </c>
      <c r="G110" s="33" t="n">
        <f aca="false">G25*'Hiring plan'!$K$21*(1+Salary_Raise)^(G$5-1)</f>
        <v>1789932</v>
      </c>
      <c r="H110" s="33" t="n">
        <f aca="false">H25*'Hiring plan'!$K$21*(1+Salary_Raise)^(H$5-1)</f>
        <v>1789932</v>
      </c>
      <c r="I110" s="33" t="n">
        <f aca="false">I25*'Hiring plan'!$K$21*(1+Salary_Raise)^(I$5-1)</f>
        <v>1789932</v>
      </c>
      <c r="J110" s="33" t="n">
        <f aca="false">J25*'Hiring plan'!$K$21*(1+Salary_Raise)^(J$5-1)</f>
        <v>1789932</v>
      </c>
      <c r="K110" s="33" t="n">
        <f aca="false">K25*'Hiring plan'!$K$21*(1+Salary_Raise)^(K$5-1)</f>
        <v>1789932</v>
      </c>
      <c r="L110" s="33" t="n">
        <f aca="false">L25*'Hiring plan'!$K$21*(1+Salary_Raise)^(L$5-1)</f>
        <v>1789932</v>
      </c>
      <c r="M110" s="33" t="n">
        <f aca="false">M25*'Hiring plan'!$K$21*(1+Salary_Raise)^(M$5-1)</f>
        <v>1789932</v>
      </c>
      <c r="N110" s="33" t="n">
        <f aca="false">N25*'Hiring plan'!$K$21*(1+Salary_Raise)^(N$5-1)</f>
        <v>1789932</v>
      </c>
      <c r="O110" s="33" t="n">
        <f aca="false">O25*'Hiring plan'!$K$21*(1+Salary_Raise)^(O$5-1)</f>
        <v>1789932</v>
      </c>
      <c r="P110" s="33" t="n">
        <f aca="false">P25*'Hiring plan'!$K$21*(1+Salary_Raise)^(P$5-1)</f>
        <v>1789932</v>
      </c>
      <c r="Q110" s="33" t="n">
        <f aca="false">Q25*'Hiring plan'!$K$21*(1+Salary_Raise)^(Q$5-1)</f>
        <v>1879428.6</v>
      </c>
      <c r="R110" s="33" t="n">
        <f aca="false">R25*'Hiring plan'!$K$21*(1+Salary_Raise)^(R$5-1)</f>
        <v>1879428.6</v>
      </c>
      <c r="S110" s="33" t="n">
        <f aca="false">S25*'Hiring plan'!$K$21*(1+Salary_Raise)^(S$5-1)</f>
        <v>1879428.6</v>
      </c>
      <c r="T110" s="33" t="n">
        <f aca="false">T25*'Hiring plan'!$K$21*(1+Salary_Raise)^(T$5-1)</f>
        <v>1879428.6</v>
      </c>
      <c r="U110" s="33" t="n">
        <f aca="false">U25*'Hiring plan'!$K$21*(1+Salary_Raise)^(U$5-1)</f>
        <v>1879428.6</v>
      </c>
      <c r="V110" s="33" t="n">
        <f aca="false">V25*'Hiring plan'!$K$21*(1+Salary_Raise)^(V$5-1)</f>
        <v>1879428.6</v>
      </c>
      <c r="W110" s="33" t="n">
        <f aca="false">W25*'Hiring plan'!$K$21*(1+Salary_Raise)^(W$5-1)</f>
        <v>1879428.6</v>
      </c>
      <c r="X110" s="33" t="n">
        <f aca="false">X25*'Hiring plan'!$K$21*(1+Salary_Raise)^(X$5-1)</f>
        <v>1879428.6</v>
      </c>
      <c r="Y110" s="33" t="n">
        <f aca="false">Y25*'Hiring plan'!$K$21*(1+Salary_Raise)^(Y$5-1)</f>
        <v>1879428.6</v>
      </c>
      <c r="Z110" s="33" t="n">
        <f aca="false">Z25*'Hiring plan'!$K$21*(1+Salary_Raise)^(Z$5-1)</f>
        <v>1879428.6</v>
      </c>
      <c r="AA110" s="33" t="n">
        <f aca="false">AA25*'Hiring plan'!$K$21*(1+Salary_Raise)^(AA$5-1)</f>
        <v>1879428.6</v>
      </c>
      <c r="AB110" s="33" t="n">
        <f aca="false">AB25*'Hiring plan'!$K$21*(1+Salary_Raise)^(AB$5-1)</f>
        <v>1879428.6</v>
      </c>
      <c r="AC110" s="33" t="n">
        <f aca="false">AC25*'Hiring plan'!$K$21*(1+Salary_Raise)^(AC$5-1)</f>
        <v>1973400.03</v>
      </c>
      <c r="AD110" s="33" t="n">
        <f aca="false">AD25*'Hiring plan'!$K$21*(1+Salary_Raise)^(AD$5-1)</f>
        <v>1973400.03</v>
      </c>
      <c r="AE110" s="33" t="n">
        <f aca="false">AE25*'Hiring plan'!$K$21*(1+Salary_Raise)^(AE$5-1)</f>
        <v>1973400.03</v>
      </c>
      <c r="AF110" s="33" t="n">
        <f aca="false">AF25*'Hiring plan'!$K$21*(1+Salary_Raise)^(AF$5-1)</f>
        <v>1973400.03</v>
      </c>
      <c r="AG110" s="33" t="n">
        <f aca="false">AG25*'Hiring plan'!$K$21*(1+Salary_Raise)^(AG$5-1)</f>
        <v>1973400.03</v>
      </c>
      <c r="AH110" s="33" t="n">
        <f aca="false">AH25*'Hiring plan'!$K$21*(1+Salary_Raise)^(AH$5-1)</f>
        <v>1973400.03</v>
      </c>
      <c r="AI110" s="33" t="n">
        <f aca="false">AI25*'Hiring plan'!$K$21*(1+Salary_Raise)^(AI$5-1)</f>
        <v>1973400.03</v>
      </c>
      <c r="AJ110" s="33" t="n">
        <f aca="false">AJ25*'Hiring plan'!$K$21*(1+Salary_Raise)^(AJ$5-1)</f>
        <v>1973400.03</v>
      </c>
      <c r="AK110" s="33" t="n">
        <f aca="false">AK25*'Hiring plan'!$K$21*(1+Salary_Raise)^(AK$5-1)</f>
        <v>1973400.03</v>
      </c>
      <c r="AL110" s="33" t="n">
        <f aca="false">AL25*'Hiring plan'!$K$21*(1+Salary_Raise)^(AL$5-1)</f>
        <v>1973400.03</v>
      </c>
      <c r="AM110" s="33" t="n">
        <f aca="false">AM25*'Hiring plan'!$K$21*(1+Salary_Raise)^(AM$5-1)</f>
        <v>1973400.03</v>
      </c>
      <c r="AN110" s="33" t="n">
        <f aca="false">AN25*'Hiring plan'!$K$21*(1+Salary_Raise)^(AN$5-1)</f>
        <v>1973400.03</v>
      </c>
      <c r="AO110" s="33" t="n">
        <f aca="false">AO25*'Hiring plan'!$K$21*(1+Salary_Raise)^(AO$5-1)</f>
        <v>2072070.0315</v>
      </c>
      <c r="AP110" s="33" t="n">
        <f aca="false">AP25*'Hiring plan'!$K$21*(1+Salary_Raise)^(AP$5-1)</f>
        <v>2072070.0315</v>
      </c>
      <c r="AQ110" s="33" t="n">
        <f aca="false">AQ25*'Hiring plan'!$K$21*(1+Salary_Raise)^(AQ$5-1)</f>
        <v>2072070.0315</v>
      </c>
      <c r="AR110" s="33" t="n">
        <f aca="false">AR25*'Hiring plan'!$K$21*(1+Salary_Raise)^(AR$5-1)</f>
        <v>2072070.0315</v>
      </c>
      <c r="AS110" s="33" t="n">
        <f aca="false">AS25*'Hiring plan'!$K$21*(1+Salary_Raise)^(AS$5-1)</f>
        <v>2072070.0315</v>
      </c>
      <c r="AT110" s="33" t="n">
        <f aca="false">AT25*'Hiring plan'!$K$21*(1+Salary_Raise)^(AT$5-1)</f>
        <v>2072070.0315</v>
      </c>
      <c r="AU110" s="33" t="n">
        <f aca="false">AU25*'Hiring plan'!$K$21*(1+Salary_Raise)^(AU$5-1)</f>
        <v>2072070.0315</v>
      </c>
      <c r="AV110" s="33" t="n">
        <f aca="false">AV25*'Hiring plan'!$K$21*(1+Salary_Raise)^(AV$5-1)</f>
        <v>2072070.0315</v>
      </c>
      <c r="AW110" s="33" t="n">
        <f aca="false">AW25*'Hiring plan'!$K$21*(1+Salary_Raise)^(AW$5-1)</f>
        <v>2072070.0315</v>
      </c>
      <c r="AX110" s="33" t="n">
        <f aca="false">AX25*'Hiring plan'!$K$21*(1+Salary_Raise)^(AX$5-1)</f>
        <v>2072070.0315</v>
      </c>
      <c r="AY110" s="33" t="n">
        <f aca="false">AY25*'Hiring plan'!$K$21*(1+Salary_Raise)^(AY$5-1)</f>
        <v>2072070.0315</v>
      </c>
      <c r="AZ110" s="33" t="n">
        <f aca="false">AZ25*'Hiring plan'!$K$21*(1+Salary_Raise)^(AZ$5-1)</f>
        <v>2072070.0315</v>
      </c>
      <c r="BA110" s="33" t="n">
        <f aca="false">BA25*'Hiring plan'!$K$21*(1+Salary_Raise)^(BA$5-1)</f>
        <v>2175673.533075</v>
      </c>
      <c r="BB110" s="33" t="n">
        <f aca="false">BB25*'Hiring plan'!$K$21*(1+Salary_Raise)^(BB$5-1)</f>
        <v>2175673.533075</v>
      </c>
      <c r="BC110" s="33" t="n">
        <f aca="false">BC25*'Hiring plan'!$K$21*(1+Salary_Raise)^(BC$5-1)</f>
        <v>2175673.533075</v>
      </c>
      <c r="BD110" s="33" t="n">
        <f aca="false">BD25*'Hiring plan'!$K$21*(1+Salary_Raise)^(BD$5-1)</f>
        <v>2175673.533075</v>
      </c>
      <c r="BE110" s="33" t="n">
        <f aca="false">BE25*'Hiring plan'!$K$21*(1+Salary_Raise)^(BE$5-1)</f>
        <v>2175673.533075</v>
      </c>
      <c r="BF110" s="33" t="n">
        <f aca="false">BF25*'Hiring plan'!$K$21*(1+Salary_Raise)^(BF$5-1)</f>
        <v>2175673.533075</v>
      </c>
      <c r="BG110" s="33" t="n">
        <f aca="false">BG25*'Hiring plan'!$K$21*(1+Salary_Raise)^(BG$5-1)</f>
        <v>2175673.533075</v>
      </c>
      <c r="BH110" s="33" t="n">
        <f aca="false">BH25*'Hiring plan'!$K$21*(1+Salary_Raise)^(BH$5-1)</f>
        <v>2175673.533075</v>
      </c>
      <c r="BI110" s="33" t="n">
        <f aca="false">BI25*'Hiring plan'!$K$21*(1+Salary_Raise)^(BI$5-1)</f>
        <v>2175673.533075</v>
      </c>
      <c r="BJ110" s="33" t="n">
        <f aca="false">BJ25*'Hiring plan'!$K$21*(1+Salary_Raise)^(BJ$5-1)</f>
        <v>2175673.533075</v>
      </c>
      <c r="BK110" s="33" t="n">
        <f aca="false">BK25*'Hiring plan'!$K$21*(1+Salary_Raise)^(BK$5-1)</f>
        <v>2175673.533075</v>
      </c>
      <c r="BL110" s="33" t="n">
        <f aca="false">BL25*'Hiring plan'!$K$21*(1+Salary_Raise)^(BL$5-1)</f>
        <v>2175673.533075</v>
      </c>
    </row>
    <row r="111" customFormat="false" ht="15" hidden="false" customHeight="false" outlineLevel="0" collapsed="false">
      <c r="A111" s="12" t="str">
        <f aca="false">A26</f>
        <v>Compliance analyst · SN</v>
      </c>
      <c r="B111" s="14" t="s">
        <v>63</v>
      </c>
      <c r="D111" s="41" t="n">
        <f aca="false">SUM(E111:BL111)</f>
        <v>42541526.2757</v>
      </c>
      <c r="E111" s="33" t="n">
        <f aca="false">E26*'Hiring plan'!$K$22*(1+Salary_Raise)^(E$5-1)</f>
        <v>0</v>
      </c>
      <c r="F111" s="33" t="n">
        <f aca="false">F26*'Hiring plan'!$K$22*(1+Salary_Raise)^(F$5-1)</f>
        <v>0</v>
      </c>
      <c r="G111" s="33" t="n">
        <f aca="false">G26*'Hiring plan'!$K$22*(1+Salary_Raise)^(G$5-1)</f>
        <v>0</v>
      </c>
      <c r="H111" s="33" t="n">
        <f aca="false">H26*'Hiring plan'!$K$22*(1+Salary_Raise)^(H$5-1)</f>
        <v>0</v>
      </c>
      <c r="I111" s="33" t="n">
        <f aca="false">I26*'Hiring plan'!$K$22*(1+Salary_Raise)^(I$5-1)</f>
        <v>0</v>
      </c>
      <c r="J111" s="33" t="n">
        <f aca="false">J26*'Hiring plan'!$K$22*(1+Salary_Raise)^(J$5-1)</f>
        <v>0</v>
      </c>
      <c r="K111" s="33" t="n">
        <f aca="false">K26*'Hiring plan'!$K$22*(1+Salary_Raise)^(K$5-1)</f>
        <v>705409.333333333</v>
      </c>
      <c r="L111" s="33" t="n">
        <f aca="false">L26*'Hiring plan'!$K$22*(1+Salary_Raise)^(L$5-1)</f>
        <v>705409.333333333</v>
      </c>
      <c r="M111" s="33" t="n">
        <f aca="false">M26*'Hiring plan'!$K$22*(1+Salary_Raise)^(M$5-1)</f>
        <v>705409.333333333</v>
      </c>
      <c r="N111" s="33" t="n">
        <f aca="false">N26*'Hiring plan'!$K$22*(1+Salary_Raise)^(N$5-1)</f>
        <v>705409.333333333</v>
      </c>
      <c r="O111" s="33" t="n">
        <f aca="false">O26*'Hiring plan'!$K$22*(1+Salary_Raise)^(O$5-1)</f>
        <v>705409.333333333</v>
      </c>
      <c r="P111" s="33" t="n">
        <f aca="false">P26*'Hiring plan'!$K$22*(1+Salary_Raise)^(P$5-1)</f>
        <v>705409.333333333</v>
      </c>
      <c r="Q111" s="33" t="n">
        <f aca="false">Q26*'Hiring plan'!$K$22*(1+Salary_Raise)^(Q$5-1)</f>
        <v>740679.8</v>
      </c>
      <c r="R111" s="33" t="n">
        <f aca="false">R26*'Hiring plan'!$K$22*(1+Salary_Raise)^(R$5-1)</f>
        <v>740679.8</v>
      </c>
      <c r="S111" s="33" t="n">
        <f aca="false">S26*'Hiring plan'!$K$22*(1+Salary_Raise)^(S$5-1)</f>
        <v>740679.8</v>
      </c>
      <c r="T111" s="33" t="n">
        <f aca="false">T26*'Hiring plan'!$K$22*(1+Salary_Raise)^(T$5-1)</f>
        <v>740679.8</v>
      </c>
      <c r="U111" s="33" t="n">
        <f aca="false">U26*'Hiring plan'!$K$22*(1+Salary_Raise)^(U$5-1)</f>
        <v>740679.8</v>
      </c>
      <c r="V111" s="33" t="n">
        <f aca="false">V26*'Hiring plan'!$K$22*(1+Salary_Raise)^(V$5-1)</f>
        <v>740679.8</v>
      </c>
      <c r="W111" s="33" t="n">
        <f aca="false">W26*'Hiring plan'!$K$22*(1+Salary_Raise)^(W$5-1)</f>
        <v>740679.8</v>
      </c>
      <c r="X111" s="33" t="n">
        <f aca="false">X26*'Hiring plan'!$K$22*(1+Salary_Raise)^(X$5-1)</f>
        <v>740679.8</v>
      </c>
      <c r="Y111" s="33" t="n">
        <f aca="false">Y26*'Hiring plan'!$K$22*(1+Salary_Raise)^(Y$5-1)</f>
        <v>740679.8</v>
      </c>
      <c r="Z111" s="33" t="n">
        <f aca="false">Z26*'Hiring plan'!$K$22*(1+Salary_Raise)^(Z$5-1)</f>
        <v>740679.8</v>
      </c>
      <c r="AA111" s="33" t="n">
        <f aca="false">AA26*'Hiring plan'!$K$22*(1+Salary_Raise)^(AA$5-1)</f>
        <v>740679.8</v>
      </c>
      <c r="AB111" s="33" t="n">
        <f aca="false">AB26*'Hiring plan'!$K$22*(1+Salary_Raise)^(AB$5-1)</f>
        <v>740679.8</v>
      </c>
      <c r="AC111" s="33" t="n">
        <f aca="false">AC26*'Hiring plan'!$K$22*(1+Salary_Raise)^(AC$5-1)</f>
        <v>777713.79</v>
      </c>
      <c r="AD111" s="33" t="n">
        <f aca="false">AD26*'Hiring plan'!$K$22*(1+Salary_Raise)^(AD$5-1)</f>
        <v>777713.79</v>
      </c>
      <c r="AE111" s="33" t="n">
        <f aca="false">AE26*'Hiring plan'!$K$22*(1+Salary_Raise)^(AE$5-1)</f>
        <v>777713.79</v>
      </c>
      <c r="AF111" s="33" t="n">
        <f aca="false">AF26*'Hiring plan'!$K$22*(1+Salary_Raise)^(AF$5-1)</f>
        <v>777713.79</v>
      </c>
      <c r="AG111" s="33" t="n">
        <f aca="false">AG26*'Hiring plan'!$K$22*(1+Salary_Raise)^(AG$5-1)</f>
        <v>777713.79</v>
      </c>
      <c r="AH111" s="33" t="n">
        <f aca="false">AH26*'Hiring plan'!$K$22*(1+Salary_Raise)^(AH$5-1)</f>
        <v>777713.79</v>
      </c>
      <c r="AI111" s="33" t="n">
        <f aca="false">AI26*'Hiring plan'!$K$22*(1+Salary_Raise)^(AI$5-1)</f>
        <v>777713.79</v>
      </c>
      <c r="AJ111" s="33" t="n">
        <f aca="false">AJ26*'Hiring plan'!$K$22*(1+Salary_Raise)^(AJ$5-1)</f>
        <v>777713.79</v>
      </c>
      <c r="AK111" s="33" t="n">
        <f aca="false">AK26*'Hiring plan'!$K$22*(1+Salary_Raise)^(AK$5-1)</f>
        <v>777713.79</v>
      </c>
      <c r="AL111" s="33" t="n">
        <f aca="false">AL26*'Hiring plan'!$K$22*(1+Salary_Raise)^(AL$5-1)</f>
        <v>777713.79</v>
      </c>
      <c r="AM111" s="33" t="n">
        <f aca="false">AM26*'Hiring plan'!$K$22*(1+Salary_Raise)^(AM$5-1)</f>
        <v>777713.79</v>
      </c>
      <c r="AN111" s="33" t="n">
        <f aca="false">AN26*'Hiring plan'!$K$22*(1+Salary_Raise)^(AN$5-1)</f>
        <v>777713.79</v>
      </c>
      <c r="AO111" s="33" t="n">
        <f aca="false">AO26*'Hiring plan'!$K$22*(1+Salary_Raise)^(AO$5-1)</f>
        <v>816599.4795</v>
      </c>
      <c r="AP111" s="33" t="n">
        <f aca="false">AP26*'Hiring plan'!$K$22*(1+Salary_Raise)^(AP$5-1)</f>
        <v>816599.4795</v>
      </c>
      <c r="AQ111" s="33" t="n">
        <f aca="false">AQ26*'Hiring plan'!$K$22*(1+Salary_Raise)^(AQ$5-1)</f>
        <v>816599.4795</v>
      </c>
      <c r="AR111" s="33" t="n">
        <f aca="false">AR26*'Hiring plan'!$K$22*(1+Salary_Raise)^(AR$5-1)</f>
        <v>816599.4795</v>
      </c>
      <c r="AS111" s="33" t="n">
        <f aca="false">AS26*'Hiring plan'!$K$22*(1+Salary_Raise)^(AS$5-1)</f>
        <v>816599.4795</v>
      </c>
      <c r="AT111" s="33" t="n">
        <f aca="false">AT26*'Hiring plan'!$K$22*(1+Salary_Raise)^(AT$5-1)</f>
        <v>816599.4795</v>
      </c>
      <c r="AU111" s="33" t="n">
        <f aca="false">AU26*'Hiring plan'!$K$22*(1+Salary_Raise)^(AU$5-1)</f>
        <v>816599.4795</v>
      </c>
      <c r="AV111" s="33" t="n">
        <f aca="false">AV26*'Hiring plan'!$K$22*(1+Salary_Raise)^(AV$5-1)</f>
        <v>816599.4795</v>
      </c>
      <c r="AW111" s="33" t="n">
        <f aca="false">AW26*'Hiring plan'!$K$22*(1+Salary_Raise)^(AW$5-1)</f>
        <v>816599.4795</v>
      </c>
      <c r="AX111" s="33" t="n">
        <f aca="false">AX26*'Hiring plan'!$K$22*(1+Salary_Raise)^(AX$5-1)</f>
        <v>816599.4795</v>
      </c>
      <c r="AY111" s="33" t="n">
        <f aca="false">AY26*'Hiring plan'!$K$22*(1+Salary_Raise)^(AY$5-1)</f>
        <v>816599.4795</v>
      </c>
      <c r="AZ111" s="33" t="n">
        <f aca="false">AZ26*'Hiring plan'!$K$22*(1+Salary_Raise)^(AZ$5-1)</f>
        <v>816599.4795</v>
      </c>
      <c r="BA111" s="33" t="n">
        <f aca="false">BA26*'Hiring plan'!$K$22*(1+Salary_Raise)^(BA$5-1)</f>
        <v>857429.453475</v>
      </c>
      <c r="BB111" s="33" t="n">
        <f aca="false">BB26*'Hiring plan'!$K$22*(1+Salary_Raise)^(BB$5-1)</f>
        <v>857429.453475</v>
      </c>
      <c r="BC111" s="33" t="n">
        <f aca="false">BC26*'Hiring plan'!$K$22*(1+Salary_Raise)^(BC$5-1)</f>
        <v>857429.453475</v>
      </c>
      <c r="BD111" s="33" t="n">
        <f aca="false">BD26*'Hiring plan'!$K$22*(1+Salary_Raise)^(BD$5-1)</f>
        <v>857429.453475</v>
      </c>
      <c r="BE111" s="33" t="n">
        <f aca="false">BE26*'Hiring plan'!$K$22*(1+Salary_Raise)^(BE$5-1)</f>
        <v>857429.453475</v>
      </c>
      <c r="BF111" s="33" t="n">
        <f aca="false">BF26*'Hiring plan'!$K$22*(1+Salary_Raise)^(BF$5-1)</f>
        <v>857429.453475</v>
      </c>
      <c r="BG111" s="33" t="n">
        <f aca="false">BG26*'Hiring plan'!$K$22*(1+Salary_Raise)^(BG$5-1)</f>
        <v>857429.453475</v>
      </c>
      <c r="BH111" s="33" t="n">
        <f aca="false">BH26*'Hiring plan'!$K$22*(1+Salary_Raise)^(BH$5-1)</f>
        <v>857429.453475</v>
      </c>
      <c r="BI111" s="33" t="n">
        <f aca="false">BI26*'Hiring plan'!$K$22*(1+Salary_Raise)^(BI$5-1)</f>
        <v>857429.453475</v>
      </c>
      <c r="BJ111" s="33" t="n">
        <f aca="false">BJ26*'Hiring plan'!$K$22*(1+Salary_Raise)^(BJ$5-1)</f>
        <v>857429.453475</v>
      </c>
      <c r="BK111" s="33" t="n">
        <f aca="false">BK26*'Hiring plan'!$K$22*(1+Salary_Raise)^(BK$5-1)</f>
        <v>857429.453475</v>
      </c>
      <c r="BL111" s="33" t="n">
        <f aca="false">BL26*'Hiring plan'!$K$22*(1+Salary_Raise)^(BL$5-1)</f>
        <v>857429.453475</v>
      </c>
    </row>
    <row r="112" customFormat="false" ht="15" hidden="false" customHeight="false" outlineLevel="0" collapsed="false">
      <c r="A112" s="12" t="str">
        <f aca="false">A27</f>
        <v>Compliance analyst · SN</v>
      </c>
      <c r="B112" s="14" t="s">
        <v>63</v>
      </c>
      <c r="D112" s="41" t="n">
        <f aca="false">SUM(E112:BL112)</f>
        <v>33864991.4757</v>
      </c>
      <c r="E112" s="33" t="n">
        <f aca="false">E27*'Hiring plan'!$K$23*(1+Salary_Raise)^(E$5-1)</f>
        <v>0</v>
      </c>
      <c r="F112" s="33" t="n">
        <f aca="false">F27*'Hiring plan'!$K$23*(1+Salary_Raise)^(F$5-1)</f>
        <v>0</v>
      </c>
      <c r="G112" s="33" t="n">
        <f aca="false">G27*'Hiring plan'!$K$23*(1+Salary_Raise)^(G$5-1)</f>
        <v>0</v>
      </c>
      <c r="H112" s="33" t="n">
        <f aca="false">H27*'Hiring plan'!$K$23*(1+Salary_Raise)^(H$5-1)</f>
        <v>0</v>
      </c>
      <c r="I112" s="33" t="n">
        <f aca="false">I27*'Hiring plan'!$K$23*(1+Salary_Raise)^(I$5-1)</f>
        <v>0</v>
      </c>
      <c r="J112" s="33" t="n">
        <f aca="false">J27*'Hiring plan'!$K$23*(1+Salary_Raise)^(J$5-1)</f>
        <v>0</v>
      </c>
      <c r="K112" s="33" t="n">
        <f aca="false">K27*'Hiring plan'!$K$23*(1+Salary_Raise)^(K$5-1)</f>
        <v>0</v>
      </c>
      <c r="L112" s="33" t="n">
        <f aca="false">L27*'Hiring plan'!$K$23*(1+Salary_Raise)^(L$5-1)</f>
        <v>0</v>
      </c>
      <c r="M112" s="33" t="n">
        <f aca="false">M27*'Hiring plan'!$K$23*(1+Salary_Raise)^(M$5-1)</f>
        <v>0</v>
      </c>
      <c r="N112" s="33" t="n">
        <f aca="false">N27*'Hiring plan'!$K$23*(1+Salary_Raise)^(N$5-1)</f>
        <v>0</v>
      </c>
      <c r="O112" s="33" t="n">
        <f aca="false">O27*'Hiring plan'!$K$23*(1+Salary_Raise)^(O$5-1)</f>
        <v>0</v>
      </c>
      <c r="P112" s="33" t="n">
        <f aca="false">P27*'Hiring plan'!$K$23*(1+Salary_Raise)^(P$5-1)</f>
        <v>0</v>
      </c>
      <c r="Q112" s="33" t="n">
        <f aca="false">Q27*'Hiring plan'!$K$23*(1+Salary_Raise)^(Q$5-1)</f>
        <v>0</v>
      </c>
      <c r="R112" s="33" t="n">
        <f aca="false">R27*'Hiring plan'!$K$23*(1+Salary_Raise)^(R$5-1)</f>
        <v>0</v>
      </c>
      <c r="S112" s="33" t="n">
        <f aca="false">S27*'Hiring plan'!$K$23*(1+Salary_Raise)^(S$5-1)</f>
        <v>0</v>
      </c>
      <c r="T112" s="33" t="n">
        <f aca="false">T27*'Hiring plan'!$K$23*(1+Salary_Raise)^(T$5-1)</f>
        <v>0</v>
      </c>
      <c r="U112" s="33" t="n">
        <f aca="false">U27*'Hiring plan'!$K$23*(1+Salary_Raise)^(U$5-1)</f>
        <v>0</v>
      </c>
      <c r="V112" s="33" t="n">
        <f aca="false">V27*'Hiring plan'!$K$23*(1+Salary_Raise)^(V$5-1)</f>
        <v>0</v>
      </c>
      <c r="W112" s="33" t="n">
        <f aca="false">W27*'Hiring plan'!$K$23*(1+Salary_Raise)^(W$5-1)</f>
        <v>740679.8</v>
      </c>
      <c r="X112" s="33" t="n">
        <f aca="false">X27*'Hiring plan'!$K$23*(1+Salary_Raise)^(X$5-1)</f>
        <v>740679.8</v>
      </c>
      <c r="Y112" s="33" t="n">
        <f aca="false">Y27*'Hiring plan'!$K$23*(1+Salary_Raise)^(Y$5-1)</f>
        <v>740679.8</v>
      </c>
      <c r="Z112" s="33" t="n">
        <f aca="false">Z27*'Hiring plan'!$K$23*(1+Salary_Raise)^(Z$5-1)</f>
        <v>740679.8</v>
      </c>
      <c r="AA112" s="33" t="n">
        <f aca="false">AA27*'Hiring plan'!$K$23*(1+Salary_Raise)^(AA$5-1)</f>
        <v>740679.8</v>
      </c>
      <c r="AB112" s="33" t="n">
        <f aca="false">AB27*'Hiring plan'!$K$23*(1+Salary_Raise)^(AB$5-1)</f>
        <v>740679.8</v>
      </c>
      <c r="AC112" s="33" t="n">
        <f aca="false">AC27*'Hiring plan'!$K$23*(1+Salary_Raise)^(AC$5-1)</f>
        <v>777713.79</v>
      </c>
      <c r="AD112" s="33" t="n">
        <f aca="false">AD27*'Hiring plan'!$K$23*(1+Salary_Raise)^(AD$5-1)</f>
        <v>777713.79</v>
      </c>
      <c r="AE112" s="33" t="n">
        <f aca="false">AE27*'Hiring plan'!$K$23*(1+Salary_Raise)^(AE$5-1)</f>
        <v>777713.79</v>
      </c>
      <c r="AF112" s="33" t="n">
        <f aca="false">AF27*'Hiring plan'!$K$23*(1+Salary_Raise)^(AF$5-1)</f>
        <v>777713.79</v>
      </c>
      <c r="AG112" s="33" t="n">
        <f aca="false">AG27*'Hiring plan'!$K$23*(1+Salary_Raise)^(AG$5-1)</f>
        <v>777713.79</v>
      </c>
      <c r="AH112" s="33" t="n">
        <f aca="false">AH27*'Hiring plan'!$K$23*(1+Salary_Raise)^(AH$5-1)</f>
        <v>777713.79</v>
      </c>
      <c r="AI112" s="33" t="n">
        <f aca="false">AI27*'Hiring plan'!$K$23*(1+Salary_Raise)^(AI$5-1)</f>
        <v>777713.79</v>
      </c>
      <c r="AJ112" s="33" t="n">
        <f aca="false">AJ27*'Hiring plan'!$K$23*(1+Salary_Raise)^(AJ$5-1)</f>
        <v>777713.79</v>
      </c>
      <c r="AK112" s="33" t="n">
        <f aca="false">AK27*'Hiring plan'!$K$23*(1+Salary_Raise)^(AK$5-1)</f>
        <v>777713.79</v>
      </c>
      <c r="AL112" s="33" t="n">
        <f aca="false">AL27*'Hiring plan'!$K$23*(1+Salary_Raise)^(AL$5-1)</f>
        <v>777713.79</v>
      </c>
      <c r="AM112" s="33" t="n">
        <f aca="false">AM27*'Hiring plan'!$K$23*(1+Salary_Raise)^(AM$5-1)</f>
        <v>777713.79</v>
      </c>
      <c r="AN112" s="33" t="n">
        <f aca="false">AN27*'Hiring plan'!$K$23*(1+Salary_Raise)^(AN$5-1)</f>
        <v>777713.79</v>
      </c>
      <c r="AO112" s="33" t="n">
        <f aca="false">AO27*'Hiring plan'!$K$23*(1+Salary_Raise)^(AO$5-1)</f>
        <v>816599.4795</v>
      </c>
      <c r="AP112" s="33" t="n">
        <f aca="false">AP27*'Hiring plan'!$K$23*(1+Salary_Raise)^(AP$5-1)</f>
        <v>816599.4795</v>
      </c>
      <c r="AQ112" s="33" t="n">
        <f aca="false">AQ27*'Hiring plan'!$K$23*(1+Salary_Raise)^(AQ$5-1)</f>
        <v>816599.4795</v>
      </c>
      <c r="AR112" s="33" t="n">
        <f aca="false">AR27*'Hiring plan'!$K$23*(1+Salary_Raise)^(AR$5-1)</f>
        <v>816599.4795</v>
      </c>
      <c r="AS112" s="33" t="n">
        <f aca="false">AS27*'Hiring plan'!$K$23*(1+Salary_Raise)^(AS$5-1)</f>
        <v>816599.4795</v>
      </c>
      <c r="AT112" s="33" t="n">
        <f aca="false">AT27*'Hiring plan'!$K$23*(1+Salary_Raise)^(AT$5-1)</f>
        <v>816599.4795</v>
      </c>
      <c r="AU112" s="33" t="n">
        <f aca="false">AU27*'Hiring plan'!$K$23*(1+Salary_Raise)^(AU$5-1)</f>
        <v>816599.4795</v>
      </c>
      <c r="AV112" s="33" t="n">
        <f aca="false">AV27*'Hiring plan'!$K$23*(1+Salary_Raise)^(AV$5-1)</f>
        <v>816599.4795</v>
      </c>
      <c r="AW112" s="33" t="n">
        <f aca="false">AW27*'Hiring plan'!$K$23*(1+Salary_Raise)^(AW$5-1)</f>
        <v>816599.4795</v>
      </c>
      <c r="AX112" s="33" t="n">
        <f aca="false">AX27*'Hiring plan'!$K$23*(1+Salary_Raise)^(AX$5-1)</f>
        <v>816599.4795</v>
      </c>
      <c r="AY112" s="33" t="n">
        <f aca="false">AY27*'Hiring plan'!$K$23*(1+Salary_Raise)^(AY$5-1)</f>
        <v>816599.4795</v>
      </c>
      <c r="AZ112" s="33" t="n">
        <f aca="false">AZ27*'Hiring plan'!$K$23*(1+Salary_Raise)^(AZ$5-1)</f>
        <v>816599.4795</v>
      </c>
      <c r="BA112" s="33" t="n">
        <f aca="false">BA27*'Hiring plan'!$K$23*(1+Salary_Raise)^(BA$5-1)</f>
        <v>857429.453475</v>
      </c>
      <c r="BB112" s="33" t="n">
        <f aca="false">BB27*'Hiring plan'!$K$23*(1+Salary_Raise)^(BB$5-1)</f>
        <v>857429.453475</v>
      </c>
      <c r="BC112" s="33" t="n">
        <f aca="false">BC27*'Hiring plan'!$K$23*(1+Salary_Raise)^(BC$5-1)</f>
        <v>857429.453475</v>
      </c>
      <c r="BD112" s="33" t="n">
        <f aca="false">BD27*'Hiring plan'!$K$23*(1+Salary_Raise)^(BD$5-1)</f>
        <v>857429.453475</v>
      </c>
      <c r="BE112" s="33" t="n">
        <f aca="false">BE27*'Hiring plan'!$K$23*(1+Salary_Raise)^(BE$5-1)</f>
        <v>857429.453475</v>
      </c>
      <c r="BF112" s="33" t="n">
        <f aca="false">BF27*'Hiring plan'!$K$23*(1+Salary_Raise)^(BF$5-1)</f>
        <v>857429.453475</v>
      </c>
      <c r="BG112" s="33" t="n">
        <f aca="false">BG27*'Hiring plan'!$K$23*(1+Salary_Raise)^(BG$5-1)</f>
        <v>857429.453475</v>
      </c>
      <c r="BH112" s="33" t="n">
        <f aca="false">BH27*'Hiring plan'!$K$23*(1+Salary_Raise)^(BH$5-1)</f>
        <v>857429.453475</v>
      </c>
      <c r="BI112" s="33" t="n">
        <f aca="false">BI27*'Hiring plan'!$K$23*(1+Salary_Raise)^(BI$5-1)</f>
        <v>857429.453475</v>
      </c>
      <c r="BJ112" s="33" t="n">
        <f aca="false">BJ27*'Hiring plan'!$K$23*(1+Salary_Raise)^(BJ$5-1)</f>
        <v>857429.453475</v>
      </c>
      <c r="BK112" s="33" t="n">
        <f aca="false">BK27*'Hiring plan'!$K$23*(1+Salary_Raise)^(BK$5-1)</f>
        <v>857429.453475</v>
      </c>
      <c r="BL112" s="33" t="n">
        <f aca="false">BL27*'Hiring plan'!$K$23*(1+Salary_Raise)^(BL$5-1)</f>
        <v>857429.453475</v>
      </c>
    </row>
    <row r="113" customFormat="false" ht="15" hidden="false" customHeight="false" outlineLevel="0" collapsed="false">
      <c r="A113" s="12" t="str">
        <f aca="false">A28</f>
        <v>Compliance officer, Abidjan · CI</v>
      </c>
      <c r="B113" s="14" t="s">
        <v>63</v>
      </c>
      <c r="D113" s="41" t="n">
        <f aca="false">SUM(E113:BL113)</f>
        <v>62545728.6657</v>
      </c>
      <c r="E113" s="33" t="n">
        <f aca="false">E28*'Hiring plan'!$K$24*(1+Salary_Raise)^(E$5-1)</f>
        <v>0</v>
      </c>
      <c r="F113" s="33" t="n">
        <f aca="false">F28*'Hiring plan'!$K$24*(1+Salary_Raise)^(F$5-1)</f>
        <v>0</v>
      </c>
      <c r="G113" s="33" t="n">
        <f aca="false">G28*'Hiring plan'!$K$24*(1+Salary_Raise)^(G$5-1)</f>
        <v>0</v>
      </c>
      <c r="H113" s="33" t="n">
        <f aca="false">H28*'Hiring plan'!$K$24*(1+Salary_Raise)^(H$5-1)</f>
        <v>0</v>
      </c>
      <c r="I113" s="33" t="n">
        <f aca="false">I28*'Hiring plan'!$K$24*(1+Salary_Raise)^(I$5-1)</f>
        <v>0</v>
      </c>
      <c r="J113" s="33" t="n">
        <f aca="false">J28*'Hiring plan'!$K$24*(1+Salary_Raise)^(J$5-1)</f>
        <v>0</v>
      </c>
      <c r="K113" s="33" t="n">
        <f aca="false">K28*'Hiring plan'!$K$24*(1+Salary_Raise)^(K$5-1)</f>
        <v>0</v>
      </c>
      <c r="L113" s="33" t="n">
        <f aca="false">L28*'Hiring plan'!$K$24*(1+Salary_Raise)^(L$5-1)</f>
        <v>0</v>
      </c>
      <c r="M113" s="33" t="n">
        <f aca="false">M28*'Hiring plan'!$K$24*(1+Salary_Raise)^(M$5-1)</f>
        <v>0</v>
      </c>
      <c r="N113" s="33" t="n">
        <f aca="false">N28*'Hiring plan'!$K$24*(1+Salary_Raise)^(N$5-1)</f>
        <v>0</v>
      </c>
      <c r="O113" s="33" t="n">
        <f aca="false">O28*'Hiring plan'!$K$24*(1+Salary_Raise)^(O$5-1)</f>
        <v>0</v>
      </c>
      <c r="P113" s="33" t="n">
        <f aca="false">P28*'Hiring plan'!$K$24*(1+Salary_Raise)^(P$5-1)</f>
        <v>0</v>
      </c>
      <c r="Q113" s="33" t="n">
        <f aca="false">Q28*'Hiring plan'!$K$24*(1+Salary_Raise)^(Q$5-1)</f>
        <v>0</v>
      </c>
      <c r="R113" s="33" t="n">
        <f aca="false">R28*'Hiring plan'!$K$24*(1+Salary_Raise)^(R$5-1)</f>
        <v>0</v>
      </c>
      <c r="S113" s="33" t="n">
        <f aca="false">S28*'Hiring plan'!$K$24*(1+Salary_Raise)^(S$5-1)</f>
        <v>0</v>
      </c>
      <c r="T113" s="33" t="n">
        <f aca="false">T28*'Hiring plan'!$K$24*(1+Salary_Raise)^(T$5-1)</f>
        <v>1283739.8</v>
      </c>
      <c r="U113" s="33" t="n">
        <f aca="false">U28*'Hiring plan'!$K$24*(1+Salary_Raise)^(U$5-1)</f>
        <v>1283739.8</v>
      </c>
      <c r="V113" s="33" t="n">
        <f aca="false">V28*'Hiring plan'!$K$24*(1+Salary_Raise)^(V$5-1)</f>
        <v>1283739.8</v>
      </c>
      <c r="W113" s="33" t="n">
        <f aca="false">W28*'Hiring plan'!$K$24*(1+Salary_Raise)^(W$5-1)</f>
        <v>1283739.8</v>
      </c>
      <c r="X113" s="33" t="n">
        <f aca="false">X28*'Hiring plan'!$K$24*(1+Salary_Raise)^(X$5-1)</f>
        <v>1283739.8</v>
      </c>
      <c r="Y113" s="33" t="n">
        <f aca="false">Y28*'Hiring plan'!$K$24*(1+Salary_Raise)^(Y$5-1)</f>
        <v>1283739.8</v>
      </c>
      <c r="Z113" s="33" t="n">
        <f aca="false">Z28*'Hiring plan'!$K$24*(1+Salary_Raise)^(Z$5-1)</f>
        <v>1283739.8</v>
      </c>
      <c r="AA113" s="33" t="n">
        <f aca="false">AA28*'Hiring plan'!$K$24*(1+Salary_Raise)^(AA$5-1)</f>
        <v>1283739.8</v>
      </c>
      <c r="AB113" s="33" t="n">
        <f aca="false">AB28*'Hiring plan'!$K$24*(1+Salary_Raise)^(AB$5-1)</f>
        <v>1283739.8</v>
      </c>
      <c r="AC113" s="33" t="n">
        <f aca="false">AC28*'Hiring plan'!$K$24*(1+Salary_Raise)^(AC$5-1)</f>
        <v>1347926.79</v>
      </c>
      <c r="AD113" s="33" t="n">
        <f aca="false">AD28*'Hiring plan'!$K$24*(1+Salary_Raise)^(AD$5-1)</f>
        <v>1347926.79</v>
      </c>
      <c r="AE113" s="33" t="n">
        <f aca="false">AE28*'Hiring plan'!$K$24*(1+Salary_Raise)^(AE$5-1)</f>
        <v>1347926.79</v>
      </c>
      <c r="AF113" s="33" t="n">
        <f aca="false">AF28*'Hiring plan'!$K$24*(1+Salary_Raise)^(AF$5-1)</f>
        <v>1347926.79</v>
      </c>
      <c r="AG113" s="33" t="n">
        <f aca="false">AG28*'Hiring plan'!$K$24*(1+Salary_Raise)^(AG$5-1)</f>
        <v>1347926.79</v>
      </c>
      <c r="AH113" s="33" t="n">
        <f aca="false">AH28*'Hiring plan'!$K$24*(1+Salary_Raise)^(AH$5-1)</f>
        <v>1347926.79</v>
      </c>
      <c r="AI113" s="33" t="n">
        <f aca="false">AI28*'Hiring plan'!$K$24*(1+Salary_Raise)^(AI$5-1)</f>
        <v>1347926.79</v>
      </c>
      <c r="AJ113" s="33" t="n">
        <f aca="false">AJ28*'Hiring plan'!$K$24*(1+Salary_Raise)^(AJ$5-1)</f>
        <v>1347926.79</v>
      </c>
      <c r="AK113" s="33" t="n">
        <f aca="false">AK28*'Hiring plan'!$K$24*(1+Salary_Raise)^(AK$5-1)</f>
        <v>1347926.79</v>
      </c>
      <c r="AL113" s="33" t="n">
        <f aca="false">AL28*'Hiring plan'!$K$24*(1+Salary_Raise)^(AL$5-1)</f>
        <v>1347926.79</v>
      </c>
      <c r="AM113" s="33" t="n">
        <f aca="false">AM28*'Hiring plan'!$K$24*(1+Salary_Raise)^(AM$5-1)</f>
        <v>1347926.79</v>
      </c>
      <c r="AN113" s="33" t="n">
        <f aca="false">AN28*'Hiring plan'!$K$24*(1+Salary_Raise)^(AN$5-1)</f>
        <v>1347926.79</v>
      </c>
      <c r="AO113" s="33" t="n">
        <f aca="false">AO28*'Hiring plan'!$K$24*(1+Salary_Raise)^(AO$5-1)</f>
        <v>1415323.1295</v>
      </c>
      <c r="AP113" s="33" t="n">
        <f aca="false">AP28*'Hiring plan'!$K$24*(1+Salary_Raise)^(AP$5-1)</f>
        <v>1415323.1295</v>
      </c>
      <c r="AQ113" s="33" t="n">
        <f aca="false">AQ28*'Hiring plan'!$K$24*(1+Salary_Raise)^(AQ$5-1)</f>
        <v>1415323.1295</v>
      </c>
      <c r="AR113" s="33" t="n">
        <f aca="false">AR28*'Hiring plan'!$K$24*(1+Salary_Raise)^(AR$5-1)</f>
        <v>1415323.1295</v>
      </c>
      <c r="AS113" s="33" t="n">
        <f aca="false">AS28*'Hiring plan'!$K$24*(1+Salary_Raise)^(AS$5-1)</f>
        <v>1415323.1295</v>
      </c>
      <c r="AT113" s="33" t="n">
        <f aca="false">AT28*'Hiring plan'!$K$24*(1+Salary_Raise)^(AT$5-1)</f>
        <v>1415323.1295</v>
      </c>
      <c r="AU113" s="33" t="n">
        <f aca="false">AU28*'Hiring plan'!$K$24*(1+Salary_Raise)^(AU$5-1)</f>
        <v>1415323.1295</v>
      </c>
      <c r="AV113" s="33" t="n">
        <f aca="false">AV28*'Hiring plan'!$K$24*(1+Salary_Raise)^(AV$5-1)</f>
        <v>1415323.1295</v>
      </c>
      <c r="AW113" s="33" t="n">
        <f aca="false">AW28*'Hiring plan'!$K$24*(1+Salary_Raise)^(AW$5-1)</f>
        <v>1415323.1295</v>
      </c>
      <c r="AX113" s="33" t="n">
        <f aca="false">AX28*'Hiring plan'!$K$24*(1+Salary_Raise)^(AX$5-1)</f>
        <v>1415323.1295</v>
      </c>
      <c r="AY113" s="33" t="n">
        <f aca="false">AY28*'Hiring plan'!$K$24*(1+Salary_Raise)^(AY$5-1)</f>
        <v>1415323.1295</v>
      </c>
      <c r="AZ113" s="33" t="n">
        <f aca="false">AZ28*'Hiring plan'!$K$24*(1+Salary_Raise)^(AZ$5-1)</f>
        <v>1415323.1295</v>
      </c>
      <c r="BA113" s="33" t="n">
        <f aca="false">BA28*'Hiring plan'!$K$24*(1+Salary_Raise)^(BA$5-1)</f>
        <v>1486089.285975</v>
      </c>
      <c r="BB113" s="33" t="n">
        <f aca="false">BB28*'Hiring plan'!$K$24*(1+Salary_Raise)^(BB$5-1)</f>
        <v>1486089.285975</v>
      </c>
      <c r="BC113" s="33" t="n">
        <f aca="false">BC28*'Hiring plan'!$K$24*(1+Salary_Raise)^(BC$5-1)</f>
        <v>1486089.285975</v>
      </c>
      <c r="BD113" s="33" t="n">
        <f aca="false">BD28*'Hiring plan'!$K$24*(1+Salary_Raise)^(BD$5-1)</f>
        <v>1486089.285975</v>
      </c>
      <c r="BE113" s="33" t="n">
        <f aca="false">BE28*'Hiring plan'!$K$24*(1+Salary_Raise)^(BE$5-1)</f>
        <v>1486089.285975</v>
      </c>
      <c r="BF113" s="33" t="n">
        <f aca="false">BF28*'Hiring plan'!$K$24*(1+Salary_Raise)^(BF$5-1)</f>
        <v>1486089.285975</v>
      </c>
      <c r="BG113" s="33" t="n">
        <f aca="false">BG28*'Hiring plan'!$K$24*(1+Salary_Raise)^(BG$5-1)</f>
        <v>1486089.285975</v>
      </c>
      <c r="BH113" s="33" t="n">
        <f aca="false">BH28*'Hiring plan'!$K$24*(1+Salary_Raise)^(BH$5-1)</f>
        <v>1486089.285975</v>
      </c>
      <c r="BI113" s="33" t="n">
        <f aca="false">BI28*'Hiring plan'!$K$24*(1+Salary_Raise)^(BI$5-1)</f>
        <v>1486089.285975</v>
      </c>
      <c r="BJ113" s="33" t="n">
        <f aca="false">BJ28*'Hiring plan'!$K$24*(1+Salary_Raise)^(BJ$5-1)</f>
        <v>1486089.285975</v>
      </c>
      <c r="BK113" s="33" t="n">
        <f aca="false">BK28*'Hiring plan'!$K$24*(1+Salary_Raise)^(BK$5-1)</f>
        <v>1486089.285975</v>
      </c>
      <c r="BL113" s="33" t="n">
        <f aca="false">BL28*'Hiring plan'!$K$24*(1+Salary_Raise)^(BL$5-1)</f>
        <v>1486089.285975</v>
      </c>
    </row>
    <row r="114" customFormat="false" ht="15" hidden="false" customHeight="false" outlineLevel="0" collapsed="false">
      <c r="A114" s="12" t="str">
        <f aca="false">A29</f>
        <v>Compliance analyst · SN</v>
      </c>
      <c r="B114" s="14" t="s">
        <v>63</v>
      </c>
      <c r="D114" s="41" t="n">
        <f aca="false">SUM(E114:BL114)</f>
        <v>24754629.9357</v>
      </c>
      <c r="E114" s="33" t="n">
        <f aca="false">E29*'Hiring plan'!$K$25*(1+Salary_Raise)^(E$5-1)</f>
        <v>0</v>
      </c>
      <c r="F114" s="33" t="n">
        <f aca="false">F29*'Hiring plan'!$K$25*(1+Salary_Raise)^(F$5-1)</f>
        <v>0</v>
      </c>
      <c r="G114" s="33" t="n">
        <f aca="false">G29*'Hiring plan'!$K$25*(1+Salary_Raise)^(G$5-1)</f>
        <v>0</v>
      </c>
      <c r="H114" s="33" t="n">
        <f aca="false">H29*'Hiring plan'!$K$25*(1+Salary_Raise)^(H$5-1)</f>
        <v>0</v>
      </c>
      <c r="I114" s="33" t="n">
        <f aca="false">I29*'Hiring plan'!$K$25*(1+Salary_Raise)^(I$5-1)</f>
        <v>0</v>
      </c>
      <c r="J114" s="33" t="n">
        <f aca="false">J29*'Hiring plan'!$K$25*(1+Salary_Raise)^(J$5-1)</f>
        <v>0</v>
      </c>
      <c r="K114" s="33" t="n">
        <f aca="false">K29*'Hiring plan'!$K$25*(1+Salary_Raise)^(K$5-1)</f>
        <v>0</v>
      </c>
      <c r="L114" s="33" t="n">
        <f aca="false">L29*'Hiring plan'!$K$25*(1+Salary_Raise)^(L$5-1)</f>
        <v>0</v>
      </c>
      <c r="M114" s="33" t="n">
        <f aca="false">M29*'Hiring plan'!$K$25*(1+Salary_Raise)^(M$5-1)</f>
        <v>0</v>
      </c>
      <c r="N114" s="33" t="n">
        <f aca="false">N29*'Hiring plan'!$K$25*(1+Salary_Raise)^(N$5-1)</f>
        <v>0</v>
      </c>
      <c r="O114" s="33" t="n">
        <f aca="false">O29*'Hiring plan'!$K$25*(1+Salary_Raise)^(O$5-1)</f>
        <v>0</v>
      </c>
      <c r="P114" s="33" t="n">
        <f aca="false">P29*'Hiring plan'!$K$25*(1+Salary_Raise)^(P$5-1)</f>
        <v>0</v>
      </c>
      <c r="Q114" s="33" t="n">
        <f aca="false">Q29*'Hiring plan'!$K$25*(1+Salary_Raise)^(Q$5-1)</f>
        <v>0</v>
      </c>
      <c r="R114" s="33" t="n">
        <f aca="false">R29*'Hiring plan'!$K$25*(1+Salary_Raise)^(R$5-1)</f>
        <v>0</v>
      </c>
      <c r="S114" s="33" t="n">
        <f aca="false">S29*'Hiring plan'!$K$25*(1+Salary_Raise)^(S$5-1)</f>
        <v>0</v>
      </c>
      <c r="T114" s="33" t="n">
        <f aca="false">T29*'Hiring plan'!$K$25*(1+Salary_Raise)^(T$5-1)</f>
        <v>0</v>
      </c>
      <c r="U114" s="33" t="n">
        <f aca="false">U29*'Hiring plan'!$K$25*(1+Salary_Raise)^(U$5-1)</f>
        <v>0</v>
      </c>
      <c r="V114" s="33" t="n">
        <f aca="false">V29*'Hiring plan'!$K$25*(1+Salary_Raise)^(V$5-1)</f>
        <v>0</v>
      </c>
      <c r="W114" s="33" t="n">
        <f aca="false">W29*'Hiring plan'!$K$25*(1+Salary_Raise)^(W$5-1)</f>
        <v>0</v>
      </c>
      <c r="X114" s="33" t="n">
        <f aca="false">X29*'Hiring plan'!$K$25*(1+Salary_Raise)^(X$5-1)</f>
        <v>0</v>
      </c>
      <c r="Y114" s="33" t="n">
        <f aca="false">Y29*'Hiring plan'!$K$25*(1+Salary_Raise)^(Y$5-1)</f>
        <v>0</v>
      </c>
      <c r="Z114" s="33" t="n">
        <f aca="false">Z29*'Hiring plan'!$K$25*(1+Salary_Raise)^(Z$5-1)</f>
        <v>0</v>
      </c>
      <c r="AA114" s="33" t="n">
        <f aca="false">AA29*'Hiring plan'!$K$25*(1+Salary_Raise)^(AA$5-1)</f>
        <v>0</v>
      </c>
      <c r="AB114" s="33" t="n">
        <f aca="false">AB29*'Hiring plan'!$K$25*(1+Salary_Raise)^(AB$5-1)</f>
        <v>0</v>
      </c>
      <c r="AC114" s="33" t="n">
        <f aca="false">AC29*'Hiring plan'!$K$25*(1+Salary_Raise)^(AC$5-1)</f>
        <v>0</v>
      </c>
      <c r="AD114" s="33" t="n">
        <f aca="false">AD29*'Hiring plan'!$K$25*(1+Salary_Raise)^(AD$5-1)</f>
        <v>0</v>
      </c>
      <c r="AE114" s="33" t="n">
        <f aca="false">AE29*'Hiring plan'!$K$25*(1+Salary_Raise)^(AE$5-1)</f>
        <v>0</v>
      </c>
      <c r="AF114" s="33" t="n">
        <f aca="false">AF29*'Hiring plan'!$K$25*(1+Salary_Raise)^(AF$5-1)</f>
        <v>0</v>
      </c>
      <c r="AG114" s="33" t="n">
        <f aca="false">AG29*'Hiring plan'!$K$25*(1+Salary_Raise)^(AG$5-1)</f>
        <v>0</v>
      </c>
      <c r="AH114" s="33" t="n">
        <f aca="false">AH29*'Hiring plan'!$K$25*(1+Salary_Raise)^(AH$5-1)</f>
        <v>0</v>
      </c>
      <c r="AI114" s="33" t="n">
        <f aca="false">AI29*'Hiring plan'!$K$25*(1+Salary_Raise)^(AI$5-1)</f>
        <v>777713.79</v>
      </c>
      <c r="AJ114" s="33" t="n">
        <f aca="false">AJ29*'Hiring plan'!$K$25*(1+Salary_Raise)^(AJ$5-1)</f>
        <v>777713.79</v>
      </c>
      <c r="AK114" s="33" t="n">
        <f aca="false">AK29*'Hiring plan'!$K$25*(1+Salary_Raise)^(AK$5-1)</f>
        <v>777713.79</v>
      </c>
      <c r="AL114" s="33" t="n">
        <f aca="false">AL29*'Hiring plan'!$K$25*(1+Salary_Raise)^(AL$5-1)</f>
        <v>777713.79</v>
      </c>
      <c r="AM114" s="33" t="n">
        <f aca="false">AM29*'Hiring plan'!$K$25*(1+Salary_Raise)^(AM$5-1)</f>
        <v>777713.79</v>
      </c>
      <c r="AN114" s="33" t="n">
        <f aca="false">AN29*'Hiring plan'!$K$25*(1+Salary_Raise)^(AN$5-1)</f>
        <v>777713.79</v>
      </c>
      <c r="AO114" s="33" t="n">
        <f aca="false">AO29*'Hiring plan'!$K$25*(1+Salary_Raise)^(AO$5-1)</f>
        <v>816599.4795</v>
      </c>
      <c r="AP114" s="33" t="n">
        <f aca="false">AP29*'Hiring plan'!$K$25*(1+Salary_Raise)^(AP$5-1)</f>
        <v>816599.4795</v>
      </c>
      <c r="AQ114" s="33" t="n">
        <f aca="false">AQ29*'Hiring plan'!$K$25*(1+Salary_Raise)^(AQ$5-1)</f>
        <v>816599.4795</v>
      </c>
      <c r="AR114" s="33" t="n">
        <f aca="false">AR29*'Hiring plan'!$K$25*(1+Salary_Raise)^(AR$5-1)</f>
        <v>816599.4795</v>
      </c>
      <c r="AS114" s="33" t="n">
        <f aca="false">AS29*'Hiring plan'!$K$25*(1+Salary_Raise)^(AS$5-1)</f>
        <v>816599.4795</v>
      </c>
      <c r="AT114" s="33" t="n">
        <f aca="false">AT29*'Hiring plan'!$K$25*(1+Salary_Raise)^(AT$5-1)</f>
        <v>816599.4795</v>
      </c>
      <c r="AU114" s="33" t="n">
        <f aca="false">AU29*'Hiring plan'!$K$25*(1+Salary_Raise)^(AU$5-1)</f>
        <v>816599.4795</v>
      </c>
      <c r="AV114" s="33" t="n">
        <f aca="false">AV29*'Hiring plan'!$K$25*(1+Salary_Raise)^(AV$5-1)</f>
        <v>816599.4795</v>
      </c>
      <c r="AW114" s="33" t="n">
        <f aca="false">AW29*'Hiring plan'!$K$25*(1+Salary_Raise)^(AW$5-1)</f>
        <v>816599.4795</v>
      </c>
      <c r="AX114" s="33" t="n">
        <f aca="false">AX29*'Hiring plan'!$K$25*(1+Salary_Raise)^(AX$5-1)</f>
        <v>816599.4795</v>
      </c>
      <c r="AY114" s="33" t="n">
        <f aca="false">AY29*'Hiring plan'!$K$25*(1+Salary_Raise)^(AY$5-1)</f>
        <v>816599.4795</v>
      </c>
      <c r="AZ114" s="33" t="n">
        <f aca="false">AZ29*'Hiring plan'!$K$25*(1+Salary_Raise)^(AZ$5-1)</f>
        <v>816599.4795</v>
      </c>
      <c r="BA114" s="33" t="n">
        <f aca="false">BA29*'Hiring plan'!$K$25*(1+Salary_Raise)^(BA$5-1)</f>
        <v>857429.453475</v>
      </c>
      <c r="BB114" s="33" t="n">
        <f aca="false">BB29*'Hiring plan'!$K$25*(1+Salary_Raise)^(BB$5-1)</f>
        <v>857429.453475</v>
      </c>
      <c r="BC114" s="33" t="n">
        <f aca="false">BC29*'Hiring plan'!$K$25*(1+Salary_Raise)^(BC$5-1)</f>
        <v>857429.453475</v>
      </c>
      <c r="BD114" s="33" t="n">
        <f aca="false">BD29*'Hiring plan'!$K$25*(1+Salary_Raise)^(BD$5-1)</f>
        <v>857429.453475</v>
      </c>
      <c r="BE114" s="33" t="n">
        <f aca="false">BE29*'Hiring plan'!$K$25*(1+Salary_Raise)^(BE$5-1)</f>
        <v>857429.453475</v>
      </c>
      <c r="BF114" s="33" t="n">
        <f aca="false">BF29*'Hiring plan'!$K$25*(1+Salary_Raise)^(BF$5-1)</f>
        <v>857429.453475</v>
      </c>
      <c r="BG114" s="33" t="n">
        <f aca="false">BG29*'Hiring plan'!$K$25*(1+Salary_Raise)^(BG$5-1)</f>
        <v>857429.453475</v>
      </c>
      <c r="BH114" s="33" t="n">
        <f aca="false">BH29*'Hiring plan'!$K$25*(1+Salary_Raise)^(BH$5-1)</f>
        <v>857429.453475</v>
      </c>
      <c r="BI114" s="33" t="n">
        <f aca="false">BI29*'Hiring plan'!$K$25*(1+Salary_Raise)^(BI$5-1)</f>
        <v>857429.453475</v>
      </c>
      <c r="BJ114" s="33" t="n">
        <f aca="false">BJ29*'Hiring plan'!$K$25*(1+Salary_Raise)^(BJ$5-1)</f>
        <v>857429.453475</v>
      </c>
      <c r="BK114" s="33" t="n">
        <f aca="false">BK29*'Hiring plan'!$K$25*(1+Salary_Raise)^(BK$5-1)</f>
        <v>857429.453475</v>
      </c>
      <c r="BL114" s="33" t="n">
        <f aca="false">BL29*'Hiring plan'!$K$25*(1+Salary_Raise)^(BL$5-1)</f>
        <v>857429.453475</v>
      </c>
    </row>
    <row r="115" customFormat="false" ht="15" hidden="false" customHeight="false" outlineLevel="0" collapsed="false">
      <c r="A115" s="12" t="str">
        <f aca="false">A30</f>
        <v>Compliance analyst · SN</v>
      </c>
      <c r="B115" s="14" t="s">
        <v>63</v>
      </c>
      <c r="D115" s="41" t="n">
        <f aca="false">SUM(E115:BL115)</f>
        <v>15188750.3187</v>
      </c>
      <c r="E115" s="33" t="n">
        <f aca="false">E30*'Hiring plan'!$K$26*(1+Salary_Raise)^(E$5-1)</f>
        <v>0</v>
      </c>
      <c r="F115" s="33" t="n">
        <f aca="false">F30*'Hiring plan'!$K$26*(1+Salary_Raise)^(F$5-1)</f>
        <v>0</v>
      </c>
      <c r="G115" s="33" t="n">
        <f aca="false">G30*'Hiring plan'!$K$26*(1+Salary_Raise)^(G$5-1)</f>
        <v>0</v>
      </c>
      <c r="H115" s="33" t="n">
        <f aca="false">H30*'Hiring plan'!$K$26*(1+Salary_Raise)^(H$5-1)</f>
        <v>0</v>
      </c>
      <c r="I115" s="33" t="n">
        <f aca="false">I30*'Hiring plan'!$K$26*(1+Salary_Raise)^(I$5-1)</f>
        <v>0</v>
      </c>
      <c r="J115" s="33" t="n">
        <f aca="false">J30*'Hiring plan'!$K$26*(1+Salary_Raise)^(J$5-1)</f>
        <v>0</v>
      </c>
      <c r="K115" s="33" t="n">
        <f aca="false">K30*'Hiring plan'!$K$26*(1+Salary_Raise)^(K$5-1)</f>
        <v>0</v>
      </c>
      <c r="L115" s="33" t="n">
        <f aca="false">L30*'Hiring plan'!$K$26*(1+Salary_Raise)^(L$5-1)</f>
        <v>0</v>
      </c>
      <c r="M115" s="33" t="n">
        <f aca="false">M30*'Hiring plan'!$K$26*(1+Salary_Raise)^(M$5-1)</f>
        <v>0</v>
      </c>
      <c r="N115" s="33" t="n">
        <f aca="false">N30*'Hiring plan'!$K$26*(1+Salary_Raise)^(N$5-1)</f>
        <v>0</v>
      </c>
      <c r="O115" s="33" t="n">
        <f aca="false">O30*'Hiring plan'!$K$26*(1+Salary_Raise)^(O$5-1)</f>
        <v>0</v>
      </c>
      <c r="P115" s="33" t="n">
        <f aca="false">P30*'Hiring plan'!$K$26*(1+Salary_Raise)^(P$5-1)</f>
        <v>0</v>
      </c>
      <c r="Q115" s="33" t="n">
        <f aca="false">Q30*'Hiring plan'!$K$26*(1+Salary_Raise)^(Q$5-1)</f>
        <v>0</v>
      </c>
      <c r="R115" s="33" t="n">
        <f aca="false">R30*'Hiring plan'!$K$26*(1+Salary_Raise)^(R$5-1)</f>
        <v>0</v>
      </c>
      <c r="S115" s="33" t="n">
        <f aca="false">S30*'Hiring plan'!$K$26*(1+Salary_Raise)^(S$5-1)</f>
        <v>0</v>
      </c>
      <c r="T115" s="33" t="n">
        <f aca="false">T30*'Hiring plan'!$K$26*(1+Salary_Raise)^(T$5-1)</f>
        <v>0</v>
      </c>
      <c r="U115" s="33" t="n">
        <f aca="false">U30*'Hiring plan'!$K$26*(1+Salary_Raise)^(U$5-1)</f>
        <v>0</v>
      </c>
      <c r="V115" s="33" t="n">
        <f aca="false">V30*'Hiring plan'!$K$26*(1+Salary_Raise)^(V$5-1)</f>
        <v>0</v>
      </c>
      <c r="W115" s="33" t="n">
        <f aca="false">W30*'Hiring plan'!$K$26*(1+Salary_Raise)^(W$5-1)</f>
        <v>0</v>
      </c>
      <c r="X115" s="33" t="n">
        <f aca="false">X30*'Hiring plan'!$K$26*(1+Salary_Raise)^(X$5-1)</f>
        <v>0</v>
      </c>
      <c r="Y115" s="33" t="n">
        <f aca="false">Y30*'Hiring plan'!$K$26*(1+Salary_Raise)^(Y$5-1)</f>
        <v>0</v>
      </c>
      <c r="Z115" s="33" t="n">
        <f aca="false">Z30*'Hiring plan'!$K$26*(1+Salary_Raise)^(Z$5-1)</f>
        <v>0</v>
      </c>
      <c r="AA115" s="33" t="n">
        <f aca="false">AA30*'Hiring plan'!$K$26*(1+Salary_Raise)^(AA$5-1)</f>
        <v>0</v>
      </c>
      <c r="AB115" s="33" t="n">
        <f aca="false">AB30*'Hiring plan'!$K$26*(1+Salary_Raise)^(AB$5-1)</f>
        <v>0</v>
      </c>
      <c r="AC115" s="33" t="n">
        <f aca="false">AC30*'Hiring plan'!$K$26*(1+Salary_Raise)^(AC$5-1)</f>
        <v>0</v>
      </c>
      <c r="AD115" s="33" t="n">
        <f aca="false">AD30*'Hiring plan'!$K$26*(1+Salary_Raise)^(AD$5-1)</f>
        <v>0</v>
      </c>
      <c r="AE115" s="33" t="n">
        <f aca="false">AE30*'Hiring plan'!$K$26*(1+Salary_Raise)^(AE$5-1)</f>
        <v>0</v>
      </c>
      <c r="AF115" s="33" t="n">
        <f aca="false">AF30*'Hiring plan'!$K$26*(1+Salary_Raise)^(AF$5-1)</f>
        <v>0</v>
      </c>
      <c r="AG115" s="33" t="n">
        <f aca="false">AG30*'Hiring plan'!$K$26*(1+Salary_Raise)^(AG$5-1)</f>
        <v>0</v>
      </c>
      <c r="AH115" s="33" t="n">
        <f aca="false">AH30*'Hiring plan'!$K$26*(1+Salary_Raise)^(AH$5-1)</f>
        <v>0</v>
      </c>
      <c r="AI115" s="33" t="n">
        <f aca="false">AI30*'Hiring plan'!$K$26*(1+Salary_Raise)^(AI$5-1)</f>
        <v>0</v>
      </c>
      <c r="AJ115" s="33" t="n">
        <f aca="false">AJ30*'Hiring plan'!$K$26*(1+Salary_Raise)^(AJ$5-1)</f>
        <v>0</v>
      </c>
      <c r="AK115" s="33" t="n">
        <f aca="false">AK30*'Hiring plan'!$K$26*(1+Salary_Raise)^(AK$5-1)</f>
        <v>0</v>
      </c>
      <c r="AL115" s="33" t="n">
        <f aca="false">AL30*'Hiring plan'!$K$26*(1+Salary_Raise)^(AL$5-1)</f>
        <v>0</v>
      </c>
      <c r="AM115" s="33" t="n">
        <f aca="false">AM30*'Hiring plan'!$K$26*(1+Salary_Raise)^(AM$5-1)</f>
        <v>0</v>
      </c>
      <c r="AN115" s="33" t="n">
        <f aca="false">AN30*'Hiring plan'!$K$26*(1+Salary_Raise)^(AN$5-1)</f>
        <v>0</v>
      </c>
      <c r="AO115" s="33" t="n">
        <f aca="false">AO30*'Hiring plan'!$K$26*(1+Salary_Raise)^(AO$5-1)</f>
        <v>0</v>
      </c>
      <c r="AP115" s="33" t="n">
        <f aca="false">AP30*'Hiring plan'!$K$26*(1+Salary_Raise)^(AP$5-1)</f>
        <v>0</v>
      </c>
      <c r="AQ115" s="33" t="n">
        <f aca="false">AQ30*'Hiring plan'!$K$26*(1+Salary_Raise)^(AQ$5-1)</f>
        <v>0</v>
      </c>
      <c r="AR115" s="33" t="n">
        <f aca="false">AR30*'Hiring plan'!$K$26*(1+Salary_Raise)^(AR$5-1)</f>
        <v>0</v>
      </c>
      <c r="AS115" s="33" t="n">
        <f aca="false">AS30*'Hiring plan'!$K$26*(1+Salary_Raise)^(AS$5-1)</f>
        <v>0</v>
      </c>
      <c r="AT115" s="33" t="n">
        <f aca="false">AT30*'Hiring plan'!$K$26*(1+Salary_Raise)^(AT$5-1)</f>
        <v>0</v>
      </c>
      <c r="AU115" s="33" t="n">
        <f aca="false">AU30*'Hiring plan'!$K$26*(1+Salary_Raise)^(AU$5-1)</f>
        <v>816599.4795</v>
      </c>
      <c r="AV115" s="33" t="n">
        <f aca="false">AV30*'Hiring plan'!$K$26*(1+Salary_Raise)^(AV$5-1)</f>
        <v>816599.4795</v>
      </c>
      <c r="AW115" s="33" t="n">
        <f aca="false">AW30*'Hiring plan'!$K$26*(1+Salary_Raise)^(AW$5-1)</f>
        <v>816599.4795</v>
      </c>
      <c r="AX115" s="33" t="n">
        <f aca="false">AX30*'Hiring plan'!$K$26*(1+Salary_Raise)^(AX$5-1)</f>
        <v>816599.4795</v>
      </c>
      <c r="AY115" s="33" t="n">
        <f aca="false">AY30*'Hiring plan'!$K$26*(1+Salary_Raise)^(AY$5-1)</f>
        <v>816599.4795</v>
      </c>
      <c r="AZ115" s="33" t="n">
        <f aca="false">AZ30*'Hiring plan'!$K$26*(1+Salary_Raise)^(AZ$5-1)</f>
        <v>816599.4795</v>
      </c>
      <c r="BA115" s="33" t="n">
        <f aca="false">BA30*'Hiring plan'!$K$26*(1+Salary_Raise)^(BA$5-1)</f>
        <v>857429.453475</v>
      </c>
      <c r="BB115" s="33" t="n">
        <f aca="false">BB30*'Hiring plan'!$K$26*(1+Salary_Raise)^(BB$5-1)</f>
        <v>857429.453475</v>
      </c>
      <c r="BC115" s="33" t="n">
        <f aca="false">BC30*'Hiring plan'!$K$26*(1+Salary_Raise)^(BC$5-1)</f>
        <v>857429.453475</v>
      </c>
      <c r="BD115" s="33" t="n">
        <f aca="false">BD30*'Hiring plan'!$K$26*(1+Salary_Raise)^(BD$5-1)</f>
        <v>857429.453475</v>
      </c>
      <c r="BE115" s="33" t="n">
        <f aca="false">BE30*'Hiring plan'!$K$26*(1+Salary_Raise)^(BE$5-1)</f>
        <v>857429.453475</v>
      </c>
      <c r="BF115" s="33" t="n">
        <f aca="false">BF30*'Hiring plan'!$K$26*(1+Salary_Raise)^(BF$5-1)</f>
        <v>857429.453475</v>
      </c>
      <c r="BG115" s="33" t="n">
        <f aca="false">BG30*'Hiring plan'!$K$26*(1+Salary_Raise)^(BG$5-1)</f>
        <v>857429.453475</v>
      </c>
      <c r="BH115" s="33" t="n">
        <f aca="false">BH30*'Hiring plan'!$K$26*(1+Salary_Raise)^(BH$5-1)</f>
        <v>857429.453475</v>
      </c>
      <c r="BI115" s="33" t="n">
        <f aca="false">BI30*'Hiring plan'!$K$26*(1+Salary_Raise)^(BI$5-1)</f>
        <v>857429.453475</v>
      </c>
      <c r="BJ115" s="33" t="n">
        <f aca="false">BJ30*'Hiring plan'!$K$26*(1+Salary_Raise)^(BJ$5-1)</f>
        <v>857429.453475</v>
      </c>
      <c r="BK115" s="33" t="n">
        <f aca="false">BK30*'Hiring plan'!$K$26*(1+Salary_Raise)^(BK$5-1)</f>
        <v>857429.453475</v>
      </c>
      <c r="BL115" s="33" t="n">
        <f aca="false">BL30*'Hiring plan'!$K$26*(1+Salary_Raise)^(BL$5-1)</f>
        <v>857429.453475</v>
      </c>
    </row>
    <row r="116" customFormat="false" ht="15" hidden="false" customHeight="false" outlineLevel="0" collapsed="false">
      <c r="A116" s="12" t="str">
        <f aca="false">A31</f>
        <v>Credit risk manager · SN</v>
      </c>
      <c r="B116" s="14" t="s">
        <v>63</v>
      </c>
      <c r="D116" s="41" t="n">
        <f aca="false">SUM(E116:BL116)</f>
        <v>87595305.3057</v>
      </c>
      <c r="E116" s="33" t="n">
        <f aca="false">E31*'Hiring plan'!$K$27*(1+Salary_Raise)^(E$5-1)</f>
        <v>0</v>
      </c>
      <c r="F116" s="33" t="n">
        <f aca="false">F31*'Hiring plan'!$K$27*(1+Salary_Raise)^(F$5-1)</f>
        <v>0</v>
      </c>
      <c r="G116" s="33" t="n">
        <f aca="false">G31*'Hiring plan'!$K$27*(1+Salary_Raise)^(G$5-1)</f>
        <v>0</v>
      </c>
      <c r="H116" s="33" t="n">
        <f aca="false">H31*'Hiring plan'!$K$27*(1+Salary_Raise)^(H$5-1)</f>
        <v>0</v>
      </c>
      <c r="I116" s="33" t="n">
        <f aca="false">I31*'Hiring plan'!$K$27*(1+Salary_Raise)^(I$5-1)</f>
        <v>0</v>
      </c>
      <c r="J116" s="33" t="n">
        <f aca="false">J31*'Hiring plan'!$K$27*(1+Salary_Raise)^(J$5-1)</f>
        <v>0</v>
      </c>
      <c r="K116" s="33" t="n">
        <f aca="false">K31*'Hiring plan'!$K$27*(1+Salary_Raise)^(K$5-1)</f>
        <v>1452476</v>
      </c>
      <c r="L116" s="33" t="n">
        <f aca="false">L31*'Hiring plan'!$K$27*(1+Salary_Raise)^(L$5-1)</f>
        <v>1452476</v>
      </c>
      <c r="M116" s="33" t="n">
        <f aca="false">M31*'Hiring plan'!$K$27*(1+Salary_Raise)^(M$5-1)</f>
        <v>1452476</v>
      </c>
      <c r="N116" s="33" t="n">
        <f aca="false">N31*'Hiring plan'!$K$27*(1+Salary_Raise)^(N$5-1)</f>
        <v>1452476</v>
      </c>
      <c r="O116" s="33" t="n">
        <f aca="false">O31*'Hiring plan'!$K$27*(1+Salary_Raise)^(O$5-1)</f>
        <v>1452476</v>
      </c>
      <c r="P116" s="33" t="n">
        <f aca="false">P31*'Hiring plan'!$K$27*(1+Salary_Raise)^(P$5-1)</f>
        <v>1452476</v>
      </c>
      <c r="Q116" s="33" t="n">
        <f aca="false">Q31*'Hiring plan'!$K$27*(1+Salary_Raise)^(Q$5-1)</f>
        <v>1525099.8</v>
      </c>
      <c r="R116" s="33" t="n">
        <f aca="false">R31*'Hiring plan'!$K$27*(1+Salary_Raise)^(R$5-1)</f>
        <v>1525099.8</v>
      </c>
      <c r="S116" s="33" t="n">
        <f aca="false">S31*'Hiring plan'!$K$27*(1+Salary_Raise)^(S$5-1)</f>
        <v>1525099.8</v>
      </c>
      <c r="T116" s="33" t="n">
        <f aca="false">T31*'Hiring plan'!$K$27*(1+Salary_Raise)^(T$5-1)</f>
        <v>1525099.8</v>
      </c>
      <c r="U116" s="33" t="n">
        <f aca="false">U31*'Hiring plan'!$K$27*(1+Salary_Raise)^(U$5-1)</f>
        <v>1525099.8</v>
      </c>
      <c r="V116" s="33" t="n">
        <f aca="false">V31*'Hiring plan'!$K$27*(1+Salary_Raise)^(V$5-1)</f>
        <v>1525099.8</v>
      </c>
      <c r="W116" s="33" t="n">
        <f aca="false">W31*'Hiring plan'!$K$27*(1+Salary_Raise)^(W$5-1)</f>
        <v>1525099.8</v>
      </c>
      <c r="X116" s="33" t="n">
        <f aca="false">X31*'Hiring plan'!$K$27*(1+Salary_Raise)^(X$5-1)</f>
        <v>1525099.8</v>
      </c>
      <c r="Y116" s="33" t="n">
        <f aca="false">Y31*'Hiring plan'!$K$27*(1+Salary_Raise)^(Y$5-1)</f>
        <v>1525099.8</v>
      </c>
      <c r="Z116" s="33" t="n">
        <f aca="false">Z31*'Hiring plan'!$K$27*(1+Salary_Raise)^(Z$5-1)</f>
        <v>1525099.8</v>
      </c>
      <c r="AA116" s="33" t="n">
        <f aca="false">AA31*'Hiring plan'!$K$27*(1+Salary_Raise)^(AA$5-1)</f>
        <v>1525099.8</v>
      </c>
      <c r="AB116" s="33" t="n">
        <f aca="false">AB31*'Hiring plan'!$K$27*(1+Salary_Raise)^(AB$5-1)</f>
        <v>1525099.8</v>
      </c>
      <c r="AC116" s="33" t="n">
        <f aca="false">AC31*'Hiring plan'!$K$27*(1+Salary_Raise)^(AC$5-1)</f>
        <v>1601354.79</v>
      </c>
      <c r="AD116" s="33" t="n">
        <f aca="false">AD31*'Hiring plan'!$K$27*(1+Salary_Raise)^(AD$5-1)</f>
        <v>1601354.79</v>
      </c>
      <c r="AE116" s="33" t="n">
        <f aca="false">AE31*'Hiring plan'!$K$27*(1+Salary_Raise)^(AE$5-1)</f>
        <v>1601354.79</v>
      </c>
      <c r="AF116" s="33" t="n">
        <f aca="false">AF31*'Hiring plan'!$K$27*(1+Salary_Raise)^(AF$5-1)</f>
        <v>1601354.79</v>
      </c>
      <c r="AG116" s="33" t="n">
        <f aca="false">AG31*'Hiring plan'!$K$27*(1+Salary_Raise)^(AG$5-1)</f>
        <v>1601354.79</v>
      </c>
      <c r="AH116" s="33" t="n">
        <f aca="false">AH31*'Hiring plan'!$K$27*(1+Salary_Raise)^(AH$5-1)</f>
        <v>1601354.79</v>
      </c>
      <c r="AI116" s="33" t="n">
        <f aca="false">AI31*'Hiring plan'!$K$27*(1+Salary_Raise)^(AI$5-1)</f>
        <v>1601354.79</v>
      </c>
      <c r="AJ116" s="33" t="n">
        <f aca="false">AJ31*'Hiring plan'!$K$27*(1+Salary_Raise)^(AJ$5-1)</f>
        <v>1601354.79</v>
      </c>
      <c r="AK116" s="33" t="n">
        <f aca="false">AK31*'Hiring plan'!$K$27*(1+Salary_Raise)^(AK$5-1)</f>
        <v>1601354.79</v>
      </c>
      <c r="AL116" s="33" t="n">
        <f aca="false">AL31*'Hiring plan'!$K$27*(1+Salary_Raise)^(AL$5-1)</f>
        <v>1601354.79</v>
      </c>
      <c r="AM116" s="33" t="n">
        <f aca="false">AM31*'Hiring plan'!$K$27*(1+Salary_Raise)^(AM$5-1)</f>
        <v>1601354.79</v>
      </c>
      <c r="AN116" s="33" t="n">
        <f aca="false">AN31*'Hiring plan'!$K$27*(1+Salary_Raise)^(AN$5-1)</f>
        <v>1601354.79</v>
      </c>
      <c r="AO116" s="33" t="n">
        <f aca="false">AO31*'Hiring plan'!$K$27*(1+Salary_Raise)^(AO$5-1)</f>
        <v>1681422.5295</v>
      </c>
      <c r="AP116" s="33" t="n">
        <f aca="false">AP31*'Hiring plan'!$K$27*(1+Salary_Raise)^(AP$5-1)</f>
        <v>1681422.5295</v>
      </c>
      <c r="AQ116" s="33" t="n">
        <f aca="false">AQ31*'Hiring plan'!$K$27*(1+Salary_Raise)^(AQ$5-1)</f>
        <v>1681422.5295</v>
      </c>
      <c r="AR116" s="33" t="n">
        <f aca="false">AR31*'Hiring plan'!$K$27*(1+Salary_Raise)^(AR$5-1)</f>
        <v>1681422.5295</v>
      </c>
      <c r="AS116" s="33" t="n">
        <f aca="false">AS31*'Hiring plan'!$K$27*(1+Salary_Raise)^(AS$5-1)</f>
        <v>1681422.5295</v>
      </c>
      <c r="AT116" s="33" t="n">
        <f aca="false">AT31*'Hiring plan'!$K$27*(1+Salary_Raise)^(AT$5-1)</f>
        <v>1681422.5295</v>
      </c>
      <c r="AU116" s="33" t="n">
        <f aca="false">AU31*'Hiring plan'!$K$27*(1+Salary_Raise)^(AU$5-1)</f>
        <v>1681422.5295</v>
      </c>
      <c r="AV116" s="33" t="n">
        <f aca="false">AV31*'Hiring plan'!$K$27*(1+Salary_Raise)^(AV$5-1)</f>
        <v>1681422.5295</v>
      </c>
      <c r="AW116" s="33" t="n">
        <f aca="false">AW31*'Hiring plan'!$K$27*(1+Salary_Raise)^(AW$5-1)</f>
        <v>1681422.5295</v>
      </c>
      <c r="AX116" s="33" t="n">
        <f aca="false">AX31*'Hiring plan'!$K$27*(1+Salary_Raise)^(AX$5-1)</f>
        <v>1681422.5295</v>
      </c>
      <c r="AY116" s="33" t="n">
        <f aca="false">AY31*'Hiring plan'!$K$27*(1+Salary_Raise)^(AY$5-1)</f>
        <v>1681422.5295</v>
      </c>
      <c r="AZ116" s="33" t="n">
        <f aca="false">AZ31*'Hiring plan'!$K$27*(1+Salary_Raise)^(AZ$5-1)</f>
        <v>1681422.5295</v>
      </c>
      <c r="BA116" s="33" t="n">
        <f aca="false">BA31*'Hiring plan'!$K$27*(1+Salary_Raise)^(BA$5-1)</f>
        <v>1765493.655975</v>
      </c>
      <c r="BB116" s="33" t="n">
        <f aca="false">BB31*'Hiring plan'!$K$27*(1+Salary_Raise)^(BB$5-1)</f>
        <v>1765493.655975</v>
      </c>
      <c r="BC116" s="33" t="n">
        <f aca="false">BC31*'Hiring plan'!$K$27*(1+Salary_Raise)^(BC$5-1)</f>
        <v>1765493.655975</v>
      </c>
      <c r="BD116" s="33" t="n">
        <f aca="false">BD31*'Hiring plan'!$K$27*(1+Salary_Raise)^(BD$5-1)</f>
        <v>1765493.655975</v>
      </c>
      <c r="BE116" s="33" t="n">
        <f aca="false">BE31*'Hiring plan'!$K$27*(1+Salary_Raise)^(BE$5-1)</f>
        <v>1765493.655975</v>
      </c>
      <c r="BF116" s="33" t="n">
        <f aca="false">BF31*'Hiring plan'!$K$27*(1+Salary_Raise)^(BF$5-1)</f>
        <v>1765493.655975</v>
      </c>
      <c r="BG116" s="33" t="n">
        <f aca="false">BG31*'Hiring plan'!$K$27*(1+Salary_Raise)^(BG$5-1)</f>
        <v>1765493.655975</v>
      </c>
      <c r="BH116" s="33" t="n">
        <f aca="false">BH31*'Hiring plan'!$K$27*(1+Salary_Raise)^(BH$5-1)</f>
        <v>1765493.655975</v>
      </c>
      <c r="BI116" s="33" t="n">
        <f aca="false">BI31*'Hiring plan'!$K$27*(1+Salary_Raise)^(BI$5-1)</f>
        <v>1765493.655975</v>
      </c>
      <c r="BJ116" s="33" t="n">
        <f aca="false">BJ31*'Hiring plan'!$K$27*(1+Salary_Raise)^(BJ$5-1)</f>
        <v>1765493.655975</v>
      </c>
      <c r="BK116" s="33" t="n">
        <f aca="false">BK31*'Hiring plan'!$K$27*(1+Salary_Raise)^(BK$5-1)</f>
        <v>1765493.655975</v>
      </c>
      <c r="BL116" s="33" t="n">
        <f aca="false">BL31*'Hiring plan'!$K$27*(1+Salary_Raise)^(BL$5-1)</f>
        <v>1765493.655975</v>
      </c>
    </row>
    <row r="117" customFormat="false" ht="15" hidden="false" customHeight="false" outlineLevel="0" collapsed="false">
      <c r="A117" s="12" t="str">
        <f aca="false">A32</f>
        <v>Credit analyst · SN</v>
      </c>
      <c r="B117" s="14" t="s">
        <v>63</v>
      </c>
      <c r="D117" s="41" t="n">
        <f aca="false">SUM(E117:BL117)</f>
        <v>31106156.1657</v>
      </c>
      <c r="E117" s="33" t="n">
        <f aca="false">E32*'Hiring plan'!$K$28*(1+Salary_Raise)^(E$5-1)</f>
        <v>0</v>
      </c>
      <c r="F117" s="33" t="n">
        <f aca="false">F32*'Hiring plan'!$K$28*(1+Salary_Raise)^(F$5-1)</f>
        <v>0</v>
      </c>
      <c r="G117" s="33" t="n">
        <f aca="false">G32*'Hiring plan'!$K$28*(1+Salary_Raise)^(G$5-1)</f>
        <v>0</v>
      </c>
      <c r="H117" s="33" t="n">
        <f aca="false">H32*'Hiring plan'!$K$28*(1+Salary_Raise)^(H$5-1)</f>
        <v>0</v>
      </c>
      <c r="I117" s="33" t="n">
        <f aca="false">I32*'Hiring plan'!$K$28*(1+Salary_Raise)^(I$5-1)</f>
        <v>0</v>
      </c>
      <c r="J117" s="33" t="n">
        <f aca="false">J32*'Hiring plan'!$K$28*(1+Salary_Raise)^(J$5-1)</f>
        <v>0</v>
      </c>
      <c r="K117" s="33" t="n">
        <f aca="false">K32*'Hiring plan'!$K$28*(1+Salary_Raise)^(K$5-1)</f>
        <v>0</v>
      </c>
      <c r="L117" s="33" t="n">
        <f aca="false">L32*'Hiring plan'!$K$28*(1+Salary_Raise)^(L$5-1)</f>
        <v>0</v>
      </c>
      <c r="M117" s="33" t="n">
        <f aca="false">M32*'Hiring plan'!$K$28*(1+Salary_Raise)^(M$5-1)</f>
        <v>0</v>
      </c>
      <c r="N117" s="33" t="n">
        <f aca="false">N32*'Hiring plan'!$K$28*(1+Salary_Raise)^(N$5-1)</f>
        <v>0</v>
      </c>
      <c r="O117" s="33" t="n">
        <f aca="false">O32*'Hiring plan'!$K$28*(1+Salary_Raise)^(O$5-1)</f>
        <v>0</v>
      </c>
      <c r="P117" s="33" t="n">
        <f aca="false">P32*'Hiring plan'!$K$28*(1+Salary_Raise)^(P$5-1)</f>
        <v>0</v>
      </c>
      <c r="Q117" s="33" t="n">
        <f aca="false">Q32*'Hiring plan'!$K$28*(1+Salary_Raise)^(Q$5-1)</f>
        <v>0</v>
      </c>
      <c r="R117" s="33" t="n">
        <f aca="false">R32*'Hiring plan'!$K$28*(1+Salary_Raise)^(R$5-1)</f>
        <v>0</v>
      </c>
      <c r="S117" s="33" t="n">
        <f aca="false">S32*'Hiring plan'!$K$28*(1+Salary_Raise)^(S$5-1)</f>
        <v>0</v>
      </c>
      <c r="T117" s="33" t="n">
        <f aca="false">T32*'Hiring plan'!$K$28*(1+Salary_Raise)^(T$5-1)</f>
        <v>0</v>
      </c>
      <c r="U117" s="33" t="n">
        <f aca="false">U32*'Hiring plan'!$K$28*(1+Salary_Raise)^(U$5-1)</f>
        <v>0</v>
      </c>
      <c r="V117" s="33" t="n">
        <f aca="false">V32*'Hiring plan'!$K$28*(1+Salary_Raise)^(V$5-1)</f>
        <v>0</v>
      </c>
      <c r="W117" s="33" t="n">
        <f aca="false">W32*'Hiring plan'!$K$28*(1+Salary_Raise)^(W$5-1)</f>
        <v>680339.8</v>
      </c>
      <c r="X117" s="33" t="n">
        <f aca="false">X32*'Hiring plan'!$K$28*(1+Salary_Raise)^(X$5-1)</f>
        <v>680339.8</v>
      </c>
      <c r="Y117" s="33" t="n">
        <f aca="false">Y32*'Hiring plan'!$K$28*(1+Salary_Raise)^(Y$5-1)</f>
        <v>680339.8</v>
      </c>
      <c r="Z117" s="33" t="n">
        <f aca="false">Z32*'Hiring plan'!$K$28*(1+Salary_Raise)^(Z$5-1)</f>
        <v>680339.8</v>
      </c>
      <c r="AA117" s="33" t="n">
        <f aca="false">AA32*'Hiring plan'!$K$28*(1+Salary_Raise)^(AA$5-1)</f>
        <v>680339.8</v>
      </c>
      <c r="AB117" s="33" t="n">
        <f aca="false">AB32*'Hiring plan'!$K$28*(1+Salary_Raise)^(AB$5-1)</f>
        <v>680339.8</v>
      </c>
      <c r="AC117" s="33" t="n">
        <f aca="false">AC32*'Hiring plan'!$K$28*(1+Salary_Raise)^(AC$5-1)</f>
        <v>714356.79</v>
      </c>
      <c r="AD117" s="33" t="n">
        <f aca="false">AD32*'Hiring plan'!$K$28*(1+Salary_Raise)^(AD$5-1)</f>
        <v>714356.79</v>
      </c>
      <c r="AE117" s="33" t="n">
        <f aca="false">AE32*'Hiring plan'!$K$28*(1+Salary_Raise)^(AE$5-1)</f>
        <v>714356.79</v>
      </c>
      <c r="AF117" s="33" t="n">
        <f aca="false">AF32*'Hiring plan'!$K$28*(1+Salary_Raise)^(AF$5-1)</f>
        <v>714356.79</v>
      </c>
      <c r="AG117" s="33" t="n">
        <f aca="false">AG32*'Hiring plan'!$K$28*(1+Salary_Raise)^(AG$5-1)</f>
        <v>714356.79</v>
      </c>
      <c r="AH117" s="33" t="n">
        <f aca="false">AH32*'Hiring plan'!$K$28*(1+Salary_Raise)^(AH$5-1)</f>
        <v>714356.79</v>
      </c>
      <c r="AI117" s="33" t="n">
        <f aca="false">AI32*'Hiring plan'!$K$28*(1+Salary_Raise)^(AI$5-1)</f>
        <v>714356.79</v>
      </c>
      <c r="AJ117" s="33" t="n">
        <f aca="false">AJ32*'Hiring plan'!$K$28*(1+Salary_Raise)^(AJ$5-1)</f>
        <v>714356.79</v>
      </c>
      <c r="AK117" s="33" t="n">
        <f aca="false">AK32*'Hiring plan'!$K$28*(1+Salary_Raise)^(AK$5-1)</f>
        <v>714356.79</v>
      </c>
      <c r="AL117" s="33" t="n">
        <f aca="false">AL32*'Hiring plan'!$K$28*(1+Salary_Raise)^(AL$5-1)</f>
        <v>714356.79</v>
      </c>
      <c r="AM117" s="33" t="n">
        <f aca="false">AM32*'Hiring plan'!$K$28*(1+Salary_Raise)^(AM$5-1)</f>
        <v>714356.79</v>
      </c>
      <c r="AN117" s="33" t="n">
        <f aca="false">AN32*'Hiring plan'!$K$28*(1+Salary_Raise)^(AN$5-1)</f>
        <v>714356.79</v>
      </c>
      <c r="AO117" s="33" t="n">
        <f aca="false">AO32*'Hiring plan'!$K$28*(1+Salary_Raise)^(AO$5-1)</f>
        <v>750074.6295</v>
      </c>
      <c r="AP117" s="33" t="n">
        <f aca="false">AP32*'Hiring plan'!$K$28*(1+Salary_Raise)^(AP$5-1)</f>
        <v>750074.6295</v>
      </c>
      <c r="AQ117" s="33" t="n">
        <f aca="false">AQ32*'Hiring plan'!$K$28*(1+Salary_Raise)^(AQ$5-1)</f>
        <v>750074.6295</v>
      </c>
      <c r="AR117" s="33" t="n">
        <f aca="false">AR32*'Hiring plan'!$K$28*(1+Salary_Raise)^(AR$5-1)</f>
        <v>750074.6295</v>
      </c>
      <c r="AS117" s="33" t="n">
        <f aca="false">AS32*'Hiring plan'!$K$28*(1+Salary_Raise)^(AS$5-1)</f>
        <v>750074.6295</v>
      </c>
      <c r="AT117" s="33" t="n">
        <f aca="false">AT32*'Hiring plan'!$K$28*(1+Salary_Raise)^(AT$5-1)</f>
        <v>750074.6295</v>
      </c>
      <c r="AU117" s="33" t="n">
        <f aca="false">AU32*'Hiring plan'!$K$28*(1+Salary_Raise)^(AU$5-1)</f>
        <v>750074.6295</v>
      </c>
      <c r="AV117" s="33" t="n">
        <f aca="false">AV32*'Hiring plan'!$K$28*(1+Salary_Raise)^(AV$5-1)</f>
        <v>750074.6295</v>
      </c>
      <c r="AW117" s="33" t="n">
        <f aca="false">AW32*'Hiring plan'!$K$28*(1+Salary_Raise)^(AW$5-1)</f>
        <v>750074.6295</v>
      </c>
      <c r="AX117" s="33" t="n">
        <f aca="false">AX32*'Hiring plan'!$K$28*(1+Salary_Raise)^(AX$5-1)</f>
        <v>750074.6295</v>
      </c>
      <c r="AY117" s="33" t="n">
        <f aca="false">AY32*'Hiring plan'!$K$28*(1+Salary_Raise)^(AY$5-1)</f>
        <v>750074.6295</v>
      </c>
      <c r="AZ117" s="33" t="n">
        <f aca="false">AZ32*'Hiring plan'!$K$28*(1+Salary_Raise)^(AZ$5-1)</f>
        <v>750074.6295</v>
      </c>
      <c r="BA117" s="33" t="n">
        <f aca="false">BA32*'Hiring plan'!$K$28*(1+Salary_Raise)^(BA$5-1)</f>
        <v>787578.360975</v>
      </c>
      <c r="BB117" s="33" t="n">
        <f aca="false">BB32*'Hiring plan'!$K$28*(1+Salary_Raise)^(BB$5-1)</f>
        <v>787578.360975</v>
      </c>
      <c r="BC117" s="33" t="n">
        <f aca="false">BC32*'Hiring plan'!$K$28*(1+Salary_Raise)^(BC$5-1)</f>
        <v>787578.360975</v>
      </c>
      <c r="BD117" s="33" t="n">
        <f aca="false">BD32*'Hiring plan'!$K$28*(1+Salary_Raise)^(BD$5-1)</f>
        <v>787578.360975</v>
      </c>
      <c r="BE117" s="33" t="n">
        <f aca="false">BE32*'Hiring plan'!$K$28*(1+Salary_Raise)^(BE$5-1)</f>
        <v>787578.360975</v>
      </c>
      <c r="BF117" s="33" t="n">
        <f aca="false">BF32*'Hiring plan'!$K$28*(1+Salary_Raise)^(BF$5-1)</f>
        <v>787578.360975</v>
      </c>
      <c r="BG117" s="33" t="n">
        <f aca="false">BG32*'Hiring plan'!$K$28*(1+Salary_Raise)^(BG$5-1)</f>
        <v>787578.360975</v>
      </c>
      <c r="BH117" s="33" t="n">
        <f aca="false">BH32*'Hiring plan'!$K$28*(1+Salary_Raise)^(BH$5-1)</f>
        <v>787578.360975</v>
      </c>
      <c r="BI117" s="33" t="n">
        <f aca="false">BI32*'Hiring plan'!$K$28*(1+Salary_Raise)^(BI$5-1)</f>
        <v>787578.360975</v>
      </c>
      <c r="BJ117" s="33" t="n">
        <f aca="false">BJ32*'Hiring plan'!$K$28*(1+Salary_Raise)^(BJ$5-1)</f>
        <v>787578.360975</v>
      </c>
      <c r="BK117" s="33" t="n">
        <f aca="false">BK32*'Hiring plan'!$K$28*(1+Salary_Raise)^(BK$5-1)</f>
        <v>787578.360975</v>
      </c>
      <c r="BL117" s="33" t="n">
        <f aca="false">BL32*'Hiring plan'!$K$28*(1+Salary_Raise)^(BL$5-1)</f>
        <v>787578.360975</v>
      </c>
    </row>
    <row r="118" customFormat="false" ht="15" hidden="false" customHeight="false" outlineLevel="0" collapsed="false">
      <c r="A118" s="12" t="str">
        <f aca="false">A33</f>
        <v>Collections agent (incl. variable pay) · SN</v>
      </c>
      <c r="B118" s="14" t="s">
        <v>63</v>
      </c>
      <c r="D118" s="41" t="n">
        <f aca="false">SUM(E118:BL118)</f>
        <v>39533277.861</v>
      </c>
      <c r="E118" s="33" t="n">
        <f aca="false">E33*'Hiring plan'!$K$29*(1+Salary_Raise)^(E$5-1)</f>
        <v>0</v>
      </c>
      <c r="F118" s="33" t="n">
        <f aca="false">F33*'Hiring plan'!$K$29*(1+Salary_Raise)^(F$5-1)</f>
        <v>0</v>
      </c>
      <c r="G118" s="33" t="n">
        <f aca="false">G33*'Hiring plan'!$K$29*(1+Salary_Raise)^(G$5-1)</f>
        <v>0</v>
      </c>
      <c r="H118" s="33" t="n">
        <f aca="false">H33*'Hiring plan'!$K$29*(1+Salary_Raise)^(H$5-1)</f>
        <v>0</v>
      </c>
      <c r="I118" s="33" t="n">
        <f aca="false">I33*'Hiring plan'!$K$29*(1+Salary_Raise)^(I$5-1)</f>
        <v>0</v>
      </c>
      <c r="J118" s="33" t="n">
        <f aca="false">J33*'Hiring plan'!$K$29*(1+Salary_Raise)^(J$5-1)</f>
        <v>0</v>
      </c>
      <c r="K118" s="33" t="n">
        <f aca="false">K33*'Hiring plan'!$K$29*(1+Salary_Raise)^(K$5-1)</f>
        <v>0</v>
      </c>
      <c r="L118" s="33" t="n">
        <f aca="false">L33*'Hiring plan'!$K$29*(1+Salary_Raise)^(L$5-1)</f>
        <v>0</v>
      </c>
      <c r="M118" s="33" t="n">
        <f aca="false">M33*'Hiring plan'!$K$29*(1+Salary_Raise)^(M$5-1)</f>
        <v>0</v>
      </c>
      <c r="N118" s="33" t="n">
        <f aca="false">N33*'Hiring plan'!$K$29*(1+Salary_Raise)^(N$5-1)</f>
        <v>0</v>
      </c>
      <c r="O118" s="33" t="n">
        <f aca="false">O33*'Hiring plan'!$K$29*(1+Salary_Raise)^(O$5-1)</f>
        <v>0</v>
      </c>
      <c r="P118" s="33" t="n">
        <f aca="false">P33*'Hiring plan'!$K$29*(1+Salary_Raise)^(P$5-1)</f>
        <v>0</v>
      </c>
      <c r="Q118" s="33" t="n">
        <f aca="false">Q33*'Hiring plan'!$K$29*(1+Salary_Raise)^(Q$5-1)</f>
        <v>0</v>
      </c>
      <c r="R118" s="33" t="n">
        <f aca="false">R33*'Hiring plan'!$K$29*(1+Salary_Raise)^(R$5-1)</f>
        <v>0</v>
      </c>
      <c r="S118" s="33" t="n">
        <f aca="false">S33*'Hiring plan'!$K$29*(1+Salary_Raise)^(S$5-1)</f>
        <v>0</v>
      </c>
      <c r="T118" s="33" t="n">
        <f aca="false">T33*'Hiring plan'!$K$29*(1+Salary_Raise)^(T$5-1)</f>
        <v>0</v>
      </c>
      <c r="U118" s="33" t="n">
        <f aca="false">U33*'Hiring plan'!$K$29*(1+Salary_Raise)^(U$5-1)</f>
        <v>0</v>
      </c>
      <c r="V118" s="33" t="n">
        <f aca="false">V33*'Hiring plan'!$K$29*(1+Salary_Raise)^(V$5-1)</f>
        <v>0</v>
      </c>
      <c r="W118" s="33" t="n">
        <f aca="false">W33*'Hiring plan'!$K$29*(1+Salary_Raise)^(W$5-1)</f>
        <v>864654</v>
      </c>
      <c r="X118" s="33" t="n">
        <f aca="false">X33*'Hiring plan'!$K$29*(1+Salary_Raise)^(X$5-1)</f>
        <v>864654</v>
      </c>
      <c r="Y118" s="33" t="n">
        <f aca="false">Y33*'Hiring plan'!$K$29*(1+Salary_Raise)^(Y$5-1)</f>
        <v>864654</v>
      </c>
      <c r="Z118" s="33" t="n">
        <f aca="false">Z33*'Hiring plan'!$K$29*(1+Salary_Raise)^(Z$5-1)</f>
        <v>864654</v>
      </c>
      <c r="AA118" s="33" t="n">
        <f aca="false">AA33*'Hiring plan'!$K$29*(1+Salary_Raise)^(AA$5-1)</f>
        <v>864654</v>
      </c>
      <c r="AB118" s="33" t="n">
        <f aca="false">AB33*'Hiring plan'!$K$29*(1+Salary_Raise)^(AB$5-1)</f>
        <v>864654</v>
      </c>
      <c r="AC118" s="33" t="n">
        <f aca="false">AC33*'Hiring plan'!$K$29*(1+Salary_Raise)^(AC$5-1)</f>
        <v>907886.7</v>
      </c>
      <c r="AD118" s="33" t="n">
        <f aca="false">AD33*'Hiring plan'!$K$29*(1+Salary_Raise)^(AD$5-1)</f>
        <v>907886.7</v>
      </c>
      <c r="AE118" s="33" t="n">
        <f aca="false">AE33*'Hiring plan'!$K$29*(1+Salary_Raise)^(AE$5-1)</f>
        <v>907886.7</v>
      </c>
      <c r="AF118" s="33" t="n">
        <f aca="false">AF33*'Hiring plan'!$K$29*(1+Salary_Raise)^(AF$5-1)</f>
        <v>907886.7</v>
      </c>
      <c r="AG118" s="33" t="n">
        <f aca="false">AG33*'Hiring plan'!$K$29*(1+Salary_Raise)^(AG$5-1)</f>
        <v>907886.7</v>
      </c>
      <c r="AH118" s="33" t="n">
        <f aca="false">AH33*'Hiring plan'!$K$29*(1+Salary_Raise)^(AH$5-1)</f>
        <v>907886.7</v>
      </c>
      <c r="AI118" s="33" t="n">
        <f aca="false">AI33*'Hiring plan'!$K$29*(1+Salary_Raise)^(AI$5-1)</f>
        <v>907886.7</v>
      </c>
      <c r="AJ118" s="33" t="n">
        <f aca="false">AJ33*'Hiring plan'!$K$29*(1+Salary_Raise)^(AJ$5-1)</f>
        <v>907886.7</v>
      </c>
      <c r="AK118" s="33" t="n">
        <f aca="false">AK33*'Hiring plan'!$K$29*(1+Salary_Raise)^(AK$5-1)</f>
        <v>907886.7</v>
      </c>
      <c r="AL118" s="33" t="n">
        <f aca="false">AL33*'Hiring plan'!$K$29*(1+Salary_Raise)^(AL$5-1)</f>
        <v>907886.7</v>
      </c>
      <c r="AM118" s="33" t="n">
        <f aca="false">AM33*'Hiring plan'!$K$29*(1+Salary_Raise)^(AM$5-1)</f>
        <v>907886.7</v>
      </c>
      <c r="AN118" s="33" t="n">
        <f aca="false">AN33*'Hiring plan'!$K$29*(1+Salary_Raise)^(AN$5-1)</f>
        <v>907886.7</v>
      </c>
      <c r="AO118" s="33" t="n">
        <f aca="false">AO33*'Hiring plan'!$K$29*(1+Salary_Raise)^(AO$5-1)</f>
        <v>953281.035</v>
      </c>
      <c r="AP118" s="33" t="n">
        <f aca="false">AP33*'Hiring plan'!$K$29*(1+Salary_Raise)^(AP$5-1)</f>
        <v>953281.035</v>
      </c>
      <c r="AQ118" s="33" t="n">
        <f aca="false">AQ33*'Hiring plan'!$K$29*(1+Salary_Raise)^(AQ$5-1)</f>
        <v>953281.035</v>
      </c>
      <c r="AR118" s="33" t="n">
        <f aca="false">AR33*'Hiring plan'!$K$29*(1+Salary_Raise)^(AR$5-1)</f>
        <v>953281.035</v>
      </c>
      <c r="AS118" s="33" t="n">
        <f aca="false">AS33*'Hiring plan'!$K$29*(1+Salary_Raise)^(AS$5-1)</f>
        <v>953281.035</v>
      </c>
      <c r="AT118" s="33" t="n">
        <f aca="false">AT33*'Hiring plan'!$K$29*(1+Salary_Raise)^(AT$5-1)</f>
        <v>953281.035</v>
      </c>
      <c r="AU118" s="33" t="n">
        <f aca="false">AU33*'Hiring plan'!$K$29*(1+Salary_Raise)^(AU$5-1)</f>
        <v>953281.035</v>
      </c>
      <c r="AV118" s="33" t="n">
        <f aca="false">AV33*'Hiring plan'!$K$29*(1+Salary_Raise)^(AV$5-1)</f>
        <v>953281.035</v>
      </c>
      <c r="AW118" s="33" t="n">
        <f aca="false">AW33*'Hiring plan'!$K$29*(1+Salary_Raise)^(AW$5-1)</f>
        <v>953281.035</v>
      </c>
      <c r="AX118" s="33" t="n">
        <f aca="false">AX33*'Hiring plan'!$K$29*(1+Salary_Raise)^(AX$5-1)</f>
        <v>953281.035</v>
      </c>
      <c r="AY118" s="33" t="n">
        <f aca="false">AY33*'Hiring plan'!$K$29*(1+Salary_Raise)^(AY$5-1)</f>
        <v>953281.035</v>
      </c>
      <c r="AZ118" s="33" t="n">
        <f aca="false">AZ33*'Hiring plan'!$K$29*(1+Salary_Raise)^(AZ$5-1)</f>
        <v>953281.035</v>
      </c>
      <c r="BA118" s="33" t="n">
        <f aca="false">BA33*'Hiring plan'!$K$29*(1+Salary_Raise)^(BA$5-1)</f>
        <v>1000945.08675</v>
      </c>
      <c r="BB118" s="33" t="n">
        <f aca="false">BB33*'Hiring plan'!$K$29*(1+Salary_Raise)^(BB$5-1)</f>
        <v>1000945.08675</v>
      </c>
      <c r="BC118" s="33" t="n">
        <f aca="false">BC33*'Hiring plan'!$K$29*(1+Salary_Raise)^(BC$5-1)</f>
        <v>1000945.08675</v>
      </c>
      <c r="BD118" s="33" t="n">
        <f aca="false">BD33*'Hiring plan'!$K$29*(1+Salary_Raise)^(BD$5-1)</f>
        <v>1000945.08675</v>
      </c>
      <c r="BE118" s="33" t="n">
        <f aca="false">BE33*'Hiring plan'!$K$29*(1+Salary_Raise)^(BE$5-1)</f>
        <v>1000945.08675</v>
      </c>
      <c r="BF118" s="33" t="n">
        <f aca="false">BF33*'Hiring plan'!$K$29*(1+Salary_Raise)^(BF$5-1)</f>
        <v>1000945.08675</v>
      </c>
      <c r="BG118" s="33" t="n">
        <f aca="false">BG33*'Hiring plan'!$K$29*(1+Salary_Raise)^(BG$5-1)</f>
        <v>1000945.08675</v>
      </c>
      <c r="BH118" s="33" t="n">
        <f aca="false">BH33*'Hiring plan'!$K$29*(1+Salary_Raise)^(BH$5-1)</f>
        <v>1000945.08675</v>
      </c>
      <c r="BI118" s="33" t="n">
        <f aca="false">BI33*'Hiring plan'!$K$29*(1+Salary_Raise)^(BI$5-1)</f>
        <v>1000945.08675</v>
      </c>
      <c r="BJ118" s="33" t="n">
        <f aca="false">BJ33*'Hiring plan'!$K$29*(1+Salary_Raise)^(BJ$5-1)</f>
        <v>1000945.08675</v>
      </c>
      <c r="BK118" s="33" t="n">
        <f aca="false">BK33*'Hiring plan'!$K$29*(1+Salary_Raise)^(BK$5-1)</f>
        <v>1000945.08675</v>
      </c>
      <c r="BL118" s="33" t="n">
        <f aca="false">BL33*'Hiring plan'!$K$29*(1+Salary_Raise)^(BL$5-1)</f>
        <v>1000945.08675</v>
      </c>
    </row>
    <row r="119" customFormat="false" ht="15" hidden="false" customHeight="false" outlineLevel="0" collapsed="false">
      <c r="A119" s="12" t="str">
        <f aca="false">A34</f>
        <v>Credit analyst · SN</v>
      </c>
      <c r="B119" s="14" t="s">
        <v>63</v>
      </c>
      <c r="D119" s="41" t="n">
        <f aca="false">SUM(E119:BL119)</f>
        <v>45475953.2514</v>
      </c>
      <c r="E119" s="33" t="n">
        <f aca="false">E34*'Hiring plan'!$K$30*(1+Salary_Raise)^(E$5-1)</f>
        <v>0</v>
      </c>
      <c r="F119" s="33" t="n">
        <f aca="false">F34*'Hiring plan'!$K$30*(1+Salary_Raise)^(F$5-1)</f>
        <v>0</v>
      </c>
      <c r="G119" s="33" t="n">
        <f aca="false">G34*'Hiring plan'!$K$30*(1+Salary_Raise)^(G$5-1)</f>
        <v>0</v>
      </c>
      <c r="H119" s="33" t="n">
        <f aca="false">H34*'Hiring plan'!$K$30*(1+Salary_Raise)^(H$5-1)</f>
        <v>0</v>
      </c>
      <c r="I119" s="33" t="n">
        <f aca="false">I34*'Hiring plan'!$K$30*(1+Salary_Raise)^(I$5-1)</f>
        <v>0</v>
      </c>
      <c r="J119" s="33" t="n">
        <f aca="false">J34*'Hiring plan'!$K$30*(1+Salary_Raise)^(J$5-1)</f>
        <v>0</v>
      </c>
      <c r="K119" s="33" t="n">
        <f aca="false">K34*'Hiring plan'!$K$30*(1+Salary_Raise)^(K$5-1)</f>
        <v>0</v>
      </c>
      <c r="L119" s="33" t="n">
        <f aca="false">L34*'Hiring plan'!$K$30*(1+Salary_Raise)^(L$5-1)</f>
        <v>0</v>
      </c>
      <c r="M119" s="33" t="n">
        <f aca="false">M34*'Hiring plan'!$K$30*(1+Salary_Raise)^(M$5-1)</f>
        <v>0</v>
      </c>
      <c r="N119" s="33" t="n">
        <f aca="false">N34*'Hiring plan'!$K$30*(1+Salary_Raise)^(N$5-1)</f>
        <v>0</v>
      </c>
      <c r="O119" s="33" t="n">
        <f aca="false">O34*'Hiring plan'!$K$30*(1+Salary_Raise)^(O$5-1)</f>
        <v>0</v>
      </c>
      <c r="P119" s="33" t="n">
        <f aca="false">P34*'Hiring plan'!$K$30*(1+Salary_Raise)^(P$5-1)</f>
        <v>0</v>
      </c>
      <c r="Q119" s="33" t="n">
        <f aca="false">Q34*'Hiring plan'!$K$30*(1+Salary_Raise)^(Q$5-1)</f>
        <v>0</v>
      </c>
      <c r="R119" s="33" t="n">
        <f aca="false">R34*'Hiring plan'!$K$30*(1+Salary_Raise)^(R$5-1)</f>
        <v>0</v>
      </c>
      <c r="S119" s="33" t="n">
        <f aca="false">S34*'Hiring plan'!$K$30*(1+Salary_Raise)^(S$5-1)</f>
        <v>0</v>
      </c>
      <c r="T119" s="33" t="n">
        <f aca="false">T34*'Hiring plan'!$K$30*(1+Salary_Raise)^(T$5-1)</f>
        <v>0</v>
      </c>
      <c r="U119" s="33" t="n">
        <f aca="false">U34*'Hiring plan'!$K$30*(1+Salary_Raise)^(U$5-1)</f>
        <v>0</v>
      </c>
      <c r="V119" s="33" t="n">
        <f aca="false">V34*'Hiring plan'!$K$30*(1+Salary_Raise)^(V$5-1)</f>
        <v>0</v>
      </c>
      <c r="W119" s="33" t="n">
        <f aca="false">W34*'Hiring plan'!$K$30*(1+Salary_Raise)^(W$5-1)</f>
        <v>0</v>
      </c>
      <c r="X119" s="33" t="n">
        <f aca="false">X34*'Hiring plan'!$K$30*(1+Salary_Raise)^(X$5-1)</f>
        <v>0</v>
      </c>
      <c r="Y119" s="33" t="n">
        <f aca="false">Y34*'Hiring plan'!$K$30*(1+Salary_Raise)^(Y$5-1)</f>
        <v>0</v>
      </c>
      <c r="Z119" s="33" t="n">
        <f aca="false">Z34*'Hiring plan'!$K$30*(1+Salary_Raise)^(Z$5-1)</f>
        <v>0</v>
      </c>
      <c r="AA119" s="33" t="n">
        <f aca="false">AA34*'Hiring plan'!$K$30*(1+Salary_Raise)^(AA$5-1)</f>
        <v>0</v>
      </c>
      <c r="AB119" s="33" t="n">
        <f aca="false">AB34*'Hiring plan'!$K$30*(1+Salary_Raise)^(AB$5-1)</f>
        <v>0</v>
      </c>
      <c r="AC119" s="33" t="n">
        <f aca="false">AC34*'Hiring plan'!$K$30*(1+Salary_Raise)^(AC$5-1)</f>
        <v>0</v>
      </c>
      <c r="AD119" s="33" t="n">
        <f aca="false">AD34*'Hiring plan'!$K$30*(1+Salary_Raise)^(AD$5-1)</f>
        <v>0</v>
      </c>
      <c r="AE119" s="33" t="n">
        <f aca="false">AE34*'Hiring plan'!$K$30*(1+Salary_Raise)^(AE$5-1)</f>
        <v>0</v>
      </c>
      <c r="AF119" s="33" t="n">
        <f aca="false">AF34*'Hiring plan'!$K$30*(1+Salary_Raise)^(AF$5-1)</f>
        <v>0</v>
      </c>
      <c r="AG119" s="33" t="n">
        <f aca="false">AG34*'Hiring plan'!$K$30*(1+Salary_Raise)^(AG$5-1)</f>
        <v>0</v>
      </c>
      <c r="AH119" s="33" t="n">
        <f aca="false">AH34*'Hiring plan'!$K$30*(1+Salary_Raise)^(AH$5-1)</f>
        <v>0</v>
      </c>
      <c r="AI119" s="33" t="n">
        <f aca="false">AI34*'Hiring plan'!$K$30*(1+Salary_Raise)^(AI$5-1)</f>
        <v>1428713.58</v>
      </c>
      <c r="AJ119" s="33" t="n">
        <f aca="false">AJ34*'Hiring plan'!$K$30*(1+Salary_Raise)^(AJ$5-1)</f>
        <v>1428713.58</v>
      </c>
      <c r="AK119" s="33" t="n">
        <f aca="false">AK34*'Hiring plan'!$K$30*(1+Salary_Raise)^(AK$5-1)</f>
        <v>1428713.58</v>
      </c>
      <c r="AL119" s="33" t="n">
        <f aca="false">AL34*'Hiring plan'!$K$30*(1+Salary_Raise)^(AL$5-1)</f>
        <v>1428713.58</v>
      </c>
      <c r="AM119" s="33" t="n">
        <f aca="false">AM34*'Hiring plan'!$K$30*(1+Salary_Raise)^(AM$5-1)</f>
        <v>1428713.58</v>
      </c>
      <c r="AN119" s="33" t="n">
        <f aca="false">AN34*'Hiring plan'!$K$30*(1+Salary_Raise)^(AN$5-1)</f>
        <v>1428713.58</v>
      </c>
      <c r="AO119" s="33" t="n">
        <f aca="false">AO34*'Hiring plan'!$K$30*(1+Salary_Raise)^(AO$5-1)</f>
        <v>1500149.259</v>
      </c>
      <c r="AP119" s="33" t="n">
        <f aca="false">AP34*'Hiring plan'!$K$30*(1+Salary_Raise)^(AP$5-1)</f>
        <v>1500149.259</v>
      </c>
      <c r="AQ119" s="33" t="n">
        <f aca="false">AQ34*'Hiring plan'!$K$30*(1+Salary_Raise)^(AQ$5-1)</f>
        <v>1500149.259</v>
      </c>
      <c r="AR119" s="33" t="n">
        <f aca="false">AR34*'Hiring plan'!$K$30*(1+Salary_Raise)^(AR$5-1)</f>
        <v>1500149.259</v>
      </c>
      <c r="AS119" s="33" t="n">
        <f aca="false">AS34*'Hiring plan'!$K$30*(1+Salary_Raise)^(AS$5-1)</f>
        <v>1500149.259</v>
      </c>
      <c r="AT119" s="33" t="n">
        <f aca="false">AT34*'Hiring plan'!$K$30*(1+Salary_Raise)^(AT$5-1)</f>
        <v>1500149.259</v>
      </c>
      <c r="AU119" s="33" t="n">
        <f aca="false">AU34*'Hiring plan'!$K$30*(1+Salary_Raise)^(AU$5-1)</f>
        <v>1500149.259</v>
      </c>
      <c r="AV119" s="33" t="n">
        <f aca="false">AV34*'Hiring plan'!$K$30*(1+Salary_Raise)^(AV$5-1)</f>
        <v>1500149.259</v>
      </c>
      <c r="AW119" s="33" t="n">
        <f aca="false">AW34*'Hiring plan'!$K$30*(1+Salary_Raise)^(AW$5-1)</f>
        <v>1500149.259</v>
      </c>
      <c r="AX119" s="33" t="n">
        <f aca="false">AX34*'Hiring plan'!$K$30*(1+Salary_Raise)^(AX$5-1)</f>
        <v>1500149.259</v>
      </c>
      <c r="AY119" s="33" t="n">
        <f aca="false">AY34*'Hiring plan'!$K$30*(1+Salary_Raise)^(AY$5-1)</f>
        <v>1500149.259</v>
      </c>
      <c r="AZ119" s="33" t="n">
        <f aca="false">AZ34*'Hiring plan'!$K$30*(1+Salary_Raise)^(AZ$5-1)</f>
        <v>1500149.259</v>
      </c>
      <c r="BA119" s="33" t="n">
        <f aca="false">BA34*'Hiring plan'!$K$30*(1+Salary_Raise)^(BA$5-1)</f>
        <v>1575156.72195</v>
      </c>
      <c r="BB119" s="33" t="n">
        <f aca="false">BB34*'Hiring plan'!$K$30*(1+Salary_Raise)^(BB$5-1)</f>
        <v>1575156.72195</v>
      </c>
      <c r="BC119" s="33" t="n">
        <f aca="false">BC34*'Hiring plan'!$K$30*(1+Salary_Raise)^(BC$5-1)</f>
        <v>1575156.72195</v>
      </c>
      <c r="BD119" s="33" t="n">
        <f aca="false">BD34*'Hiring plan'!$K$30*(1+Salary_Raise)^(BD$5-1)</f>
        <v>1575156.72195</v>
      </c>
      <c r="BE119" s="33" t="n">
        <f aca="false">BE34*'Hiring plan'!$K$30*(1+Salary_Raise)^(BE$5-1)</f>
        <v>1575156.72195</v>
      </c>
      <c r="BF119" s="33" t="n">
        <f aca="false">BF34*'Hiring plan'!$K$30*(1+Salary_Raise)^(BF$5-1)</f>
        <v>1575156.72195</v>
      </c>
      <c r="BG119" s="33" t="n">
        <f aca="false">BG34*'Hiring plan'!$K$30*(1+Salary_Raise)^(BG$5-1)</f>
        <v>1575156.72195</v>
      </c>
      <c r="BH119" s="33" t="n">
        <f aca="false">BH34*'Hiring plan'!$K$30*(1+Salary_Raise)^(BH$5-1)</f>
        <v>1575156.72195</v>
      </c>
      <c r="BI119" s="33" t="n">
        <f aca="false">BI34*'Hiring plan'!$K$30*(1+Salary_Raise)^(BI$5-1)</f>
        <v>1575156.72195</v>
      </c>
      <c r="BJ119" s="33" t="n">
        <f aca="false">BJ34*'Hiring plan'!$K$30*(1+Salary_Raise)^(BJ$5-1)</f>
        <v>1575156.72195</v>
      </c>
      <c r="BK119" s="33" t="n">
        <f aca="false">BK34*'Hiring plan'!$K$30*(1+Salary_Raise)^(BK$5-1)</f>
        <v>1575156.72195</v>
      </c>
      <c r="BL119" s="33" t="n">
        <f aca="false">BL34*'Hiring plan'!$K$30*(1+Salary_Raise)^(BL$5-1)</f>
        <v>1575156.72195</v>
      </c>
    </row>
    <row r="120" customFormat="false" ht="15" hidden="false" customHeight="false" outlineLevel="0" collapsed="false">
      <c r="A120" s="12" t="str">
        <f aca="false">A35</f>
        <v>Collections agent (incl. variable pay) · SN</v>
      </c>
      <c r="B120" s="14" t="s">
        <v>63</v>
      </c>
      <c r="D120" s="41" t="n">
        <f aca="false">SUM(E120:BL120)</f>
        <v>14449016.8305</v>
      </c>
      <c r="E120" s="33" t="n">
        <f aca="false">E35*'Hiring plan'!$K$31*(1+Salary_Raise)^(E$5-1)</f>
        <v>0</v>
      </c>
      <c r="F120" s="33" t="n">
        <f aca="false">F35*'Hiring plan'!$K$31*(1+Salary_Raise)^(F$5-1)</f>
        <v>0</v>
      </c>
      <c r="G120" s="33" t="n">
        <f aca="false">G35*'Hiring plan'!$K$31*(1+Salary_Raise)^(G$5-1)</f>
        <v>0</v>
      </c>
      <c r="H120" s="33" t="n">
        <f aca="false">H35*'Hiring plan'!$K$31*(1+Salary_Raise)^(H$5-1)</f>
        <v>0</v>
      </c>
      <c r="I120" s="33" t="n">
        <f aca="false">I35*'Hiring plan'!$K$31*(1+Salary_Raise)^(I$5-1)</f>
        <v>0</v>
      </c>
      <c r="J120" s="33" t="n">
        <f aca="false">J35*'Hiring plan'!$K$31*(1+Salary_Raise)^(J$5-1)</f>
        <v>0</v>
      </c>
      <c r="K120" s="33" t="n">
        <f aca="false">K35*'Hiring plan'!$K$31*(1+Salary_Raise)^(K$5-1)</f>
        <v>0</v>
      </c>
      <c r="L120" s="33" t="n">
        <f aca="false">L35*'Hiring plan'!$K$31*(1+Salary_Raise)^(L$5-1)</f>
        <v>0</v>
      </c>
      <c r="M120" s="33" t="n">
        <f aca="false">M35*'Hiring plan'!$K$31*(1+Salary_Raise)^(M$5-1)</f>
        <v>0</v>
      </c>
      <c r="N120" s="33" t="n">
        <f aca="false">N35*'Hiring plan'!$K$31*(1+Salary_Raise)^(N$5-1)</f>
        <v>0</v>
      </c>
      <c r="O120" s="33" t="n">
        <f aca="false">O35*'Hiring plan'!$K$31*(1+Salary_Raise)^(O$5-1)</f>
        <v>0</v>
      </c>
      <c r="P120" s="33" t="n">
        <f aca="false">P35*'Hiring plan'!$K$31*(1+Salary_Raise)^(P$5-1)</f>
        <v>0</v>
      </c>
      <c r="Q120" s="33" t="n">
        <f aca="false">Q35*'Hiring plan'!$K$31*(1+Salary_Raise)^(Q$5-1)</f>
        <v>0</v>
      </c>
      <c r="R120" s="33" t="n">
        <f aca="false">R35*'Hiring plan'!$K$31*(1+Salary_Raise)^(R$5-1)</f>
        <v>0</v>
      </c>
      <c r="S120" s="33" t="n">
        <f aca="false">S35*'Hiring plan'!$K$31*(1+Salary_Raise)^(S$5-1)</f>
        <v>0</v>
      </c>
      <c r="T120" s="33" t="n">
        <f aca="false">T35*'Hiring plan'!$K$31*(1+Salary_Raise)^(T$5-1)</f>
        <v>0</v>
      </c>
      <c r="U120" s="33" t="n">
        <f aca="false">U35*'Hiring plan'!$K$31*(1+Salary_Raise)^(U$5-1)</f>
        <v>0</v>
      </c>
      <c r="V120" s="33" t="n">
        <f aca="false">V35*'Hiring plan'!$K$31*(1+Salary_Raise)^(V$5-1)</f>
        <v>0</v>
      </c>
      <c r="W120" s="33" t="n">
        <f aca="false">W35*'Hiring plan'!$K$31*(1+Salary_Raise)^(W$5-1)</f>
        <v>0</v>
      </c>
      <c r="X120" s="33" t="n">
        <f aca="false">X35*'Hiring plan'!$K$31*(1+Salary_Raise)^(X$5-1)</f>
        <v>0</v>
      </c>
      <c r="Y120" s="33" t="n">
        <f aca="false">Y35*'Hiring plan'!$K$31*(1+Salary_Raise)^(Y$5-1)</f>
        <v>0</v>
      </c>
      <c r="Z120" s="33" t="n">
        <f aca="false">Z35*'Hiring plan'!$K$31*(1+Salary_Raise)^(Z$5-1)</f>
        <v>0</v>
      </c>
      <c r="AA120" s="33" t="n">
        <f aca="false">AA35*'Hiring plan'!$K$31*(1+Salary_Raise)^(AA$5-1)</f>
        <v>0</v>
      </c>
      <c r="AB120" s="33" t="n">
        <f aca="false">AB35*'Hiring plan'!$K$31*(1+Salary_Raise)^(AB$5-1)</f>
        <v>0</v>
      </c>
      <c r="AC120" s="33" t="n">
        <f aca="false">AC35*'Hiring plan'!$K$31*(1+Salary_Raise)^(AC$5-1)</f>
        <v>0</v>
      </c>
      <c r="AD120" s="33" t="n">
        <f aca="false">AD35*'Hiring plan'!$K$31*(1+Salary_Raise)^(AD$5-1)</f>
        <v>0</v>
      </c>
      <c r="AE120" s="33" t="n">
        <f aca="false">AE35*'Hiring plan'!$K$31*(1+Salary_Raise)^(AE$5-1)</f>
        <v>0</v>
      </c>
      <c r="AF120" s="33" t="n">
        <f aca="false">AF35*'Hiring plan'!$K$31*(1+Salary_Raise)^(AF$5-1)</f>
        <v>0</v>
      </c>
      <c r="AG120" s="33" t="n">
        <f aca="false">AG35*'Hiring plan'!$K$31*(1+Salary_Raise)^(AG$5-1)</f>
        <v>0</v>
      </c>
      <c r="AH120" s="33" t="n">
        <f aca="false">AH35*'Hiring plan'!$K$31*(1+Salary_Raise)^(AH$5-1)</f>
        <v>0</v>
      </c>
      <c r="AI120" s="33" t="n">
        <f aca="false">AI35*'Hiring plan'!$K$31*(1+Salary_Raise)^(AI$5-1)</f>
        <v>453943.35</v>
      </c>
      <c r="AJ120" s="33" t="n">
        <f aca="false">AJ35*'Hiring plan'!$K$31*(1+Salary_Raise)^(AJ$5-1)</f>
        <v>453943.35</v>
      </c>
      <c r="AK120" s="33" t="n">
        <f aca="false">AK35*'Hiring plan'!$K$31*(1+Salary_Raise)^(AK$5-1)</f>
        <v>453943.35</v>
      </c>
      <c r="AL120" s="33" t="n">
        <f aca="false">AL35*'Hiring plan'!$K$31*(1+Salary_Raise)^(AL$5-1)</f>
        <v>453943.35</v>
      </c>
      <c r="AM120" s="33" t="n">
        <f aca="false">AM35*'Hiring plan'!$K$31*(1+Salary_Raise)^(AM$5-1)</f>
        <v>453943.35</v>
      </c>
      <c r="AN120" s="33" t="n">
        <f aca="false">AN35*'Hiring plan'!$K$31*(1+Salary_Raise)^(AN$5-1)</f>
        <v>453943.35</v>
      </c>
      <c r="AO120" s="33" t="n">
        <f aca="false">AO35*'Hiring plan'!$K$31*(1+Salary_Raise)^(AO$5-1)</f>
        <v>476640.5175</v>
      </c>
      <c r="AP120" s="33" t="n">
        <f aca="false">AP35*'Hiring plan'!$K$31*(1+Salary_Raise)^(AP$5-1)</f>
        <v>476640.5175</v>
      </c>
      <c r="AQ120" s="33" t="n">
        <f aca="false">AQ35*'Hiring plan'!$K$31*(1+Salary_Raise)^(AQ$5-1)</f>
        <v>476640.5175</v>
      </c>
      <c r="AR120" s="33" t="n">
        <f aca="false">AR35*'Hiring plan'!$K$31*(1+Salary_Raise)^(AR$5-1)</f>
        <v>476640.5175</v>
      </c>
      <c r="AS120" s="33" t="n">
        <f aca="false">AS35*'Hiring plan'!$K$31*(1+Salary_Raise)^(AS$5-1)</f>
        <v>476640.5175</v>
      </c>
      <c r="AT120" s="33" t="n">
        <f aca="false">AT35*'Hiring plan'!$K$31*(1+Salary_Raise)^(AT$5-1)</f>
        <v>476640.5175</v>
      </c>
      <c r="AU120" s="33" t="n">
        <f aca="false">AU35*'Hiring plan'!$K$31*(1+Salary_Raise)^(AU$5-1)</f>
        <v>476640.5175</v>
      </c>
      <c r="AV120" s="33" t="n">
        <f aca="false">AV35*'Hiring plan'!$K$31*(1+Salary_Raise)^(AV$5-1)</f>
        <v>476640.5175</v>
      </c>
      <c r="AW120" s="33" t="n">
        <f aca="false">AW35*'Hiring plan'!$K$31*(1+Salary_Raise)^(AW$5-1)</f>
        <v>476640.5175</v>
      </c>
      <c r="AX120" s="33" t="n">
        <f aca="false">AX35*'Hiring plan'!$K$31*(1+Salary_Raise)^(AX$5-1)</f>
        <v>476640.5175</v>
      </c>
      <c r="AY120" s="33" t="n">
        <f aca="false">AY35*'Hiring plan'!$K$31*(1+Salary_Raise)^(AY$5-1)</f>
        <v>476640.5175</v>
      </c>
      <c r="AZ120" s="33" t="n">
        <f aca="false">AZ35*'Hiring plan'!$K$31*(1+Salary_Raise)^(AZ$5-1)</f>
        <v>476640.5175</v>
      </c>
      <c r="BA120" s="33" t="n">
        <f aca="false">BA35*'Hiring plan'!$K$31*(1+Salary_Raise)^(BA$5-1)</f>
        <v>500472.543375</v>
      </c>
      <c r="BB120" s="33" t="n">
        <f aca="false">BB35*'Hiring plan'!$K$31*(1+Salary_Raise)^(BB$5-1)</f>
        <v>500472.543375</v>
      </c>
      <c r="BC120" s="33" t="n">
        <f aca="false">BC35*'Hiring plan'!$K$31*(1+Salary_Raise)^(BC$5-1)</f>
        <v>500472.543375</v>
      </c>
      <c r="BD120" s="33" t="n">
        <f aca="false">BD35*'Hiring plan'!$K$31*(1+Salary_Raise)^(BD$5-1)</f>
        <v>500472.543375</v>
      </c>
      <c r="BE120" s="33" t="n">
        <f aca="false">BE35*'Hiring plan'!$K$31*(1+Salary_Raise)^(BE$5-1)</f>
        <v>500472.543375</v>
      </c>
      <c r="BF120" s="33" t="n">
        <f aca="false">BF35*'Hiring plan'!$K$31*(1+Salary_Raise)^(BF$5-1)</f>
        <v>500472.543375</v>
      </c>
      <c r="BG120" s="33" t="n">
        <f aca="false">BG35*'Hiring plan'!$K$31*(1+Salary_Raise)^(BG$5-1)</f>
        <v>500472.543375</v>
      </c>
      <c r="BH120" s="33" t="n">
        <f aca="false">BH35*'Hiring plan'!$K$31*(1+Salary_Raise)^(BH$5-1)</f>
        <v>500472.543375</v>
      </c>
      <c r="BI120" s="33" t="n">
        <f aca="false">BI35*'Hiring plan'!$K$31*(1+Salary_Raise)^(BI$5-1)</f>
        <v>500472.543375</v>
      </c>
      <c r="BJ120" s="33" t="n">
        <f aca="false">BJ35*'Hiring plan'!$K$31*(1+Salary_Raise)^(BJ$5-1)</f>
        <v>500472.543375</v>
      </c>
      <c r="BK120" s="33" t="n">
        <f aca="false">BK35*'Hiring plan'!$K$31*(1+Salary_Raise)^(BK$5-1)</f>
        <v>500472.543375</v>
      </c>
      <c r="BL120" s="33" t="n">
        <f aca="false">BL35*'Hiring plan'!$K$31*(1+Salary_Raise)^(BL$5-1)</f>
        <v>500472.543375</v>
      </c>
    </row>
    <row r="121" customFormat="false" ht="15" hidden="false" customHeight="false" outlineLevel="0" collapsed="false">
      <c r="A121" s="12" t="str">
        <f aca="false">A36</f>
        <v>Credit analyst · SN</v>
      </c>
      <c r="B121" s="14" t="s">
        <v>63</v>
      </c>
      <c r="D121" s="41" t="n">
        <f aca="false">SUM(E121:BL121)</f>
        <v>13951388.1087</v>
      </c>
      <c r="E121" s="33" t="n">
        <f aca="false">E36*'Hiring plan'!$K$32*(1+Salary_Raise)^(E$5-1)</f>
        <v>0</v>
      </c>
      <c r="F121" s="33" t="n">
        <f aca="false">F36*'Hiring plan'!$K$32*(1+Salary_Raise)^(F$5-1)</f>
        <v>0</v>
      </c>
      <c r="G121" s="33" t="n">
        <f aca="false">G36*'Hiring plan'!$K$32*(1+Salary_Raise)^(G$5-1)</f>
        <v>0</v>
      </c>
      <c r="H121" s="33" t="n">
        <f aca="false">H36*'Hiring plan'!$K$32*(1+Salary_Raise)^(H$5-1)</f>
        <v>0</v>
      </c>
      <c r="I121" s="33" t="n">
        <f aca="false">I36*'Hiring plan'!$K$32*(1+Salary_Raise)^(I$5-1)</f>
        <v>0</v>
      </c>
      <c r="J121" s="33" t="n">
        <f aca="false">J36*'Hiring plan'!$K$32*(1+Salary_Raise)^(J$5-1)</f>
        <v>0</v>
      </c>
      <c r="K121" s="33" t="n">
        <f aca="false">K36*'Hiring plan'!$K$32*(1+Salary_Raise)^(K$5-1)</f>
        <v>0</v>
      </c>
      <c r="L121" s="33" t="n">
        <f aca="false">L36*'Hiring plan'!$K$32*(1+Salary_Raise)^(L$5-1)</f>
        <v>0</v>
      </c>
      <c r="M121" s="33" t="n">
        <f aca="false">M36*'Hiring plan'!$K$32*(1+Salary_Raise)^(M$5-1)</f>
        <v>0</v>
      </c>
      <c r="N121" s="33" t="n">
        <f aca="false">N36*'Hiring plan'!$K$32*(1+Salary_Raise)^(N$5-1)</f>
        <v>0</v>
      </c>
      <c r="O121" s="33" t="n">
        <f aca="false">O36*'Hiring plan'!$K$32*(1+Salary_Raise)^(O$5-1)</f>
        <v>0</v>
      </c>
      <c r="P121" s="33" t="n">
        <f aca="false">P36*'Hiring plan'!$K$32*(1+Salary_Raise)^(P$5-1)</f>
        <v>0</v>
      </c>
      <c r="Q121" s="33" t="n">
        <f aca="false">Q36*'Hiring plan'!$K$32*(1+Salary_Raise)^(Q$5-1)</f>
        <v>0</v>
      </c>
      <c r="R121" s="33" t="n">
        <f aca="false">R36*'Hiring plan'!$K$32*(1+Salary_Raise)^(R$5-1)</f>
        <v>0</v>
      </c>
      <c r="S121" s="33" t="n">
        <f aca="false">S36*'Hiring plan'!$K$32*(1+Salary_Raise)^(S$5-1)</f>
        <v>0</v>
      </c>
      <c r="T121" s="33" t="n">
        <f aca="false">T36*'Hiring plan'!$K$32*(1+Salary_Raise)^(T$5-1)</f>
        <v>0</v>
      </c>
      <c r="U121" s="33" t="n">
        <f aca="false">U36*'Hiring plan'!$K$32*(1+Salary_Raise)^(U$5-1)</f>
        <v>0</v>
      </c>
      <c r="V121" s="33" t="n">
        <f aca="false">V36*'Hiring plan'!$K$32*(1+Salary_Raise)^(V$5-1)</f>
        <v>0</v>
      </c>
      <c r="W121" s="33" t="n">
        <f aca="false">W36*'Hiring plan'!$K$32*(1+Salary_Raise)^(W$5-1)</f>
        <v>0</v>
      </c>
      <c r="X121" s="33" t="n">
        <f aca="false">X36*'Hiring plan'!$K$32*(1+Salary_Raise)^(X$5-1)</f>
        <v>0</v>
      </c>
      <c r="Y121" s="33" t="n">
        <f aca="false">Y36*'Hiring plan'!$K$32*(1+Salary_Raise)^(Y$5-1)</f>
        <v>0</v>
      </c>
      <c r="Z121" s="33" t="n">
        <f aca="false">Z36*'Hiring plan'!$K$32*(1+Salary_Raise)^(Z$5-1)</f>
        <v>0</v>
      </c>
      <c r="AA121" s="33" t="n">
        <f aca="false">AA36*'Hiring plan'!$K$32*(1+Salary_Raise)^(AA$5-1)</f>
        <v>0</v>
      </c>
      <c r="AB121" s="33" t="n">
        <f aca="false">AB36*'Hiring plan'!$K$32*(1+Salary_Raise)^(AB$5-1)</f>
        <v>0</v>
      </c>
      <c r="AC121" s="33" t="n">
        <f aca="false">AC36*'Hiring plan'!$K$32*(1+Salary_Raise)^(AC$5-1)</f>
        <v>0</v>
      </c>
      <c r="AD121" s="33" t="n">
        <f aca="false">AD36*'Hiring plan'!$K$32*(1+Salary_Raise)^(AD$5-1)</f>
        <v>0</v>
      </c>
      <c r="AE121" s="33" t="n">
        <f aca="false">AE36*'Hiring plan'!$K$32*(1+Salary_Raise)^(AE$5-1)</f>
        <v>0</v>
      </c>
      <c r="AF121" s="33" t="n">
        <f aca="false">AF36*'Hiring plan'!$K$32*(1+Salary_Raise)^(AF$5-1)</f>
        <v>0</v>
      </c>
      <c r="AG121" s="33" t="n">
        <f aca="false">AG36*'Hiring plan'!$K$32*(1+Salary_Raise)^(AG$5-1)</f>
        <v>0</v>
      </c>
      <c r="AH121" s="33" t="n">
        <f aca="false">AH36*'Hiring plan'!$K$32*(1+Salary_Raise)^(AH$5-1)</f>
        <v>0</v>
      </c>
      <c r="AI121" s="33" t="n">
        <f aca="false">AI36*'Hiring plan'!$K$32*(1+Salary_Raise)^(AI$5-1)</f>
        <v>0</v>
      </c>
      <c r="AJ121" s="33" t="n">
        <f aca="false">AJ36*'Hiring plan'!$K$32*(1+Salary_Raise)^(AJ$5-1)</f>
        <v>0</v>
      </c>
      <c r="AK121" s="33" t="n">
        <f aca="false">AK36*'Hiring plan'!$K$32*(1+Salary_Raise)^(AK$5-1)</f>
        <v>0</v>
      </c>
      <c r="AL121" s="33" t="n">
        <f aca="false">AL36*'Hiring plan'!$K$32*(1+Salary_Raise)^(AL$5-1)</f>
        <v>0</v>
      </c>
      <c r="AM121" s="33" t="n">
        <f aca="false">AM36*'Hiring plan'!$K$32*(1+Salary_Raise)^(AM$5-1)</f>
        <v>0</v>
      </c>
      <c r="AN121" s="33" t="n">
        <f aca="false">AN36*'Hiring plan'!$K$32*(1+Salary_Raise)^(AN$5-1)</f>
        <v>0</v>
      </c>
      <c r="AO121" s="33" t="n">
        <f aca="false">AO36*'Hiring plan'!$K$32*(1+Salary_Raise)^(AO$5-1)</f>
        <v>0</v>
      </c>
      <c r="AP121" s="33" t="n">
        <f aca="false">AP36*'Hiring plan'!$K$32*(1+Salary_Raise)^(AP$5-1)</f>
        <v>0</v>
      </c>
      <c r="AQ121" s="33" t="n">
        <f aca="false">AQ36*'Hiring plan'!$K$32*(1+Salary_Raise)^(AQ$5-1)</f>
        <v>0</v>
      </c>
      <c r="AR121" s="33" t="n">
        <f aca="false">AR36*'Hiring plan'!$K$32*(1+Salary_Raise)^(AR$5-1)</f>
        <v>0</v>
      </c>
      <c r="AS121" s="33" t="n">
        <f aca="false">AS36*'Hiring plan'!$K$32*(1+Salary_Raise)^(AS$5-1)</f>
        <v>0</v>
      </c>
      <c r="AT121" s="33" t="n">
        <f aca="false">AT36*'Hiring plan'!$K$32*(1+Salary_Raise)^(AT$5-1)</f>
        <v>0</v>
      </c>
      <c r="AU121" s="33" t="n">
        <f aca="false">AU36*'Hiring plan'!$K$32*(1+Salary_Raise)^(AU$5-1)</f>
        <v>750074.6295</v>
      </c>
      <c r="AV121" s="33" t="n">
        <f aca="false">AV36*'Hiring plan'!$K$32*(1+Salary_Raise)^(AV$5-1)</f>
        <v>750074.6295</v>
      </c>
      <c r="AW121" s="33" t="n">
        <f aca="false">AW36*'Hiring plan'!$K$32*(1+Salary_Raise)^(AW$5-1)</f>
        <v>750074.6295</v>
      </c>
      <c r="AX121" s="33" t="n">
        <f aca="false">AX36*'Hiring plan'!$K$32*(1+Salary_Raise)^(AX$5-1)</f>
        <v>750074.6295</v>
      </c>
      <c r="AY121" s="33" t="n">
        <f aca="false">AY36*'Hiring plan'!$K$32*(1+Salary_Raise)^(AY$5-1)</f>
        <v>750074.6295</v>
      </c>
      <c r="AZ121" s="33" t="n">
        <f aca="false">AZ36*'Hiring plan'!$K$32*(1+Salary_Raise)^(AZ$5-1)</f>
        <v>750074.6295</v>
      </c>
      <c r="BA121" s="33" t="n">
        <f aca="false">BA36*'Hiring plan'!$K$32*(1+Salary_Raise)^(BA$5-1)</f>
        <v>787578.360975</v>
      </c>
      <c r="BB121" s="33" t="n">
        <f aca="false">BB36*'Hiring plan'!$K$32*(1+Salary_Raise)^(BB$5-1)</f>
        <v>787578.360975</v>
      </c>
      <c r="BC121" s="33" t="n">
        <f aca="false">BC36*'Hiring plan'!$K$32*(1+Salary_Raise)^(BC$5-1)</f>
        <v>787578.360975</v>
      </c>
      <c r="BD121" s="33" t="n">
        <f aca="false">BD36*'Hiring plan'!$K$32*(1+Salary_Raise)^(BD$5-1)</f>
        <v>787578.360975</v>
      </c>
      <c r="BE121" s="33" t="n">
        <f aca="false">BE36*'Hiring plan'!$K$32*(1+Salary_Raise)^(BE$5-1)</f>
        <v>787578.360975</v>
      </c>
      <c r="BF121" s="33" t="n">
        <f aca="false">BF36*'Hiring plan'!$K$32*(1+Salary_Raise)^(BF$5-1)</f>
        <v>787578.360975</v>
      </c>
      <c r="BG121" s="33" t="n">
        <f aca="false">BG36*'Hiring plan'!$K$32*(1+Salary_Raise)^(BG$5-1)</f>
        <v>787578.360975</v>
      </c>
      <c r="BH121" s="33" t="n">
        <f aca="false">BH36*'Hiring plan'!$K$32*(1+Salary_Raise)^(BH$5-1)</f>
        <v>787578.360975</v>
      </c>
      <c r="BI121" s="33" t="n">
        <f aca="false">BI36*'Hiring plan'!$K$32*(1+Salary_Raise)^(BI$5-1)</f>
        <v>787578.360975</v>
      </c>
      <c r="BJ121" s="33" t="n">
        <f aca="false">BJ36*'Hiring plan'!$K$32*(1+Salary_Raise)^(BJ$5-1)</f>
        <v>787578.360975</v>
      </c>
      <c r="BK121" s="33" t="n">
        <f aca="false">BK36*'Hiring plan'!$K$32*(1+Salary_Raise)^(BK$5-1)</f>
        <v>787578.360975</v>
      </c>
      <c r="BL121" s="33" t="n">
        <f aca="false">BL36*'Hiring plan'!$K$32*(1+Salary_Raise)^(BL$5-1)</f>
        <v>787578.360975</v>
      </c>
    </row>
    <row r="122" customFormat="false" ht="15" hidden="false" customHeight="false" outlineLevel="0" collapsed="false">
      <c r="A122" s="12" t="str">
        <f aca="false">A37</f>
        <v>Collections agent (incl. variable pay) · SN</v>
      </c>
      <c r="B122" s="14" t="s">
        <v>63</v>
      </c>
      <c r="D122" s="41" t="n">
        <f aca="false">SUM(E122:BL122)</f>
        <v>17731027.251</v>
      </c>
      <c r="E122" s="33" t="n">
        <f aca="false">E37*'Hiring plan'!$K$33*(1+Salary_Raise)^(E$5-1)</f>
        <v>0</v>
      </c>
      <c r="F122" s="33" t="n">
        <f aca="false">F37*'Hiring plan'!$K$33*(1+Salary_Raise)^(F$5-1)</f>
        <v>0</v>
      </c>
      <c r="G122" s="33" t="n">
        <f aca="false">G37*'Hiring plan'!$K$33*(1+Salary_Raise)^(G$5-1)</f>
        <v>0</v>
      </c>
      <c r="H122" s="33" t="n">
        <f aca="false">H37*'Hiring plan'!$K$33*(1+Salary_Raise)^(H$5-1)</f>
        <v>0</v>
      </c>
      <c r="I122" s="33" t="n">
        <f aca="false">I37*'Hiring plan'!$K$33*(1+Salary_Raise)^(I$5-1)</f>
        <v>0</v>
      </c>
      <c r="J122" s="33" t="n">
        <f aca="false">J37*'Hiring plan'!$K$33*(1+Salary_Raise)^(J$5-1)</f>
        <v>0</v>
      </c>
      <c r="K122" s="33" t="n">
        <f aca="false">K37*'Hiring plan'!$K$33*(1+Salary_Raise)^(K$5-1)</f>
        <v>0</v>
      </c>
      <c r="L122" s="33" t="n">
        <f aca="false">L37*'Hiring plan'!$K$33*(1+Salary_Raise)^(L$5-1)</f>
        <v>0</v>
      </c>
      <c r="M122" s="33" t="n">
        <f aca="false">M37*'Hiring plan'!$K$33*(1+Salary_Raise)^(M$5-1)</f>
        <v>0</v>
      </c>
      <c r="N122" s="33" t="n">
        <f aca="false">N37*'Hiring plan'!$K$33*(1+Salary_Raise)^(N$5-1)</f>
        <v>0</v>
      </c>
      <c r="O122" s="33" t="n">
        <f aca="false">O37*'Hiring plan'!$K$33*(1+Salary_Raise)^(O$5-1)</f>
        <v>0</v>
      </c>
      <c r="P122" s="33" t="n">
        <f aca="false">P37*'Hiring plan'!$K$33*(1+Salary_Raise)^(P$5-1)</f>
        <v>0</v>
      </c>
      <c r="Q122" s="33" t="n">
        <f aca="false">Q37*'Hiring plan'!$K$33*(1+Salary_Raise)^(Q$5-1)</f>
        <v>0</v>
      </c>
      <c r="R122" s="33" t="n">
        <f aca="false">R37*'Hiring plan'!$K$33*(1+Salary_Raise)^(R$5-1)</f>
        <v>0</v>
      </c>
      <c r="S122" s="33" t="n">
        <f aca="false">S37*'Hiring plan'!$K$33*(1+Salary_Raise)^(S$5-1)</f>
        <v>0</v>
      </c>
      <c r="T122" s="33" t="n">
        <f aca="false">T37*'Hiring plan'!$K$33*(1+Salary_Raise)^(T$5-1)</f>
        <v>0</v>
      </c>
      <c r="U122" s="33" t="n">
        <f aca="false">U37*'Hiring plan'!$K$33*(1+Salary_Raise)^(U$5-1)</f>
        <v>0</v>
      </c>
      <c r="V122" s="33" t="n">
        <f aca="false">V37*'Hiring plan'!$K$33*(1+Salary_Raise)^(V$5-1)</f>
        <v>0</v>
      </c>
      <c r="W122" s="33" t="n">
        <f aca="false">W37*'Hiring plan'!$K$33*(1+Salary_Raise)^(W$5-1)</f>
        <v>0</v>
      </c>
      <c r="X122" s="33" t="n">
        <f aca="false">X37*'Hiring plan'!$K$33*(1+Salary_Raise)^(X$5-1)</f>
        <v>0</v>
      </c>
      <c r="Y122" s="33" t="n">
        <f aca="false">Y37*'Hiring plan'!$K$33*(1+Salary_Raise)^(Y$5-1)</f>
        <v>0</v>
      </c>
      <c r="Z122" s="33" t="n">
        <f aca="false">Z37*'Hiring plan'!$K$33*(1+Salary_Raise)^(Z$5-1)</f>
        <v>0</v>
      </c>
      <c r="AA122" s="33" t="n">
        <f aca="false">AA37*'Hiring plan'!$K$33*(1+Salary_Raise)^(AA$5-1)</f>
        <v>0</v>
      </c>
      <c r="AB122" s="33" t="n">
        <f aca="false">AB37*'Hiring plan'!$K$33*(1+Salary_Raise)^(AB$5-1)</f>
        <v>0</v>
      </c>
      <c r="AC122" s="33" t="n">
        <f aca="false">AC37*'Hiring plan'!$K$33*(1+Salary_Raise)^(AC$5-1)</f>
        <v>0</v>
      </c>
      <c r="AD122" s="33" t="n">
        <f aca="false">AD37*'Hiring plan'!$K$33*(1+Salary_Raise)^(AD$5-1)</f>
        <v>0</v>
      </c>
      <c r="AE122" s="33" t="n">
        <f aca="false">AE37*'Hiring plan'!$K$33*(1+Salary_Raise)^(AE$5-1)</f>
        <v>0</v>
      </c>
      <c r="AF122" s="33" t="n">
        <f aca="false">AF37*'Hiring plan'!$K$33*(1+Salary_Raise)^(AF$5-1)</f>
        <v>0</v>
      </c>
      <c r="AG122" s="33" t="n">
        <f aca="false">AG37*'Hiring plan'!$K$33*(1+Salary_Raise)^(AG$5-1)</f>
        <v>0</v>
      </c>
      <c r="AH122" s="33" t="n">
        <f aca="false">AH37*'Hiring plan'!$K$33*(1+Salary_Raise)^(AH$5-1)</f>
        <v>0</v>
      </c>
      <c r="AI122" s="33" t="n">
        <f aca="false">AI37*'Hiring plan'!$K$33*(1+Salary_Raise)^(AI$5-1)</f>
        <v>0</v>
      </c>
      <c r="AJ122" s="33" t="n">
        <f aca="false">AJ37*'Hiring plan'!$K$33*(1+Salary_Raise)^(AJ$5-1)</f>
        <v>0</v>
      </c>
      <c r="AK122" s="33" t="n">
        <f aca="false">AK37*'Hiring plan'!$K$33*(1+Salary_Raise)^(AK$5-1)</f>
        <v>0</v>
      </c>
      <c r="AL122" s="33" t="n">
        <f aca="false">AL37*'Hiring plan'!$K$33*(1+Salary_Raise)^(AL$5-1)</f>
        <v>0</v>
      </c>
      <c r="AM122" s="33" t="n">
        <f aca="false">AM37*'Hiring plan'!$K$33*(1+Salary_Raise)^(AM$5-1)</f>
        <v>0</v>
      </c>
      <c r="AN122" s="33" t="n">
        <f aca="false">AN37*'Hiring plan'!$K$33*(1+Salary_Raise)^(AN$5-1)</f>
        <v>0</v>
      </c>
      <c r="AO122" s="33" t="n">
        <f aca="false">AO37*'Hiring plan'!$K$33*(1+Salary_Raise)^(AO$5-1)</f>
        <v>0</v>
      </c>
      <c r="AP122" s="33" t="n">
        <f aca="false">AP37*'Hiring plan'!$K$33*(1+Salary_Raise)^(AP$5-1)</f>
        <v>0</v>
      </c>
      <c r="AQ122" s="33" t="n">
        <f aca="false">AQ37*'Hiring plan'!$K$33*(1+Salary_Raise)^(AQ$5-1)</f>
        <v>0</v>
      </c>
      <c r="AR122" s="33" t="n">
        <f aca="false">AR37*'Hiring plan'!$K$33*(1+Salary_Raise)^(AR$5-1)</f>
        <v>0</v>
      </c>
      <c r="AS122" s="33" t="n">
        <f aca="false">AS37*'Hiring plan'!$K$33*(1+Salary_Raise)^(AS$5-1)</f>
        <v>0</v>
      </c>
      <c r="AT122" s="33" t="n">
        <f aca="false">AT37*'Hiring plan'!$K$33*(1+Salary_Raise)^(AT$5-1)</f>
        <v>0</v>
      </c>
      <c r="AU122" s="33" t="n">
        <f aca="false">AU37*'Hiring plan'!$K$33*(1+Salary_Raise)^(AU$5-1)</f>
        <v>953281.035</v>
      </c>
      <c r="AV122" s="33" t="n">
        <f aca="false">AV37*'Hiring plan'!$K$33*(1+Salary_Raise)^(AV$5-1)</f>
        <v>953281.035</v>
      </c>
      <c r="AW122" s="33" t="n">
        <f aca="false">AW37*'Hiring plan'!$K$33*(1+Salary_Raise)^(AW$5-1)</f>
        <v>953281.035</v>
      </c>
      <c r="AX122" s="33" t="n">
        <f aca="false">AX37*'Hiring plan'!$K$33*(1+Salary_Raise)^(AX$5-1)</f>
        <v>953281.035</v>
      </c>
      <c r="AY122" s="33" t="n">
        <f aca="false">AY37*'Hiring plan'!$K$33*(1+Salary_Raise)^(AY$5-1)</f>
        <v>953281.035</v>
      </c>
      <c r="AZ122" s="33" t="n">
        <f aca="false">AZ37*'Hiring plan'!$K$33*(1+Salary_Raise)^(AZ$5-1)</f>
        <v>953281.035</v>
      </c>
      <c r="BA122" s="33" t="n">
        <f aca="false">BA37*'Hiring plan'!$K$33*(1+Salary_Raise)^(BA$5-1)</f>
        <v>1000945.08675</v>
      </c>
      <c r="BB122" s="33" t="n">
        <f aca="false">BB37*'Hiring plan'!$K$33*(1+Salary_Raise)^(BB$5-1)</f>
        <v>1000945.08675</v>
      </c>
      <c r="BC122" s="33" t="n">
        <f aca="false">BC37*'Hiring plan'!$K$33*(1+Salary_Raise)^(BC$5-1)</f>
        <v>1000945.08675</v>
      </c>
      <c r="BD122" s="33" t="n">
        <f aca="false">BD37*'Hiring plan'!$K$33*(1+Salary_Raise)^(BD$5-1)</f>
        <v>1000945.08675</v>
      </c>
      <c r="BE122" s="33" t="n">
        <f aca="false">BE37*'Hiring plan'!$K$33*(1+Salary_Raise)^(BE$5-1)</f>
        <v>1000945.08675</v>
      </c>
      <c r="BF122" s="33" t="n">
        <f aca="false">BF37*'Hiring plan'!$K$33*(1+Salary_Raise)^(BF$5-1)</f>
        <v>1000945.08675</v>
      </c>
      <c r="BG122" s="33" t="n">
        <f aca="false">BG37*'Hiring plan'!$K$33*(1+Salary_Raise)^(BG$5-1)</f>
        <v>1000945.08675</v>
      </c>
      <c r="BH122" s="33" t="n">
        <f aca="false">BH37*'Hiring plan'!$K$33*(1+Salary_Raise)^(BH$5-1)</f>
        <v>1000945.08675</v>
      </c>
      <c r="BI122" s="33" t="n">
        <f aca="false">BI37*'Hiring plan'!$K$33*(1+Salary_Raise)^(BI$5-1)</f>
        <v>1000945.08675</v>
      </c>
      <c r="BJ122" s="33" t="n">
        <f aca="false">BJ37*'Hiring plan'!$K$33*(1+Salary_Raise)^(BJ$5-1)</f>
        <v>1000945.08675</v>
      </c>
      <c r="BK122" s="33" t="n">
        <f aca="false">BK37*'Hiring plan'!$K$33*(1+Salary_Raise)^(BK$5-1)</f>
        <v>1000945.08675</v>
      </c>
      <c r="BL122" s="33" t="n">
        <f aca="false">BL37*'Hiring plan'!$K$33*(1+Salary_Raise)^(BL$5-1)</f>
        <v>1000945.08675</v>
      </c>
    </row>
    <row r="123" customFormat="false" ht="15" hidden="false" customHeight="false" outlineLevel="0" collapsed="false">
      <c r="A123" s="12" t="str">
        <f aca="false">A38</f>
        <v>KYC / onboarding agent · SN</v>
      </c>
      <c r="B123" s="14" t="s">
        <v>63</v>
      </c>
      <c r="D123" s="41" t="n">
        <f aca="false">SUM(E123:BL123)</f>
        <v>48342508.371</v>
      </c>
      <c r="E123" s="33" t="n">
        <f aca="false">E38*'Hiring plan'!$K$34*(1+Salary_Raise)^(E$5-1)</f>
        <v>0</v>
      </c>
      <c r="F123" s="33" t="n">
        <f aca="false">F38*'Hiring plan'!$K$34*(1+Salary_Raise)^(F$5-1)</f>
        <v>0</v>
      </c>
      <c r="G123" s="33" t="n">
        <f aca="false">G38*'Hiring plan'!$K$34*(1+Salary_Raise)^(G$5-1)</f>
        <v>0</v>
      </c>
      <c r="H123" s="33" t="n">
        <f aca="false">H38*'Hiring plan'!$K$34*(1+Salary_Raise)^(H$5-1)</f>
        <v>763613.333333333</v>
      </c>
      <c r="I123" s="33" t="n">
        <f aca="false">I38*'Hiring plan'!$K$34*(1+Salary_Raise)^(I$5-1)</f>
        <v>763613.333333333</v>
      </c>
      <c r="J123" s="33" t="n">
        <f aca="false">J38*'Hiring plan'!$K$34*(1+Salary_Raise)^(J$5-1)</f>
        <v>763613.333333333</v>
      </c>
      <c r="K123" s="33" t="n">
        <f aca="false">K38*'Hiring plan'!$K$34*(1+Salary_Raise)^(K$5-1)</f>
        <v>763613.333333333</v>
      </c>
      <c r="L123" s="33" t="n">
        <f aca="false">L38*'Hiring plan'!$K$34*(1+Salary_Raise)^(L$5-1)</f>
        <v>763613.333333333</v>
      </c>
      <c r="M123" s="33" t="n">
        <f aca="false">M38*'Hiring plan'!$K$34*(1+Salary_Raise)^(M$5-1)</f>
        <v>763613.333333333</v>
      </c>
      <c r="N123" s="33" t="n">
        <f aca="false">N38*'Hiring plan'!$K$34*(1+Salary_Raise)^(N$5-1)</f>
        <v>763613.333333333</v>
      </c>
      <c r="O123" s="33" t="n">
        <f aca="false">O38*'Hiring plan'!$K$34*(1+Salary_Raise)^(O$5-1)</f>
        <v>763613.333333333</v>
      </c>
      <c r="P123" s="33" t="n">
        <f aca="false">P38*'Hiring plan'!$K$34*(1+Salary_Raise)^(P$5-1)</f>
        <v>763613.333333333</v>
      </c>
      <c r="Q123" s="33" t="n">
        <f aca="false">Q38*'Hiring plan'!$K$34*(1+Salary_Raise)^(Q$5-1)</f>
        <v>801794</v>
      </c>
      <c r="R123" s="33" t="n">
        <f aca="false">R38*'Hiring plan'!$K$34*(1+Salary_Raise)^(R$5-1)</f>
        <v>801794</v>
      </c>
      <c r="S123" s="33" t="n">
        <f aca="false">S38*'Hiring plan'!$K$34*(1+Salary_Raise)^(S$5-1)</f>
        <v>801794</v>
      </c>
      <c r="T123" s="33" t="n">
        <f aca="false">T38*'Hiring plan'!$K$34*(1+Salary_Raise)^(T$5-1)</f>
        <v>801794</v>
      </c>
      <c r="U123" s="33" t="n">
        <f aca="false">U38*'Hiring plan'!$K$34*(1+Salary_Raise)^(U$5-1)</f>
        <v>801794</v>
      </c>
      <c r="V123" s="33" t="n">
        <f aca="false">V38*'Hiring plan'!$K$34*(1+Salary_Raise)^(V$5-1)</f>
        <v>801794</v>
      </c>
      <c r="W123" s="33" t="n">
        <f aca="false">W38*'Hiring plan'!$K$34*(1+Salary_Raise)^(W$5-1)</f>
        <v>801794</v>
      </c>
      <c r="X123" s="33" t="n">
        <f aca="false">X38*'Hiring plan'!$K$34*(1+Salary_Raise)^(X$5-1)</f>
        <v>801794</v>
      </c>
      <c r="Y123" s="33" t="n">
        <f aca="false">Y38*'Hiring plan'!$K$34*(1+Salary_Raise)^(Y$5-1)</f>
        <v>801794</v>
      </c>
      <c r="Z123" s="33" t="n">
        <f aca="false">Z38*'Hiring plan'!$K$34*(1+Salary_Raise)^(Z$5-1)</f>
        <v>801794</v>
      </c>
      <c r="AA123" s="33" t="n">
        <f aca="false">AA38*'Hiring plan'!$K$34*(1+Salary_Raise)^(AA$5-1)</f>
        <v>801794</v>
      </c>
      <c r="AB123" s="33" t="n">
        <f aca="false">AB38*'Hiring plan'!$K$34*(1+Salary_Raise)^(AB$5-1)</f>
        <v>801794</v>
      </c>
      <c r="AC123" s="33" t="n">
        <f aca="false">AC38*'Hiring plan'!$K$34*(1+Salary_Raise)^(AC$5-1)</f>
        <v>841883.7</v>
      </c>
      <c r="AD123" s="33" t="n">
        <f aca="false">AD38*'Hiring plan'!$K$34*(1+Salary_Raise)^(AD$5-1)</f>
        <v>841883.7</v>
      </c>
      <c r="AE123" s="33" t="n">
        <f aca="false">AE38*'Hiring plan'!$K$34*(1+Salary_Raise)^(AE$5-1)</f>
        <v>841883.7</v>
      </c>
      <c r="AF123" s="33" t="n">
        <f aca="false">AF38*'Hiring plan'!$K$34*(1+Salary_Raise)^(AF$5-1)</f>
        <v>841883.7</v>
      </c>
      <c r="AG123" s="33" t="n">
        <f aca="false">AG38*'Hiring plan'!$K$34*(1+Salary_Raise)^(AG$5-1)</f>
        <v>841883.7</v>
      </c>
      <c r="AH123" s="33" t="n">
        <f aca="false">AH38*'Hiring plan'!$K$34*(1+Salary_Raise)^(AH$5-1)</f>
        <v>841883.7</v>
      </c>
      <c r="AI123" s="33" t="n">
        <f aca="false">AI38*'Hiring plan'!$K$34*(1+Salary_Raise)^(AI$5-1)</f>
        <v>841883.7</v>
      </c>
      <c r="AJ123" s="33" t="n">
        <f aca="false">AJ38*'Hiring plan'!$K$34*(1+Salary_Raise)^(AJ$5-1)</f>
        <v>841883.7</v>
      </c>
      <c r="AK123" s="33" t="n">
        <f aca="false">AK38*'Hiring plan'!$K$34*(1+Salary_Raise)^(AK$5-1)</f>
        <v>841883.7</v>
      </c>
      <c r="AL123" s="33" t="n">
        <f aca="false">AL38*'Hiring plan'!$K$34*(1+Salary_Raise)^(AL$5-1)</f>
        <v>841883.7</v>
      </c>
      <c r="AM123" s="33" t="n">
        <f aca="false">AM38*'Hiring plan'!$K$34*(1+Salary_Raise)^(AM$5-1)</f>
        <v>841883.7</v>
      </c>
      <c r="AN123" s="33" t="n">
        <f aca="false">AN38*'Hiring plan'!$K$34*(1+Salary_Raise)^(AN$5-1)</f>
        <v>841883.7</v>
      </c>
      <c r="AO123" s="33" t="n">
        <f aca="false">AO38*'Hiring plan'!$K$34*(1+Salary_Raise)^(AO$5-1)</f>
        <v>883977.885</v>
      </c>
      <c r="AP123" s="33" t="n">
        <f aca="false">AP38*'Hiring plan'!$K$34*(1+Salary_Raise)^(AP$5-1)</f>
        <v>883977.885</v>
      </c>
      <c r="AQ123" s="33" t="n">
        <f aca="false">AQ38*'Hiring plan'!$K$34*(1+Salary_Raise)^(AQ$5-1)</f>
        <v>883977.885</v>
      </c>
      <c r="AR123" s="33" t="n">
        <f aca="false">AR38*'Hiring plan'!$K$34*(1+Salary_Raise)^(AR$5-1)</f>
        <v>883977.885</v>
      </c>
      <c r="AS123" s="33" t="n">
        <f aca="false">AS38*'Hiring plan'!$K$34*(1+Salary_Raise)^(AS$5-1)</f>
        <v>883977.885</v>
      </c>
      <c r="AT123" s="33" t="n">
        <f aca="false">AT38*'Hiring plan'!$K$34*(1+Salary_Raise)^(AT$5-1)</f>
        <v>883977.885</v>
      </c>
      <c r="AU123" s="33" t="n">
        <f aca="false">AU38*'Hiring plan'!$K$34*(1+Salary_Raise)^(AU$5-1)</f>
        <v>883977.885</v>
      </c>
      <c r="AV123" s="33" t="n">
        <f aca="false">AV38*'Hiring plan'!$K$34*(1+Salary_Raise)^(AV$5-1)</f>
        <v>883977.885</v>
      </c>
      <c r="AW123" s="33" t="n">
        <f aca="false">AW38*'Hiring plan'!$K$34*(1+Salary_Raise)^(AW$5-1)</f>
        <v>883977.885</v>
      </c>
      <c r="AX123" s="33" t="n">
        <f aca="false">AX38*'Hiring plan'!$K$34*(1+Salary_Raise)^(AX$5-1)</f>
        <v>883977.885</v>
      </c>
      <c r="AY123" s="33" t="n">
        <f aca="false">AY38*'Hiring plan'!$K$34*(1+Salary_Raise)^(AY$5-1)</f>
        <v>883977.885</v>
      </c>
      <c r="AZ123" s="33" t="n">
        <f aca="false">AZ38*'Hiring plan'!$K$34*(1+Salary_Raise)^(AZ$5-1)</f>
        <v>883977.885</v>
      </c>
      <c r="BA123" s="33" t="n">
        <f aca="false">BA38*'Hiring plan'!$K$34*(1+Salary_Raise)^(BA$5-1)</f>
        <v>928176.77925</v>
      </c>
      <c r="BB123" s="33" t="n">
        <f aca="false">BB38*'Hiring plan'!$K$34*(1+Salary_Raise)^(BB$5-1)</f>
        <v>928176.77925</v>
      </c>
      <c r="BC123" s="33" t="n">
        <f aca="false">BC38*'Hiring plan'!$K$34*(1+Salary_Raise)^(BC$5-1)</f>
        <v>928176.77925</v>
      </c>
      <c r="BD123" s="33" t="n">
        <f aca="false">BD38*'Hiring plan'!$K$34*(1+Salary_Raise)^(BD$5-1)</f>
        <v>928176.77925</v>
      </c>
      <c r="BE123" s="33" t="n">
        <f aca="false">BE38*'Hiring plan'!$K$34*(1+Salary_Raise)^(BE$5-1)</f>
        <v>928176.77925</v>
      </c>
      <c r="BF123" s="33" t="n">
        <f aca="false">BF38*'Hiring plan'!$K$34*(1+Salary_Raise)^(BF$5-1)</f>
        <v>928176.77925</v>
      </c>
      <c r="BG123" s="33" t="n">
        <f aca="false">BG38*'Hiring plan'!$K$34*(1+Salary_Raise)^(BG$5-1)</f>
        <v>928176.77925</v>
      </c>
      <c r="BH123" s="33" t="n">
        <f aca="false">BH38*'Hiring plan'!$K$34*(1+Salary_Raise)^(BH$5-1)</f>
        <v>928176.77925</v>
      </c>
      <c r="BI123" s="33" t="n">
        <f aca="false">BI38*'Hiring plan'!$K$34*(1+Salary_Raise)^(BI$5-1)</f>
        <v>928176.77925</v>
      </c>
      <c r="BJ123" s="33" t="n">
        <f aca="false">BJ38*'Hiring plan'!$K$34*(1+Salary_Raise)^(BJ$5-1)</f>
        <v>928176.77925</v>
      </c>
      <c r="BK123" s="33" t="n">
        <f aca="false">BK38*'Hiring plan'!$K$34*(1+Salary_Raise)^(BK$5-1)</f>
        <v>928176.77925</v>
      </c>
      <c r="BL123" s="33" t="n">
        <f aca="false">BL38*'Hiring plan'!$K$34*(1+Salary_Raise)^(BL$5-1)</f>
        <v>928176.77925</v>
      </c>
    </row>
    <row r="124" customFormat="false" ht="15" hidden="false" customHeight="false" outlineLevel="0" collapsed="false">
      <c r="A124" s="12" t="str">
        <f aca="false">A39</f>
        <v>Customer support agent · SN</v>
      </c>
      <c r="B124" s="14" t="s">
        <v>63</v>
      </c>
      <c r="D124" s="41" t="n">
        <f aca="false">SUM(E124:BL124)</f>
        <v>18391272.588</v>
      </c>
      <c r="E124" s="33" t="n">
        <f aca="false">E39*'Hiring plan'!$K$35*(1+Salary_Raise)^(E$5-1)</f>
        <v>0</v>
      </c>
      <c r="F124" s="33" t="n">
        <f aca="false">F39*'Hiring plan'!$K$35*(1+Salary_Raise)^(F$5-1)</f>
        <v>0</v>
      </c>
      <c r="G124" s="33" t="n">
        <f aca="false">G39*'Hiring plan'!$K$35*(1+Salary_Raise)^(G$5-1)</f>
        <v>0</v>
      </c>
      <c r="H124" s="33" t="n">
        <f aca="false">H39*'Hiring plan'!$K$35*(1+Salary_Raise)^(H$5-1)</f>
        <v>290506.666666667</v>
      </c>
      <c r="I124" s="33" t="n">
        <f aca="false">I39*'Hiring plan'!$K$35*(1+Salary_Raise)^(I$5-1)</f>
        <v>290506.666666667</v>
      </c>
      <c r="J124" s="33" t="n">
        <f aca="false">J39*'Hiring plan'!$K$35*(1+Salary_Raise)^(J$5-1)</f>
        <v>290506.666666667</v>
      </c>
      <c r="K124" s="33" t="n">
        <f aca="false">K39*'Hiring plan'!$K$35*(1+Salary_Raise)^(K$5-1)</f>
        <v>290506.666666667</v>
      </c>
      <c r="L124" s="33" t="n">
        <f aca="false">L39*'Hiring plan'!$K$35*(1+Salary_Raise)^(L$5-1)</f>
        <v>290506.666666667</v>
      </c>
      <c r="M124" s="33" t="n">
        <f aca="false">M39*'Hiring plan'!$K$35*(1+Salary_Raise)^(M$5-1)</f>
        <v>290506.666666667</v>
      </c>
      <c r="N124" s="33" t="n">
        <f aca="false">N39*'Hiring plan'!$K$35*(1+Salary_Raise)^(N$5-1)</f>
        <v>290506.666666667</v>
      </c>
      <c r="O124" s="33" t="n">
        <f aca="false">O39*'Hiring plan'!$K$35*(1+Salary_Raise)^(O$5-1)</f>
        <v>290506.666666667</v>
      </c>
      <c r="P124" s="33" t="n">
        <f aca="false">P39*'Hiring plan'!$K$35*(1+Salary_Raise)^(P$5-1)</f>
        <v>290506.666666667</v>
      </c>
      <c r="Q124" s="33" t="n">
        <f aca="false">Q39*'Hiring plan'!$K$35*(1+Salary_Raise)^(Q$5-1)</f>
        <v>305032</v>
      </c>
      <c r="R124" s="33" t="n">
        <f aca="false">R39*'Hiring plan'!$K$35*(1+Salary_Raise)^(R$5-1)</f>
        <v>305032</v>
      </c>
      <c r="S124" s="33" t="n">
        <f aca="false">S39*'Hiring plan'!$K$35*(1+Salary_Raise)^(S$5-1)</f>
        <v>305032</v>
      </c>
      <c r="T124" s="33" t="n">
        <f aca="false">T39*'Hiring plan'!$K$35*(1+Salary_Raise)^(T$5-1)</f>
        <v>305032</v>
      </c>
      <c r="U124" s="33" t="n">
        <f aca="false">U39*'Hiring plan'!$K$35*(1+Salary_Raise)^(U$5-1)</f>
        <v>305032</v>
      </c>
      <c r="V124" s="33" t="n">
        <f aca="false">V39*'Hiring plan'!$K$35*(1+Salary_Raise)^(V$5-1)</f>
        <v>305032</v>
      </c>
      <c r="W124" s="33" t="n">
        <f aca="false">W39*'Hiring plan'!$K$35*(1+Salary_Raise)^(W$5-1)</f>
        <v>305032</v>
      </c>
      <c r="X124" s="33" t="n">
        <f aca="false">X39*'Hiring plan'!$K$35*(1+Salary_Raise)^(X$5-1)</f>
        <v>305032</v>
      </c>
      <c r="Y124" s="33" t="n">
        <f aca="false">Y39*'Hiring plan'!$K$35*(1+Salary_Raise)^(Y$5-1)</f>
        <v>305032</v>
      </c>
      <c r="Z124" s="33" t="n">
        <f aca="false">Z39*'Hiring plan'!$K$35*(1+Salary_Raise)^(Z$5-1)</f>
        <v>305032</v>
      </c>
      <c r="AA124" s="33" t="n">
        <f aca="false">AA39*'Hiring plan'!$K$35*(1+Salary_Raise)^(AA$5-1)</f>
        <v>305032</v>
      </c>
      <c r="AB124" s="33" t="n">
        <f aca="false">AB39*'Hiring plan'!$K$35*(1+Salary_Raise)^(AB$5-1)</f>
        <v>305032</v>
      </c>
      <c r="AC124" s="33" t="n">
        <f aca="false">AC39*'Hiring plan'!$K$35*(1+Salary_Raise)^(AC$5-1)</f>
        <v>320283.6</v>
      </c>
      <c r="AD124" s="33" t="n">
        <f aca="false">AD39*'Hiring plan'!$K$35*(1+Salary_Raise)^(AD$5-1)</f>
        <v>320283.6</v>
      </c>
      <c r="AE124" s="33" t="n">
        <f aca="false">AE39*'Hiring plan'!$K$35*(1+Salary_Raise)^(AE$5-1)</f>
        <v>320283.6</v>
      </c>
      <c r="AF124" s="33" t="n">
        <f aca="false">AF39*'Hiring plan'!$K$35*(1+Salary_Raise)^(AF$5-1)</f>
        <v>320283.6</v>
      </c>
      <c r="AG124" s="33" t="n">
        <f aca="false">AG39*'Hiring plan'!$K$35*(1+Salary_Raise)^(AG$5-1)</f>
        <v>320283.6</v>
      </c>
      <c r="AH124" s="33" t="n">
        <f aca="false">AH39*'Hiring plan'!$K$35*(1+Salary_Raise)^(AH$5-1)</f>
        <v>320283.6</v>
      </c>
      <c r="AI124" s="33" t="n">
        <f aca="false">AI39*'Hiring plan'!$K$35*(1+Salary_Raise)^(AI$5-1)</f>
        <v>320283.6</v>
      </c>
      <c r="AJ124" s="33" t="n">
        <f aca="false">AJ39*'Hiring plan'!$K$35*(1+Salary_Raise)^(AJ$5-1)</f>
        <v>320283.6</v>
      </c>
      <c r="AK124" s="33" t="n">
        <f aca="false">AK39*'Hiring plan'!$K$35*(1+Salary_Raise)^(AK$5-1)</f>
        <v>320283.6</v>
      </c>
      <c r="AL124" s="33" t="n">
        <f aca="false">AL39*'Hiring plan'!$K$35*(1+Salary_Raise)^(AL$5-1)</f>
        <v>320283.6</v>
      </c>
      <c r="AM124" s="33" t="n">
        <f aca="false">AM39*'Hiring plan'!$K$35*(1+Salary_Raise)^(AM$5-1)</f>
        <v>320283.6</v>
      </c>
      <c r="AN124" s="33" t="n">
        <f aca="false">AN39*'Hiring plan'!$K$35*(1+Salary_Raise)^(AN$5-1)</f>
        <v>320283.6</v>
      </c>
      <c r="AO124" s="33" t="n">
        <f aca="false">AO39*'Hiring plan'!$K$35*(1+Salary_Raise)^(AO$5-1)</f>
        <v>336297.78</v>
      </c>
      <c r="AP124" s="33" t="n">
        <f aca="false">AP39*'Hiring plan'!$K$35*(1+Salary_Raise)^(AP$5-1)</f>
        <v>336297.78</v>
      </c>
      <c r="AQ124" s="33" t="n">
        <f aca="false">AQ39*'Hiring plan'!$K$35*(1+Salary_Raise)^(AQ$5-1)</f>
        <v>336297.78</v>
      </c>
      <c r="AR124" s="33" t="n">
        <f aca="false">AR39*'Hiring plan'!$K$35*(1+Salary_Raise)^(AR$5-1)</f>
        <v>336297.78</v>
      </c>
      <c r="AS124" s="33" t="n">
        <f aca="false">AS39*'Hiring plan'!$K$35*(1+Salary_Raise)^(AS$5-1)</f>
        <v>336297.78</v>
      </c>
      <c r="AT124" s="33" t="n">
        <f aca="false">AT39*'Hiring plan'!$K$35*(1+Salary_Raise)^(AT$5-1)</f>
        <v>336297.78</v>
      </c>
      <c r="AU124" s="33" t="n">
        <f aca="false">AU39*'Hiring plan'!$K$35*(1+Salary_Raise)^(AU$5-1)</f>
        <v>336297.78</v>
      </c>
      <c r="AV124" s="33" t="n">
        <f aca="false">AV39*'Hiring plan'!$K$35*(1+Salary_Raise)^(AV$5-1)</f>
        <v>336297.78</v>
      </c>
      <c r="AW124" s="33" t="n">
        <f aca="false">AW39*'Hiring plan'!$K$35*(1+Salary_Raise)^(AW$5-1)</f>
        <v>336297.78</v>
      </c>
      <c r="AX124" s="33" t="n">
        <f aca="false">AX39*'Hiring plan'!$K$35*(1+Salary_Raise)^(AX$5-1)</f>
        <v>336297.78</v>
      </c>
      <c r="AY124" s="33" t="n">
        <f aca="false">AY39*'Hiring plan'!$K$35*(1+Salary_Raise)^(AY$5-1)</f>
        <v>336297.78</v>
      </c>
      <c r="AZ124" s="33" t="n">
        <f aca="false">AZ39*'Hiring plan'!$K$35*(1+Salary_Raise)^(AZ$5-1)</f>
        <v>336297.78</v>
      </c>
      <c r="BA124" s="33" t="n">
        <f aca="false">BA39*'Hiring plan'!$K$35*(1+Salary_Raise)^(BA$5-1)</f>
        <v>353112.669</v>
      </c>
      <c r="BB124" s="33" t="n">
        <f aca="false">BB39*'Hiring plan'!$K$35*(1+Salary_Raise)^(BB$5-1)</f>
        <v>353112.669</v>
      </c>
      <c r="BC124" s="33" t="n">
        <f aca="false">BC39*'Hiring plan'!$K$35*(1+Salary_Raise)^(BC$5-1)</f>
        <v>353112.669</v>
      </c>
      <c r="BD124" s="33" t="n">
        <f aca="false">BD39*'Hiring plan'!$K$35*(1+Salary_Raise)^(BD$5-1)</f>
        <v>353112.669</v>
      </c>
      <c r="BE124" s="33" t="n">
        <f aca="false">BE39*'Hiring plan'!$K$35*(1+Salary_Raise)^(BE$5-1)</f>
        <v>353112.669</v>
      </c>
      <c r="BF124" s="33" t="n">
        <f aca="false">BF39*'Hiring plan'!$K$35*(1+Salary_Raise)^(BF$5-1)</f>
        <v>353112.669</v>
      </c>
      <c r="BG124" s="33" t="n">
        <f aca="false">BG39*'Hiring plan'!$K$35*(1+Salary_Raise)^(BG$5-1)</f>
        <v>353112.669</v>
      </c>
      <c r="BH124" s="33" t="n">
        <f aca="false">BH39*'Hiring plan'!$K$35*(1+Salary_Raise)^(BH$5-1)</f>
        <v>353112.669</v>
      </c>
      <c r="BI124" s="33" t="n">
        <f aca="false">BI39*'Hiring plan'!$K$35*(1+Salary_Raise)^(BI$5-1)</f>
        <v>353112.669</v>
      </c>
      <c r="BJ124" s="33" t="n">
        <f aca="false">BJ39*'Hiring plan'!$K$35*(1+Salary_Raise)^(BJ$5-1)</f>
        <v>353112.669</v>
      </c>
      <c r="BK124" s="33" t="n">
        <f aca="false">BK39*'Hiring plan'!$K$35*(1+Salary_Raise)^(BK$5-1)</f>
        <v>353112.669</v>
      </c>
      <c r="BL124" s="33" t="n">
        <f aca="false">BL39*'Hiring plan'!$K$35*(1+Salary_Raise)^(BL$5-1)</f>
        <v>353112.669</v>
      </c>
    </row>
    <row r="125" customFormat="false" ht="15" hidden="false" customHeight="false" outlineLevel="0" collapsed="false">
      <c r="A125" s="12" t="str">
        <f aca="false">A40</f>
        <v>KYC / onboarding agent · SN</v>
      </c>
      <c r="B125" s="14" t="s">
        <v>63</v>
      </c>
      <c r="D125" s="41" t="n">
        <f aca="false">SUM(E125:BL125)</f>
        <v>18329612.1855</v>
      </c>
      <c r="E125" s="33" t="n">
        <f aca="false">E40*'Hiring plan'!$K$36*(1+Salary_Raise)^(E$5-1)</f>
        <v>0</v>
      </c>
      <c r="F125" s="33" t="n">
        <f aca="false">F40*'Hiring plan'!$K$36*(1+Salary_Raise)^(F$5-1)</f>
        <v>0</v>
      </c>
      <c r="G125" s="33" t="n">
        <f aca="false">G40*'Hiring plan'!$K$36*(1+Salary_Raise)^(G$5-1)</f>
        <v>0</v>
      </c>
      <c r="H125" s="33" t="n">
        <f aca="false">H40*'Hiring plan'!$K$36*(1+Salary_Raise)^(H$5-1)</f>
        <v>0</v>
      </c>
      <c r="I125" s="33" t="n">
        <f aca="false">I40*'Hiring plan'!$K$36*(1+Salary_Raise)^(I$5-1)</f>
        <v>0</v>
      </c>
      <c r="J125" s="33" t="n">
        <f aca="false">J40*'Hiring plan'!$K$36*(1+Salary_Raise)^(J$5-1)</f>
        <v>0</v>
      </c>
      <c r="K125" s="33" t="n">
        <f aca="false">K40*'Hiring plan'!$K$36*(1+Salary_Raise)^(K$5-1)</f>
        <v>0</v>
      </c>
      <c r="L125" s="33" t="n">
        <f aca="false">L40*'Hiring plan'!$K$36*(1+Salary_Raise)^(L$5-1)</f>
        <v>0</v>
      </c>
      <c r="M125" s="33" t="n">
        <f aca="false">M40*'Hiring plan'!$K$36*(1+Salary_Raise)^(M$5-1)</f>
        <v>0</v>
      </c>
      <c r="N125" s="33" t="n">
        <f aca="false">N40*'Hiring plan'!$K$36*(1+Salary_Raise)^(N$5-1)</f>
        <v>0</v>
      </c>
      <c r="O125" s="33" t="n">
        <f aca="false">O40*'Hiring plan'!$K$36*(1+Salary_Raise)^(O$5-1)</f>
        <v>0</v>
      </c>
      <c r="P125" s="33" t="n">
        <f aca="false">P40*'Hiring plan'!$K$36*(1+Salary_Raise)^(P$5-1)</f>
        <v>0</v>
      </c>
      <c r="Q125" s="33" t="n">
        <f aca="false">Q40*'Hiring plan'!$K$36*(1+Salary_Raise)^(Q$5-1)</f>
        <v>0</v>
      </c>
      <c r="R125" s="33" t="n">
        <f aca="false">R40*'Hiring plan'!$K$36*(1+Salary_Raise)^(R$5-1)</f>
        <v>0</v>
      </c>
      <c r="S125" s="33" t="n">
        <f aca="false">S40*'Hiring plan'!$K$36*(1+Salary_Raise)^(S$5-1)</f>
        <v>0</v>
      </c>
      <c r="T125" s="33" t="n">
        <f aca="false">T40*'Hiring plan'!$K$36*(1+Salary_Raise)^(T$5-1)</f>
        <v>0</v>
      </c>
      <c r="U125" s="33" t="n">
        <f aca="false">U40*'Hiring plan'!$K$36*(1+Salary_Raise)^(U$5-1)</f>
        <v>0</v>
      </c>
      <c r="V125" s="33" t="n">
        <f aca="false">V40*'Hiring plan'!$K$36*(1+Salary_Raise)^(V$5-1)</f>
        <v>0</v>
      </c>
      <c r="W125" s="33" t="n">
        <f aca="false">W40*'Hiring plan'!$K$36*(1+Salary_Raise)^(W$5-1)</f>
        <v>400897</v>
      </c>
      <c r="X125" s="33" t="n">
        <f aca="false">X40*'Hiring plan'!$K$36*(1+Salary_Raise)^(X$5-1)</f>
        <v>400897</v>
      </c>
      <c r="Y125" s="33" t="n">
        <f aca="false">Y40*'Hiring plan'!$K$36*(1+Salary_Raise)^(Y$5-1)</f>
        <v>400897</v>
      </c>
      <c r="Z125" s="33" t="n">
        <f aca="false">Z40*'Hiring plan'!$K$36*(1+Salary_Raise)^(Z$5-1)</f>
        <v>400897</v>
      </c>
      <c r="AA125" s="33" t="n">
        <f aca="false">AA40*'Hiring plan'!$K$36*(1+Salary_Raise)^(AA$5-1)</f>
        <v>400897</v>
      </c>
      <c r="AB125" s="33" t="n">
        <f aca="false">AB40*'Hiring plan'!$K$36*(1+Salary_Raise)^(AB$5-1)</f>
        <v>400897</v>
      </c>
      <c r="AC125" s="33" t="n">
        <f aca="false">AC40*'Hiring plan'!$K$36*(1+Salary_Raise)^(AC$5-1)</f>
        <v>420941.85</v>
      </c>
      <c r="AD125" s="33" t="n">
        <f aca="false">AD40*'Hiring plan'!$K$36*(1+Salary_Raise)^(AD$5-1)</f>
        <v>420941.85</v>
      </c>
      <c r="AE125" s="33" t="n">
        <f aca="false">AE40*'Hiring plan'!$K$36*(1+Salary_Raise)^(AE$5-1)</f>
        <v>420941.85</v>
      </c>
      <c r="AF125" s="33" t="n">
        <f aca="false">AF40*'Hiring plan'!$K$36*(1+Salary_Raise)^(AF$5-1)</f>
        <v>420941.85</v>
      </c>
      <c r="AG125" s="33" t="n">
        <f aca="false">AG40*'Hiring plan'!$K$36*(1+Salary_Raise)^(AG$5-1)</f>
        <v>420941.85</v>
      </c>
      <c r="AH125" s="33" t="n">
        <f aca="false">AH40*'Hiring plan'!$K$36*(1+Salary_Raise)^(AH$5-1)</f>
        <v>420941.85</v>
      </c>
      <c r="AI125" s="33" t="n">
        <f aca="false">AI40*'Hiring plan'!$K$36*(1+Salary_Raise)^(AI$5-1)</f>
        <v>420941.85</v>
      </c>
      <c r="AJ125" s="33" t="n">
        <f aca="false">AJ40*'Hiring plan'!$K$36*(1+Salary_Raise)^(AJ$5-1)</f>
        <v>420941.85</v>
      </c>
      <c r="AK125" s="33" t="n">
        <f aca="false">AK40*'Hiring plan'!$K$36*(1+Salary_Raise)^(AK$5-1)</f>
        <v>420941.85</v>
      </c>
      <c r="AL125" s="33" t="n">
        <f aca="false">AL40*'Hiring plan'!$K$36*(1+Salary_Raise)^(AL$5-1)</f>
        <v>420941.85</v>
      </c>
      <c r="AM125" s="33" t="n">
        <f aca="false">AM40*'Hiring plan'!$K$36*(1+Salary_Raise)^(AM$5-1)</f>
        <v>420941.85</v>
      </c>
      <c r="AN125" s="33" t="n">
        <f aca="false">AN40*'Hiring plan'!$K$36*(1+Salary_Raise)^(AN$5-1)</f>
        <v>420941.85</v>
      </c>
      <c r="AO125" s="33" t="n">
        <f aca="false">AO40*'Hiring plan'!$K$36*(1+Salary_Raise)^(AO$5-1)</f>
        <v>441988.9425</v>
      </c>
      <c r="AP125" s="33" t="n">
        <f aca="false">AP40*'Hiring plan'!$K$36*(1+Salary_Raise)^(AP$5-1)</f>
        <v>441988.9425</v>
      </c>
      <c r="AQ125" s="33" t="n">
        <f aca="false">AQ40*'Hiring plan'!$K$36*(1+Salary_Raise)^(AQ$5-1)</f>
        <v>441988.9425</v>
      </c>
      <c r="AR125" s="33" t="n">
        <f aca="false">AR40*'Hiring plan'!$K$36*(1+Salary_Raise)^(AR$5-1)</f>
        <v>441988.9425</v>
      </c>
      <c r="AS125" s="33" t="n">
        <f aca="false">AS40*'Hiring plan'!$K$36*(1+Salary_Raise)^(AS$5-1)</f>
        <v>441988.9425</v>
      </c>
      <c r="AT125" s="33" t="n">
        <f aca="false">AT40*'Hiring plan'!$K$36*(1+Salary_Raise)^(AT$5-1)</f>
        <v>441988.9425</v>
      </c>
      <c r="AU125" s="33" t="n">
        <f aca="false">AU40*'Hiring plan'!$K$36*(1+Salary_Raise)^(AU$5-1)</f>
        <v>441988.9425</v>
      </c>
      <c r="AV125" s="33" t="n">
        <f aca="false">AV40*'Hiring plan'!$K$36*(1+Salary_Raise)^(AV$5-1)</f>
        <v>441988.9425</v>
      </c>
      <c r="AW125" s="33" t="n">
        <f aca="false">AW40*'Hiring plan'!$K$36*(1+Salary_Raise)^(AW$5-1)</f>
        <v>441988.9425</v>
      </c>
      <c r="AX125" s="33" t="n">
        <f aca="false">AX40*'Hiring plan'!$K$36*(1+Salary_Raise)^(AX$5-1)</f>
        <v>441988.9425</v>
      </c>
      <c r="AY125" s="33" t="n">
        <f aca="false">AY40*'Hiring plan'!$K$36*(1+Salary_Raise)^(AY$5-1)</f>
        <v>441988.9425</v>
      </c>
      <c r="AZ125" s="33" t="n">
        <f aca="false">AZ40*'Hiring plan'!$K$36*(1+Salary_Raise)^(AZ$5-1)</f>
        <v>441988.9425</v>
      </c>
      <c r="BA125" s="33" t="n">
        <f aca="false">BA40*'Hiring plan'!$K$36*(1+Salary_Raise)^(BA$5-1)</f>
        <v>464088.389625</v>
      </c>
      <c r="BB125" s="33" t="n">
        <f aca="false">BB40*'Hiring plan'!$K$36*(1+Salary_Raise)^(BB$5-1)</f>
        <v>464088.389625</v>
      </c>
      <c r="BC125" s="33" t="n">
        <f aca="false">BC40*'Hiring plan'!$K$36*(1+Salary_Raise)^(BC$5-1)</f>
        <v>464088.389625</v>
      </c>
      <c r="BD125" s="33" t="n">
        <f aca="false">BD40*'Hiring plan'!$K$36*(1+Salary_Raise)^(BD$5-1)</f>
        <v>464088.389625</v>
      </c>
      <c r="BE125" s="33" t="n">
        <f aca="false">BE40*'Hiring plan'!$K$36*(1+Salary_Raise)^(BE$5-1)</f>
        <v>464088.389625</v>
      </c>
      <c r="BF125" s="33" t="n">
        <f aca="false">BF40*'Hiring plan'!$K$36*(1+Salary_Raise)^(BF$5-1)</f>
        <v>464088.389625</v>
      </c>
      <c r="BG125" s="33" t="n">
        <f aca="false">BG40*'Hiring plan'!$K$36*(1+Salary_Raise)^(BG$5-1)</f>
        <v>464088.389625</v>
      </c>
      <c r="BH125" s="33" t="n">
        <f aca="false">BH40*'Hiring plan'!$K$36*(1+Salary_Raise)^(BH$5-1)</f>
        <v>464088.389625</v>
      </c>
      <c r="BI125" s="33" t="n">
        <f aca="false">BI40*'Hiring plan'!$K$36*(1+Salary_Raise)^(BI$5-1)</f>
        <v>464088.389625</v>
      </c>
      <c r="BJ125" s="33" t="n">
        <f aca="false">BJ40*'Hiring plan'!$K$36*(1+Salary_Raise)^(BJ$5-1)</f>
        <v>464088.389625</v>
      </c>
      <c r="BK125" s="33" t="n">
        <f aca="false">BK40*'Hiring plan'!$K$36*(1+Salary_Raise)^(BK$5-1)</f>
        <v>464088.389625</v>
      </c>
      <c r="BL125" s="33" t="n">
        <f aca="false">BL40*'Hiring plan'!$K$36*(1+Salary_Raise)^(BL$5-1)</f>
        <v>464088.389625</v>
      </c>
    </row>
    <row r="126" customFormat="false" ht="15" hidden="false" customHeight="false" outlineLevel="0" collapsed="false">
      <c r="A126" s="12" t="str">
        <f aca="false">A41</f>
        <v>Customer support agent · SN</v>
      </c>
      <c r="B126" s="14" t="s">
        <v>63</v>
      </c>
      <c r="D126" s="41" t="n">
        <f aca="false">SUM(E126:BL126)</f>
        <v>41839561.764</v>
      </c>
      <c r="E126" s="33" t="n">
        <f aca="false">E41*'Hiring plan'!$K$37*(1+Salary_Raise)^(E$5-1)</f>
        <v>0</v>
      </c>
      <c r="F126" s="33" t="n">
        <f aca="false">F41*'Hiring plan'!$K$37*(1+Salary_Raise)^(F$5-1)</f>
        <v>0</v>
      </c>
      <c r="G126" s="33" t="n">
        <f aca="false">G41*'Hiring plan'!$K$37*(1+Salary_Raise)^(G$5-1)</f>
        <v>0</v>
      </c>
      <c r="H126" s="33" t="n">
        <f aca="false">H41*'Hiring plan'!$K$37*(1+Salary_Raise)^(H$5-1)</f>
        <v>0</v>
      </c>
      <c r="I126" s="33" t="n">
        <f aca="false">I41*'Hiring plan'!$K$37*(1+Salary_Raise)^(I$5-1)</f>
        <v>0</v>
      </c>
      <c r="J126" s="33" t="n">
        <f aca="false">J41*'Hiring plan'!$K$37*(1+Salary_Raise)^(J$5-1)</f>
        <v>0</v>
      </c>
      <c r="K126" s="33" t="n">
        <f aca="false">K41*'Hiring plan'!$K$37*(1+Salary_Raise)^(K$5-1)</f>
        <v>0</v>
      </c>
      <c r="L126" s="33" t="n">
        <f aca="false">L41*'Hiring plan'!$K$37*(1+Salary_Raise)^(L$5-1)</f>
        <v>0</v>
      </c>
      <c r="M126" s="33" t="n">
        <f aca="false">M41*'Hiring plan'!$K$37*(1+Salary_Raise)^(M$5-1)</f>
        <v>0</v>
      </c>
      <c r="N126" s="33" t="n">
        <f aca="false">N41*'Hiring plan'!$K$37*(1+Salary_Raise)^(N$5-1)</f>
        <v>0</v>
      </c>
      <c r="O126" s="33" t="n">
        <f aca="false">O41*'Hiring plan'!$K$37*(1+Salary_Raise)^(O$5-1)</f>
        <v>0</v>
      </c>
      <c r="P126" s="33" t="n">
        <f aca="false">P41*'Hiring plan'!$K$37*(1+Salary_Raise)^(P$5-1)</f>
        <v>0</v>
      </c>
      <c r="Q126" s="33" t="n">
        <f aca="false">Q41*'Hiring plan'!$K$37*(1+Salary_Raise)^(Q$5-1)</f>
        <v>0</v>
      </c>
      <c r="R126" s="33" t="n">
        <f aca="false">R41*'Hiring plan'!$K$37*(1+Salary_Raise)^(R$5-1)</f>
        <v>0</v>
      </c>
      <c r="S126" s="33" t="n">
        <f aca="false">S41*'Hiring plan'!$K$37*(1+Salary_Raise)^(S$5-1)</f>
        <v>0</v>
      </c>
      <c r="T126" s="33" t="n">
        <f aca="false">T41*'Hiring plan'!$K$37*(1+Salary_Raise)^(T$5-1)</f>
        <v>0</v>
      </c>
      <c r="U126" s="33" t="n">
        <f aca="false">U41*'Hiring plan'!$K$37*(1+Salary_Raise)^(U$5-1)</f>
        <v>0</v>
      </c>
      <c r="V126" s="33" t="n">
        <f aca="false">V41*'Hiring plan'!$K$37*(1+Salary_Raise)^(V$5-1)</f>
        <v>0</v>
      </c>
      <c r="W126" s="33" t="n">
        <f aca="false">W41*'Hiring plan'!$K$37*(1+Salary_Raise)^(W$5-1)</f>
        <v>915096</v>
      </c>
      <c r="X126" s="33" t="n">
        <f aca="false">X41*'Hiring plan'!$K$37*(1+Salary_Raise)^(X$5-1)</f>
        <v>915096</v>
      </c>
      <c r="Y126" s="33" t="n">
        <f aca="false">Y41*'Hiring plan'!$K$37*(1+Salary_Raise)^(Y$5-1)</f>
        <v>915096</v>
      </c>
      <c r="Z126" s="33" t="n">
        <f aca="false">Z41*'Hiring plan'!$K$37*(1+Salary_Raise)^(Z$5-1)</f>
        <v>915096</v>
      </c>
      <c r="AA126" s="33" t="n">
        <f aca="false">AA41*'Hiring plan'!$K$37*(1+Salary_Raise)^(AA$5-1)</f>
        <v>915096</v>
      </c>
      <c r="AB126" s="33" t="n">
        <f aca="false">AB41*'Hiring plan'!$K$37*(1+Salary_Raise)^(AB$5-1)</f>
        <v>915096</v>
      </c>
      <c r="AC126" s="33" t="n">
        <f aca="false">AC41*'Hiring plan'!$K$37*(1+Salary_Raise)^(AC$5-1)</f>
        <v>960850.8</v>
      </c>
      <c r="AD126" s="33" t="n">
        <f aca="false">AD41*'Hiring plan'!$K$37*(1+Salary_Raise)^(AD$5-1)</f>
        <v>960850.8</v>
      </c>
      <c r="AE126" s="33" t="n">
        <f aca="false">AE41*'Hiring plan'!$K$37*(1+Salary_Raise)^(AE$5-1)</f>
        <v>960850.8</v>
      </c>
      <c r="AF126" s="33" t="n">
        <f aca="false">AF41*'Hiring plan'!$K$37*(1+Salary_Raise)^(AF$5-1)</f>
        <v>960850.8</v>
      </c>
      <c r="AG126" s="33" t="n">
        <f aca="false">AG41*'Hiring plan'!$K$37*(1+Salary_Raise)^(AG$5-1)</f>
        <v>960850.8</v>
      </c>
      <c r="AH126" s="33" t="n">
        <f aca="false">AH41*'Hiring plan'!$K$37*(1+Salary_Raise)^(AH$5-1)</f>
        <v>960850.8</v>
      </c>
      <c r="AI126" s="33" t="n">
        <f aca="false">AI41*'Hiring plan'!$K$37*(1+Salary_Raise)^(AI$5-1)</f>
        <v>960850.8</v>
      </c>
      <c r="AJ126" s="33" t="n">
        <f aca="false">AJ41*'Hiring plan'!$K$37*(1+Salary_Raise)^(AJ$5-1)</f>
        <v>960850.8</v>
      </c>
      <c r="AK126" s="33" t="n">
        <f aca="false">AK41*'Hiring plan'!$K$37*(1+Salary_Raise)^(AK$5-1)</f>
        <v>960850.8</v>
      </c>
      <c r="AL126" s="33" t="n">
        <f aca="false">AL41*'Hiring plan'!$K$37*(1+Salary_Raise)^(AL$5-1)</f>
        <v>960850.8</v>
      </c>
      <c r="AM126" s="33" t="n">
        <f aca="false">AM41*'Hiring plan'!$K$37*(1+Salary_Raise)^(AM$5-1)</f>
        <v>960850.8</v>
      </c>
      <c r="AN126" s="33" t="n">
        <f aca="false">AN41*'Hiring plan'!$K$37*(1+Salary_Raise)^(AN$5-1)</f>
        <v>960850.8</v>
      </c>
      <c r="AO126" s="33" t="n">
        <f aca="false">AO41*'Hiring plan'!$K$37*(1+Salary_Raise)^(AO$5-1)</f>
        <v>1008893.34</v>
      </c>
      <c r="AP126" s="33" t="n">
        <f aca="false">AP41*'Hiring plan'!$K$37*(1+Salary_Raise)^(AP$5-1)</f>
        <v>1008893.34</v>
      </c>
      <c r="AQ126" s="33" t="n">
        <f aca="false">AQ41*'Hiring plan'!$K$37*(1+Salary_Raise)^(AQ$5-1)</f>
        <v>1008893.34</v>
      </c>
      <c r="AR126" s="33" t="n">
        <f aca="false">AR41*'Hiring plan'!$K$37*(1+Salary_Raise)^(AR$5-1)</f>
        <v>1008893.34</v>
      </c>
      <c r="AS126" s="33" t="n">
        <f aca="false">AS41*'Hiring plan'!$K$37*(1+Salary_Raise)^(AS$5-1)</f>
        <v>1008893.34</v>
      </c>
      <c r="AT126" s="33" t="n">
        <f aca="false">AT41*'Hiring plan'!$K$37*(1+Salary_Raise)^(AT$5-1)</f>
        <v>1008893.34</v>
      </c>
      <c r="AU126" s="33" t="n">
        <f aca="false">AU41*'Hiring plan'!$K$37*(1+Salary_Raise)^(AU$5-1)</f>
        <v>1008893.34</v>
      </c>
      <c r="AV126" s="33" t="n">
        <f aca="false">AV41*'Hiring plan'!$K$37*(1+Salary_Raise)^(AV$5-1)</f>
        <v>1008893.34</v>
      </c>
      <c r="AW126" s="33" t="n">
        <f aca="false">AW41*'Hiring plan'!$K$37*(1+Salary_Raise)^(AW$5-1)</f>
        <v>1008893.34</v>
      </c>
      <c r="AX126" s="33" t="n">
        <f aca="false">AX41*'Hiring plan'!$K$37*(1+Salary_Raise)^(AX$5-1)</f>
        <v>1008893.34</v>
      </c>
      <c r="AY126" s="33" t="n">
        <f aca="false">AY41*'Hiring plan'!$K$37*(1+Salary_Raise)^(AY$5-1)</f>
        <v>1008893.34</v>
      </c>
      <c r="AZ126" s="33" t="n">
        <f aca="false">AZ41*'Hiring plan'!$K$37*(1+Salary_Raise)^(AZ$5-1)</f>
        <v>1008893.34</v>
      </c>
      <c r="BA126" s="33" t="n">
        <f aca="false">BA41*'Hiring plan'!$K$37*(1+Salary_Raise)^(BA$5-1)</f>
        <v>1059338.007</v>
      </c>
      <c r="BB126" s="33" t="n">
        <f aca="false">BB41*'Hiring plan'!$K$37*(1+Salary_Raise)^(BB$5-1)</f>
        <v>1059338.007</v>
      </c>
      <c r="BC126" s="33" t="n">
        <f aca="false">BC41*'Hiring plan'!$K$37*(1+Salary_Raise)^(BC$5-1)</f>
        <v>1059338.007</v>
      </c>
      <c r="BD126" s="33" t="n">
        <f aca="false">BD41*'Hiring plan'!$K$37*(1+Salary_Raise)^(BD$5-1)</f>
        <v>1059338.007</v>
      </c>
      <c r="BE126" s="33" t="n">
        <f aca="false">BE41*'Hiring plan'!$K$37*(1+Salary_Raise)^(BE$5-1)</f>
        <v>1059338.007</v>
      </c>
      <c r="BF126" s="33" t="n">
        <f aca="false">BF41*'Hiring plan'!$K$37*(1+Salary_Raise)^(BF$5-1)</f>
        <v>1059338.007</v>
      </c>
      <c r="BG126" s="33" t="n">
        <f aca="false">BG41*'Hiring plan'!$K$37*(1+Salary_Raise)^(BG$5-1)</f>
        <v>1059338.007</v>
      </c>
      <c r="BH126" s="33" t="n">
        <f aca="false">BH41*'Hiring plan'!$K$37*(1+Salary_Raise)^(BH$5-1)</f>
        <v>1059338.007</v>
      </c>
      <c r="BI126" s="33" t="n">
        <f aca="false">BI41*'Hiring plan'!$K$37*(1+Salary_Raise)^(BI$5-1)</f>
        <v>1059338.007</v>
      </c>
      <c r="BJ126" s="33" t="n">
        <f aca="false">BJ41*'Hiring plan'!$K$37*(1+Salary_Raise)^(BJ$5-1)</f>
        <v>1059338.007</v>
      </c>
      <c r="BK126" s="33" t="n">
        <f aca="false">BK41*'Hiring plan'!$K$37*(1+Salary_Raise)^(BK$5-1)</f>
        <v>1059338.007</v>
      </c>
      <c r="BL126" s="33" t="n">
        <f aca="false">BL41*'Hiring plan'!$K$37*(1+Salary_Raise)^(BL$5-1)</f>
        <v>1059338.007</v>
      </c>
    </row>
    <row r="127" customFormat="false" ht="15" hidden="false" customHeight="false" outlineLevel="0" collapsed="false">
      <c r="A127" s="12" t="str">
        <f aca="false">A42</f>
        <v>KYC and support agent, Abidjan · CI</v>
      </c>
      <c r="B127" s="14" t="s">
        <v>63</v>
      </c>
      <c r="D127" s="41" t="n">
        <f aca="false">SUM(E127:BL127)</f>
        <v>39533277.861</v>
      </c>
      <c r="E127" s="33" t="n">
        <f aca="false">E42*'Hiring plan'!$K$38*(1+Salary_Raise)^(E$5-1)</f>
        <v>0</v>
      </c>
      <c r="F127" s="33" t="n">
        <f aca="false">F42*'Hiring plan'!$K$38*(1+Salary_Raise)^(F$5-1)</f>
        <v>0</v>
      </c>
      <c r="G127" s="33" t="n">
        <f aca="false">G42*'Hiring plan'!$K$38*(1+Salary_Raise)^(G$5-1)</f>
        <v>0</v>
      </c>
      <c r="H127" s="33" t="n">
        <f aca="false">H42*'Hiring plan'!$K$38*(1+Salary_Raise)^(H$5-1)</f>
        <v>0</v>
      </c>
      <c r="I127" s="33" t="n">
        <f aca="false">I42*'Hiring plan'!$K$38*(1+Salary_Raise)^(I$5-1)</f>
        <v>0</v>
      </c>
      <c r="J127" s="33" t="n">
        <f aca="false">J42*'Hiring plan'!$K$38*(1+Salary_Raise)^(J$5-1)</f>
        <v>0</v>
      </c>
      <c r="K127" s="33" t="n">
        <f aca="false">K42*'Hiring plan'!$K$38*(1+Salary_Raise)^(K$5-1)</f>
        <v>0</v>
      </c>
      <c r="L127" s="33" t="n">
        <f aca="false">L42*'Hiring plan'!$K$38*(1+Salary_Raise)^(L$5-1)</f>
        <v>0</v>
      </c>
      <c r="M127" s="33" t="n">
        <f aca="false">M42*'Hiring plan'!$K$38*(1+Salary_Raise)^(M$5-1)</f>
        <v>0</v>
      </c>
      <c r="N127" s="33" t="n">
        <f aca="false">N42*'Hiring plan'!$K$38*(1+Salary_Raise)^(N$5-1)</f>
        <v>0</v>
      </c>
      <c r="O127" s="33" t="n">
        <f aca="false">O42*'Hiring plan'!$K$38*(1+Salary_Raise)^(O$5-1)</f>
        <v>0</v>
      </c>
      <c r="P127" s="33" t="n">
        <f aca="false">P42*'Hiring plan'!$K$38*(1+Salary_Raise)^(P$5-1)</f>
        <v>0</v>
      </c>
      <c r="Q127" s="33" t="n">
        <f aca="false">Q42*'Hiring plan'!$K$38*(1+Salary_Raise)^(Q$5-1)</f>
        <v>0</v>
      </c>
      <c r="R127" s="33" t="n">
        <f aca="false">R42*'Hiring plan'!$K$38*(1+Salary_Raise)^(R$5-1)</f>
        <v>0</v>
      </c>
      <c r="S127" s="33" t="n">
        <f aca="false">S42*'Hiring plan'!$K$38*(1+Salary_Raise)^(S$5-1)</f>
        <v>0</v>
      </c>
      <c r="T127" s="33" t="n">
        <f aca="false">T42*'Hiring plan'!$K$38*(1+Salary_Raise)^(T$5-1)</f>
        <v>0</v>
      </c>
      <c r="U127" s="33" t="n">
        <f aca="false">U42*'Hiring plan'!$K$38*(1+Salary_Raise)^(U$5-1)</f>
        <v>0</v>
      </c>
      <c r="V127" s="33" t="n">
        <f aca="false">V42*'Hiring plan'!$K$38*(1+Salary_Raise)^(V$5-1)</f>
        <v>0</v>
      </c>
      <c r="W127" s="33" t="n">
        <f aca="false">W42*'Hiring plan'!$K$38*(1+Salary_Raise)^(W$5-1)</f>
        <v>864654</v>
      </c>
      <c r="X127" s="33" t="n">
        <f aca="false">X42*'Hiring plan'!$K$38*(1+Salary_Raise)^(X$5-1)</f>
        <v>864654</v>
      </c>
      <c r="Y127" s="33" t="n">
        <f aca="false">Y42*'Hiring plan'!$K$38*(1+Salary_Raise)^(Y$5-1)</f>
        <v>864654</v>
      </c>
      <c r="Z127" s="33" t="n">
        <f aca="false">Z42*'Hiring plan'!$K$38*(1+Salary_Raise)^(Z$5-1)</f>
        <v>864654</v>
      </c>
      <c r="AA127" s="33" t="n">
        <f aca="false">AA42*'Hiring plan'!$K$38*(1+Salary_Raise)^(AA$5-1)</f>
        <v>864654</v>
      </c>
      <c r="AB127" s="33" t="n">
        <f aca="false">AB42*'Hiring plan'!$K$38*(1+Salary_Raise)^(AB$5-1)</f>
        <v>864654</v>
      </c>
      <c r="AC127" s="33" t="n">
        <f aca="false">AC42*'Hiring plan'!$K$38*(1+Salary_Raise)^(AC$5-1)</f>
        <v>907886.7</v>
      </c>
      <c r="AD127" s="33" t="n">
        <f aca="false">AD42*'Hiring plan'!$K$38*(1+Salary_Raise)^(AD$5-1)</f>
        <v>907886.7</v>
      </c>
      <c r="AE127" s="33" t="n">
        <f aca="false">AE42*'Hiring plan'!$K$38*(1+Salary_Raise)^(AE$5-1)</f>
        <v>907886.7</v>
      </c>
      <c r="AF127" s="33" t="n">
        <f aca="false">AF42*'Hiring plan'!$K$38*(1+Salary_Raise)^(AF$5-1)</f>
        <v>907886.7</v>
      </c>
      <c r="AG127" s="33" t="n">
        <f aca="false">AG42*'Hiring plan'!$K$38*(1+Salary_Raise)^(AG$5-1)</f>
        <v>907886.7</v>
      </c>
      <c r="AH127" s="33" t="n">
        <f aca="false">AH42*'Hiring plan'!$K$38*(1+Salary_Raise)^(AH$5-1)</f>
        <v>907886.7</v>
      </c>
      <c r="AI127" s="33" t="n">
        <f aca="false">AI42*'Hiring plan'!$K$38*(1+Salary_Raise)^(AI$5-1)</f>
        <v>907886.7</v>
      </c>
      <c r="AJ127" s="33" t="n">
        <f aca="false">AJ42*'Hiring plan'!$K$38*(1+Salary_Raise)^(AJ$5-1)</f>
        <v>907886.7</v>
      </c>
      <c r="AK127" s="33" t="n">
        <f aca="false">AK42*'Hiring plan'!$K$38*(1+Salary_Raise)^(AK$5-1)</f>
        <v>907886.7</v>
      </c>
      <c r="AL127" s="33" t="n">
        <f aca="false">AL42*'Hiring plan'!$K$38*(1+Salary_Raise)^(AL$5-1)</f>
        <v>907886.7</v>
      </c>
      <c r="AM127" s="33" t="n">
        <f aca="false">AM42*'Hiring plan'!$K$38*(1+Salary_Raise)^(AM$5-1)</f>
        <v>907886.7</v>
      </c>
      <c r="AN127" s="33" t="n">
        <f aca="false">AN42*'Hiring plan'!$K$38*(1+Salary_Raise)^(AN$5-1)</f>
        <v>907886.7</v>
      </c>
      <c r="AO127" s="33" t="n">
        <f aca="false">AO42*'Hiring plan'!$K$38*(1+Salary_Raise)^(AO$5-1)</f>
        <v>953281.035</v>
      </c>
      <c r="AP127" s="33" t="n">
        <f aca="false">AP42*'Hiring plan'!$K$38*(1+Salary_Raise)^(AP$5-1)</f>
        <v>953281.035</v>
      </c>
      <c r="AQ127" s="33" t="n">
        <f aca="false">AQ42*'Hiring plan'!$K$38*(1+Salary_Raise)^(AQ$5-1)</f>
        <v>953281.035</v>
      </c>
      <c r="AR127" s="33" t="n">
        <f aca="false">AR42*'Hiring plan'!$K$38*(1+Salary_Raise)^(AR$5-1)</f>
        <v>953281.035</v>
      </c>
      <c r="AS127" s="33" t="n">
        <f aca="false">AS42*'Hiring plan'!$K$38*(1+Salary_Raise)^(AS$5-1)</f>
        <v>953281.035</v>
      </c>
      <c r="AT127" s="33" t="n">
        <f aca="false">AT42*'Hiring plan'!$K$38*(1+Salary_Raise)^(AT$5-1)</f>
        <v>953281.035</v>
      </c>
      <c r="AU127" s="33" t="n">
        <f aca="false">AU42*'Hiring plan'!$K$38*(1+Salary_Raise)^(AU$5-1)</f>
        <v>953281.035</v>
      </c>
      <c r="AV127" s="33" t="n">
        <f aca="false">AV42*'Hiring plan'!$K$38*(1+Salary_Raise)^(AV$5-1)</f>
        <v>953281.035</v>
      </c>
      <c r="AW127" s="33" t="n">
        <f aca="false">AW42*'Hiring plan'!$K$38*(1+Salary_Raise)^(AW$5-1)</f>
        <v>953281.035</v>
      </c>
      <c r="AX127" s="33" t="n">
        <f aca="false">AX42*'Hiring plan'!$K$38*(1+Salary_Raise)^(AX$5-1)</f>
        <v>953281.035</v>
      </c>
      <c r="AY127" s="33" t="n">
        <f aca="false">AY42*'Hiring plan'!$K$38*(1+Salary_Raise)^(AY$5-1)</f>
        <v>953281.035</v>
      </c>
      <c r="AZ127" s="33" t="n">
        <f aca="false">AZ42*'Hiring plan'!$K$38*(1+Salary_Raise)^(AZ$5-1)</f>
        <v>953281.035</v>
      </c>
      <c r="BA127" s="33" t="n">
        <f aca="false">BA42*'Hiring plan'!$K$38*(1+Salary_Raise)^(BA$5-1)</f>
        <v>1000945.08675</v>
      </c>
      <c r="BB127" s="33" t="n">
        <f aca="false">BB42*'Hiring plan'!$K$38*(1+Salary_Raise)^(BB$5-1)</f>
        <v>1000945.08675</v>
      </c>
      <c r="BC127" s="33" t="n">
        <f aca="false">BC42*'Hiring plan'!$K$38*(1+Salary_Raise)^(BC$5-1)</f>
        <v>1000945.08675</v>
      </c>
      <c r="BD127" s="33" t="n">
        <f aca="false">BD42*'Hiring plan'!$K$38*(1+Salary_Raise)^(BD$5-1)</f>
        <v>1000945.08675</v>
      </c>
      <c r="BE127" s="33" t="n">
        <f aca="false">BE42*'Hiring plan'!$K$38*(1+Salary_Raise)^(BE$5-1)</f>
        <v>1000945.08675</v>
      </c>
      <c r="BF127" s="33" t="n">
        <f aca="false">BF42*'Hiring plan'!$K$38*(1+Salary_Raise)^(BF$5-1)</f>
        <v>1000945.08675</v>
      </c>
      <c r="BG127" s="33" t="n">
        <f aca="false">BG42*'Hiring plan'!$K$38*(1+Salary_Raise)^(BG$5-1)</f>
        <v>1000945.08675</v>
      </c>
      <c r="BH127" s="33" t="n">
        <f aca="false">BH42*'Hiring plan'!$K$38*(1+Salary_Raise)^(BH$5-1)</f>
        <v>1000945.08675</v>
      </c>
      <c r="BI127" s="33" t="n">
        <f aca="false">BI42*'Hiring plan'!$K$38*(1+Salary_Raise)^(BI$5-1)</f>
        <v>1000945.08675</v>
      </c>
      <c r="BJ127" s="33" t="n">
        <f aca="false">BJ42*'Hiring plan'!$K$38*(1+Salary_Raise)^(BJ$5-1)</f>
        <v>1000945.08675</v>
      </c>
      <c r="BK127" s="33" t="n">
        <f aca="false">BK42*'Hiring plan'!$K$38*(1+Salary_Raise)^(BK$5-1)</f>
        <v>1000945.08675</v>
      </c>
      <c r="BL127" s="33" t="n">
        <f aca="false">BL42*'Hiring plan'!$K$38*(1+Salary_Raise)^(BL$5-1)</f>
        <v>1000945.08675</v>
      </c>
    </row>
    <row r="128" customFormat="false" ht="15" hidden="false" customHeight="false" outlineLevel="0" collapsed="false">
      <c r="A128" s="12" t="str">
        <f aca="false">A43</f>
        <v>Operations manager · SN</v>
      </c>
      <c r="B128" s="14" t="s">
        <v>63</v>
      </c>
      <c r="D128" s="41" t="n">
        <f aca="false">SUM(E128:BL128)</f>
        <v>46198479.8457</v>
      </c>
      <c r="E128" s="33" t="n">
        <f aca="false">E43*'Hiring plan'!$K$39*(1+Salary_Raise)^(E$5-1)</f>
        <v>0</v>
      </c>
      <c r="F128" s="33" t="n">
        <f aca="false">F43*'Hiring plan'!$K$39*(1+Salary_Raise)^(F$5-1)</f>
        <v>0</v>
      </c>
      <c r="G128" s="33" t="n">
        <f aca="false">G43*'Hiring plan'!$K$39*(1+Salary_Raise)^(G$5-1)</f>
        <v>0</v>
      </c>
      <c r="H128" s="33" t="n">
        <f aca="false">H43*'Hiring plan'!$K$39*(1+Salary_Raise)^(H$5-1)</f>
        <v>0</v>
      </c>
      <c r="I128" s="33" t="n">
        <f aca="false">I43*'Hiring plan'!$K$39*(1+Salary_Raise)^(I$5-1)</f>
        <v>0</v>
      </c>
      <c r="J128" s="33" t="n">
        <f aca="false">J43*'Hiring plan'!$K$39*(1+Salary_Raise)^(J$5-1)</f>
        <v>0</v>
      </c>
      <c r="K128" s="33" t="n">
        <f aca="false">K43*'Hiring plan'!$K$39*(1+Salary_Raise)^(K$5-1)</f>
        <v>0</v>
      </c>
      <c r="L128" s="33" t="n">
        <f aca="false">L43*'Hiring plan'!$K$39*(1+Salary_Raise)^(L$5-1)</f>
        <v>0</v>
      </c>
      <c r="M128" s="33" t="n">
        <f aca="false">M43*'Hiring plan'!$K$39*(1+Salary_Raise)^(M$5-1)</f>
        <v>0</v>
      </c>
      <c r="N128" s="33" t="n">
        <f aca="false">N43*'Hiring plan'!$K$39*(1+Salary_Raise)^(N$5-1)</f>
        <v>0</v>
      </c>
      <c r="O128" s="33" t="n">
        <f aca="false">O43*'Hiring plan'!$K$39*(1+Salary_Raise)^(O$5-1)</f>
        <v>0</v>
      </c>
      <c r="P128" s="33" t="n">
        <f aca="false">P43*'Hiring plan'!$K$39*(1+Salary_Raise)^(P$5-1)</f>
        <v>0</v>
      </c>
      <c r="Q128" s="33" t="n">
        <f aca="false">Q43*'Hiring plan'!$K$39*(1+Salary_Raise)^(Q$5-1)</f>
        <v>0</v>
      </c>
      <c r="R128" s="33" t="n">
        <f aca="false">R43*'Hiring plan'!$K$39*(1+Salary_Raise)^(R$5-1)</f>
        <v>0</v>
      </c>
      <c r="S128" s="33" t="n">
        <f aca="false">S43*'Hiring plan'!$K$39*(1+Salary_Raise)^(S$5-1)</f>
        <v>0</v>
      </c>
      <c r="T128" s="33" t="n">
        <f aca="false">T43*'Hiring plan'!$K$39*(1+Salary_Raise)^(T$5-1)</f>
        <v>0</v>
      </c>
      <c r="U128" s="33" t="n">
        <f aca="false">U43*'Hiring plan'!$K$39*(1+Salary_Raise)^(U$5-1)</f>
        <v>0</v>
      </c>
      <c r="V128" s="33" t="n">
        <f aca="false">V43*'Hiring plan'!$K$39*(1+Salary_Raise)^(V$5-1)</f>
        <v>0</v>
      </c>
      <c r="W128" s="33" t="n">
        <f aca="false">W43*'Hiring plan'!$K$39*(1+Salary_Raise)^(W$5-1)</f>
        <v>0</v>
      </c>
      <c r="X128" s="33" t="n">
        <f aca="false">X43*'Hiring plan'!$K$39*(1+Salary_Raise)^(X$5-1)</f>
        <v>0</v>
      </c>
      <c r="Y128" s="33" t="n">
        <f aca="false">Y43*'Hiring plan'!$K$39*(1+Salary_Raise)^(Y$5-1)</f>
        <v>0</v>
      </c>
      <c r="Z128" s="33" t="n">
        <f aca="false">Z43*'Hiring plan'!$K$39*(1+Salary_Raise)^(Z$5-1)</f>
        <v>0</v>
      </c>
      <c r="AA128" s="33" t="n">
        <f aca="false">AA43*'Hiring plan'!$K$39*(1+Salary_Raise)^(AA$5-1)</f>
        <v>0</v>
      </c>
      <c r="AB128" s="33" t="n">
        <f aca="false">AB43*'Hiring plan'!$K$39*(1+Salary_Raise)^(AB$5-1)</f>
        <v>0</v>
      </c>
      <c r="AC128" s="33" t="n">
        <f aca="false">AC43*'Hiring plan'!$K$39*(1+Salary_Raise)^(AC$5-1)</f>
        <v>1221212.79</v>
      </c>
      <c r="AD128" s="33" t="n">
        <f aca="false">AD43*'Hiring plan'!$K$39*(1+Salary_Raise)^(AD$5-1)</f>
        <v>1221212.79</v>
      </c>
      <c r="AE128" s="33" t="n">
        <f aca="false">AE43*'Hiring plan'!$K$39*(1+Salary_Raise)^(AE$5-1)</f>
        <v>1221212.79</v>
      </c>
      <c r="AF128" s="33" t="n">
        <f aca="false">AF43*'Hiring plan'!$K$39*(1+Salary_Raise)^(AF$5-1)</f>
        <v>1221212.79</v>
      </c>
      <c r="AG128" s="33" t="n">
        <f aca="false">AG43*'Hiring plan'!$K$39*(1+Salary_Raise)^(AG$5-1)</f>
        <v>1221212.79</v>
      </c>
      <c r="AH128" s="33" t="n">
        <f aca="false">AH43*'Hiring plan'!$K$39*(1+Salary_Raise)^(AH$5-1)</f>
        <v>1221212.79</v>
      </c>
      <c r="AI128" s="33" t="n">
        <f aca="false">AI43*'Hiring plan'!$K$39*(1+Salary_Raise)^(AI$5-1)</f>
        <v>1221212.79</v>
      </c>
      <c r="AJ128" s="33" t="n">
        <f aca="false">AJ43*'Hiring plan'!$K$39*(1+Salary_Raise)^(AJ$5-1)</f>
        <v>1221212.79</v>
      </c>
      <c r="AK128" s="33" t="n">
        <f aca="false">AK43*'Hiring plan'!$K$39*(1+Salary_Raise)^(AK$5-1)</f>
        <v>1221212.79</v>
      </c>
      <c r="AL128" s="33" t="n">
        <f aca="false">AL43*'Hiring plan'!$K$39*(1+Salary_Raise)^(AL$5-1)</f>
        <v>1221212.79</v>
      </c>
      <c r="AM128" s="33" t="n">
        <f aca="false">AM43*'Hiring plan'!$K$39*(1+Salary_Raise)^(AM$5-1)</f>
        <v>1221212.79</v>
      </c>
      <c r="AN128" s="33" t="n">
        <f aca="false">AN43*'Hiring plan'!$K$39*(1+Salary_Raise)^(AN$5-1)</f>
        <v>1221212.79</v>
      </c>
      <c r="AO128" s="33" t="n">
        <f aca="false">AO43*'Hiring plan'!$K$39*(1+Salary_Raise)^(AO$5-1)</f>
        <v>1282273.4295</v>
      </c>
      <c r="AP128" s="33" t="n">
        <f aca="false">AP43*'Hiring plan'!$K$39*(1+Salary_Raise)^(AP$5-1)</f>
        <v>1282273.4295</v>
      </c>
      <c r="AQ128" s="33" t="n">
        <f aca="false">AQ43*'Hiring plan'!$K$39*(1+Salary_Raise)^(AQ$5-1)</f>
        <v>1282273.4295</v>
      </c>
      <c r="AR128" s="33" t="n">
        <f aca="false">AR43*'Hiring plan'!$K$39*(1+Salary_Raise)^(AR$5-1)</f>
        <v>1282273.4295</v>
      </c>
      <c r="AS128" s="33" t="n">
        <f aca="false">AS43*'Hiring plan'!$K$39*(1+Salary_Raise)^(AS$5-1)</f>
        <v>1282273.4295</v>
      </c>
      <c r="AT128" s="33" t="n">
        <f aca="false">AT43*'Hiring plan'!$K$39*(1+Salary_Raise)^(AT$5-1)</f>
        <v>1282273.4295</v>
      </c>
      <c r="AU128" s="33" t="n">
        <f aca="false">AU43*'Hiring plan'!$K$39*(1+Salary_Raise)^(AU$5-1)</f>
        <v>1282273.4295</v>
      </c>
      <c r="AV128" s="33" t="n">
        <f aca="false">AV43*'Hiring plan'!$K$39*(1+Salary_Raise)^(AV$5-1)</f>
        <v>1282273.4295</v>
      </c>
      <c r="AW128" s="33" t="n">
        <f aca="false">AW43*'Hiring plan'!$K$39*(1+Salary_Raise)^(AW$5-1)</f>
        <v>1282273.4295</v>
      </c>
      <c r="AX128" s="33" t="n">
        <f aca="false">AX43*'Hiring plan'!$K$39*(1+Salary_Raise)^(AX$5-1)</f>
        <v>1282273.4295</v>
      </c>
      <c r="AY128" s="33" t="n">
        <f aca="false">AY43*'Hiring plan'!$K$39*(1+Salary_Raise)^(AY$5-1)</f>
        <v>1282273.4295</v>
      </c>
      <c r="AZ128" s="33" t="n">
        <f aca="false">AZ43*'Hiring plan'!$K$39*(1+Salary_Raise)^(AZ$5-1)</f>
        <v>1282273.4295</v>
      </c>
      <c r="BA128" s="33" t="n">
        <f aca="false">BA43*'Hiring plan'!$K$39*(1+Salary_Raise)^(BA$5-1)</f>
        <v>1346387.100975</v>
      </c>
      <c r="BB128" s="33" t="n">
        <f aca="false">BB43*'Hiring plan'!$K$39*(1+Salary_Raise)^(BB$5-1)</f>
        <v>1346387.100975</v>
      </c>
      <c r="BC128" s="33" t="n">
        <f aca="false">BC43*'Hiring plan'!$K$39*(1+Salary_Raise)^(BC$5-1)</f>
        <v>1346387.100975</v>
      </c>
      <c r="BD128" s="33" t="n">
        <f aca="false">BD43*'Hiring plan'!$K$39*(1+Salary_Raise)^(BD$5-1)</f>
        <v>1346387.100975</v>
      </c>
      <c r="BE128" s="33" t="n">
        <f aca="false">BE43*'Hiring plan'!$K$39*(1+Salary_Raise)^(BE$5-1)</f>
        <v>1346387.100975</v>
      </c>
      <c r="BF128" s="33" t="n">
        <f aca="false">BF43*'Hiring plan'!$K$39*(1+Salary_Raise)^(BF$5-1)</f>
        <v>1346387.100975</v>
      </c>
      <c r="BG128" s="33" t="n">
        <f aca="false">BG43*'Hiring plan'!$K$39*(1+Salary_Raise)^(BG$5-1)</f>
        <v>1346387.100975</v>
      </c>
      <c r="BH128" s="33" t="n">
        <f aca="false">BH43*'Hiring plan'!$K$39*(1+Salary_Raise)^(BH$5-1)</f>
        <v>1346387.100975</v>
      </c>
      <c r="BI128" s="33" t="n">
        <f aca="false">BI43*'Hiring plan'!$K$39*(1+Salary_Raise)^(BI$5-1)</f>
        <v>1346387.100975</v>
      </c>
      <c r="BJ128" s="33" t="n">
        <f aca="false">BJ43*'Hiring plan'!$K$39*(1+Salary_Raise)^(BJ$5-1)</f>
        <v>1346387.100975</v>
      </c>
      <c r="BK128" s="33" t="n">
        <f aca="false">BK43*'Hiring plan'!$K$39*(1+Salary_Raise)^(BK$5-1)</f>
        <v>1346387.100975</v>
      </c>
      <c r="BL128" s="33" t="n">
        <f aca="false">BL43*'Hiring plan'!$K$39*(1+Salary_Raise)^(BL$5-1)</f>
        <v>1346387.100975</v>
      </c>
    </row>
    <row r="129" customFormat="false" ht="15" hidden="false" customHeight="false" outlineLevel="0" collapsed="false">
      <c r="A129" s="12" t="str">
        <f aca="false">A44</f>
        <v>KYC / onboarding agent · SN</v>
      </c>
      <c r="B129" s="14" t="s">
        <v>63</v>
      </c>
      <c r="D129" s="41" t="n">
        <f aca="false">SUM(E129:BL129)</f>
        <v>26797158.171</v>
      </c>
      <c r="E129" s="33" t="n">
        <f aca="false">E44*'Hiring plan'!$K$40*(1+Salary_Raise)^(E$5-1)</f>
        <v>0</v>
      </c>
      <c r="F129" s="33" t="n">
        <f aca="false">F44*'Hiring plan'!$K$40*(1+Salary_Raise)^(F$5-1)</f>
        <v>0</v>
      </c>
      <c r="G129" s="33" t="n">
        <f aca="false">G44*'Hiring plan'!$K$40*(1+Salary_Raise)^(G$5-1)</f>
        <v>0</v>
      </c>
      <c r="H129" s="33" t="n">
        <f aca="false">H44*'Hiring plan'!$K$40*(1+Salary_Raise)^(H$5-1)</f>
        <v>0</v>
      </c>
      <c r="I129" s="33" t="n">
        <f aca="false">I44*'Hiring plan'!$K$40*(1+Salary_Raise)^(I$5-1)</f>
        <v>0</v>
      </c>
      <c r="J129" s="33" t="n">
        <f aca="false">J44*'Hiring plan'!$K$40*(1+Salary_Raise)^(J$5-1)</f>
        <v>0</v>
      </c>
      <c r="K129" s="33" t="n">
        <f aca="false">K44*'Hiring plan'!$K$40*(1+Salary_Raise)^(K$5-1)</f>
        <v>0</v>
      </c>
      <c r="L129" s="33" t="n">
        <f aca="false">L44*'Hiring plan'!$K$40*(1+Salary_Raise)^(L$5-1)</f>
        <v>0</v>
      </c>
      <c r="M129" s="33" t="n">
        <f aca="false">M44*'Hiring plan'!$K$40*(1+Salary_Raise)^(M$5-1)</f>
        <v>0</v>
      </c>
      <c r="N129" s="33" t="n">
        <f aca="false">N44*'Hiring plan'!$K$40*(1+Salary_Raise)^(N$5-1)</f>
        <v>0</v>
      </c>
      <c r="O129" s="33" t="n">
        <f aca="false">O44*'Hiring plan'!$K$40*(1+Salary_Raise)^(O$5-1)</f>
        <v>0</v>
      </c>
      <c r="P129" s="33" t="n">
        <f aca="false">P44*'Hiring plan'!$K$40*(1+Salary_Raise)^(P$5-1)</f>
        <v>0</v>
      </c>
      <c r="Q129" s="33" t="n">
        <f aca="false">Q44*'Hiring plan'!$K$40*(1+Salary_Raise)^(Q$5-1)</f>
        <v>0</v>
      </c>
      <c r="R129" s="33" t="n">
        <f aca="false">R44*'Hiring plan'!$K$40*(1+Salary_Raise)^(R$5-1)</f>
        <v>0</v>
      </c>
      <c r="S129" s="33" t="n">
        <f aca="false">S44*'Hiring plan'!$K$40*(1+Salary_Raise)^(S$5-1)</f>
        <v>0</v>
      </c>
      <c r="T129" s="33" t="n">
        <f aca="false">T44*'Hiring plan'!$K$40*(1+Salary_Raise)^(T$5-1)</f>
        <v>0</v>
      </c>
      <c r="U129" s="33" t="n">
        <f aca="false">U44*'Hiring plan'!$K$40*(1+Salary_Raise)^(U$5-1)</f>
        <v>0</v>
      </c>
      <c r="V129" s="33" t="n">
        <f aca="false">V44*'Hiring plan'!$K$40*(1+Salary_Raise)^(V$5-1)</f>
        <v>0</v>
      </c>
      <c r="W129" s="33" t="n">
        <f aca="false">W44*'Hiring plan'!$K$40*(1+Salary_Raise)^(W$5-1)</f>
        <v>0</v>
      </c>
      <c r="X129" s="33" t="n">
        <f aca="false">X44*'Hiring plan'!$K$40*(1+Salary_Raise)^(X$5-1)</f>
        <v>0</v>
      </c>
      <c r="Y129" s="33" t="n">
        <f aca="false">Y44*'Hiring plan'!$K$40*(1+Salary_Raise)^(Y$5-1)</f>
        <v>0</v>
      </c>
      <c r="Z129" s="33" t="n">
        <f aca="false">Z44*'Hiring plan'!$K$40*(1+Salary_Raise)^(Z$5-1)</f>
        <v>0</v>
      </c>
      <c r="AA129" s="33" t="n">
        <f aca="false">AA44*'Hiring plan'!$K$40*(1+Salary_Raise)^(AA$5-1)</f>
        <v>0</v>
      </c>
      <c r="AB129" s="33" t="n">
        <f aca="false">AB44*'Hiring plan'!$K$40*(1+Salary_Raise)^(AB$5-1)</f>
        <v>0</v>
      </c>
      <c r="AC129" s="33" t="n">
        <f aca="false">AC44*'Hiring plan'!$K$40*(1+Salary_Raise)^(AC$5-1)</f>
        <v>0</v>
      </c>
      <c r="AD129" s="33" t="n">
        <f aca="false">AD44*'Hiring plan'!$K$40*(1+Salary_Raise)^(AD$5-1)</f>
        <v>0</v>
      </c>
      <c r="AE129" s="33" t="n">
        <f aca="false">AE44*'Hiring plan'!$K$40*(1+Salary_Raise)^(AE$5-1)</f>
        <v>0</v>
      </c>
      <c r="AF129" s="33" t="n">
        <f aca="false">AF44*'Hiring plan'!$K$40*(1+Salary_Raise)^(AF$5-1)</f>
        <v>0</v>
      </c>
      <c r="AG129" s="33" t="n">
        <f aca="false">AG44*'Hiring plan'!$K$40*(1+Salary_Raise)^(AG$5-1)</f>
        <v>0</v>
      </c>
      <c r="AH129" s="33" t="n">
        <f aca="false">AH44*'Hiring plan'!$K$40*(1+Salary_Raise)^(AH$5-1)</f>
        <v>0</v>
      </c>
      <c r="AI129" s="33" t="n">
        <f aca="false">AI44*'Hiring plan'!$K$40*(1+Salary_Raise)^(AI$5-1)</f>
        <v>841883.7</v>
      </c>
      <c r="AJ129" s="33" t="n">
        <f aca="false">AJ44*'Hiring plan'!$K$40*(1+Salary_Raise)^(AJ$5-1)</f>
        <v>841883.7</v>
      </c>
      <c r="AK129" s="33" t="n">
        <f aca="false">AK44*'Hiring plan'!$K$40*(1+Salary_Raise)^(AK$5-1)</f>
        <v>841883.7</v>
      </c>
      <c r="AL129" s="33" t="n">
        <f aca="false">AL44*'Hiring plan'!$K$40*(1+Salary_Raise)^(AL$5-1)</f>
        <v>841883.7</v>
      </c>
      <c r="AM129" s="33" t="n">
        <f aca="false">AM44*'Hiring plan'!$K$40*(1+Salary_Raise)^(AM$5-1)</f>
        <v>841883.7</v>
      </c>
      <c r="AN129" s="33" t="n">
        <f aca="false">AN44*'Hiring plan'!$K$40*(1+Salary_Raise)^(AN$5-1)</f>
        <v>841883.7</v>
      </c>
      <c r="AO129" s="33" t="n">
        <f aca="false">AO44*'Hiring plan'!$K$40*(1+Salary_Raise)^(AO$5-1)</f>
        <v>883977.885</v>
      </c>
      <c r="AP129" s="33" t="n">
        <f aca="false">AP44*'Hiring plan'!$K$40*(1+Salary_Raise)^(AP$5-1)</f>
        <v>883977.885</v>
      </c>
      <c r="AQ129" s="33" t="n">
        <f aca="false">AQ44*'Hiring plan'!$K$40*(1+Salary_Raise)^(AQ$5-1)</f>
        <v>883977.885</v>
      </c>
      <c r="AR129" s="33" t="n">
        <f aca="false">AR44*'Hiring plan'!$K$40*(1+Salary_Raise)^(AR$5-1)</f>
        <v>883977.885</v>
      </c>
      <c r="AS129" s="33" t="n">
        <f aca="false">AS44*'Hiring plan'!$K$40*(1+Salary_Raise)^(AS$5-1)</f>
        <v>883977.885</v>
      </c>
      <c r="AT129" s="33" t="n">
        <f aca="false">AT44*'Hiring plan'!$K$40*(1+Salary_Raise)^(AT$5-1)</f>
        <v>883977.885</v>
      </c>
      <c r="AU129" s="33" t="n">
        <f aca="false">AU44*'Hiring plan'!$K$40*(1+Salary_Raise)^(AU$5-1)</f>
        <v>883977.885</v>
      </c>
      <c r="AV129" s="33" t="n">
        <f aca="false">AV44*'Hiring plan'!$K$40*(1+Salary_Raise)^(AV$5-1)</f>
        <v>883977.885</v>
      </c>
      <c r="AW129" s="33" t="n">
        <f aca="false">AW44*'Hiring plan'!$K$40*(1+Salary_Raise)^(AW$5-1)</f>
        <v>883977.885</v>
      </c>
      <c r="AX129" s="33" t="n">
        <f aca="false">AX44*'Hiring plan'!$K$40*(1+Salary_Raise)^(AX$5-1)</f>
        <v>883977.885</v>
      </c>
      <c r="AY129" s="33" t="n">
        <f aca="false">AY44*'Hiring plan'!$K$40*(1+Salary_Raise)^(AY$5-1)</f>
        <v>883977.885</v>
      </c>
      <c r="AZ129" s="33" t="n">
        <f aca="false">AZ44*'Hiring plan'!$K$40*(1+Salary_Raise)^(AZ$5-1)</f>
        <v>883977.885</v>
      </c>
      <c r="BA129" s="33" t="n">
        <f aca="false">BA44*'Hiring plan'!$K$40*(1+Salary_Raise)^(BA$5-1)</f>
        <v>928176.77925</v>
      </c>
      <c r="BB129" s="33" t="n">
        <f aca="false">BB44*'Hiring plan'!$K$40*(1+Salary_Raise)^(BB$5-1)</f>
        <v>928176.77925</v>
      </c>
      <c r="BC129" s="33" t="n">
        <f aca="false">BC44*'Hiring plan'!$K$40*(1+Salary_Raise)^(BC$5-1)</f>
        <v>928176.77925</v>
      </c>
      <c r="BD129" s="33" t="n">
        <f aca="false">BD44*'Hiring plan'!$K$40*(1+Salary_Raise)^(BD$5-1)</f>
        <v>928176.77925</v>
      </c>
      <c r="BE129" s="33" t="n">
        <f aca="false">BE44*'Hiring plan'!$K$40*(1+Salary_Raise)^(BE$5-1)</f>
        <v>928176.77925</v>
      </c>
      <c r="BF129" s="33" t="n">
        <f aca="false">BF44*'Hiring plan'!$K$40*(1+Salary_Raise)^(BF$5-1)</f>
        <v>928176.77925</v>
      </c>
      <c r="BG129" s="33" t="n">
        <f aca="false">BG44*'Hiring plan'!$K$40*(1+Salary_Raise)^(BG$5-1)</f>
        <v>928176.77925</v>
      </c>
      <c r="BH129" s="33" t="n">
        <f aca="false">BH44*'Hiring plan'!$K$40*(1+Salary_Raise)^(BH$5-1)</f>
        <v>928176.77925</v>
      </c>
      <c r="BI129" s="33" t="n">
        <f aca="false">BI44*'Hiring plan'!$K$40*(1+Salary_Raise)^(BI$5-1)</f>
        <v>928176.77925</v>
      </c>
      <c r="BJ129" s="33" t="n">
        <f aca="false">BJ44*'Hiring plan'!$K$40*(1+Salary_Raise)^(BJ$5-1)</f>
        <v>928176.77925</v>
      </c>
      <c r="BK129" s="33" t="n">
        <f aca="false">BK44*'Hiring plan'!$K$40*(1+Salary_Raise)^(BK$5-1)</f>
        <v>928176.77925</v>
      </c>
      <c r="BL129" s="33" t="n">
        <f aca="false">BL44*'Hiring plan'!$K$40*(1+Salary_Raise)^(BL$5-1)</f>
        <v>928176.77925</v>
      </c>
    </row>
    <row r="130" customFormat="false" ht="15" hidden="false" customHeight="false" outlineLevel="0" collapsed="false">
      <c r="A130" s="12" t="str">
        <f aca="false">A45</f>
        <v>Customer support agent · SN</v>
      </c>
      <c r="B130" s="14" t="s">
        <v>63</v>
      </c>
      <c r="D130" s="41" t="n">
        <f aca="false">SUM(E130:BL130)</f>
        <v>20389253.976</v>
      </c>
      <c r="E130" s="33" t="n">
        <f aca="false">E45*'Hiring plan'!$K$41*(1+Salary_Raise)^(E$5-1)</f>
        <v>0</v>
      </c>
      <c r="F130" s="33" t="n">
        <f aca="false">F45*'Hiring plan'!$K$41*(1+Salary_Raise)^(F$5-1)</f>
        <v>0</v>
      </c>
      <c r="G130" s="33" t="n">
        <f aca="false">G45*'Hiring plan'!$K$41*(1+Salary_Raise)^(G$5-1)</f>
        <v>0</v>
      </c>
      <c r="H130" s="33" t="n">
        <f aca="false">H45*'Hiring plan'!$K$41*(1+Salary_Raise)^(H$5-1)</f>
        <v>0</v>
      </c>
      <c r="I130" s="33" t="n">
        <f aca="false">I45*'Hiring plan'!$K$41*(1+Salary_Raise)^(I$5-1)</f>
        <v>0</v>
      </c>
      <c r="J130" s="33" t="n">
        <f aca="false">J45*'Hiring plan'!$K$41*(1+Salary_Raise)^(J$5-1)</f>
        <v>0</v>
      </c>
      <c r="K130" s="33" t="n">
        <f aca="false">K45*'Hiring plan'!$K$41*(1+Salary_Raise)^(K$5-1)</f>
        <v>0</v>
      </c>
      <c r="L130" s="33" t="n">
        <f aca="false">L45*'Hiring plan'!$K$41*(1+Salary_Raise)^(L$5-1)</f>
        <v>0</v>
      </c>
      <c r="M130" s="33" t="n">
        <f aca="false">M45*'Hiring plan'!$K$41*(1+Salary_Raise)^(M$5-1)</f>
        <v>0</v>
      </c>
      <c r="N130" s="33" t="n">
        <f aca="false">N45*'Hiring plan'!$K$41*(1+Salary_Raise)^(N$5-1)</f>
        <v>0</v>
      </c>
      <c r="O130" s="33" t="n">
        <f aca="false">O45*'Hiring plan'!$K$41*(1+Salary_Raise)^(O$5-1)</f>
        <v>0</v>
      </c>
      <c r="P130" s="33" t="n">
        <f aca="false">P45*'Hiring plan'!$K$41*(1+Salary_Raise)^(P$5-1)</f>
        <v>0</v>
      </c>
      <c r="Q130" s="33" t="n">
        <f aca="false">Q45*'Hiring plan'!$K$41*(1+Salary_Raise)^(Q$5-1)</f>
        <v>0</v>
      </c>
      <c r="R130" s="33" t="n">
        <f aca="false">R45*'Hiring plan'!$K$41*(1+Salary_Raise)^(R$5-1)</f>
        <v>0</v>
      </c>
      <c r="S130" s="33" t="n">
        <f aca="false">S45*'Hiring plan'!$K$41*(1+Salary_Raise)^(S$5-1)</f>
        <v>0</v>
      </c>
      <c r="T130" s="33" t="n">
        <f aca="false">T45*'Hiring plan'!$K$41*(1+Salary_Raise)^(T$5-1)</f>
        <v>0</v>
      </c>
      <c r="U130" s="33" t="n">
        <f aca="false">U45*'Hiring plan'!$K$41*(1+Salary_Raise)^(U$5-1)</f>
        <v>0</v>
      </c>
      <c r="V130" s="33" t="n">
        <f aca="false">V45*'Hiring plan'!$K$41*(1+Salary_Raise)^(V$5-1)</f>
        <v>0</v>
      </c>
      <c r="W130" s="33" t="n">
        <f aca="false">W45*'Hiring plan'!$K$41*(1+Salary_Raise)^(W$5-1)</f>
        <v>0</v>
      </c>
      <c r="X130" s="33" t="n">
        <f aca="false">X45*'Hiring plan'!$K$41*(1+Salary_Raise)^(X$5-1)</f>
        <v>0</v>
      </c>
      <c r="Y130" s="33" t="n">
        <f aca="false">Y45*'Hiring plan'!$K$41*(1+Salary_Raise)^(Y$5-1)</f>
        <v>0</v>
      </c>
      <c r="Z130" s="33" t="n">
        <f aca="false">Z45*'Hiring plan'!$K$41*(1+Salary_Raise)^(Z$5-1)</f>
        <v>0</v>
      </c>
      <c r="AA130" s="33" t="n">
        <f aca="false">AA45*'Hiring plan'!$K$41*(1+Salary_Raise)^(AA$5-1)</f>
        <v>0</v>
      </c>
      <c r="AB130" s="33" t="n">
        <f aca="false">AB45*'Hiring plan'!$K$41*(1+Salary_Raise)^(AB$5-1)</f>
        <v>0</v>
      </c>
      <c r="AC130" s="33" t="n">
        <f aca="false">AC45*'Hiring plan'!$K$41*(1+Salary_Raise)^(AC$5-1)</f>
        <v>0</v>
      </c>
      <c r="AD130" s="33" t="n">
        <f aca="false">AD45*'Hiring plan'!$K$41*(1+Salary_Raise)^(AD$5-1)</f>
        <v>0</v>
      </c>
      <c r="AE130" s="33" t="n">
        <f aca="false">AE45*'Hiring plan'!$K$41*(1+Salary_Raise)^(AE$5-1)</f>
        <v>0</v>
      </c>
      <c r="AF130" s="33" t="n">
        <f aca="false">AF45*'Hiring plan'!$K$41*(1+Salary_Raise)^(AF$5-1)</f>
        <v>0</v>
      </c>
      <c r="AG130" s="33" t="n">
        <f aca="false">AG45*'Hiring plan'!$K$41*(1+Salary_Raise)^(AG$5-1)</f>
        <v>0</v>
      </c>
      <c r="AH130" s="33" t="n">
        <f aca="false">AH45*'Hiring plan'!$K$41*(1+Salary_Raise)^(AH$5-1)</f>
        <v>0</v>
      </c>
      <c r="AI130" s="33" t="n">
        <f aca="false">AI45*'Hiring plan'!$K$41*(1+Salary_Raise)^(AI$5-1)</f>
        <v>640567.2</v>
      </c>
      <c r="AJ130" s="33" t="n">
        <f aca="false">AJ45*'Hiring plan'!$K$41*(1+Salary_Raise)^(AJ$5-1)</f>
        <v>640567.2</v>
      </c>
      <c r="AK130" s="33" t="n">
        <f aca="false">AK45*'Hiring plan'!$K$41*(1+Salary_Raise)^(AK$5-1)</f>
        <v>640567.2</v>
      </c>
      <c r="AL130" s="33" t="n">
        <f aca="false">AL45*'Hiring plan'!$K$41*(1+Salary_Raise)^(AL$5-1)</f>
        <v>640567.2</v>
      </c>
      <c r="AM130" s="33" t="n">
        <f aca="false">AM45*'Hiring plan'!$K$41*(1+Salary_Raise)^(AM$5-1)</f>
        <v>640567.2</v>
      </c>
      <c r="AN130" s="33" t="n">
        <f aca="false">AN45*'Hiring plan'!$K$41*(1+Salary_Raise)^(AN$5-1)</f>
        <v>640567.2</v>
      </c>
      <c r="AO130" s="33" t="n">
        <f aca="false">AO45*'Hiring plan'!$K$41*(1+Salary_Raise)^(AO$5-1)</f>
        <v>672595.56</v>
      </c>
      <c r="AP130" s="33" t="n">
        <f aca="false">AP45*'Hiring plan'!$K$41*(1+Salary_Raise)^(AP$5-1)</f>
        <v>672595.56</v>
      </c>
      <c r="AQ130" s="33" t="n">
        <f aca="false">AQ45*'Hiring plan'!$K$41*(1+Salary_Raise)^(AQ$5-1)</f>
        <v>672595.56</v>
      </c>
      <c r="AR130" s="33" t="n">
        <f aca="false">AR45*'Hiring plan'!$K$41*(1+Salary_Raise)^(AR$5-1)</f>
        <v>672595.56</v>
      </c>
      <c r="AS130" s="33" t="n">
        <f aca="false">AS45*'Hiring plan'!$K$41*(1+Salary_Raise)^(AS$5-1)</f>
        <v>672595.56</v>
      </c>
      <c r="AT130" s="33" t="n">
        <f aca="false">AT45*'Hiring plan'!$K$41*(1+Salary_Raise)^(AT$5-1)</f>
        <v>672595.56</v>
      </c>
      <c r="AU130" s="33" t="n">
        <f aca="false">AU45*'Hiring plan'!$K$41*(1+Salary_Raise)^(AU$5-1)</f>
        <v>672595.56</v>
      </c>
      <c r="AV130" s="33" t="n">
        <f aca="false">AV45*'Hiring plan'!$K$41*(1+Salary_Raise)^(AV$5-1)</f>
        <v>672595.56</v>
      </c>
      <c r="AW130" s="33" t="n">
        <f aca="false">AW45*'Hiring plan'!$K$41*(1+Salary_Raise)^(AW$5-1)</f>
        <v>672595.56</v>
      </c>
      <c r="AX130" s="33" t="n">
        <f aca="false">AX45*'Hiring plan'!$K$41*(1+Salary_Raise)^(AX$5-1)</f>
        <v>672595.56</v>
      </c>
      <c r="AY130" s="33" t="n">
        <f aca="false">AY45*'Hiring plan'!$K$41*(1+Salary_Raise)^(AY$5-1)</f>
        <v>672595.56</v>
      </c>
      <c r="AZ130" s="33" t="n">
        <f aca="false">AZ45*'Hiring plan'!$K$41*(1+Salary_Raise)^(AZ$5-1)</f>
        <v>672595.56</v>
      </c>
      <c r="BA130" s="33" t="n">
        <f aca="false">BA45*'Hiring plan'!$K$41*(1+Salary_Raise)^(BA$5-1)</f>
        <v>706225.338</v>
      </c>
      <c r="BB130" s="33" t="n">
        <f aca="false">BB45*'Hiring plan'!$K$41*(1+Salary_Raise)^(BB$5-1)</f>
        <v>706225.338</v>
      </c>
      <c r="BC130" s="33" t="n">
        <f aca="false">BC45*'Hiring plan'!$K$41*(1+Salary_Raise)^(BC$5-1)</f>
        <v>706225.338</v>
      </c>
      <c r="BD130" s="33" t="n">
        <f aca="false">BD45*'Hiring plan'!$K$41*(1+Salary_Raise)^(BD$5-1)</f>
        <v>706225.338</v>
      </c>
      <c r="BE130" s="33" t="n">
        <f aca="false">BE45*'Hiring plan'!$K$41*(1+Salary_Raise)^(BE$5-1)</f>
        <v>706225.338</v>
      </c>
      <c r="BF130" s="33" t="n">
        <f aca="false">BF45*'Hiring plan'!$K$41*(1+Salary_Raise)^(BF$5-1)</f>
        <v>706225.338</v>
      </c>
      <c r="BG130" s="33" t="n">
        <f aca="false">BG45*'Hiring plan'!$K$41*(1+Salary_Raise)^(BG$5-1)</f>
        <v>706225.338</v>
      </c>
      <c r="BH130" s="33" t="n">
        <f aca="false">BH45*'Hiring plan'!$K$41*(1+Salary_Raise)^(BH$5-1)</f>
        <v>706225.338</v>
      </c>
      <c r="BI130" s="33" t="n">
        <f aca="false">BI45*'Hiring plan'!$K$41*(1+Salary_Raise)^(BI$5-1)</f>
        <v>706225.338</v>
      </c>
      <c r="BJ130" s="33" t="n">
        <f aca="false">BJ45*'Hiring plan'!$K$41*(1+Salary_Raise)^(BJ$5-1)</f>
        <v>706225.338</v>
      </c>
      <c r="BK130" s="33" t="n">
        <f aca="false">BK45*'Hiring plan'!$K$41*(1+Salary_Raise)^(BK$5-1)</f>
        <v>706225.338</v>
      </c>
      <c r="BL130" s="33" t="n">
        <f aca="false">BL45*'Hiring plan'!$K$41*(1+Salary_Raise)^(BL$5-1)</f>
        <v>706225.338</v>
      </c>
    </row>
    <row r="131" customFormat="false" ht="15" hidden="false" customHeight="false" outlineLevel="0" collapsed="false">
      <c r="A131" s="12" t="str">
        <f aca="false">A46</f>
        <v>KYC and support agent, Abidjan · CI</v>
      </c>
      <c r="B131" s="14" t="s">
        <v>63</v>
      </c>
      <c r="D131" s="41" t="n">
        <f aca="false">SUM(E131:BL131)</f>
        <v>23450713.461</v>
      </c>
      <c r="E131" s="33" t="n">
        <f aca="false">E46*'Hiring plan'!$K$42*(1+Salary_Raise)^(E$5-1)</f>
        <v>0</v>
      </c>
      <c r="F131" s="33" t="n">
        <f aca="false">F46*'Hiring plan'!$K$42*(1+Salary_Raise)^(F$5-1)</f>
        <v>0</v>
      </c>
      <c r="G131" s="33" t="n">
        <f aca="false">G46*'Hiring plan'!$K$42*(1+Salary_Raise)^(G$5-1)</f>
        <v>0</v>
      </c>
      <c r="H131" s="33" t="n">
        <f aca="false">H46*'Hiring plan'!$K$42*(1+Salary_Raise)^(H$5-1)</f>
        <v>0</v>
      </c>
      <c r="I131" s="33" t="n">
        <f aca="false">I46*'Hiring plan'!$K$42*(1+Salary_Raise)^(I$5-1)</f>
        <v>0</v>
      </c>
      <c r="J131" s="33" t="n">
        <f aca="false">J46*'Hiring plan'!$K$42*(1+Salary_Raise)^(J$5-1)</f>
        <v>0</v>
      </c>
      <c r="K131" s="33" t="n">
        <f aca="false">K46*'Hiring plan'!$K$42*(1+Salary_Raise)^(K$5-1)</f>
        <v>0</v>
      </c>
      <c r="L131" s="33" t="n">
        <f aca="false">L46*'Hiring plan'!$K$42*(1+Salary_Raise)^(L$5-1)</f>
        <v>0</v>
      </c>
      <c r="M131" s="33" t="n">
        <f aca="false">M46*'Hiring plan'!$K$42*(1+Salary_Raise)^(M$5-1)</f>
        <v>0</v>
      </c>
      <c r="N131" s="33" t="n">
        <f aca="false">N46*'Hiring plan'!$K$42*(1+Salary_Raise)^(N$5-1)</f>
        <v>0</v>
      </c>
      <c r="O131" s="33" t="n">
        <f aca="false">O46*'Hiring plan'!$K$42*(1+Salary_Raise)^(O$5-1)</f>
        <v>0</v>
      </c>
      <c r="P131" s="33" t="n">
        <f aca="false">P46*'Hiring plan'!$K$42*(1+Salary_Raise)^(P$5-1)</f>
        <v>0</v>
      </c>
      <c r="Q131" s="33" t="n">
        <f aca="false">Q46*'Hiring plan'!$K$42*(1+Salary_Raise)^(Q$5-1)</f>
        <v>0</v>
      </c>
      <c r="R131" s="33" t="n">
        <f aca="false">R46*'Hiring plan'!$K$42*(1+Salary_Raise)^(R$5-1)</f>
        <v>0</v>
      </c>
      <c r="S131" s="33" t="n">
        <f aca="false">S46*'Hiring plan'!$K$42*(1+Salary_Raise)^(S$5-1)</f>
        <v>0</v>
      </c>
      <c r="T131" s="33" t="n">
        <f aca="false">T46*'Hiring plan'!$K$42*(1+Salary_Raise)^(T$5-1)</f>
        <v>0</v>
      </c>
      <c r="U131" s="33" t="n">
        <f aca="false">U46*'Hiring plan'!$K$42*(1+Salary_Raise)^(U$5-1)</f>
        <v>0</v>
      </c>
      <c r="V131" s="33" t="n">
        <f aca="false">V46*'Hiring plan'!$K$42*(1+Salary_Raise)^(V$5-1)</f>
        <v>0</v>
      </c>
      <c r="W131" s="33" t="n">
        <f aca="false">W46*'Hiring plan'!$K$42*(1+Salary_Raise)^(W$5-1)</f>
        <v>0</v>
      </c>
      <c r="X131" s="33" t="n">
        <f aca="false">X46*'Hiring plan'!$K$42*(1+Salary_Raise)^(X$5-1)</f>
        <v>0</v>
      </c>
      <c r="Y131" s="33" t="n">
        <f aca="false">Y46*'Hiring plan'!$K$42*(1+Salary_Raise)^(Y$5-1)</f>
        <v>0</v>
      </c>
      <c r="Z131" s="33" t="n">
        <f aca="false">Z46*'Hiring plan'!$K$42*(1+Salary_Raise)^(Z$5-1)</f>
        <v>0</v>
      </c>
      <c r="AA131" s="33" t="n">
        <f aca="false">AA46*'Hiring plan'!$K$42*(1+Salary_Raise)^(AA$5-1)</f>
        <v>0</v>
      </c>
      <c r="AB131" s="33" t="n">
        <f aca="false">AB46*'Hiring plan'!$K$42*(1+Salary_Raise)^(AB$5-1)</f>
        <v>0</v>
      </c>
      <c r="AC131" s="33" t="n">
        <f aca="false">AC46*'Hiring plan'!$K$42*(1+Salary_Raise)^(AC$5-1)</f>
        <v>0</v>
      </c>
      <c r="AD131" s="33" t="n">
        <f aca="false">AD46*'Hiring plan'!$K$42*(1+Salary_Raise)^(AD$5-1)</f>
        <v>0</v>
      </c>
      <c r="AE131" s="33" t="n">
        <f aca="false">AE46*'Hiring plan'!$K$42*(1+Salary_Raise)^(AE$5-1)</f>
        <v>0</v>
      </c>
      <c r="AF131" s="33" t="n">
        <f aca="false">AF46*'Hiring plan'!$K$42*(1+Salary_Raise)^(AF$5-1)</f>
        <v>0</v>
      </c>
      <c r="AG131" s="33" t="n">
        <f aca="false">AG46*'Hiring plan'!$K$42*(1+Salary_Raise)^(AG$5-1)</f>
        <v>0</v>
      </c>
      <c r="AH131" s="33" t="n">
        <f aca="false">AH46*'Hiring plan'!$K$42*(1+Salary_Raise)^(AH$5-1)</f>
        <v>0</v>
      </c>
      <c r="AI131" s="33" t="n">
        <f aca="false">AI46*'Hiring plan'!$K$42*(1+Salary_Raise)^(AI$5-1)</f>
        <v>0</v>
      </c>
      <c r="AJ131" s="33" t="n">
        <f aca="false">AJ46*'Hiring plan'!$K$42*(1+Salary_Raise)^(AJ$5-1)</f>
        <v>0</v>
      </c>
      <c r="AK131" s="33" t="n">
        <f aca="false">AK46*'Hiring plan'!$K$42*(1+Salary_Raise)^(AK$5-1)</f>
        <v>0</v>
      </c>
      <c r="AL131" s="33" t="n">
        <f aca="false">AL46*'Hiring plan'!$K$42*(1+Salary_Raise)^(AL$5-1)</f>
        <v>0</v>
      </c>
      <c r="AM131" s="33" t="n">
        <f aca="false">AM46*'Hiring plan'!$K$42*(1+Salary_Raise)^(AM$5-1)</f>
        <v>0</v>
      </c>
      <c r="AN131" s="33" t="n">
        <f aca="false">AN46*'Hiring plan'!$K$42*(1+Salary_Raise)^(AN$5-1)</f>
        <v>0</v>
      </c>
      <c r="AO131" s="33" t="n">
        <f aca="false">AO46*'Hiring plan'!$K$42*(1+Salary_Raise)^(AO$5-1)</f>
        <v>953281.035</v>
      </c>
      <c r="AP131" s="33" t="n">
        <f aca="false">AP46*'Hiring plan'!$K$42*(1+Salary_Raise)^(AP$5-1)</f>
        <v>953281.035</v>
      </c>
      <c r="AQ131" s="33" t="n">
        <f aca="false">AQ46*'Hiring plan'!$K$42*(1+Salary_Raise)^(AQ$5-1)</f>
        <v>953281.035</v>
      </c>
      <c r="AR131" s="33" t="n">
        <f aca="false">AR46*'Hiring plan'!$K$42*(1+Salary_Raise)^(AR$5-1)</f>
        <v>953281.035</v>
      </c>
      <c r="AS131" s="33" t="n">
        <f aca="false">AS46*'Hiring plan'!$K$42*(1+Salary_Raise)^(AS$5-1)</f>
        <v>953281.035</v>
      </c>
      <c r="AT131" s="33" t="n">
        <f aca="false">AT46*'Hiring plan'!$K$42*(1+Salary_Raise)^(AT$5-1)</f>
        <v>953281.035</v>
      </c>
      <c r="AU131" s="33" t="n">
        <f aca="false">AU46*'Hiring plan'!$K$42*(1+Salary_Raise)^(AU$5-1)</f>
        <v>953281.035</v>
      </c>
      <c r="AV131" s="33" t="n">
        <f aca="false">AV46*'Hiring plan'!$K$42*(1+Salary_Raise)^(AV$5-1)</f>
        <v>953281.035</v>
      </c>
      <c r="AW131" s="33" t="n">
        <f aca="false">AW46*'Hiring plan'!$K$42*(1+Salary_Raise)^(AW$5-1)</f>
        <v>953281.035</v>
      </c>
      <c r="AX131" s="33" t="n">
        <f aca="false">AX46*'Hiring plan'!$K$42*(1+Salary_Raise)^(AX$5-1)</f>
        <v>953281.035</v>
      </c>
      <c r="AY131" s="33" t="n">
        <f aca="false">AY46*'Hiring plan'!$K$42*(1+Salary_Raise)^(AY$5-1)</f>
        <v>953281.035</v>
      </c>
      <c r="AZ131" s="33" t="n">
        <f aca="false">AZ46*'Hiring plan'!$K$42*(1+Salary_Raise)^(AZ$5-1)</f>
        <v>953281.035</v>
      </c>
      <c r="BA131" s="33" t="n">
        <f aca="false">BA46*'Hiring plan'!$K$42*(1+Salary_Raise)^(BA$5-1)</f>
        <v>1000945.08675</v>
      </c>
      <c r="BB131" s="33" t="n">
        <f aca="false">BB46*'Hiring plan'!$K$42*(1+Salary_Raise)^(BB$5-1)</f>
        <v>1000945.08675</v>
      </c>
      <c r="BC131" s="33" t="n">
        <f aca="false">BC46*'Hiring plan'!$K$42*(1+Salary_Raise)^(BC$5-1)</f>
        <v>1000945.08675</v>
      </c>
      <c r="BD131" s="33" t="n">
        <f aca="false">BD46*'Hiring plan'!$K$42*(1+Salary_Raise)^(BD$5-1)</f>
        <v>1000945.08675</v>
      </c>
      <c r="BE131" s="33" t="n">
        <f aca="false">BE46*'Hiring plan'!$K$42*(1+Salary_Raise)^(BE$5-1)</f>
        <v>1000945.08675</v>
      </c>
      <c r="BF131" s="33" t="n">
        <f aca="false">BF46*'Hiring plan'!$K$42*(1+Salary_Raise)^(BF$5-1)</f>
        <v>1000945.08675</v>
      </c>
      <c r="BG131" s="33" t="n">
        <f aca="false">BG46*'Hiring plan'!$K$42*(1+Salary_Raise)^(BG$5-1)</f>
        <v>1000945.08675</v>
      </c>
      <c r="BH131" s="33" t="n">
        <f aca="false">BH46*'Hiring plan'!$K$42*(1+Salary_Raise)^(BH$5-1)</f>
        <v>1000945.08675</v>
      </c>
      <c r="BI131" s="33" t="n">
        <f aca="false">BI46*'Hiring plan'!$K$42*(1+Salary_Raise)^(BI$5-1)</f>
        <v>1000945.08675</v>
      </c>
      <c r="BJ131" s="33" t="n">
        <f aca="false">BJ46*'Hiring plan'!$K$42*(1+Salary_Raise)^(BJ$5-1)</f>
        <v>1000945.08675</v>
      </c>
      <c r="BK131" s="33" t="n">
        <f aca="false">BK46*'Hiring plan'!$K$42*(1+Salary_Raise)^(BK$5-1)</f>
        <v>1000945.08675</v>
      </c>
      <c r="BL131" s="33" t="n">
        <f aca="false">BL46*'Hiring plan'!$K$42*(1+Salary_Raise)^(BL$5-1)</f>
        <v>1000945.08675</v>
      </c>
    </row>
    <row r="132" customFormat="false" ht="15" hidden="false" customHeight="false" outlineLevel="0" collapsed="false">
      <c r="A132" s="12" t="str">
        <f aca="false">A47</f>
        <v>KYC / onboarding agent · SN</v>
      </c>
      <c r="B132" s="14" t="s">
        <v>63</v>
      </c>
      <c r="D132" s="41" t="n">
        <f aca="false">SUM(E132:BL132)</f>
        <v>16441988.661</v>
      </c>
      <c r="E132" s="33" t="n">
        <f aca="false">E47*'Hiring plan'!$K$43*(1+Salary_Raise)^(E$5-1)</f>
        <v>0</v>
      </c>
      <c r="F132" s="33" t="n">
        <f aca="false">F47*'Hiring plan'!$K$43*(1+Salary_Raise)^(F$5-1)</f>
        <v>0</v>
      </c>
      <c r="G132" s="33" t="n">
        <f aca="false">G47*'Hiring plan'!$K$43*(1+Salary_Raise)^(G$5-1)</f>
        <v>0</v>
      </c>
      <c r="H132" s="33" t="n">
        <f aca="false">H47*'Hiring plan'!$K$43*(1+Salary_Raise)^(H$5-1)</f>
        <v>0</v>
      </c>
      <c r="I132" s="33" t="n">
        <f aca="false">I47*'Hiring plan'!$K$43*(1+Salary_Raise)^(I$5-1)</f>
        <v>0</v>
      </c>
      <c r="J132" s="33" t="n">
        <f aca="false">J47*'Hiring plan'!$K$43*(1+Salary_Raise)^(J$5-1)</f>
        <v>0</v>
      </c>
      <c r="K132" s="33" t="n">
        <f aca="false">K47*'Hiring plan'!$K$43*(1+Salary_Raise)^(K$5-1)</f>
        <v>0</v>
      </c>
      <c r="L132" s="33" t="n">
        <f aca="false">L47*'Hiring plan'!$K$43*(1+Salary_Raise)^(L$5-1)</f>
        <v>0</v>
      </c>
      <c r="M132" s="33" t="n">
        <f aca="false">M47*'Hiring plan'!$K$43*(1+Salary_Raise)^(M$5-1)</f>
        <v>0</v>
      </c>
      <c r="N132" s="33" t="n">
        <f aca="false">N47*'Hiring plan'!$K$43*(1+Salary_Raise)^(N$5-1)</f>
        <v>0</v>
      </c>
      <c r="O132" s="33" t="n">
        <f aca="false">O47*'Hiring plan'!$K$43*(1+Salary_Raise)^(O$5-1)</f>
        <v>0</v>
      </c>
      <c r="P132" s="33" t="n">
        <f aca="false">P47*'Hiring plan'!$K$43*(1+Salary_Raise)^(P$5-1)</f>
        <v>0</v>
      </c>
      <c r="Q132" s="33" t="n">
        <f aca="false">Q47*'Hiring plan'!$K$43*(1+Salary_Raise)^(Q$5-1)</f>
        <v>0</v>
      </c>
      <c r="R132" s="33" t="n">
        <f aca="false">R47*'Hiring plan'!$K$43*(1+Salary_Raise)^(R$5-1)</f>
        <v>0</v>
      </c>
      <c r="S132" s="33" t="n">
        <f aca="false">S47*'Hiring plan'!$K$43*(1+Salary_Raise)^(S$5-1)</f>
        <v>0</v>
      </c>
      <c r="T132" s="33" t="n">
        <f aca="false">T47*'Hiring plan'!$K$43*(1+Salary_Raise)^(T$5-1)</f>
        <v>0</v>
      </c>
      <c r="U132" s="33" t="n">
        <f aca="false">U47*'Hiring plan'!$K$43*(1+Salary_Raise)^(U$5-1)</f>
        <v>0</v>
      </c>
      <c r="V132" s="33" t="n">
        <f aca="false">V47*'Hiring plan'!$K$43*(1+Salary_Raise)^(V$5-1)</f>
        <v>0</v>
      </c>
      <c r="W132" s="33" t="n">
        <f aca="false">W47*'Hiring plan'!$K$43*(1+Salary_Raise)^(W$5-1)</f>
        <v>0</v>
      </c>
      <c r="X132" s="33" t="n">
        <f aca="false">X47*'Hiring plan'!$K$43*(1+Salary_Raise)^(X$5-1)</f>
        <v>0</v>
      </c>
      <c r="Y132" s="33" t="n">
        <f aca="false">Y47*'Hiring plan'!$K$43*(1+Salary_Raise)^(Y$5-1)</f>
        <v>0</v>
      </c>
      <c r="Z132" s="33" t="n">
        <f aca="false">Z47*'Hiring plan'!$K$43*(1+Salary_Raise)^(Z$5-1)</f>
        <v>0</v>
      </c>
      <c r="AA132" s="33" t="n">
        <f aca="false">AA47*'Hiring plan'!$K$43*(1+Salary_Raise)^(AA$5-1)</f>
        <v>0</v>
      </c>
      <c r="AB132" s="33" t="n">
        <f aca="false">AB47*'Hiring plan'!$K$43*(1+Salary_Raise)^(AB$5-1)</f>
        <v>0</v>
      </c>
      <c r="AC132" s="33" t="n">
        <f aca="false">AC47*'Hiring plan'!$K$43*(1+Salary_Raise)^(AC$5-1)</f>
        <v>0</v>
      </c>
      <c r="AD132" s="33" t="n">
        <f aca="false">AD47*'Hiring plan'!$K$43*(1+Salary_Raise)^(AD$5-1)</f>
        <v>0</v>
      </c>
      <c r="AE132" s="33" t="n">
        <f aca="false">AE47*'Hiring plan'!$K$43*(1+Salary_Raise)^(AE$5-1)</f>
        <v>0</v>
      </c>
      <c r="AF132" s="33" t="n">
        <f aca="false">AF47*'Hiring plan'!$K$43*(1+Salary_Raise)^(AF$5-1)</f>
        <v>0</v>
      </c>
      <c r="AG132" s="33" t="n">
        <f aca="false">AG47*'Hiring plan'!$K$43*(1+Salary_Raise)^(AG$5-1)</f>
        <v>0</v>
      </c>
      <c r="AH132" s="33" t="n">
        <f aca="false">AH47*'Hiring plan'!$K$43*(1+Salary_Raise)^(AH$5-1)</f>
        <v>0</v>
      </c>
      <c r="AI132" s="33" t="n">
        <f aca="false">AI47*'Hiring plan'!$K$43*(1+Salary_Raise)^(AI$5-1)</f>
        <v>0</v>
      </c>
      <c r="AJ132" s="33" t="n">
        <f aca="false">AJ47*'Hiring plan'!$K$43*(1+Salary_Raise)^(AJ$5-1)</f>
        <v>0</v>
      </c>
      <c r="AK132" s="33" t="n">
        <f aca="false">AK47*'Hiring plan'!$K$43*(1+Salary_Raise)^(AK$5-1)</f>
        <v>0</v>
      </c>
      <c r="AL132" s="33" t="n">
        <f aca="false">AL47*'Hiring plan'!$K$43*(1+Salary_Raise)^(AL$5-1)</f>
        <v>0</v>
      </c>
      <c r="AM132" s="33" t="n">
        <f aca="false">AM47*'Hiring plan'!$K$43*(1+Salary_Raise)^(AM$5-1)</f>
        <v>0</v>
      </c>
      <c r="AN132" s="33" t="n">
        <f aca="false">AN47*'Hiring plan'!$K$43*(1+Salary_Raise)^(AN$5-1)</f>
        <v>0</v>
      </c>
      <c r="AO132" s="33" t="n">
        <f aca="false">AO47*'Hiring plan'!$K$43*(1+Salary_Raise)^(AO$5-1)</f>
        <v>0</v>
      </c>
      <c r="AP132" s="33" t="n">
        <f aca="false">AP47*'Hiring plan'!$K$43*(1+Salary_Raise)^(AP$5-1)</f>
        <v>0</v>
      </c>
      <c r="AQ132" s="33" t="n">
        <f aca="false">AQ47*'Hiring plan'!$K$43*(1+Salary_Raise)^(AQ$5-1)</f>
        <v>0</v>
      </c>
      <c r="AR132" s="33" t="n">
        <f aca="false">AR47*'Hiring plan'!$K$43*(1+Salary_Raise)^(AR$5-1)</f>
        <v>0</v>
      </c>
      <c r="AS132" s="33" t="n">
        <f aca="false">AS47*'Hiring plan'!$K$43*(1+Salary_Raise)^(AS$5-1)</f>
        <v>0</v>
      </c>
      <c r="AT132" s="33" t="n">
        <f aca="false">AT47*'Hiring plan'!$K$43*(1+Salary_Raise)^(AT$5-1)</f>
        <v>0</v>
      </c>
      <c r="AU132" s="33" t="n">
        <f aca="false">AU47*'Hiring plan'!$K$43*(1+Salary_Raise)^(AU$5-1)</f>
        <v>883977.885</v>
      </c>
      <c r="AV132" s="33" t="n">
        <f aca="false">AV47*'Hiring plan'!$K$43*(1+Salary_Raise)^(AV$5-1)</f>
        <v>883977.885</v>
      </c>
      <c r="AW132" s="33" t="n">
        <f aca="false">AW47*'Hiring plan'!$K$43*(1+Salary_Raise)^(AW$5-1)</f>
        <v>883977.885</v>
      </c>
      <c r="AX132" s="33" t="n">
        <f aca="false">AX47*'Hiring plan'!$K$43*(1+Salary_Raise)^(AX$5-1)</f>
        <v>883977.885</v>
      </c>
      <c r="AY132" s="33" t="n">
        <f aca="false">AY47*'Hiring plan'!$K$43*(1+Salary_Raise)^(AY$5-1)</f>
        <v>883977.885</v>
      </c>
      <c r="AZ132" s="33" t="n">
        <f aca="false">AZ47*'Hiring plan'!$K$43*(1+Salary_Raise)^(AZ$5-1)</f>
        <v>883977.885</v>
      </c>
      <c r="BA132" s="33" t="n">
        <f aca="false">BA47*'Hiring plan'!$K$43*(1+Salary_Raise)^(BA$5-1)</f>
        <v>928176.77925</v>
      </c>
      <c r="BB132" s="33" t="n">
        <f aca="false">BB47*'Hiring plan'!$K$43*(1+Salary_Raise)^(BB$5-1)</f>
        <v>928176.77925</v>
      </c>
      <c r="BC132" s="33" t="n">
        <f aca="false">BC47*'Hiring plan'!$K$43*(1+Salary_Raise)^(BC$5-1)</f>
        <v>928176.77925</v>
      </c>
      <c r="BD132" s="33" t="n">
        <f aca="false">BD47*'Hiring plan'!$K$43*(1+Salary_Raise)^(BD$5-1)</f>
        <v>928176.77925</v>
      </c>
      <c r="BE132" s="33" t="n">
        <f aca="false">BE47*'Hiring plan'!$K$43*(1+Salary_Raise)^(BE$5-1)</f>
        <v>928176.77925</v>
      </c>
      <c r="BF132" s="33" t="n">
        <f aca="false">BF47*'Hiring plan'!$K$43*(1+Salary_Raise)^(BF$5-1)</f>
        <v>928176.77925</v>
      </c>
      <c r="BG132" s="33" t="n">
        <f aca="false">BG47*'Hiring plan'!$K$43*(1+Salary_Raise)^(BG$5-1)</f>
        <v>928176.77925</v>
      </c>
      <c r="BH132" s="33" t="n">
        <f aca="false">BH47*'Hiring plan'!$K$43*(1+Salary_Raise)^(BH$5-1)</f>
        <v>928176.77925</v>
      </c>
      <c r="BI132" s="33" t="n">
        <f aca="false">BI47*'Hiring plan'!$K$43*(1+Salary_Raise)^(BI$5-1)</f>
        <v>928176.77925</v>
      </c>
      <c r="BJ132" s="33" t="n">
        <f aca="false">BJ47*'Hiring plan'!$K$43*(1+Salary_Raise)^(BJ$5-1)</f>
        <v>928176.77925</v>
      </c>
      <c r="BK132" s="33" t="n">
        <f aca="false">BK47*'Hiring plan'!$K$43*(1+Salary_Raise)^(BK$5-1)</f>
        <v>928176.77925</v>
      </c>
      <c r="BL132" s="33" t="n">
        <f aca="false">BL47*'Hiring plan'!$K$43*(1+Salary_Raise)^(BL$5-1)</f>
        <v>928176.77925</v>
      </c>
    </row>
    <row r="133" customFormat="false" ht="15" hidden="false" customHeight="false" outlineLevel="0" collapsed="false">
      <c r="A133" s="12" t="str">
        <f aca="false">A48</f>
        <v>Customer support agent · SN</v>
      </c>
      <c r="B133" s="14" t="s">
        <v>63</v>
      </c>
      <c r="D133" s="41" t="n">
        <f aca="false">SUM(E133:BL133)</f>
        <v>18765416.124</v>
      </c>
      <c r="E133" s="33" t="n">
        <f aca="false">E48*'Hiring plan'!$K$44*(1+Salary_Raise)^(E$5-1)</f>
        <v>0</v>
      </c>
      <c r="F133" s="33" t="n">
        <f aca="false">F48*'Hiring plan'!$K$44*(1+Salary_Raise)^(F$5-1)</f>
        <v>0</v>
      </c>
      <c r="G133" s="33" t="n">
        <f aca="false">G48*'Hiring plan'!$K$44*(1+Salary_Raise)^(G$5-1)</f>
        <v>0</v>
      </c>
      <c r="H133" s="33" t="n">
        <f aca="false">H48*'Hiring plan'!$K$44*(1+Salary_Raise)^(H$5-1)</f>
        <v>0</v>
      </c>
      <c r="I133" s="33" t="n">
        <f aca="false">I48*'Hiring plan'!$K$44*(1+Salary_Raise)^(I$5-1)</f>
        <v>0</v>
      </c>
      <c r="J133" s="33" t="n">
        <f aca="false">J48*'Hiring plan'!$K$44*(1+Salary_Raise)^(J$5-1)</f>
        <v>0</v>
      </c>
      <c r="K133" s="33" t="n">
        <f aca="false">K48*'Hiring plan'!$K$44*(1+Salary_Raise)^(K$5-1)</f>
        <v>0</v>
      </c>
      <c r="L133" s="33" t="n">
        <f aca="false">L48*'Hiring plan'!$K$44*(1+Salary_Raise)^(L$5-1)</f>
        <v>0</v>
      </c>
      <c r="M133" s="33" t="n">
        <f aca="false">M48*'Hiring plan'!$K$44*(1+Salary_Raise)^(M$5-1)</f>
        <v>0</v>
      </c>
      <c r="N133" s="33" t="n">
        <f aca="false">N48*'Hiring plan'!$K$44*(1+Salary_Raise)^(N$5-1)</f>
        <v>0</v>
      </c>
      <c r="O133" s="33" t="n">
        <f aca="false">O48*'Hiring plan'!$K$44*(1+Salary_Raise)^(O$5-1)</f>
        <v>0</v>
      </c>
      <c r="P133" s="33" t="n">
        <f aca="false">P48*'Hiring plan'!$K$44*(1+Salary_Raise)^(P$5-1)</f>
        <v>0</v>
      </c>
      <c r="Q133" s="33" t="n">
        <f aca="false">Q48*'Hiring plan'!$K$44*(1+Salary_Raise)^(Q$5-1)</f>
        <v>0</v>
      </c>
      <c r="R133" s="33" t="n">
        <f aca="false">R48*'Hiring plan'!$K$44*(1+Salary_Raise)^(R$5-1)</f>
        <v>0</v>
      </c>
      <c r="S133" s="33" t="n">
        <f aca="false">S48*'Hiring plan'!$K$44*(1+Salary_Raise)^(S$5-1)</f>
        <v>0</v>
      </c>
      <c r="T133" s="33" t="n">
        <f aca="false">T48*'Hiring plan'!$K$44*(1+Salary_Raise)^(T$5-1)</f>
        <v>0</v>
      </c>
      <c r="U133" s="33" t="n">
        <f aca="false">U48*'Hiring plan'!$K$44*(1+Salary_Raise)^(U$5-1)</f>
        <v>0</v>
      </c>
      <c r="V133" s="33" t="n">
        <f aca="false">V48*'Hiring plan'!$K$44*(1+Salary_Raise)^(V$5-1)</f>
        <v>0</v>
      </c>
      <c r="W133" s="33" t="n">
        <f aca="false">W48*'Hiring plan'!$K$44*(1+Salary_Raise)^(W$5-1)</f>
        <v>0</v>
      </c>
      <c r="X133" s="33" t="n">
        <f aca="false">X48*'Hiring plan'!$K$44*(1+Salary_Raise)^(X$5-1)</f>
        <v>0</v>
      </c>
      <c r="Y133" s="33" t="n">
        <f aca="false">Y48*'Hiring plan'!$K$44*(1+Salary_Raise)^(Y$5-1)</f>
        <v>0</v>
      </c>
      <c r="Z133" s="33" t="n">
        <f aca="false">Z48*'Hiring plan'!$K$44*(1+Salary_Raise)^(Z$5-1)</f>
        <v>0</v>
      </c>
      <c r="AA133" s="33" t="n">
        <f aca="false">AA48*'Hiring plan'!$K$44*(1+Salary_Raise)^(AA$5-1)</f>
        <v>0</v>
      </c>
      <c r="AB133" s="33" t="n">
        <f aca="false">AB48*'Hiring plan'!$K$44*(1+Salary_Raise)^(AB$5-1)</f>
        <v>0</v>
      </c>
      <c r="AC133" s="33" t="n">
        <f aca="false">AC48*'Hiring plan'!$K$44*(1+Salary_Raise)^(AC$5-1)</f>
        <v>0</v>
      </c>
      <c r="AD133" s="33" t="n">
        <f aca="false">AD48*'Hiring plan'!$K$44*(1+Salary_Raise)^(AD$5-1)</f>
        <v>0</v>
      </c>
      <c r="AE133" s="33" t="n">
        <f aca="false">AE48*'Hiring plan'!$K$44*(1+Salary_Raise)^(AE$5-1)</f>
        <v>0</v>
      </c>
      <c r="AF133" s="33" t="n">
        <f aca="false">AF48*'Hiring plan'!$K$44*(1+Salary_Raise)^(AF$5-1)</f>
        <v>0</v>
      </c>
      <c r="AG133" s="33" t="n">
        <f aca="false">AG48*'Hiring plan'!$K$44*(1+Salary_Raise)^(AG$5-1)</f>
        <v>0</v>
      </c>
      <c r="AH133" s="33" t="n">
        <f aca="false">AH48*'Hiring plan'!$K$44*(1+Salary_Raise)^(AH$5-1)</f>
        <v>0</v>
      </c>
      <c r="AI133" s="33" t="n">
        <f aca="false">AI48*'Hiring plan'!$K$44*(1+Salary_Raise)^(AI$5-1)</f>
        <v>0</v>
      </c>
      <c r="AJ133" s="33" t="n">
        <f aca="false">AJ48*'Hiring plan'!$K$44*(1+Salary_Raise)^(AJ$5-1)</f>
        <v>0</v>
      </c>
      <c r="AK133" s="33" t="n">
        <f aca="false">AK48*'Hiring plan'!$K$44*(1+Salary_Raise)^(AK$5-1)</f>
        <v>0</v>
      </c>
      <c r="AL133" s="33" t="n">
        <f aca="false">AL48*'Hiring plan'!$K$44*(1+Salary_Raise)^(AL$5-1)</f>
        <v>0</v>
      </c>
      <c r="AM133" s="33" t="n">
        <f aca="false">AM48*'Hiring plan'!$K$44*(1+Salary_Raise)^(AM$5-1)</f>
        <v>0</v>
      </c>
      <c r="AN133" s="33" t="n">
        <f aca="false">AN48*'Hiring plan'!$K$44*(1+Salary_Raise)^(AN$5-1)</f>
        <v>0</v>
      </c>
      <c r="AO133" s="33" t="n">
        <f aca="false">AO48*'Hiring plan'!$K$44*(1+Salary_Raise)^(AO$5-1)</f>
        <v>0</v>
      </c>
      <c r="AP133" s="33" t="n">
        <f aca="false">AP48*'Hiring plan'!$K$44*(1+Salary_Raise)^(AP$5-1)</f>
        <v>0</v>
      </c>
      <c r="AQ133" s="33" t="n">
        <f aca="false">AQ48*'Hiring plan'!$K$44*(1+Salary_Raise)^(AQ$5-1)</f>
        <v>0</v>
      </c>
      <c r="AR133" s="33" t="n">
        <f aca="false">AR48*'Hiring plan'!$K$44*(1+Salary_Raise)^(AR$5-1)</f>
        <v>0</v>
      </c>
      <c r="AS133" s="33" t="n">
        <f aca="false">AS48*'Hiring plan'!$K$44*(1+Salary_Raise)^(AS$5-1)</f>
        <v>0</v>
      </c>
      <c r="AT133" s="33" t="n">
        <f aca="false">AT48*'Hiring plan'!$K$44*(1+Salary_Raise)^(AT$5-1)</f>
        <v>0</v>
      </c>
      <c r="AU133" s="33" t="n">
        <f aca="false">AU48*'Hiring plan'!$K$44*(1+Salary_Raise)^(AU$5-1)</f>
        <v>1008893.34</v>
      </c>
      <c r="AV133" s="33" t="n">
        <f aca="false">AV48*'Hiring plan'!$K$44*(1+Salary_Raise)^(AV$5-1)</f>
        <v>1008893.34</v>
      </c>
      <c r="AW133" s="33" t="n">
        <f aca="false">AW48*'Hiring plan'!$K$44*(1+Salary_Raise)^(AW$5-1)</f>
        <v>1008893.34</v>
      </c>
      <c r="AX133" s="33" t="n">
        <f aca="false">AX48*'Hiring plan'!$K$44*(1+Salary_Raise)^(AX$5-1)</f>
        <v>1008893.34</v>
      </c>
      <c r="AY133" s="33" t="n">
        <f aca="false">AY48*'Hiring plan'!$K$44*(1+Salary_Raise)^(AY$5-1)</f>
        <v>1008893.34</v>
      </c>
      <c r="AZ133" s="33" t="n">
        <f aca="false">AZ48*'Hiring plan'!$K$44*(1+Salary_Raise)^(AZ$5-1)</f>
        <v>1008893.34</v>
      </c>
      <c r="BA133" s="33" t="n">
        <f aca="false">BA48*'Hiring plan'!$K$44*(1+Salary_Raise)^(BA$5-1)</f>
        <v>1059338.007</v>
      </c>
      <c r="BB133" s="33" t="n">
        <f aca="false">BB48*'Hiring plan'!$K$44*(1+Salary_Raise)^(BB$5-1)</f>
        <v>1059338.007</v>
      </c>
      <c r="BC133" s="33" t="n">
        <f aca="false">BC48*'Hiring plan'!$K$44*(1+Salary_Raise)^(BC$5-1)</f>
        <v>1059338.007</v>
      </c>
      <c r="BD133" s="33" t="n">
        <f aca="false">BD48*'Hiring plan'!$K$44*(1+Salary_Raise)^(BD$5-1)</f>
        <v>1059338.007</v>
      </c>
      <c r="BE133" s="33" t="n">
        <f aca="false">BE48*'Hiring plan'!$K$44*(1+Salary_Raise)^(BE$5-1)</f>
        <v>1059338.007</v>
      </c>
      <c r="BF133" s="33" t="n">
        <f aca="false">BF48*'Hiring plan'!$K$44*(1+Salary_Raise)^(BF$5-1)</f>
        <v>1059338.007</v>
      </c>
      <c r="BG133" s="33" t="n">
        <f aca="false">BG48*'Hiring plan'!$K$44*(1+Salary_Raise)^(BG$5-1)</f>
        <v>1059338.007</v>
      </c>
      <c r="BH133" s="33" t="n">
        <f aca="false">BH48*'Hiring plan'!$K$44*(1+Salary_Raise)^(BH$5-1)</f>
        <v>1059338.007</v>
      </c>
      <c r="BI133" s="33" t="n">
        <f aca="false">BI48*'Hiring plan'!$K$44*(1+Salary_Raise)^(BI$5-1)</f>
        <v>1059338.007</v>
      </c>
      <c r="BJ133" s="33" t="n">
        <f aca="false">BJ48*'Hiring plan'!$K$44*(1+Salary_Raise)^(BJ$5-1)</f>
        <v>1059338.007</v>
      </c>
      <c r="BK133" s="33" t="n">
        <f aca="false">BK48*'Hiring plan'!$K$44*(1+Salary_Raise)^(BK$5-1)</f>
        <v>1059338.007</v>
      </c>
      <c r="BL133" s="33" t="n">
        <f aca="false">BL48*'Hiring plan'!$K$44*(1+Salary_Raise)^(BL$5-1)</f>
        <v>1059338.007</v>
      </c>
    </row>
    <row r="134" customFormat="false" ht="15" hidden="false" customHeight="false" outlineLevel="0" collapsed="false">
      <c r="A134" s="12" t="str">
        <f aca="false">A49</f>
        <v>Head of sales (incl. 25% bonus) · SN</v>
      </c>
      <c r="B134" s="14" t="s">
        <v>63</v>
      </c>
      <c r="D134" s="41" t="n">
        <f aca="false">SUM(E134:BL134)</f>
        <v>135073393.376567</v>
      </c>
      <c r="E134" s="33" t="n">
        <f aca="false">E49*'Hiring plan'!$K$45*(1+Salary_Raise)^(E$5-1)</f>
        <v>0</v>
      </c>
      <c r="F134" s="33" t="n">
        <f aca="false">F49*'Hiring plan'!$K$45*(1+Salary_Raise)^(F$5-1)</f>
        <v>2068265.33333333</v>
      </c>
      <c r="G134" s="33" t="n">
        <f aca="false">G49*'Hiring plan'!$K$45*(1+Salary_Raise)^(G$5-1)</f>
        <v>2068265.33333333</v>
      </c>
      <c r="H134" s="33" t="n">
        <f aca="false">H49*'Hiring plan'!$K$45*(1+Salary_Raise)^(H$5-1)</f>
        <v>2068265.33333333</v>
      </c>
      <c r="I134" s="33" t="n">
        <f aca="false">I49*'Hiring plan'!$K$45*(1+Salary_Raise)^(I$5-1)</f>
        <v>2068265.33333333</v>
      </c>
      <c r="J134" s="33" t="n">
        <f aca="false">J49*'Hiring plan'!$K$45*(1+Salary_Raise)^(J$5-1)</f>
        <v>2068265.33333333</v>
      </c>
      <c r="K134" s="33" t="n">
        <f aca="false">K49*'Hiring plan'!$K$45*(1+Salary_Raise)^(K$5-1)</f>
        <v>2068265.33333333</v>
      </c>
      <c r="L134" s="33" t="n">
        <f aca="false">L49*'Hiring plan'!$K$45*(1+Salary_Raise)^(L$5-1)</f>
        <v>2068265.33333333</v>
      </c>
      <c r="M134" s="33" t="n">
        <f aca="false">M49*'Hiring plan'!$K$45*(1+Salary_Raise)^(M$5-1)</f>
        <v>2068265.33333333</v>
      </c>
      <c r="N134" s="33" t="n">
        <f aca="false">N49*'Hiring plan'!$K$45*(1+Salary_Raise)^(N$5-1)</f>
        <v>2068265.33333333</v>
      </c>
      <c r="O134" s="33" t="n">
        <f aca="false">O49*'Hiring plan'!$K$45*(1+Salary_Raise)^(O$5-1)</f>
        <v>2068265.33333333</v>
      </c>
      <c r="P134" s="33" t="n">
        <f aca="false">P49*'Hiring plan'!$K$45*(1+Salary_Raise)^(P$5-1)</f>
        <v>2068265.33333333</v>
      </c>
      <c r="Q134" s="33" t="n">
        <f aca="false">Q49*'Hiring plan'!$K$45*(1+Salary_Raise)^(Q$5-1)</f>
        <v>2171678.6</v>
      </c>
      <c r="R134" s="33" t="n">
        <f aca="false">R49*'Hiring plan'!$K$45*(1+Salary_Raise)^(R$5-1)</f>
        <v>2171678.6</v>
      </c>
      <c r="S134" s="33" t="n">
        <f aca="false">S49*'Hiring plan'!$K$45*(1+Salary_Raise)^(S$5-1)</f>
        <v>2171678.6</v>
      </c>
      <c r="T134" s="33" t="n">
        <f aca="false">T49*'Hiring plan'!$K$45*(1+Salary_Raise)^(T$5-1)</f>
        <v>2171678.6</v>
      </c>
      <c r="U134" s="33" t="n">
        <f aca="false">U49*'Hiring plan'!$K$45*(1+Salary_Raise)^(U$5-1)</f>
        <v>2171678.6</v>
      </c>
      <c r="V134" s="33" t="n">
        <f aca="false">V49*'Hiring plan'!$K$45*(1+Salary_Raise)^(V$5-1)</f>
        <v>2171678.6</v>
      </c>
      <c r="W134" s="33" t="n">
        <f aca="false">W49*'Hiring plan'!$K$45*(1+Salary_Raise)^(W$5-1)</f>
        <v>2171678.6</v>
      </c>
      <c r="X134" s="33" t="n">
        <f aca="false">X49*'Hiring plan'!$K$45*(1+Salary_Raise)^(X$5-1)</f>
        <v>2171678.6</v>
      </c>
      <c r="Y134" s="33" t="n">
        <f aca="false">Y49*'Hiring plan'!$K$45*(1+Salary_Raise)^(Y$5-1)</f>
        <v>2171678.6</v>
      </c>
      <c r="Z134" s="33" t="n">
        <f aca="false">Z49*'Hiring plan'!$K$45*(1+Salary_Raise)^(Z$5-1)</f>
        <v>2171678.6</v>
      </c>
      <c r="AA134" s="33" t="n">
        <f aca="false">AA49*'Hiring plan'!$K$45*(1+Salary_Raise)^(AA$5-1)</f>
        <v>2171678.6</v>
      </c>
      <c r="AB134" s="33" t="n">
        <f aca="false">AB49*'Hiring plan'!$K$45*(1+Salary_Raise)^(AB$5-1)</f>
        <v>2171678.6</v>
      </c>
      <c r="AC134" s="33" t="n">
        <f aca="false">AC49*'Hiring plan'!$K$45*(1+Salary_Raise)^(AC$5-1)</f>
        <v>2280262.53</v>
      </c>
      <c r="AD134" s="33" t="n">
        <f aca="false">AD49*'Hiring plan'!$K$45*(1+Salary_Raise)^(AD$5-1)</f>
        <v>2280262.53</v>
      </c>
      <c r="AE134" s="33" t="n">
        <f aca="false">AE49*'Hiring plan'!$K$45*(1+Salary_Raise)^(AE$5-1)</f>
        <v>2280262.53</v>
      </c>
      <c r="AF134" s="33" t="n">
        <f aca="false">AF49*'Hiring plan'!$K$45*(1+Salary_Raise)^(AF$5-1)</f>
        <v>2280262.53</v>
      </c>
      <c r="AG134" s="33" t="n">
        <f aca="false">AG49*'Hiring plan'!$K$45*(1+Salary_Raise)^(AG$5-1)</f>
        <v>2280262.53</v>
      </c>
      <c r="AH134" s="33" t="n">
        <f aca="false">AH49*'Hiring plan'!$K$45*(1+Salary_Raise)^(AH$5-1)</f>
        <v>2280262.53</v>
      </c>
      <c r="AI134" s="33" t="n">
        <f aca="false">AI49*'Hiring plan'!$K$45*(1+Salary_Raise)^(AI$5-1)</f>
        <v>2280262.53</v>
      </c>
      <c r="AJ134" s="33" t="n">
        <f aca="false">AJ49*'Hiring plan'!$K$45*(1+Salary_Raise)^(AJ$5-1)</f>
        <v>2280262.53</v>
      </c>
      <c r="AK134" s="33" t="n">
        <f aca="false">AK49*'Hiring plan'!$K$45*(1+Salary_Raise)^(AK$5-1)</f>
        <v>2280262.53</v>
      </c>
      <c r="AL134" s="33" t="n">
        <f aca="false">AL49*'Hiring plan'!$K$45*(1+Salary_Raise)^(AL$5-1)</f>
        <v>2280262.53</v>
      </c>
      <c r="AM134" s="33" t="n">
        <f aca="false">AM49*'Hiring plan'!$K$45*(1+Salary_Raise)^(AM$5-1)</f>
        <v>2280262.53</v>
      </c>
      <c r="AN134" s="33" t="n">
        <f aca="false">AN49*'Hiring plan'!$K$45*(1+Salary_Raise)^(AN$5-1)</f>
        <v>2280262.53</v>
      </c>
      <c r="AO134" s="33" t="n">
        <f aca="false">AO49*'Hiring plan'!$K$45*(1+Salary_Raise)^(AO$5-1)</f>
        <v>2394275.6565</v>
      </c>
      <c r="AP134" s="33" t="n">
        <f aca="false">AP49*'Hiring plan'!$K$45*(1+Salary_Raise)^(AP$5-1)</f>
        <v>2394275.6565</v>
      </c>
      <c r="AQ134" s="33" t="n">
        <f aca="false">AQ49*'Hiring plan'!$K$45*(1+Salary_Raise)^(AQ$5-1)</f>
        <v>2394275.6565</v>
      </c>
      <c r="AR134" s="33" t="n">
        <f aca="false">AR49*'Hiring plan'!$K$45*(1+Salary_Raise)^(AR$5-1)</f>
        <v>2394275.6565</v>
      </c>
      <c r="AS134" s="33" t="n">
        <f aca="false">AS49*'Hiring plan'!$K$45*(1+Salary_Raise)^(AS$5-1)</f>
        <v>2394275.6565</v>
      </c>
      <c r="AT134" s="33" t="n">
        <f aca="false">AT49*'Hiring plan'!$K$45*(1+Salary_Raise)^(AT$5-1)</f>
        <v>2394275.6565</v>
      </c>
      <c r="AU134" s="33" t="n">
        <f aca="false">AU49*'Hiring plan'!$K$45*(1+Salary_Raise)^(AU$5-1)</f>
        <v>2394275.6565</v>
      </c>
      <c r="AV134" s="33" t="n">
        <f aca="false">AV49*'Hiring plan'!$K$45*(1+Salary_Raise)^(AV$5-1)</f>
        <v>2394275.6565</v>
      </c>
      <c r="AW134" s="33" t="n">
        <f aca="false">AW49*'Hiring plan'!$K$45*(1+Salary_Raise)^(AW$5-1)</f>
        <v>2394275.6565</v>
      </c>
      <c r="AX134" s="33" t="n">
        <f aca="false">AX49*'Hiring plan'!$K$45*(1+Salary_Raise)^(AX$5-1)</f>
        <v>2394275.6565</v>
      </c>
      <c r="AY134" s="33" t="n">
        <f aca="false">AY49*'Hiring plan'!$K$45*(1+Salary_Raise)^(AY$5-1)</f>
        <v>2394275.6565</v>
      </c>
      <c r="AZ134" s="33" t="n">
        <f aca="false">AZ49*'Hiring plan'!$K$45*(1+Salary_Raise)^(AZ$5-1)</f>
        <v>2394275.6565</v>
      </c>
      <c r="BA134" s="33" t="n">
        <f aca="false">BA49*'Hiring plan'!$K$45*(1+Salary_Raise)^(BA$5-1)</f>
        <v>2513989.439325</v>
      </c>
      <c r="BB134" s="33" t="n">
        <f aca="false">BB49*'Hiring plan'!$K$45*(1+Salary_Raise)^(BB$5-1)</f>
        <v>2513989.439325</v>
      </c>
      <c r="BC134" s="33" t="n">
        <f aca="false">BC49*'Hiring plan'!$K$45*(1+Salary_Raise)^(BC$5-1)</f>
        <v>2513989.439325</v>
      </c>
      <c r="BD134" s="33" t="n">
        <f aca="false">BD49*'Hiring plan'!$K$45*(1+Salary_Raise)^(BD$5-1)</f>
        <v>2513989.439325</v>
      </c>
      <c r="BE134" s="33" t="n">
        <f aca="false">BE49*'Hiring plan'!$K$45*(1+Salary_Raise)^(BE$5-1)</f>
        <v>2513989.439325</v>
      </c>
      <c r="BF134" s="33" t="n">
        <f aca="false">BF49*'Hiring plan'!$K$45*(1+Salary_Raise)^(BF$5-1)</f>
        <v>2513989.439325</v>
      </c>
      <c r="BG134" s="33" t="n">
        <f aca="false">BG49*'Hiring plan'!$K$45*(1+Salary_Raise)^(BG$5-1)</f>
        <v>2513989.439325</v>
      </c>
      <c r="BH134" s="33" t="n">
        <f aca="false">BH49*'Hiring plan'!$K$45*(1+Salary_Raise)^(BH$5-1)</f>
        <v>2513989.439325</v>
      </c>
      <c r="BI134" s="33" t="n">
        <f aca="false">BI49*'Hiring plan'!$K$45*(1+Salary_Raise)^(BI$5-1)</f>
        <v>2513989.439325</v>
      </c>
      <c r="BJ134" s="33" t="n">
        <f aca="false">BJ49*'Hiring plan'!$K$45*(1+Salary_Raise)^(BJ$5-1)</f>
        <v>2513989.439325</v>
      </c>
      <c r="BK134" s="33" t="n">
        <f aca="false">BK49*'Hiring plan'!$K$45*(1+Salary_Raise)^(BK$5-1)</f>
        <v>2513989.439325</v>
      </c>
      <c r="BL134" s="33" t="n">
        <f aca="false">BL49*'Hiring plan'!$K$45*(1+Salary_Raise)^(BL$5-1)</f>
        <v>2513989.439325</v>
      </c>
    </row>
    <row r="135" customFormat="false" ht="15" hidden="false" customHeight="false" outlineLevel="0" collapsed="false">
      <c r="A135" s="12" t="str">
        <f aca="false">A50</f>
        <v>Partnerships manager (accountants, payroll software) · SN</v>
      </c>
      <c r="B135" s="14" t="s">
        <v>63</v>
      </c>
      <c r="D135" s="41" t="n">
        <f aca="false">SUM(E135:BL135)</f>
        <v>70124281.4457</v>
      </c>
      <c r="E135" s="33" t="n">
        <f aca="false">E50*'Hiring plan'!$K$46*(1+Salary_Raise)^(E$5-1)</f>
        <v>0</v>
      </c>
      <c r="F135" s="33" t="n">
        <f aca="false">F50*'Hiring plan'!$K$46*(1+Salary_Raise)^(F$5-1)</f>
        <v>0</v>
      </c>
      <c r="G135" s="33" t="n">
        <f aca="false">G50*'Hiring plan'!$K$46*(1+Salary_Raise)^(G$5-1)</f>
        <v>0</v>
      </c>
      <c r="H135" s="33" t="n">
        <f aca="false">H50*'Hiring plan'!$K$46*(1+Salary_Raise)^(H$5-1)</f>
        <v>1107676</v>
      </c>
      <c r="I135" s="33" t="n">
        <f aca="false">I50*'Hiring plan'!$K$46*(1+Salary_Raise)^(I$5-1)</f>
        <v>1107676</v>
      </c>
      <c r="J135" s="33" t="n">
        <f aca="false">J50*'Hiring plan'!$K$46*(1+Salary_Raise)^(J$5-1)</f>
        <v>1107676</v>
      </c>
      <c r="K135" s="33" t="n">
        <f aca="false">K50*'Hiring plan'!$K$46*(1+Salary_Raise)^(K$5-1)</f>
        <v>1107676</v>
      </c>
      <c r="L135" s="33" t="n">
        <f aca="false">L50*'Hiring plan'!$K$46*(1+Salary_Raise)^(L$5-1)</f>
        <v>1107676</v>
      </c>
      <c r="M135" s="33" t="n">
        <f aca="false">M50*'Hiring plan'!$K$46*(1+Salary_Raise)^(M$5-1)</f>
        <v>1107676</v>
      </c>
      <c r="N135" s="33" t="n">
        <f aca="false">N50*'Hiring plan'!$K$46*(1+Salary_Raise)^(N$5-1)</f>
        <v>1107676</v>
      </c>
      <c r="O135" s="33" t="n">
        <f aca="false">O50*'Hiring plan'!$K$46*(1+Salary_Raise)^(O$5-1)</f>
        <v>1107676</v>
      </c>
      <c r="P135" s="33" t="n">
        <f aca="false">P50*'Hiring plan'!$K$46*(1+Salary_Raise)^(P$5-1)</f>
        <v>1107676</v>
      </c>
      <c r="Q135" s="33" t="n">
        <f aca="false">Q50*'Hiring plan'!$K$46*(1+Salary_Raise)^(Q$5-1)</f>
        <v>1163059.8</v>
      </c>
      <c r="R135" s="33" t="n">
        <f aca="false">R50*'Hiring plan'!$K$46*(1+Salary_Raise)^(R$5-1)</f>
        <v>1163059.8</v>
      </c>
      <c r="S135" s="33" t="n">
        <f aca="false">S50*'Hiring plan'!$K$46*(1+Salary_Raise)^(S$5-1)</f>
        <v>1163059.8</v>
      </c>
      <c r="T135" s="33" t="n">
        <f aca="false">T50*'Hiring plan'!$K$46*(1+Salary_Raise)^(T$5-1)</f>
        <v>1163059.8</v>
      </c>
      <c r="U135" s="33" t="n">
        <f aca="false">U50*'Hiring plan'!$K$46*(1+Salary_Raise)^(U$5-1)</f>
        <v>1163059.8</v>
      </c>
      <c r="V135" s="33" t="n">
        <f aca="false">V50*'Hiring plan'!$K$46*(1+Salary_Raise)^(V$5-1)</f>
        <v>1163059.8</v>
      </c>
      <c r="W135" s="33" t="n">
        <f aca="false">W50*'Hiring plan'!$K$46*(1+Salary_Raise)^(W$5-1)</f>
        <v>1163059.8</v>
      </c>
      <c r="X135" s="33" t="n">
        <f aca="false">X50*'Hiring plan'!$K$46*(1+Salary_Raise)^(X$5-1)</f>
        <v>1163059.8</v>
      </c>
      <c r="Y135" s="33" t="n">
        <f aca="false">Y50*'Hiring plan'!$K$46*(1+Salary_Raise)^(Y$5-1)</f>
        <v>1163059.8</v>
      </c>
      <c r="Z135" s="33" t="n">
        <f aca="false">Z50*'Hiring plan'!$K$46*(1+Salary_Raise)^(Z$5-1)</f>
        <v>1163059.8</v>
      </c>
      <c r="AA135" s="33" t="n">
        <f aca="false">AA50*'Hiring plan'!$K$46*(1+Salary_Raise)^(AA$5-1)</f>
        <v>1163059.8</v>
      </c>
      <c r="AB135" s="33" t="n">
        <f aca="false">AB50*'Hiring plan'!$K$46*(1+Salary_Raise)^(AB$5-1)</f>
        <v>1163059.8</v>
      </c>
      <c r="AC135" s="33" t="n">
        <f aca="false">AC50*'Hiring plan'!$K$46*(1+Salary_Raise)^(AC$5-1)</f>
        <v>1221212.79</v>
      </c>
      <c r="AD135" s="33" t="n">
        <f aca="false">AD50*'Hiring plan'!$K$46*(1+Salary_Raise)^(AD$5-1)</f>
        <v>1221212.79</v>
      </c>
      <c r="AE135" s="33" t="n">
        <f aca="false">AE50*'Hiring plan'!$K$46*(1+Salary_Raise)^(AE$5-1)</f>
        <v>1221212.79</v>
      </c>
      <c r="AF135" s="33" t="n">
        <f aca="false">AF50*'Hiring plan'!$K$46*(1+Salary_Raise)^(AF$5-1)</f>
        <v>1221212.79</v>
      </c>
      <c r="AG135" s="33" t="n">
        <f aca="false">AG50*'Hiring plan'!$K$46*(1+Salary_Raise)^(AG$5-1)</f>
        <v>1221212.79</v>
      </c>
      <c r="AH135" s="33" t="n">
        <f aca="false">AH50*'Hiring plan'!$K$46*(1+Salary_Raise)^(AH$5-1)</f>
        <v>1221212.79</v>
      </c>
      <c r="AI135" s="33" t="n">
        <f aca="false">AI50*'Hiring plan'!$K$46*(1+Salary_Raise)^(AI$5-1)</f>
        <v>1221212.79</v>
      </c>
      <c r="AJ135" s="33" t="n">
        <f aca="false">AJ50*'Hiring plan'!$K$46*(1+Salary_Raise)^(AJ$5-1)</f>
        <v>1221212.79</v>
      </c>
      <c r="AK135" s="33" t="n">
        <f aca="false">AK50*'Hiring plan'!$K$46*(1+Salary_Raise)^(AK$5-1)</f>
        <v>1221212.79</v>
      </c>
      <c r="AL135" s="33" t="n">
        <f aca="false">AL50*'Hiring plan'!$K$46*(1+Salary_Raise)^(AL$5-1)</f>
        <v>1221212.79</v>
      </c>
      <c r="AM135" s="33" t="n">
        <f aca="false">AM50*'Hiring plan'!$K$46*(1+Salary_Raise)^(AM$5-1)</f>
        <v>1221212.79</v>
      </c>
      <c r="AN135" s="33" t="n">
        <f aca="false">AN50*'Hiring plan'!$K$46*(1+Salary_Raise)^(AN$5-1)</f>
        <v>1221212.79</v>
      </c>
      <c r="AO135" s="33" t="n">
        <f aca="false">AO50*'Hiring plan'!$K$46*(1+Salary_Raise)^(AO$5-1)</f>
        <v>1282273.4295</v>
      </c>
      <c r="AP135" s="33" t="n">
        <f aca="false">AP50*'Hiring plan'!$K$46*(1+Salary_Raise)^(AP$5-1)</f>
        <v>1282273.4295</v>
      </c>
      <c r="AQ135" s="33" t="n">
        <f aca="false">AQ50*'Hiring plan'!$K$46*(1+Salary_Raise)^(AQ$5-1)</f>
        <v>1282273.4295</v>
      </c>
      <c r="AR135" s="33" t="n">
        <f aca="false">AR50*'Hiring plan'!$K$46*(1+Salary_Raise)^(AR$5-1)</f>
        <v>1282273.4295</v>
      </c>
      <c r="AS135" s="33" t="n">
        <f aca="false">AS50*'Hiring plan'!$K$46*(1+Salary_Raise)^(AS$5-1)</f>
        <v>1282273.4295</v>
      </c>
      <c r="AT135" s="33" t="n">
        <f aca="false">AT50*'Hiring plan'!$K$46*(1+Salary_Raise)^(AT$5-1)</f>
        <v>1282273.4295</v>
      </c>
      <c r="AU135" s="33" t="n">
        <f aca="false">AU50*'Hiring plan'!$K$46*(1+Salary_Raise)^(AU$5-1)</f>
        <v>1282273.4295</v>
      </c>
      <c r="AV135" s="33" t="n">
        <f aca="false">AV50*'Hiring plan'!$K$46*(1+Salary_Raise)^(AV$5-1)</f>
        <v>1282273.4295</v>
      </c>
      <c r="AW135" s="33" t="n">
        <f aca="false">AW50*'Hiring plan'!$K$46*(1+Salary_Raise)^(AW$5-1)</f>
        <v>1282273.4295</v>
      </c>
      <c r="AX135" s="33" t="n">
        <f aca="false">AX50*'Hiring plan'!$K$46*(1+Salary_Raise)^(AX$5-1)</f>
        <v>1282273.4295</v>
      </c>
      <c r="AY135" s="33" t="n">
        <f aca="false">AY50*'Hiring plan'!$K$46*(1+Salary_Raise)^(AY$5-1)</f>
        <v>1282273.4295</v>
      </c>
      <c r="AZ135" s="33" t="n">
        <f aca="false">AZ50*'Hiring plan'!$K$46*(1+Salary_Raise)^(AZ$5-1)</f>
        <v>1282273.4295</v>
      </c>
      <c r="BA135" s="33" t="n">
        <f aca="false">BA50*'Hiring plan'!$K$46*(1+Salary_Raise)^(BA$5-1)</f>
        <v>1346387.100975</v>
      </c>
      <c r="BB135" s="33" t="n">
        <f aca="false">BB50*'Hiring plan'!$K$46*(1+Salary_Raise)^(BB$5-1)</f>
        <v>1346387.100975</v>
      </c>
      <c r="BC135" s="33" t="n">
        <f aca="false">BC50*'Hiring plan'!$K$46*(1+Salary_Raise)^(BC$5-1)</f>
        <v>1346387.100975</v>
      </c>
      <c r="BD135" s="33" t="n">
        <f aca="false">BD50*'Hiring plan'!$K$46*(1+Salary_Raise)^(BD$5-1)</f>
        <v>1346387.100975</v>
      </c>
      <c r="BE135" s="33" t="n">
        <f aca="false">BE50*'Hiring plan'!$K$46*(1+Salary_Raise)^(BE$5-1)</f>
        <v>1346387.100975</v>
      </c>
      <c r="BF135" s="33" t="n">
        <f aca="false">BF50*'Hiring plan'!$K$46*(1+Salary_Raise)^(BF$5-1)</f>
        <v>1346387.100975</v>
      </c>
      <c r="BG135" s="33" t="n">
        <f aca="false">BG50*'Hiring plan'!$K$46*(1+Salary_Raise)^(BG$5-1)</f>
        <v>1346387.100975</v>
      </c>
      <c r="BH135" s="33" t="n">
        <f aca="false">BH50*'Hiring plan'!$K$46*(1+Salary_Raise)^(BH$5-1)</f>
        <v>1346387.100975</v>
      </c>
      <c r="BI135" s="33" t="n">
        <f aca="false">BI50*'Hiring plan'!$K$46*(1+Salary_Raise)^(BI$5-1)</f>
        <v>1346387.100975</v>
      </c>
      <c r="BJ135" s="33" t="n">
        <f aca="false">BJ50*'Hiring plan'!$K$46*(1+Salary_Raise)^(BJ$5-1)</f>
        <v>1346387.100975</v>
      </c>
      <c r="BK135" s="33" t="n">
        <f aca="false">BK50*'Hiring plan'!$K$46*(1+Salary_Raise)^(BK$5-1)</f>
        <v>1346387.100975</v>
      </c>
      <c r="BL135" s="33" t="n">
        <f aca="false">BL50*'Hiring plan'!$K$46*(1+Salary_Raise)^(BL$5-1)</f>
        <v>1346387.100975</v>
      </c>
    </row>
    <row r="136" customFormat="false" ht="15" hidden="false" customHeight="false" outlineLevel="0" collapsed="false">
      <c r="A136" s="12" t="str">
        <f aca="false">A51</f>
        <v>Field sales rep (300k fixed + ~100k commission) · SN</v>
      </c>
      <c r="B136" s="14" t="s">
        <v>63</v>
      </c>
      <c r="D136" s="41" t="n">
        <f aca="false">SUM(E136:BL136)</f>
        <v>67292575.821</v>
      </c>
      <c r="E136" s="33" t="n">
        <f aca="false">E51*'Hiring plan'!$K$47*(1+Salary_Raise)^(E$5-1)</f>
        <v>0</v>
      </c>
      <c r="F136" s="33" t="n">
        <f aca="false">F51*'Hiring plan'!$K$47*(1+Salary_Raise)^(F$5-1)</f>
        <v>0</v>
      </c>
      <c r="G136" s="33" t="n">
        <f aca="false">G51*'Hiring plan'!$K$47*(1+Salary_Raise)^(G$5-1)</f>
        <v>0</v>
      </c>
      <c r="H136" s="33" t="n">
        <f aca="false">H51*'Hiring plan'!$K$47*(1+Salary_Raise)^(H$5-1)</f>
        <v>1062946.66666667</v>
      </c>
      <c r="I136" s="33" t="n">
        <f aca="false">I51*'Hiring plan'!$K$47*(1+Salary_Raise)^(I$5-1)</f>
        <v>1062946.66666667</v>
      </c>
      <c r="J136" s="33" t="n">
        <f aca="false">J51*'Hiring plan'!$K$47*(1+Salary_Raise)^(J$5-1)</f>
        <v>1062946.66666667</v>
      </c>
      <c r="K136" s="33" t="n">
        <f aca="false">K51*'Hiring plan'!$K$47*(1+Salary_Raise)^(K$5-1)</f>
        <v>1062946.66666667</v>
      </c>
      <c r="L136" s="33" t="n">
        <f aca="false">L51*'Hiring plan'!$K$47*(1+Salary_Raise)^(L$5-1)</f>
        <v>1062946.66666667</v>
      </c>
      <c r="M136" s="33" t="n">
        <f aca="false">M51*'Hiring plan'!$K$47*(1+Salary_Raise)^(M$5-1)</f>
        <v>1062946.66666667</v>
      </c>
      <c r="N136" s="33" t="n">
        <f aca="false">N51*'Hiring plan'!$K$47*(1+Salary_Raise)^(N$5-1)</f>
        <v>1062946.66666667</v>
      </c>
      <c r="O136" s="33" t="n">
        <f aca="false">O51*'Hiring plan'!$K$47*(1+Salary_Raise)^(O$5-1)</f>
        <v>1062946.66666667</v>
      </c>
      <c r="P136" s="33" t="n">
        <f aca="false">P51*'Hiring plan'!$K$47*(1+Salary_Raise)^(P$5-1)</f>
        <v>1062946.66666667</v>
      </c>
      <c r="Q136" s="33" t="n">
        <f aca="false">Q51*'Hiring plan'!$K$47*(1+Salary_Raise)^(Q$5-1)</f>
        <v>1116094</v>
      </c>
      <c r="R136" s="33" t="n">
        <f aca="false">R51*'Hiring plan'!$K$47*(1+Salary_Raise)^(R$5-1)</f>
        <v>1116094</v>
      </c>
      <c r="S136" s="33" t="n">
        <f aca="false">S51*'Hiring plan'!$K$47*(1+Salary_Raise)^(S$5-1)</f>
        <v>1116094</v>
      </c>
      <c r="T136" s="33" t="n">
        <f aca="false">T51*'Hiring plan'!$K$47*(1+Salary_Raise)^(T$5-1)</f>
        <v>1116094</v>
      </c>
      <c r="U136" s="33" t="n">
        <f aca="false">U51*'Hiring plan'!$K$47*(1+Salary_Raise)^(U$5-1)</f>
        <v>1116094</v>
      </c>
      <c r="V136" s="33" t="n">
        <f aca="false">V51*'Hiring plan'!$K$47*(1+Salary_Raise)^(V$5-1)</f>
        <v>1116094</v>
      </c>
      <c r="W136" s="33" t="n">
        <f aca="false">W51*'Hiring plan'!$K$47*(1+Salary_Raise)^(W$5-1)</f>
        <v>1116094</v>
      </c>
      <c r="X136" s="33" t="n">
        <f aca="false">X51*'Hiring plan'!$K$47*(1+Salary_Raise)^(X$5-1)</f>
        <v>1116094</v>
      </c>
      <c r="Y136" s="33" t="n">
        <f aca="false">Y51*'Hiring plan'!$K$47*(1+Salary_Raise)^(Y$5-1)</f>
        <v>1116094</v>
      </c>
      <c r="Z136" s="33" t="n">
        <f aca="false">Z51*'Hiring plan'!$K$47*(1+Salary_Raise)^(Z$5-1)</f>
        <v>1116094</v>
      </c>
      <c r="AA136" s="33" t="n">
        <f aca="false">AA51*'Hiring plan'!$K$47*(1+Salary_Raise)^(AA$5-1)</f>
        <v>1116094</v>
      </c>
      <c r="AB136" s="33" t="n">
        <f aca="false">AB51*'Hiring plan'!$K$47*(1+Salary_Raise)^(AB$5-1)</f>
        <v>1116094</v>
      </c>
      <c r="AC136" s="33" t="n">
        <f aca="false">AC51*'Hiring plan'!$K$47*(1+Salary_Raise)^(AC$5-1)</f>
        <v>1171898.7</v>
      </c>
      <c r="AD136" s="33" t="n">
        <f aca="false">AD51*'Hiring plan'!$K$47*(1+Salary_Raise)^(AD$5-1)</f>
        <v>1171898.7</v>
      </c>
      <c r="AE136" s="33" t="n">
        <f aca="false">AE51*'Hiring plan'!$K$47*(1+Salary_Raise)^(AE$5-1)</f>
        <v>1171898.7</v>
      </c>
      <c r="AF136" s="33" t="n">
        <f aca="false">AF51*'Hiring plan'!$K$47*(1+Salary_Raise)^(AF$5-1)</f>
        <v>1171898.7</v>
      </c>
      <c r="AG136" s="33" t="n">
        <f aca="false">AG51*'Hiring plan'!$K$47*(1+Salary_Raise)^(AG$5-1)</f>
        <v>1171898.7</v>
      </c>
      <c r="AH136" s="33" t="n">
        <f aca="false">AH51*'Hiring plan'!$K$47*(1+Salary_Raise)^(AH$5-1)</f>
        <v>1171898.7</v>
      </c>
      <c r="AI136" s="33" t="n">
        <f aca="false">AI51*'Hiring plan'!$K$47*(1+Salary_Raise)^(AI$5-1)</f>
        <v>1171898.7</v>
      </c>
      <c r="AJ136" s="33" t="n">
        <f aca="false">AJ51*'Hiring plan'!$K$47*(1+Salary_Raise)^(AJ$5-1)</f>
        <v>1171898.7</v>
      </c>
      <c r="AK136" s="33" t="n">
        <f aca="false">AK51*'Hiring plan'!$K$47*(1+Salary_Raise)^(AK$5-1)</f>
        <v>1171898.7</v>
      </c>
      <c r="AL136" s="33" t="n">
        <f aca="false">AL51*'Hiring plan'!$K$47*(1+Salary_Raise)^(AL$5-1)</f>
        <v>1171898.7</v>
      </c>
      <c r="AM136" s="33" t="n">
        <f aca="false">AM51*'Hiring plan'!$K$47*(1+Salary_Raise)^(AM$5-1)</f>
        <v>1171898.7</v>
      </c>
      <c r="AN136" s="33" t="n">
        <f aca="false">AN51*'Hiring plan'!$K$47*(1+Salary_Raise)^(AN$5-1)</f>
        <v>1171898.7</v>
      </c>
      <c r="AO136" s="33" t="n">
        <f aca="false">AO51*'Hiring plan'!$K$47*(1+Salary_Raise)^(AO$5-1)</f>
        <v>1230493.635</v>
      </c>
      <c r="AP136" s="33" t="n">
        <f aca="false">AP51*'Hiring plan'!$K$47*(1+Salary_Raise)^(AP$5-1)</f>
        <v>1230493.635</v>
      </c>
      <c r="AQ136" s="33" t="n">
        <f aca="false">AQ51*'Hiring plan'!$K$47*(1+Salary_Raise)^(AQ$5-1)</f>
        <v>1230493.635</v>
      </c>
      <c r="AR136" s="33" t="n">
        <f aca="false">AR51*'Hiring plan'!$K$47*(1+Salary_Raise)^(AR$5-1)</f>
        <v>1230493.635</v>
      </c>
      <c r="AS136" s="33" t="n">
        <f aca="false">AS51*'Hiring plan'!$K$47*(1+Salary_Raise)^(AS$5-1)</f>
        <v>1230493.635</v>
      </c>
      <c r="AT136" s="33" t="n">
        <f aca="false">AT51*'Hiring plan'!$K$47*(1+Salary_Raise)^(AT$5-1)</f>
        <v>1230493.635</v>
      </c>
      <c r="AU136" s="33" t="n">
        <f aca="false">AU51*'Hiring plan'!$K$47*(1+Salary_Raise)^(AU$5-1)</f>
        <v>1230493.635</v>
      </c>
      <c r="AV136" s="33" t="n">
        <f aca="false">AV51*'Hiring plan'!$K$47*(1+Salary_Raise)^(AV$5-1)</f>
        <v>1230493.635</v>
      </c>
      <c r="AW136" s="33" t="n">
        <f aca="false">AW51*'Hiring plan'!$K$47*(1+Salary_Raise)^(AW$5-1)</f>
        <v>1230493.635</v>
      </c>
      <c r="AX136" s="33" t="n">
        <f aca="false">AX51*'Hiring plan'!$K$47*(1+Salary_Raise)^(AX$5-1)</f>
        <v>1230493.635</v>
      </c>
      <c r="AY136" s="33" t="n">
        <f aca="false">AY51*'Hiring plan'!$K$47*(1+Salary_Raise)^(AY$5-1)</f>
        <v>1230493.635</v>
      </c>
      <c r="AZ136" s="33" t="n">
        <f aca="false">AZ51*'Hiring plan'!$K$47*(1+Salary_Raise)^(AZ$5-1)</f>
        <v>1230493.635</v>
      </c>
      <c r="BA136" s="33" t="n">
        <f aca="false">BA51*'Hiring plan'!$K$47*(1+Salary_Raise)^(BA$5-1)</f>
        <v>1292018.31675</v>
      </c>
      <c r="BB136" s="33" t="n">
        <f aca="false">BB51*'Hiring plan'!$K$47*(1+Salary_Raise)^(BB$5-1)</f>
        <v>1292018.31675</v>
      </c>
      <c r="BC136" s="33" t="n">
        <f aca="false">BC51*'Hiring plan'!$K$47*(1+Salary_Raise)^(BC$5-1)</f>
        <v>1292018.31675</v>
      </c>
      <c r="BD136" s="33" t="n">
        <f aca="false">BD51*'Hiring plan'!$K$47*(1+Salary_Raise)^(BD$5-1)</f>
        <v>1292018.31675</v>
      </c>
      <c r="BE136" s="33" t="n">
        <f aca="false">BE51*'Hiring plan'!$K$47*(1+Salary_Raise)^(BE$5-1)</f>
        <v>1292018.31675</v>
      </c>
      <c r="BF136" s="33" t="n">
        <f aca="false">BF51*'Hiring plan'!$K$47*(1+Salary_Raise)^(BF$5-1)</f>
        <v>1292018.31675</v>
      </c>
      <c r="BG136" s="33" t="n">
        <f aca="false">BG51*'Hiring plan'!$K$47*(1+Salary_Raise)^(BG$5-1)</f>
        <v>1292018.31675</v>
      </c>
      <c r="BH136" s="33" t="n">
        <f aca="false">BH51*'Hiring plan'!$K$47*(1+Salary_Raise)^(BH$5-1)</f>
        <v>1292018.31675</v>
      </c>
      <c r="BI136" s="33" t="n">
        <f aca="false">BI51*'Hiring plan'!$K$47*(1+Salary_Raise)^(BI$5-1)</f>
        <v>1292018.31675</v>
      </c>
      <c r="BJ136" s="33" t="n">
        <f aca="false">BJ51*'Hiring plan'!$K$47*(1+Salary_Raise)^(BJ$5-1)</f>
        <v>1292018.31675</v>
      </c>
      <c r="BK136" s="33" t="n">
        <f aca="false">BK51*'Hiring plan'!$K$47*(1+Salary_Raise)^(BK$5-1)</f>
        <v>1292018.31675</v>
      </c>
      <c r="BL136" s="33" t="n">
        <f aca="false">BL51*'Hiring plan'!$K$47*(1+Salary_Raise)^(BL$5-1)</f>
        <v>1292018.31675</v>
      </c>
    </row>
    <row r="137" customFormat="false" ht="15" hidden="false" customHeight="false" outlineLevel="0" collapsed="false">
      <c r="A137" s="12" t="str">
        <f aca="false">A52</f>
        <v>Field sales rep · SN</v>
      </c>
      <c r="B137" s="14" t="s">
        <v>63</v>
      </c>
      <c r="D137" s="41" t="n">
        <f aca="false">SUM(E137:BL137)</f>
        <v>64103735.821</v>
      </c>
      <c r="E137" s="33" t="n">
        <f aca="false">E52*'Hiring plan'!$K$48*(1+Salary_Raise)^(E$5-1)</f>
        <v>0</v>
      </c>
      <c r="F137" s="33" t="n">
        <f aca="false">F52*'Hiring plan'!$K$48*(1+Salary_Raise)^(F$5-1)</f>
        <v>0</v>
      </c>
      <c r="G137" s="33" t="n">
        <f aca="false">G52*'Hiring plan'!$K$48*(1+Salary_Raise)^(G$5-1)</f>
        <v>0</v>
      </c>
      <c r="H137" s="33" t="n">
        <f aca="false">H52*'Hiring plan'!$K$48*(1+Salary_Raise)^(H$5-1)</f>
        <v>0</v>
      </c>
      <c r="I137" s="33" t="n">
        <f aca="false">I52*'Hiring plan'!$K$48*(1+Salary_Raise)^(I$5-1)</f>
        <v>0</v>
      </c>
      <c r="J137" s="33" t="n">
        <f aca="false">J52*'Hiring plan'!$K$48*(1+Salary_Raise)^(J$5-1)</f>
        <v>0</v>
      </c>
      <c r="K137" s="33" t="n">
        <f aca="false">K52*'Hiring plan'!$K$48*(1+Salary_Raise)^(K$5-1)</f>
        <v>1062946.66666667</v>
      </c>
      <c r="L137" s="33" t="n">
        <f aca="false">L52*'Hiring plan'!$K$48*(1+Salary_Raise)^(L$5-1)</f>
        <v>1062946.66666667</v>
      </c>
      <c r="M137" s="33" t="n">
        <f aca="false">M52*'Hiring plan'!$K$48*(1+Salary_Raise)^(M$5-1)</f>
        <v>1062946.66666667</v>
      </c>
      <c r="N137" s="33" t="n">
        <f aca="false">N52*'Hiring plan'!$K$48*(1+Salary_Raise)^(N$5-1)</f>
        <v>1062946.66666667</v>
      </c>
      <c r="O137" s="33" t="n">
        <f aca="false">O52*'Hiring plan'!$K$48*(1+Salary_Raise)^(O$5-1)</f>
        <v>1062946.66666667</v>
      </c>
      <c r="P137" s="33" t="n">
        <f aca="false">P52*'Hiring plan'!$K$48*(1+Salary_Raise)^(P$5-1)</f>
        <v>1062946.66666667</v>
      </c>
      <c r="Q137" s="33" t="n">
        <f aca="false">Q52*'Hiring plan'!$K$48*(1+Salary_Raise)^(Q$5-1)</f>
        <v>1116094</v>
      </c>
      <c r="R137" s="33" t="n">
        <f aca="false">R52*'Hiring plan'!$K$48*(1+Salary_Raise)^(R$5-1)</f>
        <v>1116094</v>
      </c>
      <c r="S137" s="33" t="n">
        <f aca="false">S52*'Hiring plan'!$K$48*(1+Salary_Raise)^(S$5-1)</f>
        <v>1116094</v>
      </c>
      <c r="T137" s="33" t="n">
        <f aca="false">T52*'Hiring plan'!$K$48*(1+Salary_Raise)^(T$5-1)</f>
        <v>1116094</v>
      </c>
      <c r="U137" s="33" t="n">
        <f aca="false">U52*'Hiring plan'!$K$48*(1+Salary_Raise)^(U$5-1)</f>
        <v>1116094</v>
      </c>
      <c r="V137" s="33" t="n">
        <f aca="false">V52*'Hiring plan'!$K$48*(1+Salary_Raise)^(V$5-1)</f>
        <v>1116094</v>
      </c>
      <c r="W137" s="33" t="n">
        <f aca="false">W52*'Hiring plan'!$K$48*(1+Salary_Raise)^(W$5-1)</f>
        <v>1116094</v>
      </c>
      <c r="X137" s="33" t="n">
        <f aca="false">X52*'Hiring plan'!$K$48*(1+Salary_Raise)^(X$5-1)</f>
        <v>1116094</v>
      </c>
      <c r="Y137" s="33" t="n">
        <f aca="false">Y52*'Hiring plan'!$K$48*(1+Salary_Raise)^(Y$5-1)</f>
        <v>1116094</v>
      </c>
      <c r="Z137" s="33" t="n">
        <f aca="false">Z52*'Hiring plan'!$K$48*(1+Salary_Raise)^(Z$5-1)</f>
        <v>1116094</v>
      </c>
      <c r="AA137" s="33" t="n">
        <f aca="false">AA52*'Hiring plan'!$K$48*(1+Salary_Raise)^(AA$5-1)</f>
        <v>1116094</v>
      </c>
      <c r="AB137" s="33" t="n">
        <f aca="false">AB52*'Hiring plan'!$K$48*(1+Salary_Raise)^(AB$5-1)</f>
        <v>1116094</v>
      </c>
      <c r="AC137" s="33" t="n">
        <f aca="false">AC52*'Hiring plan'!$K$48*(1+Salary_Raise)^(AC$5-1)</f>
        <v>1171898.7</v>
      </c>
      <c r="AD137" s="33" t="n">
        <f aca="false">AD52*'Hiring plan'!$K$48*(1+Salary_Raise)^(AD$5-1)</f>
        <v>1171898.7</v>
      </c>
      <c r="AE137" s="33" t="n">
        <f aca="false">AE52*'Hiring plan'!$K$48*(1+Salary_Raise)^(AE$5-1)</f>
        <v>1171898.7</v>
      </c>
      <c r="AF137" s="33" t="n">
        <f aca="false">AF52*'Hiring plan'!$K$48*(1+Salary_Raise)^(AF$5-1)</f>
        <v>1171898.7</v>
      </c>
      <c r="AG137" s="33" t="n">
        <f aca="false">AG52*'Hiring plan'!$K$48*(1+Salary_Raise)^(AG$5-1)</f>
        <v>1171898.7</v>
      </c>
      <c r="AH137" s="33" t="n">
        <f aca="false">AH52*'Hiring plan'!$K$48*(1+Salary_Raise)^(AH$5-1)</f>
        <v>1171898.7</v>
      </c>
      <c r="AI137" s="33" t="n">
        <f aca="false">AI52*'Hiring plan'!$K$48*(1+Salary_Raise)^(AI$5-1)</f>
        <v>1171898.7</v>
      </c>
      <c r="AJ137" s="33" t="n">
        <f aca="false">AJ52*'Hiring plan'!$K$48*(1+Salary_Raise)^(AJ$5-1)</f>
        <v>1171898.7</v>
      </c>
      <c r="AK137" s="33" t="n">
        <f aca="false">AK52*'Hiring plan'!$K$48*(1+Salary_Raise)^(AK$5-1)</f>
        <v>1171898.7</v>
      </c>
      <c r="AL137" s="33" t="n">
        <f aca="false">AL52*'Hiring plan'!$K$48*(1+Salary_Raise)^(AL$5-1)</f>
        <v>1171898.7</v>
      </c>
      <c r="AM137" s="33" t="n">
        <f aca="false">AM52*'Hiring plan'!$K$48*(1+Salary_Raise)^(AM$5-1)</f>
        <v>1171898.7</v>
      </c>
      <c r="AN137" s="33" t="n">
        <f aca="false">AN52*'Hiring plan'!$K$48*(1+Salary_Raise)^(AN$5-1)</f>
        <v>1171898.7</v>
      </c>
      <c r="AO137" s="33" t="n">
        <f aca="false">AO52*'Hiring plan'!$K$48*(1+Salary_Raise)^(AO$5-1)</f>
        <v>1230493.635</v>
      </c>
      <c r="AP137" s="33" t="n">
        <f aca="false">AP52*'Hiring plan'!$K$48*(1+Salary_Raise)^(AP$5-1)</f>
        <v>1230493.635</v>
      </c>
      <c r="AQ137" s="33" t="n">
        <f aca="false">AQ52*'Hiring plan'!$K$48*(1+Salary_Raise)^(AQ$5-1)</f>
        <v>1230493.635</v>
      </c>
      <c r="AR137" s="33" t="n">
        <f aca="false">AR52*'Hiring plan'!$K$48*(1+Salary_Raise)^(AR$5-1)</f>
        <v>1230493.635</v>
      </c>
      <c r="AS137" s="33" t="n">
        <f aca="false">AS52*'Hiring plan'!$K$48*(1+Salary_Raise)^(AS$5-1)</f>
        <v>1230493.635</v>
      </c>
      <c r="AT137" s="33" t="n">
        <f aca="false">AT52*'Hiring plan'!$K$48*(1+Salary_Raise)^(AT$5-1)</f>
        <v>1230493.635</v>
      </c>
      <c r="AU137" s="33" t="n">
        <f aca="false">AU52*'Hiring plan'!$K$48*(1+Salary_Raise)^(AU$5-1)</f>
        <v>1230493.635</v>
      </c>
      <c r="AV137" s="33" t="n">
        <f aca="false">AV52*'Hiring plan'!$K$48*(1+Salary_Raise)^(AV$5-1)</f>
        <v>1230493.635</v>
      </c>
      <c r="AW137" s="33" t="n">
        <f aca="false">AW52*'Hiring plan'!$K$48*(1+Salary_Raise)^(AW$5-1)</f>
        <v>1230493.635</v>
      </c>
      <c r="AX137" s="33" t="n">
        <f aca="false">AX52*'Hiring plan'!$K$48*(1+Salary_Raise)^(AX$5-1)</f>
        <v>1230493.635</v>
      </c>
      <c r="AY137" s="33" t="n">
        <f aca="false">AY52*'Hiring plan'!$K$48*(1+Salary_Raise)^(AY$5-1)</f>
        <v>1230493.635</v>
      </c>
      <c r="AZ137" s="33" t="n">
        <f aca="false">AZ52*'Hiring plan'!$K$48*(1+Salary_Raise)^(AZ$5-1)</f>
        <v>1230493.635</v>
      </c>
      <c r="BA137" s="33" t="n">
        <f aca="false">BA52*'Hiring plan'!$K$48*(1+Salary_Raise)^(BA$5-1)</f>
        <v>1292018.31675</v>
      </c>
      <c r="BB137" s="33" t="n">
        <f aca="false">BB52*'Hiring plan'!$K$48*(1+Salary_Raise)^(BB$5-1)</f>
        <v>1292018.31675</v>
      </c>
      <c r="BC137" s="33" t="n">
        <f aca="false">BC52*'Hiring plan'!$K$48*(1+Salary_Raise)^(BC$5-1)</f>
        <v>1292018.31675</v>
      </c>
      <c r="BD137" s="33" t="n">
        <f aca="false">BD52*'Hiring plan'!$K$48*(1+Salary_Raise)^(BD$5-1)</f>
        <v>1292018.31675</v>
      </c>
      <c r="BE137" s="33" t="n">
        <f aca="false">BE52*'Hiring plan'!$K$48*(1+Salary_Raise)^(BE$5-1)</f>
        <v>1292018.31675</v>
      </c>
      <c r="BF137" s="33" t="n">
        <f aca="false">BF52*'Hiring plan'!$K$48*(1+Salary_Raise)^(BF$5-1)</f>
        <v>1292018.31675</v>
      </c>
      <c r="BG137" s="33" t="n">
        <f aca="false">BG52*'Hiring plan'!$K$48*(1+Salary_Raise)^(BG$5-1)</f>
        <v>1292018.31675</v>
      </c>
      <c r="BH137" s="33" t="n">
        <f aca="false">BH52*'Hiring plan'!$K$48*(1+Salary_Raise)^(BH$5-1)</f>
        <v>1292018.31675</v>
      </c>
      <c r="BI137" s="33" t="n">
        <f aca="false">BI52*'Hiring plan'!$K$48*(1+Salary_Raise)^(BI$5-1)</f>
        <v>1292018.31675</v>
      </c>
      <c r="BJ137" s="33" t="n">
        <f aca="false">BJ52*'Hiring plan'!$K$48*(1+Salary_Raise)^(BJ$5-1)</f>
        <v>1292018.31675</v>
      </c>
      <c r="BK137" s="33" t="n">
        <f aca="false">BK52*'Hiring plan'!$K$48*(1+Salary_Raise)^(BK$5-1)</f>
        <v>1292018.31675</v>
      </c>
      <c r="BL137" s="33" t="n">
        <f aca="false">BL52*'Hiring plan'!$K$48*(1+Salary_Raise)^(BL$5-1)</f>
        <v>1292018.31675</v>
      </c>
    </row>
    <row r="138" customFormat="false" ht="15" hidden="false" customHeight="false" outlineLevel="0" collapsed="false">
      <c r="A138" s="12" t="str">
        <f aca="false">A53</f>
        <v>Field sales rep · SN</v>
      </c>
      <c r="B138" s="14" t="s">
        <v>63</v>
      </c>
      <c r="D138" s="41" t="n">
        <f aca="false">SUM(E138:BL138)</f>
        <v>102058983.642</v>
      </c>
      <c r="E138" s="33" t="n">
        <f aca="false">E53*'Hiring plan'!$K$49*(1+Salary_Raise)^(E$5-1)</f>
        <v>0</v>
      </c>
      <c r="F138" s="33" t="n">
        <f aca="false">F53*'Hiring plan'!$K$49*(1+Salary_Raise)^(F$5-1)</f>
        <v>0</v>
      </c>
      <c r="G138" s="33" t="n">
        <f aca="false">G53*'Hiring plan'!$K$49*(1+Salary_Raise)^(G$5-1)</f>
        <v>0</v>
      </c>
      <c r="H138" s="33" t="n">
        <f aca="false">H53*'Hiring plan'!$K$49*(1+Salary_Raise)^(H$5-1)</f>
        <v>0</v>
      </c>
      <c r="I138" s="33" t="n">
        <f aca="false">I53*'Hiring plan'!$K$49*(1+Salary_Raise)^(I$5-1)</f>
        <v>0</v>
      </c>
      <c r="J138" s="33" t="n">
        <f aca="false">J53*'Hiring plan'!$K$49*(1+Salary_Raise)^(J$5-1)</f>
        <v>0</v>
      </c>
      <c r="K138" s="33" t="n">
        <f aca="false">K53*'Hiring plan'!$K$49*(1+Salary_Raise)^(K$5-1)</f>
        <v>0</v>
      </c>
      <c r="L138" s="33" t="n">
        <f aca="false">L53*'Hiring plan'!$K$49*(1+Salary_Raise)^(L$5-1)</f>
        <v>0</v>
      </c>
      <c r="M138" s="33" t="n">
        <f aca="false">M53*'Hiring plan'!$K$49*(1+Salary_Raise)^(M$5-1)</f>
        <v>0</v>
      </c>
      <c r="N138" s="33" t="n">
        <f aca="false">N53*'Hiring plan'!$K$49*(1+Salary_Raise)^(N$5-1)</f>
        <v>0</v>
      </c>
      <c r="O138" s="33" t="n">
        <f aca="false">O53*'Hiring plan'!$K$49*(1+Salary_Raise)^(O$5-1)</f>
        <v>0</v>
      </c>
      <c r="P138" s="33" t="n">
        <f aca="false">P53*'Hiring plan'!$K$49*(1+Salary_Raise)^(P$5-1)</f>
        <v>0</v>
      </c>
      <c r="Q138" s="33" t="n">
        <f aca="false">Q53*'Hiring plan'!$K$49*(1+Salary_Raise)^(Q$5-1)</f>
        <v>0</v>
      </c>
      <c r="R138" s="33" t="n">
        <f aca="false">R53*'Hiring plan'!$K$49*(1+Salary_Raise)^(R$5-1)</f>
        <v>0</v>
      </c>
      <c r="S138" s="33" t="n">
        <f aca="false">S53*'Hiring plan'!$K$49*(1+Salary_Raise)^(S$5-1)</f>
        <v>0</v>
      </c>
      <c r="T138" s="33" t="n">
        <f aca="false">T53*'Hiring plan'!$K$49*(1+Salary_Raise)^(T$5-1)</f>
        <v>0</v>
      </c>
      <c r="U138" s="33" t="n">
        <f aca="false">U53*'Hiring plan'!$K$49*(1+Salary_Raise)^(U$5-1)</f>
        <v>0</v>
      </c>
      <c r="V138" s="33" t="n">
        <f aca="false">V53*'Hiring plan'!$K$49*(1+Salary_Raise)^(V$5-1)</f>
        <v>0</v>
      </c>
      <c r="W138" s="33" t="n">
        <f aca="false">W53*'Hiring plan'!$K$49*(1+Salary_Raise)^(W$5-1)</f>
        <v>2232188</v>
      </c>
      <c r="X138" s="33" t="n">
        <f aca="false">X53*'Hiring plan'!$K$49*(1+Salary_Raise)^(X$5-1)</f>
        <v>2232188</v>
      </c>
      <c r="Y138" s="33" t="n">
        <f aca="false">Y53*'Hiring plan'!$K$49*(1+Salary_Raise)^(Y$5-1)</f>
        <v>2232188</v>
      </c>
      <c r="Z138" s="33" t="n">
        <f aca="false">Z53*'Hiring plan'!$K$49*(1+Salary_Raise)^(Z$5-1)</f>
        <v>2232188</v>
      </c>
      <c r="AA138" s="33" t="n">
        <f aca="false">AA53*'Hiring plan'!$K$49*(1+Salary_Raise)^(AA$5-1)</f>
        <v>2232188</v>
      </c>
      <c r="AB138" s="33" t="n">
        <f aca="false">AB53*'Hiring plan'!$K$49*(1+Salary_Raise)^(AB$5-1)</f>
        <v>2232188</v>
      </c>
      <c r="AC138" s="33" t="n">
        <f aca="false">AC53*'Hiring plan'!$K$49*(1+Salary_Raise)^(AC$5-1)</f>
        <v>2343797.4</v>
      </c>
      <c r="AD138" s="33" t="n">
        <f aca="false">AD53*'Hiring plan'!$K$49*(1+Salary_Raise)^(AD$5-1)</f>
        <v>2343797.4</v>
      </c>
      <c r="AE138" s="33" t="n">
        <f aca="false">AE53*'Hiring plan'!$K$49*(1+Salary_Raise)^(AE$5-1)</f>
        <v>2343797.4</v>
      </c>
      <c r="AF138" s="33" t="n">
        <f aca="false">AF53*'Hiring plan'!$K$49*(1+Salary_Raise)^(AF$5-1)</f>
        <v>2343797.4</v>
      </c>
      <c r="AG138" s="33" t="n">
        <f aca="false">AG53*'Hiring plan'!$K$49*(1+Salary_Raise)^(AG$5-1)</f>
        <v>2343797.4</v>
      </c>
      <c r="AH138" s="33" t="n">
        <f aca="false">AH53*'Hiring plan'!$K$49*(1+Salary_Raise)^(AH$5-1)</f>
        <v>2343797.4</v>
      </c>
      <c r="AI138" s="33" t="n">
        <f aca="false">AI53*'Hiring plan'!$K$49*(1+Salary_Raise)^(AI$5-1)</f>
        <v>2343797.4</v>
      </c>
      <c r="AJ138" s="33" t="n">
        <f aca="false">AJ53*'Hiring plan'!$K$49*(1+Salary_Raise)^(AJ$5-1)</f>
        <v>2343797.4</v>
      </c>
      <c r="AK138" s="33" t="n">
        <f aca="false">AK53*'Hiring plan'!$K$49*(1+Salary_Raise)^(AK$5-1)</f>
        <v>2343797.4</v>
      </c>
      <c r="AL138" s="33" t="n">
        <f aca="false">AL53*'Hiring plan'!$K$49*(1+Salary_Raise)^(AL$5-1)</f>
        <v>2343797.4</v>
      </c>
      <c r="AM138" s="33" t="n">
        <f aca="false">AM53*'Hiring plan'!$K$49*(1+Salary_Raise)^(AM$5-1)</f>
        <v>2343797.4</v>
      </c>
      <c r="AN138" s="33" t="n">
        <f aca="false">AN53*'Hiring plan'!$K$49*(1+Salary_Raise)^(AN$5-1)</f>
        <v>2343797.4</v>
      </c>
      <c r="AO138" s="33" t="n">
        <f aca="false">AO53*'Hiring plan'!$K$49*(1+Salary_Raise)^(AO$5-1)</f>
        <v>2460987.27</v>
      </c>
      <c r="AP138" s="33" t="n">
        <f aca="false">AP53*'Hiring plan'!$K$49*(1+Salary_Raise)^(AP$5-1)</f>
        <v>2460987.27</v>
      </c>
      <c r="AQ138" s="33" t="n">
        <f aca="false">AQ53*'Hiring plan'!$K$49*(1+Salary_Raise)^(AQ$5-1)</f>
        <v>2460987.27</v>
      </c>
      <c r="AR138" s="33" t="n">
        <f aca="false">AR53*'Hiring plan'!$K$49*(1+Salary_Raise)^(AR$5-1)</f>
        <v>2460987.27</v>
      </c>
      <c r="AS138" s="33" t="n">
        <f aca="false">AS53*'Hiring plan'!$K$49*(1+Salary_Raise)^(AS$5-1)</f>
        <v>2460987.27</v>
      </c>
      <c r="AT138" s="33" t="n">
        <f aca="false">AT53*'Hiring plan'!$K$49*(1+Salary_Raise)^(AT$5-1)</f>
        <v>2460987.27</v>
      </c>
      <c r="AU138" s="33" t="n">
        <f aca="false">AU53*'Hiring plan'!$K$49*(1+Salary_Raise)^(AU$5-1)</f>
        <v>2460987.27</v>
      </c>
      <c r="AV138" s="33" t="n">
        <f aca="false">AV53*'Hiring plan'!$K$49*(1+Salary_Raise)^(AV$5-1)</f>
        <v>2460987.27</v>
      </c>
      <c r="AW138" s="33" t="n">
        <f aca="false">AW53*'Hiring plan'!$K$49*(1+Salary_Raise)^(AW$5-1)</f>
        <v>2460987.27</v>
      </c>
      <c r="AX138" s="33" t="n">
        <f aca="false">AX53*'Hiring plan'!$K$49*(1+Salary_Raise)^(AX$5-1)</f>
        <v>2460987.27</v>
      </c>
      <c r="AY138" s="33" t="n">
        <f aca="false">AY53*'Hiring plan'!$K$49*(1+Salary_Raise)^(AY$5-1)</f>
        <v>2460987.27</v>
      </c>
      <c r="AZ138" s="33" t="n">
        <f aca="false">AZ53*'Hiring plan'!$K$49*(1+Salary_Raise)^(AZ$5-1)</f>
        <v>2460987.27</v>
      </c>
      <c r="BA138" s="33" t="n">
        <f aca="false">BA53*'Hiring plan'!$K$49*(1+Salary_Raise)^(BA$5-1)</f>
        <v>2584036.6335</v>
      </c>
      <c r="BB138" s="33" t="n">
        <f aca="false">BB53*'Hiring plan'!$K$49*(1+Salary_Raise)^(BB$5-1)</f>
        <v>2584036.6335</v>
      </c>
      <c r="BC138" s="33" t="n">
        <f aca="false">BC53*'Hiring plan'!$K$49*(1+Salary_Raise)^(BC$5-1)</f>
        <v>2584036.6335</v>
      </c>
      <c r="BD138" s="33" t="n">
        <f aca="false">BD53*'Hiring plan'!$K$49*(1+Salary_Raise)^(BD$5-1)</f>
        <v>2584036.6335</v>
      </c>
      <c r="BE138" s="33" t="n">
        <f aca="false">BE53*'Hiring plan'!$K$49*(1+Salary_Raise)^(BE$5-1)</f>
        <v>2584036.6335</v>
      </c>
      <c r="BF138" s="33" t="n">
        <f aca="false">BF53*'Hiring plan'!$K$49*(1+Salary_Raise)^(BF$5-1)</f>
        <v>2584036.6335</v>
      </c>
      <c r="BG138" s="33" t="n">
        <f aca="false">BG53*'Hiring plan'!$K$49*(1+Salary_Raise)^(BG$5-1)</f>
        <v>2584036.6335</v>
      </c>
      <c r="BH138" s="33" t="n">
        <f aca="false">BH53*'Hiring plan'!$K$49*(1+Salary_Raise)^(BH$5-1)</f>
        <v>2584036.6335</v>
      </c>
      <c r="BI138" s="33" t="n">
        <f aca="false">BI53*'Hiring plan'!$K$49*(1+Salary_Raise)^(BI$5-1)</f>
        <v>2584036.6335</v>
      </c>
      <c r="BJ138" s="33" t="n">
        <f aca="false">BJ53*'Hiring plan'!$K$49*(1+Salary_Raise)^(BJ$5-1)</f>
        <v>2584036.6335</v>
      </c>
      <c r="BK138" s="33" t="n">
        <f aca="false">BK53*'Hiring plan'!$K$49*(1+Salary_Raise)^(BK$5-1)</f>
        <v>2584036.6335</v>
      </c>
      <c r="BL138" s="33" t="n">
        <f aca="false">BL53*'Hiring plan'!$K$49*(1+Salary_Raise)^(BL$5-1)</f>
        <v>2584036.6335</v>
      </c>
    </row>
    <row r="139" customFormat="false" ht="15" hidden="false" customHeight="false" outlineLevel="0" collapsed="false">
      <c r="A139" s="12" t="str">
        <f aca="false">A54</f>
        <v>Field sales rep, Abidjan · CI</v>
      </c>
      <c r="B139" s="14" t="s">
        <v>63</v>
      </c>
      <c r="D139" s="41" t="n">
        <f aca="false">SUM(E139:BL139)</f>
        <v>84948635.8413</v>
      </c>
      <c r="E139" s="33" t="n">
        <f aca="false">E54*'Hiring plan'!$K$50*(1+Salary_Raise)^(E$5-1)</f>
        <v>0</v>
      </c>
      <c r="F139" s="33" t="n">
        <f aca="false">F54*'Hiring plan'!$K$50*(1+Salary_Raise)^(F$5-1)</f>
        <v>0</v>
      </c>
      <c r="G139" s="33" t="n">
        <f aca="false">G54*'Hiring plan'!$K$50*(1+Salary_Raise)^(G$5-1)</f>
        <v>0</v>
      </c>
      <c r="H139" s="33" t="n">
        <f aca="false">H54*'Hiring plan'!$K$50*(1+Salary_Raise)^(H$5-1)</f>
        <v>0</v>
      </c>
      <c r="I139" s="33" t="n">
        <f aca="false">I54*'Hiring plan'!$K$50*(1+Salary_Raise)^(I$5-1)</f>
        <v>0</v>
      </c>
      <c r="J139" s="33" t="n">
        <f aca="false">J54*'Hiring plan'!$K$50*(1+Salary_Raise)^(J$5-1)</f>
        <v>0</v>
      </c>
      <c r="K139" s="33" t="n">
        <f aca="false">K54*'Hiring plan'!$K$50*(1+Salary_Raise)^(K$5-1)</f>
        <v>0</v>
      </c>
      <c r="L139" s="33" t="n">
        <f aca="false">L54*'Hiring plan'!$K$50*(1+Salary_Raise)^(L$5-1)</f>
        <v>0</v>
      </c>
      <c r="M139" s="33" t="n">
        <f aca="false">M54*'Hiring plan'!$K$50*(1+Salary_Raise)^(M$5-1)</f>
        <v>0</v>
      </c>
      <c r="N139" s="33" t="n">
        <f aca="false">N54*'Hiring plan'!$K$50*(1+Salary_Raise)^(N$5-1)</f>
        <v>0</v>
      </c>
      <c r="O139" s="33" t="n">
        <f aca="false">O54*'Hiring plan'!$K$50*(1+Salary_Raise)^(O$5-1)</f>
        <v>0</v>
      </c>
      <c r="P139" s="33" t="n">
        <f aca="false">P54*'Hiring plan'!$K$50*(1+Salary_Raise)^(P$5-1)</f>
        <v>0</v>
      </c>
      <c r="Q139" s="33" t="n">
        <f aca="false">Q54*'Hiring plan'!$K$50*(1+Salary_Raise)^(Q$5-1)</f>
        <v>0</v>
      </c>
      <c r="R139" s="33" t="n">
        <f aca="false">R54*'Hiring plan'!$K$50*(1+Salary_Raise)^(R$5-1)</f>
        <v>0</v>
      </c>
      <c r="S139" s="33" t="n">
        <f aca="false">S54*'Hiring plan'!$K$50*(1+Salary_Raise)^(S$5-1)</f>
        <v>0</v>
      </c>
      <c r="T139" s="33" t="n">
        <f aca="false">T54*'Hiring plan'!$K$50*(1+Salary_Raise)^(T$5-1)</f>
        <v>0</v>
      </c>
      <c r="U139" s="33" t="n">
        <f aca="false">U54*'Hiring plan'!$K$50*(1+Salary_Raise)^(U$5-1)</f>
        <v>0</v>
      </c>
      <c r="V139" s="33" t="n">
        <f aca="false">V54*'Hiring plan'!$K$50*(1+Salary_Raise)^(V$5-1)</f>
        <v>0</v>
      </c>
      <c r="W139" s="33" t="n">
        <f aca="false">W54*'Hiring plan'!$K$50*(1+Salary_Raise)^(W$5-1)</f>
        <v>1857958.2</v>
      </c>
      <c r="X139" s="33" t="n">
        <f aca="false">X54*'Hiring plan'!$K$50*(1+Salary_Raise)^(X$5-1)</f>
        <v>1857958.2</v>
      </c>
      <c r="Y139" s="33" t="n">
        <f aca="false">Y54*'Hiring plan'!$K$50*(1+Salary_Raise)^(Y$5-1)</f>
        <v>1857958.2</v>
      </c>
      <c r="Z139" s="33" t="n">
        <f aca="false">Z54*'Hiring plan'!$K$50*(1+Salary_Raise)^(Z$5-1)</f>
        <v>1857958.2</v>
      </c>
      <c r="AA139" s="33" t="n">
        <f aca="false">AA54*'Hiring plan'!$K$50*(1+Salary_Raise)^(AA$5-1)</f>
        <v>1857958.2</v>
      </c>
      <c r="AB139" s="33" t="n">
        <f aca="false">AB54*'Hiring plan'!$K$50*(1+Salary_Raise)^(AB$5-1)</f>
        <v>1857958.2</v>
      </c>
      <c r="AC139" s="33" t="n">
        <f aca="false">AC54*'Hiring plan'!$K$50*(1+Salary_Raise)^(AC$5-1)</f>
        <v>1950856.11</v>
      </c>
      <c r="AD139" s="33" t="n">
        <f aca="false">AD54*'Hiring plan'!$K$50*(1+Salary_Raise)^(AD$5-1)</f>
        <v>1950856.11</v>
      </c>
      <c r="AE139" s="33" t="n">
        <f aca="false">AE54*'Hiring plan'!$K$50*(1+Salary_Raise)^(AE$5-1)</f>
        <v>1950856.11</v>
      </c>
      <c r="AF139" s="33" t="n">
        <f aca="false">AF54*'Hiring plan'!$K$50*(1+Salary_Raise)^(AF$5-1)</f>
        <v>1950856.11</v>
      </c>
      <c r="AG139" s="33" t="n">
        <f aca="false">AG54*'Hiring plan'!$K$50*(1+Salary_Raise)^(AG$5-1)</f>
        <v>1950856.11</v>
      </c>
      <c r="AH139" s="33" t="n">
        <f aca="false">AH54*'Hiring plan'!$K$50*(1+Salary_Raise)^(AH$5-1)</f>
        <v>1950856.11</v>
      </c>
      <c r="AI139" s="33" t="n">
        <f aca="false">AI54*'Hiring plan'!$K$50*(1+Salary_Raise)^(AI$5-1)</f>
        <v>1950856.11</v>
      </c>
      <c r="AJ139" s="33" t="n">
        <f aca="false">AJ54*'Hiring plan'!$K$50*(1+Salary_Raise)^(AJ$5-1)</f>
        <v>1950856.11</v>
      </c>
      <c r="AK139" s="33" t="n">
        <f aca="false">AK54*'Hiring plan'!$K$50*(1+Salary_Raise)^(AK$5-1)</f>
        <v>1950856.11</v>
      </c>
      <c r="AL139" s="33" t="n">
        <f aca="false">AL54*'Hiring plan'!$K$50*(1+Salary_Raise)^(AL$5-1)</f>
        <v>1950856.11</v>
      </c>
      <c r="AM139" s="33" t="n">
        <f aca="false">AM54*'Hiring plan'!$K$50*(1+Salary_Raise)^(AM$5-1)</f>
        <v>1950856.11</v>
      </c>
      <c r="AN139" s="33" t="n">
        <f aca="false">AN54*'Hiring plan'!$K$50*(1+Salary_Raise)^(AN$5-1)</f>
        <v>1950856.11</v>
      </c>
      <c r="AO139" s="33" t="n">
        <f aca="false">AO54*'Hiring plan'!$K$50*(1+Salary_Raise)^(AO$5-1)</f>
        <v>2048398.9155</v>
      </c>
      <c r="AP139" s="33" t="n">
        <f aca="false">AP54*'Hiring plan'!$K$50*(1+Salary_Raise)^(AP$5-1)</f>
        <v>2048398.9155</v>
      </c>
      <c r="AQ139" s="33" t="n">
        <f aca="false">AQ54*'Hiring plan'!$K$50*(1+Salary_Raise)^(AQ$5-1)</f>
        <v>2048398.9155</v>
      </c>
      <c r="AR139" s="33" t="n">
        <f aca="false">AR54*'Hiring plan'!$K$50*(1+Salary_Raise)^(AR$5-1)</f>
        <v>2048398.9155</v>
      </c>
      <c r="AS139" s="33" t="n">
        <f aca="false">AS54*'Hiring plan'!$K$50*(1+Salary_Raise)^(AS$5-1)</f>
        <v>2048398.9155</v>
      </c>
      <c r="AT139" s="33" t="n">
        <f aca="false">AT54*'Hiring plan'!$K$50*(1+Salary_Raise)^(AT$5-1)</f>
        <v>2048398.9155</v>
      </c>
      <c r="AU139" s="33" t="n">
        <f aca="false">AU54*'Hiring plan'!$K$50*(1+Salary_Raise)^(AU$5-1)</f>
        <v>2048398.9155</v>
      </c>
      <c r="AV139" s="33" t="n">
        <f aca="false">AV54*'Hiring plan'!$K$50*(1+Salary_Raise)^(AV$5-1)</f>
        <v>2048398.9155</v>
      </c>
      <c r="AW139" s="33" t="n">
        <f aca="false">AW54*'Hiring plan'!$K$50*(1+Salary_Raise)^(AW$5-1)</f>
        <v>2048398.9155</v>
      </c>
      <c r="AX139" s="33" t="n">
        <f aca="false">AX54*'Hiring plan'!$K$50*(1+Salary_Raise)^(AX$5-1)</f>
        <v>2048398.9155</v>
      </c>
      <c r="AY139" s="33" t="n">
        <f aca="false">AY54*'Hiring plan'!$K$50*(1+Salary_Raise)^(AY$5-1)</f>
        <v>2048398.9155</v>
      </c>
      <c r="AZ139" s="33" t="n">
        <f aca="false">AZ54*'Hiring plan'!$K$50*(1+Salary_Raise)^(AZ$5-1)</f>
        <v>2048398.9155</v>
      </c>
      <c r="BA139" s="33" t="n">
        <f aca="false">BA54*'Hiring plan'!$K$50*(1+Salary_Raise)^(BA$5-1)</f>
        <v>2150818.861275</v>
      </c>
      <c r="BB139" s="33" t="n">
        <f aca="false">BB54*'Hiring plan'!$K$50*(1+Salary_Raise)^(BB$5-1)</f>
        <v>2150818.861275</v>
      </c>
      <c r="BC139" s="33" t="n">
        <f aca="false">BC54*'Hiring plan'!$K$50*(1+Salary_Raise)^(BC$5-1)</f>
        <v>2150818.861275</v>
      </c>
      <c r="BD139" s="33" t="n">
        <f aca="false">BD54*'Hiring plan'!$K$50*(1+Salary_Raise)^(BD$5-1)</f>
        <v>2150818.861275</v>
      </c>
      <c r="BE139" s="33" t="n">
        <f aca="false">BE54*'Hiring plan'!$K$50*(1+Salary_Raise)^(BE$5-1)</f>
        <v>2150818.861275</v>
      </c>
      <c r="BF139" s="33" t="n">
        <f aca="false">BF54*'Hiring plan'!$K$50*(1+Salary_Raise)^(BF$5-1)</f>
        <v>2150818.861275</v>
      </c>
      <c r="BG139" s="33" t="n">
        <f aca="false">BG54*'Hiring plan'!$K$50*(1+Salary_Raise)^(BG$5-1)</f>
        <v>2150818.861275</v>
      </c>
      <c r="BH139" s="33" t="n">
        <f aca="false">BH54*'Hiring plan'!$K$50*(1+Salary_Raise)^(BH$5-1)</f>
        <v>2150818.861275</v>
      </c>
      <c r="BI139" s="33" t="n">
        <f aca="false">BI54*'Hiring plan'!$K$50*(1+Salary_Raise)^(BI$5-1)</f>
        <v>2150818.861275</v>
      </c>
      <c r="BJ139" s="33" t="n">
        <f aca="false">BJ54*'Hiring plan'!$K$50*(1+Salary_Raise)^(BJ$5-1)</f>
        <v>2150818.861275</v>
      </c>
      <c r="BK139" s="33" t="n">
        <f aca="false">BK54*'Hiring plan'!$K$50*(1+Salary_Raise)^(BK$5-1)</f>
        <v>2150818.861275</v>
      </c>
      <c r="BL139" s="33" t="n">
        <f aca="false">BL54*'Hiring plan'!$K$50*(1+Salary_Raise)^(BL$5-1)</f>
        <v>2150818.861275</v>
      </c>
    </row>
    <row r="140" customFormat="false" ht="15" hidden="false" customHeight="false" outlineLevel="0" collapsed="false">
      <c r="A140" s="12" t="str">
        <f aca="false">A55</f>
        <v>Key account manager (Grande clients) · SN</v>
      </c>
      <c r="B140" s="14" t="s">
        <v>63</v>
      </c>
      <c r="D140" s="41" t="n">
        <f aca="false">SUM(E140:BL140)</f>
        <v>50992070.4657</v>
      </c>
      <c r="E140" s="33" t="n">
        <f aca="false">E55*'Hiring plan'!$K$51*(1+Salary_Raise)^(E$5-1)</f>
        <v>0</v>
      </c>
      <c r="F140" s="33" t="n">
        <f aca="false">F55*'Hiring plan'!$K$51*(1+Salary_Raise)^(F$5-1)</f>
        <v>0</v>
      </c>
      <c r="G140" s="33" t="n">
        <f aca="false">G55*'Hiring plan'!$K$51*(1+Salary_Raise)^(G$5-1)</f>
        <v>0</v>
      </c>
      <c r="H140" s="33" t="n">
        <f aca="false">H55*'Hiring plan'!$K$51*(1+Salary_Raise)^(H$5-1)</f>
        <v>0</v>
      </c>
      <c r="I140" s="33" t="n">
        <f aca="false">I55*'Hiring plan'!$K$51*(1+Salary_Raise)^(I$5-1)</f>
        <v>0</v>
      </c>
      <c r="J140" s="33" t="n">
        <f aca="false">J55*'Hiring plan'!$K$51*(1+Salary_Raise)^(J$5-1)</f>
        <v>0</v>
      </c>
      <c r="K140" s="33" t="n">
        <f aca="false">K55*'Hiring plan'!$K$51*(1+Salary_Raise)^(K$5-1)</f>
        <v>0</v>
      </c>
      <c r="L140" s="33" t="n">
        <f aca="false">L55*'Hiring plan'!$K$51*(1+Salary_Raise)^(L$5-1)</f>
        <v>0</v>
      </c>
      <c r="M140" s="33" t="n">
        <f aca="false">M55*'Hiring plan'!$K$51*(1+Salary_Raise)^(M$5-1)</f>
        <v>0</v>
      </c>
      <c r="N140" s="33" t="n">
        <f aca="false">N55*'Hiring plan'!$K$51*(1+Salary_Raise)^(N$5-1)</f>
        <v>0</v>
      </c>
      <c r="O140" s="33" t="n">
        <f aca="false">O55*'Hiring plan'!$K$51*(1+Salary_Raise)^(O$5-1)</f>
        <v>0</v>
      </c>
      <c r="P140" s="33" t="n">
        <f aca="false">P55*'Hiring plan'!$K$51*(1+Salary_Raise)^(P$5-1)</f>
        <v>0</v>
      </c>
      <c r="Q140" s="33" t="n">
        <f aca="false">Q55*'Hiring plan'!$K$51*(1+Salary_Raise)^(Q$5-1)</f>
        <v>0</v>
      </c>
      <c r="R140" s="33" t="n">
        <f aca="false">R55*'Hiring plan'!$K$51*(1+Salary_Raise)^(R$5-1)</f>
        <v>0</v>
      </c>
      <c r="S140" s="33" t="n">
        <f aca="false">S55*'Hiring plan'!$K$51*(1+Salary_Raise)^(S$5-1)</f>
        <v>0</v>
      </c>
      <c r="T140" s="33" t="n">
        <f aca="false">T55*'Hiring plan'!$K$51*(1+Salary_Raise)^(T$5-1)</f>
        <v>0</v>
      </c>
      <c r="U140" s="33" t="n">
        <f aca="false">U55*'Hiring plan'!$K$51*(1+Salary_Raise)^(U$5-1)</f>
        <v>0</v>
      </c>
      <c r="V140" s="33" t="n">
        <f aca="false">V55*'Hiring plan'!$K$51*(1+Salary_Raise)^(V$5-1)</f>
        <v>0</v>
      </c>
      <c r="W140" s="33" t="n">
        <f aca="false">W55*'Hiring plan'!$K$51*(1+Salary_Raise)^(W$5-1)</f>
        <v>0</v>
      </c>
      <c r="X140" s="33" t="n">
        <f aca="false">X55*'Hiring plan'!$K$51*(1+Salary_Raise)^(X$5-1)</f>
        <v>0</v>
      </c>
      <c r="Y140" s="33" t="n">
        <f aca="false">Y55*'Hiring plan'!$K$51*(1+Salary_Raise)^(Y$5-1)</f>
        <v>0</v>
      </c>
      <c r="Z140" s="33" t="n">
        <f aca="false">Z55*'Hiring plan'!$K$51*(1+Salary_Raise)^(Z$5-1)</f>
        <v>0</v>
      </c>
      <c r="AA140" s="33" t="n">
        <f aca="false">AA55*'Hiring plan'!$K$51*(1+Salary_Raise)^(AA$5-1)</f>
        <v>0</v>
      </c>
      <c r="AB140" s="33" t="n">
        <f aca="false">AB55*'Hiring plan'!$K$51*(1+Salary_Raise)^(AB$5-1)</f>
        <v>0</v>
      </c>
      <c r="AC140" s="33" t="n">
        <f aca="false">AC55*'Hiring plan'!$K$51*(1+Salary_Raise)^(AC$5-1)</f>
        <v>1347926.79</v>
      </c>
      <c r="AD140" s="33" t="n">
        <f aca="false">AD55*'Hiring plan'!$K$51*(1+Salary_Raise)^(AD$5-1)</f>
        <v>1347926.79</v>
      </c>
      <c r="AE140" s="33" t="n">
        <f aca="false">AE55*'Hiring plan'!$K$51*(1+Salary_Raise)^(AE$5-1)</f>
        <v>1347926.79</v>
      </c>
      <c r="AF140" s="33" t="n">
        <f aca="false">AF55*'Hiring plan'!$K$51*(1+Salary_Raise)^(AF$5-1)</f>
        <v>1347926.79</v>
      </c>
      <c r="AG140" s="33" t="n">
        <f aca="false">AG55*'Hiring plan'!$K$51*(1+Salary_Raise)^(AG$5-1)</f>
        <v>1347926.79</v>
      </c>
      <c r="AH140" s="33" t="n">
        <f aca="false">AH55*'Hiring plan'!$K$51*(1+Salary_Raise)^(AH$5-1)</f>
        <v>1347926.79</v>
      </c>
      <c r="AI140" s="33" t="n">
        <f aca="false">AI55*'Hiring plan'!$K$51*(1+Salary_Raise)^(AI$5-1)</f>
        <v>1347926.79</v>
      </c>
      <c r="AJ140" s="33" t="n">
        <f aca="false">AJ55*'Hiring plan'!$K$51*(1+Salary_Raise)^(AJ$5-1)</f>
        <v>1347926.79</v>
      </c>
      <c r="AK140" s="33" t="n">
        <f aca="false">AK55*'Hiring plan'!$K$51*(1+Salary_Raise)^(AK$5-1)</f>
        <v>1347926.79</v>
      </c>
      <c r="AL140" s="33" t="n">
        <f aca="false">AL55*'Hiring plan'!$K$51*(1+Salary_Raise)^(AL$5-1)</f>
        <v>1347926.79</v>
      </c>
      <c r="AM140" s="33" t="n">
        <f aca="false">AM55*'Hiring plan'!$K$51*(1+Salary_Raise)^(AM$5-1)</f>
        <v>1347926.79</v>
      </c>
      <c r="AN140" s="33" t="n">
        <f aca="false">AN55*'Hiring plan'!$K$51*(1+Salary_Raise)^(AN$5-1)</f>
        <v>1347926.79</v>
      </c>
      <c r="AO140" s="33" t="n">
        <f aca="false">AO55*'Hiring plan'!$K$51*(1+Salary_Raise)^(AO$5-1)</f>
        <v>1415323.1295</v>
      </c>
      <c r="AP140" s="33" t="n">
        <f aca="false">AP55*'Hiring plan'!$K$51*(1+Salary_Raise)^(AP$5-1)</f>
        <v>1415323.1295</v>
      </c>
      <c r="AQ140" s="33" t="n">
        <f aca="false">AQ55*'Hiring plan'!$K$51*(1+Salary_Raise)^(AQ$5-1)</f>
        <v>1415323.1295</v>
      </c>
      <c r="AR140" s="33" t="n">
        <f aca="false">AR55*'Hiring plan'!$K$51*(1+Salary_Raise)^(AR$5-1)</f>
        <v>1415323.1295</v>
      </c>
      <c r="AS140" s="33" t="n">
        <f aca="false">AS55*'Hiring plan'!$K$51*(1+Salary_Raise)^(AS$5-1)</f>
        <v>1415323.1295</v>
      </c>
      <c r="AT140" s="33" t="n">
        <f aca="false">AT55*'Hiring plan'!$K$51*(1+Salary_Raise)^(AT$5-1)</f>
        <v>1415323.1295</v>
      </c>
      <c r="AU140" s="33" t="n">
        <f aca="false">AU55*'Hiring plan'!$K$51*(1+Salary_Raise)^(AU$5-1)</f>
        <v>1415323.1295</v>
      </c>
      <c r="AV140" s="33" t="n">
        <f aca="false">AV55*'Hiring plan'!$K$51*(1+Salary_Raise)^(AV$5-1)</f>
        <v>1415323.1295</v>
      </c>
      <c r="AW140" s="33" t="n">
        <f aca="false">AW55*'Hiring plan'!$K$51*(1+Salary_Raise)^(AW$5-1)</f>
        <v>1415323.1295</v>
      </c>
      <c r="AX140" s="33" t="n">
        <f aca="false">AX55*'Hiring plan'!$K$51*(1+Salary_Raise)^(AX$5-1)</f>
        <v>1415323.1295</v>
      </c>
      <c r="AY140" s="33" t="n">
        <f aca="false">AY55*'Hiring plan'!$K$51*(1+Salary_Raise)^(AY$5-1)</f>
        <v>1415323.1295</v>
      </c>
      <c r="AZ140" s="33" t="n">
        <f aca="false">AZ55*'Hiring plan'!$K$51*(1+Salary_Raise)^(AZ$5-1)</f>
        <v>1415323.1295</v>
      </c>
      <c r="BA140" s="33" t="n">
        <f aca="false">BA55*'Hiring plan'!$K$51*(1+Salary_Raise)^(BA$5-1)</f>
        <v>1486089.285975</v>
      </c>
      <c r="BB140" s="33" t="n">
        <f aca="false">BB55*'Hiring plan'!$K$51*(1+Salary_Raise)^(BB$5-1)</f>
        <v>1486089.285975</v>
      </c>
      <c r="BC140" s="33" t="n">
        <f aca="false">BC55*'Hiring plan'!$K$51*(1+Salary_Raise)^(BC$5-1)</f>
        <v>1486089.285975</v>
      </c>
      <c r="BD140" s="33" t="n">
        <f aca="false">BD55*'Hiring plan'!$K$51*(1+Salary_Raise)^(BD$5-1)</f>
        <v>1486089.285975</v>
      </c>
      <c r="BE140" s="33" t="n">
        <f aca="false">BE55*'Hiring plan'!$K$51*(1+Salary_Raise)^(BE$5-1)</f>
        <v>1486089.285975</v>
      </c>
      <c r="BF140" s="33" t="n">
        <f aca="false">BF55*'Hiring plan'!$K$51*(1+Salary_Raise)^(BF$5-1)</f>
        <v>1486089.285975</v>
      </c>
      <c r="BG140" s="33" t="n">
        <f aca="false">BG55*'Hiring plan'!$K$51*(1+Salary_Raise)^(BG$5-1)</f>
        <v>1486089.285975</v>
      </c>
      <c r="BH140" s="33" t="n">
        <f aca="false">BH55*'Hiring plan'!$K$51*(1+Salary_Raise)^(BH$5-1)</f>
        <v>1486089.285975</v>
      </c>
      <c r="BI140" s="33" t="n">
        <f aca="false">BI55*'Hiring plan'!$K$51*(1+Salary_Raise)^(BI$5-1)</f>
        <v>1486089.285975</v>
      </c>
      <c r="BJ140" s="33" t="n">
        <f aca="false">BJ55*'Hiring plan'!$K$51*(1+Salary_Raise)^(BJ$5-1)</f>
        <v>1486089.285975</v>
      </c>
      <c r="BK140" s="33" t="n">
        <f aca="false">BK55*'Hiring plan'!$K$51*(1+Salary_Raise)^(BK$5-1)</f>
        <v>1486089.285975</v>
      </c>
      <c r="BL140" s="33" t="n">
        <f aca="false">BL55*'Hiring plan'!$K$51*(1+Salary_Raise)^(BL$5-1)</f>
        <v>1486089.285975</v>
      </c>
    </row>
    <row r="141" customFormat="false" ht="15" hidden="false" customHeight="false" outlineLevel="0" collapsed="false">
      <c r="A141" s="12" t="str">
        <f aca="false">A56</f>
        <v>Field sales rep · SN</v>
      </c>
      <c r="B141" s="14" t="s">
        <v>63</v>
      </c>
      <c r="D141" s="41" t="n">
        <f aca="false">SUM(E141:BL141)</f>
        <v>74603071.242</v>
      </c>
      <c r="E141" s="33" t="n">
        <f aca="false">E56*'Hiring plan'!$K$52*(1+Salary_Raise)^(E$5-1)</f>
        <v>0</v>
      </c>
      <c r="F141" s="33" t="n">
        <f aca="false">F56*'Hiring plan'!$K$52*(1+Salary_Raise)^(F$5-1)</f>
        <v>0</v>
      </c>
      <c r="G141" s="33" t="n">
        <f aca="false">G56*'Hiring plan'!$K$52*(1+Salary_Raise)^(G$5-1)</f>
        <v>0</v>
      </c>
      <c r="H141" s="33" t="n">
        <f aca="false">H56*'Hiring plan'!$K$52*(1+Salary_Raise)^(H$5-1)</f>
        <v>0</v>
      </c>
      <c r="I141" s="33" t="n">
        <f aca="false">I56*'Hiring plan'!$K$52*(1+Salary_Raise)^(I$5-1)</f>
        <v>0</v>
      </c>
      <c r="J141" s="33" t="n">
        <f aca="false">J56*'Hiring plan'!$K$52*(1+Salary_Raise)^(J$5-1)</f>
        <v>0</v>
      </c>
      <c r="K141" s="33" t="n">
        <f aca="false">K56*'Hiring plan'!$K$52*(1+Salary_Raise)^(K$5-1)</f>
        <v>0</v>
      </c>
      <c r="L141" s="33" t="n">
        <f aca="false">L56*'Hiring plan'!$K$52*(1+Salary_Raise)^(L$5-1)</f>
        <v>0</v>
      </c>
      <c r="M141" s="33" t="n">
        <f aca="false">M56*'Hiring plan'!$K$52*(1+Salary_Raise)^(M$5-1)</f>
        <v>0</v>
      </c>
      <c r="N141" s="33" t="n">
        <f aca="false">N56*'Hiring plan'!$K$52*(1+Salary_Raise)^(N$5-1)</f>
        <v>0</v>
      </c>
      <c r="O141" s="33" t="n">
        <f aca="false">O56*'Hiring plan'!$K$52*(1+Salary_Raise)^(O$5-1)</f>
        <v>0</v>
      </c>
      <c r="P141" s="33" t="n">
        <f aca="false">P56*'Hiring plan'!$K$52*(1+Salary_Raise)^(P$5-1)</f>
        <v>0</v>
      </c>
      <c r="Q141" s="33" t="n">
        <f aca="false">Q56*'Hiring plan'!$K$52*(1+Salary_Raise)^(Q$5-1)</f>
        <v>0</v>
      </c>
      <c r="R141" s="33" t="n">
        <f aca="false">R56*'Hiring plan'!$K$52*(1+Salary_Raise)^(R$5-1)</f>
        <v>0</v>
      </c>
      <c r="S141" s="33" t="n">
        <f aca="false">S56*'Hiring plan'!$K$52*(1+Salary_Raise)^(S$5-1)</f>
        <v>0</v>
      </c>
      <c r="T141" s="33" t="n">
        <f aca="false">T56*'Hiring plan'!$K$52*(1+Salary_Raise)^(T$5-1)</f>
        <v>0</v>
      </c>
      <c r="U141" s="33" t="n">
        <f aca="false">U56*'Hiring plan'!$K$52*(1+Salary_Raise)^(U$5-1)</f>
        <v>0</v>
      </c>
      <c r="V141" s="33" t="n">
        <f aca="false">V56*'Hiring plan'!$K$52*(1+Salary_Raise)^(V$5-1)</f>
        <v>0</v>
      </c>
      <c r="W141" s="33" t="n">
        <f aca="false">W56*'Hiring plan'!$K$52*(1+Salary_Raise)^(W$5-1)</f>
        <v>0</v>
      </c>
      <c r="X141" s="33" t="n">
        <f aca="false">X56*'Hiring plan'!$K$52*(1+Salary_Raise)^(X$5-1)</f>
        <v>0</v>
      </c>
      <c r="Y141" s="33" t="n">
        <f aca="false">Y56*'Hiring plan'!$K$52*(1+Salary_Raise)^(Y$5-1)</f>
        <v>0</v>
      </c>
      <c r="Z141" s="33" t="n">
        <f aca="false">Z56*'Hiring plan'!$K$52*(1+Salary_Raise)^(Z$5-1)</f>
        <v>0</v>
      </c>
      <c r="AA141" s="33" t="n">
        <f aca="false">AA56*'Hiring plan'!$K$52*(1+Salary_Raise)^(AA$5-1)</f>
        <v>0</v>
      </c>
      <c r="AB141" s="33" t="n">
        <f aca="false">AB56*'Hiring plan'!$K$52*(1+Salary_Raise)^(AB$5-1)</f>
        <v>0</v>
      </c>
      <c r="AC141" s="33" t="n">
        <f aca="false">AC56*'Hiring plan'!$K$52*(1+Salary_Raise)^(AC$5-1)</f>
        <v>0</v>
      </c>
      <c r="AD141" s="33" t="n">
        <f aca="false">AD56*'Hiring plan'!$K$52*(1+Salary_Raise)^(AD$5-1)</f>
        <v>0</v>
      </c>
      <c r="AE141" s="33" t="n">
        <f aca="false">AE56*'Hiring plan'!$K$52*(1+Salary_Raise)^(AE$5-1)</f>
        <v>0</v>
      </c>
      <c r="AF141" s="33" t="n">
        <f aca="false">AF56*'Hiring plan'!$K$52*(1+Salary_Raise)^(AF$5-1)</f>
        <v>0</v>
      </c>
      <c r="AG141" s="33" t="n">
        <f aca="false">AG56*'Hiring plan'!$K$52*(1+Salary_Raise)^(AG$5-1)</f>
        <v>0</v>
      </c>
      <c r="AH141" s="33" t="n">
        <f aca="false">AH56*'Hiring plan'!$K$52*(1+Salary_Raise)^(AH$5-1)</f>
        <v>0</v>
      </c>
      <c r="AI141" s="33" t="n">
        <f aca="false">AI56*'Hiring plan'!$K$52*(1+Salary_Raise)^(AI$5-1)</f>
        <v>2343797.4</v>
      </c>
      <c r="AJ141" s="33" t="n">
        <f aca="false">AJ56*'Hiring plan'!$K$52*(1+Salary_Raise)^(AJ$5-1)</f>
        <v>2343797.4</v>
      </c>
      <c r="AK141" s="33" t="n">
        <f aca="false">AK56*'Hiring plan'!$K$52*(1+Salary_Raise)^(AK$5-1)</f>
        <v>2343797.4</v>
      </c>
      <c r="AL141" s="33" t="n">
        <f aca="false">AL56*'Hiring plan'!$K$52*(1+Salary_Raise)^(AL$5-1)</f>
        <v>2343797.4</v>
      </c>
      <c r="AM141" s="33" t="n">
        <f aca="false">AM56*'Hiring plan'!$K$52*(1+Salary_Raise)^(AM$5-1)</f>
        <v>2343797.4</v>
      </c>
      <c r="AN141" s="33" t="n">
        <f aca="false">AN56*'Hiring plan'!$K$52*(1+Salary_Raise)^(AN$5-1)</f>
        <v>2343797.4</v>
      </c>
      <c r="AO141" s="33" t="n">
        <f aca="false">AO56*'Hiring plan'!$K$52*(1+Salary_Raise)^(AO$5-1)</f>
        <v>2460987.27</v>
      </c>
      <c r="AP141" s="33" t="n">
        <f aca="false">AP56*'Hiring plan'!$K$52*(1+Salary_Raise)^(AP$5-1)</f>
        <v>2460987.27</v>
      </c>
      <c r="AQ141" s="33" t="n">
        <f aca="false">AQ56*'Hiring plan'!$K$52*(1+Salary_Raise)^(AQ$5-1)</f>
        <v>2460987.27</v>
      </c>
      <c r="AR141" s="33" t="n">
        <f aca="false">AR56*'Hiring plan'!$K$52*(1+Salary_Raise)^(AR$5-1)</f>
        <v>2460987.27</v>
      </c>
      <c r="AS141" s="33" t="n">
        <f aca="false">AS56*'Hiring plan'!$K$52*(1+Salary_Raise)^(AS$5-1)</f>
        <v>2460987.27</v>
      </c>
      <c r="AT141" s="33" t="n">
        <f aca="false">AT56*'Hiring plan'!$K$52*(1+Salary_Raise)^(AT$5-1)</f>
        <v>2460987.27</v>
      </c>
      <c r="AU141" s="33" t="n">
        <f aca="false">AU56*'Hiring plan'!$K$52*(1+Salary_Raise)^(AU$5-1)</f>
        <v>2460987.27</v>
      </c>
      <c r="AV141" s="33" t="n">
        <f aca="false">AV56*'Hiring plan'!$K$52*(1+Salary_Raise)^(AV$5-1)</f>
        <v>2460987.27</v>
      </c>
      <c r="AW141" s="33" t="n">
        <f aca="false">AW56*'Hiring plan'!$K$52*(1+Salary_Raise)^(AW$5-1)</f>
        <v>2460987.27</v>
      </c>
      <c r="AX141" s="33" t="n">
        <f aca="false">AX56*'Hiring plan'!$K$52*(1+Salary_Raise)^(AX$5-1)</f>
        <v>2460987.27</v>
      </c>
      <c r="AY141" s="33" t="n">
        <f aca="false">AY56*'Hiring plan'!$K$52*(1+Salary_Raise)^(AY$5-1)</f>
        <v>2460987.27</v>
      </c>
      <c r="AZ141" s="33" t="n">
        <f aca="false">AZ56*'Hiring plan'!$K$52*(1+Salary_Raise)^(AZ$5-1)</f>
        <v>2460987.27</v>
      </c>
      <c r="BA141" s="33" t="n">
        <f aca="false">BA56*'Hiring plan'!$K$52*(1+Salary_Raise)^(BA$5-1)</f>
        <v>2584036.6335</v>
      </c>
      <c r="BB141" s="33" t="n">
        <f aca="false">BB56*'Hiring plan'!$K$52*(1+Salary_Raise)^(BB$5-1)</f>
        <v>2584036.6335</v>
      </c>
      <c r="BC141" s="33" t="n">
        <f aca="false">BC56*'Hiring plan'!$K$52*(1+Salary_Raise)^(BC$5-1)</f>
        <v>2584036.6335</v>
      </c>
      <c r="BD141" s="33" t="n">
        <f aca="false">BD56*'Hiring plan'!$K$52*(1+Salary_Raise)^(BD$5-1)</f>
        <v>2584036.6335</v>
      </c>
      <c r="BE141" s="33" t="n">
        <f aca="false">BE56*'Hiring plan'!$K$52*(1+Salary_Raise)^(BE$5-1)</f>
        <v>2584036.6335</v>
      </c>
      <c r="BF141" s="33" t="n">
        <f aca="false">BF56*'Hiring plan'!$K$52*(1+Salary_Raise)^(BF$5-1)</f>
        <v>2584036.6335</v>
      </c>
      <c r="BG141" s="33" t="n">
        <f aca="false">BG56*'Hiring plan'!$K$52*(1+Salary_Raise)^(BG$5-1)</f>
        <v>2584036.6335</v>
      </c>
      <c r="BH141" s="33" t="n">
        <f aca="false">BH56*'Hiring plan'!$K$52*(1+Salary_Raise)^(BH$5-1)</f>
        <v>2584036.6335</v>
      </c>
      <c r="BI141" s="33" t="n">
        <f aca="false">BI56*'Hiring plan'!$K$52*(1+Salary_Raise)^(BI$5-1)</f>
        <v>2584036.6335</v>
      </c>
      <c r="BJ141" s="33" t="n">
        <f aca="false">BJ56*'Hiring plan'!$K$52*(1+Salary_Raise)^(BJ$5-1)</f>
        <v>2584036.6335</v>
      </c>
      <c r="BK141" s="33" t="n">
        <f aca="false">BK56*'Hiring plan'!$K$52*(1+Salary_Raise)^(BK$5-1)</f>
        <v>2584036.6335</v>
      </c>
      <c r="BL141" s="33" t="n">
        <f aca="false">BL56*'Hiring plan'!$K$52*(1+Salary_Raise)^(BL$5-1)</f>
        <v>2584036.6335</v>
      </c>
    </row>
    <row r="142" customFormat="false" ht="15" hidden="false" customHeight="false" outlineLevel="0" collapsed="false">
      <c r="A142" s="12" t="str">
        <f aca="false">A57</f>
        <v>Field sales rep, Abidjan · CI</v>
      </c>
      <c r="B142" s="14" t="s">
        <v>63</v>
      </c>
      <c r="D142" s="41" t="n">
        <f aca="false">SUM(E142:BL142)</f>
        <v>62095749.9813</v>
      </c>
      <c r="E142" s="33" t="n">
        <f aca="false">E57*'Hiring plan'!$K$53*(1+Salary_Raise)^(E$5-1)</f>
        <v>0</v>
      </c>
      <c r="F142" s="33" t="n">
        <f aca="false">F57*'Hiring plan'!$K$53*(1+Salary_Raise)^(F$5-1)</f>
        <v>0</v>
      </c>
      <c r="G142" s="33" t="n">
        <f aca="false">G57*'Hiring plan'!$K$53*(1+Salary_Raise)^(G$5-1)</f>
        <v>0</v>
      </c>
      <c r="H142" s="33" t="n">
        <f aca="false">H57*'Hiring plan'!$K$53*(1+Salary_Raise)^(H$5-1)</f>
        <v>0</v>
      </c>
      <c r="I142" s="33" t="n">
        <f aca="false">I57*'Hiring plan'!$K$53*(1+Salary_Raise)^(I$5-1)</f>
        <v>0</v>
      </c>
      <c r="J142" s="33" t="n">
        <f aca="false">J57*'Hiring plan'!$K$53*(1+Salary_Raise)^(J$5-1)</f>
        <v>0</v>
      </c>
      <c r="K142" s="33" t="n">
        <f aca="false">K57*'Hiring plan'!$K$53*(1+Salary_Raise)^(K$5-1)</f>
        <v>0</v>
      </c>
      <c r="L142" s="33" t="n">
        <f aca="false">L57*'Hiring plan'!$K$53*(1+Salary_Raise)^(L$5-1)</f>
        <v>0</v>
      </c>
      <c r="M142" s="33" t="n">
        <f aca="false">M57*'Hiring plan'!$K$53*(1+Salary_Raise)^(M$5-1)</f>
        <v>0</v>
      </c>
      <c r="N142" s="33" t="n">
        <f aca="false">N57*'Hiring plan'!$K$53*(1+Salary_Raise)^(N$5-1)</f>
        <v>0</v>
      </c>
      <c r="O142" s="33" t="n">
        <f aca="false">O57*'Hiring plan'!$K$53*(1+Salary_Raise)^(O$5-1)</f>
        <v>0</v>
      </c>
      <c r="P142" s="33" t="n">
        <f aca="false">P57*'Hiring plan'!$K$53*(1+Salary_Raise)^(P$5-1)</f>
        <v>0</v>
      </c>
      <c r="Q142" s="33" t="n">
        <f aca="false">Q57*'Hiring plan'!$K$53*(1+Salary_Raise)^(Q$5-1)</f>
        <v>0</v>
      </c>
      <c r="R142" s="33" t="n">
        <f aca="false">R57*'Hiring plan'!$K$53*(1+Salary_Raise)^(R$5-1)</f>
        <v>0</v>
      </c>
      <c r="S142" s="33" t="n">
        <f aca="false">S57*'Hiring plan'!$K$53*(1+Salary_Raise)^(S$5-1)</f>
        <v>0</v>
      </c>
      <c r="T142" s="33" t="n">
        <f aca="false">T57*'Hiring plan'!$K$53*(1+Salary_Raise)^(T$5-1)</f>
        <v>0</v>
      </c>
      <c r="U142" s="33" t="n">
        <f aca="false">U57*'Hiring plan'!$K$53*(1+Salary_Raise)^(U$5-1)</f>
        <v>0</v>
      </c>
      <c r="V142" s="33" t="n">
        <f aca="false">V57*'Hiring plan'!$K$53*(1+Salary_Raise)^(V$5-1)</f>
        <v>0</v>
      </c>
      <c r="W142" s="33" t="n">
        <f aca="false">W57*'Hiring plan'!$K$53*(1+Salary_Raise)^(W$5-1)</f>
        <v>0</v>
      </c>
      <c r="X142" s="33" t="n">
        <f aca="false">X57*'Hiring plan'!$K$53*(1+Salary_Raise)^(X$5-1)</f>
        <v>0</v>
      </c>
      <c r="Y142" s="33" t="n">
        <f aca="false">Y57*'Hiring plan'!$K$53*(1+Salary_Raise)^(Y$5-1)</f>
        <v>0</v>
      </c>
      <c r="Z142" s="33" t="n">
        <f aca="false">Z57*'Hiring plan'!$K$53*(1+Salary_Raise)^(Z$5-1)</f>
        <v>0</v>
      </c>
      <c r="AA142" s="33" t="n">
        <f aca="false">AA57*'Hiring plan'!$K$53*(1+Salary_Raise)^(AA$5-1)</f>
        <v>0</v>
      </c>
      <c r="AB142" s="33" t="n">
        <f aca="false">AB57*'Hiring plan'!$K$53*(1+Salary_Raise)^(AB$5-1)</f>
        <v>0</v>
      </c>
      <c r="AC142" s="33" t="n">
        <f aca="false">AC57*'Hiring plan'!$K$53*(1+Salary_Raise)^(AC$5-1)</f>
        <v>0</v>
      </c>
      <c r="AD142" s="33" t="n">
        <f aca="false">AD57*'Hiring plan'!$K$53*(1+Salary_Raise)^(AD$5-1)</f>
        <v>0</v>
      </c>
      <c r="AE142" s="33" t="n">
        <f aca="false">AE57*'Hiring plan'!$K$53*(1+Salary_Raise)^(AE$5-1)</f>
        <v>0</v>
      </c>
      <c r="AF142" s="33" t="n">
        <f aca="false">AF57*'Hiring plan'!$K$53*(1+Salary_Raise)^(AF$5-1)</f>
        <v>0</v>
      </c>
      <c r="AG142" s="33" t="n">
        <f aca="false">AG57*'Hiring plan'!$K$53*(1+Salary_Raise)^(AG$5-1)</f>
        <v>0</v>
      </c>
      <c r="AH142" s="33" t="n">
        <f aca="false">AH57*'Hiring plan'!$K$53*(1+Salary_Raise)^(AH$5-1)</f>
        <v>0</v>
      </c>
      <c r="AI142" s="33" t="n">
        <f aca="false">AI57*'Hiring plan'!$K$53*(1+Salary_Raise)^(AI$5-1)</f>
        <v>1950856.11</v>
      </c>
      <c r="AJ142" s="33" t="n">
        <f aca="false">AJ57*'Hiring plan'!$K$53*(1+Salary_Raise)^(AJ$5-1)</f>
        <v>1950856.11</v>
      </c>
      <c r="AK142" s="33" t="n">
        <f aca="false">AK57*'Hiring plan'!$K$53*(1+Salary_Raise)^(AK$5-1)</f>
        <v>1950856.11</v>
      </c>
      <c r="AL142" s="33" t="n">
        <f aca="false">AL57*'Hiring plan'!$K$53*(1+Salary_Raise)^(AL$5-1)</f>
        <v>1950856.11</v>
      </c>
      <c r="AM142" s="33" t="n">
        <f aca="false">AM57*'Hiring plan'!$K$53*(1+Salary_Raise)^(AM$5-1)</f>
        <v>1950856.11</v>
      </c>
      <c r="AN142" s="33" t="n">
        <f aca="false">AN57*'Hiring plan'!$K$53*(1+Salary_Raise)^(AN$5-1)</f>
        <v>1950856.11</v>
      </c>
      <c r="AO142" s="33" t="n">
        <f aca="false">AO57*'Hiring plan'!$K$53*(1+Salary_Raise)^(AO$5-1)</f>
        <v>2048398.9155</v>
      </c>
      <c r="AP142" s="33" t="n">
        <f aca="false">AP57*'Hiring plan'!$K$53*(1+Salary_Raise)^(AP$5-1)</f>
        <v>2048398.9155</v>
      </c>
      <c r="AQ142" s="33" t="n">
        <f aca="false">AQ57*'Hiring plan'!$K$53*(1+Salary_Raise)^(AQ$5-1)</f>
        <v>2048398.9155</v>
      </c>
      <c r="AR142" s="33" t="n">
        <f aca="false">AR57*'Hiring plan'!$K$53*(1+Salary_Raise)^(AR$5-1)</f>
        <v>2048398.9155</v>
      </c>
      <c r="AS142" s="33" t="n">
        <f aca="false">AS57*'Hiring plan'!$K$53*(1+Salary_Raise)^(AS$5-1)</f>
        <v>2048398.9155</v>
      </c>
      <c r="AT142" s="33" t="n">
        <f aca="false">AT57*'Hiring plan'!$K$53*(1+Salary_Raise)^(AT$5-1)</f>
        <v>2048398.9155</v>
      </c>
      <c r="AU142" s="33" t="n">
        <f aca="false">AU57*'Hiring plan'!$K$53*(1+Salary_Raise)^(AU$5-1)</f>
        <v>2048398.9155</v>
      </c>
      <c r="AV142" s="33" t="n">
        <f aca="false">AV57*'Hiring plan'!$K$53*(1+Salary_Raise)^(AV$5-1)</f>
        <v>2048398.9155</v>
      </c>
      <c r="AW142" s="33" t="n">
        <f aca="false">AW57*'Hiring plan'!$K$53*(1+Salary_Raise)^(AW$5-1)</f>
        <v>2048398.9155</v>
      </c>
      <c r="AX142" s="33" t="n">
        <f aca="false">AX57*'Hiring plan'!$K$53*(1+Salary_Raise)^(AX$5-1)</f>
        <v>2048398.9155</v>
      </c>
      <c r="AY142" s="33" t="n">
        <f aca="false">AY57*'Hiring plan'!$K$53*(1+Salary_Raise)^(AY$5-1)</f>
        <v>2048398.9155</v>
      </c>
      <c r="AZ142" s="33" t="n">
        <f aca="false">AZ57*'Hiring plan'!$K$53*(1+Salary_Raise)^(AZ$5-1)</f>
        <v>2048398.9155</v>
      </c>
      <c r="BA142" s="33" t="n">
        <f aca="false">BA57*'Hiring plan'!$K$53*(1+Salary_Raise)^(BA$5-1)</f>
        <v>2150818.861275</v>
      </c>
      <c r="BB142" s="33" t="n">
        <f aca="false">BB57*'Hiring plan'!$K$53*(1+Salary_Raise)^(BB$5-1)</f>
        <v>2150818.861275</v>
      </c>
      <c r="BC142" s="33" t="n">
        <f aca="false">BC57*'Hiring plan'!$K$53*(1+Salary_Raise)^(BC$5-1)</f>
        <v>2150818.861275</v>
      </c>
      <c r="BD142" s="33" t="n">
        <f aca="false">BD57*'Hiring plan'!$K$53*(1+Salary_Raise)^(BD$5-1)</f>
        <v>2150818.861275</v>
      </c>
      <c r="BE142" s="33" t="n">
        <f aca="false">BE57*'Hiring plan'!$K$53*(1+Salary_Raise)^(BE$5-1)</f>
        <v>2150818.861275</v>
      </c>
      <c r="BF142" s="33" t="n">
        <f aca="false">BF57*'Hiring plan'!$K$53*(1+Salary_Raise)^(BF$5-1)</f>
        <v>2150818.861275</v>
      </c>
      <c r="BG142" s="33" t="n">
        <f aca="false">BG57*'Hiring plan'!$K$53*(1+Salary_Raise)^(BG$5-1)</f>
        <v>2150818.861275</v>
      </c>
      <c r="BH142" s="33" t="n">
        <f aca="false">BH57*'Hiring plan'!$K$53*(1+Salary_Raise)^(BH$5-1)</f>
        <v>2150818.861275</v>
      </c>
      <c r="BI142" s="33" t="n">
        <f aca="false">BI57*'Hiring plan'!$K$53*(1+Salary_Raise)^(BI$5-1)</f>
        <v>2150818.861275</v>
      </c>
      <c r="BJ142" s="33" t="n">
        <f aca="false">BJ57*'Hiring plan'!$K$53*(1+Salary_Raise)^(BJ$5-1)</f>
        <v>2150818.861275</v>
      </c>
      <c r="BK142" s="33" t="n">
        <f aca="false">BK57*'Hiring plan'!$K$53*(1+Salary_Raise)^(BK$5-1)</f>
        <v>2150818.861275</v>
      </c>
      <c r="BL142" s="33" t="n">
        <f aca="false">BL57*'Hiring plan'!$K$53*(1+Salary_Raise)^(BL$5-1)</f>
        <v>2150818.861275</v>
      </c>
    </row>
    <row r="143" customFormat="false" ht="15" hidden="false" customHeight="false" outlineLevel="0" collapsed="false">
      <c r="A143" s="12" t="str">
        <f aca="false">A58</f>
        <v>Field sales rep · SN</v>
      </c>
      <c r="B143" s="14" t="s">
        <v>63</v>
      </c>
      <c r="D143" s="41" t="n">
        <f aca="false">SUM(E143:BL143)</f>
        <v>45774363.222</v>
      </c>
      <c r="E143" s="33" t="n">
        <f aca="false">E58*'Hiring plan'!$K$54*(1+Salary_Raise)^(E$5-1)</f>
        <v>0</v>
      </c>
      <c r="F143" s="33" t="n">
        <f aca="false">F58*'Hiring plan'!$K$54*(1+Salary_Raise)^(F$5-1)</f>
        <v>0</v>
      </c>
      <c r="G143" s="33" t="n">
        <f aca="false">G58*'Hiring plan'!$K$54*(1+Salary_Raise)^(G$5-1)</f>
        <v>0</v>
      </c>
      <c r="H143" s="33" t="n">
        <f aca="false">H58*'Hiring plan'!$K$54*(1+Salary_Raise)^(H$5-1)</f>
        <v>0</v>
      </c>
      <c r="I143" s="33" t="n">
        <f aca="false">I58*'Hiring plan'!$K$54*(1+Salary_Raise)^(I$5-1)</f>
        <v>0</v>
      </c>
      <c r="J143" s="33" t="n">
        <f aca="false">J58*'Hiring plan'!$K$54*(1+Salary_Raise)^(J$5-1)</f>
        <v>0</v>
      </c>
      <c r="K143" s="33" t="n">
        <f aca="false">K58*'Hiring plan'!$K$54*(1+Salary_Raise)^(K$5-1)</f>
        <v>0</v>
      </c>
      <c r="L143" s="33" t="n">
        <f aca="false">L58*'Hiring plan'!$K$54*(1+Salary_Raise)^(L$5-1)</f>
        <v>0</v>
      </c>
      <c r="M143" s="33" t="n">
        <f aca="false">M58*'Hiring plan'!$K$54*(1+Salary_Raise)^(M$5-1)</f>
        <v>0</v>
      </c>
      <c r="N143" s="33" t="n">
        <f aca="false">N58*'Hiring plan'!$K$54*(1+Salary_Raise)^(N$5-1)</f>
        <v>0</v>
      </c>
      <c r="O143" s="33" t="n">
        <f aca="false">O58*'Hiring plan'!$K$54*(1+Salary_Raise)^(O$5-1)</f>
        <v>0</v>
      </c>
      <c r="P143" s="33" t="n">
        <f aca="false">P58*'Hiring plan'!$K$54*(1+Salary_Raise)^(P$5-1)</f>
        <v>0</v>
      </c>
      <c r="Q143" s="33" t="n">
        <f aca="false">Q58*'Hiring plan'!$K$54*(1+Salary_Raise)^(Q$5-1)</f>
        <v>0</v>
      </c>
      <c r="R143" s="33" t="n">
        <f aca="false">R58*'Hiring plan'!$K$54*(1+Salary_Raise)^(R$5-1)</f>
        <v>0</v>
      </c>
      <c r="S143" s="33" t="n">
        <f aca="false">S58*'Hiring plan'!$K$54*(1+Salary_Raise)^(S$5-1)</f>
        <v>0</v>
      </c>
      <c r="T143" s="33" t="n">
        <f aca="false">T58*'Hiring plan'!$K$54*(1+Salary_Raise)^(T$5-1)</f>
        <v>0</v>
      </c>
      <c r="U143" s="33" t="n">
        <f aca="false">U58*'Hiring plan'!$K$54*(1+Salary_Raise)^(U$5-1)</f>
        <v>0</v>
      </c>
      <c r="V143" s="33" t="n">
        <f aca="false">V58*'Hiring plan'!$K$54*(1+Salary_Raise)^(V$5-1)</f>
        <v>0</v>
      </c>
      <c r="W143" s="33" t="n">
        <f aca="false">W58*'Hiring plan'!$K$54*(1+Salary_Raise)^(W$5-1)</f>
        <v>0</v>
      </c>
      <c r="X143" s="33" t="n">
        <f aca="false">X58*'Hiring plan'!$K$54*(1+Salary_Raise)^(X$5-1)</f>
        <v>0</v>
      </c>
      <c r="Y143" s="33" t="n">
        <f aca="false">Y58*'Hiring plan'!$K$54*(1+Salary_Raise)^(Y$5-1)</f>
        <v>0</v>
      </c>
      <c r="Z143" s="33" t="n">
        <f aca="false">Z58*'Hiring plan'!$K$54*(1+Salary_Raise)^(Z$5-1)</f>
        <v>0</v>
      </c>
      <c r="AA143" s="33" t="n">
        <f aca="false">AA58*'Hiring plan'!$K$54*(1+Salary_Raise)^(AA$5-1)</f>
        <v>0</v>
      </c>
      <c r="AB143" s="33" t="n">
        <f aca="false">AB58*'Hiring plan'!$K$54*(1+Salary_Raise)^(AB$5-1)</f>
        <v>0</v>
      </c>
      <c r="AC143" s="33" t="n">
        <f aca="false">AC58*'Hiring plan'!$K$54*(1+Salary_Raise)^(AC$5-1)</f>
        <v>0</v>
      </c>
      <c r="AD143" s="33" t="n">
        <f aca="false">AD58*'Hiring plan'!$K$54*(1+Salary_Raise)^(AD$5-1)</f>
        <v>0</v>
      </c>
      <c r="AE143" s="33" t="n">
        <f aca="false">AE58*'Hiring plan'!$K$54*(1+Salary_Raise)^(AE$5-1)</f>
        <v>0</v>
      </c>
      <c r="AF143" s="33" t="n">
        <f aca="false">AF58*'Hiring plan'!$K$54*(1+Salary_Raise)^(AF$5-1)</f>
        <v>0</v>
      </c>
      <c r="AG143" s="33" t="n">
        <f aca="false">AG58*'Hiring plan'!$K$54*(1+Salary_Raise)^(AG$5-1)</f>
        <v>0</v>
      </c>
      <c r="AH143" s="33" t="n">
        <f aca="false">AH58*'Hiring plan'!$K$54*(1+Salary_Raise)^(AH$5-1)</f>
        <v>0</v>
      </c>
      <c r="AI143" s="33" t="n">
        <f aca="false">AI58*'Hiring plan'!$K$54*(1+Salary_Raise)^(AI$5-1)</f>
        <v>0</v>
      </c>
      <c r="AJ143" s="33" t="n">
        <f aca="false">AJ58*'Hiring plan'!$K$54*(1+Salary_Raise)^(AJ$5-1)</f>
        <v>0</v>
      </c>
      <c r="AK143" s="33" t="n">
        <f aca="false">AK58*'Hiring plan'!$K$54*(1+Salary_Raise)^(AK$5-1)</f>
        <v>0</v>
      </c>
      <c r="AL143" s="33" t="n">
        <f aca="false">AL58*'Hiring plan'!$K$54*(1+Salary_Raise)^(AL$5-1)</f>
        <v>0</v>
      </c>
      <c r="AM143" s="33" t="n">
        <f aca="false">AM58*'Hiring plan'!$K$54*(1+Salary_Raise)^(AM$5-1)</f>
        <v>0</v>
      </c>
      <c r="AN143" s="33" t="n">
        <f aca="false">AN58*'Hiring plan'!$K$54*(1+Salary_Raise)^(AN$5-1)</f>
        <v>0</v>
      </c>
      <c r="AO143" s="33" t="n">
        <f aca="false">AO58*'Hiring plan'!$K$54*(1+Salary_Raise)^(AO$5-1)</f>
        <v>0</v>
      </c>
      <c r="AP143" s="33" t="n">
        <f aca="false">AP58*'Hiring plan'!$K$54*(1+Salary_Raise)^(AP$5-1)</f>
        <v>0</v>
      </c>
      <c r="AQ143" s="33" t="n">
        <f aca="false">AQ58*'Hiring plan'!$K$54*(1+Salary_Raise)^(AQ$5-1)</f>
        <v>0</v>
      </c>
      <c r="AR143" s="33" t="n">
        <f aca="false">AR58*'Hiring plan'!$K$54*(1+Salary_Raise)^(AR$5-1)</f>
        <v>0</v>
      </c>
      <c r="AS143" s="33" t="n">
        <f aca="false">AS58*'Hiring plan'!$K$54*(1+Salary_Raise)^(AS$5-1)</f>
        <v>0</v>
      </c>
      <c r="AT143" s="33" t="n">
        <f aca="false">AT58*'Hiring plan'!$K$54*(1+Salary_Raise)^(AT$5-1)</f>
        <v>0</v>
      </c>
      <c r="AU143" s="33" t="n">
        <f aca="false">AU58*'Hiring plan'!$K$54*(1+Salary_Raise)^(AU$5-1)</f>
        <v>2460987.27</v>
      </c>
      <c r="AV143" s="33" t="n">
        <f aca="false">AV58*'Hiring plan'!$K$54*(1+Salary_Raise)^(AV$5-1)</f>
        <v>2460987.27</v>
      </c>
      <c r="AW143" s="33" t="n">
        <f aca="false">AW58*'Hiring plan'!$K$54*(1+Salary_Raise)^(AW$5-1)</f>
        <v>2460987.27</v>
      </c>
      <c r="AX143" s="33" t="n">
        <f aca="false">AX58*'Hiring plan'!$K$54*(1+Salary_Raise)^(AX$5-1)</f>
        <v>2460987.27</v>
      </c>
      <c r="AY143" s="33" t="n">
        <f aca="false">AY58*'Hiring plan'!$K$54*(1+Salary_Raise)^(AY$5-1)</f>
        <v>2460987.27</v>
      </c>
      <c r="AZ143" s="33" t="n">
        <f aca="false">AZ58*'Hiring plan'!$K$54*(1+Salary_Raise)^(AZ$5-1)</f>
        <v>2460987.27</v>
      </c>
      <c r="BA143" s="33" t="n">
        <f aca="false">BA58*'Hiring plan'!$K$54*(1+Salary_Raise)^(BA$5-1)</f>
        <v>2584036.6335</v>
      </c>
      <c r="BB143" s="33" t="n">
        <f aca="false">BB58*'Hiring plan'!$K$54*(1+Salary_Raise)^(BB$5-1)</f>
        <v>2584036.6335</v>
      </c>
      <c r="BC143" s="33" t="n">
        <f aca="false">BC58*'Hiring plan'!$K$54*(1+Salary_Raise)^(BC$5-1)</f>
        <v>2584036.6335</v>
      </c>
      <c r="BD143" s="33" t="n">
        <f aca="false">BD58*'Hiring plan'!$K$54*(1+Salary_Raise)^(BD$5-1)</f>
        <v>2584036.6335</v>
      </c>
      <c r="BE143" s="33" t="n">
        <f aca="false">BE58*'Hiring plan'!$K$54*(1+Salary_Raise)^(BE$5-1)</f>
        <v>2584036.6335</v>
      </c>
      <c r="BF143" s="33" t="n">
        <f aca="false">BF58*'Hiring plan'!$K$54*(1+Salary_Raise)^(BF$5-1)</f>
        <v>2584036.6335</v>
      </c>
      <c r="BG143" s="33" t="n">
        <f aca="false">BG58*'Hiring plan'!$K$54*(1+Salary_Raise)^(BG$5-1)</f>
        <v>2584036.6335</v>
      </c>
      <c r="BH143" s="33" t="n">
        <f aca="false">BH58*'Hiring plan'!$K$54*(1+Salary_Raise)^(BH$5-1)</f>
        <v>2584036.6335</v>
      </c>
      <c r="BI143" s="33" t="n">
        <f aca="false">BI58*'Hiring plan'!$K$54*(1+Salary_Raise)^(BI$5-1)</f>
        <v>2584036.6335</v>
      </c>
      <c r="BJ143" s="33" t="n">
        <f aca="false">BJ58*'Hiring plan'!$K$54*(1+Salary_Raise)^(BJ$5-1)</f>
        <v>2584036.6335</v>
      </c>
      <c r="BK143" s="33" t="n">
        <f aca="false">BK58*'Hiring plan'!$K$54*(1+Salary_Raise)^(BK$5-1)</f>
        <v>2584036.6335</v>
      </c>
      <c r="BL143" s="33" t="n">
        <f aca="false">BL58*'Hiring plan'!$K$54*(1+Salary_Raise)^(BL$5-1)</f>
        <v>2584036.6335</v>
      </c>
    </row>
    <row r="144" customFormat="false" ht="15" hidden="false" customHeight="false" outlineLevel="0" collapsed="false">
      <c r="A144" s="12" t="str">
        <f aca="false">A59</f>
        <v>Field sales rep, Abidjan · CI</v>
      </c>
      <c r="B144" s="14" t="s">
        <v>63</v>
      </c>
      <c r="D144" s="41" t="n">
        <f aca="false">SUM(E144:BL144)</f>
        <v>38100219.8283</v>
      </c>
      <c r="E144" s="33" t="n">
        <f aca="false">E59*'Hiring plan'!$K$55*(1+Salary_Raise)^(E$5-1)</f>
        <v>0</v>
      </c>
      <c r="F144" s="33" t="n">
        <f aca="false">F59*'Hiring plan'!$K$55*(1+Salary_Raise)^(F$5-1)</f>
        <v>0</v>
      </c>
      <c r="G144" s="33" t="n">
        <f aca="false">G59*'Hiring plan'!$K$55*(1+Salary_Raise)^(G$5-1)</f>
        <v>0</v>
      </c>
      <c r="H144" s="33" t="n">
        <f aca="false">H59*'Hiring plan'!$K$55*(1+Salary_Raise)^(H$5-1)</f>
        <v>0</v>
      </c>
      <c r="I144" s="33" t="n">
        <f aca="false">I59*'Hiring plan'!$K$55*(1+Salary_Raise)^(I$5-1)</f>
        <v>0</v>
      </c>
      <c r="J144" s="33" t="n">
        <f aca="false">J59*'Hiring plan'!$K$55*(1+Salary_Raise)^(J$5-1)</f>
        <v>0</v>
      </c>
      <c r="K144" s="33" t="n">
        <f aca="false">K59*'Hiring plan'!$K$55*(1+Salary_Raise)^(K$5-1)</f>
        <v>0</v>
      </c>
      <c r="L144" s="33" t="n">
        <f aca="false">L59*'Hiring plan'!$K$55*(1+Salary_Raise)^(L$5-1)</f>
        <v>0</v>
      </c>
      <c r="M144" s="33" t="n">
        <f aca="false">M59*'Hiring plan'!$K$55*(1+Salary_Raise)^(M$5-1)</f>
        <v>0</v>
      </c>
      <c r="N144" s="33" t="n">
        <f aca="false">N59*'Hiring plan'!$K$55*(1+Salary_Raise)^(N$5-1)</f>
        <v>0</v>
      </c>
      <c r="O144" s="33" t="n">
        <f aca="false">O59*'Hiring plan'!$K$55*(1+Salary_Raise)^(O$5-1)</f>
        <v>0</v>
      </c>
      <c r="P144" s="33" t="n">
        <f aca="false">P59*'Hiring plan'!$K$55*(1+Salary_Raise)^(P$5-1)</f>
        <v>0</v>
      </c>
      <c r="Q144" s="33" t="n">
        <f aca="false">Q59*'Hiring plan'!$K$55*(1+Salary_Raise)^(Q$5-1)</f>
        <v>0</v>
      </c>
      <c r="R144" s="33" t="n">
        <f aca="false">R59*'Hiring plan'!$K$55*(1+Salary_Raise)^(R$5-1)</f>
        <v>0</v>
      </c>
      <c r="S144" s="33" t="n">
        <f aca="false">S59*'Hiring plan'!$K$55*(1+Salary_Raise)^(S$5-1)</f>
        <v>0</v>
      </c>
      <c r="T144" s="33" t="n">
        <f aca="false">T59*'Hiring plan'!$K$55*(1+Salary_Raise)^(T$5-1)</f>
        <v>0</v>
      </c>
      <c r="U144" s="33" t="n">
        <f aca="false">U59*'Hiring plan'!$K$55*(1+Salary_Raise)^(U$5-1)</f>
        <v>0</v>
      </c>
      <c r="V144" s="33" t="n">
        <f aca="false">V59*'Hiring plan'!$K$55*(1+Salary_Raise)^(V$5-1)</f>
        <v>0</v>
      </c>
      <c r="W144" s="33" t="n">
        <f aca="false">W59*'Hiring plan'!$K$55*(1+Salary_Raise)^(W$5-1)</f>
        <v>0</v>
      </c>
      <c r="X144" s="33" t="n">
        <f aca="false">X59*'Hiring plan'!$K$55*(1+Salary_Raise)^(X$5-1)</f>
        <v>0</v>
      </c>
      <c r="Y144" s="33" t="n">
        <f aca="false">Y59*'Hiring plan'!$K$55*(1+Salary_Raise)^(Y$5-1)</f>
        <v>0</v>
      </c>
      <c r="Z144" s="33" t="n">
        <f aca="false">Z59*'Hiring plan'!$K$55*(1+Salary_Raise)^(Z$5-1)</f>
        <v>0</v>
      </c>
      <c r="AA144" s="33" t="n">
        <f aca="false">AA59*'Hiring plan'!$K$55*(1+Salary_Raise)^(AA$5-1)</f>
        <v>0</v>
      </c>
      <c r="AB144" s="33" t="n">
        <f aca="false">AB59*'Hiring plan'!$K$55*(1+Salary_Raise)^(AB$5-1)</f>
        <v>0</v>
      </c>
      <c r="AC144" s="33" t="n">
        <f aca="false">AC59*'Hiring plan'!$K$55*(1+Salary_Raise)^(AC$5-1)</f>
        <v>0</v>
      </c>
      <c r="AD144" s="33" t="n">
        <f aca="false">AD59*'Hiring plan'!$K$55*(1+Salary_Raise)^(AD$5-1)</f>
        <v>0</v>
      </c>
      <c r="AE144" s="33" t="n">
        <f aca="false">AE59*'Hiring plan'!$K$55*(1+Salary_Raise)^(AE$5-1)</f>
        <v>0</v>
      </c>
      <c r="AF144" s="33" t="n">
        <f aca="false">AF59*'Hiring plan'!$K$55*(1+Salary_Raise)^(AF$5-1)</f>
        <v>0</v>
      </c>
      <c r="AG144" s="33" t="n">
        <f aca="false">AG59*'Hiring plan'!$K$55*(1+Salary_Raise)^(AG$5-1)</f>
        <v>0</v>
      </c>
      <c r="AH144" s="33" t="n">
        <f aca="false">AH59*'Hiring plan'!$K$55*(1+Salary_Raise)^(AH$5-1)</f>
        <v>0</v>
      </c>
      <c r="AI144" s="33" t="n">
        <f aca="false">AI59*'Hiring plan'!$K$55*(1+Salary_Raise)^(AI$5-1)</f>
        <v>0</v>
      </c>
      <c r="AJ144" s="33" t="n">
        <f aca="false">AJ59*'Hiring plan'!$K$55*(1+Salary_Raise)^(AJ$5-1)</f>
        <v>0</v>
      </c>
      <c r="AK144" s="33" t="n">
        <f aca="false">AK59*'Hiring plan'!$K$55*(1+Salary_Raise)^(AK$5-1)</f>
        <v>0</v>
      </c>
      <c r="AL144" s="33" t="n">
        <f aca="false">AL59*'Hiring plan'!$K$55*(1+Salary_Raise)^(AL$5-1)</f>
        <v>0</v>
      </c>
      <c r="AM144" s="33" t="n">
        <f aca="false">AM59*'Hiring plan'!$K$55*(1+Salary_Raise)^(AM$5-1)</f>
        <v>0</v>
      </c>
      <c r="AN144" s="33" t="n">
        <f aca="false">AN59*'Hiring plan'!$K$55*(1+Salary_Raise)^(AN$5-1)</f>
        <v>0</v>
      </c>
      <c r="AO144" s="33" t="n">
        <f aca="false">AO59*'Hiring plan'!$K$55*(1+Salary_Raise)^(AO$5-1)</f>
        <v>0</v>
      </c>
      <c r="AP144" s="33" t="n">
        <f aca="false">AP59*'Hiring plan'!$K$55*(1+Salary_Raise)^(AP$5-1)</f>
        <v>0</v>
      </c>
      <c r="AQ144" s="33" t="n">
        <f aca="false">AQ59*'Hiring plan'!$K$55*(1+Salary_Raise)^(AQ$5-1)</f>
        <v>0</v>
      </c>
      <c r="AR144" s="33" t="n">
        <f aca="false">AR59*'Hiring plan'!$K$55*(1+Salary_Raise)^(AR$5-1)</f>
        <v>0</v>
      </c>
      <c r="AS144" s="33" t="n">
        <f aca="false">AS59*'Hiring plan'!$K$55*(1+Salary_Raise)^(AS$5-1)</f>
        <v>0</v>
      </c>
      <c r="AT144" s="33" t="n">
        <f aca="false">AT59*'Hiring plan'!$K$55*(1+Salary_Raise)^(AT$5-1)</f>
        <v>0</v>
      </c>
      <c r="AU144" s="33" t="n">
        <f aca="false">AU59*'Hiring plan'!$K$55*(1+Salary_Raise)^(AU$5-1)</f>
        <v>2048398.9155</v>
      </c>
      <c r="AV144" s="33" t="n">
        <f aca="false">AV59*'Hiring plan'!$K$55*(1+Salary_Raise)^(AV$5-1)</f>
        <v>2048398.9155</v>
      </c>
      <c r="AW144" s="33" t="n">
        <f aca="false">AW59*'Hiring plan'!$K$55*(1+Salary_Raise)^(AW$5-1)</f>
        <v>2048398.9155</v>
      </c>
      <c r="AX144" s="33" t="n">
        <f aca="false">AX59*'Hiring plan'!$K$55*(1+Salary_Raise)^(AX$5-1)</f>
        <v>2048398.9155</v>
      </c>
      <c r="AY144" s="33" t="n">
        <f aca="false">AY59*'Hiring plan'!$K$55*(1+Salary_Raise)^(AY$5-1)</f>
        <v>2048398.9155</v>
      </c>
      <c r="AZ144" s="33" t="n">
        <f aca="false">AZ59*'Hiring plan'!$K$55*(1+Salary_Raise)^(AZ$5-1)</f>
        <v>2048398.9155</v>
      </c>
      <c r="BA144" s="33" t="n">
        <f aca="false">BA59*'Hiring plan'!$K$55*(1+Salary_Raise)^(BA$5-1)</f>
        <v>2150818.861275</v>
      </c>
      <c r="BB144" s="33" t="n">
        <f aca="false">BB59*'Hiring plan'!$K$55*(1+Salary_Raise)^(BB$5-1)</f>
        <v>2150818.861275</v>
      </c>
      <c r="BC144" s="33" t="n">
        <f aca="false">BC59*'Hiring plan'!$K$55*(1+Salary_Raise)^(BC$5-1)</f>
        <v>2150818.861275</v>
      </c>
      <c r="BD144" s="33" t="n">
        <f aca="false">BD59*'Hiring plan'!$K$55*(1+Salary_Raise)^(BD$5-1)</f>
        <v>2150818.861275</v>
      </c>
      <c r="BE144" s="33" t="n">
        <f aca="false">BE59*'Hiring plan'!$K$55*(1+Salary_Raise)^(BE$5-1)</f>
        <v>2150818.861275</v>
      </c>
      <c r="BF144" s="33" t="n">
        <f aca="false">BF59*'Hiring plan'!$K$55*(1+Salary_Raise)^(BF$5-1)</f>
        <v>2150818.861275</v>
      </c>
      <c r="BG144" s="33" t="n">
        <f aca="false">BG59*'Hiring plan'!$K$55*(1+Salary_Raise)^(BG$5-1)</f>
        <v>2150818.861275</v>
      </c>
      <c r="BH144" s="33" t="n">
        <f aca="false">BH59*'Hiring plan'!$K$55*(1+Salary_Raise)^(BH$5-1)</f>
        <v>2150818.861275</v>
      </c>
      <c r="BI144" s="33" t="n">
        <f aca="false">BI59*'Hiring plan'!$K$55*(1+Salary_Raise)^(BI$5-1)</f>
        <v>2150818.861275</v>
      </c>
      <c r="BJ144" s="33" t="n">
        <f aca="false">BJ59*'Hiring plan'!$K$55*(1+Salary_Raise)^(BJ$5-1)</f>
        <v>2150818.861275</v>
      </c>
      <c r="BK144" s="33" t="n">
        <f aca="false">BK59*'Hiring plan'!$K$55*(1+Salary_Raise)^(BK$5-1)</f>
        <v>2150818.861275</v>
      </c>
      <c r="BL144" s="33" t="n">
        <f aca="false">BL59*'Hiring plan'!$K$55*(1+Salary_Raise)^(BL$5-1)</f>
        <v>2150818.861275</v>
      </c>
    </row>
    <row r="145" customFormat="false" ht="15" hidden="false" customHeight="false" outlineLevel="0" collapsed="false">
      <c r="A145" s="12" t="str">
        <f aca="false">A60</f>
        <v>Marketing and growth manager · SN</v>
      </c>
      <c r="B145" s="14" t="s">
        <v>63</v>
      </c>
      <c r="D145" s="41" t="n">
        <f aca="false">SUM(E145:BL145)</f>
        <v>67908929.4457</v>
      </c>
      <c r="E145" s="33" t="n">
        <f aca="false">E60*'Hiring plan'!$K$56*(1+Salary_Raise)^(E$5-1)</f>
        <v>0</v>
      </c>
      <c r="F145" s="33" t="n">
        <f aca="false">F60*'Hiring plan'!$K$56*(1+Salary_Raise)^(F$5-1)</f>
        <v>0</v>
      </c>
      <c r="G145" s="33" t="n">
        <f aca="false">G60*'Hiring plan'!$K$56*(1+Salary_Raise)^(G$5-1)</f>
        <v>0</v>
      </c>
      <c r="H145" s="33" t="n">
        <f aca="false">H60*'Hiring plan'!$K$56*(1+Salary_Raise)^(H$5-1)</f>
        <v>0</v>
      </c>
      <c r="I145" s="33" t="n">
        <f aca="false">I60*'Hiring plan'!$K$56*(1+Salary_Raise)^(I$5-1)</f>
        <v>0</v>
      </c>
      <c r="J145" s="33" t="n">
        <f aca="false">J60*'Hiring plan'!$K$56*(1+Salary_Raise)^(J$5-1)</f>
        <v>1107676</v>
      </c>
      <c r="K145" s="33" t="n">
        <f aca="false">K60*'Hiring plan'!$K$56*(1+Salary_Raise)^(K$5-1)</f>
        <v>1107676</v>
      </c>
      <c r="L145" s="33" t="n">
        <f aca="false">L60*'Hiring plan'!$K$56*(1+Salary_Raise)^(L$5-1)</f>
        <v>1107676</v>
      </c>
      <c r="M145" s="33" t="n">
        <f aca="false">M60*'Hiring plan'!$K$56*(1+Salary_Raise)^(M$5-1)</f>
        <v>1107676</v>
      </c>
      <c r="N145" s="33" t="n">
        <f aca="false">N60*'Hiring plan'!$K$56*(1+Salary_Raise)^(N$5-1)</f>
        <v>1107676</v>
      </c>
      <c r="O145" s="33" t="n">
        <f aca="false">O60*'Hiring plan'!$K$56*(1+Salary_Raise)^(O$5-1)</f>
        <v>1107676</v>
      </c>
      <c r="P145" s="33" t="n">
        <f aca="false">P60*'Hiring plan'!$K$56*(1+Salary_Raise)^(P$5-1)</f>
        <v>1107676</v>
      </c>
      <c r="Q145" s="33" t="n">
        <f aca="false">Q60*'Hiring plan'!$K$56*(1+Salary_Raise)^(Q$5-1)</f>
        <v>1163059.8</v>
      </c>
      <c r="R145" s="33" t="n">
        <f aca="false">R60*'Hiring plan'!$K$56*(1+Salary_Raise)^(R$5-1)</f>
        <v>1163059.8</v>
      </c>
      <c r="S145" s="33" t="n">
        <f aca="false">S60*'Hiring plan'!$K$56*(1+Salary_Raise)^(S$5-1)</f>
        <v>1163059.8</v>
      </c>
      <c r="T145" s="33" t="n">
        <f aca="false">T60*'Hiring plan'!$K$56*(1+Salary_Raise)^(T$5-1)</f>
        <v>1163059.8</v>
      </c>
      <c r="U145" s="33" t="n">
        <f aca="false">U60*'Hiring plan'!$K$56*(1+Salary_Raise)^(U$5-1)</f>
        <v>1163059.8</v>
      </c>
      <c r="V145" s="33" t="n">
        <f aca="false">V60*'Hiring plan'!$K$56*(1+Salary_Raise)^(V$5-1)</f>
        <v>1163059.8</v>
      </c>
      <c r="W145" s="33" t="n">
        <f aca="false">W60*'Hiring plan'!$K$56*(1+Salary_Raise)^(W$5-1)</f>
        <v>1163059.8</v>
      </c>
      <c r="X145" s="33" t="n">
        <f aca="false">X60*'Hiring plan'!$K$56*(1+Salary_Raise)^(X$5-1)</f>
        <v>1163059.8</v>
      </c>
      <c r="Y145" s="33" t="n">
        <f aca="false">Y60*'Hiring plan'!$K$56*(1+Salary_Raise)^(Y$5-1)</f>
        <v>1163059.8</v>
      </c>
      <c r="Z145" s="33" t="n">
        <f aca="false">Z60*'Hiring plan'!$K$56*(1+Salary_Raise)^(Z$5-1)</f>
        <v>1163059.8</v>
      </c>
      <c r="AA145" s="33" t="n">
        <f aca="false">AA60*'Hiring plan'!$K$56*(1+Salary_Raise)^(AA$5-1)</f>
        <v>1163059.8</v>
      </c>
      <c r="AB145" s="33" t="n">
        <f aca="false">AB60*'Hiring plan'!$K$56*(1+Salary_Raise)^(AB$5-1)</f>
        <v>1163059.8</v>
      </c>
      <c r="AC145" s="33" t="n">
        <f aca="false">AC60*'Hiring plan'!$K$56*(1+Salary_Raise)^(AC$5-1)</f>
        <v>1221212.79</v>
      </c>
      <c r="AD145" s="33" t="n">
        <f aca="false">AD60*'Hiring plan'!$K$56*(1+Salary_Raise)^(AD$5-1)</f>
        <v>1221212.79</v>
      </c>
      <c r="AE145" s="33" t="n">
        <f aca="false">AE60*'Hiring plan'!$K$56*(1+Salary_Raise)^(AE$5-1)</f>
        <v>1221212.79</v>
      </c>
      <c r="AF145" s="33" t="n">
        <f aca="false">AF60*'Hiring plan'!$K$56*(1+Salary_Raise)^(AF$5-1)</f>
        <v>1221212.79</v>
      </c>
      <c r="AG145" s="33" t="n">
        <f aca="false">AG60*'Hiring plan'!$K$56*(1+Salary_Raise)^(AG$5-1)</f>
        <v>1221212.79</v>
      </c>
      <c r="AH145" s="33" t="n">
        <f aca="false">AH60*'Hiring plan'!$K$56*(1+Salary_Raise)^(AH$5-1)</f>
        <v>1221212.79</v>
      </c>
      <c r="AI145" s="33" t="n">
        <f aca="false">AI60*'Hiring plan'!$K$56*(1+Salary_Raise)^(AI$5-1)</f>
        <v>1221212.79</v>
      </c>
      <c r="AJ145" s="33" t="n">
        <f aca="false">AJ60*'Hiring plan'!$K$56*(1+Salary_Raise)^(AJ$5-1)</f>
        <v>1221212.79</v>
      </c>
      <c r="AK145" s="33" t="n">
        <f aca="false">AK60*'Hiring plan'!$K$56*(1+Salary_Raise)^(AK$5-1)</f>
        <v>1221212.79</v>
      </c>
      <c r="AL145" s="33" t="n">
        <f aca="false">AL60*'Hiring plan'!$K$56*(1+Salary_Raise)^(AL$5-1)</f>
        <v>1221212.79</v>
      </c>
      <c r="AM145" s="33" t="n">
        <f aca="false">AM60*'Hiring plan'!$K$56*(1+Salary_Raise)^(AM$5-1)</f>
        <v>1221212.79</v>
      </c>
      <c r="AN145" s="33" t="n">
        <f aca="false">AN60*'Hiring plan'!$K$56*(1+Salary_Raise)^(AN$5-1)</f>
        <v>1221212.79</v>
      </c>
      <c r="AO145" s="33" t="n">
        <f aca="false">AO60*'Hiring plan'!$K$56*(1+Salary_Raise)^(AO$5-1)</f>
        <v>1282273.4295</v>
      </c>
      <c r="AP145" s="33" t="n">
        <f aca="false">AP60*'Hiring plan'!$K$56*(1+Salary_Raise)^(AP$5-1)</f>
        <v>1282273.4295</v>
      </c>
      <c r="AQ145" s="33" t="n">
        <f aca="false">AQ60*'Hiring plan'!$K$56*(1+Salary_Raise)^(AQ$5-1)</f>
        <v>1282273.4295</v>
      </c>
      <c r="AR145" s="33" t="n">
        <f aca="false">AR60*'Hiring plan'!$K$56*(1+Salary_Raise)^(AR$5-1)</f>
        <v>1282273.4295</v>
      </c>
      <c r="AS145" s="33" t="n">
        <f aca="false">AS60*'Hiring plan'!$K$56*(1+Salary_Raise)^(AS$5-1)</f>
        <v>1282273.4295</v>
      </c>
      <c r="AT145" s="33" t="n">
        <f aca="false">AT60*'Hiring plan'!$K$56*(1+Salary_Raise)^(AT$5-1)</f>
        <v>1282273.4295</v>
      </c>
      <c r="AU145" s="33" t="n">
        <f aca="false">AU60*'Hiring plan'!$K$56*(1+Salary_Raise)^(AU$5-1)</f>
        <v>1282273.4295</v>
      </c>
      <c r="AV145" s="33" t="n">
        <f aca="false">AV60*'Hiring plan'!$K$56*(1+Salary_Raise)^(AV$5-1)</f>
        <v>1282273.4295</v>
      </c>
      <c r="AW145" s="33" t="n">
        <f aca="false">AW60*'Hiring plan'!$K$56*(1+Salary_Raise)^(AW$5-1)</f>
        <v>1282273.4295</v>
      </c>
      <c r="AX145" s="33" t="n">
        <f aca="false">AX60*'Hiring plan'!$K$56*(1+Salary_Raise)^(AX$5-1)</f>
        <v>1282273.4295</v>
      </c>
      <c r="AY145" s="33" t="n">
        <f aca="false">AY60*'Hiring plan'!$K$56*(1+Salary_Raise)^(AY$5-1)</f>
        <v>1282273.4295</v>
      </c>
      <c r="AZ145" s="33" t="n">
        <f aca="false">AZ60*'Hiring plan'!$K$56*(1+Salary_Raise)^(AZ$5-1)</f>
        <v>1282273.4295</v>
      </c>
      <c r="BA145" s="33" t="n">
        <f aca="false">BA60*'Hiring plan'!$K$56*(1+Salary_Raise)^(BA$5-1)</f>
        <v>1346387.100975</v>
      </c>
      <c r="BB145" s="33" t="n">
        <f aca="false">BB60*'Hiring plan'!$K$56*(1+Salary_Raise)^(BB$5-1)</f>
        <v>1346387.100975</v>
      </c>
      <c r="BC145" s="33" t="n">
        <f aca="false">BC60*'Hiring plan'!$K$56*(1+Salary_Raise)^(BC$5-1)</f>
        <v>1346387.100975</v>
      </c>
      <c r="BD145" s="33" t="n">
        <f aca="false">BD60*'Hiring plan'!$K$56*(1+Salary_Raise)^(BD$5-1)</f>
        <v>1346387.100975</v>
      </c>
      <c r="BE145" s="33" t="n">
        <f aca="false">BE60*'Hiring plan'!$K$56*(1+Salary_Raise)^(BE$5-1)</f>
        <v>1346387.100975</v>
      </c>
      <c r="BF145" s="33" t="n">
        <f aca="false">BF60*'Hiring plan'!$K$56*(1+Salary_Raise)^(BF$5-1)</f>
        <v>1346387.100975</v>
      </c>
      <c r="BG145" s="33" t="n">
        <f aca="false">BG60*'Hiring plan'!$K$56*(1+Salary_Raise)^(BG$5-1)</f>
        <v>1346387.100975</v>
      </c>
      <c r="BH145" s="33" t="n">
        <f aca="false">BH60*'Hiring plan'!$K$56*(1+Salary_Raise)^(BH$5-1)</f>
        <v>1346387.100975</v>
      </c>
      <c r="BI145" s="33" t="n">
        <f aca="false">BI60*'Hiring plan'!$K$56*(1+Salary_Raise)^(BI$5-1)</f>
        <v>1346387.100975</v>
      </c>
      <c r="BJ145" s="33" t="n">
        <f aca="false">BJ60*'Hiring plan'!$K$56*(1+Salary_Raise)^(BJ$5-1)</f>
        <v>1346387.100975</v>
      </c>
      <c r="BK145" s="33" t="n">
        <f aca="false">BK60*'Hiring plan'!$K$56*(1+Salary_Raise)^(BK$5-1)</f>
        <v>1346387.100975</v>
      </c>
      <c r="BL145" s="33" t="n">
        <f aca="false">BL60*'Hiring plan'!$K$56*(1+Salary_Raise)^(BL$5-1)</f>
        <v>1346387.100975</v>
      </c>
    </row>
    <row r="146" customFormat="false" ht="15" hidden="false" customHeight="false" outlineLevel="0" collapsed="false">
      <c r="A146" s="12" t="str">
        <f aca="false">A61</f>
        <v>Content and community officer · SN</v>
      </c>
      <c r="B146" s="14" t="s">
        <v>63</v>
      </c>
      <c r="D146" s="41" t="n">
        <f aca="false">SUM(E146:BL146)</f>
        <v>25514745.9105</v>
      </c>
      <c r="E146" s="33" t="n">
        <f aca="false">E61*'Hiring plan'!$K$57*(1+Salary_Raise)^(E$5-1)</f>
        <v>0</v>
      </c>
      <c r="F146" s="33" t="n">
        <f aca="false">F61*'Hiring plan'!$K$57*(1+Salary_Raise)^(F$5-1)</f>
        <v>0</v>
      </c>
      <c r="G146" s="33" t="n">
        <f aca="false">G61*'Hiring plan'!$K$57*(1+Salary_Raise)^(G$5-1)</f>
        <v>0</v>
      </c>
      <c r="H146" s="33" t="n">
        <f aca="false">H61*'Hiring plan'!$K$57*(1+Salary_Raise)^(H$5-1)</f>
        <v>0</v>
      </c>
      <c r="I146" s="33" t="n">
        <f aca="false">I61*'Hiring plan'!$K$57*(1+Salary_Raise)^(I$5-1)</f>
        <v>0</v>
      </c>
      <c r="J146" s="33" t="n">
        <f aca="false">J61*'Hiring plan'!$K$57*(1+Salary_Raise)^(J$5-1)</f>
        <v>0</v>
      </c>
      <c r="K146" s="33" t="n">
        <f aca="false">K61*'Hiring plan'!$K$57*(1+Salary_Raise)^(K$5-1)</f>
        <v>0</v>
      </c>
      <c r="L146" s="33" t="n">
        <f aca="false">L61*'Hiring plan'!$K$57*(1+Salary_Raise)^(L$5-1)</f>
        <v>0</v>
      </c>
      <c r="M146" s="33" t="n">
        <f aca="false">M61*'Hiring plan'!$K$57*(1+Salary_Raise)^(M$5-1)</f>
        <v>0</v>
      </c>
      <c r="N146" s="33" t="n">
        <f aca="false">N61*'Hiring plan'!$K$57*(1+Salary_Raise)^(N$5-1)</f>
        <v>0</v>
      </c>
      <c r="O146" s="33" t="n">
        <f aca="false">O61*'Hiring plan'!$K$57*(1+Salary_Raise)^(O$5-1)</f>
        <v>0</v>
      </c>
      <c r="P146" s="33" t="n">
        <f aca="false">P61*'Hiring plan'!$K$57*(1+Salary_Raise)^(P$5-1)</f>
        <v>0</v>
      </c>
      <c r="Q146" s="33" t="n">
        <f aca="false">Q61*'Hiring plan'!$K$57*(1+Salary_Raise)^(Q$5-1)</f>
        <v>0</v>
      </c>
      <c r="R146" s="33" t="n">
        <f aca="false">R61*'Hiring plan'!$K$57*(1+Salary_Raise)^(R$5-1)</f>
        <v>0</v>
      </c>
      <c r="S146" s="33" t="n">
        <f aca="false">S61*'Hiring plan'!$K$57*(1+Salary_Raise)^(S$5-1)</f>
        <v>0</v>
      </c>
      <c r="T146" s="33" t="n">
        <f aca="false">T61*'Hiring plan'!$K$57*(1+Salary_Raise)^(T$5-1)</f>
        <v>0</v>
      </c>
      <c r="U146" s="33" t="n">
        <f aca="false">U61*'Hiring plan'!$K$57*(1+Salary_Raise)^(U$5-1)</f>
        <v>0</v>
      </c>
      <c r="V146" s="33" t="n">
        <f aca="false">V61*'Hiring plan'!$K$57*(1+Salary_Raise)^(V$5-1)</f>
        <v>0</v>
      </c>
      <c r="W146" s="33" t="n">
        <f aca="false">W61*'Hiring plan'!$K$57*(1+Salary_Raise)^(W$5-1)</f>
        <v>558047</v>
      </c>
      <c r="X146" s="33" t="n">
        <f aca="false">X61*'Hiring plan'!$K$57*(1+Salary_Raise)^(X$5-1)</f>
        <v>558047</v>
      </c>
      <c r="Y146" s="33" t="n">
        <f aca="false">Y61*'Hiring plan'!$K$57*(1+Salary_Raise)^(Y$5-1)</f>
        <v>558047</v>
      </c>
      <c r="Z146" s="33" t="n">
        <f aca="false">Z61*'Hiring plan'!$K$57*(1+Salary_Raise)^(Z$5-1)</f>
        <v>558047</v>
      </c>
      <c r="AA146" s="33" t="n">
        <f aca="false">AA61*'Hiring plan'!$K$57*(1+Salary_Raise)^(AA$5-1)</f>
        <v>558047</v>
      </c>
      <c r="AB146" s="33" t="n">
        <f aca="false">AB61*'Hiring plan'!$K$57*(1+Salary_Raise)^(AB$5-1)</f>
        <v>558047</v>
      </c>
      <c r="AC146" s="33" t="n">
        <f aca="false">AC61*'Hiring plan'!$K$57*(1+Salary_Raise)^(AC$5-1)</f>
        <v>585949.35</v>
      </c>
      <c r="AD146" s="33" t="n">
        <f aca="false">AD61*'Hiring plan'!$K$57*(1+Salary_Raise)^(AD$5-1)</f>
        <v>585949.35</v>
      </c>
      <c r="AE146" s="33" t="n">
        <f aca="false">AE61*'Hiring plan'!$K$57*(1+Salary_Raise)^(AE$5-1)</f>
        <v>585949.35</v>
      </c>
      <c r="AF146" s="33" t="n">
        <f aca="false">AF61*'Hiring plan'!$K$57*(1+Salary_Raise)^(AF$5-1)</f>
        <v>585949.35</v>
      </c>
      <c r="AG146" s="33" t="n">
        <f aca="false">AG61*'Hiring plan'!$K$57*(1+Salary_Raise)^(AG$5-1)</f>
        <v>585949.35</v>
      </c>
      <c r="AH146" s="33" t="n">
        <f aca="false">AH61*'Hiring plan'!$K$57*(1+Salary_Raise)^(AH$5-1)</f>
        <v>585949.35</v>
      </c>
      <c r="AI146" s="33" t="n">
        <f aca="false">AI61*'Hiring plan'!$K$57*(1+Salary_Raise)^(AI$5-1)</f>
        <v>585949.35</v>
      </c>
      <c r="AJ146" s="33" t="n">
        <f aca="false">AJ61*'Hiring plan'!$K$57*(1+Salary_Raise)^(AJ$5-1)</f>
        <v>585949.35</v>
      </c>
      <c r="AK146" s="33" t="n">
        <f aca="false">AK61*'Hiring plan'!$K$57*(1+Salary_Raise)^(AK$5-1)</f>
        <v>585949.35</v>
      </c>
      <c r="AL146" s="33" t="n">
        <f aca="false">AL61*'Hiring plan'!$K$57*(1+Salary_Raise)^(AL$5-1)</f>
        <v>585949.35</v>
      </c>
      <c r="AM146" s="33" t="n">
        <f aca="false">AM61*'Hiring plan'!$K$57*(1+Salary_Raise)^(AM$5-1)</f>
        <v>585949.35</v>
      </c>
      <c r="AN146" s="33" t="n">
        <f aca="false">AN61*'Hiring plan'!$K$57*(1+Salary_Raise)^(AN$5-1)</f>
        <v>585949.35</v>
      </c>
      <c r="AO146" s="33" t="n">
        <f aca="false">AO61*'Hiring plan'!$K$57*(1+Salary_Raise)^(AO$5-1)</f>
        <v>615246.8175</v>
      </c>
      <c r="AP146" s="33" t="n">
        <f aca="false">AP61*'Hiring plan'!$K$57*(1+Salary_Raise)^(AP$5-1)</f>
        <v>615246.8175</v>
      </c>
      <c r="AQ146" s="33" t="n">
        <f aca="false">AQ61*'Hiring plan'!$K$57*(1+Salary_Raise)^(AQ$5-1)</f>
        <v>615246.8175</v>
      </c>
      <c r="AR146" s="33" t="n">
        <f aca="false">AR61*'Hiring plan'!$K$57*(1+Salary_Raise)^(AR$5-1)</f>
        <v>615246.8175</v>
      </c>
      <c r="AS146" s="33" t="n">
        <f aca="false">AS61*'Hiring plan'!$K$57*(1+Salary_Raise)^(AS$5-1)</f>
        <v>615246.8175</v>
      </c>
      <c r="AT146" s="33" t="n">
        <f aca="false">AT61*'Hiring plan'!$K$57*(1+Salary_Raise)^(AT$5-1)</f>
        <v>615246.8175</v>
      </c>
      <c r="AU146" s="33" t="n">
        <f aca="false">AU61*'Hiring plan'!$K$57*(1+Salary_Raise)^(AU$5-1)</f>
        <v>615246.8175</v>
      </c>
      <c r="AV146" s="33" t="n">
        <f aca="false">AV61*'Hiring plan'!$K$57*(1+Salary_Raise)^(AV$5-1)</f>
        <v>615246.8175</v>
      </c>
      <c r="AW146" s="33" t="n">
        <f aca="false">AW61*'Hiring plan'!$K$57*(1+Salary_Raise)^(AW$5-1)</f>
        <v>615246.8175</v>
      </c>
      <c r="AX146" s="33" t="n">
        <f aca="false">AX61*'Hiring plan'!$K$57*(1+Salary_Raise)^(AX$5-1)</f>
        <v>615246.8175</v>
      </c>
      <c r="AY146" s="33" t="n">
        <f aca="false">AY61*'Hiring plan'!$K$57*(1+Salary_Raise)^(AY$5-1)</f>
        <v>615246.8175</v>
      </c>
      <c r="AZ146" s="33" t="n">
        <f aca="false">AZ61*'Hiring plan'!$K$57*(1+Salary_Raise)^(AZ$5-1)</f>
        <v>615246.8175</v>
      </c>
      <c r="BA146" s="33" t="n">
        <f aca="false">BA61*'Hiring plan'!$K$57*(1+Salary_Raise)^(BA$5-1)</f>
        <v>646009.158375</v>
      </c>
      <c r="BB146" s="33" t="n">
        <f aca="false">BB61*'Hiring plan'!$K$57*(1+Salary_Raise)^(BB$5-1)</f>
        <v>646009.158375</v>
      </c>
      <c r="BC146" s="33" t="n">
        <f aca="false">BC61*'Hiring plan'!$K$57*(1+Salary_Raise)^(BC$5-1)</f>
        <v>646009.158375</v>
      </c>
      <c r="BD146" s="33" t="n">
        <f aca="false">BD61*'Hiring plan'!$K$57*(1+Salary_Raise)^(BD$5-1)</f>
        <v>646009.158375</v>
      </c>
      <c r="BE146" s="33" t="n">
        <f aca="false">BE61*'Hiring plan'!$K$57*(1+Salary_Raise)^(BE$5-1)</f>
        <v>646009.158375</v>
      </c>
      <c r="BF146" s="33" t="n">
        <f aca="false">BF61*'Hiring plan'!$K$57*(1+Salary_Raise)^(BF$5-1)</f>
        <v>646009.158375</v>
      </c>
      <c r="BG146" s="33" t="n">
        <f aca="false">BG61*'Hiring plan'!$K$57*(1+Salary_Raise)^(BG$5-1)</f>
        <v>646009.158375</v>
      </c>
      <c r="BH146" s="33" t="n">
        <f aca="false">BH61*'Hiring plan'!$K$57*(1+Salary_Raise)^(BH$5-1)</f>
        <v>646009.158375</v>
      </c>
      <c r="BI146" s="33" t="n">
        <f aca="false">BI61*'Hiring plan'!$K$57*(1+Salary_Raise)^(BI$5-1)</f>
        <v>646009.158375</v>
      </c>
      <c r="BJ146" s="33" t="n">
        <f aca="false">BJ61*'Hiring plan'!$K$57*(1+Salary_Raise)^(BJ$5-1)</f>
        <v>646009.158375</v>
      </c>
      <c r="BK146" s="33" t="n">
        <f aca="false">BK61*'Hiring plan'!$K$57*(1+Salary_Raise)^(BK$5-1)</f>
        <v>646009.158375</v>
      </c>
      <c r="BL146" s="33" t="n">
        <f aca="false">BL61*'Hiring plan'!$K$57*(1+Salary_Raise)^(BL$5-1)</f>
        <v>646009.158375</v>
      </c>
    </row>
    <row r="147" customFormat="false" ht="15" hidden="false" customHeight="false" outlineLevel="0" collapsed="false">
      <c r="A147" s="12" t="str">
        <f aca="false">A62</f>
        <v>Accountant · SN</v>
      </c>
      <c r="B147" s="14" t="s">
        <v>63</v>
      </c>
      <c r="D147" s="41" t="n">
        <f aca="false">SUM(E147:BL147)</f>
        <v>35240707.9105</v>
      </c>
      <c r="E147" s="33" t="n">
        <f aca="false">E62*'Hiring plan'!$K$58*(1+Salary_Raise)^(E$5-1)</f>
        <v>531473.333333333</v>
      </c>
      <c r="F147" s="33" t="n">
        <f aca="false">F62*'Hiring plan'!$K$58*(1+Salary_Raise)^(F$5-1)</f>
        <v>531473.333333333</v>
      </c>
      <c r="G147" s="33" t="n">
        <f aca="false">G62*'Hiring plan'!$K$58*(1+Salary_Raise)^(G$5-1)</f>
        <v>531473.333333333</v>
      </c>
      <c r="H147" s="33" t="n">
        <f aca="false">H62*'Hiring plan'!$K$58*(1+Salary_Raise)^(H$5-1)</f>
        <v>531473.333333333</v>
      </c>
      <c r="I147" s="33" t="n">
        <f aca="false">I62*'Hiring plan'!$K$58*(1+Salary_Raise)^(I$5-1)</f>
        <v>531473.333333333</v>
      </c>
      <c r="J147" s="33" t="n">
        <f aca="false">J62*'Hiring plan'!$K$58*(1+Salary_Raise)^(J$5-1)</f>
        <v>531473.333333333</v>
      </c>
      <c r="K147" s="33" t="n">
        <f aca="false">K62*'Hiring plan'!$K$58*(1+Salary_Raise)^(K$5-1)</f>
        <v>531473.333333333</v>
      </c>
      <c r="L147" s="33" t="n">
        <f aca="false">L62*'Hiring plan'!$K$58*(1+Salary_Raise)^(L$5-1)</f>
        <v>531473.333333333</v>
      </c>
      <c r="M147" s="33" t="n">
        <f aca="false">M62*'Hiring plan'!$K$58*(1+Salary_Raise)^(M$5-1)</f>
        <v>531473.333333333</v>
      </c>
      <c r="N147" s="33" t="n">
        <f aca="false">N62*'Hiring plan'!$K$58*(1+Salary_Raise)^(N$5-1)</f>
        <v>531473.333333333</v>
      </c>
      <c r="O147" s="33" t="n">
        <f aca="false">O62*'Hiring plan'!$K$58*(1+Salary_Raise)^(O$5-1)</f>
        <v>531473.333333333</v>
      </c>
      <c r="P147" s="33" t="n">
        <f aca="false">P62*'Hiring plan'!$K$58*(1+Salary_Raise)^(P$5-1)</f>
        <v>531473.333333333</v>
      </c>
      <c r="Q147" s="33" t="n">
        <f aca="false">Q62*'Hiring plan'!$K$58*(1+Salary_Raise)^(Q$5-1)</f>
        <v>558047</v>
      </c>
      <c r="R147" s="33" t="n">
        <f aca="false">R62*'Hiring plan'!$K$58*(1+Salary_Raise)^(R$5-1)</f>
        <v>558047</v>
      </c>
      <c r="S147" s="33" t="n">
        <f aca="false">S62*'Hiring plan'!$K$58*(1+Salary_Raise)^(S$5-1)</f>
        <v>558047</v>
      </c>
      <c r="T147" s="33" t="n">
        <f aca="false">T62*'Hiring plan'!$K$58*(1+Salary_Raise)^(T$5-1)</f>
        <v>558047</v>
      </c>
      <c r="U147" s="33" t="n">
        <f aca="false">U62*'Hiring plan'!$K$58*(1+Salary_Raise)^(U$5-1)</f>
        <v>558047</v>
      </c>
      <c r="V147" s="33" t="n">
        <f aca="false">V62*'Hiring plan'!$K$58*(1+Salary_Raise)^(V$5-1)</f>
        <v>558047</v>
      </c>
      <c r="W147" s="33" t="n">
        <f aca="false">W62*'Hiring plan'!$K$58*(1+Salary_Raise)^(W$5-1)</f>
        <v>558047</v>
      </c>
      <c r="X147" s="33" t="n">
        <f aca="false">X62*'Hiring plan'!$K$58*(1+Salary_Raise)^(X$5-1)</f>
        <v>558047</v>
      </c>
      <c r="Y147" s="33" t="n">
        <f aca="false">Y62*'Hiring plan'!$K$58*(1+Salary_Raise)^(Y$5-1)</f>
        <v>558047</v>
      </c>
      <c r="Z147" s="33" t="n">
        <f aca="false">Z62*'Hiring plan'!$K$58*(1+Salary_Raise)^(Z$5-1)</f>
        <v>558047</v>
      </c>
      <c r="AA147" s="33" t="n">
        <f aca="false">AA62*'Hiring plan'!$K$58*(1+Salary_Raise)^(AA$5-1)</f>
        <v>558047</v>
      </c>
      <c r="AB147" s="33" t="n">
        <f aca="false">AB62*'Hiring plan'!$K$58*(1+Salary_Raise)^(AB$5-1)</f>
        <v>558047</v>
      </c>
      <c r="AC147" s="33" t="n">
        <f aca="false">AC62*'Hiring plan'!$K$58*(1+Salary_Raise)^(AC$5-1)</f>
        <v>585949.35</v>
      </c>
      <c r="AD147" s="33" t="n">
        <f aca="false">AD62*'Hiring plan'!$K$58*(1+Salary_Raise)^(AD$5-1)</f>
        <v>585949.35</v>
      </c>
      <c r="AE147" s="33" t="n">
        <f aca="false">AE62*'Hiring plan'!$K$58*(1+Salary_Raise)^(AE$5-1)</f>
        <v>585949.35</v>
      </c>
      <c r="AF147" s="33" t="n">
        <f aca="false">AF62*'Hiring plan'!$K$58*(1+Salary_Raise)^(AF$5-1)</f>
        <v>585949.35</v>
      </c>
      <c r="AG147" s="33" t="n">
        <f aca="false">AG62*'Hiring plan'!$K$58*(1+Salary_Raise)^(AG$5-1)</f>
        <v>585949.35</v>
      </c>
      <c r="AH147" s="33" t="n">
        <f aca="false">AH62*'Hiring plan'!$K$58*(1+Salary_Raise)^(AH$5-1)</f>
        <v>585949.35</v>
      </c>
      <c r="AI147" s="33" t="n">
        <f aca="false">AI62*'Hiring plan'!$K$58*(1+Salary_Raise)^(AI$5-1)</f>
        <v>585949.35</v>
      </c>
      <c r="AJ147" s="33" t="n">
        <f aca="false">AJ62*'Hiring plan'!$K$58*(1+Salary_Raise)^(AJ$5-1)</f>
        <v>585949.35</v>
      </c>
      <c r="AK147" s="33" t="n">
        <f aca="false">AK62*'Hiring plan'!$K$58*(1+Salary_Raise)^(AK$5-1)</f>
        <v>585949.35</v>
      </c>
      <c r="AL147" s="33" t="n">
        <f aca="false">AL62*'Hiring plan'!$K$58*(1+Salary_Raise)^(AL$5-1)</f>
        <v>585949.35</v>
      </c>
      <c r="AM147" s="33" t="n">
        <f aca="false">AM62*'Hiring plan'!$K$58*(1+Salary_Raise)^(AM$5-1)</f>
        <v>585949.35</v>
      </c>
      <c r="AN147" s="33" t="n">
        <f aca="false">AN62*'Hiring plan'!$K$58*(1+Salary_Raise)^(AN$5-1)</f>
        <v>585949.35</v>
      </c>
      <c r="AO147" s="33" t="n">
        <f aca="false">AO62*'Hiring plan'!$K$58*(1+Salary_Raise)^(AO$5-1)</f>
        <v>615246.8175</v>
      </c>
      <c r="AP147" s="33" t="n">
        <f aca="false">AP62*'Hiring plan'!$K$58*(1+Salary_Raise)^(AP$5-1)</f>
        <v>615246.8175</v>
      </c>
      <c r="AQ147" s="33" t="n">
        <f aca="false">AQ62*'Hiring plan'!$K$58*(1+Salary_Raise)^(AQ$5-1)</f>
        <v>615246.8175</v>
      </c>
      <c r="AR147" s="33" t="n">
        <f aca="false">AR62*'Hiring plan'!$K$58*(1+Salary_Raise)^(AR$5-1)</f>
        <v>615246.8175</v>
      </c>
      <c r="AS147" s="33" t="n">
        <f aca="false">AS62*'Hiring plan'!$K$58*(1+Salary_Raise)^(AS$5-1)</f>
        <v>615246.8175</v>
      </c>
      <c r="AT147" s="33" t="n">
        <f aca="false">AT62*'Hiring plan'!$K$58*(1+Salary_Raise)^(AT$5-1)</f>
        <v>615246.8175</v>
      </c>
      <c r="AU147" s="33" t="n">
        <f aca="false">AU62*'Hiring plan'!$K$58*(1+Salary_Raise)^(AU$5-1)</f>
        <v>615246.8175</v>
      </c>
      <c r="AV147" s="33" t="n">
        <f aca="false">AV62*'Hiring plan'!$K$58*(1+Salary_Raise)^(AV$5-1)</f>
        <v>615246.8175</v>
      </c>
      <c r="AW147" s="33" t="n">
        <f aca="false">AW62*'Hiring plan'!$K$58*(1+Salary_Raise)^(AW$5-1)</f>
        <v>615246.8175</v>
      </c>
      <c r="AX147" s="33" t="n">
        <f aca="false">AX62*'Hiring plan'!$K$58*(1+Salary_Raise)^(AX$5-1)</f>
        <v>615246.8175</v>
      </c>
      <c r="AY147" s="33" t="n">
        <f aca="false">AY62*'Hiring plan'!$K$58*(1+Salary_Raise)^(AY$5-1)</f>
        <v>615246.8175</v>
      </c>
      <c r="AZ147" s="33" t="n">
        <f aca="false">AZ62*'Hiring plan'!$K$58*(1+Salary_Raise)^(AZ$5-1)</f>
        <v>615246.8175</v>
      </c>
      <c r="BA147" s="33" t="n">
        <f aca="false">BA62*'Hiring plan'!$K$58*(1+Salary_Raise)^(BA$5-1)</f>
        <v>646009.158375</v>
      </c>
      <c r="BB147" s="33" t="n">
        <f aca="false">BB62*'Hiring plan'!$K$58*(1+Salary_Raise)^(BB$5-1)</f>
        <v>646009.158375</v>
      </c>
      <c r="BC147" s="33" t="n">
        <f aca="false">BC62*'Hiring plan'!$K$58*(1+Salary_Raise)^(BC$5-1)</f>
        <v>646009.158375</v>
      </c>
      <c r="BD147" s="33" t="n">
        <f aca="false">BD62*'Hiring plan'!$K$58*(1+Salary_Raise)^(BD$5-1)</f>
        <v>646009.158375</v>
      </c>
      <c r="BE147" s="33" t="n">
        <f aca="false">BE62*'Hiring plan'!$K$58*(1+Salary_Raise)^(BE$5-1)</f>
        <v>646009.158375</v>
      </c>
      <c r="BF147" s="33" t="n">
        <f aca="false">BF62*'Hiring plan'!$K$58*(1+Salary_Raise)^(BF$5-1)</f>
        <v>646009.158375</v>
      </c>
      <c r="BG147" s="33" t="n">
        <f aca="false">BG62*'Hiring plan'!$K$58*(1+Salary_Raise)^(BG$5-1)</f>
        <v>646009.158375</v>
      </c>
      <c r="BH147" s="33" t="n">
        <f aca="false">BH62*'Hiring plan'!$K$58*(1+Salary_Raise)^(BH$5-1)</f>
        <v>646009.158375</v>
      </c>
      <c r="BI147" s="33" t="n">
        <f aca="false">BI62*'Hiring plan'!$K$58*(1+Salary_Raise)^(BI$5-1)</f>
        <v>646009.158375</v>
      </c>
      <c r="BJ147" s="33" t="n">
        <f aca="false">BJ62*'Hiring plan'!$K$58*(1+Salary_Raise)^(BJ$5-1)</f>
        <v>646009.158375</v>
      </c>
      <c r="BK147" s="33" t="n">
        <f aca="false">BK62*'Hiring plan'!$K$58*(1+Salary_Raise)^(BK$5-1)</f>
        <v>646009.158375</v>
      </c>
      <c r="BL147" s="33" t="n">
        <f aca="false">BL62*'Hiring plan'!$K$58*(1+Salary_Raise)^(BL$5-1)</f>
        <v>646009.158375</v>
      </c>
    </row>
    <row r="148" customFormat="false" ht="15" hidden="false" customHeight="false" outlineLevel="0" collapsed="false">
      <c r="A148" s="12" t="str">
        <f aca="false">A63</f>
        <v>HR / admin assistant · SN</v>
      </c>
      <c r="B148" s="14" t="s">
        <v>63</v>
      </c>
      <c r="D148" s="41" t="n">
        <f aca="false">SUM(E148:BL148)</f>
        <v>18329612.1855</v>
      </c>
      <c r="E148" s="33" t="n">
        <f aca="false">E63*'Hiring plan'!$K$59*(1+Salary_Raise)^(E$5-1)</f>
        <v>0</v>
      </c>
      <c r="F148" s="33" t="n">
        <f aca="false">F63*'Hiring plan'!$K$59*(1+Salary_Raise)^(F$5-1)</f>
        <v>0</v>
      </c>
      <c r="G148" s="33" t="n">
        <f aca="false">G63*'Hiring plan'!$K$59*(1+Salary_Raise)^(G$5-1)</f>
        <v>0</v>
      </c>
      <c r="H148" s="33" t="n">
        <f aca="false">H63*'Hiring plan'!$K$59*(1+Salary_Raise)^(H$5-1)</f>
        <v>0</v>
      </c>
      <c r="I148" s="33" t="n">
        <f aca="false">I63*'Hiring plan'!$K$59*(1+Salary_Raise)^(I$5-1)</f>
        <v>0</v>
      </c>
      <c r="J148" s="33" t="n">
        <f aca="false">J63*'Hiring plan'!$K$59*(1+Salary_Raise)^(J$5-1)</f>
        <v>0</v>
      </c>
      <c r="K148" s="33" t="n">
        <f aca="false">K63*'Hiring plan'!$K$59*(1+Salary_Raise)^(K$5-1)</f>
        <v>0</v>
      </c>
      <c r="L148" s="33" t="n">
        <f aca="false">L63*'Hiring plan'!$K$59*(1+Salary_Raise)^(L$5-1)</f>
        <v>0</v>
      </c>
      <c r="M148" s="33" t="n">
        <f aca="false">M63*'Hiring plan'!$K$59*(1+Salary_Raise)^(M$5-1)</f>
        <v>0</v>
      </c>
      <c r="N148" s="33" t="n">
        <f aca="false">N63*'Hiring plan'!$K$59*(1+Salary_Raise)^(N$5-1)</f>
        <v>0</v>
      </c>
      <c r="O148" s="33" t="n">
        <f aca="false">O63*'Hiring plan'!$K$59*(1+Salary_Raise)^(O$5-1)</f>
        <v>0</v>
      </c>
      <c r="P148" s="33" t="n">
        <f aca="false">P63*'Hiring plan'!$K$59*(1+Salary_Raise)^(P$5-1)</f>
        <v>0</v>
      </c>
      <c r="Q148" s="33" t="n">
        <f aca="false">Q63*'Hiring plan'!$K$59*(1+Salary_Raise)^(Q$5-1)</f>
        <v>0</v>
      </c>
      <c r="R148" s="33" t="n">
        <f aca="false">R63*'Hiring plan'!$K$59*(1+Salary_Raise)^(R$5-1)</f>
        <v>0</v>
      </c>
      <c r="S148" s="33" t="n">
        <f aca="false">S63*'Hiring plan'!$K$59*(1+Salary_Raise)^(S$5-1)</f>
        <v>0</v>
      </c>
      <c r="T148" s="33" t="n">
        <f aca="false">T63*'Hiring plan'!$K$59*(1+Salary_Raise)^(T$5-1)</f>
        <v>0</v>
      </c>
      <c r="U148" s="33" t="n">
        <f aca="false">U63*'Hiring plan'!$K$59*(1+Salary_Raise)^(U$5-1)</f>
        <v>0</v>
      </c>
      <c r="V148" s="33" t="n">
        <f aca="false">V63*'Hiring plan'!$K$59*(1+Salary_Raise)^(V$5-1)</f>
        <v>0</v>
      </c>
      <c r="W148" s="33" t="n">
        <f aca="false">W63*'Hiring plan'!$K$59*(1+Salary_Raise)^(W$5-1)</f>
        <v>400897</v>
      </c>
      <c r="X148" s="33" t="n">
        <f aca="false">X63*'Hiring plan'!$K$59*(1+Salary_Raise)^(X$5-1)</f>
        <v>400897</v>
      </c>
      <c r="Y148" s="33" t="n">
        <f aca="false">Y63*'Hiring plan'!$K$59*(1+Salary_Raise)^(Y$5-1)</f>
        <v>400897</v>
      </c>
      <c r="Z148" s="33" t="n">
        <f aca="false">Z63*'Hiring plan'!$K$59*(1+Salary_Raise)^(Z$5-1)</f>
        <v>400897</v>
      </c>
      <c r="AA148" s="33" t="n">
        <f aca="false">AA63*'Hiring plan'!$K$59*(1+Salary_Raise)^(AA$5-1)</f>
        <v>400897</v>
      </c>
      <c r="AB148" s="33" t="n">
        <f aca="false">AB63*'Hiring plan'!$K$59*(1+Salary_Raise)^(AB$5-1)</f>
        <v>400897</v>
      </c>
      <c r="AC148" s="33" t="n">
        <f aca="false">AC63*'Hiring plan'!$K$59*(1+Salary_Raise)^(AC$5-1)</f>
        <v>420941.85</v>
      </c>
      <c r="AD148" s="33" t="n">
        <f aca="false">AD63*'Hiring plan'!$K$59*(1+Salary_Raise)^(AD$5-1)</f>
        <v>420941.85</v>
      </c>
      <c r="AE148" s="33" t="n">
        <f aca="false">AE63*'Hiring plan'!$K$59*(1+Salary_Raise)^(AE$5-1)</f>
        <v>420941.85</v>
      </c>
      <c r="AF148" s="33" t="n">
        <f aca="false">AF63*'Hiring plan'!$K$59*(1+Salary_Raise)^(AF$5-1)</f>
        <v>420941.85</v>
      </c>
      <c r="AG148" s="33" t="n">
        <f aca="false">AG63*'Hiring plan'!$K$59*(1+Salary_Raise)^(AG$5-1)</f>
        <v>420941.85</v>
      </c>
      <c r="AH148" s="33" t="n">
        <f aca="false">AH63*'Hiring plan'!$K$59*(1+Salary_Raise)^(AH$5-1)</f>
        <v>420941.85</v>
      </c>
      <c r="AI148" s="33" t="n">
        <f aca="false">AI63*'Hiring plan'!$K$59*(1+Salary_Raise)^(AI$5-1)</f>
        <v>420941.85</v>
      </c>
      <c r="AJ148" s="33" t="n">
        <f aca="false">AJ63*'Hiring plan'!$K$59*(1+Salary_Raise)^(AJ$5-1)</f>
        <v>420941.85</v>
      </c>
      <c r="AK148" s="33" t="n">
        <f aca="false">AK63*'Hiring plan'!$K$59*(1+Salary_Raise)^(AK$5-1)</f>
        <v>420941.85</v>
      </c>
      <c r="AL148" s="33" t="n">
        <f aca="false">AL63*'Hiring plan'!$K$59*(1+Salary_Raise)^(AL$5-1)</f>
        <v>420941.85</v>
      </c>
      <c r="AM148" s="33" t="n">
        <f aca="false">AM63*'Hiring plan'!$K$59*(1+Salary_Raise)^(AM$5-1)</f>
        <v>420941.85</v>
      </c>
      <c r="AN148" s="33" t="n">
        <f aca="false">AN63*'Hiring plan'!$K$59*(1+Salary_Raise)^(AN$5-1)</f>
        <v>420941.85</v>
      </c>
      <c r="AO148" s="33" t="n">
        <f aca="false">AO63*'Hiring plan'!$K$59*(1+Salary_Raise)^(AO$5-1)</f>
        <v>441988.9425</v>
      </c>
      <c r="AP148" s="33" t="n">
        <f aca="false">AP63*'Hiring plan'!$K$59*(1+Salary_Raise)^(AP$5-1)</f>
        <v>441988.9425</v>
      </c>
      <c r="AQ148" s="33" t="n">
        <f aca="false">AQ63*'Hiring plan'!$K$59*(1+Salary_Raise)^(AQ$5-1)</f>
        <v>441988.9425</v>
      </c>
      <c r="AR148" s="33" t="n">
        <f aca="false">AR63*'Hiring plan'!$K$59*(1+Salary_Raise)^(AR$5-1)</f>
        <v>441988.9425</v>
      </c>
      <c r="AS148" s="33" t="n">
        <f aca="false">AS63*'Hiring plan'!$K$59*(1+Salary_Raise)^(AS$5-1)</f>
        <v>441988.9425</v>
      </c>
      <c r="AT148" s="33" t="n">
        <f aca="false">AT63*'Hiring plan'!$K$59*(1+Salary_Raise)^(AT$5-1)</f>
        <v>441988.9425</v>
      </c>
      <c r="AU148" s="33" t="n">
        <f aca="false">AU63*'Hiring plan'!$K$59*(1+Salary_Raise)^(AU$5-1)</f>
        <v>441988.9425</v>
      </c>
      <c r="AV148" s="33" t="n">
        <f aca="false">AV63*'Hiring plan'!$K$59*(1+Salary_Raise)^(AV$5-1)</f>
        <v>441988.9425</v>
      </c>
      <c r="AW148" s="33" t="n">
        <f aca="false">AW63*'Hiring plan'!$K$59*(1+Salary_Raise)^(AW$5-1)</f>
        <v>441988.9425</v>
      </c>
      <c r="AX148" s="33" t="n">
        <f aca="false">AX63*'Hiring plan'!$K$59*(1+Salary_Raise)^(AX$5-1)</f>
        <v>441988.9425</v>
      </c>
      <c r="AY148" s="33" t="n">
        <f aca="false">AY63*'Hiring plan'!$K$59*(1+Salary_Raise)^(AY$5-1)</f>
        <v>441988.9425</v>
      </c>
      <c r="AZ148" s="33" t="n">
        <f aca="false">AZ63*'Hiring plan'!$K$59*(1+Salary_Raise)^(AZ$5-1)</f>
        <v>441988.9425</v>
      </c>
      <c r="BA148" s="33" t="n">
        <f aca="false">BA63*'Hiring plan'!$K$59*(1+Salary_Raise)^(BA$5-1)</f>
        <v>464088.389625</v>
      </c>
      <c r="BB148" s="33" t="n">
        <f aca="false">BB63*'Hiring plan'!$K$59*(1+Salary_Raise)^(BB$5-1)</f>
        <v>464088.389625</v>
      </c>
      <c r="BC148" s="33" t="n">
        <f aca="false">BC63*'Hiring plan'!$K$59*(1+Salary_Raise)^(BC$5-1)</f>
        <v>464088.389625</v>
      </c>
      <c r="BD148" s="33" t="n">
        <f aca="false">BD63*'Hiring plan'!$K$59*(1+Salary_Raise)^(BD$5-1)</f>
        <v>464088.389625</v>
      </c>
      <c r="BE148" s="33" t="n">
        <f aca="false">BE63*'Hiring plan'!$K$59*(1+Salary_Raise)^(BE$5-1)</f>
        <v>464088.389625</v>
      </c>
      <c r="BF148" s="33" t="n">
        <f aca="false">BF63*'Hiring plan'!$K$59*(1+Salary_Raise)^(BF$5-1)</f>
        <v>464088.389625</v>
      </c>
      <c r="BG148" s="33" t="n">
        <f aca="false">BG63*'Hiring plan'!$K$59*(1+Salary_Raise)^(BG$5-1)</f>
        <v>464088.389625</v>
      </c>
      <c r="BH148" s="33" t="n">
        <f aca="false">BH63*'Hiring plan'!$K$59*(1+Salary_Raise)^(BH$5-1)</f>
        <v>464088.389625</v>
      </c>
      <c r="BI148" s="33" t="n">
        <f aca="false">BI63*'Hiring plan'!$K$59*(1+Salary_Raise)^(BI$5-1)</f>
        <v>464088.389625</v>
      </c>
      <c r="BJ148" s="33" t="n">
        <f aca="false">BJ63*'Hiring plan'!$K$59*(1+Salary_Raise)^(BJ$5-1)</f>
        <v>464088.389625</v>
      </c>
      <c r="BK148" s="33" t="n">
        <f aca="false">BK63*'Hiring plan'!$K$59*(1+Salary_Raise)^(BK$5-1)</f>
        <v>464088.389625</v>
      </c>
      <c r="BL148" s="33" t="n">
        <f aca="false">BL63*'Hiring plan'!$K$59*(1+Salary_Raise)^(BL$5-1)</f>
        <v>464088.389625</v>
      </c>
    </row>
    <row r="149" customFormat="false" ht="15" hidden="false" customHeight="false" outlineLevel="0" collapsed="false">
      <c r="A149" s="12" t="str">
        <f aca="false">A64</f>
        <v>Accountant · SN</v>
      </c>
      <c r="B149" s="14" t="s">
        <v>63</v>
      </c>
      <c r="D149" s="41" t="n">
        <f aca="false">SUM(E149:BL149)</f>
        <v>18650767.8105</v>
      </c>
      <c r="E149" s="33" t="n">
        <f aca="false">E64*'Hiring plan'!$K$60*(1+Salary_Raise)^(E$5-1)</f>
        <v>0</v>
      </c>
      <c r="F149" s="33" t="n">
        <f aca="false">F64*'Hiring plan'!$K$60*(1+Salary_Raise)^(F$5-1)</f>
        <v>0</v>
      </c>
      <c r="G149" s="33" t="n">
        <f aca="false">G64*'Hiring plan'!$K$60*(1+Salary_Raise)^(G$5-1)</f>
        <v>0</v>
      </c>
      <c r="H149" s="33" t="n">
        <f aca="false">H64*'Hiring plan'!$K$60*(1+Salary_Raise)^(H$5-1)</f>
        <v>0</v>
      </c>
      <c r="I149" s="33" t="n">
        <f aca="false">I64*'Hiring plan'!$K$60*(1+Salary_Raise)^(I$5-1)</f>
        <v>0</v>
      </c>
      <c r="J149" s="33" t="n">
        <f aca="false">J64*'Hiring plan'!$K$60*(1+Salary_Raise)^(J$5-1)</f>
        <v>0</v>
      </c>
      <c r="K149" s="33" t="n">
        <f aca="false">K64*'Hiring plan'!$K$60*(1+Salary_Raise)^(K$5-1)</f>
        <v>0</v>
      </c>
      <c r="L149" s="33" t="n">
        <f aca="false">L64*'Hiring plan'!$K$60*(1+Salary_Raise)^(L$5-1)</f>
        <v>0</v>
      </c>
      <c r="M149" s="33" t="n">
        <f aca="false">M64*'Hiring plan'!$K$60*(1+Salary_Raise)^(M$5-1)</f>
        <v>0</v>
      </c>
      <c r="N149" s="33" t="n">
        <f aca="false">N64*'Hiring plan'!$K$60*(1+Salary_Raise)^(N$5-1)</f>
        <v>0</v>
      </c>
      <c r="O149" s="33" t="n">
        <f aca="false">O64*'Hiring plan'!$K$60*(1+Salary_Raise)^(O$5-1)</f>
        <v>0</v>
      </c>
      <c r="P149" s="33" t="n">
        <f aca="false">P64*'Hiring plan'!$K$60*(1+Salary_Raise)^(P$5-1)</f>
        <v>0</v>
      </c>
      <c r="Q149" s="33" t="n">
        <f aca="false">Q64*'Hiring plan'!$K$60*(1+Salary_Raise)^(Q$5-1)</f>
        <v>0</v>
      </c>
      <c r="R149" s="33" t="n">
        <f aca="false">R64*'Hiring plan'!$K$60*(1+Salary_Raise)^(R$5-1)</f>
        <v>0</v>
      </c>
      <c r="S149" s="33" t="n">
        <f aca="false">S64*'Hiring plan'!$K$60*(1+Salary_Raise)^(S$5-1)</f>
        <v>0</v>
      </c>
      <c r="T149" s="33" t="n">
        <f aca="false">T64*'Hiring plan'!$K$60*(1+Salary_Raise)^(T$5-1)</f>
        <v>0</v>
      </c>
      <c r="U149" s="33" t="n">
        <f aca="false">U64*'Hiring plan'!$K$60*(1+Salary_Raise)^(U$5-1)</f>
        <v>0</v>
      </c>
      <c r="V149" s="33" t="n">
        <f aca="false">V64*'Hiring plan'!$K$60*(1+Salary_Raise)^(V$5-1)</f>
        <v>0</v>
      </c>
      <c r="W149" s="33" t="n">
        <f aca="false">W64*'Hiring plan'!$K$60*(1+Salary_Raise)^(W$5-1)</f>
        <v>0</v>
      </c>
      <c r="X149" s="33" t="n">
        <f aca="false">X64*'Hiring plan'!$K$60*(1+Salary_Raise)^(X$5-1)</f>
        <v>0</v>
      </c>
      <c r="Y149" s="33" t="n">
        <f aca="false">Y64*'Hiring plan'!$K$60*(1+Salary_Raise)^(Y$5-1)</f>
        <v>0</v>
      </c>
      <c r="Z149" s="33" t="n">
        <f aca="false">Z64*'Hiring plan'!$K$60*(1+Salary_Raise)^(Z$5-1)</f>
        <v>0</v>
      </c>
      <c r="AA149" s="33" t="n">
        <f aca="false">AA64*'Hiring plan'!$K$60*(1+Salary_Raise)^(AA$5-1)</f>
        <v>0</v>
      </c>
      <c r="AB149" s="33" t="n">
        <f aca="false">AB64*'Hiring plan'!$K$60*(1+Salary_Raise)^(AB$5-1)</f>
        <v>0</v>
      </c>
      <c r="AC149" s="33" t="n">
        <f aca="false">AC64*'Hiring plan'!$K$60*(1+Salary_Raise)^(AC$5-1)</f>
        <v>0</v>
      </c>
      <c r="AD149" s="33" t="n">
        <f aca="false">AD64*'Hiring plan'!$K$60*(1+Salary_Raise)^(AD$5-1)</f>
        <v>0</v>
      </c>
      <c r="AE149" s="33" t="n">
        <f aca="false">AE64*'Hiring plan'!$K$60*(1+Salary_Raise)^(AE$5-1)</f>
        <v>0</v>
      </c>
      <c r="AF149" s="33" t="n">
        <f aca="false">AF64*'Hiring plan'!$K$60*(1+Salary_Raise)^(AF$5-1)</f>
        <v>0</v>
      </c>
      <c r="AG149" s="33" t="n">
        <f aca="false">AG64*'Hiring plan'!$K$60*(1+Salary_Raise)^(AG$5-1)</f>
        <v>0</v>
      </c>
      <c r="AH149" s="33" t="n">
        <f aca="false">AH64*'Hiring plan'!$K$60*(1+Salary_Raise)^(AH$5-1)</f>
        <v>0</v>
      </c>
      <c r="AI149" s="33" t="n">
        <f aca="false">AI64*'Hiring plan'!$K$60*(1+Salary_Raise)^(AI$5-1)</f>
        <v>585949.35</v>
      </c>
      <c r="AJ149" s="33" t="n">
        <f aca="false">AJ64*'Hiring plan'!$K$60*(1+Salary_Raise)^(AJ$5-1)</f>
        <v>585949.35</v>
      </c>
      <c r="AK149" s="33" t="n">
        <f aca="false">AK64*'Hiring plan'!$K$60*(1+Salary_Raise)^(AK$5-1)</f>
        <v>585949.35</v>
      </c>
      <c r="AL149" s="33" t="n">
        <f aca="false">AL64*'Hiring plan'!$K$60*(1+Salary_Raise)^(AL$5-1)</f>
        <v>585949.35</v>
      </c>
      <c r="AM149" s="33" t="n">
        <f aca="false">AM64*'Hiring plan'!$K$60*(1+Salary_Raise)^(AM$5-1)</f>
        <v>585949.35</v>
      </c>
      <c r="AN149" s="33" t="n">
        <f aca="false">AN64*'Hiring plan'!$K$60*(1+Salary_Raise)^(AN$5-1)</f>
        <v>585949.35</v>
      </c>
      <c r="AO149" s="33" t="n">
        <f aca="false">AO64*'Hiring plan'!$K$60*(1+Salary_Raise)^(AO$5-1)</f>
        <v>615246.8175</v>
      </c>
      <c r="AP149" s="33" t="n">
        <f aca="false">AP64*'Hiring plan'!$K$60*(1+Salary_Raise)^(AP$5-1)</f>
        <v>615246.8175</v>
      </c>
      <c r="AQ149" s="33" t="n">
        <f aca="false">AQ64*'Hiring plan'!$K$60*(1+Salary_Raise)^(AQ$5-1)</f>
        <v>615246.8175</v>
      </c>
      <c r="AR149" s="33" t="n">
        <f aca="false">AR64*'Hiring plan'!$K$60*(1+Salary_Raise)^(AR$5-1)</f>
        <v>615246.8175</v>
      </c>
      <c r="AS149" s="33" t="n">
        <f aca="false">AS64*'Hiring plan'!$K$60*(1+Salary_Raise)^(AS$5-1)</f>
        <v>615246.8175</v>
      </c>
      <c r="AT149" s="33" t="n">
        <f aca="false">AT64*'Hiring plan'!$K$60*(1+Salary_Raise)^(AT$5-1)</f>
        <v>615246.8175</v>
      </c>
      <c r="AU149" s="33" t="n">
        <f aca="false">AU64*'Hiring plan'!$K$60*(1+Salary_Raise)^(AU$5-1)</f>
        <v>615246.8175</v>
      </c>
      <c r="AV149" s="33" t="n">
        <f aca="false">AV64*'Hiring plan'!$K$60*(1+Salary_Raise)^(AV$5-1)</f>
        <v>615246.8175</v>
      </c>
      <c r="AW149" s="33" t="n">
        <f aca="false">AW64*'Hiring plan'!$K$60*(1+Salary_Raise)^(AW$5-1)</f>
        <v>615246.8175</v>
      </c>
      <c r="AX149" s="33" t="n">
        <f aca="false">AX64*'Hiring plan'!$K$60*(1+Salary_Raise)^(AX$5-1)</f>
        <v>615246.8175</v>
      </c>
      <c r="AY149" s="33" t="n">
        <f aca="false">AY64*'Hiring plan'!$K$60*(1+Salary_Raise)^(AY$5-1)</f>
        <v>615246.8175</v>
      </c>
      <c r="AZ149" s="33" t="n">
        <f aca="false">AZ64*'Hiring plan'!$K$60*(1+Salary_Raise)^(AZ$5-1)</f>
        <v>615246.8175</v>
      </c>
      <c r="BA149" s="33" t="n">
        <f aca="false">BA64*'Hiring plan'!$K$60*(1+Salary_Raise)^(BA$5-1)</f>
        <v>646009.158375</v>
      </c>
      <c r="BB149" s="33" t="n">
        <f aca="false">BB64*'Hiring plan'!$K$60*(1+Salary_Raise)^(BB$5-1)</f>
        <v>646009.158375</v>
      </c>
      <c r="BC149" s="33" t="n">
        <f aca="false">BC64*'Hiring plan'!$K$60*(1+Salary_Raise)^(BC$5-1)</f>
        <v>646009.158375</v>
      </c>
      <c r="BD149" s="33" t="n">
        <f aca="false">BD64*'Hiring plan'!$K$60*(1+Salary_Raise)^(BD$5-1)</f>
        <v>646009.158375</v>
      </c>
      <c r="BE149" s="33" t="n">
        <f aca="false">BE64*'Hiring plan'!$K$60*(1+Salary_Raise)^(BE$5-1)</f>
        <v>646009.158375</v>
      </c>
      <c r="BF149" s="33" t="n">
        <f aca="false">BF64*'Hiring plan'!$K$60*(1+Salary_Raise)^(BF$5-1)</f>
        <v>646009.158375</v>
      </c>
      <c r="BG149" s="33" t="n">
        <f aca="false">BG64*'Hiring plan'!$K$60*(1+Salary_Raise)^(BG$5-1)</f>
        <v>646009.158375</v>
      </c>
      <c r="BH149" s="33" t="n">
        <f aca="false">BH64*'Hiring plan'!$K$60*(1+Salary_Raise)^(BH$5-1)</f>
        <v>646009.158375</v>
      </c>
      <c r="BI149" s="33" t="n">
        <f aca="false">BI64*'Hiring plan'!$K$60*(1+Salary_Raise)^(BI$5-1)</f>
        <v>646009.158375</v>
      </c>
      <c r="BJ149" s="33" t="n">
        <f aca="false">BJ64*'Hiring plan'!$K$60*(1+Salary_Raise)^(BJ$5-1)</f>
        <v>646009.158375</v>
      </c>
      <c r="BK149" s="33" t="n">
        <f aca="false">BK64*'Hiring plan'!$K$60*(1+Salary_Raise)^(BK$5-1)</f>
        <v>646009.158375</v>
      </c>
      <c r="BL149" s="33" t="n">
        <f aca="false">BL64*'Hiring plan'!$K$60*(1+Salary_Raise)^(BL$5-1)</f>
        <v>646009.158375</v>
      </c>
    </row>
    <row r="150" customFormat="false" ht="15" hidden="false" customHeight="false" outlineLevel="0" collapsed="false">
      <c r="A150" s="12" t="str">
        <f aca="false">A65</f>
        <v>Senior backend developer · SN</v>
      </c>
      <c r="B150" s="14" t="s">
        <v>63</v>
      </c>
      <c r="D150" s="41" t="n">
        <f aca="false">SUM(E150:BL150)</f>
        <v>26108082.3969</v>
      </c>
      <c r="E150" s="33" t="n">
        <f aca="false">E65*'Hiring plan'!$K$61*(1+Salary_Raise)^(E$5-1)</f>
        <v>0</v>
      </c>
      <c r="F150" s="33" t="n">
        <f aca="false">F65*'Hiring plan'!$K$61*(1+Salary_Raise)^(F$5-1)</f>
        <v>0</v>
      </c>
      <c r="G150" s="33" t="n">
        <f aca="false">G65*'Hiring plan'!$K$61*(1+Salary_Raise)^(G$5-1)</f>
        <v>0</v>
      </c>
      <c r="H150" s="33" t="n">
        <f aca="false">H65*'Hiring plan'!$K$61*(1+Salary_Raise)^(H$5-1)</f>
        <v>0</v>
      </c>
      <c r="I150" s="33" t="n">
        <f aca="false">I65*'Hiring plan'!$K$61*(1+Salary_Raise)^(I$5-1)</f>
        <v>0</v>
      </c>
      <c r="J150" s="33" t="n">
        <f aca="false">J65*'Hiring plan'!$K$61*(1+Salary_Raise)^(J$5-1)</f>
        <v>0</v>
      </c>
      <c r="K150" s="33" t="n">
        <f aca="false">K65*'Hiring plan'!$K$61*(1+Salary_Raise)^(K$5-1)</f>
        <v>0</v>
      </c>
      <c r="L150" s="33" t="n">
        <f aca="false">L65*'Hiring plan'!$K$61*(1+Salary_Raise)^(L$5-1)</f>
        <v>0</v>
      </c>
      <c r="M150" s="33" t="n">
        <f aca="false">M65*'Hiring plan'!$K$61*(1+Salary_Raise)^(M$5-1)</f>
        <v>0</v>
      </c>
      <c r="N150" s="33" t="n">
        <f aca="false">N65*'Hiring plan'!$K$61*(1+Salary_Raise)^(N$5-1)</f>
        <v>0</v>
      </c>
      <c r="O150" s="33" t="n">
        <f aca="false">O65*'Hiring plan'!$K$61*(1+Salary_Raise)^(O$5-1)</f>
        <v>0</v>
      </c>
      <c r="P150" s="33" t="n">
        <f aca="false">P65*'Hiring plan'!$K$61*(1+Salary_Raise)^(P$5-1)</f>
        <v>0</v>
      </c>
      <c r="Q150" s="33" t="n">
        <f aca="false">Q65*'Hiring plan'!$K$61*(1+Salary_Raise)^(Q$5-1)</f>
        <v>0</v>
      </c>
      <c r="R150" s="33" t="n">
        <f aca="false">R65*'Hiring plan'!$K$61*(1+Salary_Raise)^(R$5-1)</f>
        <v>0</v>
      </c>
      <c r="S150" s="33" t="n">
        <f aca="false">S65*'Hiring plan'!$K$61*(1+Salary_Raise)^(S$5-1)</f>
        <v>0</v>
      </c>
      <c r="T150" s="33" t="n">
        <f aca="false">T65*'Hiring plan'!$K$61*(1+Salary_Raise)^(T$5-1)</f>
        <v>0</v>
      </c>
      <c r="U150" s="33" t="n">
        <f aca="false">U65*'Hiring plan'!$K$61*(1+Salary_Raise)^(U$5-1)</f>
        <v>0</v>
      </c>
      <c r="V150" s="33" t="n">
        <f aca="false">V65*'Hiring plan'!$K$61*(1+Salary_Raise)^(V$5-1)</f>
        <v>0</v>
      </c>
      <c r="W150" s="33" t="n">
        <f aca="false">W65*'Hiring plan'!$K$61*(1+Salary_Raise)^(W$5-1)</f>
        <v>0</v>
      </c>
      <c r="X150" s="33" t="n">
        <f aca="false">X65*'Hiring plan'!$K$61*(1+Salary_Raise)^(X$5-1)</f>
        <v>0</v>
      </c>
      <c r="Y150" s="33" t="n">
        <f aca="false">Y65*'Hiring plan'!$K$61*(1+Salary_Raise)^(Y$5-1)</f>
        <v>0</v>
      </c>
      <c r="Z150" s="33" t="n">
        <f aca="false">Z65*'Hiring plan'!$K$61*(1+Salary_Raise)^(Z$5-1)</f>
        <v>0</v>
      </c>
      <c r="AA150" s="33" t="n">
        <f aca="false">AA65*'Hiring plan'!$K$61*(1+Salary_Raise)^(AA$5-1)</f>
        <v>0</v>
      </c>
      <c r="AB150" s="33" t="n">
        <f aca="false">AB65*'Hiring plan'!$K$61*(1+Salary_Raise)^(AB$5-1)</f>
        <v>0</v>
      </c>
      <c r="AC150" s="33" t="n">
        <f aca="false">AC65*'Hiring plan'!$K$61*(1+Salary_Raise)^(AC$5-1)</f>
        <v>0</v>
      </c>
      <c r="AD150" s="33" t="n">
        <f aca="false">AD65*'Hiring plan'!$K$61*(1+Salary_Raise)^(AD$5-1)</f>
        <v>0</v>
      </c>
      <c r="AE150" s="33" t="n">
        <f aca="false">AE65*'Hiring plan'!$K$61*(1+Salary_Raise)^(AE$5-1)</f>
        <v>0</v>
      </c>
      <c r="AF150" s="33" t="n">
        <f aca="false">AF65*'Hiring plan'!$K$61*(1+Salary_Raise)^(AF$5-1)</f>
        <v>0</v>
      </c>
      <c r="AG150" s="33" t="n">
        <f aca="false">AG65*'Hiring plan'!$K$61*(1+Salary_Raise)^(AG$5-1)</f>
        <v>0</v>
      </c>
      <c r="AH150" s="33" t="n">
        <f aca="false">AH65*'Hiring plan'!$K$61*(1+Salary_Raise)^(AH$5-1)</f>
        <v>0</v>
      </c>
      <c r="AI150" s="33" t="n">
        <f aca="false">AI65*'Hiring plan'!$K$61*(1+Salary_Raise)^(AI$5-1)</f>
        <v>0</v>
      </c>
      <c r="AJ150" s="33" t="n">
        <f aca="false">AJ65*'Hiring plan'!$K$61*(1+Salary_Raise)^(AJ$5-1)</f>
        <v>0</v>
      </c>
      <c r="AK150" s="33" t="n">
        <f aca="false">AK65*'Hiring plan'!$K$61*(1+Salary_Raise)^(AK$5-1)</f>
        <v>0</v>
      </c>
      <c r="AL150" s="33" t="n">
        <f aca="false">AL65*'Hiring plan'!$K$61*(1+Salary_Raise)^(AL$5-1)</f>
        <v>0</v>
      </c>
      <c r="AM150" s="33" t="n">
        <f aca="false">AM65*'Hiring plan'!$K$61*(1+Salary_Raise)^(AM$5-1)</f>
        <v>0</v>
      </c>
      <c r="AN150" s="33" t="n">
        <f aca="false">AN65*'Hiring plan'!$K$61*(1+Salary_Raise)^(AN$5-1)</f>
        <v>0</v>
      </c>
      <c r="AO150" s="33" t="n">
        <f aca="false">AO65*'Hiring plan'!$K$61*(1+Salary_Raise)^(AO$5-1)</f>
        <v>0</v>
      </c>
      <c r="AP150" s="33" t="n">
        <f aca="false">AP65*'Hiring plan'!$K$61*(1+Salary_Raise)^(AP$5-1)</f>
        <v>0</v>
      </c>
      <c r="AQ150" s="33" t="n">
        <f aca="false">AQ65*'Hiring plan'!$K$61*(1+Salary_Raise)^(AQ$5-1)</f>
        <v>0</v>
      </c>
      <c r="AR150" s="33" t="n">
        <f aca="false">AR65*'Hiring plan'!$K$61*(1+Salary_Raise)^(AR$5-1)</f>
        <v>0</v>
      </c>
      <c r="AS150" s="33" t="n">
        <f aca="false">AS65*'Hiring plan'!$K$61*(1+Salary_Raise)^(AS$5-1)</f>
        <v>0</v>
      </c>
      <c r="AT150" s="33" t="n">
        <f aca="false">AT65*'Hiring plan'!$K$61*(1+Salary_Raise)^(AT$5-1)</f>
        <v>0</v>
      </c>
      <c r="AU150" s="33" t="n">
        <f aca="false">AU65*'Hiring plan'!$K$61*(1+Salary_Raise)^(AU$5-1)</f>
        <v>0</v>
      </c>
      <c r="AV150" s="33" t="n">
        <f aca="false">AV65*'Hiring plan'!$K$61*(1+Salary_Raise)^(AV$5-1)</f>
        <v>0</v>
      </c>
      <c r="AW150" s="33" t="n">
        <f aca="false">AW65*'Hiring plan'!$K$61*(1+Salary_Raise)^(AW$5-1)</f>
        <v>0</v>
      </c>
      <c r="AX150" s="33" t="n">
        <f aca="false">AX65*'Hiring plan'!$K$61*(1+Salary_Raise)^(AX$5-1)</f>
        <v>0</v>
      </c>
      <c r="AY150" s="33" t="n">
        <f aca="false">AY65*'Hiring plan'!$K$61*(1+Salary_Raise)^(AY$5-1)</f>
        <v>0</v>
      </c>
      <c r="AZ150" s="33" t="n">
        <f aca="false">AZ65*'Hiring plan'!$K$61*(1+Salary_Raise)^(AZ$5-1)</f>
        <v>0</v>
      </c>
      <c r="BA150" s="33" t="n">
        <f aca="false">BA65*'Hiring plan'!$K$61*(1+Salary_Raise)^(BA$5-1)</f>
        <v>2175673.533075</v>
      </c>
      <c r="BB150" s="33" t="n">
        <f aca="false">BB65*'Hiring plan'!$K$61*(1+Salary_Raise)^(BB$5-1)</f>
        <v>2175673.533075</v>
      </c>
      <c r="BC150" s="33" t="n">
        <f aca="false">BC65*'Hiring plan'!$K$61*(1+Salary_Raise)^(BC$5-1)</f>
        <v>2175673.533075</v>
      </c>
      <c r="BD150" s="33" t="n">
        <f aca="false">BD65*'Hiring plan'!$K$61*(1+Salary_Raise)^(BD$5-1)</f>
        <v>2175673.533075</v>
      </c>
      <c r="BE150" s="33" t="n">
        <f aca="false">BE65*'Hiring plan'!$K$61*(1+Salary_Raise)^(BE$5-1)</f>
        <v>2175673.533075</v>
      </c>
      <c r="BF150" s="33" t="n">
        <f aca="false">BF65*'Hiring plan'!$K$61*(1+Salary_Raise)^(BF$5-1)</f>
        <v>2175673.533075</v>
      </c>
      <c r="BG150" s="33" t="n">
        <f aca="false">BG65*'Hiring plan'!$K$61*(1+Salary_Raise)^(BG$5-1)</f>
        <v>2175673.533075</v>
      </c>
      <c r="BH150" s="33" t="n">
        <f aca="false">BH65*'Hiring plan'!$K$61*(1+Salary_Raise)^(BH$5-1)</f>
        <v>2175673.533075</v>
      </c>
      <c r="BI150" s="33" t="n">
        <f aca="false">BI65*'Hiring plan'!$K$61*(1+Salary_Raise)^(BI$5-1)</f>
        <v>2175673.533075</v>
      </c>
      <c r="BJ150" s="33" t="n">
        <f aca="false">BJ65*'Hiring plan'!$K$61*(1+Salary_Raise)^(BJ$5-1)</f>
        <v>2175673.533075</v>
      </c>
      <c r="BK150" s="33" t="n">
        <f aca="false">BK65*'Hiring plan'!$K$61*(1+Salary_Raise)^(BK$5-1)</f>
        <v>2175673.533075</v>
      </c>
      <c r="BL150" s="33" t="n">
        <f aca="false">BL65*'Hiring plan'!$K$61*(1+Salary_Raise)^(BL$5-1)</f>
        <v>2175673.533075</v>
      </c>
    </row>
    <row r="151" customFormat="false" ht="15" hidden="false" customHeight="false" outlineLevel="0" collapsed="false">
      <c r="A151" s="12" t="str">
        <f aca="false">A66</f>
        <v>Compliance analyst · SN</v>
      </c>
      <c r="B151" s="14" t="s">
        <v>63</v>
      </c>
      <c r="D151" s="41" t="n">
        <f aca="false">SUM(E151:BL151)</f>
        <v>10289153.4417</v>
      </c>
      <c r="E151" s="33" t="n">
        <f aca="false">E66*'Hiring plan'!$K$62*(1+Salary_Raise)^(E$5-1)</f>
        <v>0</v>
      </c>
      <c r="F151" s="33" t="n">
        <f aca="false">F66*'Hiring plan'!$K$62*(1+Salary_Raise)^(F$5-1)</f>
        <v>0</v>
      </c>
      <c r="G151" s="33" t="n">
        <f aca="false">G66*'Hiring plan'!$K$62*(1+Salary_Raise)^(G$5-1)</f>
        <v>0</v>
      </c>
      <c r="H151" s="33" t="n">
        <f aca="false">H66*'Hiring plan'!$K$62*(1+Salary_Raise)^(H$5-1)</f>
        <v>0</v>
      </c>
      <c r="I151" s="33" t="n">
        <f aca="false">I66*'Hiring plan'!$K$62*(1+Salary_Raise)^(I$5-1)</f>
        <v>0</v>
      </c>
      <c r="J151" s="33" t="n">
        <f aca="false">J66*'Hiring plan'!$K$62*(1+Salary_Raise)^(J$5-1)</f>
        <v>0</v>
      </c>
      <c r="K151" s="33" t="n">
        <f aca="false">K66*'Hiring plan'!$K$62*(1+Salary_Raise)^(K$5-1)</f>
        <v>0</v>
      </c>
      <c r="L151" s="33" t="n">
        <f aca="false">L66*'Hiring plan'!$K$62*(1+Salary_Raise)^(L$5-1)</f>
        <v>0</v>
      </c>
      <c r="M151" s="33" t="n">
        <f aca="false">M66*'Hiring plan'!$K$62*(1+Salary_Raise)^(M$5-1)</f>
        <v>0</v>
      </c>
      <c r="N151" s="33" t="n">
        <f aca="false">N66*'Hiring plan'!$K$62*(1+Salary_Raise)^(N$5-1)</f>
        <v>0</v>
      </c>
      <c r="O151" s="33" t="n">
        <f aca="false">O66*'Hiring plan'!$K$62*(1+Salary_Raise)^(O$5-1)</f>
        <v>0</v>
      </c>
      <c r="P151" s="33" t="n">
        <f aca="false">P66*'Hiring plan'!$K$62*(1+Salary_Raise)^(P$5-1)</f>
        <v>0</v>
      </c>
      <c r="Q151" s="33" t="n">
        <f aca="false">Q66*'Hiring plan'!$K$62*(1+Salary_Raise)^(Q$5-1)</f>
        <v>0</v>
      </c>
      <c r="R151" s="33" t="n">
        <f aca="false">R66*'Hiring plan'!$K$62*(1+Salary_Raise)^(R$5-1)</f>
        <v>0</v>
      </c>
      <c r="S151" s="33" t="n">
        <f aca="false">S66*'Hiring plan'!$K$62*(1+Salary_Raise)^(S$5-1)</f>
        <v>0</v>
      </c>
      <c r="T151" s="33" t="n">
        <f aca="false">T66*'Hiring plan'!$K$62*(1+Salary_Raise)^(T$5-1)</f>
        <v>0</v>
      </c>
      <c r="U151" s="33" t="n">
        <f aca="false">U66*'Hiring plan'!$K$62*(1+Salary_Raise)^(U$5-1)</f>
        <v>0</v>
      </c>
      <c r="V151" s="33" t="n">
        <f aca="false">V66*'Hiring plan'!$K$62*(1+Salary_Raise)^(V$5-1)</f>
        <v>0</v>
      </c>
      <c r="W151" s="33" t="n">
        <f aca="false">W66*'Hiring plan'!$K$62*(1+Salary_Raise)^(W$5-1)</f>
        <v>0</v>
      </c>
      <c r="X151" s="33" t="n">
        <f aca="false">X66*'Hiring plan'!$K$62*(1+Salary_Raise)^(X$5-1)</f>
        <v>0</v>
      </c>
      <c r="Y151" s="33" t="n">
        <f aca="false">Y66*'Hiring plan'!$K$62*(1+Salary_Raise)^(Y$5-1)</f>
        <v>0</v>
      </c>
      <c r="Z151" s="33" t="n">
        <f aca="false">Z66*'Hiring plan'!$K$62*(1+Salary_Raise)^(Z$5-1)</f>
        <v>0</v>
      </c>
      <c r="AA151" s="33" t="n">
        <f aca="false">AA66*'Hiring plan'!$K$62*(1+Salary_Raise)^(AA$5-1)</f>
        <v>0</v>
      </c>
      <c r="AB151" s="33" t="n">
        <f aca="false">AB66*'Hiring plan'!$K$62*(1+Salary_Raise)^(AB$5-1)</f>
        <v>0</v>
      </c>
      <c r="AC151" s="33" t="n">
        <f aca="false">AC66*'Hiring plan'!$K$62*(1+Salary_Raise)^(AC$5-1)</f>
        <v>0</v>
      </c>
      <c r="AD151" s="33" t="n">
        <f aca="false">AD66*'Hiring plan'!$K$62*(1+Salary_Raise)^(AD$5-1)</f>
        <v>0</v>
      </c>
      <c r="AE151" s="33" t="n">
        <f aca="false">AE66*'Hiring plan'!$K$62*(1+Salary_Raise)^(AE$5-1)</f>
        <v>0</v>
      </c>
      <c r="AF151" s="33" t="n">
        <f aca="false">AF66*'Hiring plan'!$K$62*(1+Salary_Raise)^(AF$5-1)</f>
        <v>0</v>
      </c>
      <c r="AG151" s="33" t="n">
        <f aca="false">AG66*'Hiring plan'!$K$62*(1+Salary_Raise)^(AG$5-1)</f>
        <v>0</v>
      </c>
      <c r="AH151" s="33" t="n">
        <f aca="false">AH66*'Hiring plan'!$K$62*(1+Salary_Raise)^(AH$5-1)</f>
        <v>0</v>
      </c>
      <c r="AI151" s="33" t="n">
        <f aca="false">AI66*'Hiring plan'!$K$62*(1+Salary_Raise)^(AI$5-1)</f>
        <v>0</v>
      </c>
      <c r="AJ151" s="33" t="n">
        <f aca="false">AJ66*'Hiring plan'!$K$62*(1+Salary_Raise)^(AJ$5-1)</f>
        <v>0</v>
      </c>
      <c r="AK151" s="33" t="n">
        <f aca="false">AK66*'Hiring plan'!$K$62*(1+Salary_Raise)^(AK$5-1)</f>
        <v>0</v>
      </c>
      <c r="AL151" s="33" t="n">
        <f aca="false">AL66*'Hiring plan'!$K$62*(1+Salary_Raise)^(AL$5-1)</f>
        <v>0</v>
      </c>
      <c r="AM151" s="33" t="n">
        <f aca="false">AM66*'Hiring plan'!$K$62*(1+Salary_Raise)^(AM$5-1)</f>
        <v>0</v>
      </c>
      <c r="AN151" s="33" t="n">
        <f aca="false">AN66*'Hiring plan'!$K$62*(1+Salary_Raise)^(AN$5-1)</f>
        <v>0</v>
      </c>
      <c r="AO151" s="33" t="n">
        <f aca="false">AO66*'Hiring plan'!$K$62*(1+Salary_Raise)^(AO$5-1)</f>
        <v>0</v>
      </c>
      <c r="AP151" s="33" t="n">
        <f aca="false">AP66*'Hiring plan'!$K$62*(1+Salary_Raise)^(AP$5-1)</f>
        <v>0</v>
      </c>
      <c r="AQ151" s="33" t="n">
        <f aca="false">AQ66*'Hiring plan'!$K$62*(1+Salary_Raise)^(AQ$5-1)</f>
        <v>0</v>
      </c>
      <c r="AR151" s="33" t="n">
        <f aca="false">AR66*'Hiring plan'!$K$62*(1+Salary_Raise)^(AR$5-1)</f>
        <v>0</v>
      </c>
      <c r="AS151" s="33" t="n">
        <f aca="false">AS66*'Hiring plan'!$K$62*(1+Salary_Raise)^(AS$5-1)</f>
        <v>0</v>
      </c>
      <c r="AT151" s="33" t="n">
        <f aca="false">AT66*'Hiring plan'!$K$62*(1+Salary_Raise)^(AT$5-1)</f>
        <v>0</v>
      </c>
      <c r="AU151" s="33" t="n">
        <f aca="false">AU66*'Hiring plan'!$K$62*(1+Salary_Raise)^(AU$5-1)</f>
        <v>0</v>
      </c>
      <c r="AV151" s="33" t="n">
        <f aca="false">AV66*'Hiring plan'!$K$62*(1+Salary_Raise)^(AV$5-1)</f>
        <v>0</v>
      </c>
      <c r="AW151" s="33" t="n">
        <f aca="false">AW66*'Hiring plan'!$K$62*(1+Salary_Raise)^(AW$5-1)</f>
        <v>0</v>
      </c>
      <c r="AX151" s="33" t="n">
        <f aca="false">AX66*'Hiring plan'!$K$62*(1+Salary_Raise)^(AX$5-1)</f>
        <v>0</v>
      </c>
      <c r="AY151" s="33" t="n">
        <f aca="false">AY66*'Hiring plan'!$K$62*(1+Salary_Raise)^(AY$5-1)</f>
        <v>0</v>
      </c>
      <c r="AZ151" s="33" t="n">
        <f aca="false">AZ66*'Hiring plan'!$K$62*(1+Salary_Raise)^(AZ$5-1)</f>
        <v>0</v>
      </c>
      <c r="BA151" s="33" t="n">
        <f aca="false">BA66*'Hiring plan'!$K$62*(1+Salary_Raise)^(BA$5-1)</f>
        <v>857429.453475</v>
      </c>
      <c r="BB151" s="33" t="n">
        <f aca="false">BB66*'Hiring plan'!$K$62*(1+Salary_Raise)^(BB$5-1)</f>
        <v>857429.453475</v>
      </c>
      <c r="BC151" s="33" t="n">
        <f aca="false">BC66*'Hiring plan'!$K$62*(1+Salary_Raise)^(BC$5-1)</f>
        <v>857429.453475</v>
      </c>
      <c r="BD151" s="33" t="n">
        <f aca="false">BD66*'Hiring plan'!$K$62*(1+Salary_Raise)^(BD$5-1)</f>
        <v>857429.453475</v>
      </c>
      <c r="BE151" s="33" t="n">
        <f aca="false">BE66*'Hiring plan'!$K$62*(1+Salary_Raise)^(BE$5-1)</f>
        <v>857429.453475</v>
      </c>
      <c r="BF151" s="33" t="n">
        <f aca="false">BF66*'Hiring plan'!$K$62*(1+Salary_Raise)^(BF$5-1)</f>
        <v>857429.453475</v>
      </c>
      <c r="BG151" s="33" t="n">
        <f aca="false">BG66*'Hiring plan'!$K$62*(1+Salary_Raise)^(BG$5-1)</f>
        <v>857429.453475</v>
      </c>
      <c r="BH151" s="33" t="n">
        <f aca="false">BH66*'Hiring plan'!$K$62*(1+Salary_Raise)^(BH$5-1)</f>
        <v>857429.453475</v>
      </c>
      <c r="BI151" s="33" t="n">
        <f aca="false">BI66*'Hiring plan'!$K$62*(1+Salary_Raise)^(BI$5-1)</f>
        <v>857429.453475</v>
      </c>
      <c r="BJ151" s="33" t="n">
        <f aca="false">BJ66*'Hiring plan'!$K$62*(1+Salary_Raise)^(BJ$5-1)</f>
        <v>857429.453475</v>
      </c>
      <c r="BK151" s="33" t="n">
        <f aca="false">BK66*'Hiring plan'!$K$62*(1+Salary_Raise)^(BK$5-1)</f>
        <v>857429.453475</v>
      </c>
      <c r="BL151" s="33" t="n">
        <f aca="false">BL66*'Hiring plan'!$K$62*(1+Salary_Raise)^(BL$5-1)</f>
        <v>857429.453475</v>
      </c>
    </row>
    <row r="152" customFormat="false" ht="15" hidden="false" customHeight="false" outlineLevel="0" collapsed="false">
      <c r="A152" s="12" t="str">
        <f aca="false">A67</f>
        <v>Credit analyst · SN</v>
      </c>
      <c r="B152" s="14" t="s">
        <v>63</v>
      </c>
      <c r="D152" s="41" t="n">
        <f aca="false">SUM(E152:BL152)</f>
        <v>9450940.3317</v>
      </c>
      <c r="E152" s="33" t="n">
        <f aca="false">E67*'Hiring plan'!$K$63*(1+Salary_Raise)^(E$5-1)</f>
        <v>0</v>
      </c>
      <c r="F152" s="33" t="n">
        <f aca="false">F67*'Hiring plan'!$K$63*(1+Salary_Raise)^(F$5-1)</f>
        <v>0</v>
      </c>
      <c r="G152" s="33" t="n">
        <f aca="false">G67*'Hiring plan'!$K$63*(1+Salary_Raise)^(G$5-1)</f>
        <v>0</v>
      </c>
      <c r="H152" s="33" t="n">
        <f aca="false">H67*'Hiring plan'!$K$63*(1+Salary_Raise)^(H$5-1)</f>
        <v>0</v>
      </c>
      <c r="I152" s="33" t="n">
        <f aca="false">I67*'Hiring plan'!$K$63*(1+Salary_Raise)^(I$5-1)</f>
        <v>0</v>
      </c>
      <c r="J152" s="33" t="n">
        <f aca="false">J67*'Hiring plan'!$K$63*(1+Salary_Raise)^(J$5-1)</f>
        <v>0</v>
      </c>
      <c r="K152" s="33" t="n">
        <f aca="false">K67*'Hiring plan'!$K$63*(1+Salary_Raise)^(K$5-1)</f>
        <v>0</v>
      </c>
      <c r="L152" s="33" t="n">
        <f aca="false">L67*'Hiring plan'!$K$63*(1+Salary_Raise)^(L$5-1)</f>
        <v>0</v>
      </c>
      <c r="M152" s="33" t="n">
        <f aca="false">M67*'Hiring plan'!$K$63*(1+Salary_Raise)^(M$5-1)</f>
        <v>0</v>
      </c>
      <c r="N152" s="33" t="n">
        <f aca="false">N67*'Hiring plan'!$K$63*(1+Salary_Raise)^(N$5-1)</f>
        <v>0</v>
      </c>
      <c r="O152" s="33" t="n">
        <f aca="false">O67*'Hiring plan'!$K$63*(1+Salary_Raise)^(O$5-1)</f>
        <v>0</v>
      </c>
      <c r="P152" s="33" t="n">
        <f aca="false">P67*'Hiring plan'!$K$63*(1+Salary_Raise)^(P$5-1)</f>
        <v>0</v>
      </c>
      <c r="Q152" s="33" t="n">
        <f aca="false">Q67*'Hiring plan'!$K$63*(1+Salary_Raise)^(Q$5-1)</f>
        <v>0</v>
      </c>
      <c r="R152" s="33" t="n">
        <f aca="false">R67*'Hiring plan'!$K$63*(1+Salary_Raise)^(R$5-1)</f>
        <v>0</v>
      </c>
      <c r="S152" s="33" t="n">
        <f aca="false">S67*'Hiring plan'!$K$63*(1+Salary_Raise)^(S$5-1)</f>
        <v>0</v>
      </c>
      <c r="T152" s="33" t="n">
        <f aca="false">T67*'Hiring plan'!$K$63*(1+Salary_Raise)^(T$5-1)</f>
        <v>0</v>
      </c>
      <c r="U152" s="33" t="n">
        <f aca="false">U67*'Hiring plan'!$K$63*(1+Salary_Raise)^(U$5-1)</f>
        <v>0</v>
      </c>
      <c r="V152" s="33" t="n">
        <f aca="false">V67*'Hiring plan'!$K$63*(1+Salary_Raise)^(V$5-1)</f>
        <v>0</v>
      </c>
      <c r="W152" s="33" t="n">
        <f aca="false">W67*'Hiring plan'!$K$63*(1+Salary_Raise)^(W$5-1)</f>
        <v>0</v>
      </c>
      <c r="X152" s="33" t="n">
        <f aca="false">X67*'Hiring plan'!$K$63*(1+Salary_Raise)^(X$5-1)</f>
        <v>0</v>
      </c>
      <c r="Y152" s="33" t="n">
        <f aca="false">Y67*'Hiring plan'!$K$63*(1+Salary_Raise)^(Y$5-1)</f>
        <v>0</v>
      </c>
      <c r="Z152" s="33" t="n">
        <f aca="false">Z67*'Hiring plan'!$K$63*(1+Salary_Raise)^(Z$5-1)</f>
        <v>0</v>
      </c>
      <c r="AA152" s="33" t="n">
        <f aca="false">AA67*'Hiring plan'!$K$63*(1+Salary_Raise)^(AA$5-1)</f>
        <v>0</v>
      </c>
      <c r="AB152" s="33" t="n">
        <f aca="false">AB67*'Hiring plan'!$K$63*(1+Salary_Raise)^(AB$5-1)</f>
        <v>0</v>
      </c>
      <c r="AC152" s="33" t="n">
        <f aca="false">AC67*'Hiring plan'!$K$63*(1+Salary_Raise)^(AC$5-1)</f>
        <v>0</v>
      </c>
      <c r="AD152" s="33" t="n">
        <f aca="false">AD67*'Hiring plan'!$K$63*(1+Salary_Raise)^(AD$5-1)</f>
        <v>0</v>
      </c>
      <c r="AE152" s="33" t="n">
        <f aca="false">AE67*'Hiring plan'!$K$63*(1+Salary_Raise)^(AE$5-1)</f>
        <v>0</v>
      </c>
      <c r="AF152" s="33" t="n">
        <f aca="false">AF67*'Hiring plan'!$K$63*(1+Salary_Raise)^(AF$5-1)</f>
        <v>0</v>
      </c>
      <c r="AG152" s="33" t="n">
        <f aca="false">AG67*'Hiring plan'!$K$63*(1+Salary_Raise)^(AG$5-1)</f>
        <v>0</v>
      </c>
      <c r="AH152" s="33" t="n">
        <f aca="false">AH67*'Hiring plan'!$K$63*(1+Salary_Raise)^(AH$5-1)</f>
        <v>0</v>
      </c>
      <c r="AI152" s="33" t="n">
        <f aca="false">AI67*'Hiring plan'!$K$63*(1+Salary_Raise)^(AI$5-1)</f>
        <v>0</v>
      </c>
      <c r="AJ152" s="33" t="n">
        <f aca="false">AJ67*'Hiring plan'!$K$63*(1+Salary_Raise)^(AJ$5-1)</f>
        <v>0</v>
      </c>
      <c r="AK152" s="33" t="n">
        <f aca="false">AK67*'Hiring plan'!$K$63*(1+Salary_Raise)^(AK$5-1)</f>
        <v>0</v>
      </c>
      <c r="AL152" s="33" t="n">
        <f aca="false">AL67*'Hiring plan'!$K$63*(1+Salary_Raise)^(AL$5-1)</f>
        <v>0</v>
      </c>
      <c r="AM152" s="33" t="n">
        <f aca="false">AM67*'Hiring plan'!$K$63*(1+Salary_Raise)^(AM$5-1)</f>
        <v>0</v>
      </c>
      <c r="AN152" s="33" t="n">
        <f aca="false">AN67*'Hiring plan'!$K$63*(1+Salary_Raise)^(AN$5-1)</f>
        <v>0</v>
      </c>
      <c r="AO152" s="33" t="n">
        <f aca="false">AO67*'Hiring plan'!$K$63*(1+Salary_Raise)^(AO$5-1)</f>
        <v>0</v>
      </c>
      <c r="AP152" s="33" t="n">
        <f aca="false">AP67*'Hiring plan'!$K$63*(1+Salary_Raise)^(AP$5-1)</f>
        <v>0</v>
      </c>
      <c r="AQ152" s="33" t="n">
        <f aca="false">AQ67*'Hiring plan'!$K$63*(1+Salary_Raise)^(AQ$5-1)</f>
        <v>0</v>
      </c>
      <c r="AR152" s="33" t="n">
        <f aca="false">AR67*'Hiring plan'!$K$63*(1+Salary_Raise)^(AR$5-1)</f>
        <v>0</v>
      </c>
      <c r="AS152" s="33" t="n">
        <f aca="false">AS67*'Hiring plan'!$K$63*(1+Salary_Raise)^(AS$5-1)</f>
        <v>0</v>
      </c>
      <c r="AT152" s="33" t="n">
        <f aca="false">AT67*'Hiring plan'!$K$63*(1+Salary_Raise)^(AT$5-1)</f>
        <v>0</v>
      </c>
      <c r="AU152" s="33" t="n">
        <f aca="false">AU67*'Hiring plan'!$K$63*(1+Salary_Raise)^(AU$5-1)</f>
        <v>0</v>
      </c>
      <c r="AV152" s="33" t="n">
        <f aca="false">AV67*'Hiring plan'!$K$63*(1+Salary_Raise)^(AV$5-1)</f>
        <v>0</v>
      </c>
      <c r="AW152" s="33" t="n">
        <f aca="false">AW67*'Hiring plan'!$K$63*(1+Salary_Raise)^(AW$5-1)</f>
        <v>0</v>
      </c>
      <c r="AX152" s="33" t="n">
        <f aca="false">AX67*'Hiring plan'!$K$63*(1+Salary_Raise)^(AX$5-1)</f>
        <v>0</v>
      </c>
      <c r="AY152" s="33" t="n">
        <f aca="false">AY67*'Hiring plan'!$K$63*(1+Salary_Raise)^(AY$5-1)</f>
        <v>0</v>
      </c>
      <c r="AZ152" s="33" t="n">
        <f aca="false">AZ67*'Hiring plan'!$K$63*(1+Salary_Raise)^(AZ$5-1)</f>
        <v>0</v>
      </c>
      <c r="BA152" s="33" t="n">
        <f aca="false">BA67*'Hiring plan'!$K$63*(1+Salary_Raise)^(BA$5-1)</f>
        <v>787578.360975</v>
      </c>
      <c r="BB152" s="33" t="n">
        <f aca="false">BB67*'Hiring plan'!$K$63*(1+Salary_Raise)^(BB$5-1)</f>
        <v>787578.360975</v>
      </c>
      <c r="BC152" s="33" t="n">
        <f aca="false">BC67*'Hiring plan'!$K$63*(1+Salary_Raise)^(BC$5-1)</f>
        <v>787578.360975</v>
      </c>
      <c r="BD152" s="33" t="n">
        <f aca="false">BD67*'Hiring plan'!$K$63*(1+Salary_Raise)^(BD$5-1)</f>
        <v>787578.360975</v>
      </c>
      <c r="BE152" s="33" t="n">
        <f aca="false">BE67*'Hiring plan'!$K$63*(1+Salary_Raise)^(BE$5-1)</f>
        <v>787578.360975</v>
      </c>
      <c r="BF152" s="33" t="n">
        <f aca="false">BF67*'Hiring plan'!$K$63*(1+Salary_Raise)^(BF$5-1)</f>
        <v>787578.360975</v>
      </c>
      <c r="BG152" s="33" t="n">
        <f aca="false">BG67*'Hiring plan'!$K$63*(1+Salary_Raise)^(BG$5-1)</f>
        <v>787578.360975</v>
      </c>
      <c r="BH152" s="33" t="n">
        <f aca="false">BH67*'Hiring plan'!$K$63*(1+Salary_Raise)^(BH$5-1)</f>
        <v>787578.360975</v>
      </c>
      <c r="BI152" s="33" t="n">
        <f aca="false">BI67*'Hiring plan'!$K$63*(1+Salary_Raise)^(BI$5-1)</f>
        <v>787578.360975</v>
      </c>
      <c r="BJ152" s="33" t="n">
        <f aca="false">BJ67*'Hiring plan'!$K$63*(1+Salary_Raise)^(BJ$5-1)</f>
        <v>787578.360975</v>
      </c>
      <c r="BK152" s="33" t="n">
        <f aca="false">BK67*'Hiring plan'!$K$63*(1+Salary_Raise)^(BK$5-1)</f>
        <v>787578.360975</v>
      </c>
      <c r="BL152" s="33" t="n">
        <f aca="false">BL67*'Hiring plan'!$K$63*(1+Salary_Raise)^(BL$5-1)</f>
        <v>787578.360975</v>
      </c>
    </row>
    <row r="153" customFormat="false" ht="15" hidden="false" customHeight="false" outlineLevel="0" collapsed="false">
      <c r="A153" s="12" t="str">
        <f aca="false">A68</f>
        <v>Collections agent (incl. variable pay) · SN</v>
      </c>
      <c r="B153" s="14" t="s">
        <v>63</v>
      </c>
      <c r="D153" s="41" t="n">
        <f aca="false">SUM(E153:BL153)</f>
        <v>6005670.5205</v>
      </c>
      <c r="E153" s="33" t="n">
        <f aca="false">E68*'Hiring plan'!$K$64*(1+Salary_Raise)^(E$5-1)</f>
        <v>0</v>
      </c>
      <c r="F153" s="33" t="n">
        <f aca="false">F68*'Hiring plan'!$K$64*(1+Salary_Raise)^(F$5-1)</f>
        <v>0</v>
      </c>
      <c r="G153" s="33" t="n">
        <f aca="false">G68*'Hiring plan'!$K$64*(1+Salary_Raise)^(G$5-1)</f>
        <v>0</v>
      </c>
      <c r="H153" s="33" t="n">
        <f aca="false">H68*'Hiring plan'!$K$64*(1+Salary_Raise)^(H$5-1)</f>
        <v>0</v>
      </c>
      <c r="I153" s="33" t="n">
        <f aca="false">I68*'Hiring plan'!$K$64*(1+Salary_Raise)^(I$5-1)</f>
        <v>0</v>
      </c>
      <c r="J153" s="33" t="n">
        <f aca="false">J68*'Hiring plan'!$K$64*(1+Salary_Raise)^(J$5-1)</f>
        <v>0</v>
      </c>
      <c r="K153" s="33" t="n">
        <f aca="false">K68*'Hiring plan'!$K$64*(1+Salary_Raise)^(K$5-1)</f>
        <v>0</v>
      </c>
      <c r="L153" s="33" t="n">
        <f aca="false">L68*'Hiring plan'!$K$64*(1+Salary_Raise)^(L$5-1)</f>
        <v>0</v>
      </c>
      <c r="M153" s="33" t="n">
        <f aca="false">M68*'Hiring plan'!$K$64*(1+Salary_Raise)^(M$5-1)</f>
        <v>0</v>
      </c>
      <c r="N153" s="33" t="n">
        <f aca="false">N68*'Hiring plan'!$K$64*(1+Salary_Raise)^(N$5-1)</f>
        <v>0</v>
      </c>
      <c r="O153" s="33" t="n">
        <f aca="false">O68*'Hiring plan'!$K$64*(1+Salary_Raise)^(O$5-1)</f>
        <v>0</v>
      </c>
      <c r="P153" s="33" t="n">
        <f aca="false">P68*'Hiring plan'!$K$64*(1+Salary_Raise)^(P$5-1)</f>
        <v>0</v>
      </c>
      <c r="Q153" s="33" t="n">
        <f aca="false">Q68*'Hiring plan'!$K$64*(1+Salary_Raise)^(Q$5-1)</f>
        <v>0</v>
      </c>
      <c r="R153" s="33" t="n">
        <f aca="false">R68*'Hiring plan'!$K$64*(1+Salary_Raise)^(R$5-1)</f>
        <v>0</v>
      </c>
      <c r="S153" s="33" t="n">
        <f aca="false">S68*'Hiring plan'!$K$64*(1+Salary_Raise)^(S$5-1)</f>
        <v>0</v>
      </c>
      <c r="T153" s="33" t="n">
        <f aca="false">T68*'Hiring plan'!$K$64*(1+Salary_Raise)^(T$5-1)</f>
        <v>0</v>
      </c>
      <c r="U153" s="33" t="n">
        <f aca="false">U68*'Hiring plan'!$K$64*(1+Salary_Raise)^(U$5-1)</f>
        <v>0</v>
      </c>
      <c r="V153" s="33" t="n">
        <f aca="false">V68*'Hiring plan'!$K$64*(1+Salary_Raise)^(V$5-1)</f>
        <v>0</v>
      </c>
      <c r="W153" s="33" t="n">
        <f aca="false">W68*'Hiring plan'!$K$64*(1+Salary_Raise)^(W$5-1)</f>
        <v>0</v>
      </c>
      <c r="X153" s="33" t="n">
        <f aca="false">X68*'Hiring plan'!$K$64*(1+Salary_Raise)^(X$5-1)</f>
        <v>0</v>
      </c>
      <c r="Y153" s="33" t="n">
        <f aca="false">Y68*'Hiring plan'!$K$64*(1+Salary_Raise)^(Y$5-1)</f>
        <v>0</v>
      </c>
      <c r="Z153" s="33" t="n">
        <f aca="false">Z68*'Hiring plan'!$K$64*(1+Salary_Raise)^(Z$5-1)</f>
        <v>0</v>
      </c>
      <c r="AA153" s="33" t="n">
        <f aca="false">AA68*'Hiring plan'!$K$64*(1+Salary_Raise)^(AA$5-1)</f>
        <v>0</v>
      </c>
      <c r="AB153" s="33" t="n">
        <f aca="false">AB68*'Hiring plan'!$K$64*(1+Salary_Raise)^(AB$5-1)</f>
        <v>0</v>
      </c>
      <c r="AC153" s="33" t="n">
        <f aca="false">AC68*'Hiring plan'!$K$64*(1+Salary_Raise)^(AC$5-1)</f>
        <v>0</v>
      </c>
      <c r="AD153" s="33" t="n">
        <f aca="false">AD68*'Hiring plan'!$K$64*(1+Salary_Raise)^(AD$5-1)</f>
        <v>0</v>
      </c>
      <c r="AE153" s="33" t="n">
        <f aca="false">AE68*'Hiring plan'!$K$64*(1+Salary_Raise)^(AE$5-1)</f>
        <v>0</v>
      </c>
      <c r="AF153" s="33" t="n">
        <f aca="false">AF68*'Hiring plan'!$K$64*(1+Salary_Raise)^(AF$5-1)</f>
        <v>0</v>
      </c>
      <c r="AG153" s="33" t="n">
        <f aca="false">AG68*'Hiring plan'!$K$64*(1+Salary_Raise)^(AG$5-1)</f>
        <v>0</v>
      </c>
      <c r="AH153" s="33" t="n">
        <f aca="false">AH68*'Hiring plan'!$K$64*(1+Salary_Raise)^(AH$5-1)</f>
        <v>0</v>
      </c>
      <c r="AI153" s="33" t="n">
        <f aca="false">AI68*'Hiring plan'!$K$64*(1+Salary_Raise)^(AI$5-1)</f>
        <v>0</v>
      </c>
      <c r="AJ153" s="33" t="n">
        <f aca="false">AJ68*'Hiring plan'!$K$64*(1+Salary_Raise)^(AJ$5-1)</f>
        <v>0</v>
      </c>
      <c r="AK153" s="33" t="n">
        <f aca="false">AK68*'Hiring plan'!$K$64*(1+Salary_Raise)^(AK$5-1)</f>
        <v>0</v>
      </c>
      <c r="AL153" s="33" t="n">
        <f aca="false">AL68*'Hiring plan'!$K$64*(1+Salary_Raise)^(AL$5-1)</f>
        <v>0</v>
      </c>
      <c r="AM153" s="33" t="n">
        <f aca="false">AM68*'Hiring plan'!$K$64*(1+Salary_Raise)^(AM$5-1)</f>
        <v>0</v>
      </c>
      <c r="AN153" s="33" t="n">
        <f aca="false">AN68*'Hiring plan'!$K$64*(1+Salary_Raise)^(AN$5-1)</f>
        <v>0</v>
      </c>
      <c r="AO153" s="33" t="n">
        <f aca="false">AO68*'Hiring plan'!$K$64*(1+Salary_Raise)^(AO$5-1)</f>
        <v>0</v>
      </c>
      <c r="AP153" s="33" t="n">
        <f aca="false">AP68*'Hiring plan'!$K$64*(1+Salary_Raise)^(AP$5-1)</f>
        <v>0</v>
      </c>
      <c r="AQ153" s="33" t="n">
        <f aca="false">AQ68*'Hiring plan'!$K$64*(1+Salary_Raise)^(AQ$5-1)</f>
        <v>0</v>
      </c>
      <c r="AR153" s="33" t="n">
        <f aca="false">AR68*'Hiring plan'!$K$64*(1+Salary_Raise)^(AR$5-1)</f>
        <v>0</v>
      </c>
      <c r="AS153" s="33" t="n">
        <f aca="false">AS68*'Hiring plan'!$K$64*(1+Salary_Raise)^(AS$5-1)</f>
        <v>0</v>
      </c>
      <c r="AT153" s="33" t="n">
        <f aca="false">AT68*'Hiring plan'!$K$64*(1+Salary_Raise)^(AT$5-1)</f>
        <v>0</v>
      </c>
      <c r="AU153" s="33" t="n">
        <f aca="false">AU68*'Hiring plan'!$K$64*(1+Salary_Raise)^(AU$5-1)</f>
        <v>0</v>
      </c>
      <c r="AV153" s="33" t="n">
        <f aca="false">AV68*'Hiring plan'!$K$64*(1+Salary_Raise)^(AV$5-1)</f>
        <v>0</v>
      </c>
      <c r="AW153" s="33" t="n">
        <f aca="false">AW68*'Hiring plan'!$K$64*(1+Salary_Raise)^(AW$5-1)</f>
        <v>0</v>
      </c>
      <c r="AX153" s="33" t="n">
        <f aca="false">AX68*'Hiring plan'!$K$64*(1+Salary_Raise)^(AX$5-1)</f>
        <v>0</v>
      </c>
      <c r="AY153" s="33" t="n">
        <f aca="false">AY68*'Hiring plan'!$K$64*(1+Salary_Raise)^(AY$5-1)</f>
        <v>0</v>
      </c>
      <c r="AZ153" s="33" t="n">
        <f aca="false">AZ68*'Hiring plan'!$K$64*(1+Salary_Raise)^(AZ$5-1)</f>
        <v>0</v>
      </c>
      <c r="BA153" s="33" t="n">
        <f aca="false">BA68*'Hiring plan'!$K$64*(1+Salary_Raise)^(BA$5-1)</f>
        <v>500472.543375</v>
      </c>
      <c r="BB153" s="33" t="n">
        <f aca="false">BB68*'Hiring plan'!$K$64*(1+Salary_Raise)^(BB$5-1)</f>
        <v>500472.543375</v>
      </c>
      <c r="BC153" s="33" t="n">
        <f aca="false">BC68*'Hiring plan'!$K$64*(1+Salary_Raise)^(BC$5-1)</f>
        <v>500472.543375</v>
      </c>
      <c r="BD153" s="33" t="n">
        <f aca="false">BD68*'Hiring plan'!$K$64*(1+Salary_Raise)^(BD$5-1)</f>
        <v>500472.543375</v>
      </c>
      <c r="BE153" s="33" t="n">
        <f aca="false">BE68*'Hiring plan'!$K$64*(1+Salary_Raise)^(BE$5-1)</f>
        <v>500472.543375</v>
      </c>
      <c r="BF153" s="33" t="n">
        <f aca="false">BF68*'Hiring plan'!$K$64*(1+Salary_Raise)^(BF$5-1)</f>
        <v>500472.543375</v>
      </c>
      <c r="BG153" s="33" t="n">
        <f aca="false">BG68*'Hiring plan'!$K$64*(1+Salary_Raise)^(BG$5-1)</f>
        <v>500472.543375</v>
      </c>
      <c r="BH153" s="33" t="n">
        <f aca="false">BH68*'Hiring plan'!$K$64*(1+Salary_Raise)^(BH$5-1)</f>
        <v>500472.543375</v>
      </c>
      <c r="BI153" s="33" t="n">
        <f aca="false">BI68*'Hiring plan'!$K$64*(1+Salary_Raise)^(BI$5-1)</f>
        <v>500472.543375</v>
      </c>
      <c r="BJ153" s="33" t="n">
        <f aca="false">BJ68*'Hiring plan'!$K$64*(1+Salary_Raise)^(BJ$5-1)</f>
        <v>500472.543375</v>
      </c>
      <c r="BK153" s="33" t="n">
        <f aca="false">BK68*'Hiring plan'!$K$64*(1+Salary_Raise)^(BK$5-1)</f>
        <v>500472.543375</v>
      </c>
      <c r="BL153" s="33" t="n">
        <f aca="false">BL68*'Hiring plan'!$K$64*(1+Salary_Raise)^(BL$5-1)</f>
        <v>500472.543375</v>
      </c>
    </row>
    <row r="154" customFormat="false" ht="15" hidden="false" customHeight="false" outlineLevel="0" collapsed="false">
      <c r="A154" s="12" t="str">
        <f aca="false">A69</f>
        <v>KYC / onboarding agent · SN</v>
      </c>
      <c r="B154" s="14" t="s">
        <v>63</v>
      </c>
      <c r="D154" s="41" t="n">
        <f aca="false">SUM(E154:BL154)</f>
        <v>11138121.351</v>
      </c>
      <c r="E154" s="33" t="n">
        <f aca="false">E69*'Hiring plan'!$K$65*(1+Salary_Raise)^(E$5-1)</f>
        <v>0</v>
      </c>
      <c r="F154" s="33" t="n">
        <f aca="false">F69*'Hiring plan'!$K$65*(1+Salary_Raise)^(F$5-1)</f>
        <v>0</v>
      </c>
      <c r="G154" s="33" t="n">
        <f aca="false">G69*'Hiring plan'!$K$65*(1+Salary_Raise)^(G$5-1)</f>
        <v>0</v>
      </c>
      <c r="H154" s="33" t="n">
        <f aca="false">H69*'Hiring plan'!$K$65*(1+Salary_Raise)^(H$5-1)</f>
        <v>0</v>
      </c>
      <c r="I154" s="33" t="n">
        <f aca="false">I69*'Hiring plan'!$K$65*(1+Salary_Raise)^(I$5-1)</f>
        <v>0</v>
      </c>
      <c r="J154" s="33" t="n">
        <f aca="false">J69*'Hiring plan'!$K$65*(1+Salary_Raise)^(J$5-1)</f>
        <v>0</v>
      </c>
      <c r="K154" s="33" t="n">
        <f aca="false">K69*'Hiring plan'!$K$65*(1+Salary_Raise)^(K$5-1)</f>
        <v>0</v>
      </c>
      <c r="L154" s="33" t="n">
        <f aca="false">L69*'Hiring plan'!$K$65*(1+Salary_Raise)^(L$5-1)</f>
        <v>0</v>
      </c>
      <c r="M154" s="33" t="n">
        <f aca="false">M69*'Hiring plan'!$K$65*(1+Salary_Raise)^(M$5-1)</f>
        <v>0</v>
      </c>
      <c r="N154" s="33" t="n">
        <f aca="false">N69*'Hiring plan'!$K$65*(1+Salary_Raise)^(N$5-1)</f>
        <v>0</v>
      </c>
      <c r="O154" s="33" t="n">
        <f aca="false">O69*'Hiring plan'!$K$65*(1+Salary_Raise)^(O$5-1)</f>
        <v>0</v>
      </c>
      <c r="P154" s="33" t="n">
        <f aca="false">P69*'Hiring plan'!$K$65*(1+Salary_Raise)^(P$5-1)</f>
        <v>0</v>
      </c>
      <c r="Q154" s="33" t="n">
        <f aca="false">Q69*'Hiring plan'!$K$65*(1+Salary_Raise)^(Q$5-1)</f>
        <v>0</v>
      </c>
      <c r="R154" s="33" t="n">
        <f aca="false">R69*'Hiring plan'!$K$65*(1+Salary_Raise)^(R$5-1)</f>
        <v>0</v>
      </c>
      <c r="S154" s="33" t="n">
        <f aca="false">S69*'Hiring plan'!$K$65*(1+Salary_Raise)^(S$5-1)</f>
        <v>0</v>
      </c>
      <c r="T154" s="33" t="n">
        <f aca="false">T69*'Hiring plan'!$K$65*(1+Salary_Raise)^(T$5-1)</f>
        <v>0</v>
      </c>
      <c r="U154" s="33" t="n">
        <f aca="false">U69*'Hiring plan'!$K$65*(1+Salary_Raise)^(U$5-1)</f>
        <v>0</v>
      </c>
      <c r="V154" s="33" t="n">
        <f aca="false">V69*'Hiring plan'!$K$65*(1+Salary_Raise)^(V$5-1)</f>
        <v>0</v>
      </c>
      <c r="W154" s="33" t="n">
        <f aca="false">W69*'Hiring plan'!$K$65*(1+Salary_Raise)^(W$5-1)</f>
        <v>0</v>
      </c>
      <c r="X154" s="33" t="n">
        <f aca="false">X69*'Hiring plan'!$K$65*(1+Salary_Raise)^(X$5-1)</f>
        <v>0</v>
      </c>
      <c r="Y154" s="33" t="n">
        <f aca="false">Y69*'Hiring plan'!$K$65*(1+Salary_Raise)^(Y$5-1)</f>
        <v>0</v>
      </c>
      <c r="Z154" s="33" t="n">
        <f aca="false">Z69*'Hiring plan'!$K$65*(1+Salary_Raise)^(Z$5-1)</f>
        <v>0</v>
      </c>
      <c r="AA154" s="33" t="n">
        <f aca="false">AA69*'Hiring plan'!$K$65*(1+Salary_Raise)^(AA$5-1)</f>
        <v>0</v>
      </c>
      <c r="AB154" s="33" t="n">
        <f aca="false">AB69*'Hiring plan'!$K$65*(1+Salary_Raise)^(AB$5-1)</f>
        <v>0</v>
      </c>
      <c r="AC154" s="33" t="n">
        <f aca="false">AC69*'Hiring plan'!$K$65*(1+Salary_Raise)^(AC$5-1)</f>
        <v>0</v>
      </c>
      <c r="AD154" s="33" t="n">
        <f aca="false">AD69*'Hiring plan'!$K$65*(1+Salary_Raise)^(AD$5-1)</f>
        <v>0</v>
      </c>
      <c r="AE154" s="33" t="n">
        <f aca="false">AE69*'Hiring plan'!$K$65*(1+Salary_Raise)^(AE$5-1)</f>
        <v>0</v>
      </c>
      <c r="AF154" s="33" t="n">
        <f aca="false">AF69*'Hiring plan'!$K$65*(1+Salary_Raise)^(AF$5-1)</f>
        <v>0</v>
      </c>
      <c r="AG154" s="33" t="n">
        <f aca="false">AG69*'Hiring plan'!$K$65*(1+Salary_Raise)^(AG$5-1)</f>
        <v>0</v>
      </c>
      <c r="AH154" s="33" t="n">
        <f aca="false">AH69*'Hiring plan'!$K$65*(1+Salary_Raise)^(AH$5-1)</f>
        <v>0</v>
      </c>
      <c r="AI154" s="33" t="n">
        <f aca="false">AI69*'Hiring plan'!$K$65*(1+Salary_Raise)^(AI$5-1)</f>
        <v>0</v>
      </c>
      <c r="AJ154" s="33" t="n">
        <f aca="false">AJ69*'Hiring plan'!$K$65*(1+Salary_Raise)^(AJ$5-1)</f>
        <v>0</v>
      </c>
      <c r="AK154" s="33" t="n">
        <f aca="false">AK69*'Hiring plan'!$K$65*(1+Salary_Raise)^(AK$5-1)</f>
        <v>0</v>
      </c>
      <c r="AL154" s="33" t="n">
        <f aca="false">AL69*'Hiring plan'!$K$65*(1+Salary_Raise)^(AL$5-1)</f>
        <v>0</v>
      </c>
      <c r="AM154" s="33" t="n">
        <f aca="false">AM69*'Hiring plan'!$K$65*(1+Salary_Raise)^(AM$5-1)</f>
        <v>0</v>
      </c>
      <c r="AN154" s="33" t="n">
        <f aca="false">AN69*'Hiring plan'!$K$65*(1+Salary_Raise)^(AN$5-1)</f>
        <v>0</v>
      </c>
      <c r="AO154" s="33" t="n">
        <f aca="false">AO69*'Hiring plan'!$K$65*(1+Salary_Raise)^(AO$5-1)</f>
        <v>0</v>
      </c>
      <c r="AP154" s="33" t="n">
        <f aca="false">AP69*'Hiring plan'!$K$65*(1+Salary_Raise)^(AP$5-1)</f>
        <v>0</v>
      </c>
      <c r="AQ154" s="33" t="n">
        <f aca="false">AQ69*'Hiring plan'!$K$65*(1+Salary_Raise)^(AQ$5-1)</f>
        <v>0</v>
      </c>
      <c r="AR154" s="33" t="n">
        <f aca="false">AR69*'Hiring plan'!$K$65*(1+Salary_Raise)^(AR$5-1)</f>
        <v>0</v>
      </c>
      <c r="AS154" s="33" t="n">
        <f aca="false">AS69*'Hiring plan'!$K$65*(1+Salary_Raise)^(AS$5-1)</f>
        <v>0</v>
      </c>
      <c r="AT154" s="33" t="n">
        <f aca="false">AT69*'Hiring plan'!$K$65*(1+Salary_Raise)^(AT$5-1)</f>
        <v>0</v>
      </c>
      <c r="AU154" s="33" t="n">
        <f aca="false">AU69*'Hiring plan'!$K$65*(1+Salary_Raise)^(AU$5-1)</f>
        <v>0</v>
      </c>
      <c r="AV154" s="33" t="n">
        <f aca="false">AV69*'Hiring plan'!$K$65*(1+Salary_Raise)^(AV$5-1)</f>
        <v>0</v>
      </c>
      <c r="AW154" s="33" t="n">
        <f aca="false">AW69*'Hiring plan'!$K$65*(1+Salary_Raise)^(AW$5-1)</f>
        <v>0</v>
      </c>
      <c r="AX154" s="33" t="n">
        <f aca="false">AX69*'Hiring plan'!$K$65*(1+Salary_Raise)^(AX$5-1)</f>
        <v>0</v>
      </c>
      <c r="AY154" s="33" t="n">
        <f aca="false">AY69*'Hiring plan'!$K$65*(1+Salary_Raise)^(AY$5-1)</f>
        <v>0</v>
      </c>
      <c r="AZ154" s="33" t="n">
        <f aca="false">AZ69*'Hiring plan'!$K$65*(1+Salary_Raise)^(AZ$5-1)</f>
        <v>0</v>
      </c>
      <c r="BA154" s="33" t="n">
        <f aca="false">BA69*'Hiring plan'!$K$65*(1+Salary_Raise)^(BA$5-1)</f>
        <v>928176.77925</v>
      </c>
      <c r="BB154" s="33" t="n">
        <f aca="false">BB69*'Hiring plan'!$K$65*(1+Salary_Raise)^(BB$5-1)</f>
        <v>928176.77925</v>
      </c>
      <c r="BC154" s="33" t="n">
        <f aca="false">BC69*'Hiring plan'!$K$65*(1+Salary_Raise)^(BC$5-1)</f>
        <v>928176.77925</v>
      </c>
      <c r="BD154" s="33" t="n">
        <f aca="false">BD69*'Hiring plan'!$K$65*(1+Salary_Raise)^(BD$5-1)</f>
        <v>928176.77925</v>
      </c>
      <c r="BE154" s="33" t="n">
        <f aca="false">BE69*'Hiring plan'!$K$65*(1+Salary_Raise)^(BE$5-1)</f>
        <v>928176.77925</v>
      </c>
      <c r="BF154" s="33" t="n">
        <f aca="false">BF69*'Hiring plan'!$K$65*(1+Salary_Raise)^(BF$5-1)</f>
        <v>928176.77925</v>
      </c>
      <c r="BG154" s="33" t="n">
        <f aca="false">BG69*'Hiring plan'!$K$65*(1+Salary_Raise)^(BG$5-1)</f>
        <v>928176.77925</v>
      </c>
      <c r="BH154" s="33" t="n">
        <f aca="false">BH69*'Hiring plan'!$K$65*(1+Salary_Raise)^(BH$5-1)</f>
        <v>928176.77925</v>
      </c>
      <c r="BI154" s="33" t="n">
        <f aca="false">BI69*'Hiring plan'!$K$65*(1+Salary_Raise)^(BI$5-1)</f>
        <v>928176.77925</v>
      </c>
      <c r="BJ154" s="33" t="n">
        <f aca="false">BJ69*'Hiring plan'!$K$65*(1+Salary_Raise)^(BJ$5-1)</f>
        <v>928176.77925</v>
      </c>
      <c r="BK154" s="33" t="n">
        <f aca="false">BK69*'Hiring plan'!$K$65*(1+Salary_Raise)^(BK$5-1)</f>
        <v>928176.77925</v>
      </c>
      <c r="BL154" s="33" t="n">
        <f aca="false">BL69*'Hiring plan'!$K$65*(1+Salary_Raise)^(BL$5-1)</f>
        <v>928176.77925</v>
      </c>
    </row>
    <row r="155" customFormat="false" ht="15" hidden="false" customHeight="false" outlineLevel="0" collapsed="false">
      <c r="A155" s="12" t="str">
        <f aca="false">A70</f>
        <v>Customer support agent · SN</v>
      </c>
      <c r="B155" s="14" t="s">
        <v>63</v>
      </c>
      <c r="D155" s="41" t="n">
        <f aca="false">SUM(E155:BL155)</f>
        <v>12712056.084</v>
      </c>
      <c r="E155" s="33" t="n">
        <f aca="false">E70*'Hiring plan'!$K$66*(1+Salary_Raise)^(E$5-1)</f>
        <v>0</v>
      </c>
      <c r="F155" s="33" t="n">
        <f aca="false">F70*'Hiring plan'!$K$66*(1+Salary_Raise)^(F$5-1)</f>
        <v>0</v>
      </c>
      <c r="G155" s="33" t="n">
        <f aca="false">G70*'Hiring plan'!$K$66*(1+Salary_Raise)^(G$5-1)</f>
        <v>0</v>
      </c>
      <c r="H155" s="33" t="n">
        <f aca="false">H70*'Hiring plan'!$K$66*(1+Salary_Raise)^(H$5-1)</f>
        <v>0</v>
      </c>
      <c r="I155" s="33" t="n">
        <f aca="false">I70*'Hiring plan'!$K$66*(1+Salary_Raise)^(I$5-1)</f>
        <v>0</v>
      </c>
      <c r="J155" s="33" t="n">
        <f aca="false">J70*'Hiring plan'!$K$66*(1+Salary_Raise)^(J$5-1)</f>
        <v>0</v>
      </c>
      <c r="K155" s="33" t="n">
        <f aca="false">K70*'Hiring plan'!$K$66*(1+Salary_Raise)^(K$5-1)</f>
        <v>0</v>
      </c>
      <c r="L155" s="33" t="n">
        <f aca="false">L70*'Hiring plan'!$K$66*(1+Salary_Raise)^(L$5-1)</f>
        <v>0</v>
      </c>
      <c r="M155" s="33" t="n">
        <f aca="false">M70*'Hiring plan'!$K$66*(1+Salary_Raise)^(M$5-1)</f>
        <v>0</v>
      </c>
      <c r="N155" s="33" t="n">
        <f aca="false">N70*'Hiring plan'!$K$66*(1+Salary_Raise)^(N$5-1)</f>
        <v>0</v>
      </c>
      <c r="O155" s="33" t="n">
        <f aca="false">O70*'Hiring plan'!$K$66*(1+Salary_Raise)^(O$5-1)</f>
        <v>0</v>
      </c>
      <c r="P155" s="33" t="n">
        <f aca="false">P70*'Hiring plan'!$K$66*(1+Salary_Raise)^(P$5-1)</f>
        <v>0</v>
      </c>
      <c r="Q155" s="33" t="n">
        <f aca="false">Q70*'Hiring plan'!$K$66*(1+Salary_Raise)^(Q$5-1)</f>
        <v>0</v>
      </c>
      <c r="R155" s="33" t="n">
        <f aca="false">R70*'Hiring plan'!$K$66*(1+Salary_Raise)^(R$5-1)</f>
        <v>0</v>
      </c>
      <c r="S155" s="33" t="n">
        <f aca="false">S70*'Hiring plan'!$K$66*(1+Salary_Raise)^(S$5-1)</f>
        <v>0</v>
      </c>
      <c r="T155" s="33" t="n">
        <f aca="false">T70*'Hiring plan'!$K$66*(1+Salary_Raise)^(T$5-1)</f>
        <v>0</v>
      </c>
      <c r="U155" s="33" t="n">
        <f aca="false">U70*'Hiring plan'!$K$66*(1+Salary_Raise)^(U$5-1)</f>
        <v>0</v>
      </c>
      <c r="V155" s="33" t="n">
        <f aca="false">V70*'Hiring plan'!$K$66*(1+Salary_Raise)^(V$5-1)</f>
        <v>0</v>
      </c>
      <c r="W155" s="33" t="n">
        <f aca="false">W70*'Hiring plan'!$K$66*(1+Salary_Raise)^(W$5-1)</f>
        <v>0</v>
      </c>
      <c r="X155" s="33" t="n">
        <f aca="false">X70*'Hiring plan'!$K$66*(1+Salary_Raise)^(X$5-1)</f>
        <v>0</v>
      </c>
      <c r="Y155" s="33" t="n">
        <f aca="false">Y70*'Hiring plan'!$K$66*(1+Salary_Raise)^(Y$5-1)</f>
        <v>0</v>
      </c>
      <c r="Z155" s="33" t="n">
        <f aca="false">Z70*'Hiring plan'!$K$66*(1+Salary_Raise)^(Z$5-1)</f>
        <v>0</v>
      </c>
      <c r="AA155" s="33" t="n">
        <f aca="false">AA70*'Hiring plan'!$K$66*(1+Salary_Raise)^(AA$5-1)</f>
        <v>0</v>
      </c>
      <c r="AB155" s="33" t="n">
        <f aca="false">AB70*'Hiring plan'!$K$66*(1+Salary_Raise)^(AB$5-1)</f>
        <v>0</v>
      </c>
      <c r="AC155" s="33" t="n">
        <f aca="false">AC70*'Hiring plan'!$K$66*(1+Salary_Raise)^(AC$5-1)</f>
        <v>0</v>
      </c>
      <c r="AD155" s="33" t="n">
        <f aca="false">AD70*'Hiring plan'!$K$66*(1+Salary_Raise)^(AD$5-1)</f>
        <v>0</v>
      </c>
      <c r="AE155" s="33" t="n">
        <f aca="false">AE70*'Hiring plan'!$K$66*(1+Salary_Raise)^(AE$5-1)</f>
        <v>0</v>
      </c>
      <c r="AF155" s="33" t="n">
        <f aca="false">AF70*'Hiring plan'!$K$66*(1+Salary_Raise)^(AF$5-1)</f>
        <v>0</v>
      </c>
      <c r="AG155" s="33" t="n">
        <f aca="false">AG70*'Hiring plan'!$K$66*(1+Salary_Raise)^(AG$5-1)</f>
        <v>0</v>
      </c>
      <c r="AH155" s="33" t="n">
        <f aca="false">AH70*'Hiring plan'!$K$66*(1+Salary_Raise)^(AH$5-1)</f>
        <v>0</v>
      </c>
      <c r="AI155" s="33" t="n">
        <f aca="false">AI70*'Hiring plan'!$K$66*(1+Salary_Raise)^(AI$5-1)</f>
        <v>0</v>
      </c>
      <c r="AJ155" s="33" t="n">
        <f aca="false">AJ70*'Hiring plan'!$K$66*(1+Salary_Raise)^(AJ$5-1)</f>
        <v>0</v>
      </c>
      <c r="AK155" s="33" t="n">
        <f aca="false">AK70*'Hiring plan'!$K$66*(1+Salary_Raise)^(AK$5-1)</f>
        <v>0</v>
      </c>
      <c r="AL155" s="33" t="n">
        <f aca="false">AL70*'Hiring plan'!$K$66*(1+Salary_Raise)^(AL$5-1)</f>
        <v>0</v>
      </c>
      <c r="AM155" s="33" t="n">
        <f aca="false">AM70*'Hiring plan'!$K$66*(1+Salary_Raise)^(AM$5-1)</f>
        <v>0</v>
      </c>
      <c r="AN155" s="33" t="n">
        <f aca="false">AN70*'Hiring plan'!$K$66*(1+Salary_Raise)^(AN$5-1)</f>
        <v>0</v>
      </c>
      <c r="AO155" s="33" t="n">
        <f aca="false">AO70*'Hiring plan'!$K$66*(1+Salary_Raise)^(AO$5-1)</f>
        <v>0</v>
      </c>
      <c r="AP155" s="33" t="n">
        <f aca="false">AP70*'Hiring plan'!$K$66*(1+Salary_Raise)^(AP$5-1)</f>
        <v>0</v>
      </c>
      <c r="AQ155" s="33" t="n">
        <f aca="false">AQ70*'Hiring plan'!$K$66*(1+Salary_Raise)^(AQ$5-1)</f>
        <v>0</v>
      </c>
      <c r="AR155" s="33" t="n">
        <f aca="false">AR70*'Hiring plan'!$K$66*(1+Salary_Raise)^(AR$5-1)</f>
        <v>0</v>
      </c>
      <c r="AS155" s="33" t="n">
        <f aca="false">AS70*'Hiring plan'!$K$66*(1+Salary_Raise)^(AS$5-1)</f>
        <v>0</v>
      </c>
      <c r="AT155" s="33" t="n">
        <f aca="false">AT70*'Hiring plan'!$K$66*(1+Salary_Raise)^(AT$5-1)</f>
        <v>0</v>
      </c>
      <c r="AU155" s="33" t="n">
        <f aca="false">AU70*'Hiring plan'!$K$66*(1+Salary_Raise)^(AU$5-1)</f>
        <v>0</v>
      </c>
      <c r="AV155" s="33" t="n">
        <f aca="false">AV70*'Hiring plan'!$K$66*(1+Salary_Raise)^(AV$5-1)</f>
        <v>0</v>
      </c>
      <c r="AW155" s="33" t="n">
        <f aca="false">AW70*'Hiring plan'!$K$66*(1+Salary_Raise)^(AW$5-1)</f>
        <v>0</v>
      </c>
      <c r="AX155" s="33" t="n">
        <f aca="false">AX70*'Hiring plan'!$K$66*(1+Salary_Raise)^(AX$5-1)</f>
        <v>0</v>
      </c>
      <c r="AY155" s="33" t="n">
        <f aca="false">AY70*'Hiring plan'!$K$66*(1+Salary_Raise)^(AY$5-1)</f>
        <v>0</v>
      </c>
      <c r="AZ155" s="33" t="n">
        <f aca="false">AZ70*'Hiring plan'!$K$66*(1+Salary_Raise)^(AZ$5-1)</f>
        <v>0</v>
      </c>
      <c r="BA155" s="33" t="n">
        <f aca="false">BA70*'Hiring plan'!$K$66*(1+Salary_Raise)^(BA$5-1)</f>
        <v>1059338.007</v>
      </c>
      <c r="BB155" s="33" t="n">
        <f aca="false">BB70*'Hiring plan'!$K$66*(1+Salary_Raise)^(BB$5-1)</f>
        <v>1059338.007</v>
      </c>
      <c r="BC155" s="33" t="n">
        <f aca="false">BC70*'Hiring plan'!$K$66*(1+Salary_Raise)^(BC$5-1)</f>
        <v>1059338.007</v>
      </c>
      <c r="BD155" s="33" t="n">
        <f aca="false">BD70*'Hiring plan'!$K$66*(1+Salary_Raise)^(BD$5-1)</f>
        <v>1059338.007</v>
      </c>
      <c r="BE155" s="33" t="n">
        <f aca="false">BE70*'Hiring plan'!$K$66*(1+Salary_Raise)^(BE$5-1)</f>
        <v>1059338.007</v>
      </c>
      <c r="BF155" s="33" t="n">
        <f aca="false">BF70*'Hiring plan'!$K$66*(1+Salary_Raise)^(BF$5-1)</f>
        <v>1059338.007</v>
      </c>
      <c r="BG155" s="33" t="n">
        <f aca="false">BG70*'Hiring plan'!$K$66*(1+Salary_Raise)^(BG$5-1)</f>
        <v>1059338.007</v>
      </c>
      <c r="BH155" s="33" t="n">
        <f aca="false">BH70*'Hiring plan'!$K$66*(1+Salary_Raise)^(BH$5-1)</f>
        <v>1059338.007</v>
      </c>
      <c r="BI155" s="33" t="n">
        <f aca="false">BI70*'Hiring plan'!$K$66*(1+Salary_Raise)^(BI$5-1)</f>
        <v>1059338.007</v>
      </c>
      <c r="BJ155" s="33" t="n">
        <f aca="false">BJ70*'Hiring plan'!$K$66*(1+Salary_Raise)^(BJ$5-1)</f>
        <v>1059338.007</v>
      </c>
      <c r="BK155" s="33" t="n">
        <f aca="false">BK70*'Hiring plan'!$K$66*(1+Salary_Raise)^(BK$5-1)</f>
        <v>1059338.007</v>
      </c>
      <c r="BL155" s="33" t="n">
        <f aca="false">BL70*'Hiring plan'!$K$66*(1+Salary_Raise)^(BL$5-1)</f>
        <v>1059338.007</v>
      </c>
    </row>
    <row r="156" customFormat="false" ht="15" hidden="false" customHeight="false" outlineLevel="0" collapsed="false">
      <c r="A156" s="12" t="str">
        <f aca="false">A71</f>
        <v>KYC and support agent, Abidjan · CI</v>
      </c>
      <c r="B156" s="14" t="s">
        <v>63</v>
      </c>
      <c r="D156" s="41" t="n">
        <f aca="false">SUM(E156:BL156)</f>
        <v>12011341.041</v>
      </c>
      <c r="E156" s="33" t="n">
        <f aca="false">E71*'Hiring plan'!$K$67*(1+Salary_Raise)^(E$5-1)</f>
        <v>0</v>
      </c>
      <c r="F156" s="33" t="n">
        <f aca="false">F71*'Hiring plan'!$K$67*(1+Salary_Raise)^(F$5-1)</f>
        <v>0</v>
      </c>
      <c r="G156" s="33" t="n">
        <f aca="false">G71*'Hiring plan'!$K$67*(1+Salary_Raise)^(G$5-1)</f>
        <v>0</v>
      </c>
      <c r="H156" s="33" t="n">
        <f aca="false">H71*'Hiring plan'!$K$67*(1+Salary_Raise)^(H$5-1)</f>
        <v>0</v>
      </c>
      <c r="I156" s="33" t="n">
        <f aca="false">I71*'Hiring plan'!$K$67*(1+Salary_Raise)^(I$5-1)</f>
        <v>0</v>
      </c>
      <c r="J156" s="33" t="n">
        <f aca="false">J71*'Hiring plan'!$K$67*(1+Salary_Raise)^(J$5-1)</f>
        <v>0</v>
      </c>
      <c r="K156" s="33" t="n">
        <f aca="false">K71*'Hiring plan'!$K$67*(1+Salary_Raise)^(K$5-1)</f>
        <v>0</v>
      </c>
      <c r="L156" s="33" t="n">
        <f aca="false">L71*'Hiring plan'!$K$67*(1+Salary_Raise)^(L$5-1)</f>
        <v>0</v>
      </c>
      <c r="M156" s="33" t="n">
        <f aca="false">M71*'Hiring plan'!$K$67*(1+Salary_Raise)^(M$5-1)</f>
        <v>0</v>
      </c>
      <c r="N156" s="33" t="n">
        <f aca="false">N71*'Hiring plan'!$K$67*(1+Salary_Raise)^(N$5-1)</f>
        <v>0</v>
      </c>
      <c r="O156" s="33" t="n">
        <f aca="false">O71*'Hiring plan'!$K$67*(1+Salary_Raise)^(O$5-1)</f>
        <v>0</v>
      </c>
      <c r="P156" s="33" t="n">
        <f aca="false">P71*'Hiring plan'!$K$67*(1+Salary_Raise)^(P$5-1)</f>
        <v>0</v>
      </c>
      <c r="Q156" s="33" t="n">
        <f aca="false">Q71*'Hiring plan'!$K$67*(1+Salary_Raise)^(Q$5-1)</f>
        <v>0</v>
      </c>
      <c r="R156" s="33" t="n">
        <f aca="false">R71*'Hiring plan'!$K$67*(1+Salary_Raise)^(R$5-1)</f>
        <v>0</v>
      </c>
      <c r="S156" s="33" t="n">
        <f aca="false">S71*'Hiring plan'!$K$67*(1+Salary_Raise)^(S$5-1)</f>
        <v>0</v>
      </c>
      <c r="T156" s="33" t="n">
        <f aca="false">T71*'Hiring plan'!$K$67*(1+Salary_Raise)^(T$5-1)</f>
        <v>0</v>
      </c>
      <c r="U156" s="33" t="n">
        <f aca="false">U71*'Hiring plan'!$K$67*(1+Salary_Raise)^(U$5-1)</f>
        <v>0</v>
      </c>
      <c r="V156" s="33" t="n">
        <f aca="false">V71*'Hiring plan'!$K$67*(1+Salary_Raise)^(V$5-1)</f>
        <v>0</v>
      </c>
      <c r="W156" s="33" t="n">
        <f aca="false">W71*'Hiring plan'!$K$67*(1+Salary_Raise)^(W$5-1)</f>
        <v>0</v>
      </c>
      <c r="X156" s="33" t="n">
        <f aca="false">X71*'Hiring plan'!$K$67*(1+Salary_Raise)^(X$5-1)</f>
        <v>0</v>
      </c>
      <c r="Y156" s="33" t="n">
        <f aca="false">Y71*'Hiring plan'!$K$67*(1+Salary_Raise)^(Y$5-1)</f>
        <v>0</v>
      </c>
      <c r="Z156" s="33" t="n">
        <f aca="false">Z71*'Hiring plan'!$K$67*(1+Salary_Raise)^(Z$5-1)</f>
        <v>0</v>
      </c>
      <c r="AA156" s="33" t="n">
        <f aca="false">AA71*'Hiring plan'!$K$67*(1+Salary_Raise)^(AA$5-1)</f>
        <v>0</v>
      </c>
      <c r="AB156" s="33" t="n">
        <f aca="false">AB71*'Hiring plan'!$K$67*(1+Salary_Raise)^(AB$5-1)</f>
        <v>0</v>
      </c>
      <c r="AC156" s="33" t="n">
        <f aca="false">AC71*'Hiring plan'!$K$67*(1+Salary_Raise)^(AC$5-1)</f>
        <v>0</v>
      </c>
      <c r="AD156" s="33" t="n">
        <f aca="false">AD71*'Hiring plan'!$K$67*(1+Salary_Raise)^(AD$5-1)</f>
        <v>0</v>
      </c>
      <c r="AE156" s="33" t="n">
        <f aca="false">AE71*'Hiring plan'!$K$67*(1+Salary_Raise)^(AE$5-1)</f>
        <v>0</v>
      </c>
      <c r="AF156" s="33" t="n">
        <f aca="false">AF71*'Hiring plan'!$K$67*(1+Salary_Raise)^(AF$5-1)</f>
        <v>0</v>
      </c>
      <c r="AG156" s="33" t="n">
        <f aca="false">AG71*'Hiring plan'!$K$67*(1+Salary_Raise)^(AG$5-1)</f>
        <v>0</v>
      </c>
      <c r="AH156" s="33" t="n">
        <f aca="false">AH71*'Hiring plan'!$K$67*(1+Salary_Raise)^(AH$5-1)</f>
        <v>0</v>
      </c>
      <c r="AI156" s="33" t="n">
        <f aca="false">AI71*'Hiring plan'!$K$67*(1+Salary_Raise)^(AI$5-1)</f>
        <v>0</v>
      </c>
      <c r="AJ156" s="33" t="n">
        <f aca="false">AJ71*'Hiring plan'!$K$67*(1+Salary_Raise)^(AJ$5-1)</f>
        <v>0</v>
      </c>
      <c r="AK156" s="33" t="n">
        <f aca="false">AK71*'Hiring plan'!$K$67*(1+Salary_Raise)^(AK$5-1)</f>
        <v>0</v>
      </c>
      <c r="AL156" s="33" t="n">
        <f aca="false">AL71*'Hiring plan'!$K$67*(1+Salary_Raise)^(AL$5-1)</f>
        <v>0</v>
      </c>
      <c r="AM156" s="33" t="n">
        <f aca="false">AM71*'Hiring plan'!$K$67*(1+Salary_Raise)^(AM$5-1)</f>
        <v>0</v>
      </c>
      <c r="AN156" s="33" t="n">
        <f aca="false">AN71*'Hiring plan'!$K$67*(1+Salary_Raise)^(AN$5-1)</f>
        <v>0</v>
      </c>
      <c r="AO156" s="33" t="n">
        <f aca="false">AO71*'Hiring plan'!$K$67*(1+Salary_Raise)^(AO$5-1)</f>
        <v>0</v>
      </c>
      <c r="AP156" s="33" t="n">
        <f aca="false">AP71*'Hiring plan'!$K$67*(1+Salary_Raise)^(AP$5-1)</f>
        <v>0</v>
      </c>
      <c r="AQ156" s="33" t="n">
        <f aca="false">AQ71*'Hiring plan'!$K$67*(1+Salary_Raise)^(AQ$5-1)</f>
        <v>0</v>
      </c>
      <c r="AR156" s="33" t="n">
        <f aca="false">AR71*'Hiring plan'!$K$67*(1+Salary_Raise)^(AR$5-1)</f>
        <v>0</v>
      </c>
      <c r="AS156" s="33" t="n">
        <f aca="false">AS71*'Hiring plan'!$K$67*(1+Salary_Raise)^(AS$5-1)</f>
        <v>0</v>
      </c>
      <c r="AT156" s="33" t="n">
        <f aca="false">AT71*'Hiring plan'!$K$67*(1+Salary_Raise)^(AT$5-1)</f>
        <v>0</v>
      </c>
      <c r="AU156" s="33" t="n">
        <f aca="false">AU71*'Hiring plan'!$K$67*(1+Salary_Raise)^(AU$5-1)</f>
        <v>0</v>
      </c>
      <c r="AV156" s="33" t="n">
        <f aca="false">AV71*'Hiring plan'!$K$67*(1+Salary_Raise)^(AV$5-1)</f>
        <v>0</v>
      </c>
      <c r="AW156" s="33" t="n">
        <f aca="false">AW71*'Hiring plan'!$K$67*(1+Salary_Raise)^(AW$5-1)</f>
        <v>0</v>
      </c>
      <c r="AX156" s="33" t="n">
        <f aca="false">AX71*'Hiring plan'!$K$67*(1+Salary_Raise)^(AX$5-1)</f>
        <v>0</v>
      </c>
      <c r="AY156" s="33" t="n">
        <f aca="false">AY71*'Hiring plan'!$K$67*(1+Salary_Raise)^(AY$5-1)</f>
        <v>0</v>
      </c>
      <c r="AZ156" s="33" t="n">
        <f aca="false">AZ71*'Hiring plan'!$K$67*(1+Salary_Raise)^(AZ$5-1)</f>
        <v>0</v>
      </c>
      <c r="BA156" s="33" t="n">
        <f aca="false">BA71*'Hiring plan'!$K$67*(1+Salary_Raise)^(BA$5-1)</f>
        <v>1000945.08675</v>
      </c>
      <c r="BB156" s="33" t="n">
        <f aca="false">BB71*'Hiring plan'!$K$67*(1+Salary_Raise)^(BB$5-1)</f>
        <v>1000945.08675</v>
      </c>
      <c r="BC156" s="33" t="n">
        <f aca="false">BC71*'Hiring plan'!$K$67*(1+Salary_Raise)^(BC$5-1)</f>
        <v>1000945.08675</v>
      </c>
      <c r="BD156" s="33" t="n">
        <f aca="false">BD71*'Hiring plan'!$K$67*(1+Salary_Raise)^(BD$5-1)</f>
        <v>1000945.08675</v>
      </c>
      <c r="BE156" s="33" t="n">
        <f aca="false">BE71*'Hiring plan'!$K$67*(1+Salary_Raise)^(BE$5-1)</f>
        <v>1000945.08675</v>
      </c>
      <c r="BF156" s="33" t="n">
        <f aca="false">BF71*'Hiring plan'!$K$67*(1+Salary_Raise)^(BF$5-1)</f>
        <v>1000945.08675</v>
      </c>
      <c r="BG156" s="33" t="n">
        <f aca="false">BG71*'Hiring plan'!$K$67*(1+Salary_Raise)^(BG$5-1)</f>
        <v>1000945.08675</v>
      </c>
      <c r="BH156" s="33" t="n">
        <f aca="false">BH71*'Hiring plan'!$K$67*(1+Salary_Raise)^(BH$5-1)</f>
        <v>1000945.08675</v>
      </c>
      <c r="BI156" s="33" t="n">
        <f aca="false">BI71*'Hiring plan'!$K$67*(1+Salary_Raise)^(BI$5-1)</f>
        <v>1000945.08675</v>
      </c>
      <c r="BJ156" s="33" t="n">
        <f aca="false">BJ71*'Hiring plan'!$K$67*(1+Salary_Raise)^(BJ$5-1)</f>
        <v>1000945.08675</v>
      </c>
      <c r="BK156" s="33" t="n">
        <f aca="false">BK71*'Hiring plan'!$K$67*(1+Salary_Raise)^(BK$5-1)</f>
        <v>1000945.08675</v>
      </c>
      <c r="BL156" s="33" t="n">
        <f aca="false">BL71*'Hiring plan'!$K$67*(1+Salary_Raise)^(BL$5-1)</f>
        <v>1000945.08675</v>
      </c>
    </row>
    <row r="157" customFormat="false" ht="15" hidden="false" customHeight="false" outlineLevel="0" collapsed="false">
      <c r="A157" s="12" t="str">
        <f aca="false">A72</f>
        <v>(spare line 64)</v>
      </c>
      <c r="B157" s="14" t="s">
        <v>63</v>
      </c>
      <c r="D157" s="41" t="n">
        <f aca="false">SUM(E157:BL157)</f>
        <v>0</v>
      </c>
      <c r="E157" s="33" t="n">
        <f aca="false">E72*'Hiring plan'!$K$68*(1+Salary_Raise)^(E$5-1)</f>
        <v>0</v>
      </c>
      <c r="F157" s="33" t="n">
        <f aca="false">F72*'Hiring plan'!$K$68*(1+Salary_Raise)^(F$5-1)</f>
        <v>0</v>
      </c>
      <c r="G157" s="33" t="n">
        <f aca="false">G72*'Hiring plan'!$K$68*(1+Salary_Raise)^(G$5-1)</f>
        <v>0</v>
      </c>
      <c r="H157" s="33" t="n">
        <f aca="false">H72*'Hiring plan'!$K$68*(1+Salary_Raise)^(H$5-1)</f>
        <v>0</v>
      </c>
      <c r="I157" s="33" t="n">
        <f aca="false">I72*'Hiring plan'!$K$68*(1+Salary_Raise)^(I$5-1)</f>
        <v>0</v>
      </c>
      <c r="J157" s="33" t="n">
        <f aca="false">J72*'Hiring plan'!$K$68*(1+Salary_Raise)^(J$5-1)</f>
        <v>0</v>
      </c>
      <c r="K157" s="33" t="n">
        <f aca="false">K72*'Hiring plan'!$K$68*(1+Salary_Raise)^(K$5-1)</f>
        <v>0</v>
      </c>
      <c r="L157" s="33" t="n">
        <f aca="false">L72*'Hiring plan'!$K$68*(1+Salary_Raise)^(L$5-1)</f>
        <v>0</v>
      </c>
      <c r="M157" s="33" t="n">
        <f aca="false">M72*'Hiring plan'!$K$68*(1+Salary_Raise)^(M$5-1)</f>
        <v>0</v>
      </c>
      <c r="N157" s="33" t="n">
        <f aca="false">N72*'Hiring plan'!$K$68*(1+Salary_Raise)^(N$5-1)</f>
        <v>0</v>
      </c>
      <c r="O157" s="33" t="n">
        <f aca="false">O72*'Hiring plan'!$K$68*(1+Salary_Raise)^(O$5-1)</f>
        <v>0</v>
      </c>
      <c r="P157" s="33" t="n">
        <f aca="false">P72*'Hiring plan'!$K$68*(1+Salary_Raise)^(P$5-1)</f>
        <v>0</v>
      </c>
      <c r="Q157" s="33" t="n">
        <f aca="false">Q72*'Hiring plan'!$K$68*(1+Salary_Raise)^(Q$5-1)</f>
        <v>0</v>
      </c>
      <c r="R157" s="33" t="n">
        <f aca="false">R72*'Hiring plan'!$K$68*(1+Salary_Raise)^(R$5-1)</f>
        <v>0</v>
      </c>
      <c r="S157" s="33" t="n">
        <f aca="false">S72*'Hiring plan'!$K$68*(1+Salary_Raise)^(S$5-1)</f>
        <v>0</v>
      </c>
      <c r="T157" s="33" t="n">
        <f aca="false">T72*'Hiring plan'!$K$68*(1+Salary_Raise)^(T$5-1)</f>
        <v>0</v>
      </c>
      <c r="U157" s="33" t="n">
        <f aca="false">U72*'Hiring plan'!$K$68*(1+Salary_Raise)^(U$5-1)</f>
        <v>0</v>
      </c>
      <c r="V157" s="33" t="n">
        <f aca="false">V72*'Hiring plan'!$K$68*(1+Salary_Raise)^(V$5-1)</f>
        <v>0</v>
      </c>
      <c r="W157" s="33" t="n">
        <f aca="false">W72*'Hiring plan'!$K$68*(1+Salary_Raise)^(W$5-1)</f>
        <v>0</v>
      </c>
      <c r="X157" s="33" t="n">
        <f aca="false">X72*'Hiring plan'!$K$68*(1+Salary_Raise)^(X$5-1)</f>
        <v>0</v>
      </c>
      <c r="Y157" s="33" t="n">
        <f aca="false">Y72*'Hiring plan'!$K$68*(1+Salary_Raise)^(Y$5-1)</f>
        <v>0</v>
      </c>
      <c r="Z157" s="33" t="n">
        <f aca="false">Z72*'Hiring plan'!$K$68*(1+Salary_Raise)^(Z$5-1)</f>
        <v>0</v>
      </c>
      <c r="AA157" s="33" t="n">
        <f aca="false">AA72*'Hiring plan'!$K$68*(1+Salary_Raise)^(AA$5-1)</f>
        <v>0</v>
      </c>
      <c r="AB157" s="33" t="n">
        <f aca="false">AB72*'Hiring plan'!$K$68*(1+Salary_Raise)^(AB$5-1)</f>
        <v>0</v>
      </c>
      <c r="AC157" s="33" t="n">
        <f aca="false">AC72*'Hiring plan'!$K$68*(1+Salary_Raise)^(AC$5-1)</f>
        <v>0</v>
      </c>
      <c r="AD157" s="33" t="n">
        <f aca="false">AD72*'Hiring plan'!$K$68*(1+Salary_Raise)^(AD$5-1)</f>
        <v>0</v>
      </c>
      <c r="AE157" s="33" t="n">
        <f aca="false">AE72*'Hiring plan'!$K$68*(1+Salary_Raise)^(AE$5-1)</f>
        <v>0</v>
      </c>
      <c r="AF157" s="33" t="n">
        <f aca="false">AF72*'Hiring plan'!$K$68*(1+Salary_Raise)^(AF$5-1)</f>
        <v>0</v>
      </c>
      <c r="AG157" s="33" t="n">
        <f aca="false">AG72*'Hiring plan'!$K$68*(1+Salary_Raise)^(AG$5-1)</f>
        <v>0</v>
      </c>
      <c r="AH157" s="33" t="n">
        <f aca="false">AH72*'Hiring plan'!$K$68*(1+Salary_Raise)^(AH$5-1)</f>
        <v>0</v>
      </c>
      <c r="AI157" s="33" t="n">
        <f aca="false">AI72*'Hiring plan'!$K$68*(1+Salary_Raise)^(AI$5-1)</f>
        <v>0</v>
      </c>
      <c r="AJ157" s="33" t="n">
        <f aca="false">AJ72*'Hiring plan'!$K$68*(1+Salary_Raise)^(AJ$5-1)</f>
        <v>0</v>
      </c>
      <c r="AK157" s="33" t="n">
        <f aca="false">AK72*'Hiring plan'!$K$68*(1+Salary_Raise)^(AK$5-1)</f>
        <v>0</v>
      </c>
      <c r="AL157" s="33" t="n">
        <f aca="false">AL72*'Hiring plan'!$K$68*(1+Salary_Raise)^(AL$5-1)</f>
        <v>0</v>
      </c>
      <c r="AM157" s="33" t="n">
        <f aca="false">AM72*'Hiring plan'!$K$68*(1+Salary_Raise)^(AM$5-1)</f>
        <v>0</v>
      </c>
      <c r="AN157" s="33" t="n">
        <f aca="false">AN72*'Hiring plan'!$K$68*(1+Salary_Raise)^(AN$5-1)</f>
        <v>0</v>
      </c>
      <c r="AO157" s="33" t="n">
        <f aca="false">AO72*'Hiring plan'!$K$68*(1+Salary_Raise)^(AO$5-1)</f>
        <v>0</v>
      </c>
      <c r="AP157" s="33" t="n">
        <f aca="false">AP72*'Hiring plan'!$K$68*(1+Salary_Raise)^(AP$5-1)</f>
        <v>0</v>
      </c>
      <c r="AQ157" s="33" t="n">
        <f aca="false">AQ72*'Hiring plan'!$K$68*(1+Salary_Raise)^(AQ$5-1)</f>
        <v>0</v>
      </c>
      <c r="AR157" s="33" t="n">
        <f aca="false">AR72*'Hiring plan'!$K$68*(1+Salary_Raise)^(AR$5-1)</f>
        <v>0</v>
      </c>
      <c r="AS157" s="33" t="n">
        <f aca="false">AS72*'Hiring plan'!$K$68*(1+Salary_Raise)^(AS$5-1)</f>
        <v>0</v>
      </c>
      <c r="AT157" s="33" t="n">
        <f aca="false">AT72*'Hiring plan'!$K$68*(1+Salary_Raise)^(AT$5-1)</f>
        <v>0</v>
      </c>
      <c r="AU157" s="33" t="n">
        <f aca="false">AU72*'Hiring plan'!$K$68*(1+Salary_Raise)^(AU$5-1)</f>
        <v>0</v>
      </c>
      <c r="AV157" s="33" t="n">
        <f aca="false">AV72*'Hiring plan'!$K$68*(1+Salary_Raise)^(AV$5-1)</f>
        <v>0</v>
      </c>
      <c r="AW157" s="33" t="n">
        <f aca="false">AW72*'Hiring plan'!$K$68*(1+Salary_Raise)^(AW$5-1)</f>
        <v>0</v>
      </c>
      <c r="AX157" s="33" t="n">
        <f aca="false">AX72*'Hiring plan'!$K$68*(1+Salary_Raise)^(AX$5-1)</f>
        <v>0</v>
      </c>
      <c r="AY157" s="33" t="n">
        <f aca="false">AY72*'Hiring plan'!$K$68*(1+Salary_Raise)^(AY$5-1)</f>
        <v>0</v>
      </c>
      <c r="AZ157" s="33" t="n">
        <f aca="false">AZ72*'Hiring plan'!$K$68*(1+Salary_Raise)^(AZ$5-1)</f>
        <v>0</v>
      </c>
      <c r="BA157" s="33" t="n">
        <f aca="false">BA72*'Hiring plan'!$K$68*(1+Salary_Raise)^(BA$5-1)</f>
        <v>0</v>
      </c>
      <c r="BB157" s="33" t="n">
        <f aca="false">BB72*'Hiring plan'!$K$68*(1+Salary_Raise)^(BB$5-1)</f>
        <v>0</v>
      </c>
      <c r="BC157" s="33" t="n">
        <f aca="false">BC72*'Hiring plan'!$K$68*(1+Salary_Raise)^(BC$5-1)</f>
        <v>0</v>
      </c>
      <c r="BD157" s="33" t="n">
        <f aca="false">BD72*'Hiring plan'!$K$68*(1+Salary_Raise)^(BD$5-1)</f>
        <v>0</v>
      </c>
      <c r="BE157" s="33" t="n">
        <f aca="false">BE72*'Hiring plan'!$K$68*(1+Salary_Raise)^(BE$5-1)</f>
        <v>0</v>
      </c>
      <c r="BF157" s="33" t="n">
        <f aca="false">BF72*'Hiring plan'!$K$68*(1+Salary_Raise)^(BF$5-1)</f>
        <v>0</v>
      </c>
      <c r="BG157" s="33" t="n">
        <f aca="false">BG72*'Hiring plan'!$K$68*(1+Salary_Raise)^(BG$5-1)</f>
        <v>0</v>
      </c>
      <c r="BH157" s="33" t="n">
        <f aca="false">BH72*'Hiring plan'!$K$68*(1+Salary_Raise)^(BH$5-1)</f>
        <v>0</v>
      </c>
      <c r="BI157" s="33" t="n">
        <f aca="false">BI72*'Hiring plan'!$K$68*(1+Salary_Raise)^(BI$5-1)</f>
        <v>0</v>
      </c>
      <c r="BJ157" s="33" t="n">
        <f aca="false">BJ72*'Hiring plan'!$K$68*(1+Salary_Raise)^(BJ$5-1)</f>
        <v>0</v>
      </c>
      <c r="BK157" s="33" t="n">
        <f aca="false">BK72*'Hiring plan'!$K$68*(1+Salary_Raise)^(BK$5-1)</f>
        <v>0</v>
      </c>
      <c r="BL157" s="33" t="n">
        <f aca="false">BL72*'Hiring plan'!$K$68*(1+Salary_Raise)^(BL$5-1)</f>
        <v>0</v>
      </c>
    </row>
    <row r="158" customFormat="false" ht="15" hidden="false" customHeight="false" outlineLevel="0" collapsed="false">
      <c r="A158" s="12" t="str">
        <f aca="false">A73</f>
        <v>(spare line 65)</v>
      </c>
      <c r="B158" s="14" t="s">
        <v>63</v>
      </c>
      <c r="D158" s="41" t="n">
        <f aca="false">SUM(E158:BL158)</f>
        <v>0</v>
      </c>
      <c r="E158" s="33" t="n">
        <f aca="false">E73*'Hiring plan'!$K$69*(1+Salary_Raise)^(E$5-1)</f>
        <v>0</v>
      </c>
      <c r="F158" s="33" t="n">
        <f aca="false">F73*'Hiring plan'!$K$69*(1+Salary_Raise)^(F$5-1)</f>
        <v>0</v>
      </c>
      <c r="G158" s="33" t="n">
        <f aca="false">G73*'Hiring plan'!$K$69*(1+Salary_Raise)^(G$5-1)</f>
        <v>0</v>
      </c>
      <c r="H158" s="33" t="n">
        <f aca="false">H73*'Hiring plan'!$K$69*(1+Salary_Raise)^(H$5-1)</f>
        <v>0</v>
      </c>
      <c r="I158" s="33" t="n">
        <f aca="false">I73*'Hiring plan'!$K$69*(1+Salary_Raise)^(I$5-1)</f>
        <v>0</v>
      </c>
      <c r="J158" s="33" t="n">
        <f aca="false">J73*'Hiring plan'!$K$69*(1+Salary_Raise)^(J$5-1)</f>
        <v>0</v>
      </c>
      <c r="K158" s="33" t="n">
        <f aca="false">K73*'Hiring plan'!$K$69*(1+Salary_Raise)^(K$5-1)</f>
        <v>0</v>
      </c>
      <c r="L158" s="33" t="n">
        <f aca="false">L73*'Hiring plan'!$K$69*(1+Salary_Raise)^(L$5-1)</f>
        <v>0</v>
      </c>
      <c r="M158" s="33" t="n">
        <f aca="false">M73*'Hiring plan'!$K$69*(1+Salary_Raise)^(M$5-1)</f>
        <v>0</v>
      </c>
      <c r="N158" s="33" t="n">
        <f aca="false">N73*'Hiring plan'!$K$69*(1+Salary_Raise)^(N$5-1)</f>
        <v>0</v>
      </c>
      <c r="O158" s="33" t="n">
        <f aca="false">O73*'Hiring plan'!$K$69*(1+Salary_Raise)^(O$5-1)</f>
        <v>0</v>
      </c>
      <c r="P158" s="33" t="n">
        <f aca="false">P73*'Hiring plan'!$K$69*(1+Salary_Raise)^(P$5-1)</f>
        <v>0</v>
      </c>
      <c r="Q158" s="33" t="n">
        <f aca="false">Q73*'Hiring plan'!$K$69*(1+Salary_Raise)^(Q$5-1)</f>
        <v>0</v>
      </c>
      <c r="R158" s="33" t="n">
        <f aca="false">R73*'Hiring plan'!$K$69*(1+Salary_Raise)^(R$5-1)</f>
        <v>0</v>
      </c>
      <c r="S158" s="33" t="n">
        <f aca="false">S73*'Hiring plan'!$K$69*(1+Salary_Raise)^(S$5-1)</f>
        <v>0</v>
      </c>
      <c r="T158" s="33" t="n">
        <f aca="false">T73*'Hiring plan'!$K$69*(1+Salary_Raise)^(T$5-1)</f>
        <v>0</v>
      </c>
      <c r="U158" s="33" t="n">
        <f aca="false">U73*'Hiring plan'!$K$69*(1+Salary_Raise)^(U$5-1)</f>
        <v>0</v>
      </c>
      <c r="V158" s="33" t="n">
        <f aca="false">V73*'Hiring plan'!$K$69*(1+Salary_Raise)^(V$5-1)</f>
        <v>0</v>
      </c>
      <c r="W158" s="33" t="n">
        <f aca="false">W73*'Hiring plan'!$K$69*(1+Salary_Raise)^(W$5-1)</f>
        <v>0</v>
      </c>
      <c r="X158" s="33" t="n">
        <f aca="false">X73*'Hiring plan'!$K$69*(1+Salary_Raise)^(X$5-1)</f>
        <v>0</v>
      </c>
      <c r="Y158" s="33" t="n">
        <f aca="false">Y73*'Hiring plan'!$K$69*(1+Salary_Raise)^(Y$5-1)</f>
        <v>0</v>
      </c>
      <c r="Z158" s="33" t="n">
        <f aca="false">Z73*'Hiring plan'!$K$69*(1+Salary_Raise)^(Z$5-1)</f>
        <v>0</v>
      </c>
      <c r="AA158" s="33" t="n">
        <f aca="false">AA73*'Hiring plan'!$K$69*(1+Salary_Raise)^(AA$5-1)</f>
        <v>0</v>
      </c>
      <c r="AB158" s="33" t="n">
        <f aca="false">AB73*'Hiring plan'!$K$69*(1+Salary_Raise)^(AB$5-1)</f>
        <v>0</v>
      </c>
      <c r="AC158" s="33" t="n">
        <f aca="false">AC73*'Hiring plan'!$K$69*(1+Salary_Raise)^(AC$5-1)</f>
        <v>0</v>
      </c>
      <c r="AD158" s="33" t="n">
        <f aca="false">AD73*'Hiring plan'!$K$69*(1+Salary_Raise)^(AD$5-1)</f>
        <v>0</v>
      </c>
      <c r="AE158" s="33" t="n">
        <f aca="false">AE73*'Hiring plan'!$K$69*(1+Salary_Raise)^(AE$5-1)</f>
        <v>0</v>
      </c>
      <c r="AF158" s="33" t="n">
        <f aca="false">AF73*'Hiring plan'!$K$69*(1+Salary_Raise)^(AF$5-1)</f>
        <v>0</v>
      </c>
      <c r="AG158" s="33" t="n">
        <f aca="false">AG73*'Hiring plan'!$K$69*(1+Salary_Raise)^(AG$5-1)</f>
        <v>0</v>
      </c>
      <c r="AH158" s="33" t="n">
        <f aca="false">AH73*'Hiring plan'!$K$69*(1+Salary_Raise)^(AH$5-1)</f>
        <v>0</v>
      </c>
      <c r="AI158" s="33" t="n">
        <f aca="false">AI73*'Hiring plan'!$K$69*(1+Salary_Raise)^(AI$5-1)</f>
        <v>0</v>
      </c>
      <c r="AJ158" s="33" t="n">
        <f aca="false">AJ73*'Hiring plan'!$K$69*(1+Salary_Raise)^(AJ$5-1)</f>
        <v>0</v>
      </c>
      <c r="AK158" s="33" t="n">
        <f aca="false">AK73*'Hiring plan'!$K$69*(1+Salary_Raise)^(AK$5-1)</f>
        <v>0</v>
      </c>
      <c r="AL158" s="33" t="n">
        <f aca="false">AL73*'Hiring plan'!$K$69*(1+Salary_Raise)^(AL$5-1)</f>
        <v>0</v>
      </c>
      <c r="AM158" s="33" t="n">
        <f aca="false">AM73*'Hiring plan'!$K$69*(1+Salary_Raise)^(AM$5-1)</f>
        <v>0</v>
      </c>
      <c r="AN158" s="33" t="n">
        <f aca="false">AN73*'Hiring plan'!$K$69*(1+Salary_Raise)^(AN$5-1)</f>
        <v>0</v>
      </c>
      <c r="AO158" s="33" t="n">
        <f aca="false">AO73*'Hiring plan'!$K$69*(1+Salary_Raise)^(AO$5-1)</f>
        <v>0</v>
      </c>
      <c r="AP158" s="33" t="n">
        <f aca="false">AP73*'Hiring plan'!$K$69*(1+Salary_Raise)^(AP$5-1)</f>
        <v>0</v>
      </c>
      <c r="AQ158" s="33" t="n">
        <f aca="false">AQ73*'Hiring plan'!$K$69*(1+Salary_Raise)^(AQ$5-1)</f>
        <v>0</v>
      </c>
      <c r="AR158" s="33" t="n">
        <f aca="false">AR73*'Hiring plan'!$K$69*(1+Salary_Raise)^(AR$5-1)</f>
        <v>0</v>
      </c>
      <c r="AS158" s="33" t="n">
        <f aca="false">AS73*'Hiring plan'!$K$69*(1+Salary_Raise)^(AS$5-1)</f>
        <v>0</v>
      </c>
      <c r="AT158" s="33" t="n">
        <f aca="false">AT73*'Hiring plan'!$K$69*(1+Salary_Raise)^(AT$5-1)</f>
        <v>0</v>
      </c>
      <c r="AU158" s="33" t="n">
        <f aca="false">AU73*'Hiring plan'!$K$69*(1+Salary_Raise)^(AU$5-1)</f>
        <v>0</v>
      </c>
      <c r="AV158" s="33" t="n">
        <f aca="false">AV73*'Hiring plan'!$K$69*(1+Salary_Raise)^(AV$5-1)</f>
        <v>0</v>
      </c>
      <c r="AW158" s="33" t="n">
        <f aca="false">AW73*'Hiring plan'!$K$69*(1+Salary_Raise)^(AW$5-1)</f>
        <v>0</v>
      </c>
      <c r="AX158" s="33" t="n">
        <f aca="false">AX73*'Hiring plan'!$K$69*(1+Salary_Raise)^(AX$5-1)</f>
        <v>0</v>
      </c>
      <c r="AY158" s="33" t="n">
        <f aca="false">AY73*'Hiring plan'!$K$69*(1+Salary_Raise)^(AY$5-1)</f>
        <v>0</v>
      </c>
      <c r="AZ158" s="33" t="n">
        <f aca="false">AZ73*'Hiring plan'!$K$69*(1+Salary_Raise)^(AZ$5-1)</f>
        <v>0</v>
      </c>
      <c r="BA158" s="33" t="n">
        <f aca="false">BA73*'Hiring plan'!$K$69*(1+Salary_Raise)^(BA$5-1)</f>
        <v>0</v>
      </c>
      <c r="BB158" s="33" t="n">
        <f aca="false">BB73*'Hiring plan'!$K$69*(1+Salary_Raise)^(BB$5-1)</f>
        <v>0</v>
      </c>
      <c r="BC158" s="33" t="n">
        <f aca="false">BC73*'Hiring plan'!$K$69*(1+Salary_Raise)^(BC$5-1)</f>
        <v>0</v>
      </c>
      <c r="BD158" s="33" t="n">
        <f aca="false">BD73*'Hiring plan'!$K$69*(1+Salary_Raise)^(BD$5-1)</f>
        <v>0</v>
      </c>
      <c r="BE158" s="33" t="n">
        <f aca="false">BE73*'Hiring plan'!$K$69*(1+Salary_Raise)^(BE$5-1)</f>
        <v>0</v>
      </c>
      <c r="BF158" s="33" t="n">
        <f aca="false">BF73*'Hiring plan'!$K$69*(1+Salary_Raise)^(BF$5-1)</f>
        <v>0</v>
      </c>
      <c r="BG158" s="33" t="n">
        <f aca="false">BG73*'Hiring plan'!$K$69*(1+Salary_Raise)^(BG$5-1)</f>
        <v>0</v>
      </c>
      <c r="BH158" s="33" t="n">
        <f aca="false">BH73*'Hiring plan'!$K$69*(1+Salary_Raise)^(BH$5-1)</f>
        <v>0</v>
      </c>
      <c r="BI158" s="33" t="n">
        <f aca="false">BI73*'Hiring plan'!$K$69*(1+Salary_Raise)^(BI$5-1)</f>
        <v>0</v>
      </c>
      <c r="BJ158" s="33" t="n">
        <f aca="false">BJ73*'Hiring plan'!$K$69*(1+Salary_Raise)^(BJ$5-1)</f>
        <v>0</v>
      </c>
      <c r="BK158" s="33" t="n">
        <f aca="false">BK73*'Hiring plan'!$K$69*(1+Salary_Raise)^(BK$5-1)</f>
        <v>0</v>
      </c>
      <c r="BL158" s="33" t="n">
        <f aca="false">BL73*'Hiring plan'!$K$69*(1+Salary_Raise)^(BL$5-1)</f>
        <v>0</v>
      </c>
    </row>
    <row r="159" customFormat="false" ht="15" hidden="false" customHeight="false" outlineLevel="0" collapsed="false">
      <c r="A159" s="12" t="str">
        <f aca="false">A74</f>
        <v>(spare line 66)</v>
      </c>
      <c r="B159" s="14" t="s">
        <v>63</v>
      </c>
      <c r="D159" s="41" t="n">
        <f aca="false">SUM(E159:BL159)</f>
        <v>0</v>
      </c>
      <c r="E159" s="33" t="n">
        <f aca="false">E74*'Hiring plan'!$K$70*(1+Salary_Raise)^(E$5-1)</f>
        <v>0</v>
      </c>
      <c r="F159" s="33" t="n">
        <f aca="false">F74*'Hiring plan'!$K$70*(1+Salary_Raise)^(F$5-1)</f>
        <v>0</v>
      </c>
      <c r="G159" s="33" t="n">
        <f aca="false">G74*'Hiring plan'!$K$70*(1+Salary_Raise)^(G$5-1)</f>
        <v>0</v>
      </c>
      <c r="H159" s="33" t="n">
        <f aca="false">H74*'Hiring plan'!$K$70*(1+Salary_Raise)^(H$5-1)</f>
        <v>0</v>
      </c>
      <c r="I159" s="33" t="n">
        <f aca="false">I74*'Hiring plan'!$K$70*(1+Salary_Raise)^(I$5-1)</f>
        <v>0</v>
      </c>
      <c r="J159" s="33" t="n">
        <f aca="false">J74*'Hiring plan'!$K$70*(1+Salary_Raise)^(J$5-1)</f>
        <v>0</v>
      </c>
      <c r="K159" s="33" t="n">
        <f aca="false">K74*'Hiring plan'!$K$70*(1+Salary_Raise)^(K$5-1)</f>
        <v>0</v>
      </c>
      <c r="L159" s="33" t="n">
        <f aca="false">L74*'Hiring plan'!$K$70*(1+Salary_Raise)^(L$5-1)</f>
        <v>0</v>
      </c>
      <c r="M159" s="33" t="n">
        <f aca="false">M74*'Hiring plan'!$K$70*(1+Salary_Raise)^(M$5-1)</f>
        <v>0</v>
      </c>
      <c r="N159" s="33" t="n">
        <f aca="false">N74*'Hiring plan'!$K$70*(1+Salary_Raise)^(N$5-1)</f>
        <v>0</v>
      </c>
      <c r="O159" s="33" t="n">
        <f aca="false">O74*'Hiring plan'!$K$70*(1+Salary_Raise)^(O$5-1)</f>
        <v>0</v>
      </c>
      <c r="P159" s="33" t="n">
        <f aca="false">P74*'Hiring plan'!$K$70*(1+Salary_Raise)^(P$5-1)</f>
        <v>0</v>
      </c>
      <c r="Q159" s="33" t="n">
        <f aca="false">Q74*'Hiring plan'!$K$70*(1+Salary_Raise)^(Q$5-1)</f>
        <v>0</v>
      </c>
      <c r="R159" s="33" t="n">
        <f aca="false">R74*'Hiring plan'!$K$70*(1+Salary_Raise)^(R$5-1)</f>
        <v>0</v>
      </c>
      <c r="S159" s="33" t="n">
        <f aca="false">S74*'Hiring plan'!$K$70*(1+Salary_Raise)^(S$5-1)</f>
        <v>0</v>
      </c>
      <c r="T159" s="33" t="n">
        <f aca="false">T74*'Hiring plan'!$K$70*(1+Salary_Raise)^(T$5-1)</f>
        <v>0</v>
      </c>
      <c r="U159" s="33" t="n">
        <f aca="false">U74*'Hiring plan'!$K$70*(1+Salary_Raise)^(U$5-1)</f>
        <v>0</v>
      </c>
      <c r="V159" s="33" t="n">
        <f aca="false">V74*'Hiring plan'!$K$70*(1+Salary_Raise)^(V$5-1)</f>
        <v>0</v>
      </c>
      <c r="W159" s="33" t="n">
        <f aca="false">W74*'Hiring plan'!$K$70*(1+Salary_Raise)^(W$5-1)</f>
        <v>0</v>
      </c>
      <c r="X159" s="33" t="n">
        <f aca="false">X74*'Hiring plan'!$K$70*(1+Salary_Raise)^(X$5-1)</f>
        <v>0</v>
      </c>
      <c r="Y159" s="33" t="n">
        <f aca="false">Y74*'Hiring plan'!$K$70*(1+Salary_Raise)^(Y$5-1)</f>
        <v>0</v>
      </c>
      <c r="Z159" s="33" t="n">
        <f aca="false">Z74*'Hiring plan'!$K$70*(1+Salary_Raise)^(Z$5-1)</f>
        <v>0</v>
      </c>
      <c r="AA159" s="33" t="n">
        <f aca="false">AA74*'Hiring plan'!$K$70*(1+Salary_Raise)^(AA$5-1)</f>
        <v>0</v>
      </c>
      <c r="AB159" s="33" t="n">
        <f aca="false">AB74*'Hiring plan'!$K$70*(1+Salary_Raise)^(AB$5-1)</f>
        <v>0</v>
      </c>
      <c r="AC159" s="33" t="n">
        <f aca="false">AC74*'Hiring plan'!$K$70*(1+Salary_Raise)^(AC$5-1)</f>
        <v>0</v>
      </c>
      <c r="AD159" s="33" t="n">
        <f aca="false">AD74*'Hiring plan'!$K$70*(1+Salary_Raise)^(AD$5-1)</f>
        <v>0</v>
      </c>
      <c r="AE159" s="33" t="n">
        <f aca="false">AE74*'Hiring plan'!$K$70*(1+Salary_Raise)^(AE$5-1)</f>
        <v>0</v>
      </c>
      <c r="AF159" s="33" t="n">
        <f aca="false">AF74*'Hiring plan'!$K$70*(1+Salary_Raise)^(AF$5-1)</f>
        <v>0</v>
      </c>
      <c r="AG159" s="33" t="n">
        <f aca="false">AG74*'Hiring plan'!$K$70*(1+Salary_Raise)^(AG$5-1)</f>
        <v>0</v>
      </c>
      <c r="AH159" s="33" t="n">
        <f aca="false">AH74*'Hiring plan'!$K$70*(1+Salary_Raise)^(AH$5-1)</f>
        <v>0</v>
      </c>
      <c r="AI159" s="33" t="n">
        <f aca="false">AI74*'Hiring plan'!$K$70*(1+Salary_Raise)^(AI$5-1)</f>
        <v>0</v>
      </c>
      <c r="AJ159" s="33" t="n">
        <f aca="false">AJ74*'Hiring plan'!$K$70*(1+Salary_Raise)^(AJ$5-1)</f>
        <v>0</v>
      </c>
      <c r="AK159" s="33" t="n">
        <f aca="false">AK74*'Hiring plan'!$K$70*(1+Salary_Raise)^(AK$5-1)</f>
        <v>0</v>
      </c>
      <c r="AL159" s="33" t="n">
        <f aca="false">AL74*'Hiring plan'!$K$70*(1+Salary_Raise)^(AL$5-1)</f>
        <v>0</v>
      </c>
      <c r="AM159" s="33" t="n">
        <f aca="false">AM74*'Hiring plan'!$K$70*(1+Salary_Raise)^(AM$5-1)</f>
        <v>0</v>
      </c>
      <c r="AN159" s="33" t="n">
        <f aca="false">AN74*'Hiring plan'!$K$70*(1+Salary_Raise)^(AN$5-1)</f>
        <v>0</v>
      </c>
      <c r="AO159" s="33" t="n">
        <f aca="false">AO74*'Hiring plan'!$K$70*(1+Salary_Raise)^(AO$5-1)</f>
        <v>0</v>
      </c>
      <c r="AP159" s="33" t="n">
        <f aca="false">AP74*'Hiring plan'!$K$70*(1+Salary_Raise)^(AP$5-1)</f>
        <v>0</v>
      </c>
      <c r="AQ159" s="33" t="n">
        <f aca="false">AQ74*'Hiring plan'!$K$70*(1+Salary_Raise)^(AQ$5-1)</f>
        <v>0</v>
      </c>
      <c r="AR159" s="33" t="n">
        <f aca="false">AR74*'Hiring plan'!$K$70*(1+Salary_Raise)^(AR$5-1)</f>
        <v>0</v>
      </c>
      <c r="AS159" s="33" t="n">
        <f aca="false">AS74*'Hiring plan'!$K$70*(1+Salary_Raise)^(AS$5-1)</f>
        <v>0</v>
      </c>
      <c r="AT159" s="33" t="n">
        <f aca="false">AT74*'Hiring plan'!$K$70*(1+Salary_Raise)^(AT$5-1)</f>
        <v>0</v>
      </c>
      <c r="AU159" s="33" t="n">
        <f aca="false">AU74*'Hiring plan'!$K$70*(1+Salary_Raise)^(AU$5-1)</f>
        <v>0</v>
      </c>
      <c r="AV159" s="33" t="n">
        <f aca="false">AV74*'Hiring plan'!$K$70*(1+Salary_Raise)^(AV$5-1)</f>
        <v>0</v>
      </c>
      <c r="AW159" s="33" t="n">
        <f aca="false">AW74*'Hiring plan'!$K$70*(1+Salary_Raise)^(AW$5-1)</f>
        <v>0</v>
      </c>
      <c r="AX159" s="33" t="n">
        <f aca="false">AX74*'Hiring plan'!$K$70*(1+Salary_Raise)^(AX$5-1)</f>
        <v>0</v>
      </c>
      <c r="AY159" s="33" t="n">
        <f aca="false">AY74*'Hiring plan'!$K$70*(1+Salary_Raise)^(AY$5-1)</f>
        <v>0</v>
      </c>
      <c r="AZ159" s="33" t="n">
        <f aca="false">AZ74*'Hiring plan'!$K$70*(1+Salary_Raise)^(AZ$5-1)</f>
        <v>0</v>
      </c>
      <c r="BA159" s="33" t="n">
        <f aca="false">BA74*'Hiring plan'!$K$70*(1+Salary_Raise)^(BA$5-1)</f>
        <v>0</v>
      </c>
      <c r="BB159" s="33" t="n">
        <f aca="false">BB74*'Hiring plan'!$K$70*(1+Salary_Raise)^(BB$5-1)</f>
        <v>0</v>
      </c>
      <c r="BC159" s="33" t="n">
        <f aca="false">BC74*'Hiring plan'!$K$70*(1+Salary_Raise)^(BC$5-1)</f>
        <v>0</v>
      </c>
      <c r="BD159" s="33" t="n">
        <f aca="false">BD74*'Hiring plan'!$K$70*(1+Salary_Raise)^(BD$5-1)</f>
        <v>0</v>
      </c>
      <c r="BE159" s="33" t="n">
        <f aca="false">BE74*'Hiring plan'!$K$70*(1+Salary_Raise)^(BE$5-1)</f>
        <v>0</v>
      </c>
      <c r="BF159" s="33" t="n">
        <f aca="false">BF74*'Hiring plan'!$K$70*(1+Salary_Raise)^(BF$5-1)</f>
        <v>0</v>
      </c>
      <c r="BG159" s="33" t="n">
        <f aca="false">BG74*'Hiring plan'!$K$70*(1+Salary_Raise)^(BG$5-1)</f>
        <v>0</v>
      </c>
      <c r="BH159" s="33" t="n">
        <f aca="false">BH74*'Hiring plan'!$K$70*(1+Salary_Raise)^(BH$5-1)</f>
        <v>0</v>
      </c>
      <c r="BI159" s="33" t="n">
        <f aca="false">BI74*'Hiring plan'!$K$70*(1+Salary_Raise)^(BI$5-1)</f>
        <v>0</v>
      </c>
      <c r="BJ159" s="33" t="n">
        <f aca="false">BJ74*'Hiring plan'!$K$70*(1+Salary_Raise)^(BJ$5-1)</f>
        <v>0</v>
      </c>
      <c r="BK159" s="33" t="n">
        <f aca="false">BK74*'Hiring plan'!$K$70*(1+Salary_Raise)^(BK$5-1)</f>
        <v>0</v>
      </c>
      <c r="BL159" s="33" t="n">
        <f aca="false">BL74*'Hiring plan'!$K$70*(1+Salary_Raise)^(BL$5-1)</f>
        <v>0</v>
      </c>
    </row>
    <row r="160" customFormat="false" ht="15" hidden="false" customHeight="false" outlineLevel="0" collapsed="false">
      <c r="A160" s="12" t="str">
        <f aca="false">A75</f>
        <v>(spare line 67)</v>
      </c>
      <c r="B160" s="14" t="s">
        <v>63</v>
      </c>
      <c r="D160" s="41" t="n">
        <f aca="false">SUM(E160:BL160)</f>
        <v>0</v>
      </c>
      <c r="E160" s="33" t="n">
        <f aca="false">E75*'Hiring plan'!$K$71*(1+Salary_Raise)^(E$5-1)</f>
        <v>0</v>
      </c>
      <c r="F160" s="33" t="n">
        <f aca="false">F75*'Hiring plan'!$K$71*(1+Salary_Raise)^(F$5-1)</f>
        <v>0</v>
      </c>
      <c r="G160" s="33" t="n">
        <f aca="false">G75*'Hiring plan'!$K$71*(1+Salary_Raise)^(G$5-1)</f>
        <v>0</v>
      </c>
      <c r="H160" s="33" t="n">
        <f aca="false">H75*'Hiring plan'!$K$71*(1+Salary_Raise)^(H$5-1)</f>
        <v>0</v>
      </c>
      <c r="I160" s="33" t="n">
        <f aca="false">I75*'Hiring plan'!$K$71*(1+Salary_Raise)^(I$5-1)</f>
        <v>0</v>
      </c>
      <c r="J160" s="33" t="n">
        <f aca="false">J75*'Hiring plan'!$K$71*(1+Salary_Raise)^(J$5-1)</f>
        <v>0</v>
      </c>
      <c r="K160" s="33" t="n">
        <f aca="false">K75*'Hiring plan'!$K$71*(1+Salary_Raise)^(K$5-1)</f>
        <v>0</v>
      </c>
      <c r="L160" s="33" t="n">
        <f aca="false">L75*'Hiring plan'!$K$71*(1+Salary_Raise)^(L$5-1)</f>
        <v>0</v>
      </c>
      <c r="M160" s="33" t="n">
        <f aca="false">M75*'Hiring plan'!$K$71*(1+Salary_Raise)^(M$5-1)</f>
        <v>0</v>
      </c>
      <c r="N160" s="33" t="n">
        <f aca="false">N75*'Hiring plan'!$K$71*(1+Salary_Raise)^(N$5-1)</f>
        <v>0</v>
      </c>
      <c r="O160" s="33" t="n">
        <f aca="false">O75*'Hiring plan'!$K$71*(1+Salary_Raise)^(O$5-1)</f>
        <v>0</v>
      </c>
      <c r="P160" s="33" t="n">
        <f aca="false">P75*'Hiring plan'!$K$71*(1+Salary_Raise)^(P$5-1)</f>
        <v>0</v>
      </c>
      <c r="Q160" s="33" t="n">
        <f aca="false">Q75*'Hiring plan'!$K$71*(1+Salary_Raise)^(Q$5-1)</f>
        <v>0</v>
      </c>
      <c r="R160" s="33" t="n">
        <f aca="false">R75*'Hiring plan'!$K$71*(1+Salary_Raise)^(R$5-1)</f>
        <v>0</v>
      </c>
      <c r="S160" s="33" t="n">
        <f aca="false">S75*'Hiring plan'!$K$71*(1+Salary_Raise)^(S$5-1)</f>
        <v>0</v>
      </c>
      <c r="T160" s="33" t="n">
        <f aca="false">T75*'Hiring plan'!$K$71*(1+Salary_Raise)^(T$5-1)</f>
        <v>0</v>
      </c>
      <c r="U160" s="33" t="n">
        <f aca="false">U75*'Hiring plan'!$K$71*(1+Salary_Raise)^(U$5-1)</f>
        <v>0</v>
      </c>
      <c r="V160" s="33" t="n">
        <f aca="false">V75*'Hiring plan'!$K$71*(1+Salary_Raise)^(V$5-1)</f>
        <v>0</v>
      </c>
      <c r="W160" s="33" t="n">
        <f aca="false">W75*'Hiring plan'!$K$71*(1+Salary_Raise)^(W$5-1)</f>
        <v>0</v>
      </c>
      <c r="X160" s="33" t="n">
        <f aca="false">X75*'Hiring plan'!$K$71*(1+Salary_Raise)^(X$5-1)</f>
        <v>0</v>
      </c>
      <c r="Y160" s="33" t="n">
        <f aca="false">Y75*'Hiring plan'!$K$71*(1+Salary_Raise)^(Y$5-1)</f>
        <v>0</v>
      </c>
      <c r="Z160" s="33" t="n">
        <f aca="false">Z75*'Hiring plan'!$K$71*(1+Salary_Raise)^(Z$5-1)</f>
        <v>0</v>
      </c>
      <c r="AA160" s="33" t="n">
        <f aca="false">AA75*'Hiring plan'!$K$71*(1+Salary_Raise)^(AA$5-1)</f>
        <v>0</v>
      </c>
      <c r="AB160" s="33" t="n">
        <f aca="false">AB75*'Hiring plan'!$K$71*(1+Salary_Raise)^(AB$5-1)</f>
        <v>0</v>
      </c>
      <c r="AC160" s="33" t="n">
        <f aca="false">AC75*'Hiring plan'!$K$71*(1+Salary_Raise)^(AC$5-1)</f>
        <v>0</v>
      </c>
      <c r="AD160" s="33" t="n">
        <f aca="false">AD75*'Hiring plan'!$K$71*(1+Salary_Raise)^(AD$5-1)</f>
        <v>0</v>
      </c>
      <c r="AE160" s="33" t="n">
        <f aca="false">AE75*'Hiring plan'!$K$71*(1+Salary_Raise)^(AE$5-1)</f>
        <v>0</v>
      </c>
      <c r="AF160" s="33" t="n">
        <f aca="false">AF75*'Hiring plan'!$K$71*(1+Salary_Raise)^(AF$5-1)</f>
        <v>0</v>
      </c>
      <c r="AG160" s="33" t="n">
        <f aca="false">AG75*'Hiring plan'!$K$71*(1+Salary_Raise)^(AG$5-1)</f>
        <v>0</v>
      </c>
      <c r="AH160" s="33" t="n">
        <f aca="false">AH75*'Hiring plan'!$K$71*(1+Salary_Raise)^(AH$5-1)</f>
        <v>0</v>
      </c>
      <c r="AI160" s="33" t="n">
        <f aca="false">AI75*'Hiring plan'!$K$71*(1+Salary_Raise)^(AI$5-1)</f>
        <v>0</v>
      </c>
      <c r="AJ160" s="33" t="n">
        <f aca="false">AJ75*'Hiring plan'!$K$71*(1+Salary_Raise)^(AJ$5-1)</f>
        <v>0</v>
      </c>
      <c r="AK160" s="33" t="n">
        <f aca="false">AK75*'Hiring plan'!$K$71*(1+Salary_Raise)^(AK$5-1)</f>
        <v>0</v>
      </c>
      <c r="AL160" s="33" t="n">
        <f aca="false">AL75*'Hiring plan'!$K$71*(1+Salary_Raise)^(AL$5-1)</f>
        <v>0</v>
      </c>
      <c r="AM160" s="33" t="n">
        <f aca="false">AM75*'Hiring plan'!$K$71*(1+Salary_Raise)^(AM$5-1)</f>
        <v>0</v>
      </c>
      <c r="AN160" s="33" t="n">
        <f aca="false">AN75*'Hiring plan'!$K$71*(1+Salary_Raise)^(AN$5-1)</f>
        <v>0</v>
      </c>
      <c r="AO160" s="33" t="n">
        <f aca="false">AO75*'Hiring plan'!$K$71*(1+Salary_Raise)^(AO$5-1)</f>
        <v>0</v>
      </c>
      <c r="AP160" s="33" t="n">
        <f aca="false">AP75*'Hiring plan'!$K$71*(1+Salary_Raise)^(AP$5-1)</f>
        <v>0</v>
      </c>
      <c r="AQ160" s="33" t="n">
        <f aca="false">AQ75*'Hiring plan'!$K$71*(1+Salary_Raise)^(AQ$5-1)</f>
        <v>0</v>
      </c>
      <c r="AR160" s="33" t="n">
        <f aca="false">AR75*'Hiring plan'!$K$71*(1+Salary_Raise)^(AR$5-1)</f>
        <v>0</v>
      </c>
      <c r="AS160" s="33" t="n">
        <f aca="false">AS75*'Hiring plan'!$K$71*(1+Salary_Raise)^(AS$5-1)</f>
        <v>0</v>
      </c>
      <c r="AT160" s="33" t="n">
        <f aca="false">AT75*'Hiring plan'!$K$71*(1+Salary_Raise)^(AT$5-1)</f>
        <v>0</v>
      </c>
      <c r="AU160" s="33" t="n">
        <f aca="false">AU75*'Hiring plan'!$K$71*(1+Salary_Raise)^(AU$5-1)</f>
        <v>0</v>
      </c>
      <c r="AV160" s="33" t="n">
        <f aca="false">AV75*'Hiring plan'!$K$71*(1+Salary_Raise)^(AV$5-1)</f>
        <v>0</v>
      </c>
      <c r="AW160" s="33" t="n">
        <f aca="false">AW75*'Hiring plan'!$K$71*(1+Salary_Raise)^(AW$5-1)</f>
        <v>0</v>
      </c>
      <c r="AX160" s="33" t="n">
        <f aca="false">AX75*'Hiring plan'!$K$71*(1+Salary_Raise)^(AX$5-1)</f>
        <v>0</v>
      </c>
      <c r="AY160" s="33" t="n">
        <f aca="false">AY75*'Hiring plan'!$K$71*(1+Salary_Raise)^(AY$5-1)</f>
        <v>0</v>
      </c>
      <c r="AZ160" s="33" t="n">
        <f aca="false">AZ75*'Hiring plan'!$K$71*(1+Salary_Raise)^(AZ$5-1)</f>
        <v>0</v>
      </c>
      <c r="BA160" s="33" t="n">
        <f aca="false">BA75*'Hiring plan'!$K$71*(1+Salary_Raise)^(BA$5-1)</f>
        <v>0</v>
      </c>
      <c r="BB160" s="33" t="n">
        <f aca="false">BB75*'Hiring plan'!$K$71*(1+Salary_Raise)^(BB$5-1)</f>
        <v>0</v>
      </c>
      <c r="BC160" s="33" t="n">
        <f aca="false">BC75*'Hiring plan'!$K$71*(1+Salary_Raise)^(BC$5-1)</f>
        <v>0</v>
      </c>
      <c r="BD160" s="33" t="n">
        <f aca="false">BD75*'Hiring plan'!$K$71*(1+Salary_Raise)^(BD$5-1)</f>
        <v>0</v>
      </c>
      <c r="BE160" s="33" t="n">
        <f aca="false">BE75*'Hiring plan'!$K$71*(1+Salary_Raise)^(BE$5-1)</f>
        <v>0</v>
      </c>
      <c r="BF160" s="33" t="n">
        <f aca="false">BF75*'Hiring plan'!$K$71*(1+Salary_Raise)^(BF$5-1)</f>
        <v>0</v>
      </c>
      <c r="BG160" s="33" t="n">
        <f aca="false">BG75*'Hiring plan'!$K$71*(1+Salary_Raise)^(BG$5-1)</f>
        <v>0</v>
      </c>
      <c r="BH160" s="33" t="n">
        <f aca="false">BH75*'Hiring plan'!$K$71*(1+Salary_Raise)^(BH$5-1)</f>
        <v>0</v>
      </c>
      <c r="BI160" s="33" t="n">
        <f aca="false">BI75*'Hiring plan'!$K$71*(1+Salary_Raise)^(BI$5-1)</f>
        <v>0</v>
      </c>
      <c r="BJ160" s="33" t="n">
        <f aca="false">BJ75*'Hiring plan'!$K$71*(1+Salary_Raise)^(BJ$5-1)</f>
        <v>0</v>
      </c>
      <c r="BK160" s="33" t="n">
        <f aca="false">BK75*'Hiring plan'!$K$71*(1+Salary_Raise)^(BK$5-1)</f>
        <v>0</v>
      </c>
      <c r="BL160" s="33" t="n">
        <f aca="false">BL75*'Hiring plan'!$K$71*(1+Salary_Raise)^(BL$5-1)</f>
        <v>0</v>
      </c>
    </row>
    <row r="161" customFormat="false" ht="15" hidden="false" customHeight="false" outlineLevel="0" collapsed="false">
      <c r="A161" s="12" t="str">
        <f aca="false">A76</f>
        <v>(spare line 68)</v>
      </c>
      <c r="B161" s="14" t="s">
        <v>63</v>
      </c>
      <c r="D161" s="41" t="n">
        <f aca="false">SUM(E161:BL161)</f>
        <v>0</v>
      </c>
      <c r="E161" s="33" t="n">
        <f aca="false">E76*'Hiring plan'!$K$72*(1+Salary_Raise)^(E$5-1)</f>
        <v>0</v>
      </c>
      <c r="F161" s="33" t="n">
        <f aca="false">F76*'Hiring plan'!$K$72*(1+Salary_Raise)^(F$5-1)</f>
        <v>0</v>
      </c>
      <c r="G161" s="33" t="n">
        <f aca="false">G76*'Hiring plan'!$K$72*(1+Salary_Raise)^(G$5-1)</f>
        <v>0</v>
      </c>
      <c r="H161" s="33" t="n">
        <f aca="false">H76*'Hiring plan'!$K$72*(1+Salary_Raise)^(H$5-1)</f>
        <v>0</v>
      </c>
      <c r="I161" s="33" t="n">
        <f aca="false">I76*'Hiring plan'!$K$72*(1+Salary_Raise)^(I$5-1)</f>
        <v>0</v>
      </c>
      <c r="J161" s="33" t="n">
        <f aca="false">J76*'Hiring plan'!$K$72*(1+Salary_Raise)^(J$5-1)</f>
        <v>0</v>
      </c>
      <c r="K161" s="33" t="n">
        <f aca="false">K76*'Hiring plan'!$K$72*(1+Salary_Raise)^(K$5-1)</f>
        <v>0</v>
      </c>
      <c r="L161" s="33" t="n">
        <f aca="false">L76*'Hiring plan'!$K$72*(1+Salary_Raise)^(L$5-1)</f>
        <v>0</v>
      </c>
      <c r="M161" s="33" t="n">
        <f aca="false">M76*'Hiring plan'!$K$72*(1+Salary_Raise)^(M$5-1)</f>
        <v>0</v>
      </c>
      <c r="N161" s="33" t="n">
        <f aca="false">N76*'Hiring plan'!$K$72*(1+Salary_Raise)^(N$5-1)</f>
        <v>0</v>
      </c>
      <c r="O161" s="33" t="n">
        <f aca="false">O76*'Hiring plan'!$K$72*(1+Salary_Raise)^(O$5-1)</f>
        <v>0</v>
      </c>
      <c r="P161" s="33" t="n">
        <f aca="false">P76*'Hiring plan'!$K$72*(1+Salary_Raise)^(P$5-1)</f>
        <v>0</v>
      </c>
      <c r="Q161" s="33" t="n">
        <f aca="false">Q76*'Hiring plan'!$K$72*(1+Salary_Raise)^(Q$5-1)</f>
        <v>0</v>
      </c>
      <c r="R161" s="33" t="n">
        <f aca="false">R76*'Hiring plan'!$K$72*(1+Salary_Raise)^(R$5-1)</f>
        <v>0</v>
      </c>
      <c r="S161" s="33" t="n">
        <f aca="false">S76*'Hiring plan'!$K$72*(1+Salary_Raise)^(S$5-1)</f>
        <v>0</v>
      </c>
      <c r="T161" s="33" t="n">
        <f aca="false">T76*'Hiring plan'!$K$72*(1+Salary_Raise)^(T$5-1)</f>
        <v>0</v>
      </c>
      <c r="U161" s="33" t="n">
        <f aca="false">U76*'Hiring plan'!$K$72*(1+Salary_Raise)^(U$5-1)</f>
        <v>0</v>
      </c>
      <c r="V161" s="33" t="n">
        <f aca="false">V76*'Hiring plan'!$K$72*(1+Salary_Raise)^(V$5-1)</f>
        <v>0</v>
      </c>
      <c r="W161" s="33" t="n">
        <f aca="false">W76*'Hiring plan'!$K$72*(1+Salary_Raise)^(W$5-1)</f>
        <v>0</v>
      </c>
      <c r="X161" s="33" t="n">
        <f aca="false">X76*'Hiring plan'!$K$72*(1+Salary_Raise)^(X$5-1)</f>
        <v>0</v>
      </c>
      <c r="Y161" s="33" t="n">
        <f aca="false">Y76*'Hiring plan'!$K$72*(1+Salary_Raise)^(Y$5-1)</f>
        <v>0</v>
      </c>
      <c r="Z161" s="33" t="n">
        <f aca="false">Z76*'Hiring plan'!$K$72*(1+Salary_Raise)^(Z$5-1)</f>
        <v>0</v>
      </c>
      <c r="AA161" s="33" t="n">
        <f aca="false">AA76*'Hiring plan'!$K$72*(1+Salary_Raise)^(AA$5-1)</f>
        <v>0</v>
      </c>
      <c r="AB161" s="33" t="n">
        <f aca="false">AB76*'Hiring plan'!$K$72*(1+Salary_Raise)^(AB$5-1)</f>
        <v>0</v>
      </c>
      <c r="AC161" s="33" t="n">
        <f aca="false">AC76*'Hiring plan'!$K$72*(1+Salary_Raise)^(AC$5-1)</f>
        <v>0</v>
      </c>
      <c r="AD161" s="33" t="n">
        <f aca="false">AD76*'Hiring plan'!$K$72*(1+Salary_Raise)^(AD$5-1)</f>
        <v>0</v>
      </c>
      <c r="AE161" s="33" t="n">
        <f aca="false">AE76*'Hiring plan'!$K$72*(1+Salary_Raise)^(AE$5-1)</f>
        <v>0</v>
      </c>
      <c r="AF161" s="33" t="n">
        <f aca="false">AF76*'Hiring plan'!$K$72*(1+Salary_Raise)^(AF$5-1)</f>
        <v>0</v>
      </c>
      <c r="AG161" s="33" t="n">
        <f aca="false">AG76*'Hiring plan'!$K$72*(1+Salary_Raise)^(AG$5-1)</f>
        <v>0</v>
      </c>
      <c r="AH161" s="33" t="n">
        <f aca="false">AH76*'Hiring plan'!$K$72*(1+Salary_Raise)^(AH$5-1)</f>
        <v>0</v>
      </c>
      <c r="AI161" s="33" t="n">
        <f aca="false">AI76*'Hiring plan'!$K$72*(1+Salary_Raise)^(AI$5-1)</f>
        <v>0</v>
      </c>
      <c r="AJ161" s="33" t="n">
        <f aca="false">AJ76*'Hiring plan'!$K$72*(1+Salary_Raise)^(AJ$5-1)</f>
        <v>0</v>
      </c>
      <c r="AK161" s="33" t="n">
        <f aca="false">AK76*'Hiring plan'!$K$72*(1+Salary_Raise)^(AK$5-1)</f>
        <v>0</v>
      </c>
      <c r="AL161" s="33" t="n">
        <f aca="false">AL76*'Hiring plan'!$K$72*(1+Salary_Raise)^(AL$5-1)</f>
        <v>0</v>
      </c>
      <c r="AM161" s="33" t="n">
        <f aca="false">AM76*'Hiring plan'!$K$72*(1+Salary_Raise)^(AM$5-1)</f>
        <v>0</v>
      </c>
      <c r="AN161" s="33" t="n">
        <f aca="false">AN76*'Hiring plan'!$K$72*(1+Salary_Raise)^(AN$5-1)</f>
        <v>0</v>
      </c>
      <c r="AO161" s="33" t="n">
        <f aca="false">AO76*'Hiring plan'!$K$72*(1+Salary_Raise)^(AO$5-1)</f>
        <v>0</v>
      </c>
      <c r="AP161" s="33" t="n">
        <f aca="false">AP76*'Hiring plan'!$K$72*(1+Salary_Raise)^(AP$5-1)</f>
        <v>0</v>
      </c>
      <c r="AQ161" s="33" t="n">
        <f aca="false">AQ76*'Hiring plan'!$K$72*(1+Salary_Raise)^(AQ$5-1)</f>
        <v>0</v>
      </c>
      <c r="AR161" s="33" t="n">
        <f aca="false">AR76*'Hiring plan'!$K$72*(1+Salary_Raise)^(AR$5-1)</f>
        <v>0</v>
      </c>
      <c r="AS161" s="33" t="n">
        <f aca="false">AS76*'Hiring plan'!$K$72*(1+Salary_Raise)^(AS$5-1)</f>
        <v>0</v>
      </c>
      <c r="AT161" s="33" t="n">
        <f aca="false">AT76*'Hiring plan'!$K$72*(1+Salary_Raise)^(AT$5-1)</f>
        <v>0</v>
      </c>
      <c r="AU161" s="33" t="n">
        <f aca="false">AU76*'Hiring plan'!$K$72*(1+Salary_Raise)^(AU$5-1)</f>
        <v>0</v>
      </c>
      <c r="AV161" s="33" t="n">
        <f aca="false">AV76*'Hiring plan'!$K$72*(1+Salary_Raise)^(AV$5-1)</f>
        <v>0</v>
      </c>
      <c r="AW161" s="33" t="n">
        <f aca="false">AW76*'Hiring plan'!$K$72*(1+Salary_Raise)^(AW$5-1)</f>
        <v>0</v>
      </c>
      <c r="AX161" s="33" t="n">
        <f aca="false">AX76*'Hiring plan'!$K$72*(1+Salary_Raise)^(AX$5-1)</f>
        <v>0</v>
      </c>
      <c r="AY161" s="33" t="n">
        <f aca="false">AY76*'Hiring plan'!$K$72*(1+Salary_Raise)^(AY$5-1)</f>
        <v>0</v>
      </c>
      <c r="AZ161" s="33" t="n">
        <f aca="false">AZ76*'Hiring plan'!$K$72*(1+Salary_Raise)^(AZ$5-1)</f>
        <v>0</v>
      </c>
      <c r="BA161" s="33" t="n">
        <f aca="false">BA76*'Hiring plan'!$K$72*(1+Salary_Raise)^(BA$5-1)</f>
        <v>0</v>
      </c>
      <c r="BB161" s="33" t="n">
        <f aca="false">BB76*'Hiring plan'!$K$72*(1+Salary_Raise)^(BB$5-1)</f>
        <v>0</v>
      </c>
      <c r="BC161" s="33" t="n">
        <f aca="false">BC76*'Hiring plan'!$K$72*(1+Salary_Raise)^(BC$5-1)</f>
        <v>0</v>
      </c>
      <c r="BD161" s="33" t="n">
        <f aca="false">BD76*'Hiring plan'!$K$72*(1+Salary_Raise)^(BD$5-1)</f>
        <v>0</v>
      </c>
      <c r="BE161" s="33" t="n">
        <f aca="false">BE76*'Hiring plan'!$K$72*(1+Salary_Raise)^(BE$5-1)</f>
        <v>0</v>
      </c>
      <c r="BF161" s="33" t="n">
        <f aca="false">BF76*'Hiring plan'!$K$72*(1+Salary_Raise)^(BF$5-1)</f>
        <v>0</v>
      </c>
      <c r="BG161" s="33" t="n">
        <f aca="false">BG76*'Hiring plan'!$K$72*(1+Salary_Raise)^(BG$5-1)</f>
        <v>0</v>
      </c>
      <c r="BH161" s="33" t="n">
        <f aca="false">BH76*'Hiring plan'!$K$72*(1+Salary_Raise)^(BH$5-1)</f>
        <v>0</v>
      </c>
      <c r="BI161" s="33" t="n">
        <f aca="false">BI76*'Hiring plan'!$K$72*(1+Salary_Raise)^(BI$5-1)</f>
        <v>0</v>
      </c>
      <c r="BJ161" s="33" t="n">
        <f aca="false">BJ76*'Hiring plan'!$K$72*(1+Salary_Raise)^(BJ$5-1)</f>
        <v>0</v>
      </c>
      <c r="BK161" s="33" t="n">
        <f aca="false">BK76*'Hiring plan'!$K$72*(1+Salary_Raise)^(BK$5-1)</f>
        <v>0</v>
      </c>
      <c r="BL161" s="33" t="n">
        <f aca="false">BL76*'Hiring plan'!$K$72*(1+Salary_Raise)^(BL$5-1)</f>
        <v>0</v>
      </c>
    </row>
    <row r="162" customFormat="false" ht="15" hidden="false" customHeight="false" outlineLevel="0" collapsed="false">
      <c r="A162" s="12" t="str">
        <f aca="false">A77</f>
        <v>(spare line 69)</v>
      </c>
      <c r="B162" s="14" t="s">
        <v>63</v>
      </c>
      <c r="D162" s="41" t="n">
        <f aca="false">SUM(E162:BL162)</f>
        <v>0</v>
      </c>
      <c r="E162" s="33" t="n">
        <f aca="false">E77*'Hiring plan'!$K$73*(1+Salary_Raise)^(E$5-1)</f>
        <v>0</v>
      </c>
      <c r="F162" s="33" t="n">
        <f aca="false">F77*'Hiring plan'!$K$73*(1+Salary_Raise)^(F$5-1)</f>
        <v>0</v>
      </c>
      <c r="G162" s="33" t="n">
        <f aca="false">G77*'Hiring plan'!$K$73*(1+Salary_Raise)^(G$5-1)</f>
        <v>0</v>
      </c>
      <c r="H162" s="33" t="n">
        <f aca="false">H77*'Hiring plan'!$K$73*(1+Salary_Raise)^(H$5-1)</f>
        <v>0</v>
      </c>
      <c r="I162" s="33" t="n">
        <f aca="false">I77*'Hiring plan'!$K$73*(1+Salary_Raise)^(I$5-1)</f>
        <v>0</v>
      </c>
      <c r="J162" s="33" t="n">
        <f aca="false">J77*'Hiring plan'!$K$73*(1+Salary_Raise)^(J$5-1)</f>
        <v>0</v>
      </c>
      <c r="K162" s="33" t="n">
        <f aca="false">K77*'Hiring plan'!$K$73*(1+Salary_Raise)^(K$5-1)</f>
        <v>0</v>
      </c>
      <c r="L162" s="33" t="n">
        <f aca="false">L77*'Hiring plan'!$K$73*(1+Salary_Raise)^(L$5-1)</f>
        <v>0</v>
      </c>
      <c r="M162" s="33" t="n">
        <f aca="false">M77*'Hiring plan'!$K$73*(1+Salary_Raise)^(M$5-1)</f>
        <v>0</v>
      </c>
      <c r="N162" s="33" t="n">
        <f aca="false">N77*'Hiring plan'!$K$73*(1+Salary_Raise)^(N$5-1)</f>
        <v>0</v>
      </c>
      <c r="O162" s="33" t="n">
        <f aca="false">O77*'Hiring plan'!$K$73*(1+Salary_Raise)^(O$5-1)</f>
        <v>0</v>
      </c>
      <c r="P162" s="33" t="n">
        <f aca="false">P77*'Hiring plan'!$K$73*(1+Salary_Raise)^(P$5-1)</f>
        <v>0</v>
      </c>
      <c r="Q162" s="33" t="n">
        <f aca="false">Q77*'Hiring plan'!$K$73*(1+Salary_Raise)^(Q$5-1)</f>
        <v>0</v>
      </c>
      <c r="R162" s="33" t="n">
        <f aca="false">R77*'Hiring plan'!$K$73*(1+Salary_Raise)^(R$5-1)</f>
        <v>0</v>
      </c>
      <c r="S162" s="33" t="n">
        <f aca="false">S77*'Hiring plan'!$K$73*(1+Salary_Raise)^(S$5-1)</f>
        <v>0</v>
      </c>
      <c r="T162" s="33" t="n">
        <f aca="false">T77*'Hiring plan'!$K$73*(1+Salary_Raise)^(T$5-1)</f>
        <v>0</v>
      </c>
      <c r="U162" s="33" t="n">
        <f aca="false">U77*'Hiring plan'!$K$73*(1+Salary_Raise)^(U$5-1)</f>
        <v>0</v>
      </c>
      <c r="V162" s="33" t="n">
        <f aca="false">V77*'Hiring plan'!$K$73*(1+Salary_Raise)^(V$5-1)</f>
        <v>0</v>
      </c>
      <c r="W162" s="33" t="n">
        <f aca="false">W77*'Hiring plan'!$K$73*(1+Salary_Raise)^(W$5-1)</f>
        <v>0</v>
      </c>
      <c r="X162" s="33" t="n">
        <f aca="false">X77*'Hiring plan'!$K$73*(1+Salary_Raise)^(X$5-1)</f>
        <v>0</v>
      </c>
      <c r="Y162" s="33" t="n">
        <f aca="false">Y77*'Hiring plan'!$K$73*(1+Salary_Raise)^(Y$5-1)</f>
        <v>0</v>
      </c>
      <c r="Z162" s="33" t="n">
        <f aca="false">Z77*'Hiring plan'!$K$73*(1+Salary_Raise)^(Z$5-1)</f>
        <v>0</v>
      </c>
      <c r="AA162" s="33" t="n">
        <f aca="false">AA77*'Hiring plan'!$K$73*(1+Salary_Raise)^(AA$5-1)</f>
        <v>0</v>
      </c>
      <c r="AB162" s="33" t="n">
        <f aca="false">AB77*'Hiring plan'!$K$73*(1+Salary_Raise)^(AB$5-1)</f>
        <v>0</v>
      </c>
      <c r="AC162" s="33" t="n">
        <f aca="false">AC77*'Hiring plan'!$K$73*(1+Salary_Raise)^(AC$5-1)</f>
        <v>0</v>
      </c>
      <c r="AD162" s="33" t="n">
        <f aca="false">AD77*'Hiring plan'!$K$73*(1+Salary_Raise)^(AD$5-1)</f>
        <v>0</v>
      </c>
      <c r="AE162" s="33" t="n">
        <f aca="false">AE77*'Hiring plan'!$K$73*(1+Salary_Raise)^(AE$5-1)</f>
        <v>0</v>
      </c>
      <c r="AF162" s="33" t="n">
        <f aca="false">AF77*'Hiring plan'!$K$73*(1+Salary_Raise)^(AF$5-1)</f>
        <v>0</v>
      </c>
      <c r="AG162" s="33" t="n">
        <f aca="false">AG77*'Hiring plan'!$K$73*(1+Salary_Raise)^(AG$5-1)</f>
        <v>0</v>
      </c>
      <c r="AH162" s="33" t="n">
        <f aca="false">AH77*'Hiring plan'!$K$73*(1+Salary_Raise)^(AH$5-1)</f>
        <v>0</v>
      </c>
      <c r="AI162" s="33" t="n">
        <f aca="false">AI77*'Hiring plan'!$K$73*(1+Salary_Raise)^(AI$5-1)</f>
        <v>0</v>
      </c>
      <c r="AJ162" s="33" t="n">
        <f aca="false">AJ77*'Hiring plan'!$K$73*(1+Salary_Raise)^(AJ$5-1)</f>
        <v>0</v>
      </c>
      <c r="AK162" s="33" t="n">
        <f aca="false">AK77*'Hiring plan'!$K$73*(1+Salary_Raise)^(AK$5-1)</f>
        <v>0</v>
      </c>
      <c r="AL162" s="33" t="n">
        <f aca="false">AL77*'Hiring plan'!$K$73*(1+Salary_Raise)^(AL$5-1)</f>
        <v>0</v>
      </c>
      <c r="AM162" s="33" t="n">
        <f aca="false">AM77*'Hiring plan'!$K$73*(1+Salary_Raise)^(AM$5-1)</f>
        <v>0</v>
      </c>
      <c r="AN162" s="33" t="n">
        <f aca="false">AN77*'Hiring plan'!$K$73*(1+Salary_Raise)^(AN$5-1)</f>
        <v>0</v>
      </c>
      <c r="AO162" s="33" t="n">
        <f aca="false">AO77*'Hiring plan'!$K$73*(1+Salary_Raise)^(AO$5-1)</f>
        <v>0</v>
      </c>
      <c r="AP162" s="33" t="n">
        <f aca="false">AP77*'Hiring plan'!$K$73*(1+Salary_Raise)^(AP$5-1)</f>
        <v>0</v>
      </c>
      <c r="AQ162" s="33" t="n">
        <f aca="false">AQ77*'Hiring plan'!$K$73*(1+Salary_Raise)^(AQ$5-1)</f>
        <v>0</v>
      </c>
      <c r="AR162" s="33" t="n">
        <f aca="false">AR77*'Hiring plan'!$K$73*(1+Salary_Raise)^(AR$5-1)</f>
        <v>0</v>
      </c>
      <c r="AS162" s="33" t="n">
        <f aca="false">AS77*'Hiring plan'!$K$73*(1+Salary_Raise)^(AS$5-1)</f>
        <v>0</v>
      </c>
      <c r="AT162" s="33" t="n">
        <f aca="false">AT77*'Hiring plan'!$K$73*(1+Salary_Raise)^(AT$5-1)</f>
        <v>0</v>
      </c>
      <c r="AU162" s="33" t="n">
        <f aca="false">AU77*'Hiring plan'!$K$73*(1+Salary_Raise)^(AU$5-1)</f>
        <v>0</v>
      </c>
      <c r="AV162" s="33" t="n">
        <f aca="false">AV77*'Hiring plan'!$K$73*(1+Salary_Raise)^(AV$5-1)</f>
        <v>0</v>
      </c>
      <c r="AW162" s="33" t="n">
        <f aca="false">AW77*'Hiring plan'!$K$73*(1+Salary_Raise)^(AW$5-1)</f>
        <v>0</v>
      </c>
      <c r="AX162" s="33" t="n">
        <f aca="false">AX77*'Hiring plan'!$K$73*(1+Salary_Raise)^(AX$5-1)</f>
        <v>0</v>
      </c>
      <c r="AY162" s="33" t="n">
        <f aca="false">AY77*'Hiring plan'!$K$73*(1+Salary_Raise)^(AY$5-1)</f>
        <v>0</v>
      </c>
      <c r="AZ162" s="33" t="n">
        <f aca="false">AZ77*'Hiring plan'!$K$73*(1+Salary_Raise)^(AZ$5-1)</f>
        <v>0</v>
      </c>
      <c r="BA162" s="33" t="n">
        <f aca="false">BA77*'Hiring plan'!$K$73*(1+Salary_Raise)^(BA$5-1)</f>
        <v>0</v>
      </c>
      <c r="BB162" s="33" t="n">
        <f aca="false">BB77*'Hiring plan'!$K$73*(1+Salary_Raise)^(BB$5-1)</f>
        <v>0</v>
      </c>
      <c r="BC162" s="33" t="n">
        <f aca="false">BC77*'Hiring plan'!$K$73*(1+Salary_Raise)^(BC$5-1)</f>
        <v>0</v>
      </c>
      <c r="BD162" s="33" t="n">
        <f aca="false">BD77*'Hiring plan'!$K$73*(1+Salary_Raise)^(BD$5-1)</f>
        <v>0</v>
      </c>
      <c r="BE162" s="33" t="n">
        <f aca="false">BE77*'Hiring plan'!$K$73*(1+Salary_Raise)^(BE$5-1)</f>
        <v>0</v>
      </c>
      <c r="BF162" s="33" t="n">
        <f aca="false">BF77*'Hiring plan'!$K$73*(1+Salary_Raise)^(BF$5-1)</f>
        <v>0</v>
      </c>
      <c r="BG162" s="33" t="n">
        <f aca="false">BG77*'Hiring plan'!$K$73*(1+Salary_Raise)^(BG$5-1)</f>
        <v>0</v>
      </c>
      <c r="BH162" s="33" t="n">
        <f aca="false">BH77*'Hiring plan'!$K$73*(1+Salary_Raise)^(BH$5-1)</f>
        <v>0</v>
      </c>
      <c r="BI162" s="33" t="n">
        <f aca="false">BI77*'Hiring plan'!$K$73*(1+Salary_Raise)^(BI$5-1)</f>
        <v>0</v>
      </c>
      <c r="BJ162" s="33" t="n">
        <f aca="false">BJ77*'Hiring plan'!$K$73*(1+Salary_Raise)^(BJ$5-1)</f>
        <v>0</v>
      </c>
      <c r="BK162" s="33" t="n">
        <f aca="false">BK77*'Hiring plan'!$K$73*(1+Salary_Raise)^(BK$5-1)</f>
        <v>0</v>
      </c>
      <c r="BL162" s="33" t="n">
        <f aca="false">BL77*'Hiring plan'!$K$73*(1+Salary_Raise)^(BL$5-1)</f>
        <v>0</v>
      </c>
    </row>
    <row r="163" customFormat="false" ht="15" hidden="false" customHeight="false" outlineLevel="0" collapsed="false">
      <c r="A163" s="12" t="str">
        <f aca="false">A78</f>
        <v>(spare line 70)</v>
      </c>
      <c r="B163" s="14" t="s">
        <v>63</v>
      </c>
      <c r="D163" s="41" t="n">
        <f aca="false">SUM(E163:BL163)</f>
        <v>0</v>
      </c>
      <c r="E163" s="33" t="n">
        <f aca="false">E78*'Hiring plan'!$K$74*(1+Salary_Raise)^(E$5-1)</f>
        <v>0</v>
      </c>
      <c r="F163" s="33" t="n">
        <f aca="false">F78*'Hiring plan'!$K$74*(1+Salary_Raise)^(F$5-1)</f>
        <v>0</v>
      </c>
      <c r="G163" s="33" t="n">
        <f aca="false">G78*'Hiring plan'!$K$74*(1+Salary_Raise)^(G$5-1)</f>
        <v>0</v>
      </c>
      <c r="H163" s="33" t="n">
        <f aca="false">H78*'Hiring plan'!$K$74*(1+Salary_Raise)^(H$5-1)</f>
        <v>0</v>
      </c>
      <c r="I163" s="33" t="n">
        <f aca="false">I78*'Hiring plan'!$K$74*(1+Salary_Raise)^(I$5-1)</f>
        <v>0</v>
      </c>
      <c r="J163" s="33" t="n">
        <f aca="false">J78*'Hiring plan'!$K$74*(1+Salary_Raise)^(J$5-1)</f>
        <v>0</v>
      </c>
      <c r="K163" s="33" t="n">
        <f aca="false">K78*'Hiring plan'!$K$74*(1+Salary_Raise)^(K$5-1)</f>
        <v>0</v>
      </c>
      <c r="L163" s="33" t="n">
        <f aca="false">L78*'Hiring plan'!$K$74*(1+Salary_Raise)^(L$5-1)</f>
        <v>0</v>
      </c>
      <c r="M163" s="33" t="n">
        <f aca="false">M78*'Hiring plan'!$K$74*(1+Salary_Raise)^(M$5-1)</f>
        <v>0</v>
      </c>
      <c r="N163" s="33" t="n">
        <f aca="false">N78*'Hiring plan'!$K$74*(1+Salary_Raise)^(N$5-1)</f>
        <v>0</v>
      </c>
      <c r="O163" s="33" t="n">
        <f aca="false">O78*'Hiring plan'!$K$74*(1+Salary_Raise)^(O$5-1)</f>
        <v>0</v>
      </c>
      <c r="P163" s="33" t="n">
        <f aca="false">P78*'Hiring plan'!$K$74*(1+Salary_Raise)^(P$5-1)</f>
        <v>0</v>
      </c>
      <c r="Q163" s="33" t="n">
        <f aca="false">Q78*'Hiring plan'!$K$74*(1+Salary_Raise)^(Q$5-1)</f>
        <v>0</v>
      </c>
      <c r="R163" s="33" t="n">
        <f aca="false">R78*'Hiring plan'!$K$74*(1+Salary_Raise)^(R$5-1)</f>
        <v>0</v>
      </c>
      <c r="S163" s="33" t="n">
        <f aca="false">S78*'Hiring plan'!$K$74*(1+Salary_Raise)^(S$5-1)</f>
        <v>0</v>
      </c>
      <c r="T163" s="33" t="n">
        <f aca="false">T78*'Hiring plan'!$K$74*(1+Salary_Raise)^(T$5-1)</f>
        <v>0</v>
      </c>
      <c r="U163" s="33" t="n">
        <f aca="false">U78*'Hiring plan'!$K$74*(1+Salary_Raise)^(U$5-1)</f>
        <v>0</v>
      </c>
      <c r="V163" s="33" t="n">
        <f aca="false">V78*'Hiring plan'!$K$74*(1+Salary_Raise)^(V$5-1)</f>
        <v>0</v>
      </c>
      <c r="W163" s="33" t="n">
        <f aca="false">W78*'Hiring plan'!$K$74*(1+Salary_Raise)^(W$5-1)</f>
        <v>0</v>
      </c>
      <c r="X163" s="33" t="n">
        <f aca="false">X78*'Hiring plan'!$K$74*(1+Salary_Raise)^(X$5-1)</f>
        <v>0</v>
      </c>
      <c r="Y163" s="33" t="n">
        <f aca="false">Y78*'Hiring plan'!$K$74*(1+Salary_Raise)^(Y$5-1)</f>
        <v>0</v>
      </c>
      <c r="Z163" s="33" t="n">
        <f aca="false">Z78*'Hiring plan'!$K$74*(1+Salary_Raise)^(Z$5-1)</f>
        <v>0</v>
      </c>
      <c r="AA163" s="33" t="n">
        <f aca="false">AA78*'Hiring plan'!$K$74*(1+Salary_Raise)^(AA$5-1)</f>
        <v>0</v>
      </c>
      <c r="AB163" s="33" t="n">
        <f aca="false">AB78*'Hiring plan'!$K$74*(1+Salary_Raise)^(AB$5-1)</f>
        <v>0</v>
      </c>
      <c r="AC163" s="33" t="n">
        <f aca="false">AC78*'Hiring plan'!$K$74*(1+Salary_Raise)^(AC$5-1)</f>
        <v>0</v>
      </c>
      <c r="AD163" s="33" t="n">
        <f aca="false">AD78*'Hiring plan'!$K$74*(1+Salary_Raise)^(AD$5-1)</f>
        <v>0</v>
      </c>
      <c r="AE163" s="33" t="n">
        <f aca="false">AE78*'Hiring plan'!$K$74*(1+Salary_Raise)^(AE$5-1)</f>
        <v>0</v>
      </c>
      <c r="AF163" s="33" t="n">
        <f aca="false">AF78*'Hiring plan'!$K$74*(1+Salary_Raise)^(AF$5-1)</f>
        <v>0</v>
      </c>
      <c r="AG163" s="33" t="n">
        <f aca="false">AG78*'Hiring plan'!$K$74*(1+Salary_Raise)^(AG$5-1)</f>
        <v>0</v>
      </c>
      <c r="AH163" s="33" t="n">
        <f aca="false">AH78*'Hiring plan'!$K$74*(1+Salary_Raise)^(AH$5-1)</f>
        <v>0</v>
      </c>
      <c r="AI163" s="33" t="n">
        <f aca="false">AI78*'Hiring plan'!$K$74*(1+Salary_Raise)^(AI$5-1)</f>
        <v>0</v>
      </c>
      <c r="AJ163" s="33" t="n">
        <f aca="false">AJ78*'Hiring plan'!$K$74*(1+Salary_Raise)^(AJ$5-1)</f>
        <v>0</v>
      </c>
      <c r="AK163" s="33" t="n">
        <f aca="false">AK78*'Hiring plan'!$K$74*(1+Salary_Raise)^(AK$5-1)</f>
        <v>0</v>
      </c>
      <c r="AL163" s="33" t="n">
        <f aca="false">AL78*'Hiring plan'!$K$74*(1+Salary_Raise)^(AL$5-1)</f>
        <v>0</v>
      </c>
      <c r="AM163" s="33" t="n">
        <f aca="false">AM78*'Hiring plan'!$K$74*(1+Salary_Raise)^(AM$5-1)</f>
        <v>0</v>
      </c>
      <c r="AN163" s="33" t="n">
        <f aca="false">AN78*'Hiring plan'!$K$74*(1+Salary_Raise)^(AN$5-1)</f>
        <v>0</v>
      </c>
      <c r="AO163" s="33" t="n">
        <f aca="false">AO78*'Hiring plan'!$K$74*(1+Salary_Raise)^(AO$5-1)</f>
        <v>0</v>
      </c>
      <c r="AP163" s="33" t="n">
        <f aca="false">AP78*'Hiring plan'!$K$74*(1+Salary_Raise)^(AP$5-1)</f>
        <v>0</v>
      </c>
      <c r="AQ163" s="33" t="n">
        <f aca="false">AQ78*'Hiring plan'!$K$74*(1+Salary_Raise)^(AQ$5-1)</f>
        <v>0</v>
      </c>
      <c r="AR163" s="33" t="n">
        <f aca="false">AR78*'Hiring plan'!$K$74*(1+Salary_Raise)^(AR$5-1)</f>
        <v>0</v>
      </c>
      <c r="AS163" s="33" t="n">
        <f aca="false">AS78*'Hiring plan'!$K$74*(1+Salary_Raise)^(AS$5-1)</f>
        <v>0</v>
      </c>
      <c r="AT163" s="33" t="n">
        <f aca="false">AT78*'Hiring plan'!$K$74*(1+Salary_Raise)^(AT$5-1)</f>
        <v>0</v>
      </c>
      <c r="AU163" s="33" t="n">
        <f aca="false">AU78*'Hiring plan'!$K$74*(1+Salary_Raise)^(AU$5-1)</f>
        <v>0</v>
      </c>
      <c r="AV163" s="33" t="n">
        <f aca="false">AV78*'Hiring plan'!$K$74*(1+Salary_Raise)^(AV$5-1)</f>
        <v>0</v>
      </c>
      <c r="AW163" s="33" t="n">
        <f aca="false">AW78*'Hiring plan'!$K$74*(1+Salary_Raise)^(AW$5-1)</f>
        <v>0</v>
      </c>
      <c r="AX163" s="33" t="n">
        <f aca="false">AX78*'Hiring plan'!$K$74*(1+Salary_Raise)^(AX$5-1)</f>
        <v>0</v>
      </c>
      <c r="AY163" s="33" t="n">
        <f aca="false">AY78*'Hiring plan'!$K$74*(1+Salary_Raise)^(AY$5-1)</f>
        <v>0</v>
      </c>
      <c r="AZ163" s="33" t="n">
        <f aca="false">AZ78*'Hiring plan'!$K$74*(1+Salary_Raise)^(AZ$5-1)</f>
        <v>0</v>
      </c>
      <c r="BA163" s="33" t="n">
        <f aca="false">BA78*'Hiring plan'!$K$74*(1+Salary_Raise)^(BA$5-1)</f>
        <v>0</v>
      </c>
      <c r="BB163" s="33" t="n">
        <f aca="false">BB78*'Hiring plan'!$K$74*(1+Salary_Raise)^(BB$5-1)</f>
        <v>0</v>
      </c>
      <c r="BC163" s="33" t="n">
        <f aca="false">BC78*'Hiring plan'!$K$74*(1+Salary_Raise)^(BC$5-1)</f>
        <v>0</v>
      </c>
      <c r="BD163" s="33" t="n">
        <f aca="false">BD78*'Hiring plan'!$K$74*(1+Salary_Raise)^(BD$5-1)</f>
        <v>0</v>
      </c>
      <c r="BE163" s="33" t="n">
        <f aca="false">BE78*'Hiring plan'!$K$74*(1+Salary_Raise)^(BE$5-1)</f>
        <v>0</v>
      </c>
      <c r="BF163" s="33" t="n">
        <f aca="false">BF78*'Hiring plan'!$K$74*(1+Salary_Raise)^(BF$5-1)</f>
        <v>0</v>
      </c>
      <c r="BG163" s="33" t="n">
        <f aca="false">BG78*'Hiring plan'!$K$74*(1+Salary_Raise)^(BG$5-1)</f>
        <v>0</v>
      </c>
      <c r="BH163" s="33" t="n">
        <f aca="false">BH78*'Hiring plan'!$K$74*(1+Salary_Raise)^(BH$5-1)</f>
        <v>0</v>
      </c>
      <c r="BI163" s="33" t="n">
        <f aca="false">BI78*'Hiring plan'!$K$74*(1+Salary_Raise)^(BI$5-1)</f>
        <v>0</v>
      </c>
      <c r="BJ163" s="33" t="n">
        <f aca="false">BJ78*'Hiring plan'!$K$74*(1+Salary_Raise)^(BJ$5-1)</f>
        <v>0</v>
      </c>
      <c r="BK163" s="33" t="n">
        <f aca="false">BK78*'Hiring plan'!$K$74*(1+Salary_Raise)^(BK$5-1)</f>
        <v>0</v>
      </c>
      <c r="BL163" s="33" t="n">
        <f aca="false">BL78*'Hiring plan'!$K$74*(1+Salary_Raise)^(BL$5-1)</f>
        <v>0</v>
      </c>
    </row>
    <row r="164" customFormat="false" ht="15" hidden="false" customHeight="false" outlineLevel="0" collapsed="false">
      <c r="A164" s="12" t="str">
        <f aca="false">A79</f>
        <v>(spare line 71)</v>
      </c>
      <c r="B164" s="14" t="s">
        <v>63</v>
      </c>
      <c r="D164" s="41" t="n">
        <f aca="false">SUM(E164:BL164)</f>
        <v>0</v>
      </c>
      <c r="E164" s="33" t="n">
        <f aca="false">E79*'Hiring plan'!$K$75*(1+Salary_Raise)^(E$5-1)</f>
        <v>0</v>
      </c>
      <c r="F164" s="33" t="n">
        <f aca="false">F79*'Hiring plan'!$K$75*(1+Salary_Raise)^(F$5-1)</f>
        <v>0</v>
      </c>
      <c r="G164" s="33" t="n">
        <f aca="false">G79*'Hiring plan'!$K$75*(1+Salary_Raise)^(G$5-1)</f>
        <v>0</v>
      </c>
      <c r="H164" s="33" t="n">
        <f aca="false">H79*'Hiring plan'!$K$75*(1+Salary_Raise)^(H$5-1)</f>
        <v>0</v>
      </c>
      <c r="I164" s="33" t="n">
        <f aca="false">I79*'Hiring plan'!$K$75*(1+Salary_Raise)^(I$5-1)</f>
        <v>0</v>
      </c>
      <c r="J164" s="33" t="n">
        <f aca="false">J79*'Hiring plan'!$K$75*(1+Salary_Raise)^(J$5-1)</f>
        <v>0</v>
      </c>
      <c r="K164" s="33" t="n">
        <f aca="false">K79*'Hiring plan'!$K$75*(1+Salary_Raise)^(K$5-1)</f>
        <v>0</v>
      </c>
      <c r="L164" s="33" t="n">
        <f aca="false">L79*'Hiring plan'!$K$75*(1+Salary_Raise)^(L$5-1)</f>
        <v>0</v>
      </c>
      <c r="M164" s="33" t="n">
        <f aca="false">M79*'Hiring plan'!$K$75*(1+Salary_Raise)^(M$5-1)</f>
        <v>0</v>
      </c>
      <c r="N164" s="33" t="n">
        <f aca="false">N79*'Hiring plan'!$K$75*(1+Salary_Raise)^(N$5-1)</f>
        <v>0</v>
      </c>
      <c r="O164" s="33" t="n">
        <f aca="false">O79*'Hiring plan'!$K$75*(1+Salary_Raise)^(O$5-1)</f>
        <v>0</v>
      </c>
      <c r="P164" s="33" t="n">
        <f aca="false">P79*'Hiring plan'!$K$75*(1+Salary_Raise)^(P$5-1)</f>
        <v>0</v>
      </c>
      <c r="Q164" s="33" t="n">
        <f aca="false">Q79*'Hiring plan'!$K$75*(1+Salary_Raise)^(Q$5-1)</f>
        <v>0</v>
      </c>
      <c r="R164" s="33" t="n">
        <f aca="false">R79*'Hiring plan'!$K$75*(1+Salary_Raise)^(R$5-1)</f>
        <v>0</v>
      </c>
      <c r="S164" s="33" t="n">
        <f aca="false">S79*'Hiring plan'!$K$75*(1+Salary_Raise)^(S$5-1)</f>
        <v>0</v>
      </c>
      <c r="T164" s="33" t="n">
        <f aca="false">T79*'Hiring plan'!$K$75*(1+Salary_Raise)^(T$5-1)</f>
        <v>0</v>
      </c>
      <c r="U164" s="33" t="n">
        <f aca="false">U79*'Hiring plan'!$K$75*(1+Salary_Raise)^(U$5-1)</f>
        <v>0</v>
      </c>
      <c r="V164" s="33" t="n">
        <f aca="false">V79*'Hiring plan'!$K$75*(1+Salary_Raise)^(V$5-1)</f>
        <v>0</v>
      </c>
      <c r="W164" s="33" t="n">
        <f aca="false">W79*'Hiring plan'!$K$75*(1+Salary_Raise)^(W$5-1)</f>
        <v>0</v>
      </c>
      <c r="X164" s="33" t="n">
        <f aca="false">X79*'Hiring plan'!$K$75*(1+Salary_Raise)^(X$5-1)</f>
        <v>0</v>
      </c>
      <c r="Y164" s="33" t="n">
        <f aca="false">Y79*'Hiring plan'!$K$75*(1+Salary_Raise)^(Y$5-1)</f>
        <v>0</v>
      </c>
      <c r="Z164" s="33" t="n">
        <f aca="false">Z79*'Hiring plan'!$K$75*(1+Salary_Raise)^(Z$5-1)</f>
        <v>0</v>
      </c>
      <c r="AA164" s="33" t="n">
        <f aca="false">AA79*'Hiring plan'!$K$75*(1+Salary_Raise)^(AA$5-1)</f>
        <v>0</v>
      </c>
      <c r="AB164" s="33" t="n">
        <f aca="false">AB79*'Hiring plan'!$K$75*(1+Salary_Raise)^(AB$5-1)</f>
        <v>0</v>
      </c>
      <c r="AC164" s="33" t="n">
        <f aca="false">AC79*'Hiring plan'!$K$75*(1+Salary_Raise)^(AC$5-1)</f>
        <v>0</v>
      </c>
      <c r="AD164" s="33" t="n">
        <f aca="false">AD79*'Hiring plan'!$K$75*(1+Salary_Raise)^(AD$5-1)</f>
        <v>0</v>
      </c>
      <c r="AE164" s="33" t="n">
        <f aca="false">AE79*'Hiring plan'!$K$75*(1+Salary_Raise)^(AE$5-1)</f>
        <v>0</v>
      </c>
      <c r="AF164" s="33" t="n">
        <f aca="false">AF79*'Hiring plan'!$K$75*(1+Salary_Raise)^(AF$5-1)</f>
        <v>0</v>
      </c>
      <c r="AG164" s="33" t="n">
        <f aca="false">AG79*'Hiring plan'!$K$75*(1+Salary_Raise)^(AG$5-1)</f>
        <v>0</v>
      </c>
      <c r="AH164" s="33" t="n">
        <f aca="false">AH79*'Hiring plan'!$K$75*(1+Salary_Raise)^(AH$5-1)</f>
        <v>0</v>
      </c>
      <c r="AI164" s="33" t="n">
        <f aca="false">AI79*'Hiring plan'!$K$75*(1+Salary_Raise)^(AI$5-1)</f>
        <v>0</v>
      </c>
      <c r="AJ164" s="33" t="n">
        <f aca="false">AJ79*'Hiring plan'!$K$75*(1+Salary_Raise)^(AJ$5-1)</f>
        <v>0</v>
      </c>
      <c r="AK164" s="33" t="n">
        <f aca="false">AK79*'Hiring plan'!$K$75*(1+Salary_Raise)^(AK$5-1)</f>
        <v>0</v>
      </c>
      <c r="AL164" s="33" t="n">
        <f aca="false">AL79*'Hiring plan'!$K$75*(1+Salary_Raise)^(AL$5-1)</f>
        <v>0</v>
      </c>
      <c r="AM164" s="33" t="n">
        <f aca="false">AM79*'Hiring plan'!$K$75*(1+Salary_Raise)^(AM$5-1)</f>
        <v>0</v>
      </c>
      <c r="AN164" s="33" t="n">
        <f aca="false">AN79*'Hiring plan'!$K$75*(1+Salary_Raise)^(AN$5-1)</f>
        <v>0</v>
      </c>
      <c r="AO164" s="33" t="n">
        <f aca="false">AO79*'Hiring plan'!$K$75*(1+Salary_Raise)^(AO$5-1)</f>
        <v>0</v>
      </c>
      <c r="AP164" s="33" t="n">
        <f aca="false">AP79*'Hiring plan'!$K$75*(1+Salary_Raise)^(AP$5-1)</f>
        <v>0</v>
      </c>
      <c r="AQ164" s="33" t="n">
        <f aca="false">AQ79*'Hiring plan'!$K$75*(1+Salary_Raise)^(AQ$5-1)</f>
        <v>0</v>
      </c>
      <c r="AR164" s="33" t="n">
        <f aca="false">AR79*'Hiring plan'!$K$75*(1+Salary_Raise)^(AR$5-1)</f>
        <v>0</v>
      </c>
      <c r="AS164" s="33" t="n">
        <f aca="false">AS79*'Hiring plan'!$K$75*(1+Salary_Raise)^(AS$5-1)</f>
        <v>0</v>
      </c>
      <c r="AT164" s="33" t="n">
        <f aca="false">AT79*'Hiring plan'!$K$75*(1+Salary_Raise)^(AT$5-1)</f>
        <v>0</v>
      </c>
      <c r="AU164" s="33" t="n">
        <f aca="false">AU79*'Hiring plan'!$K$75*(1+Salary_Raise)^(AU$5-1)</f>
        <v>0</v>
      </c>
      <c r="AV164" s="33" t="n">
        <f aca="false">AV79*'Hiring plan'!$K$75*(1+Salary_Raise)^(AV$5-1)</f>
        <v>0</v>
      </c>
      <c r="AW164" s="33" t="n">
        <f aca="false">AW79*'Hiring plan'!$K$75*(1+Salary_Raise)^(AW$5-1)</f>
        <v>0</v>
      </c>
      <c r="AX164" s="33" t="n">
        <f aca="false">AX79*'Hiring plan'!$K$75*(1+Salary_Raise)^(AX$5-1)</f>
        <v>0</v>
      </c>
      <c r="AY164" s="33" t="n">
        <f aca="false">AY79*'Hiring plan'!$K$75*(1+Salary_Raise)^(AY$5-1)</f>
        <v>0</v>
      </c>
      <c r="AZ164" s="33" t="n">
        <f aca="false">AZ79*'Hiring plan'!$K$75*(1+Salary_Raise)^(AZ$5-1)</f>
        <v>0</v>
      </c>
      <c r="BA164" s="33" t="n">
        <f aca="false">BA79*'Hiring plan'!$K$75*(1+Salary_Raise)^(BA$5-1)</f>
        <v>0</v>
      </c>
      <c r="BB164" s="33" t="n">
        <f aca="false">BB79*'Hiring plan'!$K$75*(1+Salary_Raise)^(BB$5-1)</f>
        <v>0</v>
      </c>
      <c r="BC164" s="33" t="n">
        <f aca="false">BC79*'Hiring plan'!$K$75*(1+Salary_Raise)^(BC$5-1)</f>
        <v>0</v>
      </c>
      <c r="BD164" s="33" t="n">
        <f aca="false">BD79*'Hiring plan'!$K$75*(1+Salary_Raise)^(BD$5-1)</f>
        <v>0</v>
      </c>
      <c r="BE164" s="33" t="n">
        <f aca="false">BE79*'Hiring plan'!$K$75*(1+Salary_Raise)^(BE$5-1)</f>
        <v>0</v>
      </c>
      <c r="BF164" s="33" t="n">
        <f aca="false">BF79*'Hiring plan'!$K$75*(1+Salary_Raise)^(BF$5-1)</f>
        <v>0</v>
      </c>
      <c r="BG164" s="33" t="n">
        <f aca="false">BG79*'Hiring plan'!$K$75*(1+Salary_Raise)^(BG$5-1)</f>
        <v>0</v>
      </c>
      <c r="BH164" s="33" t="n">
        <f aca="false">BH79*'Hiring plan'!$K$75*(1+Salary_Raise)^(BH$5-1)</f>
        <v>0</v>
      </c>
      <c r="BI164" s="33" t="n">
        <f aca="false">BI79*'Hiring plan'!$K$75*(1+Salary_Raise)^(BI$5-1)</f>
        <v>0</v>
      </c>
      <c r="BJ164" s="33" t="n">
        <f aca="false">BJ79*'Hiring plan'!$K$75*(1+Salary_Raise)^(BJ$5-1)</f>
        <v>0</v>
      </c>
      <c r="BK164" s="33" t="n">
        <f aca="false">BK79*'Hiring plan'!$K$75*(1+Salary_Raise)^(BK$5-1)</f>
        <v>0</v>
      </c>
      <c r="BL164" s="33" t="n">
        <f aca="false">BL79*'Hiring plan'!$K$75*(1+Salary_Raise)^(BL$5-1)</f>
        <v>0</v>
      </c>
    </row>
    <row r="165" customFormat="false" ht="15" hidden="false" customHeight="false" outlineLevel="0" collapsed="false">
      <c r="A165" s="12" t="str">
        <f aca="false">A80</f>
        <v>(spare line 72)</v>
      </c>
      <c r="B165" s="14" t="s">
        <v>63</v>
      </c>
      <c r="D165" s="41" t="n">
        <f aca="false">SUM(E165:BL165)</f>
        <v>0</v>
      </c>
      <c r="E165" s="33" t="n">
        <f aca="false">E80*'Hiring plan'!$K$76*(1+Salary_Raise)^(E$5-1)</f>
        <v>0</v>
      </c>
      <c r="F165" s="33" t="n">
        <f aca="false">F80*'Hiring plan'!$K$76*(1+Salary_Raise)^(F$5-1)</f>
        <v>0</v>
      </c>
      <c r="G165" s="33" t="n">
        <f aca="false">G80*'Hiring plan'!$K$76*(1+Salary_Raise)^(G$5-1)</f>
        <v>0</v>
      </c>
      <c r="H165" s="33" t="n">
        <f aca="false">H80*'Hiring plan'!$K$76*(1+Salary_Raise)^(H$5-1)</f>
        <v>0</v>
      </c>
      <c r="I165" s="33" t="n">
        <f aca="false">I80*'Hiring plan'!$K$76*(1+Salary_Raise)^(I$5-1)</f>
        <v>0</v>
      </c>
      <c r="J165" s="33" t="n">
        <f aca="false">J80*'Hiring plan'!$K$76*(1+Salary_Raise)^(J$5-1)</f>
        <v>0</v>
      </c>
      <c r="K165" s="33" t="n">
        <f aca="false">K80*'Hiring plan'!$K$76*(1+Salary_Raise)^(K$5-1)</f>
        <v>0</v>
      </c>
      <c r="L165" s="33" t="n">
        <f aca="false">L80*'Hiring plan'!$K$76*(1+Salary_Raise)^(L$5-1)</f>
        <v>0</v>
      </c>
      <c r="M165" s="33" t="n">
        <f aca="false">M80*'Hiring plan'!$K$76*(1+Salary_Raise)^(M$5-1)</f>
        <v>0</v>
      </c>
      <c r="N165" s="33" t="n">
        <f aca="false">N80*'Hiring plan'!$K$76*(1+Salary_Raise)^(N$5-1)</f>
        <v>0</v>
      </c>
      <c r="O165" s="33" t="n">
        <f aca="false">O80*'Hiring plan'!$K$76*(1+Salary_Raise)^(O$5-1)</f>
        <v>0</v>
      </c>
      <c r="P165" s="33" t="n">
        <f aca="false">P80*'Hiring plan'!$K$76*(1+Salary_Raise)^(P$5-1)</f>
        <v>0</v>
      </c>
      <c r="Q165" s="33" t="n">
        <f aca="false">Q80*'Hiring plan'!$K$76*(1+Salary_Raise)^(Q$5-1)</f>
        <v>0</v>
      </c>
      <c r="R165" s="33" t="n">
        <f aca="false">R80*'Hiring plan'!$K$76*(1+Salary_Raise)^(R$5-1)</f>
        <v>0</v>
      </c>
      <c r="S165" s="33" t="n">
        <f aca="false">S80*'Hiring plan'!$K$76*(1+Salary_Raise)^(S$5-1)</f>
        <v>0</v>
      </c>
      <c r="T165" s="33" t="n">
        <f aca="false">T80*'Hiring plan'!$K$76*(1+Salary_Raise)^(T$5-1)</f>
        <v>0</v>
      </c>
      <c r="U165" s="33" t="n">
        <f aca="false">U80*'Hiring plan'!$K$76*(1+Salary_Raise)^(U$5-1)</f>
        <v>0</v>
      </c>
      <c r="V165" s="33" t="n">
        <f aca="false">V80*'Hiring plan'!$K$76*(1+Salary_Raise)^(V$5-1)</f>
        <v>0</v>
      </c>
      <c r="W165" s="33" t="n">
        <f aca="false">W80*'Hiring plan'!$K$76*(1+Salary_Raise)^(W$5-1)</f>
        <v>0</v>
      </c>
      <c r="X165" s="33" t="n">
        <f aca="false">X80*'Hiring plan'!$K$76*(1+Salary_Raise)^(X$5-1)</f>
        <v>0</v>
      </c>
      <c r="Y165" s="33" t="n">
        <f aca="false">Y80*'Hiring plan'!$K$76*(1+Salary_Raise)^(Y$5-1)</f>
        <v>0</v>
      </c>
      <c r="Z165" s="33" t="n">
        <f aca="false">Z80*'Hiring plan'!$K$76*(1+Salary_Raise)^(Z$5-1)</f>
        <v>0</v>
      </c>
      <c r="AA165" s="33" t="n">
        <f aca="false">AA80*'Hiring plan'!$K$76*(1+Salary_Raise)^(AA$5-1)</f>
        <v>0</v>
      </c>
      <c r="AB165" s="33" t="n">
        <f aca="false">AB80*'Hiring plan'!$K$76*(1+Salary_Raise)^(AB$5-1)</f>
        <v>0</v>
      </c>
      <c r="AC165" s="33" t="n">
        <f aca="false">AC80*'Hiring plan'!$K$76*(1+Salary_Raise)^(AC$5-1)</f>
        <v>0</v>
      </c>
      <c r="AD165" s="33" t="n">
        <f aca="false">AD80*'Hiring plan'!$K$76*(1+Salary_Raise)^(AD$5-1)</f>
        <v>0</v>
      </c>
      <c r="AE165" s="33" t="n">
        <f aca="false">AE80*'Hiring plan'!$K$76*(1+Salary_Raise)^(AE$5-1)</f>
        <v>0</v>
      </c>
      <c r="AF165" s="33" t="n">
        <f aca="false">AF80*'Hiring plan'!$K$76*(1+Salary_Raise)^(AF$5-1)</f>
        <v>0</v>
      </c>
      <c r="AG165" s="33" t="n">
        <f aca="false">AG80*'Hiring plan'!$K$76*(1+Salary_Raise)^(AG$5-1)</f>
        <v>0</v>
      </c>
      <c r="AH165" s="33" t="n">
        <f aca="false">AH80*'Hiring plan'!$K$76*(1+Salary_Raise)^(AH$5-1)</f>
        <v>0</v>
      </c>
      <c r="AI165" s="33" t="n">
        <f aca="false">AI80*'Hiring plan'!$K$76*(1+Salary_Raise)^(AI$5-1)</f>
        <v>0</v>
      </c>
      <c r="AJ165" s="33" t="n">
        <f aca="false">AJ80*'Hiring plan'!$K$76*(1+Salary_Raise)^(AJ$5-1)</f>
        <v>0</v>
      </c>
      <c r="AK165" s="33" t="n">
        <f aca="false">AK80*'Hiring plan'!$K$76*(1+Salary_Raise)^(AK$5-1)</f>
        <v>0</v>
      </c>
      <c r="AL165" s="33" t="n">
        <f aca="false">AL80*'Hiring plan'!$K$76*(1+Salary_Raise)^(AL$5-1)</f>
        <v>0</v>
      </c>
      <c r="AM165" s="33" t="n">
        <f aca="false">AM80*'Hiring plan'!$K$76*(1+Salary_Raise)^(AM$5-1)</f>
        <v>0</v>
      </c>
      <c r="AN165" s="33" t="n">
        <f aca="false">AN80*'Hiring plan'!$K$76*(1+Salary_Raise)^(AN$5-1)</f>
        <v>0</v>
      </c>
      <c r="AO165" s="33" t="n">
        <f aca="false">AO80*'Hiring plan'!$K$76*(1+Salary_Raise)^(AO$5-1)</f>
        <v>0</v>
      </c>
      <c r="AP165" s="33" t="n">
        <f aca="false">AP80*'Hiring plan'!$K$76*(1+Salary_Raise)^(AP$5-1)</f>
        <v>0</v>
      </c>
      <c r="AQ165" s="33" t="n">
        <f aca="false">AQ80*'Hiring plan'!$K$76*(1+Salary_Raise)^(AQ$5-1)</f>
        <v>0</v>
      </c>
      <c r="AR165" s="33" t="n">
        <f aca="false">AR80*'Hiring plan'!$K$76*(1+Salary_Raise)^(AR$5-1)</f>
        <v>0</v>
      </c>
      <c r="AS165" s="33" t="n">
        <f aca="false">AS80*'Hiring plan'!$K$76*(1+Salary_Raise)^(AS$5-1)</f>
        <v>0</v>
      </c>
      <c r="AT165" s="33" t="n">
        <f aca="false">AT80*'Hiring plan'!$K$76*(1+Salary_Raise)^(AT$5-1)</f>
        <v>0</v>
      </c>
      <c r="AU165" s="33" t="n">
        <f aca="false">AU80*'Hiring plan'!$K$76*(1+Salary_Raise)^(AU$5-1)</f>
        <v>0</v>
      </c>
      <c r="AV165" s="33" t="n">
        <f aca="false">AV80*'Hiring plan'!$K$76*(1+Salary_Raise)^(AV$5-1)</f>
        <v>0</v>
      </c>
      <c r="AW165" s="33" t="n">
        <f aca="false">AW80*'Hiring plan'!$K$76*(1+Salary_Raise)^(AW$5-1)</f>
        <v>0</v>
      </c>
      <c r="AX165" s="33" t="n">
        <f aca="false">AX80*'Hiring plan'!$K$76*(1+Salary_Raise)^(AX$5-1)</f>
        <v>0</v>
      </c>
      <c r="AY165" s="33" t="n">
        <f aca="false">AY80*'Hiring plan'!$K$76*(1+Salary_Raise)^(AY$5-1)</f>
        <v>0</v>
      </c>
      <c r="AZ165" s="33" t="n">
        <f aca="false">AZ80*'Hiring plan'!$K$76*(1+Salary_Raise)^(AZ$5-1)</f>
        <v>0</v>
      </c>
      <c r="BA165" s="33" t="n">
        <f aca="false">BA80*'Hiring plan'!$K$76*(1+Salary_Raise)^(BA$5-1)</f>
        <v>0</v>
      </c>
      <c r="BB165" s="33" t="n">
        <f aca="false">BB80*'Hiring plan'!$K$76*(1+Salary_Raise)^(BB$5-1)</f>
        <v>0</v>
      </c>
      <c r="BC165" s="33" t="n">
        <f aca="false">BC80*'Hiring plan'!$K$76*(1+Salary_Raise)^(BC$5-1)</f>
        <v>0</v>
      </c>
      <c r="BD165" s="33" t="n">
        <f aca="false">BD80*'Hiring plan'!$K$76*(1+Salary_Raise)^(BD$5-1)</f>
        <v>0</v>
      </c>
      <c r="BE165" s="33" t="n">
        <f aca="false">BE80*'Hiring plan'!$K$76*(1+Salary_Raise)^(BE$5-1)</f>
        <v>0</v>
      </c>
      <c r="BF165" s="33" t="n">
        <f aca="false">BF80*'Hiring plan'!$K$76*(1+Salary_Raise)^(BF$5-1)</f>
        <v>0</v>
      </c>
      <c r="BG165" s="33" t="n">
        <f aca="false">BG80*'Hiring plan'!$K$76*(1+Salary_Raise)^(BG$5-1)</f>
        <v>0</v>
      </c>
      <c r="BH165" s="33" t="n">
        <f aca="false">BH80*'Hiring plan'!$K$76*(1+Salary_Raise)^(BH$5-1)</f>
        <v>0</v>
      </c>
      <c r="BI165" s="33" t="n">
        <f aca="false">BI80*'Hiring plan'!$K$76*(1+Salary_Raise)^(BI$5-1)</f>
        <v>0</v>
      </c>
      <c r="BJ165" s="33" t="n">
        <f aca="false">BJ80*'Hiring plan'!$K$76*(1+Salary_Raise)^(BJ$5-1)</f>
        <v>0</v>
      </c>
      <c r="BK165" s="33" t="n">
        <f aca="false">BK80*'Hiring plan'!$K$76*(1+Salary_Raise)^(BK$5-1)</f>
        <v>0</v>
      </c>
      <c r="BL165" s="33" t="n">
        <f aca="false">BL80*'Hiring plan'!$K$76*(1+Salary_Raise)^(BL$5-1)</f>
        <v>0</v>
      </c>
    </row>
    <row r="166" customFormat="false" ht="15" hidden="false" customHeight="false" outlineLevel="0" collapsed="false">
      <c r="A166" s="12" t="str">
        <f aca="false">A81</f>
        <v>(spare line 73)</v>
      </c>
      <c r="B166" s="14" t="s">
        <v>63</v>
      </c>
      <c r="D166" s="41" t="n">
        <f aca="false">SUM(E166:BL166)</f>
        <v>0</v>
      </c>
      <c r="E166" s="33" t="n">
        <f aca="false">E81*'Hiring plan'!$K$77*(1+Salary_Raise)^(E$5-1)</f>
        <v>0</v>
      </c>
      <c r="F166" s="33" t="n">
        <f aca="false">F81*'Hiring plan'!$K$77*(1+Salary_Raise)^(F$5-1)</f>
        <v>0</v>
      </c>
      <c r="G166" s="33" t="n">
        <f aca="false">G81*'Hiring plan'!$K$77*(1+Salary_Raise)^(G$5-1)</f>
        <v>0</v>
      </c>
      <c r="H166" s="33" t="n">
        <f aca="false">H81*'Hiring plan'!$K$77*(1+Salary_Raise)^(H$5-1)</f>
        <v>0</v>
      </c>
      <c r="I166" s="33" t="n">
        <f aca="false">I81*'Hiring plan'!$K$77*(1+Salary_Raise)^(I$5-1)</f>
        <v>0</v>
      </c>
      <c r="J166" s="33" t="n">
        <f aca="false">J81*'Hiring plan'!$K$77*(1+Salary_Raise)^(J$5-1)</f>
        <v>0</v>
      </c>
      <c r="K166" s="33" t="n">
        <f aca="false">K81*'Hiring plan'!$K$77*(1+Salary_Raise)^(K$5-1)</f>
        <v>0</v>
      </c>
      <c r="L166" s="33" t="n">
        <f aca="false">L81*'Hiring plan'!$K$77*(1+Salary_Raise)^(L$5-1)</f>
        <v>0</v>
      </c>
      <c r="M166" s="33" t="n">
        <f aca="false">M81*'Hiring plan'!$K$77*(1+Salary_Raise)^(M$5-1)</f>
        <v>0</v>
      </c>
      <c r="N166" s="33" t="n">
        <f aca="false">N81*'Hiring plan'!$K$77*(1+Salary_Raise)^(N$5-1)</f>
        <v>0</v>
      </c>
      <c r="O166" s="33" t="n">
        <f aca="false">O81*'Hiring plan'!$K$77*(1+Salary_Raise)^(O$5-1)</f>
        <v>0</v>
      </c>
      <c r="P166" s="33" t="n">
        <f aca="false">P81*'Hiring plan'!$K$77*(1+Salary_Raise)^(P$5-1)</f>
        <v>0</v>
      </c>
      <c r="Q166" s="33" t="n">
        <f aca="false">Q81*'Hiring plan'!$K$77*(1+Salary_Raise)^(Q$5-1)</f>
        <v>0</v>
      </c>
      <c r="R166" s="33" t="n">
        <f aca="false">R81*'Hiring plan'!$K$77*(1+Salary_Raise)^(R$5-1)</f>
        <v>0</v>
      </c>
      <c r="S166" s="33" t="n">
        <f aca="false">S81*'Hiring plan'!$K$77*(1+Salary_Raise)^(S$5-1)</f>
        <v>0</v>
      </c>
      <c r="T166" s="33" t="n">
        <f aca="false">T81*'Hiring plan'!$K$77*(1+Salary_Raise)^(T$5-1)</f>
        <v>0</v>
      </c>
      <c r="U166" s="33" t="n">
        <f aca="false">U81*'Hiring plan'!$K$77*(1+Salary_Raise)^(U$5-1)</f>
        <v>0</v>
      </c>
      <c r="V166" s="33" t="n">
        <f aca="false">V81*'Hiring plan'!$K$77*(1+Salary_Raise)^(V$5-1)</f>
        <v>0</v>
      </c>
      <c r="W166" s="33" t="n">
        <f aca="false">W81*'Hiring plan'!$K$77*(1+Salary_Raise)^(W$5-1)</f>
        <v>0</v>
      </c>
      <c r="X166" s="33" t="n">
        <f aca="false">X81*'Hiring plan'!$K$77*(1+Salary_Raise)^(X$5-1)</f>
        <v>0</v>
      </c>
      <c r="Y166" s="33" t="n">
        <f aca="false">Y81*'Hiring plan'!$K$77*(1+Salary_Raise)^(Y$5-1)</f>
        <v>0</v>
      </c>
      <c r="Z166" s="33" t="n">
        <f aca="false">Z81*'Hiring plan'!$K$77*(1+Salary_Raise)^(Z$5-1)</f>
        <v>0</v>
      </c>
      <c r="AA166" s="33" t="n">
        <f aca="false">AA81*'Hiring plan'!$K$77*(1+Salary_Raise)^(AA$5-1)</f>
        <v>0</v>
      </c>
      <c r="AB166" s="33" t="n">
        <f aca="false">AB81*'Hiring plan'!$K$77*(1+Salary_Raise)^(AB$5-1)</f>
        <v>0</v>
      </c>
      <c r="AC166" s="33" t="n">
        <f aca="false">AC81*'Hiring plan'!$K$77*(1+Salary_Raise)^(AC$5-1)</f>
        <v>0</v>
      </c>
      <c r="AD166" s="33" t="n">
        <f aca="false">AD81*'Hiring plan'!$K$77*(1+Salary_Raise)^(AD$5-1)</f>
        <v>0</v>
      </c>
      <c r="AE166" s="33" t="n">
        <f aca="false">AE81*'Hiring plan'!$K$77*(1+Salary_Raise)^(AE$5-1)</f>
        <v>0</v>
      </c>
      <c r="AF166" s="33" t="n">
        <f aca="false">AF81*'Hiring plan'!$K$77*(1+Salary_Raise)^(AF$5-1)</f>
        <v>0</v>
      </c>
      <c r="AG166" s="33" t="n">
        <f aca="false">AG81*'Hiring plan'!$K$77*(1+Salary_Raise)^(AG$5-1)</f>
        <v>0</v>
      </c>
      <c r="AH166" s="33" t="n">
        <f aca="false">AH81*'Hiring plan'!$K$77*(1+Salary_Raise)^(AH$5-1)</f>
        <v>0</v>
      </c>
      <c r="AI166" s="33" t="n">
        <f aca="false">AI81*'Hiring plan'!$K$77*(1+Salary_Raise)^(AI$5-1)</f>
        <v>0</v>
      </c>
      <c r="AJ166" s="33" t="n">
        <f aca="false">AJ81*'Hiring plan'!$K$77*(1+Salary_Raise)^(AJ$5-1)</f>
        <v>0</v>
      </c>
      <c r="AK166" s="33" t="n">
        <f aca="false">AK81*'Hiring plan'!$K$77*(1+Salary_Raise)^(AK$5-1)</f>
        <v>0</v>
      </c>
      <c r="AL166" s="33" t="n">
        <f aca="false">AL81*'Hiring plan'!$K$77*(1+Salary_Raise)^(AL$5-1)</f>
        <v>0</v>
      </c>
      <c r="AM166" s="33" t="n">
        <f aca="false">AM81*'Hiring plan'!$K$77*(1+Salary_Raise)^(AM$5-1)</f>
        <v>0</v>
      </c>
      <c r="AN166" s="33" t="n">
        <f aca="false">AN81*'Hiring plan'!$K$77*(1+Salary_Raise)^(AN$5-1)</f>
        <v>0</v>
      </c>
      <c r="AO166" s="33" t="n">
        <f aca="false">AO81*'Hiring plan'!$K$77*(1+Salary_Raise)^(AO$5-1)</f>
        <v>0</v>
      </c>
      <c r="AP166" s="33" t="n">
        <f aca="false">AP81*'Hiring plan'!$K$77*(1+Salary_Raise)^(AP$5-1)</f>
        <v>0</v>
      </c>
      <c r="AQ166" s="33" t="n">
        <f aca="false">AQ81*'Hiring plan'!$K$77*(1+Salary_Raise)^(AQ$5-1)</f>
        <v>0</v>
      </c>
      <c r="AR166" s="33" t="n">
        <f aca="false">AR81*'Hiring plan'!$K$77*(1+Salary_Raise)^(AR$5-1)</f>
        <v>0</v>
      </c>
      <c r="AS166" s="33" t="n">
        <f aca="false">AS81*'Hiring plan'!$K$77*(1+Salary_Raise)^(AS$5-1)</f>
        <v>0</v>
      </c>
      <c r="AT166" s="33" t="n">
        <f aca="false">AT81*'Hiring plan'!$K$77*(1+Salary_Raise)^(AT$5-1)</f>
        <v>0</v>
      </c>
      <c r="AU166" s="33" t="n">
        <f aca="false">AU81*'Hiring plan'!$K$77*(1+Salary_Raise)^(AU$5-1)</f>
        <v>0</v>
      </c>
      <c r="AV166" s="33" t="n">
        <f aca="false">AV81*'Hiring plan'!$K$77*(1+Salary_Raise)^(AV$5-1)</f>
        <v>0</v>
      </c>
      <c r="AW166" s="33" t="n">
        <f aca="false">AW81*'Hiring plan'!$K$77*(1+Salary_Raise)^(AW$5-1)</f>
        <v>0</v>
      </c>
      <c r="AX166" s="33" t="n">
        <f aca="false">AX81*'Hiring plan'!$K$77*(1+Salary_Raise)^(AX$5-1)</f>
        <v>0</v>
      </c>
      <c r="AY166" s="33" t="n">
        <f aca="false">AY81*'Hiring plan'!$K$77*(1+Salary_Raise)^(AY$5-1)</f>
        <v>0</v>
      </c>
      <c r="AZ166" s="33" t="n">
        <f aca="false">AZ81*'Hiring plan'!$K$77*(1+Salary_Raise)^(AZ$5-1)</f>
        <v>0</v>
      </c>
      <c r="BA166" s="33" t="n">
        <f aca="false">BA81*'Hiring plan'!$K$77*(1+Salary_Raise)^(BA$5-1)</f>
        <v>0</v>
      </c>
      <c r="BB166" s="33" t="n">
        <f aca="false">BB81*'Hiring plan'!$K$77*(1+Salary_Raise)^(BB$5-1)</f>
        <v>0</v>
      </c>
      <c r="BC166" s="33" t="n">
        <f aca="false">BC81*'Hiring plan'!$K$77*(1+Salary_Raise)^(BC$5-1)</f>
        <v>0</v>
      </c>
      <c r="BD166" s="33" t="n">
        <f aca="false">BD81*'Hiring plan'!$K$77*(1+Salary_Raise)^(BD$5-1)</f>
        <v>0</v>
      </c>
      <c r="BE166" s="33" t="n">
        <f aca="false">BE81*'Hiring plan'!$K$77*(1+Salary_Raise)^(BE$5-1)</f>
        <v>0</v>
      </c>
      <c r="BF166" s="33" t="n">
        <f aca="false">BF81*'Hiring plan'!$K$77*(1+Salary_Raise)^(BF$5-1)</f>
        <v>0</v>
      </c>
      <c r="BG166" s="33" t="n">
        <f aca="false">BG81*'Hiring plan'!$K$77*(1+Salary_Raise)^(BG$5-1)</f>
        <v>0</v>
      </c>
      <c r="BH166" s="33" t="n">
        <f aca="false">BH81*'Hiring plan'!$K$77*(1+Salary_Raise)^(BH$5-1)</f>
        <v>0</v>
      </c>
      <c r="BI166" s="33" t="n">
        <f aca="false">BI81*'Hiring plan'!$K$77*(1+Salary_Raise)^(BI$5-1)</f>
        <v>0</v>
      </c>
      <c r="BJ166" s="33" t="n">
        <f aca="false">BJ81*'Hiring plan'!$K$77*(1+Salary_Raise)^(BJ$5-1)</f>
        <v>0</v>
      </c>
      <c r="BK166" s="33" t="n">
        <f aca="false">BK81*'Hiring plan'!$K$77*(1+Salary_Raise)^(BK$5-1)</f>
        <v>0</v>
      </c>
      <c r="BL166" s="33" t="n">
        <f aca="false">BL81*'Hiring plan'!$K$77*(1+Salary_Raise)^(BL$5-1)</f>
        <v>0</v>
      </c>
    </row>
    <row r="167" customFormat="false" ht="15" hidden="false" customHeight="false" outlineLevel="0" collapsed="false">
      <c r="A167" s="12" t="str">
        <f aca="false">A82</f>
        <v>(spare line 74)</v>
      </c>
      <c r="B167" s="14" t="s">
        <v>63</v>
      </c>
      <c r="D167" s="41" t="n">
        <f aca="false">SUM(E167:BL167)</f>
        <v>0</v>
      </c>
      <c r="E167" s="33" t="n">
        <f aca="false">E82*'Hiring plan'!$K$78*(1+Salary_Raise)^(E$5-1)</f>
        <v>0</v>
      </c>
      <c r="F167" s="33" t="n">
        <f aca="false">F82*'Hiring plan'!$K$78*(1+Salary_Raise)^(F$5-1)</f>
        <v>0</v>
      </c>
      <c r="G167" s="33" t="n">
        <f aca="false">G82*'Hiring plan'!$K$78*(1+Salary_Raise)^(G$5-1)</f>
        <v>0</v>
      </c>
      <c r="H167" s="33" t="n">
        <f aca="false">H82*'Hiring plan'!$K$78*(1+Salary_Raise)^(H$5-1)</f>
        <v>0</v>
      </c>
      <c r="I167" s="33" t="n">
        <f aca="false">I82*'Hiring plan'!$K$78*(1+Salary_Raise)^(I$5-1)</f>
        <v>0</v>
      </c>
      <c r="J167" s="33" t="n">
        <f aca="false">J82*'Hiring plan'!$K$78*(1+Salary_Raise)^(J$5-1)</f>
        <v>0</v>
      </c>
      <c r="K167" s="33" t="n">
        <f aca="false">K82*'Hiring plan'!$K$78*(1+Salary_Raise)^(K$5-1)</f>
        <v>0</v>
      </c>
      <c r="L167" s="33" t="n">
        <f aca="false">L82*'Hiring plan'!$K$78*(1+Salary_Raise)^(L$5-1)</f>
        <v>0</v>
      </c>
      <c r="M167" s="33" t="n">
        <f aca="false">M82*'Hiring plan'!$K$78*(1+Salary_Raise)^(M$5-1)</f>
        <v>0</v>
      </c>
      <c r="N167" s="33" t="n">
        <f aca="false">N82*'Hiring plan'!$K$78*(1+Salary_Raise)^(N$5-1)</f>
        <v>0</v>
      </c>
      <c r="O167" s="33" t="n">
        <f aca="false">O82*'Hiring plan'!$K$78*(1+Salary_Raise)^(O$5-1)</f>
        <v>0</v>
      </c>
      <c r="P167" s="33" t="n">
        <f aca="false">P82*'Hiring plan'!$K$78*(1+Salary_Raise)^(P$5-1)</f>
        <v>0</v>
      </c>
      <c r="Q167" s="33" t="n">
        <f aca="false">Q82*'Hiring plan'!$K$78*(1+Salary_Raise)^(Q$5-1)</f>
        <v>0</v>
      </c>
      <c r="R167" s="33" t="n">
        <f aca="false">R82*'Hiring plan'!$K$78*(1+Salary_Raise)^(R$5-1)</f>
        <v>0</v>
      </c>
      <c r="S167" s="33" t="n">
        <f aca="false">S82*'Hiring plan'!$K$78*(1+Salary_Raise)^(S$5-1)</f>
        <v>0</v>
      </c>
      <c r="T167" s="33" t="n">
        <f aca="false">T82*'Hiring plan'!$K$78*(1+Salary_Raise)^(T$5-1)</f>
        <v>0</v>
      </c>
      <c r="U167" s="33" t="n">
        <f aca="false">U82*'Hiring plan'!$K$78*(1+Salary_Raise)^(U$5-1)</f>
        <v>0</v>
      </c>
      <c r="V167" s="33" t="n">
        <f aca="false">V82*'Hiring plan'!$K$78*(1+Salary_Raise)^(V$5-1)</f>
        <v>0</v>
      </c>
      <c r="W167" s="33" t="n">
        <f aca="false">W82*'Hiring plan'!$K$78*(1+Salary_Raise)^(W$5-1)</f>
        <v>0</v>
      </c>
      <c r="X167" s="33" t="n">
        <f aca="false">X82*'Hiring plan'!$K$78*(1+Salary_Raise)^(X$5-1)</f>
        <v>0</v>
      </c>
      <c r="Y167" s="33" t="n">
        <f aca="false">Y82*'Hiring plan'!$K$78*(1+Salary_Raise)^(Y$5-1)</f>
        <v>0</v>
      </c>
      <c r="Z167" s="33" t="n">
        <f aca="false">Z82*'Hiring plan'!$K$78*(1+Salary_Raise)^(Z$5-1)</f>
        <v>0</v>
      </c>
      <c r="AA167" s="33" t="n">
        <f aca="false">AA82*'Hiring plan'!$K$78*(1+Salary_Raise)^(AA$5-1)</f>
        <v>0</v>
      </c>
      <c r="AB167" s="33" t="n">
        <f aca="false">AB82*'Hiring plan'!$K$78*(1+Salary_Raise)^(AB$5-1)</f>
        <v>0</v>
      </c>
      <c r="AC167" s="33" t="n">
        <f aca="false">AC82*'Hiring plan'!$K$78*(1+Salary_Raise)^(AC$5-1)</f>
        <v>0</v>
      </c>
      <c r="AD167" s="33" t="n">
        <f aca="false">AD82*'Hiring plan'!$K$78*(1+Salary_Raise)^(AD$5-1)</f>
        <v>0</v>
      </c>
      <c r="AE167" s="33" t="n">
        <f aca="false">AE82*'Hiring plan'!$K$78*(1+Salary_Raise)^(AE$5-1)</f>
        <v>0</v>
      </c>
      <c r="AF167" s="33" t="n">
        <f aca="false">AF82*'Hiring plan'!$K$78*(1+Salary_Raise)^(AF$5-1)</f>
        <v>0</v>
      </c>
      <c r="AG167" s="33" t="n">
        <f aca="false">AG82*'Hiring plan'!$K$78*(1+Salary_Raise)^(AG$5-1)</f>
        <v>0</v>
      </c>
      <c r="AH167" s="33" t="n">
        <f aca="false">AH82*'Hiring plan'!$K$78*(1+Salary_Raise)^(AH$5-1)</f>
        <v>0</v>
      </c>
      <c r="AI167" s="33" t="n">
        <f aca="false">AI82*'Hiring plan'!$K$78*(1+Salary_Raise)^(AI$5-1)</f>
        <v>0</v>
      </c>
      <c r="AJ167" s="33" t="n">
        <f aca="false">AJ82*'Hiring plan'!$K$78*(1+Salary_Raise)^(AJ$5-1)</f>
        <v>0</v>
      </c>
      <c r="AK167" s="33" t="n">
        <f aca="false">AK82*'Hiring plan'!$K$78*(1+Salary_Raise)^(AK$5-1)</f>
        <v>0</v>
      </c>
      <c r="AL167" s="33" t="n">
        <f aca="false">AL82*'Hiring plan'!$K$78*(1+Salary_Raise)^(AL$5-1)</f>
        <v>0</v>
      </c>
      <c r="AM167" s="33" t="n">
        <f aca="false">AM82*'Hiring plan'!$K$78*(1+Salary_Raise)^(AM$5-1)</f>
        <v>0</v>
      </c>
      <c r="AN167" s="33" t="n">
        <f aca="false">AN82*'Hiring plan'!$K$78*(1+Salary_Raise)^(AN$5-1)</f>
        <v>0</v>
      </c>
      <c r="AO167" s="33" t="n">
        <f aca="false">AO82*'Hiring plan'!$K$78*(1+Salary_Raise)^(AO$5-1)</f>
        <v>0</v>
      </c>
      <c r="AP167" s="33" t="n">
        <f aca="false">AP82*'Hiring plan'!$K$78*(1+Salary_Raise)^(AP$5-1)</f>
        <v>0</v>
      </c>
      <c r="AQ167" s="33" t="n">
        <f aca="false">AQ82*'Hiring plan'!$K$78*(1+Salary_Raise)^(AQ$5-1)</f>
        <v>0</v>
      </c>
      <c r="AR167" s="33" t="n">
        <f aca="false">AR82*'Hiring plan'!$K$78*(1+Salary_Raise)^(AR$5-1)</f>
        <v>0</v>
      </c>
      <c r="AS167" s="33" t="n">
        <f aca="false">AS82*'Hiring plan'!$K$78*(1+Salary_Raise)^(AS$5-1)</f>
        <v>0</v>
      </c>
      <c r="AT167" s="33" t="n">
        <f aca="false">AT82*'Hiring plan'!$K$78*(1+Salary_Raise)^(AT$5-1)</f>
        <v>0</v>
      </c>
      <c r="AU167" s="33" t="n">
        <f aca="false">AU82*'Hiring plan'!$K$78*(1+Salary_Raise)^(AU$5-1)</f>
        <v>0</v>
      </c>
      <c r="AV167" s="33" t="n">
        <f aca="false">AV82*'Hiring plan'!$K$78*(1+Salary_Raise)^(AV$5-1)</f>
        <v>0</v>
      </c>
      <c r="AW167" s="33" t="n">
        <f aca="false">AW82*'Hiring plan'!$K$78*(1+Salary_Raise)^(AW$5-1)</f>
        <v>0</v>
      </c>
      <c r="AX167" s="33" t="n">
        <f aca="false">AX82*'Hiring plan'!$K$78*(1+Salary_Raise)^(AX$5-1)</f>
        <v>0</v>
      </c>
      <c r="AY167" s="33" t="n">
        <f aca="false">AY82*'Hiring plan'!$K$78*(1+Salary_Raise)^(AY$5-1)</f>
        <v>0</v>
      </c>
      <c r="AZ167" s="33" t="n">
        <f aca="false">AZ82*'Hiring plan'!$K$78*(1+Salary_Raise)^(AZ$5-1)</f>
        <v>0</v>
      </c>
      <c r="BA167" s="33" t="n">
        <f aca="false">BA82*'Hiring plan'!$K$78*(1+Salary_Raise)^(BA$5-1)</f>
        <v>0</v>
      </c>
      <c r="BB167" s="33" t="n">
        <f aca="false">BB82*'Hiring plan'!$K$78*(1+Salary_Raise)^(BB$5-1)</f>
        <v>0</v>
      </c>
      <c r="BC167" s="33" t="n">
        <f aca="false">BC82*'Hiring plan'!$K$78*(1+Salary_Raise)^(BC$5-1)</f>
        <v>0</v>
      </c>
      <c r="BD167" s="33" t="n">
        <f aca="false">BD82*'Hiring plan'!$K$78*(1+Salary_Raise)^(BD$5-1)</f>
        <v>0</v>
      </c>
      <c r="BE167" s="33" t="n">
        <f aca="false">BE82*'Hiring plan'!$K$78*(1+Salary_Raise)^(BE$5-1)</f>
        <v>0</v>
      </c>
      <c r="BF167" s="33" t="n">
        <f aca="false">BF82*'Hiring plan'!$K$78*(1+Salary_Raise)^(BF$5-1)</f>
        <v>0</v>
      </c>
      <c r="BG167" s="33" t="n">
        <f aca="false">BG82*'Hiring plan'!$K$78*(1+Salary_Raise)^(BG$5-1)</f>
        <v>0</v>
      </c>
      <c r="BH167" s="33" t="n">
        <f aca="false">BH82*'Hiring plan'!$K$78*(1+Salary_Raise)^(BH$5-1)</f>
        <v>0</v>
      </c>
      <c r="BI167" s="33" t="n">
        <f aca="false">BI82*'Hiring plan'!$K$78*(1+Salary_Raise)^(BI$5-1)</f>
        <v>0</v>
      </c>
      <c r="BJ167" s="33" t="n">
        <f aca="false">BJ82*'Hiring plan'!$K$78*(1+Salary_Raise)^(BJ$5-1)</f>
        <v>0</v>
      </c>
      <c r="BK167" s="33" t="n">
        <f aca="false">BK82*'Hiring plan'!$K$78*(1+Salary_Raise)^(BK$5-1)</f>
        <v>0</v>
      </c>
      <c r="BL167" s="33" t="n">
        <f aca="false">BL82*'Hiring plan'!$K$78*(1+Salary_Raise)^(BL$5-1)</f>
        <v>0</v>
      </c>
    </row>
    <row r="168" customFormat="false" ht="15" hidden="false" customHeight="false" outlineLevel="0" collapsed="false">
      <c r="A168" s="12" t="str">
        <f aca="false">A83</f>
        <v>(spare line 75)</v>
      </c>
      <c r="B168" s="14" t="s">
        <v>63</v>
      </c>
      <c r="D168" s="41" t="n">
        <f aca="false">SUM(E168:BL168)</f>
        <v>0</v>
      </c>
      <c r="E168" s="33" t="n">
        <f aca="false">E83*'Hiring plan'!$K$79*(1+Salary_Raise)^(E$5-1)</f>
        <v>0</v>
      </c>
      <c r="F168" s="33" t="n">
        <f aca="false">F83*'Hiring plan'!$K$79*(1+Salary_Raise)^(F$5-1)</f>
        <v>0</v>
      </c>
      <c r="G168" s="33" t="n">
        <f aca="false">G83*'Hiring plan'!$K$79*(1+Salary_Raise)^(G$5-1)</f>
        <v>0</v>
      </c>
      <c r="H168" s="33" t="n">
        <f aca="false">H83*'Hiring plan'!$K$79*(1+Salary_Raise)^(H$5-1)</f>
        <v>0</v>
      </c>
      <c r="I168" s="33" t="n">
        <f aca="false">I83*'Hiring plan'!$K$79*(1+Salary_Raise)^(I$5-1)</f>
        <v>0</v>
      </c>
      <c r="J168" s="33" t="n">
        <f aca="false">J83*'Hiring plan'!$K$79*(1+Salary_Raise)^(J$5-1)</f>
        <v>0</v>
      </c>
      <c r="K168" s="33" t="n">
        <f aca="false">K83*'Hiring plan'!$K$79*(1+Salary_Raise)^(K$5-1)</f>
        <v>0</v>
      </c>
      <c r="L168" s="33" t="n">
        <f aca="false">L83*'Hiring plan'!$K$79*(1+Salary_Raise)^(L$5-1)</f>
        <v>0</v>
      </c>
      <c r="M168" s="33" t="n">
        <f aca="false">M83*'Hiring plan'!$K$79*(1+Salary_Raise)^(M$5-1)</f>
        <v>0</v>
      </c>
      <c r="N168" s="33" t="n">
        <f aca="false">N83*'Hiring plan'!$K$79*(1+Salary_Raise)^(N$5-1)</f>
        <v>0</v>
      </c>
      <c r="O168" s="33" t="n">
        <f aca="false">O83*'Hiring plan'!$K$79*(1+Salary_Raise)^(O$5-1)</f>
        <v>0</v>
      </c>
      <c r="P168" s="33" t="n">
        <f aca="false">P83*'Hiring plan'!$K$79*(1+Salary_Raise)^(P$5-1)</f>
        <v>0</v>
      </c>
      <c r="Q168" s="33" t="n">
        <f aca="false">Q83*'Hiring plan'!$K$79*(1+Salary_Raise)^(Q$5-1)</f>
        <v>0</v>
      </c>
      <c r="R168" s="33" t="n">
        <f aca="false">R83*'Hiring plan'!$K$79*(1+Salary_Raise)^(R$5-1)</f>
        <v>0</v>
      </c>
      <c r="S168" s="33" t="n">
        <f aca="false">S83*'Hiring plan'!$K$79*(1+Salary_Raise)^(S$5-1)</f>
        <v>0</v>
      </c>
      <c r="T168" s="33" t="n">
        <f aca="false">T83*'Hiring plan'!$K$79*(1+Salary_Raise)^(T$5-1)</f>
        <v>0</v>
      </c>
      <c r="U168" s="33" t="n">
        <f aca="false">U83*'Hiring plan'!$K$79*(1+Salary_Raise)^(U$5-1)</f>
        <v>0</v>
      </c>
      <c r="V168" s="33" t="n">
        <f aca="false">V83*'Hiring plan'!$K$79*(1+Salary_Raise)^(V$5-1)</f>
        <v>0</v>
      </c>
      <c r="W168" s="33" t="n">
        <f aca="false">W83*'Hiring plan'!$K$79*(1+Salary_Raise)^(W$5-1)</f>
        <v>0</v>
      </c>
      <c r="X168" s="33" t="n">
        <f aca="false">X83*'Hiring plan'!$K$79*(1+Salary_Raise)^(X$5-1)</f>
        <v>0</v>
      </c>
      <c r="Y168" s="33" t="n">
        <f aca="false">Y83*'Hiring plan'!$K$79*(1+Salary_Raise)^(Y$5-1)</f>
        <v>0</v>
      </c>
      <c r="Z168" s="33" t="n">
        <f aca="false">Z83*'Hiring plan'!$K$79*(1+Salary_Raise)^(Z$5-1)</f>
        <v>0</v>
      </c>
      <c r="AA168" s="33" t="n">
        <f aca="false">AA83*'Hiring plan'!$K$79*(1+Salary_Raise)^(AA$5-1)</f>
        <v>0</v>
      </c>
      <c r="AB168" s="33" t="n">
        <f aca="false">AB83*'Hiring plan'!$K$79*(1+Salary_Raise)^(AB$5-1)</f>
        <v>0</v>
      </c>
      <c r="AC168" s="33" t="n">
        <f aca="false">AC83*'Hiring plan'!$K$79*(1+Salary_Raise)^(AC$5-1)</f>
        <v>0</v>
      </c>
      <c r="AD168" s="33" t="n">
        <f aca="false">AD83*'Hiring plan'!$K$79*(1+Salary_Raise)^(AD$5-1)</f>
        <v>0</v>
      </c>
      <c r="AE168" s="33" t="n">
        <f aca="false">AE83*'Hiring plan'!$K$79*(1+Salary_Raise)^(AE$5-1)</f>
        <v>0</v>
      </c>
      <c r="AF168" s="33" t="n">
        <f aca="false">AF83*'Hiring plan'!$K$79*(1+Salary_Raise)^(AF$5-1)</f>
        <v>0</v>
      </c>
      <c r="AG168" s="33" t="n">
        <f aca="false">AG83*'Hiring plan'!$K$79*(1+Salary_Raise)^(AG$5-1)</f>
        <v>0</v>
      </c>
      <c r="AH168" s="33" t="n">
        <f aca="false">AH83*'Hiring plan'!$K$79*(1+Salary_Raise)^(AH$5-1)</f>
        <v>0</v>
      </c>
      <c r="AI168" s="33" t="n">
        <f aca="false">AI83*'Hiring plan'!$K$79*(1+Salary_Raise)^(AI$5-1)</f>
        <v>0</v>
      </c>
      <c r="AJ168" s="33" t="n">
        <f aca="false">AJ83*'Hiring plan'!$K$79*(1+Salary_Raise)^(AJ$5-1)</f>
        <v>0</v>
      </c>
      <c r="AK168" s="33" t="n">
        <f aca="false">AK83*'Hiring plan'!$K$79*(1+Salary_Raise)^(AK$5-1)</f>
        <v>0</v>
      </c>
      <c r="AL168" s="33" t="n">
        <f aca="false">AL83*'Hiring plan'!$K$79*(1+Salary_Raise)^(AL$5-1)</f>
        <v>0</v>
      </c>
      <c r="AM168" s="33" t="n">
        <f aca="false">AM83*'Hiring plan'!$K$79*(1+Salary_Raise)^(AM$5-1)</f>
        <v>0</v>
      </c>
      <c r="AN168" s="33" t="n">
        <f aca="false">AN83*'Hiring plan'!$K$79*(1+Salary_Raise)^(AN$5-1)</f>
        <v>0</v>
      </c>
      <c r="AO168" s="33" t="n">
        <f aca="false">AO83*'Hiring plan'!$K$79*(1+Salary_Raise)^(AO$5-1)</f>
        <v>0</v>
      </c>
      <c r="AP168" s="33" t="n">
        <f aca="false">AP83*'Hiring plan'!$K$79*(1+Salary_Raise)^(AP$5-1)</f>
        <v>0</v>
      </c>
      <c r="AQ168" s="33" t="n">
        <f aca="false">AQ83*'Hiring plan'!$K$79*(1+Salary_Raise)^(AQ$5-1)</f>
        <v>0</v>
      </c>
      <c r="AR168" s="33" t="n">
        <f aca="false">AR83*'Hiring plan'!$K$79*(1+Salary_Raise)^(AR$5-1)</f>
        <v>0</v>
      </c>
      <c r="AS168" s="33" t="n">
        <f aca="false">AS83*'Hiring plan'!$K$79*(1+Salary_Raise)^(AS$5-1)</f>
        <v>0</v>
      </c>
      <c r="AT168" s="33" t="n">
        <f aca="false">AT83*'Hiring plan'!$K$79*(1+Salary_Raise)^(AT$5-1)</f>
        <v>0</v>
      </c>
      <c r="AU168" s="33" t="n">
        <f aca="false">AU83*'Hiring plan'!$K$79*(1+Salary_Raise)^(AU$5-1)</f>
        <v>0</v>
      </c>
      <c r="AV168" s="33" t="n">
        <f aca="false">AV83*'Hiring plan'!$K$79*(1+Salary_Raise)^(AV$5-1)</f>
        <v>0</v>
      </c>
      <c r="AW168" s="33" t="n">
        <f aca="false">AW83*'Hiring plan'!$K$79*(1+Salary_Raise)^(AW$5-1)</f>
        <v>0</v>
      </c>
      <c r="AX168" s="33" t="n">
        <f aca="false">AX83*'Hiring plan'!$K$79*(1+Salary_Raise)^(AX$5-1)</f>
        <v>0</v>
      </c>
      <c r="AY168" s="33" t="n">
        <f aca="false">AY83*'Hiring plan'!$K$79*(1+Salary_Raise)^(AY$5-1)</f>
        <v>0</v>
      </c>
      <c r="AZ168" s="33" t="n">
        <f aca="false">AZ83*'Hiring plan'!$K$79*(1+Salary_Raise)^(AZ$5-1)</f>
        <v>0</v>
      </c>
      <c r="BA168" s="33" t="n">
        <f aca="false">BA83*'Hiring plan'!$K$79*(1+Salary_Raise)^(BA$5-1)</f>
        <v>0</v>
      </c>
      <c r="BB168" s="33" t="n">
        <f aca="false">BB83*'Hiring plan'!$K$79*(1+Salary_Raise)^(BB$5-1)</f>
        <v>0</v>
      </c>
      <c r="BC168" s="33" t="n">
        <f aca="false">BC83*'Hiring plan'!$K$79*(1+Salary_Raise)^(BC$5-1)</f>
        <v>0</v>
      </c>
      <c r="BD168" s="33" t="n">
        <f aca="false">BD83*'Hiring plan'!$K$79*(1+Salary_Raise)^(BD$5-1)</f>
        <v>0</v>
      </c>
      <c r="BE168" s="33" t="n">
        <f aca="false">BE83*'Hiring plan'!$K$79*(1+Salary_Raise)^(BE$5-1)</f>
        <v>0</v>
      </c>
      <c r="BF168" s="33" t="n">
        <f aca="false">BF83*'Hiring plan'!$K$79*(1+Salary_Raise)^(BF$5-1)</f>
        <v>0</v>
      </c>
      <c r="BG168" s="33" t="n">
        <f aca="false">BG83*'Hiring plan'!$K$79*(1+Salary_Raise)^(BG$5-1)</f>
        <v>0</v>
      </c>
      <c r="BH168" s="33" t="n">
        <f aca="false">BH83*'Hiring plan'!$K$79*(1+Salary_Raise)^(BH$5-1)</f>
        <v>0</v>
      </c>
      <c r="BI168" s="33" t="n">
        <f aca="false">BI83*'Hiring plan'!$K$79*(1+Salary_Raise)^(BI$5-1)</f>
        <v>0</v>
      </c>
      <c r="BJ168" s="33" t="n">
        <f aca="false">BJ83*'Hiring plan'!$K$79*(1+Salary_Raise)^(BJ$5-1)</f>
        <v>0</v>
      </c>
      <c r="BK168" s="33" t="n">
        <f aca="false">BK83*'Hiring plan'!$K$79*(1+Salary_Raise)^(BK$5-1)</f>
        <v>0</v>
      </c>
      <c r="BL168" s="33" t="n">
        <f aca="false">BL83*'Hiring plan'!$K$79*(1+Salary_Raise)^(BL$5-1)</f>
        <v>0</v>
      </c>
    </row>
    <row r="169" customFormat="false" ht="15" hidden="false" customHeight="false" outlineLevel="0" collapsed="false">
      <c r="A169" s="12" t="str">
        <f aca="false">A84</f>
        <v>(spare line 76)</v>
      </c>
      <c r="B169" s="14" t="s">
        <v>63</v>
      </c>
      <c r="D169" s="41" t="n">
        <f aca="false">SUM(E169:BL169)</f>
        <v>0</v>
      </c>
      <c r="E169" s="33" t="n">
        <f aca="false">E84*'Hiring plan'!$K$80*(1+Salary_Raise)^(E$5-1)</f>
        <v>0</v>
      </c>
      <c r="F169" s="33" t="n">
        <f aca="false">F84*'Hiring plan'!$K$80*(1+Salary_Raise)^(F$5-1)</f>
        <v>0</v>
      </c>
      <c r="G169" s="33" t="n">
        <f aca="false">G84*'Hiring plan'!$K$80*(1+Salary_Raise)^(G$5-1)</f>
        <v>0</v>
      </c>
      <c r="H169" s="33" t="n">
        <f aca="false">H84*'Hiring plan'!$K$80*(1+Salary_Raise)^(H$5-1)</f>
        <v>0</v>
      </c>
      <c r="I169" s="33" t="n">
        <f aca="false">I84*'Hiring plan'!$K$80*(1+Salary_Raise)^(I$5-1)</f>
        <v>0</v>
      </c>
      <c r="J169" s="33" t="n">
        <f aca="false">J84*'Hiring plan'!$K$80*(1+Salary_Raise)^(J$5-1)</f>
        <v>0</v>
      </c>
      <c r="K169" s="33" t="n">
        <f aca="false">K84*'Hiring plan'!$K$80*(1+Salary_Raise)^(K$5-1)</f>
        <v>0</v>
      </c>
      <c r="L169" s="33" t="n">
        <f aca="false">L84*'Hiring plan'!$K$80*(1+Salary_Raise)^(L$5-1)</f>
        <v>0</v>
      </c>
      <c r="M169" s="33" t="n">
        <f aca="false">M84*'Hiring plan'!$K$80*(1+Salary_Raise)^(M$5-1)</f>
        <v>0</v>
      </c>
      <c r="N169" s="33" t="n">
        <f aca="false">N84*'Hiring plan'!$K$80*(1+Salary_Raise)^(N$5-1)</f>
        <v>0</v>
      </c>
      <c r="O169" s="33" t="n">
        <f aca="false">O84*'Hiring plan'!$K$80*(1+Salary_Raise)^(O$5-1)</f>
        <v>0</v>
      </c>
      <c r="P169" s="33" t="n">
        <f aca="false">P84*'Hiring plan'!$K$80*(1+Salary_Raise)^(P$5-1)</f>
        <v>0</v>
      </c>
      <c r="Q169" s="33" t="n">
        <f aca="false">Q84*'Hiring plan'!$K$80*(1+Salary_Raise)^(Q$5-1)</f>
        <v>0</v>
      </c>
      <c r="R169" s="33" t="n">
        <f aca="false">R84*'Hiring plan'!$K$80*(1+Salary_Raise)^(R$5-1)</f>
        <v>0</v>
      </c>
      <c r="S169" s="33" t="n">
        <f aca="false">S84*'Hiring plan'!$K$80*(1+Salary_Raise)^(S$5-1)</f>
        <v>0</v>
      </c>
      <c r="T169" s="33" t="n">
        <f aca="false">T84*'Hiring plan'!$K$80*(1+Salary_Raise)^(T$5-1)</f>
        <v>0</v>
      </c>
      <c r="U169" s="33" t="n">
        <f aca="false">U84*'Hiring plan'!$K$80*(1+Salary_Raise)^(U$5-1)</f>
        <v>0</v>
      </c>
      <c r="V169" s="33" t="n">
        <f aca="false">V84*'Hiring plan'!$K$80*(1+Salary_Raise)^(V$5-1)</f>
        <v>0</v>
      </c>
      <c r="W169" s="33" t="n">
        <f aca="false">W84*'Hiring plan'!$K$80*(1+Salary_Raise)^(W$5-1)</f>
        <v>0</v>
      </c>
      <c r="X169" s="33" t="n">
        <f aca="false">X84*'Hiring plan'!$K$80*(1+Salary_Raise)^(X$5-1)</f>
        <v>0</v>
      </c>
      <c r="Y169" s="33" t="n">
        <f aca="false">Y84*'Hiring plan'!$K$80*(1+Salary_Raise)^(Y$5-1)</f>
        <v>0</v>
      </c>
      <c r="Z169" s="33" t="n">
        <f aca="false">Z84*'Hiring plan'!$K$80*(1+Salary_Raise)^(Z$5-1)</f>
        <v>0</v>
      </c>
      <c r="AA169" s="33" t="n">
        <f aca="false">AA84*'Hiring plan'!$K$80*(1+Salary_Raise)^(AA$5-1)</f>
        <v>0</v>
      </c>
      <c r="AB169" s="33" t="n">
        <f aca="false">AB84*'Hiring plan'!$K$80*(1+Salary_Raise)^(AB$5-1)</f>
        <v>0</v>
      </c>
      <c r="AC169" s="33" t="n">
        <f aca="false">AC84*'Hiring plan'!$K$80*(1+Salary_Raise)^(AC$5-1)</f>
        <v>0</v>
      </c>
      <c r="AD169" s="33" t="n">
        <f aca="false">AD84*'Hiring plan'!$K$80*(1+Salary_Raise)^(AD$5-1)</f>
        <v>0</v>
      </c>
      <c r="AE169" s="33" t="n">
        <f aca="false">AE84*'Hiring plan'!$K$80*(1+Salary_Raise)^(AE$5-1)</f>
        <v>0</v>
      </c>
      <c r="AF169" s="33" t="n">
        <f aca="false">AF84*'Hiring plan'!$K$80*(1+Salary_Raise)^(AF$5-1)</f>
        <v>0</v>
      </c>
      <c r="AG169" s="33" t="n">
        <f aca="false">AG84*'Hiring plan'!$K$80*(1+Salary_Raise)^(AG$5-1)</f>
        <v>0</v>
      </c>
      <c r="AH169" s="33" t="n">
        <f aca="false">AH84*'Hiring plan'!$K$80*(1+Salary_Raise)^(AH$5-1)</f>
        <v>0</v>
      </c>
      <c r="AI169" s="33" t="n">
        <f aca="false">AI84*'Hiring plan'!$K$80*(1+Salary_Raise)^(AI$5-1)</f>
        <v>0</v>
      </c>
      <c r="AJ169" s="33" t="n">
        <f aca="false">AJ84*'Hiring plan'!$K$80*(1+Salary_Raise)^(AJ$5-1)</f>
        <v>0</v>
      </c>
      <c r="AK169" s="33" t="n">
        <f aca="false">AK84*'Hiring plan'!$K$80*(1+Salary_Raise)^(AK$5-1)</f>
        <v>0</v>
      </c>
      <c r="AL169" s="33" t="n">
        <f aca="false">AL84*'Hiring plan'!$K$80*(1+Salary_Raise)^(AL$5-1)</f>
        <v>0</v>
      </c>
      <c r="AM169" s="33" t="n">
        <f aca="false">AM84*'Hiring plan'!$K$80*(1+Salary_Raise)^(AM$5-1)</f>
        <v>0</v>
      </c>
      <c r="AN169" s="33" t="n">
        <f aca="false">AN84*'Hiring plan'!$K$80*(1+Salary_Raise)^(AN$5-1)</f>
        <v>0</v>
      </c>
      <c r="AO169" s="33" t="n">
        <f aca="false">AO84*'Hiring plan'!$K$80*(1+Salary_Raise)^(AO$5-1)</f>
        <v>0</v>
      </c>
      <c r="AP169" s="33" t="n">
        <f aca="false">AP84*'Hiring plan'!$K$80*(1+Salary_Raise)^(AP$5-1)</f>
        <v>0</v>
      </c>
      <c r="AQ169" s="33" t="n">
        <f aca="false">AQ84*'Hiring plan'!$K$80*(1+Salary_Raise)^(AQ$5-1)</f>
        <v>0</v>
      </c>
      <c r="AR169" s="33" t="n">
        <f aca="false">AR84*'Hiring plan'!$K$80*(1+Salary_Raise)^(AR$5-1)</f>
        <v>0</v>
      </c>
      <c r="AS169" s="33" t="n">
        <f aca="false">AS84*'Hiring plan'!$K$80*(1+Salary_Raise)^(AS$5-1)</f>
        <v>0</v>
      </c>
      <c r="AT169" s="33" t="n">
        <f aca="false">AT84*'Hiring plan'!$K$80*(1+Salary_Raise)^(AT$5-1)</f>
        <v>0</v>
      </c>
      <c r="AU169" s="33" t="n">
        <f aca="false">AU84*'Hiring plan'!$K$80*(1+Salary_Raise)^(AU$5-1)</f>
        <v>0</v>
      </c>
      <c r="AV169" s="33" t="n">
        <f aca="false">AV84*'Hiring plan'!$K$80*(1+Salary_Raise)^(AV$5-1)</f>
        <v>0</v>
      </c>
      <c r="AW169" s="33" t="n">
        <f aca="false">AW84*'Hiring plan'!$K$80*(1+Salary_Raise)^(AW$5-1)</f>
        <v>0</v>
      </c>
      <c r="AX169" s="33" t="n">
        <f aca="false">AX84*'Hiring plan'!$K$80*(1+Salary_Raise)^(AX$5-1)</f>
        <v>0</v>
      </c>
      <c r="AY169" s="33" t="n">
        <f aca="false">AY84*'Hiring plan'!$K$80*(1+Salary_Raise)^(AY$5-1)</f>
        <v>0</v>
      </c>
      <c r="AZ169" s="33" t="n">
        <f aca="false">AZ84*'Hiring plan'!$K$80*(1+Salary_Raise)^(AZ$5-1)</f>
        <v>0</v>
      </c>
      <c r="BA169" s="33" t="n">
        <f aca="false">BA84*'Hiring plan'!$K$80*(1+Salary_Raise)^(BA$5-1)</f>
        <v>0</v>
      </c>
      <c r="BB169" s="33" t="n">
        <f aca="false">BB84*'Hiring plan'!$K$80*(1+Salary_Raise)^(BB$5-1)</f>
        <v>0</v>
      </c>
      <c r="BC169" s="33" t="n">
        <f aca="false">BC84*'Hiring plan'!$K$80*(1+Salary_Raise)^(BC$5-1)</f>
        <v>0</v>
      </c>
      <c r="BD169" s="33" t="n">
        <f aca="false">BD84*'Hiring plan'!$K$80*(1+Salary_Raise)^(BD$5-1)</f>
        <v>0</v>
      </c>
      <c r="BE169" s="33" t="n">
        <f aca="false">BE84*'Hiring plan'!$K$80*(1+Salary_Raise)^(BE$5-1)</f>
        <v>0</v>
      </c>
      <c r="BF169" s="33" t="n">
        <f aca="false">BF84*'Hiring plan'!$K$80*(1+Salary_Raise)^(BF$5-1)</f>
        <v>0</v>
      </c>
      <c r="BG169" s="33" t="n">
        <f aca="false">BG84*'Hiring plan'!$K$80*(1+Salary_Raise)^(BG$5-1)</f>
        <v>0</v>
      </c>
      <c r="BH169" s="33" t="n">
        <f aca="false">BH84*'Hiring plan'!$K$80*(1+Salary_Raise)^(BH$5-1)</f>
        <v>0</v>
      </c>
      <c r="BI169" s="33" t="n">
        <f aca="false">BI84*'Hiring plan'!$K$80*(1+Salary_Raise)^(BI$5-1)</f>
        <v>0</v>
      </c>
      <c r="BJ169" s="33" t="n">
        <f aca="false">BJ84*'Hiring plan'!$K$80*(1+Salary_Raise)^(BJ$5-1)</f>
        <v>0</v>
      </c>
      <c r="BK169" s="33" t="n">
        <f aca="false">BK84*'Hiring plan'!$K$80*(1+Salary_Raise)^(BK$5-1)</f>
        <v>0</v>
      </c>
      <c r="BL169" s="33" t="n">
        <f aca="false">BL84*'Hiring plan'!$K$80*(1+Salary_Raise)^(BL$5-1)</f>
        <v>0</v>
      </c>
    </row>
    <row r="170" customFormat="false" ht="15" hidden="false" customHeight="false" outlineLevel="0" collapsed="false">
      <c r="A170" s="12" t="str">
        <f aca="false">A85</f>
        <v>(spare line 77)</v>
      </c>
      <c r="B170" s="14" t="s">
        <v>63</v>
      </c>
      <c r="D170" s="41" t="n">
        <f aca="false">SUM(E170:BL170)</f>
        <v>0</v>
      </c>
      <c r="E170" s="33" t="n">
        <f aca="false">E85*'Hiring plan'!$K$81*(1+Salary_Raise)^(E$5-1)</f>
        <v>0</v>
      </c>
      <c r="F170" s="33" t="n">
        <f aca="false">F85*'Hiring plan'!$K$81*(1+Salary_Raise)^(F$5-1)</f>
        <v>0</v>
      </c>
      <c r="G170" s="33" t="n">
        <f aca="false">G85*'Hiring plan'!$K$81*(1+Salary_Raise)^(G$5-1)</f>
        <v>0</v>
      </c>
      <c r="H170" s="33" t="n">
        <f aca="false">H85*'Hiring plan'!$K$81*(1+Salary_Raise)^(H$5-1)</f>
        <v>0</v>
      </c>
      <c r="I170" s="33" t="n">
        <f aca="false">I85*'Hiring plan'!$K$81*(1+Salary_Raise)^(I$5-1)</f>
        <v>0</v>
      </c>
      <c r="J170" s="33" t="n">
        <f aca="false">J85*'Hiring plan'!$K$81*(1+Salary_Raise)^(J$5-1)</f>
        <v>0</v>
      </c>
      <c r="K170" s="33" t="n">
        <f aca="false">K85*'Hiring plan'!$K$81*(1+Salary_Raise)^(K$5-1)</f>
        <v>0</v>
      </c>
      <c r="L170" s="33" t="n">
        <f aca="false">L85*'Hiring plan'!$K$81*(1+Salary_Raise)^(L$5-1)</f>
        <v>0</v>
      </c>
      <c r="M170" s="33" t="n">
        <f aca="false">M85*'Hiring plan'!$K$81*(1+Salary_Raise)^(M$5-1)</f>
        <v>0</v>
      </c>
      <c r="N170" s="33" t="n">
        <f aca="false">N85*'Hiring plan'!$K$81*(1+Salary_Raise)^(N$5-1)</f>
        <v>0</v>
      </c>
      <c r="O170" s="33" t="n">
        <f aca="false">O85*'Hiring plan'!$K$81*(1+Salary_Raise)^(O$5-1)</f>
        <v>0</v>
      </c>
      <c r="P170" s="33" t="n">
        <f aca="false">P85*'Hiring plan'!$K$81*(1+Salary_Raise)^(P$5-1)</f>
        <v>0</v>
      </c>
      <c r="Q170" s="33" t="n">
        <f aca="false">Q85*'Hiring plan'!$K$81*(1+Salary_Raise)^(Q$5-1)</f>
        <v>0</v>
      </c>
      <c r="R170" s="33" t="n">
        <f aca="false">R85*'Hiring plan'!$K$81*(1+Salary_Raise)^(R$5-1)</f>
        <v>0</v>
      </c>
      <c r="S170" s="33" t="n">
        <f aca="false">S85*'Hiring plan'!$K$81*(1+Salary_Raise)^(S$5-1)</f>
        <v>0</v>
      </c>
      <c r="T170" s="33" t="n">
        <f aca="false">T85*'Hiring plan'!$K$81*(1+Salary_Raise)^(T$5-1)</f>
        <v>0</v>
      </c>
      <c r="U170" s="33" t="n">
        <f aca="false">U85*'Hiring plan'!$K$81*(1+Salary_Raise)^(U$5-1)</f>
        <v>0</v>
      </c>
      <c r="V170" s="33" t="n">
        <f aca="false">V85*'Hiring plan'!$K$81*(1+Salary_Raise)^(V$5-1)</f>
        <v>0</v>
      </c>
      <c r="W170" s="33" t="n">
        <f aca="false">W85*'Hiring plan'!$K$81*(1+Salary_Raise)^(W$5-1)</f>
        <v>0</v>
      </c>
      <c r="X170" s="33" t="n">
        <f aca="false">X85*'Hiring plan'!$K$81*(1+Salary_Raise)^(X$5-1)</f>
        <v>0</v>
      </c>
      <c r="Y170" s="33" t="n">
        <f aca="false">Y85*'Hiring plan'!$K$81*(1+Salary_Raise)^(Y$5-1)</f>
        <v>0</v>
      </c>
      <c r="Z170" s="33" t="n">
        <f aca="false">Z85*'Hiring plan'!$K$81*(1+Salary_Raise)^(Z$5-1)</f>
        <v>0</v>
      </c>
      <c r="AA170" s="33" t="n">
        <f aca="false">AA85*'Hiring plan'!$K$81*(1+Salary_Raise)^(AA$5-1)</f>
        <v>0</v>
      </c>
      <c r="AB170" s="33" t="n">
        <f aca="false">AB85*'Hiring plan'!$K$81*(1+Salary_Raise)^(AB$5-1)</f>
        <v>0</v>
      </c>
      <c r="AC170" s="33" t="n">
        <f aca="false">AC85*'Hiring plan'!$K$81*(1+Salary_Raise)^(AC$5-1)</f>
        <v>0</v>
      </c>
      <c r="AD170" s="33" t="n">
        <f aca="false">AD85*'Hiring plan'!$K$81*(1+Salary_Raise)^(AD$5-1)</f>
        <v>0</v>
      </c>
      <c r="AE170" s="33" t="n">
        <f aca="false">AE85*'Hiring plan'!$K$81*(1+Salary_Raise)^(AE$5-1)</f>
        <v>0</v>
      </c>
      <c r="AF170" s="33" t="n">
        <f aca="false">AF85*'Hiring plan'!$K$81*(1+Salary_Raise)^(AF$5-1)</f>
        <v>0</v>
      </c>
      <c r="AG170" s="33" t="n">
        <f aca="false">AG85*'Hiring plan'!$K$81*(1+Salary_Raise)^(AG$5-1)</f>
        <v>0</v>
      </c>
      <c r="AH170" s="33" t="n">
        <f aca="false">AH85*'Hiring plan'!$K$81*(1+Salary_Raise)^(AH$5-1)</f>
        <v>0</v>
      </c>
      <c r="AI170" s="33" t="n">
        <f aca="false">AI85*'Hiring plan'!$K$81*(1+Salary_Raise)^(AI$5-1)</f>
        <v>0</v>
      </c>
      <c r="AJ170" s="33" t="n">
        <f aca="false">AJ85*'Hiring plan'!$K$81*(1+Salary_Raise)^(AJ$5-1)</f>
        <v>0</v>
      </c>
      <c r="AK170" s="33" t="n">
        <f aca="false">AK85*'Hiring plan'!$K$81*(1+Salary_Raise)^(AK$5-1)</f>
        <v>0</v>
      </c>
      <c r="AL170" s="33" t="n">
        <f aca="false">AL85*'Hiring plan'!$K$81*(1+Salary_Raise)^(AL$5-1)</f>
        <v>0</v>
      </c>
      <c r="AM170" s="33" t="n">
        <f aca="false">AM85*'Hiring plan'!$K$81*(1+Salary_Raise)^(AM$5-1)</f>
        <v>0</v>
      </c>
      <c r="AN170" s="33" t="n">
        <f aca="false">AN85*'Hiring plan'!$K$81*(1+Salary_Raise)^(AN$5-1)</f>
        <v>0</v>
      </c>
      <c r="AO170" s="33" t="n">
        <f aca="false">AO85*'Hiring plan'!$K$81*(1+Salary_Raise)^(AO$5-1)</f>
        <v>0</v>
      </c>
      <c r="AP170" s="33" t="n">
        <f aca="false">AP85*'Hiring plan'!$K$81*(1+Salary_Raise)^(AP$5-1)</f>
        <v>0</v>
      </c>
      <c r="AQ170" s="33" t="n">
        <f aca="false">AQ85*'Hiring plan'!$K$81*(1+Salary_Raise)^(AQ$5-1)</f>
        <v>0</v>
      </c>
      <c r="AR170" s="33" t="n">
        <f aca="false">AR85*'Hiring plan'!$K$81*(1+Salary_Raise)^(AR$5-1)</f>
        <v>0</v>
      </c>
      <c r="AS170" s="33" t="n">
        <f aca="false">AS85*'Hiring plan'!$K$81*(1+Salary_Raise)^(AS$5-1)</f>
        <v>0</v>
      </c>
      <c r="AT170" s="33" t="n">
        <f aca="false">AT85*'Hiring plan'!$K$81*(1+Salary_Raise)^(AT$5-1)</f>
        <v>0</v>
      </c>
      <c r="AU170" s="33" t="n">
        <f aca="false">AU85*'Hiring plan'!$K$81*(1+Salary_Raise)^(AU$5-1)</f>
        <v>0</v>
      </c>
      <c r="AV170" s="33" t="n">
        <f aca="false">AV85*'Hiring plan'!$K$81*(1+Salary_Raise)^(AV$5-1)</f>
        <v>0</v>
      </c>
      <c r="AW170" s="33" t="n">
        <f aca="false">AW85*'Hiring plan'!$K$81*(1+Salary_Raise)^(AW$5-1)</f>
        <v>0</v>
      </c>
      <c r="AX170" s="33" t="n">
        <f aca="false">AX85*'Hiring plan'!$K$81*(1+Salary_Raise)^(AX$5-1)</f>
        <v>0</v>
      </c>
      <c r="AY170" s="33" t="n">
        <f aca="false">AY85*'Hiring plan'!$K$81*(1+Salary_Raise)^(AY$5-1)</f>
        <v>0</v>
      </c>
      <c r="AZ170" s="33" t="n">
        <f aca="false">AZ85*'Hiring plan'!$K$81*(1+Salary_Raise)^(AZ$5-1)</f>
        <v>0</v>
      </c>
      <c r="BA170" s="33" t="n">
        <f aca="false">BA85*'Hiring plan'!$K$81*(1+Salary_Raise)^(BA$5-1)</f>
        <v>0</v>
      </c>
      <c r="BB170" s="33" t="n">
        <f aca="false">BB85*'Hiring plan'!$K$81*(1+Salary_Raise)^(BB$5-1)</f>
        <v>0</v>
      </c>
      <c r="BC170" s="33" t="n">
        <f aca="false">BC85*'Hiring plan'!$K$81*(1+Salary_Raise)^(BC$5-1)</f>
        <v>0</v>
      </c>
      <c r="BD170" s="33" t="n">
        <f aca="false">BD85*'Hiring plan'!$K$81*(1+Salary_Raise)^(BD$5-1)</f>
        <v>0</v>
      </c>
      <c r="BE170" s="33" t="n">
        <f aca="false">BE85*'Hiring plan'!$K$81*(1+Salary_Raise)^(BE$5-1)</f>
        <v>0</v>
      </c>
      <c r="BF170" s="33" t="n">
        <f aca="false">BF85*'Hiring plan'!$K$81*(1+Salary_Raise)^(BF$5-1)</f>
        <v>0</v>
      </c>
      <c r="BG170" s="33" t="n">
        <f aca="false">BG85*'Hiring plan'!$K$81*(1+Salary_Raise)^(BG$5-1)</f>
        <v>0</v>
      </c>
      <c r="BH170" s="33" t="n">
        <f aca="false">BH85*'Hiring plan'!$K$81*(1+Salary_Raise)^(BH$5-1)</f>
        <v>0</v>
      </c>
      <c r="BI170" s="33" t="n">
        <f aca="false">BI85*'Hiring plan'!$K$81*(1+Salary_Raise)^(BI$5-1)</f>
        <v>0</v>
      </c>
      <c r="BJ170" s="33" t="n">
        <f aca="false">BJ85*'Hiring plan'!$K$81*(1+Salary_Raise)^(BJ$5-1)</f>
        <v>0</v>
      </c>
      <c r="BK170" s="33" t="n">
        <f aca="false">BK85*'Hiring plan'!$K$81*(1+Salary_Raise)^(BK$5-1)</f>
        <v>0</v>
      </c>
      <c r="BL170" s="33" t="n">
        <f aca="false">BL85*'Hiring plan'!$K$81*(1+Salary_Raise)^(BL$5-1)</f>
        <v>0</v>
      </c>
    </row>
    <row r="171" customFormat="false" ht="15" hidden="false" customHeight="false" outlineLevel="0" collapsed="false">
      <c r="A171" s="12" t="str">
        <f aca="false">A86</f>
        <v>(spare line 78)</v>
      </c>
      <c r="B171" s="14" t="s">
        <v>63</v>
      </c>
      <c r="D171" s="41" t="n">
        <f aca="false">SUM(E171:BL171)</f>
        <v>0</v>
      </c>
      <c r="E171" s="33" t="n">
        <f aca="false">E86*'Hiring plan'!$K$82*(1+Salary_Raise)^(E$5-1)</f>
        <v>0</v>
      </c>
      <c r="F171" s="33" t="n">
        <f aca="false">F86*'Hiring plan'!$K$82*(1+Salary_Raise)^(F$5-1)</f>
        <v>0</v>
      </c>
      <c r="G171" s="33" t="n">
        <f aca="false">G86*'Hiring plan'!$K$82*(1+Salary_Raise)^(G$5-1)</f>
        <v>0</v>
      </c>
      <c r="H171" s="33" t="n">
        <f aca="false">H86*'Hiring plan'!$K$82*(1+Salary_Raise)^(H$5-1)</f>
        <v>0</v>
      </c>
      <c r="I171" s="33" t="n">
        <f aca="false">I86*'Hiring plan'!$K$82*(1+Salary_Raise)^(I$5-1)</f>
        <v>0</v>
      </c>
      <c r="J171" s="33" t="n">
        <f aca="false">J86*'Hiring plan'!$K$82*(1+Salary_Raise)^(J$5-1)</f>
        <v>0</v>
      </c>
      <c r="K171" s="33" t="n">
        <f aca="false">K86*'Hiring plan'!$K$82*(1+Salary_Raise)^(K$5-1)</f>
        <v>0</v>
      </c>
      <c r="L171" s="33" t="n">
        <f aca="false">L86*'Hiring plan'!$K$82*(1+Salary_Raise)^(L$5-1)</f>
        <v>0</v>
      </c>
      <c r="M171" s="33" t="n">
        <f aca="false">M86*'Hiring plan'!$K$82*(1+Salary_Raise)^(M$5-1)</f>
        <v>0</v>
      </c>
      <c r="N171" s="33" t="n">
        <f aca="false">N86*'Hiring plan'!$K$82*(1+Salary_Raise)^(N$5-1)</f>
        <v>0</v>
      </c>
      <c r="O171" s="33" t="n">
        <f aca="false">O86*'Hiring plan'!$K$82*(1+Salary_Raise)^(O$5-1)</f>
        <v>0</v>
      </c>
      <c r="P171" s="33" t="n">
        <f aca="false">P86*'Hiring plan'!$K$82*(1+Salary_Raise)^(P$5-1)</f>
        <v>0</v>
      </c>
      <c r="Q171" s="33" t="n">
        <f aca="false">Q86*'Hiring plan'!$K$82*(1+Salary_Raise)^(Q$5-1)</f>
        <v>0</v>
      </c>
      <c r="R171" s="33" t="n">
        <f aca="false">R86*'Hiring plan'!$K$82*(1+Salary_Raise)^(R$5-1)</f>
        <v>0</v>
      </c>
      <c r="S171" s="33" t="n">
        <f aca="false">S86*'Hiring plan'!$K$82*(1+Salary_Raise)^(S$5-1)</f>
        <v>0</v>
      </c>
      <c r="T171" s="33" t="n">
        <f aca="false">T86*'Hiring plan'!$K$82*(1+Salary_Raise)^(T$5-1)</f>
        <v>0</v>
      </c>
      <c r="U171" s="33" t="n">
        <f aca="false">U86*'Hiring plan'!$K$82*(1+Salary_Raise)^(U$5-1)</f>
        <v>0</v>
      </c>
      <c r="V171" s="33" t="n">
        <f aca="false">V86*'Hiring plan'!$K$82*(1+Salary_Raise)^(V$5-1)</f>
        <v>0</v>
      </c>
      <c r="W171" s="33" t="n">
        <f aca="false">W86*'Hiring plan'!$K$82*(1+Salary_Raise)^(W$5-1)</f>
        <v>0</v>
      </c>
      <c r="X171" s="33" t="n">
        <f aca="false">X86*'Hiring plan'!$K$82*(1+Salary_Raise)^(X$5-1)</f>
        <v>0</v>
      </c>
      <c r="Y171" s="33" t="n">
        <f aca="false">Y86*'Hiring plan'!$K$82*(1+Salary_Raise)^(Y$5-1)</f>
        <v>0</v>
      </c>
      <c r="Z171" s="33" t="n">
        <f aca="false">Z86*'Hiring plan'!$K$82*(1+Salary_Raise)^(Z$5-1)</f>
        <v>0</v>
      </c>
      <c r="AA171" s="33" t="n">
        <f aca="false">AA86*'Hiring plan'!$K$82*(1+Salary_Raise)^(AA$5-1)</f>
        <v>0</v>
      </c>
      <c r="AB171" s="33" t="n">
        <f aca="false">AB86*'Hiring plan'!$K$82*(1+Salary_Raise)^(AB$5-1)</f>
        <v>0</v>
      </c>
      <c r="AC171" s="33" t="n">
        <f aca="false">AC86*'Hiring plan'!$K$82*(1+Salary_Raise)^(AC$5-1)</f>
        <v>0</v>
      </c>
      <c r="AD171" s="33" t="n">
        <f aca="false">AD86*'Hiring plan'!$K$82*(1+Salary_Raise)^(AD$5-1)</f>
        <v>0</v>
      </c>
      <c r="AE171" s="33" t="n">
        <f aca="false">AE86*'Hiring plan'!$K$82*(1+Salary_Raise)^(AE$5-1)</f>
        <v>0</v>
      </c>
      <c r="AF171" s="33" t="n">
        <f aca="false">AF86*'Hiring plan'!$K$82*(1+Salary_Raise)^(AF$5-1)</f>
        <v>0</v>
      </c>
      <c r="AG171" s="33" t="n">
        <f aca="false">AG86*'Hiring plan'!$K$82*(1+Salary_Raise)^(AG$5-1)</f>
        <v>0</v>
      </c>
      <c r="AH171" s="33" t="n">
        <f aca="false">AH86*'Hiring plan'!$K$82*(1+Salary_Raise)^(AH$5-1)</f>
        <v>0</v>
      </c>
      <c r="AI171" s="33" t="n">
        <f aca="false">AI86*'Hiring plan'!$K$82*(1+Salary_Raise)^(AI$5-1)</f>
        <v>0</v>
      </c>
      <c r="AJ171" s="33" t="n">
        <f aca="false">AJ86*'Hiring plan'!$K$82*(1+Salary_Raise)^(AJ$5-1)</f>
        <v>0</v>
      </c>
      <c r="AK171" s="33" t="n">
        <f aca="false">AK86*'Hiring plan'!$K$82*(1+Salary_Raise)^(AK$5-1)</f>
        <v>0</v>
      </c>
      <c r="AL171" s="33" t="n">
        <f aca="false">AL86*'Hiring plan'!$K$82*(1+Salary_Raise)^(AL$5-1)</f>
        <v>0</v>
      </c>
      <c r="AM171" s="33" t="n">
        <f aca="false">AM86*'Hiring plan'!$K$82*(1+Salary_Raise)^(AM$5-1)</f>
        <v>0</v>
      </c>
      <c r="AN171" s="33" t="n">
        <f aca="false">AN86*'Hiring plan'!$K$82*(1+Salary_Raise)^(AN$5-1)</f>
        <v>0</v>
      </c>
      <c r="AO171" s="33" t="n">
        <f aca="false">AO86*'Hiring plan'!$K$82*(1+Salary_Raise)^(AO$5-1)</f>
        <v>0</v>
      </c>
      <c r="AP171" s="33" t="n">
        <f aca="false">AP86*'Hiring plan'!$K$82*(1+Salary_Raise)^(AP$5-1)</f>
        <v>0</v>
      </c>
      <c r="AQ171" s="33" t="n">
        <f aca="false">AQ86*'Hiring plan'!$K$82*(1+Salary_Raise)^(AQ$5-1)</f>
        <v>0</v>
      </c>
      <c r="AR171" s="33" t="n">
        <f aca="false">AR86*'Hiring plan'!$K$82*(1+Salary_Raise)^(AR$5-1)</f>
        <v>0</v>
      </c>
      <c r="AS171" s="33" t="n">
        <f aca="false">AS86*'Hiring plan'!$K$82*(1+Salary_Raise)^(AS$5-1)</f>
        <v>0</v>
      </c>
      <c r="AT171" s="33" t="n">
        <f aca="false">AT86*'Hiring plan'!$K$82*(1+Salary_Raise)^(AT$5-1)</f>
        <v>0</v>
      </c>
      <c r="AU171" s="33" t="n">
        <f aca="false">AU86*'Hiring plan'!$K$82*(1+Salary_Raise)^(AU$5-1)</f>
        <v>0</v>
      </c>
      <c r="AV171" s="33" t="n">
        <f aca="false">AV86*'Hiring plan'!$K$82*(1+Salary_Raise)^(AV$5-1)</f>
        <v>0</v>
      </c>
      <c r="AW171" s="33" t="n">
        <f aca="false">AW86*'Hiring plan'!$K$82*(1+Salary_Raise)^(AW$5-1)</f>
        <v>0</v>
      </c>
      <c r="AX171" s="33" t="n">
        <f aca="false">AX86*'Hiring plan'!$K$82*(1+Salary_Raise)^(AX$5-1)</f>
        <v>0</v>
      </c>
      <c r="AY171" s="33" t="n">
        <f aca="false">AY86*'Hiring plan'!$K$82*(1+Salary_Raise)^(AY$5-1)</f>
        <v>0</v>
      </c>
      <c r="AZ171" s="33" t="n">
        <f aca="false">AZ86*'Hiring plan'!$K$82*(1+Salary_Raise)^(AZ$5-1)</f>
        <v>0</v>
      </c>
      <c r="BA171" s="33" t="n">
        <f aca="false">BA86*'Hiring plan'!$K$82*(1+Salary_Raise)^(BA$5-1)</f>
        <v>0</v>
      </c>
      <c r="BB171" s="33" t="n">
        <f aca="false">BB86*'Hiring plan'!$K$82*(1+Salary_Raise)^(BB$5-1)</f>
        <v>0</v>
      </c>
      <c r="BC171" s="33" t="n">
        <f aca="false">BC86*'Hiring plan'!$K$82*(1+Salary_Raise)^(BC$5-1)</f>
        <v>0</v>
      </c>
      <c r="BD171" s="33" t="n">
        <f aca="false">BD86*'Hiring plan'!$K$82*(1+Salary_Raise)^(BD$5-1)</f>
        <v>0</v>
      </c>
      <c r="BE171" s="33" t="n">
        <f aca="false">BE86*'Hiring plan'!$K$82*(1+Salary_Raise)^(BE$5-1)</f>
        <v>0</v>
      </c>
      <c r="BF171" s="33" t="n">
        <f aca="false">BF86*'Hiring plan'!$K$82*(1+Salary_Raise)^(BF$5-1)</f>
        <v>0</v>
      </c>
      <c r="BG171" s="33" t="n">
        <f aca="false">BG86*'Hiring plan'!$K$82*(1+Salary_Raise)^(BG$5-1)</f>
        <v>0</v>
      </c>
      <c r="BH171" s="33" t="n">
        <f aca="false">BH86*'Hiring plan'!$K$82*(1+Salary_Raise)^(BH$5-1)</f>
        <v>0</v>
      </c>
      <c r="BI171" s="33" t="n">
        <f aca="false">BI86*'Hiring plan'!$K$82*(1+Salary_Raise)^(BI$5-1)</f>
        <v>0</v>
      </c>
      <c r="BJ171" s="33" t="n">
        <f aca="false">BJ86*'Hiring plan'!$K$82*(1+Salary_Raise)^(BJ$5-1)</f>
        <v>0</v>
      </c>
      <c r="BK171" s="33" t="n">
        <f aca="false">BK86*'Hiring plan'!$K$82*(1+Salary_Raise)^(BK$5-1)</f>
        <v>0</v>
      </c>
      <c r="BL171" s="33" t="n">
        <f aca="false">BL86*'Hiring plan'!$K$82*(1+Salary_Raise)^(BL$5-1)</f>
        <v>0</v>
      </c>
    </row>
    <row r="172" customFormat="false" ht="15" hidden="false" customHeight="false" outlineLevel="0" collapsed="false">
      <c r="A172" s="12" t="str">
        <f aca="false">A87</f>
        <v>(spare line 79)</v>
      </c>
      <c r="B172" s="14" t="s">
        <v>63</v>
      </c>
      <c r="D172" s="41" t="n">
        <f aca="false">SUM(E172:BL172)</f>
        <v>0</v>
      </c>
      <c r="E172" s="33" t="n">
        <f aca="false">E87*'Hiring plan'!$K$83*(1+Salary_Raise)^(E$5-1)</f>
        <v>0</v>
      </c>
      <c r="F172" s="33" t="n">
        <f aca="false">F87*'Hiring plan'!$K$83*(1+Salary_Raise)^(F$5-1)</f>
        <v>0</v>
      </c>
      <c r="G172" s="33" t="n">
        <f aca="false">G87*'Hiring plan'!$K$83*(1+Salary_Raise)^(G$5-1)</f>
        <v>0</v>
      </c>
      <c r="H172" s="33" t="n">
        <f aca="false">H87*'Hiring plan'!$K$83*(1+Salary_Raise)^(H$5-1)</f>
        <v>0</v>
      </c>
      <c r="I172" s="33" t="n">
        <f aca="false">I87*'Hiring plan'!$K$83*(1+Salary_Raise)^(I$5-1)</f>
        <v>0</v>
      </c>
      <c r="J172" s="33" t="n">
        <f aca="false">J87*'Hiring plan'!$K$83*(1+Salary_Raise)^(J$5-1)</f>
        <v>0</v>
      </c>
      <c r="K172" s="33" t="n">
        <f aca="false">K87*'Hiring plan'!$K$83*(1+Salary_Raise)^(K$5-1)</f>
        <v>0</v>
      </c>
      <c r="L172" s="33" t="n">
        <f aca="false">L87*'Hiring plan'!$K$83*(1+Salary_Raise)^(L$5-1)</f>
        <v>0</v>
      </c>
      <c r="M172" s="33" t="n">
        <f aca="false">M87*'Hiring plan'!$K$83*(1+Salary_Raise)^(M$5-1)</f>
        <v>0</v>
      </c>
      <c r="N172" s="33" t="n">
        <f aca="false">N87*'Hiring plan'!$K$83*(1+Salary_Raise)^(N$5-1)</f>
        <v>0</v>
      </c>
      <c r="O172" s="33" t="n">
        <f aca="false">O87*'Hiring plan'!$K$83*(1+Salary_Raise)^(O$5-1)</f>
        <v>0</v>
      </c>
      <c r="P172" s="33" t="n">
        <f aca="false">P87*'Hiring plan'!$K$83*(1+Salary_Raise)^(P$5-1)</f>
        <v>0</v>
      </c>
      <c r="Q172" s="33" t="n">
        <f aca="false">Q87*'Hiring plan'!$K$83*(1+Salary_Raise)^(Q$5-1)</f>
        <v>0</v>
      </c>
      <c r="R172" s="33" t="n">
        <f aca="false">R87*'Hiring plan'!$K$83*(1+Salary_Raise)^(R$5-1)</f>
        <v>0</v>
      </c>
      <c r="S172" s="33" t="n">
        <f aca="false">S87*'Hiring plan'!$K$83*(1+Salary_Raise)^(S$5-1)</f>
        <v>0</v>
      </c>
      <c r="T172" s="33" t="n">
        <f aca="false">T87*'Hiring plan'!$K$83*(1+Salary_Raise)^(T$5-1)</f>
        <v>0</v>
      </c>
      <c r="U172" s="33" t="n">
        <f aca="false">U87*'Hiring plan'!$K$83*(1+Salary_Raise)^(U$5-1)</f>
        <v>0</v>
      </c>
      <c r="V172" s="33" t="n">
        <f aca="false">V87*'Hiring plan'!$K$83*(1+Salary_Raise)^(V$5-1)</f>
        <v>0</v>
      </c>
      <c r="W172" s="33" t="n">
        <f aca="false">W87*'Hiring plan'!$K$83*(1+Salary_Raise)^(W$5-1)</f>
        <v>0</v>
      </c>
      <c r="X172" s="33" t="n">
        <f aca="false">X87*'Hiring plan'!$K$83*(1+Salary_Raise)^(X$5-1)</f>
        <v>0</v>
      </c>
      <c r="Y172" s="33" t="n">
        <f aca="false">Y87*'Hiring plan'!$K$83*(1+Salary_Raise)^(Y$5-1)</f>
        <v>0</v>
      </c>
      <c r="Z172" s="33" t="n">
        <f aca="false">Z87*'Hiring plan'!$K$83*(1+Salary_Raise)^(Z$5-1)</f>
        <v>0</v>
      </c>
      <c r="AA172" s="33" t="n">
        <f aca="false">AA87*'Hiring plan'!$K$83*(1+Salary_Raise)^(AA$5-1)</f>
        <v>0</v>
      </c>
      <c r="AB172" s="33" t="n">
        <f aca="false">AB87*'Hiring plan'!$K$83*(1+Salary_Raise)^(AB$5-1)</f>
        <v>0</v>
      </c>
      <c r="AC172" s="33" t="n">
        <f aca="false">AC87*'Hiring plan'!$K$83*(1+Salary_Raise)^(AC$5-1)</f>
        <v>0</v>
      </c>
      <c r="AD172" s="33" t="n">
        <f aca="false">AD87*'Hiring plan'!$K$83*(1+Salary_Raise)^(AD$5-1)</f>
        <v>0</v>
      </c>
      <c r="AE172" s="33" t="n">
        <f aca="false">AE87*'Hiring plan'!$K$83*(1+Salary_Raise)^(AE$5-1)</f>
        <v>0</v>
      </c>
      <c r="AF172" s="33" t="n">
        <f aca="false">AF87*'Hiring plan'!$K$83*(1+Salary_Raise)^(AF$5-1)</f>
        <v>0</v>
      </c>
      <c r="AG172" s="33" t="n">
        <f aca="false">AG87*'Hiring plan'!$K$83*(1+Salary_Raise)^(AG$5-1)</f>
        <v>0</v>
      </c>
      <c r="AH172" s="33" t="n">
        <f aca="false">AH87*'Hiring plan'!$K$83*(1+Salary_Raise)^(AH$5-1)</f>
        <v>0</v>
      </c>
      <c r="AI172" s="33" t="n">
        <f aca="false">AI87*'Hiring plan'!$K$83*(1+Salary_Raise)^(AI$5-1)</f>
        <v>0</v>
      </c>
      <c r="AJ172" s="33" t="n">
        <f aca="false">AJ87*'Hiring plan'!$K$83*(1+Salary_Raise)^(AJ$5-1)</f>
        <v>0</v>
      </c>
      <c r="AK172" s="33" t="n">
        <f aca="false">AK87*'Hiring plan'!$K$83*(1+Salary_Raise)^(AK$5-1)</f>
        <v>0</v>
      </c>
      <c r="AL172" s="33" t="n">
        <f aca="false">AL87*'Hiring plan'!$K$83*(1+Salary_Raise)^(AL$5-1)</f>
        <v>0</v>
      </c>
      <c r="AM172" s="33" t="n">
        <f aca="false">AM87*'Hiring plan'!$K$83*(1+Salary_Raise)^(AM$5-1)</f>
        <v>0</v>
      </c>
      <c r="AN172" s="33" t="n">
        <f aca="false">AN87*'Hiring plan'!$K$83*(1+Salary_Raise)^(AN$5-1)</f>
        <v>0</v>
      </c>
      <c r="AO172" s="33" t="n">
        <f aca="false">AO87*'Hiring plan'!$K$83*(1+Salary_Raise)^(AO$5-1)</f>
        <v>0</v>
      </c>
      <c r="AP172" s="33" t="n">
        <f aca="false">AP87*'Hiring plan'!$K$83*(1+Salary_Raise)^(AP$5-1)</f>
        <v>0</v>
      </c>
      <c r="AQ172" s="33" t="n">
        <f aca="false">AQ87*'Hiring plan'!$K$83*(1+Salary_Raise)^(AQ$5-1)</f>
        <v>0</v>
      </c>
      <c r="AR172" s="33" t="n">
        <f aca="false">AR87*'Hiring plan'!$K$83*(1+Salary_Raise)^(AR$5-1)</f>
        <v>0</v>
      </c>
      <c r="AS172" s="33" t="n">
        <f aca="false">AS87*'Hiring plan'!$K$83*(1+Salary_Raise)^(AS$5-1)</f>
        <v>0</v>
      </c>
      <c r="AT172" s="33" t="n">
        <f aca="false">AT87*'Hiring plan'!$K$83*(1+Salary_Raise)^(AT$5-1)</f>
        <v>0</v>
      </c>
      <c r="AU172" s="33" t="n">
        <f aca="false">AU87*'Hiring plan'!$K$83*(1+Salary_Raise)^(AU$5-1)</f>
        <v>0</v>
      </c>
      <c r="AV172" s="33" t="n">
        <f aca="false">AV87*'Hiring plan'!$K$83*(1+Salary_Raise)^(AV$5-1)</f>
        <v>0</v>
      </c>
      <c r="AW172" s="33" t="n">
        <f aca="false">AW87*'Hiring plan'!$K$83*(1+Salary_Raise)^(AW$5-1)</f>
        <v>0</v>
      </c>
      <c r="AX172" s="33" t="n">
        <f aca="false">AX87*'Hiring plan'!$K$83*(1+Salary_Raise)^(AX$5-1)</f>
        <v>0</v>
      </c>
      <c r="AY172" s="33" t="n">
        <f aca="false">AY87*'Hiring plan'!$K$83*(1+Salary_Raise)^(AY$5-1)</f>
        <v>0</v>
      </c>
      <c r="AZ172" s="33" t="n">
        <f aca="false">AZ87*'Hiring plan'!$K$83*(1+Salary_Raise)^(AZ$5-1)</f>
        <v>0</v>
      </c>
      <c r="BA172" s="33" t="n">
        <f aca="false">BA87*'Hiring plan'!$K$83*(1+Salary_Raise)^(BA$5-1)</f>
        <v>0</v>
      </c>
      <c r="BB172" s="33" t="n">
        <f aca="false">BB87*'Hiring plan'!$K$83*(1+Salary_Raise)^(BB$5-1)</f>
        <v>0</v>
      </c>
      <c r="BC172" s="33" t="n">
        <f aca="false">BC87*'Hiring plan'!$K$83*(1+Salary_Raise)^(BC$5-1)</f>
        <v>0</v>
      </c>
      <c r="BD172" s="33" t="n">
        <f aca="false">BD87*'Hiring plan'!$K$83*(1+Salary_Raise)^(BD$5-1)</f>
        <v>0</v>
      </c>
      <c r="BE172" s="33" t="n">
        <f aca="false">BE87*'Hiring plan'!$K$83*(1+Salary_Raise)^(BE$5-1)</f>
        <v>0</v>
      </c>
      <c r="BF172" s="33" t="n">
        <f aca="false">BF87*'Hiring plan'!$K$83*(1+Salary_Raise)^(BF$5-1)</f>
        <v>0</v>
      </c>
      <c r="BG172" s="33" t="n">
        <f aca="false">BG87*'Hiring plan'!$K$83*(1+Salary_Raise)^(BG$5-1)</f>
        <v>0</v>
      </c>
      <c r="BH172" s="33" t="n">
        <f aca="false">BH87*'Hiring plan'!$K$83*(1+Salary_Raise)^(BH$5-1)</f>
        <v>0</v>
      </c>
      <c r="BI172" s="33" t="n">
        <f aca="false">BI87*'Hiring plan'!$K$83*(1+Salary_Raise)^(BI$5-1)</f>
        <v>0</v>
      </c>
      <c r="BJ172" s="33" t="n">
        <f aca="false">BJ87*'Hiring plan'!$K$83*(1+Salary_Raise)^(BJ$5-1)</f>
        <v>0</v>
      </c>
      <c r="BK172" s="33" t="n">
        <f aca="false">BK87*'Hiring plan'!$K$83*(1+Salary_Raise)^(BK$5-1)</f>
        <v>0</v>
      </c>
      <c r="BL172" s="33" t="n">
        <f aca="false">BL87*'Hiring plan'!$K$83*(1+Salary_Raise)^(BL$5-1)</f>
        <v>0</v>
      </c>
    </row>
    <row r="173" customFormat="false" ht="15" hidden="false" customHeight="false" outlineLevel="0" collapsed="false">
      <c r="A173" s="12" t="str">
        <f aca="false">A88</f>
        <v>(spare line 80)</v>
      </c>
      <c r="B173" s="14" t="s">
        <v>63</v>
      </c>
      <c r="D173" s="41" t="n">
        <f aca="false">SUM(E173:BL173)</f>
        <v>0</v>
      </c>
      <c r="E173" s="33" t="n">
        <f aca="false">E88*'Hiring plan'!$K$84*(1+Salary_Raise)^(E$5-1)</f>
        <v>0</v>
      </c>
      <c r="F173" s="33" t="n">
        <f aca="false">F88*'Hiring plan'!$K$84*(1+Salary_Raise)^(F$5-1)</f>
        <v>0</v>
      </c>
      <c r="G173" s="33" t="n">
        <f aca="false">G88*'Hiring plan'!$K$84*(1+Salary_Raise)^(G$5-1)</f>
        <v>0</v>
      </c>
      <c r="H173" s="33" t="n">
        <f aca="false">H88*'Hiring plan'!$K$84*(1+Salary_Raise)^(H$5-1)</f>
        <v>0</v>
      </c>
      <c r="I173" s="33" t="n">
        <f aca="false">I88*'Hiring plan'!$K$84*(1+Salary_Raise)^(I$5-1)</f>
        <v>0</v>
      </c>
      <c r="J173" s="33" t="n">
        <f aca="false">J88*'Hiring plan'!$K$84*(1+Salary_Raise)^(J$5-1)</f>
        <v>0</v>
      </c>
      <c r="K173" s="33" t="n">
        <f aca="false">K88*'Hiring plan'!$K$84*(1+Salary_Raise)^(K$5-1)</f>
        <v>0</v>
      </c>
      <c r="L173" s="33" t="n">
        <f aca="false">L88*'Hiring plan'!$K$84*(1+Salary_Raise)^(L$5-1)</f>
        <v>0</v>
      </c>
      <c r="M173" s="33" t="n">
        <f aca="false">M88*'Hiring plan'!$K$84*(1+Salary_Raise)^(M$5-1)</f>
        <v>0</v>
      </c>
      <c r="N173" s="33" t="n">
        <f aca="false">N88*'Hiring plan'!$K$84*(1+Salary_Raise)^(N$5-1)</f>
        <v>0</v>
      </c>
      <c r="O173" s="33" t="n">
        <f aca="false">O88*'Hiring plan'!$K$84*(1+Salary_Raise)^(O$5-1)</f>
        <v>0</v>
      </c>
      <c r="P173" s="33" t="n">
        <f aca="false">P88*'Hiring plan'!$K$84*(1+Salary_Raise)^(P$5-1)</f>
        <v>0</v>
      </c>
      <c r="Q173" s="33" t="n">
        <f aca="false">Q88*'Hiring plan'!$K$84*(1+Salary_Raise)^(Q$5-1)</f>
        <v>0</v>
      </c>
      <c r="R173" s="33" t="n">
        <f aca="false">R88*'Hiring plan'!$K$84*(1+Salary_Raise)^(R$5-1)</f>
        <v>0</v>
      </c>
      <c r="S173" s="33" t="n">
        <f aca="false">S88*'Hiring plan'!$K$84*(1+Salary_Raise)^(S$5-1)</f>
        <v>0</v>
      </c>
      <c r="T173" s="33" t="n">
        <f aca="false">T88*'Hiring plan'!$K$84*(1+Salary_Raise)^(T$5-1)</f>
        <v>0</v>
      </c>
      <c r="U173" s="33" t="n">
        <f aca="false">U88*'Hiring plan'!$K$84*(1+Salary_Raise)^(U$5-1)</f>
        <v>0</v>
      </c>
      <c r="V173" s="33" t="n">
        <f aca="false">V88*'Hiring plan'!$K$84*(1+Salary_Raise)^(V$5-1)</f>
        <v>0</v>
      </c>
      <c r="W173" s="33" t="n">
        <f aca="false">W88*'Hiring plan'!$K$84*(1+Salary_Raise)^(W$5-1)</f>
        <v>0</v>
      </c>
      <c r="X173" s="33" t="n">
        <f aca="false">X88*'Hiring plan'!$K$84*(1+Salary_Raise)^(X$5-1)</f>
        <v>0</v>
      </c>
      <c r="Y173" s="33" t="n">
        <f aca="false">Y88*'Hiring plan'!$K$84*(1+Salary_Raise)^(Y$5-1)</f>
        <v>0</v>
      </c>
      <c r="Z173" s="33" t="n">
        <f aca="false">Z88*'Hiring plan'!$K$84*(1+Salary_Raise)^(Z$5-1)</f>
        <v>0</v>
      </c>
      <c r="AA173" s="33" t="n">
        <f aca="false">AA88*'Hiring plan'!$K$84*(1+Salary_Raise)^(AA$5-1)</f>
        <v>0</v>
      </c>
      <c r="AB173" s="33" t="n">
        <f aca="false">AB88*'Hiring plan'!$K$84*(1+Salary_Raise)^(AB$5-1)</f>
        <v>0</v>
      </c>
      <c r="AC173" s="33" t="n">
        <f aca="false">AC88*'Hiring plan'!$K$84*(1+Salary_Raise)^(AC$5-1)</f>
        <v>0</v>
      </c>
      <c r="AD173" s="33" t="n">
        <f aca="false">AD88*'Hiring plan'!$K$84*(1+Salary_Raise)^(AD$5-1)</f>
        <v>0</v>
      </c>
      <c r="AE173" s="33" t="n">
        <f aca="false">AE88*'Hiring plan'!$K$84*(1+Salary_Raise)^(AE$5-1)</f>
        <v>0</v>
      </c>
      <c r="AF173" s="33" t="n">
        <f aca="false">AF88*'Hiring plan'!$K$84*(1+Salary_Raise)^(AF$5-1)</f>
        <v>0</v>
      </c>
      <c r="AG173" s="33" t="n">
        <f aca="false">AG88*'Hiring plan'!$K$84*(1+Salary_Raise)^(AG$5-1)</f>
        <v>0</v>
      </c>
      <c r="AH173" s="33" t="n">
        <f aca="false">AH88*'Hiring plan'!$K$84*(1+Salary_Raise)^(AH$5-1)</f>
        <v>0</v>
      </c>
      <c r="AI173" s="33" t="n">
        <f aca="false">AI88*'Hiring plan'!$K$84*(1+Salary_Raise)^(AI$5-1)</f>
        <v>0</v>
      </c>
      <c r="AJ173" s="33" t="n">
        <f aca="false">AJ88*'Hiring plan'!$K$84*(1+Salary_Raise)^(AJ$5-1)</f>
        <v>0</v>
      </c>
      <c r="AK173" s="33" t="n">
        <f aca="false">AK88*'Hiring plan'!$K$84*(1+Salary_Raise)^(AK$5-1)</f>
        <v>0</v>
      </c>
      <c r="AL173" s="33" t="n">
        <f aca="false">AL88*'Hiring plan'!$K$84*(1+Salary_Raise)^(AL$5-1)</f>
        <v>0</v>
      </c>
      <c r="AM173" s="33" t="n">
        <f aca="false">AM88*'Hiring plan'!$K$84*(1+Salary_Raise)^(AM$5-1)</f>
        <v>0</v>
      </c>
      <c r="AN173" s="33" t="n">
        <f aca="false">AN88*'Hiring plan'!$K$84*(1+Salary_Raise)^(AN$5-1)</f>
        <v>0</v>
      </c>
      <c r="AO173" s="33" t="n">
        <f aca="false">AO88*'Hiring plan'!$K$84*(1+Salary_Raise)^(AO$5-1)</f>
        <v>0</v>
      </c>
      <c r="AP173" s="33" t="n">
        <f aca="false">AP88*'Hiring plan'!$K$84*(1+Salary_Raise)^(AP$5-1)</f>
        <v>0</v>
      </c>
      <c r="AQ173" s="33" t="n">
        <f aca="false">AQ88*'Hiring plan'!$K$84*(1+Salary_Raise)^(AQ$5-1)</f>
        <v>0</v>
      </c>
      <c r="AR173" s="33" t="n">
        <f aca="false">AR88*'Hiring plan'!$K$84*(1+Salary_Raise)^(AR$5-1)</f>
        <v>0</v>
      </c>
      <c r="AS173" s="33" t="n">
        <f aca="false">AS88*'Hiring plan'!$K$84*(1+Salary_Raise)^(AS$5-1)</f>
        <v>0</v>
      </c>
      <c r="AT173" s="33" t="n">
        <f aca="false">AT88*'Hiring plan'!$K$84*(1+Salary_Raise)^(AT$5-1)</f>
        <v>0</v>
      </c>
      <c r="AU173" s="33" t="n">
        <f aca="false">AU88*'Hiring plan'!$K$84*(1+Salary_Raise)^(AU$5-1)</f>
        <v>0</v>
      </c>
      <c r="AV173" s="33" t="n">
        <f aca="false">AV88*'Hiring plan'!$K$84*(1+Salary_Raise)^(AV$5-1)</f>
        <v>0</v>
      </c>
      <c r="AW173" s="33" t="n">
        <f aca="false">AW88*'Hiring plan'!$K$84*(1+Salary_Raise)^(AW$5-1)</f>
        <v>0</v>
      </c>
      <c r="AX173" s="33" t="n">
        <f aca="false">AX88*'Hiring plan'!$K$84*(1+Salary_Raise)^(AX$5-1)</f>
        <v>0</v>
      </c>
      <c r="AY173" s="33" t="n">
        <f aca="false">AY88*'Hiring plan'!$K$84*(1+Salary_Raise)^(AY$5-1)</f>
        <v>0</v>
      </c>
      <c r="AZ173" s="33" t="n">
        <f aca="false">AZ88*'Hiring plan'!$K$84*(1+Salary_Raise)^(AZ$5-1)</f>
        <v>0</v>
      </c>
      <c r="BA173" s="33" t="n">
        <f aca="false">BA88*'Hiring plan'!$K$84*(1+Salary_Raise)^(BA$5-1)</f>
        <v>0</v>
      </c>
      <c r="BB173" s="33" t="n">
        <f aca="false">BB88*'Hiring plan'!$K$84*(1+Salary_Raise)^(BB$5-1)</f>
        <v>0</v>
      </c>
      <c r="BC173" s="33" t="n">
        <f aca="false">BC88*'Hiring plan'!$K$84*(1+Salary_Raise)^(BC$5-1)</f>
        <v>0</v>
      </c>
      <c r="BD173" s="33" t="n">
        <f aca="false">BD88*'Hiring plan'!$K$84*(1+Salary_Raise)^(BD$5-1)</f>
        <v>0</v>
      </c>
      <c r="BE173" s="33" t="n">
        <f aca="false">BE88*'Hiring plan'!$K$84*(1+Salary_Raise)^(BE$5-1)</f>
        <v>0</v>
      </c>
      <c r="BF173" s="33" t="n">
        <f aca="false">BF88*'Hiring plan'!$K$84*(1+Salary_Raise)^(BF$5-1)</f>
        <v>0</v>
      </c>
      <c r="BG173" s="33" t="n">
        <f aca="false">BG88*'Hiring plan'!$K$84*(1+Salary_Raise)^(BG$5-1)</f>
        <v>0</v>
      </c>
      <c r="BH173" s="33" t="n">
        <f aca="false">BH88*'Hiring plan'!$K$84*(1+Salary_Raise)^(BH$5-1)</f>
        <v>0</v>
      </c>
      <c r="BI173" s="33" t="n">
        <f aca="false">BI88*'Hiring plan'!$K$84*(1+Salary_Raise)^(BI$5-1)</f>
        <v>0</v>
      </c>
      <c r="BJ173" s="33" t="n">
        <f aca="false">BJ88*'Hiring plan'!$K$84*(1+Salary_Raise)^(BJ$5-1)</f>
        <v>0</v>
      </c>
      <c r="BK173" s="33" t="n">
        <f aca="false">BK88*'Hiring plan'!$K$84*(1+Salary_Raise)^(BK$5-1)</f>
        <v>0</v>
      </c>
      <c r="BL173" s="33" t="n">
        <f aca="false">BL88*'Hiring plan'!$K$84*(1+Salary_Raise)^(BL$5-1)</f>
        <v>0</v>
      </c>
    </row>
    <row r="174" customFormat="false" ht="15" hidden="false" customHeight="false" outlineLevel="0" collapsed="false">
      <c r="A174" s="12" t="str">
        <f aca="false">A89</f>
        <v>(spare line 81)</v>
      </c>
      <c r="B174" s="14" t="s">
        <v>63</v>
      </c>
      <c r="D174" s="41" t="n">
        <f aca="false">SUM(E174:BL174)</f>
        <v>0</v>
      </c>
      <c r="E174" s="33" t="n">
        <f aca="false">E89*'Hiring plan'!$K$85*(1+Salary_Raise)^(E$5-1)</f>
        <v>0</v>
      </c>
      <c r="F174" s="33" t="n">
        <f aca="false">F89*'Hiring plan'!$K$85*(1+Salary_Raise)^(F$5-1)</f>
        <v>0</v>
      </c>
      <c r="G174" s="33" t="n">
        <f aca="false">G89*'Hiring plan'!$K$85*(1+Salary_Raise)^(G$5-1)</f>
        <v>0</v>
      </c>
      <c r="H174" s="33" t="n">
        <f aca="false">H89*'Hiring plan'!$K$85*(1+Salary_Raise)^(H$5-1)</f>
        <v>0</v>
      </c>
      <c r="I174" s="33" t="n">
        <f aca="false">I89*'Hiring plan'!$K$85*(1+Salary_Raise)^(I$5-1)</f>
        <v>0</v>
      </c>
      <c r="J174" s="33" t="n">
        <f aca="false">J89*'Hiring plan'!$K$85*(1+Salary_Raise)^(J$5-1)</f>
        <v>0</v>
      </c>
      <c r="K174" s="33" t="n">
        <f aca="false">K89*'Hiring plan'!$K$85*(1+Salary_Raise)^(K$5-1)</f>
        <v>0</v>
      </c>
      <c r="L174" s="33" t="n">
        <f aca="false">L89*'Hiring plan'!$K$85*(1+Salary_Raise)^(L$5-1)</f>
        <v>0</v>
      </c>
      <c r="M174" s="33" t="n">
        <f aca="false">M89*'Hiring plan'!$K$85*(1+Salary_Raise)^(M$5-1)</f>
        <v>0</v>
      </c>
      <c r="N174" s="33" t="n">
        <f aca="false">N89*'Hiring plan'!$K$85*(1+Salary_Raise)^(N$5-1)</f>
        <v>0</v>
      </c>
      <c r="O174" s="33" t="n">
        <f aca="false">O89*'Hiring plan'!$K$85*(1+Salary_Raise)^(O$5-1)</f>
        <v>0</v>
      </c>
      <c r="P174" s="33" t="n">
        <f aca="false">P89*'Hiring plan'!$K$85*(1+Salary_Raise)^(P$5-1)</f>
        <v>0</v>
      </c>
      <c r="Q174" s="33" t="n">
        <f aca="false">Q89*'Hiring plan'!$K$85*(1+Salary_Raise)^(Q$5-1)</f>
        <v>0</v>
      </c>
      <c r="R174" s="33" t="n">
        <f aca="false">R89*'Hiring plan'!$K$85*(1+Salary_Raise)^(R$5-1)</f>
        <v>0</v>
      </c>
      <c r="S174" s="33" t="n">
        <f aca="false">S89*'Hiring plan'!$K$85*(1+Salary_Raise)^(S$5-1)</f>
        <v>0</v>
      </c>
      <c r="T174" s="33" t="n">
        <f aca="false">T89*'Hiring plan'!$K$85*(1+Salary_Raise)^(T$5-1)</f>
        <v>0</v>
      </c>
      <c r="U174" s="33" t="n">
        <f aca="false">U89*'Hiring plan'!$K$85*(1+Salary_Raise)^(U$5-1)</f>
        <v>0</v>
      </c>
      <c r="V174" s="33" t="n">
        <f aca="false">V89*'Hiring plan'!$K$85*(1+Salary_Raise)^(V$5-1)</f>
        <v>0</v>
      </c>
      <c r="W174" s="33" t="n">
        <f aca="false">W89*'Hiring plan'!$K$85*(1+Salary_Raise)^(W$5-1)</f>
        <v>0</v>
      </c>
      <c r="X174" s="33" t="n">
        <f aca="false">X89*'Hiring plan'!$K$85*(1+Salary_Raise)^(X$5-1)</f>
        <v>0</v>
      </c>
      <c r="Y174" s="33" t="n">
        <f aca="false">Y89*'Hiring plan'!$K$85*(1+Salary_Raise)^(Y$5-1)</f>
        <v>0</v>
      </c>
      <c r="Z174" s="33" t="n">
        <f aca="false">Z89*'Hiring plan'!$K$85*(1+Salary_Raise)^(Z$5-1)</f>
        <v>0</v>
      </c>
      <c r="AA174" s="33" t="n">
        <f aca="false">AA89*'Hiring plan'!$K$85*(1+Salary_Raise)^(AA$5-1)</f>
        <v>0</v>
      </c>
      <c r="AB174" s="33" t="n">
        <f aca="false">AB89*'Hiring plan'!$K$85*(1+Salary_Raise)^(AB$5-1)</f>
        <v>0</v>
      </c>
      <c r="AC174" s="33" t="n">
        <f aca="false">AC89*'Hiring plan'!$K$85*(1+Salary_Raise)^(AC$5-1)</f>
        <v>0</v>
      </c>
      <c r="AD174" s="33" t="n">
        <f aca="false">AD89*'Hiring plan'!$K$85*(1+Salary_Raise)^(AD$5-1)</f>
        <v>0</v>
      </c>
      <c r="AE174" s="33" t="n">
        <f aca="false">AE89*'Hiring plan'!$K$85*(1+Salary_Raise)^(AE$5-1)</f>
        <v>0</v>
      </c>
      <c r="AF174" s="33" t="n">
        <f aca="false">AF89*'Hiring plan'!$K$85*(1+Salary_Raise)^(AF$5-1)</f>
        <v>0</v>
      </c>
      <c r="AG174" s="33" t="n">
        <f aca="false">AG89*'Hiring plan'!$K$85*(1+Salary_Raise)^(AG$5-1)</f>
        <v>0</v>
      </c>
      <c r="AH174" s="33" t="n">
        <f aca="false">AH89*'Hiring plan'!$K$85*(1+Salary_Raise)^(AH$5-1)</f>
        <v>0</v>
      </c>
      <c r="AI174" s="33" t="n">
        <f aca="false">AI89*'Hiring plan'!$K$85*(1+Salary_Raise)^(AI$5-1)</f>
        <v>0</v>
      </c>
      <c r="AJ174" s="33" t="n">
        <f aca="false">AJ89*'Hiring plan'!$K$85*(1+Salary_Raise)^(AJ$5-1)</f>
        <v>0</v>
      </c>
      <c r="AK174" s="33" t="n">
        <f aca="false">AK89*'Hiring plan'!$K$85*(1+Salary_Raise)^(AK$5-1)</f>
        <v>0</v>
      </c>
      <c r="AL174" s="33" t="n">
        <f aca="false">AL89*'Hiring plan'!$K$85*(1+Salary_Raise)^(AL$5-1)</f>
        <v>0</v>
      </c>
      <c r="AM174" s="33" t="n">
        <f aca="false">AM89*'Hiring plan'!$K$85*(1+Salary_Raise)^(AM$5-1)</f>
        <v>0</v>
      </c>
      <c r="AN174" s="33" t="n">
        <f aca="false">AN89*'Hiring plan'!$K$85*(1+Salary_Raise)^(AN$5-1)</f>
        <v>0</v>
      </c>
      <c r="AO174" s="33" t="n">
        <f aca="false">AO89*'Hiring plan'!$K$85*(1+Salary_Raise)^(AO$5-1)</f>
        <v>0</v>
      </c>
      <c r="AP174" s="33" t="n">
        <f aca="false">AP89*'Hiring plan'!$K$85*(1+Salary_Raise)^(AP$5-1)</f>
        <v>0</v>
      </c>
      <c r="AQ174" s="33" t="n">
        <f aca="false">AQ89*'Hiring plan'!$K$85*(1+Salary_Raise)^(AQ$5-1)</f>
        <v>0</v>
      </c>
      <c r="AR174" s="33" t="n">
        <f aca="false">AR89*'Hiring plan'!$K$85*(1+Salary_Raise)^(AR$5-1)</f>
        <v>0</v>
      </c>
      <c r="AS174" s="33" t="n">
        <f aca="false">AS89*'Hiring plan'!$K$85*(1+Salary_Raise)^(AS$5-1)</f>
        <v>0</v>
      </c>
      <c r="AT174" s="33" t="n">
        <f aca="false">AT89*'Hiring plan'!$K$85*(1+Salary_Raise)^(AT$5-1)</f>
        <v>0</v>
      </c>
      <c r="AU174" s="33" t="n">
        <f aca="false">AU89*'Hiring plan'!$K$85*(1+Salary_Raise)^(AU$5-1)</f>
        <v>0</v>
      </c>
      <c r="AV174" s="33" t="n">
        <f aca="false">AV89*'Hiring plan'!$K$85*(1+Salary_Raise)^(AV$5-1)</f>
        <v>0</v>
      </c>
      <c r="AW174" s="33" t="n">
        <f aca="false">AW89*'Hiring plan'!$K$85*(1+Salary_Raise)^(AW$5-1)</f>
        <v>0</v>
      </c>
      <c r="AX174" s="33" t="n">
        <f aca="false">AX89*'Hiring plan'!$K$85*(1+Salary_Raise)^(AX$5-1)</f>
        <v>0</v>
      </c>
      <c r="AY174" s="33" t="n">
        <f aca="false">AY89*'Hiring plan'!$K$85*(1+Salary_Raise)^(AY$5-1)</f>
        <v>0</v>
      </c>
      <c r="AZ174" s="33" t="n">
        <f aca="false">AZ89*'Hiring plan'!$K$85*(1+Salary_Raise)^(AZ$5-1)</f>
        <v>0</v>
      </c>
      <c r="BA174" s="33" t="n">
        <f aca="false">BA89*'Hiring plan'!$K$85*(1+Salary_Raise)^(BA$5-1)</f>
        <v>0</v>
      </c>
      <c r="BB174" s="33" t="n">
        <f aca="false">BB89*'Hiring plan'!$K$85*(1+Salary_Raise)^(BB$5-1)</f>
        <v>0</v>
      </c>
      <c r="BC174" s="33" t="n">
        <f aca="false">BC89*'Hiring plan'!$K$85*(1+Salary_Raise)^(BC$5-1)</f>
        <v>0</v>
      </c>
      <c r="BD174" s="33" t="n">
        <f aca="false">BD89*'Hiring plan'!$K$85*(1+Salary_Raise)^(BD$5-1)</f>
        <v>0</v>
      </c>
      <c r="BE174" s="33" t="n">
        <f aca="false">BE89*'Hiring plan'!$K$85*(1+Salary_Raise)^(BE$5-1)</f>
        <v>0</v>
      </c>
      <c r="BF174" s="33" t="n">
        <f aca="false">BF89*'Hiring plan'!$K$85*(1+Salary_Raise)^(BF$5-1)</f>
        <v>0</v>
      </c>
      <c r="BG174" s="33" t="n">
        <f aca="false">BG89*'Hiring plan'!$K$85*(1+Salary_Raise)^(BG$5-1)</f>
        <v>0</v>
      </c>
      <c r="BH174" s="33" t="n">
        <f aca="false">BH89*'Hiring plan'!$K$85*(1+Salary_Raise)^(BH$5-1)</f>
        <v>0</v>
      </c>
      <c r="BI174" s="33" t="n">
        <f aca="false">BI89*'Hiring plan'!$K$85*(1+Salary_Raise)^(BI$5-1)</f>
        <v>0</v>
      </c>
      <c r="BJ174" s="33" t="n">
        <f aca="false">BJ89*'Hiring plan'!$K$85*(1+Salary_Raise)^(BJ$5-1)</f>
        <v>0</v>
      </c>
      <c r="BK174" s="33" t="n">
        <f aca="false">BK89*'Hiring plan'!$K$85*(1+Salary_Raise)^(BK$5-1)</f>
        <v>0</v>
      </c>
      <c r="BL174" s="33" t="n">
        <f aca="false">BL89*'Hiring plan'!$K$85*(1+Salary_Raise)^(BL$5-1)</f>
        <v>0</v>
      </c>
    </row>
    <row r="175" customFormat="false" ht="15" hidden="false" customHeight="false" outlineLevel="0" collapsed="false">
      <c r="A175" s="12" t="str">
        <f aca="false">A90</f>
        <v>(spare line 82)</v>
      </c>
      <c r="B175" s="14" t="s">
        <v>63</v>
      </c>
      <c r="D175" s="41" t="n">
        <f aca="false">SUM(E175:BL175)</f>
        <v>0</v>
      </c>
      <c r="E175" s="33" t="n">
        <f aca="false">E90*'Hiring plan'!$K$86*(1+Salary_Raise)^(E$5-1)</f>
        <v>0</v>
      </c>
      <c r="F175" s="33" t="n">
        <f aca="false">F90*'Hiring plan'!$K$86*(1+Salary_Raise)^(F$5-1)</f>
        <v>0</v>
      </c>
      <c r="G175" s="33" t="n">
        <f aca="false">G90*'Hiring plan'!$K$86*(1+Salary_Raise)^(G$5-1)</f>
        <v>0</v>
      </c>
      <c r="H175" s="33" t="n">
        <f aca="false">H90*'Hiring plan'!$K$86*(1+Salary_Raise)^(H$5-1)</f>
        <v>0</v>
      </c>
      <c r="I175" s="33" t="n">
        <f aca="false">I90*'Hiring plan'!$K$86*(1+Salary_Raise)^(I$5-1)</f>
        <v>0</v>
      </c>
      <c r="J175" s="33" t="n">
        <f aca="false">J90*'Hiring plan'!$K$86*(1+Salary_Raise)^(J$5-1)</f>
        <v>0</v>
      </c>
      <c r="K175" s="33" t="n">
        <f aca="false">K90*'Hiring plan'!$K$86*(1+Salary_Raise)^(K$5-1)</f>
        <v>0</v>
      </c>
      <c r="L175" s="33" t="n">
        <f aca="false">L90*'Hiring plan'!$K$86*(1+Salary_Raise)^(L$5-1)</f>
        <v>0</v>
      </c>
      <c r="M175" s="33" t="n">
        <f aca="false">M90*'Hiring plan'!$K$86*(1+Salary_Raise)^(M$5-1)</f>
        <v>0</v>
      </c>
      <c r="N175" s="33" t="n">
        <f aca="false">N90*'Hiring plan'!$K$86*(1+Salary_Raise)^(N$5-1)</f>
        <v>0</v>
      </c>
      <c r="O175" s="33" t="n">
        <f aca="false">O90*'Hiring plan'!$K$86*(1+Salary_Raise)^(O$5-1)</f>
        <v>0</v>
      </c>
      <c r="P175" s="33" t="n">
        <f aca="false">P90*'Hiring plan'!$K$86*(1+Salary_Raise)^(P$5-1)</f>
        <v>0</v>
      </c>
      <c r="Q175" s="33" t="n">
        <f aca="false">Q90*'Hiring plan'!$K$86*(1+Salary_Raise)^(Q$5-1)</f>
        <v>0</v>
      </c>
      <c r="R175" s="33" t="n">
        <f aca="false">R90*'Hiring plan'!$K$86*(1+Salary_Raise)^(R$5-1)</f>
        <v>0</v>
      </c>
      <c r="S175" s="33" t="n">
        <f aca="false">S90*'Hiring plan'!$K$86*(1+Salary_Raise)^(S$5-1)</f>
        <v>0</v>
      </c>
      <c r="T175" s="33" t="n">
        <f aca="false">T90*'Hiring plan'!$K$86*(1+Salary_Raise)^(T$5-1)</f>
        <v>0</v>
      </c>
      <c r="U175" s="33" t="n">
        <f aca="false">U90*'Hiring plan'!$K$86*(1+Salary_Raise)^(U$5-1)</f>
        <v>0</v>
      </c>
      <c r="V175" s="33" t="n">
        <f aca="false">V90*'Hiring plan'!$K$86*(1+Salary_Raise)^(V$5-1)</f>
        <v>0</v>
      </c>
      <c r="W175" s="33" t="n">
        <f aca="false">W90*'Hiring plan'!$K$86*(1+Salary_Raise)^(W$5-1)</f>
        <v>0</v>
      </c>
      <c r="X175" s="33" t="n">
        <f aca="false">X90*'Hiring plan'!$K$86*(1+Salary_Raise)^(X$5-1)</f>
        <v>0</v>
      </c>
      <c r="Y175" s="33" t="n">
        <f aca="false">Y90*'Hiring plan'!$K$86*(1+Salary_Raise)^(Y$5-1)</f>
        <v>0</v>
      </c>
      <c r="Z175" s="33" t="n">
        <f aca="false">Z90*'Hiring plan'!$K$86*(1+Salary_Raise)^(Z$5-1)</f>
        <v>0</v>
      </c>
      <c r="AA175" s="33" t="n">
        <f aca="false">AA90*'Hiring plan'!$K$86*(1+Salary_Raise)^(AA$5-1)</f>
        <v>0</v>
      </c>
      <c r="AB175" s="33" t="n">
        <f aca="false">AB90*'Hiring plan'!$K$86*(1+Salary_Raise)^(AB$5-1)</f>
        <v>0</v>
      </c>
      <c r="AC175" s="33" t="n">
        <f aca="false">AC90*'Hiring plan'!$K$86*(1+Salary_Raise)^(AC$5-1)</f>
        <v>0</v>
      </c>
      <c r="AD175" s="33" t="n">
        <f aca="false">AD90*'Hiring plan'!$K$86*(1+Salary_Raise)^(AD$5-1)</f>
        <v>0</v>
      </c>
      <c r="AE175" s="33" t="n">
        <f aca="false">AE90*'Hiring plan'!$K$86*(1+Salary_Raise)^(AE$5-1)</f>
        <v>0</v>
      </c>
      <c r="AF175" s="33" t="n">
        <f aca="false">AF90*'Hiring plan'!$K$86*(1+Salary_Raise)^(AF$5-1)</f>
        <v>0</v>
      </c>
      <c r="AG175" s="33" t="n">
        <f aca="false">AG90*'Hiring plan'!$K$86*(1+Salary_Raise)^(AG$5-1)</f>
        <v>0</v>
      </c>
      <c r="AH175" s="33" t="n">
        <f aca="false">AH90*'Hiring plan'!$K$86*(1+Salary_Raise)^(AH$5-1)</f>
        <v>0</v>
      </c>
      <c r="AI175" s="33" t="n">
        <f aca="false">AI90*'Hiring plan'!$K$86*(1+Salary_Raise)^(AI$5-1)</f>
        <v>0</v>
      </c>
      <c r="AJ175" s="33" t="n">
        <f aca="false">AJ90*'Hiring plan'!$K$86*(1+Salary_Raise)^(AJ$5-1)</f>
        <v>0</v>
      </c>
      <c r="AK175" s="33" t="n">
        <f aca="false">AK90*'Hiring plan'!$K$86*(1+Salary_Raise)^(AK$5-1)</f>
        <v>0</v>
      </c>
      <c r="AL175" s="33" t="n">
        <f aca="false">AL90*'Hiring plan'!$K$86*(1+Salary_Raise)^(AL$5-1)</f>
        <v>0</v>
      </c>
      <c r="AM175" s="33" t="n">
        <f aca="false">AM90*'Hiring plan'!$K$86*(1+Salary_Raise)^(AM$5-1)</f>
        <v>0</v>
      </c>
      <c r="AN175" s="33" t="n">
        <f aca="false">AN90*'Hiring plan'!$K$86*(1+Salary_Raise)^(AN$5-1)</f>
        <v>0</v>
      </c>
      <c r="AO175" s="33" t="n">
        <f aca="false">AO90*'Hiring plan'!$K$86*(1+Salary_Raise)^(AO$5-1)</f>
        <v>0</v>
      </c>
      <c r="AP175" s="33" t="n">
        <f aca="false">AP90*'Hiring plan'!$K$86*(1+Salary_Raise)^(AP$5-1)</f>
        <v>0</v>
      </c>
      <c r="AQ175" s="33" t="n">
        <f aca="false">AQ90*'Hiring plan'!$K$86*(1+Salary_Raise)^(AQ$5-1)</f>
        <v>0</v>
      </c>
      <c r="AR175" s="33" t="n">
        <f aca="false">AR90*'Hiring plan'!$K$86*(1+Salary_Raise)^(AR$5-1)</f>
        <v>0</v>
      </c>
      <c r="AS175" s="33" t="n">
        <f aca="false">AS90*'Hiring plan'!$K$86*(1+Salary_Raise)^(AS$5-1)</f>
        <v>0</v>
      </c>
      <c r="AT175" s="33" t="n">
        <f aca="false">AT90*'Hiring plan'!$K$86*(1+Salary_Raise)^(AT$5-1)</f>
        <v>0</v>
      </c>
      <c r="AU175" s="33" t="n">
        <f aca="false">AU90*'Hiring plan'!$K$86*(1+Salary_Raise)^(AU$5-1)</f>
        <v>0</v>
      </c>
      <c r="AV175" s="33" t="n">
        <f aca="false">AV90*'Hiring plan'!$K$86*(1+Salary_Raise)^(AV$5-1)</f>
        <v>0</v>
      </c>
      <c r="AW175" s="33" t="n">
        <f aca="false">AW90*'Hiring plan'!$K$86*(1+Salary_Raise)^(AW$5-1)</f>
        <v>0</v>
      </c>
      <c r="AX175" s="33" t="n">
        <f aca="false">AX90*'Hiring plan'!$K$86*(1+Salary_Raise)^(AX$5-1)</f>
        <v>0</v>
      </c>
      <c r="AY175" s="33" t="n">
        <f aca="false">AY90*'Hiring plan'!$K$86*(1+Salary_Raise)^(AY$5-1)</f>
        <v>0</v>
      </c>
      <c r="AZ175" s="33" t="n">
        <f aca="false">AZ90*'Hiring plan'!$K$86*(1+Salary_Raise)^(AZ$5-1)</f>
        <v>0</v>
      </c>
      <c r="BA175" s="33" t="n">
        <f aca="false">BA90*'Hiring plan'!$K$86*(1+Salary_Raise)^(BA$5-1)</f>
        <v>0</v>
      </c>
      <c r="BB175" s="33" t="n">
        <f aca="false">BB90*'Hiring plan'!$K$86*(1+Salary_Raise)^(BB$5-1)</f>
        <v>0</v>
      </c>
      <c r="BC175" s="33" t="n">
        <f aca="false">BC90*'Hiring plan'!$K$86*(1+Salary_Raise)^(BC$5-1)</f>
        <v>0</v>
      </c>
      <c r="BD175" s="33" t="n">
        <f aca="false">BD90*'Hiring plan'!$K$86*(1+Salary_Raise)^(BD$5-1)</f>
        <v>0</v>
      </c>
      <c r="BE175" s="33" t="n">
        <f aca="false">BE90*'Hiring plan'!$K$86*(1+Salary_Raise)^(BE$5-1)</f>
        <v>0</v>
      </c>
      <c r="BF175" s="33" t="n">
        <f aca="false">BF90*'Hiring plan'!$K$86*(1+Salary_Raise)^(BF$5-1)</f>
        <v>0</v>
      </c>
      <c r="BG175" s="33" t="n">
        <f aca="false">BG90*'Hiring plan'!$K$86*(1+Salary_Raise)^(BG$5-1)</f>
        <v>0</v>
      </c>
      <c r="BH175" s="33" t="n">
        <f aca="false">BH90*'Hiring plan'!$K$86*(1+Salary_Raise)^(BH$5-1)</f>
        <v>0</v>
      </c>
      <c r="BI175" s="33" t="n">
        <f aca="false">BI90*'Hiring plan'!$K$86*(1+Salary_Raise)^(BI$5-1)</f>
        <v>0</v>
      </c>
      <c r="BJ175" s="33" t="n">
        <f aca="false">BJ90*'Hiring plan'!$K$86*(1+Salary_Raise)^(BJ$5-1)</f>
        <v>0</v>
      </c>
      <c r="BK175" s="33" t="n">
        <f aca="false">BK90*'Hiring plan'!$K$86*(1+Salary_Raise)^(BK$5-1)</f>
        <v>0</v>
      </c>
      <c r="BL175" s="33" t="n">
        <f aca="false">BL90*'Hiring plan'!$K$86*(1+Salary_Raise)^(BL$5-1)</f>
        <v>0</v>
      </c>
    </row>
    <row r="176" customFormat="false" ht="15" hidden="false" customHeight="false" outlineLevel="0" collapsed="false">
      <c r="A176" s="12" t="str">
        <f aca="false">A91</f>
        <v>(spare line 83)</v>
      </c>
      <c r="B176" s="14" t="s">
        <v>63</v>
      </c>
      <c r="D176" s="41" t="n">
        <f aca="false">SUM(E176:BL176)</f>
        <v>0</v>
      </c>
      <c r="E176" s="33" t="n">
        <f aca="false">E91*'Hiring plan'!$K$87*(1+Salary_Raise)^(E$5-1)</f>
        <v>0</v>
      </c>
      <c r="F176" s="33" t="n">
        <f aca="false">F91*'Hiring plan'!$K$87*(1+Salary_Raise)^(F$5-1)</f>
        <v>0</v>
      </c>
      <c r="G176" s="33" t="n">
        <f aca="false">G91*'Hiring plan'!$K$87*(1+Salary_Raise)^(G$5-1)</f>
        <v>0</v>
      </c>
      <c r="H176" s="33" t="n">
        <f aca="false">H91*'Hiring plan'!$K$87*(1+Salary_Raise)^(H$5-1)</f>
        <v>0</v>
      </c>
      <c r="I176" s="33" t="n">
        <f aca="false">I91*'Hiring plan'!$K$87*(1+Salary_Raise)^(I$5-1)</f>
        <v>0</v>
      </c>
      <c r="J176" s="33" t="n">
        <f aca="false">J91*'Hiring plan'!$K$87*(1+Salary_Raise)^(J$5-1)</f>
        <v>0</v>
      </c>
      <c r="K176" s="33" t="n">
        <f aca="false">K91*'Hiring plan'!$K$87*(1+Salary_Raise)^(K$5-1)</f>
        <v>0</v>
      </c>
      <c r="L176" s="33" t="n">
        <f aca="false">L91*'Hiring plan'!$K$87*(1+Salary_Raise)^(L$5-1)</f>
        <v>0</v>
      </c>
      <c r="M176" s="33" t="n">
        <f aca="false">M91*'Hiring plan'!$K$87*(1+Salary_Raise)^(M$5-1)</f>
        <v>0</v>
      </c>
      <c r="N176" s="33" t="n">
        <f aca="false">N91*'Hiring plan'!$K$87*(1+Salary_Raise)^(N$5-1)</f>
        <v>0</v>
      </c>
      <c r="O176" s="33" t="n">
        <f aca="false">O91*'Hiring plan'!$K$87*(1+Salary_Raise)^(O$5-1)</f>
        <v>0</v>
      </c>
      <c r="P176" s="33" t="n">
        <f aca="false">P91*'Hiring plan'!$K$87*(1+Salary_Raise)^(P$5-1)</f>
        <v>0</v>
      </c>
      <c r="Q176" s="33" t="n">
        <f aca="false">Q91*'Hiring plan'!$K$87*(1+Salary_Raise)^(Q$5-1)</f>
        <v>0</v>
      </c>
      <c r="R176" s="33" t="n">
        <f aca="false">R91*'Hiring plan'!$K$87*(1+Salary_Raise)^(R$5-1)</f>
        <v>0</v>
      </c>
      <c r="S176" s="33" t="n">
        <f aca="false">S91*'Hiring plan'!$K$87*(1+Salary_Raise)^(S$5-1)</f>
        <v>0</v>
      </c>
      <c r="T176" s="33" t="n">
        <f aca="false">T91*'Hiring plan'!$K$87*(1+Salary_Raise)^(T$5-1)</f>
        <v>0</v>
      </c>
      <c r="U176" s="33" t="n">
        <f aca="false">U91*'Hiring plan'!$K$87*(1+Salary_Raise)^(U$5-1)</f>
        <v>0</v>
      </c>
      <c r="V176" s="33" t="n">
        <f aca="false">V91*'Hiring plan'!$K$87*(1+Salary_Raise)^(V$5-1)</f>
        <v>0</v>
      </c>
      <c r="W176" s="33" t="n">
        <f aca="false">W91*'Hiring plan'!$K$87*(1+Salary_Raise)^(W$5-1)</f>
        <v>0</v>
      </c>
      <c r="X176" s="33" t="n">
        <f aca="false">X91*'Hiring plan'!$K$87*(1+Salary_Raise)^(X$5-1)</f>
        <v>0</v>
      </c>
      <c r="Y176" s="33" t="n">
        <f aca="false">Y91*'Hiring plan'!$K$87*(1+Salary_Raise)^(Y$5-1)</f>
        <v>0</v>
      </c>
      <c r="Z176" s="33" t="n">
        <f aca="false">Z91*'Hiring plan'!$K$87*(1+Salary_Raise)^(Z$5-1)</f>
        <v>0</v>
      </c>
      <c r="AA176" s="33" t="n">
        <f aca="false">AA91*'Hiring plan'!$K$87*(1+Salary_Raise)^(AA$5-1)</f>
        <v>0</v>
      </c>
      <c r="AB176" s="33" t="n">
        <f aca="false">AB91*'Hiring plan'!$K$87*(1+Salary_Raise)^(AB$5-1)</f>
        <v>0</v>
      </c>
      <c r="AC176" s="33" t="n">
        <f aca="false">AC91*'Hiring plan'!$K$87*(1+Salary_Raise)^(AC$5-1)</f>
        <v>0</v>
      </c>
      <c r="AD176" s="33" t="n">
        <f aca="false">AD91*'Hiring plan'!$K$87*(1+Salary_Raise)^(AD$5-1)</f>
        <v>0</v>
      </c>
      <c r="AE176" s="33" t="n">
        <f aca="false">AE91*'Hiring plan'!$K$87*(1+Salary_Raise)^(AE$5-1)</f>
        <v>0</v>
      </c>
      <c r="AF176" s="33" t="n">
        <f aca="false">AF91*'Hiring plan'!$K$87*(1+Salary_Raise)^(AF$5-1)</f>
        <v>0</v>
      </c>
      <c r="AG176" s="33" t="n">
        <f aca="false">AG91*'Hiring plan'!$K$87*(1+Salary_Raise)^(AG$5-1)</f>
        <v>0</v>
      </c>
      <c r="AH176" s="33" t="n">
        <f aca="false">AH91*'Hiring plan'!$K$87*(1+Salary_Raise)^(AH$5-1)</f>
        <v>0</v>
      </c>
      <c r="AI176" s="33" t="n">
        <f aca="false">AI91*'Hiring plan'!$K$87*(1+Salary_Raise)^(AI$5-1)</f>
        <v>0</v>
      </c>
      <c r="AJ176" s="33" t="n">
        <f aca="false">AJ91*'Hiring plan'!$K$87*(1+Salary_Raise)^(AJ$5-1)</f>
        <v>0</v>
      </c>
      <c r="AK176" s="33" t="n">
        <f aca="false">AK91*'Hiring plan'!$K$87*(1+Salary_Raise)^(AK$5-1)</f>
        <v>0</v>
      </c>
      <c r="AL176" s="33" t="n">
        <f aca="false">AL91*'Hiring plan'!$K$87*(1+Salary_Raise)^(AL$5-1)</f>
        <v>0</v>
      </c>
      <c r="AM176" s="33" t="n">
        <f aca="false">AM91*'Hiring plan'!$K$87*(1+Salary_Raise)^(AM$5-1)</f>
        <v>0</v>
      </c>
      <c r="AN176" s="33" t="n">
        <f aca="false">AN91*'Hiring plan'!$K$87*(1+Salary_Raise)^(AN$5-1)</f>
        <v>0</v>
      </c>
      <c r="AO176" s="33" t="n">
        <f aca="false">AO91*'Hiring plan'!$K$87*(1+Salary_Raise)^(AO$5-1)</f>
        <v>0</v>
      </c>
      <c r="AP176" s="33" t="n">
        <f aca="false">AP91*'Hiring plan'!$K$87*(1+Salary_Raise)^(AP$5-1)</f>
        <v>0</v>
      </c>
      <c r="AQ176" s="33" t="n">
        <f aca="false">AQ91*'Hiring plan'!$K$87*(1+Salary_Raise)^(AQ$5-1)</f>
        <v>0</v>
      </c>
      <c r="AR176" s="33" t="n">
        <f aca="false">AR91*'Hiring plan'!$K$87*(1+Salary_Raise)^(AR$5-1)</f>
        <v>0</v>
      </c>
      <c r="AS176" s="33" t="n">
        <f aca="false">AS91*'Hiring plan'!$K$87*(1+Salary_Raise)^(AS$5-1)</f>
        <v>0</v>
      </c>
      <c r="AT176" s="33" t="n">
        <f aca="false">AT91*'Hiring plan'!$K$87*(1+Salary_Raise)^(AT$5-1)</f>
        <v>0</v>
      </c>
      <c r="AU176" s="33" t="n">
        <f aca="false">AU91*'Hiring plan'!$K$87*(1+Salary_Raise)^(AU$5-1)</f>
        <v>0</v>
      </c>
      <c r="AV176" s="33" t="n">
        <f aca="false">AV91*'Hiring plan'!$K$87*(1+Salary_Raise)^(AV$5-1)</f>
        <v>0</v>
      </c>
      <c r="AW176" s="33" t="n">
        <f aca="false">AW91*'Hiring plan'!$K$87*(1+Salary_Raise)^(AW$5-1)</f>
        <v>0</v>
      </c>
      <c r="AX176" s="33" t="n">
        <f aca="false">AX91*'Hiring plan'!$K$87*(1+Salary_Raise)^(AX$5-1)</f>
        <v>0</v>
      </c>
      <c r="AY176" s="33" t="n">
        <f aca="false">AY91*'Hiring plan'!$K$87*(1+Salary_Raise)^(AY$5-1)</f>
        <v>0</v>
      </c>
      <c r="AZ176" s="33" t="n">
        <f aca="false">AZ91*'Hiring plan'!$K$87*(1+Salary_Raise)^(AZ$5-1)</f>
        <v>0</v>
      </c>
      <c r="BA176" s="33" t="n">
        <f aca="false">BA91*'Hiring plan'!$K$87*(1+Salary_Raise)^(BA$5-1)</f>
        <v>0</v>
      </c>
      <c r="BB176" s="33" t="n">
        <f aca="false">BB91*'Hiring plan'!$K$87*(1+Salary_Raise)^(BB$5-1)</f>
        <v>0</v>
      </c>
      <c r="BC176" s="33" t="n">
        <f aca="false">BC91*'Hiring plan'!$K$87*(1+Salary_Raise)^(BC$5-1)</f>
        <v>0</v>
      </c>
      <c r="BD176" s="33" t="n">
        <f aca="false">BD91*'Hiring plan'!$K$87*(1+Salary_Raise)^(BD$5-1)</f>
        <v>0</v>
      </c>
      <c r="BE176" s="33" t="n">
        <f aca="false">BE91*'Hiring plan'!$K$87*(1+Salary_Raise)^(BE$5-1)</f>
        <v>0</v>
      </c>
      <c r="BF176" s="33" t="n">
        <f aca="false">BF91*'Hiring plan'!$K$87*(1+Salary_Raise)^(BF$5-1)</f>
        <v>0</v>
      </c>
      <c r="BG176" s="33" t="n">
        <f aca="false">BG91*'Hiring plan'!$K$87*(1+Salary_Raise)^(BG$5-1)</f>
        <v>0</v>
      </c>
      <c r="BH176" s="33" t="n">
        <f aca="false">BH91*'Hiring plan'!$K$87*(1+Salary_Raise)^(BH$5-1)</f>
        <v>0</v>
      </c>
      <c r="BI176" s="33" t="n">
        <f aca="false">BI91*'Hiring plan'!$K$87*(1+Salary_Raise)^(BI$5-1)</f>
        <v>0</v>
      </c>
      <c r="BJ176" s="33" t="n">
        <f aca="false">BJ91*'Hiring plan'!$K$87*(1+Salary_Raise)^(BJ$5-1)</f>
        <v>0</v>
      </c>
      <c r="BK176" s="33" t="n">
        <f aca="false">BK91*'Hiring plan'!$K$87*(1+Salary_Raise)^(BK$5-1)</f>
        <v>0</v>
      </c>
      <c r="BL176" s="33" t="n">
        <f aca="false">BL91*'Hiring plan'!$K$87*(1+Salary_Raise)^(BL$5-1)</f>
        <v>0</v>
      </c>
    </row>
    <row r="178" customFormat="false" ht="15" hidden="false" customHeight="false" outlineLevel="0" collapsed="false">
      <c r="A178" s="10" t="s">
        <v>520</v>
      </c>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row>
    <row r="179" customFormat="false" ht="15" hidden="false" customHeight="false" outlineLevel="0" collapsed="false">
      <c r="A179" s="8" t="s">
        <v>521</v>
      </c>
      <c r="B179" s="14" t="s">
        <v>222</v>
      </c>
      <c r="D179" s="41" t="n">
        <f aca="false">BL179</f>
        <v>97</v>
      </c>
      <c r="E179" s="16" t="n">
        <f aca="false">SUM(E9:E91)</f>
        <v>7</v>
      </c>
      <c r="F179" s="16" t="n">
        <f aca="false">SUM(F9:F91)</f>
        <v>8</v>
      </c>
      <c r="G179" s="16" t="n">
        <f aca="false">SUM(G9:G91)</f>
        <v>10</v>
      </c>
      <c r="H179" s="16" t="n">
        <f aca="false">SUM(H9:H91)</f>
        <v>16</v>
      </c>
      <c r="I179" s="16" t="n">
        <f aca="false">SUM(I9:I91)</f>
        <v>16</v>
      </c>
      <c r="J179" s="16" t="n">
        <f aca="false">SUM(J9:J91)</f>
        <v>17</v>
      </c>
      <c r="K179" s="16" t="n">
        <f aca="false">SUM(K9:K91)</f>
        <v>21</v>
      </c>
      <c r="L179" s="16" t="n">
        <f aca="false">SUM(L9:L91)</f>
        <v>21</v>
      </c>
      <c r="M179" s="16" t="n">
        <f aca="false">SUM(M9:M91)</f>
        <v>21</v>
      </c>
      <c r="N179" s="16" t="n">
        <f aca="false">SUM(N9:N91)</f>
        <v>22</v>
      </c>
      <c r="O179" s="16" t="n">
        <f aca="false">SUM(O9:O91)</f>
        <v>22</v>
      </c>
      <c r="P179" s="16" t="n">
        <f aca="false">SUM(P9:P91)</f>
        <v>22</v>
      </c>
      <c r="Q179" s="16" t="n">
        <f aca="false">SUM(Q9:Q91)</f>
        <v>23</v>
      </c>
      <c r="R179" s="16" t="n">
        <f aca="false">SUM(R9:R91)</f>
        <v>23</v>
      </c>
      <c r="S179" s="16" t="n">
        <f aca="false">SUM(S9:S91)</f>
        <v>23</v>
      </c>
      <c r="T179" s="16" t="n">
        <f aca="false">SUM(T9:T91)</f>
        <v>24</v>
      </c>
      <c r="U179" s="16" t="n">
        <f aca="false">SUM(U9:U91)</f>
        <v>24</v>
      </c>
      <c r="V179" s="16" t="n">
        <f aca="false">SUM(V9:V91)</f>
        <v>24</v>
      </c>
      <c r="W179" s="16" t="n">
        <f aca="false">SUM(W9:W91)</f>
        <v>46</v>
      </c>
      <c r="X179" s="16" t="n">
        <f aca="false">SUM(X9:X91)</f>
        <v>46</v>
      </c>
      <c r="Y179" s="16" t="n">
        <f aca="false">SUM(Y9:Y91)</f>
        <v>46</v>
      </c>
      <c r="Z179" s="16" t="n">
        <f aca="false">SUM(Z9:Z91)</f>
        <v>46</v>
      </c>
      <c r="AA179" s="16" t="n">
        <f aca="false">SUM(AA9:AA91)</f>
        <v>46</v>
      </c>
      <c r="AB179" s="16" t="n">
        <f aca="false">SUM(AB9:AB91)</f>
        <v>46</v>
      </c>
      <c r="AC179" s="16" t="n">
        <f aca="false">SUM(AC9:AC91)</f>
        <v>49</v>
      </c>
      <c r="AD179" s="16" t="n">
        <f aca="false">SUM(AD9:AD91)</f>
        <v>49</v>
      </c>
      <c r="AE179" s="16" t="n">
        <f aca="false">SUM(AE9:AE91)</f>
        <v>49</v>
      </c>
      <c r="AF179" s="16" t="n">
        <f aca="false">SUM(AF9:AF91)</f>
        <v>49</v>
      </c>
      <c r="AG179" s="16" t="n">
        <f aca="false">SUM(AG9:AG91)</f>
        <v>49</v>
      </c>
      <c r="AH179" s="16" t="n">
        <f aca="false">SUM(AH9:AH91)</f>
        <v>49</v>
      </c>
      <c r="AI179" s="16" t="n">
        <f aca="false">SUM(AI9:AI91)</f>
        <v>66</v>
      </c>
      <c r="AJ179" s="16" t="n">
        <f aca="false">SUM(AJ9:AJ91)</f>
        <v>66</v>
      </c>
      <c r="AK179" s="16" t="n">
        <f aca="false">SUM(AK9:AK91)</f>
        <v>66</v>
      </c>
      <c r="AL179" s="16" t="n">
        <f aca="false">SUM(AL9:AL91)</f>
        <v>66</v>
      </c>
      <c r="AM179" s="16" t="n">
        <f aca="false">SUM(AM9:AM91)</f>
        <v>66</v>
      </c>
      <c r="AN179" s="16" t="n">
        <f aca="false">SUM(AN9:AN91)</f>
        <v>66</v>
      </c>
      <c r="AO179" s="16" t="n">
        <f aca="false">SUM(AO9:AO91)</f>
        <v>68</v>
      </c>
      <c r="AP179" s="16" t="n">
        <f aca="false">SUM(AP9:AP91)</f>
        <v>68</v>
      </c>
      <c r="AQ179" s="16" t="n">
        <f aca="false">SUM(AQ9:AQ91)</f>
        <v>68</v>
      </c>
      <c r="AR179" s="16" t="n">
        <f aca="false">SUM(AR9:AR91)</f>
        <v>68</v>
      </c>
      <c r="AS179" s="16" t="n">
        <f aca="false">SUM(AS9:AS91)</f>
        <v>68</v>
      </c>
      <c r="AT179" s="16" t="n">
        <f aca="false">SUM(AT9:AT91)</f>
        <v>68</v>
      </c>
      <c r="AU179" s="16" t="n">
        <f aca="false">SUM(AU9:AU91)</f>
        <v>86</v>
      </c>
      <c r="AV179" s="16" t="n">
        <f aca="false">SUM(AV9:AV91)</f>
        <v>86</v>
      </c>
      <c r="AW179" s="16" t="n">
        <f aca="false">SUM(AW9:AW91)</f>
        <v>86</v>
      </c>
      <c r="AX179" s="16" t="n">
        <f aca="false">SUM(AX9:AX91)</f>
        <v>86</v>
      </c>
      <c r="AY179" s="16" t="n">
        <f aca="false">SUM(AY9:AY91)</f>
        <v>86</v>
      </c>
      <c r="AZ179" s="16" t="n">
        <f aca="false">SUM(AZ9:AZ91)</f>
        <v>86</v>
      </c>
      <c r="BA179" s="16" t="n">
        <f aca="false">SUM(BA9:BA91)</f>
        <v>97</v>
      </c>
      <c r="BB179" s="16" t="n">
        <f aca="false">SUM(BB9:BB91)</f>
        <v>97</v>
      </c>
      <c r="BC179" s="16" t="n">
        <f aca="false">SUM(BC9:BC91)</f>
        <v>97</v>
      </c>
      <c r="BD179" s="16" t="n">
        <f aca="false">SUM(BD9:BD91)</f>
        <v>97</v>
      </c>
      <c r="BE179" s="16" t="n">
        <f aca="false">SUM(BE9:BE91)</f>
        <v>97</v>
      </c>
      <c r="BF179" s="16" t="n">
        <f aca="false">SUM(BF9:BF91)</f>
        <v>97</v>
      </c>
      <c r="BG179" s="16" t="n">
        <f aca="false">SUM(BG9:BG91)</f>
        <v>97</v>
      </c>
      <c r="BH179" s="16" t="n">
        <f aca="false">SUM(BH9:BH91)</f>
        <v>97</v>
      </c>
      <c r="BI179" s="16" t="n">
        <f aca="false">SUM(BI9:BI91)</f>
        <v>97</v>
      </c>
      <c r="BJ179" s="16" t="n">
        <f aca="false">SUM(BJ9:BJ91)</f>
        <v>97</v>
      </c>
      <c r="BK179" s="16" t="n">
        <f aca="false">SUM(BK9:BK91)</f>
        <v>97</v>
      </c>
      <c r="BL179" s="16" t="n">
        <f aca="false">SUM(BL9:BL91)</f>
        <v>97</v>
      </c>
    </row>
    <row r="180" customFormat="false" ht="15" hidden="false" customHeight="false" outlineLevel="0" collapsed="false">
      <c r="A180" s="12" t="s">
        <v>522</v>
      </c>
      <c r="B180" s="14" t="s">
        <v>222</v>
      </c>
      <c r="D180" s="41" t="n">
        <f aca="false">BL180</f>
        <v>80</v>
      </c>
      <c r="E180" s="33" t="n">
        <f aca="false">SUMIF('Hiring plan'!$D$5:$D$87,"SN",E9:E91)</f>
        <v>7</v>
      </c>
      <c r="F180" s="33" t="n">
        <f aca="false">SUMIF('Hiring plan'!$D$5:$D$87,"SN",F9:F91)</f>
        <v>8</v>
      </c>
      <c r="G180" s="33" t="n">
        <f aca="false">SUMIF('Hiring plan'!$D$5:$D$87,"SN",G9:G91)</f>
        <v>10</v>
      </c>
      <c r="H180" s="33" t="n">
        <f aca="false">SUMIF('Hiring plan'!$D$5:$D$87,"SN",H9:H91)</f>
        <v>16</v>
      </c>
      <c r="I180" s="33" t="n">
        <f aca="false">SUMIF('Hiring plan'!$D$5:$D$87,"SN",I9:I91)</f>
        <v>16</v>
      </c>
      <c r="J180" s="33" t="n">
        <f aca="false">SUMIF('Hiring plan'!$D$5:$D$87,"SN",J9:J91)</f>
        <v>17</v>
      </c>
      <c r="K180" s="33" t="n">
        <f aca="false">SUMIF('Hiring plan'!$D$5:$D$87,"SN",K9:K91)</f>
        <v>21</v>
      </c>
      <c r="L180" s="33" t="n">
        <f aca="false">SUMIF('Hiring plan'!$D$5:$D$87,"SN",L9:L91)</f>
        <v>21</v>
      </c>
      <c r="M180" s="33" t="n">
        <f aca="false">SUMIF('Hiring plan'!$D$5:$D$87,"SN",M9:M91)</f>
        <v>21</v>
      </c>
      <c r="N180" s="33" t="n">
        <f aca="false">SUMIF('Hiring plan'!$D$5:$D$87,"SN",N9:N91)</f>
        <v>22</v>
      </c>
      <c r="O180" s="33" t="n">
        <f aca="false">SUMIF('Hiring plan'!$D$5:$D$87,"SN",O9:O91)</f>
        <v>22</v>
      </c>
      <c r="P180" s="33" t="n">
        <f aca="false">SUMIF('Hiring plan'!$D$5:$D$87,"SN",P9:P91)</f>
        <v>22</v>
      </c>
      <c r="Q180" s="33" t="n">
        <f aca="false">SUMIF('Hiring plan'!$D$5:$D$87,"SN",Q9:Q91)</f>
        <v>22</v>
      </c>
      <c r="R180" s="33" t="n">
        <f aca="false">SUMIF('Hiring plan'!$D$5:$D$87,"SN",R9:R91)</f>
        <v>22</v>
      </c>
      <c r="S180" s="33" t="n">
        <f aca="false">SUMIF('Hiring plan'!$D$5:$D$87,"SN",S9:S91)</f>
        <v>22</v>
      </c>
      <c r="T180" s="33" t="n">
        <f aca="false">SUMIF('Hiring plan'!$D$5:$D$87,"SN",T9:T91)</f>
        <v>22</v>
      </c>
      <c r="U180" s="33" t="n">
        <f aca="false">SUMIF('Hiring plan'!$D$5:$D$87,"SN",U9:U91)</f>
        <v>22</v>
      </c>
      <c r="V180" s="33" t="n">
        <f aca="false">SUMIF('Hiring plan'!$D$5:$D$87,"SN",V9:V91)</f>
        <v>22</v>
      </c>
      <c r="W180" s="33" t="n">
        <f aca="false">SUMIF('Hiring plan'!$D$5:$D$87,"SN",W9:W91)</f>
        <v>39</v>
      </c>
      <c r="X180" s="33" t="n">
        <f aca="false">SUMIF('Hiring plan'!$D$5:$D$87,"SN",X9:X91)</f>
        <v>39</v>
      </c>
      <c r="Y180" s="33" t="n">
        <f aca="false">SUMIF('Hiring plan'!$D$5:$D$87,"SN",Y9:Y91)</f>
        <v>39</v>
      </c>
      <c r="Z180" s="33" t="n">
        <f aca="false">SUMIF('Hiring plan'!$D$5:$D$87,"SN",Z9:Z91)</f>
        <v>39</v>
      </c>
      <c r="AA180" s="33" t="n">
        <f aca="false">SUMIF('Hiring plan'!$D$5:$D$87,"SN",AA9:AA91)</f>
        <v>39</v>
      </c>
      <c r="AB180" s="33" t="n">
        <f aca="false">SUMIF('Hiring plan'!$D$5:$D$87,"SN",AB9:AB91)</f>
        <v>39</v>
      </c>
      <c r="AC180" s="33" t="n">
        <f aca="false">SUMIF('Hiring plan'!$D$5:$D$87,"SN",AC9:AC91)</f>
        <v>42</v>
      </c>
      <c r="AD180" s="33" t="n">
        <f aca="false">SUMIF('Hiring plan'!$D$5:$D$87,"SN",AD9:AD91)</f>
        <v>42</v>
      </c>
      <c r="AE180" s="33" t="n">
        <f aca="false">SUMIF('Hiring plan'!$D$5:$D$87,"SN",AE9:AE91)</f>
        <v>42</v>
      </c>
      <c r="AF180" s="33" t="n">
        <f aca="false">SUMIF('Hiring plan'!$D$5:$D$87,"SN",AF9:AF91)</f>
        <v>42</v>
      </c>
      <c r="AG180" s="33" t="n">
        <f aca="false">SUMIF('Hiring plan'!$D$5:$D$87,"SN",AG9:AG91)</f>
        <v>42</v>
      </c>
      <c r="AH180" s="33" t="n">
        <f aca="false">SUMIF('Hiring plan'!$D$5:$D$87,"SN",AH9:AH91)</f>
        <v>42</v>
      </c>
      <c r="AI180" s="33" t="n">
        <f aca="false">SUMIF('Hiring plan'!$D$5:$D$87,"SN",AI9:AI91)</f>
        <v>56</v>
      </c>
      <c r="AJ180" s="33" t="n">
        <f aca="false">SUMIF('Hiring plan'!$D$5:$D$87,"SN",AJ9:AJ91)</f>
        <v>56</v>
      </c>
      <c r="AK180" s="33" t="n">
        <f aca="false">SUMIF('Hiring plan'!$D$5:$D$87,"SN",AK9:AK91)</f>
        <v>56</v>
      </c>
      <c r="AL180" s="33" t="n">
        <f aca="false">SUMIF('Hiring plan'!$D$5:$D$87,"SN",AL9:AL91)</f>
        <v>56</v>
      </c>
      <c r="AM180" s="33" t="n">
        <f aca="false">SUMIF('Hiring plan'!$D$5:$D$87,"SN",AM9:AM91)</f>
        <v>56</v>
      </c>
      <c r="AN180" s="33" t="n">
        <f aca="false">SUMIF('Hiring plan'!$D$5:$D$87,"SN",AN9:AN91)</f>
        <v>56</v>
      </c>
      <c r="AO180" s="33" t="n">
        <f aca="false">SUMIF('Hiring plan'!$D$5:$D$87,"SN",AO9:AO91)</f>
        <v>56</v>
      </c>
      <c r="AP180" s="33" t="n">
        <f aca="false">SUMIF('Hiring plan'!$D$5:$D$87,"SN",AP9:AP91)</f>
        <v>56</v>
      </c>
      <c r="AQ180" s="33" t="n">
        <f aca="false">SUMIF('Hiring plan'!$D$5:$D$87,"SN",AQ9:AQ91)</f>
        <v>56</v>
      </c>
      <c r="AR180" s="33" t="n">
        <f aca="false">SUMIF('Hiring plan'!$D$5:$D$87,"SN",AR9:AR91)</f>
        <v>56</v>
      </c>
      <c r="AS180" s="33" t="n">
        <f aca="false">SUMIF('Hiring plan'!$D$5:$D$87,"SN",AS9:AS91)</f>
        <v>56</v>
      </c>
      <c r="AT180" s="33" t="n">
        <f aca="false">SUMIF('Hiring plan'!$D$5:$D$87,"SN",AT9:AT91)</f>
        <v>56</v>
      </c>
      <c r="AU180" s="33" t="n">
        <f aca="false">SUMIF('Hiring plan'!$D$5:$D$87,"SN",AU9:AU91)</f>
        <v>71</v>
      </c>
      <c r="AV180" s="33" t="n">
        <f aca="false">SUMIF('Hiring plan'!$D$5:$D$87,"SN",AV9:AV91)</f>
        <v>71</v>
      </c>
      <c r="AW180" s="33" t="n">
        <f aca="false">SUMIF('Hiring plan'!$D$5:$D$87,"SN",AW9:AW91)</f>
        <v>71</v>
      </c>
      <c r="AX180" s="33" t="n">
        <f aca="false">SUMIF('Hiring plan'!$D$5:$D$87,"SN",AX9:AX91)</f>
        <v>71</v>
      </c>
      <c r="AY180" s="33" t="n">
        <f aca="false">SUMIF('Hiring plan'!$D$5:$D$87,"SN",AY9:AY91)</f>
        <v>71</v>
      </c>
      <c r="AZ180" s="33" t="n">
        <f aca="false">SUMIF('Hiring plan'!$D$5:$D$87,"SN",AZ9:AZ91)</f>
        <v>71</v>
      </c>
      <c r="BA180" s="33" t="n">
        <f aca="false">SUMIF('Hiring plan'!$D$5:$D$87,"SN",BA9:BA91)</f>
        <v>80</v>
      </c>
      <c r="BB180" s="33" t="n">
        <f aca="false">SUMIF('Hiring plan'!$D$5:$D$87,"SN",BB9:BB91)</f>
        <v>80</v>
      </c>
      <c r="BC180" s="33" t="n">
        <f aca="false">SUMIF('Hiring plan'!$D$5:$D$87,"SN",BC9:BC91)</f>
        <v>80</v>
      </c>
      <c r="BD180" s="33" t="n">
        <f aca="false">SUMIF('Hiring plan'!$D$5:$D$87,"SN",BD9:BD91)</f>
        <v>80</v>
      </c>
      <c r="BE180" s="33" t="n">
        <f aca="false">SUMIF('Hiring plan'!$D$5:$D$87,"SN",BE9:BE91)</f>
        <v>80</v>
      </c>
      <c r="BF180" s="33" t="n">
        <f aca="false">SUMIF('Hiring plan'!$D$5:$D$87,"SN",BF9:BF91)</f>
        <v>80</v>
      </c>
      <c r="BG180" s="33" t="n">
        <f aca="false">SUMIF('Hiring plan'!$D$5:$D$87,"SN",BG9:BG91)</f>
        <v>80</v>
      </c>
      <c r="BH180" s="33" t="n">
        <f aca="false">SUMIF('Hiring plan'!$D$5:$D$87,"SN",BH9:BH91)</f>
        <v>80</v>
      </c>
      <c r="BI180" s="33" t="n">
        <f aca="false">SUMIF('Hiring plan'!$D$5:$D$87,"SN",BI9:BI91)</f>
        <v>80</v>
      </c>
      <c r="BJ180" s="33" t="n">
        <f aca="false">SUMIF('Hiring plan'!$D$5:$D$87,"SN",BJ9:BJ91)</f>
        <v>80</v>
      </c>
      <c r="BK180" s="33" t="n">
        <f aca="false">SUMIF('Hiring plan'!$D$5:$D$87,"SN",BK9:BK91)</f>
        <v>80</v>
      </c>
      <c r="BL180" s="33" t="n">
        <f aca="false">SUMIF('Hiring plan'!$D$5:$D$87,"SN",BL9:BL91)</f>
        <v>80</v>
      </c>
    </row>
    <row r="181" customFormat="false" ht="15" hidden="false" customHeight="false" outlineLevel="0" collapsed="false">
      <c r="A181" s="12" t="s">
        <v>523</v>
      </c>
      <c r="B181" s="14" t="s">
        <v>222</v>
      </c>
      <c r="D181" s="41" t="n">
        <f aca="false">BL181</f>
        <v>17</v>
      </c>
      <c r="E181" s="33" t="n">
        <f aca="false">SUMIF('Hiring plan'!$D$5:$D$87,"CI",E9:E91)</f>
        <v>0</v>
      </c>
      <c r="F181" s="33" t="n">
        <f aca="false">SUMIF('Hiring plan'!$D$5:$D$87,"CI",F9:F91)</f>
        <v>0</v>
      </c>
      <c r="G181" s="33" t="n">
        <f aca="false">SUMIF('Hiring plan'!$D$5:$D$87,"CI",G9:G91)</f>
        <v>0</v>
      </c>
      <c r="H181" s="33" t="n">
        <f aca="false">SUMIF('Hiring plan'!$D$5:$D$87,"CI",H9:H91)</f>
        <v>0</v>
      </c>
      <c r="I181" s="33" t="n">
        <f aca="false">SUMIF('Hiring plan'!$D$5:$D$87,"CI",I9:I91)</f>
        <v>0</v>
      </c>
      <c r="J181" s="33" t="n">
        <f aca="false">SUMIF('Hiring plan'!$D$5:$D$87,"CI",J9:J91)</f>
        <v>0</v>
      </c>
      <c r="K181" s="33" t="n">
        <f aca="false">SUMIF('Hiring plan'!$D$5:$D$87,"CI",K9:K91)</f>
        <v>0</v>
      </c>
      <c r="L181" s="33" t="n">
        <f aca="false">SUMIF('Hiring plan'!$D$5:$D$87,"CI",L9:L91)</f>
        <v>0</v>
      </c>
      <c r="M181" s="33" t="n">
        <f aca="false">SUMIF('Hiring plan'!$D$5:$D$87,"CI",M9:M91)</f>
        <v>0</v>
      </c>
      <c r="N181" s="33" t="n">
        <f aca="false">SUMIF('Hiring plan'!$D$5:$D$87,"CI",N9:N91)</f>
        <v>0</v>
      </c>
      <c r="O181" s="33" t="n">
        <f aca="false">SUMIF('Hiring plan'!$D$5:$D$87,"CI",O9:O91)</f>
        <v>0</v>
      </c>
      <c r="P181" s="33" t="n">
        <f aca="false">SUMIF('Hiring plan'!$D$5:$D$87,"CI",P9:P91)</f>
        <v>0</v>
      </c>
      <c r="Q181" s="33" t="n">
        <f aca="false">SUMIF('Hiring plan'!$D$5:$D$87,"CI",Q9:Q91)</f>
        <v>1</v>
      </c>
      <c r="R181" s="33" t="n">
        <f aca="false">SUMIF('Hiring plan'!$D$5:$D$87,"CI",R9:R91)</f>
        <v>1</v>
      </c>
      <c r="S181" s="33" t="n">
        <f aca="false">SUMIF('Hiring plan'!$D$5:$D$87,"CI",S9:S91)</f>
        <v>1</v>
      </c>
      <c r="T181" s="33" t="n">
        <f aca="false">SUMIF('Hiring plan'!$D$5:$D$87,"CI",T9:T91)</f>
        <v>2</v>
      </c>
      <c r="U181" s="33" t="n">
        <f aca="false">SUMIF('Hiring plan'!$D$5:$D$87,"CI",U9:U91)</f>
        <v>2</v>
      </c>
      <c r="V181" s="33" t="n">
        <f aca="false">SUMIF('Hiring plan'!$D$5:$D$87,"CI",V9:V91)</f>
        <v>2</v>
      </c>
      <c r="W181" s="33" t="n">
        <f aca="false">SUMIF('Hiring plan'!$D$5:$D$87,"CI",W9:W91)</f>
        <v>7</v>
      </c>
      <c r="X181" s="33" t="n">
        <f aca="false">SUMIF('Hiring plan'!$D$5:$D$87,"CI",X9:X91)</f>
        <v>7</v>
      </c>
      <c r="Y181" s="33" t="n">
        <f aca="false">SUMIF('Hiring plan'!$D$5:$D$87,"CI",Y9:Y91)</f>
        <v>7</v>
      </c>
      <c r="Z181" s="33" t="n">
        <f aca="false">SUMIF('Hiring plan'!$D$5:$D$87,"CI",Z9:Z91)</f>
        <v>7</v>
      </c>
      <c r="AA181" s="33" t="n">
        <f aca="false">SUMIF('Hiring plan'!$D$5:$D$87,"CI",AA9:AA91)</f>
        <v>7</v>
      </c>
      <c r="AB181" s="33" t="n">
        <f aca="false">SUMIF('Hiring plan'!$D$5:$D$87,"CI",AB9:AB91)</f>
        <v>7</v>
      </c>
      <c r="AC181" s="33" t="n">
        <f aca="false">SUMIF('Hiring plan'!$D$5:$D$87,"CI",AC9:AC91)</f>
        <v>7</v>
      </c>
      <c r="AD181" s="33" t="n">
        <f aca="false">SUMIF('Hiring plan'!$D$5:$D$87,"CI",AD9:AD91)</f>
        <v>7</v>
      </c>
      <c r="AE181" s="33" t="n">
        <f aca="false">SUMIF('Hiring plan'!$D$5:$D$87,"CI",AE9:AE91)</f>
        <v>7</v>
      </c>
      <c r="AF181" s="33" t="n">
        <f aca="false">SUMIF('Hiring plan'!$D$5:$D$87,"CI",AF9:AF91)</f>
        <v>7</v>
      </c>
      <c r="AG181" s="33" t="n">
        <f aca="false">SUMIF('Hiring plan'!$D$5:$D$87,"CI",AG9:AG91)</f>
        <v>7</v>
      </c>
      <c r="AH181" s="33" t="n">
        <f aca="false">SUMIF('Hiring plan'!$D$5:$D$87,"CI",AH9:AH91)</f>
        <v>7</v>
      </c>
      <c r="AI181" s="33" t="n">
        <f aca="false">SUMIF('Hiring plan'!$D$5:$D$87,"CI",AI9:AI91)</f>
        <v>10</v>
      </c>
      <c r="AJ181" s="33" t="n">
        <f aca="false">SUMIF('Hiring plan'!$D$5:$D$87,"CI",AJ9:AJ91)</f>
        <v>10</v>
      </c>
      <c r="AK181" s="33" t="n">
        <f aca="false">SUMIF('Hiring plan'!$D$5:$D$87,"CI",AK9:AK91)</f>
        <v>10</v>
      </c>
      <c r="AL181" s="33" t="n">
        <f aca="false">SUMIF('Hiring plan'!$D$5:$D$87,"CI",AL9:AL91)</f>
        <v>10</v>
      </c>
      <c r="AM181" s="33" t="n">
        <f aca="false">SUMIF('Hiring plan'!$D$5:$D$87,"CI",AM9:AM91)</f>
        <v>10</v>
      </c>
      <c r="AN181" s="33" t="n">
        <f aca="false">SUMIF('Hiring plan'!$D$5:$D$87,"CI",AN9:AN91)</f>
        <v>10</v>
      </c>
      <c r="AO181" s="33" t="n">
        <f aca="false">SUMIF('Hiring plan'!$D$5:$D$87,"CI",AO9:AO91)</f>
        <v>12</v>
      </c>
      <c r="AP181" s="33" t="n">
        <f aca="false">SUMIF('Hiring plan'!$D$5:$D$87,"CI",AP9:AP91)</f>
        <v>12</v>
      </c>
      <c r="AQ181" s="33" t="n">
        <f aca="false">SUMIF('Hiring plan'!$D$5:$D$87,"CI",AQ9:AQ91)</f>
        <v>12</v>
      </c>
      <c r="AR181" s="33" t="n">
        <f aca="false">SUMIF('Hiring plan'!$D$5:$D$87,"CI",AR9:AR91)</f>
        <v>12</v>
      </c>
      <c r="AS181" s="33" t="n">
        <f aca="false">SUMIF('Hiring plan'!$D$5:$D$87,"CI",AS9:AS91)</f>
        <v>12</v>
      </c>
      <c r="AT181" s="33" t="n">
        <f aca="false">SUMIF('Hiring plan'!$D$5:$D$87,"CI",AT9:AT91)</f>
        <v>12</v>
      </c>
      <c r="AU181" s="33" t="n">
        <f aca="false">SUMIF('Hiring plan'!$D$5:$D$87,"CI",AU9:AU91)</f>
        <v>15</v>
      </c>
      <c r="AV181" s="33" t="n">
        <f aca="false">SUMIF('Hiring plan'!$D$5:$D$87,"CI",AV9:AV91)</f>
        <v>15</v>
      </c>
      <c r="AW181" s="33" t="n">
        <f aca="false">SUMIF('Hiring plan'!$D$5:$D$87,"CI",AW9:AW91)</f>
        <v>15</v>
      </c>
      <c r="AX181" s="33" t="n">
        <f aca="false">SUMIF('Hiring plan'!$D$5:$D$87,"CI",AX9:AX91)</f>
        <v>15</v>
      </c>
      <c r="AY181" s="33" t="n">
        <f aca="false">SUMIF('Hiring plan'!$D$5:$D$87,"CI",AY9:AY91)</f>
        <v>15</v>
      </c>
      <c r="AZ181" s="33" t="n">
        <f aca="false">SUMIF('Hiring plan'!$D$5:$D$87,"CI",AZ9:AZ91)</f>
        <v>15</v>
      </c>
      <c r="BA181" s="33" t="n">
        <f aca="false">SUMIF('Hiring plan'!$D$5:$D$87,"CI",BA9:BA91)</f>
        <v>17</v>
      </c>
      <c r="BB181" s="33" t="n">
        <f aca="false">SUMIF('Hiring plan'!$D$5:$D$87,"CI",BB9:BB91)</f>
        <v>17</v>
      </c>
      <c r="BC181" s="33" t="n">
        <f aca="false">SUMIF('Hiring plan'!$D$5:$D$87,"CI",BC9:BC91)</f>
        <v>17</v>
      </c>
      <c r="BD181" s="33" t="n">
        <f aca="false">SUMIF('Hiring plan'!$D$5:$D$87,"CI",BD9:BD91)</f>
        <v>17</v>
      </c>
      <c r="BE181" s="33" t="n">
        <f aca="false">SUMIF('Hiring plan'!$D$5:$D$87,"CI",BE9:BE91)</f>
        <v>17</v>
      </c>
      <c r="BF181" s="33" t="n">
        <f aca="false">SUMIF('Hiring plan'!$D$5:$D$87,"CI",BF9:BF91)</f>
        <v>17</v>
      </c>
      <c r="BG181" s="33" t="n">
        <f aca="false">SUMIF('Hiring plan'!$D$5:$D$87,"CI",BG9:BG91)</f>
        <v>17</v>
      </c>
      <c r="BH181" s="33" t="n">
        <f aca="false">SUMIF('Hiring plan'!$D$5:$D$87,"CI",BH9:BH91)</f>
        <v>17</v>
      </c>
      <c r="BI181" s="33" t="n">
        <f aca="false">SUMIF('Hiring plan'!$D$5:$D$87,"CI",BI9:BI91)</f>
        <v>17</v>
      </c>
      <c r="BJ181" s="33" t="n">
        <f aca="false">SUMIF('Hiring plan'!$D$5:$D$87,"CI",BJ9:BJ91)</f>
        <v>17</v>
      </c>
      <c r="BK181" s="33" t="n">
        <f aca="false">SUMIF('Hiring plan'!$D$5:$D$87,"CI",BK9:BK91)</f>
        <v>17</v>
      </c>
      <c r="BL181" s="33" t="n">
        <f aca="false">SUMIF('Hiring plan'!$D$5:$D$87,"CI",BL9:BL91)</f>
        <v>17</v>
      </c>
    </row>
    <row r="182" customFormat="false" ht="15" hidden="false" customHeight="false" outlineLevel="0" collapsed="false">
      <c r="A182" s="12" t="s">
        <v>524</v>
      </c>
      <c r="B182" s="14" t="s">
        <v>222</v>
      </c>
      <c r="D182" s="41" t="n">
        <f aca="false">BL182</f>
        <v>16</v>
      </c>
      <c r="E182" s="33" t="n">
        <f aca="false">SUMIFS(E9:E91,'Hiring plan'!$E$5:$E$87,"Sales rep",'Hiring plan'!$D$5:$D$87,"SN")</f>
        <v>0</v>
      </c>
      <c r="F182" s="33" t="n">
        <f aca="false">SUMIFS(F9:F91,'Hiring plan'!$E$5:$E$87,"Sales rep",'Hiring plan'!$D$5:$D$87,"SN")</f>
        <v>0</v>
      </c>
      <c r="G182" s="33" t="n">
        <f aca="false">SUMIFS(G9:G91,'Hiring plan'!$E$5:$E$87,"Sales rep",'Hiring plan'!$D$5:$D$87,"SN")</f>
        <v>0</v>
      </c>
      <c r="H182" s="33" t="n">
        <f aca="false">SUMIFS(H9:H91,'Hiring plan'!$E$5:$E$87,"Sales rep",'Hiring plan'!$D$5:$D$87,"SN")</f>
        <v>2</v>
      </c>
      <c r="I182" s="33" t="n">
        <f aca="false">SUMIFS(I9:I91,'Hiring plan'!$E$5:$E$87,"Sales rep",'Hiring plan'!$D$5:$D$87,"SN")</f>
        <v>2</v>
      </c>
      <c r="J182" s="33" t="n">
        <f aca="false">SUMIFS(J9:J91,'Hiring plan'!$E$5:$E$87,"Sales rep",'Hiring plan'!$D$5:$D$87,"SN")</f>
        <v>2</v>
      </c>
      <c r="K182" s="33" t="n">
        <f aca="false">SUMIFS(K9:K91,'Hiring plan'!$E$5:$E$87,"Sales rep",'Hiring plan'!$D$5:$D$87,"SN")</f>
        <v>4</v>
      </c>
      <c r="L182" s="33" t="n">
        <f aca="false">SUMIFS(L9:L91,'Hiring plan'!$E$5:$E$87,"Sales rep",'Hiring plan'!$D$5:$D$87,"SN")</f>
        <v>4</v>
      </c>
      <c r="M182" s="33" t="n">
        <f aca="false">SUMIFS(M9:M91,'Hiring plan'!$E$5:$E$87,"Sales rep",'Hiring plan'!$D$5:$D$87,"SN")</f>
        <v>4</v>
      </c>
      <c r="N182" s="33" t="n">
        <f aca="false">SUMIFS(N9:N91,'Hiring plan'!$E$5:$E$87,"Sales rep",'Hiring plan'!$D$5:$D$87,"SN")</f>
        <v>4</v>
      </c>
      <c r="O182" s="33" t="n">
        <f aca="false">SUMIFS(O9:O91,'Hiring plan'!$E$5:$E$87,"Sales rep",'Hiring plan'!$D$5:$D$87,"SN")</f>
        <v>4</v>
      </c>
      <c r="P182" s="33" t="n">
        <f aca="false">SUMIFS(P9:P91,'Hiring plan'!$E$5:$E$87,"Sales rep",'Hiring plan'!$D$5:$D$87,"SN")</f>
        <v>4</v>
      </c>
      <c r="Q182" s="33" t="n">
        <f aca="false">SUMIFS(Q9:Q91,'Hiring plan'!$E$5:$E$87,"Sales rep",'Hiring plan'!$D$5:$D$87,"SN")</f>
        <v>4</v>
      </c>
      <c r="R182" s="33" t="n">
        <f aca="false">SUMIFS(R9:R91,'Hiring plan'!$E$5:$E$87,"Sales rep",'Hiring plan'!$D$5:$D$87,"SN")</f>
        <v>4</v>
      </c>
      <c r="S182" s="33" t="n">
        <f aca="false">SUMIFS(S9:S91,'Hiring plan'!$E$5:$E$87,"Sales rep",'Hiring plan'!$D$5:$D$87,"SN")</f>
        <v>4</v>
      </c>
      <c r="T182" s="33" t="n">
        <f aca="false">SUMIFS(T9:T91,'Hiring plan'!$E$5:$E$87,"Sales rep",'Hiring plan'!$D$5:$D$87,"SN")</f>
        <v>4</v>
      </c>
      <c r="U182" s="33" t="n">
        <f aca="false">SUMIFS(U9:U91,'Hiring plan'!$E$5:$E$87,"Sales rep",'Hiring plan'!$D$5:$D$87,"SN")</f>
        <v>4</v>
      </c>
      <c r="V182" s="33" t="n">
        <f aca="false">SUMIFS(V9:V91,'Hiring plan'!$E$5:$E$87,"Sales rep",'Hiring plan'!$D$5:$D$87,"SN")</f>
        <v>4</v>
      </c>
      <c r="W182" s="33" t="n">
        <f aca="false">SUMIFS(W9:W91,'Hiring plan'!$E$5:$E$87,"Sales rep",'Hiring plan'!$D$5:$D$87,"SN")</f>
        <v>8</v>
      </c>
      <c r="X182" s="33" t="n">
        <f aca="false">SUMIFS(X9:X91,'Hiring plan'!$E$5:$E$87,"Sales rep",'Hiring plan'!$D$5:$D$87,"SN")</f>
        <v>8</v>
      </c>
      <c r="Y182" s="33" t="n">
        <f aca="false">SUMIFS(Y9:Y91,'Hiring plan'!$E$5:$E$87,"Sales rep",'Hiring plan'!$D$5:$D$87,"SN")</f>
        <v>8</v>
      </c>
      <c r="Z182" s="33" t="n">
        <f aca="false">SUMIFS(Z9:Z91,'Hiring plan'!$E$5:$E$87,"Sales rep",'Hiring plan'!$D$5:$D$87,"SN")</f>
        <v>8</v>
      </c>
      <c r="AA182" s="33" t="n">
        <f aca="false">SUMIFS(AA9:AA91,'Hiring plan'!$E$5:$E$87,"Sales rep",'Hiring plan'!$D$5:$D$87,"SN")</f>
        <v>8</v>
      </c>
      <c r="AB182" s="33" t="n">
        <f aca="false">SUMIFS(AB9:AB91,'Hiring plan'!$E$5:$E$87,"Sales rep",'Hiring plan'!$D$5:$D$87,"SN")</f>
        <v>8</v>
      </c>
      <c r="AC182" s="33" t="n">
        <f aca="false">SUMIFS(AC9:AC91,'Hiring plan'!$E$5:$E$87,"Sales rep",'Hiring plan'!$D$5:$D$87,"SN")</f>
        <v>8</v>
      </c>
      <c r="AD182" s="33" t="n">
        <f aca="false">SUMIFS(AD9:AD91,'Hiring plan'!$E$5:$E$87,"Sales rep",'Hiring plan'!$D$5:$D$87,"SN")</f>
        <v>8</v>
      </c>
      <c r="AE182" s="33" t="n">
        <f aca="false">SUMIFS(AE9:AE91,'Hiring plan'!$E$5:$E$87,"Sales rep",'Hiring plan'!$D$5:$D$87,"SN")</f>
        <v>8</v>
      </c>
      <c r="AF182" s="33" t="n">
        <f aca="false">SUMIFS(AF9:AF91,'Hiring plan'!$E$5:$E$87,"Sales rep",'Hiring plan'!$D$5:$D$87,"SN")</f>
        <v>8</v>
      </c>
      <c r="AG182" s="33" t="n">
        <f aca="false">SUMIFS(AG9:AG91,'Hiring plan'!$E$5:$E$87,"Sales rep",'Hiring plan'!$D$5:$D$87,"SN")</f>
        <v>8</v>
      </c>
      <c r="AH182" s="33" t="n">
        <f aca="false">SUMIFS(AH9:AH91,'Hiring plan'!$E$5:$E$87,"Sales rep",'Hiring plan'!$D$5:$D$87,"SN")</f>
        <v>8</v>
      </c>
      <c r="AI182" s="33" t="n">
        <f aca="false">SUMIFS(AI9:AI91,'Hiring plan'!$E$5:$E$87,"Sales rep",'Hiring plan'!$D$5:$D$87,"SN")</f>
        <v>12</v>
      </c>
      <c r="AJ182" s="33" t="n">
        <f aca="false">SUMIFS(AJ9:AJ91,'Hiring plan'!$E$5:$E$87,"Sales rep",'Hiring plan'!$D$5:$D$87,"SN")</f>
        <v>12</v>
      </c>
      <c r="AK182" s="33" t="n">
        <f aca="false">SUMIFS(AK9:AK91,'Hiring plan'!$E$5:$E$87,"Sales rep",'Hiring plan'!$D$5:$D$87,"SN")</f>
        <v>12</v>
      </c>
      <c r="AL182" s="33" t="n">
        <f aca="false">SUMIFS(AL9:AL91,'Hiring plan'!$E$5:$E$87,"Sales rep",'Hiring plan'!$D$5:$D$87,"SN")</f>
        <v>12</v>
      </c>
      <c r="AM182" s="33" t="n">
        <f aca="false">SUMIFS(AM9:AM91,'Hiring plan'!$E$5:$E$87,"Sales rep",'Hiring plan'!$D$5:$D$87,"SN")</f>
        <v>12</v>
      </c>
      <c r="AN182" s="33" t="n">
        <f aca="false">SUMIFS(AN9:AN91,'Hiring plan'!$E$5:$E$87,"Sales rep",'Hiring plan'!$D$5:$D$87,"SN")</f>
        <v>12</v>
      </c>
      <c r="AO182" s="33" t="n">
        <f aca="false">SUMIFS(AO9:AO91,'Hiring plan'!$E$5:$E$87,"Sales rep",'Hiring plan'!$D$5:$D$87,"SN")</f>
        <v>12</v>
      </c>
      <c r="AP182" s="33" t="n">
        <f aca="false">SUMIFS(AP9:AP91,'Hiring plan'!$E$5:$E$87,"Sales rep",'Hiring plan'!$D$5:$D$87,"SN")</f>
        <v>12</v>
      </c>
      <c r="AQ182" s="33" t="n">
        <f aca="false">SUMIFS(AQ9:AQ91,'Hiring plan'!$E$5:$E$87,"Sales rep",'Hiring plan'!$D$5:$D$87,"SN")</f>
        <v>12</v>
      </c>
      <c r="AR182" s="33" t="n">
        <f aca="false">SUMIFS(AR9:AR91,'Hiring plan'!$E$5:$E$87,"Sales rep",'Hiring plan'!$D$5:$D$87,"SN")</f>
        <v>12</v>
      </c>
      <c r="AS182" s="33" t="n">
        <f aca="false">SUMIFS(AS9:AS91,'Hiring plan'!$E$5:$E$87,"Sales rep",'Hiring plan'!$D$5:$D$87,"SN")</f>
        <v>12</v>
      </c>
      <c r="AT182" s="33" t="n">
        <f aca="false">SUMIFS(AT9:AT91,'Hiring plan'!$E$5:$E$87,"Sales rep",'Hiring plan'!$D$5:$D$87,"SN")</f>
        <v>12</v>
      </c>
      <c r="AU182" s="33" t="n">
        <f aca="false">SUMIFS(AU9:AU91,'Hiring plan'!$E$5:$E$87,"Sales rep",'Hiring plan'!$D$5:$D$87,"SN")</f>
        <v>16</v>
      </c>
      <c r="AV182" s="33" t="n">
        <f aca="false">SUMIFS(AV9:AV91,'Hiring plan'!$E$5:$E$87,"Sales rep",'Hiring plan'!$D$5:$D$87,"SN")</f>
        <v>16</v>
      </c>
      <c r="AW182" s="33" t="n">
        <f aca="false">SUMIFS(AW9:AW91,'Hiring plan'!$E$5:$E$87,"Sales rep",'Hiring plan'!$D$5:$D$87,"SN")</f>
        <v>16</v>
      </c>
      <c r="AX182" s="33" t="n">
        <f aca="false">SUMIFS(AX9:AX91,'Hiring plan'!$E$5:$E$87,"Sales rep",'Hiring plan'!$D$5:$D$87,"SN")</f>
        <v>16</v>
      </c>
      <c r="AY182" s="33" t="n">
        <f aca="false">SUMIFS(AY9:AY91,'Hiring plan'!$E$5:$E$87,"Sales rep",'Hiring plan'!$D$5:$D$87,"SN")</f>
        <v>16</v>
      </c>
      <c r="AZ182" s="33" t="n">
        <f aca="false">SUMIFS(AZ9:AZ91,'Hiring plan'!$E$5:$E$87,"Sales rep",'Hiring plan'!$D$5:$D$87,"SN")</f>
        <v>16</v>
      </c>
      <c r="BA182" s="33" t="n">
        <f aca="false">SUMIFS(BA9:BA91,'Hiring plan'!$E$5:$E$87,"Sales rep",'Hiring plan'!$D$5:$D$87,"SN")</f>
        <v>16</v>
      </c>
      <c r="BB182" s="33" t="n">
        <f aca="false">SUMIFS(BB9:BB91,'Hiring plan'!$E$5:$E$87,"Sales rep",'Hiring plan'!$D$5:$D$87,"SN")</f>
        <v>16</v>
      </c>
      <c r="BC182" s="33" t="n">
        <f aca="false">SUMIFS(BC9:BC91,'Hiring plan'!$E$5:$E$87,"Sales rep",'Hiring plan'!$D$5:$D$87,"SN")</f>
        <v>16</v>
      </c>
      <c r="BD182" s="33" t="n">
        <f aca="false">SUMIFS(BD9:BD91,'Hiring plan'!$E$5:$E$87,"Sales rep",'Hiring plan'!$D$5:$D$87,"SN")</f>
        <v>16</v>
      </c>
      <c r="BE182" s="33" t="n">
        <f aca="false">SUMIFS(BE9:BE91,'Hiring plan'!$E$5:$E$87,"Sales rep",'Hiring plan'!$D$5:$D$87,"SN")</f>
        <v>16</v>
      </c>
      <c r="BF182" s="33" t="n">
        <f aca="false">SUMIFS(BF9:BF91,'Hiring plan'!$E$5:$E$87,"Sales rep",'Hiring plan'!$D$5:$D$87,"SN")</f>
        <v>16</v>
      </c>
      <c r="BG182" s="33" t="n">
        <f aca="false">SUMIFS(BG9:BG91,'Hiring plan'!$E$5:$E$87,"Sales rep",'Hiring plan'!$D$5:$D$87,"SN")</f>
        <v>16</v>
      </c>
      <c r="BH182" s="33" t="n">
        <f aca="false">SUMIFS(BH9:BH91,'Hiring plan'!$E$5:$E$87,"Sales rep",'Hiring plan'!$D$5:$D$87,"SN")</f>
        <v>16</v>
      </c>
      <c r="BI182" s="33" t="n">
        <f aca="false">SUMIFS(BI9:BI91,'Hiring plan'!$E$5:$E$87,"Sales rep",'Hiring plan'!$D$5:$D$87,"SN")</f>
        <v>16</v>
      </c>
      <c r="BJ182" s="33" t="n">
        <f aca="false">SUMIFS(BJ9:BJ91,'Hiring plan'!$E$5:$E$87,"Sales rep",'Hiring plan'!$D$5:$D$87,"SN")</f>
        <v>16</v>
      </c>
      <c r="BK182" s="33" t="n">
        <f aca="false">SUMIFS(BK9:BK91,'Hiring plan'!$E$5:$E$87,"Sales rep",'Hiring plan'!$D$5:$D$87,"SN")</f>
        <v>16</v>
      </c>
      <c r="BL182" s="33" t="n">
        <f aca="false">SUMIFS(BL9:BL91,'Hiring plan'!$E$5:$E$87,"Sales rep",'Hiring plan'!$D$5:$D$87,"SN")</f>
        <v>16</v>
      </c>
    </row>
    <row r="183" customFormat="false" ht="15" hidden="false" customHeight="false" outlineLevel="0" collapsed="false">
      <c r="A183" s="12" t="s">
        <v>525</v>
      </c>
      <c r="B183" s="14" t="s">
        <v>222</v>
      </c>
      <c r="D183" s="41" t="n">
        <f aca="false">BL183</f>
        <v>9</v>
      </c>
      <c r="E183" s="33" t="n">
        <f aca="false">SUMIFS(E9:E91,'Hiring plan'!$E$5:$E$87,"Sales rep",'Hiring plan'!$D$5:$D$87,"CI")</f>
        <v>0</v>
      </c>
      <c r="F183" s="33" t="n">
        <f aca="false">SUMIFS(F9:F91,'Hiring plan'!$E$5:$E$87,"Sales rep",'Hiring plan'!$D$5:$D$87,"CI")</f>
        <v>0</v>
      </c>
      <c r="G183" s="33" t="n">
        <f aca="false">SUMIFS(G9:G91,'Hiring plan'!$E$5:$E$87,"Sales rep",'Hiring plan'!$D$5:$D$87,"CI")</f>
        <v>0</v>
      </c>
      <c r="H183" s="33" t="n">
        <f aca="false">SUMIFS(H9:H91,'Hiring plan'!$E$5:$E$87,"Sales rep",'Hiring plan'!$D$5:$D$87,"CI")</f>
        <v>0</v>
      </c>
      <c r="I183" s="33" t="n">
        <f aca="false">SUMIFS(I9:I91,'Hiring plan'!$E$5:$E$87,"Sales rep",'Hiring plan'!$D$5:$D$87,"CI")</f>
        <v>0</v>
      </c>
      <c r="J183" s="33" t="n">
        <f aca="false">SUMIFS(J9:J91,'Hiring plan'!$E$5:$E$87,"Sales rep",'Hiring plan'!$D$5:$D$87,"CI")</f>
        <v>0</v>
      </c>
      <c r="K183" s="33" t="n">
        <f aca="false">SUMIFS(K9:K91,'Hiring plan'!$E$5:$E$87,"Sales rep",'Hiring plan'!$D$5:$D$87,"CI")</f>
        <v>0</v>
      </c>
      <c r="L183" s="33" t="n">
        <f aca="false">SUMIFS(L9:L91,'Hiring plan'!$E$5:$E$87,"Sales rep",'Hiring plan'!$D$5:$D$87,"CI")</f>
        <v>0</v>
      </c>
      <c r="M183" s="33" t="n">
        <f aca="false">SUMIFS(M9:M91,'Hiring plan'!$E$5:$E$87,"Sales rep",'Hiring plan'!$D$5:$D$87,"CI")</f>
        <v>0</v>
      </c>
      <c r="N183" s="33" t="n">
        <f aca="false">SUMIFS(N9:N91,'Hiring plan'!$E$5:$E$87,"Sales rep",'Hiring plan'!$D$5:$D$87,"CI")</f>
        <v>0</v>
      </c>
      <c r="O183" s="33" t="n">
        <f aca="false">SUMIFS(O9:O91,'Hiring plan'!$E$5:$E$87,"Sales rep",'Hiring plan'!$D$5:$D$87,"CI")</f>
        <v>0</v>
      </c>
      <c r="P183" s="33" t="n">
        <f aca="false">SUMIFS(P9:P91,'Hiring plan'!$E$5:$E$87,"Sales rep",'Hiring plan'!$D$5:$D$87,"CI")</f>
        <v>0</v>
      </c>
      <c r="Q183" s="33" t="n">
        <f aca="false">SUMIFS(Q9:Q91,'Hiring plan'!$E$5:$E$87,"Sales rep",'Hiring plan'!$D$5:$D$87,"CI")</f>
        <v>0</v>
      </c>
      <c r="R183" s="33" t="n">
        <f aca="false">SUMIFS(R9:R91,'Hiring plan'!$E$5:$E$87,"Sales rep",'Hiring plan'!$D$5:$D$87,"CI")</f>
        <v>0</v>
      </c>
      <c r="S183" s="33" t="n">
        <f aca="false">SUMIFS(S9:S91,'Hiring plan'!$E$5:$E$87,"Sales rep",'Hiring plan'!$D$5:$D$87,"CI")</f>
        <v>0</v>
      </c>
      <c r="T183" s="33" t="n">
        <f aca="false">SUMIFS(T9:T91,'Hiring plan'!$E$5:$E$87,"Sales rep",'Hiring plan'!$D$5:$D$87,"CI")</f>
        <v>0</v>
      </c>
      <c r="U183" s="33" t="n">
        <f aca="false">SUMIFS(U9:U91,'Hiring plan'!$E$5:$E$87,"Sales rep",'Hiring plan'!$D$5:$D$87,"CI")</f>
        <v>0</v>
      </c>
      <c r="V183" s="33" t="n">
        <f aca="false">SUMIFS(V9:V91,'Hiring plan'!$E$5:$E$87,"Sales rep",'Hiring plan'!$D$5:$D$87,"CI")</f>
        <v>0</v>
      </c>
      <c r="W183" s="33" t="n">
        <f aca="false">SUMIFS(W9:W91,'Hiring plan'!$E$5:$E$87,"Sales rep",'Hiring plan'!$D$5:$D$87,"CI")</f>
        <v>3</v>
      </c>
      <c r="X183" s="33" t="n">
        <f aca="false">SUMIFS(X9:X91,'Hiring plan'!$E$5:$E$87,"Sales rep",'Hiring plan'!$D$5:$D$87,"CI")</f>
        <v>3</v>
      </c>
      <c r="Y183" s="33" t="n">
        <f aca="false">SUMIFS(Y9:Y91,'Hiring plan'!$E$5:$E$87,"Sales rep",'Hiring plan'!$D$5:$D$87,"CI")</f>
        <v>3</v>
      </c>
      <c r="Z183" s="33" t="n">
        <f aca="false">SUMIFS(Z9:Z91,'Hiring plan'!$E$5:$E$87,"Sales rep",'Hiring plan'!$D$5:$D$87,"CI")</f>
        <v>3</v>
      </c>
      <c r="AA183" s="33" t="n">
        <f aca="false">SUMIFS(AA9:AA91,'Hiring plan'!$E$5:$E$87,"Sales rep",'Hiring plan'!$D$5:$D$87,"CI")</f>
        <v>3</v>
      </c>
      <c r="AB183" s="33" t="n">
        <f aca="false">SUMIFS(AB9:AB91,'Hiring plan'!$E$5:$E$87,"Sales rep",'Hiring plan'!$D$5:$D$87,"CI")</f>
        <v>3</v>
      </c>
      <c r="AC183" s="33" t="n">
        <f aca="false">SUMIFS(AC9:AC91,'Hiring plan'!$E$5:$E$87,"Sales rep",'Hiring plan'!$D$5:$D$87,"CI")</f>
        <v>3</v>
      </c>
      <c r="AD183" s="33" t="n">
        <f aca="false">SUMIFS(AD9:AD91,'Hiring plan'!$E$5:$E$87,"Sales rep",'Hiring plan'!$D$5:$D$87,"CI")</f>
        <v>3</v>
      </c>
      <c r="AE183" s="33" t="n">
        <f aca="false">SUMIFS(AE9:AE91,'Hiring plan'!$E$5:$E$87,"Sales rep",'Hiring plan'!$D$5:$D$87,"CI")</f>
        <v>3</v>
      </c>
      <c r="AF183" s="33" t="n">
        <f aca="false">SUMIFS(AF9:AF91,'Hiring plan'!$E$5:$E$87,"Sales rep",'Hiring plan'!$D$5:$D$87,"CI")</f>
        <v>3</v>
      </c>
      <c r="AG183" s="33" t="n">
        <f aca="false">SUMIFS(AG9:AG91,'Hiring plan'!$E$5:$E$87,"Sales rep",'Hiring plan'!$D$5:$D$87,"CI")</f>
        <v>3</v>
      </c>
      <c r="AH183" s="33" t="n">
        <f aca="false">SUMIFS(AH9:AH91,'Hiring plan'!$E$5:$E$87,"Sales rep",'Hiring plan'!$D$5:$D$87,"CI")</f>
        <v>3</v>
      </c>
      <c r="AI183" s="33" t="n">
        <f aca="false">SUMIFS(AI9:AI91,'Hiring plan'!$E$5:$E$87,"Sales rep",'Hiring plan'!$D$5:$D$87,"CI")</f>
        <v>6</v>
      </c>
      <c r="AJ183" s="33" t="n">
        <f aca="false">SUMIFS(AJ9:AJ91,'Hiring plan'!$E$5:$E$87,"Sales rep",'Hiring plan'!$D$5:$D$87,"CI")</f>
        <v>6</v>
      </c>
      <c r="AK183" s="33" t="n">
        <f aca="false">SUMIFS(AK9:AK91,'Hiring plan'!$E$5:$E$87,"Sales rep",'Hiring plan'!$D$5:$D$87,"CI")</f>
        <v>6</v>
      </c>
      <c r="AL183" s="33" t="n">
        <f aca="false">SUMIFS(AL9:AL91,'Hiring plan'!$E$5:$E$87,"Sales rep",'Hiring plan'!$D$5:$D$87,"CI")</f>
        <v>6</v>
      </c>
      <c r="AM183" s="33" t="n">
        <f aca="false">SUMIFS(AM9:AM91,'Hiring plan'!$E$5:$E$87,"Sales rep",'Hiring plan'!$D$5:$D$87,"CI")</f>
        <v>6</v>
      </c>
      <c r="AN183" s="33" t="n">
        <f aca="false">SUMIFS(AN9:AN91,'Hiring plan'!$E$5:$E$87,"Sales rep",'Hiring plan'!$D$5:$D$87,"CI")</f>
        <v>6</v>
      </c>
      <c r="AO183" s="33" t="n">
        <f aca="false">SUMIFS(AO9:AO91,'Hiring plan'!$E$5:$E$87,"Sales rep",'Hiring plan'!$D$5:$D$87,"CI")</f>
        <v>6</v>
      </c>
      <c r="AP183" s="33" t="n">
        <f aca="false">SUMIFS(AP9:AP91,'Hiring plan'!$E$5:$E$87,"Sales rep",'Hiring plan'!$D$5:$D$87,"CI")</f>
        <v>6</v>
      </c>
      <c r="AQ183" s="33" t="n">
        <f aca="false">SUMIFS(AQ9:AQ91,'Hiring plan'!$E$5:$E$87,"Sales rep",'Hiring plan'!$D$5:$D$87,"CI")</f>
        <v>6</v>
      </c>
      <c r="AR183" s="33" t="n">
        <f aca="false">SUMIFS(AR9:AR91,'Hiring plan'!$E$5:$E$87,"Sales rep",'Hiring plan'!$D$5:$D$87,"CI")</f>
        <v>6</v>
      </c>
      <c r="AS183" s="33" t="n">
        <f aca="false">SUMIFS(AS9:AS91,'Hiring plan'!$E$5:$E$87,"Sales rep",'Hiring plan'!$D$5:$D$87,"CI")</f>
        <v>6</v>
      </c>
      <c r="AT183" s="33" t="n">
        <f aca="false">SUMIFS(AT9:AT91,'Hiring plan'!$E$5:$E$87,"Sales rep",'Hiring plan'!$D$5:$D$87,"CI")</f>
        <v>6</v>
      </c>
      <c r="AU183" s="33" t="n">
        <f aca="false">SUMIFS(AU9:AU91,'Hiring plan'!$E$5:$E$87,"Sales rep",'Hiring plan'!$D$5:$D$87,"CI")</f>
        <v>9</v>
      </c>
      <c r="AV183" s="33" t="n">
        <f aca="false">SUMIFS(AV9:AV91,'Hiring plan'!$E$5:$E$87,"Sales rep",'Hiring plan'!$D$5:$D$87,"CI")</f>
        <v>9</v>
      </c>
      <c r="AW183" s="33" t="n">
        <f aca="false">SUMIFS(AW9:AW91,'Hiring plan'!$E$5:$E$87,"Sales rep",'Hiring plan'!$D$5:$D$87,"CI")</f>
        <v>9</v>
      </c>
      <c r="AX183" s="33" t="n">
        <f aca="false">SUMIFS(AX9:AX91,'Hiring plan'!$E$5:$E$87,"Sales rep",'Hiring plan'!$D$5:$D$87,"CI")</f>
        <v>9</v>
      </c>
      <c r="AY183" s="33" t="n">
        <f aca="false">SUMIFS(AY9:AY91,'Hiring plan'!$E$5:$E$87,"Sales rep",'Hiring plan'!$D$5:$D$87,"CI")</f>
        <v>9</v>
      </c>
      <c r="AZ183" s="33" t="n">
        <f aca="false">SUMIFS(AZ9:AZ91,'Hiring plan'!$E$5:$E$87,"Sales rep",'Hiring plan'!$D$5:$D$87,"CI")</f>
        <v>9</v>
      </c>
      <c r="BA183" s="33" t="n">
        <f aca="false">SUMIFS(BA9:BA91,'Hiring plan'!$E$5:$E$87,"Sales rep",'Hiring plan'!$D$5:$D$87,"CI")</f>
        <v>9</v>
      </c>
      <c r="BB183" s="33" t="n">
        <f aca="false">SUMIFS(BB9:BB91,'Hiring plan'!$E$5:$E$87,"Sales rep",'Hiring plan'!$D$5:$D$87,"CI")</f>
        <v>9</v>
      </c>
      <c r="BC183" s="33" t="n">
        <f aca="false">SUMIFS(BC9:BC91,'Hiring plan'!$E$5:$E$87,"Sales rep",'Hiring plan'!$D$5:$D$87,"CI")</f>
        <v>9</v>
      </c>
      <c r="BD183" s="33" t="n">
        <f aca="false">SUMIFS(BD9:BD91,'Hiring plan'!$E$5:$E$87,"Sales rep",'Hiring plan'!$D$5:$D$87,"CI")</f>
        <v>9</v>
      </c>
      <c r="BE183" s="33" t="n">
        <f aca="false">SUMIFS(BE9:BE91,'Hiring plan'!$E$5:$E$87,"Sales rep",'Hiring plan'!$D$5:$D$87,"CI")</f>
        <v>9</v>
      </c>
      <c r="BF183" s="33" t="n">
        <f aca="false">SUMIFS(BF9:BF91,'Hiring plan'!$E$5:$E$87,"Sales rep",'Hiring plan'!$D$5:$D$87,"CI")</f>
        <v>9</v>
      </c>
      <c r="BG183" s="33" t="n">
        <f aca="false">SUMIFS(BG9:BG91,'Hiring plan'!$E$5:$E$87,"Sales rep",'Hiring plan'!$D$5:$D$87,"CI")</f>
        <v>9</v>
      </c>
      <c r="BH183" s="33" t="n">
        <f aca="false">SUMIFS(BH9:BH91,'Hiring plan'!$E$5:$E$87,"Sales rep",'Hiring plan'!$D$5:$D$87,"CI")</f>
        <v>9</v>
      </c>
      <c r="BI183" s="33" t="n">
        <f aca="false">SUMIFS(BI9:BI91,'Hiring plan'!$E$5:$E$87,"Sales rep",'Hiring plan'!$D$5:$D$87,"CI")</f>
        <v>9</v>
      </c>
      <c r="BJ183" s="33" t="n">
        <f aca="false">SUMIFS(BJ9:BJ91,'Hiring plan'!$E$5:$E$87,"Sales rep",'Hiring plan'!$D$5:$D$87,"CI")</f>
        <v>9</v>
      </c>
      <c r="BK183" s="33" t="n">
        <f aca="false">SUMIFS(BK9:BK91,'Hiring plan'!$E$5:$E$87,"Sales rep",'Hiring plan'!$D$5:$D$87,"CI")</f>
        <v>9</v>
      </c>
      <c r="BL183" s="33" t="n">
        <f aca="false">SUMIFS(BL9:BL91,'Hiring plan'!$E$5:$E$87,"Sales rep",'Hiring plan'!$D$5:$D$87,"CI")</f>
        <v>9</v>
      </c>
    </row>
    <row r="184" customFormat="false" ht="15" hidden="false" customHeight="false" outlineLevel="0" collapsed="false">
      <c r="A184" s="12" t="s">
        <v>526</v>
      </c>
      <c r="B184" s="14" t="s">
        <v>222</v>
      </c>
      <c r="D184" s="41" t="n">
        <f aca="false">SUM(E184:BL184)</f>
        <v>97</v>
      </c>
      <c r="E184" s="33" t="n">
        <f aca="false">SUMPRODUCT(--('Hiring plan'!$G$5:$G$87=E$3),'Hiring plan'!$F$5:$F$87)</f>
        <v>7</v>
      </c>
      <c r="F184" s="33" t="n">
        <f aca="false">SUMPRODUCT(--('Hiring plan'!$G$5:$G$87=F$3),'Hiring plan'!$F$5:$F$87)</f>
        <v>1</v>
      </c>
      <c r="G184" s="33" t="n">
        <f aca="false">SUMPRODUCT(--('Hiring plan'!$G$5:$G$87=G$3),'Hiring plan'!$F$5:$F$87)</f>
        <v>2</v>
      </c>
      <c r="H184" s="33" t="n">
        <f aca="false">SUMPRODUCT(--('Hiring plan'!$G$5:$G$87=H$3),'Hiring plan'!$F$5:$F$87)</f>
        <v>6</v>
      </c>
      <c r="I184" s="33" t="n">
        <f aca="false">SUMPRODUCT(--('Hiring plan'!$G$5:$G$87=I$3),'Hiring plan'!$F$5:$F$87)</f>
        <v>0</v>
      </c>
      <c r="J184" s="33" t="n">
        <f aca="false">SUMPRODUCT(--('Hiring plan'!$G$5:$G$87=J$3),'Hiring plan'!$F$5:$F$87)</f>
        <v>1</v>
      </c>
      <c r="K184" s="33" t="n">
        <f aca="false">SUMPRODUCT(--('Hiring plan'!$G$5:$G$87=K$3),'Hiring plan'!$F$5:$F$87)</f>
        <v>4</v>
      </c>
      <c r="L184" s="33" t="n">
        <f aca="false">SUMPRODUCT(--('Hiring plan'!$G$5:$G$87=L$3),'Hiring plan'!$F$5:$F$87)</f>
        <v>0</v>
      </c>
      <c r="M184" s="33" t="n">
        <f aca="false">SUMPRODUCT(--('Hiring plan'!$G$5:$G$87=M$3),'Hiring plan'!$F$5:$F$87)</f>
        <v>0</v>
      </c>
      <c r="N184" s="33" t="n">
        <f aca="false">SUMPRODUCT(--('Hiring plan'!$G$5:$G$87=N$3),'Hiring plan'!$F$5:$F$87)</f>
        <v>1</v>
      </c>
      <c r="O184" s="33" t="n">
        <f aca="false">SUMPRODUCT(--('Hiring plan'!$G$5:$G$87=O$3),'Hiring plan'!$F$5:$F$87)</f>
        <v>0</v>
      </c>
      <c r="P184" s="33" t="n">
        <f aca="false">SUMPRODUCT(--('Hiring plan'!$G$5:$G$87=P$3),'Hiring plan'!$F$5:$F$87)</f>
        <v>0</v>
      </c>
      <c r="Q184" s="33" t="n">
        <f aca="false">SUMPRODUCT(--('Hiring plan'!$G$5:$G$87=Q$3),'Hiring plan'!$F$5:$F$87)</f>
        <v>1</v>
      </c>
      <c r="R184" s="33" t="n">
        <f aca="false">SUMPRODUCT(--('Hiring plan'!$G$5:$G$87=R$3),'Hiring plan'!$F$5:$F$87)</f>
        <v>0</v>
      </c>
      <c r="S184" s="33" t="n">
        <f aca="false">SUMPRODUCT(--('Hiring plan'!$G$5:$G$87=S$3),'Hiring plan'!$F$5:$F$87)</f>
        <v>0</v>
      </c>
      <c r="T184" s="33" t="n">
        <f aca="false">SUMPRODUCT(--('Hiring plan'!$G$5:$G$87=T$3),'Hiring plan'!$F$5:$F$87)</f>
        <v>1</v>
      </c>
      <c r="U184" s="33" t="n">
        <f aca="false">SUMPRODUCT(--('Hiring plan'!$G$5:$G$87=U$3),'Hiring plan'!$F$5:$F$87)</f>
        <v>0</v>
      </c>
      <c r="V184" s="33" t="n">
        <f aca="false">SUMPRODUCT(--('Hiring plan'!$G$5:$G$87=V$3),'Hiring plan'!$F$5:$F$87)</f>
        <v>0</v>
      </c>
      <c r="W184" s="33" t="n">
        <f aca="false">SUMPRODUCT(--('Hiring plan'!$G$5:$G$87=W$3),'Hiring plan'!$F$5:$F$87)</f>
        <v>22</v>
      </c>
      <c r="X184" s="33" t="n">
        <f aca="false">SUMPRODUCT(--('Hiring plan'!$G$5:$G$87=X$3),'Hiring plan'!$F$5:$F$87)</f>
        <v>0</v>
      </c>
      <c r="Y184" s="33" t="n">
        <f aca="false">SUMPRODUCT(--('Hiring plan'!$G$5:$G$87=Y$3),'Hiring plan'!$F$5:$F$87)</f>
        <v>0</v>
      </c>
      <c r="Z184" s="33" t="n">
        <f aca="false">SUMPRODUCT(--('Hiring plan'!$G$5:$G$87=Z$3),'Hiring plan'!$F$5:$F$87)</f>
        <v>0</v>
      </c>
      <c r="AA184" s="33" t="n">
        <f aca="false">SUMPRODUCT(--('Hiring plan'!$G$5:$G$87=AA$3),'Hiring plan'!$F$5:$F$87)</f>
        <v>0</v>
      </c>
      <c r="AB184" s="33" t="n">
        <f aca="false">SUMPRODUCT(--('Hiring plan'!$G$5:$G$87=AB$3),'Hiring plan'!$F$5:$F$87)</f>
        <v>0</v>
      </c>
      <c r="AC184" s="33" t="n">
        <f aca="false">SUMPRODUCT(--('Hiring plan'!$G$5:$G$87=AC$3),'Hiring plan'!$F$5:$F$87)</f>
        <v>3</v>
      </c>
      <c r="AD184" s="33" t="n">
        <f aca="false">SUMPRODUCT(--('Hiring plan'!$G$5:$G$87=AD$3),'Hiring plan'!$F$5:$F$87)</f>
        <v>0</v>
      </c>
      <c r="AE184" s="33" t="n">
        <f aca="false">SUMPRODUCT(--('Hiring plan'!$G$5:$G$87=AE$3),'Hiring plan'!$F$5:$F$87)</f>
        <v>0</v>
      </c>
      <c r="AF184" s="33" t="n">
        <f aca="false">SUMPRODUCT(--('Hiring plan'!$G$5:$G$87=AF$3),'Hiring plan'!$F$5:$F$87)</f>
        <v>0</v>
      </c>
      <c r="AG184" s="33" t="n">
        <f aca="false">SUMPRODUCT(--('Hiring plan'!$G$5:$G$87=AG$3),'Hiring plan'!$F$5:$F$87)</f>
        <v>0</v>
      </c>
      <c r="AH184" s="33" t="n">
        <f aca="false">SUMPRODUCT(--('Hiring plan'!$G$5:$G$87=AH$3),'Hiring plan'!$F$5:$F$87)</f>
        <v>0</v>
      </c>
      <c r="AI184" s="33" t="n">
        <f aca="false">SUMPRODUCT(--('Hiring plan'!$G$5:$G$87=AI$3),'Hiring plan'!$F$5:$F$87)</f>
        <v>17</v>
      </c>
      <c r="AJ184" s="33" t="n">
        <f aca="false">SUMPRODUCT(--('Hiring plan'!$G$5:$G$87=AJ$3),'Hiring plan'!$F$5:$F$87)</f>
        <v>0</v>
      </c>
      <c r="AK184" s="33" t="n">
        <f aca="false">SUMPRODUCT(--('Hiring plan'!$G$5:$G$87=AK$3),'Hiring plan'!$F$5:$F$87)</f>
        <v>0</v>
      </c>
      <c r="AL184" s="33" t="n">
        <f aca="false">SUMPRODUCT(--('Hiring plan'!$G$5:$G$87=AL$3),'Hiring plan'!$F$5:$F$87)</f>
        <v>0</v>
      </c>
      <c r="AM184" s="33" t="n">
        <f aca="false">SUMPRODUCT(--('Hiring plan'!$G$5:$G$87=AM$3),'Hiring plan'!$F$5:$F$87)</f>
        <v>0</v>
      </c>
      <c r="AN184" s="33" t="n">
        <f aca="false">SUMPRODUCT(--('Hiring plan'!$G$5:$G$87=AN$3),'Hiring plan'!$F$5:$F$87)</f>
        <v>0</v>
      </c>
      <c r="AO184" s="33" t="n">
        <f aca="false">SUMPRODUCT(--('Hiring plan'!$G$5:$G$87=AO$3),'Hiring plan'!$F$5:$F$87)</f>
        <v>2</v>
      </c>
      <c r="AP184" s="33" t="n">
        <f aca="false">SUMPRODUCT(--('Hiring plan'!$G$5:$G$87=AP$3),'Hiring plan'!$F$5:$F$87)</f>
        <v>0</v>
      </c>
      <c r="AQ184" s="33" t="n">
        <f aca="false">SUMPRODUCT(--('Hiring plan'!$G$5:$G$87=AQ$3),'Hiring plan'!$F$5:$F$87)</f>
        <v>0</v>
      </c>
      <c r="AR184" s="33" t="n">
        <f aca="false">SUMPRODUCT(--('Hiring plan'!$G$5:$G$87=AR$3),'Hiring plan'!$F$5:$F$87)</f>
        <v>0</v>
      </c>
      <c r="AS184" s="33" t="n">
        <f aca="false">SUMPRODUCT(--('Hiring plan'!$G$5:$G$87=AS$3),'Hiring plan'!$F$5:$F$87)</f>
        <v>0</v>
      </c>
      <c r="AT184" s="33" t="n">
        <f aca="false">SUMPRODUCT(--('Hiring plan'!$G$5:$G$87=AT$3),'Hiring plan'!$F$5:$F$87)</f>
        <v>0</v>
      </c>
      <c r="AU184" s="33" t="n">
        <f aca="false">SUMPRODUCT(--('Hiring plan'!$G$5:$G$87=AU$3),'Hiring plan'!$F$5:$F$87)</f>
        <v>18</v>
      </c>
      <c r="AV184" s="33" t="n">
        <f aca="false">SUMPRODUCT(--('Hiring plan'!$G$5:$G$87=AV$3),'Hiring plan'!$F$5:$F$87)</f>
        <v>0</v>
      </c>
      <c r="AW184" s="33" t="n">
        <f aca="false">SUMPRODUCT(--('Hiring plan'!$G$5:$G$87=AW$3),'Hiring plan'!$F$5:$F$87)</f>
        <v>0</v>
      </c>
      <c r="AX184" s="33" t="n">
        <f aca="false">SUMPRODUCT(--('Hiring plan'!$G$5:$G$87=AX$3),'Hiring plan'!$F$5:$F$87)</f>
        <v>0</v>
      </c>
      <c r="AY184" s="33" t="n">
        <f aca="false">SUMPRODUCT(--('Hiring plan'!$G$5:$G$87=AY$3),'Hiring plan'!$F$5:$F$87)</f>
        <v>0</v>
      </c>
      <c r="AZ184" s="33" t="n">
        <f aca="false">SUMPRODUCT(--('Hiring plan'!$G$5:$G$87=AZ$3),'Hiring plan'!$F$5:$F$87)</f>
        <v>0</v>
      </c>
      <c r="BA184" s="33" t="n">
        <f aca="false">SUMPRODUCT(--('Hiring plan'!$G$5:$G$87=BA$3),'Hiring plan'!$F$5:$F$87)</f>
        <v>11</v>
      </c>
      <c r="BB184" s="33" t="n">
        <f aca="false">SUMPRODUCT(--('Hiring plan'!$G$5:$G$87=BB$3),'Hiring plan'!$F$5:$F$87)</f>
        <v>0</v>
      </c>
      <c r="BC184" s="33" t="n">
        <f aca="false">SUMPRODUCT(--('Hiring plan'!$G$5:$G$87=BC$3),'Hiring plan'!$F$5:$F$87)</f>
        <v>0</v>
      </c>
      <c r="BD184" s="33" t="n">
        <f aca="false">SUMPRODUCT(--('Hiring plan'!$G$5:$G$87=BD$3),'Hiring plan'!$F$5:$F$87)</f>
        <v>0</v>
      </c>
      <c r="BE184" s="33" t="n">
        <f aca="false">SUMPRODUCT(--('Hiring plan'!$G$5:$G$87=BE$3),'Hiring plan'!$F$5:$F$87)</f>
        <v>0</v>
      </c>
      <c r="BF184" s="33" t="n">
        <f aca="false">SUMPRODUCT(--('Hiring plan'!$G$5:$G$87=BF$3),'Hiring plan'!$F$5:$F$87)</f>
        <v>0</v>
      </c>
      <c r="BG184" s="33" t="n">
        <f aca="false">SUMPRODUCT(--('Hiring plan'!$G$5:$G$87=BG$3),'Hiring plan'!$F$5:$F$87)</f>
        <v>0</v>
      </c>
      <c r="BH184" s="33" t="n">
        <f aca="false">SUMPRODUCT(--('Hiring plan'!$G$5:$G$87=BH$3),'Hiring plan'!$F$5:$F$87)</f>
        <v>0</v>
      </c>
      <c r="BI184" s="33" t="n">
        <f aca="false">SUMPRODUCT(--('Hiring plan'!$G$5:$G$87=BI$3),'Hiring plan'!$F$5:$F$87)</f>
        <v>0</v>
      </c>
      <c r="BJ184" s="33" t="n">
        <f aca="false">SUMPRODUCT(--('Hiring plan'!$G$5:$G$87=BJ$3),'Hiring plan'!$F$5:$F$87)</f>
        <v>0</v>
      </c>
      <c r="BK184" s="33" t="n">
        <f aca="false">SUMPRODUCT(--('Hiring plan'!$G$5:$G$87=BK$3),'Hiring plan'!$F$5:$F$87)</f>
        <v>0</v>
      </c>
      <c r="BL184" s="33" t="n">
        <f aca="false">SUMPRODUCT(--('Hiring plan'!$G$5:$G$87=BL$3),'Hiring plan'!$F$5:$F$87)</f>
        <v>0</v>
      </c>
    </row>
    <row r="185" customFormat="false" ht="15" hidden="false" customHeight="false" outlineLevel="0" collapsed="false">
      <c r="A185" s="12" t="s">
        <v>527</v>
      </c>
      <c r="B185" s="14" t="s">
        <v>63</v>
      </c>
      <c r="D185" s="41" t="n">
        <f aca="false">SUM(E185:BL185)</f>
        <v>829076776.1245</v>
      </c>
      <c r="E185" s="33" t="n">
        <f aca="false">SUMIF('Hiring plan'!$B$5:$B$87,"Leadership",E94:E176)</f>
        <v>8153129.33333333</v>
      </c>
      <c r="F185" s="33" t="n">
        <f aca="false">SUMIF('Hiring plan'!$B$5:$B$87,"Leadership",F94:F176)</f>
        <v>8153129.33333333</v>
      </c>
      <c r="G185" s="33" t="n">
        <f aca="false">SUMIF('Hiring plan'!$B$5:$B$87,"Leadership",G94:G176)</f>
        <v>8153129.33333333</v>
      </c>
      <c r="H185" s="33" t="n">
        <f aca="false">SUMIF('Hiring plan'!$B$5:$B$87,"Leadership",H94:H176)</f>
        <v>8153129.33333333</v>
      </c>
      <c r="I185" s="33" t="n">
        <f aca="false">SUMIF('Hiring plan'!$B$5:$B$87,"Leadership",I94:I176)</f>
        <v>8153129.33333333</v>
      </c>
      <c r="J185" s="33" t="n">
        <f aca="false">SUMIF('Hiring plan'!$B$5:$B$87,"Leadership",J94:J176)</f>
        <v>8153129.33333333</v>
      </c>
      <c r="K185" s="33" t="n">
        <f aca="false">SUMIF('Hiring plan'!$B$5:$B$87,"Leadership",K94:K176)</f>
        <v>8153129.33333333</v>
      </c>
      <c r="L185" s="33" t="n">
        <f aca="false">SUMIF('Hiring plan'!$B$5:$B$87,"Leadership",L94:L176)</f>
        <v>8153129.33333333</v>
      </c>
      <c r="M185" s="33" t="n">
        <f aca="false">SUMIF('Hiring plan'!$B$5:$B$87,"Leadership",M94:M176)</f>
        <v>8153129.33333333</v>
      </c>
      <c r="N185" s="33" t="n">
        <f aca="false">SUMIF('Hiring plan'!$B$5:$B$87,"Leadership",N94:N176)</f>
        <v>8153129.33333333</v>
      </c>
      <c r="O185" s="33" t="n">
        <f aca="false">SUMIF('Hiring plan'!$B$5:$B$87,"Leadership",O94:O176)</f>
        <v>8153129.33333333</v>
      </c>
      <c r="P185" s="33" t="n">
        <f aca="false">SUMIF('Hiring plan'!$B$5:$B$87,"Leadership",P94:P176)</f>
        <v>8153129.33333333</v>
      </c>
      <c r="Q185" s="33" t="n">
        <f aca="false">SUMIF('Hiring plan'!$B$5:$B$87,"Leadership",Q94:Q176)</f>
        <v>11959914.4</v>
      </c>
      <c r="R185" s="33" t="n">
        <f aca="false">SUMIF('Hiring plan'!$B$5:$B$87,"Leadership",R94:R176)</f>
        <v>11959914.4</v>
      </c>
      <c r="S185" s="33" t="n">
        <f aca="false">SUMIF('Hiring plan'!$B$5:$B$87,"Leadership",S94:S176)</f>
        <v>11959914.4</v>
      </c>
      <c r="T185" s="33" t="n">
        <f aca="false">SUMIF('Hiring plan'!$B$5:$B$87,"Leadership",T94:T176)</f>
        <v>11959914.4</v>
      </c>
      <c r="U185" s="33" t="n">
        <f aca="false">SUMIF('Hiring plan'!$B$5:$B$87,"Leadership",U94:U176)</f>
        <v>11959914.4</v>
      </c>
      <c r="V185" s="33" t="n">
        <f aca="false">SUMIF('Hiring plan'!$B$5:$B$87,"Leadership",V94:V176)</f>
        <v>11959914.4</v>
      </c>
      <c r="W185" s="33" t="n">
        <f aca="false">SUMIF('Hiring plan'!$B$5:$B$87,"Leadership",W94:W176)</f>
        <v>14423843</v>
      </c>
      <c r="X185" s="33" t="n">
        <f aca="false">SUMIF('Hiring plan'!$B$5:$B$87,"Leadership",X94:X176)</f>
        <v>14423843</v>
      </c>
      <c r="Y185" s="33" t="n">
        <f aca="false">SUMIF('Hiring plan'!$B$5:$B$87,"Leadership",Y94:Y176)</f>
        <v>14423843</v>
      </c>
      <c r="Z185" s="33" t="n">
        <f aca="false">SUMIF('Hiring plan'!$B$5:$B$87,"Leadership",Z94:Z176)</f>
        <v>14423843</v>
      </c>
      <c r="AA185" s="33" t="n">
        <f aca="false">SUMIF('Hiring plan'!$B$5:$B$87,"Leadership",AA94:AA176)</f>
        <v>14423843</v>
      </c>
      <c r="AB185" s="33" t="n">
        <f aca="false">SUMIF('Hiring plan'!$B$5:$B$87,"Leadership",AB94:AB176)</f>
        <v>14423843</v>
      </c>
      <c r="AC185" s="33" t="n">
        <f aca="false">SUMIF('Hiring plan'!$B$5:$B$87,"Leadership",AC94:AC176)</f>
        <v>15145035.15</v>
      </c>
      <c r="AD185" s="33" t="n">
        <f aca="false">SUMIF('Hiring plan'!$B$5:$B$87,"Leadership",AD94:AD176)</f>
        <v>15145035.15</v>
      </c>
      <c r="AE185" s="33" t="n">
        <f aca="false">SUMIF('Hiring plan'!$B$5:$B$87,"Leadership",AE94:AE176)</f>
        <v>15145035.15</v>
      </c>
      <c r="AF185" s="33" t="n">
        <f aca="false">SUMIF('Hiring plan'!$B$5:$B$87,"Leadership",AF94:AF176)</f>
        <v>15145035.15</v>
      </c>
      <c r="AG185" s="33" t="n">
        <f aca="false">SUMIF('Hiring plan'!$B$5:$B$87,"Leadership",AG94:AG176)</f>
        <v>15145035.15</v>
      </c>
      <c r="AH185" s="33" t="n">
        <f aca="false">SUMIF('Hiring plan'!$B$5:$B$87,"Leadership",AH94:AH176)</f>
        <v>15145035.15</v>
      </c>
      <c r="AI185" s="33" t="n">
        <f aca="false">SUMIF('Hiring plan'!$B$5:$B$87,"Leadership",AI94:AI176)</f>
        <v>15145035.15</v>
      </c>
      <c r="AJ185" s="33" t="n">
        <f aca="false">SUMIF('Hiring plan'!$B$5:$B$87,"Leadership",AJ94:AJ176)</f>
        <v>15145035.15</v>
      </c>
      <c r="AK185" s="33" t="n">
        <f aca="false">SUMIF('Hiring plan'!$B$5:$B$87,"Leadership",AK94:AK176)</f>
        <v>15145035.15</v>
      </c>
      <c r="AL185" s="33" t="n">
        <f aca="false">SUMIF('Hiring plan'!$B$5:$B$87,"Leadership",AL94:AL176)</f>
        <v>15145035.15</v>
      </c>
      <c r="AM185" s="33" t="n">
        <f aca="false">SUMIF('Hiring plan'!$B$5:$B$87,"Leadership",AM94:AM176)</f>
        <v>15145035.15</v>
      </c>
      <c r="AN185" s="33" t="n">
        <f aca="false">SUMIF('Hiring plan'!$B$5:$B$87,"Leadership",AN94:AN176)</f>
        <v>15145035.15</v>
      </c>
      <c r="AO185" s="33" t="n">
        <f aca="false">SUMIF('Hiring plan'!$B$5:$B$87,"Leadership",AO94:AO176)</f>
        <v>15902286.9075</v>
      </c>
      <c r="AP185" s="33" t="n">
        <f aca="false">SUMIF('Hiring plan'!$B$5:$B$87,"Leadership",AP94:AP176)</f>
        <v>15902286.9075</v>
      </c>
      <c r="AQ185" s="33" t="n">
        <f aca="false">SUMIF('Hiring plan'!$B$5:$B$87,"Leadership",AQ94:AQ176)</f>
        <v>15902286.9075</v>
      </c>
      <c r="AR185" s="33" t="n">
        <f aca="false">SUMIF('Hiring plan'!$B$5:$B$87,"Leadership",AR94:AR176)</f>
        <v>15902286.9075</v>
      </c>
      <c r="AS185" s="33" t="n">
        <f aca="false">SUMIF('Hiring plan'!$B$5:$B$87,"Leadership",AS94:AS176)</f>
        <v>15902286.9075</v>
      </c>
      <c r="AT185" s="33" t="n">
        <f aca="false">SUMIF('Hiring plan'!$B$5:$B$87,"Leadership",AT94:AT176)</f>
        <v>15902286.9075</v>
      </c>
      <c r="AU185" s="33" t="n">
        <f aca="false">SUMIF('Hiring plan'!$B$5:$B$87,"Leadership",AU94:AU176)</f>
        <v>15902286.9075</v>
      </c>
      <c r="AV185" s="33" t="n">
        <f aca="false">SUMIF('Hiring plan'!$B$5:$B$87,"Leadership",AV94:AV176)</f>
        <v>15902286.9075</v>
      </c>
      <c r="AW185" s="33" t="n">
        <f aca="false">SUMIF('Hiring plan'!$B$5:$B$87,"Leadership",AW94:AW176)</f>
        <v>15902286.9075</v>
      </c>
      <c r="AX185" s="33" t="n">
        <f aca="false">SUMIF('Hiring plan'!$B$5:$B$87,"Leadership",AX94:AX176)</f>
        <v>15902286.9075</v>
      </c>
      <c r="AY185" s="33" t="n">
        <f aca="false">SUMIF('Hiring plan'!$B$5:$B$87,"Leadership",AY94:AY176)</f>
        <v>15902286.9075</v>
      </c>
      <c r="AZ185" s="33" t="n">
        <f aca="false">SUMIF('Hiring plan'!$B$5:$B$87,"Leadership",AZ94:AZ176)</f>
        <v>15902286.9075</v>
      </c>
      <c r="BA185" s="33" t="n">
        <f aca="false">SUMIF('Hiring plan'!$B$5:$B$87,"Leadership",BA94:BA176)</f>
        <v>16697401.252875</v>
      </c>
      <c r="BB185" s="33" t="n">
        <f aca="false">SUMIF('Hiring plan'!$B$5:$B$87,"Leadership",BB94:BB176)</f>
        <v>16697401.252875</v>
      </c>
      <c r="BC185" s="33" t="n">
        <f aca="false">SUMIF('Hiring plan'!$B$5:$B$87,"Leadership",BC94:BC176)</f>
        <v>16697401.252875</v>
      </c>
      <c r="BD185" s="33" t="n">
        <f aca="false">SUMIF('Hiring plan'!$B$5:$B$87,"Leadership",BD94:BD176)</f>
        <v>16697401.252875</v>
      </c>
      <c r="BE185" s="33" t="n">
        <f aca="false">SUMIF('Hiring plan'!$B$5:$B$87,"Leadership",BE94:BE176)</f>
        <v>16697401.252875</v>
      </c>
      <c r="BF185" s="33" t="n">
        <f aca="false">SUMIF('Hiring plan'!$B$5:$B$87,"Leadership",BF94:BF176)</f>
        <v>16697401.252875</v>
      </c>
      <c r="BG185" s="33" t="n">
        <f aca="false">SUMIF('Hiring plan'!$B$5:$B$87,"Leadership",BG94:BG176)</f>
        <v>16697401.252875</v>
      </c>
      <c r="BH185" s="33" t="n">
        <f aca="false">SUMIF('Hiring plan'!$B$5:$B$87,"Leadership",BH94:BH176)</f>
        <v>16697401.252875</v>
      </c>
      <c r="BI185" s="33" t="n">
        <f aca="false">SUMIF('Hiring plan'!$B$5:$B$87,"Leadership",BI94:BI176)</f>
        <v>16697401.252875</v>
      </c>
      <c r="BJ185" s="33" t="n">
        <f aca="false">SUMIF('Hiring plan'!$B$5:$B$87,"Leadership",BJ94:BJ176)</f>
        <v>16697401.252875</v>
      </c>
      <c r="BK185" s="33" t="n">
        <f aca="false">SUMIF('Hiring plan'!$B$5:$B$87,"Leadership",BK94:BK176)</f>
        <v>16697401.252875</v>
      </c>
      <c r="BL185" s="33" t="n">
        <f aca="false">SUMIF('Hiring plan'!$B$5:$B$87,"Leadership",BL94:BL176)</f>
        <v>16697401.252875</v>
      </c>
    </row>
    <row r="186" customFormat="false" ht="15" hidden="false" customHeight="false" outlineLevel="0" collapsed="false">
      <c r="A186" s="12" t="s">
        <v>528</v>
      </c>
      <c r="B186" s="14" t="s">
        <v>63</v>
      </c>
      <c r="D186" s="41" t="n">
        <f aca="false">SUM(E186:BL186)</f>
        <v>795772769.403467</v>
      </c>
      <c r="E186" s="33" t="n">
        <f aca="false">SUMIF('Hiring plan'!$B$5:$B$87,"Engineering &amp; product",E94:E176)</f>
        <v>4457673.33333333</v>
      </c>
      <c r="F186" s="33" t="n">
        <f aca="false">SUMIF('Hiring plan'!$B$5:$B$87,"Engineering &amp; product",F94:F176)</f>
        <v>4457673.33333333</v>
      </c>
      <c r="G186" s="33" t="n">
        <f aca="false">SUMIF('Hiring plan'!$B$5:$B$87,"Engineering &amp; product",G94:G176)</f>
        <v>5450416</v>
      </c>
      <c r="H186" s="33" t="n">
        <f aca="false">SUMIF('Hiring plan'!$B$5:$B$87,"Engineering &amp; product",H94:H176)</f>
        <v>5450416</v>
      </c>
      <c r="I186" s="33" t="n">
        <f aca="false">SUMIF('Hiring plan'!$B$5:$B$87,"Engineering &amp; product",I94:I176)</f>
        <v>5450416</v>
      </c>
      <c r="J186" s="33" t="n">
        <f aca="false">SUMIF('Hiring plan'!$B$5:$B$87,"Engineering &amp; product",J94:J176)</f>
        <v>5450416</v>
      </c>
      <c r="K186" s="33" t="n">
        <f aca="false">SUMIF('Hiring plan'!$B$5:$B$87,"Engineering &amp; product",K94:K176)</f>
        <v>5450416</v>
      </c>
      <c r="L186" s="33" t="n">
        <f aca="false">SUMIF('Hiring plan'!$B$5:$B$87,"Engineering &amp; product",L94:L176)</f>
        <v>5450416</v>
      </c>
      <c r="M186" s="33" t="n">
        <f aca="false">SUMIF('Hiring plan'!$B$5:$B$87,"Engineering &amp; product",M94:M176)</f>
        <v>5450416</v>
      </c>
      <c r="N186" s="33" t="n">
        <f aca="false">SUMIF('Hiring plan'!$B$5:$B$87,"Engineering &amp; product",N94:N176)</f>
        <v>6902892</v>
      </c>
      <c r="O186" s="33" t="n">
        <f aca="false">SUMIF('Hiring plan'!$B$5:$B$87,"Engineering &amp; product",O94:O176)</f>
        <v>6902892</v>
      </c>
      <c r="P186" s="33" t="n">
        <f aca="false">SUMIF('Hiring plan'!$B$5:$B$87,"Engineering &amp; product",P94:P176)</f>
        <v>6902892</v>
      </c>
      <c r="Q186" s="33" t="n">
        <f aca="false">SUMIF('Hiring plan'!$B$5:$B$87,"Engineering &amp; product",Q94:Q176)</f>
        <v>7248036.6</v>
      </c>
      <c r="R186" s="33" t="n">
        <f aca="false">SUMIF('Hiring plan'!$B$5:$B$87,"Engineering &amp; product",R94:R176)</f>
        <v>7248036.6</v>
      </c>
      <c r="S186" s="33" t="n">
        <f aca="false">SUMIF('Hiring plan'!$B$5:$B$87,"Engineering &amp; product",S94:S176)</f>
        <v>7248036.6</v>
      </c>
      <c r="T186" s="33" t="n">
        <f aca="false">SUMIF('Hiring plan'!$B$5:$B$87,"Engineering &amp; product",T94:T176)</f>
        <v>7248036.6</v>
      </c>
      <c r="U186" s="33" t="n">
        <f aca="false">SUMIF('Hiring plan'!$B$5:$B$87,"Engineering &amp; product",U94:U176)</f>
        <v>7248036.6</v>
      </c>
      <c r="V186" s="33" t="n">
        <f aca="false">SUMIF('Hiring plan'!$B$5:$B$87,"Engineering &amp; product",V94:V176)</f>
        <v>7248036.6</v>
      </c>
      <c r="W186" s="33" t="n">
        <f aca="false">SUMIF('Hiring plan'!$B$5:$B$87,"Engineering &amp; product",W94:W176)</f>
        <v>10169845</v>
      </c>
      <c r="X186" s="33" t="n">
        <f aca="false">SUMIF('Hiring plan'!$B$5:$B$87,"Engineering &amp; product",X94:X176)</f>
        <v>10169845</v>
      </c>
      <c r="Y186" s="33" t="n">
        <f aca="false">SUMIF('Hiring plan'!$B$5:$B$87,"Engineering &amp; product",Y94:Y176)</f>
        <v>10169845</v>
      </c>
      <c r="Z186" s="33" t="n">
        <f aca="false">SUMIF('Hiring plan'!$B$5:$B$87,"Engineering &amp; product",Z94:Z176)</f>
        <v>10169845</v>
      </c>
      <c r="AA186" s="33" t="n">
        <f aca="false">SUMIF('Hiring plan'!$B$5:$B$87,"Engineering &amp; product",AA94:AA176)</f>
        <v>10169845</v>
      </c>
      <c r="AB186" s="33" t="n">
        <f aca="false">SUMIF('Hiring plan'!$B$5:$B$87,"Engineering &amp; product",AB94:AB176)</f>
        <v>10169845</v>
      </c>
      <c r="AC186" s="33" t="n">
        <f aca="false">SUMIF('Hiring plan'!$B$5:$B$87,"Engineering &amp; product",AC94:AC176)</f>
        <v>12406247.28</v>
      </c>
      <c r="AD186" s="33" t="n">
        <f aca="false">SUMIF('Hiring plan'!$B$5:$B$87,"Engineering &amp; product",AD94:AD176)</f>
        <v>12406247.28</v>
      </c>
      <c r="AE186" s="33" t="n">
        <f aca="false">SUMIF('Hiring plan'!$B$5:$B$87,"Engineering &amp; product",AE94:AE176)</f>
        <v>12406247.28</v>
      </c>
      <c r="AF186" s="33" t="n">
        <f aca="false">SUMIF('Hiring plan'!$B$5:$B$87,"Engineering &amp; product",AF94:AF176)</f>
        <v>12406247.28</v>
      </c>
      <c r="AG186" s="33" t="n">
        <f aca="false">SUMIF('Hiring plan'!$B$5:$B$87,"Engineering &amp; product",AG94:AG176)</f>
        <v>12406247.28</v>
      </c>
      <c r="AH186" s="33" t="n">
        <f aca="false">SUMIF('Hiring plan'!$B$5:$B$87,"Engineering &amp; product",AH94:AH176)</f>
        <v>12406247.28</v>
      </c>
      <c r="AI186" s="33" t="n">
        <f aca="false">SUMIF('Hiring plan'!$B$5:$B$87,"Engineering &amp; product",AI94:AI176)</f>
        <v>14007602.07</v>
      </c>
      <c r="AJ186" s="33" t="n">
        <f aca="false">SUMIF('Hiring plan'!$B$5:$B$87,"Engineering &amp; product",AJ94:AJ176)</f>
        <v>14007602.07</v>
      </c>
      <c r="AK186" s="33" t="n">
        <f aca="false">SUMIF('Hiring plan'!$B$5:$B$87,"Engineering &amp; product",AK94:AK176)</f>
        <v>14007602.07</v>
      </c>
      <c r="AL186" s="33" t="n">
        <f aca="false">SUMIF('Hiring plan'!$B$5:$B$87,"Engineering &amp; product",AL94:AL176)</f>
        <v>14007602.07</v>
      </c>
      <c r="AM186" s="33" t="n">
        <f aca="false">SUMIF('Hiring plan'!$B$5:$B$87,"Engineering &amp; product",AM94:AM176)</f>
        <v>14007602.07</v>
      </c>
      <c r="AN186" s="33" t="n">
        <f aca="false">SUMIF('Hiring plan'!$B$5:$B$87,"Engineering &amp; product",AN94:AN176)</f>
        <v>14007602.07</v>
      </c>
      <c r="AO186" s="33" t="n">
        <f aca="false">SUMIF('Hiring plan'!$B$5:$B$87,"Engineering &amp; product",AO94:AO176)</f>
        <v>14707982.1735</v>
      </c>
      <c r="AP186" s="33" t="n">
        <f aca="false">SUMIF('Hiring plan'!$B$5:$B$87,"Engineering &amp; product",AP94:AP176)</f>
        <v>14707982.1735</v>
      </c>
      <c r="AQ186" s="33" t="n">
        <f aca="false">SUMIF('Hiring plan'!$B$5:$B$87,"Engineering &amp; product",AQ94:AQ176)</f>
        <v>14707982.1735</v>
      </c>
      <c r="AR186" s="33" t="n">
        <f aca="false">SUMIF('Hiring plan'!$B$5:$B$87,"Engineering &amp; product",AR94:AR176)</f>
        <v>14707982.1735</v>
      </c>
      <c r="AS186" s="33" t="n">
        <f aca="false">SUMIF('Hiring plan'!$B$5:$B$87,"Engineering &amp; product",AS94:AS176)</f>
        <v>14707982.1735</v>
      </c>
      <c r="AT186" s="33" t="n">
        <f aca="false">SUMIF('Hiring plan'!$B$5:$B$87,"Engineering &amp; product",AT94:AT176)</f>
        <v>14707982.1735</v>
      </c>
      <c r="AU186" s="33" t="n">
        <f aca="false">SUMIF('Hiring plan'!$B$5:$B$87,"Engineering &amp; product",AU94:AU176)</f>
        <v>18852122.2365</v>
      </c>
      <c r="AV186" s="33" t="n">
        <f aca="false">SUMIF('Hiring plan'!$B$5:$B$87,"Engineering &amp; product",AV94:AV176)</f>
        <v>18852122.2365</v>
      </c>
      <c r="AW186" s="33" t="n">
        <f aca="false">SUMIF('Hiring plan'!$B$5:$B$87,"Engineering &amp; product",AW94:AW176)</f>
        <v>18852122.2365</v>
      </c>
      <c r="AX186" s="33" t="n">
        <f aca="false">SUMIF('Hiring plan'!$B$5:$B$87,"Engineering &amp; product",AX94:AX176)</f>
        <v>18852122.2365</v>
      </c>
      <c r="AY186" s="33" t="n">
        <f aca="false">SUMIF('Hiring plan'!$B$5:$B$87,"Engineering &amp; product",AY94:AY176)</f>
        <v>18852122.2365</v>
      </c>
      <c r="AZ186" s="33" t="n">
        <f aca="false">SUMIF('Hiring plan'!$B$5:$B$87,"Engineering &amp; product",AZ94:AZ176)</f>
        <v>18852122.2365</v>
      </c>
      <c r="BA186" s="33" t="n">
        <f aca="false">SUMIF('Hiring plan'!$B$5:$B$87,"Engineering &amp; product",BA94:BA176)</f>
        <v>21970401.8814</v>
      </c>
      <c r="BB186" s="33" t="n">
        <f aca="false">SUMIF('Hiring plan'!$B$5:$B$87,"Engineering &amp; product",BB94:BB176)</f>
        <v>21970401.8814</v>
      </c>
      <c r="BC186" s="33" t="n">
        <f aca="false">SUMIF('Hiring plan'!$B$5:$B$87,"Engineering &amp; product",BC94:BC176)</f>
        <v>21970401.8814</v>
      </c>
      <c r="BD186" s="33" t="n">
        <f aca="false">SUMIF('Hiring plan'!$B$5:$B$87,"Engineering &amp; product",BD94:BD176)</f>
        <v>21970401.8814</v>
      </c>
      <c r="BE186" s="33" t="n">
        <f aca="false">SUMIF('Hiring plan'!$B$5:$B$87,"Engineering &amp; product",BE94:BE176)</f>
        <v>21970401.8814</v>
      </c>
      <c r="BF186" s="33" t="n">
        <f aca="false">SUMIF('Hiring plan'!$B$5:$B$87,"Engineering &amp; product",BF94:BF176)</f>
        <v>21970401.8814</v>
      </c>
      <c r="BG186" s="33" t="n">
        <f aca="false">SUMIF('Hiring plan'!$B$5:$B$87,"Engineering &amp; product",BG94:BG176)</f>
        <v>21970401.8814</v>
      </c>
      <c r="BH186" s="33" t="n">
        <f aca="false">SUMIF('Hiring plan'!$B$5:$B$87,"Engineering &amp; product",BH94:BH176)</f>
        <v>21970401.8814</v>
      </c>
      <c r="BI186" s="33" t="n">
        <f aca="false">SUMIF('Hiring plan'!$B$5:$B$87,"Engineering &amp; product",BI94:BI176)</f>
        <v>21970401.8814</v>
      </c>
      <c r="BJ186" s="33" t="n">
        <f aca="false">SUMIF('Hiring plan'!$B$5:$B$87,"Engineering &amp; product",BJ94:BJ176)</f>
        <v>21970401.8814</v>
      </c>
      <c r="BK186" s="33" t="n">
        <f aca="false">SUMIF('Hiring plan'!$B$5:$B$87,"Engineering &amp; product",BK94:BK176)</f>
        <v>21970401.8814</v>
      </c>
      <c r="BL186" s="33" t="n">
        <f aca="false">SUMIF('Hiring plan'!$B$5:$B$87,"Engineering &amp; product",BL94:BL176)</f>
        <v>21970401.8814</v>
      </c>
    </row>
    <row r="187" customFormat="false" ht="15" hidden="false" customHeight="false" outlineLevel="0" collapsed="false">
      <c r="A187" s="12" t="s">
        <v>529</v>
      </c>
      <c r="B187" s="14" t="s">
        <v>63</v>
      </c>
      <c r="D187" s="41" t="n">
        <f aca="false">SUM(E187:BL187)</f>
        <v>304290966.4481</v>
      </c>
      <c r="E187" s="33" t="n">
        <f aca="false">SUMIF('Hiring plan'!$B$5:$B$87,"Compliance &amp; risk",E94:E176)</f>
        <v>0</v>
      </c>
      <c r="F187" s="33" t="n">
        <f aca="false">SUMIF('Hiring plan'!$B$5:$B$87,"Compliance &amp; risk",F94:F176)</f>
        <v>0</v>
      </c>
      <c r="G187" s="33" t="n">
        <f aca="false">SUMIF('Hiring plan'!$B$5:$B$87,"Compliance &amp; risk",G94:G176)</f>
        <v>1789932</v>
      </c>
      <c r="H187" s="33" t="n">
        <f aca="false">SUMIF('Hiring plan'!$B$5:$B$87,"Compliance &amp; risk",H94:H176)</f>
        <v>1789932</v>
      </c>
      <c r="I187" s="33" t="n">
        <f aca="false">SUMIF('Hiring plan'!$B$5:$B$87,"Compliance &amp; risk",I94:I176)</f>
        <v>1789932</v>
      </c>
      <c r="J187" s="33" t="n">
        <f aca="false">SUMIF('Hiring plan'!$B$5:$B$87,"Compliance &amp; risk",J94:J176)</f>
        <v>1789932</v>
      </c>
      <c r="K187" s="33" t="n">
        <f aca="false">SUMIF('Hiring plan'!$B$5:$B$87,"Compliance &amp; risk",K94:K176)</f>
        <v>2495341.33333333</v>
      </c>
      <c r="L187" s="33" t="n">
        <f aca="false">SUMIF('Hiring plan'!$B$5:$B$87,"Compliance &amp; risk",L94:L176)</f>
        <v>2495341.33333333</v>
      </c>
      <c r="M187" s="33" t="n">
        <f aca="false">SUMIF('Hiring plan'!$B$5:$B$87,"Compliance &amp; risk",M94:M176)</f>
        <v>2495341.33333333</v>
      </c>
      <c r="N187" s="33" t="n">
        <f aca="false">SUMIF('Hiring plan'!$B$5:$B$87,"Compliance &amp; risk",N94:N176)</f>
        <v>2495341.33333333</v>
      </c>
      <c r="O187" s="33" t="n">
        <f aca="false">SUMIF('Hiring plan'!$B$5:$B$87,"Compliance &amp; risk",O94:O176)</f>
        <v>2495341.33333333</v>
      </c>
      <c r="P187" s="33" t="n">
        <f aca="false">SUMIF('Hiring plan'!$B$5:$B$87,"Compliance &amp; risk",P94:P176)</f>
        <v>2495341.33333333</v>
      </c>
      <c r="Q187" s="33" t="n">
        <f aca="false">SUMIF('Hiring plan'!$B$5:$B$87,"Compliance &amp; risk",Q94:Q176)</f>
        <v>2620108.4</v>
      </c>
      <c r="R187" s="33" t="n">
        <f aca="false">SUMIF('Hiring plan'!$B$5:$B$87,"Compliance &amp; risk",R94:R176)</f>
        <v>2620108.4</v>
      </c>
      <c r="S187" s="33" t="n">
        <f aca="false">SUMIF('Hiring plan'!$B$5:$B$87,"Compliance &amp; risk",S94:S176)</f>
        <v>2620108.4</v>
      </c>
      <c r="T187" s="33" t="n">
        <f aca="false">SUMIF('Hiring plan'!$B$5:$B$87,"Compliance &amp; risk",T94:T176)</f>
        <v>3903848.2</v>
      </c>
      <c r="U187" s="33" t="n">
        <f aca="false">SUMIF('Hiring plan'!$B$5:$B$87,"Compliance &amp; risk",U94:U176)</f>
        <v>3903848.2</v>
      </c>
      <c r="V187" s="33" t="n">
        <f aca="false">SUMIF('Hiring plan'!$B$5:$B$87,"Compliance &amp; risk",V94:V176)</f>
        <v>3903848.2</v>
      </c>
      <c r="W187" s="33" t="n">
        <f aca="false">SUMIF('Hiring plan'!$B$5:$B$87,"Compliance &amp; risk",W94:W176)</f>
        <v>4644528</v>
      </c>
      <c r="X187" s="33" t="n">
        <f aca="false">SUMIF('Hiring plan'!$B$5:$B$87,"Compliance &amp; risk",X94:X176)</f>
        <v>4644528</v>
      </c>
      <c r="Y187" s="33" t="n">
        <f aca="false">SUMIF('Hiring plan'!$B$5:$B$87,"Compliance &amp; risk",Y94:Y176)</f>
        <v>4644528</v>
      </c>
      <c r="Z187" s="33" t="n">
        <f aca="false">SUMIF('Hiring plan'!$B$5:$B$87,"Compliance &amp; risk",Z94:Z176)</f>
        <v>4644528</v>
      </c>
      <c r="AA187" s="33" t="n">
        <f aca="false">SUMIF('Hiring plan'!$B$5:$B$87,"Compliance &amp; risk",AA94:AA176)</f>
        <v>4644528</v>
      </c>
      <c r="AB187" s="33" t="n">
        <f aca="false">SUMIF('Hiring plan'!$B$5:$B$87,"Compliance &amp; risk",AB94:AB176)</f>
        <v>4644528</v>
      </c>
      <c r="AC187" s="33" t="n">
        <f aca="false">SUMIF('Hiring plan'!$B$5:$B$87,"Compliance &amp; risk",AC94:AC176)</f>
        <v>4876754.4</v>
      </c>
      <c r="AD187" s="33" t="n">
        <f aca="false">SUMIF('Hiring plan'!$B$5:$B$87,"Compliance &amp; risk",AD94:AD176)</f>
        <v>4876754.4</v>
      </c>
      <c r="AE187" s="33" t="n">
        <f aca="false">SUMIF('Hiring plan'!$B$5:$B$87,"Compliance &amp; risk",AE94:AE176)</f>
        <v>4876754.4</v>
      </c>
      <c r="AF187" s="33" t="n">
        <f aca="false">SUMIF('Hiring plan'!$B$5:$B$87,"Compliance &amp; risk",AF94:AF176)</f>
        <v>4876754.4</v>
      </c>
      <c r="AG187" s="33" t="n">
        <f aca="false">SUMIF('Hiring plan'!$B$5:$B$87,"Compliance &amp; risk",AG94:AG176)</f>
        <v>4876754.4</v>
      </c>
      <c r="AH187" s="33" t="n">
        <f aca="false">SUMIF('Hiring plan'!$B$5:$B$87,"Compliance &amp; risk",AH94:AH176)</f>
        <v>4876754.4</v>
      </c>
      <c r="AI187" s="33" t="n">
        <f aca="false">SUMIF('Hiring plan'!$B$5:$B$87,"Compliance &amp; risk",AI94:AI176)</f>
        <v>5654468.19</v>
      </c>
      <c r="AJ187" s="33" t="n">
        <f aca="false">SUMIF('Hiring plan'!$B$5:$B$87,"Compliance &amp; risk",AJ94:AJ176)</f>
        <v>5654468.19</v>
      </c>
      <c r="AK187" s="33" t="n">
        <f aca="false">SUMIF('Hiring plan'!$B$5:$B$87,"Compliance &amp; risk",AK94:AK176)</f>
        <v>5654468.19</v>
      </c>
      <c r="AL187" s="33" t="n">
        <f aca="false">SUMIF('Hiring plan'!$B$5:$B$87,"Compliance &amp; risk",AL94:AL176)</f>
        <v>5654468.19</v>
      </c>
      <c r="AM187" s="33" t="n">
        <f aca="false">SUMIF('Hiring plan'!$B$5:$B$87,"Compliance &amp; risk",AM94:AM176)</f>
        <v>5654468.19</v>
      </c>
      <c r="AN187" s="33" t="n">
        <f aca="false">SUMIF('Hiring plan'!$B$5:$B$87,"Compliance &amp; risk",AN94:AN176)</f>
        <v>5654468.19</v>
      </c>
      <c r="AO187" s="33" t="n">
        <f aca="false">SUMIF('Hiring plan'!$B$5:$B$87,"Compliance &amp; risk",AO94:AO176)</f>
        <v>5937191.5995</v>
      </c>
      <c r="AP187" s="33" t="n">
        <f aca="false">SUMIF('Hiring plan'!$B$5:$B$87,"Compliance &amp; risk",AP94:AP176)</f>
        <v>5937191.5995</v>
      </c>
      <c r="AQ187" s="33" t="n">
        <f aca="false">SUMIF('Hiring plan'!$B$5:$B$87,"Compliance &amp; risk",AQ94:AQ176)</f>
        <v>5937191.5995</v>
      </c>
      <c r="AR187" s="33" t="n">
        <f aca="false">SUMIF('Hiring plan'!$B$5:$B$87,"Compliance &amp; risk",AR94:AR176)</f>
        <v>5937191.5995</v>
      </c>
      <c r="AS187" s="33" t="n">
        <f aca="false">SUMIF('Hiring plan'!$B$5:$B$87,"Compliance &amp; risk",AS94:AS176)</f>
        <v>5937191.5995</v>
      </c>
      <c r="AT187" s="33" t="n">
        <f aca="false">SUMIF('Hiring plan'!$B$5:$B$87,"Compliance &amp; risk",AT94:AT176)</f>
        <v>5937191.5995</v>
      </c>
      <c r="AU187" s="33" t="n">
        <f aca="false">SUMIF('Hiring plan'!$B$5:$B$87,"Compliance &amp; risk",AU94:AU176)</f>
        <v>6753791.079</v>
      </c>
      <c r="AV187" s="33" t="n">
        <f aca="false">SUMIF('Hiring plan'!$B$5:$B$87,"Compliance &amp; risk",AV94:AV176)</f>
        <v>6753791.079</v>
      </c>
      <c r="AW187" s="33" t="n">
        <f aca="false">SUMIF('Hiring plan'!$B$5:$B$87,"Compliance &amp; risk",AW94:AW176)</f>
        <v>6753791.079</v>
      </c>
      <c r="AX187" s="33" t="n">
        <f aca="false">SUMIF('Hiring plan'!$B$5:$B$87,"Compliance &amp; risk",AX94:AX176)</f>
        <v>6753791.079</v>
      </c>
      <c r="AY187" s="33" t="n">
        <f aca="false">SUMIF('Hiring plan'!$B$5:$B$87,"Compliance &amp; risk",AY94:AY176)</f>
        <v>6753791.079</v>
      </c>
      <c r="AZ187" s="33" t="n">
        <f aca="false">SUMIF('Hiring plan'!$B$5:$B$87,"Compliance &amp; risk",AZ94:AZ176)</f>
        <v>6753791.079</v>
      </c>
      <c r="BA187" s="33" t="n">
        <f aca="false">SUMIF('Hiring plan'!$B$5:$B$87,"Compliance &amp; risk",BA94:BA176)</f>
        <v>7948910.086425</v>
      </c>
      <c r="BB187" s="33" t="n">
        <f aca="false">SUMIF('Hiring plan'!$B$5:$B$87,"Compliance &amp; risk",BB94:BB176)</f>
        <v>7948910.086425</v>
      </c>
      <c r="BC187" s="33" t="n">
        <f aca="false">SUMIF('Hiring plan'!$B$5:$B$87,"Compliance &amp; risk",BC94:BC176)</f>
        <v>7948910.086425</v>
      </c>
      <c r="BD187" s="33" t="n">
        <f aca="false">SUMIF('Hiring plan'!$B$5:$B$87,"Compliance &amp; risk",BD94:BD176)</f>
        <v>7948910.086425</v>
      </c>
      <c r="BE187" s="33" t="n">
        <f aca="false">SUMIF('Hiring plan'!$B$5:$B$87,"Compliance &amp; risk",BE94:BE176)</f>
        <v>7948910.086425</v>
      </c>
      <c r="BF187" s="33" t="n">
        <f aca="false">SUMIF('Hiring plan'!$B$5:$B$87,"Compliance &amp; risk",BF94:BF176)</f>
        <v>7948910.086425</v>
      </c>
      <c r="BG187" s="33" t="n">
        <f aca="false">SUMIF('Hiring plan'!$B$5:$B$87,"Compliance &amp; risk",BG94:BG176)</f>
        <v>7948910.086425</v>
      </c>
      <c r="BH187" s="33" t="n">
        <f aca="false">SUMIF('Hiring plan'!$B$5:$B$87,"Compliance &amp; risk",BH94:BH176)</f>
        <v>7948910.086425</v>
      </c>
      <c r="BI187" s="33" t="n">
        <f aca="false">SUMIF('Hiring plan'!$B$5:$B$87,"Compliance &amp; risk",BI94:BI176)</f>
        <v>7948910.086425</v>
      </c>
      <c r="BJ187" s="33" t="n">
        <f aca="false">SUMIF('Hiring plan'!$B$5:$B$87,"Compliance &amp; risk",BJ94:BJ176)</f>
        <v>7948910.086425</v>
      </c>
      <c r="BK187" s="33" t="n">
        <f aca="false">SUMIF('Hiring plan'!$B$5:$B$87,"Compliance &amp; risk",BK94:BK176)</f>
        <v>7948910.086425</v>
      </c>
      <c r="BL187" s="33" t="n">
        <f aca="false">SUMIF('Hiring plan'!$B$5:$B$87,"Compliance &amp; risk",BL94:BL176)</f>
        <v>7948910.086425</v>
      </c>
    </row>
    <row r="188" customFormat="false" ht="15" hidden="false" customHeight="false" outlineLevel="0" collapsed="false">
      <c r="A188" s="12" t="s">
        <v>530</v>
      </c>
      <c r="B188" s="14" t="s">
        <v>63</v>
      </c>
      <c r="D188" s="41" t="n">
        <f aca="false">SUM(E188:BL188)</f>
        <v>265298735.6262</v>
      </c>
      <c r="E188" s="33" t="n">
        <f aca="false">SUMIF('Hiring plan'!$B$5:$B$87,"Credit",E94:E176)</f>
        <v>0</v>
      </c>
      <c r="F188" s="33" t="n">
        <f aca="false">SUMIF('Hiring plan'!$B$5:$B$87,"Credit",F94:F176)</f>
        <v>0</v>
      </c>
      <c r="G188" s="33" t="n">
        <f aca="false">SUMIF('Hiring plan'!$B$5:$B$87,"Credit",G94:G176)</f>
        <v>0</v>
      </c>
      <c r="H188" s="33" t="n">
        <f aca="false">SUMIF('Hiring plan'!$B$5:$B$87,"Credit",H94:H176)</f>
        <v>0</v>
      </c>
      <c r="I188" s="33" t="n">
        <f aca="false">SUMIF('Hiring plan'!$B$5:$B$87,"Credit",I94:I176)</f>
        <v>0</v>
      </c>
      <c r="J188" s="33" t="n">
        <f aca="false">SUMIF('Hiring plan'!$B$5:$B$87,"Credit",J94:J176)</f>
        <v>0</v>
      </c>
      <c r="K188" s="33" t="n">
        <f aca="false">SUMIF('Hiring plan'!$B$5:$B$87,"Credit",K94:K176)</f>
        <v>1452476</v>
      </c>
      <c r="L188" s="33" t="n">
        <f aca="false">SUMIF('Hiring plan'!$B$5:$B$87,"Credit",L94:L176)</f>
        <v>1452476</v>
      </c>
      <c r="M188" s="33" t="n">
        <f aca="false">SUMIF('Hiring plan'!$B$5:$B$87,"Credit",M94:M176)</f>
        <v>1452476</v>
      </c>
      <c r="N188" s="33" t="n">
        <f aca="false">SUMIF('Hiring plan'!$B$5:$B$87,"Credit",N94:N176)</f>
        <v>1452476</v>
      </c>
      <c r="O188" s="33" t="n">
        <f aca="false">SUMIF('Hiring plan'!$B$5:$B$87,"Credit",O94:O176)</f>
        <v>1452476</v>
      </c>
      <c r="P188" s="33" t="n">
        <f aca="false">SUMIF('Hiring plan'!$B$5:$B$87,"Credit",P94:P176)</f>
        <v>1452476</v>
      </c>
      <c r="Q188" s="33" t="n">
        <f aca="false">SUMIF('Hiring plan'!$B$5:$B$87,"Credit",Q94:Q176)</f>
        <v>1525099.8</v>
      </c>
      <c r="R188" s="33" t="n">
        <f aca="false">SUMIF('Hiring plan'!$B$5:$B$87,"Credit",R94:R176)</f>
        <v>1525099.8</v>
      </c>
      <c r="S188" s="33" t="n">
        <f aca="false">SUMIF('Hiring plan'!$B$5:$B$87,"Credit",S94:S176)</f>
        <v>1525099.8</v>
      </c>
      <c r="T188" s="33" t="n">
        <f aca="false">SUMIF('Hiring plan'!$B$5:$B$87,"Credit",T94:T176)</f>
        <v>1525099.8</v>
      </c>
      <c r="U188" s="33" t="n">
        <f aca="false">SUMIF('Hiring plan'!$B$5:$B$87,"Credit",U94:U176)</f>
        <v>1525099.8</v>
      </c>
      <c r="V188" s="33" t="n">
        <f aca="false">SUMIF('Hiring plan'!$B$5:$B$87,"Credit",V94:V176)</f>
        <v>1525099.8</v>
      </c>
      <c r="W188" s="33" t="n">
        <f aca="false">SUMIF('Hiring plan'!$B$5:$B$87,"Credit",W94:W176)</f>
        <v>3070093.6</v>
      </c>
      <c r="X188" s="33" t="n">
        <f aca="false">SUMIF('Hiring plan'!$B$5:$B$87,"Credit",X94:X176)</f>
        <v>3070093.6</v>
      </c>
      <c r="Y188" s="33" t="n">
        <f aca="false">SUMIF('Hiring plan'!$B$5:$B$87,"Credit",Y94:Y176)</f>
        <v>3070093.6</v>
      </c>
      <c r="Z188" s="33" t="n">
        <f aca="false">SUMIF('Hiring plan'!$B$5:$B$87,"Credit",Z94:Z176)</f>
        <v>3070093.6</v>
      </c>
      <c r="AA188" s="33" t="n">
        <f aca="false">SUMIF('Hiring plan'!$B$5:$B$87,"Credit",AA94:AA176)</f>
        <v>3070093.6</v>
      </c>
      <c r="AB188" s="33" t="n">
        <f aca="false">SUMIF('Hiring plan'!$B$5:$B$87,"Credit",AB94:AB176)</f>
        <v>3070093.6</v>
      </c>
      <c r="AC188" s="33" t="n">
        <f aca="false">SUMIF('Hiring plan'!$B$5:$B$87,"Credit",AC94:AC176)</f>
        <v>3223598.28</v>
      </c>
      <c r="AD188" s="33" t="n">
        <f aca="false">SUMIF('Hiring plan'!$B$5:$B$87,"Credit",AD94:AD176)</f>
        <v>3223598.28</v>
      </c>
      <c r="AE188" s="33" t="n">
        <f aca="false">SUMIF('Hiring plan'!$B$5:$B$87,"Credit",AE94:AE176)</f>
        <v>3223598.28</v>
      </c>
      <c r="AF188" s="33" t="n">
        <f aca="false">SUMIF('Hiring plan'!$B$5:$B$87,"Credit",AF94:AF176)</f>
        <v>3223598.28</v>
      </c>
      <c r="AG188" s="33" t="n">
        <f aca="false">SUMIF('Hiring plan'!$B$5:$B$87,"Credit",AG94:AG176)</f>
        <v>3223598.28</v>
      </c>
      <c r="AH188" s="33" t="n">
        <f aca="false">SUMIF('Hiring plan'!$B$5:$B$87,"Credit",AH94:AH176)</f>
        <v>3223598.28</v>
      </c>
      <c r="AI188" s="33" t="n">
        <f aca="false">SUMIF('Hiring plan'!$B$5:$B$87,"Credit",AI94:AI176)</f>
        <v>5106255.21</v>
      </c>
      <c r="AJ188" s="33" t="n">
        <f aca="false">SUMIF('Hiring plan'!$B$5:$B$87,"Credit",AJ94:AJ176)</f>
        <v>5106255.21</v>
      </c>
      <c r="AK188" s="33" t="n">
        <f aca="false">SUMIF('Hiring plan'!$B$5:$B$87,"Credit",AK94:AK176)</f>
        <v>5106255.21</v>
      </c>
      <c r="AL188" s="33" t="n">
        <f aca="false">SUMIF('Hiring plan'!$B$5:$B$87,"Credit",AL94:AL176)</f>
        <v>5106255.21</v>
      </c>
      <c r="AM188" s="33" t="n">
        <f aca="false">SUMIF('Hiring plan'!$B$5:$B$87,"Credit",AM94:AM176)</f>
        <v>5106255.21</v>
      </c>
      <c r="AN188" s="33" t="n">
        <f aca="false">SUMIF('Hiring plan'!$B$5:$B$87,"Credit",AN94:AN176)</f>
        <v>5106255.21</v>
      </c>
      <c r="AO188" s="33" t="n">
        <f aca="false">SUMIF('Hiring plan'!$B$5:$B$87,"Credit",AO94:AO176)</f>
        <v>5361567.9705</v>
      </c>
      <c r="AP188" s="33" t="n">
        <f aca="false">SUMIF('Hiring plan'!$B$5:$B$87,"Credit",AP94:AP176)</f>
        <v>5361567.9705</v>
      </c>
      <c r="AQ188" s="33" t="n">
        <f aca="false">SUMIF('Hiring plan'!$B$5:$B$87,"Credit",AQ94:AQ176)</f>
        <v>5361567.9705</v>
      </c>
      <c r="AR188" s="33" t="n">
        <f aca="false">SUMIF('Hiring plan'!$B$5:$B$87,"Credit",AR94:AR176)</f>
        <v>5361567.9705</v>
      </c>
      <c r="AS188" s="33" t="n">
        <f aca="false">SUMIF('Hiring plan'!$B$5:$B$87,"Credit",AS94:AS176)</f>
        <v>5361567.9705</v>
      </c>
      <c r="AT188" s="33" t="n">
        <f aca="false">SUMIF('Hiring plan'!$B$5:$B$87,"Credit",AT94:AT176)</f>
        <v>5361567.9705</v>
      </c>
      <c r="AU188" s="33" t="n">
        <f aca="false">SUMIF('Hiring plan'!$B$5:$B$87,"Credit",AU94:AU176)</f>
        <v>7064923.635</v>
      </c>
      <c r="AV188" s="33" t="n">
        <f aca="false">SUMIF('Hiring plan'!$B$5:$B$87,"Credit",AV94:AV176)</f>
        <v>7064923.635</v>
      </c>
      <c r="AW188" s="33" t="n">
        <f aca="false">SUMIF('Hiring plan'!$B$5:$B$87,"Credit",AW94:AW176)</f>
        <v>7064923.635</v>
      </c>
      <c r="AX188" s="33" t="n">
        <f aca="false">SUMIF('Hiring plan'!$B$5:$B$87,"Credit",AX94:AX176)</f>
        <v>7064923.635</v>
      </c>
      <c r="AY188" s="33" t="n">
        <f aca="false">SUMIF('Hiring plan'!$B$5:$B$87,"Credit",AY94:AY176)</f>
        <v>7064923.635</v>
      </c>
      <c r="AZ188" s="33" t="n">
        <f aca="false">SUMIF('Hiring plan'!$B$5:$B$87,"Credit",AZ94:AZ176)</f>
        <v>7064923.635</v>
      </c>
      <c r="BA188" s="33" t="n">
        <f aca="false">SUMIF('Hiring plan'!$B$5:$B$87,"Credit",BA94:BA176)</f>
        <v>8706220.7211</v>
      </c>
      <c r="BB188" s="33" t="n">
        <f aca="false">SUMIF('Hiring plan'!$B$5:$B$87,"Credit",BB94:BB176)</f>
        <v>8706220.7211</v>
      </c>
      <c r="BC188" s="33" t="n">
        <f aca="false">SUMIF('Hiring plan'!$B$5:$B$87,"Credit",BC94:BC176)</f>
        <v>8706220.7211</v>
      </c>
      <c r="BD188" s="33" t="n">
        <f aca="false">SUMIF('Hiring plan'!$B$5:$B$87,"Credit",BD94:BD176)</f>
        <v>8706220.7211</v>
      </c>
      <c r="BE188" s="33" t="n">
        <f aca="false">SUMIF('Hiring plan'!$B$5:$B$87,"Credit",BE94:BE176)</f>
        <v>8706220.7211</v>
      </c>
      <c r="BF188" s="33" t="n">
        <f aca="false">SUMIF('Hiring plan'!$B$5:$B$87,"Credit",BF94:BF176)</f>
        <v>8706220.7211</v>
      </c>
      <c r="BG188" s="33" t="n">
        <f aca="false">SUMIF('Hiring plan'!$B$5:$B$87,"Credit",BG94:BG176)</f>
        <v>8706220.7211</v>
      </c>
      <c r="BH188" s="33" t="n">
        <f aca="false">SUMIF('Hiring plan'!$B$5:$B$87,"Credit",BH94:BH176)</f>
        <v>8706220.7211</v>
      </c>
      <c r="BI188" s="33" t="n">
        <f aca="false">SUMIF('Hiring plan'!$B$5:$B$87,"Credit",BI94:BI176)</f>
        <v>8706220.7211</v>
      </c>
      <c r="BJ188" s="33" t="n">
        <f aca="false">SUMIF('Hiring plan'!$B$5:$B$87,"Credit",BJ94:BJ176)</f>
        <v>8706220.7211</v>
      </c>
      <c r="BK188" s="33" t="n">
        <f aca="false">SUMIF('Hiring plan'!$B$5:$B$87,"Credit",BK94:BK176)</f>
        <v>8706220.7211</v>
      </c>
      <c r="BL188" s="33" t="n">
        <f aca="false">SUMIF('Hiring plan'!$B$5:$B$87,"Credit",BL94:BL176)</f>
        <v>8706220.7211</v>
      </c>
    </row>
    <row r="189" customFormat="false" ht="15" hidden="false" customHeight="false" outlineLevel="0" collapsed="false">
      <c r="A189" s="12" t="s">
        <v>531</v>
      </c>
      <c r="B189" s="14" t="s">
        <v>63</v>
      </c>
      <c r="D189" s="41" t="n">
        <f aca="false">SUM(E189:BL189)</f>
        <v>354340761.4842</v>
      </c>
      <c r="E189" s="33" t="n">
        <f aca="false">SUMIF('Hiring plan'!$B$5:$B$87,"Operations &amp; support",E94:E176)</f>
        <v>0</v>
      </c>
      <c r="F189" s="33" t="n">
        <f aca="false">SUMIF('Hiring plan'!$B$5:$B$87,"Operations &amp; support",F94:F176)</f>
        <v>0</v>
      </c>
      <c r="G189" s="33" t="n">
        <f aca="false">SUMIF('Hiring plan'!$B$5:$B$87,"Operations &amp; support",G94:G176)</f>
        <v>0</v>
      </c>
      <c r="H189" s="33" t="n">
        <f aca="false">SUMIF('Hiring plan'!$B$5:$B$87,"Operations &amp; support",H94:H176)</f>
        <v>1054120</v>
      </c>
      <c r="I189" s="33" t="n">
        <f aca="false">SUMIF('Hiring plan'!$B$5:$B$87,"Operations &amp; support",I94:I176)</f>
        <v>1054120</v>
      </c>
      <c r="J189" s="33" t="n">
        <f aca="false">SUMIF('Hiring plan'!$B$5:$B$87,"Operations &amp; support",J94:J176)</f>
        <v>1054120</v>
      </c>
      <c r="K189" s="33" t="n">
        <f aca="false">SUMIF('Hiring plan'!$B$5:$B$87,"Operations &amp; support",K94:K176)</f>
        <v>1054120</v>
      </c>
      <c r="L189" s="33" t="n">
        <f aca="false">SUMIF('Hiring plan'!$B$5:$B$87,"Operations &amp; support",L94:L176)</f>
        <v>1054120</v>
      </c>
      <c r="M189" s="33" t="n">
        <f aca="false">SUMIF('Hiring plan'!$B$5:$B$87,"Operations &amp; support",M94:M176)</f>
        <v>1054120</v>
      </c>
      <c r="N189" s="33" t="n">
        <f aca="false">SUMIF('Hiring plan'!$B$5:$B$87,"Operations &amp; support",N94:N176)</f>
        <v>1054120</v>
      </c>
      <c r="O189" s="33" t="n">
        <f aca="false">SUMIF('Hiring plan'!$B$5:$B$87,"Operations &amp; support",O94:O176)</f>
        <v>1054120</v>
      </c>
      <c r="P189" s="33" t="n">
        <f aca="false">SUMIF('Hiring plan'!$B$5:$B$87,"Operations &amp; support",P94:P176)</f>
        <v>1054120</v>
      </c>
      <c r="Q189" s="33" t="n">
        <f aca="false">SUMIF('Hiring plan'!$B$5:$B$87,"Operations &amp; support",Q94:Q176)</f>
        <v>1106826</v>
      </c>
      <c r="R189" s="33" t="n">
        <f aca="false">SUMIF('Hiring plan'!$B$5:$B$87,"Operations &amp; support",R94:R176)</f>
        <v>1106826</v>
      </c>
      <c r="S189" s="33" t="n">
        <f aca="false">SUMIF('Hiring plan'!$B$5:$B$87,"Operations &amp; support",S94:S176)</f>
        <v>1106826</v>
      </c>
      <c r="T189" s="33" t="n">
        <f aca="false">SUMIF('Hiring plan'!$B$5:$B$87,"Operations &amp; support",T94:T176)</f>
        <v>1106826</v>
      </c>
      <c r="U189" s="33" t="n">
        <f aca="false">SUMIF('Hiring plan'!$B$5:$B$87,"Operations &amp; support",U94:U176)</f>
        <v>1106826</v>
      </c>
      <c r="V189" s="33" t="n">
        <f aca="false">SUMIF('Hiring plan'!$B$5:$B$87,"Operations &amp; support",V94:V176)</f>
        <v>1106826</v>
      </c>
      <c r="W189" s="33" t="n">
        <f aca="false">SUMIF('Hiring plan'!$B$5:$B$87,"Operations &amp; support",W94:W176)</f>
        <v>3287473</v>
      </c>
      <c r="X189" s="33" t="n">
        <f aca="false">SUMIF('Hiring plan'!$B$5:$B$87,"Operations &amp; support",X94:X176)</f>
        <v>3287473</v>
      </c>
      <c r="Y189" s="33" t="n">
        <f aca="false">SUMIF('Hiring plan'!$B$5:$B$87,"Operations &amp; support",Y94:Y176)</f>
        <v>3287473</v>
      </c>
      <c r="Z189" s="33" t="n">
        <f aca="false">SUMIF('Hiring plan'!$B$5:$B$87,"Operations &amp; support",Z94:Z176)</f>
        <v>3287473</v>
      </c>
      <c r="AA189" s="33" t="n">
        <f aca="false">SUMIF('Hiring plan'!$B$5:$B$87,"Operations &amp; support",AA94:AA176)</f>
        <v>3287473</v>
      </c>
      <c r="AB189" s="33" t="n">
        <f aca="false">SUMIF('Hiring plan'!$B$5:$B$87,"Operations &amp; support",AB94:AB176)</f>
        <v>3287473</v>
      </c>
      <c r="AC189" s="33" t="n">
        <f aca="false">SUMIF('Hiring plan'!$B$5:$B$87,"Operations &amp; support",AC94:AC176)</f>
        <v>4673059.44</v>
      </c>
      <c r="AD189" s="33" t="n">
        <f aca="false">SUMIF('Hiring plan'!$B$5:$B$87,"Operations &amp; support",AD94:AD176)</f>
        <v>4673059.44</v>
      </c>
      <c r="AE189" s="33" t="n">
        <f aca="false">SUMIF('Hiring plan'!$B$5:$B$87,"Operations &amp; support",AE94:AE176)</f>
        <v>4673059.44</v>
      </c>
      <c r="AF189" s="33" t="n">
        <f aca="false">SUMIF('Hiring plan'!$B$5:$B$87,"Operations &amp; support",AF94:AF176)</f>
        <v>4673059.44</v>
      </c>
      <c r="AG189" s="33" t="n">
        <f aca="false">SUMIF('Hiring plan'!$B$5:$B$87,"Operations &amp; support",AG94:AG176)</f>
        <v>4673059.44</v>
      </c>
      <c r="AH189" s="33" t="n">
        <f aca="false">SUMIF('Hiring plan'!$B$5:$B$87,"Operations &amp; support",AH94:AH176)</f>
        <v>4673059.44</v>
      </c>
      <c r="AI189" s="33" t="n">
        <f aca="false">SUMIF('Hiring plan'!$B$5:$B$87,"Operations &amp; support",AI94:AI176)</f>
        <v>6155510.34</v>
      </c>
      <c r="AJ189" s="33" t="n">
        <f aca="false">SUMIF('Hiring plan'!$B$5:$B$87,"Operations &amp; support",AJ94:AJ176)</f>
        <v>6155510.34</v>
      </c>
      <c r="AK189" s="33" t="n">
        <f aca="false">SUMIF('Hiring plan'!$B$5:$B$87,"Operations &amp; support",AK94:AK176)</f>
        <v>6155510.34</v>
      </c>
      <c r="AL189" s="33" t="n">
        <f aca="false">SUMIF('Hiring plan'!$B$5:$B$87,"Operations &amp; support",AL94:AL176)</f>
        <v>6155510.34</v>
      </c>
      <c r="AM189" s="33" t="n">
        <f aca="false">SUMIF('Hiring plan'!$B$5:$B$87,"Operations &amp; support",AM94:AM176)</f>
        <v>6155510.34</v>
      </c>
      <c r="AN189" s="33" t="n">
        <f aca="false">SUMIF('Hiring plan'!$B$5:$B$87,"Operations &amp; support",AN94:AN176)</f>
        <v>6155510.34</v>
      </c>
      <c r="AO189" s="33" t="n">
        <f aca="false">SUMIF('Hiring plan'!$B$5:$B$87,"Operations &amp; support",AO94:AO176)</f>
        <v>7416566.892</v>
      </c>
      <c r="AP189" s="33" t="n">
        <f aca="false">SUMIF('Hiring plan'!$B$5:$B$87,"Operations &amp; support",AP94:AP176)</f>
        <v>7416566.892</v>
      </c>
      <c r="AQ189" s="33" t="n">
        <f aca="false">SUMIF('Hiring plan'!$B$5:$B$87,"Operations &amp; support",AQ94:AQ176)</f>
        <v>7416566.892</v>
      </c>
      <c r="AR189" s="33" t="n">
        <f aca="false">SUMIF('Hiring plan'!$B$5:$B$87,"Operations &amp; support",AR94:AR176)</f>
        <v>7416566.892</v>
      </c>
      <c r="AS189" s="33" t="n">
        <f aca="false">SUMIF('Hiring plan'!$B$5:$B$87,"Operations &amp; support",AS94:AS176)</f>
        <v>7416566.892</v>
      </c>
      <c r="AT189" s="33" t="n">
        <f aca="false">SUMIF('Hiring plan'!$B$5:$B$87,"Operations &amp; support",AT94:AT176)</f>
        <v>7416566.892</v>
      </c>
      <c r="AU189" s="33" t="n">
        <f aca="false">SUMIF('Hiring plan'!$B$5:$B$87,"Operations &amp; support",AU94:AU176)</f>
        <v>9309438.117</v>
      </c>
      <c r="AV189" s="33" t="n">
        <f aca="false">SUMIF('Hiring plan'!$B$5:$B$87,"Operations &amp; support",AV94:AV176)</f>
        <v>9309438.117</v>
      </c>
      <c r="AW189" s="33" t="n">
        <f aca="false">SUMIF('Hiring plan'!$B$5:$B$87,"Operations &amp; support",AW94:AW176)</f>
        <v>9309438.117</v>
      </c>
      <c r="AX189" s="33" t="n">
        <f aca="false">SUMIF('Hiring plan'!$B$5:$B$87,"Operations &amp; support",AX94:AX176)</f>
        <v>9309438.117</v>
      </c>
      <c r="AY189" s="33" t="n">
        <f aca="false">SUMIF('Hiring plan'!$B$5:$B$87,"Operations &amp; support",AY94:AY176)</f>
        <v>9309438.117</v>
      </c>
      <c r="AZ189" s="33" t="n">
        <f aca="false">SUMIF('Hiring plan'!$B$5:$B$87,"Operations &amp; support",AZ94:AZ176)</f>
        <v>9309438.117</v>
      </c>
      <c r="BA189" s="33" t="n">
        <f aca="false">SUMIF('Hiring plan'!$B$5:$B$87,"Operations &amp; support",BA94:BA176)</f>
        <v>12763369.89585</v>
      </c>
      <c r="BB189" s="33" t="n">
        <f aca="false">SUMIF('Hiring plan'!$B$5:$B$87,"Operations &amp; support",BB94:BB176)</f>
        <v>12763369.89585</v>
      </c>
      <c r="BC189" s="33" t="n">
        <f aca="false">SUMIF('Hiring plan'!$B$5:$B$87,"Operations &amp; support",BC94:BC176)</f>
        <v>12763369.89585</v>
      </c>
      <c r="BD189" s="33" t="n">
        <f aca="false">SUMIF('Hiring plan'!$B$5:$B$87,"Operations &amp; support",BD94:BD176)</f>
        <v>12763369.89585</v>
      </c>
      <c r="BE189" s="33" t="n">
        <f aca="false">SUMIF('Hiring plan'!$B$5:$B$87,"Operations &amp; support",BE94:BE176)</f>
        <v>12763369.89585</v>
      </c>
      <c r="BF189" s="33" t="n">
        <f aca="false">SUMIF('Hiring plan'!$B$5:$B$87,"Operations &amp; support",BF94:BF176)</f>
        <v>12763369.89585</v>
      </c>
      <c r="BG189" s="33" t="n">
        <f aca="false">SUMIF('Hiring plan'!$B$5:$B$87,"Operations &amp; support",BG94:BG176)</f>
        <v>12763369.89585</v>
      </c>
      <c r="BH189" s="33" t="n">
        <f aca="false">SUMIF('Hiring plan'!$B$5:$B$87,"Operations &amp; support",BH94:BH176)</f>
        <v>12763369.89585</v>
      </c>
      <c r="BI189" s="33" t="n">
        <f aca="false">SUMIF('Hiring plan'!$B$5:$B$87,"Operations &amp; support",BI94:BI176)</f>
        <v>12763369.89585</v>
      </c>
      <c r="BJ189" s="33" t="n">
        <f aca="false">SUMIF('Hiring plan'!$B$5:$B$87,"Operations &amp; support",BJ94:BJ176)</f>
        <v>12763369.89585</v>
      </c>
      <c r="BK189" s="33" t="n">
        <f aca="false">SUMIF('Hiring plan'!$B$5:$B$87,"Operations &amp; support",BK94:BK176)</f>
        <v>12763369.89585</v>
      </c>
      <c r="BL189" s="33" t="n">
        <f aca="false">SUMIF('Hiring plan'!$B$5:$B$87,"Operations &amp; support",BL94:BL176)</f>
        <v>12763369.89585</v>
      </c>
    </row>
    <row r="190" customFormat="false" ht="15" hidden="false" customHeight="false" outlineLevel="0" collapsed="false">
      <c r="A190" s="12" t="s">
        <v>532</v>
      </c>
      <c r="B190" s="14" t="s">
        <v>63</v>
      </c>
      <c r="D190" s="41" t="n">
        <f aca="false">SUM(E190:BL190)</f>
        <v>795167080.686867</v>
      </c>
      <c r="E190" s="33" t="n">
        <f aca="false">SUMIF('Hiring plan'!$B$5:$B$87,"Sales &amp; partnerships",E94:E176)</f>
        <v>0</v>
      </c>
      <c r="F190" s="33" t="n">
        <f aca="false">SUMIF('Hiring plan'!$B$5:$B$87,"Sales &amp; partnerships",F94:F176)</f>
        <v>2068265.33333333</v>
      </c>
      <c r="G190" s="33" t="n">
        <f aca="false">SUMIF('Hiring plan'!$B$5:$B$87,"Sales &amp; partnerships",G94:G176)</f>
        <v>2068265.33333333</v>
      </c>
      <c r="H190" s="33" t="n">
        <f aca="false">SUMIF('Hiring plan'!$B$5:$B$87,"Sales &amp; partnerships",H94:H176)</f>
        <v>4238888</v>
      </c>
      <c r="I190" s="33" t="n">
        <f aca="false">SUMIF('Hiring plan'!$B$5:$B$87,"Sales &amp; partnerships",I94:I176)</f>
        <v>4238888</v>
      </c>
      <c r="J190" s="33" t="n">
        <f aca="false">SUMIF('Hiring plan'!$B$5:$B$87,"Sales &amp; partnerships",J94:J176)</f>
        <v>4238888</v>
      </c>
      <c r="K190" s="33" t="n">
        <f aca="false">SUMIF('Hiring plan'!$B$5:$B$87,"Sales &amp; partnerships",K94:K176)</f>
        <v>5301834.66666667</v>
      </c>
      <c r="L190" s="33" t="n">
        <f aca="false">SUMIF('Hiring plan'!$B$5:$B$87,"Sales &amp; partnerships",L94:L176)</f>
        <v>5301834.66666667</v>
      </c>
      <c r="M190" s="33" t="n">
        <f aca="false">SUMIF('Hiring plan'!$B$5:$B$87,"Sales &amp; partnerships",M94:M176)</f>
        <v>5301834.66666667</v>
      </c>
      <c r="N190" s="33" t="n">
        <f aca="false">SUMIF('Hiring plan'!$B$5:$B$87,"Sales &amp; partnerships",N94:N176)</f>
        <v>5301834.66666667</v>
      </c>
      <c r="O190" s="33" t="n">
        <f aca="false">SUMIF('Hiring plan'!$B$5:$B$87,"Sales &amp; partnerships",O94:O176)</f>
        <v>5301834.66666667</v>
      </c>
      <c r="P190" s="33" t="n">
        <f aca="false">SUMIF('Hiring plan'!$B$5:$B$87,"Sales &amp; partnerships",P94:P176)</f>
        <v>5301834.66666667</v>
      </c>
      <c r="Q190" s="33" t="n">
        <f aca="false">SUMIF('Hiring plan'!$B$5:$B$87,"Sales &amp; partnerships",Q94:Q176)</f>
        <v>5566926.4</v>
      </c>
      <c r="R190" s="33" t="n">
        <f aca="false">SUMIF('Hiring plan'!$B$5:$B$87,"Sales &amp; partnerships",R94:R176)</f>
        <v>5566926.4</v>
      </c>
      <c r="S190" s="33" t="n">
        <f aca="false">SUMIF('Hiring plan'!$B$5:$B$87,"Sales &amp; partnerships",S94:S176)</f>
        <v>5566926.4</v>
      </c>
      <c r="T190" s="33" t="n">
        <f aca="false">SUMIF('Hiring plan'!$B$5:$B$87,"Sales &amp; partnerships",T94:T176)</f>
        <v>5566926.4</v>
      </c>
      <c r="U190" s="33" t="n">
        <f aca="false">SUMIF('Hiring plan'!$B$5:$B$87,"Sales &amp; partnerships",U94:U176)</f>
        <v>5566926.4</v>
      </c>
      <c r="V190" s="33" t="n">
        <f aca="false">SUMIF('Hiring plan'!$B$5:$B$87,"Sales &amp; partnerships",V94:V176)</f>
        <v>5566926.4</v>
      </c>
      <c r="W190" s="33" t="n">
        <f aca="false">SUMIF('Hiring plan'!$B$5:$B$87,"Sales &amp; partnerships",W94:W176)</f>
        <v>9657072.6</v>
      </c>
      <c r="X190" s="33" t="n">
        <f aca="false">SUMIF('Hiring plan'!$B$5:$B$87,"Sales &amp; partnerships",X94:X176)</f>
        <v>9657072.6</v>
      </c>
      <c r="Y190" s="33" t="n">
        <f aca="false">SUMIF('Hiring plan'!$B$5:$B$87,"Sales &amp; partnerships",Y94:Y176)</f>
        <v>9657072.6</v>
      </c>
      <c r="Z190" s="33" t="n">
        <f aca="false">SUMIF('Hiring plan'!$B$5:$B$87,"Sales &amp; partnerships",Z94:Z176)</f>
        <v>9657072.6</v>
      </c>
      <c r="AA190" s="33" t="n">
        <f aca="false">SUMIF('Hiring plan'!$B$5:$B$87,"Sales &amp; partnerships",AA94:AA176)</f>
        <v>9657072.6</v>
      </c>
      <c r="AB190" s="33" t="n">
        <f aca="false">SUMIF('Hiring plan'!$B$5:$B$87,"Sales &amp; partnerships",AB94:AB176)</f>
        <v>9657072.6</v>
      </c>
      <c r="AC190" s="33" t="n">
        <f aca="false">SUMIF('Hiring plan'!$B$5:$B$87,"Sales &amp; partnerships",AC94:AC176)</f>
        <v>11487853.02</v>
      </c>
      <c r="AD190" s="33" t="n">
        <f aca="false">SUMIF('Hiring plan'!$B$5:$B$87,"Sales &amp; partnerships",AD94:AD176)</f>
        <v>11487853.02</v>
      </c>
      <c r="AE190" s="33" t="n">
        <f aca="false">SUMIF('Hiring plan'!$B$5:$B$87,"Sales &amp; partnerships",AE94:AE176)</f>
        <v>11487853.02</v>
      </c>
      <c r="AF190" s="33" t="n">
        <f aca="false">SUMIF('Hiring plan'!$B$5:$B$87,"Sales &amp; partnerships",AF94:AF176)</f>
        <v>11487853.02</v>
      </c>
      <c r="AG190" s="33" t="n">
        <f aca="false">SUMIF('Hiring plan'!$B$5:$B$87,"Sales &amp; partnerships",AG94:AG176)</f>
        <v>11487853.02</v>
      </c>
      <c r="AH190" s="33" t="n">
        <f aca="false">SUMIF('Hiring plan'!$B$5:$B$87,"Sales &amp; partnerships",AH94:AH176)</f>
        <v>11487853.02</v>
      </c>
      <c r="AI190" s="33" t="n">
        <f aca="false">SUMIF('Hiring plan'!$B$5:$B$87,"Sales &amp; partnerships",AI94:AI176)</f>
        <v>15782506.53</v>
      </c>
      <c r="AJ190" s="33" t="n">
        <f aca="false">SUMIF('Hiring plan'!$B$5:$B$87,"Sales &amp; partnerships",AJ94:AJ176)</f>
        <v>15782506.53</v>
      </c>
      <c r="AK190" s="33" t="n">
        <f aca="false">SUMIF('Hiring plan'!$B$5:$B$87,"Sales &amp; partnerships",AK94:AK176)</f>
        <v>15782506.53</v>
      </c>
      <c r="AL190" s="33" t="n">
        <f aca="false">SUMIF('Hiring plan'!$B$5:$B$87,"Sales &amp; partnerships",AL94:AL176)</f>
        <v>15782506.53</v>
      </c>
      <c r="AM190" s="33" t="n">
        <f aca="false">SUMIF('Hiring plan'!$B$5:$B$87,"Sales &amp; partnerships",AM94:AM176)</f>
        <v>15782506.53</v>
      </c>
      <c r="AN190" s="33" t="n">
        <f aca="false">SUMIF('Hiring plan'!$B$5:$B$87,"Sales &amp; partnerships",AN94:AN176)</f>
        <v>15782506.53</v>
      </c>
      <c r="AO190" s="33" t="n">
        <f aca="false">SUMIF('Hiring plan'!$B$5:$B$87,"Sales &amp; partnerships",AO94:AO176)</f>
        <v>16571631.8565</v>
      </c>
      <c r="AP190" s="33" t="n">
        <f aca="false">SUMIF('Hiring plan'!$B$5:$B$87,"Sales &amp; partnerships",AP94:AP176)</f>
        <v>16571631.8565</v>
      </c>
      <c r="AQ190" s="33" t="n">
        <f aca="false">SUMIF('Hiring plan'!$B$5:$B$87,"Sales &amp; partnerships",AQ94:AQ176)</f>
        <v>16571631.8565</v>
      </c>
      <c r="AR190" s="33" t="n">
        <f aca="false">SUMIF('Hiring plan'!$B$5:$B$87,"Sales &amp; partnerships",AR94:AR176)</f>
        <v>16571631.8565</v>
      </c>
      <c r="AS190" s="33" t="n">
        <f aca="false">SUMIF('Hiring plan'!$B$5:$B$87,"Sales &amp; partnerships",AS94:AS176)</f>
        <v>16571631.8565</v>
      </c>
      <c r="AT190" s="33" t="n">
        <f aca="false">SUMIF('Hiring plan'!$B$5:$B$87,"Sales &amp; partnerships",AT94:AT176)</f>
        <v>16571631.8565</v>
      </c>
      <c r="AU190" s="33" t="n">
        <f aca="false">SUMIF('Hiring plan'!$B$5:$B$87,"Sales &amp; partnerships",AU94:AU176)</f>
        <v>21081018.042</v>
      </c>
      <c r="AV190" s="33" t="n">
        <f aca="false">SUMIF('Hiring plan'!$B$5:$B$87,"Sales &amp; partnerships",AV94:AV176)</f>
        <v>21081018.042</v>
      </c>
      <c r="AW190" s="33" t="n">
        <f aca="false">SUMIF('Hiring plan'!$B$5:$B$87,"Sales &amp; partnerships",AW94:AW176)</f>
        <v>21081018.042</v>
      </c>
      <c r="AX190" s="33" t="n">
        <f aca="false">SUMIF('Hiring plan'!$B$5:$B$87,"Sales &amp; partnerships",AX94:AX176)</f>
        <v>21081018.042</v>
      </c>
      <c r="AY190" s="33" t="n">
        <f aca="false">SUMIF('Hiring plan'!$B$5:$B$87,"Sales &amp; partnerships",AY94:AY176)</f>
        <v>21081018.042</v>
      </c>
      <c r="AZ190" s="33" t="n">
        <f aca="false">SUMIF('Hiring plan'!$B$5:$B$87,"Sales &amp; partnerships",AZ94:AZ176)</f>
        <v>21081018.042</v>
      </c>
      <c r="BA190" s="33" t="n">
        <f aca="false">SUMIF('Hiring plan'!$B$5:$B$87,"Sales &amp; partnerships",BA94:BA176)</f>
        <v>22135068.9441</v>
      </c>
      <c r="BB190" s="33" t="n">
        <f aca="false">SUMIF('Hiring plan'!$B$5:$B$87,"Sales &amp; partnerships",BB94:BB176)</f>
        <v>22135068.9441</v>
      </c>
      <c r="BC190" s="33" t="n">
        <f aca="false">SUMIF('Hiring plan'!$B$5:$B$87,"Sales &amp; partnerships",BC94:BC176)</f>
        <v>22135068.9441</v>
      </c>
      <c r="BD190" s="33" t="n">
        <f aca="false">SUMIF('Hiring plan'!$B$5:$B$87,"Sales &amp; partnerships",BD94:BD176)</f>
        <v>22135068.9441</v>
      </c>
      <c r="BE190" s="33" t="n">
        <f aca="false">SUMIF('Hiring plan'!$B$5:$B$87,"Sales &amp; partnerships",BE94:BE176)</f>
        <v>22135068.9441</v>
      </c>
      <c r="BF190" s="33" t="n">
        <f aca="false">SUMIF('Hiring plan'!$B$5:$B$87,"Sales &amp; partnerships",BF94:BF176)</f>
        <v>22135068.9441</v>
      </c>
      <c r="BG190" s="33" t="n">
        <f aca="false">SUMIF('Hiring plan'!$B$5:$B$87,"Sales &amp; partnerships",BG94:BG176)</f>
        <v>22135068.9441</v>
      </c>
      <c r="BH190" s="33" t="n">
        <f aca="false">SUMIF('Hiring plan'!$B$5:$B$87,"Sales &amp; partnerships",BH94:BH176)</f>
        <v>22135068.9441</v>
      </c>
      <c r="BI190" s="33" t="n">
        <f aca="false">SUMIF('Hiring plan'!$B$5:$B$87,"Sales &amp; partnerships",BI94:BI176)</f>
        <v>22135068.9441</v>
      </c>
      <c r="BJ190" s="33" t="n">
        <f aca="false">SUMIF('Hiring plan'!$B$5:$B$87,"Sales &amp; partnerships",BJ94:BJ176)</f>
        <v>22135068.9441</v>
      </c>
      <c r="BK190" s="33" t="n">
        <f aca="false">SUMIF('Hiring plan'!$B$5:$B$87,"Sales &amp; partnerships",BK94:BK176)</f>
        <v>22135068.9441</v>
      </c>
      <c r="BL190" s="33" t="n">
        <f aca="false">SUMIF('Hiring plan'!$B$5:$B$87,"Sales &amp; partnerships",BL94:BL176)</f>
        <v>22135068.9441</v>
      </c>
    </row>
    <row r="191" customFormat="false" ht="15" hidden="false" customHeight="false" outlineLevel="0" collapsed="false">
      <c r="A191" s="12" t="s">
        <v>533</v>
      </c>
      <c r="B191" s="14" t="s">
        <v>63</v>
      </c>
      <c r="D191" s="41" t="n">
        <f aca="false">SUM(E191:BL191)</f>
        <v>93423675.3562</v>
      </c>
      <c r="E191" s="33" t="n">
        <f aca="false">SUMIF('Hiring plan'!$B$5:$B$87,"Marketing",E94:E176)</f>
        <v>0</v>
      </c>
      <c r="F191" s="33" t="n">
        <f aca="false">SUMIF('Hiring plan'!$B$5:$B$87,"Marketing",F94:F176)</f>
        <v>0</v>
      </c>
      <c r="G191" s="33" t="n">
        <f aca="false">SUMIF('Hiring plan'!$B$5:$B$87,"Marketing",G94:G176)</f>
        <v>0</v>
      </c>
      <c r="H191" s="33" t="n">
        <f aca="false">SUMIF('Hiring plan'!$B$5:$B$87,"Marketing",H94:H176)</f>
        <v>0</v>
      </c>
      <c r="I191" s="33" t="n">
        <f aca="false">SUMIF('Hiring plan'!$B$5:$B$87,"Marketing",I94:I176)</f>
        <v>0</v>
      </c>
      <c r="J191" s="33" t="n">
        <f aca="false">SUMIF('Hiring plan'!$B$5:$B$87,"Marketing",J94:J176)</f>
        <v>1107676</v>
      </c>
      <c r="K191" s="33" t="n">
        <f aca="false">SUMIF('Hiring plan'!$B$5:$B$87,"Marketing",K94:K176)</f>
        <v>1107676</v>
      </c>
      <c r="L191" s="33" t="n">
        <f aca="false">SUMIF('Hiring plan'!$B$5:$B$87,"Marketing",L94:L176)</f>
        <v>1107676</v>
      </c>
      <c r="M191" s="33" t="n">
        <f aca="false">SUMIF('Hiring plan'!$B$5:$B$87,"Marketing",M94:M176)</f>
        <v>1107676</v>
      </c>
      <c r="N191" s="33" t="n">
        <f aca="false">SUMIF('Hiring plan'!$B$5:$B$87,"Marketing",N94:N176)</f>
        <v>1107676</v>
      </c>
      <c r="O191" s="33" t="n">
        <f aca="false">SUMIF('Hiring plan'!$B$5:$B$87,"Marketing",O94:O176)</f>
        <v>1107676</v>
      </c>
      <c r="P191" s="33" t="n">
        <f aca="false">SUMIF('Hiring plan'!$B$5:$B$87,"Marketing",P94:P176)</f>
        <v>1107676</v>
      </c>
      <c r="Q191" s="33" t="n">
        <f aca="false">SUMIF('Hiring plan'!$B$5:$B$87,"Marketing",Q94:Q176)</f>
        <v>1163059.8</v>
      </c>
      <c r="R191" s="33" t="n">
        <f aca="false">SUMIF('Hiring plan'!$B$5:$B$87,"Marketing",R94:R176)</f>
        <v>1163059.8</v>
      </c>
      <c r="S191" s="33" t="n">
        <f aca="false">SUMIF('Hiring plan'!$B$5:$B$87,"Marketing",S94:S176)</f>
        <v>1163059.8</v>
      </c>
      <c r="T191" s="33" t="n">
        <f aca="false">SUMIF('Hiring plan'!$B$5:$B$87,"Marketing",T94:T176)</f>
        <v>1163059.8</v>
      </c>
      <c r="U191" s="33" t="n">
        <f aca="false">SUMIF('Hiring plan'!$B$5:$B$87,"Marketing",U94:U176)</f>
        <v>1163059.8</v>
      </c>
      <c r="V191" s="33" t="n">
        <f aca="false">SUMIF('Hiring plan'!$B$5:$B$87,"Marketing",V94:V176)</f>
        <v>1163059.8</v>
      </c>
      <c r="W191" s="33" t="n">
        <f aca="false">SUMIF('Hiring plan'!$B$5:$B$87,"Marketing",W94:W176)</f>
        <v>1721106.8</v>
      </c>
      <c r="X191" s="33" t="n">
        <f aca="false">SUMIF('Hiring plan'!$B$5:$B$87,"Marketing",X94:X176)</f>
        <v>1721106.8</v>
      </c>
      <c r="Y191" s="33" t="n">
        <f aca="false">SUMIF('Hiring plan'!$B$5:$B$87,"Marketing",Y94:Y176)</f>
        <v>1721106.8</v>
      </c>
      <c r="Z191" s="33" t="n">
        <f aca="false">SUMIF('Hiring plan'!$B$5:$B$87,"Marketing",Z94:Z176)</f>
        <v>1721106.8</v>
      </c>
      <c r="AA191" s="33" t="n">
        <f aca="false">SUMIF('Hiring plan'!$B$5:$B$87,"Marketing",AA94:AA176)</f>
        <v>1721106.8</v>
      </c>
      <c r="AB191" s="33" t="n">
        <f aca="false">SUMIF('Hiring plan'!$B$5:$B$87,"Marketing",AB94:AB176)</f>
        <v>1721106.8</v>
      </c>
      <c r="AC191" s="33" t="n">
        <f aca="false">SUMIF('Hiring plan'!$B$5:$B$87,"Marketing",AC94:AC176)</f>
        <v>1807162.14</v>
      </c>
      <c r="AD191" s="33" t="n">
        <f aca="false">SUMIF('Hiring plan'!$B$5:$B$87,"Marketing",AD94:AD176)</f>
        <v>1807162.14</v>
      </c>
      <c r="AE191" s="33" t="n">
        <f aca="false">SUMIF('Hiring plan'!$B$5:$B$87,"Marketing",AE94:AE176)</f>
        <v>1807162.14</v>
      </c>
      <c r="AF191" s="33" t="n">
        <f aca="false">SUMIF('Hiring plan'!$B$5:$B$87,"Marketing",AF94:AF176)</f>
        <v>1807162.14</v>
      </c>
      <c r="AG191" s="33" t="n">
        <f aca="false">SUMIF('Hiring plan'!$B$5:$B$87,"Marketing",AG94:AG176)</f>
        <v>1807162.14</v>
      </c>
      <c r="AH191" s="33" t="n">
        <f aca="false">SUMIF('Hiring plan'!$B$5:$B$87,"Marketing",AH94:AH176)</f>
        <v>1807162.14</v>
      </c>
      <c r="AI191" s="33" t="n">
        <f aca="false">SUMIF('Hiring plan'!$B$5:$B$87,"Marketing",AI94:AI176)</f>
        <v>1807162.14</v>
      </c>
      <c r="AJ191" s="33" t="n">
        <f aca="false">SUMIF('Hiring plan'!$B$5:$B$87,"Marketing",AJ94:AJ176)</f>
        <v>1807162.14</v>
      </c>
      <c r="AK191" s="33" t="n">
        <f aca="false">SUMIF('Hiring plan'!$B$5:$B$87,"Marketing",AK94:AK176)</f>
        <v>1807162.14</v>
      </c>
      <c r="AL191" s="33" t="n">
        <f aca="false">SUMIF('Hiring plan'!$B$5:$B$87,"Marketing",AL94:AL176)</f>
        <v>1807162.14</v>
      </c>
      <c r="AM191" s="33" t="n">
        <f aca="false">SUMIF('Hiring plan'!$B$5:$B$87,"Marketing",AM94:AM176)</f>
        <v>1807162.14</v>
      </c>
      <c r="AN191" s="33" t="n">
        <f aca="false">SUMIF('Hiring plan'!$B$5:$B$87,"Marketing",AN94:AN176)</f>
        <v>1807162.14</v>
      </c>
      <c r="AO191" s="33" t="n">
        <f aca="false">SUMIF('Hiring plan'!$B$5:$B$87,"Marketing",AO94:AO176)</f>
        <v>1897520.247</v>
      </c>
      <c r="AP191" s="33" t="n">
        <f aca="false">SUMIF('Hiring plan'!$B$5:$B$87,"Marketing",AP94:AP176)</f>
        <v>1897520.247</v>
      </c>
      <c r="AQ191" s="33" t="n">
        <f aca="false">SUMIF('Hiring plan'!$B$5:$B$87,"Marketing",AQ94:AQ176)</f>
        <v>1897520.247</v>
      </c>
      <c r="AR191" s="33" t="n">
        <f aca="false">SUMIF('Hiring plan'!$B$5:$B$87,"Marketing",AR94:AR176)</f>
        <v>1897520.247</v>
      </c>
      <c r="AS191" s="33" t="n">
        <f aca="false">SUMIF('Hiring plan'!$B$5:$B$87,"Marketing",AS94:AS176)</f>
        <v>1897520.247</v>
      </c>
      <c r="AT191" s="33" t="n">
        <f aca="false">SUMIF('Hiring plan'!$B$5:$B$87,"Marketing",AT94:AT176)</f>
        <v>1897520.247</v>
      </c>
      <c r="AU191" s="33" t="n">
        <f aca="false">SUMIF('Hiring plan'!$B$5:$B$87,"Marketing",AU94:AU176)</f>
        <v>1897520.247</v>
      </c>
      <c r="AV191" s="33" t="n">
        <f aca="false">SUMIF('Hiring plan'!$B$5:$B$87,"Marketing",AV94:AV176)</f>
        <v>1897520.247</v>
      </c>
      <c r="AW191" s="33" t="n">
        <f aca="false">SUMIF('Hiring plan'!$B$5:$B$87,"Marketing",AW94:AW176)</f>
        <v>1897520.247</v>
      </c>
      <c r="AX191" s="33" t="n">
        <f aca="false">SUMIF('Hiring plan'!$B$5:$B$87,"Marketing",AX94:AX176)</f>
        <v>1897520.247</v>
      </c>
      <c r="AY191" s="33" t="n">
        <f aca="false">SUMIF('Hiring plan'!$B$5:$B$87,"Marketing",AY94:AY176)</f>
        <v>1897520.247</v>
      </c>
      <c r="AZ191" s="33" t="n">
        <f aca="false">SUMIF('Hiring plan'!$B$5:$B$87,"Marketing",AZ94:AZ176)</f>
        <v>1897520.247</v>
      </c>
      <c r="BA191" s="33" t="n">
        <f aca="false">SUMIF('Hiring plan'!$B$5:$B$87,"Marketing",BA94:BA176)</f>
        <v>1992396.25935</v>
      </c>
      <c r="BB191" s="33" t="n">
        <f aca="false">SUMIF('Hiring plan'!$B$5:$B$87,"Marketing",BB94:BB176)</f>
        <v>1992396.25935</v>
      </c>
      <c r="BC191" s="33" t="n">
        <f aca="false">SUMIF('Hiring plan'!$B$5:$B$87,"Marketing",BC94:BC176)</f>
        <v>1992396.25935</v>
      </c>
      <c r="BD191" s="33" t="n">
        <f aca="false">SUMIF('Hiring plan'!$B$5:$B$87,"Marketing",BD94:BD176)</f>
        <v>1992396.25935</v>
      </c>
      <c r="BE191" s="33" t="n">
        <f aca="false">SUMIF('Hiring plan'!$B$5:$B$87,"Marketing",BE94:BE176)</f>
        <v>1992396.25935</v>
      </c>
      <c r="BF191" s="33" t="n">
        <f aca="false">SUMIF('Hiring plan'!$B$5:$B$87,"Marketing",BF94:BF176)</f>
        <v>1992396.25935</v>
      </c>
      <c r="BG191" s="33" t="n">
        <f aca="false">SUMIF('Hiring plan'!$B$5:$B$87,"Marketing",BG94:BG176)</f>
        <v>1992396.25935</v>
      </c>
      <c r="BH191" s="33" t="n">
        <f aca="false">SUMIF('Hiring plan'!$B$5:$B$87,"Marketing",BH94:BH176)</f>
        <v>1992396.25935</v>
      </c>
      <c r="BI191" s="33" t="n">
        <f aca="false">SUMIF('Hiring plan'!$B$5:$B$87,"Marketing",BI94:BI176)</f>
        <v>1992396.25935</v>
      </c>
      <c r="BJ191" s="33" t="n">
        <f aca="false">SUMIF('Hiring plan'!$B$5:$B$87,"Marketing",BJ94:BJ176)</f>
        <v>1992396.25935</v>
      </c>
      <c r="BK191" s="33" t="n">
        <f aca="false">SUMIF('Hiring plan'!$B$5:$B$87,"Marketing",BK94:BK176)</f>
        <v>1992396.25935</v>
      </c>
      <c r="BL191" s="33" t="n">
        <f aca="false">SUMIF('Hiring plan'!$B$5:$B$87,"Marketing",BL94:BL176)</f>
        <v>1992396.25935</v>
      </c>
    </row>
    <row r="192" customFormat="false" ht="15" hidden="false" customHeight="false" outlineLevel="0" collapsed="false">
      <c r="A192" s="12" t="s">
        <v>534</v>
      </c>
      <c r="B192" s="14" t="s">
        <v>63</v>
      </c>
      <c r="D192" s="41" t="n">
        <f aca="false">SUM(E192:BL192)</f>
        <v>72221087.9065</v>
      </c>
      <c r="E192" s="33" t="n">
        <f aca="false">SUMIF('Hiring plan'!$B$5:$B$87,"Finance &amp; admin",E94:E176)</f>
        <v>531473.333333333</v>
      </c>
      <c r="F192" s="33" t="n">
        <f aca="false">SUMIF('Hiring plan'!$B$5:$B$87,"Finance &amp; admin",F94:F176)</f>
        <v>531473.333333333</v>
      </c>
      <c r="G192" s="33" t="n">
        <f aca="false">SUMIF('Hiring plan'!$B$5:$B$87,"Finance &amp; admin",G94:G176)</f>
        <v>531473.333333333</v>
      </c>
      <c r="H192" s="33" t="n">
        <f aca="false">SUMIF('Hiring plan'!$B$5:$B$87,"Finance &amp; admin",H94:H176)</f>
        <v>531473.333333333</v>
      </c>
      <c r="I192" s="33" t="n">
        <f aca="false">SUMIF('Hiring plan'!$B$5:$B$87,"Finance &amp; admin",I94:I176)</f>
        <v>531473.333333333</v>
      </c>
      <c r="J192" s="33" t="n">
        <f aca="false">SUMIF('Hiring plan'!$B$5:$B$87,"Finance &amp; admin",J94:J176)</f>
        <v>531473.333333333</v>
      </c>
      <c r="K192" s="33" t="n">
        <f aca="false">SUMIF('Hiring plan'!$B$5:$B$87,"Finance &amp; admin",K94:K176)</f>
        <v>531473.333333333</v>
      </c>
      <c r="L192" s="33" t="n">
        <f aca="false">SUMIF('Hiring plan'!$B$5:$B$87,"Finance &amp; admin",L94:L176)</f>
        <v>531473.333333333</v>
      </c>
      <c r="M192" s="33" t="n">
        <f aca="false">SUMIF('Hiring plan'!$B$5:$B$87,"Finance &amp; admin",M94:M176)</f>
        <v>531473.333333333</v>
      </c>
      <c r="N192" s="33" t="n">
        <f aca="false">SUMIF('Hiring plan'!$B$5:$B$87,"Finance &amp; admin",N94:N176)</f>
        <v>531473.333333333</v>
      </c>
      <c r="O192" s="33" t="n">
        <f aca="false">SUMIF('Hiring plan'!$B$5:$B$87,"Finance &amp; admin",O94:O176)</f>
        <v>531473.333333333</v>
      </c>
      <c r="P192" s="33" t="n">
        <f aca="false">SUMIF('Hiring plan'!$B$5:$B$87,"Finance &amp; admin",P94:P176)</f>
        <v>531473.333333333</v>
      </c>
      <c r="Q192" s="33" t="n">
        <f aca="false">SUMIF('Hiring plan'!$B$5:$B$87,"Finance &amp; admin",Q94:Q176)</f>
        <v>558047</v>
      </c>
      <c r="R192" s="33" t="n">
        <f aca="false">SUMIF('Hiring plan'!$B$5:$B$87,"Finance &amp; admin",R94:R176)</f>
        <v>558047</v>
      </c>
      <c r="S192" s="33" t="n">
        <f aca="false">SUMIF('Hiring plan'!$B$5:$B$87,"Finance &amp; admin",S94:S176)</f>
        <v>558047</v>
      </c>
      <c r="T192" s="33" t="n">
        <f aca="false">SUMIF('Hiring plan'!$B$5:$B$87,"Finance &amp; admin",T94:T176)</f>
        <v>558047</v>
      </c>
      <c r="U192" s="33" t="n">
        <f aca="false">SUMIF('Hiring plan'!$B$5:$B$87,"Finance &amp; admin",U94:U176)</f>
        <v>558047</v>
      </c>
      <c r="V192" s="33" t="n">
        <f aca="false">SUMIF('Hiring plan'!$B$5:$B$87,"Finance &amp; admin",V94:V176)</f>
        <v>558047</v>
      </c>
      <c r="W192" s="33" t="n">
        <f aca="false">SUMIF('Hiring plan'!$B$5:$B$87,"Finance &amp; admin",W94:W176)</f>
        <v>958944</v>
      </c>
      <c r="X192" s="33" t="n">
        <f aca="false">SUMIF('Hiring plan'!$B$5:$B$87,"Finance &amp; admin",X94:X176)</f>
        <v>958944</v>
      </c>
      <c r="Y192" s="33" t="n">
        <f aca="false">SUMIF('Hiring plan'!$B$5:$B$87,"Finance &amp; admin",Y94:Y176)</f>
        <v>958944</v>
      </c>
      <c r="Z192" s="33" t="n">
        <f aca="false">SUMIF('Hiring plan'!$B$5:$B$87,"Finance &amp; admin",Z94:Z176)</f>
        <v>958944</v>
      </c>
      <c r="AA192" s="33" t="n">
        <f aca="false">SUMIF('Hiring plan'!$B$5:$B$87,"Finance &amp; admin",AA94:AA176)</f>
        <v>958944</v>
      </c>
      <c r="AB192" s="33" t="n">
        <f aca="false">SUMIF('Hiring plan'!$B$5:$B$87,"Finance &amp; admin",AB94:AB176)</f>
        <v>958944</v>
      </c>
      <c r="AC192" s="33" t="n">
        <f aca="false">SUMIF('Hiring plan'!$B$5:$B$87,"Finance &amp; admin",AC94:AC176)</f>
        <v>1006891.2</v>
      </c>
      <c r="AD192" s="33" t="n">
        <f aca="false">SUMIF('Hiring plan'!$B$5:$B$87,"Finance &amp; admin",AD94:AD176)</f>
        <v>1006891.2</v>
      </c>
      <c r="AE192" s="33" t="n">
        <f aca="false">SUMIF('Hiring plan'!$B$5:$B$87,"Finance &amp; admin",AE94:AE176)</f>
        <v>1006891.2</v>
      </c>
      <c r="AF192" s="33" t="n">
        <f aca="false">SUMIF('Hiring plan'!$B$5:$B$87,"Finance &amp; admin",AF94:AF176)</f>
        <v>1006891.2</v>
      </c>
      <c r="AG192" s="33" t="n">
        <f aca="false">SUMIF('Hiring plan'!$B$5:$B$87,"Finance &amp; admin",AG94:AG176)</f>
        <v>1006891.2</v>
      </c>
      <c r="AH192" s="33" t="n">
        <f aca="false">SUMIF('Hiring plan'!$B$5:$B$87,"Finance &amp; admin",AH94:AH176)</f>
        <v>1006891.2</v>
      </c>
      <c r="AI192" s="33" t="n">
        <f aca="false">SUMIF('Hiring plan'!$B$5:$B$87,"Finance &amp; admin",AI94:AI176)</f>
        <v>1592840.55</v>
      </c>
      <c r="AJ192" s="33" t="n">
        <f aca="false">SUMIF('Hiring plan'!$B$5:$B$87,"Finance &amp; admin",AJ94:AJ176)</f>
        <v>1592840.55</v>
      </c>
      <c r="AK192" s="33" t="n">
        <f aca="false">SUMIF('Hiring plan'!$B$5:$B$87,"Finance &amp; admin",AK94:AK176)</f>
        <v>1592840.55</v>
      </c>
      <c r="AL192" s="33" t="n">
        <f aca="false">SUMIF('Hiring plan'!$B$5:$B$87,"Finance &amp; admin",AL94:AL176)</f>
        <v>1592840.55</v>
      </c>
      <c r="AM192" s="33" t="n">
        <f aca="false">SUMIF('Hiring plan'!$B$5:$B$87,"Finance &amp; admin",AM94:AM176)</f>
        <v>1592840.55</v>
      </c>
      <c r="AN192" s="33" t="n">
        <f aca="false">SUMIF('Hiring plan'!$B$5:$B$87,"Finance &amp; admin",AN94:AN176)</f>
        <v>1592840.55</v>
      </c>
      <c r="AO192" s="33" t="n">
        <f aca="false">SUMIF('Hiring plan'!$B$5:$B$87,"Finance &amp; admin",AO94:AO176)</f>
        <v>1672482.5775</v>
      </c>
      <c r="AP192" s="33" t="n">
        <f aca="false">SUMIF('Hiring plan'!$B$5:$B$87,"Finance &amp; admin",AP94:AP176)</f>
        <v>1672482.5775</v>
      </c>
      <c r="AQ192" s="33" t="n">
        <f aca="false">SUMIF('Hiring plan'!$B$5:$B$87,"Finance &amp; admin",AQ94:AQ176)</f>
        <v>1672482.5775</v>
      </c>
      <c r="AR192" s="33" t="n">
        <f aca="false">SUMIF('Hiring plan'!$B$5:$B$87,"Finance &amp; admin",AR94:AR176)</f>
        <v>1672482.5775</v>
      </c>
      <c r="AS192" s="33" t="n">
        <f aca="false">SUMIF('Hiring plan'!$B$5:$B$87,"Finance &amp; admin",AS94:AS176)</f>
        <v>1672482.5775</v>
      </c>
      <c r="AT192" s="33" t="n">
        <f aca="false">SUMIF('Hiring plan'!$B$5:$B$87,"Finance &amp; admin",AT94:AT176)</f>
        <v>1672482.5775</v>
      </c>
      <c r="AU192" s="33" t="n">
        <f aca="false">SUMIF('Hiring plan'!$B$5:$B$87,"Finance &amp; admin",AU94:AU176)</f>
        <v>1672482.5775</v>
      </c>
      <c r="AV192" s="33" t="n">
        <f aca="false">SUMIF('Hiring plan'!$B$5:$B$87,"Finance &amp; admin",AV94:AV176)</f>
        <v>1672482.5775</v>
      </c>
      <c r="AW192" s="33" t="n">
        <f aca="false">SUMIF('Hiring plan'!$B$5:$B$87,"Finance &amp; admin",AW94:AW176)</f>
        <v>1672482.5775</v>
      </c>
      <c r="AX192" s="33" t="n">
        <f aca="false">SUMIF('Hiring plan'!$B$5:$B$87,"Finance &amp; admin",AX94:AX176)</f>
        <v>1672482.5775</v>
      </c>
      <c r="AY192" s="33" t="n">
        <f aca="false">SUMIF('Hiring plan'!$B$5:$B$87,"Finance &amp; admin",AY94:AY176)</f>
        <v>1672482.5775</v>
      </c>
      <c r="AZ192" s="33" t="n">
        <f aca="false">SUMIF('Hiring plan'!$B$5:$B$87,"Finance &amp; admin",AZ94:AZ176)</f>
        <v>1672482.5775</v>
      </c>
      <c r="BA192" s="33" t="n">
        <f aca="false">SUMIF('Hiring plan'!$B$5:$B$87,"Finance &amp; admin",BA94:BA176)</f>
        <v>1756106.706375</v>
      </c>
      <c r="BB192" s="33" t="n">
        <f aca="false">SUMIF('Hiring plan'!$B$5:$B$87,"Finance &amp; admin",BB94:BB176)</f>
        <v>1756106.706375</v>
      </c>
      <c r="BC192" s="33" t="n">
        <f aca="false">SUMIF('Hiring plan'!$B$5:$B$87,"Finance &amp; admin",BC94:BC176)</f>
        <v>1756106.706375</v>
      </c>
      <c r="BD192" s="33" t="n">
        <f aca="false">SUMIF('Hiring plan'!$B$5:$B$87,"Finance &amp; admin",BD94:BD176)</f>
        <v>1756106.706375</v>
      </c>
      <c r="BE192" s="33" t="n">
        <f aca="false">SUMIF('Hiring plan'!$B$5:$B$87,"Finance &amp; admin",BE94:BE176)</f>
        <v>1756106.706375</v>
      </c>
      <c r="BF192" s="33" t="n">
        <f aca="false">SUMIF('Hiring plan'!$B$5:$B$87,"Finance &amp; admin",BF94:BF176)</f>
        <v>1756106.706375</v>
      </c>
      <c r="BG192" s="33" t="n">
        <f aca="false">SUMIF('Hiring plan'!$B$5:$B$87,"Finance &amp; admin",BG94:BG176)</f>
        <v>1756106.706375</v>
      </c>
      <c r="BH192" s="33" t="n">
        <f aca="false">SUMIF('Hiring plan'!$B$5:$B$87,"Finance &amp; admin",BH94:BH176)</f>
        <v>1756106.706375</v>
      </c>
      <c r="BI192" s="33" t="n">
        <f aca="false">SUMIF('Hiring plan'!$B$5:$B$87,"Finance &amp; admin",BI94:BI176)</f>
        <v>1756106.706375</v>
      </c>
      <c r="BJ192" s="33" t="n">
        <f aca="false">SUMIF('Hiring plan'!$B$5:$B$87,"Finance &amp; admin",BJ94:BJ176)</f>
        <v>1756106.706375</v>
      </c>
      <c r="BK192" s="33" t="n">
        <f aca="false">SUMIF('Hiring plan'!$B$5:$B$87,"Finance &amp; admin",BK94:BK176)</f>
        <v>1756106.706375</v>
      </c>
      <c r="BL192" s="33" t="n">
        <f aca="false">SUMIF('Hiring plan'!$B$5:$B$87,"Finance &amp; admin",BL94:BL176)</f>
        <v>1756106.706375</v>
      </c>
    </row>
    <row r="193" customFormat="false" ht="15" hidden="false" customHeight="false" outlineLevel="0" collapsed="false">
      <c r="A193" s="8" t="s">
        <v>535</v>
      </c>
      <c r="B193" s="14" t="s">
        <v>63</v>
      </c>
      <c r="D193" s="41" t="n">
        <f aca="false">SUM(E193:BL193)</f>
        <v>3509591853.03603</v>
      </c>
      <c r="E193" s="16" t="n">
        <f aca="false">SUM(E94:E176)</f>
        <v>13142276</v>
      </c>
      <c r="F193" s="16" t="n">
        <f aca="false">SUM(F94:F176)</f>
        <v>15210541.3333333</v>
      </c>
      <c r="G193" s="16" t="n">
        <f aca="false">SUM(G94:G176)</f>
        <v>17993216</v>
      </c>
      <c r="H193" s="16" t="n">
        <f aca="false">SUM(H94:H176)</f>
        <v>21217958.6666667</v>
      </c>
      <c r="I193" s="16" t="n">
        <f aca="false">SUM(I94:I176)</f>
        <v>21217958.6666667</v>
      </c>
      <c r="J193" s="16" t="n">
        <f aca="false">SUM(J94:J176)</f>
        <v>22325634.6666667</v>
      </c>
      <c r="K193" s="16" t="n">
        <f aca="false">SUM(K94:K176)</f>
        <v>25546466.6666667</v>
      </c>
      <c r="L193" s="16" t="n">
        <f aca="false">SUM(L94:L176)</f>
        <v>25546466.6666667</v>
      </c>
      <c r="M193" s="16" t="n">
        <f aca="false">SUM(M94:M176)</f>
        <v>25546466.6666667</v>
      </c>
      <c r="N193" s="16" t="n">
        <f aca="false">SUM(N94:N176)</f>
        <v>26998942.6666667</v>
      </c>
      <c r="O193" s="16" t="n">
        <f aca="false">SUM(O94:O176)</f>
        <v>26998942.6666667</v>
      </c>
      <c r="P193" s="16" t="n">
        <f aca="false">SUM(P94:P176)</f>
        <v>26998942.6666667</v>
      </c>
      <c r="Q193" s="16" t="n">
        <f aca="false">SUM(Q94:Q176)</f>
        <v>31748018.4</v>
      </c>
      <c r="R193" s="16" t="n">
        <f aca="false">SUM(R94:R176)</f>
        <v>31748018.4</v>
      </c>
      <c r="S193" s="16" t="n">
        <f aca="false">SUM(S94:S176)</f>
        <v>31748018.4</v>
      </c>
      <c r="T193" s="16" t="n">
        <f aca="false">SUM(T94:T176)</f>
        <v>33031758.2</v>
      </c>
      <c r="U193" s="16" t="n">
        <f aca="false">SUM(U94:U176)</f>
        <v>33031758.2</v>
      </c>
      <c r="V193" s="16" t="n">
        <f aca="false">SUM(V94:V176)</f>
        <v>33031758.2</v>
      </c>
      <c r="W193" s="16" t="n">
        <f aca="false">SUM(W94:W176)</f>
        <v>47932906</v>
      </c>
      <c r="X193" s="16" t="n">
        <f aca="false">SUM(X94:X176)</f>
        <v>47932906</v>
      </c>
      <c r="Y193" s="16" t="n">
        <f aca="false">SUM(Y94:Y176)</f>
        <v>47932906</v>
      </c>
      <c r="Z193" s="16" t="n">
        <f aca="false">SUM(Z94:Z176)</f>
        <v>47932906</v>
      </c>
      <c r="AA193" s="16" t="n">
        <f aca="false">SUM(AA94:AA176)</f>
        <v>47932906</v>
      </c>
      <c r="AB193" s="16" t="n">
        <f aca="false">SUM(AB94:AB176)</f>
        <v>47932906</v>
      </c>
      <c r="AC193" s="16" t="n">
        <f aca="false">SUM(AC94:AC176)</f>
        <v>54626600.91</v>
      </c>
      <c r="AD193" s="16" t="n">
        <f aca="false">SUM(AD94:AD176)</f>
        <v>54626600.91</v>
      </c>
      <c r="AE193" s="16" t="n">
        <f aca="false">SUM(AE94:AE176)</f>
        <v>54626600.91</v>
      </c>
      <c r="AF193" s="16" t="n">
        <f aca="false">SUM(AF94:AF176)</f>
        <v>54626600.91</v>
      </c>
      <c r="AG193" s="16" t="n">
        <f aca="false">SUM(AG94:AG176)</f>
        <v>54626600.91</v>
      </c>
      <c r="AH193" s="16" t="n">
        <f aca="false">SUM(AH94:AH176)</f>
        <v>54626600.91</v>
      </c>
      <c r="AI193" s="16" t="n">
        <f aca="false">SUM(AI94:AI176)</f>
        <v>65251380.18</v>
      </c>
      <c r="AJ193" s="16" t="n">
        <f aca="false">SUM(AJ94:AJ176)</f>
        <v>65251380.18</v>
      </c>
      <c r="AK193" s="16" t="n">
        <f aca="false">SUM(AK94:AK176)</f>
        <v>65251380.18</v>
      </c>
      <c r="AL193" s="16" t="n">
        <f aca="false">SUM(AL94:AL176)</f>
        <v>65251380.18</v>
      </c>
      <c r="AM193" s="16" t="n">
        <f aca="false">SUM(AM94:AM176)</f>
        <v>65251380.18</v>
      </c>
      <c r="AN193" s="16" t="n">
        <f aca="false">SUM(AN94:AN176)</f>
        <v>65251380.18</v>
      </c>
      <c r="AO193" s="16" t="n">
        <f aca="false">SUM(AO94:AO176)</f>
        <v>69467230.224</v>
      </c>
      <c r="AP193" s="16" t="n">
        <f aca="false">SUM(AP94:AP176)</f>
        <v>69467230.224</v>
      </c>
      <c r="AQ193" s="16" t="n">
        <f aca="false">SUM(AQ94:AQ176)</f>
        <v>69467230.224</v>
      </c>
      <c r="AR193" s="16" t="n">
        <f aca="false">SUM(AR94:AR176)</f>
        <v>69467230.224</v>
      </c>
      <c r="AS193" s="16" t="n">
        <f aca="false">SUM(AS94:AS176)</f>
        <v>69467230.224</v>
      </c>
      <c r="AT193" s="16" t="n">
        <f aca="false">SUM(AT94:AT176)</f>
        <v>69467230.224</v>
      </c>
      <c r="AU193" s="16" t="n">
        <f aca="false">SUM(AU94:AU176)</f>
        <v>82533582.8415</v>
      </c>
      <c r="AV193" s="16" t="n">
        <f aca="false">SUM(AV94:AV176)</f>
        <v>82533582.8415</v>
      </c>
      <c r="AW193" s="16" t="n">
        <f aca="false">SUM(AW94:AW176)</f>
        <v>82533582.8415</v>
      </c>
      <c r="AX193" s="16" t="n">
        <f aca="false">SUM(AX94:AX176)</f>
        <v>82533582.8415</v>
      </c>
      <c r="AY193" s="16" t="n">
        <f aca="false">SUM(AY94:AY176)</f>
        <v>82533582.8415</v>
      </c>
      <c r="AZ193" s="16" t="n">
        <f aca="false">SUM(AZ94:AZ176)</f>
        <v>82533582.8415</v>
      </c>
      <c r="BA193" s="16" t="n">
        <f aca="false">SUM(BA94:BA176)</f>
        <v>93969875.747475</v>
      </c>
      <c r="BB193" s="16" t="n">
        <f aca="false">SUM(BB94:BB176)</f>
        <v>93969875.747475</v>
      </c>
      <c r="BC193" s="16" t="n">
        <f aca="false">SUM(BC94:BC176)</f>
        <v>93969875.747475</v>
      </c>
      <c r="BD193" s="16" t="n">
        <f aca="false">SUM(BD94:BD176)</f>
        <v>93969875.747475</v>
      </c>
      <c r="BE193" s="16" t="n">
        <f aca="false">SUM(BE94:BE176)</f>
        <v>93969875.747475</v>
      </c>
      <c r="BF193" s="16" t="n">
        <f aca="false">SUM(BF94:BF176)</f>
        <v>93969875.747475</v>
      </c>
      <c r="BG193" s="16" t="n">
        <f aca="false">SUM(BG94:BG176)</f>
        <v>93969875.747475</v>
      </c>
      <c r="BH193" s="16" t="n">
        <f aca="false">SUM(BH94:BH176)</f>
        <v>93969875.747475</v>
      </c>
      <c r="BI193" s="16" t="n">
        <f aca="false">SUM(BI94:BI176)</f>
        <v>93969875.747475</v>
      </c>
      <c r="BJ193" s="16" t="n">
        <f aca="false">SUM(BJ94:BJ176)</f>
        <v>93969875.747475</v>
      </c>
      <c r="BK193" s="16" t="n">
        <f aca="false">SUM(BK94:BK176)</f>
        <v>93969875.747475</v>
      </c>
      <c r="BL193" s="16" t="n">
        <f aca="false">SUM(BL94:BL176)</f>
        <v>93969875.747475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536</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537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538</v>
      </c>
      <c r="B9" s="14" t="s">
        <v>539</v>
      </c>
      <c r="E9" s="42" t="n">
        <f aca="false">IF(E$3&gt;=Launch_SN,1,0)</f>
        <v>0</v>
      </c>
      <c r="F9" s="42" t="n">
        <f aca="false">IF(F$3&gt;=Launch_SN,1,0)</f>
        <v>0</v>
      </c>
      <c r="G9" s="42" t="n">
        <f aca="false">IF(G$3&gt;=Launch_SN,1,0)</f>
        <v>0</v>
      </c>
      <c r="H9" s="42" t="n">
        <f aca="false">IF(H$3&gt;=Launch_SN,1,0)</f>
        <v>0</v>
      </c>
      <c r="I9" s="42" t="n">
        <f aca="false">IF(I$3&gt;=Launch_SN,1,0)</f>
        <v>1</v>
      </c>
      <c r="J9" s="42" t="n">
        <f aca="false">IF(J$3&gt;=Launch_SN,1,0)</f>
        <v>1</v>
      </c>
      <c r="K9" s="42" t="n">
        <f aca="false">IF(K$3&gt;=Launch_SN,1,0)</f>
        <v>1</v>
      </c>
      <c r="L9" s="42" t="n">
        <f aca="false">IF(L$3&gt;=Launch_SN,1,0)</f>
        <v>1</v>
      </c>
      <c r="M9" s="42" t="n">
        <f aca="false">IF(M$3&gt;=Launch_SN,1,0)</f>
        <v>1</v>
      </c>
      <c r="N9" s="42" t="n">
        <f aca="false">IF(N$3&gt;=Launch_SN,1,0)</f>
        <v>1</v>
      </c>
      <c r="O9" s="42" t="n">
        <f aca="false">IF(O$3&gt;=Launch_SN,1,0)</f>
        <v>1</v>
      </c>
      <c r="P9" s="42" t="n">
        <f aca="false">IF(P$3&gt;=Launch_SN,1,0)</f>
        <v>1</v>
      </c>
      <c r="Q9" s="42" t="n">
        <f aca="false">IF(Q$3&gt;=Launch_SN,1,0)</f>
        <v>1</v>
      </c>
      <c r="R9" s="42" t="n">
        <f aca="false">IF(R$3&gt;=Launch_SN,1,0)</f>
        <v>1</v>
      </c>
      <c r="S9" s="42" t="n">
        <f aca="false">IF(S$3&gt;=Launch_SN,1,0)</f>
        <v>1</v>
      </c>
      <c r="T9" s="42" t="n">
        <f aca="false">IF(T$3&gt;=Launch_SN,1,0)</f>
        <v>1</v>
      </c>
      <c r="U9" s="42" t="n">
        <f aca="false">IF(U$3&gt;=Launch_SN,1,0)</f>
        <v>1</v>
      </c>
      <c r="V9" s="42" t="n">
        <f aca="false">IF(V$3&gt;=Launch_SN,1,0)</f>
        <v>1</v>
      </c>
      <c r="W9" s="42" t="n">
        <f aca="false">IF(W$3&gt;=Launch_SN,1,0)</f>
        <v>1</v>
      </c>
      <c r="X9" s="42" t="n">
        <f aca="false">IF(X$3&gt;=Launch_SN,1,0)</f>
        <v>1</v>
      </c>
      <c r="Y9" s="42" t="n">
        <f aca="false">IF(Y$3&gt;=Launch_SN,1,0)</f>
        <v>1</v>
      </c>
      <c r="Z9" s="42" t="n">
        <f aca="false">IF(Z$3&gt;=Launch_SN,1,0)</f>
        <v>1</v>
      </c>
      <c r="AA9" s="42" t="n">
        <f aca="false">IF(AA$3&gt;=Launch_SN,1,0)</f>
        <v>1</v>
      </c>
      <c r="AB9" s="42" t="n">
        <f aca="false">IF(AB$3&gt;=Launch_SN,1,0)</f>
        <v>1</v>
      </c>
      <c r="AC9" s="42" t="n">
        <f aca="false">IF(AC$3&gt;=Launch_SN,1,0)</f>
        <v>1</v>
      </c>
      <c r="AD9" s="42" t="n">
        <f aca="false">IF(AD$3&gt;=Launch_SN,1,0)</f>
        <v>1</v>
      </c>
      <c r="AE9" s="42" t="n">
        <f aca="false">IF(AE$3&gt;=Launch_SN,1,0)</f>
        <v>1</v>
      </c>
      <c r="AF9" s="42" t="n">
        <f aca="false">IF(AF$3&gt;=Launch_SN,1,0)</f>
        <v>1</v>
      </c>
      <c r="AG9" s="42" t="n">
        <f aca="false">IF(AG$3&gt;=Launch_SN,1,0)</f>
        <v>1</v>
      </c>
      <c r="AH9" s="42" t="n">
        <f aca="false">IF(AH$3&gt;=Launch_SN,1,0)</f>
        <v>1</v>
      </c>
      <c r="AI9" s="42" t="n">
        <f aca="false">IF(AI$3&gt;=Launch_SN,1,0)</f>
        <v>1</v>
      </c>
      <c r="AJ9" s="42" t="n">
        <f aca="false">IF(AJ$3&gt;=Launch_SN,1,0)</f>
        <v>1</v>
      </c>
      <c r="AK9" s="42" t="n">
        <f aca="false">IF(AK$3&gt;=Launch_SN,1,0)</f>
        <v>1</v>
      </c>
      <c r="AL9" s="42" t="n">
        <f aca="false">IF(AL$3&gt;=Launch_SN,1,0)</f>
        <v>1</v>
      </c>
      <c r="AM9" s="42" t="n">
        <f aca="false">IF(AM$3&gt;=Launch_SN,1,0)</f>
        <v>1</v>
      </c>
      <c r="AN9" s="42" t="n">
        <f aca="false">IF(AN$3&gt;=Launch_SN,1,0)</f>
        <v>1</v>
      </c>
      <c r="AO9" s="42" t="n">
        <f aca="false">IF(AO$3&gt;=Launch_SN,1,0)</f>
        <v>1</v>
      </c>
      <c r="AP9" s="42" t="n">
        <f aca="false">IF(AP$3&gt;=Launch_SN,1,0)</f>
        <v>1</v>
      </c>
      <c r="AQ9" s="42" t="n">
        <f aca="false">IF(AQ$3&gt;=Launch_SN,1,0)</f>
        <v>1</v>
      </c>
      <c r="AR9" s="42" t="n">
        <f aca="false">IF(AR$3&gt;=Launch_SN,1,0)</f>
        <v>1</v>
      </c>
      <c r="AS9" s="42" t="n">
        <f aca="false">IF(AS$3&gt;=Launch_SN,1,0)</f>
        <v>1</v>
      </c>
      <c r="AT9" s="42" t="n">
        <f aca="false">IF(AT$3&gt;=Launch_SN,1,0)</f>
        <v>1</v>
      </c>
      <c r="AU9" s="42" t="n">
        <f aca="false">IF(AU$3&gt;=Launch_SN,1,0)</f>
        <v>1</v>
      </c>
      <c r="AV9" s="42" t="n">
        <f aca="false">IF(AV$3&gt;=Launch_SN,1,0)</f>
        <v>1</v>
      </c>
      <c r="AW9" s="42" t="n">
        <f aca="false">IF(AW$3&gt;=Launch_SN,1,0)</f>
        <v>1</v>
      </c>
      <c r="AX9" s="42" t="n">
        <f aca="false">IF(AX$3&gt;=Launch_SN,1,0)</f>
        <v>1</v>
      </c>
      <c r="AY9" s="42" t="n">
        <f aca="false">IF(AY$3&gt;=Launch_SN,1,0)</f>
        <v>1</v>
      </c>
      <c r="AZ9" s="42" t="n">
        <f aca="false">IF(AZ$3&gt;=Launch_SN,1,0)</f>
        <v>1</v>
      </c>
      <c r="BA9" s="42" t="n">
        <f aca="false">IF(BA$3&gt;=Launch_SN,1,0)</f>
        <v>1</v>
      </c>
      <c r="BB9" s="42" t="n">
        <f aca="false">IF(BB$3&gt;=Launch_SN,1,0)</f>
        <v>1</v>
      </c>
      <c r="BC9" s="42" t="n">
        <f aca="false">IF(BC$3&gt;=Launch_SN,1,0)</f>
        <v>1</v>
      </c>
      <c r="BD9" s="42" t="n">
        <f aca="false">IF(BD$3&gt;=Launch_SN,1,0)</f>
        <v>1</v>
      </c>
      <c r="BE9" s="42" t="n">
        <f aca="false">IF(BE$3&gt;=Launch_SN,1,0)</f>
        <v>1</v>
      </c>
      <c r="BF9" s="42" t="n">
        <f aca="false">IF(BF$3&gt;=Launch_SN,1,0)</f>
        <v>1</v>
      </c>
      <c r="BG9" s="42" t="n">
        <f aca="false">IF(BG$3&gt;=Launch_SN,1,0)</f>
        <v>1</v>
      </c>
      <c r="BH9" s="42" t="n">
        <f aca="false">IF(BH$3&gt;=Launch_SN,1,0)</f>
        <v>1</v>
      </c>
      <c r="BI9" s="42" t="n">
        <f aca="false">IF(BI$3&gt;=Launch_SN,1,0)</f>
        <v>1</v>
      </c>
      <c r="BJ9" s="42" t="n">
        <f aca="false">IF(BJ$3&gt;=Launch_SN,1,0)</f>
        <v>1</v>
      </c>
      <c r="BK9" s="42" t="n">
        <f aca="false">IF(BK$3&gt;=Launch_SN,1,0)</f>
        <v>1</v>
      </c>
      <c r="BL9" s="42" t="n">
        <f aca="false">IF(BL$3&gt;=Launch_SN,1,0)</f>
        <v>1</v>
      </c>
    </row>
    <row r="10" customFormat="false" ht="15" hidden="false" customHeight="false" outlineLevel="0" collapsed="false">
      <c r="A10" s="12" t="s">
        <v>540</v>
      </c>
      <c r="B10" s="14" t="s">
        <v>539</v>
      </c>
      <c r="E10" s="42" t="n">
        <f aca="false">IF(E$3&gt;=Launch_CI,1,0)</f>
        <v>0</v>
      </c>
      <c r="F10" s="42" t="n">
        <f aca="false">IF(F$3&gt;=Launch_CI,1,0)</f>
        <v>0</v>
      </c>
      <c r="G10" s="42" t="n">
        <f aca="false">IF(G$3&gt;=Launch_CI,1,0)</f>
        <v>0</v>
      </c>
      <c r="H10" s="42" t="n">
        <f aca="false">IF(H$3&gt;=Launch_CI,1,0)</f>
        <v>0</v>
      </c>
      <c r="I10" s="42" t="n">
        <f aca="false">IF(I$3&gt;=Launch_CI,1,0)</f>
        <v>0</v>
      </c>
      <c r="J10" s="42" t="n">
        <f aca="false">IF(J$3&gt;=Launch_CI,1,0)</f>
        <v>0</v>
      </c>
      <c r="K10" s="42" t="n">
        <f aca="false">IF(K$3&gt;=Launch_CI,1,0)</f>
        <v>0</v>
      </c>
      <c r="L10" s="42" t="n">
        <f aca="false">IF(L$3&gt;=Launch_CI,1,0)</f>
        <v>0</v>
      </c>
      <c r="M10" s="42" t="n">
        <f aca="false">IF(M$3&gt;=Launch_CI,1,0)</f>
        <v>0</v>
      </c>
      <c r="N10" s="42" t="n">
        <f aca="false">IF(N$3&gt;=Launch_CI,1,0)</f>
        <v>0</v>
      </c>
      <c r="O10" s="42" t="n">
        <f aca="false">IF(O$3&gt;=Launch_CI,1,0)</f>
        <v>0</v>
      </c>
      <c r="P10" s="42" t="n">
        <f aca="false">IF(P$3&gt;=Launch_CI,1,0)</f>
        <v>0</v>
      </c>
      <c r="Q10" s="42" t="n">
        <f aca="false">IF(Q$3&gt;=Launch_CI,1,0)</f>
        <v>0</v>
      </c>
      <c r="R10" s="42" t="n">
        <f aca="false">IF(R$3&gt;=Launch_CI,1,0)</f>
        <v>0</v>
      </c>
      <c r="S10" s="42" t="n">
        <f aca="false">IF(S$3&gt;=Launch_CI,1,0)</f>
        <v>0</v>
      </c>
      <c r="T10" s="42" t="n">
        <f aca="false">IF(T$3&gt;=Launch_CI,1,0)</f>
        <v>0</v>
      </c>
      <c r="U10" s="42" t="n">
        <f aca="false">IF(U$3&gt;=Launch_CI,1,0)</f>
        <v>0</v>
      </c>
      <c r="V10" s="42" t="n">
        <f aca="false">IF(V$3&gt;=Launch_CI,1,0)</f>
        <v>0</v>
      </c>
      <c r="W10" s="42" t="n">
        <f aca="false">IF(W$3&gt;=Launch_CI,1,0)</f>
        <v>1</v>
      </c>
      <c r="X10" s="42" t="n">
        <f aca="false">IF(X$3&gt;=Launch_CI,1,0)</f>
        <v>1</v>
      </c>
      <c r="Y10" s="42" t="n">
        <f aca="false">IF(Y$3&gt;=Launch_CI,1,0)</f>
        <v>1</v>
      </c>
      <c r="Z10" s="42" t="n">
        <f aca="false">IF(Z$3&gt;=Launch_CI,1,0)</f>
        <v>1</v>
      </c>
      <c r="AA10" s="42" t="n">
        <f aca="false">IF(AA$3&gt;=Launch_CI,1,0)</f>
        <v>1</v>
      </c>
      <c r="AB10" s="42" t="n">
        <f aca="false">IF(AB$3&gt;=Launch_CI,1,0)</f>
        <v>1</v>
      </c>
      <c r="AC10" s="42" t="n">
        <f aca="false">IF(AC$3&gt;=Launch_CI,1,0)</f>
        <v>1</v>
      </c>
      <c r="AD10" s="42" t="n">
        <f aca="false">IF(AD$3&gt;=Launch_CI,1,0)</f>
        <v>1</v>
      </c>
      <c r="AE10" s="42" t="n">
        <f aca="false">IF(AE$3&gt;=Launch_CI,1,0)</f>
        <v>1</v>
      </c>
      <c r="AF10" s="42" t="n">
        <f aca="false">IF(AF$3&gt;=Launch_CI,1,0)</f>
        <v>1</v>
      </c>
      <c r="AG10" s="42" t="n">
        <f aca="false">IF(AG$3&gt;=Launch_CI,1,0)</f>
        <v>1</v>
      </c>
      <c r="AH10" s="42" t="n">
        <f aca="false">IF(AH$3&gt;=Launch_CI,1,0)</f>
        <v>1</v>
      </c>
      <c r="AI10" s="42" t="n">
        <f aca="false">IF(AI$3&gt;=Launch_CI,1,0)</f>
        <v>1</v>
      </c>
      <c r="AJ10" s="42" t="n">
        <f aca="false">IF(AJ$3&gt;=Launch_CI,1,0)</f>
        <v>1</v>
      </c>
      <c r="AK10" s="42" t="n">
        <f aca="false">IF(AK$3&gt;=Launch_CI,1,0)</f>
        <v>1</v>
      </c>
      <c r="AL10" s="42" t="n">
        <f aca="false">IF(AL$3&gt;=Launch_CI,1,0)</f>
        <v>1</v>
      </c>
      <c r="AM10" s="42" t="n">
        <f aca="false">IF(AM$3&gt;=Launch_CI,1,0)</f>
        <v>1</v>
      </c>
      <c r="AN10" s="42" t="n">
        <f aca="false">IF(AN$3&gt;=Launch_CI,1,0)</f>
        <v>1</v>
      </c>
      <c r="AO10" s="42" t="n">
        <f aca="false">IF(AO$3&gt;=Launch_CI,1,0)</f>
        <v>1</v>
      </c>
      <c r="AP10" s="42" t="n">
        <f aca="false">IF(AP$3&gt;=Launch_CI,1,0)</f>
        <v>1</v>
      </c>
      <c r="AQ10" s="42" t="n">
        <f aca="false">IF(AQ$3&gt;=Launch_CI,1,0)</f>
        <v>1</v>
      </c>
      <c r="AR10" s="42" t="n">
        <f aca="false">IF(AR$3&gt;=Launch_CI,1,0)</f>
        <v>1</v>
      </c>
      <c r="AS10" s="42" t="n">
        <f aca="false">IF(AS$3&gt;=Launch_CI,1,0)</f>
        <v>1</v>
      </c>
      <c r="AT10" s="42" t="n">
        <f aca="false">IF(AT$3&gt;=Launch_CI,1,0)</f>
        <v>1</v>
      </c>
      <c r="AU10" s="42" t="n">
        <f aca="false">IF(AU$3&gt;=Launch_CI,1,0)</f>
        <v>1</v>
      </c>
      <c r="AV10" s="42" t="n">
        <f aca="false">IF(AV$3&gt;=Launch_CI,1,0)</f>
        <v>1</v>
      </c>
      <c r="AW10" s="42" t="n">
        <f aca="false">IF(AW$3&gt;=Launch_CI,1,0)</f>
        <v>1</v>
      </c>
      <c r="AX10" s="42" t="n">
        <f aca="false">IF(AX$3&gt;=Launch_CI,1,0)</f>
        <v>1</v>
      </c>
      <c r="AY10" s="42" t="n">
        <f aca="false">IF(AY$3&gt;=Launch_CI,1,0)</f>
        <v>1</v>
      </c>
      <c r="AZ10" s="42" t="n">
        <f aca="false">IF(AZ$3&gt;=Launch_CI,1,0)</f>
        <v>1</v>
      </c>
      <c r="BA10" s="42" t="n">
        <f aca="false">IF(BA$3&gt;=Launch_CI,1,0)</f>
        <v>1</v>
      </c>
      <c r="BB10" s="42" t="n">
        <f aca="false">IF(BB$3&gt;=Launch_CI,1,0)</f>
        <v>1</v>
      </c>
      <c r="BC10" s="42" t="n">
        <f aca="false">IF(BC$3&gt;=Launch_CI,1,0)</f>
        <v>1</v>
      </c>
      <c r="BD10" s="42" t="n">
        <f aca="false">IF(BD$3&gt;=Launch_CI,1,0)</f>
        <v>1</v>
      </c>
      <c r="BE10" s="42" t="n">
        <f aca="false">IF(BE$3&gt;=Launch_CI,1,0)</f>
        <v>1</v>
      </c>
      <c r="BF10" s="42" t="n">
        <f aca="false">IF(BF$3&gt;=Launch_CI,1,0)</f>
        <v>1</v>
      </c>
      <c r="BG10" s="42" t="n">
        <f aca="false">IF(BG$3&gt;=Launch_CI,1,0)</f>
        <v>1</v>
      </c>
      <c r="BH10" s="42" t="n">
        <f aca="false">IF(BH$3&gt;=Launch_CI,1,0)</f>
        <v>1</v>
      </c>
      <c r="BI10" s="42" t="n">
        <f aca="false">IF(BI$3&gt;=Launch_CI,1,0)</f>
        <v>1</v>
      </c>
      <c r="BJ10" s="42" t="n">
        <f aca="false">IF(BJ$3&gt;=Launch_CI,1,0)</f>
        <v>1</v>
      </c>
      <c r="BK10" s="42" t="n">
        <f aca="false">IF(BK$3&gt;=Launch_CI,1,0)</f>
        <v>1</v>
      </c>
      <c r="BL10" s="42" t="n">
        <f aca="false">IF(BL$3&gt;=Launch_CI,1,0)</f>
        <v>1</v>
      </c>
    </row>
    <row r="12" customFormat="false" ht="15" hidden="false" customHeight="false" outlineLevel="0" collapsed="false">
      <c r="A12" s="10" t="s">
        <v>541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524</v>
      </c>
      <c r="B13" s="14" t="s">
        <v>222</v>
      </c>
      <c r="D13" s="41" t="n">
        <f aca="false">BL13</f>
        <v>16</v>
      </c>
      <c r="E13" s="20" t="n">
        <f aca="false">Staff!E182</f>
        <v>0</v>
      </c>
      <c r="F13" s="20" t="n">
        <f aca="false">Staff!F182</f>
        <v>0</v>
      </c>
      <c r="G13" s="20" t="n">
        <f aca="false">Staff!G182</f>
        <v>0</v>
      </c>
      <c r="H13" s="20" t="n">
        <f aca="false">Staff!H182</f>
        <v>2</v>
      </c>
      <c r="I13" s="20" t="n">
        <f aca="false">Staff!I182</f>
        <v>2</v>
      </c>
      <c r="J13" s="20" t="n">
        <f aca="false">Staff!J182</f>
        <v>2</v>
      </c>
      <c r="K13" s="20" t="n">
        <f aca="false">Staff!K182</f>
        <v>4</v>
      </c>
      <c r="L13" s="20" t="n">
        <f aca="false">Staff!L182</f>
        <v>4</v>
      </c>
      <c r="M13" s="20" t="n">
        <f aca="false">Staff!M182</f>
        <v>4</v>
      </c>
      <c r="N13" s="20" t="n">
        <f aca="false">Staff!N182</f>
        <v>4</v>
      </c>
      <c r="O13" s="20" t="n">
        <f aca="false">Staff!O182</f>
        <v>4</v>
      </c>
      <c r="P13" s="20" t="n">
        <f aca="false">Staff!P182</f>
        <v>4</v>
      </c>
      <c r="Q13" s="20" t="n">
        <f aca="false">Staff!Q182</f>
        <v>4</v>
      </c>
      <c r="R13" s="20" t="n">
        <f aca="false">Staff!R182</f>
        <v>4</v>
      </c>
      <c r="S13" s="20" t="n">
        <f aca="false">Staff!S182</f>
        <v>4</v>
      </c>
      <c r="T13" s="20" t="n">
        <f aca="false">Staff!T182</f>
        <v>4</v>
      </c>
      <c r="U13" s="20" t="n">
        <f aca="false">Staff!U182</f>
        <v>4</v>
      </c>
      <c r="V13" s="20" t="n">
        <f aca="false">Staff!V182</f>
        <v>4</v>
      </c>
      <c r="W13" s="20" t="n">
        <f aca="false">Staff!W182</f>
        <v>8</v>
      </c>
      <c r="X13" s="20" t="n">
        <f aca="false">Staff!X182</f>
        <v>8</v>
      </c>
      <c r="Y13" s="20" t="n">
        <f aca="false">Staff!Y182</f>
        <v>8</v>
      </c>
      <c r="Z13" s="20" t="n">
        <f aca="false">Staff!Z182</f>
        <v>8</v>
      </c>
      <c r="AA13" s="20" t="n">
        <f aca="false">Staff!AA182</f>
        <v>8</v>
      </c>
      <c r="AB13" s="20" t="n">
        <f aca="false">Staff!AB182</f>
        <v>8</v>
      </c>
      <c r="AC13" s="20" t="n">
        <f aca="false">Staff!AC182</f>
        <v>8</v>
      </c>
      <c r="AD13" s="20" t="n">
        <f aca="false">Staff!AD182</f>
        <v>8</v>
      </c>
      <c r="AE13" s="20" t="n">
        <f aca="false">Staff!AE182</f>
        <v>8</v>
      </c>
      <c r="AF13" s="20" t="n">
        <f aca="false">Staff!AF182</f>
        <v>8</v>
      </c>
      <c r="AG13" s="20" t="n">
        <f aca="false">Staff!AG182</f>
        <v>8</v>
      </c>
      <c r="AH13" s="20" t="n">
        <f aca="false">Staff!AH182</f>
        <v>8</v>
      </c>
      <c r="AI13" s="20" t="n">
        <f aca="false">Staff!AI182</f>
        <v>12</v>
      </c>
      <c r="AJ13" s="20" t="n">
        <f aca="false">Staff!AJ182</f>
        <v>12</v>
      </c>
      <c r="AK13" s="20" t="n">
        <f aca="false">Staff!AK182</f>
        <v>12</v>
      </c>
      <c r="AL13" s="20" t="n">
        <f aca="false">Staff!AL182</f>
        <v>12</v>
      </c>
      <c r="AM13" s="20" t="n">
        <f aca="false">Staff!AM182</f>
        <v>12</v>
      </c>
      <c r="AN13" s="20" t="n">
        <f aca="false">Staff!AN182</f>
        <v>12</v>
      </c>
      <c r="AO13" s="20" t="n">
        <f aca="false">Staff!AO182</f>
        <v>12</v>
      </c>
      <c r="AP13" s="20" t="n">
        <f aca="false">Staff!AP182</f>
        <v>12</v>
      </c>
      <c r="AQ13" s="20" t="n">
        <f aca="false">Staff!AQ182</f>
        <v>12</v>
      </c>
      <c r="AR13" s="20" t="n">
        <f aca="false">Staff!AR182</f>
        <v>12</v>
      </c>
      <c r="AS13" s="20" t="n">
        <f aca="false">Staff!AS182</f>
        <v>12</v>
      </c>
      <c r="AT13" s="20" t="n">
        <f aca="false">Staff!AT182</f>
        <v>12</v>
      </c>
      <c r="AU13" s="20" t="n">
        <f aca="false">Staff!AU182</f>
        <v>16</v>
      </c>
      <c r="AV13" s="20" t="n">
        <f aca="false">Staff!AV182</f>
        <v>16</v>
      </c>
      <c r="AW13" s="20" t="n">
        <f aca="false">Staff!AW182</f>
        <v>16</v>
      </c>
      <c r="AX13" s="20" t="n">
        <f aca="false">Staff!AX182</f>
        <v>16</v>
      </c>
      <c r="AY13" s="20" t="n">
        <f aca="false">Staff!AY182</f>
        <v>16</v>
      </c>
      <c r="AZ13" s="20" t="n">
        <f aca="false">Staff!AZ182</f>
        <v>16</v>
      </c>
      <c r="BA13" s="20" t="n">
        <f aca="false">Staff!BA182</f>
        <v>16</v>
      </c>
      <c r="BB13" s="20" t="n">
        <f aca="false">Staff!BB182</f>
        <v>16</v>
      </c>
      <c r="BC13" s="20" t="n">
        <f aca="false">Staff!BC182</f>
        <v>16</v>
      </c>
      <c r="BD13" s="20" t="n">
        <f aca="false">Staff!BD182</f>
        <v>16</v>
      </c>
      <c r="BE13" s="20" t="n">
        <f aca="false">Staff!BE182</f>
        <v>16</v>
      </c>
      <c r="BF13" s="20" t="n">
        <f aca="false">Staff!BF182</f>
        <v>16</v>
      </c>
      <c r="BG13" s="20" t="n">
        <f aca="false">Staff!BG182</f>
        <v>16</v>
      </c>
      <c r="BH13" s="20" t="n">
        <f aca="false">Staff!BH182</f>
        <v>16</v>
      </c>
      <c r="BI13" s="20" t="n">
        <f aca="false">Staff!BI182</f>
        <v>16</v>
      </c>
      <c r="BJ13" s="20" t="n">
        <f aca="false">Staff!BJ182</f>
        <v>16</v>
      </c>
      <c r="BK13" s="20" t="n">
        <f aca="false">Staff!BK182</f>
        <v>16</v>
      </c>
      <c r="BL13" s="20" t="n">
        <f aca="false">Staff!BL182</f>
        <v>16</v>
      </c>
    </row>
    <row r="14" customFormat="false" ht="15" hidden="false" customHeight="false" outlineLevel="0" collapsed="false">
      <c r="A14" s="12" t="s">
        <v>525</v>
      </c>
      <c r="B14" s="14" t="s">
        <v>222</v>
      </c>
      <c r="D14" s="41" t="n">
        <f aca="false">BL14</f>
        <v>9</v>
      </c>
      <c r="E14" s="20" t="n">
        <f aca="false">Staff!E183</f>
        <v>0</v>
      </c>
      <c r="F14" s="20" t="n">
        <f aca="false">Staff!F183</f>
        <v>0</v>
      </c>
      <c r="G14" s="20" t="n">
        <f aca="false">Staff!G183</f>
        <v>0</v>
      </c>
      <c r="H14" s="20" t="n">
        <f aca="false">Staff!H183</f>
        <v>0</v>
      </c>
      <c r="I14" s="20" t="n">
        <f aca="false">Staff!I183</f>
        <v>0</v>
      </c>
      <c r="J14" s="20" t="n">
        <f aca="false">Staff!J183</f>
        <v>0</v>
      </c>
      <c r="K14" s="20" t="n">
        <f aca="false">Staff!K183</f>
        <v>0</v>
      </c>
      <c r="L14" s="20" t="n">
        <f aca="false">Staff!L183</f>
        <v>0</v>
      </c>
      <c r="M14" s="20" t="n">
        <f aca="false">Staff!M183</f>
        <v>0</v>
      </c>
      <c r="N14" s="20" t="n">
        <f aca="false">Staff!N183</f>
        <v>0</v>
      </c>
      <c r="O14" s="20" t="n">
        <f aca="false">Staff!O183</f>
        <v>0</v>
      </c>
      <c r="P14" s="20" t="n">
        <f aca="false">Staff!P183</f>
        <v>0</v>
      </c>
      <c r="Q14" s="20" t="n">
        <f aca="false">Staff!Q183</f>
        <v>0</v>
      </c>
      <c r="R14" s="20" t="n">
        <f aca="false">Staff!R183</f>
        <v>0</v>
      </c>
      <c r="S14" s="20" t="n">
        <f aca="false">Staff!S183</f>
        <v>0</v>
      </c>
      <c r="T14" s="20" t="n">
        <f aca="false">Staff!T183</f>
        <v>0</v>
      </c>
      <c r="U14" s="20" t="n">
        <f aca="false">Staff!U183</f>
        <v>0</v>
      </c>
      <c r="V14" s="20" t="n">
        <f aca="false">Staff!V183</f>
        <v>0</v>
      </c>
      <c r="W14" s="20" t="n">
        <f aca="false">Staff!W183</f>
        <v>3</v>
      </c>
      <c r="X14" s="20" t="n">
        <f aca="false">Staff!X183</f>
        <v>3</v>
      </c>
      <c r="Y14" s="20" t="n">
        <f aca="false">Staff!Y183</f>
        <v>3</v>
      </c>
      <c r="Z14" s="20" t="n">
        <f aca="false">Staff!Z183</f>
        <v>3</v>
      </c>
      <c r="AA14" s="20" t="n">
        <f aca="false">Staff!AA183</f>
        <v>3</v>
      </c>
      <c r="AB14" s="20" t="n">
        <f aca="false">Staff!AB183</f>
        <v>3</v>
      </c>
      <c r="AC14" s="20" t="n">
        <f aca="false">Staff!AC183</f>
        <v>3</v>
      </c>
      <c r="AD14" s="20" t="n">
        <f aca="false">Staff!AD183</f>
        <v>3</v>
      </c>
      <c r="AE14" s="20" t="n">
        <f aca="false">Staff!AE183</f>
        <v>3</v>
      </c>
      <c r="AF14" s="20" t="n">
        <f aca="false">Staff!AF183</f>
        <v>3</v>
      </c>
      <c r="AG14" s="20" t="n">
        <f aca="false">Staff!AG183</f>
        <v>3</v>
      </c>
      <c r="AH14" s="20" t="n">
        <f aca="false">Staff!AH183</f>
        <v>3</v>
      </c>
      <c r="AI14" s="20" t="n">
        <f aca="false">Staff!AI183</f>
        <v>6</v>
      </c>
      <c r="AJ14" s="20" t="n">
        <f aca="false">Staff!AJ183</f>
        <v>6</v>
      </c>
      <c r="AK14" s="20" t="n">
        <f aca="false">Staff!AK183</f>
        <v>6</v>
      </c>
      <c r="AL14" s="20" t="n">
        <f aca="false">Staff!AL183</f>
        <v>6</v>
      </c>
      <c r="AM14" s="20" t="n">
        <f aca="false">Staff!AM183</f>
        <v>6</v>
      </c>
      <c r="AN14" s="20" t="n">
        <f aca="false">Staff!AN183</f>
        <v>6</v>
      </c>
      <c r="AO14" s="20" t="n">
        <f aca="false">Staff!AO183</f>
        <v>6</v>
      </c>
      <c r="AP14" s="20" t="n">
        <f aca="false">Staff!AP183</f>
        <v>6</v>
      </c>
      <c r="AQ14" s="20" t="n">
        <f aca="false">Staff!AQ183</f>
        <v>6</v>
      </c>
      <c r="AR14" s="20" t="n">
        <f aca="false">Staff!AR183</f>
        <v>6</v>
      </c>
      <c r="AS14" s="20" t="n">
        <f aca="false">Staff!AS183</f>
        <v>6</v>
      </c>
      <c r="AT14" s="20" t="n">
        <f aca="false">Staff!AT183</f>
        <v>6</v>
      </c>
      <c r="AU14" s="20" t="n">
        <f aca="false">Staff!AU183</f>
        <v>9</v>
      </c>
      <c r="AV14" s="20" t="n">
        <f aca="false">Staff!AV183</f>
        <v>9</v>
      </c>
      <c r="AW14" s="20" t="n">
        <f aca="false">Staff!AW183</f>
        <v>9</v>
      </c>
      <c r="AX14" s="20" t="n">
        <f aca="false">Staff!AX183</f>
        <v>9</v>
      </c>
      <c r="AY14" s="20" t="n">
        <f aca="false">Staff!AY183</f>
        <v>9</v>
      </c>
      <c r="AZ14" s="20" t="n">
        <f aca="false">Staff!AZ183</f>
        <v>9</v>
      </c>
      <c r="BA14" s="20" t="n">
        <f aca="false">Staff!BA183</f>
        <v>9</v>
      </c>
      <c r="BB14" s="20" t="n">
        <f aca="false">Staff!BB183</f>
        <v>9</v>
      </c>
      <c r="BC14" s="20" t="n">
        <f aca="false">Staff!BC183</f>
        <v>9</v>
      </c>
      <c r="BD14" s="20" t="n">
        <f aca="false">Staff!BD183</f>
        <v>9</v>
      </c>
      <c r="BE14" s="20" t="n">
        <f aca="false">Staff!BE183</f>
        <v>9</v>
      </c>
      <c r="BF14" s="20" t="n">
        <f aca="false">Staff!BF183</f>
        <v>9</v>
      </c>
      <c r="BG14" s="20" t="n">
        <f aca="false">Staff!BG183</f>
        <v>9</v>
      </c>
      <c r="BH14" s="20" t="n">
        <f aca="false">Staff!BH183</f>
        <v>9</v>
      </c>
      <c r="BI14" s="20" t="n">
        <f aca="false">Staff!BI183</f>
        <v>9</v>
      </c>
      <c r="BJ14" s="20" t="n">
        <f aca="false">Staff!BJ183</f>
        <v>9</v>
      </c>
      <c r="BK14" s="20" t="n">
        <f aca="false">Staff!BK183</f>
        <v>9</v>
      </c>
      <c r="BL14" s="20" t="n">
        <f aca="false">Staff!BL183</f>
        <v>9</v>
      </c>
    </row>
    <row r="15" customFormat="false" ht="15" hidden="false" customHeight="false" outlineLevel="0" collapsed="false">
      <c r="A15" s="12" t="s">
        <v>542</v>
      </c>
      <c r="B15" s="14" t="s">
        <v>222</v>
      </c>
      <c r="E15" s="33" t="n">
        <f aca="false">0</f>
        <v>0</v>
      </c>
      <c r="F15" s="33" t="n">
        <f aca="false">E13*F9</f>
        <v>0</v>
      </c>
      <c r="G15" s="33" t="n">
        <f aca="false">F13*G9</f>
        <v>0</v>
      </c>
      <c r="H15" s="33" t="n">
        <f aca="false">G13*H9</f>
        <v>0</v>
      </c>
      <c r="I15" s="33" t="n">
        <f aca="false">H13*I9</f>
        <v>2</v>
      </c>
      <c r="J15" s="33" t="n">
        <f aca="false">I13*J9</f>
        <v>2</v>
      </c>
      <c r="K15" s="33" t="n">
        <f aca="false">J13*K9</f>
        <v>2</v>
      </c>
      <c r="L15" s="33" t="n">
        <f aca="false">K13*L9</f>
        <v>4</v>
      </c>
      <c r="M15" s="33" t="n">
        <f aca="false">L13*M9</f>
        <v>4</v>
      </c>
      <c r="N15" s="33" t="n">
        <f aca="false">M13*N9</f>
        <v>4</v>
      </c>
      <c r="O15" s="33" t="n">
        <f aca="false">N13*O9</f>
        <v>4</v>
      </c>
      <c r="P15" s="33" t="n">
        <f aca="false">O13*P9</f>
        <v>4</v>
      </c>
      <c r="Q15" s="33" t="n">
        <f aca="false">P13*Q9</f>
        <v>4</v>
      </c>
      <c r="R15" s="33" t="n">
        <f aca="false">Q13*R9</f>
        <v>4</v>
      </c>
      <c r="S15" s="33" t="n">
        <f aca="false">R13*S9</f>
        <v>4</v>
      </c>
      <c r="T15" s="33" t="n">
        <f aca="false">S13*T9</f>
        <v>4</v>
      </c>
      <c r="U15" s="33" t="n">
        <f aca="false">T13*U9</f>
        <v>4</v>
      </c>
      <c r="V15" s="33" t="n">
        <f aca="false">U13*V9</f>
        <v>4</v>
      </c>
      <c r="W15" s="33" t="n">
        <f aca="false">V13*W9</f>
        <v>4</v>
      </c>
      <c r="X15" s="33" t="n">
        <f aca="false">W13*X9</f>
        <v>8</v>
      </c>
      <c r="Y15" s="33" t="n">
        <f aca="false">X13*Y9</f>
        <v>8</v>
      </c>
      <c r="Z15" s="33" t="n">
        <f aca="false">Y13*Z9</f>
        <v>8</v>
      </c>
      <c r="AA15" s="33" t="n">
        <f aca="false">Z13*AA9</f>
        <v>8</v>
      </c>
      <c r="AB15" s="33" t="n">
        <f aca="false">AA13*AB9</f>
        <v>8</v>
      </c>
      <c r="AC15" s="33" t="n">
        <f aca="false">AB13*AC9</f>
        <v>8</v>
      </c>
      <c r="AD15" s="33" t="n">
        <f aca="false">AC13*AD9</f>
        <v>8</v>
      </c>
      <c r="AE15" s="33" t="n">
        <f aca="false">AD13*AE9</f>
        <v>8</v>
      </c>
      <c r="AF15" s="33" t="n">
        <f aca="false">AE13*AF9</f>
        <v>8</v>
      </c>
      <c r="AG15" s="33" t="n">
        <f aca="false">AF13*AG9</f>
        <v>8</v>
      </c>
      <c r="AH15" s="33" t="n">
        <f aca="false">AG13*AH9</f>
        <v>8</v>
      </c>
      <c r="AI15" s="33" t="n">
        <f aca="false">AH13*AI9</f>
        <v>8</v>
      </c>
      <c r="AJ15" s="33" t="n">
        <f aca="false">AI13*AJ9</f>
        <v>12</v>
      </c>
      <c r="AK15" s="33" t="n">
        <f aca="false">AJ13*AK9</f>
        <v>12</v>
      </c>
      <c r="AL15" s="33" t="n">
        <f aca="false">AK13*AL9</f>
        <v>12</v>
      </c>
      <c r="AM15" s="33" t="n">
        <f aca="false">AL13*AM9</f>
        <v>12</v>
      </c>
      <c r="AN15" s="33" t="n">
        <f aca="false">AM13*AN9</f>
        <v>12</v>
      </c>
      <c r="AO15" s="33" t="n">
        <f aca="false">AN13*AO9</f>
        <v>12</v>
      </c>
      <c r="AP15" s="33" t="n">
        <f aca="false">AO13*AP9</f>
        <v>12</v>
      </c>
      <c r="AQ15" s="33" t="n">
        <f aca="false">AP13*AQ9</f>
        <v>12</v>
      </c>
      <c r="AR15" s="33" t="n">
        <f aca="false">AQ13*AR9</f>
        <v>12</v>
      </c>
      <c r="AS15" s="33" t="n">
        <f aca="false">AR13*AS9</f>
        <v>12</v>
      </c>
      <c r="AT15" s="33" t="n">
        <f aca="false">AS13*AT9</f>
        <v>12</v>
      </c>
      <c r="AU15" s="33" t="n">
        <f aca="false">AT13*AU9</f>
        <v>12</v>
      </c>
      <c r="AV15" s="33" t="n">
        <f aca="false">AU13*AV9</f>
        <v>16</v>
      </c>
      <c r="AW15" s="33" t="n">
        <f aca="false">AV13*AW9</f>
        <v>16</v>
      </c>
      <c r="AX15" s="33" t="n">
        <f aca="false">AW13*AX9</f>
        <v>16</v>
      </c>
      <c r="AY15" s="33" t="n">
        <f aca="false">AX13*AY9</f>
        <v>16</v>
      </c>
      <c r="AZ15" s="33" t="n">
        <f aca="false">AY13*AZ9</f>
        <v>16</v>
      </c>
      <c r="BA15" s="33" t="n">
        <f aca="false">AZ13*BA9</f>
        <v>16</v>
      </c>
      <c r="BB15" s="33" t="n">
        <f aca="false">BA13*BB9</f>
        <v>16</v>
      </c>
      <c r="BC15" s="33" t="n">
        <f aca="false">BB13*BC9</f>
        <v>16</v>
      </c>
      <c r="BD15" s="33" t="n">
        <f aca="false">BC13*BD9</f>
        <v>16</v>
      </c>
      <c r="BE15" s="33" t="n">
        <f aca="false">BD13*BE9</f>
        <v>16</v>
      </c>
      <c r="BF15" s="33" t="n">
        <f aca="false">BE13*BF9</f>
        <v>16</v>
      </c>
      <c r="BG15" s="33" t="n">
        <f aca="false">BF13*BG9</f>
        <v>16</v>
      </c>
      <c r="BH15" s="33" t="n">
        <f aca="false">BG13*BH9</f>
        <v>16</v>
      </c>
      <c r="BI15" s="33" t="n">
        <f aca="false">BH13*BI9</f>
        <v>16</v>
      </c>
      <c r="BJ15" s="33" t="n">
        <f aca="false">BI13*BJ9</f>
        <v>16</v>
      </c>
      <c r="BK15" s="33" t="n">
        <f aca="false">BJ13*BK9</f>
        <v>16</v>
      </c>
      <c r="BL15" s="33" t="n">
        <f aca="false">BK13*BL9</f>
        <v>16</v>
      </c>
    </row>
    <row r="16" customFormat="false" ht="15" hidden="false" customHeight="false" outlineLevel="0" collapsed="false">
      <c r="A16" s="12" t="s">
        <v>543</v>
      </c>
      <c r="B16" s="14" t="s">
        <v>222</v>
      </c>
      <c r="E16" s="33" t="n">
        <f aca="false">0</f>
        <v>0</v>
      </c>
      <c r="F16" s="33" t="n">
        <f aca="false">E14*F10</f>
        <v>0</v>
      </c>
      <c r="G16" s="33" t="n">
        <f aca="false">F14*G10</f>
        <v>0</v>
      </c>
      <c r="H16" s="33" t="n">
        <f aca="false">G14*H10</f>
        <v>0</v>
      </c>
      <c r="I16" s="33" t="n">
        <f aca="false">H14*I10</f>
        <v>0</v>
      </c>
      <c r="J16" s="33" t="n">
        <f aca="false">I14*J10</f>
        <v>0</v>
      </c>
      <c r="K16" s="33" t="n">
        <f aca="false">J14*K10</f>
        <v>0</v>
      </c>
      <c r="L16" s="33" t="n">
        <f aca="false">K14*L10</f>
        <v>0</v>
      </c>
      <c r="M16" s="33" t="n">
        <f aca="false">L14*M10</f>
        <v>0</v>
      </c>
      <c r="N16" s="33" t="n">
        <f aca="false">M14*N10</f>
        <v>0</v>
      </c>
      <c r="O16" s="33" t="n">
        <f aca="false">N14*O10</f>
        <v>0</v>
      </c>
      <c r="P16" s="33" t="n">
        <f aca="false">O14*P10</f>
        <v>0</v>
      </c>
      <c r="Q16" s="33" t="n">
        <f aca="false">P14*Q10</f>
        <v>0</v>
      </c>
      <c r="R16" s="33" t="n">
        <f aca="false">Q14*R10</f>
        <v>0</v>
      </c>
      <c r="S16" s="33" t="n">
        <f aca="false">R14*S10</f>
        <v>0</v>
      </c>
      <c r="T16" s="33" t="n">
        <f aca="false">S14*T10</f>
        <v>0</v>
      </c>
      <c r="U16" s="33" t="n">
        <f aca="false">T14*U10</f>
        <v>0</v>
      </c>
      <c r="V16" s="33" t="n">
        <f aca="false">U14*V10</f>
        <v>0</v>
      </c>
      <c r="W16" s="33" t="n">
        <f aca="false">V14*W10</f>
        <v>0</v>
      </c>
      <c r="X16" s="33" t="n">
        <f aca="false">W14*X10</f>
        <v>3</v>
      </c>
      <c r="Y16" s="33" t="n">
        <f aca="false">X14*Y10</f>
        <v>3</v>
      </c>
      <c r="Z16" s="33" t="n">
        <f aca="false">Y14*Z10</f>
        <v>3</v>
      </c>
      <c r="AA16" s="33" t="n">
        <f aca="false">Z14*AA10</f>
        <v>3</v>
      </c>
      <c r="AB16" s="33" t="n">
        <f aca="false">AA14*AB10</f>
        <v>3</v>
      </c>
      <c r="AC16" s="33" t="n">
        <f aca="false">AB14*AC10</f>
        <v>3</v>
      </c>
      <c r="AD16" s="33" t="n">
        <f aca="false">AC14*AD10</f>
        <v>3</v>
      </c>
      <c r="AE16" s="33" t="n">
        <f aca="false">AD14*AE10</f>
        <v>3</v>
      </c>
      <c r="AF16" s="33" t="n">
        <f aca="false">AE14*AF10</f>
        <v>3</v>
      </c>
      <c r="AG16" s="33" t="n">
        <f aca="false">AF14*AG10</f>
        <v>3</v>
      </c>
      <c r="AH16" s="33" t="n">
        <f aca="false">AG14*AH10</f>
        <v>3</v>
      </c>
      <c r="AI16" s="33" t="n">
        <f aca="false">AH14*AI10</f>
        <v>3</v>
      </c>
      <c r="AJ16" s="33" t="n">
        <f aca="false">AI14*AJ10</f>
        <v>6</v>
      </c>
      <c r="AK16" s="33" t="n">
        <f aca="false">AJ14*AK10</f>
        <v>6</v>
      </c>
      <c r="AL16" s="33" t="n">
        <f aca="false">AK14*AL10</f>
        <v>6</v>
      </c>
      <c r="AM16" s="33" t="n">
        <f aca="false">AL14*AM10</f>
        <v>6</v>
      </c>
      <c r="AN16" s="33" t="n">
        <f aca="false">AM14*AN10</f>
        <v>6</v>
      </c>
      <c r="AO16" s="33" t="n">
        <f aca="false">AN14*AO10</f>
        <v>6</v>
      </c>
      <c r="AP16" s="33" t="n">
        <f aca="false">AO14*AP10</f>
        <v>6</v>
      </c>
      <c r="AQ16" s="33" t="n">
        <f aca="false">AP14*AQ10</f>
        <v>6</v>
      </c>
      <c r="AR16" s="33" t="n">
        <f aca="false">AQ14*AR10</f>
        <v>6</v>
      </c>
      <c r="AS16" s="33" t="n">
        <f aca="false">AR14*AS10</f>
        <v>6</v>
      </c>
      <c r="AT16" s="33" t="n">
        <f aca="false">AS14*AT10</f>
        <v>6</v>
      </c>
      <c r="AU16" s="33" t="n">
        <f aca="false">AT14*AU10</f>
        <v>6</v>
      </c>
      <c r="AV16" s="33" t="n">
        <f aca="false">AU14*AV10</f>
        <v>9</v>
      </c>
      <c r="AW16" s="33" t="n">
        <f aca="false">AV14*AW10</f>
        <v>9</v>
      </c>
      <c r="AX16" s="33" t="n">
        <f aca="false">AW14*AX10</f>
        <v>9</v>
      </c>
      <c r="AY16" s="33" t="n">
        <f aca="false">AX14*AY10</f>
        <v>9</v>
      </c>
      <c r="AZ16" s="33" t="n">
        <f aca="false">AY14*AZ10</f>
        <v>9</v>
      </c>
      <c r="BA16" s="33" t="n">
        <f aca="false">AZ14*BA10</f>
        <v>9</v>
      </c>
      <c r="BB16" s="33" t="n">
        <f aca="false">BA14*BB10</f>
        <v>9</v>
      </c>
      <c r="BC16" s="33" t="n">
        <f aca="false">BB14*BC10</f>
        <v>9</v>
      </c>
      <c r="BD16" s="33" t="n">
        <f aca="false">BC14*BD10</f>
        <v>9</v>
      </c>
      <c r="BE16" s="33" t="n">
        <f aca="false">BD14*BE10</f>
        <v>9</v>
      </c>
      <c r="BF16" s="33" t="n">
        <f aca="false">BE14*BF10</f>
        <v>9</v>
      </c>
      <c r="BG16" s="33" t="n">
        <f aca="false">BF14*BG10</f>
        <v>9</v>
      </c>
      <c r="BH16" s="33" t="n">
        <f aca="false">BG14*BH10</f>
        <v>9</v>
      </c>
      <c r="BI16" s="33" t="n">
        <f aca="false">BH14*BI10</f>
        <v>9</v>
      </c>
      <c r="BJ16" s="33" t="n">
        <f aca="false">BI14*BJ10</f>
        <v>9</v>
      </c>
      <c r="BK16" s="33" t="n">
        <f aca="false">BJ14*BK10</f>
        <v>9</v>
      </c>
      <c r="BL16" s="33" t="n">
        <f aca="false">BK14*BL10</f>
        <v>9</v>
      </c>
    </row>
    <row r="17" customFormat="false" ht="15" hidden="false" customHeight="false" outlineLevel="0" collapsed="false">
      <c r="A17" s="12" t="s">
        <v>544</v>
      </c>
      <c r="B17" s="14" t="s">
        <v>154</v>
      </c>
      <c r="D17" s="43" t="n">
        <f aca="false">SUM(E17:BL17)</f>
        <v>5660</v>
      </c>
      <c r="E17" s="30" t="n">
        <f aca="false">E15*Rep_Productivity</f>
        <v>0</v>
      </c>
      <c r="F17" s="30" t="n">
        <f aca="false">F15*Rep_Productivity</f>
        <v>0</v>
      </c>
      <c r="G17" s="30" t="n">
        <f aca="false">G15*Rep_Productivity</f>
        <v>0</v>
      </c>
      <c r="H17" s="30" t="n">
        <f aca="false">H15*Rep_Productivity</f>
        <v>0</v>
      </c>
      <c r="I17" s="30" t="n">
        <f aca="false">I15*Rep_Productivity</f>
        <v>20</v>
      </c>
      <c r="J17" s="30" t="n">
        <f aca="false">J15*Rep_Productivity</f>
        <v>20</v>
      </c>
      <c r="K17" s="30" t="n">
        <f aca="false">K15*Rep_Productivity</f>
        <v>20</v>
      </c>
      <c r="L17" s="30" t="n">
        <f aca="false">L15*Rep_Productivity</f>
        <v>40</v>
      </c>
      <c r="M17" s="30" t="n">
        <f aca="false">M15*Rep_Productivity</f>
        <v>40</v>
      </c>
      <c r="N17" s="30" t="n">
        <f aca="false">N15*Rep_Productivity</f>
        <v>40</v>
      </c>
      <c r="O17" s="30" t="n">
        <f aca="false">O15*Rep_Productivity</f>
        <v>40</v>
      </c>
      <c r="P17" s="30" t="n">
        <f aca="false">P15*Rep_Productivity</f>
        <v>40</v>
      </c>
      <c r="Q17" s="30" t="n">
        <f aca="false">Q15*Rep_Productivity</f>
        <v>40</v>
      </c>
      <c r="R17" s="30" t="n">
        <f aca="false">R15*Rep_Productivity</f>
        <v>40</v>
      </c>
      <c r="S17" s="30" t="n">
        <f aca="false">S15*Rep_Productivity</f>
        <v>40</v>
      </c>
      <c r="T17" s="30" t="n">
        <f aca="false">T15*Rep_Productivity</f>
        <v>40</v>
      </c>
      <c r="U17" s="30" t="n">
        <f aca="false">U15*Rep_Productivity</f>
        <v>40</v>
      </c>
      <c r="V17" s="30" t="n">
        <f aca="false">V15*Rep_Productivity</f>
        <v>40</v>
      </c>
      <c r="W17" s="30" t="n">
        <f aca="false">W15*Rep_Productivity</f>
        <v>40</v>
      </c>
      <c r="X17" s="30" t="n">
        <f aca="false">X15*Rep_Productivity</f>
        <v>80</v>
      </c>
      <c r="Y17" s="30" t="n">
        <f aca="false">Y15*Rep_Productivity</f>
        <v>80</v>
      </c>
      <c r="Z17" s="30" t="n">
        <f aca="false">Z15*Rep_Productivity</f>
        <v>80</v>
      </c>
      <c r="AA17" s="30" t="n">
        <f aca="false">AA15*Rep_Productivity</f>
        <v>80</v>
      </c>
      <c r="AB17" s="30" t="n">
        <f aca="false">AB15*Rep_Productivity</f>
        <v>80</v>
      </c>
      <c r="AC17" s="30" t="n">
        <f aca="false">AC15*Rep_Productivity</f>
        <v>80</v>
      </c>
      <c r="AD17" s="30" t="n">
        <f aca="false">AD15*Rep_Productivity</f>
        <v>80</v>
      </c>
      <c r="AE17" s="30" t="n">
        <f aca="false">AE15*Rep_Productivity</f>
        <v>80</v>
      </c>
      <c r="AF17" s="30" t="n">
        <f aca="false">AF15*Rep_Productivity</f>
        <v>80</v>
      </c>
      <c r="AG17" s="30" t="n">
        <f aca="false">AG15*Rep_Productivity</f>
        <v>80</v>
      </c>
      <c r="AH17" s="30" t="n">
        <f aca="false">AH15*Rep_Productivity</f>
        <v>80</v>
      </c>
      <c r="AI17" s="30" t="n">
        <f aca="false">AI15*Rep_Productivity</f>
        <v>80</v>
      </c>
      <c r="AJ17" s="30" t="n">
        <f aca="false">AJ15*Rep_Productivity</f>
        <v>120</v>
      </c>
      <c r="AK17" s="30" t="n">
        <f aca="false">AK15*Rep_Productivity</f>
        <v>120</v>
      </c>
      <c r="AL17" s="30" t="n">
        <f aca="false">AL15*Rep_Productivity</f>
        <v>120</v>
      </c>
      <c r="AM17" s="30" t="n">
        <f aca="false">AM15*Rep_Productivity</f>
        <v>120</v>
      </c>
      <c r="AN17" s="30" t="n">
        <f aca="false">AN15*Rep_Productivity</f>
        <v>120</v>
      </c>
      <c r="AO17" s="30" t="n">
        <f aca="false">AO15*Rep_Productivity</f>
        <v>120</v>
      </c>
      <c r="AP17" s="30" t="n">
        <f aca="false">AP15*Rep_Productivity</f>
        <v>120</v>
      </c>
      <c r="AQ17" s="30" t="n">
        <f aca="false">AQ15*Rep_Productivity</f>
        <v>120</v>
      </c>
      <c r="AR17" s="30" t="n">
        <f aca="false">AR15*Rep_Productivity</f>
        <v>120</v>
      </c>
      <c r="AS17" s="30" t="n">
        <f aca="false">AS15*Rep_Productivity</f>
        <v>120</v>
      </c>
      <c r="AT17" s="30" t="n">
        <f aca="false">AT15*Rep_Productivity</f>
        <v>120</v>
      </c>
      <c r="AU17" s="30" t="n">
        <f aca="false">AU15*Rep_Productivity</f>
        <v>120</v>
      </c>
      <c r="AV17" s="30" t="n">
        <f aca="false">AV15*Rep_Productivity</f>
        <v>160</v>
      </c>
      <c r="AW17" s="30" t="n">
        <f aca="false">AW15*Rep_Productivity</f>
        <v>160</v>
      </c>
      <c r="AX17" s="30" t="n">
        <f aca="false">AX15*Rep_Productivity</f>
        <v>160</v>
      </c>
      <c r="AY17" s="30" t="n">
        <f aca="false">AY15*Rep_Productivity</f>
        <v>160</v>
      </c>
      <c r="AZ17" s="30" t="n">
        <f aca="false">AZ15*Rep_Productivity</f>
        <v>160</v>
      </c>
      <c r="BA17" s="30" t="n">
        <f aca="false">BA15*Rep_Productivity</f>
        <v>160</v>
      </c>
      <c r="BB17" s="30" t="n">
        <f aca="false">BB15*Rep_Productivity</f>
        <v>160</v>
      </c>
      <c r="BC17" s="30" t="n">
        <f aca="false">BC15*Rep_Productivity</f>
        <v>160</v>
      </c>
      <c r="BD17" s="30" t="n">
        <f aca="false">BD15*Rep_Productivity</f>
        <v>160</v>
      </c>
      <c r="BE17" s="30" t="n">
        <f aca="false">BE15*Rep_Productivity</f>
        <v>160</v>
      </c>
      <c r="BF17" s="30" t="n">
        <f aca="false">BF15*Rep_Productivity</f>
        <v>160</v>
      </c>
      <c r="BG17" s="30" t="n">
        <f aca="false">BG15*Rep_Productivity</f>
        <v>160</v>
      </c>
      <c r="BH17" s="30" t="n">
        <f aca="false">BH15*Rep_Productivity</f>
        <v>160</v>
      </c>
      <c r="BI17" s="30" t="n">
        <f aca="false">BI15*Rep_Productivity</f>
        <v>160</v>
      </c>
      <c r="BJ17" s="30" t="n">
        <f aca="false">BJ15*Rep_Productivity</f>
        <v>160</v>
      </c>
      <c r="BK17" s="30" t="n">
        <f aca="false">BK15*Rep_Productivity</f>
        <v>160</v>
      </c>
      <c r="BL17" s="30" t="n">
        <f aca="false">BL15*Rep_Productivity</f>
        <v>160</v>
      </c>
    </row>
    <row r="18" customFormat="false" ht="15" hidden="false" customHeight="false" outlineLevel="0" collapsed="false">
      <c r="A18" s="12" t="s">
        <v>545</v>
      </c>
      <c r="B18" s="14" t="s">
        <v>154</v>
      </c>
      <c r="D18" s="43" t="n">
        <f aca="false">SUM(E18:BL18)</f>
        <v>2349</v>
      </c>
      <c r="E18" s="30" t="n">
        <f aca="false">E16*Rep_Productivity*CI_Productivity</f>
        <v>0</v>
      </c>
      <c r="F18" s="30" t="n">
        <f aca="false">F16*Rep_Productivity*CI_Productivity</f>
        <v>0</v>
      </c>
      <c r="G18" s="30" t="n">
        <f aca="false">G16*Rep_Productivity*CI_Productivity</f>
        <v>0</v>
      </c>
      <c r="H18" s="30" t="n">
        <f aca="false">H16*Rep_Productivity*CI_Productivity</f>
        <v>0</v>
      </c>
      <c r="I18" s="30" t="n">
        <f aca="false">I16*Rep_Productivity*CI_Productivity</f>
        <v>0</v>
      </c>
      <c r="J18" s="30" t="n">
        <f aca="false">J16*Rep_Productivity*CI_Productivity</f>
        <v>0</v>
      </c>
      <c r="K18" s="30" t="n">
        <f aca="false">K16*Rep_Productivity*CI_Productivity</f>
        <v>0</v>
      </c>
      <c r="L18" s="30" t="n">
        <f aca="false">L16*Rep_Productivity*CI_Productivity</f>
        <v>0</v>
      </c>
      <c r="M18" s="30" t="n">
        <f aca="false">M16*Rep_Productivity*CI_Productivity</f>
        <v>0</v>
      </c>
      <c r="N18" s="30" t="n">
        <f aca="false">N16*Rep_Productivity*CI_Productivity</f>
        <v>0</v>
      </c>
      <c r="O18" s="30" t="n">
        <f aca="false">O16*Rep_Productivity*CI_Productivity</f>
        <v>0</v>
      </c>
      <c r="P18" s="30" t="n">
        <f aca="false">P16*Rep_Productivity*CI_Productivity</f>
        <v>0</v>
      </c>
      <c r="Q18" s="30" t="n">
        <f aca="false">Q16*Rep_Productivity*CI_Productivity</f>
        <v>0</v>
      </c>
      <c r="R18" s="30" t="n">
        <f aca="false">R16*Rep_Productivity*CI_Productivity</f>
        <v>0</v>
      </c>
      <c r="S18" s="30" t="n">
        <f aca="false">S16*Rep_Productivity*CI_Productivity</f>
        <v>0</v>
      </c>
      <c r="T18" s="30" t="n">
        <f aca="false">T16*Rep_Productivity*CI_Productivity</f>
        <v>0</v>
      </c>
      <c r="U18" s="30" t="n">
        <f aca="false">U16*Rep_Productivity*CI_Productivity</f>
        <v>0</v>
      </c>
      <c r="V18" s="30" t="n">
        <f aca="false">V16*Rep_Productivity*CI_Productivity</f>
        <v>0</v>
      </c>
      <c r="W18" s="30" t="n">
        <f aca="false">W16*Rep_Productivity*CI_Productivity</f>
        <v>0</v>
      </c>
      <c r="X18" s="30" t="n">
        <f aca="false">X16*Rep_Productivity*CI_Productivity</f>
        <v>27</v>
      </c>
      <c r="Y18" s="30" t="n">
        <f aca="false">Y16*Rep_Productivity*CI_Productivity</f>
        <v>27</v>
      </c>
      <c r="Z18" s="30" t="n">
        <f aca="false">Z16*Rep_Productivity*CI_Productivity</f>
        <v>27</v>
      </c>
      <c r="AA18" s="30" t="n">
        <f aca="false">AA16*Rep_Productivity*CI_Productivity</f>
        <v>27</v>
      </c>
      <c r="AB18" s="30" t="n">
        <f aca="false">AB16*Rep_Productivity*CI_Productivity</f>
        <v>27</v>
      </c>
      <c r="AC18" s="30" t="n">
        <f aca="false">AC16*Rep_Productivity*CI_Productivity</f>
        <v>27</v>
      </c>
      <c r="AD18" s="30" t="n">
        <f aca="false">AD16*Rep_Productivity*CI_Productivity</f>
        <v>27</v>
      </c>
      <c r="AE18" s="30" t="n">
        <f aca="false">AE16*Rep_Productivity*CI_Productivity</f>
        <v>27</v>
      </c>
      <c r="AF18" s="30" t="n">
        <f aca="false">AF16*Rep_Productivity*CI_Productivity</f>
        <v>27</v>
      </c>
      <c r="AG18" s="30" t="n">
        <f aca="false">AG16*Rep_Productivity*CI_Productivity</f>
        <v>27</v>
      </c>
      <c r="AH18" s="30" t="n">
        <f aca="false">AH16*Rep_Productivity*CI_Productivity</f>
        <v>27</v>
      </c>
      <c r="AI18" s="30" t="n">
        <f aca="false">AI16*Rep_Productivity*CI_Productivity</f>
        <v>27</v>
      </c>
      <c r="AJ18" s="30" t="n">
        <f aca="false">AJ16*Rep_Productivity*CI_Productivity</f>
        <v>54</v>
      </c>
      <c r="AK18" s="30" t="n">
        <f aca="false">AK16*Rep_Productivity*CI_Productivity</f>
        <v>54</v>
      </c>
      <c r="AL18" s="30" t="n">
        <f aca="false">AL16*Rep_Productivity*CI_Productivity</f>
        <v>54</v>
      </c>
      <c r="AM18" s="30" t="n">
        <f aca="false">AM16*Rep_Productivity*CI_Productivity</f>
        <v>54</v>
      </c>
      <c r="AN18" s="30" t="n">
        <f aca="false">AN16*Rep_Productivity*CI_Productivity</f>
        <v>54</v>
      </c>
      <c r="AO18" s="30" t="n">
        <f aca="false">AO16*Rep_Productivity*CI_Productivity</f>
        <v>54</v>
      </c>
      <c r="AP18" s="30" t="n">
        <f aca="false">AP16*Rep_Productivity*CI_Productivity</f>
        <v>54</v>
      </c>
      <c r="AQ18" s="30" t="n">
        <f aca="false">AQ16*Rep_Productivity*CI_Productivity</f>
        <v>54</v>
      </c>
      <c r="AR18" s="30" t="n">
        <f aca="false">AR16*Rep_Productivity*CI_Productivity</f>
        <v>54</v>
      </c>
      <c r="AS18" s="30" t="n">
        <f aca="false">AS16*Rep_Productivity*CI_Productivity</f>
        <v>54</v>
      </c>
      <c r="AT18" s="30" t="n">
        <f aca="false">AT16*Rep_Productivity*CI_Productivity</f>
        <v>54</v>
      </c>
      <c r="AU18" s="30" t="n">
        <f aca="false">AU16*Rep_Productivity*CI_Productivity</f>
        <v>54</v>
      </c>
      <c r="AV18" s="30" t="n">
        <f aca="false">AV16*Rep_Productivity*CI_Productivity</f>
        <v>81</v>
      </c>
      <c r="AW18" s="30" t="n">
        <f aca="false">AW16*Rep_Productivity*CI_Productivity</f>
        <v>81</v>
      </c>
      <c r="AX18" s="30" t="n">
        <f aca="false">AX16*Rep_Productivity*CI_Productivity</f>
        <v>81</v>
      </c>
      <c r="AY18" s="30" t="n">
        <f aca="false">AY16*Rep_Productivity*CI_Productivity</f>
        <v>81</v>
      </c>
      <c r="AZ18" s="30" t="n">
        <f aca="false">AZ16*Rep_Productivity*CI_Productivity</f>
        <v>81</v>
      </c>
      <c r="BA18" s="30" t="n">
        <f aca="false">BA16*Rep_Productivity*CI_Productivity</f>
        <v>81</v>
      </c>
      <c r="BB18" s="30" t="n">
        <f aca="false">BB16*Rep_Productivity*CI_Productivity</f>
        <v>81</v>
      </c>
      <c r="BC18" s="30" t="n">
        <f aca="false">BC16*Rep_Productivity*CI_Productivity</f>
        <v>81</v>
      </c>
      <c r="BD18" s="30" t="n">
        <f aca="false">BD16*Rep_Productivity*CI_Productivity</f>
        <v>81</v>
      </c>
      <c r="BE18" s="30" t="n">
        <f aca="false">BE16*Rep_Productivity*CI_Productivity</f>
        <v>81</v>
      </c>
      <c r="BF18" s="30" t="n">
        <f aca="false">BF16*Rep_Productivity*CI_Productivity</f>
        <v>81</v>
      </c>
      <c r="BG18" s="30" t="n">
        <f aca="false">BG16*Rep_Productivity*CI_Productivity</f>
        <v>81</v>
      </c>
      <c r="BH18" s="30" t="n">
        <f aca="false">BH16*Rep_Productivity*CI_Productivity</f>
        <v>81</v>
      </c>
      <c r="BI18" s="30" t="n">
        <f aca="false">BI16*Rep_Productivity*CI_Productivity</f>
        <v>81</v>
      </c>
      <c r="BJ18" s="30" t="n">
        <f aca="false">BJ16*Rep_Productivity*CI_Productivity</f>
        <v>81</v>
      </c>
      <c r="BK18" s="30" t="n">
        <f aca="false">BK16*Rep_Productivity*CI_Productivity</f>
        <v>81</v>
      </c>
      <c r="BL18" s="30" t="n">
        <f aca="false">BL16*Rep_Productivity*CI_Productivity</f>
        <v>81</v>
      </c>
    </row>
    <row r="20" customFormat="false" ht="15" hidden="false" customHeight="false" outlineLevel="0" collapsed="false">
      <c r="A20" s="10" t="s">
        <v>546</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547</v>
      </c>
      <c r="B21" s="14" t="s">
        <v>154</v>
      </c>
      <c r="D21" s="43" t="n">
        <f aca="false">SUM(E21:BL21)</f>
        <v>2791.20866664185</v>
      </c>
      <c r="E21" s="30" t="n">
        <f aca="false">E9*MIN(Partner_Cap_SN,Partner_Base_SN*(1+Partner_Growth)^MAX(0,E$3-Launch_SN))</f>
        <v>0</v>
      </c>
      <c r="F21" s="30" t="n">
        <f aca="false">F9*MIN(Partner_Cap_SN,Partner_Base_SN*(1+Partner_Growth)^MAX(0,F$3-Launch_SN))</f>
        <v>0</v>
      </c>
      <c r="G21" s="30" t="n">
        <f aca="false">G9*MIN(Partner_Cap_SN,Partner_Base_SN*(1+Partner_Growth)^MAX(0,G$3-Launch_SN))</f>
        <v>0</v>
      </c>
      <c r="H21" s="30" t="n">
        <f aca="false">H9*MIN(Partner_Cap_SN,Partner_Base_SN*(1+Partner_Growth)^MAX(0,H$3-Launch_SN))</f>
        <v>0</v>
      </c>
      <c r="I21" s="30" t="n">
        <f aca="false">I9*MIN(Partner_Cap_SN,Partner_Base_SN*(1+Partner_Growth)^MAX(0,I$3-Launch_SN))</f>
        <v>10</v>
      </c>
      <c r="J21" s="30" t="n">
        <f aca="false">J9*MIN(Partner_Cap_SN,Partner_Base_SN*(1+Partner_Growth)^MAX(0,J$3-Launch_SN))</f>
        <v>10.6</v>
      </c>
      <c r="K21" s="30" t="n">
        <f aca="false">K9*MIN(Partner_Cap_SN,Partner_Base_SN*(1+Partner_Growth)^MAX(0,K$3-Launch_SN))</f>
        <v>11.236</v>
      </c>
      <c r="L21" s="30" t="n">
        <f aca="false">L9*MIN(Partner_Cap_SN,Partner_Base_SN*(1+Partner_Growth)^MAX(0,L$3-Launch_SN))</f>
        <v>11.91016</v>
      </c>
      <c r="M21" s="30" t="n">
        <f aca="false">M9*MIN(Partner_Cap_SN,Partner_Base_SN*(1+Partner_Growth)^MAX(0,M$3-Launch_SN))</f>
        <v>12.6247696</v>
      </c>
      <c r="N21" s="30" t="n">
        <f aca="false">N9*MIN(Partner_Cap_SN,Partner_Base_SN*(1+Partner_Growth)^MAX(0,N$3-Launch_SN))</f>
        <v>13.382255776</v>
      </c>
      <c r="O21" s="30" t="n">
        <f aca="false">O9*MIN(Partner_Cap_SN,Partner_Base_SN*(1+Partner_Growth)^MAX(0,O$3-Launch_SN))</f>
        <v>14.18519112256</v>
      </c>
      <c r="P21" s="30" t="n">
        <f aca="false">P9*MIN(Partner_Cap_SN,Partner_Base_SN*(1+Partner_Growth)^MAX(0,P$3-Launch_SN))</f>
        <v>15.0363025899136</v>
      </c>
      <c r="Q21" s="30" t="n">
        <f aca="false">Q9*MIN(Partner_Cap_SN,Partner_Base_SN*(1+Partner_Growth)^MAX(0,Q$3-Launch_SN))</f>
        <v>15.9384807453084</v>
      </c>
      <c r="R21" s="30" t="n">
        <f aca="false">R9*MIN(Partner_Cap_SN,Partner_Base_SN*(1+Partner_Growth)^MAX(0,R$3-Launch_SN))</f>
        <v>16.8947895900269</v>
      </c>
      <c r="S21" s="30" t="n">
        <f aca="false">S9*MIN(Partner_Cap_SN,Partner_Base_SN*(1+Partner_Growth)^MAX(0,S$3-Launch_SN))</f>
        <v>17.9084769654285</v>
      </c>
      <c r="T21" s="30" t="n">
        <f aca="false">T9*MIN(Partner_Cap_SN,Partner_Base_SN*(1+Partner_Growth)^MAX(0,T$3-Launch_SN))</f>
        <v>18.9829855833543</v>
      </c>
      <c r="U21" s="30" t="n">
        <f aca="false">U9*MIN(Partner_Cap_SN,Partner_Base_SN*(1+Partner_Growth)^MAX(0,U$3-Launch_SN))</f>
        <v>20.1219647183555</v>
      </c>
      <c r="V21" s="30" t="n">
        <f aca="false">V9*MIN(Partner_Cap_SN,Partner_Base_SN*(1+Partner_Growth)^MAX(0,V$3-Launch_SN))</f>
        <v>21.3292826014568</v>
      </c>
      <c r="W21" s="30" t="n">
        <f aca="false">W9*MIN(Partner_Cap_SN,Partner_Base_SN*(1+Partner_Growth)^MAX(0,W$3-Launch_SN))</f>
        <v>22.6090395575443</v>
      </c>
      <c r="X21" s="30" t="n">
        <f aca="false">X9*MIN(Partner_Cap_SN,Partner_Base_SN*(1+Partner_Growth)^MAX(0,X$3-Launch_SN))</f>
        <v>23.9655819309969</v>
      </c>
      <c r="Y21" s="30" t="n">
        <f aca="false">Y9*MIN(Partner_Cap_SN,Partner_Base_SN*(1+Partner_Growth)^MAX(0,Y$3-Launch_SN))</f>
        <v>25.4035168468567</v>
      </c>
      <c r="Z21" s="30" t="n">
        <f aca="false">Z9*MIN(Partner_Cap_SN,Partner_Base_SN*(1+Partner_Growth)^MAX(0,Z$3-Launch_SN))</f>
        <v>26.9277278576681</v>
      </c>
      <c r="AA21" s="30" t="n">
        <f aca="false">AA9*MIN(Partner_Cap_SN,Partner_Base_SN*(1+Partner_Growth)^MAX(0,AA$3-Launch_SN))</f>
        <v>28.5433915291282</v>
      </c>
      <c r="AB21" s="30" t="n">
        <f aca="false">AB9*MIN(Partner_Cap_SN,Partner_Base_SN*(1+Partner_Growth)^MAX(0,AB$3-Launch_SN))</f>
        <v>30.2559950208759</v>
      </c>
      <c r="AC21" s="30" t="n">
        <f aca="false">AC9*MIN(Partner_Cap_SN,Partner_Base_SN*(1+Partner_Growth)^MAX(0,AC$3-Launch_SN))</f>
        <v>32.0713547221285</v>
      </c>
      <c r="AD21" s="30" t="n">
        <f aca="false">AD9*MIN(Partner_Cap_SN,Partner_Base_SN*(1+Partner_Growth)^MAX(0,AD$3-Launch_SN))</f>
        <v>33.9956360054562</v>
      </c>
      <c r="AE21" s="30" t="n">
        <f aca="false">AE9*MIN(Partner_Cap_SN,Partner_Base_SN*(1+Partner_Growth)^MAX(0,AE$3-Launch_SN))</f>
        <v>36.0353741657836</v>
      </c>
      <c r="AF21" s="30" t="n">
        <f aca="false">AF9*MIN(Partner_Cap_SN,Partner_Base_SN*(1+Partner_Growth)^MAX(0,AF$3-Launch_SN))</f>
        <v>38.1974966157306</v>
      </c>
      <c r="AG21" s="30" t="n">
        <f aca="false">AG9*MIN(Partner_Cap_SN,Partner_Base_SN*(1+Partner_Growth)^MAX(0,AG$3-Launch_SN))</f>
        <v>40.4893464126744</v>
      </c>
      <c r="AH21" s="30" t="n">
        <f aca="false">AH9*MIN(Partner_Cap_SN,Partner_Base_SN*(1+Partner_Growth)^MAX(0,AH$3-Launch_SN))</f>
        <v>42.9187071974349</v>
      </c>
      <c r="AI21" s="30" t="n">
        <f aca="false">AI9*MIN(Partner_Cap_SN,Partner_Base_SN*(1+Partner_Growth)^MAX(0,AI$3-Launch_SN))</f>
        <v>45.493829629281</v>
      </c>
      <c r="AJ21" s="30" t="n">
        <f aca="false">AJ9*MIN(Partner_Cap_SN,Partner_Base_SN*(1+Partner_Growth)^MAX(0,AJ$3-Launch_SN))</f>
        <v>48.2234594070378</v>
      </c>
      <c r="AK21" s="30" t="n">
        <f aca="false">AK9*MIN(Partner_Cap_SN,Partner_Base_SN*(1+Partner_Growth)^MAX(0,AK$3-Launch_SN))</f>
        <v>51.1168669714601</v>
      </c>
      <c r="AL21" s="30" t="n">
        <f aca="false">AL9*MIN(Partner_Cap_SN,Partner_Base_SN*(1+Partner_Growth)^MAX(0,AL$3-Launch_SN))</f>
        <v>54.1838789897477</v>
      </c>
      <c r="AM21" s="30" t="n">
        <f aca="false">AM9*MIN(Partner_Cap_SN,Partner_Base_SN*(1+Partner_Growth)^MAX(0,AM$3-Launch_SN))</f>
        <v>57.4349117291326</v>
      </c>
      <c r="AN21" s="30" t="n">
        <f aca="false">AN9*MIN(Partner_Cap_SN,Partner_Base_SN*(1+Partner_Growth)^MAX(0,AN$3-Launch_SN))</f>
        <v>60.8810064328806</v>
      </c>
      <c r="AO21" s="30" t="n">
        <f aca="false">AO9*MIN(Partner_Cap_SN,Partner_Base_SN*(1+Partner_Growth)^MAX(0,AO$3-Launch_SN))</f>
        <v>64.5338668188534</v>
      </c>
      <c r="AP21" s="30" t="n">
        <f aca="false">AP9*MIN(Partner_Cap_SN,Partner_Base_SN*(1+Partner_Growth)^MAX(0,AP$3-Launch_SN))</f>
        <v>68.4058988279846</v>
      </c>
      <c r="AQ21" s="30" t="n">
        <f aca="false">AQ9*MIN(Partner_Cap_SN,Partner_Base_SN*(1+Partner_Growth)^MAX(0,AQ$3-Launch_SN))</f>
        <v>72.5102527576637</v>
      </c>
      <c r="AR21" s="30" t="n">
        <f aca="false">AR9*MIN(Partner_Cap_SN,Partner_Base_SN*(1+Partner_Growth)^MAX(0,AR$3-Launch_SN))</f>
        <v>76.8608679231235</v>
      </c>
      <c r="AS21" s="30" t="n">
        <f aca="false">AS9*MIN(Partner_Cap_SN,Partner_Base_SN*(1+Partner_Growth)^MAX(0,AS$3-Launch_SN))</f>
        <v>80</v>
      </c>
      <c r="AT21" s="30" t="n">
        <f aca="false">AT9*MIN(Partner_Cap_SN,Partner_Base_SN*(1+Partner_Growth)^MAX(0,AT$3-Launch_SN))</f>
        <v>80</v>
      </c>
      <c r="AU21" s="30" t="n">
        <f aca="false">AU9*MIN(Partner_Cap_SN,Partner_Base_SN*(1+Partner_Growth)^MAX(0,AU$3-Launch_SN))</f>
        <v>80</v>
      </c>
      <c r="AV21" s="30" t="n">
        <f aca="false">AV9*MIN(Partner_Cap_SN,Partner_Base_SN*(1+Partner_Growth)^MAX(0,AV$3-Launch_SN))</f>
        <v>80</v>
      </c>
      <c r="AW21" s="30" t="n">
        <f aca="false">AW9*MIN(Partner_Cap_SN,Partner_Base_SN*(1+Partner_Growth)^MAX(0,AW$3-Launch_SN))</f>
        <v>80</v>
      </c>
      <c r="AX21" s="30" t="n">
        <f aca="false">AX9*MIN(Partner_Cap_SN,Partner_Base_SN*(1+Partner_Growth)^MAX(0,AX$3-Launch_SN))</f>
        <v>80</v>
      </c>
      <c r="AY21" s="30" t="n">
        <f aca="false">AY9*MIN(Partner_Cap_SN,Partner_Base_SN*(1+Partner_Growth)^MAX(0,AY$3-Launch_SN))</f>
        <v>80</v>
      </c>
      <c r="AZ21" s="30" t="n">
        <f aca="false">AZ9*MIN(Partner_Cap_SN,Partner_Base_SN*(1+Partner_Growth)^MAX(0,AZ$3-Launch_SN))</f>
        <v>80</v>
      </c>
      <c r="BA21" s="30" t="n">
        <f aca="false">BA9*MIN(Partner_Cap_SN,Partner_Base_SN*(1+Partner_Growth)^MAX(0,BA$3-Launch_SN))</f>
        <v>80</v>
      </c>
      <c r="BB21" s="30" t="n">
        <f aca="false">BB9*MIN(Partner_Cap_SN,Partner_Base_SN*(1+Partner_Growth)^MAX(0,BB$3-Launch_SN))</f>
        <v>80</v>
      </c>
      <c r="BC21" s="30" t="n">
        <f aca="false">BC9*MIN(Partner_Cap_SN,Partner_Base_SN*(1+Partner_Growth)^MAX(0,BC$3-Launch_SN))</f>
        <v>80</v>
      </c>
      <c r="BD21" s="30" t="n">
        <f aca="false">BD9*MIN(Partner_Cap_SN,Partner_Base_SN*(1+Partner_Growth)^MAX(0,BD$3-Launch_SN))</f>
        <v>80</v>
      </c>
      <c r="BE21" s="30" t="n">
        <f aca="false">BE9*MIN(Partner_Cap_SN,Partner_Base_SN*(1+Partner_Growth)^MAX(0,BE$3-Launch_SN))</f>
        <v>80</v>
      </c>
      <c r="BF21" s="30" t="n">
        <f aca="false">BF9*MIN(Partner_Cap_SN,Partner_Base_SN*(1+Partner_Growth)^MAX(0,BF$3-Launch_SN))</f>
        <v>80</v>
      </c>
      <c r="BG21" s="30" t="n">
        <f aca="false">BG9*MIN(Partner_Cap_SN,Partner_Base_SN*(1+Partner_Growth)^MAX(0,BG$3-Launch_SN))</f>
        <v>80</v>
      </c>
      <c r="BH21" s="30" t="n">
        <f aca="false">BH9*MIN(Partner_Cap_SN,Partner_Base_SN*(1+Partner_Growth)^MAX(0,BH$3-Launch_SN))</f>
        <v>80</v>
      </c>
      <c r="BI21" s="30" t="n">
        <f aca="false">BI9*MIN(Partner_Cap_SN,Partner_Base_SN*(1+Partner_Growth)^MAX(0,BI$3-Launch_SN))</f>
        <v>80</v>
      </c>
      <c r="BJ21" s="30" t="n">
        <f aca="false">BJ9*MIN(Partner_Cap_SN,Partner_Base_SN*(1+Partner_Growth)^MAX(0,BJ$3-Launch_SN))</f>
        <v>80</v>
      </c>
      <c r="BK21" s="30" t="n">
        <f aca="false">BK9*MIN(Partner_Cap_SN,Partner_Base_SN*(1+Partner_Growth)^MAX(0,BK$3-Launch_SN))</f>
        <v>80</v>
      </c>
      <c r="BL21" s="30" t="n">
        <f aca="false">BL9*MIN(Partner_Cap_SN,Partner_Base_SN*(1+Partner_Growth)^MAX(0,BL$3-Launch_SN))</f>
        <v>80</v>
      </c>
    </row>
    <row r="22" customFormat="false" ht="15" hidden="false" customHeight="false" outlineLevel="0" collapsed="false">
      <c r="A22" s="12" t="s">
        <v>548</v>
      </c>
      <c r="B22" s="14" t="s">
        <v>154</v>
      </c>
      <c r="D22" s="43" t="n">
        <f aca="false">SUM(E22:BL22)</f>
        <v>1048.57179371259</v>
      </c>
      <c r="E22" s="30" t="n">
        <f aca="false">E10*MIN(Partner_Cap_CI,Partner_Base_CI*(1+Partner_Growth)^MAX(0,E$3-Launch_CI))</f>
        <v>0</v>
      </c>
      <c r="F22" s="30" t="n">
        <f aca="false">F10*MIN(Partner_Cap_CI,Partner_Base_CI*(1+Partner_Growth)^MAX(0,F$3-Launch_CI))</f>
        <v>0</v>
      </c>
      <c r="G22" s="30" t="n">
        <f aca="false">G10*MIN(Partner_Cap_CI,Partner_Base_CI*(1+Partner_Growth)^MAX(0,G$3-Launch_CI))</f>
        <v>0</v>
      </c>
      <c r="H22" s="30" t="n">
        <f aca="false">H10*MIN(Partner_Cap_CI,Partner_Base_CI*(1+Partner_Growth)^MAX(0,H$3-Launch_CI))</f>
        <v>0</v>
      </c>
      <c r="I22" s="30" t="n">
        <f aca="false">I10*MIN(Partner_Cap_CI,Partner_Base_CI*(1+Partner_Growth)^MAX(0,I$3-Launch_CI))</f>
        <v>0</v>
      </c>
      <c r="J22" s="30" t="n">
        <f aca="false">J10*MIN(Partner_Cap_CI,Partner_Base_CI*(1+Partner_Growth)^MAX(0,J$3-Launch_CI))</f>
        <v>0</v>
      </c>
      <c r="K22" s="30" t="n">
        <f aca="false">K10*MIN(Partner_Cap_CI,Partner_Base_CI*(1+Partner_Growth)^MAX(0,K$3-Launch_CI))</f>
        <v>0</v>
      </c>
      <c r="L22" s="30" t="n">
        <f aca="false">L10*MIN(Partner_Cap_CI,Partner_Base_CI*(1+Partner_Growth)^MAX(0,L$3-Launch_CI))</f>
        <v>0</v>
      </c>
      <c r="M22" s="30" t="n">
        <f aca="false">M10*MIN(Partner_Cap_CI,Partner_Base_CI*(1+Partner_Growth)^MAX(0,M$3-Launch_CI))</f>
        <v>0</v>
      </c>
      <c r="N22" s="30" t="n">
        <f aca="false">N10*MIN(Partner_Cap_CI,Partner_Base_CI*(1+Partner_Growth)^MAX(0,N$3-Launch_CI))</f>
        <v>0</v>
      </c>
      <c r="O22" s="30" t="n">
        <f aca="false">O10*MIN(Partner_Cap_CI,Partner_Base_CI*(1+Partner_Growth)^MAX(0,O$3-Launch_CI))</f>
        <v>0</v>
      </c>
      <c r="P22" s="30" t="n">
        <f aca="false">P10*MIN(Partner_Cap_CI,Partner_Base_CI*(1+Partner_Growth)^MAX(0,P$3-Launch_CI))</f>
        <v>0</v>
      </c>
      <c r="Q22" s="30" t="n">
        <f aca="false">Q10*MIN(Partner_Cap_CI,Partner_Base_CI*(1+Partner_Growth)^MAX(0,Q$3-Launch_CI))</f>
        <v>0</v>
      </c>
      <c r="R22" s="30" t="n">
        <f aca="false">R10*MIN(Partner_Cap_CI,Partner_Base_CI*(1+Partner_Growth)^MAX(0,R$3-Launch_CI))</f>
        <v>0</v>
      </c>
      <c r="S22" s="30" t="n">
        <f aca="false">S10*MIN(Partner_Cap_CI,Partner_Base_CI*(1+Partner_Growth)^MAX(0,S$3-Launch_CI))</f>
        <v>0</v>
      </c>
      <c r="T22" s="30" t="n">
        <f aca="false">T10*MIN(Partner_Cap_CI,Partner_Base_CI*(1+Partner_Growth)^MAX(0,T$3-Launch_CI))</f>
        <v>0</v>
      </c>
      <c r="U22" s="30" t="n">
        <f aca="false">U10*MIN(Partner_Cap_CI,Partner_Base_CI*(1+Partner_Growth)^MAX(0,U$3-Launch_CI))</f>
        <v>0</v>
      </c>
      <c r="V22" s="30" t="n">
        <f aca="false">V10*MIN(Partner_Cap_CI,Partner_Base_CI*(1+Partner_Growth)^MAX(0,V$3-Launch_CI))</f>
        <v>0</v>
      </c>
      <c r="W22" s="30" t="n">
        <f aca="false">W10*MIN(Partner_Cap_CI,Partner_Base_CI*(1+Partner_Growth)^MAX(0,W$3-Launch_CI))</f>
        <v>6</v>
      </c>
      <c r="X22" s="30" t="n">
        <f aca="false">X10*MIN(Partner_Cap_CI,Partner_Base_CI*(1+Partner_Growth)^MAX(0,X$3-Launch_CI))</f>
        <v>6.36</v>
      </c>
      <c r="Y22" s="30" t="n">
        <f aca="false">Y10*MIN(Partner_Cap_CI,Partner_Base_CI*(1+Partner_Growth)^MAX(0,Y$3-Launch_CI))</f>
        <v>6.7416</v>
      </c>
      <c r="Z22" s="30" t="n">
        <f aca="false">Z10*MIN(Partner_Cap_CI,Partner_Base_CI*(1+Partner_Growth)^MAX(0,Z$3-Launch_CI))</f>
        <v>7.146096</v>
      </c>
      <c r="AA22" s="30" t="n">
        <f aca="false">AA10*MIN(Partner_Cap_CI,Partner_Base_CI*(1+Partner_Growth)^MAX(0,AA$3-Launch_CI))</f>
        <v>7.57486176</v>
      </c>
      <c r="AB22" s="30" t="n">
        <f aca="false">AB10*MIN(Partner_Cap_CI,Partner_Base_CI*(1+Partner_Growth)^MAX(0,AB$3-Launch_CI))</f>
        <v>8.0293534656</v>
      </c>
      <c r="AC22" s="30" t="n">
        <f aca="false">AC10*MIN(Partner_Cap_CI,Partner_Base_CI*(1+Partner_Growth)^MAX(0,AC$3-Launch_CI))</f>
        <v>8.511114673536</v>
      </c>
      <c r="AD22" s="30" t="n">
        <f aca="false">AD10*MIN(Partner_Cap_CI,Partner_Base_CI*(1+Partner_Growth)^MAX(0,AD$3-Launch_CI))</f>
        <v>9.02178155394816</v>
      </c>
      <c r="AE22" s="30" t="n">
        <f aca="false">AE10*MIN(Partner_Cap_CI,Partner_Base_CI*(1+Partner_Growth)^MAX(0,AE$3-Launch_CI))</f>
        <v>9.56308844718505</v>
      </c>
      <c r="AF22" s="30" t="n">
        <f aca="false">AF10*MIN(Partner_Cap_CI,Partner_Base_CI*(1+Partner_Growth)^MAX(0,AF$3-Launch_CI))</f>
        <v>10.1368737540162</v>
      </c>
      <c r="AG22" s="30" t="n">
        <f aca="false">AG10*MIN(Partner_Cap_CI,Partner_Base_CI*(1+Partner_Growth)^MAX(0,AG$3-Launch_CI))</f>
        <v>10.7450861792571</v>
      </c>
      <c r="AH22" s="30" t="n">
        <f aca="false">AH10*MIN(Partner_Cap_CI,Partner_Base_CI*(1+Partner_Growth)^MAX(0,AH$3-Launch_CI))</f>
        <v>11.3897913500126</v>
      </c>
      <c r="AI22" s="30" t="n">
        <f aca="false">AI10*MIN(Partner_Cap_CI,Partner_Base_CI*(1+Partner_Growth)^MAX(0,AI$3-Launch_CI))</f>
        <v>12.0731788310133</v>
      </c>
      <c r="AJ22" s="30" t="n">
        <f aca="false">AJ10*MIN(Partner_Cap_CI,Partner_Base_CI*(1+Partner_Growth)^MAX(0,AJ$3-Launch_CI))</f>
        <v>12.7975695608741</v>
      </c>
      <c r="AK22" s="30" t="n">
        <f aca="false">AK10*MIN(Partner_Cap_CI,Partner_Base_CI*(1+Partner_Growth)^MAX(0,AK$3-Launch_CI))</f>
        <v>13.5654237345266</v>
      </c>
      <c r="AL22" s="30" t="n">
        <f aca="false">AL10*MIN(Partner_Cap_CI,Partner_Base_CI*(1+Partner_Growth)^MAX(0,AL$3-Launch_CI))</f>
        <v>14.3793491585982</v>
      </c>
      <c r="AM22" s="30" t="n">
        <f aca="false">AM10*MIN(Partner_Cap_CI,Partner_Base_CI*(1+Partner_Growth)^MAX(0,AM$3-Launch_CI))</f>
        <v>15.242110108114</v>
      </c>
      <c r="AN22" s="30" t="n">
        <f aca="false">AN10*MIN(Partner_Cap_CI,Partner_Base_CI*(1+Partner_Growth)^MAX(0,AN$3-Launch_CI))</f>
        <v>16.1566367146009</v>
      </c>
      <c r="AO22" s="30" t="n">
        <f aca="false">AO10*MIN(Partner_Cap_CI,Partner_Base_CI*(1+Partner_Growth)^MAX(0,AO$3-Launch_CI))</f>
        <v>17.1260349174769</v>
      </c>
      <c r="AP22" s="30" t="n">
        <f aca="false">AP10*MIN(Partner_Cap_CI,Partner_Base_CI*(1+Partner_Growth)^MAX(0,AP$3-Launch_CI))</f>
        <v>18.1535970125256</v>
      </c>
      <c r="AQ22" s="30" t="n">
        <f aca="false">AQ10*MIN(Partner_Cap_CI,Partner_Base_CI*(1+Partner_Growth)^MAX(0,AQ$3-Launch_CI))</f>
        <v>19.2428128332771</v>
      </c>
      <c r="AR22" s="30" t="n">
        <f aca="false">AR10*MIN(Partner_Cap_CI,Partner_Base_CI*(1+Partner_Growth)^MAX(0,AR$3-Launch_CI))</f>
        <v>20.3973816032737</v>
      </c>
      <c r="AS22" s="30" t="n">
        <f aca="false">AS10*MIN(Partner_Cap_CI,Partner_Base_CI*(1+Partner_Growth)^MAX(0,AS$3-Launch_CI))</f>
        <v>21.6212244994701</v>
      </c>
      <c r="AT22" s="30" t="n">
        <f aca="false">AT10*MIN(Partner_Cap_CI,Partner_Base_CI*(1+Partner_Growth)^MAX(0,AT$3-Launch_CI))</f>
        <v>22.9184979694384</v>
      </c>
      <c r="AU22" s="30" t="n">
        <f aca="false">AU10*MIN(Partner_Cap_CI,Partner_Base_CI*(1+Partner_Growth)^MAX(0,AU$3-Launch_CI))</f>
        <v>24.2936078476047</v>
      </c>
      <c r="AV22" s="30" t="n">
        <f aca="false">AV10*MIN(Partner_Cap_CI,Partner_Base_CI*(1+Partner_Growth)^MAX(0,AV$3-Launch_CI))</f>
        <v>25.7512243184609</v>
      </c>
      <c r="AW22" s="30" t="n">
        <f aca="false">AW10*MIN(Partner_Cap_CI,Partner_Base_CI*(1+Partner_Growth)^MAX(0,AW$3-Launch_CI))</f>
        <v>27.2962977775686</v>
      </c>
      <c r="AX22" s="30" t="n">
        <f aca="false">AX10*MIN(Partner_Cap_CI,Partner_Base_CI*(1+Partner_Growth)^MAX(0,AX$3-Launch_CI))</f>
        <v>28.9340756442227</v>
      </c>
      <c r="AY22" s="30" t="n">
        <f aca="false">AY10*MIN(Partner_Cap_CI,Partner_Base_CI*(1+Partner_Growth)^MAX(0,AY$3-Launch_CI))</f>
        <v>30.6701201828761</v>
      </c>
      <c r="AZ22" s="30" t="n">
        <f aca="false">AZ10*MIN(Partner_Cap_CI,Partner_Base_CI*(1+Partner_Growth)^MAX(0,AZ$3-Launch_CI))</f>
        <v>32.5103273938486</v>
      </c>
      <c r="BA22" s="30" t="n">
        <f aca="false">BA10*MIN(Partner_Cap_CI,Partner_Base_CI*(1+Partner_Growth)^MAX(0,BA$3-Launch_CI))</f>
        <v>34.4609470374796</v>
      </c>
      <c r="BB22" s="30" t="n">
        <f aca="false">BB10*MIN(Partner_Cap_CI,Partner_Base_CI*(1+Partner_Growth)^MAX(0,BB$3-Launch_CI))</f>
        <v>36.5286038597283</v>
      </c>
      <c r="BC22" s="30" t="n">
        <f aca="false">BC10*MIN(Partner_Cap_CI,Partner_Base_CI*(1+Partner_Growth)^MAX(0,BC$3-Launch_CI))</f>
        <v>38.720320091312</v>
      </c>
      <c r="BD22" s="30" t="n">
        <f aca="false">BD10*MIN(Partner_Cap_CI,Partner_Base_CI*(1+Partner_Growth)^MAX(0,BD$3-Launch_CI))</f>
        <v>41.0435392967908</v>
      </c>
      <c r="BE22" s="30" t="n">
        <f aca="false">BE10*MIN(Partner_Cap_CI,Partner_Base_CI*(1+Partner_Growth)^MAX(0,BE$3-Launch_CI))</f>
        <v>43.5061516545982</v>
      </c>
      <c r="BF22" s="30" t="n">
        <f aca="false">BF10*MIN(Partner_Cap_CI,Partner_Base_CI*(1+Partner_Growth)^MAX(0,BF$3-Launch_CI))</f>
        <v>46.1165207538741</v>
      </c>
      <c r="BG22" s="30" t="n">
        <f aca="false">BG10*MIN(Partner_Cap_CI,Partner_Base_CI*(1+Partner_Growth)^MAX(0,BG$3-Launch_CI))</f>
        <v>48.8835119991065</v>
      </c>
      <c r="BH22" s="30" t="n">
        <f aca="false">BH10*MIN(Partner_Cap_CI,Partner_Base_CI*(1+Partner_Growth)^MAX(0,BH$3-Launch_CI))</f>
        <v>51.8165227190529</v>
      </c>
      <c r="BI22" s="30" t="n">
        <f aca="false">BI10*MIN(Partner_Cap_CI,Partner_Base_CI*(1+Partner_Growth)^MAX(0,BI$3-Launch_CI))</f>
        <v>54.9255140821961</v>
      </c>
      <c r="BJ22" s="30" t="n">
        <f aca="false">BJ10*MIN(Partner_Cap_CI,Partner_Base_CI*(1+Partner_Growth)^MAX(0,BJ$3-Launch_CI))</f>
        <v>58.2210449271279</v>
      </c>
      <c r="BK22" s="30" t="n">
        <f aca="false">BK10*MIN(Partner_Cap_CI,Partner_Base_CI*(1+Partner_Growth)^MAX(0,BK$3-Launch_CI))</f>
        <v>60</v>
      </c>
      <c r="BL22" s="30" t="n">
        <f aca="false">BL10*MIN(Partner_Cap_CI,Partner_Base_CI*(1+Partner_Growth)^MAX(0,BL$3-Launch_CI))</f>
        <v>60</v>
      </c>
    </row>
    <row r="24" customFormat="false" ht="15" hidden="false" customHeight="false" outlineLevel="0" collapsed="false">
      <c r="A24" s="10" t="s">
        <v>549</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419</v>
      </c>
      <c r="B25" s="14" t="s">
        <v>63</v>
      </c>
      <c r="D25" s="41" t="n">
        <f aca="false">SUM(E25:BL25)</f>
        <v>207280000</v>
      </c>
      <c r="E25" s="33" t="n">
        <f aca="false">E9*INDEX(Digital_SN,1,E$5)</f>
        <v>0</v>
      </c>
      <c r="F25" s="33" t="n">
        <f aca="false">F9*INDEX(Digital_SN,1,F$5)</f>
        <v>0</v>
      </c>
      <c r="G25" s="33" t="n">
        <f aca="false">G9*INDEX(Digital_SN,1,G$5)</f>
        <v>0</v>
      </c>
      <c r="H25" s="33" t="n">
        <f aca="false">H9*INDEX(Digital_SN,1,H$5)</f>
        <v>0</v>
      </c>
      <c r="I25" s="33" t="n">
        <f aca="false">I9*INDEX(Digital_SN,1,I$5)</f>
        <v>1310000</v>
      </c>
      <c r="J25" s="33" t="n">
        <f aca="false">J9*INDEX(Digital_SN,1,J$5)</f>
        <v>1310000</v>
      </c>
      <c r="K25" s="33" t="n">
        <f aca="false">K9*INDEX(Digital_SN,1,K$5)</f>
        <v>1310000</v>
      </c>
      <c r="L25" s="33" t="n">
        <f aca="false">L9*INDEX(Digital_SN,1,L$5)</f>
        <v>1310000</v>
      </c>
      <c r="M25" s="33" t="n">
        <f aca="false">M9*INDEX(Digital_SN,1,M$5)</f>
        <v>1310000</v>
      </c>
      <c r="N25" s="33" t="n">
        <f aca="false">N9*INDEX(Digital_SN,1,N$5)</f>
        <v>1310000</v>
      </c>
      <c r="O25" s="33" t="n">
        <f aca="false">O9*INDEX(Digital_SN,1,O$5)</f>
        <v>1310000</v>
      </c>
      <c r="P25" s="33" t="n">
        <f aca="false">P9*INDEX(Digital_SN,1,P$5)</f>
        <v>1310000</v>
      </c>
      <c r="Q25" s="33" t="n">
        <f aca="false">Q9*INDEX(Digital_SN,1,Q$5)</f>
        <v>2620000</v>
      </c>
      <c r="R25" s="33" t="n">
        <f aca="false">R9*INDEX(Digital_SN,1,R$5)</f>
        <v>2620000</v>
      </c>
      <c r="S25" s="33" t="n">
        <f aca="false">S9*INDEX(Digital_SN,1,S$5)</f>
        <v>2620000</v>
      </c>
      <c r="T25" s="33" t="n">
        <f aca="false">T9*INDEX(Digital_SN,1,T$5)</f>
        <v>2620000</v>
      </c>
      <c r="U25" s="33" t="n">
        <f aca="false">U9*INDEX(Digital_SN,1,U$5)</f>
        <v>2620000</v>
      </c>
      <c r="V25" s="33" t="n">
        <f aca="false">V9*INDEX(Digital_SN,1,V$5)</f>
        <v>2620000</v>
      </c>
      <c r="W25" s="33" t="n">
        <f aca="false">W9*INDEX(Digital_SN,1,W$5)</f>
        <v>2620000</v>
      </c>
      <c r="X25" s="33" t="n">
        <f aca="false">X9*INDEX(Digital_SN,1,X$5)</f>
        <v>2620000</v>
      </c>
      <c r="Y25" s="33" t="n">
        <f aca="false">Y9*INDEX(Digital_SN,1,Y$5)</f>
        <v>2620000</v>
      </c>
      <c r="Z25" s="33" t="n">
        <f aca="false">Z9*INDEX(Digital_SN,1,Z$5)</f>
        <v>2620000</v>
      </c>
      <c r="AA25" s="33" t="n">
        <f aca="false">AA9*INDEX(Digital_SN,1,AA$5)</f>
        <v>2620000</v>
      </c>
      <c r="AB25" s="33" t="n">
        <f aca="false">AB9*INDEX(Digital_SN,1,AB$5)</f>
        <v>2620000</v>
      </c>
      <c r="AC25" s="33" t="n">
        <f aca="false">AC9*INDEX(Digital_SN,1,AC$5)</f>
        <v>3940000</v>
      </c>
      <c r="AD25" s="33" t="n">
        <f aca="false">AD9*INDEX(Digital_SN,1,AD$5)</f>
        <v>3940000</v>
      </c>
      <c r="AE25" s="33" t="n">
        <f aca="false">AE9*INDEX(Digital_SN,1,AE$5)</f>
        <v>3940000</v>
      </c>
      <c r="AF25" s="33" t="n">
        <f aca="false">AF9*INDEX(Digital_SN,1,AF$5)</f>
        <v>3940000</v>
      </c>
      <c r="AG25" s="33" t="n">
        <f aca="false">AG9*INDEX(Digital_SN,1,AG$5)</f>
        <v>3940000</v>
      </c>
      <c r="AH25" s="33" t="n">
        <f aca="false">AH9*INDEX(Digital_SN,1,AH$5)</f>
        <v>3940000</v>
      </c>
      <c r="AI25" s="33" t="n">
        <f aca="false">AI9*INDEX(Digital_SN,1,AI$5)</f>
        <v>3940000</v>
      </c>
      <c r="AJ25" s="33" t="n">
        <f aca="false">AJ9*INDEX(Digital_SN,1,AJ$5)</f>
        <v>3940000</v>
      </c>
      <c r="AK25" s="33" t="n">
        <f aca="false">AK9*INDEX(Digital_SN,1,AK$5)</f>
        <v>3940000</v>
      </c>
      <c r="AL25" s="33" t="n">
        <f aca="false">AL9*INDEX(Digital_SN,1,AL$5)</f>
        <v>3940000</v>
      </c>
      <c r="AM25" s="33" t="n">
        <f aca="false">AM9*INDEX(Digital_SN,1,AM$5)</f>
        <v>3940000</v>
      </c>
      <c r="AN25" s="33" t="n">
        <f aca="false">AN9*INDEX(Digital_SN,1,AN$5)</f>
        <v>3940000</v>
      </c>
      <c r="AO25" s="33" t="n">
        <f aca="false">AO9*INDEX(Digital_SN,1,AO$5)</f>
        <v>4590000</v>
      </c>
      <c r="AP25" s="33" t="n">
        <f aca="false">AP9*INDEX(Digital_SN,1,AP$5)</f>
        <v>4590000</v>
      </c>
      <c r="AQ25" s="33" t="n">
        <f aca="false">AQ9*INDEX(Digital_SN,1,AQ$5)</f>
        <v>4590000</v>
      </c>
      <c r="AR25" s="33" t="n">
        <f aca="false">AR9*INDEX(Digital_SN,1,AR$5)</f>
        <v>4590000</v>
      </c>
      <c r="AS25" s="33" t="n">
        <f aca="false">AS9*INDEX(Digital_SN,1,AS$5)</f>
        <v>4590000</v>
      </c>
      <c r="AT25" s="33" t="n">
        <f aca="false">AT9*INDEX(Digital_SN,1,AT$5)</f>
        <v>4590000</v>
      </c>
      <c r="AU25" s="33" t="n">
        <f aca="false">AU9*INDEX(Digital_SN,1,AU$5)</f>
        <v>4590000</v>
      </c>
      <c r="AV25" s="33" t="n">
        <f aca="false">AV9*INDEX(Digital_SN,1,AV$5)</f>
        <v>4590000</v>
      </c>
      <c r="AW25" s="33" t="n">
        <f aca="false">AW9*INDEX(Digital_SN,1,AW$5)</f>
        <v>4590000</v>
      </c>
      <c r="AX25" s="33" t="n">
        <f aca="false">AX9*INDEX(Digital_SN,1,AX$5)</f>
        <v>4590000</v>
      </c>
      <c r="AY25" s="33" t="n">
        <f aca="false">AY9*INDEX(Digital_SN,1,AY$5)</f>
        <v>4590000</v>
      </c>
      <c r="AZ25" s="33" t="n">
        <f aca="false">AZ9*INDEX(Digital_SN,1,AZ$5)</f>
        <v>4590000</v>
      </c>
      <c r="BA25" s="33" t="n">
        <f aca="false">BA9*INDEX(Digital_SN,1,BA$5)</f>
        <v>5250000</v>
      </c>
      <c r="BB25" s="33" t="n">
        <f aca="false">BB9*INDEX(Digital_SN,1,BB$5)</f>
        <v>5250000</v>
      </c>
      <c r="BC25" s="33" t="n">
        <f aca="false">BC9*INDEX(Digital_SN,1,BC$5)</f>
        <v>5250000</v>
      </c>
      <c r="BD25" s="33" t="n">
        <f aca="false">BD9*INDEX(Digital_SN,1,BD$5)</f>
        <v>5250000</v>
      </c>
      <c r="BE25" s="33" t="n">
        <f aca="false">BE9*INDEX(Digital_SN,1,BE$5)</f>
        <v>5250000</v>
      </c>
      <c r="BF25" s="33" t="n">
        <f aca="false">BF9*INDEX(Digital_SN,1,BF$5)</f>
        <v>5250000</v>
      </c>
      <c r="BG25" s="33" t="n">
        <f aca="false">BG9*INDEX(Digital_SN,1,BG$5)</f>
        <v>5250000</v>
      </c>
      <c r="BH25" s="33" t="n">
        <f aca="false">BH9*INDEX(Digital_SN,1,BH$5)</f>
        <v>5250000</v>
      </c>
      <c r="BI25" s="33" t="n">
        <f aca="false">BI9*INDEX(Digital_SN,1,BI$5)</f>
        <v>5250000</v>
      </c>
      <c r="BJ25" s="33" t="n">
        <f aca="false">BJ9*INDEX(Digital_SN,1,BJ$5)</f>
        <v>5250000</v>
      </c>
      <c r="BK25" s="33" t="n">
        <f aca="false">BK9*INDEX(Digital_SN,1,BK$5)</f>
        <v>5250000</v>
      </c>
      <c r="BL25" s="33" t="n">
        <f aca="false">BL9*INDEX(Digital_SN,1,BL$5)</f>
        <v>5250000</v>
      </c>
    </row>
    <row r="26" customFormat="false" ht="15" hidden="false" customHeight="false" outlineLevel="0" collapsed="false">
      <c r="A26" s="12" t="s">
        <v>421</v>
      </c>
      <c r="B26" s="14" t="s">
        <v>63</v>
      </c>
      <c r="D26" s="41" t="n">
        <f aca="false">SUM(E26:BL26)</f>
        <v>125940000</v>
      </c>
      <c r="E26" s="33" t="n">
        <f aca="false">E10*INDEX(Digital_CI,1,E$5)</f>
        <v>0</v>
      </c>
      <c r="F26" s="33" t="n">
        <f aca="false">F10*INDEX(Digital_CI,1,F$5)</f>
        <v>0</v>
      </c>
      <c r="G26" s="33" t="n">
        <f aca="false">G10*INDEX(Digital_CI,1,G$5)</f>
        <v>0</v>
      </c>
      <c r="H26" s="33" t="n">
        <f aca="false">H10*INDEX(Digital_CI,1,H$5)</f>
        <v>0</v>
      </c>
      <c r="I26" s="33" t="n">
        <f aca="false">I10*INDEX(Digital_CI,1,I$5)</f>
        <v>0</v>
      </c>
      <c r="J26" s="33" t="n">
        <f aca="false">J10*INDEX(Digital_CI,1,J$5)</f>
        <v>0</v>
      </c>
      <c r="K26" s="33" t="n">
        <f aca="false">K10*INDEX(Digital_CI,1,K$5)</f>
        <v>0</v>
      </c>
      <c r="L26" s="33" t="n">
        <f aca="false">L10*INDEX(Digital_CI,1,L$5)</f>
        <v>0</v>
      </c>
      <c r="M26" s="33" t="n">
        <f aca="false">M10*INDEX(Digital_CI,1,M$5)</f>
        <v>0</v>
      </c>
      <c r="N26" s="33" t="n">
        <f aca="false">N10*INDEX(Digital_CI,1,N$5)</f>
        <v>0</v>
      </c>
      <c r="O26" s="33" t="n">
        <f aca="false">O10*INDEX(Digital_CI,1,O$5)</f>
        <v>0</v>
      </c>
      <c r="P26" s="33" t="n">
        <f aca="false">P10*INDEX(Digital_CI,1,P$5)</f>
        <v>0</v>
      </c>
      <c r="Q26" s="33" t="n">
        <f aca="false">Q10*INDEX(Digital_CI,1,Q$5)</f>
        <v>0</v>
      </c>
      <c r="R26" s="33" t="n">
        <f aca="false">R10*INDEX(Digital_CI,1,R$5)</f>
        <v>0</v>
      </c>
      <c r="S26" s="33" t="n">
        <f aca="false">S10*INDEX(Digital_CI,1,S$5)</f>
        <v>0</v>
      </c>
      <c r="T26" s="33" t="n">
        <f aca="false">T10*INDEX(Digital_CI,1,T$5)</f>
        <v>0</v>
      </c>
      <c r="U26" s="33" t="n">
        <f aca="false">U10*INDEX(Digital_CI,1,U$5)</f>
        <v>0</v>
      </c>
      <c r="V26" s="33" t="n">
        <f aca="false">V10*INDEX(Digital_CI,1,V$5)</f>
        <v>0</v>
      </c>
      <c r="W26" s="33" t="n">
        <f aca="false">W10*INDEX(Digital_CI,1,W$5)</f>
        <v>1310000</v>
      </c>
      <c r="X26" s="33" t="n">
        <f aca="false">X10*INDEX(Digital_CI,1,X$5)</f>
        <v>1310000</v>
      </c>
      <c r="Y26" s="33" t="n">
        <f aca="false">Y10*INDEX(Digital_CI,1,Y$5)</f>
        <v>1310000</v>
      </c>
      <c r="Z26" s="33" t="n">
        <f aca="false">Z10*INDEX(Digital_CI,1,Z$5)</f>
        <v>1310000</v>
      </c>
      <c r="AA26" s="33" t="n">
        <f aca="false">AA10*INDEX(Digital_CI,1,AA$5)</f>
        <v>1310000</v>
      </c>
      <c r="AB26" s="33" t="n">
        <f aca="false">AB10*INDEX(Digital_CI,1,AB$5)</f>
        <v>1310000</v>
      </c>
      <c r="AC26" s="33" t="n">
        <f aca="false">AC10*INDEX(Digital_CI,1,AC$5)</f>
        <v>2620000</v>
      </c>
      <c r="AD26" s="33" t="n">
        <f aca="false">AD10*INDEX(Digital_CI,1,AD$5)</f>
        <v>2620000</v>
      </c>
      <c r="AE26" s="33" t="n">
        <f aca="false">AE10*INDEX(Digital_CI,1,AE$5)</f>
        <v>2620000</v>
      </c>
      <c r="AF26" s="33" t="n">
        <f aca="false">AF10*INDEX(Digital_CI,1,AF$5)</f>
        <v>2620000</v>
      </c>
      <c r="AG26" s="33" t="n">
        <f aca="false">AG10*INDEX(Digital_CI,1,AG$5)</f>
        <v>2620000</v>
      </c>
      <c r="AH26" s="33" t="n">
        <f aca="false">AH10*INDEX(Digital_CI,1,AH$5)</f>
        <v>2620000</v>
      </c>
      <c r="AI26" s="33" t="n">
        <f aca="false">AI10*INDEX(Digital_CI,1,AI$5)</f>
        <v>2620000</v>
      </c>
      <c r="AJ26" s="33" t="n">
        <f aca="false">AJ10*INDEX(Digital_CI,1,AJ$5)</f>
        <v>2620000</v>
      </c>
      <c r="AK26" s="33" t="n">
        <f aca="false">AK10*INDEX(Digital_CI,1,AK$5)</f>
        <v>2620000</v>
      </c>
      <c r="AL26" s="33" t="n">
        <f aca="false">AL10*INDEX(Digital_CI,1,AL$5)</f>
        <v>2620000</v>
      </c>
      <c r="AM26" s="33" t="n">
        <f aca="false">AM10*INDEX(Digital_CI,1,AM$5)</f>
        <v>2620000</v>
      </c>
      <c r="AN26" s="33" t="n">
        <f aca="false">AN10*INDEX(Digital_CI,1,AN$5)</f>
        <v>2620000</v>
      </c>
      <c r="AO26" s="33" t="n">
        <f aca="false">AO10*INDEX(Digital_CI,1,AO$5)</f>
        <v>3280000</v>
      </c>
      <c r="AP26" s="33" t="n">
        <f aca="false">AP10*INDEX(Digital_CI,1,AP$5)</f>
        <v>3280000</v>
      </c>
      <c r="AQ26" s="33" t="n">
        <f aca="false">AQ10*INDEX(Digital_CI,1,AQ$5)</f>
        <v>3280000</v>
      </c>
      <c r="AR26" s="33" t="n">
        <f aca="false">AR10*INDEX(Digital_CI,1,AR$5)</f>
        <v>3280000</v>
      </c>
      <c r="AS26" s="33" t="n">
        <f aca="false">AS10*INDEX(Digital_CI,1,AS$5)</f>
        <v>3280000</v>
      </c>
      <c r="AT26" s="33" t="n">
        <f aca="false">AT10*INDEX(Digital_CI,1,AT$5)</f>
        <v>3280000</v>
      </c>
      <c r="AU26" s="33" t="n">
        <f aca="false">AU10*INDEX(Digital_CI,1,AU$5)</f>
        <v>3280000</v>
      </c>
      <c r="AV26" s="33" t="n">
        <f aca="false">AV10*INDEX(Digital_CI,1,AV$5)</f>
        <v>3280000</v>
      </c>
      <c r="AW26" s="33" t="n">
        <f aca="false">AW10*INDEX(Digital_CI,1,AW$5)</f>
        <v>3280000</v>
      </c>
      <c r="AX26" s="33" t="n">
        <f aca="false">AX10*INDEX(Digital_CI,1,AX$5)</f>
        <v>3280000</v>
      </c>
      <c r="AY26" s="33" t="n">
        <f aca="false">AY10*INDEX(Digital_CI,1,AY$5)</f>
        <v>3280000</v>
      </c>
      <c r="AZ26" s="33" t="n">
        <f aca="false">AZ10*INDEX(Digital_CI,1,AZ$5)</f>
        <v>3280000</v>
      </c>
      <c r="BA26" s="33" t="n">
        <f aca="false">BA10*INDEX(Digital_CI,1,BA$5)</f>
        <v>3940000</v>
      </c>
      <c r="BB26" s="33" t="n">
        <f aca="false">BB10*INDEX(Digital_CI,1,BB$5)</f>
        <v>3940000</v>
      </c>
      <c r="BC26" s="33" t="n">
        <f aca="false">BC10*INDEX(Digital_CI,1,BC$5)</f>
        <v>3940000</v>
      </c>
      <c r="BD26" s="33" t="n">
        <f aca="false">BD10*INDEX(Digital_CI,1,BD$5)</f>
        <v>3940000</v>
      </c>
      <c r="BE26" s="33" t="n">
        <f aca="false">BE10*INDEX(Digital_CI,1,BE$5)</f>
        <v>3940000</v>
      </c>
      <c r="BF26" s="33" t="n">
        <f aca="false">BF10*INDEX(Digital_CI,1,BF$5)</f>
        <v>3940000</v>
      </c>
      <c r="BG26" s="33" t="n">
        <f aca="false">BG10*INDEX(Digital_CI,1,BG$5)</f>
        <v>3940000</v>
      </c>
      <c r="BH26" s="33" t="n">
        <f aca="false">BH10*INDEX(Digital_CI,1,BH$5)</f>
        <v>3940000</v>
      </c>
      <c r="BI26" s="33" t="n">
        <f aca="false">BI10*INDEX(Digital_CI,1,BI$5)</f>
        <v>3940000</v>
      </c>
      <c r="BJ26" s="33" t="n">
        <f aca="false">BJ10*INDEX(Digital_CI,1,BJ$5)</f>
        <v>3940000</v>
      </c>
      <c r="BK26" s="33" t="n">
        <f aca="false">BK10*INDEX(Digital_CI,1,BK$5)</f>
        <v>3940000</v>
      </c>
      <c r="BL26" s="33" t="n">
        <f aca="false">BL10*INDEX(Digital_CI,1,BL$5)</f>
        <v>3940000</v>
      </c>
    </row>
    <row r="27" customFormat="false" ht="15" hidden="false" customHeight="false" outlineLevel="0" collapsed="false">
      <c r="A27" s="12" t="s">
        <v>550</v>
      </c>
      <c r="B27" s="14" t="s">
        <v>154</v>
      </c>
      <c r="D27" s="43" t="n">
        <f aca="false">SUM(E27:BL27)</f>
        <v>2763.73333333333</v>
      </c>
      <c r="E27" s="30" t="n">
        <f aca="false">E25/CAC_Digital</f>
        <v>0</v>
      </c>
      <c r="F27" s="30" t="n">
        <f aca="false">F25/CAC_Digital</f>
        <v>0</v>
      </c>
      <c r="G27" s="30" t="n">
        <f aca="false">G25/CAC_Digital</f>
        <v>0</v>
      </c>
      <c r="H27" s="30" t="n">
        <f aca="false">H25/CAC_Digital</f>
        <v>0</v>
      </c>
      <c r="I27" s="30" t="n">
        <f aca="false">I25/CAC_Digital</f>
        <v>17.4666666666667</v>
      </c>
      <c r="J27" s="30" t="n">
        <f aca="false">J25/CAC_Digital</f>
        <v>17.4666666666667</v>
      </c>
      <c r="K27" s="30" t="n">
        <f aca="false">K25/CAC_Digital</f>
        <v>17.4666666666667</v>
      </c>
      <c r="L27" s="30" t="n">
        <f aca="false">L25/CAC_Digital</f>
        <v>17.4666666666667</v>
      </c>
      <c r="M27" s="30" t="n">
        <f aca="false">M25/CAC_Digital</f>
        <v>17.4666666666667</v>
      </c>
      <c r="N27" s="30" t="n">
        <f aca="false">N25/CAC_Digital</f>
        <v>17.4666666666667</v>
      </c>
      <c r="O27" s="30" t="n">
        <f aca="false">O25/CAC_Digital</f>
        <v>17.4666666666667</v>
      </c>
      <c r="P27" s="30" t="n">
        <f aca="false">P25/CAC_Digital</f>
        <v>17.4666666666667</v>
      </c>
      <c r="Q27" s="30" t="n">
        <f aca="false">Q25/CAC_Digital</f>
        <v>34.9333333333333</v>
      </c>
      <c r="R27" s="30" t="n">
        <f aca="false">R25/CAC_Digital</f>
        <v>34.9333333333333</v>
      </c>
      <c r="S27" s="30" t="n">
        <f aca="false">S25/CAC_Digital</f>
        <v>34.9333333333333</v>
      </c>
      <c r="T27" s="30" t="n">
        <f aca="false">T25/CAC_Digital</f>
        <v>34.9333333333333</v>
      </c>
      <c r="U27" s="30" t="n">
        <f aca="false">U25/CAC_Digital</f>
        <v>34.9333333333333</v>
      </c>
      <c r="V27" s="30" t="n">
        <f aca="false">V25/CAC_Digital</f>
        <v>34.9333333333333</v>
      </c>
      <c r="W27" s="30" t="n">
        <f aca="false">W25/CAC_Digital</f>
        <v>34.9333333333333</v>
      </c>
      <c r="X27" s="30" t="n">
        <f aca="false">X25/CAC_Digital</f>
        <v>34.9333333333333</v>
      </c>
      <c r="Y27" s="30" t="n">
        <f aca="false">Y25/CAC_Digital</f>
        <v>34.9333333333333</v>
      </c>
      <c r="Z27" s="30" t="n">
        <f aca="false">Z25/CAC_Digital</f>
        <v>34.9333333333333</v>
      </c>
      <c r="AA27" s="30" t="n">
        <f aca="false">AA25/CAC_Digital</f>
        <v>34.9333333333333</v>
      </c>
      <c r="AB27" s="30" t="n">
        <f aca="false">AB25/CAC_Digital</f>
        <v>34.9333333333333</v>
      </c>
      <c r="AC27" s="30" t="n">
        <f aca="false">AC25/CAC_Digital</f>
        <v>52.5333333333333</v>
      </c>
      <c r="AD27" s="30" t="n">
        <f aca="false">AD25/CAC_Digital</f>
        <v>52.5333333333333</v>
      </c>
      <c r="AE27" s="30" t="n">
        <f aca="false">AE25/CAC_Digital</f>
        <v>52.5333333333333</v>
      </c>
      <c r="AF27" s="30" t="n">
        <f aca="false">AF25/CAC_Digital</f>
        <v>52.5333333333333</v>
      </c>
      <c r="AG27" s="30" t="n">
        <f aca="false">AG25/CAC_Digital</f>
        <v>52.5333333333333</v>
      </c>
      <c r="AH27" s="30" t="n">
        <f aca="false">AH25/CAC_Digital</f>
        <v>52.5333333333333</v>
      </c>
      <c r="AI27" s="30" t="n">
        <f aca="false">AI25/CAC_Digital</f>
        <v>52.5333333333333</v>
      </c>
      <c r="AJ27" s="30" t="n">
        <f aca="false">AJ25/CAC_Digital</f>
        <v>52.5333333333333</v>
      </c>
      <c r="AK27" s="30" t="n">
        <f aca="false">AK25/CAC_Digital</f>
        <v>52.5333333333333</v>
      </c>
      <c r="AL27" s="30" t="n">
        <f aca="false">AL25/CAC_Digital</f>
        <v>52.5333333333333</v>
      </c>
      <c r="AM27" s="30" t="n">
        <f aca="false">AM25/CAC_Digital</f>
        <v>52.5333333333333</v>
      </c>
      <c r="AN27" s="30" t="n">
        <f aca="false">AN25/CAC_Digital</f>
        <v>52.5333333333333</v>
      </c>
      <c r="AO27" s="30" t="n">
        <f aca="false">AO25/CAC_Digital</f>
        <v>61.2</v>
      </c>
      <c r="AP27" s="30" t="n">
        <f aca="false">AP25/CAC_Digital</f>
        <v>61.2</v>
      </c>
      <c r="AQ27" s="30" t="n">
        <f aca="false">AQ25/CAC_Digital</f>
        <v>61.2</v>
      </c>
      <c r="AR27" s="30" t="n">
        <f aca="false">AR25/CAC_Digital</f>
        <v>61.2</v>
      </c>
      <c r="AS27" s="30" t="n">
        <f aca="false">AS25/CAC_Digital</f>
        <v>61.2</v>
      </c>
      <c r="AT27" s="30" t="n">
        <f aca="false">AT25/CAC_Digital</f>
        <v>61.2</v>
      </c>
      <c r="AU27" s="30" t="n">
        <f aca="false">AU25/CAC_Digital</f>
        <v>61.2</v>
      </c>
      <c r="AV27" s="30" t="n">
        <f aca="false">AV25/CAC_Digital</f>
        <v>61.2</v>
      </c>
      <c r="AW27" s="30" t="n">
        <f aca="false">AW25/CAC_Digital</f>
        <v>61.2</v>
      </c>
      <c r="AX27" s="30" t="n">
        <f aca="false">AX25/CAC_Digital</f>
        <v>61.2</v>
      </c>
      <c r="AY27" s="30" t="n">
        <f aca="false">AY25/CAC_Digital</f>
        <v>61.2</v>
      </c>
      <c r="AZ27" s="30" t="n">
        <f aca="false">AZ25/CAC_Digital</f>
        <v>61.2</v>
      </c>
      <c r="BA27" s="30" t="n">
        <f aca="false">BA25/CAC_Digital</f>
        <v>70</v>
      </c>
      <c r="BB27" s="30" t="n">
        <f aca="false">BB25/CAC_Digital</f>
        <v>70</v>
      </c>
      <c r="BC27" s="30" t="n">
        <f aca="false">BC25/CAC_Digital</f>
        <v>70</v>
      </c>
      <c r="BD27" s="30" t="n">
        <f aca="false">BD25/CAC_Digital</f>
        <v>70</v>
      </c>
      <c r="BE27" s="30" t="n">
        <f aca="false">BE25/CAC_Digital</f>
        <v>70</v>
      </c>
      <c r="BF27" s="30" t="n">
        <f aca="false">BF25/CAC_Digital</f>
        <v>70</v>
      </c>
      <c r="BG27" s="30" t="n">
        <f aca="false">BG25/CAC_Digital</f>
        <v>70</v>
      </c>
      <c r="BH27" s="30" t="n">
        <f aca="false">BH25/CAC_Digital</f>
        <v>70</v>
      </c>
      <c r="BI27" s="30" t="n">
        <f aca="false">BI25/CAC_Digital</f>
        <v>70</v>
      </c>
      <c r="BJ27" s="30" t="n">
        <f aca="false">BJ25/CAC_Digital</f>
        <v>70</v>
      </c>
      <c r="BK27" s="30" t="n">
        <f aca="false">BK25/CAC_Digital</f>
        <v>70</v>
      </c>
      <c r="BL27" s="30" t="n">
        <f aca="false">BL25/CAC_Digital</f>
        <v>70</v>
      </c>
    </row>
    <row r="28" customFormat="false" ht="15" hidden="false" customHeight="false" outlineLevel="0" collapsed="false">
      <c r="A28" s="12" t="s">
        <v>551</v>
      </c>
      <c r="B28" s="14" t="s">
        <v>154</v>
      </c>
      <c r="D28" s="43" t="n">
        <f aca="false">SUM(E28:BL28)</f>
        <v>1679.2</v>
      </c>
      <c r="E28" s="30" t="n">
        <f aca="false">E26/CAC_Digital</f>
        <v>0</v>
      </c>
      <c r="F28" s="30" t="n">
        <f aca="false">F26/CAC_Digital</f>
        <v>0</v>
      </c>
      <c r="G28" s="30" t="n">
        <f aca="false">G26/CAC_Digital</f>
        <v>0</v>
      </c>
      <c r="H28" s="30" t="n">
        <f aca="false">H26/CAC_Digital</f>
        <v>0</v>
      </c>
      <c r="I28" s="30" t="n">
        <f aca="false">I26/CAC_Digital</f>
        <v>0</v>
      </c>
      <c r="J28" s="30" t="n">
        <f aca="false">J26/CAC_Digital</f>
        <v>0</v>
      </c>
      <c r="K28" s="30" t="n">
        <f aca="false">K26/CAC_Digital</f>
        <v>0</v>
      </c>
      <c r="L28" s="30" t="n">
        <f aca="false">L26/CAC_Digital</f>
        <v>0</v>
      </c>
      <c r="M28" s="30" t="n">
        <f aca="false">M26/CAC_Digital</f>
        <v>0</v>
      </c>
      <c r="N28" s="30" t="n">
        <f aca="false">N26/CAC_Digital</f>
        <v>0</v>
      </c>
      <c r="O28" s="30" t="n">
        <f aca="false">O26/CAC_Digital</f>
        <v>0</v>
      </c>
      <c r="P28" s="30" t="n">
        <f aca="false">P26/CAC_Digital</f>
        <v>0</v>
      </c>
      <c r="Q28" s="30" t="n">
        <f aca="false">Q26/CAC_Digital</f>
        <v>0</v>
      </c>
      <c r="R28" s="30" t="n">
        <f aca="false">R26/CAC_Digital</f>
        <v>0</v>
      </c>
      <c r="S28" s="30" t="n">
        <f aca="false">S26/CAC_Digital</f>
        <v>0</v>
      </c>
      <c r="T28" s="30" t="n">
        <f aca="false">T26/CAC_Digital</f>
        <v>0</v>
      </c>
      <c r="U28" s="30" t="n">
        <f aca="false">U26/CAC_Digital</f>
        <v>0</v>
      </c>
      <c r="V28" s="30" t="n">
        <f aca="false">V26/CAC_Digital</f>
        <v>0</v>
      </c>
      <c r="W28" s="30" t="n">
        <f aca="false">W26/CAC_Digital</f>
        <v>17.4666666666667</v>
      </c>
      <c r="X28" s="30" t="n">
        <f aca="false">X26/CAC_Digital</f>
        <v>17.4666666666667</v>
      </c>
      <c r="Y28" s="30" t="n">
        <f aca="false">Y26/CAC_Digital</f>
        <v>17.4666666666667</v>
      </c>
      <c r="Z28" s="30" t="n">
        <f aca="false">Z26/CAC_Digital</f>
        <v>17.4666666666667</v>
      </c>
      <c r="AA28" s="30" t="n">
        <f aca="false">AA26/CAC_Digital</f>
        <v>17.4666666666667</v>
      </c>
      <c r="AB28" s="30" t="n">
        <f aca="false">AB26/CAC_Digital</f>
        <v>17.4666666666667</v>
      </c>
      <c r="AC28" s="30" t="n">
        <f aca="false">AC26/CAC_Digital</f>
        <v>34.9333333333333</v>
      </c>
      <c r="AD28" s="30" t="n">
        <f aca="false">AD26/CAC_Digital</f>
        <v>34.9333333333333</v>
      </c>
      <c r="AE28" s="30" t="n">
        <f aca="false">AE26/CAC_Digital</f>
        <v>34.9333333333333</v>
      </c>
      <c r="AF28" s="30" t="n">
        <f aca="false">AF26/CAC_Digital</f>
        <v>34.9333333333333</v>
      </c>
      <c r="AG28" s="30" t="n">
        <f aca="false">AG26/CAC_Digital</f>
        <v>34.9333333333333</v>
      </c>
      <c r="AH28" s="30" t="n">
        <f aca="false">AH26/CAC_Digital</f>
        <v>34.9333333333333</v>
      </c>
      <c r="AI28" s="30" t="n">
        <f aca="false">AI26/CAC_Digital</f>
        <v>34.9333333333333</v>
      </c>
      <c r="AJ28" s="30" t="n">
        <f aca="false">AJ26/CAC_Digital</f>
        <v>34.9333333333333</v>
      </c>
      <c r="AK28" s="30" t="n">
        <f aca="false">AK26/CAC_Digital</f>
        <v>34.9333333333333</v>
      </c>
      <c r="AL28" s="30" t="n">
        <f aca="false">AL26/CAC_Digital</f>
        <v>34.9333333333333</v>
      </c>
      <c r="AM28" s="30" t="n">
        <f aca="false">AM26/CAC_Digital</f>
        <v>34.9333333333333</v>
      </c>
      <c r="AN28" s="30" t="n">
        <f aca="false">AN26/CAC_Digital</f>
        <v>34.9333333333333</v>
      </c>
      <c r="AO28" s="30" t="n">
        <f aca="false">AO26/CAC_Digital</f>
        <v>43.7333333333333</v>
      </c>
      <c r="AP28" s="30" t="n">
        <f aca="false">AP26/CAC_Digital</f>
        <v>43.7333333333333</v>
      </c>
      <c r="AQ28" s="30" t="n">
        <f aca="false">AQ26/CAC_Digital</f>
        <v>43.7333333333333</v>
      </c>
      <c r="AR28" s="30" t="n">
        <f aca="false">AR26/CAC_Digital</f>
        <v>43.7333333333333</v>
      </c>
      <c r="AS28" s="30" t="n">
        <f aca="false">AS26/CAC_Digital</f>
        <v>43.7333333333333</v>
      </c>
      <c r="AT28" s="30" t="n">
        <f aca="false">AT26/CAC_Digital</f>
        <v>43.7333333333333</v>
      </c>
      <c r="AU28" s="30" t="n">
        <f aca="false">AU26/CAC_Digital</f>
        <v>43.7333333333333</v>
      </c>
      <c r="AV28" s="30" t="n">
        <f aca="false">AV26/CAC_Digital</f>
        <v>43.7333333333333</v>
      </c>
      <c r="AW28" s="30" t="n">
        <f aca="false">AW26/CAC_Digital</f>
        <v>43.7333333333333</v>
      </c>
      <c r="AX28" s="30" t="n">
        <f aca="false">AX26/CAC_Digital</f>
        <v>43.7333333333333</v>
      </c>
      <c r="AY28" s="30" t="n">
        <f aca="false">AY26/CAC_Digital</f>
        <v>43.7333333333333</v>
      </c>
      <c r="AZ28" s="30" t="n">
        <f aca="false">AZ26/CAC_Digital</f>
        <v>43.7333333333333</v>
      </c>
      <c r="BA28" s="30" t="n">
        <f aca="false">BA26/CAC_Digital</f>
        <v>52.5333333333333</v>
      </c>
      <c r="BB28" s="30" t="n">
        <f aca="false">BB26/CAC_Digital</f>
        <v>52.5333333333333</v>
      </c>
      <c r="BC28" s="30" t="n">
        <f aca="false">BC26/CAC_Digital</f>
        <v>52.5333333333333</v>
      </c>
      <c r="BD28" s="30" t="n">
        <f aca="false">BD26/CAC_Digital</f>
        <v>52.5333333333333</v>
      </c>
      <c r="BE28" s="30" t="n">
        <f aca="false">BE26/CAC_Digital</f>
        <v>52.5333333333333</v>
      </c>
      <c r="BF28" s="30" t="n">
        <f aca="false">BF26/CAC_Digital</f>
        <v>52.5333333333333</v>
      </c>
      <c r="BG28" s="30" t="n">
        <f aca="false">BG26/CAC_Digital</f>
        <v>52.5333333333333</v>
      </c>
      <c r="BH28" s="30" t="n">
        <f aca="false">BH26/CAC_Digital</f>
        <v>52.5333333333333</v>
      </c>
      <c r="BI28" s="30" t="n">
        <f aca="false">BI26/CAC_Digital</f>
        <v>52.5333333333333</v>
      </c>
      <c r="BJ28" s="30" t="n">
        <f aca="false">BJ26/CAC_Digital</f>
        <v>52.5333333333333</v>
      </c>
      <c r="BK28" s="30" t="n">
        <f aca="false">BK26/CAC_Digital</f>
        <v>52.5333333333333</v>
      </c>
      <c r="BL28" s="30" t="n">
        <f aca="false">BL26/CAC_Digital</f>
        <v>52.5333333333333</v>
      </c>
    </row>
    <row r="30" customFormat="false" ht="15" hidden="false" customHeight="false" outlineLevel="0" collapsed="false">
      <c r="A30" s="10" t="s">
        <v>552</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553</v>
      </c>
      <c r="B31" s="14" t="s">
        <v>154</v>
      </c>
      <c r="D31" s="43" t="n">
        <f aca="false">SUM(E31:BL31)</f>
        <v>11214.9419999752</v>
      </c>
      <c r="E31" s="30" t="n">
        <f aca="false">E17+E21+E27</f>
        <v>0</v>
      </c>
      <c r="F31" s="30" t="n">
        <f aca="false">F17+F21+F27</f>
        <v>0</v>
      </c>
      <c r="G31" s="30" t="n">
        <f aca="false">G17+G21+G27</f>
        <v>0</v>
      </c>
      <c r="H31" s="30" t="n">
        <f aca="false">H17+H21+H27</f>
        <v>0</v>
      </c>
      <c r="I31" s="30" t="n">
        <f aca="false">I17+I21+I27</f>
        <v>47.4666666666667</v>
      </c>
      <c r="J31" s="30" t="n">
        <f aca="false">J17+J21+J27</f>
        <v>48.0666666666667</v>
      </c>
      <c r="K31" s="30" t="n">
        <f aca="false">K17+K21+K27</f>
        <v>48.7026666666667</v>
      </c>
      <c r="L31" s="30" t="n">
        <f aca="false">L17+L21+L27</f>
        <v>69.3768266666667</v>
      </c>
      <c r="M31" s="30" t="n">
        <f aca="false">M17+M21+M27</f>
        <v>70.0914362666667</v>
      </c>
      <c r="N31" s="30" t="n">
        <f aca="false">N17+N21+N27</f>
        <v>70.8489224426667</v>
      </c>
      <c r="O31" s="30" t="n">
        <f aca="false">O17+O21+O27</f>
        <v>71.6518577892267</v>
      </c>
      <c r="P31" s="30" t="n">
        <f aca="false">P17+P21+P27</f>
        <v>72.5029692565803</v>
      </c>
      <c r="Q31" s="30" t="n">
        <f aca="false">Q17+Q21+Q27</f>
        <v>90.8718140786418</v>
      </c>
      <c r="R31" s="30" t="n">
        <f aca="false">R17+R21+R27</f>
        <v>91.8281229233603</v>
      </c>
      <c r="S31" s="30" t="n">
        <f aca="false">S17+S21+S27</f>
        <v>92.8418102987619</v>
      </c>
      <c r="T31" s="30" t="n">
        <f aca="false">T17+T21+T27</f>
        <v>93.9163189166876</v>
      </c>
      <c r="U31" s="30" t="n">
        <f aca="false">U17+U21+U27</f>
        <v>95.0552980516889</v>
      </c>
      <c r="V31" s="30" t="n">
        <f aca="false">V17+V21+V27</f>
        <v>96.2626159347902</v>
      </c>
      <c r="W31" s="30" t="n">
        <f aca="false">W17+W21+W27</f>
        <v>97.5423728908776</v>
      </c>
      <c r="X31" s="30" t="n">
        <f aca="false">X17+X21+X27</f>
        <v>138.89891526433</v>
      </c>
      <c r="Y31" s="30" t="n">
        <f aca="false">Y17+Y21+Y27</f>
        <v>140.33685018019</v>
      </c>
      <c r="Z31" s="30" t="n">
        <f aca="false">Z17+Z21+Z27</f>
        <v>141.861061191001</v>
      </c>
      <c r="AA31" s="30" t="n">
        <f aca="false">AA17+AA21+AA27</f>
        <v>143.476724862462</v>
      </c>
      <c r="AB31" s="30" t="n">
        <f aca="false">AB17+AB21+AB27</f>
        <v>145.189328354209</v>
      </c>
      <c r="AC31" s="30" t="n">
        <f aca="false">AC17+AC21+AC27</f>
        <v>164.604688055462</v>
      </c>
      <c r="AD31" s="30" t="n">
        <f aca="false">AD17+AD21+AD27</f>
        <v>166.52896933879</v>
      </c>
      <c r="AE31" s="30" t="n">
        <f aca="false">AE17+AE21+AE27</f>
        <v>168.568707499117</v>
      </c>
      <c r="AF31" s="30" t="n">
        <f aca="false">AF17+AF21+AF27</f>
        <v>170.730829949064</v>
      </c>
      <c r="AG31" s="30" t="n">
        <f aca="false">AG17+AG21+AG27</f>
        <v>173.022679746008</v>
      </c>
      <c r="AH31" s="30" t="n">
        <f aca="false">AH17+AH21+AH27</f>
        <v>175.452040530768</v>
      </c>
      <c r="AI31" s="30" t="n">
        <f aca="false">AI17+AI21+AI27</f>
        <v>178.027162962614</v>
      </c>
      <c r="AJ31" s="30" t="n">
        <f aca="false">AJ17+AJ21+AJ27</f>
        <v>220.756792740371</v>
      </c>
      <c r="AK31" s="30" t="n">
        <f aca="false">AK17+AK21+AK27</f>
        <v>223.650200304793</v>
      </c>
      <c r="AL31" s="30" t="n">
        <f aca="false">AL17+AL21+AL27</f>
        <v>226.717212323081</v>
      </c>
      <c r="AM31" s="30" t="n">
        <f aca="false">AM17+AM21+AM27</f>
        <v>229.968245062466</v>
      </c>
      <c r="AN31" s="30" t="n">
        <f aca="false">AN17+AN21+AN27</f>
        <v>233.414339766214</v>
      </c>
      <c r="AO31" s="30" t="n">
        <f aca="false">AO17+AO21+AO27</f>
        <v>245.733866818853</v>
      </c>
      <c r="AP31" s="30" t="n">
        <f aca="false">AP17+AP21+AP27</f>
        <v>249.605898827985</v>
      </c>
      <c r="AQ31" s="30" t="n">
        <f aca="false">AQ17+AQ21+AQ27</f>
        <v>253.710252757664</v>
      </c>
      <c r="AR31" s="30" t="n">
        <f aca="false">AR17+AR21+AR27</f>
        <v>258.060867923124</v>
      </c>
      <c r="AS31" s="30" t="n">
        <f aca="false">AS17+AS21+AS27</f>
        <v>261.2</v>
      </c>
      <c r="AT31" s="30" t="n">
        <f aca="false">AT17+AT21+AT27</f>
        <v>261.2</v>
      </c>
      <c r="AU31" s="30" t="n">
        <f aca="false">AU17+AU21+AU27</f>
        <v>261.2</v>
      </c>
      <c r="AV31" s="30" t="n">
        <f aca="false">AV17+AV21+AV27</f>
        <v>301.2</v>
      </c>
      <c r="AW31" s="30" t="n">
        <f aca="false">AW17+AW21+AW27</f>
        <v>301.2</v>
      </c>
      <c r="AX31" s="30" t="n">
        <f aca="false">AX17+AX21+AX27</f>
        <v>301.2</v>
      </c>
      <c r="AY31" s="30" t="n">
        <f aca="false">AY17+AY21+AY27</f>
        <v>301.2</v>
      </c>
      <c r="AZ31" s="30" t="n">
        <f aca="false">AZ17+AZ21+AZ27</f>
        <v>301.2</v>
      </c>
      <c r="BA31" s="30" t="n">
        <f aca="false">BA17+BA21+BA27</f>
        <v>310</v>
      </c>
      <c r="BB31" s="30" t="n">
        <f aca="false">BB17+BB21+BB27</f>
        <v>310</v>
      </c>
      <c r="BC31" s="30" t="n">
        <f aca="false">BC17+BC21+BC27</f>
        <v>310</v>
      </c>
      <c r="BD31" s="30" t="n">
        <f aca="false">BD17+BD21+BD27</f>
        <v>310</v>
      </c>
      <c r="BE31" s="30" t="n">
        <f aca="false">BE17+BE21+BE27</f>
        <v>310</v>
      </c>
      <c r="BF31" s="30" t="n">
        <f aca="false">BF17+BF21+BF27</f>
        <v>310</v>
      </c>
      <c r="BG31" s="30" t="n">
        <f aca="false">BG17+BG21+BG27</f>
        <v>310</v>
      </c>
      <c r="BH31" s="30" t="n">
        <f aca="false">BH17+BH21+BH27</f>
        <v>310</v>
      </c>
      <c r="BI31" s="30" t="n">
        <f aca="false">BI17+BI21+BI27</f>
        <v>310</v>
      </c>
      <c r="BJ31" s="30" t="n">
        <f aca="false">BJ17+BJ21+BJ27</f>
        <v>310</v>
      </c>
      <c r="BK31" s="30" t="n">
        <f aca="false">BK17+BK21+BK27</f>
        <v>310</v>
      </c>
      <c r="BL31" s="30" t="n">
        <f aca="false">BL17+BL21+BL27</f>
        <v>310</v>
      </c>
    </row>
    <row r="32" customFormat="false" ht="15" hidden="false" customHeight="false" outlineLevel="0" collapsed="false">
      <c r="A32" s="12" t="s">
        <v>554</v>
      </c>
      <c r="B32" s="14" t="s">
        <v>154</v>
      </c>
      <c r="D32" s="43" t="n">
        <f aca="false">SUM(E32:BL32)</f>
        <v>5076.77179371259</v>
      </c>
      <c r="E32" s="30" t="n">
        <f aca="false">E18+E22+E28</f>
        <v>0</v>
      </c>
      <c r="F32" s="30" t="n">
        <f aca="false">F18+F22+F28</f>
        <v>0</v>
      </c>
      <c r="G32" s="30" t="n">
        <f aca="false">G18+G22+G28</f>
        <v>0</v>
      </c>
      <c r="H32" s="30" t="n">
        <f aca="false">H18+H22+H28</f>
        <v>0</v>
      </c>
      <c r="I32" s="30" t="n">
        <f aca="false">I18+I22+I28</f>
        <v>0</v>
      </c>
      <c r="J32" s="30" t="n">
        <f aca="false">J18+J22+J28</f>
        <v>0</v>
      </c>
      <c r="K32" s="30" t="n">
        <f aca="false">K18+K22+K28</f>
        <v>0</v>
      </c>
      <c r="L32" s="30" t="n">
        <f aca="false">L18+L22+L28</f>
        <v>0</v>
      </c>
      <c r="M32" s="30" t="n">
        <f aca="false">M18+M22+M28</f>
        <v>0</v>
      </c>
      <c r="N32" s="30" t="n">
        <f aca="false">N18+N22+N28</f>
        <v>0</v>
      </c>
      <c r="O32" s="30" t="n">
        <f aca="false">O18+O22+O28</f>
        <v>0</v>
      </c>
      <c r="P32" s="30" t="n">
        <f aca="false">P18+P22+P28</f>
        <v>0</v>
      </c>
      <c r="Q32" s="30" t="n">
        <f aca="false">Q18+Q22+Q28</f>
        <v>0</v>
      </c>
      <c r="R32" s="30" t="n">
        <f aca="false">R18+R22+R28</f>
        <v>0</v>
      </c>
      <c r="S32" s="30" t="n">
        <f aca="false">S18+S22+S28</f>
        <v>0</v>
      </c>
      <c r="T32" s="30" t="n">
        <f aca="false">T18+T22+T28</f>
        <v>0</v>
      </c>
      <c r="U32" s="30" t="n">
        <f aca="false">U18+U22+U28</f>
        <v>0</v>
      </c>
      <c r="V32" s="30" t="n">
        <f aca="false">V18+V22+V28</f>
        <v>0</v>
      </c>
      <c r="W32" s="30" t="n">
        <f aca="false">W18+W22+W28</f>
        <v>23.4666666666667</v>
      </c>
      <c r="X32" s="30" t="n">
        <f aca="false">X18+X22+X28</f>
        <v>50.8266666666667</v>
      </c>
      <c r="Y32" s="30" t="n">
        <f aca="false">Y18+Y22+Y28</f>
        <v>51.2082666666667</v>
      </c>
      <c r="Z32" s="30" t="n">
        <f aca="false">Z18+Z22+Z28</f>
        <v>51.6127626666667</v>
      </c>
      <c r="AA32" s="30" t="n">
        <f aca="false">AA18+AA22+AA28</f>
        <v>52.0415284266667</v>
      </c>
      <c r="AB32" s="30" t="n">
        <f aca="false">AB18+AB22+AB28</f>
        <v>52.4960201322667</v>
      </c>
      <c r="AC32" s="30" t="n">
        <f aca="false">AC18+AC22+AC28</f>
        <v>70.4444480068693</v>
      </c>
      <c r="AD32" s="30" t="n">
        <f aca="false">AD18+AD22+AD28</f>
        <v>70.9551148872815</v>
      </c>
      <c r="AE32" s="30" t="n">
        <f aca="false">AE18+AE22+AE28</f>
        <v>71.4964217805184</v>
      </c>
      <c r="AF32" s="30" t="n">
        <f aca="false">AF18+AF22+AF28</f>
        <v>72.0702070873495</v>
      </c>
      <c r="AG32" s="30" t="n">
        <f aca="false">AG18+AG22+AG28</f>
        <v>72.6784195125905</v>
      </c>
      <c r="AH32" s="30" t="n">
        <f aca="false">AH18+AH22+AH28</f>
        <v>73.3231246833459</v>
      </c>
      <c r="AI32" s="30" t="n">
        <f aca="false">AI18+AI22+AI28</f>
        <v>74.0065121643467</v>
      </c>
      <c r="AJ32" s="30" t="n">
        <f aca="false">AJ18+AJ22+AJ28</f>
        <v>101.730902894207</v>
      </c>
      <c r="AK32" s="30" t="n">
        <f aca="false">AK18+AK22+AK28</f>
        <v>102.49875706786</v>
      </c>
      <c r="AL32" s="30" t="n">
        <f aca="false">AL18+AL22+AL28</f>
        <v>103.312682491931</v>
      </c>
      <c r="AM32" s="30" t="n">
        <f aca="false">AM18+AM22+AM28</f>
        <v>104.175443441447</v>
      </c>
      <c r="AN32" s="30" t="n">
        <f aca="false">AN18+AN22+AN28</f>
        <v>105.089970047934</v>
      </c>
      <c r="AO32" s="30" t="n">
        <f aca="false">AO18+AO22+AO28</f>
        <v>114.85936825081</v>
      </c>
      <c r="AP32" s="30" t="n">
        <f aca="false">AP18+AP22+AP28</f>
        <v>115.886930345859</v>
      </c>
      <c r="AQ32" s="30" t="n">
        <f aca="false">AQ18+AQ22+AQ28</f>
        <v>116.97614616661</v>
      </c>
      <c r="AR32" s="30" t="n">
        <f aca="false">AR18+AR22+AR28</f>
        <v>118.130714936607</v>
      </c>
      <c r="AS32" s="30" t="n">
        <f aca="false">AS18+AS22+AS28</f>
        <v>119.354557832803</v>
      </c>
      <c r="AT32" s="30" t="n">
        <f aca="false">AT18+AT22+AT28</f>
        <v>120.651831302772</v>
      </c>
      <c r="AU32" s="30" t="n">
        <f aca="false">AU18+AU22+AU28</f>
        <v>122.026941180938</v>
      </c>
      <c r="AV32" s="30" t="n">
        <f aca="false">AV18+AV22+AV28</f>
        <v>150.484557651794</v>
      </c>
      <c r="AW32" s="30" t="n">
        <f aca="false">AW18+AW22+AW28</f>
        <v>152.029631110902</v>
      </c>
      <c r="AX32" s="30" t="n">
        <f aca="false">AX18+AX22+AX28</f>
        <v>153.667408977556</v>
      </c>
      <c r="AY32" s="30" t="n">
        <f aca="false">AY18+AY22+AY28</f>
        <v>155.403453516209</v>
      </c>
      <c r="AZ32" s="30" t="n">
        <f aca="false">AZ18+AZ22+AZ28</f>
        <v>157.243660727182</v>
      </c>
      <c r="BA32" s="30" t="n">
        <f aca="false">BA18+BA22+BA28</f>
        <v>167.994280370813</v>
      </c>
      <c r="BB32" s="30" t="n">
        <f aca="false">BB18+BB22+BB28</f>
        <v>170.061937193062</v>
      </c>
      <c r="BC32" s="30" t="n">
        <f aca="false">BC18+BC22+BC28</f>
        <v>172.253653424645</v>
      </c>
      <c r="BD32" s="30" t="n">
        <f aca="false">BD18+BD22+BD28</f>
        <v>174.576872630124</v>
      </c>
      <c r="BE32" s="30" t="n">
        <f aca="false">BE18+BE22+BE28</f>
        <v>177.039484987932</v>
      </c>
      <c r="BF32" s="30" t="n">
        <f aca="false">BF18+BF22+BF28</f>
        <v>179.649854087207</v>
      </c>
      <c r="BG32" s="30" t="n">
        <f aca="false">BG18+BG22+BG28</f>
        <v>182.41684533244</v>
      </c>
      <c r="BH32" s="30" t="n">
        <f aca="false">BH18+BH22+BH28</f>
        <v>185.349856052386</v>
      </c>
      <c r="BI32" s="30" t="n">
        <f aca="false">BI18+BI22+BI28</f>
        <v>188.458847415529</v>
      </c>
      <c r="BJ32" s="30" t="n">
        <f aca="false">BJ18+BJ22+BJ28</f>
        <v>191.754378260461</v>
      </c>
      <c r="BK32" s="30" t="n">
        <f aca="false">BK18+BK22+BK28</f>
        <v>193.533333333333</v>
      </c>
      <c r="BL32" s="30" t="n">
        <f aca="false">BL18+BL22+BL28</f>
        <v>193.533333333333</v>
      </c>
    </row>
    <row r="33" customFormat="false" ht="15" hidden="false" customHeight="false" outlineLevel="0" collapsed="false">
      <c r="A33" s="8" t="s">
        <v>555</v>
      </c>
      <c r="B33" s="14" t="s">
        <v>154</v>
      </c>
      <c r="D33" s="43" t="n">
        <f aca="false">SUM(E33:BL33)</f>
        <v>16291.7137936878</v>
      </c>
      <c r="E33" s="44" t="n">
        <f aca="false">E31+E32</f>
        <v>0</v>
      </c>
      <c r="F33" s="44" t="n">
        <f aca="false">F31+F32</f>
        <v>0</v>
      </c>
      <c r="G33" s="44" t="n">
        <f aca="false">G31+G32</f>
        <v>0</v>
      </c>
      <c r="H33" s="44" t="n">
        <f aca="false">H31+H32</f>
        <v>0</v>
      </c>
      <c r="I33" s="44" t="n">
        <f aca="false">I31+I32</f>
        <v>47.4666666666667</v>
      </c>
      <c r="J33" s="44" t="n">
        <f aca="false">J31+J32</f>
        <v>48.0666666666667</v>
      </c>
      <c r="K33" s="44" t="n">
        <f aca="false">K31+K32</f>
        <v>48.7026666666667</v>
      </c>
      <c r="L33" s="44" t="n">
        <f aca="false">L31+L32</f>
        <v>69.3768266666667</v>
      </c>
      <c r="M33" s="44" t="n">
        <f aca="false">M31+M32</f>
        <v>70.0914362666667</v>
      </c>
      <c r="N33" s="44" t="n">
        <f aca="false">N31+N32</f>
        <v>70.8489224426667</v>
      </c>
      <c r="O33" s="44" t="n">
        <f aca="false">O31+O32</f>
        <v>71.6518577892267</v>
      </c>
      <c r="P33" s="44" t="n">
        <f aca="false">P31+P32</f>
        <v>72.5029692565803</v>
      </c>
      <c r="Q33" s="44" t="n">
        <f aca="false">Q31+Q32</f>
        <v>90.8718140786418</v>
      </c>
      <c r="R33" s="44" t="n">
        <f aca="false">R31+R32</f>
        <v>91.8281229233603</v>
      </c>
      <c r="S33" s="44" t="n">
        <f aca="false">S31+S32</f>
        <v>92.8418102987619</v>
      </c>
      <c r="T33" s="44" t="n">
        <f aca="false">T31+T32</f>
        <v>93.9163189166876</v>
      </c>
      <c r="U33" s="44" t="n">
        <f aca="false">U31+U32</f>
        <v>95.0552980516889</v>
      </c>
      <c r="V33" s="44" t="n">
        <f aca="false">V31+V32</f>
        <v>96.2626159347902</v>
      </c>
      <c r="W33" s="44" t="n">
        <f aca="false">W31+W32</f>
        <v>121.009039557544</v>
      </c>
      <c r="X33" s="44" t="n">
        <f aca="false">X31+X32</f>
        <v>189.725581930997</v>
      </c>
      <c r="Y33" s="44" t="n">
        <f aca="false">Y31+Y32</f>
        <v>191.545116846857</v>
      </c>
      <c r="Z33" s="44" t="n">
        <f aca="false">Z31+Z32</f>
        <v>193.473823857668</v>
      </c>
      <c r="AA33" s="44" t="n">
        <f aca="false">AA31+AA32</f>
        <v>195.518253289128</v>
      </c>
      <c r="AB33" s="44" t="n">
        <f aca="false">AB31+AB32</f>
        <v>197.685348486476</v>
      </c>
      <c r="AC33" s="44" t="n">
        <f aca="false">AC31+AC32</f>
        <v>235.049136062331</v>
      </c>
      <c r="AD33" s="44" t="n">
        <f aca="false">AD31+AD32</f>
        <v>237.484084226071</v>
      </c>
      <c r="AE33" s="44" t="n">
        <f aca="false">AE31+AE32</f>
        <v>240.065129279635</v>
      </c>
      <c r="AF33" s="44" t="n">
        <f aca="false">AF31+AF32</f>
        <v>242.801037036413</v>
      </c>
      <c r="AG33" s="44" t="n">
        <f aca="false">AG31+AG32</f>
        <v>245.701099258598</v>
      </c>
      <c r="AH33" s="44" t="n">
        <f aca="false">AH31+AH32</f>
        <v>248.775165214114</v>
      </c>
      <c r="AI33" s="44" t="n">
        <f aca="false">AI31+AI32</f>
        <v>252.033675126961</v>
      </c>
      <c r="AJ33" s="44" t="n">
        <f aca="false">AJ31+AJ32</f>
        <v>322.487695634579</v>
      </c>
      <c r="AK33" s="44" t="n">
        <f aca="false">AK31+AK32</f>
        <v>326.148957372653</v>
      </c>
      <c r="AL33" s="44" t="n">
        <f aca="false">AL31+AL32</f>
        <v>330.029894815013</v>
      </c>
      <c r="AM33" s="44" t="n">
        <f aca="false">AM31+AM32</f>
        <v>334.143688503913</v>
      </c>
      <c r="AN33" s="44" t="n">
        <f aca="false">AN31+AN32</f>
        <v>338.504309814148</v>
      </c>
      <c r="AO33" s="44" t="n">
        <f aca="false">AO31+AO32</f>
        <v>360.593235069664</v>
      </c>
      <c r="AP33" s="44" t="n">
        <f aca="false">AP31+AP32</f>
        <v>365.492829173843</v>
      </c>
      <c r="AQ33" s="44" t="n">
        <f aca="false">AQ31+AQ32</f>
        <v>370.686398924274</v>
      </c>
      <c r="AR33" s="44" t="n">
        <f aca="false">AR31+AR32</f>
        <v>376.191582859731</v>
      </c>
      <c r="AS33" s="44" t="n">
        <f aca="false">AS31+AS32</f>
        <v>380.554557832804</v>
      </c>
      <c r="AT33" s="44" t="n">
        <f aca="false">AT31+AT32</f>
        <v>381.851831302772</v>
      </c>
      <c r="AU33" s="44" t="n">
        <f aca="false">AU31+AU32</f>
        <v>383.226941180938</v>
      </c>
      <c r="AV33" s="44" t="n">
        <f aca="false">AV31+AV32</f>
        <v>451.684557651794</v>
      </c>
      <c r="AW33" s="44" t="n">
        <f aca="false">AW31+AW32</f>
        <v>453.229631110902</v>
      </c>
      <c r="AX33" s="44" t="n">
        <f aca="false">AX31+AX32</f>
        <v>454.867408977556</v>
      </c>
      <c r="AY33" s="44" t="n">
        <f aca="false">AY31+AY32</f>
        <v>456.603453516209</v>
      </c>
      <c r="AZ33" s="44" t="n">
        <f aca="false">AZ31+AZ32</f>
        <v>458.443660727182</v>
      </c>
      <c r="BA33" s="44" t="n">
        <f aca="false">BA31+BA32</f>
        <v>477.994280370813</v>
      </c>
      <c r="BB33" s="44" t="n">
        <f aca="false">BB31+BB32</f>
        <v>480.061937193062</v>
      </c>
      <c r="BC33" s="44" t="n">
        <f aca="false">BC31+BC32</f>
        <v>482.253653424645</v>
      </c>
      <c r="BD33" s="44" t="n">
        <f aca="false">BD31+BD32</f>
        <v>484.576872630124</v>
      </c>
      <c r="BE33" s="44" t="n">
        <f aca="false">BE31+BE32</f>
        <v>487.039484987932</v>
      </c>
      <c r="BF33" s="44" t="n">
        <f aca="false">BF31+BF32</f>
        <v>489.649854087207</v>
      </c>
      <c r="BG33" s="44" t="n">
        <f aca="false">BG31+BG32</f>
        <v>492.41684533244</v>
      </c>
      <c r="BH33" s="44" t="n">
        <f aca="false">BH31+BH32</f>
        <v>495.349856052386</v>
      </c>
      <c r="BI33" s="44" t="n">
        <f aca="false">BI31+BI32</f>
        <v>498.45884741553</v>
      </c>
      <c r="BJ33" s="44" t="n">
        <f aca="false">BJ31+BJ32</f>
        <v>501.754378260461</v>
      </c>
      <c r="BK33" s="44" t="n">
        <f aca="false">BK31+BK32</f>
        <v>503.533333333333</v>
      </c>
      <c r="BL33" s="44" t="n">
        <f aca="false">BL31+BL32</f>
        <v>503.533333333333</v>
      </c>
    </row>
    <row r="34" customFormat="false" ht="15" hidden="false" customHeight="false" outlineLevel="0" collapsed="false">
      <c r="A34" s="12" t="s">
        <v>556</v>
      </c>
      <c r="B34" s="14" t="s">
        <v>154</v>
      </c>
      <c r="D34" s="43" t="n">
        <f aca="false">SUM(E34:BL34)</f>
        <v>9775.02827621266</v>
      </c>
      <c r="E34" s="30" t="n">
        <f aca="false">E33*Mix_Petite</f>
        <v>0</v>
      </c>
      <c r="F34" s="30" t="n">
        <f aca="false">F33*Mix_Petite</f>
        <v>0</v>
      </c>
      <c r="G34" s="30" t="n">
        <f aca="false">G33*Mix_Petite</f>
        <v>0</v>
      </c>
      <c r="H34" s="30" t="n">
        <f aca="false">H33*Mix_Petite</f>
        <v>0</v>
      </c>
      <c r="I34" s="30" t="n">
        <f aca="false">I33*Mix_Petite</f>
        <v>28.48</v>
      </c>
      <c r="J34" s="30" t="n">
        <f aca="false">J33*Mix_Petite</f>
        <v>28.84</v>
      </c>
      <c r="K34" s="30" t="n">
        <f aca="false">K33*Mix_Petite</f>
        <v>29.2216</v>
      </c>
      <c r="L34" s="30" t="n">
        <f aca="false">L33*Mix_Petite</f>
        <v>41.626096</v>
      </c>
      <c r="M34" s="30" t="n">
        <f aca="false">M33*Mix_Petite</f>
        <v>42.05486176</v>
      </c>
      <c r="N34" s="30" t="n">
        <f aca="false">N33*Mix_Petite</f>
        <v>42.5093534656</v>
      </c>
      <c r="O34" s="30" t="n">
        <f aca="false">O33*Mix_Petite</f>
        <v>42.991114673536</v>
      </c>
      <c r="P34" s="30" t="n">
        <f aca="false">P33*Mix_Petite</f>
        <v>43.5017815539482</v>
      </c>
      <c r="Q34" s="30" t="n">
        <f aca="false">Q33*Mix_Petite</f>
        <v>54.5230884471851</v>
      </c>
      <c r="R34" s="30" t="n">
        <f aca="false">R33*Mix_Petite</f>
        <v>55.0968737540162</v>
      </c>
      <c r="S34" s="30" t="n">
        <f aca="false">S33*Mix_Petite</f>
        <v>55.7050861792571</v>
      </c>
      <c r="T34" s="30" t="n">
        <f aca="false">T33*Mix_Petite</f>
        <v>56.3497913500126</v>
      </c>
      <c r="U34" s="30" t="n">
        <f aca="false">U33*Mix_Petite</f>
        <v>57.0331788310133</v>
      </c>
      <c r="V34" s="30" t="n">
        <f aca="false">V33*Mix_Petite</f>
        <v>57.7575695608741</v>
      </c>
      <c r="W34" s="30" t="n">
        <f aca="false">W33*Mix_Petite</f>
        <v>72.6054237345266</v>
      </c>
      <c r="X34" s="30" t="n">
        <f aca="false">X33*Mix_Petite</f>
        <v>113.835349158598</v>
      </c>
      <c r="Y34" s="30" t="n">
        <f aca="false">Y33*Mix_Petite</f>
        <v>114.927070108114</v>
      </c>
      <c r="Z34" s="30" t="n">
        <f aca="false">Z33*Mix_Petite</f>
        <v>116.084294314601</v>
      </c>
      <c r="AA34" s="30" t="n">
        <f aca="false">AA33*Mix_Petite</f>
        <v>117.310951973477</v>
      </c>
      <c r="AB34" s="30" t="n">
        <f aca="false">AB33*Mix_Petite</f>
        <v>118.611209091886</v>
      </c>
      <c r="AC34" s="30" t="n">
        <f aca="false">AC33*Mix_Petite</f>
        <v>141.029481637399</v>
      </c>
      <c r="AD34" s="30" t="n">
        <f aca="false">AD33*Mix_Petite</f>
        <v>142.490450535643</v>
      </c>
      <c r="AE34" s="30" t="n">
        <f aca="false">AE33*Mix_Petite</f>
        <v>144.039077567781</v>
      </c>
      <c r="AF34" s="30" t="n">
        <f aca="false">AF33*Mix_Petite</f>
        <v>145.680622221848</v>
      </c>
      <c r="AG34" s="30" t="n">
        <f aca="false">AG33*Mix_Petite</f>
        <v>147.420659555159</v>
      </c>
      <c r="AH34" s="30" t="n">
        <f aca="false">AH33*Mix_Petite</f>
        <v>149.265099128468</v>
      </c>
      <c r="AI34" s="30" t="n">
        <f aca="false">AI33*Mix_Petite</f>
        <v>151.220205076177</v>
      </c>
      <c r="AJ34" s="30" t="n">
        <f aca="false">AJ33*Mix_Petite</f>
        <v>193.492617380747</v>
      </c>
      <c r="AK34" s="30" t="n">
        <f aca="false">AK33*Mix_Petite</f>
        <v>195.689374423592</v>
      </c>
      <c r="AL34" s="30" t="n">
        <f aca="false">AL33*Mix_Petite</f>
        <v>198.017936889008</v>
      </c>
      <c r="AM34" s="30" t="n">
        <f aca="false">AM33*Mix_Petite</f>
        <v>200.486213102348</v>
      </c>
      <c r="AN34" s="30" t="n">
        <f aca="false">AN33*Mix_Petite</f>
        <v>203.102585888489</v>
      </c>
      <c r="AO34" s="30" t="n">
        <f aca="false">AO33*Mix_Petite</f>
        <v>216.355941041798</v>
      </c>
      <c r="AP34" s="30" t="n">
        <f aca="false">AP33*Mix_Petite</f>
        <v>219.295697504306</v>
      </c>
      <c r="AQ34" s="30" t="n">
        <f aca="false">AQ33*Mix_Petite</f>
        <v>222.411839354564</v>
      </c>
      <c r="AR34" s="30" t="n">
        <f aca="false">AR33*Mix_Petite</f>
        <v>225.714949715838</v>
      </c>
      <c r="AS34" s="30" t="n">
        <f aca="false">AS33*Mix_Petite</f>
        <v>228.332734699682</v>
      </c>
      <c r="AT34" s="30" t="n">
        <f aca="false">AT33*Mix_Petite</f>
        <v>229.111098781663</v>
      </c>
      <c r="AU34" s="30" t="n">
        <f aca="false">AU33*Mix_Petite</f>
        <v>229.936164708563</v>
      </c>
      <c r="AV34" s="30" t="n">
        <f aca="false">AV33*Mix_Petite</f>
        <v>271.010734591077</v>
      </c>
      <c r="AW34" s="30" t="n">
        <f aca="false">AW33*Mix_Petite</f>
        <v>271.937778666541</v>
      </c>
      <c r="AX34" s="30" t="n">
        <f aca="false">AX33*Mix_Petite</f>
        <v>272.920445386534</v>
      </c>
      <c r="AY34" s="30" t="n">
        <f aca="false">AY33*Mix_Petite</f>
        <v>273.962072109726</v>
      </c>
      <c r="AZ34" s="30" t="n">
        <f aca="false">AZ33*Mix_Petite</f>
        <v>275.066196436309</v>
      </c>
      <c r="BA34" s="30" t="n">
        <f aca="false">BA33*Mix_Petite</f>
        <v>286.796568222488</v>
      </c>
      <c r="BB34" s="30" t="n">
        <f aca="false">BB33*Mix_Petite</f>
        <v>288.037162315837</v>
      </c>
      <c r="BC34" s="30" t="n">
        <f aca="false">BC33*Mix_Petite</f>
        <v>289.352192054787</v>
      </c>
      <c r="BD34" s="30" t="n">
        <f aca="false">BD33*Mix_Petite</f>
        <v>290.746123578074</v>
      </c>
      <c r="BE34" s="30" t="n">
        <f aca="false">BE33*Mix_Petite</f>
        <v>292.223690992759</v>
      </c>
      <c r="BF34" s="30" t="n">
        <f aca="false">BF33*Mix_Petite</f>
        <v>293.789912452324</v>
      </c>
      <c r="BG34" s="30" t="n">
        <f aca="false">BG33*Mix_Petite</f>
        <v>295.450107199464</v>
      </c>
      <c r="BH34" s="30" t="n">
        <f aca="false">BH33*Mix_Petite</f>
        <v>297.209913631432</v>
      </c>
      <c r="BI34" s="30" t="n">
        <f aca="false">BI33*Mix_Petite</f>
        <v>299.075308449318</v>
      </c>
      <c r="BJ34" s="30" t="n">
        <f aca="false">BJ33*Mix_Petite</f>
        <v>301.052626956277</v>
      </c>
      <c r="BK34" s="30" t="n">
        <f aca="false">BK33*Mix_Petite</f>
        <v>302.12</v>
      </c>
      <c r="BL34" s="30" t="n">
        <f aca="false">BL33*Mix_Petite</f>
        <v>302.12</v>
      </c>
    </row>
    <row r="35" customFormat="false" ht="15" hidden="false" customHeight="false" outlineLevel="0" collapsed="false">
      <c r="A35" s="12" t="s">
        <v>557</v>
      </c>
      <c r="B35" s="14" t="s">
        <v>154</v>
      </c>
      <c r="D35" s="43" t="n">
        <f aca="false">SUM(E35:BL35)</f>
        <v>4887.51413810633</v>
      </c>
      <c r="E35" s="30" t="n">
        <f aca="false">E33*Mix_Moyenne</f>
        <v>0</v>
      </c>
      <c r="F35" s="30" t="n">
        <f aca="false">F33*Mix_Moyenne</f>
        <v>0</v>
      </c>
      <c r="G35" s="30" t="n">
        <f aca="false">G33*Mix_Moyenne</f>
        <v>0</v>
      </c>
      <c r="H35" s="30" t="n">
        <f aca="false">H33*Mix_Moyenne</f>
        <v>0</v>
      </c>
      <c r="I35" s="30" t="n">
        <f aca="false">I33*Mix_Moyenne</f>
        <v>14.24</v>
      </c>
      <c r="J35" s="30" t="n">
        <f aca="false">J33*Mix_Moyenne</f>
        <v>14.42</v>
      </c>
      <c r="K35" s="30" t="n">
        <f aca="false">K33*Mix_Moyenne</f>
        <v>14.6108</v>
      </c>
      <c r="L35" s="30" t="n">
        <f aca="false">L33*Mix_Moyenne</f>
        <v>20.813048</v>
      </c>
      <c r="M35" s="30" t="n">
        <f aca="false">M33*Mix_Moyenne</f>
        <v>21.02743088</v>
      </c>
      <c r="N35" s="30" t="n">
        <f aca="false">N33*Mix_Moyenne</f>
        <v>21.2546767328</v>
      </c>
      <c r="O35" s="30" t="n">
        <f aca="false">O33*Mix_Moyenne</f>
        <v>21.495557336768</v>
      </c>
      <c r="P35" s="30" t="n">
        <f aca="false">P33*Mix_Moyenne</f>
        <v>21.7508907769741</v>
      </c>
      <c r="Q35" s="30" t="n">
        <f aca="false">Q33*Mix_Moyenne</f>
        <v>27.2615442235925</v>
      </c>
      <c r="R35" s="30" t="n">
        <f aca="false">R33*Mix_Moyenne</f>
        <v>27.5484368770081</v>
      </c>
      <c r="S35" s="30" t="n">
        <f aca="false">S33*Mix_Moyenne</f>
        <v>27.8525430896286</v>
      </c>
      <c r="T35" s="30" t="n">
        <f aca="false">T33*Mix_Moyenne</f>
        <v>28.1748956750063</v>
      </c>
      <c r="U35" s="30" t="n">
        <f aca="false">U33*Mix_Moyenne</f>
        <v>28.5165894155067</v>
      </c>
      <c r="V35" s="30" t="n">
        <f aca="false">V33*Mix_Moyenne</f>
        <v>28.8787847804371</v>
      </c>
      <c r="W35" s="30" t="n">
        <f aca="false">W33*Mix_Moyenne</f>
        <v>36.3027118672633</v>
      </c>
      <c r="X35" s="30" t="n">
        <f aca="false">X33*Mix_Moyenne</f>
        <v>56.9176745792991</v>
      </c>
      <c r="Y35" s="30" t="n">
        <f aca="false">Y33*Mix_Moyenne</f>
        <v>57.463535054057</v>
      </c>
      <c r="Z35" s="30" t="n">
        <f aca="false">Z33*Mix_Moyenne</f>
        <v>58.0421471573004</v>
      </c>
      <c r="AA35" s="30" t="n">
        <f aca="false">AA33*Mix_Moyenne</f>
        <v>58.6554759867385</v>
      </c>
      <c r="AB35" s="30" t="n">
        <f aca="false">AB33*Mix_Moyenne</f>
        <v>59.3056045459428</v>
      </c>
      <c r="AC35" s="30" t="n">
        <f aca="false">AC33*Mix_Moyenne</f>
        <v>70.5147408186993</v>
      </c>
      <c r="AD35" s="30" t="n">
        <f aca="false">AD33*Mix_Moyenne</f>
        <v>71.2452252678213</v>
      </c>
      <c r="AE35" s="30" t="n">
        <f aca="false">AE33*Mix_Moyenne</f>
        <v>72.0195387838906</v>
      </c>
      <c r="AF35" s="30" t="n">
        <f aca="false">AF33*Mix_Moyenne</f>
        <v>72.840311110924</v>
      </c>
      <c r="AG35" s="30" t="n">
        <f aca="false">AG33*Mix_Moyenne</f>
        <v>73.7103297775795</v>
      </c>
      <c r="AH35" s="30" t="n">
        <f aca="false">AH33*Mix_Moyenne</f>
        <v>74.6325495642342</v>
      </c>
      <c r="AI35" s="30" t="n">
        <f aca="false">AI33*Mix_Moyenne</f>
        <v>75.6101025380883</v>
      </c>
      <c r="AJ35" s="30" t="n">
        <f aca="false">AJ33*Mix_Moyenne</f>
        <v>96.7463086903736</v>
      </c>
      <c r="AK35" s="30" t="n">
        <f aca="false">AK33*Mix_Moyenne</f>
        <v>97.844687211796</v>
      </c>
      <c r="AL35" s="30" t="n">
        <f aca="false">AL33*Mix_Moyenne</f>
        <v>99.0089684445038</v>
      </c>
      <c r="AM35" s="30" t="n">
        <f aca="false">AM33*Mix_Moyenne</f>
        <v>100.243106551174</v>
      </c>
      <c r="AN35" s="30" t="n">
        <f aca="false">AN33*Mix_Moyenne</f>
        <v>101.551292944244</v>
      </c>
      <c r="AO35" s="30" t="n">
        <f aca="false">AO33*Mix_Moyenne</f>
        <v>108.177970520899</v>
      </c>
      <c r="AP35" s="30" t="n">
        <f aca="false">AP33*Mix_Moyenne</f>
        <v>109.647848752153</v>
      </c>
      <c r="AQ35" s="30" t="n">
        <f aca="false">AQ33*Mix_Moyenne</f>
        <v>111.205919677282</v>
      </c>
      <c r="AR35" s="30" t="n">
        <f aca="false">AR33*Mix_Moyenne</f>
        <v>112.857474857919</v>
      </c>
      <c r="AS35" s="30" t="n">
        <f aca="false">AS33*Mix_Moyenne</f>
        <v>114.166367349841</v>
      </c>
      <c r="AT35" s="30" t="n">
        <f aca="false">AT33*Mix_Moyenne</f>
        <v>114.555549390831</v>
      </c>
      <c r="AU35" s="30" t="n">
        <f aca="false">AU33*Mix_Moyenne</f>
        <v>114.968082354281</v>
      </c>
      <c r="AV35" s="30" t="n">
        <f aca="false">AV33*Mix_Moyenne</f>
        <v>135.505367295538</v>
      </c>
      <c r="AW35" s="30" t="n">
        <f aca="false">AW33*Mix_Moyenne</f>
        <v>135.968889333271</v>
      </c>
      <c r="AX35" s="30" t="n">
        <f aca="false">AX33*Mix_Moyenne</f>
        <v>136.460222693267</v>
      </c>
      <c r="AY35" s="30" t="n">
        <f aca="false">AY33*Mix_Moyenne</f>
        <v>136.981036054863</v>
      </c>
      <c r="AZ35" s="30" t="n">
        <f aca="false">AZ33*Mix_Moyenne</f>
        <v>137.533098218155</v>
      </c>
      <c r="BA35" s="30" t="n">
        <f aca="false">BA33*Mix_Moyenne</f>
        <v>143.398284111244</v>
      </c>
      <c r="BB35" s="30" t="n">
        <f aca="false">BB33*Mix_Moyenne</f>
        <v>144.018581157919</v>
      </c>
      <c r="BC35" s="30" t="n">
        <f aca="false">BC33*Mix_Moyenne</f>
        <v>144.676096027394</v>
      </c>
      <c r="BD35" s="30" t="n">
        <f aca="false">BD33*Mix_Moyenne</f>
        <v>145.373061789037</v>
      </c>
      <c r="BE35" s="30" t="n">
        <f aca="false">BE33*Mix_Moyenne</f>
        <v>146.111845496379</v>
      </c>
      <c r="BF35" s="30" t="n">
        <f aca="false">BF33*Mix_Moyenne</f>
        <v>146.894956226162</v>
      </c>
      <c r="BG35" s="30" t="n">
        <f aca="false">BG33*Mix_Moyenne</f>
        <v>147.725053599732</v>
      </c>
      <c r="BH35" s="30" t="n">
        <f aca="false">BH33*Mix_Moyenne</f>
        <v>148.604956815716</v>
      </c>
      <c r="BI35" s="30" t="n">
        <f aca="false">BI33*Mix_Moyenne</f>
        <v>149.537654224659</v>
      </c>
      <c r="BJ35" s="30" t="n">
        <f aca="false">BJ33*Mix_Moyenne</f>
        <v>150.526313478138</v>
      </c>
      <c r="BK35" s="30" t="n">
        <f aca="false">BK33*Mix_Moyenne</f>
        <v>151.06</v>
      </c>
      <c r="BL35" s="30" t="n">
        <f aca="false">BL33*Mix_Moyenne</f>
        <v>151.06</v>
      </c>
    </row>
    <row r="36" customFormat="false" ht="15" hidden="false" customHeight="false" outlineLevel="0" collapsed="false">
      <c r="A36" s="12" t="s">
        <v>558</v>
      </c>
      <c r="B36" s="14" t="s">
        <v>154</v>
      </c>
      <c r="D36" s="43" t="n">
        <f aca="false">SUM(E36:BL36)</f>
        <v>1629.17137936878</v>
      </c>
      <c r="E36" s="30" t="n">
        <f aca="false">E33*Mix_Grande</f>
        <v>0</v>
      </c>
      <c r="F36" s="30" t="n">
        <f aca="false">F33*Mix_Grande</f>
        <v>0</v>
      </c>
      <c r="G36" s="30" t="n">
        <f aca="false">G33*Mix_Grande</f>
        <v>0</v>
      </c>
      <c r="H36" s="30" t="n">
        <f aca="false">H33*Mix_Grande</f>
        <v>0</v>
      </c>
      <c r="I36" s="30" t="n">
        <f aca="false">I33*Mix_Grande</f>
        <v>4.74666666666667</v>
      </c>
      <c r="J36" s="30" t="n">
        <f aca="false">J33*Mix_Grande</f>
        <v>4.80666666666667</v>
      </c>
      <c r="K36" s="30" t="n">
        <f aca="false">K33*Mix_Grande</f>
        <v>4.87026666666667</v>
      </c>
      <c r="L36" s="30" t="n">
        <f aca="false">L33*Mix_Grande</f>
        <v>6.93768266666667</v>
      </c>
      <c r="M36" s="30" t="n">
        <f aca="false">M33*Mix_Grande</f>
        <v>7.00914362666667</v>
      </c>
      <c r="N36" s="30" t="n">
        <f aca="false">N33*Mix_Grande</f>
        <v>7.08489224426667</v>
      </c>
      <c r="O36" s="30" t="n">
        <f aca="false">O33*Mix_Grande</f>
        <v>7.16518577892267</v>
      </c>
      <c r="P36" s="30" t="n">
        <f aca="false">P33*Mix_Grande</f>
        <v>7.25029692565803</v>
      </c>
      <c r="Q36" s="30" t="n">
        <f aca="false">Q33*Mix_Grande</f>
        <v>9.08718140786418</v>
      </c>
      <c r="R36" s="30" t="n">
        <f aca="false">R33*Mix_Grande</f>
        <v>9.18281229233603</v>
      </c>
      <c r="S36" s="30" t="n">
        <f aca="false">S33*Mix_Grande</f>
        <v>9.28418102987619</v>
      </c>
      <c r="T36" s="30" t="n">
        <f aca="false">T33*Mix_Grande</f>
        <v>9.39163189166876</v>
      </c>
      <c r="U36" s="30" t="n">
        <f aca="false">U33*Mix_Grande</f>
        <v>9.50552980516889</v>
      </c>
      <c r="V36" s="30" t="n">
        <f aca="false">V33*Mix_Grande</f>
        <v>9.62626159347902</v>
      </c>
      <c r="W36" s="30" t="n">
        <f aca="false">W33*Mix_Grande</f>
        <v>12.1009039557544</v>
      </c>
      <c r="X36" s="30" t="n">
        <f aca="false">X33*Mix_Grande</f>
        <v>18.9725581930997</v>
      </c>
      <c r="Y36" s="30" t="n">
        <f aca="false">Y33*Mix_Grande</f>
        <v>19.1545116846857</v>
      </c>
      <c r="Z36" s="30" t="n">
        <f aca="false">Z33*Mix_Grande</f>
        <v>19.3473823857668</v>
      </c>
      <c r="AA36" s="30" t="n">
        <f aca="false">AA33*Mix_Grande</f>
        <v>19.5518253289128</v>
      </c>
      <c r="AB36" s="30" t="n">
        <f aca="false">AB33*Mix_Grande</f>
        <v>19.7685348486476</v>
      </c>
      <c r="AC36" s="30" t="n">
        <f aca="false">AC33*Mix_Grande</f>
        <v>23.5049136062331</v>
      </c>
      <c r="AD36" s="30" t="n">
        <f aca="false">AD33*Mix_Grande</f>
        <v>23.7484084226071</v>
      </c>
      <c r="AE36" s="30" t="n">
        <f aca="false">AE33*Mix_Grande</f>
        <v>24.0065129279635</v>
      </c>
      <c r="AF36" s="30" t="n">
        <f aca="false">AF33*Mix_Grande</f>
        <v>24.2801037036413</v>
      </c>
      <c r="AG36" s="30" t="n">
        <f aca="false">AG33*Mix_Grande</f>
        <v>24.5701099258598</v>
      </c>
      <c r="AH36" s="30" t="n">
        <f aca="false">AH33*Mix_Grande</f>
        <v>24.8775165214114</v>
      </c>
      <c r="AI36" s="30" t="n">
        <f aca="false">AI33*Mix_Grande</f>
        <v>25.2033675126961</v>
      </c>
      <c r="AJ36" s="30" t="n">
        <f aca="false">AJ33*Mix_Grande</f>
        <v>32.2487695634579</v>
      </c>
      <c r="AK36" s="30" t="n">
        <f aca="false">AK33*Mix_Grande</f>
        <v>32.6148957372653</v>
      </c>
      <c r="AL36" s="30" t="n">
        <f aca="false">AL33*Mix_Grande</f>
        <v>33.0029894815013</v>
      </c>
      <c r="AM36" s="30" t="n">
        <f aca="false">AM33*Mix_Grande</f>
        <v>33.4143688503913</v>
      </c>
      <c r="AN36" s="30" t="n">
        <f aca="false">AN33*Mix_Grande</f>
        <v>33.8504309814148</v>
      </c>
      <c r="AO36" s="30" t="n">
        <f aca="false">AO33*Mix_Grande</f>
        <v>36.0593235069664</v>
      </c>
      <c r="AP36" s="30" t="n">
        <f aca="false">AP33*Mix_Grande</f>
        <v>36.5492829173843</v>
      </c>
      <c r="AQ36" s="30" t="n">
        <f aca="false">AQ33*Mix_Grande</f>
        <v>37.0686398924274</v>
      </c>
      <c r="AR36" s="30" t="n">
        <f aca="false">AR33*Mix_Grande</f>
        <v>37.6191582859731</v>
      </c>
      <c r="AS36" s="30" t="n">
        <f aca="false">AS33*Mix_Grande</f>
        <v>38.0554557832804</v>
      </c>
      <c r="AT36" s="30" t="n">
        <f aca="false">AT33*Mix_Grande</f>
        <v>38.1851831302772</v>
      </c>
      <c r="AU36" s="30" t="n">
        <f aca="false">AU33*Mix_Grande</f>
        <v>38.3226941180938</v>
      </c>
      <c r="AV36" s="30" t="n">
        <f aca="false">AV33*Mix_Grande</f>
        <v>45.1684557651794</v>
      </c>
      <c r="AW36" s="30" t="n">
        <f aca="false">AW33*Mix_Grande</f>
        <v>45.3229631110902</v>
      </c>
      <c r="AX36" s="30" t="n">
        <f aca="false">AX33*Mix_Grande</f>
        <v>45.4867408977556</v>
      </c>
      <c r="AY36" s="30" t="n">
        <f aca="false">AY33*Mix_Grande</f>
        <v>45.6603453516209</v>
      </c>
      <c r="AZ36" s="30" t="n">
        <f aca="false">AZ33*Mix_Grande</f>
        <v>45.8443660727182</v>
      </c>
      <c r="BA36" s="30" t="n">
        <f aca="false">BA33*Mix_Grande</f>
        <v>47.7994280370813</v>
      </c>
      <c r="BB36" s="30" t="n">
        <f aca="false">BB33*Mix_Grande</f>
        <v>48.0061937193062</v>
      </c>
      <c r="BC36" s="30" t="n">
        <f aca="false">BC33*Mix_Grande</f>
        <v>48.2253653424645</v>
      </c>
      <c r="BD36" s="30" t="n">
        <f aca="false">BD33*Mix_Grande</f>
        <v>48.4576872630124</v>
      </c>
      <c r="BE36" s="30" t="n">
        <f aca="false">BE33*Mix_Grande</f>
        <v>48.7039484987932</v>
      </c>
      <c r="BF36" s="30" t="n">
        <f aca="false">BF33*Mix_Grande</f>
        <v>48.9649854087207</v>
      </c>
      <c r="BG36" s="30" t="n">
        <f aca="false">BG33*Mix_Grande</f>
        <v>49.241684533244</v>
      </c>
      <c r="BH36" s="30" t="n">
        <f aca="false">BH33*Mix_Grande</f>
        <v>49.5349856052386</v>
      </c>
      <c r="BI36" s="30" t="n">
        <f aca="false">BI33*Mix_Grande</f>
        <v>49.845884741553</v>
      </c>
      <c r="BJ36" s="30" t="n">
        <f aca="false">BJ33*Mix_Grande</f>
        <v>50.1754378260461</v>
      </c>
      <c r="BK36" s="30" t="n">
        <f aca="false">BK33*Mix_Grande</f>
        <v>50.3533333333333</v>
      </c>
      <c r="BL36" s="30" t="n">
        <f aca="false">BL33*Mix_Grande</f>
        <v>50.3533333333333</v>
      </c>
    </row>
    <row r="37" customFormat="false" ht="15" hidden="false" customHeight="false" outlineLevel="0" collapsed="false">
      <c r="A37" s="12" t="s">
        <v>559</v>
      </c>
      <c r="B37" s="14" t="s">
        <v>154</v>
      </c>
      <c r="D37" s="43" t="n">
        <f aca="false">SUM(E37:BL37)</f>
        <v>3839.78046035444</v>
      </c>
      <c r="E37" s="30" t="n">
        <f aca="false">E21+E22</f>
        <v>0</v>
      </c>
      <c r="F37" s="30" t="n">
        <f aca="false">F21+F22</f>
        <v>0</v>
      </c>
      <c r="G37" s="30" t="n">
        <f aca="false">G21+G22</f>
        <v>0</v>
      </c>
      <c r="H37" s="30" t="n">
        <f aca="false">H21+H22</f>
        <v>0</v>
      </c>
      <c r="I37" s="30" t="n">
        <f aca="false">I21+I22</f>
        <v>10</v>
      </c>
      <c r="J37" s="30" t="n">
        <f aca="false">J21+J22</f>
        <v>10.6</v>
      </c>
      <c r="K37" s="30" t="n">
        <f aca="false">K21+K22</f>
        <v>11.236</v>
      </c>
      <c r="L37" s="30" t="n">
        <f aca="false">L21+L22</f>
        <v>11.91016</v>
      </c>
      <c r="M37" s="30" t="n">
        <f aca="false">M21+M22</f>
        <v>12.6247696</v>
      </c>
      <c r="N37" s="30" t="n">
        <f aca="false">N21+N22</f>
        <v>13.382255776</v>
      </c>
      <c r="O37" s="30" t="n">
        <f aca="false">O21+O22</f>
        <v>14.18519112256</v>
      </c>
      <c r="P37" s="30" t="n">
        <f aca="false">P21+P22</f>
        <v>15.0363025899136</v>
      </c>
      <c r="Q37" s="30" t="n">
        <f aca="false">Q21+Q22</f>
        <v>15.9384807453084</v>
      </c>
      <c r="R37" s="30" t="n">
        <f aca="false">R21+R22</f>
        <v>16.8947895900269</v>
      </c>
      <c r="S37" s="30" t="n">
        <f aca="false">S21+S22</f>
        <v>17.9084769654285</v>
      </c>
      <c r="T37" s="30" t="n">
        <f aca="false">T21+T22</f>
        <v>18.9829855833543</v>
      </c>
      <c r="U37" s="30" t="n">
        <f aca="false">U21+U22</f>
        <v>20.1219647183555</v>
      </c>
      <c r="V37" s="30" t="n">
        <f aca="false">V21+V22</f>
        <v>21.3292826014568</v>
      </c>
      <c r="W37" s="30" t="n">
        <f aca="false">W21+W22</f>
        <v>28.6090395575443</v>
      </c>
      <c r="X37" s="30" t="n">
        <f aca="false">X21+X22</f>
        <v>30.3255819309969</v>
      </c>
      <c r="Y37" s="30" t="n">
        <f aca="false">Y21+Y22</f>
        <v>32.1451168468567</v>
      </c>
      <c r="Z37" s="30" t="n">
        <f aca="false">Z21+Z22</f>
        <v>34.0738238576681</v>
      </c>
      <c r="AA37" s="30" t="n">
        <f aca="false">AA21+AA22</f>
        <v>36.1182532891282</v>
      </c>
      <c r="AB37" s="30" t="n">
        <f aca="false">AB21+AB22</f>
        <v>38.2853484864759</v>
      </c>
      <c r="AC37" s="30" t="n">
        <f aca="false">AC21+AC22</f>
        <v>40.5824693956645</v>
      </c>
      <c r="AD37" s="30" t="n">
        <f aca="false">AD21+AD22</f>
        <v>43.0174175594044</v>
      </c>
      <c r="AE37" s="30" t="n">
        <f aca="false">AE21+AE22</f>
        <v>45.5984626129686</v>
      </c>
      <c r="AF37" s="30" t="n">
        <f aca="false">AF21+AF22</f>
        <v>48.3343703697467</v>
      </c>
      <c r="AG37" s="30" t="n">
        <f aca="false">AG21+AG22</f>
        <v>51.2344325919316</v>
      </c>
      <c r="AH37" s="30" t="n">
        <f aca="false">AH21+AH22</f>
        <v>54.3084985474474</v>
      </c>
      <c r="AI37" s="30" t="n">
        <f aca="false">AI21+AI22</f>
        <v>57.5670084602943</v>
      </c>
      <c r="AJ37" s="30" t="n">
        <f aca="false">AJ21+AJ22</f>
        <v>61.0210289679119</v>
      </c>
      <c r="AK37" s="30" t="n">
        <f aca="false">AK21+AK22</f>
        <v>64.6822907059867</v>
      </c>
      <c r="AL37" s="30" t="n">
        <f aca="false">AL21+AL22</f>
        <v>68.5632281483459</v>
      </c>
      <c r="AM37" s="30" t="n">
        <f aca="false">AM21+AM22</f>
        <v>72.6770218372466</v>
      </c>
      <c r="AN37" s="30" t="n">
        <f aca="false">AN21+AN22</f>
        <v>77.0376431474814</v>
      </c>
      <c r="AO37" s="30" t="n">
        <f aca="false">AO21+AO22</f>
        <v>81.6599017363303</v>
      </c>
      <c r="AP37" s="30" t="n">
        <f aca="false">AP21+AP22</f>
        <v>86.5594958405101</v>
      </c>
      <c r="AQ37" s="30" t="n">
        <f aca="false">AQ21+AQ22</f>
        <v>91.7530655909408</v>
      </c>
      <c r="AR37" s="30" t="n">
        <f aca="false">AR21+AR22</f>
        <v>97.2582495263972</v>
      </c>
      <c r="AS37" s="30" t="n">
        <f aca="false">AS21+AS22</f>
        <v>101.62122449947</v>
      </c>
      <c r="AT37" s="30" t="n">
        <f aca="false">AT21+AT22</f>
        <v>102.918497969438</v>
      </c>
      <c r="AU37" s="30" t="n">
        <f aca="false">AU21+AU22</f>
        <v>104.293607847605</v>
      </c>
      <c r="AV37" s="30" t="n">
        <f aca="false">AV21+AV22</f>
        <v>105.751224318461</v>
      </c>
      <c r="AW37" s="30" t="n">
        <f aca="false">AW21+AW22</f>
        <v>107.296297777569</v>
      </c>
      <c r="AX37" s="30" t="n">
        <f aca="false">AX21+AX22</f>
        <v>108.934075644223</v>
      </c>
      <c r="AY37" s="30" t="n">
        <f aca="false">AY21+AY22</f>
        <v>110.670120182876</v>
      </c>
      <c r="AZ37" s="30" t="n">
        <f aca="false">AZ21+AZ22</f>
        <v>112.510327393849</v>
      </c>
      <c r="BA37" s="30" t="n">
        <f aca="false">BA21+BA22</f>
        <v>114.46094703748</v>
      </c>
      <c r="BB37" s="30" t="n">
        <f aca="false">BB21+BB22</f>
        <v>116.528603859728</v>
      </c>
      <c r="BC37" s="30" t="n">
        <f aca="false">BC21+BC22</f>
        <v>118.720320091312</v>
      </c>
      <c r="BD37" s="30" t="n">
        <f aca="false">BD21+BD22</f>
        <v>121.043539296791</v>
      </c>
      <c r="BE37" s="30" t="n">
        <f aca="false">BE21+BE22</f>
        <v>123.506151654598</v>
      </c>
      <c r="BF37" s="30" t="n">
        <f aca="false">BF21+BF22</f>
        <v>126.116520753874</v>
      </c>
      <c r="BG37" s="30" t="n">
        <f aca="false">BG21+BG22</f>
        <v>128.883511999107</v>
      </c>
      <c r="BH37" s="30" t="n">
        <f aca="false">BH21+BH22</f>
        <v>131.816522719053</v>
      </c>
      <c r="BI37" s="30" t="n">
        <f aca="false">BI21+BI22</f>
        <v>134.925514082196</v>
      </c>
      <c r="BJ37" s="30" t="n">
        <f aca="false">BJ21+BJ22</f>
        <v>138.221044927128</v>
      </c>
      <c r="BK37" s="30" t="n">
        <f aca="false">BK21+BK22</f>
        <v>140</v>
      </c>
      <c r="BL37" s="30" t="n">
        <f aca="false">BL21+BL22</f>
        <v>140</v>
      </c>
    </row>
    <row r="39" customFormat="false" ht="15" hidden="false" customHeight="false" outlineLevel="0" collapsed="false">
      <c r="A39" s="10" t="s">
        <v>560</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561</v>
      </c>
      <c r="B40" s="14" t="s">
        <v>63</v>
      </c>
      <c r="D40" s="41" t="n">
        <f aca="false">SUM(E40:BL40)</f>
        <v>333220000</v>
      </c>
      <c r="E40" s="33" t="n">
        <f aca="false">E25+E26</f>
        <v>0</v>
      </c>
      <c r="F40" s="33" t="n">
        <f aca="false">F25+F26</f>
        <v>0</v>
      </c>
      <c r="G40" s="33" t="n">
        <f aca="false">G25+G26</f>
        <v>0</v>
      </c>
      <c r="H40" s="33" t="n">
        <f aca="false">H25+H26</f>
        <v>0</v>
      </c>
      <c r="I40" s="33" t="n">
        <f aca="false">I25+I26</f>
        <v>1310000</v>
      </c>
      <c r="J40" s="33" t="n">
        <f aca="false">J25+J26</f>
        <v>1310000</v>
      </c>
      <c r="K40" s="33" t="n">
        <f aca="false">K25+K26</f>
        <v>1310000</v>
      </c>
      <c r="L40" s="33" t="n">
        <f aca="false">L25+L26</f>
        <v>1310000</v>
      </c>
      <c r="M40" s="33" t="n">
        <f aca="false">M25+M26</f>
        <v>1310000</v>
      </c>
      <c r="N40" s="33" t="n">
        <f aca="false">N25+N26</f>
        <v>1310000</v>
      </c>
      <c r="O40" s="33" t="n">
        <f aca="false">O25+O26</f>
        <v>1310000</v>
      </c>
      <c r="P40" s="33" t="n">
        <f aca="false">P25+P26</f>
        <v>1310000</v>
      </c>
      <c r="Q40" s="33" t="n">
        <f aca="false">Q25+Q26</f>
        <v>2620000</v>
      </c>
      <c r="R40" s="33" t="n">
        <f aca="false">R25+R26</f>
        <v>2620000</v>
      </c>
      <c r="S40" s="33" t="n">
        <f aca="false">S25+S26</f>
        <v>2620000</v>
      </c>
      <c r="T40" s="33" t="n">
        <f aca="false">T25+T26</f>
        <v>2620000</v>
      </c>
      <c r="U40" s="33" t="n">
        <f aca="false">U25+U26</f>
        <v>2620000</v>
      </c>
      <c r="V40" s="33" t="n">
        <f aca="false">V25+V26</f>
        <v>2620000</v>
      </c>
      <c r="W40" s="33" t="n">
        <f aca="false">W25+W26</f>
        <v>3930000</v>
      </c>
      <c r="X40" s="33" t="n">
        <f aca="false">X25+X26</f>
        <v>3930000</v>
      </c>
      <c r="Y40" s="33" t="n">
        <f aca="false">Y25+Y26</f>
        <v>3930000</v>
      </c>
      <c r="Z40" s="33" t="n">
        <f aca="false">Z25+Z26</f>
        <v>3930000</v>
      </c>
      <c r="AA40" s="33" t="n">
        <f aca="false">AA25+AA26</f>
        <v>3930000</v>
      </c>
      <c r="AB40" s="33" t="n">
        <f aca="false">AB25+AB26</f>
        <v>3930000</v>
      </c>
      <c r="AC40" s="33" t="n">
        <f aca="false">AC25+AC26</f>
        <v>6560000</v>
      </c>
      <c r="AD40" s="33" t="n">
        <f aca="false">AD25+AD26</f>
        <v>6560000</v>
      </c>
      <c r="AE40" s="33" t="n">
        <f aca="false">AE25+AE26</f>
        <v>6560000</v>
      </c>
      <c r="AF40" s="33" t="n">
        <f aca="false">AF25+AF26</f>
        <v>6560000</v>
      </c>
      <c r="AG40" s="33" t="n">
        <f aca="false">AG25+AG26</f>
        <v>6560000</v>
      </c>
      <c r="AH40" s="33" t="n">
        <f aca="false">AH25+AH26</f>
        <v>6560000</v>
      </c>
      <c r="AI40" s="33" t="n">
        <f aca="false">AI25+AI26</f>
        <v>6560000</v>
      </c>
      <c r="AJ40" s="33" t="n">
        <f aca="false">AJ25+AJ26</f>
        <v>6560000</v>
      </c>
      <c r="AK40" s="33" t="n">
        <f aca="false">AK25+AK26</f>
        <v>6560000</v>
      </c>
      <c r="AL40" s="33" t="n">
        <f aca="false">AL25+AL26</f>
        <v>6560000</v>
      </c>
      <c r="AM40" s="33" t="n">
        <f aca="false">AM25+AM26</f>
        <v>6560000</v>
      </c>
      <c r="AN40" s="33" t="n">
        <f aca="false">AN25+AN26</f>
        <v>6560000</v>
      </c>
      <c r="AO40" s="33" t="n">
        <f aca="false">AO25+AO26</f>
        <v>7870000</v>
      </c>
      <c r="AP40" s="33" t="n">
        <f aca="false">AP25+AP26</f>
        <v>7870000</v>
      </c>
      <c r="AQ40" s="33" t="n">
        <f aca="false">AQ25+AQ26</f>
        <v>7870000</v>
      </c>
      <c r="AR40" s="33" t="n">
        <f aca="false">AR25+AR26</f>
        <v>7870000</v>
      </c>
      <c r="AS40" s="33" t="n">
        <f aca="false">AS25+AS26</f>
        <v>7870000</v>
      </c>
      <c r="AT40" s="33" t="n">
        <f aca="false">AT25+AT26</f>
        <v>7870000</v>
      </c>
      <c r="AU40" s="33" t="n">
        <f aca="false">AU25+AU26</f>
        <v>7870000</v>
      </c>
      <c r="AV40" s="33" t="n">
        <f aca="false">AV25+AV26</f>
        <v>7870000</v>
      </c>
      <c r="AW40" s="33" t="n">
        <f aca="false">AW25+AW26</f>
        <v>7870000</v>
      </c>
      <c r="AX40" s="33" t="n">
        <f aca="false">AX25+AX26</f>
        <v>7870000</v>
      </c>
      <c r="AY40" s="33" t="n">
        <f aca="false">AY25+AY26</f>
        <v>7870000</v>
      </c>
      <c r="AZ40" s="33" t="n">
        <f aca="false">AZ25+AZ26</f>
        <v>7870000</v>
      </c>
      <c r="BA40" s="33" t="n">
        <f aca="false">BA25+BA26</f>
        <v>9190000</v>
      </c>
      <c r="BB40" s="33" t="n">
        <f aca="false">BB25+BB26</f>
        <v>9190000</v>
      </c>
      <c r="BC40" s="33" t="n">
        <f aca="false">BC25+BC26</f>
        <v>9190000</v>
      </c>
      <c r="BD40" s="33" t="n">
        <f aca="false">BD25+BD26</f>
        <v>9190000</v>
      </c>
      <c r="BE40" s="33" t="n">
        <f aca="false">BE25+BE26</f>
        <v>9190000</v>
      </c>
      <c r="BF40" s="33" t="n">
        <f aca="false">BF25+BF26</f>
        <v>9190000</v>
      </c>
      <c r="BG40" s="33" t="n">
        <f aca="false">BG25+BG26</f>
        <v>9190000</v>
      </c>
      <c r="BH40" s="33" t="n">
        <f aca="false">BH25+BH26</f>
        <v>9190000</v>
      </c>
      <c r="BI40" s="33" t="n">
        <f aca="false">BI25+BI26</f>
        <v>9190000</v>
      </c>
      <c r="BJ40" s="33" t="n">
        <f aca="false">BJ25+BJ26</f>
        <v>9190000</v>
      </c>
      <c r="BK40" s="33" t="n">
        <f aca="false">BK25+BK26</f>
        <v>9190000</v>
      </c>
      <c r="BL40" s="33" t="n">
        <f aca="false">BL25+BL26</f>
        <v>9190000</v>
      </c>
    </row>
    <row r="41" customFormat="false" ht="15" hidden="false" customHeight="false" outlineLevel="0" collapsed="false">
      <c r="A41" s="12" t="s">
        <v>422</v>
      </c>
      <c r="B41" s="14" t="s">
        <v>63</v>
      </c>
      <c r="D41" s="41" t="n">
        <f aca="false">SUM(E41:BL41)</f>
        <v>41330000</v>
      </c>
      <c r="E41" s="33" t="n">
        <f aca="false">INDEX(Brand_PR,1,E$5)/12</f>
        <v>1366666.66666667</v>
      </c>
      <c r="F41" s="33" t="n">
        <f aca="false">INDEX(Brand_PR,1,F$5)/12</f>
        <v>1366666.66666667</v>
      </c>
      <c r="G41" s="33" t="n">
        <f aca="false">INDEX(Brand_PR,1,G$5)/12</f>
        <v>1366666.66666667</v>
      </c>
      <c r="H41" s="33" t="n">
        <f aca="false">INDEX(Brand_PR,1,H$5)/12</f>
        <v>1366666.66666667</v>
      </c>
      <c r="I41" s="33" t="n">
        <f aca="false">INDEX(Brand_PR,1,I$5)/12</f>
        <v>1366666.66666667</v>
      </c>
      <c r="J41" s="33" t="n">
        <f aca="false">INDEX(Brand_PR,1,J$5)/12</f>
        <v>1366666.66666667</v>
      </c>
      <c r="K41" s="33" t="n">
        <f aca="false">INDEX(Brand_PR,1,K$5)/12</f>
        <v>1366666.66666667</v>
      </c>
      <c r="L41" s="33" t="n">
        <f aca="false">INDEX(Brand_PR,1,L$5)/12</f>
        <v>1366666.66666667</v>
      </c>
      <c r="M41" s="33" t="n">
        <f aca="false">INDEX(Brand_PR,1,M$5)/12</f>
        <v>1366666.66666667</v>
      </c>
      <c r="N41" s="33" t="n">
        <f aca="false">INDEX(Brand_PR,1,N$5)/12</f>
        <v>1366666.66666667</v>
      </c>
      <c r="O41" s="33" t="n">
        <f aca="false">INDEX(Brand_PR,1,O$5)/12</f>
        <v>1366666.66666667</v>
      </c>
      <c r="P41" s="33" t="n">
        <f aca="false">INDEX(Brand_PR,1,P$5)/12</f>
        <v>1366666.66666667</v>
      </c>
      <c r="Q41" s="33" t="n">
        <f aca="false">INDEX(Brand_PR,1,Q$5)/12</f>
        <v>437500</v>
      </c>
      <c r="R41" s="33" t="n">
        <f aca="false">INDEX(Brand_PR,1,R$5)/12</f>
        <v>437500</v>
      </c>
      <c r="S41" s="33" t="n">
        <f aca="false">INDEX(Brand_PR,1,S$5)/12</f>
        <v>437500</v>
      </c>
      <c r="T41" s="33" t="n">
        <f aca="false">INDEX(Brand_PR,1,T$5)/12</f>
        <v>437500</v>
      </c>
      <c r="U41" s="33" t="n">
        <f aca="false">INDEX(Brand_PR,1,U$5)/12</f>
        <v>437500</v>
      </c>
      <c r="V41" s="33" t="n">
        <f aca="false">INDEX(Brand_PR,1,V$5)/12</f>
        <v>437500</v>
      </c>
      <c r="W41" s="33" t="n">
        <f aca="false">INDEX(Brand_PR,1,W$5)/12</f>
        <v>437500</v>
      </c>
      <c r="X41" s="33" t="n">
        <f aca="false">INDEX(Brand_PR,1,X$5)/12</f>
        <v>437500</v>
      </c>
      <c r="Y41" s="33" t="n">
        <f aca="false">INDEX(Brand_PR,1,Y$5)/12</f>
        <v>437500</v>
      </c>
      <c r="Z41" s="33" t="n">
        <f aca="false">INDEX(Brand_PR,1,Z$5)/12</f>
        <v>437500</v>
      </c>
      <c r="AA41" s="33" t="n">
        <f aca="false">INDEX(Brand_PR,1,AA$5)/12</f>
        <v>437500</v>
      </c>
      <c r="AB41" s="33" t="n">
        <f aca="false">INDEX(Brand_PR,1,AB$5)/12</f>
        <v>437500</v>
      </c>
      <c r="AC41" s="33" t="n">
        <f aca="false">INDEX(Brand_PR,1,AC$5)/12</f>
        <v>546666.666666667</v>
      </c>
      <c r="AD41" s="33" t="n">
        <f aca="false">INDEX(Brand_PR,1,AD$5)/12</f>
        <v>546666.666666667</v>
      </c>
      <c r="AE41" s="33" t="n">
        <f aca="false">INDEX(Brand_PR,1,AE$5)/12</f>
        <v>546666.666666667</v>
      </c>
      <c r="AF41" s="33" t="n">
        <f aca="false">INDEX(Brand_PR,1,AF$5)/12</f>
        <v>546666.666666667</v>
      </c>
      <c r="AG41" s="33" t="n">
        <f aca="false">INDEX(Brand_PR,1,AG$5)/12</f>
        <v>546666.666666667</v>
      </c>
      <c r="AH41" s="33" t="n">
        <f aca="false">INDEX(Brand_PR,1,AH$5)/12</f>
        <v>546666.666666667</v>
      </c>
      <c r="AI41" s="33" t="n">
        <f aca="false">INDEX(Brand_PR,1,AI$5)/12</f>
        <v>546666.666666667</v>
      </c>
      <c r="AJ41" s="33" t="n">
        <f aca="false">INDEX(Brand_PR,1,AJ$5)/12</f>
        <v>546666.666666667</v>
      </c>
      <c r="AK41" s="33" t="n">
        <f aca="false">INDEX(Brand_PR,1,AK$5)/12</f>
        <v>546666.666666667</v>
      </c>
      <c r="AL41" s="33" t="n">
        <f aca="false">INDEX(Brand_PR,1,AL$5)/12</f>
        <v>546666.666666667</v>
      </c>
      <c r="AM41" s="33" t="n">
        <f aca="false">INDEX(Brand_PR,1,AM$5)/12</f>
        <v>546666.666666667</v>
      </c>
      <c r="AN41" s="33" t="n">
        <f aca="false">INDEX(Brand_PR,1,AN$5)/12</f>
        <v>546666.666666667</v>
      </c>
      <c r="AO41" s="33" t="n">
        <f aca="false">INDEX(Brand_PR,1,AO$5)/12</f>
        <v>546666.666666667</v>
      </c>
      <c r="AP41" s="33" t="n">
        <f aca="false">INDEX(Brand_PR,1,AP$5)/12</f>
        <v>546666.666666667</v>
      </c>
      <c r="AQ41" s="33" t="n">
        <f aca="false">INDEX(Brand_PR,1,AQ$5)/12</f>
        <v>546666.666666667</v>
      </c>
      <c r="AR41" s="33" t="n">
        <f aca="false">INDEX(Brand_PR,1,AR$5)/12</f>
        <v>546666.666666667</v>
      </c>
      <c r="AS41" s="33" t="n">
        <f aca="false">INDEX(Brand_PR,1,AS$5)/12</f>
        <v>546666.666666667</v>
      </c>
      <c r="AT41" s="33" t="n">
        <f aca="false">INDEX(Brand_PR,1,AT$5)/12</f>
        <v>546666.666666667</v>
      </c>
      <c r="AU41" s="33" t="n">
        <f aca="false">INDEX(Brand_PR,1,AU$5)/12</f>
        <v>546666.666666667</v>
      </c>
      <c r="AV41" s="33" t="n">
        <f aca="false">INDEX(Brand_PR,1,AV$5)/12</f>
        <v>546666.666666667</v>
      </c>
      <c r="AW41" s="33" t="n">
        <f aca="false">INDEX(Brand_PR,1,AW$5)/12</f>
        <v>546666.666666667</v>
      </c>
      <c r="AX41" s="33" t="n">
        <f aca="false">INDEX(Brand_PR,1,AX$5)/12</f>
        <v>546666.666666667</v>
      </c>
      <c r="AY41" s="33" t="n">
        <f aca="false">INDEX(Brand_PR,1,AY$5)/12</f>
        <v>546666.666666667</v>
      </c>
      <c r="AZ41" s="33" t="n">
        <f aca="false">INDEX(Brand_PR,1,AZ$5)/12</f>
        <v>546666.666666667</v>
      </c>
      <c r="BA41" s="33" t="n">
        <f aca="false">INDEX(Brand_PR,1,BA$5)/12</f>
        <v>546666.666666667</v>
      </c>
      <c r="BB41" s="33" t="n">
        <f aca="false">INDEX(Brand_PR,1,BB$5)/12</f>
        <v>546666.666666667</v>
      </c>
      <c r="BC41" s="33" t="n">
        <f aca="false">INDEX(Brand_PR,1,BC$5)/12</f>
        <v>546666.666666667</v>
      </c>
      <c r="BD41" s="33" t="n">
        <f aca="false">INDEX(Brand_PR,1,BD$5)/12</f>
        <v>546666.666666667</v>
      </c>
      <c r="BE41" s="33" t="n">
        <f aca="false">INDEX(Brand_PR,1,BE$5)/12</f>
        <v>546666.666666667</v>
      </c>
      <c r="BF41" s="33" t="n">
        <f aca="false">INDEX(Brand_PR,1,BF$5)/12</f>
        <v>546666.666666667</v>
      </c>
      <c r="BG41" s="33" t="n">
        <f aca="false">INDEX(Brand_PR,1,BG$5)/12</f>
        <v>546666.666666667</v>
      </c>
      <c r="BH41" s="33" t="n">
        <f aca="false">INDEX(Brand_PR,1,BH$5)/12</f>
        <v>546666.666666667</v>
      </c>
      <c r="BI41" s="33" t="n">
        <f aca="false">INDEX(Brand_PR,1,BI$5)/12</f>
        <v>546666.666666667</v>
      </c>
      <c r="BJ41" s="33" t="n">
        <f aca="false">INDEX(Brand_PR,1,BJ$5)/12</f>
        <v>546666.666666667</v>
      </c>
      <c r="BK41" s="33" t="n">
        <f aca="false">INDEX(Brand_PR,1,BK$5)/12</f>
        <v>546666.666666667</v>
      </c>
      <c r="BL41" s="33" t="n">
        <f aca="false">INDEX(Brand_PR,1,BL$5)/12</f>
        <v>546666.666666667</v>
      </c>
    </row>
    <row r="42" customFormat="false" ht="15" hidden="false" customHeight="false" outlineLevel="0" collapsed="false">
      <c r="A42" s="12" t="s">
        <v>423</v>
      </c>
      <c r="B42" s="14" t="s">
        <v>63</v>
      </c>
      <c r="D42" s="41" t="n">
        <f aca="false">SUM(E42:BL42)</f>
        <v>137740000</v>
      </c>
      <c r="E42" s="33" t="n">
        <f aca="false">INDEX(Events,1,E$5)/12</f>
        <v>820000</v>
      </c>
      <c r="F42" s="33" t="n">
        <f aca="false">INDEX(Events,1,F$5)/12</f>
        <v>820000</v>
      </c>
      <c r="G42" s="33" t="n">
        <f aca="false">INDEX(Events,1,G$5)/12</f>
        <v>820000</v>
      </c>
      <c r="H42" s="33" t="n">
        <f aca="false">INDEX(Events,1,H$5)/12</f>
        <v>820000</v>
      </c>
      <c r="I42" s="33" t="n">
        <f aca="false">INDEX(Events,1,I$5)/12</f>
        <v>820000</v>
      </c>
      <c r="J42" s="33" t="n">
        <f aca="false">INDEX(Events,1,J$5)/12</f>
        <v>820000</v>
      </c>
      <c r="K42" s="33" t="n">
        <f aca="false">INDEX(Events,1,K$5)/12</f>
        <v>820000</v>
      </c>
      <c r="L42" s="33" t="n">
        <f aca="false">INDEX(Events,1,L$5)/12</f>
        <v>820000</v>
      </c>
      <c r="M42" s="33" t="n">
        <f aca="false">INDEX(Events,1,M$5)/12</f>
        <v>820000</v>
      </c>
      <c r="N42" s="33" t="n">
        <f aca="false">INDEX(Events,1,N$5)/12</f>
        <v>820000</v>
      </c>
      <c r="O42" s="33" t="n">
        <f aca="false">INDEX(Events,1,O$5)/12</f>
        <v>820000</v>
      </c>
      <c r="P42" s="33" t="n">
        <f aca="false">INDEX(Events,1,P$5)/12</f>
        <v>820000</v>
      </c>
      <c r="Q42" s="33" t="n">
        <f aca="false">INDEX(Events,1,Q$5)/12</f>
        <v>1641666.66666667</v>
      </c>
      <c r="R42" s="33" t="n">
        <f aca="false">INDEX(Events,1,R$5)/12</f>
        <v>1641666.66666667</v>
      </c>
      <c r="S42" s="33" t="n">
        <f aca="false">INDEX(Events,1,S$5)/12</f>
        <v>1641666.66666667</v>
      </c>
      <c r="T42" s="33" t="n">
        <f aca="false">INDEX(Events,1,T$5)/12</f>
        <v>1641666.66666667</v>
      </c>
      <c r="U42" s="33" t="n">
        <f aca="false">INDEX(Events,1,U$5)/12</f>
        <v>1641666.66666667</v>
      </c>
      <c r="V42" s="33" t="n">
        <f aca="false">INDEX(Events,1,V$5)/12</f>
        <v>1641666.66666667</v>
      </c>
      <c r="W42" s="33" t="n">
        <f aca="false">INDEX(Events,1,W$5)/12</f>
        <v>1641666.66666667</v>
      </c>
      <c r="X42" s="33" t="n">
        <f aca="false">INDEX(Events,1,X$5)/12</f>
        <v>1641666.66666667</v>
      </c>
      <c r="Y42" s="33" t="n">
        <f aca="false">INDEX(Events,1,Y$5)/12</f>
        <v>1641666.66666667</v>
      </c>
      <c r="Z42" s="33" t="n">
        <f aca="false">INDEX(Events,1,Z$5)/12</f>
        <v>1641666.66666667</v>
      </c>
      <c r="AA42" s="33" t="n">
        <f aca="false">INDEX(Events,1,AA$5)/12</f>
        <v>1641666.66666667</v>
      </c>
      <c r="AB42" s="33" t="n">
        <f aca="false">INDEX(Events,1,AB$5)/12</f>
        <v>1641666.66666667</v>
      </c>
      <c r="AC42" s="33" t="n">
        <f aca="false">INDEX(Events,1,AC$5)/12</f>
        <v>2458333.33333333</v>
      </c>
      <c r="AD42" s="33" t="n">
        <f aca="false">INDEX(Events,1,AD$5)/12</f>
        <v>2458333.33333333</v>
      </c>
      <c r="AE42" s="33" t="n">
        <f aca="false">INDEX(Events,1,AE$5)/12</f>
        <v>2458333.33333333</v>
      </c>
      <c r="AF42" s="33" t="n">
        <f aca="false">INDEX(Events,1,AF$5)/12</f>
        <v>2458333.33333333</v>
      </c>
      <c r="AG42" s="33" t="n">
        <f aca="false">INDEX(Events,1,AG$5)/12</f>
        <v>2458333.33333333</v>
      </c>
      <c r="AH42" s="33" t="n">
        <f aca="false">INDEX(Events,1,AH$5)/12</f>
        <v>2458333.33333333</v>
      </c>
      <c r="AI42" s="33" t="n">
        <f aca="false">INDEX(Events,1,AI$5)/12</f>
        <v>2458333.33333333</v>
      </c>
      <c r="AJ42" s="33" t="n">
        <f aca="false">INDEX(Events,1,AJ$5)/12</f>
        <v>2458333.33333333</v>
      </c>
      <c r="AK42" s="33" t="n">
        <f aca="false">INDEX(Events,1,AK$5)/12</f>
        <v>2458333.33333333</v>
      </c>
      <c r="AL42" s="33" t="n">
        <f aca="false">INDEX(Events,1,AL$5)/12</f>
        <v>2458333.33333333</v>
      </c>
      <c r="AM42" s="33" t="n">
        <f aca="false">INDEX(Events,1,AM$5)/12</f>
        <v>2458333.33333333</v>
      </c>
      <c r="AN42" s="33" t="n">
        <f aca="false">INDEX(Events,1,AN$5)/12</f>
        <v>2458333.33333333</v>
      </c>
      <c r="AO42" s="33" t="n">
        <f aca="false">INDEX(Events,1,AO$5)/12</f>
        <v>3008333.33333333</v>
      </c>
      <c r="AP42" s="33" t="n">
        <f aca="false">INDEX(Events,1,AP$5)/12</f>
        <v>3008333.33333333</v>
      </c>
      <c r="AQ42" s="33" t="n">
        <f aca="false">INDEX(Events,1,AQ$5)/12</f>
        <v>3008333.33333333</v>
      </c>
      <c r="AR42" s="33" t="n">
        <f aca="false">INDEX(Events,1,AR$5)/12</f>
        <v>3008333.33333333</v>
      </c>
      <c r="AS42" s="33" t="n">
        <f aca="false">INDEX(Events,1,AS$5)/12</f>
        <v>3008333.33333333</v>
      </c>
      <c r="AT42" s="33" t="n">
        <f aca="false">INDEX(Events,1,AT$5)/12</f>
        <v>3008333.33333333</v>
      </c>
      <c r="AU42" s="33" t="n">
        <f aca="false">INDEX(Events,1,AU$5)/12</f>
        <v>3008333.33333333</v>
      </c>
      <c r="AV42" s="33" t="n">
        <f aca="false">INDEX(Events,1,AV$5)/12</f>
        <v>3008333.33333333</v>
      </c>
      <c r="AW42" s="33" t="n">
        <f aca="false">INDEX(Events,1,AW$5)/12</f>
        <v>3008333.33333333</v>
      </c>
      <c r="AX42" s="33" t="n">
        <f aca="false">INDEX(Events,1,AX$5)/12</f>
        <v>3008333.33333333</v>
      </c>
      <c r="AY42" s="33" t="n">
        <f aca="false">INDEX(Events,1,AY$5)/12</f>
        <v>3008333.33333333</v>
      </c>
      <c r="AZ42" s="33" t="n">
        <f aca="false">INDEX(Events,1,AZ$5)/12</f>
        <v>3008333.33333333</v>
      </c>
      <c r="BA42" s="33" t="n">
        <f aca="false">INDEX(Events,1,BA$5)/12</f>
        <v>3550000</v>
      </c>
      <c r="BB42" s="33" t="n">
        <f aca="false">INDEX(Events,1,BB$5)/12</f>
        <v>3550000</v>
      </c>
      <c r="BC42" s="33" t="n">
        <f aca="false">INDEX(Events,1,BC$5)/12</f>
        <v>3550000</v>
      </c>
      <c r="BD42" s="33" t="n">
        <f aca="false">INDEX(Events,1,BD$5)/12</f>
        <v>3550000</v>
      </c>
      <c r="BE42" s="33" t="n">
        <f aca="false">INDEX(Events,1,BE$5)/12</f>
        <v>3550000</v>
      </c>
      <c r="BF42" s="33" t="n">
        <f aca="false">INDEX(Events,1,BF$5)/12</f>
        <v>3550000</v>
      </c>
      <c r="BG42" s="33" t="n">
        <f aca="false">INDEX(Events,1,BG$5)/12</f>
        <v>3550000</v>
      </c>
      <c r="BH42" s="33" t="n">
        <f aca="false">INDEX(Events,1,BH$5)/12</f>
        <v>3550000</v>
      </c>
      <c r="BI42" s="33" t="n">
        <f aca="false">INDEX(Events,1,BI$5)/12</f>
        <v>3550000</v>
      </c>
      <c r="BJ42" s="33" t="n">
        <f aca="false">INDEX(Events,1,BJ$5)/12</f>
        <v>3550000</v>
      </c>
      <c r="BK42" s="33" t="n">
        <f aca="false">INDEX(Events,1,BK$5)/12</f>
        <v>3550000</v>
      </c>
      <c r="BL42" s="33" t="n">
        <f aca="false">INDEX(Events,1,BL$5)/12</f>
        <v>3550000</v>
      </c>
    </row>
    <row r="43" customFormat="false" ht="15" hidden="false" customHeight="false" outlineLevel="0" collapsed="false">
      <c r="A43" s="12" t="s">
        <v>562</v>
      </c>
      <c r="B43" s="14" t="s">
        <v>63</v>
      </c>
      <c r="D43" s="41" t="n">
        <f aca="false">SUM(E43:BL43)</f>
        <v>95994511.508861</v>
      </c>
      <c r="E43" s="33" t="n">
        <f aca="false">E37*Referral_Fee</f>
        <v>0</v>
      </c>
      <c r="F43" s="33" t="n">
        <f aca="false">F37*Referral_Fee</f>
        <v>0</v>
      </c>
      <c r="G43" s="33" t="n">
        <f aca="false">G37*Referral_Fee</f>
        <v>0</v>
      </c>
      <c r="H43" s="33" t="n">
        <f aca="false">H37*Referral_Fee</f>
        <v>0</v>
      </c>
      <c r="I43" s="33" t="n">
        <f aca="false">I37*Referral_Fee</f>
        <v>250000</v>
      </c>
      <c r="J43" s="33" t="n">
        <f aca="false">J37*Referral_Fee</f>
        <v>265000</v>
      </c>
      <c r="K43" s="33" t="n">
        <f aca="false">K37*Referral_Fee</f>
        <v>280900</v>
      </c>
      <c r="L43" s="33" t="n">
        <f aca="false">L37*Referral_Fee</f>
        <v>297754</v>
      </c>
      <c r="M43" s="33" t="n">
        <f aca="false">M37*Referral_Fee</f>
        <v>315619.24</v>
      </c>
      <c r="N43" s="33" t="n">
        <f aca="false">N37*Referral_Fee</f>
        <v>334556.3944</v>
      </c>
      <c r="O43" s="33" t="n">
        <f aca="false">O37*Referral_Fee</f>
        <v>354629.778064</v>
      </c>
      <c r="P43" s="33" t="n">
        <f aca="false">P37*Referral_Fee</f>
        <v>375907.56474784</v>
      </c>
      <c r="Q43" s="33" t="n">
        <f aca="false">Q37*Referral_Fee</f>
        <v>398462.018632711</v>
      </c>
      <c r="R43" s="33" t="n">
        <f aca="false">R37*Referral_Fee</f>
        <v>422369.739750673</v>
      </c>
      <c r="S43" s="33" t="n">
        <f aca="false">S37*Referral_Fee</f>
        <v>447711.924135714</v>
      </c>
      <c r="T43" s="33" t="n">
        <f aca="false">T37*Referral_Fee</f>
        <v>474574.639583857</v>
      </c>
      <c r="U43" s="33" t="n">
        <f aca="false">U37*Referral_Fee</f>
        <v>503049.117958888</v>
      </c>
      <c r="V43" s="33" t="n">
        <f aca="false">V37*Referral_Fee</f>
        <v>533232.065036421</v>
      </c>
      <c r="W43" s="33" t="n">
        <f aca="false">W37*Referral_Fee</f>
        <v>715225.988938607</v>
      </c>
      <c r="X43" s="33" t="n">
        <f aca="false">X37*Referral_Fee</f>
        <v>758139.548274923</v>
      </c>
      <c r="Y43" s="33" t="n">
        <f aca="false">Y37*Referral_Fee</f>
        <v>803627.921171418</v>
      </c>
      <c r="Z43" s="33" t="n">
        <f aca="false">Z37*Referral_Fee</f>
        <v>851845.596441703</v>
      </c>
      <c r="AA43" s="33" t="n">
        <f aca="false">AA37*Referral_Fee</f>
        <v>902956.332228206</v>
      </c>
      <c r="AB43" s="33" t="n">
        <f aca="false">AB37*Referral_Fee</f>
        <v>957133.712161898</v>
      </c>
      <c r="AC43" s="33" t="n">
        <f aca="false">AC37*Referral_Fee</f>
        <v>1014561.73489161</v>
      </c>
      <c r="AD43" s="33" t="n">
        <f aca="false">AD37*Referral_Fee</f>
        <v>1075435.43898511</v>
      </c>
      <c r="AE43" s="33" t="n">
        <f aca="false">AE37*Referral_Fee</f>
        <v>1139961.56532422</v>
      </c>
      <c r="AF43" s="33" t="n">
        <f aca="false">AF37*Referral_Fee</f>
        <v>1208359.25924367</v>
      </c>
      <c r="AG43" s="33" t="n">
        <f aca="false">AG37*Referral_Fee</f>
        <v>1280860.81479829</v>
      </c>
      <c r="AH43" s="33" t="n">
        <f aca="false">AH37*Referral_Fee</f>
        <v>1357712.46368619</v>
      </c>
      <c r="AI43" s="33" t="n">
        <f aca="false">AI37*Referral_Fee</f>
        <v>1439175.21150736</v>
      </c>
      <c r="AJ43" s="33" t="n">
        <f aca="false">AJ37*Referral_Fee</f>
        <v>1525525.7241978</v>
      </c>
      <c r="AK43" s="33" t="n">
        <f aca="false">AK37*Referral_Fee</f>
        <v>1617057.26764967</v>
      </c>
      <c r="AL43" s="33" t="n">
        <f aca="false">AL37*Referral_Fee</f>
        <v>1714080.70370865</v>
      </c>
      <c r="AM43" s="33" t="n">
        <f aca="false">AM37*Referral_Fee</f>
        <v>1816925.54593117</v>
      </c>
      <c r="AN43" s="33" t="n">
        <f aca="false">AN37*Referral_Fee</f>
        <v>1925941.07868704</v>
      </c>
      <c r="AO43" s="33" t="n">
        <f aca="false">AO37*Referral_Fee</f>
        <v>2041497.54340826</v>
      </c>
      <c r="AP43" s="33" t="n">
        <f aca="false">AP37*Referral_Fee</f>
        <v>2163987.39601275</v>
      </c>
      <c r="AQ43" s="33" t="n">
        <f aca="false">AQ37*Referral_Fee</f>
        <v>2293826.63977352</v>
      </c>
      <c r="AR43" s="33" t="n">
        <f aca="false">AR37*Referral_Fee</f>
        <v>2431456.23815993</v>
      </c>
      <c r="AS43" s="33" t="n">
        <f aca="false">AS37*Referral_Fee</f>
        <v>2540530.61248675</v>
      </c>
      <c r="AT43" s="33" t="n">
        <f aca="false">AT37*Referral_Fee</f>
        <v>2572962.44923596</v>
      </c>
      <c r="AU43" s="33" t="n">
        <f aca="false">AU37*Referral_Fee</f>
        <v>2607340.19619012</v>
      </c>
      <c r="AV43" s="33" t="n">
        <f aca="false">AV37*Referral_Fee</f>
        <v>2643780.60796152</v>
      </c>
      <c r="AW43" s="33" t="n">
        <f aca="false">AW37*Referral_Fee</f>
        <v>2682407.44443921</v>
      </c>
      <c r="AX43" s="33" t="n">
        <f aca="false">AX37*Referral_Fee</f>
        <v>2723351.89110557</v>
      </c>
      <c r="AY43" s="33" t="n">
        <f aca="false">AY37*Referral_Fee</f>
        <v>2766753.0045719</v>
      </c>
      <c r="AZ43" s="33" t="n">
        <f aca="false">AZ37*Referral_Fee</f>
        <v>2812758.18484622</v>
      </c>
      <c r="BA43" s="33" t="n">
        <f aca="false">BA37*Referral_Fee</f>
        <v>2861523.67593699</v>
      </c>
      <c r="BB43" s="33" t="n">
        <f aca="false">BB37*Referral_Fee</f>
        <v>2913215.09649321</v>
      </c>
      <c r="BC43" s="33" t="n">
        <f aca="false">BC37*Referral_Fee</f>
        <v>2968008.0022828</v>
      </c>
      <c r="BD43" s="33" t="n">
        <f aca="false">BD37*Referral_Fee</f>
        <v>3026088.48241977</v>
      </c>
      <c r="BE43" s="33" t="n">
        <f aca="false">BE37*Referral_Fee</f>
        <v>3087653.79136496</v>
      </c>
      <c r="BF43" s="33" t="n">
        <f aca="false">BF37*Referral_Fee</f>
        <v>3152913.01884685</v>
      </c>
      <c r="BG43" s="33" t="n">
        <f aca="false">BG37*Referral_Fee</f>
        <v>3222087.79997766</v>
      </c>
      <c r="BH43" s="33" t="n">
        <f aca="false">BH37*Referral_Fee</f>
        <v>3295413.06797632</v>
      </c>
      <c r="BI43" s="33" t="n">
        <f aca="false">BI37*Referral_Fee</f>
        <v>3373137.8520549</v>
      </c>
      <c r="BJ43" s="33" t="n">
        <f aca="false">BJ37*Referral_Fee</f>
        <v>3455526.1231782</v>
      </c>
      <c r="BK43" s="33" t="n">
        <f aca="false">BK37*Referral_Fee</f>
        <v>3500000</v>
      </c>
      <c r="BL43" s="33" t="n">
        <f aca="false">BL37*Referral_Fee</f>
        <v>3500000</v>
      </c>
    </row>
    <row r="44" customFormat="false" ht="15" hidden="false" customHeight="false" outlineLevel="0" collapsed="false">
      <c r="A44" s="12" t="s">
        <v>563</v>
      </c>
      <c r="B44" s="14" t="s">
        <v>63</v>
      </c>
      <c r="D44" s="41" t="n">
        <f aca="false">SUM(E44:BL44)</f>
        <v>63900000</v>
      </c>
      <c r="E44" s="33" t="n">
        <f aca="false">(E13+E14)*Rep_Transport</f>
        <v>0</v>
      </c>
      <c r="F44" s="33" t="n">
        <f aca="false">(F13+F14)*Rep_Transport</f>
        <v>0</v>
      </c>
      <c r="G44" s="33" t="n">
        <f aca="false">(G13+G14)*Rep_Transport</f>
        <v>0</v>
      </c>
      <c r="H44" s="33" t="n">
        <f aca="false">(H13+H14)*Rep_Transport</f>
        <v>150000</v>
      </c>
      <c r="I44" s="33" t="n">
        <f aca="false">(I13+I14)*Rep_Transport</f>
        <v>150000</v>
      </c>
      <c r="J44" s="33" t="n">
        <f aca="false">(J13+J14)*Rep_Transport</f>
        <v>150000</v>
      </c>
      <c r="K44" s="33" t="n">
        <f aca="false">(K13+K14)*Rep_Transport</f>
        <v>300000</v>
      </c>
      <c r="L44" s="33" t="n">
        <f aca="false">(L13+L14)*Rep_Transport</f>
        <v>300000</v>
      </c>
      <c r="M44" s="33" t="n">
        <f aca="false">(M13+M14)*Rep_Transport</f>
        <v>300000</v>
      </c>
      <c r="N44" s="33" t="n">
        <f aca="false">(N13+N14)*Rep_Transport</f>
        <v>300000</v>
      </c>
      <c r="O44" s="33" t="n">
        <f aca="false">(O13+O14)*Rep_Transport</f>
        <v>300000</v>
      </c>
      <c r="P44" s="33" t="n">
        <f aca="false">(P13+P14)*Rep_Transport</f>
        <v>300000</v>
      </c>
      <c r="Q44" s="33" t="n">
        <f aca="false">(Q13+Q14)*Rep_Transport</f>
        <v>300000</v>
      </c>
      <c r="R44" s="33" t="n">
        <f aca="false">(R13+R14)*Rep_Transport</f>
        <v>300000</v>
      </c>
      <c r="S44" s="33" t="n">
        <f aca="false">(S13+S14)*Rep_Transport</f>
        <v>300000</v>
      </c>
      <c r="T44" s="33" t="n">
        <f aca="false">(T13+T14)*Rep_Transport</f>
        <v>300000</v>
      </c>
      <c r="U44" s="33" t="n">
        <f aca="false">(U13+U14)*Rep_Transport</f>
        <v>300000</v>
      </c>
      <c r="V44" s="33" t="n">
        <f aca="false">(V13+V14)*Rep_Transport</f>
        <v>300000</v>
      </c>
      <c r="W44" s="33" t="n">
        <f aca="false">(W13+W14)*Rep_Transport</f>
        <v>825000</v>
      </c>
      <c r="X44" s="33" t="n">
        <f aca="false">(X13+X14)*Rep_Transport</f>
        <v>825000</v>
      </c>
      <c r="Y44" s="33" t="n">
        <f aca="false">(Y13+Y14)*Rep_Transport</f>
        <v>825000</v>
      </c>
      <c r="Z44" s="33" t="n">
        <f aca="false">(Z13+Z14)*Rep_Transport</f>
        <v>825000</v>
      </c>
      <c r="AA44" s="33" t="n">
        <f aca="false">(AA13+AA14)*Rep_Transport</f>
        <v>825000</v>
      </c>
      <c r="AB44" s="33" t="n">
        <f aca="false">(AB13+AB14)*Rep_Transport</f>
        <v>825000</v>
      </c>
      <c r="AC44" s="33" t="n">
        <f aca="false">(AC13+AC14)*Rep_Transport</f>
        <v>825000</v>
      </c>
      <c r="AD44" s="33" t="n">
        <f aca="false">(AD13+AD14)*Rep_Transport</f>
        <v>825000</v>
      </c>
      <c r="AE44" s="33" t="n">
        <f aca="false">(AE13+AE14)*Rep_Transport</f>
        <v>825000</v>
      </c>
      <c r="AF44" s="33" t="n">
        <f aca="false">(AF13+AF14)*Rep_Transport</f>
        <v>825000</v>
      </c>
      <c r="AG44" s="33" t="n">
        <f aca="false">(AG13+AG14)*Rep_Transport</f>
        <v>825000</v>
      </c>
      <c r="AH44" s="33" t="n">
        <f aca="false">(AH13+AH14)*Rep_Transport</f>
        <v>825000</v>
      </c>
      <c r="AI44" s="33" t="n">
        <f aca="false">(AI13+AI14)*Rep_Transport</f>
        <v>1350000</v>
      </c>
      <c r="AJ44" s="33" t="n">
        <f aca="false">(AJ13+AJ14)*Rep_Transport</f>
        <v>1350000</v>
      </c>
      <c r="AK44" s="33" t="n">
        <f aca="false">(AK13+AK14)*Rep_Transport</f>
        <v>1350000</v>
      </c>
      <c r="AL44" s="33" t="n">
        <f aca="false">(AL13+AL14)*Rep_Transport</f>
        <v>1350000</v>
      </c>
      <c r="AM44" s="33" t="n">
        <f aca="false">(AM13+AM14)*Rep_Transport</f>
        <v>1350000</v>
      </c>
      <c r="AN44" s="33" t="n">
        <f aca="false">(AN13+AN14)*Rep_Transport</f>
        <v>1350000</v>
      </c>
      <c r="AO44" s="33" t="n">
        <f aca="false">(AO13+AO14)*Rep_Transport</f>
        <v>1350000</v>
      </c>
      <c r="AP44" s="33" t="n">
        <f aca="false">(AP13+AP14)*Rep_Transport</f>
        <v>1350000</v>
      </c>
      <c r="AQ44" s="33" t="n">
        <f aca="false">(AQ13+AQ14)*Rep_Transport</f>
        <v>1350000</v>
      </c>
      <c r="AR44" s="33" t="n">
        <f aca="false">(AR13+AR14)*Rep_Transport</f>
        <v>1350000</v>
      </c>
      <c r="AS44" s="33" t="n">
        <f aca="false">(AS13+AS14)*Rep_Transport</f>
        <v>1350000</v>
      </c>
      <c r="AT44" s="33" t="n">
        <f aca="false">(AT13+AT14)*Rep_Transport</f>
        <v>1350000</v>
      </c>
      <c r="AU44" s="33" t="n">
        <f aca="false">(AU13+AU14)*Rep_Transport</f>
        <v>1875000</v>
      </c>
      <c r="AV44" s="33" t="n">
        <f aca="false">(AV13+AV14)*Rep_Transport</f>
        <v>1875000</v>
      </c>
      <c r="AW44" s="33" t="n">
        <f aca="false">(AW13+AW14)*Rep_Transport</f>
        <v>1875000</v>
      </c>
      <c r="AX44" s="33" t="n">
        <f aca="false">(AX13+AX14)*Rep_Transport</f>
        <v>1875000</v>
      </c>
      <c r="AY44" s="33" t="n">
        <f aca="false">(AY13+AY14)*Rep_Transport</f>
        <v>1875000</v>
      </c>
      <c r="AZ44" s="33" t="n">
        <f aca="false">(AZ13+AZ14)*Rep_Transport</f>
        <v>1875000</v>
      </c>
      <c r="BA44" s="33" t="n">
        <f aca="false">(BA13+BA14)*Rep_Transport</f>
        <v>1875000</v>
      </c>
      <c r="BB44" s="33" t="n">
        <f aca="false">(BB13+BB14)*Rep_Transport</f>
        <v>1875000</v>
      </c>
      <c r="BC44" s="33" t="n">
        <f aca="false">(BC13+BC14)*Rep_Transport</f>
        <v>1875000</v>
      </c>
      <c r="BD44" s="33" t="n">
        <f aca="false">(BD13+BD14)*Rep_Transport</f>
        <v>1875000</v>
      </c>
      <c r="BE44" s="33" t="n">
        <f aca="false">(BE13+BE14)*Rep_Transport</f>
        <v>1875000</v>
      </c>
      <c r="BF44" s="33" t="n">
        <f aca="false">(BF13+BF14)*Rep_Transport</f>
        <v>1875000</v>
      </c>
      <c r="BG44" s="33" t="n">
        <f aca="false">(BG13+BG14)*Rep_Transport</f>
        <v>1875000</v>
      </c>
      <c r="BH44" s="33" t="n">
        <f aca="false">(BH13+BH14)*Rep_Transport</f>
        <v>1875000</v>
      </c>
      <c r="BI44" s="33" t="n">
        <f aca="false">(BI13+BI14)*Rep_Transport</f>
        <v>1875000</v>
      </c>
      <c r="BJ44" s="33" t="n">
        <f aca="false">(BJ13+BJ14)*Rep_Transport</f>
        <v>1875000</v>
      </c>
      <c r="BK44" s="33" t="n">
        <f aca="false">(BK13+BK14)*Rep_Transport</f>
        <v>1875000</v>
      </c>
      <c r="BL44" s="33" t="n">
        <f aca="false">(BL13+BL14)*Rep_Transport</f>
        <v>1875000</v>
      </c>
    </row>
    <row r="45" customFormat="false" ht="15" hidden="false" customHeight="false" outlineLevel="0" collapsed="false">
      <c r="A45" s="8" t="s">
        <v>564</v>
      </c>
      <c r="B45" s="14" t="s">
        <v>63</v>
      </c>
      <c r="D45" s="41" t="n">
        <f aca="false">SUM(E45:BL45)</f>
        <v>672184511.508861</v>
      </c>
      <c r="E45" s="16" t="n">
        <f aca="false">SUM(E40:E44)</f>
        <v>2186666.66666667</v>
      </c>
      <c r="F45" s="16" t="n">
        <f aca="false">SUM(F40:F44)</f>
        <v>2186666.66666667</v>
      </c>
      <c r="G45" s="16" t="n">
        <f aca="false">SUM(G40:G44)</f>
        <v>2186666.66666667</v>
      </c>
      <c r="H45" s="16" t="n">
        <f aca="false">SUM(H40:H44)</f>
        <v>2336666.66666667</v>
      </c>
      <c r="I45" s="16" t="n">
        <f aca="false">SUM(I40:I44)</f>
        <v>3896666.66666667</v>
      </c>
      <c r="J45" s="16" t="n">
        <f aca="false">SUM(J40:J44)</f>
        <v>3911666.66666667</v>
      </c>
      <c r="K45" s="16" t="n">
        <f aca="false">SUM(K40:K44)</f>
        <v>4077566.66666667</v>
      </c>
      <c r="L45" s="16" t="n">
        <f aca="false">SUM(L40:L44)</f>
        <v>4094420.66666667</v>
      </c>
      <c r="M45" s="16" t="n">
        <f aca="false">SUM(M40:M44)</f>
        <v>4112285.90666667</v>
      </c>
      <c r="N45" s="16" t="n">
        <f aca="false">SUM(N40:N44)</f>
        <v>4131223.06106667</v>
      </c>
      <c r="O45" s="16" t="n">
        <f aca="false">SUM(O40:O44)</f>
        <v>4151296.44473067</v>
      </c>
      <c r="P45" s="16" t="n">
        <f aca="false">SUM(P40:P44)</f>
        <v>4172574.23141451</v>
      </c>
      <c r="Q45" s="16" t="n">
        <f aca="false">SUM(Q40:Q44)</f>
        <v>5397628.68529938</v>
      </c>
      <c r="R45" s="16" t="n">
        <f aca="false">SUM(R40:R44)</f>
        <v>5421536.40641734</v>
      </c>
      <c r="S45" s="16" t="n">
        <f aca="false">SUM(S40:S44)</f>
        <v>5446878.59080238</v>
      </c>
      <c r="T45" s="16" t="n">
        <f aca="false">SUM(T40:T44)</f>
        <v>5473741.30625052</v>
      </c>
      <c r="U45" s="16" t="n">
        <f aca="false">SUM(U40:U44)</f>
        <v>5502215.78462555</v>
      </c>
      <c r="V45" s="16" t="n">
        <f aca="false">SUM(V40:V44)</f>
        <v>5532398.73170309</v>
      </c>
      <c r="W45" s="16" t="n">
        <f aca="false">SUM(W40:W44)</f>
        <v>7549392.65560527</v>
      </c>
      <c r="X45" s="16" t="n">
        <f aca="false">SUM(X40:X44)</f>
        <v>7592306.21494159</v>
      </c>
      <c r="Y45" s="16" t="n">
        <f aca="false">SUM(Y40:Y44)</f>
        <v>7637794.58783809</v>
      </c>
      <c r="Z45" s="16" t="n">
        <f aca="false">SUM(Z40:Z44)</f>
        <v>7686012.26310837</v>
      </c>
      <c r="AA45" s="16" t="n">
        <f aca="false">SUM(AA40:AA44)</f>
        <v>7737122.99889487</v>
      </c>
      <c r="AB45" s="16" t="n">
        <f aca="false">SUM(AB40:AB44)</f>
        <v>7791300.37882857</v>
      </c>
      <c r="AC45" s="16" t="n">
        <f aca="false">SUM(AC40:AC44)</f>
        <v>11404561.7348916</v>
      </c>
      <c r="AD45" s="16" t="n">
        <f aca="false">SUM(AD40:AD44)</f>
        <v>11465435.4389851</v>
      </c>
      <c r="AE45" s="16" t="n">
        <f aca="false">SUM(AE40:AE44)</f>
        <v>11529961.5653242</v>
      </c>
      <c r="AF45" s="16" t="n">
        <f aca="false">SUM(AF40:AF44)</f>
        <v>11598359.2592437</v>
      </c>
      <c r="AG45" s="16" t="n">
        <f aca="false">SUM(AG40:AG44)</f>
        <v>11670860.8147983</v>
      </c>
      <c r="AH45" s="16" t="n">
        <f aca="false">SUM(AH40:AH44)</f>
        <v>11747712.4636862</v>
      </c>
      <c r="AI45" s="16" t="n">
        <f aca="false">SUM(AI40:AI44)</f>
        <v>12354175.2115074</v>
      </c>
      <c r="AJ45" s="16" t="n">
        <f aca="false">SUM(AJ40:AJ44)</f>
        <v>12440525.7241978</v>
      </c>
      <c r="AK45" s="16" t="n">
        <f aca="false">SUM(AK40:AK44)</f>
        <v>12532057.2676497</v>
      </c>
      <c r="AL45" s="16" t="n">
        <f aca="false">SUM(AL40:AL44)</f>
        <v>12629080.7037086</v>
      </c>
      <c r="AM45" s="16" t="n">
        <f aca="false">SUM(AM40:AM44)</f>
        <v>12731925.5459312</v>
      </c>
      <c r="AN45" s="16" t="n">
        <f aca="false">SUM(AN40:AN44)</f>
        <v>12840941.078687</v>
      </c>
      <c r="AO45" s="16" t="n">
        <f aca="false">SUM(AO40:AO44)</f>
        <v>14816497.5434083</v>
      </c>
      <c r="AP45" s="16" t="n">
        <f aca="false">SUM(AP40:AP44)</f>
        <v>14938987.3960128</v>
      </c>
      <c r="AQ45" s="16" t="n">
        <f aca="false">SUM(AQ40:AQ44)</f>
        <v>15068826.6397735</v>
      </c>
      <c r="AR45" s="16" t="n">
        <f aca="false">SUM(AR40:AR44)</f>
        <v>15206456.2381599</v>
      </c>
      <c r="AS45" s="16" t="n">
        <f aca="false">SUM(AS40:AS44)</f>
        <v>15315530.6124868</v>
      </c>
      <c r="AT45" s="16" t="n">
        <f aca="false">SUM(AT40:AT44)</f>
        <v>15347962.449236</v>
      </c>
      <c r="AU45" s="16" t="n">
        <f aca="false">SUM(AU40:AU44)</f>
        <v>15907340.1961901</v>
      </c>
      <c r="AV45" s="16" t="n">
        <f aca="false">SUM(AV40:AV44)</f>
        <v>15943780.6079615</v>
      </c>
      <c r="AW45" s="16" t="n">
        <f aca="false">SUM(AW40:AW44)</f>
        <v>15982407.4444392</v>
      </c>
      <c r="AX45" s="16" t="n">
        <f aca="false">SUM(AX40:AX44)</f>
        <v>16023351.8911056</v>
      </c>
      <c r="AY45" s="16" t="n">
        <f aca="false">SUM(AY40:AY44)</f>
        <v>16066753.0045719</v>
      </c>
      <c r="AZ45" s="16" t="n">
        <f aca="false">SUM(AZ40:AZ44)</f>
        <v>16112758.1848462</v>
      </c>
      <c r="BA45" s="16" t="n">
        <f aca="false">SUM(BA40:BA44)</f>
        <v>18023190.3426037</v>
      </c>
      <c r="BB45" s="16" t="n">
        <f aca="false">SUM(BB40:BB44)</f>
        <v>18074881.7631599</v>
      </c>
      <c r="BC45" s="16" t="n">
        <f aca="false">SUM(BC40:BC44)</f>
        <v>18129674.6689495</v>
      </c>
      <c r="BD45" s="16" t="n">
        <f aca="false">SUM(BD40:BD44)</f>
        <v>18187755.1490864</v>
      </c>
      <c r="BE45" s="16" t="n">
        <f aca="false">SUM(BE40:BE44)</f>
        <v>18249320.4580316</v>
      </c>
      <c r="BF45" s="16" t="n">
        <f aca="false">SUM(BF40:BF44)</f>
        <v>18314579.6855135</v>
      </c>
      <c r="BG45" s="16" t="n">
        <f aca="false">SUM(BG40:BG44)</f>
        <v>18383754.4666443</v>
      </c>
      <c r="BH45" s="16" t="n">
        <f aca="false">SUM(BH40:BH44)</f>
        <v>18457079.734643</v>
      </c>
      <c r="BI45" s="16" t="n">
        <f aca="false">SUM(BI40:BI44)</f>
        <v>18534804.5187216</v>
      </c>
      <c r="BJ45" s="16" t="n">
        <f aca="false">SUM(BJ40:BJ44)</f>
        <v>18617192.7898449</v>
      </c>
      <c r="BK45" s="16" t="n">
        <f aca="false">SUM(BK40:BK44)</f>
        <v>18661666.6666667</v>
      </c>
      <c r="BL45" s="16" t="n">
        <f aca="false">SUM(BL40:BL44)</f>
        <v>18661666.6666667</v>
      </c>
    </row>
    <row r="47" customFormat="false" ht="15" hidden="false" customHeight="false" outlineLevel="0" collapsed="false">
      <c r="A47" s="10" t="s">
        <v>565</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566</v>
      </c>
      <c r="B48" s="14" t="s">
        <v>63</v>
      </c>
      <c r="D48" s="41" t="n">
        <f aca="false">SUM(E48:BL48)</f>
        <v>888590756.043067</v>
      </c>
      <c r="E48" s="20" t="n">
        <f aca="false">Staff!E190+Staff!E191</f>
        <v>0</v>
      </c>
      <c r="F48" s="20" t="n">
        <f aca="false">Staff!F190+Staff!F191</f>
        <v>2068265.33333333</v>
      </c>
      <c r="G48" s="20" t="n">
        <f aca="false">Staff!G190+Staff!G191</f>
        <v>2068265.33333333</v>
      </c>
      <c r="H48" s="20" t="n">
        <f aca="false">Staff!H190+Staff!H191</f>
        <v>4238888</v>
      </c>
      <c r="I48" s="20" t="n">
        <f aca="false">Staff!I190+Staff!I191</f>
        <v>4238888</v>
      </c>
      <c r="J48" s="20" t="n">
        <f aca="false">Staff!J190+Staff!J191</f>
        <v>5346564</v>
      </c>
      <c r="K48" s="20" t="n">
        <f aca="false">Staff!K190+Staff!K191</f>
        <v>6409510.66666667</v>
      </c>
      <c r="L48" s="20" t="n">
        <f aca="false">Staff!L190+Staff!L191</f>
        <v>6409510.66666667</v>
      </c>
      <c r="M48" s="20" t="n">
        <f aca="false">Staff!M190+Staff!M191</f>
        <v>6409510.66666667</v>
      </c>
      <c r="N48" s="20" t="n">
        <f aca="false">Staff!N190+Staff!N191</f>
        <v>6409510.66666667</v>
      </c>
      <c r="O48" s="20" t="n">
        <f aca="false">Staff!O190+Staff!O191</f>
        <v>6409510.66666667</v>
      </c>
      <c r="P48" s="20" t="n">
        <f aca="false">Staff!P190+Staff!P191</f>
        <v>6409510.66666667</v>
      </c>
      <c r="Q48" s="20" t="n">
        <f aca="false">Staff!Q190+Staff!Q191</f>
        <v>6729986.2</v>
      </c>
      <c r="R48" s="20" t="n">
        <f aca="false">Staff!R190+Staff!R191</f>
        <v>6729986.2</v>
      </c>
      <c r="S48" s="20" t="n">
        <f aca="false">Staff!S190+Staff!S191</f>
        <v>6729986.2</v>
      </c>
      <c r="T48" s="20" t="n">
        <f aca="false">Staff!T190+Staff!T191</f>
        <v>6729986.2</v>
      </c>
      <c r="U48" s="20" t="n">
        <f aca="false">Staff!U190+Staff!U191</f>
        <v>6729986.2</v>
      </c>
      <c r="V48" s="20" t="n">
        <f aca="false">Staff!V190+Staff!V191</f>
        <v>6729986.2</v>
      </c>
      <c r="W48" s="20" t="n">
        <f aca="false">Staff!W190+Staff!W191</f>
        <v>11378179.4</v>
      </c>
      <c r="X48" s="20" t="n">
        <f aca="false">Staff!X190+Staff!X191</f>
        <v>11378179.4</v>
      </c>
      <c r="Y48" s="20" t="n">
        <f aca="false">Staff!Y190+Staff!Y191</f>
        <v>11378179.4</v>
      </c>
      <c r="Z48" s="20" t="n">
        <f aca="false">Staff!Z190+Staff!Z191</f>
        <v>11378179.4</v>
      </c>
      <c r="AA48" s="20" t="n">
        <f aca="false">Staff!AA190+Staff!AA191</f>
        <v>11378179.4</v>
      </c>
      <c r="AB48" s="20" t="n">
        <f aca="false">Staff!AB190+Staff!AB191</f>
        <v>11378179.4</v>
      </c>
      <c r="AC48" s="20" t="n">
        <f aca="false">Staff!AC190+Staff!AC191</f>
        <v>13295015.16</v>
      </c>
      <c r="AD48" s="20" t="n">
        <f aca="false">Staff!AD190+Staff!AD191</f>
        <v>13295015.16</v>
      </c>
      <c r="AE48" s="20" t="n">
        <f aca="false">Staff!AE190+Staff!AE191</f>
        <v>13295015.16</v>
      </c>
      <c r="AF48" s="20" t="n">
        <f aca="false">Staff!AF190+Staff!AF191</f>
        <v>13295015.16</v>
      </c>
      <c r="AG48" s="20" t="n">
        <f aca="false">Staff!AG190+Staff!AG191</f>
        <v>13295015.16</v>
      </c>
      <c r="AH48" s="20" t="n">
        <f aca="false">Staff!AH190+Staff!AH191</f>
        <v>13295015.16</v>
      </c>
      <c r="AI48" s="20" t="n">
        <f aca="false">Staff!AI190+Staff!AI191</f>
        <v>17589668.67</v>
      </c>
      <c r="AJ48" s="20" t="n">
        <f aca="false">Staff!AJ190+Staff!AJ191</f>
        <v>17589668.67</v>
      </c>
      <c r="AK48" s="20" t="n">
        <f aca="false">Staff!AK190+Staff!AK191</f>
        <v>17589668.67</v>
      </c>
      <c r="AL48" s="20" t="n">
        <f aca="false">Staff!AL190+Staff!AL191</f>
        <v>17589668.67</v>
      </c>
      <c r="AM48" s="20" t="n">
        <f aca="false">Staff!AM190+Staff!AM191</f>
        <v>17589668.67</v>
      </c>
      <c r="AN48" s="20" t="n">
        <f aca="false">Staff!AN190+Staff!AN191</f>
        <v>17589668.67</v>
      </c>
      <c r="AO48" s="20" t="n">
        <f aca="false">Staff!AO190+Staff!AO191</f>
        <v>18469152.1035</v>
      </c>
      <c r="AP48" s="20" t="n">
        <f aca="false">Staff!AP190+Staff!AP191</f>
        <v>18469152.1035</v>
      </c>
      <c r="AQ48" s="20" t="n">
        <f aca="false">Staff!AQ190+Staff!AQ191</f>
        <v>18469152.1035</v>
      </c>
      <c r="AR48" s="20" t="n">
        <f aca="false">Staff!AR190+Staff!AR191</f>
        <v>18469152.1035</v>
      </c>
      <c r="AS48" s="20" t="n">
        <f aca="false">Staff!AS190+Staff!AS191</f>
        <v>18469152.1035</v>
      </c>
      <c r="AT48" s="20" t="n">
        <f aca="false">Staff!AT190+Staff!AT191</f>
        <v>18469152.1035</v>
      </c>
      <c r="AU48" s="20" t="n">
        <f aca="false">Staff!AU190+Staff!AU191</f>
        <v>22978538.289</v>
      </c>
      <c r="AV48" s="20" t="n">
        <f aca="false">Staff!AV190+Staff!AV191</f>
        <v>22978538.289</v>
      </c>
      <c r="AW48" s="20" t="n">
        <f aca="false">Staff!AW190+Staff!AW191</f>
        <v>22978538.289</v>
      </c>
      <c r="AX48" s="20" t="n">
        <f aca="false">Staff!AX190+Staff!AX191</f>
        <v>22978538.289</v>
      </c>
      <c r="AY48" s="20" t="n">
        <f aca="false">Staff!AY190+Staff!AY191</f>
        <v>22978538.289</v>
      </c>
      <c r="AZ48" s="20" t="n">
        <f aca="false">Staff!AZ190+Staff!AZ191</f>
        <v>22978538.289</v>
      </c>
      <c r="BA48" s="20" t="n">
        <f aca="false">Staff!BA190+Staff!BA191</f>
        <v>24127465.20345</v>
      </c>
      <c r="BB48" s="20" t="n">
        <f aca="false">Staff!BB190+Staff!BB191</f>
        <v>24127465.20345</v>
      </c>
      <c r="BC48" s="20" t="n">
        <f aca="false">Staff!BC190+Staff!BC191</f>
        <v>24127465.20345</v>
      </c>
      <c r="BD48" s="20" t="n">
        <f aca="false">Staff!BD190+Staff!BD191</f>
        <v>24127465.20345</v>
      </c>
      <c r="BE48" s="20" t="n">
        <f aca="false">Staff!BE190+Staff!BE191</f>
        <v>24127465.20345</v>
      </c>
      <c r="BF48" s="20" t="n">
        <f aca="false">Staff!BF190+Staff!BF191</f>
        <v>24127465.20345</v>
      </c>
      <c r="BG48" s="20" t="n">
        <f aca="false">Staff!BG190+Staff!BG191</f>
        <v>24127465.20345</v>
      </c>
      <c r="BH48" s="20" t="n">
        <f aca="false">Staff!BH190+Staff!BH191</f>
        <v>24127465.20345</v>
      </c>
      <c r="BI48" s="20" t="n">
        <f aca="false">Staff!BI190+Staff!BI191</f>
        <v>24127465.20345</v>
      </c>
      <c r="BJ48" s="20" t="n">
        <f aca="false">Staff!BJ190+Staff!BJ191</f>
        <v>24127465.20345</v>
      </c>
      <c r="BK48" s="20" t="n">
        <f aca="false">Staff!BK190+Staff!BK191</f>
        <v>24127465.20345</v>
      </c>
      <c r="BL48" s="20" t="n">
        <f aca="false">Staff!BL190+Staff!BL191</f>
        <v>24127465.20345</v>
      </c>
    </row>
    <row r="49" customFormat="false" ht="15" hidden="false" customHeight="false" outlineLevel="0" collapsed="false">
      <c r="A49" s="12" t="s">
        <v>567</v>
      </c>
      <c r="B49" s="14" t="s">
        <v>63</v>
      </c>
      <c r="E49" s="33" t="n">
        <f aca="false">IFERROR((E45+E48)/E33,0)</f>
        <v>0</v>
      </c>
      <c r="F49" s="33" t="n">
        <f aca="false">IFERROR((F45+F48)/F33,0)</f>
        <v>0</v>
      </c>
      <c r="G49" s="33" t="n">
        <f aca="false">IFERROR((G45+G48)/G33,0)</f>
        <v>0</v>
      </c>
      <c r="H49" s="33" t="n">
        <f aca="false">IFERROR((H45+H48)/H33,0)</f>
        <v>0</v>
      </c>
      <c r="I49" s="33" t="n">
        <f aca="false">IFERROR((I45+I48)/I33,0)</f>
        <v>171395.112359551</v>
      </c>
      <c r="J49" s="33" t="n">
        <f aca="false">IFERROR((J45+J48)/J33,0)</f>
        <v>192612.288488211</v>
      </c>
      <c r="K49" s="33" t="n">
        <f aca="false">IFERROR((K45+K48)/K33,0)</f>
        <v>215328.606236483</v>
      </c>
      <c r="L49" s="33" t="n">
        <f aca="false">IFERROR((L45+L48)/L33,0)</f>
        <v>151404.032701025</v>
      </c>
      <c r="M49" s="33" t="n">
        <f aca="false">IFERROR((M45+M48)/M33,0)</f>
        <v>150115.294160938</v>
      </c>
      <c r="N49" s="33" t="n">
        <f aca="false">IFERROR((N45+N48)/N33,0)</f>
        <v>148777.615301958</v>
      </c>
      <c r="O49" s="33" t="n">
        <f aca="false">IFERROR((O45+O48)/O33,0)</f>
        <v>147390.555349777</v>
      </c>
      <c r="P49" s="33" t="n">
        <f aca="false">IFERROR((P45+P48)/P33,0)</f>
        <v>145953.814120802</v>
      </c>
      <c r="Q49" s="33" t="n">
        <f aca="false">IFERROR((Q45+Q48)/Q33,0)</f>
        <v>133458.487741908</v>
      </c>
      <c r="R49" s="33" t="n">
        <f aca="false">IFERROR((R45+R48)/R33,0)</f>
        <v>132328.988327018</v>
      </c>
      <c r="S49" s="33" t="n">
        <f aca="false">IFERROR((S45+S48)/S33,0)</f>
        <v>131157.123623695</v>
      </c>
      <c r="T49" s="33" t="n">
        <f aca="false">IFERROR((T45+T48)/T33,0)</f>
        <v>129942.566393348</v>
      </c>
      <c r="U49" s="33" t="n">
        <f aca="false">IFERROR((U45+U48)/U33,0)</f>
        <v>128685.115247064</v>
      </c>
      <c r="V49" s="33" t="n">
        <f aca="false">IFERROR((V45+V48)/V33,0)</f>
        <v>127384.704982564</v>
      </c>
      <c r="W49" s="33" t="n">
        <f aca="false">IFERROR((W45+W48)/W33,0)</f>
        <v>156414.530061653</v>
      </c>
      <c r="X49" s="33" t="n">
        <f aca="false">IFERROR((X45+X48)/X33,0)</f>
        <v>99989.075916189</v>
      </c>
      <c r="Y49" s="33" t="n">
        <f aca="false">IFERROR((Y45+Y48)/Y33,0)</f>
        <v>99276.7359506306</v>
      </c>
      <c r="Z49" s="33" t="n">
        <f aca="false">IFERROR((Z45+Z48)/Z33,0)</f>
        <v>98536.2840460176</v>
      </c>
      <c r="AA49" s="33" t="n">
        <f aca="false">IFERROR((AA45+AA48)/AA33,0)</f>
        <v>97767.3545938832</v>
      </c>
      <c r="AB49" s="33" t="n">
        <f aca="false">IFERROR((AB45+AB48)/AB33,0)</f>
        <v>96969.6536723357</v>
      </c>
      <c r="AC49" s="33" t="n">
        <f aca="false">IFERROR((AC45+AC48)/AC33,0)</f>
        <v>105082.610847554</v>
      </c>
      <c r="AD49" s="33" t="n">
        <f aca="false">IFERROR((AD45+AD48)/AD33,0)</f>
        <v>104261.515796632</v>
      </c>
      <c r="AE49" s="33" t="n">
        <f aca="false">IFERROR((AE45+AE48)/AE33,0)</f>
        <v>103409.340622758</v>
      </c>
      <c r="AF49" s="33" t="n">
        <f aca="false">IFERROR((AF45+AF48)/AF33,0)</f>
        <v>102525.815882369</v>
      </c>
      <c r="AG49" s="33" t="n">
        <f aca="false">IFERROR((AG45+AG48)/AG33,0)</f>
        <v>101610.76222342</v>
      </c>
      <c r="AH49" s="33" t="n">
        <f aca="false">IFERROR((AH45+AH48)/AH33,0)</f>
        <v>100664.098050674</v>
      </c>
      <c r="AI49" s="33" t="n">
        <f aca="false">IFERROR((AI45+AI48)/AI33,0)</f>
        <v>118808.900701159</v>
      </c>
      <c r="AJ49" s="33" t="n">
        <f aca="false">IFERROR((AJ45+AJ48)/AJ33,0)</f>
        <v>93120.4346730363</v>
      </c>
      <c r="AK49" s="33" t="n">
        <f aca="false">IFERROR((AK45+AK48)/AK33,0)</f>
        <v>92355.7327311428</v>
      </c>
      <c r="AL49" s="33" t="n">
        <f aca="false">IFERROR((AL45+AL48)/AL33,0)</f>
        <v>91563.6730140667</v>
      </c>
      <c r="AM49" s="33" t="n">
        <f aca="false">IFERROR((AM45+AM48)/AM33,0)</f>
        <v>90744.1776072214</v>
      </c>
      <c r="AN49" s="33" t="n">
        <f aca="false">IFERROR((AN45+AN48)/AN33,0)</f>
        <v>89897.2594038599</v>
      </c>
      <c r="AO49" s="33" t="n">
        <f aca="false">IFERROR((AO45+AO48)/AO33,0)</f>
        <v>92308.0258021972</v>
      </c>
      <c r="AP49" s="33" t="n">
        <f aca="false">IFERROR((AP45+AP48)/AP33,0)</f>
        <v>91405.7317486316</v>
      </c>
      <c r="AQ49" s="33" t="n">
        <f aca="false">IFERROR((AQ45+AQ48)/AQ33,0)</f>
        <v>90475.3420697392</v>
      </c>
      <c r="AR49" s="33" t="n">
        <f aca="false">IFERROR((AR45+AR48)/AR33,0)</f>
        <v>89517.1765557989</v>
      </c>
      <c r="AS49" s="33" t="n">
        <f aca="false">IFERROR((AS45+AS48)/AS33,0)</f>
        <v>88777.5012034675</v>
      </c>
      <c r="AT49" s="33" t="n">
        <f aca="false">IFERROR((AT45+AT48)/AT33,0)</f>
        <v>88560.8285217893</v>
      </c>
      <c r="AU49" s="33" t="n">
        <f aca="false">IFERROR((AU45+AU48)/AU33,0)</f>
        <v>101469.584485268</v>
      </c>
      <c r="AV49" s="33" t="n">
        <f aca="false">IFERROR((AV45+AV48)/AV33,0)</f>
        <v>86171.4624456277</v>
      </c>
      <c r="AW49" s="33" t="n">
        <f aca="false">IFERROR((AW45+AW48)/AW33,0)</f>
        <v>85962.9270882904</v>
      </c>
      <c r="AX49" s="33" t="n">
        <f aca="false">IFERROR((AX45+AX48)/AX33,0)</f>
        <v>85743.4263487319</v>
      </c>
      <c r="AY49" s="33" t="n">
        <f aca="false">IFERROR((AY45+AY48)/AY33,0)</f>
        <v>85512.4747587697</v>
      </c>
      <c r="AZ49" s="33" t="n">
        <f aca="false">IFERROR((AZ45+AZ48)/AZ33,0)</f>
        <v>85269.575790054</v>
      </c>
      <c r="BA49" s="33" t="n">
        <f aca="false">IFERROR((BA45+BA48)/BA33,0)</f>
        <v>88182.3429212469</v>
      </c>
      <c r="BB49" s="33" t="n">
        <f aca="false">IFERROR((BB45+BB48)/BB33,0)</f>
        <v>87910.2126141648</v>
      </c>
      <c r="BC49" s="33" t="n">
        <f aca="false">IFERROR((BC45+BC48)/BC33,0)</f>
        <v>87624.3022158927</v>
      </c>
      <c r="BD49" s="33" t="n">
        <f aca="false">IFERROR((BD45+BD48)/BD33,0)</f>
        <v>87324.0609335384</v>
      </c>
      <c r="BE49" s="33" t="n">
        <f aca="false">IFERROR((BE45+BE48)/BE33,0)</f>
        <v>87008.9324739896</v>
      </c>
      <c r="BF49" s="33" t="n">
        <f aca="false">IFERROR((BF45+BF48)/BF33,0)</f>
        <v>86678.3570641165</v>
      </c>
      <c r="BG49" s="33" t="n">
        <f aca="false">IFERROR((BG45+BG48)/BG33,0)</f>
        <v>86331.7737259663</v>
      </c>
      <c r="BH49" s="33" t="n">
        <f aca="false">IFERROR((BH45+BH48)/BH33,0)</f>
        <v>85968.6228183529</v>
      </c>
      <c r="BI49" s="33" t="n">
        <f aca="false">IFERROR((BI45+BI48)/BI33,0)</f>
        <v>85588.3488544183</v>
      </c>
      <c r="BJ49" s="33" t="n">
        <f aca="false">IFERROR((BJ45+BJ48)/BJ33,0)</f>
        <v>85190.4036024297</v>
      </c>
      <c r="BK49" s="33" t="n">
        <f aca="false">IFERROR((BK45+BK48)/BK33,0)</f>
        <v>84977.7542766782</v>
      </c>
      <c r="BL49" s="33" t="n">
        <f aca="false">IFERROR((BL45+BL48)/BL33,0)</f>
        <v>84977.7542766782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568</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569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570</v>
      </c>
      <c r="B9" s="14" t="s">
        <v>154</v>
      </c>
      <c r="D9" s="43" t="n">
        <f aca="false">SUM(E9:BL9)</f>
        <v>9775.02827621266</v>
      </c>
      <c r="E9" s="22" t="n">
        <f aca="false">'Sales &amp; marketing'!E34</f>
        <v>0</v>
      </c>
      <c r="F9" s="22" t="n">
        <f aca="false">'Sales &amp; marketing'!F34</f>
        <v>0</v>
      </c>
      <c r="G9" s="22" t="n">
        <f aca="false">'Sales &amp; marketing'!G34</f>
        <v>0</v>
      </c>
      <c r="H9" s="22" t="n">
        <f aca="false">'Sales &amp; marketing'!H34</f>
        <v>0</v>
      </c>
      <c r="I9" s="22" t="n">
        <f aca="false">'Sales &amp; marketing'!I34</f>
        <v>28.48</v>
      </c>
      <c r="J9" s="22" t="n">
        <f aca="false">'Sales &amp; marketing'!J34</f>
        <v>28.84</v>
      </c>
      <c r="K9" s="22" t="n">
        <f aca="false">'Sales &amp; marketing'!K34</f>
        <v>29.2216</v>
      </c>
      <c r="L9" s="22" t="n">
        <f aca="false">'Sales &amp; marketing'!L34</f>
        <v>41.626096</v>
      </c>
      <c r="M9" s="22" t="n">
        <f aca="false">'Sales &amp; marketing'!M34</f>
        <v>42.05486176</v>
      </c>
      <c r="N9" s="22" t="n">
        <f aca="false">'Sales &amp; marketing'!N34</f>
        <v>42.5093534656</v>
      </c>
      <c r="O9" s="22" t="n">
        <f aca="false">'Sales &amp; marketing'!O34</f>
        <v>42.991114673536</v>
      </c>
      <c r="P9" s="22" t="n">
        <f aca="false">'Sales &amp; marketing'!P34</f>
        <v>43.5017815539482</v>
      </c>
      <c r="Q9" s="22" t="n">
        <f aca="false">'Sales &amp; marketing'!Q34</f>
        <v>54.5230884471851</v>
      </c>
      <c r="R9" s="22" t="n">
        <f aca="false">'Sales &amp; marketing'!R34</f>
        <v>55.0968737540162</v>
      </c>
      <c r="S9" s="22" t="n">
        <f aca="false">'Sales &amp; marketing'!S34</f>
        <v>55.7050861792571</v>
      </c>
      <c r="T9" s="22" t="n">
        <f aca="false">'Sales &amp; marketing'!T34</f>
        <v>56.3497913500126</v>
      </c>
      <c r="U9" s="22" t="n">
        <f aca="false">'Sales &amp; marketing'!U34</f>
        <v>57.0331788310133</v>
      </c>
      <c r="V9" s="22" t="n">
        <f aca="false">'Sales &amp; marketing'!V34</f>
        <v>57.7575695608741</v>
      </c>
      <c r="W9" s="22" t="n">
        <f aca="false">'Sales &amp; marketing'!W34</f>
        <v>72.6054237345266</v>
      </c>
      <c r="X9" s="22" t="n">
        <f aca="false">'Sales &amp; marketing'!X34</f>
        <v>113.835349158598</v>
      </c>
      <c r="Y9" s="22" t="n">
        <f aca="false">'Sales &amp; marketing'!Y34</f>
        <v>114.927070108114</v>
      </c>
      <c r="Z9" s="22" t="n">
        <f aca="false">'Sales &amp; marketing'!Z34</f>
        <v>116.084294314601</v>
      </c>
      <c r="AA9" s="22" t="n">
        <f aca="false">'Sales &amp; marketing'!AA34</f>
        <v>117.310951973477</v>
      </c>
      <c r="AB9" s="22" t="n">
        <f aca="false">'Sales &amp; marketing'!AB34</f>
        <v>118.611209091886</v>
      </c>
      <c r="AC9" s="22" t="n">
        <f aca="false">'Sales &amp; marketing'!AC34</f>
        <v>141.029481637399</v>
      </c>
      <c r="AD9" s="22" t="n">
        <f aca="false">'Sales &amp; marketing'!AD34</f>
        <v>142.490450535643</v>
      </c>
      <c r="AE9" s="22" t="n">
        <f aca="false">'Sales &amp; marketing'!AE34</f>
        <v>144.039077567781</v>
      </c>
      <c r="AF9" s="22" t="n">
        <f aca="false">'Sales &amp; marketing'!AF34</f>
        <v>145.680622221848</v>
      </c>
      <c r="AG9" s="22" t="n">
        <f aca="false">'Sales &amp; marketing'!AG34</f>
        <v>147.420659555159</v>
      </c>
      <c r="AH9" s="22" t="n">
        <f aca="false">'Sales &amp; marketing'!AH34</f>
        <v>149.265099128468</v>
      </c>
      <c r="AI9" s="22" t="n">
        <f aca="false">'Sales &amp; marketing'!AI34</f>
        <v>151.220205076177</v>
      </c>
      <c r="AJ9" s="22" t="n">
        <f aca="false">'Sales &amp; marketing'!AJ34</f>
        <v>193.492617380747</v>
      </c>
      <c r="AK9" s="22" t="n">
        <f aca="false">'Sales &amp; marketing'!AK34</f>
        <v>195.689374423592</v>
      </c>
      <c r="AL9" s="22" t="n">
        <f aca="false">'Sales &amp; marketing'!AL34</f>
        <v>198.017936889008</v>
      </c>
      <c r="AM9" s="22" t="n">
        <f aca="false">'Sales &amp; marketing'!AM34</f>
        <v>200.486213102348</v>
      </c>
      <c r="AN9" s="22" t="n">
        <f aca="false">'Sales &amp; marketing'!AN34</f>
        <v>203.102585888489</v>
      </c>
      <c r="AO9" s="22" t="n">
        <f aca="false">'Sales &amp; marketing'!AO34</f>
        <v>216.355941041798</v>
      </c>
      <c r="AP9" s="22" t="n">
        <f aca="false">'Sales &amp; marketing'!AP34</f>
        <v>219.295697504306</v>
      </c>
      <c r="AQ9" s="22" t="n">
        <f aca="false">'Sales &amp; marketing'!AQ34</f>
        <v>222.411839354564</v>
      </c>
      <c r="AR9" s="22" t="n">
        <f aca="false">'Sales &amp; marketing'!AR34</f>
        <v>225.714949715838</v>
      </c>
      <c r="AS9" s="22" t="n">
        <f aca="false">'Sales &amp; marketing'!AS34</f>
        <v>228.332734699682</v>
      </c>
      <c r="AT9" s="22" t="n">
        <f aca="false">'Sales &amp; marketing'!AT34</f>
        <v>229.111098781663</v>
      </c>
      <c r="AU9" s="22" t="n">
        <f aca="false">'Sales &amp; marketing'!AU34</f>
        <v>229.936164708563</v>
      </c>
      <c r="AV9" s="22" t="n">
        <f aca="false">'Sales &amp; marketing'!AV34</f>
        <v>271.010734591077</v>
      </c>
      <c r="AW9" s="22" t="n">
        <f aca="false">'Sales &amp; marketing'!AW34</f>
        <v>271.937778666541</v>
      </c>
      <c r="AX9" s="22" t="n">
        <f aca="false">'Sales &amp; marketing'!AX34</f>
        <v>272.920445386534</v>
      </c>
      <c r="AY9" s="22" t="n">
        <f aca="false">'Sales &amp; marketing'!AY34</f>
        <v>273.962072109726</v>
      </c>
      <c r="AZ9" s="22" t="n">
        <f aca="false">'Sales &amp; marketing'!AZ34</f>
        <v>275.066196436309</v>
      </c>
      <c r="BA9" s="22" t="n">
        <f aca="false">'Sales &amp; marketing'!BA34</f>
        <v>286.796568222488</v>
      </c>
      <c r="BB9" s="22" t="n">
        <f aca="false">'Sales &amp; marketing'!BB34</f>
        <v>288.037162315837</v>
      </c>
      <c r="BC9" s="22" t="n">
        <f aca="false">'Sales &amp; marketing'!BC34</f>
        <v>289.352192054787</v>
      </c>
      <c r="BD9" s="22" t="n">
        <f aca="false">'Sales &amp; marketing'!BD34</f>
        <v>290.746123578074</v>
      </c>
      <c r="BE9" s="22" t="n">
        <f aca="false">'Sales &amp; marketing'!BE34</f>
        <v>292.223690992759</v>
      </c>
      <c r="BF9" s="22" t="n">
        <f aca="false">'Sales &amp; marketing'!BF34</f>
        <v>293.789912452324</v>
      </c>
      <c r="BG9" s="22" t="n">
        <f aca="false">'Sales &amp; marketing'!BG34</f>
        <v>295.450107199464</v>
      </c>
      <c r="BH9" s="22" t="n">
        <f aca="false">'Sales &amp; marketing'!BH34</f>
        <v>297.209913631432</v>
      </c>
      <c r="BI9" s="22" t="n">
        <f aca="false">'Sales &amp; marketing'!BI34</f>
        <v>299.075308449318</v>
      </c>
      <c r="BJ9" s="22" t="n">
        <f aca="false">'Sales &amp; marketing'!BJ34</f>
        <v>301.052626956277</v>
      </c>
      <c r="BK9" s="22" t="n">
        <f aca="false">'Sales &amp; marketing'!BK34</f>
        <v>302.12</v>
      </c>
      <c r="BL9" s="22" t="n">
        <f aca="false">'Sales &amp; marketing'!BL34</f>
        <v>302.12</v>
      </c>
    </row>
    <row r="10" customFormat="false" ht="15" hidden="false" customHeight="false" outlineLevel="0" collapsed="false">
      <c r="A10" s="12" t="s">
        <v>571</v>
      </c>
      <c r="B10" s="14" t="s">
        <v>154</v>
      </c>
      <c r="D10" s="43" t="n">
        <f aca="false">SUM(E10:BL10)</f>
        <v>4887.51413810633</v>
      </c>
      <c r="E10" s="22" t="n">
        <f aca="false">'Sales &amp; marketing'!E35</f>
        <v>0</v>
      </c>
      <c r="F10" s="22" t="n">
        <f aca="false">'Sales &amp; marketing'!F35</f>
        <v>0</v>
      </c>
      <c r="G10" s="22" t="n">
        <f aca="false">'Sales &amp; marketing'!G35</f>
        <v>0</v>
      </c>
      <c r="H10" s="22" t="n">
        <f aca="false">'Sales &amp; marketing'!H35</f>
        <v>0</v>
      </c>
      <c r="I10" s="22" t="n">
        <f aca="false">'Sales &amp; marketing'!I35</f>
        <v>14.24</v>
      </c>
      <c r="J10" s="22" t="n">
        <f aca="false">'Sales &amp; marketing'!J35</f>
        <v>14.42</v>
      </c>
      <c r="K10" s="22" t="n">
        <f aca="false">'Sales &amp; marketing'!K35</f>
        <v>14.6108</v>
      </c>
      <c r="L10" s="22" t="n">
        <f aca="false">'Sales &amp; marketing'!L35</f>
        <v>20.813048</v>
      </c>
      <c r="M10" s="22" t="n">
        <f aca="false">'Sales &amp; marketing'!M35</f>
        <v>21.02743088</v>
      </c>
      <c r="N10" s="22" t="n">
        <f aca="false">'Sales &amp; marketing'!N35</f>
        <v>21.2546767328</v>
      </c>
      <c r="O10" s="22" t="n">
        <f aca="false">'Sales &amp; marketing'!O35</f>
        <v>21.495557336768</v>
      </c>
      <c r="P10" s="22" t="n">
        <f aca="false">'Sales &amp; marketing'!P35</f>
        <v>21.7508907769741</v>
      </c>
      <c r="Q10" s="22" t="n">
        <f aca="false">'Sales &amp; marketing'!Q35</f>
        <v>27.2615442235925</v>
      </c>
      <c r="R10" s="22" t="n">
        <f aca="false">'Sales &amp; marketing'!R35</f>
        <v>27.5484368770081</v>
      </c>
      <c r="S10" s="22" t="n">
        <f aca="false">'Sales &amp; marketing'!S35</f>
        <v>27.8525430896286</v>
      </c>
      <c r="T10" s="22" t="n">
        <f aca="false">'Sales &amp; marketing'!T35</f>
        <v>28.1748956750063</v>
      </c>
      <c r="U10" s="22" t="n">
        <f aca="false">'Sales &amp; marketing'!U35</f>
        <v>28.5165894155067</v>
      </c>
      <c r="V10" s="22" t="n">
        <f aca="false">'Sales &amp; marketing'!V35</f>
        <v>28.8787847804371</v>
      </c>
      <c r="W10" s="22" t="n">
        <f aca="false">'Sales &amp; marketing'!W35</f>
        <v>36.3027118672633</v>
      </c>
      <c r="X10" s="22" t="n">
        <f aca="false">'Sales &amp; marketing'!X35</f>
        <v>56.9176745792991</v>
      </c>
      <c r="Y10" s="22" t="n">
        <f aca="false">'Sales &amp; marketing'!Y35</f>
        <v>57.463535054057</v>
      </c>
      <c r="Z10" s="22" t="n">
        <f aca="false">'Sales &amp; marketing'!Z35</f>
        <v>58.0421471573004</v>
      </c>
      <c r="AA10" s="22" t="n">
        <f aca="false">'Sales &amp; marketing'!AA35</f>
        <v>58.6554759867385</v>
      </c>
      <c r="AB10" s="22" t="n">
        <f aca="false">'Sales &amp; marketing'!AB35</f>
        <v>59.3056045459428</v>
      </c>
      <c r="AC10" s="22" t="n">
        <f aca="false">'Sales &amp; marketing'!AC35</f>
        <v>70.5147408186993</v>
      </c>
      <c r="AD10" s="22" t="n">
        <f aca="false">'Sales &amp; marketing'!AD35</f>
        <v>71.2452252678213</v>
      </c>
      <c r="AE10" s="22" t="n">
        <f aca="false">'Sales &amp; marketing'!AE35</f>
        <v>72.0195387838906</v>
      </c>
      <c r="AF10" s="22" t="n">
        <f aca="false">'Sales &amp; marketing'!AF35</f>
        <v>72.840311110924</v>
      </c>
      <c r="AG10" s="22" t="n">
        <f aca="false">'Sales &amp; marketing'!AG35</f>
        <v>73.7103297775795</v>
      </c>
      <c r="AH10" s="22" t="n">
        <f aca="false">'Sales &amp; marketing'!AH35</f>
        <v>74.6325495642342</v>
      </c>
      <c r="AI10" s="22" t="n">
        <f aca="false">'Sales &amp; marketing'!AI35</f>
        <v>75.6101025380883</v>
      </c>
      <c r="AJ10" s="22" t="n">
        <f aca="false">'Sales &amp; marketing'!AJ35</f>
        <v>96.7463086903736</v>
      </c>
      <c r="AK10" s="22" t="n">
        <f aca="false">'Sales &amp; marketing'!AK35</f>
        <v>97.844687211796</v>
      </c>
      <c r="AL10" s="22" t="n">
        <f aca="false">'Sales &amp; marketing'!AL35</f>
        <v>99.0089684445038</v>
      </c>
      <c r="AM10" s="22" t="n">
        <f aca="false">'Sales &amp; marketing'!AM35</f>
        <v>100.243106551174</v>
      </c>
      <c r="AN10" s="22" t="n">
        <f aca="false">'Sales &amp; marketing'!AN35</f>
        <v>101.551292944244</v>
      </c>
      <c r="AO10" s="22" t="n">
        <f aca="false">'Sales &amp; marketing'!AO35</f>
        <v>108.177970520899</v>
      </c>
      <c r="AP10" s="22" t="n">
        <f aca="false">'Sales &amp; marketing'!AP35</f>
        <v>109.647848752153</v>
      </c>
      <c r="AQ10" s="22" t="n">
        <f aca="false">'Sales &amp; marketing'!AQ35</f>
        <v>111.205919677282</v>
      </c>
      <c r="AR10" s="22" t="n">
        <f aca="false">'Sales &amp; marketing'!AR35</f>
        <v>112.857474857919</v>
      </c>
      <c r="AS10" s="22" t="n">
        <f aca="false">'Sales &amp; marketing'!AS35</f>
        <v>114.166367349841</v>
      </c>
      <c r="AT10" s="22" t="n">
        <f aca="false">'Sales &amp; marketing'!AT35</f>
        <v>114.555549390831</v>
      </c>
      <c r="AU10" s="22" t="n">
        <f aca="false">'Sales &amp; marketing'!AU35</f>
        <v>114.968082354281</v>
      </c>
      <c r="AV10" s="22" t="n">
        <f aca="false">'Sales &amp; marketing'!AV35</f>
        <v>135.505367295538</v>
      </c>
      <c r="AW10" s="22" t="n">
        <f aca="false">'Sales &amp; marketing'!AW35</f>
        <v>135.968889333271</v>
      </c>
      <c r="AX10" s="22" t="n">
        <f aca="false">'Sales &amp; marketing'!AX35</f>
        <v>136.460222693267</v>
      </c>
      <c r="AY10" s="22" t="n">
        <f aca="false">'Sales &amp; marketing'!AY35</f>
        <v>136.981036054863</v>
      </c>
      <c r="AZ10" s="22" t="n">
        <f aca="false">'Sales &amp; marketing'!AZ35</f>
        <v>137.533098218155</v>
      </c>
      <c r="BA10" s="22" t="n">
        <f aca="false">'Sales &amp; marketing'!BA35</f>
        <v>143.398284111244</v>
      </c>
      <c r="BB10" s="22" t="n">
        <f aca="false">'Sales &amp; marketing'!BB35</f>
        <v>144.018581157919</v>
      </c>
      <c r="BC10" s="22" t="n">
        <f aca="false">'Sales &amp; marketing'!BC35</f>
        <v>144.676096027394</v>
      </c>
      <c r="BD10" s="22" t="n">
        <f aca="false">'Sales &amp; marketing'!BD35</f>
        <v>145.373061789037</v>
      </c>
      <c r="BE10" s="22" t="n">
        <f aca="false">'Sales &amp; marketing'!BE35</f>
        <v>146.111845496379</v>
      </c>
      <c r="BF10" s="22" t="n">
        <f aca="false">'Sales &amp; marketing'!BF35</f>
        <v>146.894956226162</v>
      </c>
      <c r="BG10" s="22" t="n">
        <f aca="false">'Sales &amp; marketing'!BG35</f>
        <v>147.725053599732</v>
      </c>
      <c r="BH10" s="22" t="n">
        <f aca="false">'Sales &amp; marketing'!BH35</f>
        <v>148.604956815716</v>
      </c>
      <c r="BI10" s="22" t="n">
        <f aca="false">'Sales &amp; marketing'!BI35</f>
        <v>149.537654224659</v>
      </c>
      <c r="BJ10" s="22" t="n">
        <f aca="false">'Sales &amp; marketing'!BJ35</f>
        <v>150.526313478138</v>
      </c>
      <c r="BK10" s="22" t="n">
        <f aca="false">'Sales &amp; marketing'!BK35</f>
        <v>151.06</v>
      </c>
      <c r="BL10" s="22" t="n">
        <f aca="false">'Sales &amp; marketing'!BL35</f>
        <v>151.06</v>
      </c>
    </row>
    <row r="11" customFormat="false" ht="15" hidden="false" customHeight="false" outlineLevel="0" collapsed="false">
      <c r="A11" s="12" t="s">
        <v>572</v>
      </c>
      <c r="B11" s="14" t="s">
        <v>154</v>
      </c>
      <c r="D11" s="43" t="n">
        <f aca="false">SUM(E11:BL11)</f>
        <v>1629.17137936878</v>
      </c>
      <c r="E11" s="22" t="n">
        <f aca="false">'Sales &amp; marketing'!E36</f>
        <v>0</v>
      </c>
      <c r="F11" s="22" t="n">
        <f aca="false">'Sales &amp; marketing'!F36</f>
        <v>0</v>
      </c>
      <c r="G11" s="22" t="n">
        <f aca="false">'Sales &amp; marketing'!G36</f>
        <v>0</v>
      </c>
      <c r="H11" s="22" t="n">
        <f aca="false">'Sales &amp; marketing'!H36</f>
        <v>0</v>
      </c>
      <c r="I11" s="22" t="n">
        <f aca="false">'Sales &amp; marketing'!I36</f>
        <v>4.74666666666667</v>
      </c>
      <c r="J11" s="22" t="n">
        <f aca="false">'Sales &amp; marketing'!J36</f>
        <v>4.80666666666667</v>
      </c>
      <c r="K11" s="22" t="n">
        <f aca="false">'Sales &amp; marketing'!K36</f>
        <v>4.87026666666667</v>
      </c>
      <c r="L11" s="22" t="n">
        <f aca="false">'Sales &amp; marketing'!L36</f>
        <v>6.93768266666667</v>
      </c>
      <c r="M11" s="22" t="n">
        <f aca="false">'Sales &amp; marketing'!M36</f>
        <v>7.00914362666667</v>
      </c>
      <c r="N11" s="22" t="n">
        <f aca="false">'Sales &amp; marketing'!N36</f>
        <v>7.08489224426667</v>
      </c>
      <c r="O11" s="22" t="n">
        <f aca="false">'Sales &amp; marketing'!O36</f>
        <v>7.16518577892267</v>
      </c>
      <c r="P11" s="22" t="n">
        <f aca="false">'Sales &amp; marketing'!P36</f>
        <v>7.25029692565803</v>
      </c>
      <c r="Q11" s="22" t="n">
        <f aca="false">'Sales &amp; marketing'!Q36</f>
        <v>9.08718140786418</v>
      </c>
      <c r="R11" s="22" t="n">
        <f aca="false">'Sales &amp; marketing'!R36</f>
        <v>9.18281229233603</v>
      </c>
      <c r="S11" s="22" t="n">
        <f aca="false">'Sales &amp; marketing'!S36</f>
        <v>9.28418102987619</v>
      </c>
      <c r="T11" s="22" t="n">
        <f aca="false">'Sales &amp; marketing'!T36</f>
        <v>9.39163189166876</v>
      </c>
      <c r="U11" s="22" t="n">
        <f aca="false">'Sales &amp; marketing'!U36</f>
        <v>9.50552980516889</v>
      </c>
      <c r="V11" s="22" t="n">
        <f aca="false">'Sales &amp; marketing'!V36</f>
        <v>9.62626159347902</v>
      </c>
      <c r="W11" s="22" t="n">
        <f aca="false">'Sales &amp; marketing'!W36</f>
        <v>12.1009039557544</v>
      </c>
      <c r="X11" s="22" t="n">
        <f aca="false">'Sales &amp; marketing'!X36</f>
        <v>18.9725581930997</v>
      </c>
      <c r="Y11" s="22" t="n">
        <f aca="false">'Sales &amp; marketing'!Y36</f>
        <v>19.1545116846857</v>
      </c>
      <c r="Z11" s="22" t="n">
        <f aca="false">'Sales &amp; marketing'!Z36</f>
        <v>19.3473823857668</v>
      </c>
      <c r="AA11" s="22" t="n">
        <f aca="false">'Sales &amp; marketing'!AA36</f>
        <v>19.5518253289128</v>
      </c>
      <c r="AB11" s="22" t="n">
        <f aca="false">'Sales &amp; marketing'!AB36</f>
        <v>19.7685348486476</v>
      </c>
      <c r="AC11" s="22" t="n">
        <f aca="false">'Sales &amp; marketing'!AC36</f>
        <v>23.5049136062331</v>
      </c>
      <c r="AD11" s="22" t="n">
        <f aca="false">'Sales &amp; marketing'!AD36</f>
        <v>23.7484084226071</v>
      </c>
      <c r="AE11" s="22" t="n">
        <f aca="false">'Sales &amp; marketing'!AE36</f>
        <v>24.0065129279635</v>
      </c>
      <c r="AF11" s="22" t="n">
        <f aca="false">'Sales &amp; marketing'!AF36</f>
        <v>24.2801037036413</v>
      </c>
      <c r="AG11" s="22" t="n">
        <f aca="false">'Sales &amp; marketing'!AG36</f>
        <v>24.5701099258598</v>
      </c>
      <c r="AH11" s="22" t="n">
        <f aca="false">'Sales &amp; marketing'!AH36</f>
        <v>24.8775165214114</v>
      </c>
      <c r="AI11" s="22" t="n">
        <f aca="false">'Sales &amp; marketing'!AI36</f>
        <v>25.2033675126961</v>
      </c>
      <c r="AJ11" s="22" t="n">
        <f aca="false">'Sales &amp; marketing'!AJ36</f>
        <v>32.2487695634579</v>
      </c>
      <c r="AK11" s="22" t="n">
        <f aca="false">'Sales &amp; marketing'!AK36</f>
        <v>32.6148957372653</v>
      </c>
      <c r="AL11" s="22" t="n">
        <f aca="false">'Sales &amp; marketing'!AL36</f>
        <v>33.0029894815013</v>
      </c>
      <c r="AM11" s="22" t="n">
        <f aca="false">'Sales &amp; marketing'!AM36</f>
        <v>33.4143688503913</v>
      </c>
      <c r="AN11" s="22" t="n">
        <f aca="false">'Sales &amp; marketing'!AN36</f>
        <v>33.8504309814148</v>
      </c>
      <c r="AO11" s="22" t="n">
        <f aca="false">'Sales &amp; marketing'!AO36</f>
        <v>36.0593235069664</v>
      </c>
      <c r="AP11" s="22" t="n">
        <f aca="false">'Sales &amp; marketing'!AP36</f>
        <v>36.5492829173843</v>
      </c>
      <c r="AQ11" s="22" t="n">
        <f aca="false">'Sales &amp; marketing'!AQ36</f>
        <v>37.0686398924274</v>
      </c>
      <c r="AR11" s="22" t="n">
        <f aca="false">'Sales &amp; marketing'!AR36</f>
        <v>37.6191582859731</v>
      </c>
      <c r="AS11" s="22" t="n">
        <f aca="false">'Sales &amp; marketing'!AS36</f>
        <v>38.0554557832804</v>
      </c>
      <c r="AT11" s="22" t="n">
        <f aca="false">'Sales &amp; marketing'!AT36</f>
        <v>38.1851831302772</v>
      </c>
      <c r="AU11" s="22" t="n">
        <f aca="false">'Sales &amp; marketing'!AU36</f>
        <v>38.3226941180938</v>
      </c>
      <c r="AV11" s="22" t="n">
        <f aca="false">'Sales &amp; marketing'!AV36</f>
        <v>45.1684557651794</v>
      </c>
      <c r="AW11" s="22" t="n">
        <f aca="false">'Sales &amp; marketing'!AW36</f>
        <v>45.3229631110902</v>
      </c>
      <c r="AX11" s="22" t="n">
        <f aca="false">'Sales &amp; marketing'!AX36</f>
        <v>45.4867408977556</v>
      </c>
      <c r="AY11" s="22" t="n">
        <f aca="false">'Sales &amp; marketing'!AY36</f>
        <v>45.6603453516209</v>
      </c>
      <c r="AZ11" s="22" t="n">
        <f aca="false">'Sales &amp; marketing'!AZ36</f>
        <v>45.8443660727182</v>
      </c>
      <c r="BA11" s="22" t="n">
        <f aca="false">'Sales &amp; marketing'!BA36</f>
        <v>47.7994280370813</v>
      </c>
      <c r="BB11" s="22" t="n">
        <f aca="false">'Sales &amp; marketing'!BB36</f>
        <v>48.0061937193062</v>
      </c>
      <c r="BC11" s="22" t="n">
        <f aca="false">'Sales &amp; marketing'!BC36</f>
        <v>48.2253653424645</v>
      </c>
      <c r="BD11" s="22" t="n">
        <f aca="false">'Sales &amp; marketing'!BD36</f>
        <v>48.4576872630124</v>
      </c>
      <c r="BE11" s="22" t="n">
        <f aca="false">'Sales &amp; marketing'!BE36</f>
        <v>48.7039484987932</v>
      </c>
      <c r="BF11" s="22" t="n">
        <f aca="false">'Sales &amp; marketing'!BF36</f>
        <v>48.9649854087207</v>
      </c>
      <c r="BG11" s="22" t="n">
        <f aca="false">'Sales &amp; marketing'!BG36</f>
        <v>49.241684533244</v>
      </c>
      <c r="BH11" s="22" t="n">
        <f aca="false">'Sales &amp; marketing'!BH36</f>
        <v>49.5349856052386</v>
      </c>
      <c r="BI11" s="22" t="n">
        <f aca="false">'Sales &amp; marketing'!BI36</f>
        <v>49.845884741553</v>
      </c>
      <c r="BJ11" s="22" t="n">
        <f aca="false">'Sales &amp; marketing'!BJ36</f>
        <v>50.1754378260461</v>
      </c>
      <c r="BK11" s="22" t="n">
        <f aca="false">'Sales &amp; marketing'!BK36</f>
        <v>50.3533333333333</v>
      </c>
      <c r="BL11" s="22" t="n">
        <f aca="false">'Sales &amp; marketing'!BL36</f>
        <v>50.3533333333333</v>
      </c>
    </row>
    <row r="13" customFormat="false" ht="15" hidden="false" customHeight="false" outlineLevel="0" collapsed="false">
      <c r="A13" s="10" t="s">
        <v>573</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574</v>
      </c>
      <c r="B14" s="14" t="s">
        <v>154</v>
      </c>
      <c r="D14" s="41" t="n">
        <f aca="false">BL14</f>
        <v>6924.97051771831</v>
      </c>
      <c r="E14" s="33" t="n">
        <f aca="false">E9</f>
        <v>0</v>
      </c>
      <c r="F14" s="33" t="n">
        <f aca="false">E14*(1-Churn_Petite)+F9</f>
        <v>0</v>
      </c>
      <c r="G14" s="33" t="n">
        <f aca="false">F14*(1-Churn_Petite)+G9</f>
        <v>0</v>
      </c>
      <c r="H14" s="33" t="n">
        <f aca="false">G14*(1-Churn_Petite)+H9</f>
        <v>0</v>
      </c>
      <c r="I14" s="33" t="n">
        <f aca="false">H14*(1-Churn_Petite)+I9</f>
        <v>28.48</v>
      </c>
      <c r="J14" s="33" t="n">
        <f aca="false">I14*(1-Churn_Petite)+J9</f>
        <v>56.7504</v>
      </c>
      <c r="K14" s="33" t="n">
        <f aca="false">J14*(1-Churn_Petite)+K9</f>
        <v>84.836992</v>
      </c>
      <c r="L14" s="33" t="n">
        <f aca="false">K14*(1-Churn_Petite)+L9</f>
        <v>124.76634816</v>
      </c>
      <c r="M14" s="33" t="n">
        <f aca="false">L14*(1-Churn_Petite)+M9</f>
        <v>164.3258829568</v>
      </c>
      <c r="N14" s="33" t="n">
        <f aca="false">M14*(1-Churn_Petite)+N9</f>
        <v>203.548718763264</v>
      </c>
      <c r="O14" s="33" t="n">
        <f aca="false">N14*(1-Churn_Petite)+O9</f>
        <v>242.468859061535</v>
      </c>
      <c r="P14" s="33" t="n">
        <f aca="false">O14*(1-Churn_Petite)+P9</f>
        <v>281.121263434252</v>
      </c>
      <c r="Q14" s="33" t="n">
        <f aca="false">P14*(1-Churn_Petite)+Q9</f>
        <v>330.021926612752</v>
      </c>
      <c r="R14" s="33" t="n">
        <f aca="false">Q14*(1-Churn_Petite)+R9</f>
        <v>378.518361834513</v>
      </c>
      <c r="S14" s="33" t="n">
        <f aca="false">R14*(1-Churn_Petite)+S9</f>
        <v>426.65308077708</v>
      </c>
      <c r="T14" s="33" t="n">
        <f aca="false">S14*(1-Churn_Petite)+T9</f>
        <v>474.469810511551</v>
      </c>
      <c r="U14" s="33" t="n">
        <f aca="false">T14*(1-Churn_Petite)+U9</f>
        <v>522.013593132333</v>
      </c>
      <c r="V14" s="33" t="n">
        <f aca="false">U14*(1-Churn_Petite)+V9</f>
        <v>569.330890830561</v>
      </c>
      <c r="W14" s="33" t="n">
        <f aca="false">V14*(1-Churn_Petite)+W9</f>
        <v>630.549696748476</v>
      </c>
      <c r="X14" s="33" t="n">
        <f aca="false">W14*(1-Churn_Petite)+X9</f>
        <v>731.774051972105</v>
      </c>
      <c r="Y14" s="33" t="n">
        <f aca="false">X14*(1-Churn_Petite)+Y9</f>
        <v>832.065641040777</v>
      </c>
      <c r="Z14" s="33" t="n">
        <f aca="false">Y14*(1-Churn_Petite)+Z9</f>
        <v>931.508622534562</v>
      </c>
      <c r="AA14" s="33" t="n">
        <f aca="false">Z14*(1-Churn_Petite)+AA9</f>
        <v>1030.18940205735</v>
      </c>
      <c r="AB14" s="33" t="n">
        <f aca="false">AA14*(1-Churn_Petite)+AB9</f>
        <v>1128.19682310809</v>
      </c>
      <c r="AC14" s="33" t="n">
        <f aca="false">AB14*(1-Churn_Petite)+AC9</f>
        <v>1246.66236828332</v>
      </c>
      <c r="AD14" s="33" t="n">
        <f aca="false">AC14*(1-Churn_Petite)+AD9</f>
        <v>1364.2195714533</v>
      </c>
      <c r="AE14" s="33" t="n">
        <f aca="false">AD14*(1-Churn_Petite)+AE9</f>
        <v>1480.97425759201</v>
      </c>
      <c r="AF14" s="33" t="n">
        <f aca="false">AE14*(1-Churn_Petite)+AF9</f>
        <v>1597.03539466202</v>
      </c>
      <c r="AG14" s="33" t="n">
        <f aca="false">AF14*(1-Churn_Petite)+AG9</f>
        <v>1712.51534632394</v>
      </c>
      <c r="AH14" s="33" t="n">
        <f aca="false">AG14*(1-Churn_Petite)+AH9</f>
        <v>1827.53013852593</v>
      </c>
      <c r="AI14" s="33" t="n">
        <f aca="false">AH14*(1-Churn_Petite)+AI9</f>
        <v>1942.19974083159</v>
      </c>
      <c r="AJ14" s="33" t="n">
        <f aca="false">AI14*(1-Churn_Petite)+AJ9</f>
        <v>2096.8483633957</v>
      </c>
      <c r="AK14" s="33" t="n">
        <f aca="false">AJ14*(1-Churn_Petite)+AK9</f>
        <v>2250.60077055138</v>
      </c>
      <c r="AL14" s="33" t="n">
        <f aca="false">AK14*(1-Churn_Petite)+AL9</f>
        <v>2403.60669202936</v>
      </c>
      <c r="AM14" s="33" t="n">
        <f aca="false">AL14*(1-Churn_Petite)+AM9</f>
        <v>2556.02077129112</v>
      </c>
      <c r="AN14" s="33" t="n">
        <f aca="false">AM14*(1-Churn_Petite)+AN9</f>
        <v>2708.00294175379</v>
      </c>
      <c r="AO14" s="33" t="n">
        <f aca="false">AN14*(1-Churn_Petite)+AO9</f>
        <v>2870.19882396051</v>
      </c>
      <c r="AP14" s="33" t="n">
        <f aca="false">AO14*(1-Churn_Petite)+AP9</f>
        <v>3032.09054498561</v>
      </c>
      <c r="AQ14" s="33" t="n">
        <f aca="false">AP14*(1-Churn_Petite)+AQ9</f>
        <v>3193.86057344046</v>
      </c>
      <c r="AR14" s="33" t="n">
        <f aca="false">AQ14*(1-Churn_Petite)+AR9</f>
        <v>3355.69831168749</v>
      </c>
      <c r="AS14" s="33" t="n">
        <f aca="false">AR14*(1-Churn_Petite)+AS9</f>
        <v>3516.91708015342</v>
      </c>
      <c r="AT14" s="33" t="n">
        <f aca="false">AS14*(1-Churn_Petite)+AT9</f>
        <v>3675.68983733202</v>
      </c>
      <c r="AU14" s="33" t="n">
        <f aca="false">AT14*(1-Churn_Petite)+AU9</f>
        <v>3832.11220529394</v>
      </c>
      <c r="AV14" s="33" t="n">
        <f aca="false">AU14*(1-Churn_Petite)+AV9</f>
        <v>4026.48069577914</v>
      </c>
      <c r="AW14" s="33" t="n">
        <f aca="false">AV14*(1-Churn_Petite)+AW9</f>
        <v>4217.88886053009</v>
      </c>
      <c r="AX14" s="33" t="n">
        <f aca="false">AW14*(1-Churn_Petite)+AX9</f>
        <v>4406.45152870603</v>
      </c>
      <c r="AY14" s="33" t="n">
        <f aca="false">AX14*(1-Churn_Petite)+AY9</f>
        <v>4592.28457024163</v>
      </c>
      <c r="AZ14" s="33" t="n">
        <f aca="false">AY14*(1-Churn_Petite)+AZ9</f>
        <v>4775.50507527311</v>
      </c>
      <c r="BA14" s="33" t="n">
        <f aca="false">AZ14*(1-Churn_Petite)+BA9</f>
        <v>4966.79154199013</v>
      </c>
      <c r="BB14" s="33" t="n">
        <f aca="false">BA14*(1-Churn_Petite)+BB9</f>
        <v>5155.49287346617</v>
      </c>
      <c r="BC14" s="33" t="n">
        <f aca="false">BB14*(1-Churn_Petite)+BC9</f>
        <v>5341.73520805163</v>
      </c>
      <c r="BD14" s="33" t="n">
        <f aca="false">BC14*(1-Churn_Petite)+BD9</f>
        <v>5525.64662746867</v>
      </c>
      <c r="BE14" s="33" t="n">
        <f aca="false">BD14*(1-Churn_Petite)+BE9</f>
        <v>5707.35738591206</v>
      </c>
      <c r="BF14" s="33" t="n">
        <f aca="false">BE14*(1-Churn_Petite)+BF9</f>
        <v>5887.00015064614</v>
      </c>
      <c r="BG14" s="33" t="n">
        <f aca="false">BF14*(1-Churn_Petite)+BG9</f>
        <v>6064.71025483268</v>
      </c>
      <c r="BH14" s="33" t="n">
        <f aca="false">BG14*(1-Churn_Petite)+BH9</f>
        <v>6240.62596336746</v>
      </c>
      <c r="BI14" s="33" t="n">
        <f aca="false">BH14*(1-Churn_Petite)+BI9</f>
        <v>6414.88875254943</v>
      </c>
      <c r="BJ14" s="33" t="n">
        <f aca="false">BI14*(1-Churn_Petite)+BJ9</f>
        <v>6587.64360445472</v>
      </c>
      <c r="BK14" s="33" t="n">
        <f aca="false">BJ14*(1-Churn_Petite)+BK9</f>
        <v>6758.01073236562</v>
      </c>
      <c r="BL14" s="33" t="n">
        <f aca="false">BK14*(1-Churn_Petite)+BL9</f>
        <v>6924.97051771831</v>
      </c>
    </row>
    <row r="15" customFormat="false" ht="15" hidden="false" customHeight="false" outlineLevel="0" collapsed="false">
      <c r="A15" s="12" t="s">
        <v>575</v>
      </c>
      <c r="B15" s="14" t="s">
        <v>154</v>
      </c>
      <c r="D15" s="41" t="n">
        <f aca="false">BL15</f>
        <v>3913.04120191242</v>
      </c>
      <c r="E15" s="33" t="n">
        <f aca="false">E10</f>
        <v>0</v>
      </c>
      <c r="F15" s="33" t="n">
        <f aca="false">E15*(1-Churn_Moyenne)+F10</f>
        <v>0</v>
      </c>
      <c r="G15" s="33" t="n">
        <f aca="false">F15*(1-Churn_Moyenne)+G10</f>
        <v>0</v>
      </c>
      <c r="H15" s="33" t="n">
        <f aca="false">G15*(1-Churn_Moyenne)+H10</f>
        <v>0</v>
      </c>
      <c r="I15" s="33" t="n">
        <f aca="false">H15*(1-Churn_Moyenne)+I10</f>
        <v>14.24</v>
      </c>
      <c r="J15" s="33" t="n">
        <f aca="false">I15*(1-Churn_Moyenne)+J10</f>
        <v>28.482</v>
      </c>
      <c r="K15" s="33" t="n">
        <f aca="false">J15*(1-Churn_Moyenne)+K10</f>
        <v>42.736775</v>
      </c>
      <c r="L15" s="33" t="n">
        <f aca="false">K15*(1-Churn_Moyenne)+L10</f>
        <v>63.0156133125</v>
      </c>
      <c r="M15" s="33" t="n">
        <f aca="false">L15*(1-Churn_Moyenne)+M10</f>
        <v>83.2553490260938</v>
      </c>
      <c r="N15" s="33" t="n">
        <f aca="false">M15*(1-Churn_Moyenne)+N10</f>
        <v>103.469333896068</v>
      </c>
      <c r="O15" s="33" t="n">
        <f aca="false">N15*(1-Churn_Moyenne)+O10</f>
        <v>123.671524559135</v>
      </c>
      <c r="P15" s="33" t="n">
        <f aca="false">O15*(1-Churn_Moyenne)+P10</f>
        <v>143.87652127912</v>
      </c>
      <c r="Q15" s="33" t="n">
        <f aca="false">P15*(1-Churn_Moyenne)+Q10</f>
        <v>169.339608986723</v>
      </c>
      <c r="R15" s="33" t="n">
        <f aca="false">Q15*(1-Churn_Moyenne)+R10</f>
        <v>194.771300751397</v>
      </c>
      <c r="S15" s="33" t="n">
        <f aca="false">R15*(1-Churn_Moyenne)+S10</f>
        <v>220.189202581633</v>
      </c>
      <c r="T15" s="33" t="n">
        <f aca="false">S15*(1-Churn_Moyenne)+T10</f>
        <v>245.611733224369</v>
      </c>
      <c r="U15" s="33" t="n">
        <f aca="false">T15*(1-Churn_Moyenne)+U10</f>
        <v>271.058175974571</v>
      </c>
      <c r="V15" s="33" t="n">
        <f aca="false">U15*(1-Churn_Moyenne)+V10</f>
        <v>296.548733555326</v>
      </c>
      <c r="W15" s="33" t="n">
        <f aca="false">V15*(1-Churn_Moyenne)+W10</f>
        <v>329.144586253148</v>
      </c>
      <c r="X15" s="33" t="n">
        <f aca="false">W15*(1-Churn_Moyenne)+X10</f>
        <v>381.947953504283</v>
      </c>
      <c r="Y15" s="33" t="n">
        <f aca="false">X15*(1-Churn_Moyenne)+Y10</f>
        <v>434.637139139536</v>
      </c>
      <c r="Z15" s="33" t="n">
        <f aca="false">Y15*(1-Churn_Moyenne)+Z10</f>
        <v>487.246322057592</v>
      </c>
      <c r="AA15" s="33" t="n">
        <f aca="false">Z15*(1-Churn_Moyenne)+AA10</f>
        <v>539.811219018611</v>
      </c>
      <c r="AB15" s="33" t="n">
        <f aca="false">AA15*(1-Churn_Moyenne)+AB10</f>
        <v>592.369183326821</v>
      </c>
      <c r="AC15" s="33" t="n">
        <f aca="false">AB15*(1-Churn_Moyenne)+AC10</f>
        <v>655.479309353935</v>
      </c>
      <c r="AD15" s="33" t="n">
        <f aca="false">AC15*(1-Churn_Moyenne)+AD10</f>
        <v>718.531043254832</v>
      </c>
      <c r="AE15" s="33" t="n">
        <f aca="false">AD15*(1-Churn_Moyenne)+AE10</f>
        <v>781.568943998037</v>
      </c>
      <c r="AF15" s="33" t="n">
        <f aca="false">AE15*(1-Churn_Moyenne)+AF10</f>
        <v>844.639643308986</v>
      </c>
      <c r="AG15" s="33" t="n">
        <f aca="false">AF15*(1-Churn_Moyenne)+AG10</f>
        <v>907.791977545203</v>
      </c>
      <c r="AH15" s="33" t="n">
        <f aca="false">AG15*(1-Churn_Moyenne)+AH10</f>
        <v>971.077127390122</v>
      </c>
      <c r="AI15" s="33" t="n">
        <f aca="false">AH15*(1-Churn_Moyenne)+AI10</f>
        <v>1034.54876583583</v>
      </c>
      <c r="AJ15" s="33" t="n">
        <f aca="false">AI15*(1-Churn_Moyenne)+AJ10</f>
        <v>1118.36321495326</v>
      </c>
      <c r="AK15" s="33" t="n">
        <f aca="false">AJ15*(1-Churn_Moyenne)+AK10</f>
        <v>1202.22836197814</v>
      </c>
      <c r="AL15" s="33" t="n">
        <f aca="false">AK15*(1-Churn_Moyenne)+AL10</f>
        <v>1286.20947589792</v>
      </c>
      <c r="AM15" s="33" t="n">
        <f aca="false">AL15*(1-Churn_Moyenne)+AM10</f>
        <v>1370.37496400037</v>
      </c>
      <c r="AN15" s="33" t="n">
        <f aca="false">AM15*(1-Churn_Moyenne)+AN10</f>
        <v>1454.79656989461</v>
      </c>
      <c r="AO15" s="33" t="n">
        <f aca="false">AN15*(1-Churn_Moyenne)+AO10</f>
        <v>1544.78958329182</v>
      </c>
      <c r="AP15" s="33" t="n">
        <f aca="false">AO15*(1-Churn_Moyenne)+AP10</f>
        <v>1635.12756225283</v>
      </c>
      <c r="AQ15" s="33" t="n">
        <f aca="false">AP15*(1-Churn_Moyenne)+AQ10</f>
        <v>1725.89438740195</v>
      </c>
      <c r="AR15" s="33" t="n">
        <f aca="false">AQ15*(1-Churn_Moyenne)+AR10</f>
        <v>1817.17818241735</v>
      </c>
      <c r="AS15" s="33" t="n">
        <f aca="false">AR15*(1-Churn_Moyenne)+AS10</f>
        <v>1908.62982248697</v>
      </c>
      <c r="AT15" s="33" t="n">
        <f aca="false">AS15*(1-Churn_Moyenne)+AT10</f>
        <v>1999.32749909671</v>
      </c>
      <c r="AU15" s="33" t="n">
        <f aca="false">AT15*(1-Churn_Moyenne)+AU10</f>
        <v>2089.30398771229</v>
      </c>
      <c r="AV15" s="33" t="n">
        <f aca="false">AU15*(1-Churn_Moyenne)+AV10</f>
        <v>2198.69305516142</v>
      </c>
      <c r="AW15" s="33" t="n">
        <f aca="false">AV15*(1-Churn_Moyenne)+AW10</f>
        <v>2307.17828130517</v>
      </c>
      <c r="AX15" s="33" t="n">
        <f aca="false">AW15*(1-Churn_Moyenne)+AX10</f>
        <v>2414.79877548213</v>
      </c>
      <c r="AY15" s="33" t="n">
        <f aca="false">AX15*(1-Churn_Moyenne)+AY10</f>
        <v>2521.59482684346</v>
      </c>
      <c r="AZ15" s="33" t="n">
        <f aca="false">AY15*(1-Churn_Moyenne)+AZ10</f>
        <v>2627.60798972607</v>
      </c>
      <c r="BA15" s="33" t="n">
        <f aca="false">AZ15*(1-Churn_Moyenne)+BA10</f>
        <v>2738.16117396574</v>
      </c>
      <c r="BB15" s="33" t="n">
        <f aca="false">BA15*(1-Churn_Moyenne)+BB10</f>
        <v>2847.95274044909</v>
      </c>
      <c r="BC15" s="33" t="n">
        <f aca="false">BB15*(1-Churn_Moyenne)+BC10</f>
        <v>2957.02942722087</v>
      </c>
      <c r="BD15" s="33" t="n">
        <f aca="false">BC15*(1-Churn_Moyenne)+BD10</f>
        <v>3065.43962116965</v>
      </c>
      <c r="BE15" s="33" t="n">
        <f aca="false">BD15*(1-Churn_Moyenne)+BE10</f>
        <v>3173.2334714014</v>
      </c>
      <c r="BF15" s="33" t="n">
        <f aca="false">BE15*(1-Churn_Moyenne)+BF10</f>
        <v>3280.46300923505</v>
      </c>
      <c r="BG15" s="33" t="n">
        <f aca="false">BF15*(1-Churn_Moyenne)+BG10</f>
        <v>3387.18227521934</v>
      </c>
      <c r="BH15" s="33" t="n">
        <f aca="false">BG15*(1-Churn_Moyenne)+BH10</f>
        <v>3493.44745359482</v>
      </c>
      <c r="BI15" s="33" t="n">
        <f aca="false">BH15*(1-Churn_Moyenne)+BI10</f>
        <v>3599.31701464954</v>
      </c>
      <c r="BJ15" s="33" t="n">
        <f aca="false">BI15*(1-Churn_Moyenne)+BJ10</f>
        <v>3704.85186544456</v>
      </c>
      <c r="BK15" s="33" t="n">
        <f aca="false">BJ15*(1-Churn_Moyenne)+BK10</f>
        <v>3809.6012171265</v>
      </c>
      <c r="BL15" s="33" t="n">
        <f aca="false">BK15*(1-Churn_Moyenne)+BL10</f>
        <v>3913.04120191242</v>
      </c>
    </row>
    <row r="16" customFormat="false" ht="15" hidden="false" customHeight="false" outlineLevel="0" collapsed="false">
      <c r="A16" s="12" t="s">
        <v>576</v>
      </c>
      <c r="B16" s="14" t="s">
        <v>154</v>
      </c>
      <c r="D16" s="41" t="n">
        <f aca="false">BL16</f>
        <v>1421.61306592146</v>
      </c>
      <c r="E16" s="33" t="n">
        <f aca="false">E11</f>
        <v>0</v>
      </c>
      <c r="F16" s="33" t="n">
        <f aca="false">E16*(1-Churn_Grande)+F11</f>
        <v>0</v>
      </c>
      <c r="G16" s="33" t="n">
        <f aca="false">F16*(1-Churn_Grande)+G11</f>
        <v>0</v>
      </c>
      <c r="H16" s="33" t="n">
        <f aca="false">G16*(1-Churn_Grande)+H11</f>
        <v>0</v>
      </c>
      <c r="I16" s="33" t="n">
        <f aca="false">H16*(1-Churn_Grande)+I11</f>
        <v>4.74666666666667</v>
      </c>
      <c r="J16" s="33" t="n">
        <f aca="false">I16*(1-Churn_Grande)+J11</f>
        <v>9.51773333333333</v>
      </c>
      <c r="K16" s="33" t="n">
        <f aca="false">J16*(1-Churn_Grande)+K11</f>
        <v>14.316617</v>
      </c>
      <c r="L16" s="33" t="n">
        <f aca="false">K16*(1-Churn_Grande)+L11</f>
        <v>21.1469250391667</v>
      </c>
      <c r="M16" s="33" t="n">
        <f aca="false">L16*(1-Churn_Grande)+M11</f>
        <v>27.9974667280396</v>
      </c>
      <c r="N16" s="33" t="n">
        <f aca="false">M16*(1-Churn_Grande)+N11</f>
        <v>34.872377971846</v>
      </c>
      <c r="O16" s="33" t="n">
        <f aca="false">N16*(1-Churn_Grande)+O11</f>
        <v>41.7760209159798</v>
      </c>
      <c r="P16" s="33" t="n">
        <f aca="false">O16*(1-Churn_Grande)+P11</f>
        <v>48.712997684768</v>
      </c>
      <c r="Q16" s="33" t="n">
        <f aca="false">P16*(1-Churn_Grande)+Q11</f>
        <v>57.4348316099964</v>
      </c>
      <c r="R16" s="33" t="n">
        <f aca="false">Q16*(1-Churn_Grande)+R11</f>
        <v>66.1868826652574</v>
      </c>
      <c r="S16" s="33" t="n">
        <f aca="false">R16*(1-Churn_Grande)+S11</f>
        <v>74.9746620751442</v>
      </c>
      <c r="T16" s="33" t="n">
        <f aca="false">S16*(1-Churn_Grande)+T11</f>
        <v>83.8039840012494</v>
      </c>
      <c r="U16" s="33" t="n">
        <f aca="false">T16*(1-Churn_Grande)+U11</f>
        <v>92.6809839264089</v>
      </c>
      <c r="V16" s="33" t="n">
        <f aca="false">U16*(1-Churn_Grande)+V11</f>
        <v>101.61213814044</v>
      </c>
      <c r="W16" s="33" t="n">
        <f aca="false">V16*(1-Churn_Grande)+W11</f>
        <v>112.950951060141</v>
      </c>
      <c r="X16" s="33" t="n">
        <f aca="false">W16*(1-Churn_Grande)+X11</f>
        <v>131.07637712029</v>
      </c>
      <c r="Y16" s="33" t="n">
        <f aca="false">X16*(1-Churn_Grande)+Y11</f>
        <v>149.247815976573</v>
      </c>
      <c r="Z16" s="33" t="n">
        <f aca="false">Y16*(1-Churn_Grande)+Z11</f>
        <v>167.475839742516</v>
      </c>
      <c r="AA16" s="33" t="n">
        <f aca="false">Z16*(1-Churn_Grande)+AA11</f>
        <v>185.77159627336</v>
      </c>
      <c r="AB16" s="33" t="n">
        <f aca="false">AA16*(1-Churn_Grande)+AB11</f>
        <v>204.146844149957</v>
      </c>
      <c r="AC16" s="33" t="n">
        <f aca="false">AB16*(1-Churn_Grande)+AC11</f>
        <v>226.120656425066</v>
      </c>
      <c r="AD16" s="33" t="n">
        <f aca="false">AC16*(1-Churn_Grande)+AD11</f>
        <v>248.173159924485</v>
      </c>
      <c r="AE16" s="33" t="n">
        <f aca="false">AD16*(1-Churn_Grande)+AE11</f>
        <v>270.318374153015</v>
      </c>
      <c r="AF16" s="33" t="n">
        <f aca="false">AE16*(1-Churn_Grande)+AF11</f>
        <v>292.571090050508</v>
      </c>
      <c r="AG16" s="33" t="n">
        <f aca="false">AF16*(1-Churn_Grande)+AG11</f>
        <v>314.946916800989</v>
      </c>
      <c r="AH16" s="33" t="n">
        <f aca="false">AG16*(1-Churn_Grande)+AH11</f>
        <v>337.462331446393</v>
      </c>
      <c r="AI16" s="33" t="n">
        <f aca="false">AH16*(1-Churn_Grande)+AI11</f>
        <v>360.134731473241</v>
      </c>
      <c r="AJ16" s="33" t="n">
        <f aca="false">AI16*(1-Churn_Grande)+AJ11</f>
        <v>389.68249055065</v>
      </c>
      <c r="AK16" s="33" t="n">
        <f aca="false">AJ16*(1-Churn_Grande)+AK11</f>
        <v>419.374767608785</v>
      </c>
      <c r="AL16" s="33" t="n">
        <f aca="false">AK16*(1-Churn_Grande)+AL11</f>
        <v>449.232446333221</v>
      </c>
      <c r="AM16" s="33" t="n">
        <f aca="false">AL16*(1-Churn_Grande)+AM11</f>
        <v>479.277571836113</v>
      </c>
      <c r="AN16" s="33" t="n">
        <f aca="false">AM16*(1-Churn_Grande)+AN11</f>
        <v>509.533421028757</v>
      </c>
      <c r="AO16" s="33" t="n">
        <f aca="false">AN16*(1-Churn_Grande)+AO11</f>
        <v>541.771243878008</v>
      </c>
      <c r="AP16" s="33" t="n">
        <f aca="false">AO16*(1-Churn_Grande)+AP11</f>
        <v>574.257242466307</v>
      </c>
      <c r="AQ16" s="33" t="n">
        <f aca="false">AP16*(1-Churn_Grande)+AQ11</f>
        <v>607.018953040237</v>
      </c>
      <c r="AR16" s="33" t="n">
        <f aca="false">AQ16*(1-Churn_Grande)+AR11</f>
        <v>640.085469178408</v>
      </c>
      <c r="AS16" s="33" t="n">
        <f aca="false">AR16*(1-Churn_Grande)+AS11</f>
        <v>673.340283942851</v>
      </c>
      <c r="AT16" s="33" t="n">
        <f aca="false">AS16*(1-Churn_Grande)+AT11</f>
        <v>706.475414943557</v>
      </c>
      <c r="AU16" s="33" t="n">
        <f aca="false">AT16*(1-Churn_Grande)+AU11</f>
        <v>739.499543449574</v>
      </c>
      <c r="AV16" s="33" t="n">
        <f aca="false">AU16*(1-Churn_Grande)+AV11</f>
        <v>779.121752638881</v>
      </c>
      <c r="AW16" s="33" t="n">
        <f aca="false">AV16*(1-Churn_Grande)+AW11</f>
        <v>818.60130260518</v>
      </c>
      <c r="AX16" s="33" t="n">
        <f aca="false">AW16*(1-Churn_Grande)+AX11</f>
        <v>857.948533733397</v>
      </c>
      <c r="AY16" s="33" t="n">
        <f aca="false">AX16*(1-Churn_Grande)+AY11</f>
        <v>897.174265082017</v>
      </c>
      <c r="AZ16" s="33" t="n">
        <f aca="false">AY16*(1-Churn_Grande)+AZ11</f>
        <v>936.28982416662</v>
      </c>
      <c r="BA16" s="33" t="n">
        <f aca="false">AZ16*(1-Churn_Grande)+BA11</f>
        <v>977.067078522452</v>
      </c>
      <c r="BB16" s="33" t="n">
        <f aca="false">BA16*(1-Churn_Grande)+BB11</f>
        <v>1017.74526915284</v>
      </c>
      <c r="BC16" s="33" t="n">
        <f aca="false">BB16*(1-Churn_Grande)+BC11</f>
        <v>1058.33754497666</v>
      </c>
      <c r="BD16" s="33" t="n">
        <f aca="false">BC16*(1-Churn_Grande)+BD11</f>
        <v>1098.85770065235</v>
      </c>
      <c r="BE16" s="33" t="n">
        <f aca="false">BD16*(1-Churn_Grande)+BE11</f>
        <v>1139.32021639625</v>
      </c>
      <c r="BF16" s="33" t="n">
        <f aca="false">BE16*(1-Churn_Grande)+BF11</f>
        <v>1179.740300182</v>
      </c>
      <c r="BG16" s="33" t="n">
        <f aca="false">BF16*(1-Churn_Grande)+BG11</f>
        <v>1220.13393246387</v>
      </c>
      <c r="BH16" s="33" t="n">
        <f aca="false">BG16*(1-Churn_Grande)+BH11</f>
        <v>1260.51791357563</v>
      </c>
      <c r="BI16" s="33" t="n">
        <f aca="false">BH16*(1-Churn_Grande)+BI11</f>
        <v>1300.90991396537</v>
      </c>
      <c r="BJ16" s="33" t="n">
        <f aca="false">BI16*(1-Churn_Grande)+BJ11</f>
        <v>1341.32852743668</v>
      </c>
      <c r="BK16" s="33" t="n">
        <f aca="false">BJ16*(1-Churn_Grande)+BK11</f>
        <v>1381.62189681423</v>
      </c>
      <c r="BL16" s="33" t="n">
        <f aca="false">BK16*(1-Churn_Grande)+BL11</f>
        <v>1421.61306592146</v>
      </c>
    </row>
    <row r="17" customFormat="false" ht="15" hidden="false" customHeight="false" outlineLevel="0" collapsed="false">
      <c r="A17" s="8" t="s">
        <v>577</v>
      </c>
      <c r="B17" s="14" t="s">
        <v>154</v>
      </c>
      <c r="D17" s="41" t="n">
        <f aca="false">BL17</f>
        <v>12259.6247855522</v>
      </c>
      <c r="E17" s="16" t="n">
        <f aca="false">E14+E15+E16</f>
        <v>0</v>
      </c>
      <c r="F17" s="16" t="n">
        <f aca="false">F14+F15+F16</f>
        <v>0</v>
      </c>
      <c r="G17" s="16" t="n">
        <f aca="false">G14+G15+G16</f>
        <v>0</v>
      </c>
      <c r="H17" s="16" t="n">
        <f aca="false">H14+H15+H16</f>
        <v>0</v>
      </c>
      <c r="I17" s="16" t="n">
        <f aca="false">I14+I15+I16</f>
        <v>47.4666666666667</v>
      </c>
      <c r="J17" s="16" t="n">
        <f aca="false">J14+J15+J16</f>
        <v>94.7501333333333</v>
      </c>
      <c r="K17" s="16" t="n">
        <f aca="false">K14+K15+K16</f>
        <v>141.890384</v>
      </c>
      <c r="L17" s="16" t="n">
        <f aca="false">L14+L15+L16</f>
        <v>208.928886511667</v>
      </c>
      <c r="M17" s="16" t="n">
        <f aca="false">M14+M15+M16</f>
        <v>275.578698710933</v>
      </c>
      <c r="N17" s="16" t="n">
        <f aca="false">N14+N15+N16</f>
        <v>341.890430631178</v>
      </c>
      <c r="O17" s="16" t="n">
        <f aca="false">O14+O15+O16</f>
        <v>407.916404536649</v>
      </c>
      <c r="P17" s="16" t="n">
        <f aca="false">P14+P15+P16</f>
        <v>473.71078239814</v>
      </c>
      <c r="Q17" s="16" t="n">
        <f aca="false">Q14+Q15+Q16</f>
        <v>556.796367209472</v>
      </c>
      <c r="R17" s="16" t="n">
        <f aca="false">R14+R15+R16</f>
        <v>639.476545251168</v>
      </c>
      <c r="S17" s="16" t="n">
        <f aca="false">S14+S15+S16</f>
        <v>721.816945433858</v>
      </c>
      <c r="T17" s="16" t="n">
        <f aca="false">T14+T15+T16</f>
        <v>803.88552773717</v>
      </c>
      <c r="U17" s="16" t="n">
        <f aca="false">U14+U15+U16</f>
        <v>885.752753033314</v>
      </c>
      <c r="V17" s="16" t="n">
        <f aca="false">V14+V15+V16</f>
        <v>967.491762526327</v>
      </c>
      <c r="W17" s="16" t="n">
        <f aca="false">W14+W15+W16</f>
        <v>1072.64523406177</v>
      </c>
      <c r="X17" s="16" t="n">
        <f aca="false">X14+X15+X16</f>
        <v>1244.79838259668</v>
      </c>
      <c r="Y17" s="16" t="n">
        <f aca="false">Y14+Y15+Y16</f>
        <v>1415.95059615689</v>
      </c>
      <c r="Z17" s="16" t="n">
        <f aca="false">Z14+Z15+Z16</f>
        <v>1586.23078433467</v>
      </c>
      <c r="AA17" s="16" t="n">
        <f aca="false">AA14+AA15+AA16</f>
        <v>1755.77221734932</v>
      </c>
      <c r="AB17" s="16" t="n">
        <f aca="false">AB14+AB15+AB16</f>
        <v>1924.71285058486</v>
      </c>
      <c r="AC17" s="16" t="n">
        <f aca="false">AC14+AC15+AC16</f>
        <v>2128.26233406232</v>
      </c>
      <c r="AD17" s="16" t="n">
        <f aca="false">AD14+AD15+AD16</f>
        <v>2330.92377463262</v>
      </c>
      <c r="AE17" s="16" t="n">
        <f aca="false">AE14+AE15+AE16</f>
        <v>2532.86157574307</v>
      </c>
      <c r="AF17" s="16" t="n">
        <f aca="false">AF14+AF15+AF16</f>
        <v>2734.24612802152</v>
      </c>
      <c r="AG17" s="16" t="n">
        <f aca="false">AG14+AG15+AG16</f>
        <v>2935.25424067013</v>
      </c>
      <c r="AH17" s="16" t="n">
        <f aca="false">AH14+AH15+AH16</f>
        <v>3136.06959736245</v>
      </c>
      <c r="AI17" s="16" t="n">
        <f aca="false">AI14+AI15+AI16</f>
        <v>3336.88323814066</v>
      </c>
      <c r="AJ17" s="16" t="n">
        <f aca="false">AJ14+AJ15+AJ16</f>
        <v>3604.89406889961</v>
      </c>
      <c r="AK17" s="16" t="n">
        <f aca="false">AK14+AK15+AK16</f>
        <v>3872.20390013831</v>
      </c>
      <c r="AL17" s="16" t="n">
        <f aca="false">AL14+AL15+AL16</f>
        <v>4139.0486142605</v>
      </c>
      <c r="AM17" s="16" t="n">
        <f aca="false">AM14+AM15+AM16</f>
        <v>4405.6733071276</v>
      </c>
      <c r="AN17" s="16" t="n">
        <f aca="false">AN14+AN15+AN16</f>
        <v>4672.33293267715</v>
      </c>
      <c r="AO17" s="16" t="n">
        <f aca="false">AO14+AO15+AO16</f>
        <v>4956.75965113034</v>
      </c>
      <c r="AP17" s="16" t="n">
        <f aca="false">AP14+AP15+AP16</f>
        <v>5241.47534970474</v>
      </c>
      <c r="AQ17" s="16" t="n">
        <f aca="false">AQ14+AQ15+AQ16</f>
        <v>5526.77391388265</v>
      </c>
      <c r="AR17" s="16" t="n">
        <f aca="false">AR14+AR15+AR16</f>
        <v>5812.96196328324</v>
      </c>
      <c r="AS17" s="16" t="n">
        <f aca="false">AS14+AS15+AS16</f>
        <v>6098.88718658324</v>
      </c>
      <c r="AT17" s="16" t="n">
        <f aca="false">AT14+AT15+AT16</f>
        <v>6381.49275137229</v>
      </c>
      <c r="AU17" s="16" t="n">
        <f aca="false">AU14+AU15+AU16</f>
        <v>6660.9157364558</v>
      </c>
      <c r="AV17" s="16" t="n">
        <f aca="false">AV14+AV15+AV16</f>
        <v>7004.29550357944</v>
      </c>
      <c r="AW17" s="16" t="n">
        <f aca="false">AW14+AW15+AW16</f>
        <v>7343.66844444045</v>
      </c>
      <c r="AX17" s="16" t="n">
        <f aca="false">AX14+AX15+AX16</f>
        <v>7679.19883792155</v>
      </c>
      <c r="AY17" s="16" t="n">
        <f aca="false">AY14+AY15+AY16</f>
        <v>8011.05366216711</v>
      </c>
      <c r="AZ17" s="16" t="n">
        <f aca="false">AZ14+AZ15+AZ16</f>
        <v>8339.4028891658</v>
      </c>
      <c r="BA17" s="16" t="n">
        <f aca="false">BA14+BA15+BA16</f>
        <v>8682.01979447833</v>
      </c>
      <c r="BB17" s="16" t="n">
        <f aca="false">BB14+BB15+BB16</f>
        <v>9021.19088306809</v>
      </c>
      <c r="BC17" s="16" t="n">
        <f aca="false">BC14+BC15+BC16</f>
        <v>9357.10218024916</v>
      </c>
      <c r="BD17" s="16" t="n">
        <f aca="false">BD14+BD15+BD16</f>
        <v>9689.94394929066</v>
      </c>
      <c r="BE17" s="16" t="n">
        <f aca="false">BE14+BE15+BE16</f>
        <v>10019.9110737097</v>
      </c>
      <c r="BF17" s="16" t="n">
        <f aca="false">BF14+BF15+BF16</f>
        <v>10347.2034600632</v>
      </c>
      <c r="BG17" s="16" t="n">
        <f aca="false">BG14+BG15+BG16</f>
        <v>10672.0264625159</v>
      </c>
      <c r="BH17" s="16" t="n">
        <f aca="false">BH14+BH15+BH16</f>
        <v>10994.5913305379</v>
      </c>
      <c r="BI17" s="16" t="n">
        <f aca="false">BI14+BI15+BI16</f>
        <v>11315.1156811643</v>
      </c>
      <c r="BJ17" s="16" t="n">
        <f aca="false">BJ14+BJ15+BJ16</f>
        <v>11633.823997336</v>
      </c>
      <c r="BK17" s="16" t="n">
        <f aca="false">BK14+BK15+BK16</f>
        <v>11949.2338463064</v>
      </c>
      <c r="BL17" s="16" t="n">
        <f aca="false">BL14+BL15+BL16</f>
        <v>12259.6247855522</v>
      </c>
    </row>
    <row r="18" customFormat="false" ht="15" hidden="false" customHeight="false" outlineLevel="0" collapsed="false">
      <c r="A18" s="12" t="s">
        <v>578</v>
      </c>
      <c r="B18" s="14" t="s">
        <v>115</v>
      </c>
      <c r="E18" s="34" t="n">
        <f aca="false">Mix_Petite*Churn_Petite+Mix_Moyenne*Churn_Moyenne+Mix_Grande*Churn_Grande</f>
        <v>0.0165</v>
      </c>
      <c r="F18" s="34" t="n">
        <f aca="false">Mix_Petite*Churn_Petite+Mix_Moyenne*Churn_Moyenne+Mix_Grande*Churn_Grande</f>
        <v>0.0165</v>
      </c>
      <c r="G18" s="34" t="n">
        <f aca="false">Mix_Petite*Churn_Petite+Mix_Moyenne*Churn_Moyenne+Mix_Grande*Churn_Grande</f>
        <v>0.0165</v>
      </c>
      <c r="H18" s="34" t="n">
        <f aca="false">Mix_Petite*Churn_Petite+Mix_Moyenne*Churn_Moyenne+Mix_Grande*Churn_Grande</f>
        <v>0.0165</v>
      </c>
      <c r="I18" s="34" t="n">
        <f aca="false">Mix_Petite*Churn_Petite+Mix_Moyenne*Churn_Moyenne+Mix_Grande*Churn_Grande</f>
        <v>0.0165</v>
      </c>
      <c r="J18" s="34" t="n">
        <f aca="false">Mix_Petite*Churn_Petite+Mix_Moyenne*Churn_Moyenne+Mix_Grande*Churn_Grande</f>
        <v>0.0165</v>
      </c>
      <c r="K18" s="34" t="n">
        <f aca="false">Mix_Petite*Churn_Petite+Mix_Moyenne*Churn_Moyenne+Mix_Grande*Churn_Grande</f>
        <v>0.0165</v>
      </c>
      <c r="L18" s="34" t="n">
        <f aca="false">Mix_Petite*Churn_Petite+Mix_Moyenne*Churn_Moyenne+Mix_Grande*Churn_Grande</f>
        <v>0.0165</v>
      </c>
      <c r="M18" s="34" t="n">
        <f aca="false">Mix_Petite*Churn_Petite+Mix_Moyenne*Churn_Moyenne+Mix_Grande*Churn_Grande</f>
        <v>0.0165</v>
      </c>
      <c r="N18" s="34" t="n">
        <f aca="false">Mix_Petite*Churn_Petite+Mix_Moyenne*Churn_Moyenne+Mix_Grande*Churn_Grande</f>
        <v>0.0165</v>
      </c>
      <c r="O18" s="34" t="n">
        <f aca="false">Mix_Petite*Churn_Petite+Mix_Moyenne*Churn_Moyenne+Mix_Grande*Churn_Grande</f>
        <v>0.0165</v>
      </c>
      <c r="P18" s="34" t="n">
        <f aca="false">Mix_Petite*Churn_Petite+Mix_Moyenne*Churn_Moyenne+Mix_Grande*Churn_Grande</f>
        <v>0.0165</v>
      </c>
      <c r="Q18" s="34" t="n">
        <f aca="false">Mix_Petite*Churn_Petite+Mix_Moyenne*Churn_Moyenne+Mix_Grande*Churn_Grande</f>
        <v>0.0165</v>
      </c>
      <c r="R18" s="34" t="n">
        <f aca="false">Mix_Petite*Churn_Petite+Mix_Moyenne*Churn_Moyenne+Mix_Grande*Churn_Grande</f>
        <v>0.0165</v>
      </c>
      <c r="S18" s="34" t="n">
        <f aca="false">Mix_Petite*Churn_Petite+Mix_Moyenne*Churn_Moyenne+Mix_Grande*Churn_Grande</f>
        <v>0.0165</v>
      </c>
      <c r="T18" s="34" t="n">
        <f aca="false">Mix_Petite*Churn_Petite+Mix_Moyenne*Churn_Moyenne+Mix_Grande*Churn_Grande</f>
        <v>0.0165</v>
      </c>
      <c r="U18" s="34" t="n">
        <f aca="false">Mix_Petite*Churn_Petite+Mix_Moyenne*Churn_Moyenne+Mix_Grande*Churn_Grande</f>
        <v>0.0165</v>
      </c>
      <c r="V18" s="34" t="n">
        <f aca="false">Mix_Petite*Churn_Petite+Mix_Moyenne*Churn_Moyenne+Mix_Grande*Churn_Grande</f>
        <v>0.0165</v>
      </c>
      <c r="W18" s="34" t="n">
        <f aca="false">Mix_Petite*Churn_Petite+Mix_Moyenne*Churn_Moyenne+Mix_Grande*Churn_Grande</f>
        <v>0.0165</v>
      </c>
      <c r="X18" s="34" t="n">
        <f aca="false">Mix_Petite*Churn_Petite+Mix_Moyenne*Churn_Moyenne+Mix_Grande*Churn_Grande</f>
        <v>0.0165</v>
      </c>
      <c r="Y18" s="34" t="n">
        <f aca="false">Mix_Petite*Churn_Petite+Mix_Moyenne*Churn_Moyenne+Mix_Grande*Churn_Grande</f>
        <v>0.0165</v>
      </c>
      <c r="Z18" s="34" t="n">
        <f aca="false">Mix_Petite*Churn_Petite+Mix_Moyenne*Churn_Moyenne+Mix_Grande*Churn_Grande</f>
        <v>0.0165</v>
      </c>
      <c r="AA18" s="34" t="n">
        <f aca="false">Mix_Petite*Churn_Petite+Mix_Moyenne*Churn_Moyenne+Mix_Grande*Churn_Grande</f>
        <v>0.0165</v>
      </c>
      <c r="AB18" s="34" t="n">
        <f aca="false">Mix_Petite*Churn_Petite+Mix_Moyenne*Churn_Moyenne+Mix_Grande*Churn_Grande</f>
        <v>0.0165</v>
      </c>
      <c r="AC18" s="34" t="n">
        <f aca="false">Mix_Petite*Churn_Petite+Mix_Moyenne*Churn_Moyenne+Mix_Grande*Churn_Grande</f>
        <v>0.0165</v>
      </c>
      <c r="AD18" s="34" t="n">
        <f aca="false">Mix_Petite*Churn_Petite+Mix_Moyenne*Churn_Moyenne+Mix_Grande*Churn_Grande</f>
        <v>0.0165</v>
      </c>
      <c r="AE18" s="34" t="n">
        <f aca="false">Mix_Petite*Churn_Petite+Mix_Moyenne*Churn_Moyenne+Mix_Grande*Churn_Grande</f>
        <v>0.0165</v>
      </c>
      <c r="AF18" s="34" t="n">
        <f aca="false">Mix_Petite*Churn_Petite+Mix_Moyenne*Churn_Moyenne+Mix_Grande*Churn_Grande</f>
        <v>0.0165</v>
      </c>
      <c r="AG18" s="34" t="n">
        <f aca="false">Mix_Petite*Churn_Petite+Mix_Moyenne*Churn_Moyenne+Mix_Grande*Churn_Grande</f>
        <v>0.0165</v>
      </c>
      <c r="AH18" s="34" t="n">
        <f aca="false">Mix_Petite*Churn_Petite+Mix_Moyenne*Churn_Moyenne+Mix_Grande*Churn_Grande</f>
        <v>0.0165</v>
      </c>
      <c r="AI18" s="34" t="n">
        <f aca="false">Mix_Petite*Churn_Petite+Mix_Moyenne*Churn_Moyenne+Mix_Grande*Churn_Grande</f>
        <v>0.0165</v>
      </c>
      <c r="AJ18" s="34" t="n">
        <f aca="false">Mix_Petite*Churn_Petite+Mix_Moyenne*Churn_Moyenne+Mix_Grande*Churn_Grande</f>
        <v>0.0165</v>
      </c>
      <c r="AK18" s="34" t="n">
        <f aca="false">Mix_Petite*Churn_Petite+Mix_Moyenne*Churn_Moyenne+Mix_Grande*Churn_Grande</f>
        <v>0.0165</v>
      </c>
      <c r="AL18" s="34" t="n">
        <f aca="false">Mix_Petite*Churn_Petite+Mix_Moyenne*Churn_Moyenne+Mix_Grande*Churn_Grande</f>
        <v>0.0165</v>
      </c>
      <c r="AM18" s="34" t="n">
        <f aca="false">Mix_Petite*Churn_Petite+Mix_Moyenne*Churn_Moyenne+Mix_Grande*Churn_Grande</f>
        <v>0.0165</v>
      </c>
      <c r="AN18" s="34" t="n">
        <f aca="false">Mix_Petite*Churn_Petite+Mix_Moyenne*Churn_Moyenne+Mix_Grande*Churn_Grande</f>
        <v>0.0165</v>
      </c>
      <c r="AO18" s="34" t="n">
        <f aca="false">Mix_Petite*Churn_Petite+Mix_Moyenne*Churn_Moyenne+Mix_Grande*Churn_Grande</f>
        <v>0.0165</v>
      </c>
      <c r="AP18" s="34" t="n">
        <f aca="false">Mix_Petite*Churn_Petite+Mix_Moyenne*Churn_Moyenne+Mix_Grande*Churn_Grande</f>
        <v>0.0165</v>
      </c>
      <c r="AQ18" s="34" t="n">
        <f aca="false">Mix_Petite*Churn_Petite+Mix_Moyenne*Churn_Moyenne+Mix_Grande*Churn_Grande</f>
        <v>0.0165</v>
      </c>
      <c r="AR18" s="34" t="n">
        <f aca="false">Mix_Petite*Churn_Petite+Mix_Moyenne*Churn_Moyenne+Mix_Grande*Churn_Grande</f>
        <v>0.0165</v>
      </c>
      <c r="AS18" s="34" t="n">
        <f aca="false">Mix_Petite*Churn_Petite+Mix_Moyenne*Churn_Moyenne+Mix_Grande*Churn_Grande</f>
        <v>0.0165</v>
      </c>
      <c r="AT18" s="34" t="n">
        <f aca="false">Mix_Petite*Churn_Petite+Mix_Moyenne*Churn_Moyenne+Mix_Grande*Churn_Grande</f>
        <v>0.0165</v>
      </c>
      <c r="AU18" s="34" t="n">
        <f aca="false">Mix_Petite*Churn_Petite+Mix_Moyenne*Churn_Moyenne+Mix_Grande*Churn_Grande</f>
        <v>0.0165</v>
      </c>
      <c r="AV18" s="34" t="n">
        <f aca="false">Mix_Petite*Churn_Petite+Mix_Moyenne*Churn_Moyenne+Mix_Grande*Churn_Grande</f>
        <v>0.0165</v>
      </c>
      <c r="AW18" s="34" t="n">
        <f aca="false">Mix_Petite*Churn_Petite+Mix_Moyenne*Churn_Moyenne+Mix_Grande*Churn_Grande</f>
        <v>0.0165</v>
      </c>
      <c r="AX18" s="34" t="n">
        <f aca="false">Mix_Petite*Churn_Petite+Mix_Moyenne*Churn_Moyenne+Mix_Grande*Churn_Grande</f>
        <v>0.0165</v>
      </c>
      <c r="AY18" s="34" t="n">
        <f aca="false">Mix_Petite*Churn_Petite+Mix_Moyenne*Churn_Moyenne+Mix_Grande*Churn_Grande</f>
        <v>0.0165</v>
      </c>
      <c r="AZ18" s="34" t="n">
        <f aca="false">Mix_Petite*Churn_Petite+Mix_Moyenne*Churn_Moyenne+Mix_Grande*Churn_Grande</f>
        <v>0.0165</v>
      </c>
      <c r="BA18" s="34" t="n">
        <f aca="false">Mix_Petite*Churn_Petite+Mix_Moyenne*Churn_Moyenne+Mix_Grande*Churn_Grande</f>
        <v>0.0165</v>
      </c>
      <c r="BB18" s="34" t="n">
        <f aca="false">Mix_Petite*Churn_Petite+Mix_Moyenne*Churn_Moyenne+Mix_Grande*Churn_Grande</f>
        <v>0.0165</v>
      </c>
      <c r="BC18" s="34" t="n">
        <f aca="false">Mix_Petite*Churn_Petite+Mix_Moyenne*Churn_Moyenne+Mix_Grande*Churn_Grande</f>
        <v>0.0165</v>
      </c>
      <c r="BD18" s="34" t="n">
        <f aca="false">Mix_Petite*Churn_Petite+Mix_Moyenne*Churn_Moyenne+Mix_Grande*Churn_Grande</f>
        <v>0.0165</v>
      </c>
      <c r="BE18" s="34" t="n">
        <f aca="false">Mix_Petite*Churn_Petite+Mix_Moyenne*Churn_Moyenne+Mix_Grande*Churn_Grande</f>
        <v>0.0165</v>
      </c>
      <c r="BF18" s="34" t="n">
        <f aca="false">Mix_Petite*Churn_Petite+Mix_Moyenne*Churn_Moyenne+Mix_Grande*Churn_Grande</f>
        <v>0.0165</v>
      </c>
      <c r="BG18" s="34" t="n">
        <f aca="false">Mix_Petite*Churn_Petite+Mix_Moyenne*Churn_Moyenne+Mix_Grande*Churn_Grande</f>
        <v>0.0165</v>
      </c>
      <c r="BH18" s="34" t="n">
        <f aca="false">Mix_Petite*Churn_Petite+Mix_Moyenne*Churn_Moyenne+Mix_Grande*Churn_Grande</f>
        <v>0.0165</v>
      </c>
      <c r="BI18" s="34" t="n">
        <f aca="false">Mix_Petite*Churn_Petite+Mix_Moyenne*Churn_Moyenne+Mix_Grande*Churn_Grande</f>
        <v>0.0165</v>
      </c>
      <c r="BJ18" s="34" t="n">
        <f aca="false">Mix_Petite*Churn_Petite+Mix_Moyenne*Churn_Moyenne+Mix_Grande*Churn_Grande</f>
        <v>0.0165</v>
      </c>
      <c r="BK18" s="34" t="n">
        <f aca="false">Mix_Petite*Churn_Petite+Mix_Moyenne*Churn_Moyenne+Mix_Grande*Churn_Grande</f>
        <v>0.0165</v>
      </c>
      <c r="BL18" s="34" t="n">
        <f aca="false">Mix_Petite*Churn_Petite+Mix_Moyenne*Churn_Moyenne+Mix_Grande*Churn_Grande</f>
        <v>0.0165</v>
      </c>
    </row>
    <row r="19" customFormat="false" ht="15" hidden="false" customHeight="false" outlineLevel="0" collapsed="false">
      <c r="A19" s="12" t="s">
        <v>579</v>
      </c>
      <c r="B19" s="14" t="s">
        <v>154</v>
      </c>
      <c r="D19" s="41" t="n">
        <f aca="false">BL19</f>
        <v>8227.22243366776</v>
      </c>
      <c r="E19" s="33" t="n">
        <f aca="false">'Sales &amp; marketing'!E31</f>
        <v>0</v>
      </c>
      <c r="F19" s="33" t="n">
        <f aca="false">E19*(1-F18)+'Sales &amp; marketing'!F31</f>
        <v>0</v>
      </c>
      <c r="G19" s="33" t="n">
        <f aca="false">F19*(1-G18)+'Sales &amp; marketing'!G31</f>
        <v>0</v>
      </c>
      <c r="H19" s="33" t="n">
        <f aca="false">G19*(1-H18)+'Sales &amp; marketing'!H31</f>
        <v>0</v>
      </c>
      <c r="I19" s="33" t="n">
        <f aca="false">H19*(1-I18)+'Sales &amp; marketing'!I31</f>
        <v>47.4666666666667</v>
      </c>
      <c r="J19" s="33" t="n">
        <f aca="false">I19*(1-J18)+'Sales &amp; marketing'!J31</f>
        <v>94.7501333333333</v>
      </c>
      <c r="K19" s="33" t="n">
        <f aca="false">J19*(1-K18)+'Sales &amp; marketing'!K31</f>
        <v>141.8894228</v>
      </c>
      <c r="L19" s="33" t="n">
        <f aca="false">K19*(1-L18)+'Sales &amp; marketing'!L31</f>
        <v>208.925073990467</v>
      </c>
      <c r="M19" s="33" t="n">
        <f aca="false">L19*(1-M18)+'Sales &amp; marketing'!M31</f>
        <v>275.569246536291</v>
      </c>
      <c r="N19" s="33" t="n">
        <f aca="false">M19*(1-N18)+'Sales &amp; marketing'!N31</f>
        <v>341.871276411109</v>
      </c>
      <c r="O19" s="33" t="n">
        <f aca="false">N19*(1-O18)+'Sales &amp; marketing'!O31</f>
        <v>407.882258139552</v>
      </c>
      <c r="P19" s="33" t="n">
        <f aca="false">O19*(1-P18)+'Sales &amp; marketing'!P31</f>
        <v>473.65517013683</v>
      </c>
      <c r="Q19" s="33" t="n">
        <f aca="false">P19*(1-Q18)+'Sales &amp; marketing'!Q31</f>
        <v>556.711673908214</v>
      </c>
      <c r="R19" s="33" t="n">
        <f aca="false">Q19*(1-R18)+'Sales &amp; marketing'!R31</f>
        <v>639.354054212089</v>
      </c>
      <c r="S19" s="33" t="n">
        <f aca="false">R19*(1-S18)+'Sales &amp; marketing'!S31</f>
        <v>721.646522616351</v>
      </c>
      <c r="T19" s="33" t="n">
        <f aca="false">S19*(1-T18)+'Sales &amp; marketing'!T31</f>
        <v>803.655673909869</v>
      </c>
      <c r="U19" s="33" t="n">
        <f aca="false">T19*(1-U18)+'Sales &amp; marketing'!U31</f>
        <v>885.450653342045</v>
      </c>
      <c r="V19" s="33" t="n">
        <f aca="false">U19*(1-V18)+'Sales &amp; marketing'!V31</f>
        <v>967.103333496691</v>
      </c>
      <c r="W19" s="33" t="n">
        <f aca="false">V19*(1-W18)+'Sales &amp; marketing'!W31</f>
        <v>1048.68850138487</v>
      </c>
      <c r="X19" s="33" t="n">
        <f aca="false">W19*(1-X18)+'Sales &amp; marketing'!X31</f>
        <v>1170.28405637635</v>
      </c>
      <c r="Y19" s="33" t="n">
        <f aca="false">X19*(1-Y18)+'Sales &amp; marketing'!Y31</f>
        <v>1291.31121962633</v>
      </c>
      <c r="Z19" s="33" t="n">
        <f aca="false">Y19*(1-Z18)+'Sales &amp; marketing'!Z31</f>
        <v>1411.8656456935</v>
      </c>
      <c r="AA19" s="33" t="n">
        <f aca="false">Z19*(1-AA18)+'Sales &amp; marketing'!AA31</f>
        <v>1532.04658740202</v>
      </c>
      <c r="AB19" s="33" t="n">
        <f aca="false">AA19*(1-AB18)+'Sales &amp; marketing'!AB31</f>
        <v>1651.9571470641</v>
      </c>
      <c r="AC19" s="33" t="n">
        <f aca="false">AB19*(1-AC18)+'Sales &amp; marketing'!AC31</f>
        <v>1789.304542193</v>
      </c>
      <c r="AD19" s="33" t="n">
        <f aca="false">AC19*(1-AD18)+'Sales &amp; marketing'!AD31</f>
        <v>1926.30998658561</v>
      </c>
      <c r="AE19" s="33" t="n">
        <f aca="false">AD19*(1-AE18)+'Sales &amp; marketing'!AE31</f>
        <v>2063.09457930606</v>
      </c>
      <c r="AF19" s="33" t="n">
        <f aca="false">AE19*(1-AF18)+'Sales &amp; marketing'!AF31</f>
        <v>2199.78434869657</v>
      </c>
      <c r="AG19" s="33" t="n">
        <f aca="false">AF19*(1-AG18)+'Sales &amp; marketing'!AG31</f>
        <v>2336.51058668909</v>
      </c>
      <c r="AH19" s="33" t="n">
        <f aca="false">AG19*(1-AH18)+'Sales &amp; marketing'!AH31</f>
        <v>2473.41020253949</v>
      </c>
      <c r="AI19" s="33" t="n">
        <f aca="false">AH19*(1-AI18)+'Sales &amp; marketing'!AI31</f>
        <v>2610.6260971602</v>
      </c>
      <c r="AJ19" s="33" t="n">
        <f aca="false">AI19*(1-AJ18)+'Sales &amp; marketing'!AJ31</f>
        <v>2788.30755929743</v>
      </c>
      <c r="AK19" s="33" t="n">
        <f aca="false">AJ19*(1-AK18)+'Sales &amp; marketing'!AK31</f>
        <v>2965.95068487381</v>
      </c>
      <c r="AL19" s="33" t="n">
        <f aca="false">AK19*(1-AL18)+'Sales &amp; marketing'!AL31</f>
        <v>3143.72971089648</v>
      </c>
      <c r="AM19" s="33" t="n">
        <f aca="false">AL19*(1-AM18)+'Sales &amp; marketing'!AM31</f>
        <v>3321.82641572915</v>
      </c>
      <c r="AN19" s="33" t="n">
        <f aca="false">AM19*(1-AN18)+'Sales &amp; marketing'!AN31</f>
        <v>3500.43061963583</v>
      </c>
      <c r="AO19" s="33" t="n">
        <f aca="false">AN19*(1-AO18)+'Sales &amp; marketing'!AO31</f>
        <v>3688.4073812307</v>
      </c>
      <c r="AP19" s="33" t="n">
        <f aca="false">AO19*(1-AP18)+'Sales &amp; marketing'!AP31</f>
        <v>3877.15455826837</v>
      </c>
      <c r="AQ19" s="33" t="n">
        <f aca="false">AP19*(1-AQ18)+'Sales &amp; marketing'!AQ31</f>
        <v>4066.89176081461</v>
      </c>
      <c r="AR19" s="33" t="n">
        <f aca="false">AQ19*(1-AR18)+'Sales &amp; marketing'!AR31</f>
        <v>4257.84891468429</v>
      </c>
      <c r="AS19" s="33" t="n">
        <f aca="false">AR19*(1-AS18)+'Sales &amp; marketing'!AS31</f>
        <v>4448.794407592</v>
      </c>
      <c r="AT19" s="33" t="n">
        <f aca="false">AS19*(1-AT18)+'Sales &amp; marketing'!AT31</f>
        <v>4636.58929986673</v>
      </c>
      <c r="AU19" s="33" t="n">
        <f aca="false">AT19*(1-AU18)+'Sales &amp; marketing'!AU31</f>
        <v>4821.28557641893</v>
      </c>
      <c r="AV19" s="33" t="n">
        <f aca="false">AU19*(1-AV18)+'Sales &amp; marketing'!AV31</f>
        <v>5042.93436440802</v>
      </c>
      <c r="AW19" s="33" t="n">
        <f aca="false">AV19*(1-AW18)+'Sales &amp; marketing'!AW31</f>
        <v>5260.92594739529</v>
      </c>
      <c r="AX19" s="33" t="n">
        <f aca="false">AW19*(1-AX18)+'Sales &amp; marketing'!AX31</f>
        <v>5475.32066926327</v>
      </c>
      <c r="AY19" s="33" t="n">
        <f aca="false">AX19*(1-AY18)+'Sales &amp; marketing'!AY31</f>
        <v>5686.17787822042</v>
      </c>
      <c r="AZ19" s="33" t="n">
        <f aca="false">AY19*(1-AZ18)+'Sales &amp; marketing'!AZ31</f>
        <v>5893.55594322978</v>
      </c>
      <c r="BA19" s="33" t="n">
        <f aca="false">AZ19*(1-BA18)+'Sales &amp; marketing'!BA31</f>
        <v>6106.31227016649</v>
      </c>
      <c r="BB19" s="33" t="n">
        <f aca="false">BA19*(1-BB18)+'Sales &amp; marketing'!BB31</f>
        <v>6315.55811770875</v>
      </c>
      <c r="BC19" s="33" t="n">
        <f aca="false">BB19*(1-BC18)+'Sales &amp; marketing'!BC31</f>
        <v>6521.35140876655</v>
      </c>
      <c r="BD19" s="33" t="n">
        <f aca="false">BC19*(1-BD18)+'Sales &amp; marketing'!BD31</f>
        <v>6723.7491105219</v>
      </c>
      <c r="BE19" s="33" t="n">
        <f aca="false">BD19*(1-BE18)+'Sales &amp; marketing'!BE31</f>
        <v>6922.80725019829</v>
      </c>
      <c r="BF19" s="33" t="n">
        <f aca="false">BE19*(1-BF18)+'Sales &amp; marketing'!BF31</f>
        <v>7118.58093057002</v>
      </c>
      <c r="BG19" s="33" t="n">
        <f aca="false">BF19*(1-BG18)+'Sales &amp; marketing'!BG31</f>
        <v>7311.12434521562</v>
      </c>
      <c r="BH19" s="33" t="n">
        <f aca="false">BG19*(1-BH18)+'Sales &amp; marketing'!BH31</f>
        <v>7500.49079351956</v>
      </c>
      <c r="BI19" s="33" t="n">
        <f aca="false">BH19*(1-BI18)+'Sales &amp; marketing'!BI31</f>
        <v>7686.73269542649</v>
      </c>
      <c r="BJ19" s="33" t="n">
        <f aca="false">BI19*(1-BJ18)+'Sales &amp; marketing'!BJ31</f>
        <v>7869.90160595195</v>
      </c>
      <c r="BK19" s="33" t="n">
        <f aca="false">BJ19*(1-BK18)+'Sales &amp; marketing'!BK31</f>
        <v>8050.04822945374</v>
      </c>
      <c r="BL19" s="33" t="n">
        <f aca="false">BK19*(1-BL18)+'Sales &amp; marketing'!BL31</f>
        <v>8227.22243366776</v>
      </c>
    </row>
    <row r="20" customFormat="false" ht="15" hidden="false" customHeight="false" outlineLevel="0" collapsed="false">
      <c r="A20" s="12" t="s">
        <v>580</v>
      </c>
      <c r="B20" s="14" t="s">
        <v>154</v>
      </c>
      <c r="D20" s="41" t="n">
        <f aca="false">BL20</f>
        <v>3980.31253551417</v>
      </c>
      <c r="E20" s="33" t="n">
        <f aca="false">'Sales &amp; marketing'!E32</f>
        <v>0</v>
      </c>
      <c r="F20" s="33" t="n">
        <f aca="false">E20*(1-F18)+'Sales &amp; marketing'!F32</f>
        <v>0</v>
      </c>
      <c r="G20" s="33" t="n">
        <f aca="false">F20*(1-G18)+'Sales &amp; marketing'!G32</f>
        <v>0</v>
      </c>
      <c r="H20" s="33" t="n">
        <f aca="false">G20*(1-H18)+'Sales &amp; marketing'!H32</f>
        <v>0</v>
      </c>
      <c r="I20" s="33" t="n">
        <f aca="false">H20*(1-I18)+'Sales &amp; marketing'!I32</f>
        <v>0</v>
      </c>
      <c r="J20" s="33" t="n">
        <f aca="false">I20*(1-J18)+'Sales &amp; marketing'!J32</f>
        <v>0</v>
      </c>
      <c r="K20" s="33" t="n">
        <f aca="false">J20*(1-K18)+'Sales &amp; marketing'!K32</f>
        <v>0</v>
      </c>
      <c r="L20" s="33" t="n">
        <f aca="false">K20*(1-L18)+'Sales &amp; marketing'!L32</f>
        <v>0</v>
      </c>
      <c r="M20" s="33" t="n">
        <f aca="false">L20*(1-M18)+'Sales &amp; marketing'!M32</f>
        <v>0</v>
      </c>
      <c r="N20" s="33" t="n">
        <f aca="false">M20*(1-N18)+'Sales &amp; marketing'!N32</f>
        <v>0</v>
      </c>
      <c r="O20" s="33" t="n">
        <f aca="false">N20*(1-O18)+'Sales &amp; marketing'!O32</f>
        <v>0</v>
      </c>
      <c r="P20" s="33" t="n">
        <f aca="false">O20*(1-P18)+'Sales &amp; marketing'!P32</f>
        <v>0</v>
      </c>
      <c r="Q20" s="33" t="n">
        <f aca="false">P20*(1-Q18)+'Sales &amp; marketing'!Q32</f>
        <v>0</v>
      </c>
      <c r="R20" s="33" t="n">
        <f aca="false">Q20*(1-R18)+'Sales &amp; marketing'!R32</f>
        <v>0</v>
      </c>
      <c r="S20" s="33" t="n">
        <f aca="false">R20*(1-S18)+'Sales &amp; marketing'!S32</f>
        <v>0</v>
      </c>
      <c r="T20" s="33" t="n">
        <f aca="false">S20*(1-T18)+'Sales &amp; marketing'!T32</f>
        <v>0</v>
      </c>
      <c r="U20" s="33" t="n">
        <f aca="false">T20*(1-U18)+'Sales &amp; marketing'!U32</f>
        <v>0</v>
      </c>
      <c r="V20" s="33" t="n">
        <f aca="false">U20*(1-V18)+'Sales &amp; marketing'!V32</f>
        <v>0</v>
      </c>
      <c r="W20" s="33" t="n">
        <f aca="false">V20*(1-W18)+'Sales &amp; marketing'!W32</f>
        <v>23.4666666666667</v>
      </c>
      <c r="X20" s="33" t="n">
        <f aca="false">W20*(1-X18)+'Sales &amp; marketing'!X32</f>
        <v>73.9061333333333</v>
      </c>
      <c r="Y20" s="33" t="n">
        <f aca="false">X20*(1-Y18)+'Sales &amp; marketing'!Y32</f>
        <v>123.8949488</v>
      </c>
      <c r="Z20" s="33" t="n">
        <f aca="false">Y20*(1-Z18)+'Sales &amp; marketing'!Z32</f>
        <v>173.463444811467</v>
      </c>
      <c r="AA20" s="33" t="n">
        <f aca="false">Z20*(1-AA18)+'Sales &amp; marketing'!AA32</f>
        <v>222.642826398744</v>
      </c>
      <c r="AB20" s="33" t="n">
        <f aca="false">AA20*(1-AB18)+'Sales &amp; marketing'!AB32</f>
        <v>271.465239895432</v>
      </c>
      <c r="AC20" s="33" t="n">
        <f aca="false">AB20*(1-AC18)+'Sales &amp; marketing'!AC32</f>
        <v>337.430511444026</v>
      </c>
      <c r="AD20" s="33" t="n">
        <f aca="false">AC20*(1-AD18)+'Sales &amp; marketing'!AD32</f>
        <v>402.818022892481</v>
      </c>
      <c r="AE20" s="33" t="n">
        <f aca="false">AD20*(1-AE18)+'Sales &amp; marketing'!AE32</f>
        <v>467.667947295274</v>
      </c>
      <c r="AF20" s="33" t="n">
        <f aca="false">AE20*(1-AF18)+'Sales &amp; marketing'!AF32</f>
        <v>532.021633252251</v>
      </c>
      <c r="AG20" s="33" t="n">
        <f aca="false">AF20*(1-AG18)+'Sales &amp; marketing'!AG32</f>
        <v>595.92169581618</v>
      </c>
      <c r="AH20" s="33" t="n">
        <f aca="false">AG20*(1-AH18)+'Sales &amp; marketing'!AH32</f>
        <v>659.412112518559</v>
      </c>
      <c r="AI20" s="33" t="n">
        <f aca="false">AH20*(1-AI18)+'Sales &amp; marketing'!AI32</f>
        <v>722.538324826349</v>
      </c>
      <c r="AJ20" s="33" t="n">
        <f aca="false">AI20*(1-AJ18)+'Sales &amp; marketing'!AJ32</f>
        <v>812.347345360922</v>
      </c>
      <c r="AK20" s="33" t="n">
        <f aca="false">AJ20*(1-AK18)+'Sales &amp; marketing'!AK32</f>
        <v>901.442371230326</v>
      </c>
      <c r="AL20" s="33" t="n">
        <f aca="false">AK20*(1-AL18)+'Sales &amp; marketing'!AL32</f>
        <v>989.881254596958</v>
      </c>
      <c r="AM20" s="33" t="n">
        <f aca="false">AL20*(1-AM18)+'Sales &amp; marketing'!AM32</f>
        <v>1077.72365733756</v>
      </c>
      <c r="AN20" s="33" t="n">
        <f aca="false">AM20*(1-AN18)+'Sales &amp; marketing'!AN32</f>
        <v>1165.03118703942</v>
      </c>
      <c r="AO20" s="33" t="n">
        <f aca="false">AN20*(1-AO18)+'Sales &amp; marketing'!AO32</f>
        <v>1260.66754070408</v>
      </c>
      <c r="AP20" s="33" t="n">
        <f aca="false">AO20*(1-AP18)+'Sales &amp; marketing'!AP32</f>
        <v>1355.75345662832</v>
      </c>
      <c r="AQ20" s="33" t="n">
        <f aca="false">AP20*(1-AQ18)+'Sales &amp; marketing'!AQ32</f>
        <v>1450.35967076056</v>
      </c>
      <c r="AR20" s="33" t="n">
        <f aca="false">AQ20*(1-AR18)+'Sales &amp; marketing'!AR32</f>
        <v>1544.55945112962</v>
      </c>
      <c r="AS20" s="33" t="n">
        <f aca="false">AR20*(1-AS18)+'Sales &amp; marketing'!AS32</f>
        <v>1638.42877801879</v>
      </c>
      <c r="AT20" s="33" t="n">
        <f aca="false">AS20*(1-AT18)+'Sales &amp; marketing'!AT32</f>
        <v>1732.04653448425</v>
      </c>
      <c r="AU20" s="33" t="n">
        <f aca="false">AT20*(1-AU18)+'Sales &amp; marketing'!AU32</f>
        <v>1825.4947078462</v>
      </c>
      <c r="AV20" s="33" t="n">
        <f aca="false">AU20*(1-AV18)+'Sales &amp; marketing'!AV32</f>
        <v>1945.85860281853</v>
      </c>
      <c r="AW20" s="33" t="n">
        <f aca="false">AV20*(1-AW18)+'Sales &amp; marketing'!AW32</f>
        <v>2065.78156698293</v>
      </c>
      <c r="AX20" s="33" t="n">
        <f aca="false">AW20*(1-AX18)+'Sales &amp; marketing'!AX32</f>
        <v>2185.36358010526</v>
      </c>
      <c r="AY20" s="33" t="n">
        <f aca="false">AX20*(1-AY18)+'Sales &amp; marketing'!AY32</f>
        <v>2304.70853454974</v>
      </c>
      <c r="AZ20" s="33" t="n">
        <f aca="false">AY20*(1-AZ18)+'Sales &amp; marketing'!AZ32</f>
        <v>2423.92450445685</v>
      </c>
      <c r="BA20" s="33" t="n">
        <f aca="false">AZ20*(1-BA18)+'Sales &amp; marketing'!BA32</f>
        <v>2551.92403050412</v>
      </c>
      <c r="BB20" s="33" t="n">
        <f aca="false">BA20*(1-BB18)+'Sales &amp; marketing'!BB32</f>
        <v>2679.87922119387</v>
      </c>
      <c r="BC20" s="33" t="n">
        <f aca="false">BB20*(1-BC18)+'Sales &amp; marketing'!BC32</f>
        <v>2807.91486746881</v>
      </c>
      <c r="BD20" s="33" t="n">
        <f aca="false">BC20*(1-BD18)+'Sales &amp; marketing'!BD32</f>
        <v>2936.1611447857</v>
      </c>
      <c r="BE20" s="33" t="n">
        <f aca="false">BD20*(1-BE18)+'Sales &amp; marketing'!BE32</f>
        <v>3064.75397088467</v>
      </c>
      <c r="BF20" s="33" t="n">
        <f aca="false">BE20*(1-BF18)+'Sales &amp; marketing'!BF32</f>
        <v>3193.83538445228</v>
      </c>
      <c r="BG20" s="33" t="n">
        <f aca="false">BF20*(1-BG18)+'Sales &amp; marketing'!BG32</f>
        <v>3323.55394594126</v>
      </c>
      <c r="BH20" s="33" t="n">
        <f aca="false">BG20*(1-BH18)+'Sales &amp; marketing'!BH32</f>
        <v>3454.06516188561</v>
      </c>
      <c r="BI20" s="33" t="n">
        <f aca="false">BH20*(1-BI18)+'Sales &amp; marketing'!BI32</f>
        <v>3585.53193413003</v>
      </c>
      <c r="BJ20" s="33" t="n">
        <f aca="false">BI20*(1-BJ18)+'Sales &amp; marketing'!BJ32</f>
        <v>3718.12503547735</v>
      </c>
      <c r="BK20" s="33" t="n">
        <f aca="false">BJ20*(1-BK18)+'Sales &amp; marketing'!BK32</f>
        <v>3850.3093057253</v>
      </c>
      <c r="BL20" s="33" t="n">
        <f aca="false">BK20*(1-BL18)+'Sales &amp; marketing'!BL32</f>
        <v>3980.31253551417</v>
      </c>
    </row>
    <row r="22" customFormat="false" ht="15" hidden="false" customHeight="false" outlineLevel="0" collapsed="false">
      <c r="A22" s="10" t="s">
        <v>581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582</v>
      </c>
      <c r="B23" s="14" t="s">
        <v>154</v>
      </c>
      <c r="E23" s="33" t="n">
        <f aca="true">IF(Free_Months&lt;=0,0,SUM(OFFSET(E9,0,1-MIN(Free_Months,E$3),1,MIN(Free_Months,E$3))))</f>
        <v>0</v>
      </c>
      <c r="F23" s="33" t="n">
        <f aca="true">IF(Free_Months&lt;=0,0,SUM(OFFSET(F9,0,1-MIN(Free_Months,F$3),1,MIN(Free_Months,F$3))))</f>
        <v>0</v>
      </c>
      <c r="G23" s="33" t="n">
        <f aca="true">IF(Free_Months&lt;=0,0,SUM(OFFSET(G9,0,1-MIN(Free_Months,G$3),1,MIN(Free_Months,G$3))))</f>
        <v>0</v>
      </c>
      <c r="H23" s="33" t="n">
        <f aca="true">IF(Free_Months&lt;=0,0,SUM(OFFSET(H9,0,1-MIN(Free_Months,H$3),1,MIN(Free_Months,H$3))))</f>
        <v>0</v>
      </c>
      <c r="I23" s="33" t="n">
        <f aca="true">IF(Free_Months&lt;=0,0,SUM(OFFSET(I9,0,1-MIN(Free_Months,I$3),1,MIN(Free_Months,I$3))))</f>
        <v>28.48</v>
      </c>
      <c r="J23" s="33" t="n">
        <f aca="true">IF(Free_Months&lt;=0,0,SUM(OFFSET(J9,0,1-MIN(Free_Months,J$3),1,MIN(Free_Months,J$3))))</f>
        <v>57.32</v>
      </c>
      <c r="K23" s="33" t="n">
        <f aca="true">IF(Free_Months&lt;=0,0,SUM(OFFSET(K9,0,1-MIN(Free_Months,K$3),1,MIN(Free_Months,K$3))))</f>
        <v>86.5416</v>
      </c>
      <c r="L23" s="33" t="n">
        <f aca="true">IF(Free_Months&lt;=0,0,SUM(OFFSET(L9,0,1-MIN(Free_Months,L$3),1,MIN(Free_Months,L$3))))</f>
        <v>99.687696</v>
      </c>
      <c r="M23" s="33" t="n">
        <f aca="true">IF(Free_Months&lt;=0,0,SUM(OFFSET(M9,0,1-MIN(Free_Months,M$3),1,MIN(Free_Months,M$3))))</f>
        <v>112.90255776</v>
      </c>
      <c r="N23" s="33" t="n">
        <f aca="true">IF(Free_Months&lt;=0,0,SUM(OFFSET(N9,0,1-MIN(Free_Months,N$3),1,MIN(Free_Months,N$3))))</f>
        <v>126.1903112256</v>
      </c>
      <c r="O23" s="33" t="n">
        <f aca="true">IF(Free_Months&lt;=0,0,SUM(OFFSET(O9,0,1-MIN(Free_Months,O$3),1,MIN(Free_Months,O$3))))</f>
        <v>127.555329899136</v>
      </c>
      <c r="P23" s="33" t="n">
        <f aca="true">IF(Free_Months&lt;=0,0,SUM(OFFSET(P9,0,1-MIN(Free_Months,P$3),1,MIN(Free_Months,P$3))))</f>
        <v>129.002249693084</v>
      </c>
      <c r="Q23" s="33" t="n">
        <f aca="true">IF(Free_Months&lt;=0,0,SUM(OFFSET(Q9,0,1-MIN(Free_Months,Q$3),1,MIN(Free_Months,Q$3))))</f>
        <v>141.015984674669</v>
      </c>
      <c r="R23" s="33" t="n">
        <f aca="true">IF(Free_Months&lt;=0,0,SUM(OFFSET(R9,0,1-MIN(Free_Months,R$3),1,MIN(Free_Months,R$3))))</f>
        <v>153.121743755149</v>
      </c>
      <c r="S23" s="33" t="n">
        <f aca="true">IF(Free_Months&lt;=0,0,SUM(OFFSET(S9,0,1-MIN(Free_Months,S$3),1,MIN(Free_Months,S$3))))</f>
        <v>165.325048380458</v>
      </c>
      <c r="T23" s="33" t="n">
        <f aca="true">IF(Free_Months&lt;=0,0,SUM(OFFSET(T9,0,1-MIN(Free_Months,T$3),1,MIN(Free_Months,T$3))))</f>
        <v>167.151751283286</v>
      </c>
      <c r="U23" s="33" t="n">
        <f aca="true">IF(Free_Months&lt;=0,0,SUM(OFFSET(U9,0,1-MIN(Free_Months,U$3),1,MIN(Free_Months,U$3))))</f>
        <v>169.088056360283</v>
      </c>
      <c r="V23" s="33" t="n">
        <f aca="true">IF(Free_Months&lt;=0,0,SUM(OFFSET(V9,0,1-MIN(Free_Months,V$3),1,MIN(Free_Months,V$3))))</f>
        <v>171.1405397419</v>
      </c>
      <c r="W23" s="33" t="n">
        <f aca="true">IF(Free_Months&lt;=0,0,SUM(OFFSET(W9,0,1-MIN(Free_Months,W$3),1,MIN(Free_Months,W$3))))</f>
        <v>187.396172126414</v>
      </c>
      <c r="X23" s="33" t="n">
        <f aca="true">IF(Free_Months&lt;=0,0,SUM(OFFSET(X9,0,1-MIN(Free_Months,X$3),1,MIN(Free_Months,X$3))))</f>
        <v>244.198342453999</v>
      </c>
      <c r="Y23" s="33" t="n">
        <f aca="true">IF(Free_Months&lt;=0,0,SUM(OFFSET(Y9,0,1-MIN(Free_Months,Y$3),1,MIN(Free_Months,Y$3))))</f>
        <v>301.367843001239</v>
      </c>
      <c r="Z23" s="33" t="n">
        <f aca="true">IF(Free_Months&lt;=0,0,SUM(OFFSET(Z9,0,1-MIN(Free_Months,Z$3),1,MIN(Free_Months,Z$3))))</f>
        <v>344.846713581313</v>
      </c>
      <c r="AA23" s="33" t="n">
        <f aca="true">IF(Free_Months&lt;=0,0,SUM(OFFSET(AA9,0,1-MIN(Free_Months,AA$3),1,MIN(Free_Months,AA$3))))</f>
        <v>348.322316396192</v>
      </c>
      <c r="AB23" s="33" t="n">
        <f aca="true">IF(Free_Months&lt;=0,0,SUM(OFFSET(AB9,0,1-MIN(Free_Months,AB$3),1,MIN(Free_Months,AB$3))))</f>
        <v>352.006455379963</v>
      </c>
      <c r="AC23" s="33" t="n">
        <f aca="true">IF(Free_Months&lt;=0,0,SUM(OFFSET(AC9,0,1-MIN(Free_Months,AC$3),1,MIN(Free_Months,AC$3))))</f>
        <v>376.951642702761</v>
      </c>
      <c r="AD23" s="33" t="n">
        <f aca="true">IF(Free_Months&lt;=0,0,SUM(OFFSET(AD9,0,1-MIN(Free_Months,AD$3),1,MIN(Free_Months,AD$3))))</f>
        <v>402.131141264927</v>
      </c>
      <c r="AE23" s="33" t="n">
        <f aca="true">IF(Free_Months&lt;=0,0,SUM(OFFSET(AE9,0,1-MIN(Free_Months,AE$3),1,MIN(Free_Months,AE$3))))</f>
        <v>427.559009740823</v>
      </c>
      <c r="AF23" s="33" t="n">
        <f aca="true">IF(Free_Months&lt;=0,0,SUM(OFFSET(AF9,0,1-MIN(Free_Months,AF$3),1,MIN(Free_Months,AF$3))))</f>
        <v>432.210150325272</v>
      </c>
      <c r="AG23" s="33" t="n">
        <f aca="true">IF(Free_Months&lt;=0,0,SUM(OFFSET(AG9,0,1-MIN(Free_Months,AG$3),1,MIN(Free_Months,AG$3))))</f>
        <v>437.140359344788</v>
      </c>
      <c r="AH23" s="33" t="n">
        <f aca="true">IF(Free_Months&lt;=0,0,SUM(OFFSET(AH9,0,1-MIN(Free_Months,AH$3),1,MIN(Free_Months,AH$3))))</f>
        <v>442.366380905475</v>
      </c>
      <c r="AI23" s="33" t="n">
        <f aca="true">IF(Free_Months&lt;=0,0,SUM(OFFSET(AI9,0,1-MIN(Free_Months,AI$3),1,MIN(Free_Months,AI$3))))</f>
        <v>447.905963759804</v>
      </c>
      <c r="AJ23" s="33" t="n">
        <f aca="true">IF(Free_Months&lt;=0,0,SUM(OFFSET(AJ9,0,1-MIN(Free_Months,AJ$3),1,MIN(Free_Months,AJ$3))))</f>
        <v>493.977921585392</v>
      </c>
      <c r="AK23" s="33" t="n">
        <f aca="true">IF(Free_Months&lt;=0,0,SUM(OFFSET(AK9,0,1-MIN(Free_Months,AK$3),1,MIN(Free_Months,AK$3))))</f>
        <v>540.402196880516</v>
      </c>
      <c r="AL23" s="33" t="n">
        <f aca="true">IF(Free_Months&lt;=0,0,SUM(OFFSET(AL9,0,1-MIN(Free_Months,AL$3),1,MIN(Free_Months,AL$3))))</f>
        <v>587.199928693347</v>
      </c>
      <c r="AM23" s="33" t="n">
        <f aca="true">IF(Free_Months&lt;=0,0,SUM(OFFSET(AM9,0,1-MIN(Free_Months,AM$3),1,MIN(Free_Months,AM$3))))</f>
        <v>594.193524414947</v>
      </c>
      <c r="AN23" s="33" t="n">
        <f aca="true">IF(Free_Months&lt;=0,0,SUM(OFFSET(AN9,0,1-MIN(Free_Months,AN$3),1,MIN(Free_Months,AN$3))))</f>
        <v>601.606735879844</v>
      </c>
      <c r="AO23" s="33" t="n">
        <f aca="true">IF(Free_Months&lt;=0,0,SUM(OFFSET(AO9,0,1-MIN(Free_Months,AO$3),1,MIN(Free_Months,AO$3))))</f>
        <v>619.944740032635</v>
      </c>
      <c r="AP23" s="33" t="n">
        <f aca="true">IF(Free_Months&lt;=0,0,SUM(OFFSET(AP9,0,1-MIN(Free_Months,AP$3),1,MIN(Free_Months,AP$3))))</f>
        <v>638.754224434593</v>
      </c>
      <c r="AQ23" s="33" t="n">
        <f aca="true">IF(Free_Months&lt;=0,0,SUM(OFFSET(AQ9,0,1-MIN(Free_Months,AQ$3),1,MIN(Free_Months,AQ$3))))</f>
        <v>658.063477900669</v>
      </c>
      <c r="AR23" s="33" t="n">
        <f aca="true">IF(Free_Months&lt;=0,0,SUM(OFFSET(AR9,0,1-MIN(Free_Months,AR$3),1,MIN(Free_Months,AR$3))))</f>
        <v>667.422486574709</v>
      </c>
      <c r="AS23" s="33" t="n">
        <f aca="true">IF(Free_Months&lt;=0,0,SUM(OFFSET(AS9,0,1-MIN(Free_Months,AS$3),1,MIN(Free_Months,AS$3))))</f>
        <v>676.459523770085</v>
      </c>
      <c r="AT23" s="33" t="n">
        <f aca="true">IF(Free_Months&lt;=0,0,SUM(OFFSET(AT9,0,1-MIN(Free_Months,AT$3),1,MIN(Free_Months,AT$3))))</f>
        <v>683.158783197183</v>
      </c>
      <c r="AU23" s="33" t="n">
        <f aca="true">IF(Free_Months&lt;=0,0,SUM(OFFSET(AU9,0,1-MIN(Free_Months,AU$3),1,MIN(Free_Months,AU$3))))</f>
        <v>687.379998189908</v>
      </c>
      <c r="AV23" s="33" t="n">
        <f aca="true">IF(Free_Months&lt;=0,0,SUM(OFFSET(AV9,0,1-MIN(Free_Months,AV$3),1,MIN(Free_Months,AV$3))))</f>
        <v>730.057998081302</v>
      </c>
      <c r="AW23" s="33" t="n">
        <f aca="true">IF(Free_Months&lt;=0,0,SUM(OFFSET(AW9,0,1-MIN(Free_Months,AW$3),1,MIN(Free_Months,AW$3))))</f>
        <v>772.88467796618</v>
      </c>
      <c r="AX23" s="33" t="n">
        <f aca="true">IF(Free_Months&lt;=0,0,SUM(OFFSET(AX9,0,1-MIN(Free_Months,AX$3),1,MIN(Free_Months,AX$3))))</f>
        <v>815.868958644151</v>
      </c>
      <c r="AY23" s="33" t="n">
        <f aca="true">IF(Free_Months&lt;=0,0,SUM(OFFSET(AY9,0,1-MIN(Free_Months,AY$3),1,MIN(Free_Months,AY$3))))</f>
        <v>818.8202961628</v>
      </c>
      <c r="AZ23" s="33" t="n">
        <f aca="true">IF(Free_Months&lt;=0,0,SUM(OFFSET(AZ9,0,1-MIN(Free_Months,AZ$3),1,MIN(Free_Months,AZ$3))))</f>
        <v>821.948713932568</v>
      </c>
      <c r="BA23" s="33" t="n">
        <f aca="true">IF(Free_Months&lt;=0,0,SUM(OFFSET(BA9,0,1-MIN(Free_Months,BA$3),1,MIN(Free_Months,BA$3))))</f>
        <v>835.824836768523</v>
      </c>
      <c r="BB23" s="33" t="n">
        <f aca="true">IF(Free_Months&lt;=0,0,SUM(OFFSET(BB9,0,1-MIN(Free_Months,BB$3),1,MIN(Free_Months,BB$3))))</f>
        <v>849.899926974634</v>
      </c>
      <c r="BC23" s="33" t="n">
        <f aca="true">IF(Free_Months&lt;=0,0,SUM(OFFSET(BC9,0,1-MIN(Free_Months,BC$3),1,MIN(Free_Months,BC$3))))</f>
        <v>864.185922593112</v>
      </c>
      <c r="BD23" s="33" t="n">
        <f aca="true">IF(Free_Months&lt;=0,0,SUM(OFFSET(BD9,0,1-MIN(Free_Months,BD$3),1,MIN(Free_Months,BD$3))))</f>
        <v>868.135477948699</v>
      </c>
      <c r="BE23" s="33" t="n">
        <f aca="true">IF(Free_Months&lt;=0,0,SUM(OFFSET(BE9,0,1-MIN(Free_Months,BE$3),1,MIN(Free_Months,BE$3))))</f>
        <v>872.322006625621</v>
      </c>
      <c r="BF23" s="33" t="n">
        <f aca="true">IF(Free_Months&lt;=0,0,SUM(OFFSET(BF9,0,1-MIN(Free_Months,BF$3),1,MIN(Free_Months,BF$3))))</f>
        <v>876.759727023158</v>
      </c>
      <c r="BG23" s="33" t="n">
        <f aca="true">IF(Free_Months&lt;=0,0,SUM(OFFSET(BG9,0,1-MIN(Free_Months,BG$3),1,MIN(Free_Months,BG$3))))</f>
        <v>881.463710644547</v>
      </c>
      <c r="BH23" s="33" t="n">
        <f aca="true">IF(Free_Months&lt;=0,0,SUM(OFFSET(BH9,0,1-MIN(Free_Months,BH$3),1,MIN(Free_Months,BH$3))))</f>
        <v>886.44993328322</v>
      </c>
      <c r="BI23" s="33" t="n">
        <f aca="true">IF(Free_Months&lt;=0,0,SUM(OFFSET(BI9,0,1-MIN(Free_Months,BI$3),1,MIN(Free_Months,BI$3))))</f>
        <v>891.735329280213</v>
      </c>
      <c r="BJ23" s="33" t="n">
        <f aca="true">IF(Free_Months&lt;=0,0,SUM(OFFSET(BJ9,0,1-MIN(Free_Months,BJ$3),1,MIN(Free_Months,BJ$3))))</f>
        <v>897.337849037026</v>
      </c>
      <c r="BK23" s="33" t="n">
        <f aca="true">IF(Free_Months&lt;=0,0,SUM(OFFSET(BK9,0,1-MIN(Free_Months,BK$3),1,MIN(Free_Months,BK$3))))</f>
        <v>902.247935405594</v>
      </c>
      <c r="BL23" s="33" t="n">
        <f aca="true">IF(Free_Months&lt;=0,0,SUM(OFFSET(BL9,0,1-MIN(Free_Months,BL$3),1,MIN(Free_Months,BL$3))))</f>
        <v>905.292626956277</v>
      </c>
    </row>
    <row r="24" customFormat="false" ht="15" hidden="false" customHeight="false" outlineLevel="0" collapsed="false">
      <c r="A24" s="12" t="s">
        <v>583</v>
      </c>
      <c r="B24" s="14" t="s">
        <v>154</v>
      </c>
      <c r="E24" s="33" t="n">
        <f aca="true">IF(Free_Months&lt;=0,0,SUM(OFFSET(E10,0,1-MIN(Free_Months,E$3),1,MIN(Free_Months,E$3))))</f>
        <v>0</v>
      </c>
      <c r="F24" s="33" t="n">
        <f aca="true">IF(Free_Months&lt;=0,0,SUM(OFFSET(F10,0,1-MIN(Free_Months,F$3),1,MIN(Free_Months,F$3))))</f>
        <v>0</v>
      </c>
      <c r="G24" s="33" t="n">
        <f aca="true">IF(Free_Months&lt;=0,0,SUM(OFFSET(G10,0,1-MIN(Free_Months,G$3),1,MIN(Free_Months,G$3))))</f>
        <v>0</v>
      </c>
      <c r="H24" s="33" t="n">
        <f aca="true">IF(Free_Months&lt;=0,0,SUM(OFFSET(H10,0,1-MIN(Free_Months,H$3),1,MIN(Free_Months,H$3))))</f>
        <v>0</v>
      </c>
      <c r="I24" s="33" t="n">
        <f aca="true">IF(Free_Months&lt;=0,0,SUM(OFFSET(I10,0,1-MIN(Free_Months,I$3),1,MIN(Free_Months,I$3))))</f>
        <v>14.24</v>
      </c>
      <c r="J24" s="33" t="n">
        <f aca="true">IF(Free_Months&lt;=0,0,SUM(OFFSET(J10,0,1-MIN(Free_Months,J$3),1,MIN(Free_Months,J$3))))</f>
        <v>28.66</v>
      </c>
      <c r="K24" s="33" t="n">
        <f aca="true">IF(Free_Months&lt;=0,0,SUM(OFFSET(K10,0,1-MIN(Free_Months,K$3),1,MIN(Free_Months,K$3))))</f>
        <v>43.2708</v>
      </c>
      <c r="L24" s="33" t="n">
        <f aca="true">IF(Free_Months&lt;=0,0,SUM(OFFSET(L10,0,1-MIN(Free_Months,L$3),1,MIN(Free_Months,L$3))))</f>
        <v>49.843848</v>
      </c>
      <c r="M24" s="33" t="n">
        <f aca="true">IF(Free_Months&lt;=0,0,SUM(OFFSET(M10,0,1-MIN(Free_Months,M$3),1,MIN(Free_Months,M$3))))</f>
        <v>56.45127888</v>
      </c>
      <c r="N24" s="33" t="n">
        <f aca="true">IF(Free_Months&lt;=0,0,SUM(OFFSET(N10,0,1-MIN(Free_Months,N$3),1,MIN(Free_Months,N$3))))</f>
        <v>63.0951556128</v>
      </c>
      <c r="O24" s="33" t="n">
        <f aca="true">IF(Free_Months&lt;=0,0,SUM(OFFSET(O10,0,1-MIN(Free_Months,O$3),1,MIN(Free_Months,O$3))))</f>
        <v>63.777664949568</v>
      </c>
      <c r="P24" s="33" t="n">
        <f aca="true">IF(Free_Months&lt;=0,0,SUM(OFFSET(P10,0,1-MIN(Free_Months,P$3),1,MIN(Free_Months,P$3))))</f>
        <v>64.5011248465421</v>
      </c>
      <c r="Q24" s="33" t="n">
        <f aca="true">IF(Free_Months&lt;=0,0,SUM(OFFSET(Q10,0,1-MIN(Free_Months,Q$3),1,MIN(Free_Months,Q$3))))</f>
        <v>70.5079923373346</v>
      </c>
      <c r="R24" s="33" t="n">
        <f aca="true">IF(Free_Months&lt;=0,0,SUM(OFFSET(R10,0,1-MIN(Free_Months,R$3),1,MIN(Free_Months,R$3))))</f>
        <v>76.5608718775747</v>
      </c>
      <c r="S24" s="33" t="n">
        <f aca="true">IF(Free_Months&lt;=0,0,SUM(OFFSET(S10,0,1-MIN(Free_Months,S$3),1,MIN(Free_Months,S$3))))</f>
        <v>82.6625241902292</v>
      </c>
      <c r="T24" s="33" t="n">
        <f aca="true">IF(Free_Months&lt;=0,0,SUM(OFFSET(T10,0,1-MIN(Free_Months,T$3),1,MIN(Free_Months,T$3))))</f>
        <v>83.5758756416429</v>
      </c>
      <c r="U24" s="33" t="n">
        <f aca="true">IF(Free_Months&lt;=0,0,SUM(OFFSET(U10,0,1-MIN(Free_Months,U$3),1,MIN(Free_Months,U$3))))</f>
        <v>84.5440281801415</v>
      </c>
      <c r="V24" s="33" t="n">
        <f aca="true">IF(Free_Months&lt;=0,0,SUM(OFFSET(V10,0,1-MIN(Free_Months,V$3),1,MIN(Free_Months,V$3))))</f>
        <v>85.57026987095</v>
      </c>
      <c r="W24" s="33" t="n">
        <f aca="true">IF(Free_Months&lt;=0,0,SUM(OFFSET(W10,0,1-MIN(Free_Months,W$3),1,MIN(Free_Months,W$3))))</f>
        <v>93.698086063207</v>
      </c>
      <c r="X24" s="33" t="n">
        <f aca="true">IF(Free_Months&lt;=0,0,SUM(OFFSET(X10,0,1-MIN(Free_Months,X$3),1,MIN(Free_Months,X$3))))</f>
        <v>122.099171226999</v>
      </c>
      <c r="Y24" s="33" t="n">
        <f aca="true">IF(Free_Months&lt;=0,0,SUM(OFFSET(Y10,0,1-MIN(Free_Months,Y$3),1,MIN(Free_Months,Y$3))))</f>
        <v>150.683921500619</v>
      </c>
      <c r="Z24" s="33" t="n">
        <f aca="true">IF(Free_Months&lt;=0,0,SUM(OFFSET(Z10,0,1-MIN(Free_Months,Z$3),1,MIN(Free_Months,Z$3))))</f>
        <v>172.423356790657</v>
      </c>
      <c r="AA24" s="33" t="n">
        <f aca="true">IF(Free_Months&lt;=0,0,SUM(OFFSET(AA10,0,1-MIN(Free_Months,AA$3),1,MIN(Free_Months,AA$3))))</f>
        <v>174.161158198096</v>
      </c>
      <c r="AB24" s="33" t="n">
        <f aca="true">IF(Free_Months&lt;=0,0,SUM(OFFSET(AB10,0,1-MIN(Free_Months,AB$3),1,MIN(Free_Months,AB$3))))</f>
        <v>176.003227689982</v>
      </c>
      <c r="AC24" s="33" t="n">
        <f aca="true">IF(Free_Months&lt;=0,0,SUM(OFFSET(AC10,0,1-MIN(Free_Months,AC$3),1,MIN(Free_Months,AC$3))))</f>
        <v>188.475821351381</v>
      </c>
      <c r="AD24" s="33" t="n">
        <f aca="true">IF(Free_Months&lt;=0,0,SUM(OFFSET(AD10,0,1-MIN(Free_Months,AD$3),1,MIN(Free_Months,AD$3))))</f>
        <v>201.065570632463</v>
      </c>
      <c r="AE24" s="33" t="n">
        <f aca="true">IF(Free_Months&lt;=0,0,SUM(OFFSET(AE10,0,1-MIN(Free_Months,AE$3),1,MIN(Free_Months,AE$3))))</f>
        <v>213.779504870411</v>
      </c>
      <c r="AF24" s="33" t="n">
        <f aca="true">IF(Free_Months&lt;=0,0,SUM(OFFSET(AF10,0,1-MIN(Free_Months,AF$3),1,MIN(Free_Months,AF$3))))</f>
        <v>216.105075162636</v>
      </c>
      <c r="AG24" s="33" t="n">
        <f aca="true">IF(Free_Months&lt;=0,0,SUM(OFFSET(AG10,0,1-MIN(Free_Months,AG$3),1,MIN(Free_Months,AG$3))))</f>
        <v>218.570179672394</v>
      </c>
      <c r="AH24" s="33" t="n">
        <f aca="true">IF(Free_Months&lt;=0,0,SUM(OFFSET(AH10,0,1-MIN(Free_Months,AH$3),1,MIN(Free_Months,AH$3))))</f>
        <v>221.183190452738</v>
      </c>
      <c r="AI24" s="33" t="n">
        <f aca="true">IF(Free_Months&lt;=0,0,SUM(OFFSET(AI10,0,1-MIN(Free_Months,AI$3),1,MIN(Free_Months,AI$3))))</f>
        <v>223.952981879902</v>
      </c>
      <c r="AJ24" s="33" t="n">
        <f aca="true">IF(Free_Months&lt;=0,0,SUM(OFFSET(AJ10,0,1-MIN(Free_Months,AJ$3),1,MIN(Free_Months,AJ$3))))</f>
        <v>246.988960792696</v>
      </c>
      <c r="AK24" s="33" t="n">
        <f aca="true">IF(Free_Months&lt;=0,0,SUM(OFFSET(AK10,0,1-MIN(Free_Months,AK$3),1,MIN(Free_Months,AK$3))))</f>
        <v>270.201098440258</v>
      </c>
      <c r="AL24" s="33" t="n">
        <f aca="true">IF(Free_Months&lt;=0,0,SUM(OFFSET(AL10,0,1-MIN(Free_Months,AL$3),1,MIN(Free_Months,AL$3))))</f>
        <v>293.599964346673</v>
      </c>
      <c r="AM24" s="33" t="n">
        <f aca="true">IF(Free_Months&lt;=0,0,SUM(OFFSET(AM10,0,1-MIN(Free_Months,AM$3),1,MIN(Free_Months,AM$3))))</f>
        <v>297.096762207474</v>
      </c>
      <c r="AN24" s="33" t="n">
        <f aca="true">IF(Free_Months&lt;=0,0,SUM(OFFSET(AN10,0,1-MIN(Free_Months,AN$3),1,MIN(Free_Months,AN$3))))</f>
        <v>300.803367939922</v>
      </c>
      <c r="AO24" s="33" t="n">
        <f aca="true">IF(Free_Months&lt;=0,0,SUM(OFFSET(AO10,0,1-MIN(Free_Months,AO$3),1,MIN(Free_Months,AO$3))))</f>
        <v>309.972370016318</v>
      </c>
      <c r="AP24" s="33" t="n">
        <f aca="true">IF(Free_Months&lt;=0,0,SUM(OFFSET(AP10,0,1-MIN(Free_Months,AP$3),1,MIN(Free_Months,AP$3))))</f>
        <v>319.377112217297</v>
      </c>
      <c r="AQ24" s="33" t="n">
        <f aca="true">IF(Free_Months&lt;=0,0,SUM(OFFSET(AQ10,0,1-MIN(Free_Months,AQ$3),1,MIN(Free_Months,AQ$3))))</f>
        <v>329.031738950334</v>
      </c>
      <c r="AR24" s="33" t="n">
        <f aca="true">IF(Free_Months&lt;=0,0,SUM(OFFSET(AR10,0,1-MIN(Free_Months,AR$3),1,MIN(Free_Months,AR$3))))</f>
        <v>333.711243287354</v>
      </c>
      <c r="AS24" s="33" t="n">
        <f aca="true">IF(Free_Months&lt;=0,0,SUM(OFFSET(AS10,0,1-MIN(Free_Months,AS$3),1,MIN(Free_Months,AS$3))))</f>
        <v>338.229761885042</v>
      </c>
      <c r="AT24" s="33" t="n">
        <f aca="true">IF(Free_Months&lt;=0,0,SUM(OFFSET(AT10,0,1-MIN(Free_Months,AT$3),1,MIN(Free_Months,AT$3))))</f>
        <v>341.579391598592</v>
      </c>
      <c r="AU24" s="33" t="n">
        <f aca="true">IF(Free_Months&lt;=0,0,SUM(OFFSET(AU10,0,1-MIN(Free_Months,AU$3),1,MIN(Free_Months,AU$3))))</f>
        <v>343.689999094954</v>
      </c>
      <c r="AV24" s="33" t="n">
        <f aca="true">IF(Free_Months&lt;=0,0,SUM(OFFSET(AV10,0,1-MIN(Free_Months,AV$3),1,MIN(Free_Months,AV$3))))</f>
        <v>365.028999040651</v>
      </c>
      <c r="AW24" s="33" t="n">
        <f aca="true">IF(Free_Months&lt;=0,0,SUM(OFFSET(AW10,0,1-MIN(Free_Months,AW$3),1,MIN(Free_Months,AW$3))))</f>
        <v>386.44233898309</v>
      </c>
      <c r="AX24" s="33" t="n">
        <f aca="true">IF(Free_Months&lt;=0,0,SUM(OFFSET(AX10,0,1-MIN(Free_Months,AX$3),1,MIN(Free_Months,AX$3))))</f>
        <v>407.934479322076</v>
      </c>
      <c r="AY24" s="33" t="n">
        <f aca="true">IF(Free_Months&lt;=0,0,SUM(OFFSET(AY10,0,1-MIN(Free_Months,AY$3),1,MIN(Free_Months,AY$3))))</f>
        <v>409.4101480814</v>
      </c>
      <c r="AZ24" s="33" t="n">
        <f aca="true">IF(Free_Months&lt;=0,0,SUM(OFFSET(AZ10,0,1-MIN(Free_Months,AZ$3),1,MIN(Free_Months,AZ$3))))</f>
        <v>410.974356966284</v>
      </c>
      <c r="BA24" s="33" t="n">
        <f aca="true">IF(Free_Months&lt;=0,0,SUM(OFFSET(BA10,0,1-MIN(Free_Months,BA$3),1,MIN(Free_Months,BA$3))))</f>
        <v>417.912418384261</v>
      </c>
      <c r="BB24" s="33" t="n">
        <f aca="true">IF(Free_Months&lt;=0,0,SUM(OFFSET(BB10,0,1-MIN(Free_Months,BB$3),1,MIN(Free_Months,BB$3))))</f>
        <v>424.949963487317</v>
      </c>
      <c r="BC24" s="33" t="n">
        <f aca="true">IF(Free_Months&lt;=0,0,SUM(OFFSET(BC10,0,1-MIN(Free_Months,BC$3),1,MIN(Free_Months,BC$3))))</f>
        <v>432.092961296556</v>
      </c>
      <c r="BD24" s="33" t="n">
        <f aca="true">IF(Free_Months&lt;=0,0,SUM(OFFSET(BD10,0,1-MIN(Free_Months,BD$3),1,MIN(Free_Months,BD$3))))</f>
        <v>434.067738974349</v>
      </c>
      <c r="BE24" s="33" t="n">
        <f aca="true">IF(Free_Months&lt;=0,0,SUM(OFFSET(BE10,0,1-MIN(Free_Months,BE$3),1,MIN(Free_Months,BE$3))))</f>
        <v>436.16100331281</v>
      </c>
      <c r="BF24" s="33" t="n">
        <f aca="true">IF(Free_Months&lt;=0,0,SUM(OFFSET(BF10,0,1-MIN(Free_Months,BF$3),1,MIN(Free_Months,BF$3))))</f>
        <v>438.379863511579</v>
      </c>
      <c r="BG24" s="33" t="n">
        <f aca="true">IF(Free_Months&lt;=0,0,SUM(OFFSET(BG10,0,1-MIN(Free_Months,BG$3),1,MIN(Free_Months,BG$3))))</f>
        <v>440.731855322274</v>
      </c>
      <c r="BH24" s="33" t="n">
        <f aca="true">IF(Free_Months&lt;=0,0,SUM(OFFSET(BH10,0,1-MIN(Free_Months,BH$3),1,MIN(Free_Months,BH$3))))</f>
        <v>443.22496664161</v>
      </c>
      <c r="BI24" s="33" t="n">
        <f aca="true">IF(Free_Months&lt;=0,0,SUM(OFFSET(BI10,0,1-MIN(Free_Months,BI$3),1,MIN(Free_Months,BI$3))))</f>
        <v>445.867664640107</v>
      </c>
      <c r="BJ24" s="33" t="n">
        <f aca="true">IF(Free_Months&lt;=0,0,SUM(OFFSET(BJ10,0,1-MIN(Free_Months,BJ$3),1,MIN(Free_Months,BJ$3))))</f>
        <v>448.668924518513</v>
      </c>
      <c r="BK24" s="33" t="n">
        <f aca="true">IF(Free_Months&lt;=0,0,SUM(OFFSET(BK10,0,1-MIN(Free_Months,BK$3),1,MIN(Free_Months,BK$3))))</f>
        <v>451.123967702797</v>
      </c>
      <c r="BL24" s="33" t="n">
        <f aca="true">IF(Free_Months&lt;=0,0,SUM(OFFSET(BL10,0,1-MIN(Free_Months,BL$3),1,MIN(Free_Months,BL$3))))</f>
        <v>452.646313478138</v>
      </c>
    </row>
    <row r="25" customFormat="false" ht="15" hidden="false" customHeight="false" outlineLevel="0" collapsed="false">
      <c r="A25" s="12" t="s">
        <v>584</v>
      </c>
      <c r="B25" s="14" t="s">
        <v>154</v>
      </c>
      <c r="E25" s="33" t="n">
        <f aca="true">IF(Free_Months&lt;=0,0,SUM(OFFSET(E11,0,1-MIN(Free_Months,E$3),1,MIN(Free_Months,E$3))))</f>
        <v>0</v>
      </c>
      <c r="F25" s="33" t="n">
        <f aca="true">IF(Free_Months&lt;=0,0,SUM(OFFSET(F11,0,1-MIN(Free_Months,F$3),1,MIN(Free_Months,F$3))))</f>
        <v>0</v>
      </c>
      <c r="G25" s="33" t="n">
        <f aca="true">IF(Free_Months&lt;=0,0,SUM(OFFSET(G11,0,1-MIN(Free_Months,G$3),1,MIN(Free_Months,G$3))))</f>
        <v>0</v>
      </c>
      <c r="H25" s="33" t="n">
        <f aca="true">IF(Free_Months&lt;=0,0,SUM(OFFSET(H11,0,1-MIN(Free_Months,H$3),1,MIN(Free_Months,H$3))))</f>
        <v>0</v>
      </c>
      <c r="I25" s="33" t="n">
        <f aca="true">IF(Free_Months&lt;=0,0,SUM(OFFSET(I11,0,1-MIN(Free_Months,I$3),1,MIN(Free_Months,I$3))))</f>
        <v>4.74666666666667</v>
      </c>
      <c r="J25" s="33" t="n">
        <f aca="true">IF(Free_Months&lt;=0,0,SUM(OFFSET(J11,0,1-MIN(Free_Months,J$3),1,MIN(Free_Months,J$3))))</f>
        <v>9.55333333333334</v>
      </c>
      <c r="K25" s="33" t="n">
        <f aca="true">IF(Free_Months&lt;=0,0,SUM(OFFSET(K11,0,1-MIN(Free_Months,K$3),1,MIN(Free_Months,K$3))))</f>
        <v>14.4236</v>
      </c>
      <c r="L25" s="33" t="n">
        <f aca="true">IF(Free_Months&lt;=0,0,SUM(OFFSET(L11,0,1-MIN(Free_Months,L$3),1,MIN(Free_Months,L$3))))</f>
        <v>16.614616</v>
      </c>
      <c r="M25" s="33" t="n">
        <f aca="true">IF(Free_Months&lt;=0,0,SUM(OFFSET(M11,0,1-MIN(Free_Months,M$3),1,MIN(Free_Months,M$3))))</f>
        <v>18.81709296</v>
      </c>
      <c r="N25" s="33" t="n">
        <f aca="true">IF(Free_Months&lt;=0,0,SUM(OFFSET(N11,0,1-MIN(Free_Months,N$3),1,MIN(Free_Months,N$3))))</f>
        <v>21.0317185376</v>
      </c>
      <c r="O25" s="33" t="n">
        <f aca="true">IF(Free_Months&lt;=0,0,SUM(OFFSET(O11,0,1-MIN(Free_Months,O$3),1,MIN(Free_Months,O$3))))</f>
        <v>21.259221649856</v>
      </c>
      <c r="P25" s="33" t="n">
        <f aca="true">IF(Free_Months&lt;=0,0,SUM(OFFSET(P11,0,1-MIN(Free_Months,P$3),1,MIN(Free_Months,P$3))))</f>
        <v>21.5003749488474</v>
      </c>
      <c r="Q25" s="33" t="n">
        <f aca="true">IF(Free_Months&lt;=0,0,SUM(OFFSET(Q11,0,1-MIN(Free_Months,Q$3),1,MIN(Free_Months,Q$3))))</f>
        <v>23.5026641124449</v>
      </c>
      <c r="R25" s="33" t="n">
        <f aca="true">IF(Free_Months&lt;=0,0,SUM(OFFSET(R11,0,1-MIN(Free_Months,R$3),1,MIN(Free_Months,R$3))))</f>
        <v>25.5202906258582</v>
      </c>
      <c r="S25" s="33" t="n">
        <f aca="true">IF(Free_Months&lt;=0,0,SUM(OFFSET(S11,0,1-MIN(Free_Months,S$3),1,MIN(Free_Months,S$3))))</f>
        <v>27.5541747300764</v>
      </c>
      <c r="T25" s="33" t="n">
        <f aca="true">IF(Free_Months&lt;=0,0,SUM(OFFSET(T11,0,1-MIN(Free_Months,T$3),1,MIN(Free_Months,T$3))))</f>
        <v>27.858625213881</v>
      </c>
      <c r="U25" s="33" t="n">
        <f aca="true">IF(Free_Months&lt;=0,0,SUM(OFFSET(U11,0,1-MIN(Free_Months,U$3),1,MIN(Free_Months,U$3))))</f>
        <v>28.1813427267138</v>
      </c>
      <c r="V25" s="33" t="n">
        <f aca="true">IF(Free_Months&lt;=0,0,SUM(OFFSET(V11,0,1-MIN(Free_Months,V$3),1,MIN(Free_Months,V$3))))</f>
        <v>28.5234232903167</v>
      </c>
      <c r="W25" s="33" t="n">
        <f aca="true">IF(Free_Months&lt;=0,0,SUM(OFFSET(W11,0,1-MIN(Free_Months,W$3),1,MIN(Free_Months,W$3))))</f>
        <v>31.2326953544023</v>
      </c>
      <c r="X25" s="33" t="n">
        <f aca="true">IF(Free_Months&lt;=0,0,SUM(OFFSET(X11,0,1-MIN(Free_Months,X$3),1,MIN(Free_Months,X$3))))</f>
        <v>40.6997237423331</v>
      </c>
      <c r="Y25" s="33" t="n">
        <f aca="true">IF(Free_Months&lt;=0,0,SUM(OFFSET(Y11,0,1-MIN(Free_Months,Y$3),1,MIN(Free_Months,Y$3))))</f>
        <v>50.2279738335398</v>
      </c>
      <c r="Z25" s="33" t="n">
        <f aca="true">IF(Free_Months&lt;=0,0,SUM(OFFSET(Z11,0,1-MIN(Free_Months,Z$3),1,MIN(Free_Months,Z$3))))</f>
        <v>57.4744522635522</v>
      </c>
      <c r="AA25" s="33" t="n">
        <f aca="true">IF(Free_Months&lt;=0,0,SUM(OFFSET(AA11,0,1-MIN(Free_Months,AA$3),1,MIN(Free_Months,AA$3))))</f>
        <v>58.0537193993653</v>
      </c>
      <c r="AB25" s="33" t="n">
        <f aca="true">IF(Free_Months&lt;=0,0,SUM(OFFSET(AB11,0,1-MIN(Free_Months,AB$3),1,MIN(Free_Months,AB$3))))</f>
        <v>58.6677425633272</v>
      </c>
      <c r="AC25" s="33" t="n">
        <f aca="true">IF(Free_Months&lt;=0,0,SUM(OFFSET(AC11,0,1-MIN(Free_Months,AC$3),1,MIN(Free_Months,AC$3))))</f>
        <v>62.8252737837935</v>
      </c>
      <c r="AD25" s="33" t="n">
        <f aca="true">IF(Free_Months&lt;=0,0,SUM(OFFSET(AD11,0,1-MIN(Free_Months,AD$3),1,MIN(Free_Months,AD$3))))</f>
        <v>67.0218568774878</v>
      </c>
      <c r="AE25" s="33" t="n">
        <f aca="true">IF(Free_Months&lt;=0,0,SUM(OFFSET(AE11,0,1-MIN(Free_Months,AE$3),1,MIN(Free_Months,AE$3))))</f>
        <v>71.2598349568037</v>
      </c>
      <c r="AF25" s="33" t="n">
        <f aca="true">IF(Free_Months&lt;=0,0,SUM(OFFSET(AF11,0,1-MIN(Free_Months,AF$3),1,MIN(Free_Months,AF$3))))</f>
        <v>72.035025054212</v>
      </c>
      <c r="AG25" s="33" t="n">
        <f aca="true">IF(Free_Months&lt;=0,0,SUM(OFFSET(AG11,0,1-MIN(Free_Months,AG$3),1,MIN(Free_Months,AG$3))))</f>
        <v>72.8567265574647</v>
      </c>
      <c r="AH25" s="33" t="n">
        <f aca="true">IF(Free_Months&lt;=0,0,SUM(OFFSET(AH11,0,1-MIN(Free_Months,AH$3),1,MIN(Free_Months,AH$3))))</f>
        <v>73.7277301509126</v>
      </c>
      <c r="AI25" s="33" t="n">
        <f aca="true">IF(Free_Months&lt;=0,0,SUM(OFFSET(AI11,0,1-MIN(Free_Months,AI$3),1,MIN(Free_Months,AI$3))))</f>
        <v>74.6509939599673</v>
      </c>
      <c r="AJ25" s="33" t="n">
        <f aca="true">IF(Free_Months&lt;=0,0,SUM(OFFSET(AJ11,0,1-MIN(Free_Months,AJ$3),1,MIN(Free_Months,AJ$3))))</f>
        <v>82.3296535975654</v>
      </c>
      <c r="AK25" s="33" t="n">
        <f aca="true">IF(Free_Months&lt;=0,0,SUM(OFFSET(AK11,0,1-MIN(Free_Months,AK$3),1,MIN(Free_Months,AK$3))))</f>
        <v>90.0670328134193</v>
      </c>
      <c r="AL25" s="33" t="n">
        <f aca="true">IF(Free_Months&lt;=0,0,SUM(OFFSET(AL11,0,1-MIN(Free_Months,AL$3),1,MIN(Free_Months,AL$3))))</f>
        <v>97.8666547822245</v>
      </c>
      <c r="AM25" s="33" t="n">
        <f aca="true">IF(Free_Months&lt;=0,0,SUM(OFFSET(AM11,0,1-MIN(Free_Months,AM$3),1,MIN(Free_Months,AM$3))))</f>
        <v>99.0322540691579</v>
      </c>
      <c r="AN25" s="33" t="n">
        <f aca="true">IF(Free_Months&lt;=0,0,SUM(OFFSET(AN11,0,1-MIN(Free_Months,AN$3),1,MIN(Free_Months,AN$3))))</f>
        <v>100.267789313307</v>
      </c>
      <c r="AO25" s="33" t="n">
        <f aca="true">IF(Free_Months&lt;=0,0,SUM(OFFSET(AO11,0,1-MIN(Free_Months,AO$3),1,MIN(Free_Months,AO$3))))</f>
        <v>103.324123338773</v>
      </c>
      <c r="AP25" s="33" t="n">
        <f aca="true">IF(Free_Months&lt;=0,0,SUM(OFFSET(AP11,0,1-MIN(Free_Months,AP$3),1,MIN(Free_Months,AP$3))))</f>
        <v>106.459037405766</v>
      </c>
      <c r="AQ25" s="33" t="n">
        <f aca="true">IF(Free_Months&lt;=0,0,SUM(OFFSET(AQ11,0,1-MIN(Free_Months,AQ$3),1,MIN(Free_Months,AQ$3))))</f>
        <v>109.677246316778</v>
      </c>
      <c r="AR25" s="33" t="n">
        <f aca="true">IF(Free_Months&lt;=0,0,SUM(OFFSET(AR11,0,1-MIN(Free_Months,AR$3),1,MIN(Free_Months,AR$3))))</f>
        <v>111.237081095785</v>
      </c>
      <c r="AS25" s="33" t="n">
        <f aca="true">IF(Free_Months&lt;=0,0,SUM(OFFSET(AS11,0,1-MIN(Free_Months,AS$3),1,MIN(Free_Months,AS$3))))</f>
        <v>112.743253961681</v>
      </c>
      <c r="AT25" s="33" t="n">
        <f aca="true">IF(Free_Months&lt;=0,0,SUM(OFFSET(AT11,0,1-MIN(Free_Months,AT$3),1,MIN(Free_Months,AT$3))))</f>
        <v>113.859797199531</v>
      </c>
      <c r="AU25" s="33" t="n">
        <f aca="true">IF(Free_Months&lt;=0,0,SUM(OFFSET(AU11,0,1-MIN(Free_Months,AU$3),1,MIN(Free_Months,AU$3))))</f>
        <v>114.563333031651</v>
      </c>
      <c r="AV25" s="33" t="n">
        <f aca="true">IF(Free_Months&lt;=0,0,SUM(OFFSET(AV11,0,1-MIN(Free_Months,AV$3),1,MIN(Free_Months,AV$3))))</f>
        <v>121.67633301355</v>
      </c>
      <c r="AW25" s="33" t="n">
        <f aca="true">IF(Free_Months&lt;=0,0,SUM(OFFSET(AW11,0,1-MIN(Free_Months,AW$3),1,MIN(Free_Months,AW$3))))</f>
        <v>128.814112994363</v>
      </c>
      <c r="AX25" s="33" t="n">
        <f aca="true">IF(Free_Months&lt;=0,0,SUM(OFFSET(AX11,0,1-MIN(Free_Months,AX$3),1,MIN(Free_Months,AX$3))))</f>
        <v>135.978159774025</v>
      </c>
      <c r="AY25" s="33" t="n">
        <f aca="true">IF(Free_Months&lt;=0,0,SUM(OFFSET(AY11,0,1-MIN(Free_Months,AY$3),1,MIN(Free_Months,AY$3))))</f>
        <v>136.470049360467</v>
      </c>
      <c r="AZ25" s="33" t="n">
        <f aca="true">IF(Free_Months&lt;=0,0,SUM(OFFSET(AZ11,0,1-MIN(Free_Months,AZ$3),1,MIN(Free_Months,AZ$3))))</f>
        <v>136.991452322095</v>
      </c>
      <c r="BA25" s="33" t="n">
        <f aca="true">IF(Free_Months&lt;=0,0,SUM(OFFSET(BA11,0,1-MIN(Free_Months,BA$3),1,MIN(Free_Months,BA$3))))</f>
        <v>139.30413946142</v>
      </c>
      <c r="BB25" s="33" t="n">
        <f aca="true">IF(Free_Months&lt;=0,0,SUM(OFFSET(BB11,0,1-MIN(Free_Months,BB$3),1,MIN(Free_Months,BB$3))))</f>
        <v>141.649987829106</v>
      </c>
      <c r="BC25" s="33" t="n">
        <f aca="true">IF(Free_Months&lt;=0,0,SUM(OFFSET(BC11,0,1-MIN(Free_Months,BC$3),1,MIN(Free_Months,BC$3))))</f>
        <v>144.030987098852</v>
      </c>
      <c r="BD25" s="33" t="n">
        <f aca="true">IF(Free_Months&lt;=0,0,SUM(OFFSET(BD11,0,1-MIN(Free_Months,BD$3),1,MIN(Free_Months,BD$3))))</f>
        <v>144.689246324783</v>
      </c>
      <c r="BE25" s="33" t="n">
        <f aca="true">IF(Free_Months&lt;=0,0,SUM(OFFSET(BE11,0,1-MIN(Free_Months,BE$3),1,MIN(Free_Months,BE$3))))</f>
        <v>145.38700110427</v>
      </c>
      <c r="BF25" s="33" t="n">
        <f aca="true">IF(Free_Months&lt;=0,0,SUM(OFFSET(BF11,0,1-MIN(Free_Months,BF$3),1,MIN(Free_Months,BF$3))))</f>
        <v>146.126621170526</v>
      </c>
      <c r="BG25" s="33" t="n">
        <f aca="true">IF(Free_Months&lt;=0,0,SUM(OFFSET(BG11,0,1-MIN(Free_Months,BG$3),1,MIN(Free_Months,BG$3))))</f>
        <v>146.910618440758</v>
      </c>
      <c r="BH25" s="33" t="n">
        <f aca="true">IF(Free_Months&lt;=0,0,SUM(OFFSET(BH11,0,1-MIN(Free_Months,BH$3),1,MIN(Free_Months,BH$3))))</f>
        <v>147.741655547203</v>
      </c>
      <c r="BI25" s="33" t="n">
        <f aca="true">IF(Free_Months&lt;=0,0,SUM(OFFSET(BI11,0,1-MIN(Free_Months,BI$3),1,MIN(Free_Months,BI$3))))</f>
        <v>148.622554880036</v>
      </c>
      <c r="BJ25" s="33" t="n">
        <f aca="true">IF(Free_Months&lt;=0,0,SUM(OFFSET(BJ11,0,1-MIN(Free_Months,BJ$3),1,MIN(Free_Months,BJ$3))))</f>
        <v>149.556308172838</v>
      </c>
      <c r="BK25" s="33" t="n">
        <f aca="true">IF(Free_Months&lt;=0,0,SUM(OFFSET(BK11,0,1-MIN(Free_Months,BK$3),1,MIN(Free_Months,BK$3))))</f>
        <v>150.374655900932</v>
      </c>
      <c r="BL25" s="33" t="n">
        <f aca="true">IF(Free_Months&lt;=0,0,SUM(OFFSET(BL11,0,1-MIN(Free_Months,BL$3),1,MIN(Free_Months,BL$3))))</f>
        <v>150.882104492713</v>
      </c>
    </row>
    <row r="26" customFormat="false" ht="15" hidden="false" customHeight="false" outlineLevel="0" collapsed="false">
      <c r="A26" s="12" t="s">
        <v>585</v>
      </c>
      <c r="B26" s="14" t="s">
        <v>154</v>
      </c>
      <c r="D26" s="41" t="n">
        <f aca="false">BL26</f>
        <v>6019.67789076203</v>
      </c>
      <c r="E26" s="33" t="n">
        <f aca="false">MAX(0,E14-E23)</f>
        <v>0</v>
      </c>
      <c r="F26" s="33" t="n">
        <f aca="false">MAX(0,F14-F23)</f>
        <v>0</v>
      </c>
      <c r="G26" s="33" t="n">
        <f aca="false">MAX(0,G14-G23)</f>
        <v>0</v>
      </c>
      <c r="H26" s="33" t="n">
        <f aca="false">MAX(0,H14-H23)</f>
        <v>0</v>
      </c>
      <c r="I26" s="33" t="n">
        <f aca="false">MAX(0,I14-I23)</f>
        <v>0</v>
      </c>
      <c r="J26" s="33" t="n">
        <f aca="false">MAX(0,J14-J23)</f>
        <v>0</v>
      </c>
      <c r="K26" s="33" t="n">
        <f aca="false">MAX(0,K14-K23)</f>
        <v>0</v>
      </c>
      <c r="L26" s="33" t="n">
        <f aca="false">MAX(0,L14-L23)</f>
        <v>25.07865216</v>
      </c>
      <c r="M26" s="33" t="n">
        <f aca="false">MAX(0,M14-M23)</f>
        <v>51.4233251968</v>
      </c>
      <c r="N26" s="33" t="n">
        <f aca="false">MAX(0,N14-N23)</f>
        <v>77.358407537664</v>
      </c>
      <c r="O26" s="33" t="n">
        <f aca="false">MAX(0,O14-O23)</f>
        <v>114.913529162399</v>
      </c>
      <c r="P26" s="33" t="n">
        <f aca="false">MAX(0,P14-P23)</f>
        <v>152.119013741168</v>
      </c>
      <c r="Q26" s="33" t="n">
        <f aca="false">MAX(0,Q14-Q23)</f>
        <v>189.005941938083</v>
      </c>
      <c r="R26" s="33" t="n">
        <f aca="false">MAX(0,R14-R23)</f>
        <v>225.396618079364</v>
      </c>
      <c r="S26" s="33" t="n">
        <f aca="false">MAX(0,S14-S23)</f>
        <v>261.328032396622</v>
      </c>
      <c r="T26" s="33" t="n">
        <f aca="false">MAX(0,T14-T23)</f>
        <v>307.318059228265</v>
      </c>
      <c r="U26" s="33" t="n">
        <f aca="false">MAX(0,U14-U23)</f>
        <v>352.92553677205</v>
      </c>
      <c r="V26" s="33" t="n">
        <f aca="false">MAX(0,V14-V23)</f>
        <v>398.190351088661</v>
      </c>
      <c r="W26" s="33" t="n">
        <f aca="false">MAX(0,W14-W23)</f>
        <v>443.153524622062</v>
      </c>
      <c r="X26" s="33" t="n">
        <f aca="false">MAX(0,X14-X23)</f>
        <v>487.575709518106</v>
      </c>
      <c r="Y26" s="33" t="n">
        <f aca="false">MAX(0,Y14-Y23)</f>
        <v>530.697798039538</v>
      </c>
      <c r="Z26" s="33" t="n">
        <f aca="false">MAX(0,Z14-Z23)</f>
        <v>586.661908953249</v>
      </c>
      <c r="AA26" s="33" t="n">
        <f aca="false">MAX(0,AA14-AA23)</f>
        <v>681.867085661156</v>
      </c>
      <c r="AB26" s="33" t="n">
        <f aca="false">MAX(0,AB14-AB23)</f>
        <v>776.190367728123</v>
      </c>
      <c r="AC26" s="33" t="n">
        <f aca="false">MAX(0,AC14-AC23)</f>
        <v>869.710725580562</v>
      </c>
      <c r="AD26" s="33" t="n">
        <f aca="false">MAX(0,AD14-AD23)</f>
        <v>962.088430188373</v>
      </c>
      <c r="AE26" s="33" t="n">
        <f aca="false">MAX(0,AE14-AE23)</f>
        <v>1053.41524785119</v>
      </c>
      <c r="AF26" s="33" t="n">
        <f aca="false">MAX(0,AF14-AF23)</f>
        <v>1164.82524433675</v>
      </c>
      <c r="AG26" s="33" t="n">
        <f aca="false">MAX(0,AG14-AG23)</f>
        <v>1275.37498697915</v>
      </c>
      <c r="AH26" s="33" t="n">
        <f aca="false">MAX(0,AH14-AH23)</f>
        <v>1385.16375762045</v>
      </c>
      <c r="AI26" s="33" t="n">
        <f aca="false">MAX(0,AI14-AI23)</f>
        <v>1494.29377707178</v>
      </c>
      <c r="AJ26" s="33" t="n">
        <f aca="false">MAX(0,AJ14-AJ23)</f>
        <v>1602.87044181031</v>
      </c>
      <c r="AK26" s="33" t="n">
        <f aca="false">MAX(0,AK14-AK23)</f>
        <v>1710.19857367087</v>
      </c>
      <c r="AL26" s="33" t="n">
        <f aca="false">MAX(0,AL14-AL23)</f>
        <v>1816.40676333601</v>
      </c>
      <c r="AM26" s="33" t="n">
        <f aca="false">MAX(0,AM14-AM23)</f>
        <v>1961.82724687617</v>
      </c>
      <c r="AN26" s="33" t="n">
        <f aca="false">MAX(0,AN14-AN23)</f>
        <v>2106.39620587394</v>
      </c>
      <c r="AO26" s="33" t="n">
        <f aca="false">MAX(0,AO14-AO23)</f>
        <v>2250.25408392788</v>
      </c>
      <c r="AP26" s="33" t="n">
        <f aca="false">MAX(0,AP14-AP23)</f>
        <v>2393.33632055101</v>
      </c>
      <c r="AQ26" s="33" t="n">
        <f aca="false">MAX(0,AQ14-AQ23)</f>
        <v>2535.79709553979</v>
      </c>
      <c r="AR26" s="33" t="n">
        <f aca="false">MAX(0,AR14-AR23)</f>
        <v>2688.27582511278</v>
      </c>
      <c r="AS26" s="33" t="n">
        <f aca="false">MAX(0,AS14-AS23)</f>
        <v>2840.45755638334</v>
      </c>
      <c r="AT26" s="33" t="n">
        <f aca="false">MAX(0,AT14-AT23)</f>
        <v>2992.53105413483</v>
      </c>
      <c r="AU26" s="33" t="n">
        <f aca="false">MAX(0,AU14-AU23)</f>
        <v>3144.73220710403</v>
      </c>
      <c r="AV26" s="33" t="n">
        <f aca="false">MAX(0,AV14-AV23)</f>
        <v>3296.42269769783</v>
      </c>
      <c r="AW26" s="33" t="n">
        <f aca="false">MAX(0,AW14-AW23)</f>
        <v>3445.00418256391</v>
      </c>
      <c r="AX26" s="33" t="n">
        <f aca="false">MAX(0,AX14-AX23)</f>
        <v>3590.58257006187</v>
      </c>
      <c r="AY26" s="33" t="n">
        <f aca="false">MAX(0,AY14-AY23)</f>
        <v>3773.46427407883</v>
      </c>
      <c r="AZ26" s="33" t="n">
        <f aca="false">MAX(0,AZ14-AZ23)</f>
        <v>3953.55636134054</v>
      </c>
      <c r="BA26" s="33" t="n">
        <f aca="false">MAX(0,BA14-BA23)</f>
        <v>4130.96670522161</v>
      </c>
      <c r="BB26" s="33" t="n">
        <f aca="false">MAX(0,BB14-BB23)</f>
        <v>4305.59294649153</v>
      </c>
      <c r="BC26" s="33" t="n">
        <f aca="false">MAX(0,BC14-BC23)</f>
        <v>4477.54928545852</v>
      </c>
      <c r="BD26" s="33" t="n">
        <f aca="false">MAX(0,BD14-BD23)</f>
        <v>4657.51114951997</v>
      </c>
      <c r="BE26" s="33" t="n">
        <f aca="false">MAX(0,BE14-BE23)</f>
        <v>4835.03537928644</v>
      </c>
      <c r="BF26" s="33" t="n">
        <f aca="false">MAX(0,BF14-BF23)</f>
        <v>5010.24042362298</v>
      </c>
      <c r="BG26" s="33" t="n">
        <f aca="false">MAX(0,BG14-BG23)</f>
        <v>5183.24654418813</v>
      </c>
      <c r="BH26" s="33" t="n">
        <f aca="false">MAX(0,BH14-BH23)</f>
        <v>5354.17603008424</v>
      </c>
      <c r="BI26" s="33" t="n">
        <f aca="false">MAX(0,BI14-BI23)</f>
        <v>5523.15342326921</v>
      </c>
      <c r="BJ26" s="33" t="n">
        <f aca="false">MAX(0,BJ14-BJ23)</f>
        <v>5690.30575541769</v>
      </c>
      <c r="BK26" s="33" t="n">
        <f aca="false">MAX(0,BK14-BK23)</f>
        <v>5855.76279696003</v>
      </c>
      <c r="BL26" s="33" t="n">
        <f aca="false">MAX(0,BL14-BL23)</f>
        <v>6019.67789076203</v>
      </c>
    </row>
    <row r="27" customFormat="false" ht="15" hidden="false" customHeight="false" outlineLevel="0" collapsed="false">
      <c r="A27" s="12" t="s">
        <v>586</v>
      </c>
      <c r="B27" s="14" t="s">
        <v>154</v>
      </c>
      <c r="D27" s="41" t="n">
        <f aca="false">BL27</f>
        <v>3460.39488843428</v>
      </c>
      <c r="E27" s="33" t="n">
        <f aca="false">MAX(0,E15-E24)</f>
        <v>0</v>
      </c>
      <c r="F27" s="33" t="n">
        <f aca="false">MAX(0,F15-F24)</f>
        <v>0</v>
      </c>
      <c r="G27" s="33" t="n">
        <f aca="false">MAX(0,G15-G24)</f>
        <v>0</v>
      </c>
      <c r="H27" s="33" t="n">
        <f aca="false">MAX(0,H15-H24)</f>
        <v>0</v>
      </c>
      <c r="I27" s="33" t="n">
        <f aca="false">MAX(0,I15-I24)</f>
        <v>0</v>
      </c>
      <c r="J27" s="33" t="n">
        <f aca="false">MAX(0,J15-J24)</f>
        <v>0</v>
      </c>
      <c r="K27" s="33" t="n">
        <f aca="false">MAX(0,K15-K24)</f>
        <v>0</v>
      </c>
      <c r="L27" s="33" t="n">
        <f aca="false">MAX(0,L15-L24)</f>
        <v>13.1717653125</v>
      </c>
      <c r="M27" s="33" t="n">
        <f aca="false">MAX(0,M15-M24)</f>
        <v>26.8040701460938</v>
      </c>
      <c r="N27" s="33" t="n">
        <f aca="false">MAX(0,N15-N24)</f>
        <v>40.3741782832676</v>
      </c>
      <c r="O27" s="33" t="n">
        <f aca="false">MAX(0,O15-O24)</f>
        <v>59.8938596095668</v>
      </c>
      <c r="P27" s="33" t="n">
        <f aca="false">MAX(0,P15-P24)</f>
        <v>79.3753964325776</v>
      </c>
      <c r="Q27" s="33" t="n">
        <f aca="false">MAX(0,Q15-Q24)</f>
        <v>98.8316166493886</v>
      </c>
      <c r="R27" s="33" t="n">
        <f aca="false">MAX(0,R15-R24)</f>
        <v>118.210428873823</v>
      </c>
      <c r="S27" s="33" t="n">
        <f aca="false">MAX(0,S15-S24)</f>
        <v>137.526678391404</v>
      </c>
      <c r="T27" s="33" t="n">
        <f aca="false">MAX(0,T15-T24)</f>
        <v>162.035857582726</v>
      </c>
      <c r="U27" s="33" t="n">
        <f aca="false">MAX(0,U15-U24)</f>
        <v>186.51414779443</v>
      </c>
      <c r="V27" s="33" t="n">
        <f aca="false">MAX(0,V15-V24)</f>
        <v>210.978463684376</v>
      </c>
      <c r="W27" s="33" t="n">
        <f aca="false">MAX(0,W15-W24)</f>
        <v>235.446500189941</v>
      </c>
      <c r="X27" s="33" t="n">
        <f aca="false">MAX(0,X15-X24)</f>
        <v>259.848782277283</v>
      </c>
      <c r="Y27" s="33" t="n">
        <f aca="false">MAX(0,Y15-Y24)</f>
        <v>283.953217638917</v>
      </c>
      <c r="Z27" s="33" t="n">
        <f aca="false">MAX(0,Z15-Z24)</f>
        <v>314.822965266936</v>
      </c>
      <c r="AA27" s="33" t="n">
        <f aca="false">MAX(0,AA15-AA24)</f>
        <v>365.650060820515</v>
      </c>
      <c r="AB27" s="33" t="n">
        <f aca="false">MAX(0,AB15-AB24)</f>
        <v>416.365955636839</v>
      </c>
      <c r="AC27" s="33" t="n">
        <f aca="false">MAX(0,AC15-AC24)</f>
        <v>467.003488002555</v>
      </c>
      <c r="AD27" s="33" t="n">
        <f aca="false">MAX(0,AD15-AD24)</f>
        <v>517.465472622369</v>
      </c>
      <c r="AE27" s="33" t="n">
        <f aca="false">MAX(0,AE15-AE24)</f>
        <v>567.789439127626</v>
      </c>
      <c r="AF27" s="33" t="n">
        <f aca="false">MAX(0,AF15-AF24)</f>
        <v>628.53456814635</v>
      </c>
      <c r="AG27" s="33" t="n">
        <f aca="false">MAX(0,AG15-AG24)</f>
        <v>689.221797872809</v>
      </c>
      <c r="AH27" s="33" t="n">
        <f aca="false">MAX(0,AH15-AH24)</f>
        <v>749.893936937385</v>
      </c>
      <c r="AI27" s="33" t="n">
        <f aca="false">MAX(0,AI15-AI24)</f>
        <v>810.595783955932</v>
      </c>
      <c r="AJ27" s="33" t="n">
        <f aca="false">MAX(0,AJ15-AJ24)</f>
        <v>871.374254160564</v>
      </c>
      <c r="AK27" s="33" t="n">
        <f aca="false">MAX(0,AK15-AK24)</f>
        <v>932.027263537882</v>
      </c>
      <c r="AL27" s="33" t="n">
        <f aca="false">MAX(0,AL15-AL24)</f>
        <v>992.609511551244</v>
      </c>
      <c r="AM27" s="33" t="n">
        <f aca="false">MAX(0,AM15-AM24)</f>
        <v>1073.27820179289</v>
      </c>
      <c r="AN27" s="33" t="n">
        <f aca="false">MAX(0,AN15-AN24)</f>
        <v>1153.99320195469</v>
      </c>
      <c r="AO27" s="33" t="n">
        <f aca="false">MAX(0,AO15-AO24)</f>
        <v>1234.81721327551</v>
      </c>
      <c r="AP27" s="33" t="n">
        <f aca="false">MAX(0,AP15-AP24)</f>
        <v>1315.75045003553</v>
      </c>
      <c r="AQ27" s="33" t="n">
        <f aca="false">MAX(0,AQ15-AQ24)</f>
        <v>1396.86264845162</v>
      </c>
      <c r="AR27" s="33" t="n">
        <f aca="false">MAX(0,AR15-AR24)</f>
        <v>1483.46693912999</v>
      </c>
      <c r="AS27" s="33" t="n">
        <f aca="false">MAX(0,AS15-AS24)</f>
        <v>1570.40006060193</v>
      </c>
      <c r="AT27" s="33" t="n">
        <f aca="false">MAX(0,AT15-AT24)</f>
        <v>1657.74810749812</v>
      </c>
      <c r="AU27" s="33" t="n">
        <f aca="false">MAX(0,AU15-AU24)</f>
        <v>1745.61398861733</v>
      </c>
      <c r="AV27" s="33" t="n">
        <f aca="false">MAX(0,AV15-AV24)</f>
        <v>1833.66405612077</v>
      </c>
      <c r="AW27" s="33" t="n">
        <f aca="false">MAX(0,AW15-AW24)</f>
        <v>1920.73594232208</v>
      </c>
      <c r="AX27" s="33" t="n">
        <f aca="false">MAX(0,AX15-AX24)</f>
        <v>2006.86429616005</v>
      </c>
      <c r="AY27" s="33" t="n">
        <f aca="false">MAX(0,AY15-AY24)</f>
        <v>2112.18467876206</v>
      </c>
      <c r="AZ27" s="33" t="n">
        <f aca="false">MAX(0,AZ15-AZ24)</f>
        <v>2216.63363275979</v>
      </c>
      <c r="BA27" s="33" t="n">
        <f aca="false">MAX(0,BA15-BA24)</f>
        <v>2320.24875558148</v>
      </c>
      <c r="BB27" s="33" t="n">
        <f aca="false">MAX(0,BB15-BB24)</f>
        <v>2423.00277696177</v>
      </c>
      <c r="BC27" s="33" t="n">
        <f aca="false">MAX(0,BC15-BC24)</f>
        <v>2524.93646592431</v>
      </c>
      <c r="BD27" s="33" t="n">
        <f aca="false">MAX(0,BD15-BD24)</f>
        <v>2631.3718821953</v>
      </c>
      <c r="BE27" s="33" t="n">
        <f aca="false">MAX(0,BE15-BE24)</f>
        <v>2737.07246808859</v>
      </c>
      <c r="BF27" s="33" t="n">
        <f aca="false">MAX(0,BF15-BF24)</f>
        <v>2842.08314572347</v>
      </c>
      <c r="BG27" s="33" t="n">
        <f aca="false">MAX(0,BG15-BG24)</f>
        <v>2946.45041989707</v>
      </c>
      <c r="BH27" s="33" t="n">
        <f aca="false">MAX(0,BH15-BH24)</f>
        <v>3050.22248695321</v>
      </c>
      <c r="BI27" s="33" t="n">
        <f aca="false">MAX(0,BI15-BI24)</f>
        <v>3153.44935000943</v>
      </c>
      <c r="BJ27" s="33" t="n">
        <f aca="false">MAX(0,BJ15-BJ24)</f>
        <v>3256.18294092605</v>
      </c>
      <c r="BK27" s="33" t="n">
        <f aca="false">MAX(0,BK15-BK24)</f>
        <v>3358.47724942371</v>
      </c>
      <c r="BL27" s="33" t="n">
        <f aca="false">MAX(0,BL15-BL24)</f>
        <v>3460.39488843428</v>
      </c>
    </row>
    <row r="28" customFormat="false" ht="15" hidden="false" customHeight="false" outlineLevel="0" collapsed="false">
      <c r="A28" s="12" t="s">
        <v>587</v>
      </c>
      <c r="B28" s="14" t="s">
        <v>154</v>
      </c>
      <c r="D28" s="41" t="n">
        <f aca="false">BL28</f>
        <v>1270.73096142875</v>
      </c>
      <c r="E28" s="33" t="n">
        <f aca="false">MAX(0,E16-E25)</f>
        <v>0</v>
      </c>
      <c r="F28" s="33" t="n">
        <f aca="false">MAX(0,F16-F25)</f>
        <v>0</v>
      </c>
      <c r="G28" s="33" t="n">
        <f aca="false">MAX(0,G16-G25)</f>
        <v>0</v>
      </c>
      <c r="H28" s="33" t="n">
        <f aca="false">MAX(0,H16-H25)</f>
        <v>0</v>
      </c>
      <c r="I28" s="33" t="n">
        <f aca="false">MAX(0,I16-I25)</f>
        <v>0</v>
      </c>
      <c r="J28" s="33" t="n">
        <f aca="false">MAX(0,J16-J25)</f>
        <v>0</v>
      </c>
      <c r="K28" s="33" t="n">
        <f aca="false">MAX(0,K16-K25)</f>
        <v>0</v>
      </c>
      <c r="L28" s="33" t="n">
        <f aca="false">MAX(0,L16-L25)</f>
        <v>4.53230903916667</v>
      </c>
      <c r="M28" s="33" t="n">
        <f aca="false">MAX(0,M16-M25)</f>
        <v>9.18037376803959</v>
      </c>
      <c r="N28" s="33" t="n">
        <f aca="false">MAX(0,N16-N25)</f>
        <v>13.840659434246</v>
      </c>
      <c r="O28" s="33" t="n">
        <f aca="false">MAX(0,O16-O25)</f>
        <v>20.5167992661238</v>
      </c>
      <c r="P28" s="33" t="n">
        <f aca="false">MAX(0,P16-P25)</f>
        <v>27.2126227359206</v>
      </c>
      <c r="Q28" s="33" t="n">
        <f aca="false">MAX(0,Q16-Q25)</f>
        <v>33.9321674975515</v>
      </c>
      <c r="R28" s="33" t="n">
        <f aca="false">MAX(0,R16-R25)</f>
        <v>40.6665920393992</v>
      </c>
      <c r="S28" s="33" t="n">
        <f aca="false">MAX(0,S16-S25)</f>
        <v>47.4204873450678</v>
      </c>
      <c r="T28" s="33" t="n">
        <f aca="false">MAX(0,T16-T25)</f>
        <v>55.9453587873684</v>
      </c>
      <c r="U28" s="33" t="n">
        <f aca="false">MAX(0,U16-U25)</f>
        <v>64.4996411996951</v>
      </c>
      <c r="V28" s="33" t="n">
        <f aca="false">MAX(0,V16-V25)</f>
        <v>73.0887148501232</v>
      </c>
      <c r="W28" s="33" t="n">
        <f aca="false">MAX(0,W16-W25)</f>
        <v>81.7182557057387</v>
      </c>
      <c r="X28" s="33" t="n">
        <f aca="false">MAX(0,X16-X25)</f>
        <v>90.3766533779565</v>
      </c>
      <c r="Y28" s="33" t="n">
        <f aca="false">MAX(0,Y16-Y25)</f>
        <v>99.0198421430334</v>
      </c>
      <c r="Z28" s="33" t="n">
        <f aca="false">MAX(0,Z16-Z25)</f>
        <v>110.001387478964</v>
      </c>
      <c r="AA28" s="33" t="n">
        <f aca="false">MAX(0,AA16-AA25)</f>
        <v>127.717876873994</v>
      </c>
      <c r="AB28" s="33" t="n">
        <f aca="false">MAX(0,AB16-AB25)</f>
        <v>145.47910158663</v>
      </c>
      <c r="AC28" s="33" t="n">
        <f aca="false">MAX(0,AC16-AC25)</f>
        <v>163.295382641272</v>
      </c>
      <c r="AD28" s="33" t="n">
        <f aca="false">MAX(0,AD16-AD25)</f>
        <v>181.151303046997</v>
      </c>
      <c r="AE28" s="33" t="n">
        <f aca="false">MAX(0,AE16-AE25)</f>
        <v>199.058539196211</v>
      </c>
      <c r="AF28" s="33" t="n">
        <f aca="false">MAX(0,AF16-AF25)</f>
        <v>220.536064996296</v>
      </c>
      <c r="AG28" s="33" t="n">
        <f aca="false">MAX(0,AG16-AG25)</f>
        <v>242.090190243525</v>
      </c>
      <c r="AH28" s="33" t="n">
        <f aca="false">MAX(0,AH16-AH25)</f>
        <v>263.734601295481</v>
      </c>
      <c r="AI28" s="33" t="n">
        <f aca="false">MAX(0,AI16-AI25)</f>
        <v>285.483737513274</v>
      </c>
      <c r="AJ28" s="33" t="n">
        <f aca="false">MAX(0,AJ16-AJ25)</f>
        <v>307.352836953085</v>
      </c>
      <c r="AK28" s="33" t="n">
        <f aca="false">MAX(0,AK16-AK25)</f>
        <v>329.307734795366</v>
      </c>
      <c r="AL28" s="33" t="n">
        <f aca="false">MAX(0,AL16-AL25)</f>
        <v>351.365791550996</v>
      </c>
      <c r="AM28" s="33" t="n">
        <f aca="false">MAX(0,AM16-AM25)</f>
        <v>380.245317766955</v>
      </c>
      <c r="AN28" s="33" t="n">
        <f aca="false">MAX(0,AN16-AN25)</f>
        <v>409.26563171545</v>
      </c>
      <c r="AO28" s="33" t="n">
        <f aca="false">MAX(0,AO16-AO25)</f>
        <v>438.447120539235</v>
      </c>
      <c r="AP28" s="33" t="n">
        <f aca="false">MAX(0,AP16-AP25)</f>
        <v>467.798205060541</v>
      </c>
      <c r="AQ28" s="33" t="n">
        <f aca="false">MAX(0,AQ16-AQ25)</f>
        <v>497.341706723459</v>
      </c>
      <c r="AR28" s="33" t="n">
        <f aca="false">MAX(0,AR16-AR25)</f>
        <v>528.848388082624</v>
      </c>
      <c r="AS28" s="33" t="n">
        <f aca="false">MAX(0,AS16-AS25)</f>
        <v>560.59702998117</v>
      </c>
      <c r="AT28" s="33" t="n">
        <f aca="false">MAX(0,AT16-AT25)</f>
        <v>592.615617744026</v>
      </c>
      <c r="AU28" s="33" t="n">
        <f aca="false">MAX(0,AU16-AU25)</f>
        <v>624.936210417922</v>
      </c>
      <c r="AV28" s="33" t="n">
        <f aca="false">MAX(0,AV16-AV25)</f>
        <v>657.445419625331</v>
      </c>
      <c r="AW28" s="33" t="n">
        <f aca="false">MAX(0,AW16-AW25)</f>
        <v>689.787189610816</v>
      </c>
      <c r="AX28" s="33" t="n">
        <f aca="false">MAX(0,AX16-AX25)</f>
        <v>721.970373959371</v>
      </c>
      <c r="AY28" s="33" t="n">
        <f aca="false">MAX(0,AY16-AY25)</f>
        <v>760.70421572155</v>
      </c>
      <c r="AZ28" s="33" t="n">
        <f aca="false">MAX(0,AZ16-AZ25)</f>
        <v>799.298371844525</v>
      </c>
      <c r="BA28" s="33" t="n">
        <f aca="false">MAX(0,BA16-BA25)</f>
        <v>837.762939061031</v>
      </c>
      <c r="BB28" s="33" t="n">
        <f aca="false">MAX(0,BB16-BB25)</f>
        <v>876.095281323734</v>
      </c>
      <c r="BC28" s="33" t="n">
        <f aca="false">MAX(0,BC16-BC25)</f>
        <v>914.306557877806</v>
      </c>
      <c r="BD28" s="33" t="n">
        <f aca="false">MAX(0,BD16-BD25)</f>
        <v>954.168454327562</v>
      </c>
      <c r="BE28" s="33" t="n">
        <f aca="false">MAX(0,BE16-BE25)</f>
        <v>993.933215291976</v>
      </c>
      <c r="BF28" s="33" t="n">
        <f aca="false">MAX(0,BF16-BF25)</f>
        <v>1033.61367901147</v>
      </c>
      <c r="BG28" s="33" t="n">
        <f aca="false">MAX(0,BG16-BG25)</f>
        <v>1073.22331402312</v>
      </c>
      <c r="BH28" s="33" t="n">
        <f aca="false">MAX(0,BH16-BH25)</f>
        <v>1112.77625802843</v>
      </c>
      <c r="BI28" s="33" t="n">
        <f aca="false">MAX(0,BI16-BI25)</f>
        <v>1152.28735908533</v>
      </c>
      <c r="BJ28" s="33" t="n">
        <f aca="false">MAX(0,BJ16-BJ25)</f>
        <v>1191.77221926384</v>
      </c>
      <c r="BK28" s="33" t="n">
        <f aca="false">MAX(0,BK16-BK25)</f>
        <v>1231.2472409133</v>
      </c>
      <c r="BL28" s="33" t="n">
        <f aca="false">MAX(0,BL16-BL25)</f>
        <v>1270.73096142875</v>
      </c>
    </row>
    <row r="30" customFormat="false" ht="15" hidden="false" customHeight="false" outlineLevel="0" collapsed="false">
      <c r="A30" s="10" t="s">
        <v>588</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589</v>
      </c>
      <c r="B31" s="14" t="s">
        <v>222</v>
      </c>
      <c r="D31" s="41" t="n">
        <f aca="false">BL31</f>
        <v>303044.450546977</v>
      </c>
      <c r="E31" s="33" t="n">
        <f aca="false">E14*Emp_Petite+E15*Emp_Moyenne+E16*Emp_Grande</f>
        <v>0</v>
      </c>
      <c r="F31" s="33" t="n">
        <f aca="false">F14*Emp_Petite+F15*Emp_Moyenne+F16*Emp_Grande</f>
        <v>0</v>
      </c>
      <c r="G31" s="33" t="n">
        <f aca="false">G14*Emp_Petite+G15*Emp_Moyenne+G16*Emp_Grande</f>
        <v>0</v>
      </c>
      <c r="H31" s="33" t="n">
        <f aca="false">H14*Emp_Petite+H15*Emp_Moyenne+H16*Emp_Grande</f>
        <v>0</v>
      </c>
      <c r="I31" s="33" t="n">
        <f aca="false">I14*Emp_Petite+I15*Emp_Moyenne+I16*Emp_Grande</f>
        <v>1068</v>
      </c>
      <c r="J31" s="33" t="n">
        <f aca="false">J14*Emp_Petite+J15*Emp_Moyenne+J16*Emp_Grande</f>
        <v>2137.93</v>
      </c>
      <c r="K31" s="33" t="n">
        <f aca="false">K14*Emp_Petite+K15*Emp_Moyenne+K16*Emp_Grande</f>
        <v>3210.598375</v>
      </c>
      <c r="L31" s="33" t="n">
        <f aca="false">L14*Emp_Petite+L15*Emp_Moyenne+L16*Emp_Grande</f>
        <v>4736.8530783125</v>
      </c>
      <c r="M31" s="33" t="n">
        <f aca="false">M14*Emp_Petite+M15*Emp_Moyenne+M16*Emp_Grande</f>
        <v>6262.7091478011</v>
      </c>
      <c r="N31" s="33" t="n">
        <f aca="false">N14*Emp_Petite+N15*Emp_Moyenne+N16*Emp_Grande</f>
        <v>7789.16229783952</v>
      </c>
      <c r="O31" s="33" t="n">
        <f aca="false">O14*Emp_Petite+O15*Emp_Moyenne+O16*Emp_Grande</f>
        <v>9317.25491920362</v>
      </c>
      <c r="P31" s="33" t="n">
        <f aca="false">P14*Emp_Petite+P15*Emp_Moyenne+P16*Emp_Grande</f>
        <v>10848.0790713214</v>
      </c>
      <c r="Q31" s="33" t="n">
        <f aca="false">Q14*Emp_Petite+Q15*Emp_Moyenne+Q16*Emp_Grande</f>
        <v>12775.7796509314</v>
      </c>
      <c r="R31" s="33" t="n">
        <f aca="false">R14*Emp_Petite+R15*Emp_Moyenne+R16*Emp_Grande</f>
        <v>14704.3002477884</v>
      </c>
      <c r="S31" s="33" t="n">
        <f aca="false">S14*Emp_Petite+S15*Emp_Moyenne+S16*Emp_Grande</f>
        <v>16634.9549174435</v>
      </c>
      <c r="T31" s="33" t="n">
        <f aca="false">T14*Emp_Petite+T15*Emp_Moyenne+T16*Emp_Grande</f>
        <v>18569.1204633169</v>
      </c>
      <c r="U31" s="33" t="n">
        <f aca="false">U14*Emp_Petite+U15*Emp_Moyenne+U16*Emp_Grande</f>
        <v>20508.240436195</v>
      </c>
      <c r="V31" s="33" t="n">
        <f aca="false">V14*Emp_Petite+V15*Emp_Moyenne+V16*Emp_Grande</f>
        <v>22453.8293698887</v>
      </c>
      <c r="W31" s="33" t="n">
        <f aca="false">W14*Emp_Petite+W15*Emp_Moyenne+W16*Emp_Grande</f>
        <v>24935.477267288</v>
      </c>
      <c r="X31" s="33" t="n">
        <f aca="false">X14*Emp_Petite+X15*Emp_Moyenne+X16*Emp_Grande</f>
        <v>28936.7343519024</v>
      </c>
      <c r="Y31" s="33" t="n">
        <f aca="false">Y14*Emp_Petite+Y15*Emp_Moyenne+Y16*Emp_Grande</f>
        <v>32935.9946008811</v>
      </c>
      <c r="Z31" s="33" t="n">
        <f aca="false">Z14*Emp_Petite+Z15*Emp_Moyenne+Z16*Emp_Grande</f>
        <v>36935.8019332145</v>
      </c>
      <c r="AA31" s="33" t="n">
        <f aca="false">AA14*Emp_Petite+AA15*Emp_Moyenne+AA16*Emp_Grande</f>
        <v>40938.8190385552</v>
      </c>
      <c r="AB31" s="33" t="n">
        <f aca="false">AB14*Emp_Petite+AB15*Emp_Moyenne+AB16*Emp_Grande</f>
        <v>44947.8349967058</v>
      </c>
      <c r="AC31" s="33" t="n">
        <f aca="false">AC14*Emp_Petite+AC15*Emp_Moyenne+AC16*Emp_Grande</f>
        <v>49754.7733462729</v>
      </c>
      <c r="AD31" s="33" t="n">
        <f aca="false">AD14*Emp_Petite+AD15*Emp_Moyenne+AD16*Emp_Grande</f>
        <v>54565.1531295755</v>
      </c>
      <c r="AE31" s="33" t="n">
        <f aca="false">AE14*Emp_Petite+AE15*Emp_Moyenne+AE16*Emp_Grande</f>
        <v>59382.2997862728</v>
      </c>
      <c r="AF31" s="33" t="n">
        <f aca="false">AF14*Emp_Petite+AF15*Emp_Moyenne+AF16*Emp_Grande</f>
        <v>64209.6988620958</v>
      </c>
      <c r="AG31" s="33" t="n">
        <f aca="false">AG14*Emp_Petite+AG15*Emp_Moyenne+AG16*Emp_Grande</f>
        <v>69051.0061863685</v>
      </c>
      <c r="AH31" s="33" t="n">
        <f aca="false">AH14*Emp_Petite+AH15*Emp_Moyenne+AH16*Emp_Grande</f>
        <v>73910.0586509499</v>
      </c>
      <c r="AI31" s="33" t="n">
        <f aca="false">AI14*Emp_Petite+AI15*Emp_Moyenne+AI16*Emp_Grande</f>
        <v>78790.8856268428</v>
      </c>
      <c r="AJ31" s="33" t="n">
        <f aca="false">AJ14*Emp_Petite+AJ15*Emp_Moyenne+AJ16*Emp_Grande</f>
        <v>85205.221056888</v>
      </c>
      <c r="AK31" s="33" t="n">
        <f aca="false">AK14*Emp_Petite+AK15*Emp_Moyenne+AK16*Emp_Grande</f>
        <v>91633.6850152647</v>
      </c>
      <c r="AL31" s="33" t="n">
        <f aca="false">AL14*Emp_Petite+AL15*Emp_Moyenne+AL16*Emp_Grande</f>
        <v>98081.1639175812</v>
      </c>
      <c r="AM31" s="33" t="n">
        <f aca="false">AM14*Emp_Petite+AM15*Emp_Moyenne+AM16*Emp_Grande</f>
        <v>104552.786576798</v>
      </c>
      <c r="AN31" s="33" t="n">
        <f aca="false">AN14*Emp_Petite+AN15*Emp_Moyenne+AN16*Emp_Grande</f>
        <v>111053.939479585</v>
      </c>
      <c r="AO31" s="33" t="n">
        <f aca="false">AO14*Emp_Petite+AO15*Emp_Moyenne+AO16*Emp_Grande</f>
        <v>117983.282967459</v>
      </c>
      <c r="AP31" s="33" t="n">
        <f aca="false">AP14*Emp_Petite+AP15*Emp_Moyenne+AP16*Emp_Grande</f>
        <v>124949.510877206</v>
      </c>
      <c r="AQ31" s="33" t="n">
        <f aca="false">AQ14*Emp_Petite+AQ15*Emp_Moyenne+AQ16*Emp_Grande</f>
        <v>131958.93691708</v>
      </c>
      <c r="AR31" s="33" t="n">
        <f aca="false">AR14*Emp_Petite+AR15*Emp_Moyenne+AR16*Emp_Grande</f>
        <v>139018.20242028</v>
      </c>
      <c r="AS31" s="33" t="n">
        <f aca="false">AS14*Emp_Petite+AS15*Emp_Moyenne+AS16*Emp_Grande</f>
        <v>146101.165036083</v>
      </c>
      <c r="AT31" s="33" t="n">
        <f aca="false">AT14*Emp_Petite+AT15*Emp_Moyenne+AT16*Emp_Grande</f>
        <v>153138.686457305</v>
      </c>
      <c r="AU31" s="33" t="n">
        <f aca="false">AU14*Emp_Petite+AU15*Emp_Moyenne+AU16*Emp_Grande</f>
        <v>160133.105933226</v>
      </c>
      <c r="AV31" s="33" t="n">
        <f aca="false">AV14*Emp_Petite+AV15*Emp_Moyenne+AV16*Emp_Grande</f>
        <v>168594.340174597</v>
      </c>
      <c r="AW31" s="33" t="n">
        <f aca="false">AW14*Emp_Petite+AW15*Emp_Moyenne+AW16*Emp_Grande</f>
        <v>177001.057647901</v>
      </c>
      <c r="AX31" s="33" t="n">
        <f aca="false">AX14*Emp_Petite+AX15*Emp_Moyenne+AX16*Emp_Grande</f>
        <v>185356.051078591</v>
      </c>
      <c r="AY31" s="33" t="n">
        <f aca="false">AY14*Emp_Petite+AY15*Emp_Moyenne+AY16*Emp_Grande</f>
        <v>193662.205332137</v>
      </c>
      <c r="AZ31" s="33" t="n">
        <f aca="false">AZ14*Emp_Petite+AZ15*Emp_Moyenne+AZ16*Emp_Grande</f>
        <v>201922.504019512</v>
      </c>
      <c r="BA31" s="33" t="n">
        <f aca="false">BA14*Emp_Petite+BA15*Emp_Moyenne+BA16*Emp_Grande</f>
        <v>210536.036481788</v>
      </c>
      <c r="BB31" s="33" t="n">
        <f aca="false">BB14*Emp_Petite+BB15*Emp_Moyenne+BB16*Emp_Grande</f>
        <v>219105.715176899</v>
      </c>
      <c r="BC31" s="33" t="n">
        <f aca="false">BC14*Emp_Petite+BC15*Emp_Moyenne+BC16*Emp_Grande</f>
        <v>227634.917117979</v>
      </c>
      <c r="BD31" s="33" t="n">
        <f aca="false">BD14*Emp_Petite+BD15*Emp_Moyenne+BD16*Emp_Grande</f>
        <v>236127.147744866</v>
      </c>
      <c r="BE31" s="33" t="n">
        <f aca="false">BE14*Emp_Petite+BE15*Emp_Moyenne+BE16*Emp_Grande</f>
        <v>244586.049682145</v>
      </c>
      <c r="BF31" s="33" t="n">
        <f aca="false">BF14*Emp_Petite+BF15*Emp_Moyenne+BF16*Emp_Grande</f>
        <v>253015.412005946</v>
      </c>
      <c r="BG31" s="33" t="n">
        <f aca="false">BG14*Emp_Petite+BG15*Emp_Moyenne+BG16*Emp_Grande</f>
        <v>261419.180050312</v>
      </c>
      <c r="BH31" s="33" t="n">
        <f aca="false">BH14*Emp_Petite+BH15*Emp_Moyenne+BH16*Emp_Grande</f>
        <v>269801.465785784</v>
      </c>
      <c r="BI31" s="33" t="n">
        <f aca="false">BI14*Emp_Petite+BI15*Emp_Moyenne+BI16*Emp_Grande</f>
        <v>278166.55880483</v>
      </c>
      <c r="BJ31" s="33" t="n">
        <f aca="false">BJ14*Emp_Petite+BJ15*Emp_Moyenne+BJ16*Emp_Grande</f>
        <v>286518.937950789</v>
      </c>
      <c r="BK31" s="33" t="n">
        <f aca="false">BK14*Emp_Petite+BK15*Emp_Moyenne+BK16*Emp_Grande</f>
        <v>294824.711707699</v>
      </c>
      <c r="BL31" s="33" t="n">
        <f aca="false">BL14*Emp_Petite+BL15*Emp_Moyenne+BL16*Emp_Grande</f>
        <v>303044.450546977</v>
      </c>
    </row>
    <row r="32" customFormat="false" ht="15" hidden="false" customHeight="false" outlineLevel="0" collapsed="false">
      <c r="A32" s="12" t="s">
        <v>590</v>
      </c>
      <c r="B32" s="14" t="s">
        <v>591</v>
      </c>
      <c r="D32" s="41" t="n">
        <f aca="false">BL32</f>
        <v>60608.8901093955</v>
      </c>
      <c r="E32" s="33" t="n">
        <f aca="false">IF(E$3&gt;=EmpAcc_Start,E31*EmpAcc_Adoption,0)</f>
        <v>0</v>
      </c>
      <c r="F32" s="33" t="n">
        <f aca="false">IF(F$3&gt;=EmpAcc_Start,F31*EmpAcc_Adoption,0)</f>
        <v>0</v>
      </c>
      <c r="G32" s="33" t="n">
        <f aca="false">IF(G$3&gt;=EmpAcc_Start,G31*EmpAcc_Adoption,0)</f>
        <v>0</v>
      </c>
      <c r="H32" s="33" t="n">
        <f aca="false">IF(H$3&gt;=EmpAcc_Start,H31*EmpAcc_Adoption,0)</f>
        <v>0</v>
      </c>
      <c r="I32" s="33" t="n">
        <f aca="false">IF(I$3&gt;=EmpAcc_Start,I31*EmpAcc_Adoption,0)</f>
        <v>0</v>
      </c>
      <c r="J32" s="33" t="n">
        <f aca="false">IF(J$3&gt;=EmpAcc_Start,J31*EmpAcc_Adoption,0)</f>
        <v>0</v>
      </c>
      <c r="K32" s="33" t="n">
        <f aca="false">IF(K$3&gt;=EmpAcc_Start,K31*EmpAcc_Adoption,0)</f>
        <v>0</v>
      </c>
      <c r="L32" s="33" t="n">
        <f aca="false">IF(L$3&gt;=EmpAcc_Start,L31*EmpAcc_Adoption,0)</f>
        <v>0</v>
      </c>
      <c r="M32" s="33" t="n">
        <f aca="false">IF(M$3&gt;=EmpAcc_Start,M31*EmpAcc_Adoption,0)</f>
        <v>1252.54182956022</v>
      </c>
      <c r="N32" s="33" t="n">
        <f aca="false">IF(N$3&gt;=EmpAcc_Start,N31*EmpAcc_Adoption,0)</f>
        <v>1557.83245956791</v>
      </c>
      <c r="O32" s="33" t="n">
        <f aca="false">IF(O$3&gt;=EmpAcc_Start,O31*EmpAcc_Adoption,0)</f>
        <v>1863.45098384072</v>
      </c>
      <c r="P32" s="33" t="n">
        <f aca="false">IF(P$3&gt;=EmpAcc_Start,P31*EmpAcc_Adoption,0)</f>
        <v>2169.61581426428</v>
      </c>
      <c r="Q32" s="33" t="n">
        <f aca="false">IF(Q$3&gt;=EmpAcc_Start,Q31*EmpAcc_Adoption,0)</f>
        <v>2555.15593018628</v>
      </c>
      <c r="R32" s="33" t="n">
        <f aca="false">IF(R$3&gt;=EmpAcc_Start,R31*EmpAcc_Adoption,0)</f>
        <v>2940.86004955768</v>
      </c>
      <c r="S32" s="33" t="n">
        <f aca="false">IF(S$3&gt;=EmpAcc_Start,S31*EmpAcc_Adoption,0)</f>
        <v>3326.99098348871</v>
      </c>
      <c r="T32" s="33" t="n">
        <f aca="false">IF(T$3&gt;=EmpAcc_Start,T31*EmpAcc_Adoption,0)</f>
        <v>3713.82409266338</v>
      </c>
      <c r="U32" s="33" t="n">
        <f aca="false">IF(U$3&gt;=EmpAcc_Start,U31*EmpAcc_Adoption,0)</f>
        <v>4101.648087239</v>
      </c>
      <c r="V32" s="33" t="n">
        <f aca="false">IF(V$3&gt;=EmpAcc_Start,V31*EmpAcc_Adoption,0)</f>
        <v>4490.76587397775</v>
      </c>
      <c r="W32" s="33" t="n">
        <f aca="false">IF(W$3&gt;=EmpAcc_Start,W31*EmpAcc_Adoption,0)</f>
        <v>4987.0954534576</v>
      </c>
      <c r="X32" s="33" t="n">
        <f aca="false">IF(X$3&gt;=EmpAcc_Start,X31*EmpAcc_Adoption,0)</f>
        <v>5787.34687038047</v>
      </c>
      <c r="Y32" s="33" t="n">
        <f aca="false">IF(Y$3&gt;=EmpAcc_Start,Y31*EmpAcc_Adoption,0)</f>
        <v>6587.19892017621</v>
      </c>
      <c r="Z32" s="33" t="n">
        <f aca="false">IF(Z$3&gt;=EmpAcc_Start,Z31*EmpAcc_Adoption,0)</f>
        <v>7387.1603866429</v>
      </c>
      <c r="AA32" s="33" t="n">
        <f aca="false">IF(AA$3&gt;=EmpAcc_Start,AA31*EmpAcc_Adoption,0)</f>
        <v>8187.76380771104</v>
      </c>
      <c r="AB32" s="33" t="n">
        <f aca="false">IF(AB$3&gt;=EmpAcc_Start,AB31*EmpAcc_Adoption,0)</f>
        <v>8989.56699934116</v>
      </c>
      <c r="AC32" s="33" t="n">
        <f aca="false">IF(AC$3&gt;=EmpAcc_Start,AC31*EmpAcc_Adoption,0)</f>
        <v>9950.95466925457</v>
      </c>
      <c r="AD32" s="33" t="n">
        <f aca="false">IF(AD$3&gt;=EmpAcc_Start,AD31*EmpAcc_Adoption,0)</f>
        <v>10913.0306259151</v>
      </c>
      <c r="AE32" s="33" t="n">
        <f aca="false">IF(AE$3&gt;=EmpAcc_Start,AE31*EmpAcc_Adoption,0)</f>
        <v>11876.4599572546</v>
      </c>
      <c r="AF32" s="33" t="n">
        <f aca="false">IF(AF$3&gt;=EmpAcc_Start,AF31*EmpAcc_Adoption,0)</f>
        <v>12841.9397724192</v>
      </c>
      <c r="AG32" s="33" t="n">
        <f aca="false">IF(AG$3&gt;=EmpAcc_Start,AG31*EmpAcc_Adoption,0)</f>
        <v>13810.2012372737</v>
      </c>
      <c r="AH32" s="33" t="n">
        <f aca="false">IF(AH$3&gt;=EmpAcc_Start,AH31*EmpAcc_Adoption,0)</f>
        <v>14782.01173019</v>
      </c>
      <c r="AI32" s="33" t="n">
        <f aca="false">IF(AI$3&gt;=EmpAcc_Start,AI31*EmpAcc_Adoption,0)</f>
        <v>15758.1771253686</v>
      </c>
      <c r="AJ32" s="33" t="n">
        <f aca="false">IF(AJ$3&gt;=EmpAcc_Start,AJ31*EmpAcc_Adoption,0)</f>
        <v>17041.0442113776</v>
      </c>
      <c r="AK32" s="33" t="n">
        <f aca="false">IF(AK$3&gt;=EmpAcc_Start,AK31*EmpAcc_Adoption,0)</f>
        <v>18326.7370030529</v>
      </c>
      <c r="AL32" s="33" t="n">
        <f aca="false">IF(AL$3&gt;=EmpAcc_Start,AL31*EmpAcc_Adoption,0)</f>
        <v>19616.2327835162</v>
      </c>
      <c r="AM32" s="33" t="n">
        <f aca="false">IF(AM$3&gt;=EmpAcc_Start,AM31*EmpAcc_Adoption,0)</f>
        <v>20910.5573153597</v>
      </c>
      <c r="AN32" s="33" t="n">
        <f aca="false">IF(AN$3&gt;=EmpAcc_Start,AN31*EmpAcc_Adoption,0)</f>
        <v>22210.787895917</v>
      </c>
      <c r="AO32" s="33" t="n">
        <f aca="false">IF(AO$3&gt;=EmpAcc_Start,AO31*EmpAcc_Adoption,0)</f>
        <v>23596.6565934918</v>
      </c>
      <c r="AP32" s="33" t="n">
        <f aca="false">IF(AP$3&gt;=EmpAcc_Start,AP31*EmpAcc_Adoption,0)</f>
        <v>24989.9021754411</v>
      </c>
      <c r="AQ32" s="33" t="n">
        <f aca="false">IF(AQ$3&gt;=EmpAcc_Start,AQ31*EmpAcc_Adoption,0)</f>
        <v>26391.7873834159</v>
      </c>
      <c r="AR32" s="33" t="n">
        <f aca="false">IF(AR$3&gt;=EmpAcc_Start,AR31*EmpAcc_Adoption,0)</f>
        <v>27803.640484056</v>
      </c>
      <c r="AS32" s="33" t="n">
        <f aca="false">IF(AS$3&gt;=EmpAcc_Start,AS31*EmpAcc_Adoption,0)</f>
        <v>29220.2330072167</v>
      </c>
      <c r="AT32" s="33" t="n">
        <f aca="false">IF(AT$3&gt;=EmpAcc_Start,AT31*EmpAcc_Adoption,0)</f>
        <v>30627.737291461</v>
      </c>
      <c r="AU32" s="33" t="n">
        <f aca="false">IF(AU$3&gt;=EmpAcc_Start,AU31*EmpAcc_Adoption,0)</f>
        <v>32026.6211866451</v>
      </c>
      <c r="AV32" s="33" t="n">
        <f aca="false">IF(AV$3&gt;=EmpAcc_Start,AV31*EmpAcc_Adoption,0)</f>
        <v>33718.8680349194</v>
      </c>
      <c r="AW32" s="33" t="n">
        <f aca="false">IF(AW$3&gt;=EmpAcc_Start,AW31*EmpAcc_Adoption,0)</f>
        <v>35400.2115295803</v>
      </c>
      <c r="AX32" s="33" t="n">
        <f aca="false">IF(AX$3&gt;=EmpAcc_Start,AX31*EmpAcc_Adoption,0)</f>
        <v>37071.2102157182</v>
      </c>
      <c r="AY32" s="33" t="n">
        <f aca="false">IF(AY$3&gt;=EmpAcc_Start,AY31*EmpAcc_Adoption,0)</f>
        <v>38732.4410664274</v>
      </c>
      <c r="AZ32" s="33" t="n">
        <f aca="false">IF(AZ$3&gt;=EmpAcc_Start,AZ31*EmpAcc_Adoption,0)</f>
        <v>40384.5008039024</v>
      </c>
      <c r="BA32" s="33" t="n">
        <f aca="false">IF(BA$3&gt;=EmpAcc_Start,BA31*EmpAcc_Adoption,0)</f>
        <v>42107.2072963577</v>
      </c>
      <c r="BB32" s="33" t="n">
        <f aca="false">IF(BB$3&gt;=EmpAcc_Start,BB31*EmpAcc_Adoption,0)</f>
        <v>43821.1430353798</v>
      </c>
      <c r="BC32" s="33" t="n">
        <f aca="false">IF(BC$3&gt;=EmpAcc_Start,BC31*EmpAcc_Adoption,0)</f>
        <v>45526.9834235958</v>
      </c>
      <c r="BD32" s="33" t="n">
        <f aca="false">IF(BD$3&gt;=EmpAcc_Start,BD31*EmpAcc_Adoption,0)</f>
        <v>47225.4295489732</v>
      </c>
      <c r="BE32" s="33" t="n">
        <f aca="false">IF(BE$3&gt;=EmpAcc_Start,BE31*EmpAcc_Adoption,0)</f>
        <v>48917.209936429</v>
      </c>
      <c r="BF32" s="33" t="n">
        <f aca="false">IF(BF$3&gt;=EmpAcc_Start,BF31*EmpAcc_Adoption,0)</f>
        <v>50603.0824011893</v>
      </c>
      <c r="BG32" s="33" t="n">
        <f aca="false">IF(BG$3&gt;=EmpAcc_Start,BG31*EmpAcc_Adoption,0)</f>
        <v>52283.8360100624</v>
      </c>
      <c r="BH32" s="33" t="n">
        <f aca="false">IF(BH$3&gt;=EmpAcc_Start,BH31*EmpAcc_Adoption,0)</f>
        <v>53960.2931571568</v>
      </c>
      <c r="BI32" s="33" t="n">
        <f aca="false">IF(BI$3&gt;=EmpAcc_Start,BI31*EmpAcc_Adoption,0)</f>
        <v>55633.311760966</v>
      </c>
      <c r="BJ32" s="33" t="n">
        <f aca="false">IF(BJ$3&gt;=EmpAcc_Start,BJ31*EmpAcc_Adoption,0)</f>
        <v>57303.7875901577</v>
      </c>
      <c r="BK32" s="33" t="n">
        <f aca="false">IF(BK$3&gt;=EmpAcc_Start,BK31*EmpAcc_Adoption,0)</f>
        <v>58964.9423415398</v>
      </c>
      <c r="BL32" s="33" t="n">
        <f aca="false">IF(BL$3&gt;=EmpAcc_Start,BL31*EmpAcc_Adoption,0)</f>
        <v>60608.8901093955</v>
      </c>
    </row>
    <row r="33" customFormat="false" ht="15" hidden="false" customHeight="false" outlineLevel="0" collapsed="false">
      <c r="A33" s="12" t="s">
        <v>592</v>
      </c>
      <c r="B33" s="14" t="s">
        <v>233</v>
      </c>
      <c r="D33" s="43" t="n">
        <f aca="false">SUM(E33:BL33)</f>
        <v>37470.9417254819</v>
      </c>
      <c r="E33" s="30" t="n">
        <f aca="false">E9*Cards_New_Petite+E10*Cards_New_Moyenne+E11*Cards_New_Grande</f>
        <v>0</v>
      </c>
      <c r="F33" s="30" t="n">
        <f aca="false">F9*Cards_New_Petite+F10*Cards_New_Moyenne+F11*Cards_New_Grande</f>
        <v>0</v>
      </c>
      <c r="G33" s="30" t="n">
        <f aca="false">G9*Cards_New_Petite+G10*Cards_New_Moyenne+G11*Cards_New_Grande</f>
        <v>0</v>
      </c>
      <c r="H33" s="30" t="n">
        <f aca="false">H9*Cards_New_Petite+H10*Cards_New_Moyenne+H11*Cards_New_Grande</f>
        <v>0</v>
      </c>
      <c r="I33" s="30" t="n">
        <f aca="false">I9*Cards_New_Petite+I10*Cards_New_Moyenne+I11*Cards_New_Grande</f>
        <v>109.173333333333</v>
      </c>
      <c r="J33" s="30" t="n">
        <f aca="false">J9*Cards_New_Petite+J10*Cards_New_Moyenne+J11*Cards_New_Grande</f>
        <v>110.553333333333</v>
      </c>
      <c r="K33" s="30" t="n">
        <f aca="false">K9*Cards_New_Petite+K10*Cards_New_Moyenne+K11*Cards_New_Grande</f>
        <v>112.016133333333</v>
      </c>
      <c r="L33" s="30" t="n">
        <f aca="false">L9*Cards_New_Petite+L10*Cards_New_Moyenne+L11*Cards_New_Grande</f>
        <v>159.566701333333</v>
      </c>
      <c r="M33" s="30" t="n">
        <f aca="false">M9*Cards_New_Petite+M10*Cards_New_Moyenne+M11*Cards_New_Grande</f>
        <v>161.210303413333</v>
      </c>
      <c r="N33" s="30" t="n">
        <f aca="false">N9*Cards_New_Petite+N10*Cards_New_Moyenne+N11*Cards_New_Grande</f>
        <v>162.952521618133</v>
      </c>
      <c r="O33" s="30" t="n">
        <f aca="false">O9*Cards_New_Petite+O10*Cards_New_Moyenne+O11*Cards_New_Grande</f>
        <v>164.799272915221</v>
      </c>
      <c r="P33" s="30" t="n">
        <f aca="false">P9*Cards_New_Petite+P10*Cards_New_Moyenne+P11*Cards_New_Grande</f>
        <v>166.756829290135</v>
      </c>
      <c r="Q33" s="30" t="n">
        <f aca="false">Q9*Cards_New_Petite+Q10*Cards_New_Moyenne+Q11*Cards_New_Grande</f>
        <v>209.005172380876</v>
      </c>
      <c r="R33" s="30" t="n">
        <f aca="false">R9*Cards_New_Petite+R10*Cards_New_Moyenne+R11*Cards_New_Grande</f>
        <v>211.204682723729</v>
      </c>
      <c r="S33" s="30" t="n">
        <f aca="false">S9*Cards_New_Petite+S10*Cards_New_Moyenne+S11*Cards_New_Grande</f>
        <v>213.536163687152</v>
      </c>
      <c r="T33" s="30" t="n">
        <f aca="false">T9*Cards_New_Petite+T10*Cards_New_Moyenne+T11*Cards_New_Grande</f>
        <v>216.007533508381</v>
      </c>
      <c r="U33" s="30" t="n">
        <f aca="false">U9*Cards_New_Petite+U10*Cards_New_Moyenne+U11*Cards_New_Grande</f>
        <v>218.627185518884</v>
      </c>
      <c r="V33" s="30" t="n">
        <f aca="false">V9*Cards_New_Petite+V10*Cards_New_Moyenne+V11*Cards_New_Grande</f>
        <v>221.404016650017</v>
      </c>
      <c r="W33" s="30" t="n">
        <f aca="false">W9*Cards_New_Petite+W10*Cards_New_Moyenne+W11*Cards_New_Grande</f>
        <v>278.320790982352</v>
      </c>
      <c r="X33" s="30" t="n">
        <f aca="false">X9*Cards_New_Petite+X10*Cards_New_Moyenne+X11*Cards_New_Grande</f>
        <v>436.368838441293</v>
      </c>
      <c r="Y33" s="30" t="n">
        <f aca="false">Y9*Cards_New_Petite+Y10*Cards_New_Moyenne+Y11*Cards_New_Grande</f>
        <v>440.553768747771</v>
      </c>
      <c r="Z33" s="30" t="n">
        <f aca="false">Z9*Cards_New_Petite+Z10*Cards_New_Moyenne+Z11*Cards_New_Grande</f>
        <v>444.989794872637</v>
      </c>
      <c r="AA33" s="30" t="n">
        <f aca="false">AA9*Cards_New_Petite+AA10*Cards_New_Moyenne+AA11*Cards_New_Grande</f>
        <v>449.691982564995</v>
      </c>
      <c r="AB33" s="30" t="n">
        <f aca="false">AB9*Cards_New_Petite+AB10*Cards_New_Moyenne+AB11*Cards_New_Grande</f>
        <v>454.676301518895</v>
      </c>
      <c r="AC33" s="30" t="n">
        <f aca="false">AC9*Cards_New_Petite+AC10*Cards_New_Moyenne+AC11*Cards_New_Grande</f>
        <v>540.613012943362</v>
      </c>
      <c r="AD33" s="30" t="n">
        <f aca="false">AD9*Cards_New_Petite+AD10*Cards_New_Moyenne+AD11*Cards_New_Grande</f>
        <v>546.213393719963</v>
      </c>
      <c r="AE33" s="30" t="n">
        <f aca="false">AE9*Cards_New_Petite+AE10*Cards_New_Moyenne+AE11*Cards_New_Grande</f>
        <v>552.149797343161</v>
      </c>
      <c r="AF33" s="30" t="n">
        <f aca="false">AF9*Cards_New_Petite+AF10*Cards_New_Moyenne+AF11*Cards_New_Grande</f>
        <v>558.442385183751</v>
      </c>
      <c r="AG33" s="30" t="n">
        <f aca="false">AG9*Cards_New_Petite+AG10*Cards_New_Moyenne+AG11*Cards_New_Grande</f>
        <v>565.112528294776</v>
      </c>
      <c r="AH33" s="30" t="n">
        <f aca="false">AH9*Cards_New_Petite+AH10*Cards_New_Moyenne+AH11*Cards_New_Grande</f>
        <v>572.182879992462</v>
      </c>
      <c r="AI33" s="30" t="n">
        <f aca="false">AI9*Cards_New_Petite+AI10*Cards_New_Moyenne+AI11*Cards_New_Grande</f>
        <v>579.67745279201</v>
      </c>
      <c r="AJ33" s="30" t="n">
        <f aca="false">AJ9*Cards_New_Petite+AJ10*Cards_New_Moyenne+AJ11*Cards_New_Grande</f>
        <v>741.721699959531</v>
      </c>
      <c r="AK33" s="30" t="n">
        <f aca="false">AK9*Cards_New_Petite+AK10*Cards_New_Moyenne+AK11*Cards_New_Grande</f>
        <v>750.142601957103</v>
      </c>
      <c r="AL33" s="30" t="n">
        <f aca="false">AL9*Cards_New_Petite+AL10*Cards_New_Moyenne+AL11*Cards_New_Grande</f>
        <v>759.068758074529</v>
      </c>
      <c r="AM33" s="30" t="n">
        <f aca="false">AM9*Cards_New_Petite+AM10*Cards_New_Moyenne+AM11*Cards_New_Grande</f>
        <v>768.530483559001</v>
      </c>
      <c r="AN33" s="30" t="n">
        <f aca="false">AN9*Cards_New_Petite+AN10*Cards_New_Moyenne+AN11*Cards_New_Grande</f>
        <v>778.559912572541</v>
      </c>
      <c r="AO33" s="30" t="n">
        <f aca="false">AO9*Cards_New_Petite+AO10*Cards_New_Moyenne+AO11*Cards_New_Grande</f>
        <v>829.364440660226</v>
      </c>
      <c r="AP33" s="30" t="n">
        <f aca="false">AP9*Cards_New_Petite+AP10*Cards_New_Moyenne+AP11*Cards_New_Grande</f>
        <v>840.63350709984</v>
      </c>
      <c r="AQ33" s="30" t="n">
        <f aca="false">AQ9*Cards_New_Petite+AQ10*Cards_New_Moyenne+AQ11*Cards_New_Grande</f>
        <v>852.578717525831</v>
      </c>
      <c r="AR33" s="30" t="n">
        <f aca="false">AR9*Cards_New_Petite+AR10*Cards_New_Moyenne+AR11*Cards_New_Grande</f>
        <v>865.24064057738</v>
      </c>
      <c r="AS33" s="30" t="n">
        <f aca="false">AS9*Cards_New_Petite+AS10*Cards_New_Moyenne+AS11*Cards_New_Grande</f>
        <v>875.275483015448</v>
      </c>
      <c r="AT33" s="30" t="n">
        <f aca="false">AT9*Cards_New_Petite+AT10*Cards_New_Moyenne+AT11*Cards_New_Grande</f>
        <v>878.259211996375</v>
      </c>
      <c r="AU33" s="30" t="n">
        <f aca="false">AU9*Cards_New_Petite+AU10*Cards_New_Moyenne+AU11*Cards_New_Grande</f>
        <v>881.421964716157</v>
      </c>
      <c r="AV33" s="30" t="n">
        <f aca="false">AV9*Cards_New_Petite+AV10*Cards_New_Moyenne+AV11*Cards_New_Grande</f>
        <v>1038.87448259913</v>
      </c>
      <c r="AW33" s="30" t="n">
        <f aca="false">AW9*Cards_New_Petite+AW10*Cards_New_Moyenne+AW11*Cards_New_Grande</f>
        <v>1042.42815155507</v>
      </c>
      <c r="AX33" s="30" t="n">
        <f aca="false">AX9*Cards_New_Petite+AX10*Cards_New_Moyenne+AX11*Cards_New_Grande</f>
        <v>1046.19504064838</v>
      </c>
      <c r="AY33" s="30" t="n">
        <f aca="false">AY9*Cards_New_Petite+AY10*Cards_New_Moyenne+AY11*Cards_New_Grande</f>
        <v>1050.18794308728</v>
      </c>
      <c r="AZ33" s="30" t="n">
        <f aca="false">AZ9*Cards_New_Petite+AZ10*Cards_New_Moyenne+AZ11*Cards_New_Grande</f>
        <v>1054.42041967252</v>
      </c>
      <c r="BA33" s="30" t="n">
        <f aca="false">BA9*Cards_New_Petite+BA10*Cards_New_Moyenne+BA11*Cards_New_Grande</f>
        <v>1099.38684485287</v>
      </c>
      <c r="BB33" s="30" t="n">
        <f aca="false">BB9*Cards_New_Petite+BB10*Cards_New_Moyenne+BB11*Cards_New_Grande</f>
        <v>1104.14245554404</v>
      </c>
      <c r="BC33" s="30" t="n">
        <f aca="false">BC9*Cards_New_Petite+BC10*Cards_New_Moyenne+BC11*Cards_New_Grande</f>
        <v>1109.18340287668</v>
      </c>
      <c r="BD33" s="30" t="n">
        <f aca="false">BD9*Cards_New_Petite+BD10*Cards_New_Moyenne+BD11*Cards_New_Grande</f>
        <v>1114.52680704929</v>
      </c>
      <c r="BE33" s="30" t="n">
        <f aca="false">BE9*Cards_New_Petite+BE10*Cards_New_Moyenne+BE11*Cards_New_Grande</f>
        <v>1120.19081547224</v>
      </c>
      <c r="BF33" s="30" t="n">
        <f aca="false">BF9*Cards_New_Petite+BF10*Cards_New_Moyenne+BF11*Cards_New_Grande</f>
        <v>1126.19466440058</v>
      </c>
      <c r="BG33" s="30" t="n">
        <f aca="false">BG9*Cards_New_Petite+BG10*Cards_New_Moyenne+BG11*Cards_New_Grande</f>
        <v>1132.55874426461</v>
      </c>
      <c r="BH33" s="30" t="n">
        <f aca="false">BH9*Cards_New_Petite+BH10*Cards_New_Moyenne+BH11*Cards_New_Grande</f>
        <v>1139.30466892049</v>
      </c>
      <c r="BI33" s="30" t="n">
        <f aca="false">BI9*Cards_New_Petite+BI10*Cards_New_Moyenne+BI11*Cards_New_Grande</f>
        <v>1146.45534905572</v>
      </c>
      <c r="BJ33" s="30" t="n">
        <f aca="false">BJ9*Cards_New_Petite+BJ10*Cards_New_Moyenne+BJ11*Cards_New_Grande</f>
        <v>1154.03506999906</v>
      </c>
      <c r="BK33" s="30" t="n">
        <f aca="false">BK9*Cards_New_Petite+BK10*Cards_New_Moyenne+BK11*Cards_New_Grande</f>
        <v>1158.12666666667</v>
      </c>
      <c r="BL33" s="30" t="n">
        <f aca="false">BL9*Cards_New_Petite+BL10*Cards_New_Moyenne+BL11*Cards_New_Grande</f>
        <v>1158.12666666667</v>
      </c>
    </row>
    <row r="34" customFormat="false" ht="15" hidden="false" customHeight="false" outlineLevel="0" collapsed="false">
      <c r="A34" s="12" t="s">
        <v>593</v>
      </c>
      <c r="B34" s="14" t="s">
        <v>233</v>
      </c>
      <c r="D34" s="43" t="n">
        <f aca="false">SUM(E34:BL34)</f>
        <v>21179.2279317941</v>
      </c>
      <c r="E34" s="30" t="n">
        <f aca="false">E9*MAX(0,Cards_New_Petite-1)+E10*MAX(0,Cards_New_Moyenne-1)+E11*MAX(0,Cards_New_Grande-1)</f>
        <v>0</v>
      </c>
      <c r="F34" s="30" t="n">
        <f aca="false">F9*MAX(0,Cards_New_Petite-1)+F10*MAX(0,Cards_New_Moyenne-1)+F11*MAX(0,Cards_New_Grande-1)</f>
        <v>0</v>
      </c>
      <c r="G34" s="30" t="n">
        <f aca="false">G9*MAX(0,Cards_New_Petite-1)+G10*MAX(0,Cards_New_Moyenne-1)+G11*MAX(0,Cards_New_Grande-1)</f>
        <v>0</v>
      </c>
      <c r="H34" s="30" t="n">
        <f aca="false">H9*MAX(0,Cards_New_Petite-1)+H10*MAX(0,Cards_New_Moyenne-1)+H11*MAX(0,Cards_New_Grande-1)</f>
        <v>0</v>
      </c>
      <c r="I34" s="30" t="n">
        <f aca="false">I9*MAX(0,Cards_New_Petite-1)+I10*MAX(0,Cards_New_Moyenne-1)+I11*MAX(0,Cards_New_Grande-1)</f>
        <v>61.7066666666667</v>
      </c>
      <c r="J34" s="30" t="n">
        <f aca="false">J9*MAX(0,Cards_New_Petite-1)+J10*MAX(0,Cards_New_Moyenne-1)+J11*MAX(0,Cards_New_Grande-1)</f>
        <v>62.4866666666667</v>
      </c>
      <c r="K34" s="30" t="n">
        <f aca="false">K9*MAX(0,Cards_New_Petite-1)+K10*MAX(0,Cards_New_Moyenne-1)+K11*MAX(0,Cards_New_Grande-1)</f>
        <v>63.3134666666667</v>
      </c>
      <c r="L34" s="30" t="n">
        <f aca="false">L9*MAX(0,Cards_New_Petite-1)+L10*MAX(0,Cards_New_Moyenne-1)+L11*MAX(0,Cards_New_Grande-1)</f>
        <v>90.1898746666667</v>
      </c>
      <c r="M34" s="30" t="n">
        <f aca="false">M9*MAX(0,Cards_New_Petite-1)+M10*MAX(0,Cards_New_Moyenne-1)+M11*MAX(0,Cards_New_Grande-1)</f>
        <v>91.1188671466667</v>
      </c>
      <c r="N34" s="30" t="n">
        <f aca="false">N9*MAX(0,Cards_New_Petite-1)+N10*MAX(0,Cards_New_Moyenne-1)+N11*MAX(0,Cards_New_Grande-1)</f>
        <v>92.1035991754667</v>
      </c>
      <c r="O34" s="30" t="n">
        <f aca="false">O9*MAX(0,Cards_New_Petite-1)+O10*MAX(0,Cards_New_Moyenne-1)+O11*MAX(0,Cards_New_Grande-1)</f>
        <v>93.1474151259947</v>
      </c>
      <c r="P34" s="30" t="n">
        <f aca="false">P9*MAX(0,Cards_New_Petite-1)+P10*MAX(0,Cards_New_Moyenne-1)+P11*MAX(0,Cards_New_Grande-1)</f>
        <v>94.2538600335544</v>
      </c>
      <c r="Q34" s="30" t="n">
        <f aca="false">Q9*MAX(0,Cards_New_Petite-1)+Q10*MAX(0,Cards_New_Moyenne-1)+Q11*MAX(0,Cards_New_Grande-1)</f>
        <v>118.133358302234</v>
      </c>
      <c r="R34" s="30" t="n">
        <f aca="false">R9*MAX(0,Cards_New_Petite-1)+R10*MAX(0,Cards_New_Moyenne-1)+R11*MAX(0,Cards_New_Grande-1)</f>
        <v>119.376559800368</v>
      </c>
      <c r="S34" s="30" t="n">
        <f aca="false">S9*MAX(0,Cards_New_Petite-1)+S10*MAX(0,Cards_New_Moyenne-1)+S11*MAX(0,Cards_New_Grande-1)</f>
        <v>120.69435338839</v>
      </c>
      <c r="T34" s="30" t="n">
        <f aca="false">T9*MAX(0,Cards_New_Petite-1)+T10*MAX(0,Cards_New_Moyenne-1)+T11*MAX(0,Cards_New_Grande-1)</f>
        <v>122.091214591694</v>
      </c>
      <c r="U34" s="30" t="n">
        <f aca="false">U9*MAX(0,Cards_New_Petite-1)+U10*MAX(0,Cards_New_Moyenne-1)+U11*MAX(0,Cards_New_Grande-1)</f>
        <v>123.571887467196</v>
      </c>
      <c r="V34" s="30" t="n">
        <f aca="false">V9*MAX(0,Cards_New_Petite-1)+V10*MAX(0,Cards_New_Moyenne-1)+V11*MAX(0,Cards_New_Grande-1)</f>
        <v>125.141400715227</v>
      </c>
      <c r="W34" s="30" t="n">
        <f aca="false">W9*MAX(0,Cards_New_Petite-1)+W10*MAX(0,Cards_New_Moyenne-1)+W11*MAX(0,Cards_New_Grande-1)</f>
        <v>157.311751424808</v>
      </c>
      <c r="X34" s="30" t="n">
        <f aca="false">X9*MAX(0,Cards_New_Petite-1)+X10*MAX(0,Cards_New_Moyenne-1)+X11*MAX(0,Cards_New_Grande-1)</f>
        <v>246.643256510296</v>
      </c>
      <c r="Y34" s="30" t="n">
        <f aca="false">Y9*MAX(0,Cards_New_Petite-1)+Y10*MAX(0,Cards_New_Moyenne-1)+Y11*MAX(0,Cards_New_Grande-1)</f>
        <v>249.008651900914</v>
      </c>
      <c r="Z34" s="30" t="n">
        <f aca="false">Z9*MAX(0,Cards_New_Petite-1)+Z10*MAX(0,Cards_New_Moyenne-1)+Z11*MAX(0,Cards_New_Grande-1)</f>
        <v>251.515971014969</v>
      </c>
      <c r="AA34" s="30" t="n">
        <f aca="false">AA9*MAX(0,Cards_New_Petite-1)+AA10*MAX(0,Cards_New_Moyenne-1)+AA11*MAX(0,Cards_New_Grande-1)</f>
        <v>254.173729275867</v>
      </c>
      <c r="AB34" s="30" t="n">
        <f aca="false">AB9*MAX(0,Cards_New_Petite-1)+AB10*MAX(0,Cards_New_Moyenne-1)+AB11*MAX(0,Cards_New_Grande-1)</f>
        <v>256.990953032419</v>
      </c>
      <c r="AC34" s="30" t="n">
        <f aca="false">AC9*MAX(0,Cards_New_Petite-1)+AC10*MAX(0,Cards_New_Moyenne-1)+AC11*MAX(0,Cards_New_Grande-1)</f>
        <v>305.563876881031</v>
      </c>
      <c r="AD34" s="30" t="n">
        <f aca="false">AD9*MAX(0,Cards_New_Petite-1)+AD10*MAX(0,Cards_New_Moyenne-1)+AD11*MAX(0,Cards_New_Grande-1)</f>
        <v>308.729309493892</v>
      </c>
      <c r="AE34" s="30" t="n">
        <f aca="false">AE9*MAX(0,Cards_New_Petite-1)+AE10*MAX(0,Cards_New_Moyenne-1)+AE11*MAX(0,Cards_New_Grande-1)</f>
        <v>312.084668063526</v>
      </c>
      <c r="AF34" s="30" t="n">
        <f aca="false">AF9*MAX(0,Cards_New_Petite-1)+AF10*MAX(0,Cards_New_Moyenne-1)+AF11*MAX(0,Cards_New_Grande-1)</f>
        <v>315.641348147337</v>
      </c>
      <c r="AG34" s="30" t="n">
        <f aca="false">AG9*MAX(0,Cards_New_Petite-1)+AG10*MAX(0,Cards_New_Moyenne-1)+AG11*MAX(0,Cards_New_Grande-1)</f>
        <v>319.411429036178</v>
      </c>
      <c r="AH34" s="30" t="n">
        <f aca="false">AH9*MAX(0,Cards_New_Petite-1)+AH10*MAX(0,Cards_New_Moyenne-1)+AH11*MAX(0,Cards_New_Grande-1)</f>
        <v>323.407714778348</v>
      </c>
      <c r="AI34" s="30" t="n">
        <f aca="false">AI9*MAX(0,Cards_New_Petite-1)+AI10*MAX(0,Cards_New_Moyenne-1)+AI11*MAX(0,Cards_New_Grande-1)</f>
        <v>327.643777665049</v>
      </c>
      <c r="AJ34" s="30" t="n">
        <f aca="false">AJ9*MAX(0,Cards_New_Petite-1)+AJ10*MAX(0,Cards_New_Moyenne-1)+AJ11*MAX(0,Cards_New_Grande-1)</f>
        <v>419.234004324952</v>
      </c>
      <c r="AK34" s="30" t="n">
        <f aca="false">AK9*MAX(0,Cards_New_Petite-1)+AK10*MAX(0,Cards_New_Moyenne-1)+AK11*MAX(0,Cards_New_Grande-1)</f>
        <v>423.993644584449</v>
      </c>
      <c r="AL34" s="30" t="n">
        <f aca="false">AL9*MAX(0,Cards_New_Petite-1)+AL10*MAX(0,Cards_New_Moyenne-1)+AL11*MAX(0,Cards_New_Grande-1)</f>
        <v>429.038863259516</v>
      </c>
      <c r="AM34" s="30" t="n">
        <f aca="false">AM9*MAX(0,Cards_New_Petite-1)+AM10*MAX(0,Cards_New_Moyenne-1)+AM11*MAX(0,Cards_New_Grande-1)</f>
        <v>434.386795055087</v>
      </c>
      <c r="AN34" s="30" t="n">
        <f aca="false">AN9*MAX(0,Cards_New_Petite-1)+AN10*MAX(0,Cards_New_Moyenne-1)+AN11*MAX(0,Cards_New_Grande-1)</f>
        <v>440.055602758393</v>
      </c>
      <c r="AO34" s="30" t="n">
        <f aca="false">AO9*MAX(0,Cards_New_Petite-1)+AO10*MAX(0,Cards_New_Moyenne-1)+AO11*MAX(0,Cards_New_Grande-1)</f>
        <v>468.771205590563</v>
      </c>
      <c r="AP34" s="30" t="n">
        <f aca="false">AP9*MAX(0,Cards_New_Petite-1)+AP10*MAX(0,Cards_New_Moyenne-1)+AP11*MAX(0,Cards_New_Grande-1)</f>
        <v>475.140677925997</v>
      </c>
      <c r="AQ34" s="30" t="n">
        <f aca="false">AQ9*MAX(0,Cards_New_Petite-1)+AQ10*MAX(0,Cards_New_Moyenne-1)+AQ11*MAX(0,Cards_New_Grande-1)</f>
        <v>481.892318601556</v>
      </c>
      <c r="AR34" s="30" t="n">
        <f aca="false">AR9*MAX(0,Cards_New_Petite-1)+AR10*MAX(0,Cards_New_Moyenne-1)+AR11*MAX(0,Cards_New_Grande-1)</f>
        <v>489.04905771765</v>
      </c>
      <c r="AS34" s="30" t="n">
        <f aca="false">AS9*MAX(0,Cards_New_Petite-1)+AS10*MAX(0,Cards_New_Moyenne-1)+AS11*MAX(0,Cards_New_Grande-1)</f>
        <v>494.720925182645</v>
      </c>
      <c r="AT34" s="30" t="n">
        <f aca="false">AT9*MAX(0,Cards_New_Petite-1)+AT10*MAX(0,Cards_New_Moyenne-1)+AT11*MAX(0,Cards_New_Grande-1)</f>
        <v>496.407380693603</v>
      </c>
      <c r="AU34" s="30" t="n">
        <f aca="false">AU9*MAX(0,Cards_New_Petite-1)+AU10*MAX(0,Cards_New_Moyenne-1)+AU11*MAX(0,Cards_New_Grande-1)</f>
        <v>498.195023535219</v>
      </c>
      <c r="AV34" s="30" t="n">
        <f aca="false">AV9*MAX(0,Cards_New_Petite-1)+AV10*MAX(0,Cards_New_Moyenne-1)+AV11*MAX(0,Cards_New_Grande-1)</f>
        <v>587.189924947333</v>
      </c>
      <c r="AW34" s="30" t="n">
        <f aca="false">AW9*MAX(0,Cards_New_Petite-1)+AW10*MAX(0,Cards_New_Moyenne-1)+AW11*MAX(0,Cards_New_Grande-1)</f>
        <v>589.198520444173</v>
      </c>
      <c r="AX34" s="30" t="n">
        <f aca="false">AX9*MAX(0,Cards_New_Petite-1)+AX10*MAX(0,Cards_New_Moyenne-1)+AX11*MAX(0,Cards_New_Grande-1)</f>
        <v>591.327631670823</v>
      </c>
      <c r="AY34" s="30" t="n">
        <f aca="false">AY9*MAX(0,Cards_New_Petite-1)+AY10*MAX(0,Cards_New_Moyenne-1)+AY11*MAX(0,Cards_New_Grande-1)</f>
        <v>593.584489571072</v>
      </c>
      <c r="AZ34" s="30" t="n">
        <f aca="false">AZ9*MAX(0,Cards_New_Petite-1)+AZ10*MAX(0,Cards_New_Moyenne-1)+AZ11*MAX(0,Cards_New_Grande-1)</f>
        <v>595.976758945337</v>
      </c>
      <c r="BA34" s="30" t="n">
        <f aca="false">BA9*MAX(0,Cards_New_Petite-1)+BA10*MAX(0,Cards_New_Moyenne-1)+BA11*MAX(0,Cards_New_Grande-1)</f>
        <v>621.392564482057</v>
      </c>
      <c r="BB34" s="30" t="n">
        <f aca="false">BB9*MAX(0,Cards_New_Petite-1)+BB10*MAX(0,Cards_New_Moyenne-1)+BB11*MAX(0,Cards_New_Grande-1)</f>
        <v>624.08051835098</v>
      </c>
      <c r="BC34" s="30" t="n">
        <f aca="false">BC9*MAX(0,Cards_New_Petite-1)+BC10*MAX(0,Cards_New_Moyenne-1)+BC11*MAX(0,Cards_New_Grande-1)</f>
        <v>626.929749452039</v>
      </c>
      <c r="BD34" s="30" t="n">
        <f aca="false">BD9*MAX(0,Cards_New_Petite-1)+BD10*MAX(0,Cards_New_Moyenne-1)+BD11*MAX(0,Cards_New_Grande-1)</f>
        <v>629.949934419161</v>
      </c>
      <c r="BE34" s="30" t="n">
        <f aca="false">BE9*MAX(0,Cards_New_Petite-1)+BE10*MAX(0,Cards_New_Moyenne-1)+BE11*MAX(0,Cards_New_Grande-1)</f>
        <v>633.151330484311</v>
      </c>
      <c r="BF34" s="30" t="n">
        <f aca="false">BF9*MAX(0,Cards_New_Petite-1)+BF10*MAX(0,Cards_New_Moyenne-1)+BF11*MAX(0,Cards_New_Grande-1)</f>
        <v>636.54481031337</v>
      </c>
      <c r="BG34" s="30" t="n">
        <f aca="false">BG9*MAX(0,Cards_New_Petite-1)+BG10*MAX(0,Cards_New_Moyenne-1)+BG11*MAX(0,Cards_New_Grande-1)</f>
        <v>640.141898932172</v>
      </c>
      <c r="BH34" s="30" t="n">
        <f aca="false">BH9*MAX(0,Cards_New_Petite-1)+BH10*MAX(0,Cards_New_Moyenne-1)+BH11*MAX(0,Cards_New_Grande-1)</f>
        <v>643.954812868102</v>
      </c>
      <c r="BI34" s="30" t="n">
        <f aca="false">BI9*MAX(0,Cards_New_Petite-1)+BI10*MAX(0,Cards_New_Moyenne-1)+BI11*MAX(0,Cards_New_Grande-1)</f>
        <v>647.996501640188</v>
      </c>
      <c r="BJ34" s="30" t="n">
        <f aca="false">BJ9*MAX(0,Cards_New_Petite-1)+BJ10*MAX(0,Cards_New_Moyenne-1)+BJ11*MAX(0,Cards_New_Grande-1)</f>
        <v>652.2806917386</v>
      </c>
      <c r="BK34" s="30" t="n">
        <f aca="false">BK9*MAX(0,Cards_New_Petite-1)+BK10*MAX(0,Cards_New_Moyenne-1)+BK11*MAX(0,Cards_New_Grande-1)</f>
        <v>654.593333333333</v>
      </c>
      <c r="BL34" s="30" t="n">
        <f aca="false">BL9*MAX(0,Cards_New_Petite-1)+BL10*MAX(0,Cards_New_Moyenne-1)+BL11*MAX(0,Cards_New_Grande-1)</f>
        <v>654.593333333333</v>
      </c>
    </row>
    <row r="35" customFormat="false" ht="15" hidden="false" customHeight="false" outlineLevel="0" collapsed="false">
      <c r="A35" s="12" t="s">
        <v>594</v>
      </c>
      <c r="B35" s="14" t="s">
        <v>233</v>
      </c>
      <c r="D35" s="41" t="n">
        <f aca="false">BL35</f>
        <v>58652.3842357331</v>
      </c>
      <c r="E35" s="33" t="n">
        <f aca="false">E14*Cards_Act_Petite+E15*Cards_Act_Moyenne+E16*Cards_Act_Grande</f>
        <v>0</v>
      </c>
      <c r="F35" s="33" t="n">
        <f aca="false">F14*Cards_Act_Petite+F15*Cards_Act_Moyenne+F16*Cards_Act_Grande</f>
        <v>0</v>
      </c>
      <c r="G35" s="33" t="n">
        <f aca="false">G14*Cards_Act_Petite+G15*Cards_Act_Moyenne+G16*Cards_Act_Grande</f>
        <v>0</v>
      </c>
      <c r="H35" s="33" t="n">
        <f aca="false">H14*Cards_Act_Petite+H15*Cards_Act_Moyenne+H16*Cards_Act_Grande</f>
        <v>0</v>
      </c>
      <c r="I35" s="33" t="n">
        <f aca="false">I14*Cards_Act_Petite+I15*Cards_Act_Moyenne+I16*Cards_Act_Grande</f>
        <v>213.6</v>
      </c>
      <c r="J35" s="33" t="n">
        <f aca="false">J14*Cards_Act_Petite+J15*Cards_Act_Moyenne+J16*Cards_Act_Grande</f>
        <v>427.1588</v>
      </c>
      <c r="K35" s="33" t="n">
        <f aca="false">K14*Cards_Act_Petite+K15*Cards_Act_Moyenne+K16*Cards_Act_Grande</f>
        <v>640.843889</v>
      </c>
      <c r="L35" s="33" t="n">
        <f aca="false">L14*Cards_Act_Petite+L15*Cards_Act_Moyenne+L16*Cards_Act_Grande</f>
        <v>944.8302517825</v>
      </c>
      <c r="M35" s="33" t="n">
        <f aca="false">M14*Cards_Act_Petite+M15*Cards_Act_Moyenne+M16*Cards_Act_Grande</f>
        <v>1248.14586099076</v>
      </c>
      <c r="N35" s="33" t="n">
        <f aca="false">N14*Cards_Act_Petite+N15*Cards_Act_Moyenne+N16*Cards_Act_Grande</f>
        <v>1550.99911048062</v>
      </c>
      <c r="O35" s="33" t="n">
        <f aca="false">O14*Cards_Act_Petite+O15*Cards_Act_Moyenne+O16*Cards_Act_Grande</f>
        <v>1853.60717921757</v>
      </c>
      <c r="P35" s="33" t="n">
        <f aca="false">P14*Cards_Act_Petite+P15*Cards_Act_Moyenne+P16*Cards_Act_Grande</f>
        <v>2156.19661981474</v>
      </c>
      <c r="Q35" s="33" t="n">
        <f aca="false">Q14*Cards_Act_Petite+Q15*Cards_Act_Moyenne+Q16*Cards_Act_Grande</f>
        <v>2537.60398129579</v>
      </c>
      <c r="R35" s="33" t="n">
        <f aca="false">R14*Cards_Act_Petite+R15*Cards_Act_Moyenne+R16*Cards_Act_Grande</f>
        <v>2918.46776815627</v>
      </c>
      <c r="S35" s="33" t="n">
        <f aca="false">S14*Cards_Act_Petite+S15*Cards_Act_Moyenne+S16*Cards_Act_Grande</f>
        <v>3299.06130817112</v>
      </c>
      <c r="T35" s="33" t="n">
        <f aca="false">T14*Cards_Act_Petite+T15*Cards_Act_Moyenne+T16*Cards_Act_Grande</f>
        <v>3679.66978038806</v>
      </c>
      <c r="U35" s="33" t="n">
        <f aca="false">U14*Cards_Act_Petite+U15*Cards_Act_Moyenne+U16*Cards_Act_Grande</f>
        <v>4060.59100100823</v>
      </c>
      <c r="V35" s="33" t="n">
        <f aca="false">V14*Cards_Act_Petite+V15*Cards_Act_Moyenne+V16*Cards_Act_Grande</f>
        <v>4442.13625509968</v>
      </c>
      <c r="W35" s="33" t="n">
        <f aca="false">W14*Cards_Act_Petite+W15*Cards_Act_Moyenne+W16*Cards_Act_Grande</f>
        <v>4930.23117691795</v>
      </c>
      <c r="X35" s="33" t="n">
        <f aca="false">X14*Cards_Act_Petite+X15*Cards_Act_Moyenne+X16*Cards_Act_Grande</f>
        <v>5721.38148177425</v>
      </c>
      <c r="Y35" s="33" t="n">
        <f aca="false">Y14*Cards_Act_Petite+Y15*Cards_Act_Moyenne+Y16*Cards_Act_Grande</f>
        <v>6510.67135656737</v>
      </c>
      <c r="Z35" s="33" t="n">
        <f aca="false">Z14*Cards_Act_Petite+Z15*Cards_Act_Moyenne+Z16*Cards_Act_Grande</f>
        <v>7298.63277355241</v>
      </c>
      <c r="AA35" s="33" t="n">
        <f aca="false">AA14*Cards_Act_Petite+AA15*Cards_Act_Moyenne+AA16*Cards_Act_Grande</f>
        <v>8085.82006232676</v>
      </c>
      <c r="AB35" s="33" t="n">
        <f aca="false">AB14*Cards_Act_Petite+AB15*Cards_Act_Moyenne+AB16*Cards_Act_Grande</f>
        <v>8872.81140842645</v>
      </c>
      <c r="AC35" s="33" t="n">
        <f aca="false">AC14*Cards_Act_Petite+AC15*Cards_Act_Moyenne+AC16*Cards_Act_Grande</f>
        <v>9818.01043906624</v>
      </c>
      <c r="AD35" s="33" t="n">
        <f aca="false">AD14*Cards_Act_Petite+AD15*Cards_Act_Moyenne+AD16*Cards_Act_Grande</f>
        <v>10762.2228013029</v>
      </c>
      <c r="AE35" s="33" t="n">
        <f aca="false">AE14*Cards_Act_Petite+AE15*Cards_Act_Moyenne+AE16*Cards_Act_Grande</f>
        <v>11706.1377914675</v>
      </c>
      <c r="AF35" s="33" t="n">
        <f aca="false">AF14*Cards_Act_Petite+AF15*Cards_Act_Moyenne+AF16*Cards_Act_Grande</f>
        <v>12650.4749999356</v>
      </c>
      <c r="AG35" s="33" t="n">
        <f aca="false">AG14*Cards_Act_Petite+AG15*Cards_Act_Moyenne+AG16*Cards_Act_Grande</f>
        <v>13595.9863099339</v>
      </c>
      <c r="AH35" s="33" t="n">
        <f aca="false">AH14*Cards_Act_Petite+AH15*Cards_Act_Moyenne+AH16*Cards_Act_Grande</f>
        <v>14543.4580130885</v>
      </c>
      <c r="AI35" s="33" t="n">
        <f aca="false">AI14*Cards_Act_Petite+AI15*Cards_Act_Moyenne+AI16*Cards_Act_Grande</f>
        <v>15493.7130487768</v>
      </c>
      <c r="AJ35" s="33" t="n">
        <f aca="false">AJ14*Cards_Act_Petite+AJ15*Cards_Act_Moyenne+AJ16*Cards_Act_Grande</f>
        <v>16749.1133747707</v>
      </c>
      <c r="AK35" s="33" t="n">
        <f aca="false">AK14*Cards_Act_Petite+AK15*Cards_Act_Moyenne+AK16*Cards_Act_Grande</f>
        <v>18005.1932271034</v>
      </c>
      <c r="AL35" s="33" t="n">
        <f aca="false">AL14*Cards_Act_Petite+AL15*Cards_Act_Moyenne+AL16*Cards_Act_Grande</f>
        <v>19262.9569344445</v>
      </c>
      <c r="AM35" s="33" t="n">
        <f aca="false">AM14*Cards_Act_Petite+AM15*Cards_Act_Moyenne+AM16*Cards_Act_Grande</f>
        <v>20523.4549041261</v>
      </c>
      <c r="AN35" s="33" t="n">
        <f aca="false">AN14*Cards_Act_Petite+AN15*Cards_Act_Moyenne+AN16*Cards_Act_Grande</f>
        <v>21787.7866183066</v>
      </c>
      <c r="AO35" s="33" t="n">
        <f aca="false">AO14*Cards_Act_Petite+AO15*Cards_Act_Moyenne+AO16*Cards_Act_Grande</f>
        <v>23135.7038058421</v>
      </c>
      <c r="AP35" s="33" t="n">
        <f aca="false">AP14*Cards_Act_Petite+AP15*Cards_Act_Moyenne+AP16*Cards_Act_Grande</f>
        <v>24488.8051004828</v>
      </c>
      <c r="AQ35" s="33" t="n">
        <f aca="false">AQ14*Cards_Act_Petite+AQ15*Cards_Act_Moyenne+AQ16*Cards_Act_Grande</f>
        <v>25848.3717668962</v>
      </c>
      <c r="AR35" s="33" t="n">
        <f aca="false">AR14*Cards_Act_Petite+AR15*Cards_Act_Moyenne+AR16*Cards_Act_Grande</f>
        <v>27215.7477555552</v>
      </c>
      <c r="AS35" s="33" t="n">
        <f aca="false">AS14*Cards_Act_Petite+AS15*Cards_Act_Moyenne+AS16*Cards_Act_Grande</f>
        <v>28585.7173543714</v>
      </c>
      <c r="AT35" s="33" t="n">
        <f aca="false">AT14*Cards_Act_Petite+AT15*Cards_Act_Moyenne+AT16*Cards_Act_Grande</f>
        <v>29944.4758933977</v>
      </c>
      <c r="AU35" s="33" t="n">
        <f aca="false">AU14*Cards_Act_Petite+AU15*Cards_Act_Moyenne+AU16*Cards_Act_Grande</f>
        <v>31292.5414886052</v>
      </c>
      <c r="AV35" s="33" t="n">
        <f aca="false">AV14*Cards_Act_Petite+AV15*Cards_Act_Moyenne+AV16*Cards_Act_Grande</f>
        <v>32931.94601211</v>
      </c>
      <c r="AW35" s="33" t="n">
        <f aca="false">AW14*Cards_Act_Petite+AW15*Cards_Act_Moyenne+AW16*Cards_Act_Grande</f>
        <v>34557.8669479689</v>
      </c>
      <c r="AX35" s="33" t="n">
        <f aca="false">AX14*Cards_Act_Petite+AX15*Cards_Act_Moyenne+AX16*Cards_Act_Grande</f>
        <v>36170.9237163058</v>
      </c>
      <c r="AY35" s="33" t="n">
        <f aca="false">AY14*Cards_Act_Petite+AY15*Cards_Act_Moyenne+AY16*Cards_Act_Grande</f>
        <v>37771.7520777743</v>
      </c>
      <c r="AZ35" s="33" t="n">
        <f aca="false">AZ14*Cards_Act_Petite+AZ15*Cards_Act_Moyenne+AZ16*Cards_Act_Grande</f>
        <v>39361.005451402</v>
      </c>
      <c r="BA35" s="33" t="n">
        <f aca="false">BA14*Cards_Act_Petite+BA15*Cards_Act_Moyenne+BA16*Cards_Act_Grande</f>
        <v>41018.5563056115</v>
      </c>
      <c r="BB35" s="33" t="n">
        <f aca="false">BB14*Cards_Act_Petite+BB15*Cards_Act_Moyenne+BB16*Cards_Act_Grande</f>
        <v>42664.8812269195</v>
      </c>
      <c r="BC35" s="33" t="n">
        <f aca="false">BC14*Cards_Act_Petite+BC15*Cards_Act_Moyenne+BC16*Cards_Act_Grande</f>
        <v>44300.7101540783</v>
      </c>
      <c r="BD35" s="33" t="n">
        <f aca="false">BD14*Cards_Act_Petite+BD15*Cards_Act_Moyenne+BD16*Cards_Act_Grande</f>
        <v>45926.7964917404</v>
      </c>
      <c r="BE35" s="33" t="n">
        <f aca="false">BE14*Cards_Act_Petite+BE15*Cards_Act_Moyenne+BE16*Cards_Act_Grande</f>
        <v>47543.9188461762</v>
      </c>
      <c r="BF35" s="33" t="n">
        <f aca="false">BF14*Cards_Act_Petite+BF15*Cards_Act_Moyenne+BF16*Cards_Act_Grande</f>
        <v>49152.8828594325</v>
      </c>
      <c r="BG35" s="33" t="n">
        <f aca="false">BG14*Cards_Act_Petite+BG15*Cards_Act_Moyenne+BG16*Cards_Act_Grande</f>
        <v>50754.5231479395</v>
      </c>
      <c r="BH35" s="33" t="n">
        <f aca="false">BH14*Cards_Act_Petite+BH15*Cards_Act_Moyenne+BH16*Cards_Act_Grande</f>
        <v>52349.7053519383</v>
      </c>
      <c r="BI35" s="33" t="n">
        <f aca="false">BI14*Cards_Act_Petite+BI15*Cards_Act_Moyenne+BI16*Cards_Act_Grande</f>
        <v>53939.3283024767</v>
      </c>
      <c r="BJ35" s="33" t="n">
        <f aca="false">BJ14*Cards_Act_Petite+BJ15*Cards_Act_Moyenne+BJ16*Cards_Act_Grande</f>
        <v>55524.3263131269</v>
      </c>
      <c r="BK35" s="33" t="n">
        <f aca="false">BK14*Cards_Act_Petite+BK15*Cards_Act_Moyenne+BK16*Cards_Act_Grande</f>
        <v>57097.9572197038</v>
      </c>
      <c r="BL35" s="33" t="n">
        <f aca="false">BL14*Cards_Act_Petite+BL15*Cards_Act_Moyenne+BL16*Cards_Act_Grande</f>
        <v>58652.3842357331</v>
      </c>
    </row>
    <row r="36" customFormat="false" ht="15" hidden="false" customHeight="false" outlineLevel="0" collapsed="false">
      <c r="A36" s="12" t="s">
        <v>595</v>
      </c>
      <c r="B36" s="14" t="s">
        <v>63</v>
      </c>
      <c r="D36" s="41" t="n">
        <f aca="false">SUM(E36:BL36)</f>
        <v>183065195557.914</v>
      </c>
      <c r="E36" s="33" t="n">
        <f aca="false">E14*Spend_Dom_Petite+E15*Spend_Dom_Moyenne+E16*Spend_Dom_Grande</f>
        <v>0</v>
      </c>
      <c r="F36" s="33" t="n">
        <f aca="false">F14*Spend_Dom_Petite+F15*Spend_Dom_Moyenne+F16*Spend_Dom_Grande</f>
        <v>0</v>
      </c>
      <c r="G36" s="33" t="n">
        <f aca="false">G14*Spend_Dom_Petite+G15*Spend_Dom_Moyenne+G16*Spend_Dom_Grande</f>
        <v>0</v>
      </c>
      <c r="H36" s="33" t="n">
        <f aca="false">H14*Spend_Dom_Petite+H15*Spend_Dom_Moyenne+H16*Spend_Dom_Grande</f>
        <v>0</v>
      </c>
      <c r="I36" s="33" t="n">
        <f aca="false">I14*Spend_Dom_Petite+I15*Spend_Dom_Moyenne+I16*Spend_Dom_Grande</f>
        <v>31802666.6666667</v>
      </c>
      <c r="J36" s="33" t="n">
        <f aca="false">J14*Spend_Dom_Petite+J15*Spend_Dom_Moyenne+J16*Spend_Dom_Grande</f>
        <v>63605053.3333333</v>
      </c>
      <c r="K36" s="33" t="n">
        <f aca="false">K14*Spend_Dom_Petite+K15*Spend_Dom_Moyenne+K16*Spend_Dom_Grande</f>
        <v>95432060.1</v>
      </c>
      <c r="L36" s="33" t="n">
        <f aca="false">L14*Spend_Dom_Petite+L15*Spend_Dom_Moyenne+L16*Spend_Dom_Grande</f>
        <v>140709707.695917</v>
      </c>
      <c r="M36" s="33" t="n">
        <f aca="false">M14*Spend_Dom_Petite+M15*Spend_Dom_Moyenne+M16*Spend_Dom_Grande</f>
        <v>185895710.928014</v>
      </c>
      <c r="N36" s="33" t="n">
        <f aca="false">N14*Spend_Dom_Petite+N15*Spend_Dom_Moyenne+N16*Spend_Dom_Grande</f>
        <v>231021027.675448</v>
      </c>
      <c r="O36" s="33" t="n">
        <f aca="false">O14*Spend_Dom_Petite+O15*Spend_Dom_Moyenne+O16*Spend_Dom_Grande</f>
        <v>276117929.655718</v>
      </c>
      <c r="P36" s="33" t="n">
        <f aca="false">P14*Spend_Dom_Petite+P15*Spend_Dom_Moyenne+P16*Spend_Dom_Grande</f>
        <v>321220090.265491</v>
      </c>
      <c r="Q36" s="33" t="n">
        <f aca="false">Q14*Spend_Dom_Petite+Q15*Spend_Dom_Moyenne+Q16*Spend_Dom_Grande</f>
        <v>378065344.198195</v>
      </c>
      <c r="R36" s="33" t="n">
        <f aca="false">R14*Spend_Dom_Petite+R15*Spend_Dom_Moyenne+R16*Spend_Dom_Grande</f>
        <v>434839755.814615</v>
      </c>
      <c r="S36" s="33" t="n">
        <f aca="false">S14*Spend_Dom_Petite+S15*Spend_Dom_Moyenne+S16*Spend_Dom_Grande</f>
        <v>491583941.486291</v>
      </c>
      <c r="T36" s="33" t="n">
        <f aca="false">T14*Spend_Dom_Petite+T15*Spend_Dom_Moyenne+T16*Spend_Dom_Grande</f>
        <v>548340289.736084</v>
      </c>
      <c r="U36" s="33" t="n">
        <f aca="false">U14*Spend_Dom_Petite+U15*Spend_Dom_Moyenne+U16*Spend_Dom_Grande</f>
        <v>605153078.535379</v>
      </c>
      <c r="V36" s="33" t="n">
        <f aca="false">V14*Spend_Dom_Petite+V15*Spend_Dom_Moyenne+V16*Spend_Dom_Grande</f>
        <v>662068599.444529</v>
      </c>
      <c r="W36" s="33" t="n">
        <f aca="false">W14*Spend_Dom_Petite+W15*Spend_Dom_Moyenne+W16*Spend_Dom_Grande</f>
        <v>734857955.677414</v>
      </c>
      <c r="X36" s="33" t="n">
        <f aca="false">X14*Spend_Dom_Petite+X15*Spend_Dom_Moyenne+X16*Spend_Dom_Grande</f>
        <v>852781521.195782</v>
      </c>
      <c r="Y36" s="33" t="n">
        <f aca="false">Y14*Spend_Dom_Petite+Y15*Spend_Dom_Moyenne+Y16*Spend_Dom_Grande</f>
        <v>970448943.565295</v>
      </c>
      <c r="Z36" s="33" t="n">
        <f aca="false">Z14*Spend_Dom_Petite+Z15*Spend_Dom_Moyenne+Z16*Spend_Dom_Grande</f>
        <v>1087939243.76273</v>
      </c>
      <c r="AA36" s="33" t="n">
        <f aca="false">AA14*Spend_Dom_Petite+AA15*Spend_Dom_Moyenne+AA16*Spend_Dom_Grande</f>
        <v>1205334786.51549</v>
      </c>
      <c r="AB36" s="33" t="n">
        <f aca="false">AB14*Spend_Dom_Petite+AB15*Spend_Dom_Moyenne+AB16*Spend_Dom_Grande</f>
        <v>1322721503.96878</v>
      </c>
      <c r="AC36" s="33" t="n">
        <f aca="false">AC14*Spend_Dom_Petite+AC15*Spend_Dom_Moyenne+AC16*Spend_Dom_Grande</f>
        <v>1463683799.03081</v>
      </c>
      <c r="AD36" s="33" t="n">
        <f aca="false">AD14*Spend_Dom_Petite+AD15*Spend_Dom_Moyenne+AD16*Spend_Dom_Grande</f>
        <v>1604523605.85107</v>
      </c>
      <c r="AE36" s="33" t="n">
        <f aca="false">AE14*Spend_Dom_Petite+AE15*Spend_Dom_Moyenne+AE16*Spend_Dom_Grande</f>
        <v>1745343367.85857</v>
      </c>
      <c r="AF36" s="33" t="n">
        <f aca="false">AF14*Spend_Dom_Petite+AF15*Spend_Dom_Moyenne+AF16*Spend_Dom_Grande</f>
        <v>1886250058.17207</v>
      </c>
      <c r="AG36" s="33" t="n">
        <f aca="false">AG14*Spend_Dom_Petite+AG15*Spend_Dom_Moyenne+AG16*Spend_Dom_Grande</f>
        <v>2027355477.93582</v>
      </c>
      <c r="AH36" s="33" t="n">
        <f aca="false">AH14*Spend_Dom_Petite+AH15*Spend_Dom_Moyenne+AH16*Spend_Dom_Grande</f>
        <v>2168776572.08586</v>
      </c>
      <c r="AI36" s="33" t="n">
        <f aca="false">AI14*Spend_Dom_Petite+AI15*Spend_Dom_Moyenne+AI16*Spend_Dom_Grande</f>
        <v>2310635763.60125</v>
      </c>
      <c r="AJ36" s="33" t="n">
        <f aca="false">AJ14*Spend_Dom_Petite+AJ15*Spend_Dom_Moyenne+AJ16*Spend_Dom_Grande</f>
        <v>2497951307.35794</v>
      </c>
      <c r="AK36" s="33" t="n">
        <f aca="false">AK14*Spend_Dom_Petite+AK15*Spend_Dom_Moyenne+AK16*Spend_Dom_Grande</f>
        <v>2685399839.76989</v>
      </c>
      <c r="AL36" s="33" t="n">
        <f aca="false">AL14*Spend_Dom_Petite+AL15*Spend_Dom_Moyenne+AL16*Spend_Dom_Grande</f>
        <v>2873130704.16019</v>
      </c>
      <c r="AM36" s="33" t="n">
        <f aca="false">AM14*Spend_Dom_Petite+AM15*Spend_Dom_Moyenne+AM16*Spend_Dom_Grande</f>
        <v>3061300132.17791</v>
      </c>
      <c r="AN36" s="33" t="n">
        <f aca="false">AN14*Spend_Dom_Petite+AN15*Spend_Dom_Moyenne+AN16*Spend_Dom_Grande</f>
        <v>3250071691.01371</v>
      </c>
      <c r="AO36" s="33" t="n">
        <f aca="false">AO14*Spend_Dom_Petite+AO15*Spend_Dom_Moyenne+AO16*Spend_Dom_Grande</f>
        <v>3451319423.51663</v>
      </c>
      <c r="AP36" s="33" t="n">
        <f aca="false">AP14*Spend_Dom_Petite+AP15*Spend_Dom_Moyenne+AP16*Spend_Dom_Grande</f>
        <v>3653372319.46371</v>
      </c>
      <c r="AQ36" s="33" t="n">
        <f aca="false">AQ14*Spend_Dom_Petite+AQ15*Spend_Dom_Moyenne+AQ16*Spend_Dom_Grande</f>
        <v>3856421064.55429</v>
      </c>
      <c r="AR36" s="33" t="n">
        <f aca="false">AR14*Spend_Dom_Petite+AR15*Spend_Dom_Moyenne+AR16*Spend_Dom_Grande</f>
        <v>4060665712.38614</v>
      </c>
      <c r="AS36" s="33" t="n">
        <f aca="false">AS14*Spend_Dom_Petite+AS15*Spend_Dom_Moyenne+AS16*Spend_Dom_Grande</f>
        <v>4265329691.89273</v>
      </c>
      <c r="AT36" s="33" t="n">
        <f aca="false">AT14*Spend_Dom_Petite+AT15*Spend_Dom_Moyenne+AT16*Spend_Dom_Grande</f>
        <v>4468357487.83587</v>
      </c>
      <c r="AU36" s="33" t="n">
        <f aca="false">AU14*Spend_Dom_Petite+AU15*Spend_Dom_Moyenne+AU16*Spend_Dom_Grande</f>
        <v>4669825710.38195</v>
      </c>
      <c r="AV36" s="33" t="n">
        <f aca="false">AV14*Spend_Dom_Petite+AV15*Spend_Dom_Moyenne+AV16*Spend_Dom_Grande</f>
        <v>4914703034.46008</v>
      </c>
      <c r="AW36" s="33" t="n">
        <f aca="false">AW14*Spend_Dom_Petite+AW15*Spend_Dom_Moyenne+AW16*Spend_Dom_Grande</f>
        <v>5157612539.71612</v>
      </c>
      <c r="AX36" s="33" t="n">
        <f aca="false">AX14*Spend_Dom_Petite+AX15*Spend_Dom_Moyenne+AX16*Spend_Dom_Grande</f>
        <v>5398645813.331</v>
      </c>
      <c r="AY36" s="33" t="n">
        <f aca="false">AY14*Spend_Dom_Petite+AY15*Spend_Dom_Moyenne+AY16*Spend_Dom_Grande</f>
        <v>5637896895.2523</v>
      </c>
      <c r="AZ36" s="33" t="n">
        <f aca="false">AZ14*Spend_Dom_Petite+AZ15*Spend_Dom_Moyenne+AZ16*Spend_Dom_Grande</f>
        <v>5875462474.77934</v>
      </c>
      <c r="BA36" s="33" t="n">
        <f aca="false">BA14*Spend_Dom_Petite+BA15*Spend_Dom_Moyenne+BA16*Spend_Dom_Grande</f>
        <v>6123234098.07576</v>
      </c>
      <c r="BB36" s="33" t="n">
        <f aca="false">BB14*Spend_Dom_Petite+BB15*Spend_Dom_Moyenne+BB16*Spend_Dom_Grande</f>
        <v>6369373227.28122</v>
      </c>
      <c r="BC36" s="33" t="n">
        <f aca="false">BC14*Spend_Dom_Petite+BC15*Spend_Dom_Moyenne+BC16*Spend_Dom_Grande</f>
        <v>6613987966.63383</v>
      </c>
      <c r="BD36" s="33" t="n">
        <f aca="false">BD14*Spend_Dom_Petite+BD15*Spend_Dom_Moyenne+BD16*Spend_Dom_Grande</f>
        <v>6857189936.80718</v>
      </c>
      <c r="BE36" s="33" t="n">
        <f aca="false">BE14*Spend_Dom_Petite+BE15*Spend_Dom_Moyenne+BE16*Spend_Dom_Grande</f>
        <v>7099094533.88536</v>
      </c>
      <c r="BF36" s="33" t="n">
        <f aca="false">BF14*Spend_Dom_Petite+BF15*Spend_Dom_Moyenne+BF16*Spend_Dom_Grande</f>
        <v>7339821203.03687</v>
      </c>
      <c r="BG36" s="33" t="n">
        <f aca="false">BG14*Spend_Dom_Petite+BG15*Spend_Dom_Moyenne+BG16*Spend_Dom_Grande</f>
        <v>7579493727.78496</v>
      </c>
      <c r="BH36" s="33" t="n">
        <f aca="false">BH14*Spend_Dom_Petite+BH15*Spend_Dom_Moyenne+BH16*Spend_Dom_Grande</f>
        <v>7818240535.82518</v>
      </c>
      <c r="BI36" s="33" t="n">
        <f aca="false">BI14*Spend_Dom_Petite+BI15*Spend_Dom_Moyenne+BI16*Spend_Dom_Grande</f>
        <v>8056195022.39789</v>
      </c>
      <c r="BJ36" s="33" t="n">
        <f aca="false">BJ14*Spend_Dom_Petite+BJ15*Spend_Dom_Moyenne+BJ16*Spend_Dom_Grande</f>
        <v>8293495892.28375</v>
      </c>
      <c r="BK36" s="33" t="n">
        <f aca="false">BK14*Spend_Dom_Petite+BK15*Spend_Dom_Moyenne+BK16*Spend_Dom_Grande</f>
        <v>8529138935.44647</v>
      </c>
      <c r="BL36" s="33" t="n">
        <f aca="false">BL14*Spend_Dom_Petite+BL15*Spend_Dom_Moyenne+BL16*Spend_Dom_Grande</f>
        <v>8761956781.64908</v>
      </c>
    </row>
    <row r="37" customFormat="false" ht="15" hidden="false" customHeight="false" outlineLevel="0" collapsed="false">
      <c r="A37" s="12" t="s">
        <v>596</v>
      </c>
      <c r="B37" s="14" t="s">
        <v>63</v>
      </c>
      <c r="D37" s="41" t="n">
        <f aca="false">SUM(E37:BL37)</f>
        <v>244909600855.781</v>
      </c>
      <c r="E37" s="33" t="n">
        <f aca="false">E14*Spend_For_Petite+E15*Spend_For_Moyenne+E16*Spend_For_Grande</f>
        <v>0</v>
      </c>
      <c r="F37" s="33" t="n">
        <f aca="false">F14*Spend_For_Petite+F15*Spend_For_Moyenne+F16*Spend_For_Grande</f>
        <v>0</v>
      </c>
      <c r="G37" s="33" t="n">
        <f aca="false">G14*Spend_For_Petite+G15*Spend_For_Moyenne+G16*Spend_For_Grande</f>
        <v>0</v>
      </c>
      <c r="H37" s="33" t="n">
        <f aca="false">H14*Spend_For_Petite+H15*Spend_For_Moyenne+H16*Spend_For_Grande</f>
        <v>0</v>
      </c>
      <c r="I37" s="33" t="n">
        <f aca="false">I14*Spend_For_Petite+I15*Spend_For_Moyenne+I16*Spend_For_Grande</f>
        <v>42245333.3333333</v>
      </c>
      <c r="J37" s="33" t="n">
        <f aca="false">J14*Spend_For_Petite+J15*Spend_For_Moyenne+J16*Spend_For_Grande</f>
        <v>84515586.6666667</v>
      </c>
      <c r="K37" s="33" t="n">
        <f aca="false">K14*Spend_For_Petite+K15*Spend_For_Moyenne+K16*Spend_For_Grande</f>
        <v>126843387.1</v>
      </c>
      <c r="L37" s="33" t="n">
        <f aca="false">L14*Spend_For_Petite+L15*Spend_For_Moyenne+L16*Spend_For_Grande</f>
        <v>187062878.060083</v>
      </c>
      <c r="M37" s="33" t="n">
        <f aca="false">M14*Spend_For_Petite+M15*Spend_For_Moyenne+M16*Spend_For_Grande</f>
        <v>247195317.266491</v>
      </c>
      <c r="N37" s="33" t="n">
        <f aca="false">N14*Spend_For_Petite+N15*Spend_For_Moyenne+N16*Spend_For_Grande</f>
        <v>307281139.205721</v>
      </c>
      <c r="O37" s="33" t="n">
        <f aca="false">O14*Spend_For_Petite+O15*Spend_For_Moyenne+O16*Spend_For_Grande</f>
        <v>367362560.395351</v>
      </c>
      <c r="P37" s="33" t="n">
        <f aca="false">P14*Spend_For_Petite+P15*Spend_For_Moyenne+P16*Spend_For_Grande</f>
        <v>427483696.461907</v>
      </c>
      <c r="Q37" s="33" t="n">
        <f aca="false">Q14*Spend_For_Petite+Q15*Spend_For_Moyenne+Q16*Spend_For_Grande</f>
        <v>503236019.402881</v>
      </c>
      <c r="R37" s="33" t="n">
        <f aca="false">R14*Spend_For_Petite+R15*Spend_For_Moyenne+R16*Spend_For_Grande</f>
        <v>578935158.780432</v>
      </c>
      <c r="S37" s="33" t="n">
        <f aca="false">S14*Spend_For_Petite+S15*Spend_For_Moyenne+S16*Spend_For_Grande</f>
        <v>654634284.594089</v>
      </c>
      <c r="T37" s="33" t="n">
        <f aca="false">T14*Spend_For_Petite+T15*Spend_For_Moyenne+T16*Spend_For_Grande</f>
        <v>730388967.027081</v>
      </c>
      <c r="U37" s="33" t="n">
        <f aca="false">U14*Spend_For_Petite+U15*Spend_For_Moyenne+U16*Spend_For_Grande</f>
        <v>806257332.851617</v>
      </c>
      <c r="V37" s="33" t="n">
        <f aca="false">V14*Spend_For_Petite+V15*Spend_For_Moyenne+V16*Spend_For_Grande</f>
        <v>882300231.007099</v>
      </c>
      <c r="W37" s="33" t="n">
        <f aca="false">W14*Spend_For_Petite+W15*Spend_For_Moyenne+W16*Spend_For_Grande</f>
        <v>979466741.238814</v>
      </c>
      <c r="X37" s="33" t="n">
        <f aca="false">X14*Spend_For_Petite+X15*Spend_For_Moyenne+X16*Spend_For_Grande</f>
        <v>1136637079.71778</v>
      </c>
      <c r="Y37" s="33" t="n">
        <f aca="false">Y14*Spend_For_Petite+Y15*Spend_For_Moyenne+Y16*Spend_For_Grande</f>
        <v>1293551615.19768</v>
      </c>
      <c r="Z37" s="33" t="n">
        <f aca="false">Z14*Spend_For_Petite+Z15*Spend_For_Moyenne+Z16*Spend_For_Grande</f>
        <v>1450313612.32828</v>
      </c>
      <c r="AA37" s="33" t="n">
        <f aca="false">AA14*Spend_For_Petite+AA15*Spend_For_Moyenne+AA16*Spend_For_Grande</f>
        <v>1607030870.3963</v>
      </c>
      <c r="AB37" s="33" t="n">
        <f aca="false">AB14*Spend_For_Petite+AB15*Spend_For_Moyenne+AB16*Spend_For_Grande</f>
        <v>1763816021.44946</v>
      </c>
      <c r="AC37" s="33" t="n">
        <f aca="false">AC14*Spend_For_Petite+AC15*Spend_For_Moyenne+AC16*Spend_For_Grande</f>
        <v>1951996179.19745</v>
      </c>
      <c r="AD37" s="33" t="n">
        <f aca="false">AD14*Spend_For_Petite+AD15*Spend_For_Moyenne+AD16*Spend_For_Grande</f>
        <v>2140109183.07748</v>
      </c>
      <c r="AE37" s="33" t="n">
        <f aca="false">AE14*Spend_For_Petite+AE15*Spend_For_Moyenne+AE16*Spend_For_Grande</f>
        <v>2328289319.6108</v>
      </c>
      <c r="AF37" s="33" t="n">
        <f aca="false">AF14*Spend_For_Petite+AF15*Spend_For_Moyenne+AF16*Spend_For_Grande</f>
        <v>2516677005.54617</v>
      </c>
      <c r="AG37" s="33" t="n">
        <f aca="false">AG14*Spend_For_Petite+AG15*Spend_For_Moyenne+AG16*Spend_For_Grande</f>
        <v>2705419185.75489</v>
      </c>
      <c r="AH37" s="33" t="n">
        <f aca="false">AH14*Spend_For_Petite+AH15*Spend_For_Moyenne+AH16*Spend_For_Grande</f>
        <v>2894669754.4883</v>
      </c>
      <c r="AI37" s="33" t="n">
        <f aca="false">AI14*Spend_For_Petite+AI15*Spend_For_Moyenne+AI16*Spend_For_Grande</f>
        <v>3084590001.40882</v>
      </c>
      <c r="AJ37" s="33" t="n">
        <f aca="false">AJ14*Spend_For_Petite+AJ15*Spend_For_Moyenne+AJ16*Spend_For_Grande</f>
        <v>3334979083.8899</v>
      </c>
      <c r="AK37" s="33" t="n">
        <f aca="false">AK14*Spend_For_Petite+AK15*Spend_For_Moyenne+AK16*Spend_For_Grande</f>
        <v>3585665952.16993</v>
      </c>
      <c r="AL37" s="33" t="n">
        <f aca="false">AL14*Spend_For_Petite+AL15*Spend_For_Moyenne+AL16*Spend_For_Grande</f>
        <v>3836846940.85258</v>
      </c>
      <c r="AM37" s="33" t="n">
        <f aca="false">AM14*Spend_For_Petite+AM15*Spend_For_Moyenne+AM16*Spend_For_Grande</f>
        <v>4088727689.61417</v>
      </c>
      <c r="AN37" s="33" t="n">
        <f aca="false">AN14*Spend_For_Petite+AN15*Spend_For_Moyenne+AN16*Spend_For_Grande</f>
        <v>4341523740.00032</v>
      </c>
      <c r="AO37" s="33" t="n">
        <f aca="false">AO14*Spend_For_Petite+AO15*Spend_For_Moyenne+AO16*Spend_For_Grande</f>
        <v>4611006500.71137</v>
      </c>
      <c r="AP37" s="33" t="n">
        <f aca="false">AP14*Spend_For_Petite+AP15*Spend_For_Moyenne+AP16*Spend_For_Grande</f>
        <v>4881680586.83115</v>
      </c>
      <c r="AQ37" s="33" t="n">
        <f aca="false">AQ14*Spend_For_Petite+AQ15*Spend_For_Moyenne+AQ16*Spend_For_Grande</f>
        <v>5153797772.55531</v>
      </c>
      <c r="AR37" s="33" t="n">
        <f aca="false">AR14*Spend_For_Petite+AR15*Spend_For_Moyenne+AR16*Spend_For_Grande</f>
        <v>5427622454.53149</v>
      </c>
      <c r="AS37" s="33" t="n">
        <f aca="false">AS14*Spend_For_Petite+AS15*Spend_For_Moyenne+AS16*Spend_For_Grande</f>
        <v>5702121904.83037</v>
      </c>
      <c r="AT37" s="33" t="n">
        <f aca="false">AT14*Spend_For_Petite+AT15*Spend_For_Moyenne+AT16*Spend_For_Grande</f>
        <v>5974563902.41811</v>
      </c>
      <c r="AU37" s="33" t="n">
        <f aca="false">AU14*Spend_For_Petite+AU15*Spend_For_Moyenne+AU16*Spend_For_Grande</f>
        <v>6245046848.91643</v>
      </c>
      <c r="AV37" s="33" t="n">
        <f aca="false">AV14*Spend_For_Petite+AV15*Spend_For_Moyenne+AV16*Spend_For_Grande</f>
        <v>6573302009.16353</v>
      </c>
      <c r="AW37" s="33" t="n">
        <f aca="false">AW14*Spend_For_Petite+AW15*Spend_For_Moyenne+AW16*Spend_For_Grande</f>
        <v>6899085154.84337</v>
      </c>
      <c r="AX37" s="33" t="n">
        <f aca="false">AX14*Spend_For_Petite+AX15*Spend_For_Moyenne+AX16*Spend_For_Grande</f>
        <v>7222513857.25725</v>
      </c>
      <c r="AY37" s="33" t="n">
        <f aca="false">AY14*Spend_For_Petite+AY15*Spend_For_Moyenne+AY16*Spend_For_Grande</f>
        <v>7543709091.0717</v>
      </c>
      <c r="AZ37" s="33" t="n">
        <f aca="false">AZ14*Spend_For_Petite+AZ15*Spend_For_Moyenne+AZ16*Spend_For_Grande</f>
        <v>7862795494.83639</v>
      </c>
      <c r="BA37" s="33" t="n">
        <f aca="false">BA14*Spend_For_Petite+BA15*Spend_For_Moyenne+BA16*Spend_For_Grande</f>
        <v>8195565646.18451</v>
      </c>
      <c r="BB37" s="33" t="n">
        <f aca="false">BB14*Spend_For_Petite+BB15*Spend_For_Moyenne+BB16*Spend_For_Grande</f>
        <v>8526299592.6137</v>
      </c>
      <c r="BC37" s="33" t="n">
        <f aca="false">BC14*Spend_For_Petite+BC15*Spend_For_Moyenne+BC16*Spend_For_Grande</f>
        <v>8855137282.49884</v>
      </c>
      <c r="BD37" s="33" t="n">
        <f aca="false">BD14*Spend_For_Petite+BD15*Spend_For_Moyenne+BD16*Spend_For_Grande</f>
        <v>9182223485.92739</v>
      </c>
      <c r="BE37" s="33" t="n">
        <f aca="false">BE14*Spend_For_Petite+BE15*Spend_For_Moyenne+BE16*Spend_For_Grande</f>
        <v>9507708138.84216</v>
      </c>
      <c r="BF37" s="33" t="n">
        <f aca="false">BF14*Spend_For_Petite+BF15*Spend_For_Moyenne+BF16*Spend_For_Grande</f>
        <v>9831746706.91288</v>
      </c>
      <c r="BG37" s="33" t="n">
        <f aca="false">BG14*Spend_For_Petite+BG15*Spend_For_Moyenne+BG16*Spend_For_Grande</f>
        <v>10154500570.3366</v>
      </c>
      <c r="BH37" s="33" t="n">
        <f aca="false">BH14*Spend_For_Petite+BH15*Spend_For_Moyenne+BH16*Spend_For_Grande</f>
        <v>10476137430.8387</v>
      </c>
      <c r="BI37" s="33" t="n">
        <f aca="false">BI14*Spend_For_Petite+BI15*Spend_For_Moyenne+BI16*Spend_For_Grande</f>
        <v>10796831742.2231</v>
      </c>
      <c r="BJ37" s="33" t="n">
        <f aca="false">BJ14*Spend_For_Petite+BJ15*Spend_For_Moyenne+BJ16*Spend_For_Grande</f>
        <v>11116765165.8983</v>
      </c>
      <c r="BK37" s="33" t="n">
        <f aca="false">BK14*Spend_For_Petite+BK15*Spend_For_Moyenne+BK16*Spend_For_Grande</f>
        <v>11434601319.1113</v>
      </c>
      <c r="BL37" s="33" t="n">
        <f aca="false">BL14*Spend_For_Petite+BL15*Spend_For_Moyenne+BL16*Spend_For_Grande</f>
        <v>11748786328.3355</v>
      </c>
    </row>
    <row r="38" customFormat="false" ht="15" hidden="false" customHeight="false" outlineLevel="0" collapsed="false">
      <c r="A38" s="12" t="s">
        <v>597</v>
      </c>
      <c r="B38" s="14" t="s">
        <v>63</v>
      </c>
      <c r="D38" s="41" t="n">
        <f aca="false">BL38</f>
        <v>116769846209.138</v>
      </c>
      <c r="E38" s="33" t="n">
        <f aca="false">E14*Balance_Petite+E15*Balance_Moyenne+E16*Balance_Grande</f>
        <v>0</v>
      </c>
      <c r="F38" s="33" t="n">
        <f aca="false">F14*Balance_Petite+F15*Balance_Moyenne+F16*Balance_Grande</f>
        <v>0</v>
      </c>
      <c r="G38" s="33" t="n">
        <f aca="false">G14*Balance_Petite+G15*Balance_Moyenne+G16*Balance_Grande</f>
        <v>0</v>
      </c>
      <c r="H38" s="33" t="n">
        <f aca="false">H14*Balance_Petite+H15*Balance_Moyenne+H16*Balance_Grande</f>
        <v>0</v>
      </c>
      <c r="I38" s="33" t="n">
        <f aca="false">I14*Balance_Petite+I15*Balance_Moyenne+I16*Balance_Grande</f>
        <v>417706666.666667</v>
      </c>
      <c r="J38" s="33" t="n">
        <f aca="false">J14*Balance_Petite+J15*Balance_Moyenne+J16*Balance_Grande</f>
        <v>835780533.333333</v>
      </c>
      <c r="K38" s="33" t="n">
        <f aca="false">K14*Balance_Petite+K15*Balance_Moyenne+K16*Balance_Grande</f>
        <v>1254543406</v>
      </c>
      <c r="L38" s="33" t="n">
        <f aca="false">L14*Balance_Petite+L15*Balance_Moyenne+L16*Balance_Grande</f>
        <v>1850332179.17167</v>
      </c>
      <c r="M38" s="33" t="n">
        <f aca="false">M14*Balance_Petite+M15*Balance_Moyenne+M16*Balance_Grande</f>
        <v>2445429808.25292</v>
      </c>
      <c r="N38" s="33" t="n">
        <f aca="false">N14*Balance_Petite+N15*Balance_Moyenne+N16*Balance_Grande</f>
        <v>3040234614.12431</v>
      </c>
      <c r="O38" s="33" t="n">
        <f aca="false">O14*Balance_Petite+O15*Balance_Moyenne+O16*Balance_Grande</f>
        <v>3635162659.41514</v>
      </c>
      <c r="P38" s="33" t="n">
        <f aca="false">P14*Balance_Petite+P15*Balance_Moyenne+P16*Balance_Grande</f>
        <v>4230648910.48467</v>
      </c>
      <c r="Q38" s="33" t="n">
        <f aca="false">Q14*Balance_Petite+Q15*Balance_Moyenne+Q16*Balance_Grande</f>
        <v>4980855134.10534</v>
      </c>
      <c r="R38" s="33" t="n">
        <f aca="false">R14*Balance_Petite+R15*Balance_Moyenne+R16*Balance_Grande</f>
        <v>5730743399.62781</v>
      </c>
      <c r="S38" s="33" t="n">
        <f aca="false">S14*Balance_Petite+S15*Balance_Moyenne+S16*Balance_Grande</f>
        <v>6480837751.15334</v>
      </c>
      <c r="T38" s="33" t="n">
        <f aca="false">T14*Balance_Petite+T15*Balance_Moyenne+T16*Balance_Grande</f>
        <v>7231686123.82832</v>
      </c>
      <c r="U38" s="33" t="n">
        <f aca="false">U14*Balance_Petite+U15*Balance_Moyenne+U16*Balance_Grande</f>
        <v>7983861896.19907</v>
      </c>
      <c r="V38" s="33" t="n">
        <f aca="false">V14*Balance_Petite+V15*Balance_Moyenne+V16*Balance_Grande</f>
        <v>8737965533.66254</v>
      </c>
      <c r="W38" s="33" t="n">
        <f aca="false">W14*Balance_Petite+W15*Balance_Moyenne+W16*Balance_Grande</f>
        <v>9701132995.18255</v>
      </c>
      <c r="X38" s="33" t="n">
        <f aca="false">X14*Balance_Petite+X15*Balance_Moyenne+X16*Balance_Grande</f>
        <v>11257856775.7707</v>
      </c>
      <c r="Y38" s="33" t="n">
        <f aca="false">Y14*Balance_Petite+Y15*Balance_Moyenne+Y16*Balance_Grande</f>
        <v>12812480953.5806</v>
      </c>
      <c r="Z38" s="33" t="n">
        <f aca="false">Z14*Balance_Petite+Z15*Balance_Moyenne+Z16*Balance_Grande</f>
        <v>14366022677.8802</v>
      </c>
      <c r="AA38" s="33" t="n">
        <f aca="false">AA14*Balance_Petite+AA15*Balance_Moyenne+AA16*Balance_Grande</f>
        <v>15919544247.2925</v>
      </c>
      <c r="AB38" s="33" t="n">
        <f aca="false">AB14*Balance_Petite+AB15*Balance_Moyenne+AB16*Balance_Grande</f>
        <v>17474156068.5908</v>
      </c>
      <c r="AC38" s="33" t="n">
        <f aca="false">AC14*Balance_Petite+AC15*Balance_Moyenne+AC16*Balance_Grande</f>
        <v>19339606455.3919</v>
      </c>
      <c r="AD38" s="33" t="n">
        <f aca="false">AD14*Balance_Petite+AD15*Balance_Moyenne+AD16*Balance_Grande</f>
        <v>21204895543.8876</v>
      </c>
      <c r="AE38" s="33" t="n">
        <f aca="false">AE14*Balance_Petite+AE15*Balance_Moyenne+AE16*Balance_Grande</f>
        <v>23071347178.877</v>
      </c>
      <c r="AF38" s="33" t="n">
        <f aca="false">AF14*Balance_Petite+AF15*Balance_Moyenne+AF16*Balance_Grande</f>
        <v>24940346219.0963</v>
      </c>
      <c r="AG38" s="33" t="n">
        <f aca="false">AG14*Balance_Petite+AG15*Balance_Moyenne+AG16*Balance_Grande</f>
        <v>26813342486.4634</v>
      </c>
      <c r="AH38" s="33" t="n">
        <f aca="false">AH14*Balance_Petite+AH15*Balance_Moyenne+AH16*Balance_Grande</f>
        <v>28691854947.3347</v>
      </c>
      <c r="AI38" s="33" t="n">
        <f aca="false">AI14*Balance_Petite+AI15*Balance_Moyenne+AI16*Balance_Grande</f>
        <v>30577476139.7828</v>
      </c>
      <c r="AJ38" s="33" t="n">
        <f aca="false">AJ14*Balance_Petite+AJ15*Balance_Moyenne+AJ16*Balance_Grande</f>
        <v>33061476861.7457</v>
      </c>
      <c r="AK38" s="33" t="n">
        <f aca="false">AK14*Balance_Petite+AK15*Balance_Moyenne+AK16*Balance_Grande</f>
        <v>35549076635.787</v>
      </c>
      <c r="AL38" s="33" t="n">
        <f aca="false">AL14*Balance_Petite+AL15*Balance_Moyenne+AL16*Balance_Grande</f>
        <v>38042212688.3961</v>
      </c>
      <c r="AM38" s="33" t="n">
        <f aca="false">AM14*Balance_Petite+AM15*Balance_Moyenne+AM16*Balance_Grande</f>
        <v>40542914827.3216</v>
      </c>
      <c r="AN38" s="33" t="n">
        <f aca="false">AN14*Balance_Petite+AN15*Balance_Moyenne+AN16*Balance_Grande</f>
        <v>43053311365.3577</v>
      </c>
      <c r="AO38" s="33" t="n">
        <f aca="false">AO14*Balance_Petite+AO15*Balance_Moyenne+AO16*Balance_Grande</f>
        <v>45729342059.9201</v>
      </c>
      <c r="AP38" s="33" t="n">
        <f aca="false">AP14*Balance_Petite+AP15*Balance_Moyenne+AP16*Balance_Grande</f>
        <v>48417836956.1374</v>
      </c>
      <c r="AQ38" s="33" t="n">
        <f aca="false">AQ14*Balance_Petite+AQ15*Balance_Moyenne+AQ16*Balance_Grande</f>
        <v>51121283715.9504</v>
      </c>
      <c r="AR38" s="33" t="n">
        <f aca="false">AR14*Balance_Petite+AR15*Balance_Moyenne+AR16*Balance_Grande</f>
        <v>53842295526.3723</v>
      </c>
      <c r="AS38" s="33" t="n">
        <f aca="false">AS14*Balance_Petite+AS15*Balance_Moyenne+AS16*Balance_Grande</f>
        <v>56570660823.044</v>
      </c>
      <c r="AT38" s="33" t="n">
        <f aca="false">AT14*Balance_Petite+AT15*Balance_Moyenne+AT16*Balance_Grande</f>
        <v>59279361100.7054</v>
      </c>
      <c r="AU38" s="33" t="n">
        <f aca="false">AU14*Balance_Petite+AU15*Balance_Moyenne+AU16*Balance_Grande</f>
        <v>61969358230.9876</v>
      </c>
      <c r="AV38" s="33" t="n">
        <f aca="false">AV14*Balance_Petite+AV15*Balance_Moyenne+AV16*Balance_Grande</f>
        <v>65231242744.5069</v>
      </c>
      <c r="AW38" s="33" t="n">
        <f aca="false">AW14*Balance_Petite+AW15*Balance_Moyenne+AW16*Balance_Grande</f>
        <v>68469501498.8492</v>
      </c>
      <c r="AX38" s="33" t="n">
        <f aca="false">AX14*Balance_Petite+AX15*Balance_Moyenne+AX16*Balance_Grande</f>
        <v>71685283690.2752</v>
      </c>
      <c r="AY38" s="33" t="n">
        <f aca="false">AY14*Balance_Petite+AY15*Balance_Moyenne+AY16*Balance_Grande</f>
        <v>74879772582.4402</v>
      </c>
      <c r="AZ38" s="33" t="n">
        <f aca="false">AZ14*Balance_Petite+AZ15*Balance_Moyenne+AZ16*Balance_Grande</f>
        <v>78054188089.7449</v>
      </c>
      <c r="BA38" s="33" t="n">
        <f aca="false">BA14*Balance_Petite+BA15*Balance_Moyenne+BA16*Balance_Grande</f>
        <v>81364669506.5259</v>
      </c>
      <c r="BB38" s="33" t="n">
        <f aca="false">BB14*Balance_Petite+BB15*Balance_Moyenne+BB16*Balance_Grande</f>
        <v>84655816791.003</v>
      </c>
      <c r="BC38" s="33" t="n">
        <f aca="false">BC14*Balance_Petite+BC15*Balance_Moyenne+BC16*Balance_Grande</f>
        <v>87929001695.4299</v>
      </c>
      <c r="BD38" s="33" t="n">
        <f aca="false">BD14*Balance_Petite+BD15*Balance_Moyenne+BD16*Balance_Grande</f>
        <v>91185644120.1963</v>
      </c>
      <c r="BE38" s="33" t="n">
        <f aca="false">BE14*Balance_Petite+BE15*Balance_Moyenne+BE16*Balance_Grande</f>
        <v>94427215527.6001</v>
      </c>
      <c r="BF38" s="33" t="n">
        <f aca="false">BF14*Balance_Petite+BF15*Balance_Moyenne+BF16*Balance_Grande</f>
        <v>97655242551.5687</v>
      </c>
      <c r="BG38" s="33" t="n">
        <f aca="false">BG14*Balance_Petite+BG15*Balance_Moyenne+BG16*Balance_Grande</f>
        <v>100871310815.246</v>
      </c>
      <c r="BH38" s="33" t="n">
        <f aca="false">BH14*Balance_Petite+BH15*Balance_Moyenne+BH16*Balance_Grande</f>
        <v>104077068969.076</v>
      </c>
      <c r="BI38" s="33" t="n">
        <f aca="false">BI14*Balance_Petite+BI15*Balance_Moyenne+BI16*Balance_Grande</f>
        <v>107274232962.758</v>
      </c>
      <c r="BJ38" s="33" t="n">
        <f aca="false">BJ14*Balance_Petite+BJ15*Balance_Moyenne+BJ16*Balance_Grande</f>
        <v>110464590565.277</v>
      </c>
      <c r="BK38" s="33" t="n">
        <f aca="false">BK14*Balance_Petite+BK15*Balance_Moyenne+BK16*Balance_Grande</f>
        <v>113634920240.931</v>
      </c>
      <c r="BL38" s="33" t="n">
        <f aca="false">BL14*Balance_Petite+BL15*Balance_Moyenne+BL16*Balance_Grande</f>
        <v>116769846209.138</v>
      </c>
    </row>
    <row r="39" customFormat="false" ht="15" hidden="false" customHeight="false" outlineLevel="0" collapsed="false">
      <c r="A39" s="12" t="s">
        <v>598</v>
      </c>
      <c r="B39" s="14" t="s">
        <v>63</v>
      </c>
      <c r="D39" s="41" t="n">
        <f aca="false">SUM(E39:BL39)</f>
        <v>1257087555543.09</v>
      </c>
      <c r="E39" s="33" t="n">
        <f aca="false">E31*Avg_Salary</f>
        <v>0</v>
      </c>
      <c r="F39" s="33" t="n">
        <f aca="false">F31*Avg_Salary</f>
        <v>0</v>
      </c>
      <c r="G39" s="33" t="n">
        <f aca="false">G31*Avg_Salary</f>
        <v>0</v>
      </c>
      <c r="H39" s="33" t="n">
        <f aca="false">H31*Avg_Salary</f>
        <v>0</v>
      </c>
      <c r="I39" s="33" t="n">
        <f aca="false">I31*Avg_Salary</f>
        <v>213600000</v>
      </c>
      <c r="J39" s="33" t="n">
        <f aca="false">J31*Avg_Salary</f>
        <v>427586000</v>
      </c>
      <c r="K39" s="33" t="n">
        <f aca="false">K31*Avg_Salary</f>
        <v>642119675</v>
      </c>
      <c r="L39" s="33" t="n">
        <f aca="false">L31*Avg_Salary</f>
        <v>947370615.6625</v>
      </c>
      <c r="M39" s="33" t="n">
        <f aca="false">M31*Avg_Salary</f>
        <v>1252541829.56022</v>
      </c>
      <c r="N39" s="33" t="n">
        <f aca="false">N31*Avg_Salary</f>
        <v>1557832459.56791</v>
      </c>
      <c r="O39" s="33" t="n">
        <f aca="false">O31*Avg_Salary</f>
        <v>1863450983.84072</v>
      </c>
      <c r="P39" s="33" t="n">
        <f aca="false">P31*Avg_Salary</f>
        <v>2169615814.26428</v>
      </c>
      <c r="Q39" s="33" t="n">
        <f aca="false">Q31*Avg_Salary</f>
        <v>2555155930.18628</v>
      </c>
      <c r="R39" s="33" t="n">
        <f aca="false">R31*Avg_Salary</f>
        <v>2940860049.55768</v>
      </c>
      <c r="S39" s="33" t="n">
        <f aca="false">S31*Avg_Salary</f>
        <v>3326990983.48871</v>
      </c>
      <c r="T39" s="33" t="n">
        <f aca="false">T31*Avg_Salary</f>
        <v>3713824092.66338</v>
      </c>
      <c r="U39" s="33" t="n">
        <f aca="false">U31*Avg_Salary</f>
        <v>4101648087.239</v>
      </c>
      <c r="V39" s="33" t="n">
        <f aca="false">V31*Avg_Salary</f>
        <v>4490765873.97775</v>
      </c>
      <c r="W39" s="33" t="n">
        <f aca="false">W31*Avg_Salary</f>
        <v>4987095453.4576</v>
      </c>
      <c r="X39" s="33" t="n">
        <f aca="false">X31*Avg_Salary</f>
        <v>5787346870.38047</v>
      </c>
      <c r="Y39" s="33" t="n">
        <f aca="false">Y31*Avg_Salary</f>
        <v>6587198920.17621</v>
      </c>
      <c r="Z39" s="33" t="n">
        <f aca="false">Z31*Avg_Salary</f>
        <v>7387160386.6429</v>
      </c>
      <c r="AA39" s="33" t="n">
        <f aca="false">AA31*Avg_Salary</f>
        <v>8187763807.71104</v>
      </c>
      <c r="AB39" s="33" t="n">
        <f aca="false">AB31*Avg_Salary</f>
        <v>8989566999.34116</v>
      </c>
      <c r="AC39" s="33" t="n">
        <f aca="false">AC31*Avg_Salary</f>
        <v>9950954669.25457</v>
      </c>
      <c r="AD39" s="33" t="n">
        <f aca="false">AD31*Avg_Salary</f>
        <v>10913030625.9151</v>
      </c>
      <c r="AE39" s="33" t="n">
        <f aca="false">AE31*Avg_Salary</f>
        <v>11876459957.2545</v>
      </c>
      <c r="AF39" s="33" t="n">
        <f aca="false">AF31*Avg_Salary</f>
        <v>12841939772.4192</v>
      </c>
      <c r="AG39" s="33" t="n">
        <f aca="false">AG31*Avg_Salary</f>
        <v>13810201237.2737</v>
      </c>
      <c r="AH39" s="33" t="n">
        <f aca="false">AH31*Avg_Salary</f>
        <v>14782011730.19</v>
      </c>
      <c r="AI39" s="33" t="n">
        <f aca="false">AI31*Avg_Salary</f>
        <v>15758177125.3686</v>
      </c>
      <c r="AJ39" s="33" t="n">
        <f aca="false">AJ31*Avg_Salary</f>
        <v>17041044211.3776</v>
      </c>
      <c r="AK39" s="33" t="n">
        <f aca="false">AK31*Avg_Salary</f>
        <v>18326737003.0529</v>
      </c>
      <c r="AL39" s="33" t="n">
        <f aca="false">AL31*Avg_Salary</f>
        <v>19616232783.5162</v>
      </c>
      <c r="AM39" s="33" t="n">
        <f aca="false">AM31*Avg_Salary</f>
        <v>20910557315.3597</v>
      </c>
      <c r="AN39" s="33" t="n">
        <f aca="false">AN31*Avg_Salary</f>
        <v>22210787895.917</v>
      </c>
      <c r="AO39" s="33" t="n">
        <f aca="false">AO31*Avg_Salary</f>
        <v>23596656593.4918</v>
      </c>
      <c r="AP39" s="33" t="n">
        <f aca="false">AP31*Avg_Salary</f>
        <v>24989902175.4411</v>
      </c>
      <c r="AQ39" s="33" t="n">
        <f aca="false">AQ31*Avg_Salary</f>
        <v>26391787383.4159</v>
      </c>
      <c r="AR39" s="33" t="n">
        <f aca="false">AR31*Avg_Salary</f>
        <v>27803640484.056</v>
      </c>
      <c r="AS39" s="33" t="n">
        <f aca="false">AS31*Avg_Salary</f>
        <v>29220233007.2167</v>
      </c>
      <c r="AT39" s="33" t="n">
        <f aca="false">AT31*Avg_Salary</f>
        <v>30627737291.461</v>
      </c>
      <c r="AU39" s="33" t="n">
        <f aca="false">AU31*Avg_Salary</f>
        <v>32026621186.6451</v>
      </c>
      <c r="AV39" s="33" t="n">
        <f aca="false">AV31*Avg_Salary</f>
        <v>33718868034.9194</v>
      </c>
      <c r="AW39" s="33" t="n">
        <f aca="false">AW31*Avg_Salary</f>
        <v>35400211529.5803</v>
      </c>
      <c r="AX39" s="33" t="n">
        <f aca="false">AX31*Avg_Salary</f>
        <v>37071210215.7182</v>
      </c>
      <c r="AY39" s="33" t="n">
        <f aca="false">AY31*Avg_Salary</f>
        <v>38732441066.4274</v>
      </c>
      <c r="AZ39" s="33" t="n">
        <f aca="false">AZ31*Avg_Salary</f>
        <v>40384500803.9024</v>
      </c>
      <c r="BA39" s="33" t="n">
        <f aca="false">BA31*Avg_Salary</f>
        <v>42107207296.3577</v>
      </c>
      <c r="BB39" s="33" t="n">
        <f aca="false">BB31*Avg_Salary</f>
        <v>43821143035.3798</v>
      </c>
      <c r="BC39" s="33" t="n">
        <f aca="false">BC31*Avg_Salary</f>
        <v>45526983423.5958</v>
      </c>
      <c r="BD39" s="33" t="n">
        <f aca="false">BD31*Avg_Salary</f>
        <v>47225429548.9732</v>
      </c>
      <c r="BE39" s="33" t="n">
        <f aca="false">BE31*Avg_Salary</f>
        <v>48917209936.429</v>
      </c>
      <c r="BF39" s="33" t="n">
        <f aca="false">BF31*Avg_Salary</f>
        <v>50603082401.1893</v>
      </c>
      <c r="BG39" s="33" t="n">
        <f aca="false">BG31*Avg_Salary</f>
        <v>52283836010.0624</v>
      </c>
      <c r="BH39" s="33" t="n">
        <f aca="false">BH31*Avg_Salary</f>
        <v>53960293157.1568</v>
      </c>
      <c r="BI39" s="33" t="n">
        <f aca="false">BI31*Avg_Salary</f>
        <v>55633311760.966</v>
      </c>
      <c r="BJ39" s="33" t="n">
        <f aca="false">BJ31*Avg_Salary</f>
        <v>57303787590.1577</v>
      </c>
      <c r="BK39" s="33" t="n">
        <f aca="false">BK31*Avg_Salary</f>
        <v>58964942341.5398</v>
      </c>
      <c r="BL39" s="33" t="n">
        <f aca="false">BL31*Avg_Salary</f>
        <v>60608890109.3955</v>
      </c>
    </row>
    <row r="40" customFormat="false" ht="15" hidden="false" customHeight="false" outlineLevel="0" collapsed="false">
      <c r="A40" s="12" t="s">
        <v>599</v>
      </c>
      <c r="B40" s="14" t="s">
        <v>226</v>
      </c>
      <c r="D40" s="41" t="n">
        <f aca="false">SUM(E40:BL40)</f>
        <v>9133521.85715595</v>
      </c>
      <c r="E40" s="33" t="n">
        <f aca="false">E14*Supplier_Petite+E15*Supplier_Moyenne+E16*Supplier_Grande</f>
        <v>0</v>
      </c>
      <c r="F40" s="33" t="n">
        <f aca="false">F14*Supplier_Petite+F15*Supplier_Moyenne+F16*Supplier_Grande</f>
        <v>0</v>
      </c>
      <c r="G40" s="33" t="n">
        <f aca="false">G14*Supplier_Petite+G15*Supplier_Moyenne+G16*Supplier_Grande</f>
        <v>0</v>
      </c>
      <c r="H40" s="33" t="n">
        <f aca="false">H14*Supplier_Petite+H15*Supplier_Moyenne+H16*Supplier_Grande</f>
        <v>0</v>
      </c>
      <c r="I40" s="33" t="n">
        <f aca="false">I14*Supplier_Petite+I15*Supplier_Moyenne+I16*Supplier_Grande</f>
        <v>1566.4</v>
      </c>
      <c r="J40" s="33" t="n">
        <f aca="false">J14*Supplier_Petite+J15*Supplier_Moyenne+J16*Supplier_Grande</f>
        <v>3134.444</v>
      </c>
      <c r="K40" s="33" t="n">
        <f aca="false">K14*Supplier_Petite+K15*Supplier_Moyenne+K16*Supplier_Grande</f>
        <v>4705.33347</v>
      </c>
      <c r="L40" s="33" t="n">
        <f aca="false">L14*Supplier_Petite+L15*Supplier_Moyenne+L16*Supplier_Grande</f>
        <v>6940.326769975</v>
      </c>
      <c r="M40" s="33" t="n">
        <f aca="false">M14*Supplier_Petite+M15*Supplier_Moyenne+M16*Supplier_Grande</f>
        <v>9173.09279981769</v>
      </c>
      <c r="N40" s="33" t="n">
        <f aca="false">N14*Supplier_Petite+N15*Supplier_Moyenne+N16*Supplier_Grande</f>
        <v>11405.1172392522</v>
      </c>
      <c r="O40" s="33" t="n">
        <f aca="false">O14*Supplier_Petite+O15*Supplier_Moyenne+O16*Supplier_Grande</f>
        <v>13637.9527103777</v>
      </c>
      <c r="P40" s="33" t="n">
        <f aca="false">P14*Supplier_Petite+P15*Supplier_Moyenne+P16*Supplier_Grande</f>
        <v>15873.2231382225</v>
      </c>
      <c r="Q40" s="33" t="n">
        <f aca="false">Q14*Supplier_Petite+Q15*Supplier_Moyenne+Q16*Supplier_Grande</f>
        <v>18689.0283670959</v>
      </c>
      <c r="R40" s="33" t="n">
        <f aca="false">R14*Supplier_Petite+R15*Supplier_Moyenne+R16*Supplier_Grande</f>
        <v>21504.0680481896</v>
      </c>
      <c r="S40" s="33" t="n">
        <f aca="false">S14*Supplier_Petite+S15*Supplier_Moyenne+S16*Supplier_Grande</f>
        <v>24320.2982223078</v>
      </c>
      <c r="T40" s="33" t="n">
        <f aca="false">T14*Supplier_Petite+T15*Supplier_Moyenne+T16*Supplier_Grande</f>
        <v>27139.7650342777</v>
      </c>
      <c r="U40" s="33" t="n">
        <f aca="false">U14*Supplier_Petite+U15*Supplier_Moyenne+U16*Supplier_Grande</f>
        <v>29964.6105592675</v>
      </c>
      <c r="V40" s="33" t="n">
        <f aca="false">V14*Supplier_Petite+V15*Supplier_Moyenne+V16*Supplier_Grande</f>
        <v>32797.0789715846</v>
      </c>
      <c r="W40" s="33" t="n">
        <f aca="false">W14*Supplier_Petite+W15*Supplier_Moyenne+W16*Supplier_Grande</f>
        <v>36413.9230766318</v>
      </c>
      <c r="X40" s="33" t="n">
        <f aca="false">X14*Supplier_Petite+X15*Supplier_Moyenne+X16*Supplier_Grande</f>
        <v>42257.1152279358</v>
      </c>
      <c r="Y40" s="33" t="n">
        <f aca="false">Y14*Supplier_Petite+Y15*Supplier_Moyenne+Y16*Supplier_Grande</f>
        <v>48093.3143724752</v>
      </c>
      <c r="Z40" s="33" t="n">
        <f aca="false">Z14*Supplier_Petite+Z15*Supplier_Moyenne+Z16*Supplier_Grande</f>
        <v>53926.3150690267</v>
      </c>
      <c r="AA40" s="33" t="n">
        <f aca="false">AA14*Supplier_Petite+AA15*Supplier_Moyenne+AA16*Supplier_Grande</f>
        <v>59760.0822223219</v>
      </c>
      <c r="AB40" s="33" t="n">
        <f aca="false">AB14*Supplier_Petite+AB15*Supplier_Moyenne+AB16*Supplier_Grande</f>
        <v>65598.7621866473</v>
      </c>
      <c r="AC40" s="33" t="n">
        <f aca="false">AC14*Supplier_Petite+AC15*Supplier_Moyenne+AC16*Supplier_Grande</f>
        <v>72603.8945207505</v>
      </c>
      <c r="AD40" s="33" t="n">
        <f aca="false">AD14*Supplier_Petite+AD15*Supplier_Moyenne+AD16*Supplier_Grande</f>
        <v>79609.411433399</v>
      </c>
      <c r="AE40" s="33" t="n">
        <f aca="false">AE14*Supplier_Petite+AE15*Supplier_Moyenne+AE16*Supplier_Grande</f>
        <v>86620.2564587938</v>
      </c>
      <c r="AF40" s="33" t="n">
        <f aca="false">AF14*Supplier_Petite+AF15*Supplier_Moyenne+AF16*Supplier_Grande</f>
        <v>93641.6031865559</v>
      </c>
      <c r="AG40" s="33" t="n">
        <f aca="false">AG14*Supplier_Petite+AG15*Supplier_Moyenne+AG16*Supplier_Grande</f>
        <v>100678.870085196</v>
      </c>
      <c r="AH40" s="33" t="n">
        <f aca="false">AH14*Supplier_Petite+AH15*Supplier_Moyenne+AH16*Supplier_Grande</f>
        <v>107737.736197823</v>
      </c>
      <c r="AI40" s="33" t="n">
        <f aca="false">AI14*Supplier_Petite+AI15*Supplier_Moyenne+AI16*Supplier_Grande</f>
        <v>114824.157762735</v>
      </c>
      <c r="AJ40" s="33" t="n">
        <f aca="false">AJ14*Supplier_Petite+AJ15*Supplier_Moyenne+AJ16*Supplier_Grande</f>
        <v>124155.385814685</v>
      </c>
      <c r="AK40" s="33" t="n">
        <f aca="false">AK14*Supplier_Petite+AK15*Supplier_Moyenne+AK16*Supplier_Grande</f>
        <v>133501.357325957</v>
      </c>
      <c r="AL40" s="33" t="n">
        <f aca="false">AL14*Supplier_Petite+AL15*Supplier_Moyenne+AL16*Supplier_Grande</f>
        <v>142869.312906193</v>
      </c>
      <c r="AM40" s="33" t="n">
        <f aca="false">AM14*Supplier_Petite+AM15*Supplier_Moyenne+AM16*Supplier_Grande</f>
        <v>152266.842048343</v>
      </c>
      <c r="AN40" s="33" t="n">
        <f aca="false">AN14*Supplier_Petite+AN15*Supplier_Moyenne+AN16*Supplier_Grande</f>
        <v>161701.905367636</v>
      </c>
      <c r="AO40" s="33" t="n">
        <f aca="false">AO14*Supplier_Petite+AO15*Supplier_Moyenne+AO16*Supplier_Grande</f>
        <v>171759.258152979</v>
      </c>
      <c r="AP40" s="33" t="n">
        <f aca="false">AP14*Supplier_Petite+AP15*Supplier_Moyenne+AP16*Supplier_Grande</f>
        <v>181864.594309915</v>
      </c>
      <c r="AQ40" s="33" t="n">
        <f aca="false">AQ14*Supplier_Petite+AQ15*Supplier_Moyenne+AQ16*Supplier_Grande</f>
        <v>192027.224186518</v>
      </c>
      <c r="AR40" s="33" t="n">
        <f aca="false">AR14*Supplier_Petite+AR15*Supplier_Moyenne+AR16*Supplier_Grande</f>
        <v>202256.93079033</v>
      </c>
      <c r="AS40" s="33" t="n">
        <f aca="false">AS14*Supplier_Petite+AS15*Supplier_Moyenne+AS16*Supplier_Grande</f>
        <v>212515.406292441</v>
      </c>
      <c r="AT40" s="33" t="n">
        <f aca="false">AT14*Supplier_Petite+AT15*Supplier_Moyenne+AT16*Supplier_Grande</f>
        <v>222701.310578722</v>
      </c>
      <c r="AU40" s="33" t="n">
        <f aca="false">AU14*Supplier_Petite+AU15*Supplier_Moyenne+AU16*Supplier_Grande</f>
        <v>232818.213078867</v>
      </c>
      <c r="AV40" s="33" t="n">
        <f aca="false">AV14*Supplier_Petite+AV15*Supplier_Moyenne+AV16*Supplier_Grande</f>
        <v>245080.79206008</v>
      </c>
      <c r="AW40" s="33" t="n">
        <f aca="false">AW14*Supplier_Petite+AW15*Supplier_Moyenne+AW16*Supplier_Grande</f>
        <v>257256.215248285</v>
      </c>
      <c r="AX40" s="33" t="n">
        <f aca="false">AX14*Supplier_Petite+AX15*Supplier_Moyenne+AX16*Supplier_Grande</f>
        <v>269348.746366355</v>
      </c>
      <c r="AY40" s="33" t="n">
        <f aca="false">AY14*Supplier_Petite+AY15*Supplier_Moyenne+AY16*Supplier_Grande</f>
        <v>281362.778538457</v>
      </c>
      <c r="AZ40" s="33" t="n">
        <f aca="false">AZ14*Supplier_Petite+AZ15*Supplier_Moyenne+AZ16*Supplier_Grande</f>
        <v>293302.843966767</v>
      </c>
      <c r="BA40" s="33" t="n">
        <f aca="false">BA14*Supplier_Petite+BA15*Supplier_Moyenne+BA16*Supplier_Grande</f>
        <v>305754.424156899</v>
      </c>
      <c r="BB40" s="33" t="n">
        <f aca="false">BB14*Supplier_Petite+BB15*Supplier_Moyenne+BB16*Supplier_Grande</f>
        <v>318134.828725551</v>
      </c>
      <c r="BC40" s="33" t="n">
        <f aca="false">BC14*Supplier_Petite+BC15*Supplier_Moyenne+BC16*Supplier_Grande</f>
        <v>330449.16091585</v>
      </c>
      <c r="BD40" s="33" t="n">
        <f aca="false">BD14*Supplier_Petite+BD15*Supplier_Moyenne+BD16*Supplier_Grande</f>
        <v>342702.706219324</v>
      </c>
      <c r="BE40" s="33" t="n">
        <f aca="false">BE14*Supplier_Petite+BE15*Supplier_Moyenne+BE16*Supplier_Grande</f>
        <v>354900.945174614</v>
      </c>
      <c r="BF40" s="33" t="n">
        <f aca="false">BF14*Supplier_Petite+BF15*Supplier_Moyenne+BF16*Supplier_Grande</f>
        <v>367049.566903163</v>
      </c>
      <c r="BG40" s="33" t="n">
        <f aca="false">BG14*Supplier_Petite+BG15*Supplier_Moyenne+BG16*Supplier_Grande</f>
        <v>379154.483426682</v>
      </c>
      <c r="BH40" s="33" t="n">
        <f aca="false">BH14*Supplier_Petite+BH15*Supplier_Moyenne+BH16*Supplier_Grande</f>
        <v>391221.844813812</v>
      </c>
      <c r="BI40" s="33" t="n">
        <f aca="false">BI14*Supplier_Petite+BI15*Supplier_Moyenne+BI16*Supplier_Grande</f>
        <v>403258.055206281</v>
      </c>
      <c r="BJ40" s="33" t="n">
        <f aca="false">BJ14*Supplier_Petite+BJ15*Supplier_Moyenne+BJ16*Supplier_Grande</f>
        <v>415269.789777831</v>
      </c>
      <c r="BK40" s="33" t="n">
        <f aca="false">BK14*Supplier_Petite+BK15*Supplier_Moyenne+BK16*Supplier_Grande</f>
        <v>427207.440530852</v>
      </c>
      <c r="BL40" s="33" t="n">
        <f aca="false">BL14*Supplier_Petite+BL15*Supplier_Moyenne+BL16*Supplier_Grande</f>
        <v>439013.313141899</v>
      </c>
    </row>
    <row r="41" customFormat="false" ht="15" hidden="false" customHeight="false" outlineLevel="0" collapsed="false">
      <c r="A41" s="12" t="s">
        <v>600</v>
      </c>
      <c r="B41" s="14" t="s">
        <v>226</v>
      </c>
      <c r="D41" s="41" t="n">
        <f aca="false">SUM(E41:BL41)</f>
        <v>1573196.57484301</v>
      </c>
      <c r="E41" s="33" t="n">
        <f aca="false">E14*Overage_Petite+E15*Overage_Moyenne+E16*Overage_Grande</f>
        <v>0</v>
      </c>
      <c r="F41" s="33" t="n">
        <f aca="false">F14*Overage_Petite+F15*Overage_Moyenne+F16*Overage_Grande</f>
        <v>0</v>
      </c>
      <c r="G41" s="33" t="n">
        <f aca="false">G14*Overage_Petite+G15*Overage_Moyenne+G16*Overage_Grande</f>
        <v>0</v>
      </c>
      <c r="H41" s="33" t="n">
        <f aca="false">H14*Overage_Petite+H15*Overage_Moyenne+H16*Overage_Grande</f>
        <v>0</v>
      </c>
      <c r="I41" s="33" t="n">
        <f aca="false">I14*Overage_Petite+I15*Overage_Moyenne+I16*Overage_Grande</f>
        <v>261.066666666667</v>
      </c>
      <c r="J41" s="33" t="n">
        <f aca="false">J14*Overage_Petite+J15*Overage_Moyenne+J16*Overage_Grande</f>
        <v>523.119333333333</v>
      </c>
      <c r="K41" s="33" t="n">
        <f aca="false">K14*Overage_Petite+K15*Overage_Moyenne+K16*Overage_Grande</f>
        <v>786.348555</v>
      </c>
      <c r="L41" s="33" t="n">
        <f aca="false">L14*Overage_Petite+L15*Overage_Moyenne+L16*Overage_Grande</f>
        <v>1160.95506812917</v>
      </c>
      <c r="M41" s="33" t="n">
        <f aca="false">M14*Overage_Petite+M15*Overage_Moyenne+M16*Overage_Grande</f>
        <v>1536.17541425205</v>
      </c>
      <c r="N41" s="33" t="n">
        <f aca="false">N14*Overage_Petite+N15*Overage_Moyenne+N16*Overage_Grande</f>
        <v>1912.24178835418</v>
      </c>
      <c r="O41" s="33" t="n">
        <f aca="false">O14*Overage_Petite+O15*Overage_Moyenne+O16*Overage_Grande</f>
        <v>2289.39845943487</v>
      </c>
      <c r="P41" s="33" t="n">
        <f aca="false">P14*Overage_Petite+P15*Overage_Moyenne+P16*Overage_Grande</f>
        <v>2667.90251378632</v>
      </c>
      <c r="Q41" s="33" t="n">
        <f aca="false">Q14*Overage_Petite+Q15*Overage_Moyenne+Q16*Overage_Grande</f>
        <v>3144.09130933347</v>
      </c>
      <c r="R41" s="33" t="n">
        <f aca="false">R14*Overage_Petite+R15*Overage_Moyenne+R16*Overage_Grande</f>
        <v>3621.33181036728</v>
      </c>
      <c r="S41" s="33" t="n">
        <f aca="false">S14*Overage_Petite+S15*Overage_Moyenne+S16*Overage_Grande</f>
        <v>4099.93249591394</v>
      </c>
      <c r="T41" s="33" t="n">
        <f aca="false">T14*Overage_Petite+T15*Overage_Moyenne+T16*Overage_Grande</f>
        <v>4580.21802617182</v>
      </c>
      <c r="U41" s="33" t="n">
        <f aca="false">U14*Overage_Petite+U15*Overage_Moyenne+U16*Overage_Grande</f>
        <v>5062.53023692921</v>
      </c>
      <c r="V41" s="33" t="n">
        <f aca="false">V14*Overage_Petite+V15*Overage_Moyenne+V16*Overage_Grande</f>
        <v>5547.22919339423</v>
      </c>
      <c r="W41" s="33" t="n">
        <f aca="false">W14*Overage_Petite+W15*Overage_Moyenne+W16*Overage_Grande</f>
        <v>6163.76097367138</v>
      </c>
      <c r="X41" s="33" t="n">
        <f aca="false">X14*Overage_Petite+X15*Overage_Moyenne+X16*Overage_Grande</f>
        <v>7152.794852333</v>
      </c>
      <c r="Y41" s="33" t="n">
        <f aca="false">Y14*Overage_Petite+Y15*Overage_Moyenne+Y16*Overage_Grande</f>
        <v>8143.09833476061</v>
      </c>
      <c r="Z41" s="33" t="n">
        <f aca="false">Z14*Overage_Petite+Z15*Overage_Moyenne+Z16*Overage_Grande</f>
        <v>9135.26519998859</v>
      </c>
      <c r="AA41" s="33" t="n">
        <f aca="false">AA14*Overage_Petite+AA15*Overage_Moyenne+AA16*Overage_Grande</f>
        <v>10129.9199460274</v>
      </c>
      <c r="AB41" s="33" t="n">
        <f aca="false">AB14*Overage_Petite+AB15*Overage_Moyenne+AB16*Overage_Grande</f>
        <v>11127.7196826324</v>
      </c>
      <c r="AC41" s="33" t="n">
        <f aca="false">AC14*Overage_Petite+AC15*Overage_Moyenne+AC16*Overage_Grande</f>
        <v>12322.2228037723</v>
      </c>
      <c r="AD41" s="33" t="n">
        <f aca="false">AD14*Overage_Petite+AD15*Overage_Moyenne+AD16*Overage_Grande</f>
        <v>13519.5816132535</v>
      </c>
      <c r="AE41" s="33" t="n">
        <f aca="false">AE14*Overage_Petite+AE15*Overage_Moyenne+AE16*Overage_Grande</f>
        <v>14720.5796861108</v>
      </c>
      <c r="AF41" s="33" t="n">
        <f aca="false">AF14*Overage_Petite+AF15*Overage_Moyenne+AF16*Overage_Grande</f>
        <v>15926.0418185653</v>
      </c>
      <c r="AG41" s="33" t="n">
        <f aca="false">AG14*Overage_Petite+AG15*Overage_Moyenne+AG16*Overage_Grande</f>
        <v>17136.8365597656</v>
      </c>
      <c r="AH41" s="33" t="n">
        <f aca="false">AH14*Overage_Petite+AH15*Overage_Moyenne+AH16*Overage_Grande</f>
        <v>18353.8788948063</v>
      </c>
      <c r="AI41" s="33" t="n">
        <f aca="false">AI14*Overage_Petite+AI15*Overage_Moyenne+AI16*Overage_Grande</f>
        <v>19578.1330881088</v>
      </c>
      <c r="AJ41" s="33" t="n">
        <f aca="false">AJ14*Overage_Petite+AJ15*Overage_Moyenne+AJ16*Overage_Grande</f>
        <v>21179.1156967923</v>
      </c>
      <c r="AK41" s="33" t="n">
        <f aca="false">AK14*Overage_Petite+AK15*Overage_Moyenne+AK16*Overage_Grande</f>
        <v>22786.1325142421</v>
      </c>
      <c r="AL41" s="33" t="n">
        <f aca="false">AL14*Overage_Petite+AL15*Overage_Moyenne+AL16*Overage_Grande</f>
        <v>24400.3452328184</v>
      </c>
      <c r="AM41" s="33" t="n">
        <f aca="false">AM14*Overage_Petite+AM15*Overage_Moyenne+AM16*Overage_Grande</f>
        <v>26022.9776934464</v>
      </c>
      <c r="AN41" s="33" t="n">
        <f aca="false">AN14*Overage_Petite+AN15*Overage_Moyenne+AN16*Overage_Grande</f>
        <v>27655.3196906233</v>
      </c>
      <c r="AO41" s="33" t="n">
        <f aca="false">AO14*Overage_Petite+AO15*Overage_Moyenne+AO16*Overage_Grande</f>
        <v>29394.7976715794</v>
      </c>
      <c r="AP41" s="33" t="n">
        <f aca="false">AP14*Overage_Petite+AP15*Overage_Moyenne+AP16*Overage_Grande</f>
        <v>31145.9275099164</v>
      </c>
      <c r="AQ41" s="33" t="n">
        <f aca="false">AQ14*Overage_Petite+AQ15*Overage_Moyenne+AQ16*Overage_Grande</f>
        <v>32910.2300586192</v>
      </c>
      <c r="AR41" s="33" t="n">
        <f aca="false">AR14*Overage_Petite+AR15*Overage_Moyenne+AR16*Overage_Grande</f>
        <v>34689.3096792231</v>
      </c>
      <c r="AS41" s="33" t="n">
        <f aca="false">AS14*Overage_Petite+AS15*Overage_Moyenne+AS16*Overage_Grande</f>
        <v>36476.7604701489</v>
      </c>
      <c r="AT41" s="33" t="n">
        <f aca="false">AT14*Overage_Petite+AT15*Overage_Moyenne+AT16*Overage_Grande</f>
        <v>38255.6540932258</v>
      </c>
      <c r="AU41" s="33" t="n">
        <f aca="false">AU14*Overage_Petite+AU15*Overage_Moyenne+AU16*Overage_Grande</f>
        <v>40026.5016765444</v>
      </c>
      <c r="AV41" s="33" t="n">
        <f aca="false">AV14*Overage_Petite+AV15*Overage_Moyenne+AV16*Overage_Grande</f>
        <v>42158.3353813624</v>
      </c>
      <c r="AW41" s="33" t="n">
        <f aca="false">AW14*Overage_Petite+AW15*Overage_Moyenne+AW16*Overage_Grande</f>
        <v>44279.9435107331</v>
      </c>
      <c r="AX41" s="33" t="n">
        <f aca="false">AX14*Overage_Petite+AX15*Overage_Moyenne+AX16*Overage_Grande</f>
        <v>46391.9352267465</v>
      </c>
      <c r="AY41" s="33" t="n">
        <f aca="false">AY14*Overage_Petite+AY15*Overage_Moyenne+AY16*Overage_Grande</f>
        <v>48494.944737498</v>
      </c>
      <c r="AZ41" s="33" t="n">
        <f aca="false">AZ14*Overage_Petite+AZ15*Overage_Moyenne+AZ16*Overage_Grande</f>
        <v>50589.6329152952</v>
      </c>
      <c r="BA41" s="33" t="n">
        <f aca="false">BA14*Overage_Petite+BA15*Overage_Moyenne+BA16*Overage_Grande</f>
        <v>52773.4890107268</v>
      </c>
      <c r="BB41" s="33" t="n">
        <f aca="false">BB14*Overage_Petite+BB15*Overage_Moyenne+BB16*Overage_Grande</f>
        <v>54949.574468359</v>
      </c>
      <c r="BC41" s="33" t="n">
        <f aca="false">BC14*Overage_Petite+BC15*Overage_Moyenne+BC16*Overage_Grande</f>
        <v>57118.6489351707</v>
      </c>
      <c r="BD41" s="33" t="n">
        <f aca="false">BD14*Overage_Petite+BD15*Overage_Moyenne+BD16*Overage_Grande</f>
        <v>59281.506131942</v>
      </c>
      <c r="BE41" s="33" t="n">
        <f aca="false">BE14*Overage_Petite+BE15*Overage_Moyenne+BE16*Overage_Grande</f>
        <v>61438.9760128569</v>
      </c>
      <c r="BF41" s="33" t="n">
        <f aca="false">BF14*Overage_Petite+BF15*Overage_Moyenne+BF16*Overage_Grande</f>
        <v>63591.927053455</v>
      </c>
      <c r="BG41" s="33" t="n">
        <f aca="false">BG14*Overage_Petite+BG15*Overage_Moyenne+BG16*Overage_Grande</f>
        <v>65741.2686746517</v>
      </c>
      <c r="BH41" s="33" t="n">
        <f aca="false">BH14*Overage_Petite+BH15*Overage_Moyenne+BH16*Overage_Grande</f>
        <v>67887.9538109995</v>
      </c>
      <c r="BI41" s="33" t="n">
        <f aca="false">BI14*Overage_Petite+BI15*Overage_Moyenne+BI16*Overage_Grande</f>
        <v>70032.9816318625</v>
      </c>
      <c r="BJ41" s="33" t="n">
        <f aca="false">BJ14*Overage_Petite+BJ15*Overage_Moyenne+BJ16*Overage_Grande</f>
        <v>72177.4004246898</v>
      </c>
      <c r="BK41" s="33" t="n">
        <f aca="false">BK14*Overage_Petite+BK15*Overage_Moyenne+BK16*Overage_Grande</f>
        <v>74312.8819582019</v>
      </c>
      <c r="BL41" s="33" t="n">
        <f aca="false">BL14*Overage_Petite+BL15*Overage_Moyenne+BL16*Overage_Grande</f>
        <v>76429.7286464205</v>
      </c>
    </row>
    <row r="42" customFormat="false" ht="15" hidden="false" customHeight="false" outlineLevel="0" collapsed="false">
      <c r="A42" s="12" t="s">
        <v>601</v>
      </c>
      <c r="B42" s="14" t="s">
        <v>115</v>
      </c>
      <c r="E42" s="45" t="n">
        <f aca="false">IF(E$3&gt;=PayLinks_Start,MIN(1,(E$3-PayLinks_Start+1)/PL_Ramp)*PL_Adoption,0)</f>
        <v>0</v>
      </c>
      <c r="F42" s="45" t="n">
        <f aca="false">IF(F$3&gt;=PayLinks_Start,MIN(1,(F$3-PayLinks_Start+1)/PL_Ramp)*PL_Adoption,0)</f>
        <v>0</v>
      </c>
      <c r="G42" s="45" t="n">
        <f aca="false">IF(G$3&gt;=PayLinks_Start,MIN(1,(G$3-PayLinks_Start+1)/PL_Ramp)*PL_Adoption,0)</f>
        <v>0</v>
      </c>
      <c r="H42" s="45" t="n">
        <f aca="false">IF(H$3&gt;=PayLinks_Start,MIN(1,(H$3-PayLinks_Start+1)/PL_Ramp)*PL_Adoption,0)</f>
        <v>0</v>
      </c>
      <c r="I42" s="45" t="n">
        <f aca="false">IF(I$3&gt;=PayLinks_Start,MIN(1,(I$3-PayLinks_Start+1)/PL_Ramp)*PL_Adoption,0)</f>
        <v>0</v>
      </c>
      <c r="J42" s="45" t="n">
        <f aca="false">IF(J$3&gt;=PayLinks_Start,MIN(1,(J$3-PayLinks_Start+1)/PL_Ramp)*PL_Adoption,0)</f>
        <v>0</v>
      </c>
      <c r="K42" s="45" t="n">
        <f aca="false">IF(K$3&gt;=PayLinks_Start,MIN(1,(K$3-PayLinks_Start+1)/PL_Ramp)*PL_Adoption,0)</f>
        <v>0</v>
      </c>
      <c r="L42" s="45" t="n">
        <f aca="false">IF(L$3&gt;=PayLinks_Start,MIN(1,(L$3-PayLinks_Start+1)/PL_Ramp)*PL_Adoption,0)</f>
        <v>0</v>
      </c>
      <c r="M42" s="45" t="n">
        <f aca="false">IF(M$3&gt;=PayLinks_Start,MIN(1,(M$3-PayLinks_Start+1)/PL_Ramp)*PL_Adoption,0)</f>
        <v>0</v>
      </c>
      <c r="N42" s="45" t="n">
        <f aca="false">IF(N$3&gt;=PayLinks_Start,MIN(1,(N$3-PayLinks_Start+1)/PL_Ramp)*PL_Adoption,0)</f>
        <v>0</v>
      </c>
      <c r="O42" s="45" t="n">
        <f aca="false">IF(O$3&gt;=PayLinks_Start,MIN(1,(O$3-PayLinks_Start+1)/PL_Ramp)*PL_Adoption,0)</f>
        <v>0</v>
      </c>
      <c r="P42" s="45" t="n">
        <f aca="false">IF(P$3&gt;=PayLinks_Start,MIN(1,(P$3-PayLinks_Start+1)/PL_Ramp)*PL_Adoption,0)</f>
        <v>0</v>
      </c>
      <c r="Q42" s="45" t="n">
        <f aca="false">IF(Q$3&gt;=PayLinks_Start,MIN(1,(Q$3-PayLinks_Start+1)/PL_Ramp)*PL_Adoption,0)</f>
        <v>0</v>
      </c>
      <c r="R42" s="45" t="n">
        <f aca="false">IF(R$3&gt;=PayLinks_Start,MIN(1,(R$3-PayLinks_Start+1)/PL_Ramp)*PL_Adoption,0)</f>
        <v>0</v>
      </c>
      <c r="S42" s="45" t="n">
        <f aca="false">IF(S$3&gt;=PayLinks_Start,MIN(1,(S$3-PayLinks_Start+1)/PL_Ramp)*PL_Adoption,0)</f>
        <v>0</v>
      </c>
      <c r="T42" s="45" t="n">
        <f aca="false">IF(T$3&gt;=PayLinks_Start,MIN(1,(T$3-PayLinks_Start+1)/PL_Ramp)*PL_Adoption,0)</f>
        <v>0</v>
      </c>
      <c r="U42" s="45" t="n">
        <f aca="false">IF(U$3&gt;=PayLinks_Start,MIN(1,(U$3-PayLinks_Start+1)/PL_Ramp)*PL_Adoption,0)</f>
        <v>0</v>
      </c>
      <c r="V42" s="45" t="n">
        <f aca="false">IF(V$3&gt;=PayLinks_Start,MIN(1,(V$3-PayLinks_Start+1)/PL_Ramp)*PL_Adoption,0)</f>
        <v>0.0208333333333333</v>
      </c>
      <c r="W42" s="45" t="n">
        <f aca="false">IF(W$3&gt;=PayLinks_Start,MIN(1,(W$3-PayLinks_Start+1)/PL_Ramp)*PL_Adoption,0)</f>
        <v>0.0416666666666667</v>
      </c>
      <c r="X42" s="45" t="n">
        <f aca="false">IF(X$3&gt;=PayLinks_Start,MIN(1,(X$3-PayLinks_Start+1)/PL_Ramp)*PL_Adoption,0)</f>
        <v>0.0625</v>
      </c>
      <c r="Y42" s="45" t="n">
        <f aca="false">IF(Y$3&gt;=PayLinks_Start,MIN(1,(Y$3-PayLinks_Start+1)/PL_Ramp)*PL_Adoption,0)</f>
        <v>0.0833333333333333</v>
      </c>
      <c r="Z42" s="45" t="n">
        <f aca="false">IF(Z$3&gt;=PayLinks_Start,MIN(1,(Z$3-PayLinks_Start+1)/PL_Ramp)*PL_Adoption,0)</f>
        <v>0.104166666666667</v>
      </c>
      <c r="AA42" s="45" t="n">
        <f aca="false">IF(AA$3&gt;=PayLinks_Start,MIN(1,(AA$3-PayLinks_Start+1)/PL_Ramp)*PL_Adoption,0)</f>
        <v>0.125</v>
      </c>
      <c r="AB42" s="45" t="n">
        <f aca="false">IF(AB$3&gt;=PayLinks_Start,MIN(1,(AB$3-PayLinks_Start+1)/PL_Ramp)*PL_Adoption,0)</f>
        <v>0.145833333333333</v>
      </c>
      <c r="AC42" s="45" t="n">
        <f aca="false">IF(AC$3&gt;=PayLinks_Start,MIN(1,(AC$3-PayLinks_Start+1)/PL_Ramp)*PL_Adoption,0)</f>
        <v>0.166666666666667</v>
      </c>
      <c r="AD42" s="45" t="n">
        <f aca="false">IF(AD$3&gt;=PayLinks_Start,MIN(1,(AD$3-PayLinks_Start+1)/PL_Ramp)*PL_Adoption,0)</f>
        <v>0.1875</v>
      </c>
      <c r="AE42" s="45" t="n">
        <f aca="false">IF(AE$3&gt;=PayLinks_Start,MIN(1,(AE$3-PayLinks_Start+1)/PL_Ramp)*PL_Adoption,0)</f>
        <v>0.208333333333333</v>
      </c>
      <c r="AF42" s="45" t="n">
        <f aca="false">IF(AF$3&gt;=PayLinks_Start,MIN(1,(AF$3-PayLinks_Start+1)/PL_Ramp)*PL_Adoption,0)</f>
        <v>0.229166666666667</v>
      </c>
      <c r="AG42" s="45" t="n">
        <f aca="false">IF(AG$3&gt;=PayLinks_Start,MIN(1,(AG$3-PayLinks_Start+1)/PL_Ramp)*PL_Adoption,0)</f>
        <v>0.25</v>
      </c>
      <c r="AH42" s="45" t="n">
        <f aca="false">IF(AH$3&gt;=PayLinks_Start,MIN(1,(AH$3-PayLinks_Start+1)/PL_Ramp)*PL_Adoption,0)</f>
        <v>0.25</v>
      </c>
      <c r="AI42" s="45" t="n">
        <f aca="false">IF(AI$3&gt;=PayLinks_Start,MIN(1,(AI$3-PayLinks_Start+1)/PL_Ramp)*PL_Adoption,0)</f>
        <v>0.25</v>
      </c>
      <c r="AJ42" s="45" t="n">
        <f aca="false">IF(AJ$3&gt;=PayLinks_Start,MIN(1,(AJ$3-PayLinks_Start+1)/PL_Ramp)*PL_Adoption,0)</f>
        <v>0.25</v>
      </c>
      <c r="AK42" s="45" t="n">
        <f aca="false">IF(AK$3&gt;=PayLinks_Start,MIN(1,(AK$3-PayLinks_Start+1)/PL_Ramp)*PL_Adoption,0)</f>
        <v>0.25</v>
      </c>
      <c r="AL42" s="45" t="n">
        <f aca="false">IF(AL$3&gt;=PayLinks_Start,MIN(1,(AL$3-PayLinks_Start+1)/PL_Ramp)*PL_Adoption,0)</f>
        <v>0.25</v>
      </c>
      <c r="AM42" s="45" t="n">
        <f aca="false">IF(AM$3&gt;=PayLinks_Start,MIN(1,(AM$3-PayLinks_Start+1)/PL_Ramp)*PL_Adoption,0)</f>
        <v>0.25</v>
      </c>
      <c r="AN42" s="45" t="n">
        <f aca="false">IF(AN$3&gt;=PayLinks_Start,MIN(1,(AN$3-PayLinks_Start+1)/PL_Ramp)*PL_Adoption,0)</f>
        <v>0.25</v>
      </c>
      <c r="AO42" s="45" t="n">
        <f aca="false">IF(AO$3&gt;=PayLinks_Start,MIN(1,(AO$3-PayLinks_Start+1)/PL_Ramp)*PL_Adoption,0)</f>
        <v>0.25</v>
      </c>
      <c r="AP42" s="45" t="n">
        <f aca="false">IF(AP$3&gt;=PayLinks_Start,MIN(1,(AP$3-PayLinks_Start+1)/PL_Ramp)*PL_Adoption,0)</f>
        <v>0.25</v>
      </c>
      <c r="AQ42" s="45" t="n">
        <f aca="false">IF(AQ$3&gt;=PayLinks_Start,MIN(1,(AQ$3-PayLinks_Start+1)/PL_Ramp)*PL_Adoption,0)</f>
        <v>0.25</v>
      </c>
      <c r="AR42" s="45" t="n">
        <f aca="false">IF(AR$3&gt;=PayLinks_Start,MIN(1,(AR$3-PayLinks_Start+1)/PL_Ramp)*PL_Adoption,0)</f>
        <v>0.25</v>
      </c>
      <c r="AS42" s="45" t="n">
        <f aca="false">IF(AS$3&gt;=PayLinks_Start,MIN(1,(AS$3-PayLinks_Start+1)/PL_Ramp)*PL_Adoption,0)</f>
        <v>0.25</v>
      </c>
      <c r="AT42" s="45" t="n">
        <f aca="false">IF(AT$3&gt;=PayLinks_Start,MIN(1,(AT$3-PayLinks_Start+1)/PL_Ramp)*PL_Adoption,0)</f>
        <v>0.25</v>
      </c>
      <c r="AU42" s="45" t="n">
        <f aca="false">IF(AU$3&gt;=PayLinks_Start,MIN(1,(AU$3-PayLinks_Start+1)/PL_Ramp)*PL_Adoption,0)</f>
        <v>0.25</v>
      </c>
      <c r="AV42" s="45" t="n">
        <f aca="false">IF(AV$3&gt;=PayLinks_Start,MIN(1,(AV$3-PayLinks_Start+1)/PL_Ramp)*PL_Adoption,0)</f>
        <v>0.25</v>
      </c>
      <c r="AW42" s="45" t="n">
        <f aca="false">IF(AW$3&gt;=PayLinks_Start,MIN(1,(AW$3-PayLinks_Start+1)/PL_Ramp)*PL_Adoption,0)</f>
        <v>0.25</v>
      </c>
      <c r="AX42" s="45" t="n">
        <f aca="false">IF(AX$3&gt;=PayLinks_Start,MIN(1,(AX$3-PayLinks_Start+1)/PL_Ramp)*PL_Adoption,0)</f>
        <v>0.25</v>
      </c>
      <c r="AY42" s="45" t="n">
        <f aca="false">IF(AY$3&gt;=PayLinks_Start,MIN(1,(AY$3-PayLinks_Start+1)/PL_Ramp)*PL_Adoption,0)</f>
        <v>0.25</v>
      </c>
      <c r="AZ42" s="45" t="n">
        <f aca="false">IF(AZ$3&gt;=PayLinks_Start,MIN(1,(AZ$3-PayLinks_Start+1)/PL_Ramp)*PL_Adoption,0)</f>
        <v>0.25</v>
      </c>
      <c r="BA42" s="45" t="n">
        <f aca="false">IF(BA$3&gt;=PayLinks_Start,MIN(1,(BA$3-PayLinks_Start+1)/PL_Ramp)*PL_Adoption,0)</f>
        <v>0.25</v>
      </c>
      <c r="BB42" s="45" t="n">
        <f aca="false">IF(BB$3&gt;=PayLinks_Start,MIN(1,(BB$3-PayLinks_Start+1)/PL_Ramp)*PL_Adoption,0)</f>
        <v>0.25</v>
      </c>
      <c r="BC42" s="45" t="n">
        <f aca="false">IF(BC$3&gt;=PayLinks_Start,MIN(1,(BC$3-PayLinks_Start+1)/PL_Ramp)*PL_Adoption,0)</f>
        <v>0.25</v>
      </c>
      <c r="BD42" s="45" t="n">
        <f aca="false">IF(BD$3&gt;=PayLinks_Start,MIN(1,(BD$3-PayLinks_Start+1)/PL_Ramp)*PL_Adoption,0)</f>
        <v>0.25</v>
      </c>
      <c r="BE42" s="45" t="n">
        <f aca="false">IF(BE$3&gt;=PayLinks_Start,MIN(1,(BE$3-PayLinks_Start+1)/PL_Ramp)*PL_Adoption,0)</f>
        <v>0.25</v>
      </c>
      <c r="BF42" s="45" t="n">
        <f aca="false">IF(BF$3&gt;=PayLinks_Start,MIN(1,(BF$3-PayLinks_Start+1)/PL_Ramp)*PL_Adoption,0)</f>
        <v>0.25</v>
      </c>
      <c r="BG42" s="45" t="n">
        <f aca="false">IF(BG$3&gt;=PayLinks_Start,MIN(1,(BG$3-PayLinks_Start+1)/PL_Ramp)*PL_Adoption,0)</f>
        <v>0.25</v>
      </c>
      <c r="BH42" s="45" t="n">
        <f aca="false">IF(BH$3&gt;=PayLinks_Start,MIN(1,(BH$3-PayLinks_Start+1)/PL_Ramp)*PL_Adoption,0)</f>
        <v>0.25</v>
      </c>
      <c r="BI42" s="45" t="n">
        <f aca="false">IF(BI$3&gt;=PayLinks_Start,MIN(1,(BI$3-PayLinks_Start+1)/PL_Ramp)*PL_Adoption,0)</f>
        <v>0.25</v>
      </c>
      <c r="BJ42" s="45" t="n">
        <f aca="false">IF(BJ$3&gt;=PayLinks_Start,MIN(1,(BJ$3-PayLinks_Start+1)/PL_Ramp)*PL_Adoption,0)</f>
        <v>0.25</v>
      </c>
      <c r="BK42" s="45" t="n">
        <f aca="false">IF(BK$3&gt;=PayLinks_Start,MIN(1,(BK$3-PayLinks_Start+1)/PL_Ramp)*PL_Adoption,0)</f>
        <v>0.25</v>
      </c>
      <c r="BL42" s="45" t="n">
        <f aca="false">IF(BL$3&gt;=PayLinks_Start,MIN(1,(BL$3-PayLinks_Start+1)/PL_Ramp)*PL_Adoption,0)</f>
        <v>0.25</v>
      </c>
    </row>
    <row r="43" customFormat="false" ht="15" hidden="false" customHeight="false" outlineLevel="0" collapsed="false">
      <c r="A43" s="12" t="s">
        <v>602</v>
      </c>
      <c r="B43" s="14" t="s">
        <v>63</v>
      </c>
      <c r="D43" s="41" t="n">
        <f aca="false">SUM(E43:BL43)</f>
        <v>155618396699.385</v>
      </c>
      <c r="E43" s="33" t="n">
        <f aca="false">(E14*PL_Coll_Petite+E15*PL_Coll_Moyenne+E16*PL_Coll_Grande)*E42</f>
        <v>0</v>
      </c>
      <c r="F43" s="33" t="n">
        <f aca="false">(F14*PL_Coll_Petite+F15*PL_Coll_Moyenne+F16*PL_Coll_Grande)*F42</f>
        <v>0</v>
      </c>
      <c r="G43" s="33" t="n">
        <f aca="false">(G14*PL_Coll_Petite+G15*PL_Coll_Moyenne+G16*PL_Coll_Grande)*G42</f>
        <v>0</v>
      </c>
      <c r="H43" s="33" t="n">
        <f aca="false">(H14*PL_Coll_Petite+H15*PL_Coll_Moyenne+H16*PL_Coll_Grande)*H42</f>
        <v>0</v>
      </c>
      <c r="I43" s="33" t="n">
        <f aca="false">(I14*PL_Coll_Petite+I15*PL_Coll_Moyenne+I16*PL_Coll_Grande)*I42</f>
        <v>0</v>
      </c>
      <c r="J43" s="33" t="n">
        <f aca="false">(J14*PL_Coll_Petite+J15*PL_Coll_Moyenne+J16*PL_Coll_Grande)*J42</f>
        <v>0</v>
      </c>
      <c r="K43" s="33" t="n">
        <f aca="false">(K14*PL_Coll_Petite+K15*PL_Coll_Moyenne+K16*PL_Coll_Grande)*K42</f>
        <v>0</v>
      </c>
      <c r="L43" s="33" t="n">
        <f aca="false">(L14*PL_Coll_Petite+L15*PL_Coll_Moyenne+L16*PL_Coll_Grande)*L42</f>
        <v>0</v>
      </c>
      <c r="M43" s="33" t="n">
        <f aca="false">(M14*PL_Coll_Petite+M15*PL_Coll_Moyenne+M16*PL_Coll_Grande)*M42</f>
        <v>0</v>
      </c>
      <c r="N43" s="33" t="n">
        <f aca="false">(N14*PL_Coll_Petite+N15*PL_Coll_Moyenne+N16*PL_Coll_Grande)*N42</f>
        <v>0</v>
      </c>
      <c r="O43" s="33" t="n">
        <f aca="false">(O14*PL_Coll_Petite+O15*PL_Coll_Moyenne+O16*PL_Coll_Grande)*O42</f>
        <v>0</v>
      </c>
      <c r="P43" s="33" t="n">
        <f aca="false">(P14*PL_Coll_Petite+P15*PL_Coll_Moyenne+P16*PL_Coll_Grande)*P42</f>
        <v>0</v>
      </c>
      <c r="Q43" s="33" t="n">
        <f aca="false">(Q14*PL_Coll_Petite+Q15*PL_Coll_Moyenne+Q16*PL_Coll_Grande)*Q42</f>
        <v>0</v>
      </c>
      <c r="R43" s="33" t="n">
        <f aca="false">(R14*PL_Coll_Petite+R15*PL_Coll_Moyenne+R16*PL_Coll_Grande)*R42</f>
        <v>0</v>
      </c>
      <c r="S43" s="33" t="n">
        <f aca="false">(S14*PL_Coll_Petite+S15*PL_Coll_Moyenne+S16*PL_Coll_Grande)*S42</f>
        <v>0</v>
      </c>
      <c r="T43" s="33" t="n">
        <f aca="false">(T14*PL_Coll_Petite+T15*PL_Coll_Moyenne+T16*PL_Coll_Grande)*T42</f>
        <v>0</v>
      </c>
      <c r="U43" s="33" t="n">
        <f aca="false">(U14*PL_Coll_Petite+U15*PL_Coll_Moyenne+U16*PL_Coll_Grande)*U42</f>
        <v>0</v>
      </c>
      <c r="V43" s="33" t="n">
        <f aca="false">(V14*PL_Coll_Petite+V15*PL_Coll_Moyenne+V16*PL_Coll_Grande)*V42</f>
        <v>49192339.4736422</v>
      </c>
      <c r="W43" s="33" t="n">
        <f aca="false">(W14*PL_Coll_Petite+W15*PL_Coll_Moyenne+W16*PL_Coll_Grande)*W42</f>
        <v>109224292.781651</v>
      </c>
      <c r="X43" s="33" t="n">
        <f aca="false">(X14*PL_Coll_Petite+X15*PL_Coll_Moyenne+X16*PL_Coll_Grande)*X42</f>
        <v>190126679.580839</v>
      </c>
      <c r="Y43" s="33" t="n">
        <f aca="false">(Y14*PL_Coll_Petite+Y15*PL_Coll_Moyenne+Y16*PL_Coll_Grande)*Y42</f>
        <v>288503507.501413</v>
      </c>
      <c r="Z43" s="33" t="n">
        <f aca="false">(Z14*PL_Coll_Petite+Z15*PL_Coll_Moyenne+Z16*PL_Coll_Grande)*Z42</f>
        <v>404344193.919332</v>
      </c>
      <c r="AA43" s="33" t="n">
        <f aca="false">(AA14*PL_Coll_Petite+AA15*PL_Coll_Moyenne+AA16*PL_Coll_Grande)*AA42</f>
        <v>537662642.679414</v>
      </c>
      <c r="AB43" s="33" t="n">
        <f aca="false">(AB14*PL_Coll_Petite+AB15*PL_Coll_Moyenne+AB16*PL_Coll_Grande)*AB42</f>
        <v>688498628.120115</v>
      </c>
      <c r="AC43" s="33" t="n">
        <f aca="false">(AC14*PL_Coll_Petite+AC15*PL_Coll_Moyenne+AC16*PL_Coll_Grande)*AC42</f>
        <v>870829064.489853</v>
      </c>
      <c r="AD43" s="33" t="n">
        <f aca="false">(AD14*PL_Coll_Petite+AD15*PL_Coll_Moyenne+AD16*PL_Coll_Grande)*AD42</f>
        <v>1074131322.40725</v>
      </c>
      <c r="AE43" s="33" t="n">
        <f aca="false">(AE14*PL_Coll_Petite+AE15*PL_Coll_Moyenne+AE16*PL_Coll_Grande)*AE42</f>
        <v>1298472912.41622</v>
      </c>
      <c r="AF43" s="33" t="n">
        <f aca="false">(AF14*PL_Coll_Petite+AF15*PL_Coll_Moyenne+AF16*PL_Coll_Grande)*AF42</f>
        <v>1543954991.82871</v>
      </c>
      <c r="AG43" s="33" t="n">
        <f aca="false">(AG14*PL_Coll_Petite+AG15*PL_Coll_Moyenne+AG16*PL_Coll_Grande)*AG42</f>
        <v>1810714344.42616</v>
      </c>
      <c r="AH43" s="33" t="n">
        <f aca="false">(AH14*PL_Coll_Petite+AH15*PL_Coll_Moyenne+AH16*PL_Coll_Grande)*AH42</f>
        <v>1937469701.86376</v>
      </c>
      <c r="AI43" s="33" t="n">
        <f aca="false">(AI14*PL_Coll_Petite+AI15*PL_Coll_Moyenne+AI16*PL_Coll_Grande)*AI42</f>
        <v>2064688351.2263</v>
      </c>
      <c r="AJ43" s="33" t="n">
        <f aca="false">(AJ14*PL_Coll_Petite+AJ15*PL_Coll_Moyenne+AJ16*PL_Coll_Grande)*AJ42</f>
        <v>2232348310.27071</v>
      </c>
      <c r="AK43" s="33" t="n">
        <f aca="false">(AK14*PL_Coll_Petite+AK15*PL_Coll_Moyenne+AK16*PL_Coll_Grande)*AK42</f>
        <v>2400228344.61585</v>
      </c>
      <c r="AL43" s="33" t="n">
        <f aca="false">(AL14*PL_Coll_Petite+AL15*PL_Coll_Moyenne+AL16*PL_Coll_Grande)*AL42</f>
        <v>2568459561.16236</v>
      </c>
      <c r="AM43" s="33" t="n">
        <f aca="false">(AM14*PL_Coll_Petite+AM15*PL_Coll_Moyenne+AM16*PL_Coll_Grande)*AM42</f>
        <v>2737179306.84878</v>
      </c>
      <c r="AN43" s="33" t="n">
        <f aca="false">(AN14*PL_Coll_Petite+AN15*PL_Coll_Moyenne+AN16*PL_Coll_Grande)*AN42</f>
        <v>2906531568.34361</v>
      </c>
      <c r="AO43" s="33" t="n">
        <f aca="false">(AO14*PL_Coll_Petite+AO15*PL_Coll_Moyenne+AO16*PL_Coll_Grande)*AO42</f>
        <v>3087060061.95599</v>
      </c>
      <c r="AP43" s="33" t="n">
        <f aca="false">(AP14*PL_Coll_Petite+AP15*PL_Coll_Moyenne+AP16*PL_Coll_Grande)*AP42</f>
        <v>3268406886.85251</v>
      </c>
      <c r="AQ43" s="33" t="n">
        <f aca="false">(AQ14*PL_Coll_Petite+AQ15*PL_Coll_Moyenne+AQ16*PL_Coll_Grande)*AQ42</f>
        <v>3450740287.84015</v>
      </c>
      <c r="AR43" s="33" t="n">
        <f aca="false">(AR14*PL_Coll_Petite+AR15*PL_Coll_Moyenne+AR16*PL_Coll_Grande)*AR42</f>
        <v>3634236972.09653</v>
      </c>
      <c r="AS43" s="33" t="n">
        <f aca="false">(AS14*PL_Coll_Petite+AS15*PL_Coll_Moyenne+AS16*PL_Coll_Grande)*AS42</f>
        <v>3818206492.75304</v>
      </c>
      <c r="AT43" s="33" t="n">
        <f aca="false">(AT14*PL_Coll_Petite+AT15*PL_Coll_Moyenne+AT16*PL_Coll_Grande)*AT42</f>
        <v>4000822129.14783</v>
      </c>
      <c r="AU43" s="33" t="n">
        <f aca="false">(AU14*PL_Coll_Petite+AU15*PL_Coll_Moyenne+AU16*PL_Coll_Grande)*AU42</f>
        <v>4182149290.46694</v>
      </c>
      <c r="AV43" s="33" t="n">
        <f aca="false">(AV14*PL_Coll_Petite+AV15*PL_Coll_Moyenne+AV16*PL_Coll_Grande)*AV42</f>
        <v>4402120312.1241</v>
      </c>
      <c r="AW43" s="33" t="n">
        <f aca="false">(AW14*PL_Coll_Petite+AW15*PL_Coll_Moyenne+AW16*PL_Coll_Grande)*AW42</f>
        <v>4620464739.59785</v>
      </c>
      <c r="AX43" s="33" t="n">
        <f aca="false">(AX14*PL_Coll_Petite+AX15*PL_Coll_Moyenne+AX16*PL_Coll_Grande)*AX42</f>
        <v>4837260721.68629</v>
      </c>
      <c r="AY43" s="33" t="n">
        <f aca="false">(AY14*PL_Coll_Petite+AY15*PL_Coll_Moyenne+AY16*PL_Coll_Grande)*AY42</f>
        <v>5052588696.88597</v>
      </c>
      <c r="AZ43" s="33" t="n">
        <f aca="false">(AZ14*PL_Coll_Petite+AZ15*PL_Coll_Moyenne+AZ16*PL_Coll_Grande)*AZ42</f>
        <v>5266531567.76573</v>
      </c>
      <c r="BA43" s="33" t="n">
        <f aca="false">(BA14*PL_Coll_Petite+BA15*PL_Coll_Moyenne+BA16*PL_Coll_Grande)*BA42</f>
        <v>5489646885.17846</v>
      </c>
      <c r="BB43" s="33" t="n">
        <f aca="false">(BB14*PL_Coll_Petite+BB15*PL_Coll_Moyenne+BB16*PL_Coll_Grande)*BB42</f>
        <v>5711426302.91215</v>
      </c>
      <c r="BC43" s="33" t="n">
        <f aca="false">(BC14*PL_Coll_Petite+BC15*PL_Coll_Moyenne+BC16*PL_Coll_Grande)*BC42</f>
        <v>5931962974.46762</v>
      </c>
      <c r="BD43" s="33" t="n">
        <f aca="false">(BD14*PL_Coll_Petite+BD15*PL_Coll_Moyenne+BD16*PL_Coll_Grande)*BD42</f>
        <v>6151353293.00183</v>
      </c>
      <c r="BE43" s="33" t="n">
        <f aca="false">(BE14*PL_Coll_Petite+BE15*PL_Coll_Moyenne+BE16*PL_Coll_Grande)*BE42</f>
        <v>6369697121.72408</v>
      </c>
      <c r="BF43" s="33" t="n">
        <f aca="false">(BF14*PL_Coll_Petite+BF15*PL_Coll_Moyenne+BF16*PL_Coll_Grande)*BF42</f>
        <v>6587098037.5105</v>
      </c>
      <c r="BG43" s="33" t="n">
        <f aca="false">(BG14*PL_Coll_Petite+BG15*PL_Coll_Moyenne+BG16*PL_Coll_Grande)*BG42</f>
        <v>6803663588.54073</v>
      </c>
      <c r="BH43" s="33" t="n">
        <f aca="false">(BH14*PL_Coll_Petite+BH15*PL_Coll_Moyenne+BH16*PL_Coll_Grande)*BH42</f>
        <v>7019505566.80869</v>
      </c>
      <c r="BI43" s="33" t="n">
        <f aca="false">(BI14*PL_Coll_Petite+BI15*PL_Coll_Moyenne+BI16*PL_Coll_Grande)*BI42</f>
        <v>7234740296.41047</v>
      </c>
      <c r="BJ43" s="33" t="n">
        <f aca="false">(BJ14*PL_Coll_Petite+BJ15*PL_Coll_Moyenne+BJ16*PL_Coll_Grande)*BJ42</f>
        <v>7449488938.56605</v>
      </c>
      <c r="BK43" s="33" t="n">
        <f aca="false">(BK14*PL_Coll_Petite+BK15*PL_Coll_Moyenne+BK16*PL_Coll_Grande)*BK42</f>
        <v>7662857801.35359</v>
      </c>
      <c r="BL43" s="33" t="n">
        <f aca="false">(BL14*PL_Coll_Petite+BL15*PL_Coll_Moyenne+BL16*PL_Coll_Grande)*BL42</f>
        <v>7873807669.78163</v>
      </c>
    </row>
    <row r="45" customFormat="false" ht="15" hidden="false" customHeight="false" outlineLevel="0" collapsed="false">
      <c r="A45" s="10" t="s">
        <v>603</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604</v>
      </c>
      <c r="B46" s="14" t="s">
        <v>157</v>
      </c>
      <c r="E46" s="46" t="n">
        <f aca="false">(1+Price_Increase)^(E$5-1)*(1-Annual_Share*Annual_Free/12)</f>
        <v>0.95</v>
      </c>
      <c r="F46" s="46" t="n">
        <f aca="false">(1+Price_Increase)^(F$5-1)*(1-Annual_Share*Annual_Free/12)</f>
        <v>0.95</v>
      </c>
      <c r="G46" s="46" t="n">
        <f aca="false">(1+Price_Increase)^(G$5-1)*(1-Annual_Share*Annual_Free/12)</f>
        <v>0.95</v>
      </c>
      <c r="H46" s="46" t="n">
        <f aca="false">(1+Price_Increase)^(H$5-1)*(1-Annual_Share*Annual_Free/12)</f>
        <v>0.95</v>
      </c>
      <c r="I46" s="46" t="n">
        <f aca="false">(1+Price_Increase)^(I$5-1)*(1-Annual_Share*Annual_Free/12)</f>
        <v>0.95</v>
      </c>
      <c r="J46" s="46" t="n">
        <f aca="false">(1+Price_Increase)^(J$5-1)*(1-Annual_Share*Annual_Free/12)</f>
        <v>0.95</v>
      </c>
      <c r="K46" s="46" t="n">
        <f aca="false">(1+Price_Increase)^(K$5-1)*(1-Annual_Share*Annual_Free/12)</f>
        <v>0.95</v>
      </c>
      <c r="L46" s="46" t="n">
        <f aca="false">(1+Price_Increase)^(L$5-1)*(1-Annual_Share*Annual_Free/12)</f>
        <v>0.95</v>
      </c>
      <c r="M46" s="46" t="n">
        <f aca="false">(1+Price_Increase)^(M$5-1)*(1-Annual_Share*Annual_Free/12)</f>
        <v>0.95</v>
      </c>
      <c r="N46" s="46" t="n">
        <f aca="false">(1+Price_Increase)^(N$5-1)*(1-Annual_Share*Annual_Free/12)</f>
        <v>0.95</v>
      </c>
      <c r="O46" s="46" t="n">
        <f aca="false">(1+Price_Increase)^(O$5-1)*(1-Annual_Share*Annual_Free/12)</f>
        <v>0.95</v>
      </c>
      <c r="P46" s="46" t="n">
        <f aca="false">(1+Price_Increase)^(P$5-1)*(1-Annual_Share*Annual_Free/12)</f>
        <v>0.95</v>
      </c>
      <c r="Q46" s="46" t="n">
        <f aca="false">(1+Price_Increase)^(Q$5-1)*(1-Annual_Share*Annual_Free/12)</f>
        <v>0.95</v>
      </c>
      <c r="R46" s="46" t="n">
        <f aca="false">(1+Price_Increase)^(R$5-1)*(1-Annual_Share*Annual_Free/12)</f>
        <v>0.95</v>
      </c>
      <c r="S46" s="46" t="n">
        <f aca="false">(1+Price_Increase)^(S$5-1)*(1-Annual_Share*Annual_Free/12)</f>
        <v>0.95</v>
      </c>
      <c r="T46" s="46" t="n">
        <f aca="false">(1+Price_Increase)^(T$5-1)*(1-Annual_Share*Annual_Free/12)</f>
        <v>0.95</v>
      </c>
      <c r="U46" s="46" t="n">
        <f aca="false">(1+Price_Increase)^(U$5-1)*(1-Annual_Share*Annual_Free/12)</f>
        <v>0.95</v>
      </c>
      <c r="V46" s="46" t="n">
        <f aca="false">(1+Price_Increase)^(V$5-1)*(1-Annual_Share*Annual_Free/12)</f>
        <v>0.95</v>
      </c>
      <c r="W46" s="46" t="n">
        <f aca="false">(1+Price_Increase)^(W$5-1)*(1-Annual_Share*Annual_Free/12)</f>
        <v>0.95</v>
      </c>
      <c r="X46" s="46" t="n">
        <f aca="false">(1+Price_Increase)^(X$5-1)*(1-Annual_Share*Annual_Free/12)</f>
        <v>0.95</v>
      </c>
      <c r="Y46" s="46" t="n">
        <f aca="false">(1+Price_Increase)^(Y$5-1)*(1-Annual_Share*Annual_Free/12)</f>
        <v>0.95</v>
      </c>
      <c r="Z46" s="46" t="n">
        <f aca="false">(1+Price_Increase)^(Z$5-1)*(1-Annual_Share*Annual_Free/12)</f>
        <v>0.95</v>
      </c>
      <c r="AA46" s="46" t="n">
        <f aca="false">(1+Price_Increase)^(AA$5-1)*(1-Annual_Share*Annual_Free/12)</f>
        <v>0.95</v>
      </c>
      <c r="AB46" s="46" t="n">
        <f aca="false">(1+Price_Increase)^(AB$5-1)*(1-Annual_Share*Annual_Free/12)</f>
        <v>0.95</v>
      </c>
      <c r="AC46" s="46" t="n">
        <f aca="false">(1+Price_Increase)^(AC$5-1)*(1-Annual_Share*Annual_Free/12)</f>
        <v>0.95</v>
      </c>
      <c r="AD46" s="46" t="n">
        <f aca="false">(1+Price_Increase)^(AD$5-1)*(1-Annual_Share*Annual_Free/12)</f>
        <v>0.95</v>
      </c>
      <c r="AE46" s="46" t="n">
        <f aca="false">(1+Price_Increase)^(AE$5-1)*(1-Annual_Share*Annual_Free/12)</f>
        <v>0.95</v>
      </c>
      <c r="AF46" s="46" t="n">
        <f aca="false">(1+Price_Increase)^(AF$5-1)*(1-Annual_Share*Annual_Free/12)</f>
        <v>0.95</v>
      </c>
      <c r="AG46" s="46" t="n">
        <f aca="false">(1+Price_Increase)^(AG$5-1)*(1-Annual_Share*Annual_Free/12)</f>
        <v>0.95</v>
      </c>
      <c r="AH46" s="46" t="n">
        <f aca="false">(1+Price_Increase)^(AH$5-1)*(1-Annual_Share*Annual_Free/12)</f>
        <v>0.95</v>
      </c>
      <c r="AI46" s="46" t="n">
        <f aca="false">(1+Price_Increase)^(AI$5-1)*(1-Annual_Share*Annual_Free/12)</f>
        <v>0.95</v>
      </c>
      <c r="AJ46" s="46" t="n">
        <f aca="false">(1+Price_Increase)^(AJ$5-1)*(1-Annual_Share*Annual_Free/12)</f>
        <v>0.95</v>
      </c>
      <c r="AK46" s="46" t="n">
        <f aca="false">(1+Price_Increase)^(AK$5-1)*(1-Annual_Share*Annual_Free/12)</f>
        <v>0.95</v>
      </c>
      <c r="AL46" s="46" t="n">
        <f aca="false">(1+Price_Increase)^(AL$5-1)*(1-Annual_Share*Annual_Free/12)</f>
        <v>0.95</v>
      </c>
      <c r="AM46" s="46" t="n">
        <f aca="false">(1+Price_Increase)^(AM$5-1)*(1-Annual_Share*Annual_Free/12)</f>
        <v>0.95</v>
      </c>
      <c r="AN46" s="46" t="n">
        <f aca="false">(1+Price_Increase)^(AN$5-1)*(1-Annual_Share*Annual_Free/12)</f>
        <v>0.95</v>
      </c>
      <c r="AO46" s="46" t="n">
        <f aca="false">(1+Price_Increase)^(AO$5-1)*(1-Annual_Share*Annual_Free/12)</f>
        <v>0.95</v>
      </c>
      <c r="AP46" s="46" t="n">
        <f aca="false">(1+Price_Increase)^(AP$5-1)*(1-Annual_Share*Annual_Free/12)</f>
        <v>0.95</v>
      </c>
      <c r="AQ46" s="46" t="n">
        <f aca="false">(1+Price_Increase)^(AQ$5-1)*(1-Annual_Share*Annual_Free/12)</f>
        <v>0.95</v>
      </c>
      <c r="AR46" s="46" t="n">
        <f aca="false">(1+Price_Increase)^(AR$5-1)*(1-Annual_Share*Annual_Free/12)</f>
        <v>0.95</v>
      </c>
      <c r="AS46" s="46" t="n">
        <f aca="false">(1+Price_Increase)^(AS$5-1)*(1-Annual_Share*Annual_Free/12)</f>
        <v>0.95</v>
      </c>
      <c r="AT46" s="46" t="n">
        <f aca="false">(1+Price_Increase)^(AT$5-1)*(1-Annual_Share*Annual_Free/12)</f>
        <v>0.95</v>
      </c>
      <c r="AU46" s="46" t="n">
        <f aca="false">(1+Price_Increase)^(AU$5-1)*(1-Annual_Share*Annual_Free/12)</f>
        <v>0.95</v>
      </c>
      <c r="AV46" s="46" t="n">
        <f aca="false">(1+Price_Increase)^(AV$5-1)*(1-Annual_Share*Annual_Free/12)</f>
        <v>0.95</v>
      </c>
      <c r="AW46" s="46" t="n">
        <f aca="false">(1+Price_Increase)^(AW$5-1)*(1-Annual_Share*Annual_Free/12)</f>
        <v>0.95</v>
      </c>
      <c r="AX46" s="46" t="n">
        <f aca="false">(1+Price_Increase)^(AX$5-1)*(1-Annual_Share*Annual_Free/12)</f>
        <v>0.95</v>
      </c>
      <c r="AY46" s="46" t="n">
        <f aca="false">(1+Price_Increase)^(AY$5-1)*(1-Annual_Share*Annual_Free/12)</f>
        <v>0.95</v>
      </c>
      <c r="AZ46" s="46" t="n">
        <f aca="false">(1+Price_Increase)^(AZ$5-1)*(1-Annual_Share*Annual_Free/12)</f>
        <v>0.95</v>
      </c>
      <c r="BA46" s="46" t="n">
        <f aca="false">(1+Price_Increase)^(BA$5-1)*(1-Annual_Share*Annual_Free/12)</f>
        <v>0.95</v>
      </c>
      <c r="BB46" s="46" t="n">
        <f aca="false">(1+Price_Increase)^(BB$5-1)*(1-Annual_Share*Annual_Free/12)</f>
        <v>0.95</v>
      </c>
      <c r="BC46" s="46" t="n">
        <f aca="false">(1+Price_Increase)^(BC$5-1)*(1-Annual_Share*Annual_Free/12)</f>
        <v>0.95</v>
      </c>
      <c r="BD46" s="46" t="n">
        <f aca="false">(1+Price_Increase)^(BD$5-1)*(1-Annual_Share*Annual_Free/12)</f>
        <v>0.95</v>
      </c>
      <c r="BE46" s="46" t="n">
        <f aca="false">(1+Price_Increase)^(BE$5-1)*(1-Annual_Share*Annual_Free/12)</f>
        <v>0.95</v>
      </c>
      <c r="BF46" s="46" t="n">
        <f aca="false">(1+Price_Increase)^(BF$5-1)*(1-Annual_Share*Annual_Free/12)</f>
        <v>0.95</v>
      </c>
      <c r="BG46" s="46" t="n">
        <f aca="false">(1+Price_Increase)^(BG$5-1)*(1-Annual_Share*Annual_Free/12)</f>
        <v>0.95</v>
      </c>
      <c r="BH46" s="46" t="n">
        <f aca="false">(1+Price_Increase)^(BH$5-1)*(1-Annual_Share*Annual_Free/12)</f>
        <v>0.95</v>
      </c>
      <c r="BI46" s="46" t="n">
        <f aca="false">(1+Price_Increase)^(BI$5-1)*(1-Annual_Share*Annual_Free/12)</f>
        <v>0.95</v>
      </c>
      <c r="BJ46" s="46" t="n">
        <f aca="false">(1+Price_Increase)^(BJ$5-1)*(1-Annual_Share*Annual_Free/12)</f>
        <v>0.95</v>
      </c>
      <c r="BK46" s="46" t="n">
        <f aca="false">(1+Price_Increase)^(BK$5-1)*(1-Annual_Share*Annual_Free/12)</f>
        <v>0.95</v>
      </c>
      <c r="BL46" s="46" t="n">
        <f aca="false">(1+Price_Increase)^(BL$5-1)*(1-Annual_Share*Annual_Free/12)</f>
        <v>0.95</v>
      </c>
    </row>
    <row r="47" customFormat="false" ht="15" hidden="false" customHeight="false" outlineLevel="0" collapsed="false">
      <c r="A47" s="12" t="s">
        <v>605</v>
      </c>
      <c r="B47" s="14" t="s">
        <v>63</v>
      </c>
      <c r="D47" s="41" t="n">
        <f aca="false">SUM(E47:BL47)</f>
        <v>1138112290.56401</v>
      </c>
      <c r="E47" s="33" t="n">
        <f aca="false">E26*Price_Petite*E46</f>
        <v>0</v>
      </c>
      <c r="F47" s="33" t="n">
        <f aca="false">F26*Price_Petite*F46</f>
        <v>0</v>
      </c>
      <c r="G47" s="33" t="n">
        <f aca="false">G26*Price_Petite*G46</f>
        <v>0</v>
      </c>
      <c r="H47" s="33" t="n">
        <f aca="false">H26*Price_Petite*H46</f>
        <v>0</v>
      </c>
      <c r="I47" s="33" t="n">
        <f aca="false">I26*Price_Petite*I46</f>
        <v>0</v>
      </c>
      <c r="J47" s="33" t="n">
        <f aca="false">J26*Price_Petite*J46</f>
        <v>0</v>
      </c>
      <c r="K47" s="33" t="n">
        <f aca="false">K26*Price_Petite*K46</f>
        <v>0</v>
      </c>
      <c r="L47" s="33" t="n">
        <f aca="false">L26*Price_Petite*L46</f>
        <v>235864.7235648</v>
      </c>
      <c r="M47" s="33" t="n">
        <f aca="false">M26*Price_Petite*M46</f>
        <v>483636.373475904</v>
      </c>
      <c r="N47" s="33" t="n">
        <f aca="false">N26*Price_Petite*N46</f>
        <v>727555.82289173</v>
      </c>
      <c r="O47" s="33" t="n">
        <f aca="false">O26*Price_Petite*O46</f>
        <v>1080761.74177236</v>
      </c>
      <c r="P47" s="33" t="n">
        <f aca="false">P26*Price_Petite*P46</f>
        <v>1430679.32423569</v>
      </c>
      <c r="Q47" s="33" t="n">
        <f aca="false">Q26*Price_Petite*Q46</f>
        <v>1777600.88392767</v>
      </c>
      <c r="R47" s="33" t="n">
        <f aca="false">R26*Price_Petite*R46</f>
        <v>2119855.19303642</v>
      </c>
      <c r="S47" s="33" t="n">
        <f aca="false">S26*Price_Petite*S46</f>
        <v>2457790.14469023</v>
      </c>
      <c r="T47" s="33" t="n">
        <f aca="false">T26*Price_Petite*T46</f>
        <v>2890326.34704183</v>
      </c>
      <c r="U47" s="33" t="n">
        <f aca="false">U26*Price_Petite*U46</f>
        <v>3319264.67334113</v>
      </c>
      <c r="V47" s="33" t="n">
        <f aca="false">V26*Price_Petite*V46</f>
        <v>3744980.25198885</v>
      </c>
      <c r="W47" s="33" t="n">
        <f aca="false">W26*Price_Petite*W46</f>
        <v>4167858.89907049</v>
      </c>
      <c r="X47" s="33" t="n">
        <f aca="false">X26*Price_Petite*X46</f>
        <v>4585649.54801779</v>
      </c>
      <c r="Y47" s="33" t="n">
        <f aca="false">Y26*Price_Petite*Y46</f>
        <v>4991212.79056185</v>
      </c>
      <c r="Z47" s="33" t="n">
        <f aca="false">Z26*Price_Petite*Z46</f>
        <v>5517555.25370531</v>
      </c>
      <c r="AA47" s="33" t="n">
        <f aca="false">AA26*Price_Petite*AA46</f>
        <v>6412959.94064317</v>
      </c>
      <c r="AB47" s="33" t="n">
        <f aca="false">AB26*Price_Petite*AB46</f>
        <v>7300070.40848299</v>
      </c>
      <c r="AC47" s="33" t="n">
        <f aca="false">AC26*Price_Petite*AC46</f>
        <v>8179629.37408518</v>
      </c>
      <c r="AD47" s="33" t="n">
        <f aca="false">AD26*Price_Petite*AD46</f>
        <v>9048441.68592164</v>
      </c>
      <c r="AE47" s="33" t="n">
        <f aca="false">AE26*Price_Petite*AE46</f>
        <v>9907370.40604046</v>
      </c>
      <c r="AF47" s="33" t="n">
        <f aca="false">AF26*Price_Petite*AF46</f>
        <v>10955181.4229871</v>
      </c>
      <c r="AG47" s="33" t="n">
        <f aca="false">AG26*Price_Petite*AG46</f>
        <v>11994901.7525389</v>
      </c>
      <c r="AH47" s="33" t="n">
        <f aca="false">AH26*Price_Petite*AH46</f>
        <v>13027465.1404204</v>
      </c>
      <c r="AI47" s="33" t="n">
        <f aca="false">AI26*Price_Petite*AI46</f>
        <v>14053832.9733601</v>
      </c>
      <c r="AJ47" s="33" t="n">
        <f aca="false">AJ26*Price_Petite*AJ46</f>
        <v>15074996.505226</v>
      </c>
      <c r="AK47" s="33" t="n">
        <f aca="false">AK26*Price_Petite*AK46</f>
        <v>16084417.5853745</v>
      </c>
      <c r="AL47" s="33" t="n">
        <f aca="false">AL26*Price_Petite*AL46</f>
        <v>17083305.6091752</v>
      </c>
      <c r="AM47" s="33" t="n">
        <f aca="false">AM26*Price_Petite*AM46</f>
        <v>18450985.2568704</v>
      </c>
      <c r="AN47" s="33" t="n">
        <f aca="false">AN26*Price_Petite*AN46</f>
        <v>19810656.3162444</v>
      </c>
      <c r="AO47" s="33" t="n">
        <f aca="false">AO26*Price_Petite*AO46</f>
        <v>21163639.6593417</v>
      </c>
      <c r="AP47" s="33" t="n">
        <f aca="false">AP26*Price_Petite*AP46</f>
        <v>22509328.0947823</v>
      </c>
      <c r="AQ47" s="33" t="n">
        <f aca="false">AQ26*Price_Petite*AQ46</f>
        <v>23849171.6835517</v>
      </c>
      <c r="AR47" s="33" t="n">
        <f aca="false">AR26*Price_Petite*AR46</f>
        <v>25283234.1351857</v>
      </c>
      <c r="AS47" s="33" t="n">
        <f aca="false">AS26*Price_Petite*AS46</f>
        <v>26714503.3177853</v>
      </c>
      <c r="AT47" s="33" t="n">
        <f aca="false">AT26*Price_Petite*AT46</f>
        <v>28144754.5641381</v>
      </c>
      <c r="AU47" s="33" t="n">
        <f aca="false">AU26*Price_Petite*AU46</f>
        <v>29576206.4078134</v>
      </c>
      <c r="AV47" s="33" t="n">
        <f aca="false">AV26*Price_Petite*AV46</f>
        <v>31002855.4718481</v>
      </c>
      <c r="AW47" s="33" t="n">
        <f aca="false">AW26*Price_Petite*AW46</f>
        <v>32400264.3370136</v>
      </c>
      <c r="AX47" s="33" t="n">
        <f aca="false">AX26*Price_Petite*AX46</f>
        <v>33769429.0714319</v>
      </c>
      <c r="AY47" s="33" t="n">
        <f aca="false">AY26*Price_Petite*AY46</f>
        <v>35489431.4977114</v>
      </c>
      <c r="AZ47" s="33" t="n">
        <f aca="false">AZ26*Price_Petite*AZ46</f>
        <v>37183197.5784078</v>
      </c>
      <c r="BA47" s="33" t="n">
        <f aca="false">BA26*Price_Petite*BA46</f>
        <v>38851741.8626092</v>
      </c>
      <c r="BB47" s="33" t="n">
        <f aca="false">BB26*Price_Petite*BB46</f>
        <v>40494101.6617529</v>
      </c>
      <c r="BC47" s="33" t="n">
        <f aca="false">BC26*Price_Petite*BC46</f>
        <v>42111351.0297374</v>
      </c>
      <c r="BD47" s="33" t="n">
        <f aca="false">BD26*Price_Petite*BD46</f>
        <v>43803892.3612353</v>
      </c>
      <c r="BE47" s="33" t="n">
        <f aca="false">BE26*Price_Petite*BE46</f>
        <v>45473507.7421889</v>
      </c>
      <c r="BF47" s="33" t="n">
        <f aca="false">BF26*Price_Petite*BF46</f>
        <v>47121311.1841742</v>
      </c>
      <c r="BG47" s="33" t="n">
        <f aca="false">BG26*Price_Petite*BG46</f>
        <v>48748433.7480894</v>
      </c>
      <c r="BH47" s="33" t="n">
        <f aca="false">BH26*Price_Petite*BH46</f>
        <v>50356025.5629423</v>
      </c>
      <c r="BI47" s="33" t="n">
        <f aca="false">BI26*Price_Petite*BI46</f>
        <v>51945257.945847</v>
      </c>
      <c r="BJ47" s="33" t="n">
        <f aca="false">BJ26*Price_Petite*BJ46</f>
        <v>53517325.6297034</v>
      </c>
      <c r="BK47" s="33" t="n">
        <f aca="false">BK26*Price_Petite*BK46</f>
        <v>55073449.1054091</v>
      </c>
      <c r="BL47" s="33" t="n">
        <f aca="false">BL26*Price_Petite*BL46</f>
        <v>56615070.5626169</v>
      </c>
    </row>
    <row r="48" customFormat="false" ht="15" hidden="false" customHeight="false" outlineLevel="0" collapsed="false">
      <c r="A48" s="12" t="s">
        <v>606</v>
      </c>
      <c r="B48" s="14" t="s">
        <v>63</v>
      </c>
      <c r="D48" s="41" t="n">
        <f aca="false">SUM(E48:BL48)</f>
        <v>1921945521.23876</v>
      </c>
      <c r="E48" s="33" t="n">
        <f aca="false">E27*Price_Moyenne*E46</f>
        <v>0</v>
      </c>
      <c r="F48" s="33" t="n">
        <f aca="false">F27*Price_Moyenne*F46</f>
        <v>0</v>
      </c>
      <c r="G48" s="33" t="n">
        <f aca="false">G27*Price_Moyenne*G46</f>
        <v>0</v>
      </c>
      <c r="H48" s="33" t="n">
        <f aca="false">H27*Price_Moyenne*H46</f>
        <v>0</v>
      </c>
      <c r="I48" s="33" t="n">
        <f aca="false">I27*Price_Moyenne*I46</f>
        <v>0</v>
      </c>
      <c r="J48" s="33" t="n">
        <f aca="false">J27*Price_Moyenne*J46</f>
        <v>0</v>
      </c>
      <c r="K48" s="33" t="n">
        <f aca="false">K27*Price_Moyenne*K46</f>
        <v>0</v>
      </c>
      <c r="L48" s="33" t="n">
        <f aca="false">L27*Price_Moyenne*L46</f>
        <v>374143.993701563</v>
      </c>
      <c r="M48" s="33" t="n">
        <f aca="false">M27*Price_Moyenne*M46</f>
        <v>761369.612499793</v>
      </c>
      <c r="N48" s="33" t="n">
        <f aca="false">N27*Price_Moyenne*N46</f>
        <v>1146828.53413622</v>
      </c>
      <c r="O48" s="33" t="n">
        <f aca="false">O27*Price_Moyenne*O46</f>
        <v>1701285.08220974</v>
      </c>
      <c r="P48" s="33" t="n">
        <f aca="false">P27*Price_Moyenne*P46</f>
        <v>2254658.13566737</v>
      </c>
      <c r="Q48" s="33" t="n">
        <f aca="false">Q27*Price_Moyenne*Q46</f>
        <v>2807312.07092588</v>
      </c>
      <c r="R48" s="33" t="n">
        <f aca="false">R27*Price_Moyenne*R46</f>
        <v>3357767.23216093</v>
      </c>
      <c r="S48" s="33" t="n">
        <f aca="false">S27*Price_Moyenne*S46</f>
        <v>3906445.29970784</v>
      </c>
      <c r="T48" s="33" t="n">
        <f aca="false">T27*Price_Moyenne*T46</f>
        <v>4602628.53463734</v>
      </c>
      <c r="U48" s="33" t="n">
        <f aca="false">U27*Price_Moyenne*U46</f>
        <v>5297934.36810078</v>
      </c>
      <c r="V48" s="33" t="n">
        <f aca="false">V27*Price_Moyenne*V46</f>
        <v>5992843.26095471</v>
      </c>
      <c r="W48" s="33" t="n">
        <f aca="false">W27*Price_Moyenne*W46</f>
        <v>6687857.83789527</v>
      </c>
      <c r="X48" s="33" t="n">
        <f aca="false">X27*Price_Moyenne*X46</f>
        <v>7381004.66058623</v>
      </c>
      <c r="Y48" s="33" t="n">
        <f aca="false">Y27*Price_Moyenne*Y46</f>
        <v>8065691.14703343</v>
      </c>
      <c r="Z48" s="33" t="n">
        <f aca="false">Z27*Price_Moyenne*Z46</f>
        <v>8942546.32840731</v>
      </c>
      <c r="AA48" s="33" t="n">
        <f aca="false">AA27*Price_Moyenne*AA46</f>
        <v>10386289.9776067</v>
      </c>
      <c r="AB48" s="33" t="n">
        <f aca="false">AB27*Price_Moyenne*AB46</f>
        <v>11826874.9698644</v>
      </c>
      <c r="AC48" s="33" t="n">
        <f aca="false">AC27*Price_Moyenne*AC46</f>
        <v>13265234.0767126</v>
      </c>
      <c r="AD48" s="33" t="n">
        <f aca="false">AD27*Price_Moyenne*AD46</f>
        <v>14698606.7498384</v>
      </c>
      <c r="AE48" s="33" t="n">
        <f aca="false">AE27*Price_Moyenne*AE46</f>
        <v>16128059.0184202</v>
      </c>
      <c r="AF48" s="33" t="n">
        <f aca="false">AF27*Price_Moyenne*AF46</f>
        <v>17853524.4081971</v>
      </c>
      <c r="AG48" s="33" t="n">
        <f aca="false">AG27*Price_Moyenne*AG46</f>
        <v>19577345.1685771</v>
      </c>
      <c r="AH48" s="33" t="n">
        <f aca="false">AH27*Price_Moyenne*AH46</f>
        <v>21300737.2787064</v>
      </c>
      <c r="AI48" s="33" t="n">
        <f aca="false">AI27*Price_Moyenne*AI46</f>
        <v>23024973.2432683</v>
      </c>
      <c r="AJ48" s="33" t="n">
        <f aca="false">AJ27*Price_Moyenne*AJ46</f>
        <v>24751385.6894308</v>
      </c>
      <c r="AK48" s="33" t="n">
        <f aca="false">AK27*Price_Moyenne*AK46</f>
        <v>26474234.4207935</v>
      </c>
      <c r="AL48" s="33" t="n">
        <f aca="false">AL27*Price_Moyenne*AL46</f>
        <v>28195073.1756131</v>
      </c>
      <c r="AM48" s="33" t="n">
        <f aca="false">AM27*Price_Moyenne*AM46</f>
        <v>30486467.3219271</v>
      </c>
      <c r="AN48" s="33" t="n">
        <f aca="false">AN27*Price_Moyenne*AN46</f>
        <v>32779176.9015228</v>
      </c>
      <c r="AO48" s="33" t="n">
        <f aca="false">AO27*Price_Moyenne*AO46</f>
        <v>35074982.9430908</v>
      </c>
      <c r="AP48" s="33" t="n">
        <f aca="false">AP27*Price_Moyenne*AP46</f>
        <v>37373891.5332593</v>
      </c>
      <c r="AQ48" s="33" t="n">
        <f aca="false">AQ27*Price_Moyenne*AQ46</f>
        <v>39677883.5292682</v>
      </c>
      <c r="AR48" s="33" t="n">
        <f aca="false">AR27*Price_Moyenne*AR46</f>
        <v>42137878.4059874</v>
      </c>
      <c r="AS48" s="33" t="n">
        <f aca="false">AS27*Price_Moyenne*AS46</f>
        <v>44607213.7213978</v>
      </c>
      <c r="AT48" s="33" t="n">
        <f aca="false">AT27*Price_Moyenne*AT46</f>
        <v>47088334.9934842</v>
      </c>
      <c r="AU48" s="33" t="n">
        <f aca="false">AU27*Price_Moyenne*AU46</f>
        <v>49584165.3466753</v>
      </c>
      <c r="AV48" s="33" t="n">
        <f aca="false">AV27*Price_Moyenne*AV46</f>
        <v>52085227.5141105</v>
      </c>
      <c r="AW48" s="33" t="n">
        <f aca="false">AW27*Price_Moyenne*AW46</f>
        <v>54558504.4416588</v>
      </c>
      <c r="AX48" s="33" t="n">
        <f aca="false">AX27*Price_Moyenne*AX46</f>
        <v>57004980.3324262</v>
      </c>
      <c r="AY48" s="33" t="n">
        <f aca="false">AY27*Price_Moyenne*AY46</f>
        <v>59996605.8002364</v>
      </c>
      <c r="AZ48" s="33" t="n">
        <f aca="false">AZ27*Price_Moyenne*AZ46</f>
        <v>62963478.3385418</v>
      </c>
      <c r="BA48" s="33" t="n">
        <f aca="false">BA27*Price_Moyenne*BA46</f>
        <v>65906665.902292</v>
      </c>
      <c r="BB48" s="33" t="n">
        <f aca="false">BB27*Price_Moyenne*BB46</f>
        <v>68825393.8795991</v>
      </c>
      <c r="BC48" s="33" t="n">
        <f aca="false">BC27*Price_Moyenne*BC46</f>
        <v>71720820.3145801</v>
      </c>
      <c r="BD48" s="33" t="n">
        <f aca="false">BD27*Price_Moyenne*BD46</f>
        <v>74744118.3137574</v>
      </c>
      <c r="BE48" s="33" t="n">
        <f aca="false">BE27*Price_Moyenne*BE46</f>
        <v>77746543.4560565</v>
      </c>
      <c r="BF48" s="33" t="n">
        <f aca="false">BF27*Price_Moyenne*BF46</f>
        <v>80729371.7542752</v>
      </c>
      <c r="BG48" s="33" t="n">
        <f aca="false">BG27*Price_Moyenne*BG46</f>
        <v>83693924.1771763</v>
      </c>
      <c r="BH48" s="33" t="n">
        <f aca="false">BH27*Price_Moyenne*BH46</f>
        <v>86641569.7419059</v>
      </c>
      <c r="BI48" s="33" t="n">
        <f aca="false">BI27*Price_Moyenne*BI46</f>
        <v>89573728.787018</v>
      </c>
      <c r="BJ48" s="33" t="n">
        <f aca="false">BJ27*Price_Moyenne*BJ46</f>
        <v>92491876.4370044</v>
      </c>
      <c r="BK48" s="33" t="n">
        <f aca="false">BK27*Price_Moyenne*BK46</f>
        <v>95397546.2698804</v>
      </c>
      <c r="BL48" s="33" t="n">
        <f aca="false">BL27*Price_Moyenne*BL46</f>
        <v>98292516.8059758</v>
      </c>
    </row>
    <row r="49" customFormat="false" ht="15" hidden="false" customHeight="false" outlineLevel="0" collapsed="false">
      <c r="A49" s="12" t="s">
        <v>607</v>
      </c>
      <c r="B49" s="14" t="s">
        <v>63</v>
      </c>
      <c r="D49" s="41" t="n">
        <f aca="false">SUM(E49:BL49)</f>
        <v>1849026315.47424</v>
      </c>
      <c r="E49" s="33" t="n">
        <f aca="false">E28*Price_Grande*E46</f>
        <v>0</v>
      </c>
      <c r="F49" s="33" t="n">
        <f aca="false">F28*Price_Grande*F46</f>
        <v>0</v>
      </c>
      <c r="G49" s="33" t="n">
        <f aca="false">G28*Price_Grande*G46</f>
        <v>0</v>
      </c>
      <c r="H49" s="33" t="n">
        <f aca="false">H28*Price_Grande*H46</f>
        <v>0</v>
      </c>
      <c r="I49" s="33" t="n">
        <f aca="false">I28*Price_Grande*I46</f>
        <v>0</v>
      </c>
      <c r="J49" s="33" t="n">
        <f aca="false">J28*Price_Grande*J46</f>
        <v>0</v>
      </c>
      <c r="K49" s="33" t="n">
        <f aca="false">K28*Price_Grande*K46</f>
        <v>0</v>
      </c>
      <c r="L49" s="33" t="n">
        <f aca="false">L28*Price_Grande*L46</f>
        <v>344024.917617946</v>
      </c>
      <c r="M49" s="33" t="n">
        <f aca="false">M28*Price_Grande*M46</f>
        <v>696836.270863045</v>
      </c>
      <c r="N49" s="33" t="n">
        <f aca="false">N28*Price_Grande*N46</f>
        <v>1050575.25435644</v>
      </c>
      <c r="O49" s="33" t="n">
        <f aca="false">O28*Price_Grande*O46</f>
        <v>1557327.64829513</v>
      </c>
      <c r="P49" s="33" t="n">
        <f aca="false">P28*Price_Grande*P46</f>
        <v>2065574.12877005</v>
      </c>
      <c r="Q49" s="33" t="n">
        <f aca="false">Q28*Price_Grande*Q46</f>
        <v>2575621.17390165</v>
      </c>
      <c r="R49" s="33" t="n">
        <f aca="false">R28*Price_Grande*R46</f>
        <v>3086797.6687506</v>
      </c>
      <c r="S49" s="33" t="n">
        <f aca="false">S28*Price_Grande*S46</f>
        <v>3599452.09192737</v>
      </c>
      <c r="T49" s="33" t="n">
        <f aca="false">T28*Price_Grande*T46</f>
        <v>4246532.4587552</v>
      </c>
      <c r="U49" s="33" t="n">
        <f aca="false">U28*Price_Grande*U46</f>
        <v>4895845.26526286</v>
      </c>
      <c r="V49" s="33" t="n">
        <f aca="false">V28*Price_Grande*V46</f>
        <v>5547798.9006986</v>
      </c>
      <c r="W49" s="33" t="n">
        <f aca="false">W28*Price_Grande*W46</f>
        <v>6202824.1993441</v>
      </c>
      <c r="X49" s="33" t="n">
        <f aca="false">X28*Price_Grande*X46</f>
        <v>6860039.87465379</v>
      </c>
      <c r="Y49" s="33" t="n">
        <f aca="false">Y28*Price_Grande*Y46</f>
        <v>7516101.11786695</v>
      </c>
      <c r="Z49" s="33" t="n">
        <f aca="false">Z28*Price_Grande*Z46</f>
        <v>8349655.31659073</v>
      </c>
      <c r="AA49" s="33" t="n">
        <f aca="false">AA28*Price_Grande*AA46</f>
        <v>9694425.44412054</v>
      </c>
      <c r="AB49" s="33" t="n">
        <f aca="false">AB28*Price_Grande*AB46</f>
        <v>11042591.2059331</v>
      </c>
      <c r="AC49" s="33" t="n">
        <f aca="false">AC28*Price_Grande*AC46</f>
        <v>12394936.0193858</v>
      </c>
      <c r="AD49" s="33" t="n">
        <f aca="false">AD28*Price_Grande*AD46</f>
        <v>13750289.6577823</v>
      </c>
      <c r="AE49" s="33" t="n">
        <f aca="false">AE28*Price_Grande*AE46</f>
        <v>15109538.4176884</v>
      </c>
      <c r="AF49" s="33" t="n">
        <f aca="false">AF28*Price_Grande*AF46</f>
        <v>16739790.0135439</v>
      </c>
      <c r="AG49" s="33" t="n">
        <f aca="false">AG28*Price_Grande*AG46</f>
        <v>18375855.8904347</v>
      </c>
      <c r="AH49" s="33" t="n">
        <f aca="false">AH28*Price_Grande*AH46</f>
        <v>20018774.9113335</v>
      </c>
      <c r="AI49" s="33" t="n">
        <f aca="false">AI28*Price_Grande*AI46</f>
        <v>21669643.0959451</v>
      </c>
      <c r="AJ49" s="33" t="n">
        <f aca="false">AJ28*Price_Grande*AJ46</f>
        <v>23329617.0889239</v>
      </c>
      <c r="AK49" s="33" t="n">
        <f aca="false">AK28*Price_Grande*AK46</f>
        <v>24996103.6096423</v>
      </c>
      <c r="AL49" s="33" t="n">
        <f aca="false">AL28*Price_Grande*AL46</f>
        <v>26670420.4076784</v>
      </c>
      <c r="AM49" s="33" t="n">
        <f aca="false">AM28*Price_Grande*AM46</f>
        <v>28862520.8451007</v>
      </c>
      <c r="AN49" s="33" t="n">
        <f aca="false">AN28*Price_Grande*AN46</f>
        <v>31065307.7753612</v>
      </c>
      <c r="AO49" s="33" t="n">
        <f aca="false">AO28*Price_Grande*AO46</f>
        <v>33280328.6845306</v>
      </c>
      <c r="AP49" s="33" t="n">
        <f aca="false">AP28*Price_Grande*AP46</f>
        <v>35508222.7551204</v>
      </c>
      <c r="AQ49" s="33" t="n">
        <f aca="false">AQ28*Price_Grande*AQ46</f>
        <v>37750722.2488442</v>
      </c>
      <c r="AR49" s="33" t="n">
        <f aca="false">AR28*Price_Grande*AR46</f>
        <v>40142236.8974115</v>
      </c>
      <c r="AS49" s="33" t="n">
        <f aca="false">AS28*Price_Grande*AS46</f>
        <v>42552117.5607207</v>
      </c>
      <c r="AT49" s="33" t="n">
        <f aca="false">AT28*Price_Grande*AT46</f>
        <v>44982488.4648603</v>
      </c>
      <c r="AU49" s="33" t="n">
        <f aca="false">AU28*Price_Grande*AU46</f>
        <v>47435783.0517724</v>
      </c>
      <c r="AV49" s="33" t="n">
        <f aca="false">AV28*Price_Grande*AV46</f>
        <v>49903394.5766607</v>
      </c>
      <c r="AW49" s="33" t="n">
        <f aca="false">AW28*Price_Grande*AW46</f>
        <v>52358296.627409</v>
      </c>
      <c r="AX49" s="33" t="n">
        <f aca="false">AX28*Price_Grande*AX46</f>
        <v>54801161.2353861</v>
      </c>
      <c r="AY49" s="33" t="n">
        <f aca="false">AY28*Price_Grande*AY46</f>
        <v>57741253.4943443</v>
      </c>
      <c r="AZ49" s="33" t="n">
        <f aca="false">AZ28*Price_Grande*AZ46</f>
        <v>60670742.9148587</v>
      </c>
      <c r="BA49" s="33" t="n">
        <f aca="false">BA28*Price_Grande*BA46</f>
        <v>63590395.8894276</v>
      </c>
      <c r="BB49" s="33" t="n">
        <f aca="false">BB28*Price_Grande*BB46</f>
        <v>66500012.328878</v>
      </c>
      <c r="BC49" s="33" t="n">
        <f aca="false">BC28*Price_Grande*BC46</f>
        <v>69400439.2757149</v>
      </c>
      <c r="BD49" s="33" t="n">
        <f aca="false">BD28*Price_Grande*BD46</f>
        <v>72426156.5257336</v>
      </c>
      <c r="BE49" s="33" t="n">
        <f aca="false">BE28*Price_Grande*BE46</f>
        <v>75444500.7067374</v>
      </c>
      <c r="BF49" s="33" t="n">
        <f aca="false">BF28*Price_Grande*BF46</f>
        <v>78456446.3053655</v>
      </c>
      <c r="BG49" s="33" t="n">
        <f aca="false">BG28*Price_Grande*BG46</f>
        <v>81463015.6509247</v>
      </c>
      <c r="BH49" s="33" t="n">
        <f aca="false">BH28*Price_Grande*BH46</f>
        <v>84465281.865648</v>
      </c>
      <c r="BI49" s="33" t="n">
        <f aca="false">BI28*Price_Grande*BI46</f>
        <v>87464371.9913723</v>
      </c>
      <c r="BJ49" s="33" t="n">
        <f aca="false">BJ28*Price_Grande*BJ46</f>
        <v>90461470.3032216</v>
      </c>
      <c r="BK49" s="33" t="n">
        <f aca="false">BK28*Price_Grande*BK46</f>
        <v>93457821.8215242</v>
      </c>
      <c r="BL49" s="33" t="n">
        <f aca="false">BL28*Price_Grande*BL46</f>
        <v>96454833.6272491</v>
      </c>
    </row>
    <row r="50" customFormat="false" ht="15" hidden="false" customHeight="false" outlineLevel="0" collapsed="false">
      <c r="A50" s="8" t="s">
        <v>608</v>
      </c>
      <c r="B50" s="14" t="s">
        <v>63</v>
      </c>
      <c r="D50" s="41" t="n">
        <f aca="false">SUM(E50:BL50)</f>
        <v>4909084127.27701</v>
      </c>
      <c r="E50" s="16" t="n">
        <f aca="false">E47+E48+E49</f>
        <v>0</v>
      </c>
      <c r="F50" s="16" t="n">
        <f aca="false">F47+F48+F49</f>
        <v>0</v>
      </c>
      <c r="G50" s="16" t="n">
        <f aca="false">G47+G48+G49</f>
        <v>0</v>
      </c>
      <c r="H50" s="16" t="n">
        <f aca="false">H47+H48+H49</f>
        <v>0</v>
      </c>
      <c r="I50" s="16" t="n">
        <f aca="false">I47+I48+I49</f>
        <v>0</v>
      </c>
      <c r="J50" s="16" t="n">
        <f aca="false">J47+J48+J49</f>
        <v>0</v>
      </c>
      <c r="K50" s="16" t="n">
        <f aca="false">K47+K48+K49</f>
        <v>0</v>
      </c>
      <c r="L50" s="16" t="n">
        <f aca="false">L47+L48+L49</f>
        <v>954033.634884308</v>
      </c>
      <c r="M50" s="16" t="n">
        <f aca="false">M47+M48+M49</f>
        <v>1941842.25683874</v>
      </c>
      <c r="N50" s="16" t="n">
        <f aca="false">N47+N48+N49</f>
        <v>2924959.61138439</v>
      </c>
      <c r="O50" s="16" t="n">
        <f aca="false">O47+O48+O49</f>
        <v>4339374.47227723</v>
      </c>
      <c r="P50" s="16" t="n">
        <f aca="false">P47+P48+P49</f>
        <v>5750911.5886731</v>
      </c>
      <c r="Q50" s="16" t="n">
        <f aca="false">Q47+Q48+Q49</f>
        <v>7160534.1287552</v>
      </c>
      <c r="R50" s="16" t="n">
        <f aca="false">R47+R48+R49</f>
        <v>8564420.09394794</v>
      </c>
      <c r="S50" s="16" t="n">
        <f aca="false">S47+S48+S49</f>
        <v>9963687.53632544</v>
      </c>
      <c r="T50" s="16" t="n">
        <f aca="false">T47+T48+T49</f>
        <v>11739487.3404344</v>
      </c>
      <c r="U50" s="16" t="n">
        <f aca="false">U47+U48+U49</f>
        <v>13513044.3067048</v>
      </c>
      <c r="V50" s="16" t="n">
        <f aca="false">V47+V48+V49</f>
        <v>15285622.4136422</v>
      </c>
      <c r="W50" s="16" t="n">
        <f aca="false">W47+W48+W49</f>
        <v>17058540.9363099</v>
      </c>
      <c r="X50" s="16" t="n">
        <f aca="false">X47+X48+X49</f>
        <v>18826694.0832578</v>
      </c>
      <c r="Y50" s="16" t="n">
        <f aca="false">Y47+Y48+Y49</f>
        <v>20573005.0554622</v>
      </c>
      <c r="Z50" s="16" t="n">
        <f aca="false">Z47+Z48+Z49</f>
        <v>22809756.8987033</v>
      </c>
      <c r="AA50" s="16" t="n">
        <f aca="false">AA47+AA48+AA49</f>
        <v>26493675.3623704</v>
      </c>
      <c r="AB50" s="16" t="n">
        <f aca="false">AB47+AB48+AB49</f>
        <v>30169536.5842806</v>
      </c>
      <c r="AC50" s="16" t="n">
        <f aca="false">AC47+AC48+AC49</f>
        <v>33839799.4701835</v>
      </c>
      <c r="AD50" s="16" t="n">
        <f aca="false">AD47+AD48+AD49</f>
        <v>37497338.0935423</v>
      </c>
      <c r="AE50" s="16" t="n">
        <f aca="false">AE47+AE48+AE49</f>
        <v>41144967.8421491</v>
      </c>
      <c r="AF50" s="16" t="n">
        <f aca="false">AF47+AF48+AF49</f>
        <v>45548495.8447281</v>
      </c>
      <c r="AG50" s="16" t="n">
        <f aca="false">AG47+AG48+AG49</f>
        <v>49948102.8115508</v>
      </c>
      <c r="AH50" s="16" t="n">
        <f aca="false">AH47+AH48+AH49</f>
        <v>54346977.3304603</v>
      </c>
      <c r="AI50" s="16" t="n">
        <f aca="false">AI47+AI48+AI49</f>
        <v>58748449.3125735</v>
      </c>
      <c r="AJ50" s="16" t="n">
        <f aca="false">AJ47+AJ48+AJ49</f>
        <v>63155999.2835807</v>
      </c>
      <c r="AK50" s="16" t="n">
        <f aca="false">AK47+AK48+AK49</f>
        <v>67554755.6158103</v>
      </c>
      <c r="AL50" s="16" t="n">
        <f aca="false">AL47+AL48+AL49</f>
        <v>71948799.1924667</v>
      </c>
      <c r="AM50" s="16" t="n">
        <f aca="false">AM47+AM48+AM49</f>
        <v>77799973.4238983</v>
      </c>
      <c r="AN50" s="16" t="n">
        <f aca="false">AN47+AN48+AN49</f>
        <v>83655140.9931285</v>
      </c>
      <c r="AO50" s="16" t="n">
        <f aca="false">AO47+AO48+AO49</f>
        <v>89518951.2869631</v>
      </c>
      <c r="AP50" s="16" t="n">
        <f aca="false">AP47+AP48+AP49</f>
        <v>95391442.383162</v>
      </c>
      <c r="AQ50" s="16" t="n">
        <f aca="false">AQ47+AQ48+AQ49</f>
        <v>101277777.461664</v>
      </c>
      <c r="AR50" s="16" t="n">
        <f aca="false">AR47+AR48+AR49</f>
        <v>107563349.438585</v>
      </c>
      <c r="AS50" s="16" t="n">
        <f aca="false">AS47+AS48+AS49</f>
        <v>113873834.599904</v>
      </c>
      <c r="AT50" s="16" t="n">
        <f aca="false">AT47+AT48+AT49</f>
        <v>120215578.022483</v>
      </c>
      <c r="AU50" s="16" t="n">
        <f aca="false">AU47+AU48+AU49</f>
        <v>126596154.806261</v>
      </c>
      <c r="AV50" s="16" t="n">
        <f aca="false">AV47+AV48+AV49</f>
        <v>132991477.562619</v>
      </c>
      <c r="AW50" s="16" t="n">
        <f aca="false">AW47+AW48+AW49</f>
        <v>139317065.406081</v>
      </c>
      <c r="AX50" s="16" t="n">
        <f aca="false">AX47+AX48+AX49</f>
        <v>145575570.639244</v>
      </c>
      <c r="AY50" s="16" t="n">
        <f aca="false">AY47+AY48+AY49</f>
        <v>153227290.792292</v>
      </c>
      <c r="AZ50" s="16" t="n">
        <f aca="false">AZ47+AZ48+AZ49</f>
        <v>160817418.831808</v>
      </c>
      <c r="BA50" s="16" t="n">
        <f aca="false">BA47+BA48+BA49</f>
        <v>168348803.654329</v>
      </c>
      <c r="BB50" s="16" t="n">
        <f aca="false">BB47+BB48+BB49</f>
        <v>175819507.87023</v>
      </c>
      <c r="BC50" s="16" t="n">
        <f aca="false">BC47+BC48+BC49</f>
        <v>183232610.620032</v>
      </c>
      <c r="BD50" s="16" t="n">
        <f aca="false">BD47+BD48+BD49</f>
        <v>190974167.200726</v>
      </c>
      <c r="BE50" s="16" t="n">
        <f aca="false">BE47+BE48+BE49</f>
        <v>198664551.904983</v>
      </c>
      <c r="BF50" s="16" t="n">
        <f aca="false">BF47+BF48+BF49</f>
        <v>206307129.243815</v>
      </c>
      <c r="BG50" s="16" t="n">
        <f aca="false">BG47+BG48+BG49</f>
        <v>213905373.57619</v>
      </c>
      <c r="BH50" s="16" t="n">
        <f aca="false">BH47+BH48+BH49</f>
        <v>221462877.170496</v>
      </c>
      <c r="BI50" s="16" t="n">
        <f aca="false">BI47+BI48+BI49</f>
        <v>228983358.724237</v>
      </c>
      <c r="BJ50" s="16" t="n">
        <f aca="false">BJ47+BJ48+BJ49</f>
        <v>236470672.369929</v>
      </c>
      <c r="BK50" s="16" t="n">
        <f aca="false">BK47+BK48+BK49</f>
        <v>243928817.196814</v>
      </c>
      <c r="BL50" s="16" t="n">
        <f aca="false">BL47+BL48+BL49</f>
        <v>251362420.995842</v>
      </c>
    </row>
    <row r="51" customFormat="false" ht="15" hidden="false" customHeight="false" outlineLevel="0" collapsed="false">
      <c r="A51" s="12" t="s">
        <v>609</v>
      </c>
      <c r="B51" s="14" t="s">
        <v>63</v>
      </c>
      <c r="D51" s="41" t="n">
        <f aca="false">SUM(E51:BL51)</f>
        <v>2449096008.55781</v>
      </c>
      <c r="E51" s="33" t="n">
        <f aca="false">E37*FX_Fee</f>
        <v>0</v>
      </c>
      <c r="F51" s="33" t="n">
        <f aca="false">F37*FX_Fee</f>
        <v>0</v>
      </c>
      <c r="G51" s="33" t="n">
        <f aca="false">G37*FX_Fee</f>
        <v>0</v>
      </c>
      <c r="H51" s="33" t="n">
        <f aca="false">H37*FX_Fee</f>
        <v>0</v>
      </c>
      <c r="I51" s="33" t="n">
        <f aca="false">I37*FX_Fee</f>
        <v>422453.333333333</v>
      </c>
      <c r="J51" s="33" t="n">
        <f aca="false">J37*FX_Fee</f>
        <v>845155.866666667</v>
      </c>
      <c r="K51" s="33" t="n">
        <f aca="false">K37*FX_Fee</f>
        <v>1268433.871</v>
      </c>
      <c r="L51" s="33" t="n">
        <f aca="false">L37*FX_Fee</f>
        <v>1870628.78060083</v>
      </c>
      <c r="M51" s="33" t="n">
        <f aca="false">M37*FX_Fee</f>
        <v>2471953.17266491</v>
      </c>
      <c r="N51" s="33" t="n">
        <f aca="false">N37*FX_Fee</f>
        <v>3072811.39205721</v>
      </c>
      <c r="O51" s="33" t="n">
        <f aca="false">O37*FX_Fee</f>
        <v>3673625.60395351</v>
      </c>
      <c r="P51" s="33" t="n">
        <f aca="false">P37*FX_Fee</f>
        <v>4274836.96461907</v>
      </c>
      <c r="Q51" s="33" t="n">
        <f aca="false">Q37*FX_Fee</f>
        <v>5032360.19402881</v>
      </c>
      <c r="R51" s="33" t="n">
        <f aca="false">R37*FX_Fee</f>
        <v>5789351.58780432</v>
      </c>
      <c r="S51" s="33" t="n">
        <f aca="false">S37*FX_Fee</f>
        <v>6546342.84594089</v>
      </c>
      <c r="T51" s="33" t="n">
        <f aca="false">T37*FX_Fee</f>
        <v>7303889.67027081</v>
      </c>
      <c r="U51" s="33" t="n">
        <f aca="false">U37*FX_Fee</f>
        <v>8062573.32851617</v>
      </c>
      <c r="V51" s="33" t="n">
        <f aca="false">V37*FX_Fee</f>
        <v>8823002.31007099</v>
      </c>
      <c r="W51" s="33" t="n">
        <f aca="false">W37*FX_Fee</f>
        <v>9794667.41238814</v>
      </c>
      <c r="X51" s="33" t="n">
        <f aca="false">X37*FX_Fee</f>
        <v>11366370.7971778</v>
      </c>
      <c r="Y51" s="33" t="n">
        <f aca="false">Y37*FX_Fee</f>
        <v>12935516.1519768</v>
      </c>
      <c r="Z51" s="33" t="n">
        <f aca="false">Z37*FX_Fee</f>
        <v>14503136.1232828</v>
      </c>
      <c r="AA51" s="33" t="n">
        <f aca="false">AA37*FX_Fee</f>
        <v>16070308.703963</v>
      </c>
      <c r="AB51" s="33" t="n">
        <f aca="false">AB37*FX_Fee</f>
        <v>17638160.2144946</v>
      </c>
      <c r="AC51" s="33" t="n">
        <f aca="false">AC37*FX_Fee</f>
        <v>19519961.7919745</v>
      </c>
      <c r="AD51" s="33" t="n">
        <f aca="false">AD37*FX_Fee</f>
        <v>21401091.8307748</v>
      </c>
      <c r="AE51" s="33" t="n">
        <f aca="false">AE37*FX_Fee</f>
        <v>23282893.196108</v>
      </c>
      <c r="AF51" s="33" t="n">
        <f aca="false">AF37*FX_Fee</f>
        <v>25166770.0554617</v>
      </c>
      <c r="AG51" s="33" t="n">
        <f aca="false">AG37*FX_Fee</f>
        <v>27054191.8575489</v>
      </c>
      <c r="AH51" s="33" t="n">
        <f aca="false">AH37*FX_Fee</f>
        <v>28946697.544883</v>
      </c>
      <c r="AI51" s="33" t="n">
        <f aca="false">AI37*FX_Fee</f>
        <v>30845900.0140882</v>
      </c>
      <c r="AJ51" s="33" t="n">
        <f aca="false">AJ37*FX_Fee</f>
        <v>33349790.838899</v>
      </c>
      <c r="AK51" s="33" t="n">
        <f aca="false">AK37*FX_Fee</f>
        <v>35856659.5216993</v>
      </c>
      <c r="AL51" s="33" t="n">
        <f aca="false">AL37*FX_Fee</f>
        <v>38368469.4085258</v>
      </c>
      <c r="AM51" s="33" t="n">
        <f aca="false">AM37*FX_Fee</f>
        <v>40887276.8961417</v>
      </c>
      <c r="AN51" s="33" t="n">
        <f aca="false">AN37*FX_Fee</f>
        <v>43415237.4000032</v>
      </c>
      <c r="AO51" s="33" t="n">
        <f aca="false">AO37*FX_Fee</f>
        <v>46110065.0071137</v>
      </c>
      <c r="AP51" s="33" t="n">
        <f aca="false">AP37*FX_Fee</f>
        <v>48816805.8683115</v>
      </c>
      <c r="AQ51" s="33" t="n">
        <f aca="false">AQ37*FX_Fee</f>
        <v>51537977.7255531</v>
      </c>
      <c r="AR51" s="33" t="n">
        <f aca="false">AR37*FX_Fee</f>
        <v>54276224.5453149</v>
      </c>
      <c r="AS51" s="33" t="n">
        <f aca="false">AS37*FX_Fee</f>
        <v>57021219.0483037</v>
      </c>
      <c r="AT51" s="33" t="n">
        <f aca="false">AT37*FX_Fee</f>
        <v>59745639.0241811</v>
      </c>
      <c r="AU51" s="33" t="n">
        <f aca="false">AU37*FX_Fee</f>
        <v>62450468.4891643</v>
      </c>
      <c r="AV51" s="33" t="n">
        <f aca="false">AV37*FX_Fee</f>
        <v>65733020.0916353</v>
      </c>
      <c r="AW51" s="33" t="n">
        <f aca="false">AW37*FX_Fee</f>
        <v>68990851.5484337</v>
      </c>
      <c r="AX51" s="33" t="n">
        <f aca="false">AX37*FX_Fee</f>
        <v>72225138.5725725</v>
      </c>
      <c r="AY51" s="33" t="n">
        <f aca="false">AY37*FX_Fee</f>
        <v>75437090.910717</v>
      </c>
      <c r="AZ51" s="33" t="n">
        <f aca="false">AZ37*FX_Fee</f>
        <v>78627954.9483639</v>
      </c>
      <c r="BA51" s="33" t="n">
        <f aca="false">BA37*FX_Fee</f>
        <v>81955656.4618451</v>
      </c>
      <c r="BB51" s="33" t="n">
        <f aca="false">BB37*FX_Fee</f>
        <v>85262995.926137</v>
      </c>
      <c r="BC51" s="33" t="n">
        <f aca="false">BC37*FX_Fee</f>
        <v>88551372.8249884</v>
      </c>
      <c r="BD51" s="33" t="n">
        <f aca="false">BD37*FX_Fee</f>
        <v>91822234.8592739</v>
      </c>
      <c r="BE51" s="33" t="n">
        <f aca="false">BE37*FX_Fee</f>
        <v>95077081.3884216</v>
      </c>
      <c r="BF51" s="33" t="n">
        <f aca="false">BF37*FX_Fee</f>
        <v>98317467.0691288</v>
      </c>
      <c r="BG51" s="33" t="n">
        <f aca="false">BG37*FX_Fee</f>
        <v>101545005.703366</v>
      </c>
      <c r="BH51" s="33" t="n">
        <f aca="false">BH37*FX_Fee</f>
        <v>104761374.308387</v>
      </c>
      <c r="BI51" s="33" t="n">
        <f aca="false">BI37*FX_Fee</f>
        <v>107968317.422231</v>
      </c>
      <c r="BJ51" s="33" t="n">
        <f aca="false">BJ37*FX_Fee</f>
        <v>111167651.658983</v>
      </c>
      <c r="BK51" s="33" t="n">
        <f aca="false">BK37*FX_Fee</f>
        <v>114346013.191113</v>
      </c>
      <c r="BL51" s="33" t="n">
        <f aca="false">BL37*FX_Fee</f>
        <v>117487863.283355</v>
      </c>
    </row>
    <row r="52" customFormat="false" ht="15" hidden="false" customHeight="false" outlineLevel="0" collapsed="false">
      <c r="A52" s="12" t="s">
        <v>610</v>
      </c>
      <c r="B52" s="14" t="s">
        <v>63</v>
      </c>
      <c r="D52" s="41" t="n">
        <f aca="false">SUM(E52:BL52)</f>
        <v>915325977.78957</v>
      </c>
      <c r="E52" s="33" t="n">
        <f aca="false">E36*Interchange_Share</f>
        <v>0</v>
      </c>
      <c r="F52" s="33" t="n">
        <f aca="false">F36*Interchange_Share</f>
        <v>0</v>
      </c>
      <c r="G52" s="33" t="n">
        <f aca="false">G36*Interchange_Share</f>
        <v>0</v>
      </c>
      <c r="H52" s="33" t="n">
        <f aca="false">H36*Interchange_Share</f>
        <v>0</v>
      </c>
      <c r="I52" s="33" t="n">
        <f aca="false">I36*Interchange_Share</f>
        <v>159013.333333333</v>
      </c>
      <c r="J52" s="33" t="n">
        <f aca="false">J36*Interchange_Share</f>
        <v>318025.266666667</v>
      </c>
      <c r="K52" s="33" t="n">
        <f aca="false">K36*Interchange_Share</f>
        <v>477160.3005</v>
      </c>
      <c r="L52" s="33" t="n">
        <f aca="false">L36*Interchange_Share</f>
        <v>703548.538479584</v>
      </c>
      <c r="M52" s="33" t="n">
        <f aca="false">M36*Interchange_Share</f>
        <v>929478.55464007</v>
      </c>
      <c r="N52" s="33" t="n">
        <f aca="false">N36*Interchange_Share</f>
        <v>1155105.13837724</v>
      </c>
      <c r="O52" s="33" t="n">
        <f aca="false">O36*Interchange_Share</f>
        <v>1380589.64827859</v>
      </c>
      <c r="P52" s="33" t="n">
        <f aca="false">P36*Interchange_Share</f>
        <v>1606100.45132746</v>
      </c>
      <c r="Q52" s="33" t="n">
        <f aca="false">Q36*Interchange_Share</f>
        <v>1890326.72099098</v>
      </c>
      <c r="R52" s="33" t="n">
        <f aca="false">R36*Interchange_Share</f>
        <v>2174198.77907308</v>
      </c>
      <c r="S52" s="33" t="n">
        <f aca="false">S36*Interchange_Share</f>
        <v>2457919.70743146</v>
      </c>
      <c r="T52" s="33" t="n">
        <f aca="false">T36*Interchange_Share</f>
        <v>2741701.44868042</v>
      </c>
      <c r="U52" s="33" t="n">
        <f aca="false">U36*Interchange_Share</f>
        <v>3025765.3926769</v>
      </c>
      <c r="V52" s="33" t="n">
        <f aca="false">V36*Interchange_Share</f>
        <v>3310342.99722264</v>
      </c>
      <c r="W52" s="33" t="n">
        <f aca="false">W36*Interchange_Share</f>
        <v>3674289.77838707</v>
      </c>
      <c r="X52" s="33" t="n">
        <f aca="false">X36*Interchange_Share</f>
        <v>4263907.60597891</v>
      </c>
      <c r="Y52" s="33" t="n">
        <f aca="false">Y36*Interchange_Share</f>
        <v>4852244.71782647</v>
      </c>
      <c r="Z52" s="33" t="n">
        <f aca="false">Z36*Interchange_Share</f>
        <v>5439696.21881366</v>
      </c>
      <c r="AA52" s="33" t="n">
        <f aca="false">AA36*Interchange_Share</f>
        <v>6026673.93257746</v>
      </c>
      <c r="AB52" s="33" t="n">
        <f aca="false">AB36*Interchange_Share</f>
        <v>6613607.51984388</v>
      </c>
      <c r="AC52" s="33" t="n">
        <f aca="false">AC36*Interchange_Share</f>
        <v>7318418.99515405</v>
      </c>
      <c r="AD52" s="33" t="n">
        <f aca="false">AD36*Interchange_Share</f>
        <v>8022618.02925534</v>
      </c>
      <c r="AE52" s="33" t="n">
        <f aca="false">AE36*Interchange_Share</f>
        <v>8726716.83929285</v>
      </c>
      <c r="AF52" s="33" t="n">
        <f aca="false">AF36*Interchange_Share</f>
        <v>9431250.29086033</v>
      </c>
      <c r="AG52" s="33" t="n">
        <f aca="false">AG36*Interchange_Share</f>
        <v>10136777.3896791</v>
      </c>
      <c r="AH52" s="33" t="n">
        <f aca="false">AH36*Interchange_Share</f>
        <v>10843882.8604293</v>
      </c>
      <c r="AI52" s="33" t="n">
        <f aca="false">AI36*Interchange_Share</f>
        <v>11553178.8180062</v>
      </c>
      <c r="AJ52" s="33" t="n">
        <f aca="false">AJ36*Interchange_Share</f>
        <v>12489756.5367897</v>
      </c>
      <c r="AK52" s="33" t="n">
        <f aca="false">AK36*Interchange_Share</f>
        <v>13426999.1988495</v>
      </c>
      <c r="AL52" s="33" t="n">
        <f aca="false">AL36*Interchange_Share</f>
        <v>14365653.520801</v>
      </c>
      <c r="AM52" s="33" t="n">
        <f aca="false">AM36*Interchange_Share</f>
        <v>15306500.6608896</v>
      </c>
      <c r="AN52" s="33" t="n">
        <f aca="false">AN36*Interchange_Share</f>
        <v>16250358.4550686</v>
      </c>
      <c r="AO52" s="33" t="n">
        <f aca="false">AO36*Interchange_Share</f>
        <v>17256597.1175832</v>
      </c>
      <c r="AP52" s="33" t="n">
        <f aca="false">AP36*Interchange_Share</f>
        <v>18266861.5973186</v>
      </c>
      <c r="AQ52" s="33" t="n">
        <f aca="false">AQ36*Interchange_Share</f>
        <v>19282105.3227715</v>
      </c>
      <c r="AR52" s="33" t="n">
        <f aca="false">AR36*Interchange_Share</f>
        <v>20303328.5619307</v>
      </c>
      <c r="AS52" s="33" t="n">
        <f aca="false">AS36*Interchange_Share</f>
        <v>21326648.4594636</v>
      </c>
      <c r="AT52" s="33" t="n">
        <f aca="false">AT36*Interchange_Share</f>
        <v>22341787.4391793</v>
      </c>
      <c r="AU52" s="33" t="n">
        <f aca="false">AU36*Interchange_Share</f>
        <v>23349128.5519097</v>
      </c>
      <c r="AV52" s="33" t="n">
        <f aca="false">AV36*Interchange_Share</f>
        <v>24573515.1723004</v>
      </c>
      <c r="AW52" s="33" t="n">
        <f aca="false">AW36*Interchange_Share</f>
        <v>25788062.6985806</v>
      </c>
      <c r="AX52" s="33" t="n">
        <f aca="false">AX36*Interchange_Share</f>
        <v>26993229.066655</v>
      </c>
      <c r="AY52" s="33" t="n">
        <f aca="false">AY36*Interchange_Share</f>
        <v>28189484.4762615</v>
      </c>
      <c r="AZ52" s="33" t="n">
        <f aca="false">AZ36*Interchange_Share</f>
        <v>29377312.3738967</v>
      </c>
      <c r="BA52" s="33" t="n">
        <f aca="false">BA36*Interchange_Share</f>
        <v>30616170.4903788</v>
      </c>
      <c r="BB52" s="33" t="n">
        <f aca="false">BB36*Interchange_Share</f>
        <v>31846866.1364061</v>
      </c>
      <c r="BC52" s="33" t="n">
        <f aca="false">BC36*Interchange_Share</f>
        <v>33069939.8331691</v>
      </c>
      <c r="BD52" s="33" t="n">
        <f aca="false">BD36*Interchange_Share</f>
        <v>34285949.6840359</v>
      </c>
      <c r="BE52" s="33" t="n">
        <f aca="false">BE36*Interchange_Share</f>
        <v>35495472.6694268</v>
      </c>
      <c r="BF52" s="33" t="n">
        <f aca="false">BF36*Interchange_Share</f>
        <v>36699106.0151843</v>
      </c>
      <c r="BG52" s="33" t="n">
        <f aca="false">BG36*Interchange_Share</f>
        <v>37897468.6389248</v>
      </c>
      <c r="BH52" s="33" t="n">
        <f aca="false">BH36*Interchange_Share</f>
        <v>39091202.6791259</v>
      </c>
      <c r="BI52" s="33" t="n">
        <f aca="false">BI36*Interchange_Share</f>
        <v>40280975.1119894</v>
      </c>
      <c r="BJ52" s="33" t="n">
        <f aca="false">BJ36*Interchange_Share</f>
        <v>41467479.4614188</v>
      </c>
      <c r="BK52" s="33" t="n">
        <f aca="false">BK36*Interchange_Share</f>
        <v>42645694.6772324</v>
      </c>
      <c r="BL52" s="33" t="n">
        <f aca="false">BL36*Interchange_Share</f>
        <v>43809783.9082454</v>
      </c>
    </row>
    <row r="53" customFormat="false" ht="15" hidden="false" customHeight="false" outlineLevel="0" collapsed="false">
      <c r="A53" s="12" t="s">
        <v>198</v>
      </c>
      <c r="B53" s="14" t="s">
        <v>63</v>
      </c>
      <c r="D53" s="41" t="n">
        <f aca="false">SUM(E53:BL53)</f>
        <v>3038543163.32181</v>
      </c>
      <c r="E53" s="33" t="n">
        <f aca="false">E38*Deposit_Share/12</f>
        <v>0</v>
      </c>
      <c r="F53" s="33" t="n">
        <f aca="false">F38*Deposit_Share/12</f>
        <v>0</v>
      </c>
      <c r="G53" s="33" t="n">
        <f aca="false">G38*Deposit_Share/12</f>
        <v>0</v>
      </c>
      <c r="H53" s="33" t="n">
        <f aca="false">H38*Deposit_Share/12</f>
        <v>0</v>
      </c>
      <c r="I53" s="33" t="n">
        <f aca="false">I38*Deposit_Share/12</f>
        <v>522133.333333333</v>
      </c>
      <c r="J53" s="33" t="n">
        <f aca="false">J38*Deposit_Share/12</f>
        <v>1044725.66666667</v>
      </c>
      <c r="K53" s="33" t="n">
        <f aca="false">K38*Deposit_Share/12</f>
        <v>1568179.2575</v>
      </c>
      <c r="L53" s="33" t="n">
        <f aca="false">L38*Deposit_Share/12</f>
        <v>2312915.22396458</v>
      </c>
      <c r="M53" s="33" t="n">
        <f aca="false">M38*Deposit_Share/12</f>
        <v>3056787.26031615</v>
      </c>
      <c r="N53" s="33" t="n">
        <f aca="false">N38*Deposit_Share/12</f>
        <v>3800293.26765538</v>
      </c>
      <c r="O53" s="33" t="n">
        <f aca="false">O38*Deposit_Share/12</f>
        <v>4543953.32426893</v>
      </c>
      <c r="P53" s="33" t="n">
        <f aca="false">P38*Deposit_Share/12</f>
        <v>5288311.13810584</v>
      </c>
      <c r="Q53" s="33" t="n">
        <f aca="false">Q38*Deposit_Share/12</f>
        <v>6226068.91763168</v>
      </c>
      <c r="R53" s="33" t="n">
        <f aca="false">R38*Deposit_Share/12</f>
        <v>7163429.24953476</v>
      </c>
      <c r="S53" s="33" t="n">
        <f aca="false">S38*Deposit_Share/12</f>
        <v>8101047.18894168</v>
      </c>
      <c r="T53" s="33" t="n">
        <f aca="false">T38*Deposit_Share/12</f>
        <v>9039607.6547854</v>
      </c>
      <c r="U53" s="33" t="n">
        <f aca="false">U38*Deposit_Share/12</f>
        <v>9979827.37024884</v>
      </c>
      <c r="V53" s="33" t="n">
        <f aca="false">V38*Deposit_Share/12</f>
        <v>10922456.9170782</v>
      </c>
      <c r="W53" s="33" t="n">
        <f aca="false">W38*Deposit_Share/12</f>
        <v>12126416.2439782</v>
      </c>
      <c r="X53" s="33" t="n">
        <f aca="false">X38*Deposit_Share/12</f>
        <v>14072320.9697134</v>
      </c>
      <c r="Y53" s="33" t="n">
        <f aca="false">Y38*Deposit_Share/12</f>
        <v>16015601.1919758</v>
      </c>
      <c r="Z53" s="33" t="n">
        <f aca="false">Z38*Deposit_Share/12</f>
        <v>17957528.3473503</v>
      </c>
      <c r="AA53" s="33" t="n">
        <f aca="false">AA38*Deposit_Share/12</f>
        <v>19899430.3091157</v>
      </c>
      <c r="AB53" s="33" t="n">
        <f aca="false">AB38*Deposit_Share/12</f>
        <v>21842695.0857384</v>
      </c>
      <c r="AC53" s="33" t="n">
        <f aca="false">AC38*Deposit_Share/12</f>
        <v>24174508.0692399</v>
      </c>
      <c r="AD53" s="33" t="n">
        <f aca="false">AD38*Deposit_Share/12</f>
        <v>26506119.4298595</v>
      </c>
      <c r="AE53" s="33" t="n">
        <f aca="false">AE38*Deposit_Share/12</f>
        <v>28839183.9735963</v>
      </c>
      <c r="AF53" s="33" t="n">
        <f aca="false">AF38*Deposit_Share/12</f>
        <v>31175432.7738703</v>
      </c>
      <c r="AG53" s="33" t="n">
        <f aca="false">AG38*Deposit_Share/12</f>
        <v>33516678.1080793</v>
      </c>
      <c r="AH53" s="33" t="n">
        <f aca="false">AH38*Deposit_Share/12</f>
        <v>35864818.6841684</v>
      </c>
      <c r="AI53" s="33" t="n">
        <f aca="false">AI38*Deposit_Share/12</f>
        <v>38221845.1747284</v>
      </c>
      <c r="AJ53" s="33" t="n">
        <f aca="false">AJ38*Deposit_Share/12</f>
        <v>41326846.0771821</v>
      </c>
      <c r="AK53" s="33" t="n">
        <f aca="false">AK38*Deposit_Share/12</f>
        <v>44436345.7947337</v>
      </c>
      <c r="AL53" s="33" t="n">
        <f aca="false">AL38*Deposit_Share/12</f>
        <v>47552765.8604951</v>
      </c>
      <c r="AM53" s="33" t="n">
        <f aca="false">AM38*Deposit_Share/12</f>
        <v>50678643.5341519</v>
      </c>
      <c r="AN53" s="33" t="n">
        <f aca="false">AN38*Deposit_Share/12</f>
        <v>53816639.2066971</v>
      </c>
      <c r="AO53" s="33" t="n">
        <f aca="false">AO38*Deposit_Share/12</f>
        <v>57161677.5749001</v>
      </c>
      <c r="AP53" s="33" t="n">
        <f aca="false">AP38*Deposit_Share/12</f>
        <v>60522296.1951717</v>
      </c>
      <c r="AQ53" s="33" t="n">
        <f aca="false">AQ38*Deposit_Share/12</f>
        <v>63901604.644938</v>
      </c>
      <c r="AR53" s="33" t="n">
        <f aca="false">AR38*Deposit_Share/12</f>
        <v>67302869.4079653</v>
      </c>
      <c r="AS53" s="33" t="n">
        <f aca="false">AS38*Deposit_Share/12</f>
        <v>70713326.028805</v>
      </c>
      <c r="AT53" s="33" t="n">
        <f aca="false">AT38*Deposit_Share/12</f>
        <v>74099201.3758818</v>
      </c>
      <c r="AU53" s="33" t="n">
        <f aca="false">AU38*Deposit_Share/12</f>
        <v>77461697.7887345</v>
      </c>
      <c r="AV53" s="33" t="n">
        <f aca="false">AV38*Deposit_Share/12</f>
        <v>81539053.4306336</v>
      </c>
      <c r="AW53" s="33" t="n">
        <f aca="false">AW38*Deposit_Share/12</f>
        <v>85586876.8735615</v>
      </c>
      <c r="AX53" s="33" t="n">
        <f aca="false">AX38*Deposit_Share/12</f>
        <v>89606604.612844</v>
      </c>
      <c r="AY53" s="33" t="n">
        <f aca="false">AY38*Deposit_Share/12</f>
        <v>93599715.7280502</v>
      </c>
      <c r="AZ53" s="33" t="n">
        <f aca="false">AZ38*Deposit_Share/12</f>
        <v>97567735.1121811</v>
      </c>
      <c r="BA53" s="33" t="n">
        <f aca="false">BA38*Deposit_Share/12</f>
        <v>101705836.883157</v>
      </c>
      <c r="BB53" s="33" t="n">
        <f aca="false">BB38*Deposit_Share/12</f>
        <v>105819770.988754</v>
      </c>
      <c r="BC53" s="33" t="n">
        <f aca="false">BC38*Deposit_Share/12</f>
        <v>109911252.119287</v>
      </c>
      <c r="BD53" s="33" t="n">
        <f aca="false">BD38*Deposit_Share/12</f>
        <v>113982055.150245</v>
      </c>
      <c r="BE53" s="33" t="n">
        <f aca="false">BE38*Deposit_Share/12</f>
        <v>118034019.4095</v>
      </c>
      <c r="BF53" s="33" t="n">
        <f aca="false">BF38*Deposit_Share/12</f>
        <v>122069053.189461</v>
      </c>
      <c r="BG53" s="33" t="n">
        <f aca="false">BG38*Deposit_Share/12</f>
        <v>126089138.519058</v>
      </c>
      <c r="BH53" s="33" t="n">
        <f aca="false">BH38*Deposit_Share/12</f>
        <v>130096336.211345</v>
      </c>
      <c r="BI53" s="33" t="n">
        <f aca="false">BI38*Deposit_Share/12</f>
        <v>134092791.203448</v>
      </c>
      <c r="BJ53" s="33" t="n">
        <f aca="false">BJ38*Deposit_Share/12</f>
        <v>138080738.206596</v>
      </c>
      <c r="BK53" s="33" t="n">
        <f aca="false">BK38*Deposit_Share/12</f>
        <v>142043650.301164</v>
      </c>
      <c r="BL53" s="33" t="n">
        <f aca="false">BL38*Deposit_Share/12</f>
        <v>145962307.761422</v>
      </c>
    </row>
    <row r="54" customFormat="false" ht="15" hidden="false" customHeight="false" outlineLevel="0" collapsed="false">
      <c r="A54" s="12" t="s">
        <v>611</v>
      </c>
      <c r="B54" s="14" t="s">
        <v>63</v>
      </c>
      <c r="D54" s="41" t="n">
        <f aca="false">SUM(E54:BL54)</f>
        <v>105896139.658971</v>
      </c>
      <c r="E54" s="33" t="n">
        <f aca="false">E34*Card_Fee</f>
        <v>0</v>
      </c>
      <c r="F54" s="33" t="n">
        <f aca="false">F34*Card_Fee</f>
        <v>0</v>
      </c>
      <c r="G54" s="33" t="n">
        <f aca="false">G34*Card_Fee</f>
        <v>0</v>
      </c>
      <c r="H54" s="33" t="n">
        <f aca="false">H34*Card_Fee</f>
        <v>0</v>
      </c>
      <c r="I54" s="33" t="n">
        <f aca="false">I34*Card_Fee</f>
        <v>308533.333333333</v>
      </c>
      <c r="J54" s="33" t="n">
        <f aca="false">J34*Card_Fee</f>
        <v>312433.333333333</v>
      </c>
      <c r="K54" s="33" t="n">
        <f aca="false">K34*Card_Fee</f>
        <v>316567.333333333</v>
      </c>
      <c r="L54" s="33" t="n">
        <f aca="false">L34*Card_Fee</f>
        <v>450949.373333333</v>
      </c>
      <c r="M54" s="33" t="n">
        <f aca="false">M34*Card_Fee</f>
        <v>455594.335733333</v>
      </c>
      <c r="N54" s="33" t="n">
        <f aca="false">N34*Card_Fee</f>
        <v>460517.995877333</v>
      </c>
      <c r="O54" s="33" t="n">
        <f aca="false">O34*Card_Fee</f>
        <v>465737.075629973</v>
      </c>
      <c r="P54" s="33" t="n">
        <f aca="false">P34*Card_Fee</f>
        <v>471269.300167772</v>
      </c>
      <c r="Q54" s="33" t="n">
        <f aca="false">Q34*Card_Fee</f>
        <v>590666.791511171</v>
      </c>
      <c r="R54" s="33" t="n">
        <f aca="false">R34*Card_Fee</f>
        <v>596882.799001842</v>
      </c>
      <c r="S54" s="33" t="n">
        <f aca="false">S34*Card_Fee</f>
        <v>603471.766941952</v>
      </c>
      <c r="T54" s="33" t="n">
        <f aca="false">T34*Card_Fee</f>
        <v>610456.072958469</v>
      </c>
      <c r="U54" s="33" t="n">
        <f aca="false">U34*Card_Fee</f>
        <v>617859.437335977</v>
      </c>
      <c r="V54" s="33" t="n">
        <f aca="false">V34*Card_Fee</f>
        <v>625707.003576136</v>
      </c>
      <c r="W54" s="33" t="n">
        <f aca="false">W34*Card_Fee</f>
        <v>786558.757124038</v>
      </c>
      <c r="X54" s="33" t="n">
        <f aca="false">X34*Card_Fee</f>
        <v>1233216.28255148</v>
      </c>
      <c r="Y54" s="33" t="n">
        <f aca="false">Y34*Card_Fee</f>
        <v>1245043.25950457</v>
      </c>
      <c r="Z54" s="33" t="n">
        <f aca="false">Z34*Card_Fee</f>
        <v>1257579.85507484</v>
      </c>
      <c r="AA54" s="33" t="n">
        <f aca="false">AA34*Card_Fee</f>
        <v>1270868.64637933</v>
      </c>
      <c r="AB54" s="33" t="n">
        <f aca="false">AB34*Card_Fee</f>
        <v>1284954.76516209</v>
      </c>
      <c r="AC54" s="33" t="n">
        <f aca="false">AC34*Card_Fee</f>
        <v>1527819.38440515</v>
      </c>
      <c r="AD54" s="33" t="n">
        <f aca="false">AD34*Card_Fee</f>
        <v>1543646.54746946</v>
      </c>
      <c r="AE54" s="33" t="n">
        <f aca="false">AE34*Card_Fee</f>
        <v>1560423.34031763</v>
      </c>
      <c r="AF54" s="33" t="n">
        <f aca="false">AF34*Card_Fee</f>
        <v>1578206.74073669</v>
      </c>
      <c r="AG54" s="33" t="n">
        <f aca="false">AG34*Card_Fee</f>
        <v>1597057.14518089</v>
      </c>
      <c r="AH54" s="33" t="n">
        <f aca="false">AH34*Card_Fee</f>
        <v>1617038.57389174</v>
      </c>
      <c r="AI54" s="33" t="n">
        <f aca="false">AI34*Card_Fee</f>
        <v>1638218.88832525</v>
      </c>
      <c r="AJ54" s="33" t="n">
        <f aca="false">AJ34*Card_Fee</f>
        <v>2096170.02162476</v>
      </c>
      <c r="AK54" s="33" t="n">
        <f aca="false">AK34*Card_Fee</f>
        <v>2119968.22292225</v>
      </c>
      <c r="AL54" s="33" t="n">
        <f aca="false">AL34*Card_Fee</f>
        <v>2145194.31629758</v>
      </c>
      <c r="AM54" s="33" t="n">
        <f aca="false">AM34*Card_Fee</f>
        <v>2171933.97527544</v>
      </c>
      <c r="AN54" s="33" t="n">
        <f aca="false">AN34*Card_Fee</f>
        <v>2200278.01379196</v>
      </c>
      <c r="AO54" s="33" t="n">
        <f aca="false">AO34*Card_Fee</f>
        <v>2343856.02795281</v>
      </c>
      <c r="AP54" s="33" t="n">
        <f aca="false">AP34*Card_Fee</f>
        <v>2375703.38962998</v>
      </c>
      <c r="AQ54" s="33" t="n">
        <f aca="false">AQ34*Card_Fee</f>
        <v>2409461.59300778</v>
      </c>
      <c r="AR54" s="33" t="n">
        <f aca="false">AR34*Card_Fee</f>
        <v>2445245.28858825</v>
      </c>
      <c r="AS54" s="33" t="n">
        <f aca="false">AS34*Card_Fee</f>
        <v>2473604.62591322</v>
      </c>
      <c r="AT54" s="33" t="n">
        <f aca="false">AT34*Card_Fee</f>
        <v>2482036.90346802</v>
      </c>
      <c r="AU54" s="33" t="n">
        <f aca="false">AU34*Card_Fee</f>
        <v>2490975.1176761</v>
      </c>
      <c r="AV54" s="33" t="n">
        <f aca="false">AV34*Card_Fee</f>
        <v>2935949.62473666</v>
      </c>
      <c r="AW54" s="33" t="n">
        <f aca="false">AW34*Card_Fee</f>
        <v>2945992.60222086</v>
      </c>
      <c r="AX54" s="33" t="n">
        <f aca="false">AX34*Card_Fee</f>
        <v>2956638.15835411</v>
      </c>
      <c r="AY54" s="33" t="n">
        <f aca="false">AY34*Card_Fee</f>
        <v>2967922.44785536</v>
      </c>
      <c r="AZ54" s="33" t="n">
        <f aca="false">AZ34*Card_Fee</f>
        <v>2979883.79472668</v>
      </c>
      <c r="BA54" s="33" t="n">
        <f aca="false">BA34*Card_Fee</f>
        <v>3106962.82241028</v>
      </c>
      <c r="BB54" s="33" t="n">
        <f aca="false">BB34*Card_Fee</f>
        <v>3120402.5917549</v>
      </c>
      <c r="BC54" s="33" t="n">
        <f aca="false">BC34*Card_Fee</f>
        <v>3134648.74726019</v>
      </c>
      <c r="BD54" s="33" t="n">
        <f aca="false">BD34*Card_Fee</f>
        <v>3149749.67209581</v>
      </c>
      <c r="BE54" s="33" t="n">
        <f aca="false">BE34*Card_Fee</f>
        <v>3165756.65242156</v>
      </c>
      <c r="BF54" s="33" t="n">
        <f aca="false">BF34*Card_Fee</f>
        <v>3182724.05156685</v>
      </c>
      <c r="BG54" s="33" t="n">
        <f aca="false">BG34*Card_Fee</f>
        <v>3200709.49466086</v>
      </c>
      <c r="BH54" s="33" t="n">
        <f aca="false">BH34*Card_Fee</f>
        <v>3219774.06434051</v>
      </c>
      <c r="BI54" s="33" t="n">
        <f aca="false">BI34*Card_Fee</f>
        <v>3239982.50820094</v>
      </c>
      <c r="BJ54" s="33" t="n">
        <f aca="false">BJ34*Card_Fee</f>
        <v>3261403.458693</v>
      </c>
      <c r="BK54" s="33" t="n">
        <f aca="false">BK34*Card_Fee</f>
        <v>3272966.66666667</v>
      </c>
      <c r="BL54" s="33" t="n">
        <f aca="false">BL34*Card_Fee</f>
        <v>3272966.66666667</v>
      </c>
    </row>
    <row r="55" customFormat="false" ht="15" hidden="false" customHeight="false" outlineLevel="0" collapsed="false">
      <c r="A55" s="12" t="s">
        <v>600</v>
      </c>
      <c r="B55" s="14" t="s">
        <v>63</v>
      </c>
      <c r="D55" s="41" t="n">
        <f aca="false">SUM(E55:BL55)</f>
        <v>157319657.484301</v>
      </c>
      <c r="E55" s="33" t="n">
        <f aca="false">E41*Overage_Fee</f>
        <v>0</v>
      </c>
      <c r="F55" s="33" t="n">
        <f aca="false">F41*Overage_Fee</f>
        <v>0</v>
      </c>
      <c r="G55" s="33" t="n">
        <f aca="false">G41*Overage_Fee</f>
        <v>0</v>
      </c>
      <c r="H55" s="33" t="n">
        <f aca="false">H41*Overage_Fee</f>
        <v>0</v>
      </c>
      <c r="I55" s="33" t="n">
        <f aca="false">I41*Overage_Fee</f>
        <v>26106.6666666667</v>
      </c>
      <c r="J55" s="33" t="n">
        <f aca="false">J41*Overage_Fee</f>
        <v>52311.9333333333</v>
      </c>
      <c r="K55" s="33" t="n">
        <f aca="false">K41*Overage_Fee</f>
        <v>78634.8555</v>
      </c>
      <c r="L55" s="33" t="n">
        <f aca="false">L41*Overage_Fee</f>
        <v>116095.506812917</v>
      </c>
      <c r="M55" s="33" t="n">
        <f aca="false">M41*Overage_Fee</f>
        <v>153617.541425205</v>
      </c>
      <c r="N55" s="33" t="n">
        <f aca="false">N41*Overage_Fee</f>
        <v>191224.178835418</v>
      </c>
      <c r="O55" s="33" t="n">
        <f aca="false">O41*Overage_Fee</f>
        <v>228939.845943487</v>
      </c>
      <c r="P55" s="33" t="n">
        <f aca="false">P41*Overage_Fee</f>
        <v>266790.251378632</v>
      </c>
      <c r="Q55" s="33" t="n">
        <f aca="false">Q41*Overage_Fee</f>
        <v>314409.130933347</v>
      </c>
      <c r="R55" s="33" t="n">
        <f aca="false">R41*Overage_Fee</f>
        <v>362133.181036728</v>
      </c>
      <c r="S55" s="33" t="n">
        <f aca="false">S41*Overage_Fee</f>
        <v>409993.249591394</v>
      </c>
      <c r="T55" s="33" t="n">
        <f aca="false">T41*Overage_Fee</f>
        <v>458021.802617182</v>
      </c>
      <c r="U55" s="33" t="n">
        <f aca="false">U41*Overage_Fee</f>
        <v>506253.023692921</v>
      </c>
      <c r="V55" s="33" t="n">
        <f aca="false">V41*Overage_Fee</f>
        <v>554722.919339423</v>
      </c>
      <c r="W55" s="33" t="n">
        <f aca="false">W41*Overage_Fee</f>
        <v>616376.097367138</v>
      </c>
      <c r="X55" s="33" t="n">
        <f aca="false">X41*Overage_Fee</f>
        <v>715279.4852333</v>
      </c>
      <c r="Y55" s="33" t="n">
        <f aca="false">Y41*Overage_Fee</f>
        <v>814309.833476061</v>
      </c>
      <c r="Z55" s="33" t="n">
        <f aca="false">Z41*Overage_Fee</f>
        <v>913526.519998859</v>
      </c>
      <c r="AA55" s="33" t="n">
        <f aca="false">AA41*Overage_Fee</f>
        <v>1012991.99460274</v>
      </c>
      <c r="AB55" s="33" t="n">
        <f aca="false">AB41*Overage_Fee</f>
        <v>1112771.96826324</v>
      </c>
      <c r="AC55" s="33" t="n">
        <f aca="false">AC41*Overage_Fee</f>
        <v>1232222.28037723</v>
      </c>
      <c r="AD55" s="33" t="n">
        <f aca="false">AD41*Overage_Fee</f>
        <v>1351958.16132535</v>
      </c>
      <c r="AE55" s="33" t="n">
        <f aca="false">AE41*Overage_Fee</f>
        <v>1472057.96861108</v>
      </c>
      <c r="AF55" s="33" t="n">
        <f aca="false">AF41*Overage_Fee</f>
        <v>1592604.18185653</v>
      </c>
      <c r="AG55" s="33" t="n">
        <f aca="false">AG41*Overage_Fee</f>
        <v>1713683.65597656</v>
      </c>
      <c r="AH55" s="33" t="n">
        <f aca="false">AH41*Overage_Fee</f>
        <v>1835387.88948063</v>
      </c>
      <c r="AI55" s="33" t="n">
        <f aca="false">AI41*Overage_Fee</f>
        <v>1957813.30881088</v>
      </c>
      <c r="AJ55" s="33" t="n">
        <f aca="false">AJ41*Overage_Fee</f>
        <v>2117911.56967923</v>
      </c>
      <c r="AK55" s="33" t="n">
        <f aca="false">AK41*Overage_Fee</f>
        <v>2278613.25142421</v>
      </c>
      <c r="AL55" s="33" t="n">
        <f aca="false">AL41*Overage_Fee</f>
        <v>2440034.52328184</v>
      </c>
      <c r="AM55" s="33" t="n">
        <f aca="false">AM41*Overage_Fee</f>
        <v>2602297.76934464</v>
      </c>
      <c r="AN55" s="33" t="n">
        <f aca="false">AN41*Overage_Fee</f>
        <v>2765531.96906233</v>
      </c>
      <c r="AO55" s="33" t="n">
        <f aca="false">AO41*Overage_Fee</f>
        <v>2939479.76715794</v>
      </c>
      <c r="AP55" s="33" t="n">
        <f aca="false">AP41*Overage_Fee</f>
        <v>3114592.75099164</v>
      </c>
      <c r="AQ55" s="33" t="n">
        <f aca="false">AQ41*Overage_Fee</f>
        <v>3291023.00586192</v>
      </c>
      <c r="AR55" s="33" t="n">
        <f aca="false">AR41*Overage_Fee</f>
        <v>3468930.96792231</v>
      </c>
      <c r="AS55" s="33" t="n">
        <f aca="false">AS41*Overage_Fee</f>
        <v>3647676.04701489</v>
      </c>
      <c r="AT55" s="33" t="n">
        <f aca="false">AT41*Overage_Fee</f>
        <v>3825565.40932258</v>
      </c>
      <c r="AU55" s="33" t="n">
        <f aca="false">AU41*Overage_Fee</f>
        <v>4002650.16765444</v>
      </c>
      <c r="AV55" s="33" t="n">
        <f aca="false">AV41*Overage_Fee</f>
        <v>4215833.53813624</v>
      </c>
      <c r="AW55" s="33" t="n">
        <f aca="false">AW41*Overage_Fee</f>
        <v>4427994.35107331</v>
      </c>
      <c r="AX55" s="33" t="n">
        <f aca="false">AX41*Overage_Fee</f>
        <v>4639193.52267465</v>
      </c>
      <c r="AY55" s="33" t="n">
        <f aca="false">AY41*Overage_Fee</f>
        <v>4849494.4737498</v>
      </c>
      <c r="AZ55" s="33" t="n">
        <f aca="false">AZ41*Overage_Fee</f>
        <v>5058963.29152952</v>
      </c>
      <c r="BA55" s="33" t="n">
        <f aca="false">BA41*Overage_Fee</f>
        <v>5277348.90107268</v>
      </c>
      <c r="BB55" s="33" t="n">
        <f aca="false">BB41*Overage_Fee</f>
        <v>5494957.4468359</v>
      </c>
      <c r="BC55" s="33" t="n">
        <f aca="false">BC41*Overage_Fee</f>
        <v>5711864.89351707</v>
      </c>
      <c r="BD55" s="33" t="n">
        <f aca="false">BD41*Overage_Fee</f>
        <v>5928150.6131942</v>
      </c>
      <c r="BE55" s="33" t="n">
        <f aca="false">BE41*Overage_Fee</f>
        <v>6143897.60128569</v>
      </c>
      <c r="BF55" s="33" t="n">
        <f aca="false">BF41*Overage_Fee</f>
        <v>6359192.70534551</v>
      </c>
      <c r="BG55" s="33" t="n">
        <f aca="false">BG41*Overage_Fee</f>
        <v>6574126.86746517</v>
      </c>
      <c r="BH55" s="33" t="n">
        <f aca="false">BH41*Overage_Fee</f>
        <v>6788795.38109995</v>
      </c>
      <c r="BI55" s="33" t="n">
        <f aca="false">BI41*Overage_Fee</f>
        <v>7003298.16318625</v>
      </c>
      <c r="BJ55" s="33" t="n">
        <f aca="false">BJ41*Overage_Fee</f>
        <v>7217740.04246898</v>
      </c>
      <c r="BK55" s="33" t="n">
        <f aca="false">BK41*Overage_Fee</f>
        <v>7431288.19582019</v>
      </c>
      <c r="BL55" s="33" t="n">
        <f aca="false">BL41*Overage_Fee</f>
        <v>7642972.86464205</v>
      </c>
    </row>
    <row r="56" customFormat="false" ht="15" hidden="false" customHeight="false" outlineLevel="0" collapsed="false">
      <c r="A56" s="12" t="s">
        <v>612</v>
      </c>
      <c r="B56" s="14" t="s">
        <v>63</v>
      </c>
      <c r="D56" s="41" t="n">
        <f aca="false">SUM(E56:BL56)</f>
        <v>1089328776.89569</v>
      </c>
      <c r="E56" s="33" t="n">
        <f aca="false">E43*PL_Momo_Share*PL_Fee</f>
        <v>0</v>
      </c>
      <c r="F56" s="33" t="n">
        <f aca="false">F43*PL_Momo_Share*PL_Fee</f>
        <v>0</v>
      </c>
      <c r="G56" s="33" t="n">
        <f aca="false">G43*PL_Momo_Share*PL_Fee</f>
        <v>0</v>
      </c>
      <c r="H56" s="33" t="n">
        <f aca="false">H43*PL_Momo_Share*PL_Fee</f>
        <v>0</v>
      </c>
      <c r="I56" s="33" t="n">
        <f aca="false">I43*PL_Momo_Share*PL_Fee</f>
        <v>0</v>
      </c>
      <c r="J56" s="33" t="n">
        <f aca="false">J43*PL_Momo_Share*PL_Fee</f>
        <v>0</v>
      </c>
      <c r="K56" s="33" t="n">
        <f aca="false">K43*PL_Momo_Share*PL_Fee</f>
        <v>0</v>
      </c>
      <c r="L56" s="33" t="n">
        <f aca="false">L43*PL_Momo_Share*PL_Fee</f>
        <v>0</v>
      </c>
      <c r="M56" s="33" t="n">
        <f aca="false">M43*PL_Momo_Share*PL_Fee</f>
        <v>0</v>
      </c>
      <c r="N56" s="33" t="n">
        <f aca="false">N43*PL_Momo_Share*PL_Fee</f>
        <v>0</v>
      </c>
      <c r="O56" s="33" t="n">
        <f aca="false">O43*PL_Momo_Share*PL_Fee</f>
        <v>0</v>
      </c>
      <c r="P56" s="33" t="n">
        <f aca="false">P43*PL_Momo_Share*PL_Fee</f>
        <v>0</v>
      </c>
      <c r="Q56" s="33" t="n">
        <f aca="false">Q43*PL_Momo_Share*PL_Fee</f>
        <v>0</v>
      </c>
      <c r="R56" s="33" t="n">
        <f aca="false">R43*PL_Momo_Share*PL_Fee</f>
        <v>0</v>
      </c>
      <c r="S56" s="33" t="n">
        <f aca="false">S43*PL_Momo_Share*PL_Fee</f>
        <v>0</v>
      </c>
      <c r="T56" s="33" t="n">
        <f aca="false">T43*PL_Momo_Share*PL_Fee</f>
        <v>0</v>
      </c>
      <c r="U56" s="33" t="n">
        <f aca="false">U43*PL_Momo_Share*PL_Fee</f>
        <v>0</v>
      </c>
      <c r="V56" s="33" t="n">
        <f aca="false">V43*PL_Momo_Share*PL_Fee</f>
        <v>344346.376315495</v>
      </c>
      <c r="W56" s="33" t="n">
        <f aca="false">W43*PL_Momo_Share*PL_Fee</f>
        <v>764570.04947156</v>
      </c>
      <c r="X56" s="33" t="n">
        <f aca="false">X43*PL_Momo_Share*PL_Fee</f>
        <v>1330886.75706587</v>
      </c>
      <c r="Y56" s="33" t="n">
        <f aca="false">Y43*PL_Momo_Share*PL_Fee</f>
        <v>2019524.55250989</v>
      </c>
      <c r="Z56" s="33" t="n">
        <f aca="false">Z43*PL_Momo_Share*PL_Fee</f>
        <v>2830409.35743532</v>
      </c>
      <c r="AA56" s="33" t="n">
        <f aca="false">AA43*PL_Momo_Share*PL_Fee</f>
        <v>3763638.4987559</v>
      </c>
      <c r="AB56" s="33" t="n">
        <f aca="false">AB43*PL_Momo_Share*PL_Fee</f>
        <v>4819490.39684081</v>
      </c>
      <c r="AC56" s="33" t="n">
        <f aca="false">AC43*PL_Momo_Share*PL_Fee</f>
        <v>6095803.45142897</v>
      </c>
      <c r="AD56" s="33" t="n">
        <f aca="false">AD43*PL_Momo_Share*PL_Fee</f>
        <v>7518919.25685073</v>
      </c>
      <c r="AE56" s="33" t="n">
        <f aca="false">AE43*PL_Momo_Share*PL_Fee</f>
        <v>9089310.38691356</v>
      </c>
      <c r="AF56" s="33" t="n">
        <f aca="false">AF43*PL_Momo_Share*PL_Fee</f>
        <v>10807684.942801</v>
      </c>
      <c r="AG56" s="33" t="n">
        <f aca="false">AG43*PL_Momo_Share*PL_Fee</f>
        <v>12675000.4109831</v>
      </c>
      <c r="AH56" s="33" t="n">
        <f aca="false">AH43*PL_Momo_Share*PL_Fee</f>
        <v>13562287.9130463</v>
      </c>
      <c r="AI56" s="33" t="n">
        <f aca="false">AI43*PL_Momo_Share*PL_Fee</f>
        <v>14452818.4585841</v>
      </c>
      <c r="AJ56" s="33" t="n">
        <f aca="false">AJ43*PL_Momo_Share*PL_Fee</f>
        <v>15626438.171895</v>
      </c>
      <c r="AK56" s="33" t="n">
        <f aca="false">AK43*PL_Momo_Share*PL_Fee</f>
        <v>16801598.4123109</v>
      </c>
      <c r="AL56" s="33" t="n">
        <f aca="false">AL43*PL_Momo_Share*PL_Fee</f>
        <v>17979216.9281365</v>
      </c>
      <c r="AM56" s="33" t="n">
        <f aca="false">AM43*PL_Momo_Share*PL_Fee</f>
        <v>19160255.1479415</v>
      </c>
      <c r="AN56" s="33" t="n">
        <f aca="false">AN43*PL_Momo_Share*PL_Fee</f>
        <v>20345720.9784052</v>
      </c>
      <c r="AO56" s="33" t="n">
        <f aca="false">AO43*PL_Momo_Share*PL_Fee</f>
        <v>21609420.4336919</v>
      </c>
      <c r="AP56" s="33" t="n">
        <f aca="false">AP43*PL_Momo_Share*PL_Fee</f>
        <v>22878848.2079676</v>
      </c>
      <c r="AQ56" s="33" t="n">
        <f aca="false">AQ43*PL_Momo_Share*PL_Fee</f>
        <v>24155182.014881</v>
      </c>
      <c r="AR56" s="33" t="n">
        <f aca="false">AR43*PL_Momo_Share*PL_Fee</f>
        <v>25439658.8046757</v>
      </c>
      <c r="AS56" s="33" t="n">
        <f aca="false">AS43*PL_Momo_Share*PL_Fee</f>
        <v>26727445.4492713</v>
      </c>
      <c r="AT56" s="33" t="n">
        <f aca="false">AT43*PL_Momo_Share*PL_Fee</f>
        <v>28005754.9040348</v>
      </c>
      <c r="AU56" s="33" t="n">
        <f aca="false">AU43*PL_Momo_Share*PL_Fee</f>
        <v>29275045.0332686</v>
      </c>
      <c r="AV56" s="33" t="n">
        <f aca="false">AV43*PL_Momo_Share*PL_Fee</f>
        <v>30814842.1848687</v>
      </c>
      <c r="AW56" s="33" t="n">
        <f aca="false">AW43*PL_Momo_Share*PL_Fee</f>
        <v>32343253.1771849</v>
      </c>
      <c r="AX56" s="33" t="n">
        <f aca="false">AX43*PL_Momo_Share*PL_Fee</f>
        <v>33860825.051804</v>
      </c>
      <c r="AY56" s="33" t="n">
        <f aca="false">AY43*PL_Momo_Share*PL_Fee</f>
        <v>35368120.8782018</v>
      </c>
      <c r="AZ56" s="33" t="n">
        <f aca="false">AZ43*PL_Momo_Share*PL_Fee</f>
        <v>36865720.9743601</v>
      </c>
      <c r="BA56" s="33" t="n">
        <f aca="false">BA43*PL_Momo_Share*PL_Fee</f>
        <v>38427528.1962492</v>
      </c>
      <c r="BB56" s="33" t="n">
        <f aca="false">BB43*PL_Momo_Share*PL_Fee</f>
        <v>39979984.120385</v>
      </c>
      <c r="BC56" s="33" t="n">
        <f aca="false">BC43*PL_Momo_Share*PL_Fee</f>
        <v>41523740.8212734</v>
      </c>
      <c r="BD56" s="33" t="n">
        <f aca="false">BD43*PL_Momo_Share*PL_Fee</f>
        <v>43059473.0510128</v>
      </c>
      <c r="BE56" s="33" t="n">
        <f aca="false">BE43*PL_Momo_Share*PL_Fee</f>
        <v>44587879.8520686</v>
      </c>
      <c r="BF56" s="33" t="n">
        <f aca="false">BF43*PL_Momo_Share*PL_Fee</f>
        <v>46109686.2625735</v>
      </c>
      <c r="BG56" s="33" t="n">
        <f aca="false">BG43*PL_Momo_Share*PL_Fee</f>
        <v>47625645.1197851</v>
      </c>
      <c r="BH56" s="33" t="n">
        <f aca="false">BH43*PL_Momo_Share*PL_Fee</f>
        <v>49136538.9676608</v>
      </c>
      <c r="BI56" s="33" t="n">
        <f aca="false">BI43*PL_Momo_Share*PL_Fee</f>
        <v>50643182.0748733</v>
      </c>
      <c r="BJ56" s="33" t="n">
        <f aca="false">BJ43*PL_Momo_Share*PL_Fee</f>
        <v>52146422.5699624</v>
      </c>
      <c r="BK56" s="33" t="n">
        <f aca="false">BK43*PL_Momo_Share*PL_Fee</f>
        <v>53640004.6094751</v>
      </c>
      <c r="BL56" s="33" t="n">
        <f aca="false">BL43*PL_Momo_Share*PL_Fee</f>
        <v>55116653.6884714</v>
      </c>
    </row>
    <row r="57" customFormat="false" ht="15" hidden="false" customHeight="false" outlineLevel="0" collapsed="false">
      <c r="A57" s="8" t="s">
        <v>613</v>
      </c>
      <c r="B57" s="14" t="s">
        <v>63</v>
      </c>
      <c r="D57" s="41" t="n">
        <f aca="false">SUM(E57:BL57)</f>
        <v>12664593850.9852</v>
      </c>
      <c r="E57" s="16" t="n">
        <f aca="false">E50+SUM(E51:E56)</f>
        <v>0</v>
      </c>
      <c r="F57" s="16" t="n">
        <f aca="false">F50+SUM(F51:F56)</f>
        <v>0</v>
      </c>
      <c r="G57" s="16" t="n">
        <f aca="false">G50+SUM(G51:G56)</f>
        <v>0</v>
      </c>
      <c r="H57" s="16" t="n">
        <f aca="false">H50+SUM(H51:H56)</f>
        <v>0</v>
      </c>
      <c r="I57" s="16" t="n">
        <f aca="false">I50+SUM(I51:I56)</f>
        <v>1438240</v>
      </c>
      <c r="J57" s="16" t="n">
        <f aca="false">J50+SUM(J51:J56)</f>
        <v>2572652.06666667</v>
      </c>
      <c r="K57" s="16" t="n">
        <f aca="false">K50+SUM(K51:K56)</f>
        <v>3708975.61783333</v>
      </c>
      <c r="L57" s="16" t="n">
        <f aca="false">L50+SUM(L51:L56)</f>
        <v>6408171.05807556</v>
      </c>
      <c r="M57" s="16" t="n">
        <f aca="false">M50+SUM(M51:M56)</f>
        <v>9009273.12161841</v>
      </c>
      <c r="N57" s="16" t="n">
        <f aca="false">N50+SUM(N51:N56)</f>
        <v>11604911.584187</v>
      </c>
      <c r="O57" s="16" t="n">
        <f aca="false">O50+SUM(O51:O56)</f>
        <v>14632219.9703517</v>
      </c>
      <c r="P57" s="16" t="n">
        <f aca="false">P50+SUM(P51:P56)</f>
        <v>17658219.6942719</v>
      </c>
      <c r="Q57" s="16" t="n">
        <f aca="false">Q50+SUM(Q51:Q56)</f>
        <v>21214365.8838512</v>
      </c>
      <c r="R57" s="16" t="n">
        <f aca="false">R50+SUM(R51:R56)</f>
        <v>24650415.6903987</v>
      </c>
      <c r="S57" s="16" t="n">
        <f aca="false">S50+SUM(S51:S56)</f>
        <v>28082462.2951728</v>
      </c>
      <c r="T57" s="16" t="n">
        <f aca="false">T50+SUM(T51:T56)</f>
        <v>31893163.9897467</v>
      </c>
      <c r="U57" s="16" t="n">
        <f aca="false">U50+SUM(U51:U56)</f>
        <v>35705322.8591756</v>
      </c>
      <c r="V57" s="16" t="n">
        <f aca="false">V50+SUM(V51:V56)</f>
        <v>39866200.937245</v>
      </c>
      <c r="W57" s="16" t="n">
        <f aca="false">W50+SUM(W51:W56)</f>
        <v>44821419.275026</v>
      </c>
      <c r="X57" s="16" t="n">
        <f aca="false">X50+SUM(X51:X56)</f>
        <v>51808675.9809786</v>
      </c>
      <c r="Y57" s="16" t="n">
        <f aca="false">Y50+SUM(Y51:Y56)</f>
        <v>58455244.7627318</v>
      </c>
      <c r="Z57" s="16" t="n">
        <f aca="false">Z50+SUM(Z51:Z56)</f>
        <v>65711633.3206592</v>
      </c>
      <c r="AA57" s="16" t="n">
        <f aca="false">AA50+SUM(AA51:AA56)</f>
        <v>74537587.4477645</v>
      </c>
      <c r="AB57" s="16" t="n">
        <f aca="false">AB50+SUM(AB51:AB56)</f>
        <v>83481216.5346236</v>
      </c>
      <c r="AC57" s="16" t="n">
        <f aca="false">AC50+SUM(AC51:AC56)</f>
        <v>93708533.4427633</v>
      </c>
      <c r="AD57" s="16" t="n">
        <f aca="false">AD50+SUM(AD51:AD56)</f>
        <v>103841691.349078</v>
      </c>
      <c r="AE57" s="16" t="n">
        <f aca="false">AE50+SUM(AE51:AE56)</f>
        <v>114115553.546988</v>
      </c>
      <c r="AF57" s="16" t="n">
        <f aca="false">AF50+SUM(AF51:AF56)</f>
        <v>125300444.830315</v>
      </c>
      <c r="AG57" s="16" t="n">
        <f aca="false">AG50+SUM(AG51:AG56)</f>
        <v>136641491.378999</v>
      </c>
      <c r="AH57" s="16" t="n">
        <f aca="false">AH50+SUM(AH51:AH56)</f>
        <v>147017090.79636</v>
      </c>
      <c r="AI57" s="16" t="n">
        <f aca="false">AI50+SUM(AI51:AI56)</f>
        <v>157418223.975117</v>
      </c>
      <c r="AJ57" s="16" t="n">
        <f aca="false">AJ50+SUM(AJ51:AJ56)</f>
        <v>170162912.49965</v>
      </c>
      <c r="AK57" s="16" t="n">
        <f aca="false">AK50+SUM(AK51:AK56)</f>
        <v>182474940.01775</v>
      </c>
      <c r="AL57" s="16" t="n">
        <f aca="false">AL50+SUM(AL51:AL56)</f>
        <v>194800133.750005</v>
      </c>
      <c r="AM57" s="16" t="n">
        <f aca="false">AM50+SUM(AM51:AM56)</f>
        <v>208606881.407643</v>
      </c>
      <c r="AN57" s="16" t="n">
        <f aca="false">AN50+SUM(AN51:AN56)</f>
        <v>222448907.016157</v>
      </c>
      <c r="AO57" s="16" t="n">
        <f aca="false">AO50+SUM(AO51:AO56)</f>
        <v>236940047.215363</v>
      </c>
      <c r="AP57" s="16" t="n">
        <f aca="false">AP50+SUM(AP51:AP56)</f>
        <v>251366550.392553</v>
      </c>
      <c r="AQ57" s="16" t="n">
        <f aca="false">AQ50+SUM(AQ51:AQ56)</f>
        <v>265855131.768677</v>
      </c>
      <c r="AR57" s="16" t="n">
        <f aca="false">AR50+SUM(AR51:AR56)</f>
        <v>280799607.014982</v>
      </c>
      <c r="AS57" s="16" t="n">
        <f aca="false">AS50+SUM(AS51:AS56)</f>
        <v>295783754.258675</v>
      </c>
      <c r="AT57" s="16" t="n">
        <f aca="false">AT50+SUM(AT51:AT56)</f>
        <v>310715563.07855</v>
      </c>
      <c r="AU57" s="16" t="n">
        <f aca="false">AU50+SUM(AU51:AU56)</f>
        <v>325626119.954669</v>
      </c>
      <c r="AV57" s="16" t="n">
        <f aca="false">AV50+SUM(AV51:AV56)</f>
        <v>342803691.60493</v>
      </c>
      <c r="AW57" s="16" t="n">
        <f aca="false">AW50+SUM(AW51:AW56)</f>
        <v>359400096.657136</v>
      </c>
      <c r="AX57" s="16" t="n">
        <f aca="false">AX50+SUM(AX51:AX56)</f>
        <v>375857199.624149</v>
      </c>
      <c r="AY57" s="16" t="n">
        <f aca="false">AY50+SUM(AY51:AY56)</f>
        <v>393639119.707128</v>
      </c>
      <c r="AZ57" s="16" t="n">
        <f aca="false">AZ50+SUM(AZ51:AZ56)</f>
        <v>411294989.326866</v>
      </c>
      <c r="BA57" s="16" t="n">
        <f aca="false">BA50+SUM(BA51:BA56)</f>
        <v>429438307.409442</v>
      </c>
      <c r="BB57" s="16" t="n">
        <f aca="false">BB50+SUM(BB51:BB56)</f>
        <v>447344485.080503</v>
      </c>
      <c r="BC57" s="16" t="n">
        <f aca="false">BC50+SUM(BC51:BC56)</f>
        <v>465135429.859528</v>
      </c>
      <c r="BD57" s="16" t="n">
        <f aca="false">BD50+SUM(BD51:BD56)</f>
        <v>483201780.230584</v>
      </c>
      <c r="BE57" s="16" t="n">
        <f aca="false">BE50+SUM(BE51:BE56)</f>
        <v>501168659.478107</v>
      </c>
      <c r="BF57" s="16" t="n">
        <f aca="false">BF50+SUM(BF51:BF56)</f>
        <v>519044358.537075</v>
      </c>
      <c r="BG57" s="16" t="n">
        <f aca="false">BG50+SUM(BG51:BG56)</f>
        <v>536837467.91945</v>
      </c>
      <c r="BH57" s="16" t="n">
        <f aca="false">BH50+SUM(BH51:BH56)</f>
        <v>554556898.782456</v>
      </c>
      <c r="BI57" s="16" t="n">
        <f aca="false">BI50+SUM(BI51:BI56)</f>
        <v>572211905.208166</v>
      </c>
      <c r="BJ57" s="16" t="n">
        <f aca="false">BJ50+SUM(BJ51:BJ56)</f>
        <v>589812107.768051</v>
      </c>
      <c r="BK57" s="16" t="n">
        <f aca="false">BK50+SUM(BK51:BK56)</f>
        <v>607308434.838285</v>
      </c>
      <c r="BL57" s="16" t="n">
        <f aca="false">BL50+SUM(BL51:BL56)</f>
        <v>624654969.168645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614</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104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615</v>
      </c>
      <c r="B9" s="14" t="s">
        <v>154</v>
      </c>
      <c r="D9" s="41" t="n">
        <f aca="false">BL9</f>
        <v>12259.6247855522</v>
      </c>
      <c r="E9" s="20" t="n">
        <f aca="false">'Clients &amp; revenue'!E17</f>
        <v>0</v>
      </c>
      <c r="F9" s="20" t="n">
        <f aca="false">'Clients &amp; revenue'!F17</f>
        <v>0</v>
      </c>
      <c r="G9" s="20" t="n">
        <f aca="false">'Clients &amp; revenue'!G17</f>
        <v>0</v>
      </c>
      <c r="H9" s="20" t="n">
        <f aca="false">'Clients &amp; revenue'!H17</f>
        <v>0</v>
      </c>
      <c r="I9" s="20" t="n">
        <f aca="false">'Clients &amp; revenue'!I17</f>
        <v>47.4666666666667</v>
      </c>
      <c r="J9" s="20" t="n">
        <f aca="false">'Clients &amp; revenue'!J17</f>
        <v>94.7501333333333</v>
      </c>
      <c r="K9" s="20" t="n">
        <f aca="false">'Clients &amp; revenue'!K17</f>
        <v>141.890384</v>
      </c>
      <c r="L9" s="20" t="n">
        <f aca="false">'Clients &amp; revenue'!L17</f>
        <v>208.928886511667</v>
      </c>
      <c r="M9" s="20" t="n">
        <f aca="false">'Clients &amp; revenue'!M17</f>
        <v>275.578698710933</v>
      </c>
      <c r="N9" s="20" t="n">
        <f aca="false">'Clients &amp; revenue'!N17</f>
        <v>341.890430631178</v>
      </c>
      <c r="O9" s="20" t="n">
        <f aca="false">'Clients &amp; revenue'!O17</f>
        <v>407.916404536649</v>
      </c>
      <c r="P9" s="20" t="n">
        <f aca="false">'Clients &amp; revenue'!P17</f>
        <v>473.71078239814</v>
      </c>
      <c r="Q9" s="20" t="n">
        <f aca="false">'Clients &amp; revenue'!Q17</f>
        <v>556.796367209472</v>
      </c>
      <c r="R9" s="20" t="n">
        <f aca="false">'Clients &amp; revenue'!R17</f>
        <v>639.476545251168</v>
      </c>
      <c r="S9" s="20" t="n">
        <f aca="false">'Clients &amp; revenue'!S17</f>
        <v>721.816945433858</v>
      </c>
      <c r="T9" s="20" t="n">
        <f aca="false">'Clients &amp; revenue'!T17</f>
        <v>803.88552773717</v>
      </c>
      <c r="U9" s="20" t="n">
        <f aca="false">'Clients &amp; revenue'!U17</f>
        <v>885.752753033314</v>
      </c>
      <c r="V9" s="20" t="n">
        <f aca="false">'Clients &amp; revenue'!V17</f>
        <v>967.491762526327</v>
      </c>
      <c r="W9" s="20" t="n">
        <f aca="false">'Clients &amp; revenue'!W17</f>
        <v>1072.64523406177</v>
      </c>
      <c r="X9" s="20" t="n">
        <f aca="false">'Clients &amp; revenue'!X17</f>
        <v>1244.79838259668</v>
      </c>
      <c r="Y9" s="20" t="n">
        <f aca="false">'Clients &amp; revenue'!Y17</f>
        <v>1415.95059615689</v>
      </c>
      <c r="Z9" s="20" t="n">
        <f aca="false">'Clients &amp; revenue'!Z17</f>
        <v>1586.23078433467</v>
      </c>
      <c r="AA9" s="20" t="n">
        <f aca="false">'Clients &amp; revenue'!AA17</f>
        <v>1755.77221734932</v>
      </c>
      <c r="AB9" s="20" t="n">
        <f aca="false">'Clients &amp; revenue'!AB17</f>
        <v>1924.71285058486</v>
      </c>
      <c r="AC9" s="20" t="n">
        <f aca="false">'Clients &amp; revenue'!AC17</f>
        <v>2128.26233406232</v>
      </c>
      <c r="AD9" s="20" t="n">
        <f aca="false">'Clients &amp; revenue'!AD17</f>
        <v>2330.92377463262</v>
      </c>
      <c r="AE9" s="20" t="n">
        <f aca="false">'Clients &amp; revenue'!AE17</f>
        <v>2532.86157574307</v>
      </c>
      <c r="AF9" s="20" t="n">
        <f aca="false">'Clients &amp; revenue'!AF17</f>
        <v>2734.24612802152</v>
      </c>
      <c r="AG9" s="20" t="n">
        <f aca="false">'Clients &amp; revenue'!AG17</f>
        <v>2935.25424067013</v>
      </c>
      <c r="AH9" s="20" t="n">
        <f aca="false">'Clients &amp; revenue'!AH17</f>
        <v>3136.06959736245</v>
      </c>
      <c r="AI9" s="20" t="n">
        <f aca="false">'Clients &amp; revenue'!AI17</f>
        <v>3336.88323814066</v>
      </c>
      <c r="AJ9" s="20" t="n">
        <f aca="false">'Clients &amp; revenue'!AJ17</f>
        <v>3604.89406889961</v>
      </c>
      <c r="AK9" s="20" t="n">
        <f aca="false">'Clients &amp; revenue'!AK17</f>
        <v>3872.20390013831</v>
      </c>
      <c r="AL9" s="20" t="n">
        <f aca="false">'Clients &amp; revenue'!AL17</f>
        <v>4139.0486142605</v>
      </c>
      <c r="AM9" s="20" t="n">
        <f aca="false">'Clients &amp; revenue'!AM17</f>
        <v>4405.6733071276</v>
      </c>
      <c r="AN9" s="20" t="n">
        <f aca="false">'Clients &amp; revenue'!AN17</f>
        <v>4672.33293267715</v>
      </c>
      <c r="AO9" s="20" t="n">
        <f aca="false">'Clients &amp; revenue'!AO17</f>
        <v>4956.75965113034</v>
      </c>
      <c r="AP9" s="20" t="n">
        <f aca="false">'Clients &amp; revenue'!AP17</f>
        <v>5241.47534970474</v>
      </c>
      <c r="AQ9" s="20" t="n">
        <f aca="false">'Clients &amp; revenue'!AQ17</f>
        <v>5526.77391388265</v>
      </c>
      <c r="AR9" s="20" t="n">
        <f aca="false">'Clients &amp; revenue'!AR17</f>
        <v>5812.96196328324</v>
      </c>
      <c r="AS9" s="20" t="n">
        <f aca="false">'Clients &amp; revenue'!AS17</f>
        <v>6098.88718658324</v>
      </c>
      <c r="AT9" s="20" t="n">
        <f aca="false">'Clients &amp; revenue'!AT17</f>
        <v>6381.49275137229</v>
      </c>
      <c r="AU9" s="20" t="n">
        <f aca="false">'Clients &amp; revenue'!AU17</f>
        <v>6660.9157364558</v>
      </c>
      <c r="AV9" s="20" t="n">
        <f aca="false">'Clients &amp; revenue'!AV17</f>
        <v>7004.29550357944</v>
      </c>
      <c r="AW9" s="20" t="n">
        <f aca="false">'Clients &amp; revenue'!AW17</f>
        <v>7343.66844444045</v>
      </c>
      <c r="AX9" s="20" t="n">
        <f aca="false">'Clients &amp; revenue'!AX17</f>
        <v>7679.19883792155</v>
      </c>
      <c r="AY9" s="20" t="n">
        <f aca="false">'Clients &amp; revenue'!AY17</f>
        <v>8011.05366216711</v>
      </c>
      <c r="AZ9" s="20" t="n">
        <f aca="false">'Clients &amp; revenue'!AZ17</f>
        <v>8339.4028891658</v>
      </c>
      <c r="BA9" s="20" t="n">
        <f aca="false">'Clients &amp; revenue'!BA17</f>
        <v>8682.01979447833</v>
      </c>
      <c r="BB9" s="20" t="n">
        <f aca="false">'Clients &amp; revenue'!BB17</f>
        <v>9021.19088306809</v>
      </c>
      <c r="BC9" s="20" t="n">
        <f aca="false">'Clients &amp; revenue'!BC17</f>
        <v>9357.10218024916</v>
      </c>
      <c r="BD9" s="20" t="n">
        <f aca="false">'Clients &amp; revenue'!BD17</f>
        <v>9689.94394929066</v>
      </c>
      <c r="BE9" s="20" t="n">
        <f aca="false">'Clients &amp; revenue'!BE17</f>
        <v>10019.9110737097</v>
      </c>
      <c r="BF9" s="20" t="n">
        <f aca="false">'Clients &amp; revenue'!BF17</f>
        <v>10347.2034600632</v>
      </c>
      <c r="BG9" s="20" t="n">
        <f aca="false">'Clients &amp; revenue'!BG17</f>
        <v>10672.0264625159</v>
      </c>
      <c r="BH9" s="20" t="n">
        <f aca="false">'Clients &amp; revenue'!BH17</f>
        <v>10994.5913305379</v>
      </c>
      <c r="BI9" s="20" t="n">
        <f aca="false">'Clients &amp; revenue'!BI17</f>
        <v>11315.1156811643</v>
      </c>
      <c r="BJ9" s="20" t="n">
        <f aca="false">'Clients &amp; revenue'!BJ17</f>
        <v>11633.823997336</v>
      </c>
      <c r="BK9" s="20" t="n">
        <f aca="false">'Clients &amp; revenue'!BK17</f>
        <v>11949.2338463064</v>
      </c>
      <c r="BL9" s="20" t="n">
        <f aca="false">'Clients &amp; revenue'!BL17</f>
        <v>12259.6247855522</v>
      </c>
    </row>
    <row r="10" customFormat="false" ht="15" hidden="false" customHeight="false" outlineLevel="0" collapsed="false">
      <c r="A10" s="12" t="s">
        <v>590</v>
      </c>
      <c r="B10" s="14" t="s">
        <v>591</v>
      </c>
      <c r="D10" s="41" t="n">
        <f aca="false">BL10</f>
        <v>60608.8901093955</v>
      </c>
      <c r="E10" s="20" t="n">
        <f aca="false">'Clients &amp; revenue'!E32</f>
        <v>0</v>
      </c>
      <c r="F10" s="20" t="n">
        <f aca="false">'Clients &amp; revenue'!F32</f>
        <v>0</v>
      </c>
      <c r="G10" s="20" t="n">
        <f aca="false">'Clients &amp; revenue'!G32</f>
        <v>0</v>
      </c>
      <c r="H10" s="20" t="n">
        <f aca="false">'Clients &amp; revenue'!H32</f>
        <v>0</v>
      </c>
      <c r="I10" s="20" t="n">
        <f aca="false">'Clients &amp; revenue'!I32</f>
        <v>0</v>
      </c>
      <c r="J10" s="20" t="n">
        <f aca="false">'Clients &amp; revenue'!J32</f>
        <v>0</v>
      </c>
      <c r="K10" s="20" t="n">
        <f aca="false">'Clients &amp; revenue'!K32</f>
        <v>0</v>
      </c>
      <c r="L10" s="20" t="n">
        <f aca="false">'Clients &amp; revenue'!L32</f>
        <v>0</v>
      </c>
      <c r="M10" s="20" t="n">
        <f aca="false">'Clients &amp; revenue'!M32</f>
        <v>1252.54182956022</v>
      </c>
      <c r="N10" s="20" t="n">
        <f aca="false">'Clients &amp; revenue'!N32</f>
        <v>1557.83245956791</v>
      </c>
      <c r="O10" s="20" t="n">
        <f aca="false">'Clients &amp; revenue'!O32</f>
        <v>1863.45098384072</v>
      </c>
      <c r="P10" s="20" t="n">
        <f aca="false">'Clients &amp; revenue'!P32</f>
        <v>2169.61581426428</v>
      </c>
      <c r="Q10" s="20" t="n">
        <f aca="false">'Clients &amp; revenue'!Q32</f>
        <v>2555.15593018628</v>
      </c>
      <c r="R10" s="20" t="n">
        <f aca="false">'Clients &amp; revenue'!R32</f>
        <v>2940.86004955768</v>
      </c>
      <c r="S10" s="20" t="n">
        <f aca="false">'Clients &amp; revenue'!S32</f>
        <v>3326.99098348871</v>
      </c>
      <c r="T10" s="20" t="n">
        <f aca="false">'Clients &amp; revenue'!T32</f>
        <v>3713.82409266338</v>
      </c>
      <c r="U10" s="20" t="n">
        <f aca="false">'Clients &amp; revenue'!U32</f>
        <v>4101.648087239</v>
      </c>
      <c r="V10" s="20" t="n">
        <f aca="false">'Clients &amp; revenue'!V32</f>
        <v>4490.76587397775</v>
      </c>
      <c r="W10" s="20" t="n">
        <f aca="false">'Clients &amp; revenue'!W32</f>
        <v>4987.0954534576</v>
      </c>
      <c r="X10" s="20" t="n">
        <f aca="false">'Clients &amp; revenue'!X32</f>
        <v>5787.34687038047</v>
      </c>
      <c r="Y10" s="20" t="n">
        <f aca="false">'Clients &amp; revenue'!Y32</f>
        <v>6587.19892017621</v>
      </c>
      <c r="Z10" s="20" t="n">
        <f aca="false">'Clients &amp; revenue'!Z32</f>
        <v>7387.1603866429</v>
      </c>
      <c r="AA10" s="20" t="n">
        <f aca="false">'Clients &amp; revenue'!AA32</f>
        <v>8187.76380771104</v>
      </c>
      <c r="AB10" s="20" t="n">
        <f aca="false">'Clients &amp; revenue'!AB32</f>
        <v>8989.56699934116</v>
      </c>
      <c r="AC10" s="20" t="n">
        <f aca="false">'Clients &amp; revenue'!AC32</f>
        <v>9950.95466925457</v>
      </c>
      <c r="AD10" s="20" t="n">
        <f aca="false">'Clients &amp; revenue'!AD32</f>
        <v>10913.0306259151</v>
      </c>
      <c r="AE10" s="20" t="n">
        <f aca="false">'Clients &amp; revenue'!AE32</f>
        <v>11876.4599572546</v>
      </c>
      <c r="AF10" s="20" t="n">
        <f aca="false">'Clients &amp; revenue'!AF32</f>
        <v>12841.9397724192</v>
      </c>
      <c r="AG10" s="20" t="n">
        <f aca="false">'Clients &amp; revenue'!AG32</f>
        <v>13810.2012372737</v>
      </c>
      <c r="AH10" s="20" t="n">
        <f aca="false">'Clients &amp; revenue'!AH32</f>
        <v>14782.01173019</v>
      </c>
      <c r="AI10" s="20" t="n">
        <f aca="false">'Clients &amp; revenue'!AI32</f>
        <v>15758.1771253686</v>
      </c>
      <c r="AJ10" s="20" t="n">
        <f aca="false">'Clients &amp; revenue'!AJ32</f>
        <v>17041.0442113776</v>
      </c>
      <c r="AK10" s="20" t="n">
        <f aca="false">'Clients &amp; revenue'!AK32</f>
        <v>18326.7370030529</v>
      </c>
      <c r="AL10" s="20" t="n">
        <f aca="false">'Clients &amp; revenue'!AL32</f>
        <v>19616.2327835162</v>
      </c>
      <c r="AM10" s="20" t="n">
        <f aca="false">'Clients &amp; revenue'!AM32</f>
        <v>20910.5573153597</v>
      </c>
      <c r="AN10" s="20" t="n">
        <f aca="false">'Clients &amp; revenue'!AN32</f>
        <v>22210.787895917</v>
      </c>
      <c r="AO10" s="20" t="n">
        <f aca="false">'Clients &amp; revenue'!AO32</f>
        <v>23596.6565934918</v>
      </c>
      <c r="AP10" s="20" t="n">
        <f aca="false">'Clients &amp; revenue'!AP32</f>
        <v>24989.9021754411</v>
      </c>
      <c r="AQ10" s="20" t="n">
        <f aca="false">'Clients &amp; revenue'!AQ32</f>
        <v>26391.7873834159</v>
      </c>
      <c r="AR10" s="20" t="n">
        <f aca="false">'Clients &amp; revenue'!AR32</f>
        <v>27803.640484056</v>
      </c>
      <c r="AS10" s="20" t="n">
        <f aca="false">'Clients &amp; revenue'!AS32</f>
        <v>29220.2330072167</v>
      </c>
      <c r="AT10" s="20" t="n">
        <f aca="false">'Clients &amp; revenue'!AT32</f>
        <v>30627.737291461</v>
      </c>
      <c r="AU10" s="20" t="n">
        <f aca="false">'Clients &amp; revenue'!AU32</f>
        <v>32026.6211866451</v>
      </c>
      <c r="AV10" s="20" t="n">
        <f aca="false">'Clients &amp; revenue'!AV32</f>
        <v>33718.8680349194</v>
      </c>
      <c r="AW10" s="20" t="n">
        <f aca="false">'Clients &amp; revenue'!AW32</f>
        <v>35400.2115295803</v>
      </c>
      <c r="AX10" s="20" t="n">
        <f aca="false">'Clients &amp; revenue'!AX32</f>
        <v>37071.2102157182</v>
      </c>
      <c r="AY10" s="20" t="n">
        <f aca="false">'Clients &amp; revenue'!AY32</f>
        <v>38732.4410664274</v>
      </c>
      <c r="AZ10" s="20" t="n">
        <f aca="false">'Clients &amp; revenue'!AZ32</f>
        <v>40384.5008039024</v>
      </c>
      <c r="BA10" s="20" t="n">
        <f aca="false">'Clients &amp; revenue'!BA32</f>
        <v>42107.2072963577</v>
      </c>
      <c r="BB10" s="20" t="n">
        <f aca="false">'Clients &amp; revenue'!BB32</f>
        <v>43821.1430353798</v>
      </c>
      <c r="BC10" s="20" t="n">
        <f aca="false">'Clients &amp; revenue'!BC32</f>
        <v>45526.9834235958</v>
      </c>
      <c r="BD10" s="20" t="n">
        <f aca="false">'Clients &amp; revenue'!BD32</f>
        <v>47225.4295489732</v>
      </c>
      <c r="BE10" s="20" t="n">
        <f aca="false">'Clients &amp; revenue'!BE32</f>
        <v>48917.209936429</v>
      </c>
      <c r="BF10" s="20" t="n">
        <f aca="false">'Clients &amp; revenue'!BF32</f>
        <v>50603.0824011893</v>
      </c>
      <c r="BG10" s="20" t="n">
        <f aca="false">'Clients &amp; revenue'!BG32</f>
        <v>52283.8360100624</v>
      </c>
      <c r="BH10" s="20" t="n">
        <f aca="false">'Clients &amp; revenue'!BH32</f>
        <v>53960.2931571568</v>
      </c>
      <c r="BI10" s="20" t="n">
        <f aca="false">'Clients &amp; revenue'!BI32</f>
        <v>55633.311760966</v>
      </c>
      <c r="BJ10" s="20" t="n">
        <f aca="false">'Clients &amp; revenue'!BJ32</f>
        <v>57303.7875901577</v>
      </c>
      <c r="BK10" s="20" t="n">
        <f aca="false">'Clients &amp; revenue'!BK32</f>
        <v>58964.9423415398</v>
      </c>
      <c r="BL10" s="20" t="n">
        <f aca="false">'Clients &amp; revenue'!BL32</f>
        <v>60608.8901093955</v>
      </c>
    </row>
    <row r="12" customFormat="false" ht="15" hidden="false" customHeight="false" outlineLevel="0" collapsed="false">
      <c r="A12" s="10" t="s">
        <v>616</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617</v>
      </c>
      <c r="B13" s="14" t="s">
        <v>115</v>
      </c>
      <c r="E13" s="45" t="n">
        <f aca="false">IF(E$3&gt;=Start_Factoring,MIN(1,(E$3-Start_Factoring+1)/Credit_Ramp),0)</f>
        <v>0</v>
      </c>
      <c r="F13" s="45" t="n">
        <f aca="false">IF(F$3&gt;=Start_Factoring,MIN(1,(F$3-Start_Factoring+1)/Credit_Ramp),0)</f>
        <v>0</v>
      </c>
      <c r="G13" s="45" t="n">
        <f aca="false">IF(G$3&gt;=Start_Factoring,MIN(1,(G$3-Start_Factoring+1)/Credit_Ramp),0)</f>
        <v>0</v>
      </c>
      <c r="H13" s="45" t="n">
        <f aca="false">IF(H$3&gt;=Start_Factoring,MIN(1,(H$3-Start_Factoring+1)/Credit_Ramp),0)</f>
        <v>0</v>
      </c>
      <c r="I13" s="45" t="n">
        <f aca="false">IF(I$3&gt;=Start_Factoring,MIN(1,(I$3-Start_Factoring+1)/Credit_Ramp),0)</f>
        <v>0</v>
      </c>
      <c r="J13" s="45" t="n">
        <f aca="false">IF(J$3&gt;=Start_Factoring,MIN(1,(J$3-Start_Factoring+1)/Credit_Ramp),0)</f>
        <v>0</v>
      </c>
      <c r="K13" s="45" t="n">
        <f aca="false">IF(K$3&gt;=Start_Factoring,MIN(1,(K$3-Start_Factoring+1)/Credit_Ramp),0)</f>
        <v>0</v>
      </c>
      <c r="L13" s="45" t="n">
        <f aca="false">IF(L$3&gt;=Start_Factoring,MIN(1,(L$3-Start_Factoring+1)/Credit_Ramp),0)</f>
        <v>0</v>
      </c>
      <c r="M13" s="45" t="n">
        <f aca="false">IF(M$3&gt;=Start_Factoring,MIN(1,(M$3-Start_Factoring+1)/Credit_Ramp),0)</f>
        <v>0</v>
      </c>
      <c r="N13" s="45" t="n">
        <f aca="false">IF(N$3&gt;=Start_Factoring,MIN(1,(N$3-Start_Factoring+1)/Credit_Ramp),0)</f>
        <v>0</v>
      </c>
      <c r="O13" s="45" t="n">
        <f aca="false">IF(O$3&gt;=Start_Factoring,MIN(1,(O$3-Start_Factoring+1)/Credit_Ramp),0)</f>
        <v>0</v>
      </c>
      <c r="P13" s="45" t="n">
        <f aca="false">IF(P$3&gt;=Start_Factoring,MIN(1,(P$3-Start_Factoring+1)/Credit_Ramp),0)</f>
        <v>0.0833333333333333</v>
      </c>
      <c r="Q13" s="45" t="n">
        <f aca="false">IF(Q$3&gt;=Start_Factoring,MIN(1,(Q$3-Start_Factoring+1)/Credit_Ramp),0)</f>
        <v>0.166666666666667</v>
      </c>
      <c r="R13" s="45" t="n">
        <f aca="false">IF(R$3&gt;=Start_Factoring,MIN(1,(R$3-Start_Factoring+1)/Credit_Ramp),0)</f>
        <v>0.25</v>
      </c>
      <c r="S13" s="45" t="n">
        <f aca="false">IF(S$3&gt;=Start_Factoring,MIN(1,(S$3-Start_Factoring+1)/Credit_Ramp),0)</f>
        <v>0.333333333333333</v>
      </c>
      <c r="T13" s="45" t="n">
        <f aca="false">IF(T$3&gt;=Start_Factoring,MIN(1,(T$3-Start_Factoring+1)/Credit_Ramp),0)</f>
        <v>0.416666666666667</v>
      </c>
      <c r="U13" s="45" t="n">
        <f aca="false">IF(U$3&gt;=Start_Factoring,MIN(1,(U$3-Start_Factoring+1)/Credit_Ramp),0)</f>
        <v>0.5</v>
      </c>
      <c r="V13" s="45" t="n">
        <f aca="false">IF(V$3&gt;=Start_Factoring,MIN(1,(V$3-Start_Factoring+1)/Credit_Ramp),0)</f>
        <v>0.583333333333333</v>
      </c>
      <c r="W13" s="45" t="n">
        <f aca="false">IF(W$3&gt;=Start_Factoring,MIN(1,(W$3-Start_Factoring+1)/Credit_Ramp),0)</f>
        <v>0.666666666666667</v>
      </c>
      <c r="X13" s="45" t="n">
        <f aca="false">IF(X$3&gt;=Start_Factoring,MIN(1,(X$3-Start_Factoring+1)/Credit_Ramp),0)</f>
        <v>0.75</v>
      </c>
      <c r="Y13" s="45" t="n">
        <f aca="false">IF(Y$3&gt;=Start_Factoring,MIN(1,(Y$3-Start_Factoring+1)/Credit_Ramp),0)</f>
        <v>0.833333333333333</v>
      </c>
      <c r="Z13" s="45" t="n">
        <f aca="false">IF(Z$3&gt;=Start_Factoring,MIN(1,(Z$3-Start_Factoring+1)/Credit_Ramp),0)</f>
        <v>0.916666666666667</v>
      </c>
      <c r="AA13" s="45" t="n">
        <f aca="false">IF(AA$3&gt;=Start_Factoring,MIN(1,(AA$3-Start_Factoring+1)/Credit_Ramp),0)</f>
        <v>1</v>
      </c>
      <c r="AB13" s="45" t="n">
        <f aca="false">IF(AB$3&gt;=Start_Factoring,MIN(1,(AB$3-Start_Factoring+1)/Credit_Ramp),0)</f>
        <v>1</v>
      </c>
      <c r="AC13" s="45" t="n">
        <f aca="false">IF(AC$3&gt;=Start_Factoring,MIN(1,(AC$3-Start_Factoring+1)/Credit_Ramp),0)</f>
        <v>1</v>
      </c>
      <c r="AD13" s="45" t="n">
        <f aca="false">IF(AD$3&gt;=Start_Factoring,MIN(1,(AD$3-Start_Factoring+1)/Credit_Ramp),0)</f>
        <v>1</v>
      </c>
      <c r="AE13" s="45" t="n">
        <f aca="false">IF(AE$3&gt;=Start_Factoring,MIN(1,(AE$3-Start_Factoring+1)/Credit_Ramp),0)</f>
        <v>1</v>
      </c>
      <c r="AF13" s="45" t="n">
        <f aca="false">IF(AF$3&gt;=Start_Factoring,MIN(1,(AF$3-Start_Factoring+1)/Credit_Ramp),0)</f>
        <v>1</v>
      </c>
      <c r="AG13" s="45" t="n">
        <f aca="false">IF(AG$3&gt;=Start_Factoring,MIN(1,(AG$3-Start_Factoring+1)/Credit_Ramp),0)</f>
        <v>1</v>
      </c>
      <c r="AH13" s="45" t="n">
        <f aca="false">IF(AH$3&gt;=Start_Factoring,MIN(1,(AH$3-Start_Factoring+1)/Credit_Ramp),0)</f>
        <v>1</v>
      </c>
      <c r="AI13" s="45" t="n">
        <f aca="false">IF(AI$3&gt;=Start_Factoring,MIN(1,(AI$3-Start_Factoring+1)/Credit_Ramp),0)</f>
        <v>1</v>
      </c>
      <c r="AJ13" s="45" t="n">
        <f aca="false">IF(AJ$3&gt;=Start_Factoring,MIN(1,(AJ$3-Start_Factoring+1)/Credit_Ramp),0)</f>
        <v>1</v>
      </c>
      <c r="AK13" s="45" t="n">
        <f aca="false">IF(AK$3&gt;=Start_Factoring,MIN(1,(AK$3-Start_Factoring+1)/Credit_Ramp),0)</f>
        <v>1</v>
      </c>
      <c r="AL13" s="45" t="n">
        <f aca="false">IF(AL$3&gt;=Start_Factoring,MIN(1,(AL$3-Start_Factoring+1)/Credit_Ramp),0)</f>
        <v>1</v>
      </c>
      <c r="AM13" s="45" t="n">
        <f aca="false">IF(AM$3&gt;=Start_Factoring,MIN(1,(AM$3-Start_Factoring+1)/Credit_Ramp),0)</f>
        <v>1</v>
      </c>
      <c r="AN13" s="45" t="n">
        <f aca="false">IF(AN$3&gt;=Start_Factoring,MIN(1,(AN$3-Start_Factoring+1)/Credit_Ramp),0)</f>
        <v>1</v>
      </c>
      <c r="AO13" s="45" t="n">
        <f aca="false">IF(AO$3&gt;=Start_Factoring,MIN(1,(AO$3-Start_Factoring+1)/Credit_Ramp),0)</f>
        <v>1</v>
      </c>
      <c r="AP13" s="45" t="n">
        <f aca="false">IF(AP$3&gt;=Start_Factoring,MIN(1,(AP$3-Start_Factoring+1)/Credit_Ramp),0)</f>
        <v>1</v>
      </c>
      <c r="AQ13" s="45" t="n">
        <f aca="false">IF(AQ$3&gt;=Start_Factoring,MIN(1,(AQ$3-Start_Factoring+1)/Credit_Ramp),0)</f>
        <v>1</v>
      </c>
      <c r="AR13" s="45" t="n">
        <f aca="false">IF(AR$3&gt;=Start_Factoring,MIN(1,(AR$3-Start_Factoring+1)/Credit_Ramp),0)</f>
        <v>1</v>
      </c>
      <c r="AS13" s="45" t="n">
        <f aca="false">IF(AS$3&gt;=Start_Factoring,MIN(1,(AS$3-Start_Factoring+1)/Credit_Ramp),0)</f>
        <v>1</v>
      </c>
      <c r="AT13" s="45" t="n">
        <f aca="false">IF(AT$3&gt;=Start_Factoring,MIN(1,(AT$3-Start_Factoring+1)/Credit_Ramp),0)</f>
        <v>1</v>
      </c>
      <c r="AU13" s="45" t="n">
        <f aca="false">IF(AU$3&gt;=Start_Factoring,MIN(1,(AU$3-Start_Factoring+1)/Credit_Ramp),0)</f>
        <v>1</v>
      </c>
      <c r="AV13" s="45" t="n">
        <f aca="false">IF(AV$3&gt;=Start_Factoring,MIN(1,(AV$3-Start_Factoring+1)/Credit_Ramp),0)</f>
        <v>1</v>
      </c>
      <c r="AW13" s="45" t="n">
        <f aca="false">IF(AW$3&gt;=Start_Factoring,MIN(1,(AW$3-Start_Factoring+1)/Credit_Ramp),0)</f>
        <v>1</v>
      </c>
      <c r="AX13" s="45" t="n">
        <f aca="false">IF(AX$3&gt;=Start_Factoring,MIN(1,(AX$3-Start_Factoring+1)/Credit_Ramp),0)</f>
        <v>1</v>
      </c>
      <c r="AY13" s="45" t="n">
        <f aca="false">IF(AY$3&gt;=Start_Factoring,MIN(1,(AY$3-Start_Factoring+1)/Credit_Ramp),0)</f>
        <v>1</v>
      </c>
      <c r="AZ13" s="45" t="n">
        <f aca="false">IF(AZ$3&gt;=Start_Factoring,MIN(1,(AZ$3-Start_Factoring+1)/Credit_Ramp),0)</f>
        <v>1</v>
      </c>
      <c r="BA13" s="45" t="n">
        <f aca="false">IF(BA$3&gt;=Start_Factoring,MIN(1,(BA$3-Start_Factoring+1)/Credit_Ramp),0)</f>
        <v>1</v>
      </c>
      <c r="BB13" s="45" t="n">
        <f aca="false">IF(BB$3&gt;=Start_Factoring,MIN(1,(BB$3-Start_Factoring+1)/Credit_Ramp),0)</f>
        <v>1</v>
      </c>
      <c r="BC13" s="45" t="n">
        <f aca="false">IF(BC$3&gt;=Start_Factoring,MIN(1,(BC$3-Start_Factoring+1)/Credit_Ramp),0)</f>
        <v>1</v>
      </c>
      <c r="BD13" s="45" t="n">
        <f aca="false">IF(BD$3&gt;=Start_Factoring,MIN(1,(BD$3-Start_Factoring+1)/Credit_Ramp),0)</f>
        <v>1</v>
      </c>
      <c r="BE13" s="45" t="n">
        <f aca="false">IF(BE$3&gt;=Start_Factoring,MIN(1,(BE$3-Start_Factoring+1)/Credit_Ramp),0)</f>
        <v>1</v>
      </c>
      <c r="BF13" s="45" t="n">
        <f aca="false">IF(BF$3&gt;=Start_Factoring,MIN(1,(BF$3-Start_Factoring+1)/Credit_Ramp),0)</f>
        <v>1</v>
      </c>
      <c r="BG13" s="45" t="n">
        <f aca="false">IF(BG$3&gt;=Start_Factoring,MIN(1,(BG$3-Start_Factoring+1)/Credit_Ramp),0)</f>
        <v>1</v>
      </c>
      <c r="BH13" s="45" t="n">
        <f aca="false">IF(BH$3&gt;=Start_Factoring,MIN(1,(BH$3-Start_Factoring+1)/Credit_Ramp),0)</f>
        <v>1</v>
      </c>
      <c r="BI13" s="45" t="n">
        <f aca="false">IF(BI$3&gt;=Start_Factoring,MIN(1,(BI$3-Start_Factoring+1)/Credit_Ramp),0)</f>
        <v>1</v>
      </c>
      <c r="BJ13" s="45" t="n">
        <f aca="false">IF(BJ$3&gt;=Start_Factoring,MIN(1,(BJ$3-Start_Factoring+1)/Credit_Ramp),0)</f>
        <v>1</v>
      </c>
      <c r="BK13" s="45" t="n">
        <f aca="false">IF(BK$3&gt;=Start_Factoring,MIN(1,(BK$3-Start_Factoring+1)/Credit_Ramp),0)</f>
        <v>1</v>
      </c>
      <c r="BL13" s="45" t="n">
        <f aca="false">IF(BL$3&gt;=Start_Factoring,MIN(1,(BL$3-Start_Factoring+1)/Credit_Ramp),0)</f>
        <v>1</v>
      </c>
    </row>
    <row r="14" customFormat="false" ht="15" hidden="false" customHeight="false" outlineLevel="0" collapsed="false">
      <c r="A14" s="12" t="s">
        <v>618</v>
      </c>
      <c r="B14" s="14" t="s">
        <v>115</v>
      </c>
      <c r="E14" s="45" t="n">
        <f aca="false">IF(E$3&gt;=Start_Bridge,MIN(1,(E$3-Start_Bridge+1)/Credit_Ramp),0)</f>
        <v>0</v>
      </c>
      <c r="F14" s="45" t="n">
        <f aca="false">IF(F$3&gt;=Start_Bridge,MIN(1,(F$3-Start_Bridge+1)/Credit_Ramp),0)</f>
        <v>0</v>
      </c>
      <c r="G14" s="45" t="n">
        <f aca="false">IF(G$3&gt;=Start_Bridge,MIN(1,(G$3-Start_Bridge+1)/Credit_Ramp),0)</f>
        <v>0</v>
      </c>
      <c r="H14" s="45" t="n">
        <f aca="false">IF(H$3&gt;=Start_Bridge,MIN(1,(H$3-Start_Bridge+1)/Credit_Ramp),0)</f>
        <v>0</v>
      </c>
      <c r="I14" s="45" t="n">
        <f aca="false">IF(I$3&gt;=Start_Bridge,MIN(1,(I$3-Start_Bridge+1)/Credit_Ramp),0)</f>
        <v>0</v>
      </c>
      <c r="J14" s="45" t="n">
        <f aca="false">IF(J$3&gt;=Start_Bridge,MIN(1,(J$3-Start_Bridge+1)/Credit_Ramp),0)</f>
        <v>0</v>
      </c>
      <c r="K14" s="45" t="n">
        <f aca="false">IF(K$3&gt;=Start_Bridge,MIN(1,(K$3-Start_Bridge+1)/Credit_Ramp),0)</f>
        <v>0</v>
      </c>
      <c r="L14" s="45" t="n">
        <f aca="false">IF(L$3&gt;=Start_Bridge,MIN(1,(L$3-Start_Bridge+1)/Credit_Ramp),0)</f>
        <v>0</v>
      </c>
      <c r="M14" s="45" t="n">
        <f aca="false">IF(M$3&gt;=Start_Bridge,MIN(1,(M$3-Start_Bridge+1)/Credit_Ramp),0)</f>
        <v>0</v>
      </c>
      <c r="N14" s="45" t="n">
        <f aca="false">IF(N$3&gt;=Start_Bridge,MIN(1,(N$3-Start_Bridge+1)/Credit_Ramp),0)</f>
        <v>0</v>
      </c>
      <c r="O14" s="45" t="n">
        <f aca="false">IF(O$3&gt;=Start_Bridge,MIN(1,(O$3-Start_Bridge+1)/Credit_Ramp),0)</f>
        <v>0</v>
      </c>
      <c r="P14" s="45" t="n">
        <f aca="false">IF(P$3&gt;=Start_Bridge,MIN(1,(P$3-Start_Bridge+1)/Credit_Ramp),0)</f>
        <v>0.0833333333333333</v>
      </c>
      <c r="Q14" s="45" t="n">
        <f aca="false">IF(Q$3&gt;=Start_Bridge,MIN(1,(Q$3-Start_Bridge+1)/Credit_Ramp),0)</f>
        <v>0.166666666666667</v>
      </c>
      <c r="R14" s="45" t="n">
        <f aca="false">IF(R$3&gt;=Start_Bridge,MIN(1,(R$3-Start_Bridge+1)/Credit_Ramp),0)</f>
        <v>0.25</v>
      </c>
      <c r="S14" s="45" t="n">
        <f aca="false">IF(S$3&gt;=Start_Bridge,MIN(1,(S$3-Start_Bridge+1)/Credit_Ramp),0)</f>
        <v>0.333333333333333</v>
      </c>
      <c r="T14" s="45" t="n">
        <f aca="false">IF(T$3&gt;=Start_Bridge,MIN(1,(T$3-Start_Bridge+1)/Credit_Ramp),0)</f>
        <v>0.416666666666667</v>
      </c>
      <c r="U14" s="45" t="n">
        <f aca="false">IF(U$3&gt;=Start_Bridge,MIN(1,(U$3-Start_Bridge+1)/Credit_Ramp),0)</f>
        <v>0.5</v>
      </c>
      <c r="V14" s="45" t="n">
        <f aca="false">IF(V$3&gt;=Start_Bridge,MIN(1,(V$3-Start_Bridge+1)/Credit_Ramp),0)</f>
        <v>0.583333333333333</v>
      </c>
      <c r="W14" s="45" t="n">
        <f aca="false">IF(W$3&gt;=Start_Bridge,MIN(1,(W$3-Start_Bridge+1)/Credit_Ramp),0)</f>
        <v>0.666666666666667</v>
      </c>
      <c r="X14" s="45" t="n">
        <f aca="false">IF(X$3&gt;=Start_Bridge,MIN(1,(X$3-Start_Bridge+1)/Credit_Ramp),0)</f>
        <v>0.75</v>
      </c>
      <c r="Y14" s="45" t="n">
        <f aca="false">IF(Y$3&gt;=Start_Bridge,MIN(1,(Y$3-Start_Bridge+1)/Credit_Ramp),0)</f>
        <v>0.833333333333333</v>
      </c>
      <c r="Z14" s="45" t="n">
        <f aca="false">IF(Z$3&gt;=Start_Bridge,MIN(1,(Z$3-Start_Bridge+1)/Credit_Ramp),0)</f>
        <v>0.916666666666667</v>
      </c>
      <c r="AA14" s="45" t="n">
        <f aca="false">IF(AA$3&gt;=Start_Bridge,MIN(1,(AA$3-Start_Bridge+1)/Credit_Ramp),0)</f>
        <v>1</v>
      </c>
      <c r="AB14" s="45" t="n">
        <f aca="false">IF(AB$3&gt;=Start_Bridge,MIN(1,(AB$3-Start_Bridge+1)/Credit_Ramp),0)</f>
        <v>1</v>
      </c>
      <c r="AC14" s="45" t="n">
        <f aca="false">IF(AC$3&gt;=Start_Bridge,MIN(1,(AC$3-Start_Bridge+1)/Credit_Ramp),0)</f>
        <v>1</v>
      </c>
      <c r="AD14" s="45" t="n">
        <f aca="false">IF(AD$3&gt;=Start_Bridge,MIN(1,(AD$3-Start_Bridge+1)/Credit_Ramp),0)</f>
        <v>1</v>
      </c>
      <c r="AE14" s="45" t="n">
        <f aca="false">IF(AE$3&gt;=Start_Bridge,MIN(1,(AE$3-Start_Bridge+1)/Credit_Ramp),0)</f>
        <v>1</v>
      </c>
      <c r="AF14" s="45" t="n">
        <f aca="false">IF(AF$3&gt;=Start_Bridge,MIN(1,(AF$3-Start_Bridge+1)/Credit_Ramp),0)</f>
        <v>1</v>
      </c>
      <c r="AG14" s="45" t="n">
        <f aca="false">IF(AG$3&gt;=Start_Bridge,MIN(1,(AG$3-Start_Bridge+1)/Credit_Ramp),0)</f>
        <v>1</v>
      </c>
      <c r="AH14" s="45" t="n">
        <f aca="false">IF(AH$3&gt;=Start_Bridge,MIN(1,(AH$3-Start_Bridge+1)/Credit_Ramp),0)</f>
        <v>1</v>
      </c>
      <c r="AI14" s="45" t="n">
        <f aca="false">IF(AI$3&gt;=Start_Bridge,MIN(1,(AI$3-Start_Bridge+1)/Credit_Ramp),0)</f>
        <v>1</v>
      </c>
      <c r="AJ14" s="45" t="n">
        <f aca="false">IF(AJ$3&gt;=Start_Bridge,MIN(1,(AJ$3-Start_Bridge+1)/Credit_Ramp),0)</f>
        <v>1</v>
      </c>
      <c r="AK14" s="45" t="n">
        <f aca="false">IF(AK$3&gt;=Start_Bridge,MIN(1,(AK$3-Start_Bridge+1)/Credit_Ramp),0)</f>
        <v>1</v>
      </c>
      <c r="AL14" s="45" t="n">
        <f aca="false">IF(AL$3&gt;=Start_Bridge,MIN(1,(AL$3-Start_Bridge+1)/Credit_Ramp),0)</f>
        <v>1</v>
      </c>
      <c r="AM14" s="45" t="n">
        <f aca="false">IF(AM$3&gt;=Start_Bridge,MIN(1,(AM$3-Start_Bridge+1)/Credit_Ramp),0)</f>
        <v>1</v>
      </c>
      <c r="AN14" s="45" t="n">
        <f aca="false">IF(AN$3&gt;=Start_Bridge,MIN(1,(AN$3-Start_Bridge+1)/Credit_Ramp),0)</f>
        <v>1</v>
      </c>
      <c r="AO14" s="45" t="n">
        <f aca="false">IF(AO$3&gt;=Start_Bridge,MIN(1,(AO$3-Start_Bridge+1)/Credit_Ramp),0)</f>
        <v>1</v>
      </c>
      <c r="AP14" s="45" t="n">
        <f aca="false">IF(AP$3&gt;=Start_Bridge,MIN(1,(AP$3-Start_Bridge+1)/Credit_Ramp),0)</f>
        <v>1</v>
      </c>
      <c r="AQ14" s="45" t="n">
        <f aca="false">IF(AQ$3&gt;=Start_Bridge,MIN(1,(AQ$3-Start_Bridge+1)/Credit_Ramp),0)</f>
        <v>1</v>
      </c>
      <c r="AR14" s="45" t="n">
        <f aca="false">IF(AR$3&gt;=Start_Bridge,MIN(1,(AR$3-Start_Bridge+1)/Credit_Ramp),0)</f>
        <v>1</v>
      </c>
      <c r="AS14" s="45" t="n">
        <f aca="false">IF(AS$3&gt;=Start_Bridge,MIN(1,(AS$3-Start_Bridge+1)/Credit_Ramp),0)</f>
        <v>1</v>
      </c>
      <c r="AT14" s="45" t="n">
        <f aca="false">IF(AT$3&gt;=Start_Bridge,MIN(1,(AT$3-Start_Bridge+1)/Credit_Ramp),0)</f>
        <v>1</v>
      </c>
      <c r="AU14" s="45" t="n">
        <f aca="false">IF(AU$3&gt;=Start_Bridge,MIN(1,(AU$3-Start_Bridge+1)/Credit_Ramp),0)</f>
        <v>1</v>
      </c>
      <c r="AV14" s="45" t="n">
        <f aca="false">IF(AV$3&gt;=Start_Bridge,MIN(1,(AV$3-Start_Bridge+1)/Credit_Ramp),0)</f>
        <v>1</v>
      </c>
      <c r="AW14" s="45" t="n">
        <f aca="false">IF(AW$3&gt;=Start_Bridge,MIN(1,(AW$3-Start_Bridge+1)/Credit_Ramp),0)</f>
        <v>1</v>
      </c>
      <c r="AX14" s="45" t="n">
        <f aca="false">IF(AX$3&gt;=Start_Bridge,MIN(1,(AX$3-Start_Bridge+1)/Credit_Ramp),0)</f>
        <v>1</v>
      </c>
      <c r="AY14" s="45" t="n">
        <f aca="false">IF(AY$3&gt;=Start_Bridge,MIN(1,(AY$3-Start_Bridge+1)/Credit_Ramp),0)</f>
        <v>1</v>
      </c>
      <c r="AZ14" s="45" t="n">
        <f aca="false">IF(AZ$3&gt;=Start_Bridge,MIN(1,(AZ$3-Start_Bridge+1)/Credit_Ramp),0)</f>
        <v>1</v>
      </c>
      <c r="BA14" s="45" t="n">
        <f aca="false">IF(BA$3&gt;=Start_Bridge,MIN(1,(BA$3-Start_Bridge+1)/Credit_Ramp),0)</f>
        <v>1</v>
      </c>
      <c r="BB14" s="45" t="n">
        <f aca="false">IF(BB$3&gt;=Start_Bridge,MIN(1,(BB$3-Start_Bridge+1)/Credit_Ramp),0)</f>
        <v>1</v>
      </c>
      <c r="BC14" s="45" t="n">
        <f aca="false">IF(BC$3&gt;=Start_Bridge,MIN(1,(BC$3-Start_Bridge+1)/Credit_Ramp),0)</f>
        <v>1</v>
      </c>
      <c r="BD14" s="45" t="n">
        <f aca="false">IF(BD$3&gt;=Start_Bridge,MIN(1,(BD$3-Start_Bridge+1)/Credit_Ramp),0)</f>
        <v>1</v>
      </c>
      <c r="BE14" s="45" t="n">
        <f aca="false">IF(BE$3&gt;=Start_Bridge,MIN(1,(BE$3-Start_Bridge+1)/Credit_Ramp),0)</f>
        <v>1</v>
      </c>
      <c r="BF14" s="45" t="n">
        <f aca="false">IF(BF$3&gt;=Start_Bridge,MIN(1,(BF$3-Start_Bridge+1)/Credit_Ramp),0)</f>
        <v>1</v>
      </c>
      <c r="BG14" s="45" t="n">
        <f aca="false">IF(BG$3&gt;=Start_Bridge,MIN(1,(BG$3-Start_Bridge+1)/Credit_Ramp),0)</f>
        <v>1</v>
      </c>
      <c r="BH14" s="45" t="n">
        <f aca="false">IF(BH$3&gt;=Start_Bridge,MIN(1,(BH$3-Start_Bridge+1)/Credit_Ramp),0)</f>
        <v>1</v>
      </c>
      <c r="BI14" s="45" t="n">
        <f aca="false">IF(BI$3&gt;=Start_Bridge,MIN(1,(BI$3-Start_Bridge+1)/Credit_Ramp),0)</f>
        <v>1</v>
      </c>
      <c r="BJ14" s="45" t="n">
        <f aca="false">IF(BJ$3&gt;=Start_Bridge,MIN(1,(BJ$3-Start_Bridge+1)/Credit_Ramp),0)</f>
        <v>1</v>
      </c>
      <c r="BK14" s="45" t="n">
        <f aca="false">IF(BK$3&gt;=Start_Bridge,MIN(1,(BK$3-Start_Bridge+1)/Credit_Ramp),0)</f>
        <v>1</v>
      </c>
      <c r="BL14" s="45" t="n">
        <f aca="false">IF(BL$3&gt;=Start_Bridge,MIN(1,(BL$3-Start_Bridge+1)/Credit_Ramp),0)</f>
        <v>1</v>
      </c>
    </row>
    <row r="15" customFormat="false" ht="15" hidden="false" customHeight="false" outlineLevel="0" collapsed="false">
      <c r="A15" s="12" t="s">
        <v>619</v>
      </c>
      <c r="B15" s="14" t="s">
        <v>115</v>
      </c>
      <c r="E15" s="45" t="n">
        <f aca="false">IF(E$3&gt;=Start_Line,MIN(1,(E$3-Start_Line+1)/Credit_Ramp),0)</f>
        <v>0</v>
      </c>
      <c r="F15" s="45" t="n">
        <f aca="false">IF(F$3&gt;=Start_Line,MIN(1,(F$3-Start_Line+1)/Credit_Ramp),0)</f>
        <v>0</v>
      </c>
      <c r="G15" s="45" t="n">
        <f aca="false">IF(G$3&gt;=Start_Line,MIN(1,(G$3-Start_Line+1)/Credit_Ramp),0)</f>
        <v>0</v>
      </c>
      <c r="H15" s="45" t="n">
        <f aca="false">IF(H$3&gt;=Start_Line,MIN(1,(H$3-Start_Line+1)/Credit_Ramp),0)</f>
        <v>0</v>
      </c>
      <c r="I15" s="45" t="n">
        <f aca="false">IF(I$3&gt;=Start_Line,MIN(1,(I$3-Start_Line+1)/Credit_Ramp),0)</f>
        <v>0</v>
      </c>
      <c r="J15" s="45" t="n">
        <f aca="false">IF(J$3&gt;=Start_Line,MIN(1,(J$3-Start_Line+1)/Credit_Ramp),0)</f>
        <v>0</v>
      </c>
      <c r="K15" s="45" t="n">
        <f aca="false">IF(K$3&gt;=Start_Line,MIN(1,(K$3-Start_Line+1)/Credit_Ramp),0)</f>
        <v>0</v>
      </c>
      <c r="L15" s="45" t="n">
        <f aca="false">IF(L$3&gt;=Start_Line,MIN(1,(L$3-Start_Line+1)/Credit_Ramp),0)</f>
        <v>0</v>
      </c>
      <c r="M15" s="45" t="n">
        <f aca="false">IF(M$3&gt;=Start_Line,MIN(1,(M$3-Start_Line+1)/Credit_Ramp),0)</f>
        <v>0</v>
      </c>
      <c r="N15" s="45" t="n">
        <f aca="false">IF(N$3&gt;=Start_Line,MIN(1,(N$3-Start_Line+1)/Credit_Ramp),0)</f>
        <v>0</v>
      </c>
      <c r="O15" s="45" t="n">
        <f aca="false">IF(O$3&gt;=Start_Line,MIN(1,(O$3-Start_Line+1)/Credit_Ramp),0)</f>
        <v>0</v>
      </c>
      <c r="P15" s="45" t="n">
        <f aca="false">IF(P$3&gt;=Start_Line,MIN(1,(P$3-Start_Line+1)/Credit_Ramp),0)</f>
        <v>0</v>
      </c>
      <c r="Q15" s="45" t="n">
        <f aca="false">IF(Q$3&gt;=Start_Line,MIN(1,(Q$3-Start_Line+1)/Credit_Ramp),0)</f>
        <v>0</v>
      </c>
      <c r="R15" s="45" t="n">
        <f aca="false">IF(R$3&gt;=Start_Line,MIN(1,(R$3-Start_Line+1)/Credit_Ramp),0)</f>
        <v>0</v>
      </c>
      <c r="S15" s="45" t="n">
        <f aca="false">IF(S$3&gt;=Start_Line,MIN(1,(S$3-Start_Line+1)/Credit_Ramp),0)</f>
        <v>0.0833333333333333</v>
      </c>
      <c r="T15" s="45" t="n">
        <f aca="false">IF(T$3&gt;=Start_Line,MIN(1,(T$3-Start_Line+1)/Credit_Ramp),0)</f>
        <v>0.166666666666667</v>
      </c>
      <c r="U15" s="45" t="n">
        <f aca="false">IF(U$3&gt;=Start_Line,MIN(1,(U$3-Start_Line+1)/Credit_Ramp),0)</f>
        <v>0.25</v>
      </c>
      <c r="V15" s="45" t="n">
        <f aca="false">IF(V$3&gt;=Start_Line,MIN(1,(V$3-Start_Line+1)/Credit_Ramp),0)</f>
        <v>0.333333333333333</v>
      </c>
      <c r="W15" s="45" t="n">
        <f aca="false">IF(W$3&gt;=Start_Line,MIN(1,(W$3-Start_Line+1)/Credit_Ramp),0)</f>
        <v>0.416666666666667</v>
      </c>
      <c r="X15" s="45" t="n">
        <f aca="false">IF(X$3&gt;=Start_Line,MIN(1,(X$3-Start_Line+1)/Credit_Ramp),0)</f>
        <v>0.5</v>
      </c>
      <c r="Y15" s="45" t="n">
        <f aca="false">IF(Y$3&gt;=Start_Line,MIN(1,(Y$3-Start_Line+1)/Credit_Ramp),0)</f>
        <v>0.583333333333333</v>
      </c>
      <c r="Z15" s="45" t="n">
        <f aca="false">IF(Z$3&gt;=Start_Line,MIN(1,(Z$3-Start_Line+1)/Credit_Ramp),0)</f>
        <v>0.666666666666667</v>
      </c>
      <c r="AA15" s="45" t="n">
        <f aca="false">IF(AA$3&gt;=Start_Line,MIN(1,(AA$3-Start_Line+1)/Credit_Ramp),0)</f>
        <v>0.75</v>
      </c>
      <c r="AB15" s="45" t="n">
        <f aca="false">IF(AB$3&gt;=Start_Line,MIN(1,(AB$3-Start_Line+1)/Credit_Ramp),0)</f>
        <v>0.833333333333333</v>
      </c>
      <c r="AC15" s="45" t="n">
        <f aca="false">IF(AC$3&gt;=Start_Line,MIN(1,(AC$3-Start_Line+1)/Credit_Ramp),0)</f>
        <v>0.916666666666667</v>
      </c>
      <c r="AD15" s="45" t="n">
        <f aca="false">IF(AD$3&gt;=Start_Line,MIN(1,(AD$3-Start_Line+1)/Credit_Ramp),0)</f>
        <v>1</v>
      </c>
      <c r="AE15" s="45" t="n">
        <f aca="false">IF(AE$3&gt;=Start_Line,MIN(1,(AE$3-Start_Line+1)/Credit_Ramp),0)</f>
        <v>1</v>
      </c>
      <c r="AF15" s="45" t="n">
        <f aca="false">IF(AF$3&gt;=Start_Line,MIN(1,(AF$3-Start_Line+1)/Credit_Ramp),0)</f>
        <v>1</v>
      </c>
      <c r="AG15" s="45" t="n">
        <f aca="false">IF(AG$3&gt;=Start_Line,MIN(1,(AG$3-Start_Line+1)/Credit_Ramp),0)</f>
        <v>1</v>
      </c>
      <c r="AH15" s="45" t="n">
        <f aca="false">IF(AH$3&gt;=Start_Line,MIN(1,(AH$3-Start_Line+1)/Credit_Ramp),0)</f>
        <v>1</v>
      </c>
      <c r="AI15" s="45" t="n">
        <f aca="false">IF(AI$3&gt;=Start_Line,MIN(1,(AI$3-Start_Line+1)/Credit_Ramp),0)</f>
        <v>1</v>
      </c>
      <c r="AJ15" s="45" t="n">
        <f aca="false">IF(AJ$3&gt;=Start_Line,MIN(1,(AJ$3-Start_Line+1)/Credit_Ramp),0)</f>
        <v>1</v>
      </c>
      <c r="AK15" s="45" t="n">
        <f aca="false">IF(AK$3&gt;=Start_Line,MIN(1,(AK$3-Start_Line+1)/Credit_Ramp),0)</f>
        <v>1</v>
      </c>
      <c r="AL15" s="45" t="n">
        <f aca="false">IF(AL$3&gt;=Start_Line,MIN(1,(AL$3-Start_Line+1)/Credit_Ramp),0)</f>
        <v>1</v>
      </c>
      <c r="AM15" s="45" t="n">
        <f aca="false">IF(AM$3&gt;=Start_Line,MIN(1,(AM$3-Start_Line+1)/Credit_Ramp),0)</f>
        <v>1</v>
      </c>
      <c r="AN15" s="45" t="n">
        <f aca="false">IF(AN$3&gt;=Start_Line,MIN(1,(AN$3-Start_Line+1)/Credit_Ramp),0)</f>
        <v>1</v>
      </c>
      <c r="AO15" s="45" t="n">
        <f aca="false">IF(AO$3&gt;=Start_Line,MIN(1,(AO$3-Start_Line+1)/Credit_Ramp),0)</f>
        <v>1</v>
      </c>
      <c r="AP15" s="45" t="n">
        <f aca="false">IF(AP$3&gt;=Start_Line,MIN(1,(AP$3-Start_Line+1)/Credit_Ramp),0)</f>
        <v>1</v>
      </c>
      <c r="AQ15" s="45" t="n">
        <f aca="false">IF(AQ$3&gt;=Start_Line,MIN(1,(AQ$3-Start_Line+1)/Credit_Ramp),0)</f>
        <v>1</v>
      </c>
      <c r="AR15" s="45" t="n">
        <f aca="false">IF(AR$3&gt;=Start_Line,MIN(1,(AR$3-Start_Line+1)/Credit_Ramp),0)</f>
        <v>1</v>
      </c>
      <c r="AS15" s="45" t="n">
        <f aca="false">IF(AS$3&gt;=Start_Line,MIN(1,(AS$3-Start_Line+1)/Credit_Ramp),0)</f>
        <v>1</v>
      </c>
      <c r="AT15" s="45" t="n">
        <f aca="false">IF(AT$3&gt;=Start_Line,MIN(1,(AT$3-Start_Line+1)/Credit_Ramp),0)</f>
        <v>1</v>
      </c>
      <c r="AU15" s="45" t="n">
        <f aca="false">IF(AU$3&gt;=Start_Line,MIN(1,(AU$3-Start_Line+1)/Credit_Ramp),0)</f>
        <v>1</v>
      </c>
      <c r="AV15" s="45" t="n">
        <f aca="false">IF(AV$3&gt;=Start_Line,MIN(1,(AV$3-Start_Line+1)/Credit_Ramp),0)</f>
        <v>1</v>
      </c>
      <c r="AW15" s="45" t="n">
        <f aca="false">IF(AW$3&gt;=Start_Line,MIN(1,(AW$3-Start_Line+1)/Credit_Ramp),0)</f>
        <v>1</v>
      </c>
      <c r="AX15" s="45" t="n">
        <f aca="false">IF(AX$3&gt;=Start_Line,MIN(1,(AX$3-Start_Line+1)/Credit_Ramp),0)</f>
        <v>1</v>
      </c>
      <c r="AY15" s="45" t="n">
        <f aca="false">IF(AY$3&gt;=Start_Line,MIN(1,(AY$3-Start_Line+1)/Credit_Ramp),0)</f>
        <v>1</v>
      </c>
      <c r="AZ15" s="45" t="n">
        <f aca="false">IF(AZ$3&gt;=Start_Line,MIN(1,(AZ$3-Start_Line+1)/Credit_Ramp),0)</f>
        <v>1</v>
      </c>
      <c r="BA15" s="45" t="n">
        <f aca="false">IF(BA$3&gt;=Start_Line,MIN(1,(BA$3-Start_Line+1)/Credit_Ramp),0)</f>
        <v>1</v>
      </c>
      <c r="BB15" s="45" t="n">
        <f aca="false">IF(BB$3&gt;=Start_Line,MIN(1,(BB$3-Start_Line+1)/Credit_Ramp),0)</f>
        <v>1</v>
      </c>
      <c r="BC15" s="45" t="n">
        <f aca="false">IF(BC$3&gt;=Start_Line,MIN(1,(BC$3-Start_Line+1)/Credit_Ramp),0)</f>
        <v>1</v>
      </c>
      <c r="BD15" s="45" t="n">
        <f aca="false">IF(BD$3&gt;=Start_Line,MIN(1,(BD$3-Start_Line+1)/Credit_Ramp),0)</f>
        <v>1</v>
      </c>
      <c r="BE15" s="45" t="n">
        <f aca="false">IF(BE$3&gt;=Start_Line,MIN(1,(BE$3-Start_Line+1)/Credit_Ramp),0)</f>
        <v>1</v>
      </c>
      <c r="BF15" s="45" t="n">
        <f aca="false">IF(BF$3&gt;=Start_Line,MIN(1,(BF$3-Start_Line+1)/Credit_Ramp),0)</f>
        <v>1</v>
      </c>
      <c r="BG15" s="45" t="n">
        <f aca="false">IF(BG$3&gt;=Start_Line,MIN(1,(BG$3-Start_Line+1)/Credit_Ramp),0)</f>
        <v>1</v>
      </c>
      <c r="BH15" s="45" t="n">
        <f aca="false">IF(BH$3&gt;=Start_Line,MIN(1,(BH$3-Start_Line+1)/Credit_Ramp),0)</f>
        <v>1</v>
      </c>
      <c r="BI15" s="45" t="n">
        <f aca="false">IF(BI$3&gt;=Start_Line,MIN(1,(BI$3-Start_Line+1)/Credit_Ramp),0)</f>
        <v>1</v>
      </c>
      <c r="BJ15" s="45" t="n">
        <f aca="false">IF(BJ$3&gt;=Start_Line,MIN(1,(BJ$3-Start_Line+1)/Credit_Ramp),0)</f>
        <v>1</v>
      </c>
      <c r="BK15" s="45" t="n">
        <f aca="false">IF(BK$3&gt;=Start_Line,MIN(1,(BK$3-Start_Line+1)/Credit_Ramp),0)</f>
        <v>1</v>
      </c>
      <c r="BL15" s="45" t="n">
        <f aca="false">IF(BL$3&gt;=Start_Line,MIN(1,(BL$3-Start_Line+1)/Credit_Ramp),0)</f>
        <v>1</v>
      </c>
    </row>
    <row r="16" customFormat="false" ht="15" hidden="false" customHeight="false" outlineLevel="0" collapsed="false">
      <c r="A16" s="12" t="s">
        <v>620</v>
      </c>
      <c r="B16" s="14" t="s">
        <v>115</v>
      </c>
      <c r="E16" s="45" t="n">
        <f aca="false">IF(E$3&gt;=Start_Term,MIN(1,(E$3-Start_Term+1)/Credit_Ramp),0)</f>
        <v>0</v>
      </c>
      <c r="F16" s="45" t="n">
        <f aca="false">IF(F$3&gt;=Start_Term,MIN(1,(F$3-Start_Term+1)/Credit_Ramp),0)</f>
        <v>0</v>
      </c>
      <c r="G16" s="45" t="n">
        <f aca="false">IF(G$3&gt;=Start_Term,MIN(1,(G$3-Start_Term+1)/Credit_Ramp),0)</f>
        <v>0</v>
      </c>
      <c r="H16" s="45" t="n">
        <f aca="false">IF(H$3&gt;=Start_Term,MIN(1,(H$3-Start_Term+1)/Credit_Ramp),0)</f>
        <v>0</v>
      </c>
      <c r="I16" s="45" t="n">
        <f aca="false">IF(I$3&gt;=Start_Term,MIN(1,(I$3-Start_Term+1)/Credit_Ramp),0)</f>
        <v>0</v>
      </c>
      <c r="J16" s="45" t="n">
        <f aca="false">IF(J$3&gt;=Start_Term,MIN(1,(J$3-Start_Term+1)/Credit_Ramp),0)</f>
        <v>0</v>
      </c>
      <c r="K16" s="45" t="n">
        <f aca="false">IF(K$3&gt;=Start_Term,MIN(1,(K$3-Start_Term+1)/Credit_Ramp),0)</f>
        <v>0</v>
      </c>
      <c r="L16" s="45" t="n">
        <f aca="false">IF(L$3&gt;=Start_Term,MIN(1,(L$3-Start_Term+1)/Credit_Ramp),0)</f>
        <v>0</v>
      </c>
      <c r="M16" s="45" t="n">
        <f aca="false">IF(M$3&gt;=Start_Term,MIN(1,(M$3-Start_Term+1)/Credit_Ramp),0)</f>
        <v>0</v>
      </c>
      <c r="N16" s="45" t="n">
        <f aca="false">IF(N$3&gt;=Start_Term,MIN(1,(N$3-Start_Term+1)/Credit_Ramp),0)</f>
        <v>0</v>
      </c>
      <c r="O16" s="45" t="n">
        <f aca="false">IF(O$3&gt;=Start_Term,MIN(1,(O$3-Start_Term+1)/Credit_Ramp),0)</f>
        <v>0</v>
      </c>
      <c r="P16" s="45" t="n">
        <f aca="false">IF(P$3&gt;=Start_Term,MIN(1,(P$3-Start_Term+1)/Credit_Ramp),0)</f>
        <v>0</v>
      </c>
      <c r="Q16" s="45" t="n">
        <f aca="false">IF(Q$3&gt;=Start_Term,MIN(1,(Q$3-Start_Term+1)/Credit_Ramp),0)</f>
        <v>0</v>
      </c>
      <c r="R16" s="45" t="n">
        <f aca="false">IF(R$3&gt;=Start_Term,MIN(1,(R$3-Start_Term+1)/Credit_Ramp),0)</f>
        <v>0</v>
      </c>
      <c r="S16" s="45" t="n">
        <f aca="false">IF(S$3&gt;=Start_Term,MIN(1,(S$3-Start_Term+1)/Credit_Ramp),0)</f>
        <v>0</v>
      </c>
      <c r="T16" s="45" t="n">
        <f aca="false">IF(T$3&gt;=Start_Term,MIN(1,(T$3-Start_Term+1)/Credit_Ramp),0)</f>
        <v>0</v>
      </c>
      <c r="U16" s="45" t="n">
        <f aca="false">IF(U$3&gt;=Start_Term,MIN(1,(U$3-Start_Term+1)/Credit_Ramp),0)</f>
        <v>0</v>
      </c>
      <c r="V16" s="45" t="n">
        <f aca="false">IF(V$3&gt;=Start_Term,MIN(1,(V$3-Start_Term+1)/Credit_Ramp),0)</f>
        <v>0</v>
      </c>
      <c r="W16" s="45" t="n">
        <f aca="false">IF(W$3&gt;=Start_Term,MIN(1,(W$3-Start_Term+1)/Credit_Ramp),0)</f>
        <v>0</v>
      </c>
      <c r="X16" s="45" t="n">
        <f aca="false">IF(X$3&gt;=Start_Term,MIN(1,(X$3-Start_Term+1)/Credit_Ramp),0)</f>
        <v>0.0833333333333333</v>
      </c>
      <c r="Y16" s="45" t="n">
        <f aca="false">IF(Y$3&gt;=Start_Term,MIN(1,(Y$3-Start_Term+1)/Credit_Ramp),0)</f>
        <v>0.166666666666667</v>
      </c>
      <c r="Z16" s="45" t="n">
        <f aca="false">IF(Z$3&gt;=Start_Term,MIN(1,(Z$3-Start_Term+1)/Credit_Ramp),0)</f>
        <v>0.25</v>
      </c>
      <c r="AA16" s="45" t="n">
        <f aca="false">IF(AA$3&gt;=Start_Term,MIN(1,(AA$3-Start_Term+1)/Credit_Ramp),0)</f>
        <v>0.333333333333333</v>
      </c>
      <c r="AB16" s="45" t="n">
        <f aca="false">IF(AB$3&gt;=Start_Term,MIN(1,(AB$3-Start_Term+1)/Credit_Ramp),0)</f>
        <v>0.416666666666667</v>
      </c>
      <c r="AC16" s="45" t="n">
        <f aca="false">IF(AC$3&gt;=Start_Term,MIN(1,(AC$3-Start_Term+1)/Credit_Ramp),0)</f>
        <v>0.5</v>
      </c>
      <c r="AD16" s="45" t="n">
        <f aca="false">IF(AD$3&gt;=Start_Term,MIN(1,(AD$3-Start_Term+1)/Credit_Ramp),0)</f>
        <v>0.583333333333333</v>
      </c>
      <c r="AE16" s="45" t="n">
        <f aca="false">IF(AE$3&gt;=Start_Term,MIN(1,(AE$3-Start_Term+1)/Credit_Ramp),0)</f>
        <v>0.666666666666667</v>
      </c>
      <c r="AF16" s="45" t="n">
        <f aca="false">IF(AF$3&gt;=Start_Term,MIN(1,(AF$3-Start_Term+1)/Credit_Ramp),0)</f>
        <v>0.75</v>
      </c>
      <c r="AG16" s="45" t="n">
        <f aca="false">IF(AG$3&gt;=Start_Term,MIN(1,(AG$3-Start_Term+1)/Credit_Ramp),0)</f>
        <v>0.833333333333333</v>
      </c>
      <c r="AH16" s="45" t="n">
        <f aca="false">IF(AH$3&gt;=Start_Term,MIN(1,(AH$3-Start_Term+1)/Credit_Ramp),0)</f>
        <v>0.916666666666667</v>
      </c>
      <c r="AI16" s="45" t="n">
        <f aca="false">IF(AI$3&gt;=Start_Term,MIN(1,(AI$3-Start_Term+1)/Credit_Ramp),0)</f>
        <v>1</v>
      </c>
      <c r="AJ16" s="45" t="n">
        <f aca="false">IF(AJ$3&gt;=Start_Term,MIN(1,(AJ$3-Start_Term+1)/Credit_Ramp),0)</f>
        <v>1</v>
      </c>
      <c r="AK16" s="45" t="n">
        <f aca="false">IF(AK$3&gt;=Start_Term,MIN(1,(AK$3-Start_Term+1)/Credit_Ramp),0)</f>
        <v>1</v>
      </c>
      <c r="AL16" s="45" t="n">
        <f aca="false">IF(AL$3&gt;=Start_Term,MIN(1,(AL$3-Start_Term+1)/Credit_Ramp),0)</f>
        <v>1</v>
      </c>
      <c r="AM16" s="45" t="n">
        <f aca="false">IF(AM$3&gt;=Start_Term,MIN(1,(AM$3-Start_Term+1)/Credit_Ramp),0)</f>
        <v>1</v>
      </c>
      <c r="AN16" s="45" t="n">
        <f aca="false">IF(AN$3&gt;=Start_Term,MIN(1,(AN$3-Start_Term+1)/Credit_Ramp),0)</f>
        <v>1</v>
      </c>
      <c r="AO16" s="45" t="n">
        <f aca="false">IF(AO$3&gt;=Start_Term,MIN(1,(AO$3-Start_Term+1)/Credit_Ramp),0)</f>
        <v>1</v>
      </c>
      <c r="AP16" s="45" t="n">
        <f aca="false">IF(AP$3&gt;=Start_Term,MIN(1,(AP$3-Start_Term+1)/Credit_Ramp),0)</f>
        <v>1</v>
      </c>
      <c r="AQ16" s="45" t="n">
        <f aca="false">IF(AQ$3&gt;=Start_Term,MIN(1,(AQ$3-Start_Term+1)/Credit_Ramp),0)</f>
        <v>1</v>
      </c>
      <c r="AR16" s="45" t="n">
        <f aca="false">IF(AR$3&gt;=Start_Term,MIN(1,(AR$3-Start_Term+1)/Credit_Ramp),0)</f>
        <v>1</v>
      </c>
      <c r="AS16" s="45" t="n">
        <f aca="false">IF(AS$3&gt;=Start_Term,MIN(1,(AS$3-Start_Term+1)/Credit_Ramp),0)</f>
        <v>1</v>
      </c>
      <c r="AT16" s="45" t="n">
        <f aca="false">IF(AT$3&gt;=Start_Term,MIN(1,(AT$3-Start_Term+1)/Credit_Ramp),0)</f>
        <v>1</v>
      </c>
      <c r="AU16" s="45" t="n">
        <f aca="false">IF(AU$3&gt;=Start_Term,MIN(1,(AU$3-Start_Term+1)/Credit_Ramp),0)</f>
        <v>1</v>
      </c>
      <c r="AV16" s="45" t="n">
        <f aca="false">IF(AV$3&gt;=Start_Term,MIN(1,(AV$3-Start_Term+1)/Credit_Ramp),0)</f>
        <v>1</v>
      </c>
      <c r="AW16" s="45" t="n">
        <f aca="false">IF(AW$3&gt;=Start_Term,MIN(1,(AW$3-Start_Term+1)/Credit_Ramp),0)</f>
        <v>1</v>
      </c>
      <c r="AX16" s="45" t="n">
        <f aca="false">IF(AX$3&gt;=Start_Term,MIN(1,(AX$3-Start_Term+1)/Credit_Ramp),0)</f>
        <v>1</v>
      </c>
      <c r="AY16" s="45" t="n">
        <f aca="false">IF(AY$3&gt;=Start_Term,MIN(1,(AY$3-Start_Term+1)/Credit_Ramp),0)</f>
        <v>1</v>
      </c>
      <c r="AZ16" s="45" t="n">
        <f aca="false">IF(AZ$3&gt;=Start_Term,MIN(1,(AZ$3-Start_Term+1)/Credit_Ramp),0)</f>
        <v>1</v>
      </c>
      <c r="BA16" s="45" t="n">
        <f aca="false">IF(BA$3&gt;=Start_Term,MIN(1,(BA$3-Start_Term+1)/Credit_Ramp),0)</f>
        <v>1</v>
      </c>
      <c r="BB16" s="45" t="n">
        <f aca="false">IF(BB$3&gt;=Start_Term,MIN(1,(BB$3-Start_Term+1)/Credit_Ramp),0)</f>
        <v>1</v>
      </c>
      <c r="BC16" s="45" t="n">
        <f aca="false">IF(BC$3&gt;=Start_Term,MIN(1,(BC$3-Start_Term+1)/Credit_Ramp),0)</f>
        <v>1</v>
      </c>
      <c r="BD16" s="45" t="n">
        <f aca="false">IF(BD$3&gt;=Start_Term,MIN(1,(BD$3-Start_Term+1)/Credit_Ramp),0)</f>
        <v>1</v>
      </c>
      <c r="BE16" s="45" t="n">
        <f aca="false">IF(BE$3&gt;=Start_Term,MIN(1,(BE$3-Start_Term+1)/Credit_Ramp),0)</f>
        <v>1</v>
      </c>
      <c r="BF16" s="45" t="n">
        <f aca="false">IF(BF$3&gt;=Start_Term,MIN(1,(BF$3-Start_Term+1)/Credit_Ramp),0)</f>
        <v>1</v>
      </c>
      <c r="BG16" s="45" t="n">
        <f aca="false">IF(BG$3&gt;=Start_Term,MIN(1,(BG$3-Start_Term+1)/Credit_Ramp),0)</f>
        <v>1</v>
      </c>
      <c r="BH16" s="45" t="n">
        <f aca="false">IF(BH$3&gt;=Start_Term,MIN(1,(BH$3-Start_Term+1)/Credit_Ramp),0)</f>
        <v>1</v>
      </c>
      <c r="BI16" s="45" t="n">
        <f aca="false">IF(BI$3&gt;=Start_Term,MIN(1,(BI$3-Start_Term+1)/Credit_Ramp),0)</f>
        <v>1</v>
      </c>
      <c r="BJ16" s="45" t="n">
        <f aca="false">IF(BJ$3&gt;=Start_Term,MIN(1,(BJ$3-Start_Term+1)/Credit_Ramp),0)</f>
        <v>1</v>
      </c>
      <c r="BK16" s="45" t="n">
        <f aca="false">IF(BK$3&gt;=Start_Term,MIN(1,(BK$3-Start_Term+1)/Credit_Ramp),0)</f>
        <v>1</v>
      </c>
      <c r="BL16" s="45" t="n">
        <f aca="false">IF(BL$3&gt;=Start_Term,MIN(1,(BL$3-Start_Term+1)/Credit_Ramp),0)</f>
        <v>1</v>
      </c>
    </row>
    <row r="17" customFormat="false" ht="15" hidden="false" customHeight="false" outlineLevel="0" collapsed="false">
      <c r="A17" s="12" t="s">
        <v>621</v>
      </c>
      <c r="B17" s="14" t="s">
        <v>115</v>
      </c>
      <c r="E17" s="45" t="n">
        <f aca="false">IF(E$3&gt;=Start_Advance,MIN(1,(E$3-Start_Advance+1)/Credit_Ramp),0)</f>
        <v>0</v>
      </c>
      <c r="F17" s="45" t="n">
        <f aca="false">IF(F$3&gt;=Start_Advance,MIN(1,(F$3-Start_Advance+1)/Credit_Ramp),0)</f>
        <v>0</v>
      </c>
      <c r="G17" s="45" t="n">
        <f aca="false">IF(G$3&gt;=Start_Advance,MIN(1,(G$3-Start_Advance+1)/Credit_Ramp),0)</f>
        <v>0</v>
      </c>
      <c r="H17" s="45" t="n">
        <f aca="false">IF(H$3&gt;=Start_Advance,MIN(1,(H$3-Start_Advance+1)/Credit_Ramp),0)</f>
        <v>0</v>
      </c>
      <c r="I17" s="45" t="n">
        <f aca="false">IF(I$3&gt;=Start_Advance,MIN(1,(I$3-Start_Advance+1)/Credit_Ramp),0)</f>
        <v>0</v>
      </c>
      <c r="J17" s="45" t="n">
        <f aca="false">IF(J$3&gt;=Start_Advance,MIN(1,(J$3-Start_Advance+1)/Credit_Ramp),0)</f>
        <v>0</v>
      </c>
      <c r="K17" s="45" t="n">
        <f aca="false">IF(K$3&gt;=Start_Advance,MIN(1,(K$3-Start_Advance+1)/Credit_Ramp),0)</f>
        <v>0</v>
      </c>
      <c r="L17" s="45" t="n">
        <f aca="false">IF(L$3&gt;=Start_Advance,MIN(1,(L$3-Start_Advance+1)/Credit_Ramp),0)</f>
        <v>0</v>
      </c>
      <c r="M17" s="45" t="n">
        <f aca="false">IF(M$3&gt;=Start_Advance,MIN(1,(M$3-Start_Advance+1)/Credit_Ramp),0)</f>
        <v>0</v>
      </c>
      <c r="N17" s="45" t="n">
        <f aca="false">IF(N$3&gt;=Start_Advance,MIN(1,(N$3-Start_Advance+1)/Credit_Ramp),0)</f>
        <v>0</v>
      </c>
      <c r="O17" s="45" t="n">
        <f aca="false">IF(O$3&gt;=Start_Advance,MIN(1,(O$3-Start_Advance+1)/Credit_Ramp),0)</f>
        <v>0</v>
      </c>
      <c r="P17" s="45" t="n">
        <f aca="false">IF(P$3&gt;=Start_Advance,MIN(1,(P$3-Start_Advance+1)/Credit_Ramp),0)</f>
        <v>0.0833333333333333</v>
      </c>
      <c r="Q17" s="45" t="n">
        <f aca="false">IF(Q$3&gt;=Start_Advance,MIN(1,(Q$3-Start_Advance+1)/Credit_Ramp),0)</f>
        <v>0.166666666666667</v>
      </c>
      <c r="R17" s="45" t="n">
        <f aca="false">IF(R$3&gt;=Start_Advance,MIN(1,(R$3-Start_Advance+1)/Credit_Ramp),0)</f>
        <v>0.25</v>
      </c>
      <c r="S17" s="45" t="n">
        <f aca="false">IF(S$3&gt;=Start_Advance,MIN(1,(S$3-Start_Advance+1)/Credit_Ramp),0)</f>
        <v>0.333333333333333</v>
      </c>
      <c r="T17" s="45" t="n">
        <f aca="false">IF(T$3&gt;=Start_Advance,MIN(1,(T$3-Start_Advance+1)/Credit_Ramp),0)</f>
        <v>0.416666666666667</v>
      </c>
      <c r="U17" s="45" t="n">
        <f aca="false">IF(U$3&gt;=Start_Advance,MIN(1,(U$3-Start_Advance+1)/Credit_Ramp),0)</f>
        <v>0.5</v>
      </c>
      <c r="V17" s="45" t="n">
        <f aca="false">IF(V$3&gt;=Start_Advance,MIN(1,(V$3-Start_Advance+1)/Credit_Ramp),0)</f>
        <v>0.583333333333333</v>
      </c>
      <c r="W17" s="45" t="n">
        <f aca="false">IF(W$3&gt;=Start_Advance,MIN(1,(W$3-Start_Advance+1)/Credit_Ramp),0)</f>
        <v>0.666666666666667</v>
      </c>
      <c r="X17" s="45" t="n">
        <f aca="false">IF(X$3&gt;=Start_Advance,MIN(1,(X$3-Start_Advance+1)/Credit_Ramp),0)</f>
        <v>0.75</v>
      </c>
      <c r="Y17" s="45" t="n">
        <f aca="false">IF(Y$3&gt;=Start_Advance,MIN(1,(Y$3-Start_Advance+1)/Credit_Ramp),0)</f>
        <v>0.833333333333333</v>
      </c>
      <c r="Z17" s="45" t="n">
        <f aca="false">IF(Z$3&gt;=Start_Advance,MIN(1,(Z$3-Start_Advance+1)/Credit_Ramp),0)</f>
        <v>0.916666666666667</v>
      </c>
      <c r="AA17" s="45" t="n">
        <f aca="false">IF(AA$3&gt;=Start_Advance,MIN(1,(AA$3-Start_Advance+1)/Credit_Ramp),0)</f>
        <v>1</v>
      </c>
      <c r="AB17" s="45" t="n">
        <f aca="false">IF(AB$3&gt;=Start_Advance,MIN(1,(AB$3-Start_Advance+1)/Credit_Ramp),0)</f>
        <v>1</v>
      </c>
      <c r="AC17" s="45" t="n">
        <f aca="false">IF(AC$3&gt;=Start_Advance,MIN(1,(AC$3-Start_Advance+1)/Credit_Ramp),0)</f>
        <v>1</v>
      </c>
      <c r="AD17" s="45" t="n">
        <f aca="false">IF(AD$3&gt;=Start_Advance,MIN(1,(AD$3-Start_Advance+1)/Credit_Ramp),0)</f>
        <v>1</v>
      </c>
      <c r="AE17" s="45" t="n">
        <f aca="false">IF(AE$3&gt;=Start_Advance,MIN(1,(AE$3-Start_Advance+1)/Credit_Ramp),0)</f>
        <v>1</v>
      </c>
      <c r="AF17" s="45" t="n">
        <f aca="false">IF(AF$3&gt;=Start_Advance,MIN(1,(AF$3-Start_Advance+1)/Credit_Ramp),0)</f>
        <v>1</v>
      </c>
      <c r="AG17" s="45" t="n">
        <f aca="false">IF(AG$3&gt;=Start_Advance,MIN(1,(AG$3-Start_Advance+1)/Credit_Ramp),0)</f>
        <v>1</v>
      </c>
      <c r="AH17" s="45" t="n">
        <f aca="false">IF(AH$3&gt;=Start_Advance,MIN(1,(AH$3-Start_Advance+1)/Credit_Ramp),0)</f>
        <v>1</v>
      </c>
      <c r="AI17" s="45" t="n">
        <f aca="false">IF(AI$3&gt;=Start_Advance,MIN(1,(AI$3-Start_Advance+1)/Credit_Ramp),0)</f>
        <v>1</v>
      </c>
      <c r="AJ17" s="45" t="n">
        <f aca="false">IF(AJ$3&gt;=Start_Advance,MIN(1,(AJ$3-Start_Advance+1)/Credit_Ramp),0)</f>
        <v>1</v>
      </c>
      <c r="AK17" s="45" t="n">
        <f aca="false">IF(AK$3&gt;=Start_Advance,MIN(1,(AK$3-Start_Advance+1)/Credit_Ramp),0)</f>
        <v>1</v>
      </c>
      <c r="AL17" s="45" t="n">
        <f aca="false">IF(AL$3&gt;=Start_Advance,MIN(1,(AL$3-Start_Advance+1)/Credit_Ramp),0)</f>
        <v>1</v>
      </c>
      <c r="AM17" s="45" t="n">
        <f aca="false">IF(AM$3&gt;=Start_Advance,MIN(1,(AM$3-Start_Advance+1)/Credit_Ramp),0)</f>
        <v>1</v>
      </c>
      <c r="AN17" s="45" t="n">
        <f aca="false">IF(AN$3&gt;=Start_Advance,MIN(1,(AN$3-Start_Advance+1)/Credit_Ramp),0)</f>
        <v>1</v>
      </c>
      <c r="AO17" s="45" t="n">
        <f aca="false">IF(AO$3&gt;=Start_Advance,MIN(1,(AO$3-Start_Advance+1)/Credit_Ramp),0)</f>
        <v>1</v>
      </c>
      <c r="AP17" s="45" t="n">
        <f aca="false">IF(AP$3&gt;=Start_Advance,MIN(1,(AP$3-Start_Advance+1)/Credit_Ramp),0)</f>
        <v>1</v>
      </c>
      <c r="AQ17" s="45" t="n">
        <f aca="false">IF(AQ$3&gt;=Start_Advance,MIN(1,(AQ$3-Start_Advance+1)/Credit_Ramp),0)</f>
        <v>1</v>
      </c>
      <c r="AR17" s="45" t="n">
        <f aca="false">IF(AR$3&gt;=Start_Advance,MIN(1,(AR$3-Start_Advance+1)/Credit_Ramp),0)</f>
        <v>1</v>
      </c>
      <c r="AS17" s="45" t="n">
        <f aca="false">IF(AS$3&gt;=Start_Advance,MIN(1,(AS$3-Start_Advance+1)/Credit_Ramp),0)</f>
        <v>1</v>
      </c>
      <c r="AT17" s="45" t="n">
        <f aca="false">IF(AT$3&gt;=Start_Advance,MIN(1,(AT$3-Start_Advance+1)/Credit_Ramp),0)</f>
        <v>1</v>
      </c>
      <c r="AU17" s="45" t="n">
        <f aca="false">IF(AU$3&gt;=Start_Advance,MIN(1,(AU$3-Start_Advance+1)/Credit_Ramp),0)</f>
        <v>1</v>
      </c>
      <c r="AV17" s="45" t="n">
        <f aca="false">IF(AV$3&gt;=Start_Advance,MIN(1,(AV$3-Start_Advance+1)/Credit_Ramp),0)</f>
        <v>1</v>
      </c>
      <c r="AW17" s="45" t="n">
        <f aca="false">IF(AW$3&gt;=Start_Advance,MIN(1,(AW$3-Start_Advance+1)/Credit_Ramp),0)</f>
        <v>1</v>
      </c>
      <c r="AX17" s="45" t="n">
        <f aca="false">IF(AX$3&gt;=Start_Advance,MIN(1,(AX$3-Start_Advance+1)/Credit_Ramp),0)</f>
        <v>1</v>
      </c>
      <c r="AY17" s="45" t="n">
        <f aca="false">IF(AY$3&gt;=Start_Advance,MIN(1,(AY$3-Start_Advance+1)/Credit_Ramp),0)</f>
        <v>1</v>
      </c>
      <c r="AZ17" s="45" t="n">
        <f aca="false">IF(AZ$3&gt;=Start_Advance,MIN(1,(AZ$3-Start_Advance+1)/Credit_Ramp),0)</f>
        <v>1</v>
      </c>
      <c r="BA17" s="45" t="n">
        <f aca="false">IF(BA$3&gt;=Start_Advance,MIN(1,(BA$3-Start_Advance+1)/Credit_Ramp),0)</f>
        <v>1</v>
      </c>
      <c r="BB17" s="45" t="n">
        <f aca="false">IF(BB$3&gt;=Start_Advance,MIN(1,(BB$3-Start_Advance+1)/Credit_Ramp),0)</f>
        <v>1</v>
      </c>
      <c r="BC17" s="45" t="n">
        <f aca="false">IF(BC$3&gt;=Start_Advance,MIN(1,(BC$3-Start_Advance+1)/Credit_Ramp),0)</f>
        <v>1</v>
      </c>
      <c r="BD17" s="45" t="n">
        <f aca="false">IF(BD$3&gt;=Start_Advance,MIN(1,(BD$3-Start_Advance+1)/Credit_Ramp),0)</f>
        <v>1</v>
      </c>
      <c r="BE17" s="45" t="n">
        <f aca="false">IF(BE$3&gt;=Start_Advance,MIN(1,(BE$3-Start_Advance+1)/Credit_Ramp),0)</f>
        <v>1</v>
      </c>
      <c r="BF17" s="45" t="n">
        <f aca="false">IF(BF$3&gt;=Start_Advance,MIN(1,(BF$3-Start_Advance+1)/Credit_Ramp),0)</f>
        <v>1</v>
      </c>
      <c r="BG17" s="45" t="n">
        <f aca="false">IF(BG$3&gt;=Start_Advance,MIN(1,(BG$3-Start_Advance+1)/Credit_Ramp),0)</f>
        <v>1</v>
      </c>
      <c r="BH17" s="45" t="n">
        <f aca="false">IF(BH$3&gt;=Start_Advance,MIN(1,(BH$3-Start_Advance+1)/Credit_Ramp),0)</f>
        <v>1</v>
      </c>
      <c r="BI17" s="45" t="n">
        <f aca="false">IF(BI$3&gt;=Start_Advance,MIN(1,(BI$3-Start_Advance+1)/Credit_Ramp),0)</f>
        <v>1</v>
      </c>
      <c r="BJ17" s="45" t="n">
        <f aca="false">IF(BJ$3&gt;=Start_Advance,MIN(1,(BJ$3-Start_Advance+1)/Credit_Ramp),0)</f>
        <v>1</v>
      </c>
      <c r="BK17" s="45" t="n">
        <f aca="false">IF(BK$3&gt;=Start_Advance,MIN(1,(BK$3-Start_Advance+1)/Credit_Ramp),0)</f>
        <v>1</v>
      </c>
      <c r="BL17" s="45" t="n">
        <f aca="false">IF(BL$3&gt;=Start_Advance,MIN(1,(BL$3-Start_Advance+1)/Credit_Ramp),0)</f>
        <v>1</v>
      </c>
    </row>
    <row r="19" customFormat="false" ht="15" hidden="false" customHeight="false" outlineLevel="0" collapsed="false">
      <c r="A19" s="10" t="s">
        <v>622</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617</v>
      </c>
      <c r="B20" s="14" t="s">
        <v>63</v>
      </c>
      <c r="D20" s="41" t="n">
        <f aca="false">BL20</f>
        <v>4903849914.22088</v>
      </c>
      <c r="E20" s="33" t="n">
        <f aca="false">E9*Uptake_Factoring*Credit_Mult*E13*Avg_Factoring</f>
        <v>0</v>
      </c>
      <c r="F20" s="33" t="n">
        <f aca="false">F9*Uptake_Factoring*Credit_Mult*F13*Avg_Factoring</f>
        <v>0</v>
      </c>
      <c r="G20" s="33" t="n">
        <f aca="false">G9*Uptake_Factoring*Credit_Mult*G13*Avg_Factoring</f>
        <v>0</v>
      </c>
      <c r="H20" s="33" t="n">
        <f aca="false">H9*Uptake_Factoring*Credit_Mult*H13*Avg_Factoring</f>
        <v>0</v>
      </c>
      <c r="I20" s="33" t="n">
        <f aca="false">I9*Uptake_Factoring*Credit_Mult*I13*Avg_Factoring</f>
        <v>0</v>
      </c>
      <c r="J20" s="33" t="n">
        <f aca="false">J9*Uptake_Factoring*Credit_Mult*J13*Avg_Factoring</f>
        <v>0</v>
      </c>
      <c r="K20" s="33" t="n">
        <f aca="false">K9*Uptake_Factoring*Credit_Mult*K13*Avg_Factoring</f>
        <v>0</v>
      </c>
      <c r="L20" s="33" t="n">
        <f aca="false">L9*Uptake_Factoring*Credit_Mult*L13*Avg_Factoring</f>
        <v>0</v>
      </c>
      <c r="M20" s="33" t="n">
        <f aca="false">M9*Uptake_Factoring*Credit_Mult*M13*Avg_Factoring</f>
        <v>0</v>
      </c>
      <c r="N20" s="33" t="n">
        <f aca="false">N9*Uptake_Factoring*Credit_Mult*N13*Avg_Factoring</f>
        <v>0</v>
      </c>
      <c r="O20" s="33" t="n">
        <f aca="false">O9*Uptake_Factoring*Credit_Mult*O13*Avg_Factoring</f>
        <v>0</v>
      </c>
      <c r="P20" s="33" t="n">
        <f aca="false">P9*Uptake_Factoring*Credit_Mult*P13*Avg_Factoring</f>
        <v>15790359.4132713</v>
      </c>
      <c r="Q20" s="33" t="n">
        <f aca="false">Q9*Uptake_Factoring*Credit_Mult*Q13*Avg_Factoring</f>
        <v>37119757.8139648</v>
      </c>
      <c r="R20" s="33" t="n">
        <f aca="false">R9*Uptake_Factoring*Credit_Mult*R13*Avg_Factoring</f>
        <v>63947654.5251168</v>
      </c>
      <c r="S20" s="33" t="n">
        <f aca="false">S9*Uptake_Factoring*Credit_Mult*S13*Avg_Factoring</f>
        <v>96242259.391181</v>
      </c>
      <c r="T20" s="33" t="n">
        <f aca="false">T9*Uptake_Factoring*Credit_Mult*T13*Avg_Factoring</f>
        <v>133980921.289528</v>
      </c>
      <c r="U20" s="33" t="n">
        <f aca="false">U9*Uptake_Factoring*Credit_Mult*U13*Avg_Factoring</f>
        <v>177150550.606663</v>
      </c>
      <c r="V20" s="33" t="n">
        <f aca="false">V9*Uptake_Factoring*Credit_Mult*V13*Avg_Factoring</f>
        <v>225748077.92281</v>
      </c>
      <c r="W20" s="33" t="n">
        <f aca="false">W9*Uptake_Factoring*Credit_Mult*W13*Avg_Factoring</f>
        <v>286038729.083137</v>
      </c>
      <c r="X20" s="33" t="n">
        <f aca="false">X9*Uptake_Factoring*Credit_Mult*X13*Avg_Factoring</f>
        <v>373439514.779003</v>
      </c>
      <c r="Y20" s="33" t="n">
        <f aca="false">Y9*Uptake_Factoring*Credit_Mult*Y13*Avg_Factoring</f>
        <v>471983532.052295</v>
      </c>
      <c r="Z20" s="33" t="n">
        <f aca="false">Z9*Uptake_Factoring*Credit_Mult*Z13*Avg_Factoring</f>
        <v>581617954.256046</v>
      </c>
      <c r="AA20" s="33" t="n">
        <f aca="false">AA9*Uptake_Factoring*Credit_Mult*AA13*Avg_Factoring</f>
        <v>702308886.939727</v>
      </c>
      <c r="AB20" s="33" t="n">
        <f aca="false">AB9*Uptake_Factoring*Credit_Mult*AB13*Avg_Factoring</f>
        <v>769885140.233946</v>
      </c>
      <c r="AC20" s="33" t="n">
        <f aca="false">AC9*Uptake_Factoring*Credit_Mult*AC13*Avg_Factoring</f>
        <v>851304933.62493</v>
      </c>
      <c r="AD20" s="33" t="n">
        <f aca="false">AD9*Uptake_Factoring*Credit_Mult*AD13*Avg_Factoring</f>
        <v>932369509.853047</v>
      </c>
      <c r="AE20" s="33" t="n">
        <f aca="false">AE9*Uptake_Factoring*Credit_Mult*AE13*Avg_Factoring</f>
        <v>1013144630.29723</v>
      </c>
      <c r="AF20" s="33" t="n">
        <f aca="false">AF9*Uptake_Factoring*Credit_Mult*AF13*Avg_Factoring</f>
        <v>1093698451.20861</v>
      </c>
      <c r="AG20" s="33" t="n">
        <f aca="false">AG9*Uptake_Factoring*Credit_Mult*AG13*Avg_Factoring</f>
        <v>1174101696.26805</v>
      </c>
      <c r="AH20" s="33" t="n">
        <f aca="false">AH9*Uptake_Factoring*Credit_Mult*AH13*Avg_Factoring</f>
        <v>1254427838.94498</v>
      </c>
      <c r="AI20" s="33" t="n">
        <f aca="false">AI9*Uptake_Factoring*Credit_Mult*AI13*Avg_Factoring</f>
        <v>1334753295.25627</v>
      </c>
      <c r="AJ20" s="33" t="n">
        <f aca="false">AJ9*Uptake_Factoring*Credit_Mult*AJ13*Avg_Factoring</f>
        <v>1441957627.55985</v>
      </c>
      <c r="AK20" s="33" t="n">
        <f aca="false">AK9*Uptake_Factoring*Credit_Mult*AK13*Avg_Factoring</f>
        <v>1548881560.05532</v>
      </c>
      <c r="AL20" s="33" t="n">
        <f aca="false">AL9*Uptake_Factoring*Credit_Mult*AL13*Avg_Factoring</f>
        <v>1655619445.7042</v>
      </c>
      <c r="AM20" s="33" t="n">
        <f aca="false">AM9*Uptake_Factoring*Credit_Mult*AM13*Avg_Factoring</f>
        <v>1762269322.85104</v>
      </c>
      <c r="AN20" s="33" t="n">
        <f aca="false">AN9*Uptake_Factoring*Credit_Mult*AN13*Avg_Factoring</f>
        <v>1868933173.07086</v>
      </c>
      <c r="AO20" s="33" t="n">
        <f aca="false">AO9*Uptake_Factoring*Credit_Mult*AO13*Avg_Factoring</f>
        <v>1982703860.45214</v>
      </c>
      <c r="AP20" s="33" t="n">
        <f aca="false">AP9*Uptake_Factoring*Credit_Mult*AP13*Avg_Factoring</f>
        <v>2096590139.8819</v>
      </c>
      <c r="AQ20" s="33" t="n">
        <f aca="false">AQ9*Uptake_Factoring*Credit_Mult*AQ13*Avg_Factoring</f>
        <v>2210709565.55306</v>
      </c>
      <c r="AR20" s="33" t="n">
        <f aca="false">AR9*Uptake_Factoring*Credit_Mult*AR13*Avg_Factoring</f>
        <v>2325184785.3133</v>
      </c>
      <c r="AS20" s="33" t="n">
        <f aca="false">AS9*Uptake_Factoring*Credit_Mult*AS13*Avg_Factoring</f>
        <v>2439554874.6333</v>
      </c>
      <c r="AT20" s="33" t="n">
        <f aca="false">AT9*Uptake_Factoring*Credit_Mult*AT13*Avg_Factoring</f>
        <v>2552597100.54891</v>
      </c>
      <c r="AU20" s="33" t="n">
        <f aca="false">AU9*Uptake_Factoring*Credit_Mult*AU13*Avg_Factoring</f>
        <v>2664366294.58232</v>
      </c>
      <c r="AV20" s="33" t="n">
        <f aca="false">AV9*Uptake_Factoring*Credit_Mult*AV13*Avg_Factoring</f>
        <v>2801718201.43178</v>
      </c>
      <c r="AW20" s="33" t="n">
        <f aca="false">AW9*Uptake_Factoring*Credit_Mult*AW13*Avg_Factoring</f>
        <v>2937467377.77618</v>
      </c>
      <c r="AX20" s="33" t="n">
        <f aca="false">AX9*Uptake_Factoring*Credit_Mult*AX13*Avg_Factoring</f>
        <v>3071679535.16862</v>
      </c>
      <c r="AY20" s="33" t="n">
        <f aca="false">AY9*Uptake_Factoring*Credit_Mult*AY13*Avg_Factoring</f>
        <v>3204421464.86684</v>
      </c>
      <c r="AZ20" s="33" t="n">
        <f aca="false">AZ9*Uptake_Factoring*Credit_Mult*AZ13*Avg_Factoring</f>
        <v>3335761155.66632</v>
      </c>
      <c r="BA20" s="33" t="n">
        <f aca="false">BA9*Uptake_Factoring*Credit_Mult*BA13*Avg_Factoring</f>
        <v>3472807917.79133</v>
      </c>
      <c r="BB20" s="33" t="n">
        <f aca="false">BB9*Uptake_Factoring*Credit_Mult*BB13*Avg_Factoring</f>
        <v>3608476353.22724</v>
      </c>
      <c r="BC20" s="33" t="n">
        <f aca="false">BC9*Uptake_Factoring*Credit_Mult*BC13*Avg_Factoring</f>
        <v>3742840872.09966</v>
      </c>
      <c r="BD20" s="33" t="n">
        <f aca="false">BD9*Uptake_Factoring*Credit_Mult*BD13*Avg_Factoring</f>
        <v>3875977579.71627</v>
      </c>
      <c r="BE20" s="33" t="n">
        <f aca="false">BE9*Uptake_Factoring*Credit_Mult*BE13*Avg_Factoring</f>
        <v>4007964429.48388</v>
      </c>
      <c r="BF20" s="33" t="n">
        <f aca="false">BF9*Uptake_Factoring*Credit_Mult*BF13*Avg_Factoring</f>
        <v>4138881384.02527</v>
      </c>
      <c r="BG20" s="33" t="n">
        <f aca="false">BG9*Uptake_Factoring*Credit_Mult*BG13*Avg_Factoring</f>
        <v>4268810585.00636</v>
      </c>
      <c r="BH20" s="33" t="n">
        <f aca="false">BH9*Uptake_Factoring*Credit_Mult*BH13*Avg_Factoring</f>
        <v>4397836532.21517</v>
      </c>
      <c r="BI20" s="33" t="n">
        <f aca="false">BI9*Uptake_Factoring*Credit_Mult*BI13*Avg_Factoring</f>
        <v>4526046272.46574</v>
      </c>
      <c r="BJ20" s="33" t="n">
        <f aca="false">BJ9*Uptake_Factoring*Credit_Mult*BJ13*Avg_Factoring</f>
        <v>4653529598.93438</v>
      </c>
      <c r="BK20" s="33" t="n">
        <f aca="false">BK9*Uptake_Factoring*Credit_Mult*BK13*Avg_Factoring</f>
        <v>4779693538.52254</v>
      </c>
      <c r="BL20" s="33" t="n">
        <f aca="false">BL9*Uptake_Factoring*Credit_Mult*BL13*Avg_Factoring</f>
        <v>4903849914.22088</v>
      </c>
    </row>
    <row r="21" customFormat="false" ht="15" hidden="false" customHeight="false" outlineLevel="0" collapsed="false">
      <c r="A21" s="12" t="s">
        <v>618</v>
      </c>
      <c r="B21" s="14" t="s">
        <v>63</v>
      </c>
      <c r="D21" s="41" t="n">
        <f aca="false">BL21</f>
        <v>1103366230.6997</v>
      </c>
      <c r="E21" s="33" t="n">
        <f aca="false">E9*Uptake_Bridge*Credit_Mult*E14*Avg_Bridge</f>
        <v>0</v>
      </c>
      <c r="F21" s="33" t="n">
        <f aca="false">F9*Uptake_Bridge*Credit_Mult*F14*Avg_Bridge</f>
        <v>0</v>
      </c>
      <c r="G21" s="33" t="n">
        <f aca="false">G9*Uptake_Bridge*Credit_Mult*G14*Avg_Bridge</f>
        <v>0</v>
      </c>
      <c r="H21" s="33" t="n">
        <f aca="false">H9*Uptake_Bridge*Credit_Mult*H14*Avg_Bridge</f>
        <v>0</v>
      </c>
      <c r="I21" s="33" t="n">
        <f aca="false">I9*Uptake_Bridge*Credit_Mult*I14*Avg_Bridge</f>
        <v>0</v>
      </c>
      <c r="J21" s="33" t="n">
        <f aca="false">J9*Uptake_Bridge*Credit_Mult*J14*Avg_Bridge</f>
        <v>0</v>
      </c>
      <c r="K21" s="33" t="n">
        <f aca="false">K9*Uptake_Bridge*Credit_Mult*K14*Avg_Bridge</f>
        <v>0</v>
      </c>
      <c r="L21" s="33" t="n">
        <f aca="false">L9*Uptake_Bridge*Credit_Mult*L14*Avg_Bridge</f>
        <v>0</v>
      </c>
      <c r="M21" s="33" t="n">
        <f aca="false">M9*Uptake_Bridge*Credit_Mult*M14*Avg_Bridge</f>
        <v>0</v>
      </c>
      <c r="N21" s="33" t="n">
        <f aca="false">N9*Uptake_Bridge*Credit_Mult*N14*Avg_Bridge</f>
        <v>0</v>
      </c>
      <c r="O21" s="33" t="n">
        <f aca="false">O9*Uptake_Bridge*Credit_Mult*O14*Avg_Bridge</f>
        <v>0</v>
      </c>
      <c r="P21" s="33" t="n">
        <f aca="false">P9*Uptake_Bridge*Credit_Mult*P14*Avg_Bridge</f>
        <v>3552830.86798605</v>
      </c>
      <c r="Q21" s="33" t="n">
        <f aca="false">Q9*Uptake_Bridge*Credit_Mult*Q14*Avg_Bridge</f>
        <v>8351945.50814208</v>
      </c>
      <c r="R21" s="33" t="n">
        <f aca="false">R9*Uptake_Bridge*Credit_Mult*R14*Avg_Bridge</f>
        <v>14388222.2681513</v>
      </c>
      <c r="S21" s="33" t="n">
        <f aca="false">S9*Uptake_Bridge*Credit_Mult*S14*Avg_Bridge</f>
        <v>21654508.3630157</v>
      </c>
      <c r="T21" s="33" t="n">
        <f aca="false">T9*Uptake_Bridge*Credit_Mult*T14*Avg_Bridge</f>
        <v>30145707.2901439</v>
      </c>
      <c r="U21" s="33" t="n">
        <f aca="false">U9*Uptake_Bridge*Credit_Mult*U14*Avg_Bridge</f>
        <v>39858873.8864991</v>
      </c>
      <c r="V21" s="33" t="n">
        <f aca="false">V9*Uptake_Bridge*Credit_Mult*V14*Avg_Bridge</f>
        <v>50793317.5326322</v>
      </c>
      <c r="W21" s="33" t="n">
        <f aca="false">W9*Uptake_Bridge*Credit_Mult*W14*Avg_Bridge</f>
        <v>64358714.0437059</v>
      </c>
      <c r="X21" s="33" t="n">
        <f aca="false">X9*Uptake_Bridge*Credit_Mult*X14*Avg_Bridge</f>
        <v>84023890.8252757</v>
      </c>
      <c r="Y21" s="33" t="n">
        <f aca="false">Y9*Uptake_Bridge*Credit_Mult*Y14*Avg_Bridge</f>
        <v>106196294.711766</v>
      </c>
      <c r="Z21" s="33" t="n">
        <f aca="false">Z9*Uptake_Bridge*Credit_Mult*Z14*Avg_Bridge</f>
        <v>130864039.70761</v>
      </c>
      <c r="AA21" s="33" t="n">
        <f aca="false">AA9*Uptake_Bridge*Credit_Mult*AA14*Avg_Bridge</f>
        <v>158019499.561439</v>
      </c>
      <c r="AB21" s="33" t="n">
        <f aca="false">AB9*Uptake_Bridge*Credit_Mult*AB14*Avg_Bridge</f>
        <v>173224156.552638</v>
      </c>
      <c r="AC21" s="33" t="n">
        <f aca="false">AC9*Uptake_Bridge*Credit_Mult*AC14*Avg_Bridge</f>
        <v>191543610.065609</v>
      </c>
      <c r="AD21" s="33" t="n">
        <f aca="false">AD9*Uptake_Bridge*Credit_Mult*AD14*Avg_Bridge</f>
        <v>209783139.716935</v>
      </c>
      <c r="AE21" s="33" t="n">
        <f aca="false">AE9*Uptake_Bridge*Credit_Mult*AE14*Avg_Bridge</f>
        <v>227957541.816876</v>
      </c>
      <c r="AF21" s="33" t="n">
        <f aca="false">AF9*Uptake_Bridge*Credit_Mult*AF14*Avg_Bridge</f>
        <v>246082151.521937</v>
      </c>
      <c r="AG21" s="33" t="n">
        <f aca="false">AG9*Uptake_Bridge*Credit_Mult*AG14*Avg_Bridge</f>
        <v>264172881.660312</v>
      </c>
      <c r="AH21" s="33" t="n">
        <f aca="false">AH9*Uptake_Bridge*Credit_Mult*AH14*Avg_Bridge</f>
        <v>282246263.76262</v>
      </c>
      <c r="AI21" s="33" t="n">
        <f aca="false">AI9*Uptake_Bridge*Credit_Mult*AI14*Avg_Bridge</f>
        <v>300319491.43266</v>
      </c>
      <c r="AJ21" s="33" t="n">
        <f aca="false">AJ9*Uptake_Bridge*Credit_Mult*AJ14*Avg_Bridge</f>
        <v>324440466.200965</v>
      </c>
      <c r="AK21" s="33" t="n">
        <f aca="false">AK9*Uptake_Bridge*Credit_Mult*AK14*Avg_Bridge</f>
        <v>348498351.012448</v>
      </c>
      <c r="AL21" s="33" t="n">
        <f aca="false">AL9*Uptake_Bridge*Credit_Mult*AL14*Avg_Bridge</f>
        <v>372514375.283445</v>
      </c>
      <c r="AM21" s="33" t="n">
        <f aca="false">AM9*Uptake_Bridge*Credit_Mult*AM14*Avg_Bridge</f>
        <v>396510597.641484</v>
      </c>
      <c r="AN21" s="33" t="n">
        <f aca="false">AN9*Uptake_Bridge*Credit_Mult*AN14*Avg_Bridge</f>
        <v>420509963.940944</v>
      </c>
      <c r="AO21" s="33" t="n">
        <f aca="false">AO9*Uptake_Bridge*Credit_Mult*AO14*Avg_Bridge</f>
        <v>446108368.601731</v>
      </c>
      <c r="AP21" s="33" t="n">
        <f aca="false">AP9*Uptake_Bridge*Credit_Mult*AP14*Avg_Bridge</f>
        <v>471732781.473427</v>
      </c>
      <c r="AQ21" s="33" t="n">
        <f aca="false">AQ9*Uptake_Bridge*Credit_Mult*AQ14*Avg_Bridge</f>
        <v>497409652.249438</v>
      </c>
      <c r="AR21" s="33" t="n">
        <f aca="false">AR9*Uptake_Bridge*Credit_Mult*AR14*Avg_Bridge</f>
        <v>523166576.695492</v>
      </c>
      <c r="AS21" s="33" t="n">
        <f aca="false">AS9*Uptake_Bridge*Credit_Mult*AS14*Avg_Bridge</f>
        <v>548899846.792492</v>
      </c>
      <c r="AT21" s="33" t="n">
        <f aca="false">AT9*Uptake_Bridge*Credit_Mult*AT14*Avg_Bridge</f>
        <v>574334347.623506</v>
      </c>
      <c r="AU21" s="33" t="n">
        <f aca="false">AU9*Uptake_Bridge*Credit_Mult*AU14*Avg_Bridge</f>
        <v>599482416.281022</v>
      </c>
      <c r="AV21" s="33" t="n">
        <f aca="false">AV9*Uptake_Bridge*Credit_Mult*AV14*Avg_Bridge</f>
        <v>630386595.322149</v>
      </c>
      <c r="AW21" s="33" t="n">
        <f aca="false">AW9*Uptake_Bridge*Credit_Mult*AW14*Avg_Bridge</f>
        <v>660930159.99964</v>
      </c>
      <c r="AX21" s="33" t="n">
        <f aca="false">AX9*Uptake_Bridge*Credit_Mult*AX14*Avg_Bridge</f>
        <v>691127895.412939</v>
      </c>
      <c r="AY21" s="33" t="n">
        <f aca="false">AY9*Uptake_Bridge*Credit_Mult*AY14*Avg_Bridge</f>
        <v>720994829.59504</v>
      </c>
      <c r="AZ21" s="33" t="n">
        <f aca="false">AZ9*Uptake_Bridge*Credit_Mult*AZ14*Avg_Bridge</f>
        <v>750546260.024922</v>
      </c>
      <c r="BA21" s="33" t="n">
        <f aca="false">BA9*Uptake_Bridge*Credit_Mult*BA14*Avg_Bridge</f>
        <v>781381781.503049</v>
      </c>
      <c r="BB21" s="33" t="n">
        <f aca="false">BB9*Uptake_Bridge*Credit_Mult*BB14*Avg_Bridge</f>
        <v>811907179.476129</v>
      </c>
      <c r="BC21" s="33" t="n">
        <f aca="false">BC9*Uptake_Bridge*Credit_Mult*BC14*Avg_Bridge</f>
        <v>842139196.222424</v>
      </c>
      <c r="BD21" s="33" t="n">
        <f aca="false">BD9*Uptake_Bridge*Credit_Mult*BD14*Avg_Bridge</f>
        <v>872094955.43616</v>
      </c>
      <c r="BE21" s="33" t="n">
        <f aca="false">BE9*Uptake_Bridge*Credit_Mult*BE14*Avg_Bridge</f>
        <v>901791996.633874</v>
      </c>
      <c r="BF21" s="33" t="n">
        <f aca="false">BF9*Uptake_Bridge*Credit_Mult*BF14*Avg_Bridge</f>
        <v>931248311.405687</v>
      </c>
      <c r="BG21" s="33" t="n">
        <f aca="false">BG9*Uptake_Bridge*Credit_Mult*BG14*Avg_Bridge</f>
        <v>960482381.626431</v>
      </c>
      <c r="BH21" s="33" t="n">
        <f aca="false">BH9*Uptake_Bridge*Credit_Mult*BH14*Avg_Bridge</f>
        <v>989513219.748412</v>
      </c>
      <c r="BI21" s="33" t="n">
        <f aca="false">BI9*Uptake_Bridge*Credit_Mult*BI14*Avg_Bridge</f>
        <v>1018360411.30479</v>
      </c>
      <c r="BJ21" s="33" t="n">
        <f aca="false">BJ9*Uptake_Bridge*Credit_Mult*BJ14*Avg_Bridge</f>
        <v>1047044159.76024</v>
      </c>
      <c r="BK21" s="33" t="n">
        <f aca="false">BK9*Uptake_Bridge*Credit_Mult*BK14*Avg_Bridge</f>
        <v>1075431046.16757</v>
      </c>
      <c r="BL21" s="33" t="n">
        <f aca="false">BL9*Uptake_Bridge*Credit_Mult*BL14*Avg_Bridge</f>
        <v>1103366230.6997</v>
      </c>
    </row>
    <row r="22" customFormat="false" ht="15" hidden="false" customHeight="false" outlineLevel="0" collapsed="false">
      <c r="A22" s="12" t="s">
        <v>619</v>
      </c>
      <c r="B22" s="14" t="s">
        <v>63</v>
      </c>
      <c r="D22" s="41" t="n">
        <f aca="false">BL22</f>
        <v>1471154974.26626</v>
      </c>
      <c r="E22" s="33" t="n">
        <f aca="false">E9*Uptake_Line*Credit_Mult*E15*Avg_Line</f>
        <v>0</v>
      </c>
      <c r="F22" s="33" t="n">
        <f aca="false">F9*Uptake_Line*Credit_Mult*F15*Avg_Line</f>
        <v>0</v>
      </c>
      <c r="G22" s="33" t="n">
        <f aca="false">G9*Uptake_Line*Credit_Mult*G15*Avg_Line</f>
        <v>0</v>
      </c>
      <c r="H22" s="33" t="n">
        <f aca="false">H9*Uptake_Line*Credit_Mult*H15*Avg_Line</f>
        <v>0</v>
      </c>
      <c r="I22" s="33" t="n">
        <f aca="false">I9*Uptake_Line*Credit_Mult*I15*Avg_Line</f>
        <v>0</v>
      </c>
      <c r="J22" s="33" t="n">
        <f aca="false">J9*Uptake_Line*Credit_Mult*J15*Avg_Line</f>
        <v>0</v>
      </c>
      <c r="K22" s="33" t="n">
        <f aca="false">K9*Uptake_Line*Credit_Mult*K15*Avg_Line</f>
        <v>0</v>
      </c>
      <c r="L22" s="33" t="n">
        <f aca="false">L9*Uptake_Line*Credit_Mult*L15*Avg_Line</f>
        <v>0</v>
      </c>
      <c r="M22" s="33" t="n">
        <f aca="false">M9*Uptake_Line*Credit_Mult*M15*Avg_Line</f>
        <v>0</v>
      </c>
      <c r="N22" s="33" t="n">
        <f aca="false">N9*Uptake_Line*Credit_Mult*N15*Avg_Line</f>
        <v>0</v>
      </c>
      <c r="O22" s="33" t="n">
        <f aca="false">O9*Uptake_Line*Credit_Mult*O15*Avg_Line</f>
        <v>0</v>
      </c>
      <c r="P22" s="33" t="n">
        <f aca="false">P9*Uptake_Line*Credit_Mult*P15*Avg_Line</f>
        <v>0</v>
      </c>
      <c r="Q22" s="33" t="n">
        <f aca="false">Q9*Uptake_Line*Credit_Mult*Q15*Avg_Line</f>
        <v>0</v>
      </c>
      <c r="R22" s="33" t="n">
        <f aca="false">R9*Uptake_Line*Credit_Mult*R15*Avg_Line</f>
        <v>0</v>
      </c>
      <c r="S22" s="33" t="n">
        <f aca="false">S9*Uptake_Line*Credit_Mult*S15*Avg_Line</f>
        <v>7218169.45433858</v>
      </c>
      <c r="T22" s="33" t="n">
        <f aca="false">T9*Uptake_Line*Credit_Mult*T15*Avg_Line</f>
        <v>16077710.5547434</v>
      </c>
      <c r="U22" s="33" t="n">
        <f aca="false">U9*Uptake_Line*Credit_Mult*U15*Avg_Line</f>
        <v>26572582.5909994</v>
      </c>
      <c r="V22" s="33" t="n">
        <f aca="false">V9*Uptake_Line*Credit_Mult*V15*Avg_Line</f>
        <v>38699670.5010531</v>
      </c>
      <c r="W22" s="33" t="n">
        <f aca="false">W9*Uptake_Line*Credit_Mult*W15*Avg_Line</f>
        <v>53632261.7030883</v>
      </c>
      <c r="X22" s="33" t="n">
        <f aca="false">X9*Uptake_Line*Credit_Mult*X15*Avg_Line</f>
        <v>74687902.9558006</v>
      </c>
      <c r="Y22" s="33" t="n">
        <f aca="false">Y9*Uptake_Line*Credit_Mult*Y15*Avg_Line</f>
        <v>99116541.730982</v>
      </c>
      <c r="Z22" s="33" t="n">
        <f aca="false">Z9*Uptake_Line*Credit_Mult*Z15*Avg_Line</f>
        <v>126898462.746774</v>
      </c>
      <c r="AA22" s="33" t="n">
        <f aca="false">AA9*Uptake_Line*Credit_Mult*AA15*Avg_Line</f>
        <v>158019499.561439</v>
      </c>
      <c r="AB22" s="33" t="n">
        <f aca="false">AB9*Uptake_Line*Credit_Mult*AB15*Avg_Line</f>
        <v>192471285.058486</v>
      </c>
      <c r="AC22" s="33" t="n">
        <f aca="false">AC9*Uptake_Line*Credit_Mult*AC15*Avg_Line</f>
        <v>234108856.746856</v>
      </c>
      <c r="AD22" s="33" t="n">
        <f aca="false">AD9*Uptake_Line*Credit_Mult*AD15*Avg_Line</f>
        <v>279710852.955914</v>
      </c>
      <c r="AE22" s="33" t="n">
        <f aca="false">AE9*Uptake_Line*Credit_Mult*AE15*Avg_Line</f>
        <v>303943389.089168</v>
      </c>
      <c r="AF22" s="33" t="n">
        <f aca="false">AF9*Uptake_Line*Credit_Mult*AF15*Avg_Line</f>
        <v>328109535.362582</v>
      </c>
      <c r="AG22" s="33" t="n">
        <f aca="false">AG9*Uptake_Line*Credit_Mult*AG15*Avg_Line</f>
        <v>352230508.880416</v>
      </c>
      <c r="AH22" s="33" t="n">
        <f aca="false">AH9*Uptake_Line*Credit_Mult*AH15*Avg_Line</f>
        <v>376328351.683494</v>
      </c>
      <c r="AI22" s="33" t="n">
        <f aca="false">AI9*Uptake_Line*Credit_Mult*AI15*Avg_Line</f>
        <v>400425988.57688</v>
      </c>
      <c r="AJ22" s="33" t="n">
        <f aca="false">AJ9*Uptake_Line*Credit_Mult*AJ15*Avg_Line</f>
        <v>432587288.267954</v>
      </c>
      <c r="AK22" s="33" t="n">
        <f aca="false">AK9*Uptake_Line*Credit_Mult*AK15*Avg_Line</f>
        <v>464664468.016597</v>
      </c>
      <c r="AL22" s="33" t="n">
        <f aca="false">AL9*Uptake_Line*Credit_Mult*AL15*Avg_Line</f>
        <v>496685833.71126</v>
      </c>
      <c r="AM22" s="33" t="n">
        <f aca="false">AM9*Uptake_Line*Credit_Mult*AM15*Avg_Line</f>
        <v>528680796.855312</v>
      </c>
      <c r="AN22" s="33" t="n">
        <f aca="false">AN9*Uptake_Line*Credit_Mult*AN15*Avg_Line</f>
        <v>560679951.921258</v>
      </c>
      <c r="AO22" s="33" t="n">
        <f aca="false">AO9*Uptake_Line*Credit_Mult*AO15*Avg_Line</f>
        <v>594811158.135641</v>
      </c>
      <c r="AP22" s="33" t="n">
        <f aca="false">AP9*Uptake_Line*Credit_Mult*AP15*Avg_Line</f>
        <v>628977041.964569</v>
      </c>
      <c r="AQ22" s="33" t="n">
        <f aca="false">AQ9*Uptake_Line*Credit_Mult*AQ15*Avg_Line</f>
        <v>663212869.665918</v>
      </c>
      <c r="AR22" s="33" t="n">
        <f aca="false">AR9*Uptake_Line*Credit_Mult*AR15*Avg_Line</f>
        <v>697555435.593989</v>
      </c>
      <c r="AS22" s="33" t="n">
        <f aca="false">AS9*Uptake_Line*Credit_Mult*AS15*Avg_Line</f>
        <v>731866462.389989</v>
      </c>
      <c r="AT22" s="33" t="n">
        <f aca="false">AT9*Uptake_Line*Credit_Mult*AT15*Avg_Line</f>
        <v>765779130.164674</v>
      </c>
      <c r="AU22" s="33" t="n">
        <f aca="false">AU9*Uptake_Line*Credit_Mult*AU15*Avg_Line</f>
        <v>799309888.374696</v>
      </c>
      <c r="AV22" s="33" t="n">
        <f aca="false">AV9*Uptake_Line*Credit_Mult*AV15*Avg_Line</f>
        <v>840515460.429533</v>
      </c>
      <c r="AW22" s="33" t="n">
        <f aca="false">AW9*Uptake_Line*Credit_Mult*AW15*Avg_Line</f>
        <v>881240213.332854</v>
      </c>
      <c r="AX22" s="33" t="n">
        <f aca="false">AX9*Uptake_Line*Credit_Mult*AX15*Avg_Line</f>
        <v>921503860.550586</v>
      </c>
      <c r="AY22" s="33" t="n">
        <f aca="false">AY9*Uptake_Line*Credit_Mult*AY15*Avg_Line</f>
        <v>961326439.460053</v>
      </c>
      <c r="AZ22" s="33" t="n">
        <f aca="false">AZ9*Uptake_Line*Credit_Mult*AZ15*Avg_Line</f>
        <v>1000728346.6999</v>
      </c>
      <c r="BA22" s="33" t="n">
        <f aca="false">BA9*Uptake_Line*Credit_Mult*BA15*Avg_Line</f>
        <v>1041842375.3374</v>
      </c>
      <c r="BB22" s="33" t="n">
        <f aca="false">BB9*Uptake_Line*Credit_Mult*BB15*Avg_Line</f>
        <v>1082542905.96817</v>
      </c>
      <c r="BC22" s="33" t="n">
        <f aca="false">BC9*Uptake_Line*Credit_Mult*BC15*Avg_Line</f>
        <v>1122852261.6299</v>
      </c>
      <c r="BD22" s="33" t="n">
        <f aca="false">BD9*Uptake_Line*Credit_Mult*BD15*Avg_Line</f>
        <v>1162793273.91488</v>
      </c>
      <c r="BE22" s="33" t="n">
        <f aca="false">BE9*Uptake_Line*Credit_Mult*BE15*Avg_Line</f>
        <v>1202389328.84516</v>
      </c>
      <c r="BF22" s="33" t="n">
        <f aca="false">BF9*Uptake_Line*Credit_Mult*BF15*Avg_Line</f>
        <v>1241664415.20758</v>
      </c>
      <c r="BG22" s="33" t="n">
        <f aca="false">BG9*Uptake_Line*Credit_Mult*BG15*Avg_Line</f>
        <v>1280643175.50191</v>
      </c>
      <c r="BH22" s="33" t="n">
        <f aca="false">BH9*Uptake_Line*Credit_Mult*BH15*Avg_Line</f>
        <v>1319350959.66455</v>
      </c>
      <c r="BI22" s="33" t="n">
        <f aca="false">BI9*Uptake_Line*Credit_Mult*BI15*Avg_Line</f>
        <v>1357813881.73972</v>
      </c>
      <c r="BJ22" s="33" t="n">
        <f aca="false">BJ9*Uptake_Line*Credit_Mult*BJ15*Avg_Line</f>
        <v>1396058879.68031</v>
      </c>
      <c r="BK22" s="33" t="n">
        <f aca="false">BK9*Uptake_Line*Credit_Mult*BK15*Avg_Line</f>
        <v>1433908061.55676</v>
      </c>
      <c r="BL22" s="33" t="n">
        <f aca="false">BL9*Uptake_Line*Credit_Mult*BL15*Avg_Line</f>
        <v>1471154974.26626</v>
      </c>
    </row>
    <row r="23" customFormat="false" ht="15" hidden="false" customHeight="false" outlineLevel="0" collapsed="false">
      <c r="A23" s="12" t="s">
        <v>620</v>
      </c>
      <c r="B23" s="14" t="s">
        <v>63</v>
      </c>
      <c r="D23" s="41" t="n">
        <f aca="false">BL23</f>
        <v>2451924957.11044</v>
      </c>
      <c r="E23" s="33" t="n">
        <f aca="false">E9*Uptake_Term*Credit_Mult*E16*Avg_Term</f>
        <v>0</v>
      </c>
      <c r="F23" s="33" t="n">
        <f aca="false">F9*Uptake_Term*Credit_Mult*F16*Avg_Term</f>
        <v>0</v>
      </c>
      <c r="G23" s="33" t="n">
        <f aca="false">G9*Uptake_Term*Credit_Mult*G16*Avg_Term</f>
        <v>0</v>
      </c>
      <c r="H23" s="33" t="n">
        <f aca="false">H9*Uptake_Term*Credit_Mult*H16*Avg_Term</f>
        <v>0</v>
      </c>
      <c r="I23" s="33" t="n">
        <f aca="false">I9*Uptake_Term*Credit_Mult*I16*Avg_Term</f>
        <v>0</v>
      </c>
      <c r="J23" s="33" t="n">
        <f aca="false">J9*Uptake_Term*Credit_Mult*J16*Avg_Term</f>
        <v>0</v>
      </c>
      <c r="K23" s="33" t="n">
        <f aca="false">K9*Uptake_Term*Credit_Mult*K16*Avg_Term</f>
        <v>0</v>
      </c>
      <c r="L23" s="33" t="n">
        <f aca="false">L9*Uptake_Term*Credit_Mult*L16*Avg_Term</f>
        <v>0</v>
      </c>
      <c r="M23" s="33" t="n">
        <f aca="false">M9*Uptake_Term*Credit_Mult*M16*Avg_Term</f>
        <v>0</v>
      </c>
      <c r="N23" s="33" t="n">
        <f aca="false">N9*Uptake_Term*Credit_Mult*N16*Avg_Term</f>
        <v>0</v>
      </c>
      <c r="O23" s="33" t="n">
        <f aca="false">O9*Uptake_Term*Credit_Mult*O16*Avg_Term</f>
        <v>0</v>
      </c>
      <c r="P23" s="33" t="n">
        <f aca="false">P9*Uptake_Term*Credit_Mult*P16*Avg_Term</f>
        <v>0</v>
      </c>
      <c r="Q23" s="33" t="n">
        <f aca="false">Q9*Uptake_Term*Credit_Mult*Q16*Avg_Term</f>
        <v>0</v>
      </c>
      <c r="R23" s="33" t="n">
        <f aca="false">R9*Uptake_Term*Credit_Mult*R16*Avg_Term</f>
        <v>0</v>
      </c>
      <c r="S23" s="33" t="n">
        <f aca="false">S9*Uptake_Term*Credit_Mult*S16*Avg_Term</f>
        <v>0</v>
      </c>
      <c r="T23" s="33" t="n">
        <f aca="false">T9*Uptake_Term*Credit_Mult*T16*Avg_Term</f>
        <v>0</v>
      </c>
      <c r="U23" s="33" t="n">
        <f aca="false">U9*Uptake_Term*Credit_Mult*U16*Avg_Term</f>
        <v>0</v>
      </c>
      <c r="V23" s="33" t="n">
        <f aca="false">V9*Uptake_Term*Credit_Mult*V16*Avg_Term</f>
        <v>0</v>
      </c>
      <c r="W23" s="33" t="n">
        <f aca="false">W9*Uptake_Term*Credit_Mult*W16*Avg_Term</f>
        <v>0</v>
      </c>
      <c r="X23" s="33" t="n">
        <f aca="false">X9*Uptake_Term*Credit_Mult*X16*Avg_Term</f>
        <v>20746639.7099446</v>
      </c>
      <c r="Y23" s="33" t="n">
        <f aca="false">Y9*Uptake_Term*Credit_Mult*Y16*Avg_Term</f>
        <v>47198353.2052295</v>
      </c>
      <c r="Z23" s="33" t="n">
        <f aca="false">Z9*Uptake_Term*Credit_Mult*Z16*Avg_Term</f>
        <v>79311539.2167335</v>
      </c>
      <c r="AA23" s="33" t="n">
        <f aca="false">AA9*Uptake_Term*Credit_Mult*AA16*Avg_Term</f>
        <v>117051481.156621</v>
      </c>
      <c r="AB23" s="33" t="n">
        <f aca="false">AB9*Uptake_Term*Credit_Mult*AB16*Avg_Term</f>
        <v>160392737.548739</v>
      </c>
      <c r="AC23" s="33" t="n">
        <f aca="false">AC9*Uptake_Term*Credit_Mult*AC16*Avg_Term</f>
        <v>212826233.406232</v>
      </c>
      <c r="AD23" s="33" t="n">
        <f aca="false">AD9*Uptake_Term*Credit_Mult*AD16*Avg_Term</f>
        <v>271941107.040472</v>
      </c>
      <c r="AE23" s="33" t="n">
        <f aca="false">AE9*Uptake_Term*Credit_Mult*AE16*Avg_Term</f>
        <v>337714876.765742</v>
      </c>
      <c r="AF23" s="33" t="n">
        <f aca="false">AF9*Uptake_Term*Credit_Mult*AF16*Avg_Term</f>
        <v>410136919.203228</v>
      </c>
      <c r="AG23" s="33" t="n">
        <f aca="false">AG9*Uptake_Term*Credit_Mult*AG16*Avg_Term</f>
        <v>489209040.111689</v>
      </c>
      <c r="AH23" s="33" t="n">
        <f aca="false">AH9*Uptake_Term*Credit_Mult*AH16*Avg_Term</f>
        <v>574946092.849782</v>
      </c>
      <c r="AI23" s="33" t="n">
        <f aca="false">AI9*Uptake_Term*Credit_Mult*AI16*Avg_Term</f>
        <v>667376647.628133</v>
      </c>
      <c r="AJ23" s="33" t="n">
        <f aca="false">AJ9*Uptake_Term*Credit_Mult*AJ16*Avg_Term</f>
        <v>720978813.779923</v>
      </c>
      <c r="AK23" s="33" t="n">
        <f aca="false">AK9*Uptake_Term*Credit_Mult*AK16*Avg_Term</f>
        <v>774440780.027661</v>
      </c>
      <c r="AL23" s="33" t="n">
        <f aca="false">AL9*Uptake_Term*Credit_Mult*AL16*Avg_Term</f>
        <v>827809722.8521</v>
      </c>
      <c r="AM23" s="33" t="n">
        <f aca="false">AM9*Uptake_Term*Credit_Mult*AM16*Avg_Term</f>
        <v>881134661.42552</v>
      </c>
      <c r="AN23" s="33" t="n">
        <f aca="false">AN9*Uptake_Term*Credit_Mult*AN16*Avg_Term</f>
        <v>934466586.535431</v>
      </c>
      <c r="AO23" s="33" t="n">
        <f aca="false">AO9*Uptake_Term*Credit_Mult*AO16*Avg_Term</f>
        <v>991351930.226068</v>
      </c>
      <c r="AP23" s="33" t="n">
        <f aca="false">AP9*Uptake_Term*Credit_Mult*AP16*Avg_Term</f>
        <v>1048295069.94095</v>
      </c>
      <c r="AQ23" s="33" t="n">
        <f aca="false">AQ9*Uptake_Term*Credit_Mult*AQ16*Avg_Term</f>
        <v>1105354782.77653</v>
      </c>
      <c r="AR23" s="33" t="n">
        <f aca="false">AR9*Uptake_Term*Credit_Mult*AR16*Avg_Term</f>
        <v>1162592392.65665</v>
      </c>
      <c r="AS23" s="33" t="n">
        <f aca="false">AS9*Uptake_Term*Credit_Mult*AS16*Avg_Term</f>
        <v>1219777437.31665</v>
      </c>
      <c r="AT23" s="33" t="n">
        <f aca="false">AT9*Uptake_Term*Credit_Mult*AT16*Avg_Term</f>
        <v>1276298550.27446</v>
      </c>
      <c r="AU23" s="33" t="n">
        <f aca="false">AU9*Uptake_Term*Credit_Mult*AU16*Avg_Term</f>
        <v>1332183147.29116</v>
      </c>
      <c r="AV23" s="33" t="n">
        <f aca="false">AV9*Uptake_Term*Credit_Mult*AV16*Avg_Term</f>
        <v>1400859100.71589</v>
      </c>
      <c r="AW23" s="33" t="n">
        <f aca="false">AW9*Uptake_Term*Credit_Mult*AW16*Avg_Term</f>
        <v>1468733688.88809</v>
      </c>
      <c r="AX23" s="33" t="n">
        <f aca="false">AX9*Uptake_Term*Credit_Mult*AX16*Avg_Term</f>
        <v>1535839767.58431</v>
      </c>
      <c r="AY23" s="33" t="n">
        <f aca="false">AY9*Uptake_Term*Credit_Mult*AY16*Avg_Term</f>
        <v>1602210732.43342</v>
      </c>
      <c r="AZ23" s="33" t="n">
        <f aca="false">AZ9*Uptake_Term*Credit_Mult*AZ16*Avg_Term</f>
        <v>1667880577.83316</v>
      </c>
      <c r="BA23" s="33" t="n">
        <f aca="false">BA9*Uptake_Term*Credit_Mult*BA16*Avg_Term</f>
        <v>1736403958.89567</v>
      </c>
      <c r="BB23" s="33" t="n">
        <f aca="false">BB9*Uptake_Term*Credit_Mult*BB16*Avg_Term</f>
        <v>1804238176.61362</v>
      </c>
      <c r="BC23" s="33" t="n">
        <f aca="false">BC9*Uptake_Term*Credit_Mult*BC16*Avg_Term</f>
        <v>1871420436.04983</v>
      </c>
      <c r="BD23" s="33" t="n">
        <f aca="false">BD9*Uptake_Term*Credit_Mult*BD16*Avg_Term</f>
        <v>1937988789.85813</v>
      </c>
      <c r="BE23" s="33" t="n">
        <f aca="false">BE9*Uptake_Term*Credit_Mult*BE16*Avg_Term</f>
        <v>2003982214.74194</v>
      </c>
      <c r="BF23" s="33" t="n">
        <f aca="false">BF9*Uptake_Term*Credit_Mult*BF16*Avg_Term</f>
        <v>2069440692.01264</v>
      </c>
      <c r="BG23" s="33" t="n">
        <f aca="false">BG9*Uptake_Term*Credit_Mult*BG16*Avg_Term</f>
        <v>2134405292.50318</v>
      </c>
      <c r="BH23" s="33" t="n">
        <f aca="false">BH9*Uptake_Term*Credit_Mult*BH16*Avg_Term</f>
        <v>2198918266.10758</v>
      </c>
      <c r="BI23" s="33" t="n">
        <f aca="false">BI9*Uptake_Term*Credit_Mult*BI16*Avg_Term</f>
        <v>2263023136.23287</v>
      </c>
      <c r="BJ23" s="33" t="n">
        <f aca="false">BJ9*Uptake_Term*Credit_Mult*BJ16*Avg_Term</f>
        <v>2326764799.46719</v>
      </c>
      <c r="BK23" s="33" t="n">
        <f aca="false">BK9*Uptake_Term*Credit_Mult*BK16*Avg_Term</f>
        <v>2389846769.26127</v>
      </c>
      <c r="BL23" s="33" t="n">
        <f aca="false">BL9*Uptake_Term*Credit_Mult*BL16*Avg_Term</f>
        <v>2451924957.11044</v>
      </c>
    </row>
    <row r="24" customFormat="false" ht="15" hidden="false" customHeight="false" outlineLevel="0" collapsed="false">
      <c r="A24" s="12" t="s">
        <v>621</v>
      </c>
      <c r="B24" s="14" t="s">
        <v>63</v>
      </c>
      <c r="D24" s="41" t="n">
        <f aca="false">BL24</f>
        <v>303044450.546977</v>
      </c>
      <c r="E24" s="33" t="n">
        <f aca="false">E10*Usage_Advance*Credit_Mult*E17*Avg_Advance</f>
        <v>0</v>
      </c>
      <c r="F24" s="33" t="n">
        <f aca="false">F10*Usage_Advance*Credit_Mult*F17*Avg_Advance</f>
        <v>0</v>
      </c>
      <c r="G24" s="33" t="n">
        <f aca="false">G10*Usage_Advance*Credit_Mult*G17*Avg_Advance</f>
        <v>0</v>
      </c>
      <c r="H24" s="33" t="n">
        <f aca="false">H10*Usage_Advance*Credit_Mult*H17*Avg_Advance</f>
        <v>0</v>
      </c>
      <c r="I24" s="33" t="n">
        <f aca="false">I10*Usage_Advance*Credit_Mult*I17*Avg_Advance</f>
        <v>0</v>
      </c>
      <c r="J24" s="33" t="n">
        <f aca="false">J10*Usage_Advance*Credit_Mult*J17*Avg_Advance</f>
        <v>0</v>
      </c>
      <c r="K24" s="33" t="n">
        <f aca="false">K10*Usage_Advance*Credit_Mult*K17*Avg_Advance</f>
        <v>0</v>
      </c>
      <c r="L24" s="33" t="n">
        <f aca="false">L10*Usage_Advance*Credit_Mult*L17*Avg_Advance</f>
        <v>0</v>
      </c>
      <c r="M24" s="33" t="n">
        <f aca="false">M10*Usage_Advance*Credit_Mult*M17*Avg_Advance</f>
        <v>0</v>
      </c>
      <c r="N24" s="33" t="n">
        <f aca="false">N10*Usage_Advance*Credit_Mult*N17*Avg_Advance</f>
        <v>0</v>
      </c>
      <c r="O24" s="33" t="n">
        <f aca="false">O10*Usage_Advance*Credit_Mult*O17*Avg_Advance</f>
        <v>0</v>
      </c>
      <c r="P24" s="33" t="n">
        <f aca="false">P10*Usage_Advance*Credit_Mult*P17*Avg_Advance</f>
        <v>904006.589276784</v>
      </c>
      <c r="Q24" s="33" t="n">
        <f aca="false">Q10*Usage_Advance*Credit_Mult*Q17*Avg_Advance</f>
        <v>2129296.60848857</v>
      </c>
      <c r="R24" s="33" t="n">
        <f aca="false">R10*Usage_Advance*Credit_Mult*R17*Avg_Advance</f>
        <v>3676075.0619471</v>
      </c>
      <c r="S24" s="33" t="n">
        <f aca="false">S10*Usage_Advance*Credit_Mult*S17*Avg_Advance</f>
        <v>5544984.97248118</v>
      </c>
      <c r="T24" s="33" t="n">
        <f aca="false">T10*Usage_Advance*Credit_Mult*T17*Avg_Advance</f>
        <v>7737133.52638205</v>
      </c>
      <c r="U24" s="33" t="n">
        <f aca="false">U10*Usage_Advance*Credit_Mult*U17*Avg_Advance</f>
        <v>10254120.2180975</v>
      </c>
      <c r="V24" s="33" t="n">
        <f aca="false">V10*Usage_Advance*Credit_Mult*V17*Avg_Advance</f>
        <v>13098067.1324351</v>
      </c>
      <c r="W24" s="33" t="n">
        <f aca="false">W10*Usage_Advance*Credit_Mult*W17*Avg_Advance</f>
        <v>16623651.5115253</v>
      </c>
      <c r="X24" s="33" t="n">
        <f aca="false">X10*Usage_Advance*Credit_Mult*X17*Avg_Advance</f>
        <v>21702550.7639268</v>
      </c>
      <c r="Y24" s="33" t="n">
        <f aca="false">Y10*Usage_Advance*Credit_Mult*Y17*Avg_Advance</f>
        <v>27446662.1674009</v>
      </c>
      <c r="Z24" s="33" t="n">
        <f aca="false">Z10*Usage_Advance*Credit_Mult*Z17*Avg_Advance</f>
        <v>33857818.43878</v>
      </c>
      <c r="AA24" s="33" t="n">
        <f aca="false">AA10*Usage_Advance*Credit_Mult*AA17*Avg_Advance</f>
        <v>40938819.0385552</v>
      </c>
      <c r="AB24" s="33" t="n">
        <f aca="false">AB10*Usage_Advance*Credit_Mult*AB17*Avg_Advance</f>
        <v>44947834.9967058</v>
      </c>
      <c r="AC24" s="33" t="n">
        <f aca="false">AC10*Usage_Advance*Credit_Mult*AC17*Avg_Advance</f>
        <v>49754773.3462729</v>
      </c>
      <c r="AD24" s="33" t="n">
        <f aca="false">AD10*Usage_Advance*Credit_Mult*AD17*Avg_Advance</f>
        <v>54565153.1295755</v>
      </c>
      <c r="AE24" s="33" t="n">
        <f aca="false">AE10*Usage_Advance*Credit_Mult*AE17*Avg_Advance</f>
        <v>59382299.7862728</v>
      </c>
      <c r="AF24" s="33" t="n">
        <f aca="false">AF10*Usage_Advance*Credit_Mult*AF17*Avg_Advance</f>
        <v>64209698.8620958</v>
      </c>
      <c r="AG24" s="33" t="n">
        <f aca="false">AG10*Usage_Advance*Credit_Mult*AG17*Avg_Advance</f>
        <v>69051006.1863685</v>
      </c>
      <c r="AH24" s="33" t="n">
        <f aca="false">AH10*Usage_Advance*Credit_Mult*AH17*Avg_Advance</f>
        <v>73910058.6509499</v>
      </c>
      <c r="AI24" s="33" t="n">
        <f aca="false">AI10*Usage_Advance*Credit_Mult*AI17*Avg_Advance</f>
        <v>78790885.6268428</v>
      </c>
      <c r="AJ24" s="33" t="n">
        <f aca="false">AJ10*Usage_Advance*Credit_Mult*AJ17*Avg_Advance</f>
        <v>85205221.056888</v>
      </c>
      <c r="AK24" s="33" t="n">
        <f aca="false">AK10*Usage_Advance*Credit_Mult*AK17*Avg_Advance</f>
        <v>91633685.0152647</v>
      </c>
      <c r="AL24" s="33" t="n">
        <f aca="false">AL10*Usage_Advance*Credit_Mult*AL17*Avg_Advance</f>
        <v>98081163.9175813</v>
      </c>
      <c r="AM24" s="33" t="n">
        <f aca="false">AM10*Usage_Advance*Credit_Mult*AM17*Avg_Advance</f>
        <v>104552786.576798</v>
      </c>
      <c r="AN24" s="33" t="n">
        <f aca="false">AN10*Usage_Advance*Credit_Mult*AN17*Avg_Advance</f>
        <v>111053939.479585</v>
      </c>
      <c r="AO24" s="33" t="n">
        <f aca="false">AO10*Usage_Advance*Credit_Mult*AO17*Avg_Advance</f>
        <v>117983282.967459</v>
      </c>
      <c r="AP24" s="33" t="n">
        <f aca="false">AP10*Usage_Advance*Credit_Mult*AP17*Avg_Advance</f>
        <v>124949510.877206</v>
      </c>
      <c r="AQ24" s="33" t="n">
        <f aca="false">AQ10*Usage_Advance*Credit_Mult*AQ17*Avg_Advance</f>
        <v>131958936.91708</v>
      </c>
      <c r="AR24" s="33" t="n">
        <f aca="false">AR10*Usage_Advance*Credit_Mult*AR17*Avg_Advance</f>
        <v>139018202.42028</v>
      </c>
      <c r="AS24" s="33" t="n">
        <f aca="false">AS10*Usage_Advance*Credit_Mult*AS17*Avg_Advance</f>
        <v>146101165.036083</v>
      </c>
      <c r="AT24" s="33" t="n">
        <f aca="false">AT10*Usage_Advance*Credit_Mult*AT17*Avg_Advance</f>
        <v>153138686.457305</v>
      </c>
      <c r="AU24" s="33" t="n">
        <f aca="false">AU10*Usage_Advance*Credit_Mult*AU17*Avg_Advance</f>
        <v>160133105.933226</v>
      </c>
      <c r="AV24" s="33" t="n">
        <f aca="false">AV10*Usage_Advance*Credit_Mult*AV17*Avg_Advance</f>
        <v>168594340.174597</v>
      </c>
      <c r="AW24" s="33" t="n">
        <f aca="false">AW10*Usage_Advance*Credit_Mult*AW17*Avg_Advance</f>
        <v>177001057.647901</v>
      </c>
      <c r="AX24" s="33" t="n">
        <f aca="false">AX10*Usage_Advance*Credit_Mult*AX17*Avg_Advance</f>
        <v>185356051.078591</v>
      </c>
      <c r="AY24" s="33" t="n">
        <f aca="false">AY10*Usage_Advance*Credit_Mult*AY17*Avg_Advance</f>
        <v>193662205.332137</v>
      </c>
      <c r="AZ24" s="33" t="n">
        <f aca="false">AZ10*Usage_Advance*Credit_Mult*AZ17*Avg_Advance</f>
        <v>201922504.019512</v>
      </c>
      <c r="BA24" s="33" t="n">
        <f aca="false">BA10*Usage_Advance*Credit_Mult*BA17*Avg_Advance</f>
        <v>210536036.481788</v>
      </c>
      <c r="BB24" s="33" t="n">
        <f aca="false">BB10*Usage_Advance*Credit_Mult*BB17*Avg_Advance</f>
        <v>219105715.176899</v>
      </c>
      <c r="BC24" s="33" t="n">
        <f aca="false">BC10*Usage_Advance*Credit_Mult*BC17*Avg_Advance</f>
        <v>227634917.117979</v>
      </c>
      <c r="BD24" s="33" t="n">
        <f aca="false">BD10*Usage_Advance*Credit_Mult*BD17*Avg_Advance</f>
        <v>236127147.744866</v>
      </c>
      <c r="BE24" s="33" t="n">
        <f aca="false">BE10*Usage_Advance*Credit_Mult*BE17*Avg_Advance</f>
        <v>244586049.682145</v>
      </c>
      <c r="BF24" s="33" t="n">
        <f aca="false">BF10*Usage_Advance*Credit_Mult*BF17*Avg_Advance</f>
        <v>253015412.005946</v>
      </c>
      <c r="BG24" s="33" t="n">
        <f aca="false">BG10*Usage_Advance*Credit_Mult*BG17*Avg_Advance</f>
        <v>261419180.050312</v>
      </c>
      <c r="BH24" s="33" t="n">
        <f aca="false">BH10*Usage_Advance*Credit_Mult*BH17*Avg_Advance</f>
        <v>269801465.785784</v>
      </c>
      <c r="BI24" s="33" t="n">
        <f aca="false">BI10*Usage_Advance*Credit_Mult*BI17*Avg_Advance</f>
        <v>278166558.80483</v>
      </c>
      <c r="BJ24" s="33" t="n">
        <f aca="false">BJ10*Usage_Advance*Credit_Mult*BJ17*Avg_Advance</f>
        <v>286518937.950789</v>
      </c>
      <c r="BK24" s="33" t="n">
        <f aca="false">BK10*Usage_Advance*Credit_Mult*BK17*Avg_Advance</f>
        <v>294824711.707699</v>
      </c>
      <c r="BL24" s="33" t="n">
        <f aca="false">BL10*Usage_Advance*Credit_Mult*BL17*Avg_Advance</f>
        <v>303044450.546977</v>
      </c>
    </row>
    <row r="25" customFormat="false" ht="15" hidden="false" customHeight="false" outlineLevel="0" collapsed="false">
      <c r="A25" s="8" t="s">
        <v>623</v>
      </c>
      <c r="B25" s="14" t="s">
        <v>63</v>
      </c>
      <c r="D25" s="41" t="n">
        <f aca="false">BL25</f>
        <v>10233340526.8443</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20247196.8705342</v>
      </c>
      <c r="Q25" s="16" t="n">
        <f aca="false">SUM(Q20:Q24)</f>
        <v>47600999.9305954</v>
      </c>
      <c r="R25" s="16" t="n">
        <f aca="false">SUM(R20:R24)</f>
        <v>82011951.8552152</v>
      </c>
      <c r="S25" s="16" t="n">
        <f aca="false">SUM(S20:S24)</f>
        <v>130659922.181017</v>
      </c>
      <c r="T25" s="16" t="n">
        <f aca="false">SUM(T20:T24)</f>
        <v>187941472.660798</v>
      </c>
      <c r="U25" s="16" t="n">
        <f aca="false">SUM(U20:U24)</f>
        <v>253836127.302259</v>
      </c>
      <c r="V25" s="16" t="n">
        <f aca="false">SUM(V20:V24)</f>
        <v>328339133.08893</v>
      </c>
      <c r="W25" s="16" t="n">
        <f aca="false">SUM(W20:W24)</f>
        <v>420653356.341457</v>
      </c>
      <c r="X25" s="16" t="n">
        <f aca="false">SUM(X20:X24)</f>
        <v>574600499.033951</v>
      </c>
      <c r="Y25" s="16" t="n">
        <f aca="false">SUM(Y20:Y24)</f>
        <v>751941383.867674</v>
      </c>
      <c r="Z25" s="16" t="n">
        <f aca="false">SUM(Z20:Z24)</f>
        <v>952549814.365943</v>
      </c>
      <c r="AA25" s="16" t="n">
        <f aca="false">SUM(AA20:AA24)</f>
        <v>1176338186.25778</v>
      </c>
      <c r="AB25" s="16" t="n">
        <f aca="false">SUM(AB20:AB24)</f>
        <v>1340921154.39051</v>
      </c>
      <c r="AC25" s="16" t="n">
        <f aca="false">SUM(AC20:AC24)</f>
        <v>1539538407.1899</v>
      </c>
      <c r="AD25" s="16" t="n">
        <f aca="false">SUM(AD20:AD24)</f>
        <v>1748369762.69594</v>
      </c>
      <c r="AE25" s="16" t="n">
        <f aca="false">SUM(AE20:AE24)</f>
        <v>1942142737.75529</v>
      </c>
      <c r="AF25" s="16" t="n">
        <f aca="false">SUM(AF20:AF24)</f>
        <v>2142236756.15845</v>
      </c>
      <c r="AG25" s="16" t="n">
        <f aca="false">SUM(AG20:AG24)</f>
        <v>2348765133.10684</v>
      </c>
      <c r="AH25" s="16" t="n">
        <f aca="false">SUM(AH20:AH24)</f>
        <v>2561858605.89182</v>
      </c>
      <c r="AI25" s="16" t="n">
        <f aca="false">SUM(AI20:AI24)</f>
        <v>2781666308.52078</v>
      </c>
      <c r="AJ25" s="16" t="n">
        <f aca="false">SUM(AJ20:AJ24)</f>
        <v>3005169416.86558</v>
      </c>
      <c r="AK25" s="16" t="n">
        <f aca="false">SUM(AK20:AK24)</f>
        <v>3228118844.12729</v>
      </c>
      <c r="AL25" s="16" t="n">
        <f aca="false">SUM(AL20:AL24)</f>
        <v>3450710541.46859</v>
      </c>
      <c r="AM25" s="16" t="n">
        <f aca="false">SUM(AM20:AM24)</f>
        <v>3673148165.35016</v>
      </c>
      <c r="AN25" s="16" t="n">
        <f aca="false">SUM(AN20:AN24)</f>
        <v>3895643614.94808</v>
      </c>
      <c r="AO25" s="16" t="n">
        <f aca="false">SUM(AO20:AO24)</f>
        <v>4132958600.38304</v>
      </c>
      <c r="AP25" s="16" t="n">
        <f aca="false">SUM(AP20:AP24)</f>
        <v>4370544544.13805</v>
      </c>
      <c r="AQ25" s="16" t="n">
        <f aca="false">SUM(AQ20:AQ24)</f>
        <v>4608645807.16202</v>
      </c>
      <c r="AR25" s="16" t="n">
        <f aca="false">SUM(AR20:AR24)</f>
        <v>4847517392.67971</v>
      </c>
      <c r="AS25" s="16" t="n">
        <f aca="false">SUM(AS20:AS24)</f>
        <v>5086199786.16851</v>
      </c>
      <c r="AT25" s="16" t="n">
        <f aca="false">SUM(AT20:AT24)</f>
        <v>5322147815.06886</v>
      </c>
      <c r="AU25" s="16" t="n">
        <f aca="false">SUM(AU20:AU24)</f>
        <v>5555474852.46242</v>
      </c>
      <c r="AV25" s="16" t="n">
        <f aca="false">SUM(AV20:AV24)</f>
        <v>5842073698.07394</v>
      </c>
      <c r="AW25" s="16" t="n">
        <f aca="false">SUM(AW20:AW24)</f>
        <v>6125372497.64467</v>
      </c>
      <c r="AX25" s="16" t="n">
        <f aca="false">SUM(AX20:AX24)</f>
        <v>6405507109.79505</v>
      </c>
      <c r="AY25" s="16" t="n">
        <f aca="false">SUM(AY20:AY24)</f>
        <v>6682615671.6875</v>
      </c>
      <c r="AZ25" s="16" t="n">
        <f aca="false">SUM(AZ20:AZ24)</f>
        <v>6956838844.24381</v>
      </c>
      <c r="BA25" s="16" t="n">
        <f aca="false">SUM(BA20:BA24)</f>
        <v>7242972070.00923</v>
      </c>
      <c r="BB25" s="16" t="n">
        <f aca="false">SUM(BB20:BB24)</f>
        <v>7526270330.46206</v>
      </c>
      <c r="BC25" s="16" t="n">
        <f aca="false">SUM(BC20:BC24)</f>
        <v>7806887683.1198</v>
      </c>
      <c r="BD25" s="16" t="n">
        <f aca="false">SUM(BD20:BD24)</f>
        <v>8084981746.6703</v>
      </c>
      <c r="BE25" s="16" t="n">
        <f aca="false">SUM(BE20:BE24)</f>
        <v>8360714019.38701</v>
      </c>
      <c r="BF25" s="16" t="n">
        <f aca="false">SUM(BF20:BF24)</f>
        <v>8634250214.65713</v>
      </c>
      <c r="BG25" s="16" t="n">
        <f aca="false">SUM(BG20:BG24)</f>
        <v>8905760614.68819</v>
      </c>
      <c r="BH25" s="16" t="n">
        <f aca="false">SUM(BH20:BH24)</f>
        <v>9175420443.52149</v>
      </c>
      <c r="BI25" s="16" t="n">
        <f aca="false">SUM(BI20:BI24)</f>
        <v>9443410260.54795</v>
      </c>
      <c r="BJ25" s="16" t="n">
        <f aca="false">SUM(BJ20:BJ24)</f>
        <v>9709916375.79291</v>
      </c>
      <c r="BK25" s="16" t="n">
        <f aca="false">SUM(BK20:BK24)</f>
        <v>9973704127.21585</v>
      </c>
      <c r="BL25" s="16" t="n">
        <f aca="false">SUM(BL20:BL24)</f>
        <v>10233340526.8443</v>
      </c>
    </row>
    <row r="27" customFormat="false" ht="15" hidden="false" customHeight="false" outlineLevel="0" collapsed="false">
      <c r="A27" s="10" t="s">
        <v>624</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617</v>
      </c>
      <c r="B28" s="14" t="s">
        <v>63</v>
      </c>
      <c r="E28" s="33" t="n">
        <f aca="false">E20/2</f>
        <v>0</v>
      </c>
      <c r="F28" s="33" t="n">
        <f aca="false">(F20+E20)/2</f>
        <v>0</v>
      </c>
      <c r="G28" s="33" t="n">
        <f aca="false">(G20+F20)/2</f>
        <v>0</v>
      </c>
      <c r="H28" s="33" t="n">
        <f aca="false">(H20+G20)/2</f>
        <v>0</v>
      </c>
      <c r="I28" s="33" t="n">
        <f aca="false">(I20+H20)/2</f>
        <v>0</v>
      </c>
      <c r="J28" s="33" t="n">
        <f aca="false">(J20+I20)/2</f>
        <v>0</v>
      </c>
      <c r="K28" s="33" t="n">
        <f aca="false">(K20+J20)/2</f>
        <v>0</v>
      </c>
      <c r="L28" s="33" t="n">
        <f aca="false">(L20+K20)/2</f>
        <v>0</v>
      </c>
      <c r="M28" s="33" t="n">
        <f aca="false">(M20+L20)/2</f>
        <v>0</v>
      </c>
      <c r="N28" s="33" t="n">
        <f aca="false">(N20+M20)/2</f>
        <v>0</v>
      </c>
      <c r="O28" s="33" t="n">
        <f aca="false">(O20+N20)/2</f>
        <v>0</v>
      </c>
      <c r="P28" s="33" t="n">
        <f aca="false">(P20+O20)/2</f>
        <v>7895179.70663566</v>
      </c>
      <c r="Q28" s="33" t="n">
        <f aca="false">(Q20+P20)/2</f>
        <v>26455058.6136181</v>
      </c>
      <c r="R28" s="33" t="n">
        <f aca="false">(R20+Q20)/2</f>
        <v>50533706.1695408</v>
      </c>
      <c r="S28" s="33" t="n">
        <f aca="false">(S20+R20)/2</f>
        <v>80094956.9581489</v>
      </c>
      <c r="T28" s="33" t="n">
        <f aca="false">(T20+S20)/2</f>
        <v>115111590.340355</v>
      </c>
      <c r="U28" s="33" t="n">
        <f aca="false">(U20+T20)/2</f>
        <v>155565735.948096</v>
      </c>
      <c r="V28" s="33" t="n">
        <f aca="false">(V20+U20)/2</f>
        <v>201449314.264736</v>
      </c>
      <c r="W28" s="33" t="n">
        <f aca="false">(W20+V20)/2</f>
        <v>255893403.502974</v>
      </c>
      <c r="X28" s="33" t="n">
        <f aca="false">(X20+W20)/2</f>
        <v>329739121.93107</v>
      </c>
      <c r="Y28" s="33" t="n">
        <f aca="false">(Y20+X20)/2</f>
        <v>422711523.415649</v>
      </c>
      <c r="Z28" s="33" t="n">
        <f aca="false">(Z20+Y20)/2</f>
        <v>526800743.154171</v>
      </c>
      <c r="AA28" s="33" t="n">
        <f aca="false">(AA20+Z20)/2</f>
        <v>641963420.597887</v>
      </c>
      <c r="AB28" s="33" t="n">
        <f aca="false">(AB20+AA20)/2</f>
        <v>736097013.586837</v>
      </c>
      <c r="AC28" s="33" t="n">
        <f aca="false">(AC20+AB20)/2</f>
        <v>810595036.929438</v>
      </c>
      <c r="AD28" s="33" t="n">
        <f aca="false">(AD20+AC20)/2</f>
        <v>891837221.738988</v>
      </c>
      <c r="AE28" s="33" t="n">
        <f aca="false">(AE20+AD20)/2</f>
        <v>972757070.075137</v>
      </c>
      <c r="AF28" s="33" t="n">
        <f aca="false">(AF20+AE20)/2</f>
        <v>1053421540.75292</v>
      </c>
      <c r="AG28" s="33" t="n">
        <f aca="false">(AG20+AF20)/2</f>
        <v>1133900073.73833</v>
      </c>
      <c r="AH28" s="33" t="n">
        <f aca="false">(AH20+AG20)/2</f>
        <v>1214264767.60652</v>
      </c>
      <c r="AI28" s="33" t="n">
        <f aca="false">(AI20+AH20)/2</f>
        <v>1294590567.10062</v>
      </c>
      <c r="AJ28" s="33" t="n">
        <f aca="false">(AJ20+AI20)/2</f>
        <v>1388355461.40806</v>
      </c>
      <c r="AK28" s="33" t="n">
        <f aca="false">(AK20+AJ20)/2</f>
        <v>1495419593.80758</v>
      </c>
      <c r="AL28" s="33" t="n">
        <f aca="false">(AL20+AK20)/2</f>
        <v>1602250502.87976</v>
      </c>
      <c r="AM28" s="33" t="n">
        <f aca="false">(AM20+AL20)/2</f>
        <v>1708944384.27762</v>
      </c>
      <c r="AN28" s="33" t="n">
        <f aca="false">(AN20+AM20)/2</f>
        <v>1815601247.96095</v>
      </c>
      <c r="AO28" s="33" t="n">
        <f aca="false">(AO20+AN20)/2</f>
        <v>1925818516.7615</v>
      </c>
      <c r="AP28" s="33" t="n">
        <f aca="false">(AP20+AO20)/2</f>
        <v>2039647000.16702</v>
      </c>
      <c r="AQ28" s="33" t="n">
        <f aca="false">(AQ20+AP20)/2</f>
        <v>2153649852.71748</v>
      </c>
      <c r="AR28" s="33" t="n">
        <f aca="false">(AR20+AQ20)/2</f>
        <v>2267947175.43318</v>
      </c>
      <c r="AS28" s="33" t="n">
        <f aca="false">(AS20+AR20)/2</f>
        <v>2382369829.9733</v>
      </c>
      <c r="AT28" s="33" t="n">
        <f aca="false">(AT20+AS20)/2</f>
        <v>2496075987.59111</v>
      </c>
      <c r="AU28" s="33" t="n">
        <f aca="false">(AU20+AT20)/2</f>
        <v>2608481697.56562</v>
      </c>
      <c r="AV28" s="33" t="n">
        <f aca="false">(AV20+AU20)/2</f>
        <v>2733042248.00705</v>
      </c>
      <c r="AW28" s="33" t="n">
        <f aca="false">(AW20+AV20)/2</f>
        <v>2869592789.60398</v>
      </c>
      <c r="AX28" s="33" t="n">
        <f aca="false">(AX20+AW20)/2</f>
        <v>3004573456.4724</v>
      </c>
      <c r="AY28" s="33" t="n">
        <f aca="false">(AY20+AX20)/2</f>
        <v>3138050500.01773</v>
      </c>
      <c r="AZ28" s="33" t="n">
        <f aca="false">(AZ20+AY20)/2</f>
        <v>3270091310.26658</v>
      </c>
      <c r="BA28" s="33" t="n">
        <f aca="false">(BA20+AZ20)/2</f>
        <v>3404284536.72882</v>
      </c>
      <c r="BB28" s="33" t="n">
        <f aca="false">(BB20+BA20)/2</f>
        <v>3540642135.50928</v>
      </c>
      <c r="BC28" s="33" t="n">
        <f aca="false">(BC20+BB20)/2</f>
        <v>3675658612.66345</v>
      </c>
      <c r="BD28" s="33" t="n">
        <f aca="false">(BD20+BC20)/2</f>
        <v>3809409225.90796</v>
      </c>
      <c r="BE28" s="33" t="n">
        <f aca="false">(BE20+BD20)/2</f>
        <v>3941971004.60007</v>
      </c>
      <c r="BF28" s="33" t="n">
        <f aca="false">(BF20+BE20)/2</f>
        <v>4073422906.75458</v>
      </c>
      <c r="BG28" s="33" t="n">
        <f aca="false">(BG20+BF20)/2</f>
        <v>4203845984.51582</v>
      </c>
      <c r="BH28" s="33" t="n">
        <f aca="false">(BH20+BG20)/2</f>
        <v>4333323558.61076</v>
      </c>
      <c r="BI28" s="33" t="n">
        <f aca="false">(BI20+BH20)/2</f>
        <v>4461941402.34045</v>
      </c>
      <c r="BJ28" s="33" t="n">
        <f aca="false">(BJ20+BI20)/2</f>
        <v>4589787935.70006</v>
      </c>
      <c r="BK28" s="33" t="n">
        <f aca="false">(BK20+BJ20)/2</f>
        <v>4716611568.72846</v>
      </c>
      <c r="BL28" s="33" t="n">
        <f aca="false">(BL20+BK20)/2</f>
        <v>4841771726.37171</v>
      </c>
    </row>
    <row r="29" customFormat="false" ht="15" hidden="false" customHeight="false" outlineLevel="0" collapsed="false">
      <c r="A29" s="12" t="s">
        <v>618</v>
      </c>
      <c r="B29" s="14" t="s">
        <v>63</v>
      </c>
      <c r="E29" s="33" t="n">
        <f aca="false">E21/2</f>
        <v>0</v>
      </c>
      <c r="F29" s="33" t="n">
        <f aca="false">(F21+E21)/2</f>
        <v>0</v>
      </c>
      <c r="G29" s="33" t="n">
        <f aca="false">(G21+F21)/2</f>
        <v>0</v>
      </c>
      <c r="H29" s="33" t="n">
        <f aca="false">(H21+G21)/2</f>
        <v>0</v>
      </c>
      <c r="I29" s="33" t="n">
        <f aca="false">(I21+H21)/2</f>
        <v>0</v>
      </c>
      <c r="J29" s="33" t="n">
        <f aca="false">(J21+I21)/2</f>
        <v>0</v>
      </c>
      <c r="K29" s="33" t="n">
        <f aca="false">(K21+J21)/2</f>
        <v>0</v>
      </c>
      <c r="L29" s="33" t="n">
        <f aca="false">(L21+K21)/2</f>
        <v>0</v>
      </c>
      <c r="M29" s="33" t="n">
        <f aca="false">(M21+L21)/2</f>
        <v>0</v>
      </c>
      <c r="N29" s="33" t="n">
        <f aca="false">(N21+M21)/2</f>
        <v>0</v>
      </c>
      <c r="O29" s="33" t="n">
        <f aca="false">(O21+N21)/2</f>
        <v>0</v>
      </c>
      <c r="P29" s="33" t="n">
        <f aca="false">(P21+O21)/2</f>
        <v>1776415.43399302</v>
      </c>
      <c r="Q29" s="33" t="n">
        <f aca="false">(Q21+P21)/2</f>
        <v>5952388.18806406</v>
      </c>
      <c r="R29" s="33" t="n">
        <f aca="false">(R21+Q21)/2</f>
        <v>11370083.8881467</v>
      </c>
      <c r="S29" s="33" t="n">
        <f aca="false">(S21+R21)/2</f>
        <v>18021365.3155835</v>
      </c>
      <c r="T29" s="33" t="n">
        <f aca="false">(T21+S21)/2</f>
        <v>25900107.8265798</v>
      </c>
      <c r="U29" s="33" t="n">
        <f aca="false">(U21+T21)/2</f>
        <v>35002290.5883215</v>
      </c>
      <c r="V29" s="33" t="n">
        <f aca="false">(V21+U21)/2</f>
        <v>45326095.7095656</v>
      </c>
      <c r="W29" s="33" t="n">
        <f aca="false">(W21+V21)/2</f>
        <v>57576015.788169</v>
      </c>
      <c r="X29" s="33" t="n">
        <f aca="false">(X21+W21)/2</f>
        <v>74191302.4344908</v>
      </c>
      <c r="Y29" s="33" t="n">
        <f aca="false">(Y21+X21)/2</f>
        <v>95110092.7685211</v>
      </c>
      <c r="Z29" s="33" t="n">
        <f aca="false">(Z21+Y21)/2</f>
        <v>118530167.209688</v>
      </c>
      <c r="AA29" s="33" t="n">
        <f aca="false">(AA21+Z21)/2</f>
        <v>144441769.634524</v>
      </c>
      <c r="AB29" s="33" t="n">
        <f aca="false">(AB21+AA21)/2</f>
        <v>165621828.057038</v>
      </c>
      <c r="AC29" s="33" t="n">
        <f aca="false">(AC21+AB21)/2</f>
        <v>182383883.309123</v>
      </c>
      <c r="AD29" s="33" t="n">
        <f aca="false">(AD21+AC21)/2</f>
        <v>200663374.891272</v>
      </c>
      <c r="AE29" s="33" t="n">
        <f aca="false">(AE21+AD21)/2</f>
        <v>218870340.766906</v>
      </c>
      <c r="AF29" s="33" t="n">
        <f aca="false">(AF21+AE21)/2</f>
        <v>237019846.669406</v>
      </c>
      <c r="AG29" s="33" t="n">
        <f aca="false">(AG21+AF21)/2</f>
        <v>255127516.591124</v>
      </c>
      <c r="AH29" s="33" t="n">
        <f aca="false">(AH21+AG21)/2</f>
        <v>273209572.711466</v>
      </c>
      <c r="AI29" s="33" t="n">
        <f aca="false">(AI21+AH21)/2</f>
        <v>291282877.59764</v>
      </c>
      <c r="AJ29" s="33" t="n">
        <f aca="false">(AJ21+AI21)/2</f>
        <v>312379978.816812</v>
      </c>
      <c r="AK29" s="33" t="n">
        <f aca="false">(AK21+AJ21)/2</f>
        <v>336469408.606706</v>
      </c>
      <c r="AL29" s="33" t="n">
        <f aca="false">(AL21+AK21)/2</f>
        <v>360506363.147946</v>
      </c>
      <c r="AM29" s="33" t="n">
        <f aca="false">(AM21+AL21)/2</f>
        <v>384512486.462465</v>
      </c>
      <c r="AN29" s="33" t="n">
        <f aca="false">(AN21+AM21)/2</f>
        <v>408510280.791214</v>
      </c>
      <c r="AO29" s="33" t="n">
        <f aca="false">(AO21+AN21)/2</f>
        <v>433309166.271337</v>
      </c>
      <c r="AP29" s="33" t="n">
        <f aca="false">(AP21+AO21)/2</f>
        <v>458920575.037579</v>
      </c>
      <c r="AQ29" s="33" t="n">
        <f aca="false">(AQ21+AP21)/2</f>
        <v>484571216.861433</v>
      </c>
      <c r="AR29" s="33" t="n">
        <f aca="false">(AR21+AQ21)/2</f>
        <v>510288114.472465</v>
      </c>
      <c r="AS29" s="33" t="n">
        <f aca="false">(AS21+AR21)/2</f>
        <v>536033211.743992</v>
      </c>
      <c r="AT29" s="33" t="n">
        <f aca="false">(AT21+AS21)/2</f>
        <v>561617097.207999</v>
      </c>
      <c r="AU29" s="33" t="n">
        <f aca="false">(AU21+AT21)/2</f>
        <v>586908381.952264</v>
      </c>
      <c r="AV29" s="33" t="n">
        <f aca="false">(AV21+AU21)/2</f>
        <v>614934505.801586</v>
      </c>
      <c r="AW29" s="33" t="n">
        <f aca="false">(AW21+AV21)/2</f>
        <v>645658377.660895</v>
      </c>
      <c r="AX29" s="33" t="n">
        <f aca="false">(AX21+AW21)/2</f>
        <v>676029027.70629</v>
      </c>
      <c r="AY29" s="33" t="n">
        <f aca="false">(AY21+AX21)/2</f>
        <v>706061362.50399</v>
      </c>
      <c r="AZ29" s="33" t="n">
        <f aca="false">(AZ21+AY21)/2</f>
        <v>735770544.809981</v>
      </c>
      <c r="BA29" s="33" t="n">
        <f aca="false">(BA21+AZ21)/2</f>
        <v>765964020.763986</v>
      </c>
      <c r="BB29" s="33" t="n">
        <f aca="false">(BB21+BA21)/2</f>
        <v>796644480.489589</v>
      </c>
      <c r="BC29" s="33" t="n">
        <f aca="false">(BC21+BB21)/2</f>
        <v>827023187.849276</v>
      </c>
      <c r="BD29" s="33" t="n">
        <f aca="false">(BD21+BC21)/2</f>
        <v>857117075.829292</v>
      </c>
      <c r="BE29" s="33" t="n">
        <f aca="false">(BE21+BD21)/2</f>
        <v>886943476.035017</v>
      </c>
      <c r="BF29" s="33" t="n">
        <f aca="false">(BF21+BE21)/2</f>
        <v>916520154.01978</v>
      </c>
      <c r="BG29" s="33" t="n">
        <f aca="false">(BG21+BF21)/2</f>
        <v>945865346.516059</v>
      </c>
      <c r="BH29" s="33" t="n">
        <f aca="false">(BH21+BG21)/2</f>
        <v>974997800.687421</v>
      </c>
      <c r="BI29" s="33" t="n">
        <f aca="false">(BI21+BH21)/2</f>
        <v>1003936815.5266</v>
      </c>
      <c r="BJ29" s="33" t="n">
        <f aca="false">(BJ21+BI21)/2</f>
        <v>1032702285.53251</v>
      </c>
      <c r="BK29" s="33" t="n">
        <f aca="false">(BK21+BJ21)/2</f>
        <v>1061237602.9639</v>
      </c>
      <c r="BL29" s="33" t="n">
        <f aca="false">(BL21+BK21)/2</f>
        <v>1089398638.43363</v>
      </c>
    </row>
    <row r="30" customFormat="false" ht="15" hidden="false" customHeight="false" outlineLevel="0" collapsed="false">
      <c r="A30" s="12" t="s">
        <v>619</v>
      </c>
      <c r="B30" s="14" t="s">
        <v>63</v>
      </c>
      <c r="E30" s="33" t="n">
        <f aca="false">E22/2</f>
        <v>0</v>
      </c>
      <c r="F30" s="33" t="n">
        <f aca="false">(F22+E22)/2</f>
        <v>0</v>
      </c>
      <c r="G30" s="33" t="n">
        <f aca="false">(G22+F22)/2</f>
        <v>0</v>
      </c>
      <c r="H30" s="33" t="n">
        <f aca="false">(H22+G22)/2</f>
        <v>0</v>
      </c>
      <c r="I30" s="33" t="n">
        <f aca="false">(I22+H22)/2</f>
        <v>0</v>
      </c>
      <c r="J30" s="33" t="n">
        <f aca="false">(J22+I22)/2</f>
        <v>0</v>
      </c>
      <c r="K30" s="33" t="n">
        <f aca="false">(K22+J22)/2</f>
        <v>0</v>
      </c>
      <c r="L30" s="33" t="n">
        <f aca="false">(L22+K22)/2</f>
        <v>0</v>
      </c>
      <c r="M30" s="33" t="n">
        <f aca="false">(M22+L22)/2</f>
        <v>0</v>
      </c>
      <c r="N30" s="33" t="n">
        <f aca="false">(N22+M22)/2</f>
        <v>0</v>
      </c>
      <c r="O30" s="33" t="n">
        <f aca="false">(O22+N22)/2</f>
        <v>0</v>
      </c>
      <c r="P30" s="33" t="n">
        <f aca="false">(P22+O22)/2</f>
        <v>0</v>
      </c>
      <c r="Q30" s="33" t="n">
        <f aca="false">(Q22+P22)/2</f>
        <v>0</v>
      </c>
      <c r="R30" s="33" t="n">
        <f aca="false">(R22+Q22)/2</f>
        <v>0</v>
      </c>
      <c r="S30" s="33" t="n">
        <f aca="false">(S22+R22)/2</f>
        <v>3609084.72716929</v>
      </c>
      <c r="T30" s="33" t="n">
        <f aca="false">(T22+S22)/2</f>
        <v>11647940.004541</v>
      </c>
      <c r="U30" s="33" t="n">
        <f aca="false">(U22+T22)/2</f>
        <v>21325146.5728714</v>
      </c>
      <c r="V30" s="33" t="n">
        <f aca="false">(V22+U22)/2</f>
        <v>32636126.5460262</v>
      </c>
      <c r="W30" s="33" t="n">
        <f aca="false">(W22+V22)/2</f>
        <v>46165966.1020707</v>
      </c>
      <c r="X30" s="33" t="n">
        <f aca="false">(X22+W22)/2</f>
        <v>64160082.3294444</v>
      </c>
      <c r="Y30" s="33" t="n">
        <f aca="false">(Y22+X22)/2</f>
        <v>86902222.3433913</v>
      </c>
      <c r="Z30" s="33" t="n">
        <f aca="false">(Z22+Y22)/2</f>
        <v>113007502.238878</v>
      </c>
      <c r="AA30" s="33" t="n">
        <f aca="false">(AA22+Z22)/2</f>
        <v>142458981.154106</v>
      </c>
      <c r="AB30" s="33" t="n">
        <f aca="false">(AB22+AA22)/2</f>
        <v>175245392.309963</v>
      </c>
      <c r="AC30" s="33" t="n">
        <f aca="false">(AC22+AB22)/2</f>
        <v>213290070.902671</v>
      </c>
      <c r="AD30" s="33" t="n">
        <f aca="false">(AD22+AC22)/2</f>
        <v>256909854.851385</v>
      </c>
      <c r="AE30" s="33" t="n">
        <f aca="false">(AE22+AD22)/2</f>
        <v>291827121.022541</v>
      </c>
      <c r="AF30" s="33" t="n">
        <f aca="false">(AF22+AE22)/2</f>
        <v>316026462.225875</v>
      </c>
      <c r="AG30" s="33" t="n">
        <f aca="false">(AG22+AF22)/2</f>
        <v>340170022.121499</v>
      </c>
      <c r="AH30" s="33" t="n">
        <f aca="false">(AH22+AG22)/2</f>
        <v>364279430.281955</v>
      </c>
      <c r="AI30" s="33" t="n">
        <f aca="false">(AI22+AH22)/2</f>
        <v>388377170.130187</v>
      </c>
      <c r="AJ30" s="33" t="n">
        <f aca="false">(AJ22+AI22)/2</f>
        <v>416506638.422417</v>
      </c>
      <c r="AK30" s="33" t="n">
        <f aca="false">(AK22+AJ22)/2</f>
        <v>448625878.142275</v>
      </c>
      <c r="AL30" s="33" t="n">
        <f aca="false">(AL22+AK22)/2</f>
        <v>480675150.863928</v>
      </c>
      <c r="AM30" s="33" t="n">
        <f aca="false">(AM22+AL22)/2</f>
        <v>512683315.283286</v>
      </c>
      <c r="AN30" s="33" t="n">
        <f aca="false">(AN22+AM22)/2</f>
        <v>544680374.388285</v>
      </c>
      <c r="AO30" s="33" t="n">
        <f aca="false">(AO22+AN22)/2</f>
        <v>577745555.02845</v>
      </c>
      <c r="AP30" s="33" t="n">
        <f aca="false">(AP22+AO22)/2</f>
        <v>611894100.050105</v>
      </c>
      <c r="AQ30" s="33" t="n">
        <f aca="false">(AQ22+AP22)/2</f>
        <v>646094955.815243</v>
      </c>
      <c r="AR30" s="33" t="n">
        <f aca="false">(AR22+AQ22)/2</f>
        <v>680384152.629953</v>
      </c>
      <c r="AS30" s="33" t="n">
        <f aca="false">(AS22+AR22)/2</f>
        <v>714710948.991989</v>
      </c>
      <c r="AT30" s="33" t="n">
        <f aca="false">(AT22+AS22)/2</f>
        <v>748822796.277332</v>
      </c>
      <c r="AU30" s="33" t="n">
        <f aca="false">(AU22+AT22)/2</f>
        <v>782544509.269685</v>
      </c>
      <c r="AV30" s="33" t="n">
        <f aca="false">(AV22+AU22)/2</f>
        <v>819912674.402114</v>
      </c>
      <c r="AW30" s="33" t="n">
        <f aca="false">(AW22+AV22)/2</f>
        <v>860877836.881193</v>
      </c>
      <c r="AX30" s="33" t="n">
        <f aca="false">(AX22+AW22)/2</f>
        <v>901372036.94172</v>
      </c>
      <c r="AY30" s="33" t="n">
        <f aca="false">(AY22+AX22)/2</f>
        <v>941415150.00532</v>
      </c>
      <c r="AZ30" s="33" t="n">
        <f aca="false">(AZ22+AY22)/2</f>
        <v>981027393.079975</v>
      </c>
      <c r="BA30" s="33" t="n">
        <f aca="false">(BA22+AZ22)/2</f>
        <v>1021285361.01865</v>
      </c>
      <c r="BB30" s="33" t="n">
        <f aca="false">(BB22+BA22)/2</f>
        <v>1062192640.65279</v>
      </c>
      <c r="BC30" s="33" t="n">
        <f aca="false">(BC22+BB22)/2</f>
        <v>1102697583.79904</v>
      </c>
      <c r="BD30" s="33" t="n">
        <f aca="false">(BD22+BC22)/2</f>
        <v>1142822767.77239</v>
      </c>
      <c r="BE30" s="33" t="n">
        <f aca="false">(BE22+BD22)/2</f>
        <v>1182591301.38002</v>
      </c>
      <c r="BF30" s="33" t="n">
        <f aca="false">(BF22+BE22)/2</f>
        <v>1222026872.02637</v>
      </c>
      <c r="BG30" s="33" t="n">
        <f aca="false">(BG22+BF22)/2</f>
        <v>1261153795.35475</v>
      </c>
      <c r="BH30" s="33" t="n">
        <f aca="false">(BH22+BG22)/2</f>
        <v>1299997067.58323</v>
      </c>
      <c r="BI30" s="33" t="n">
        <f aca="false">(BI22+BH22)/2</f>
        <v>1338582420.70214</v>
      </c>
      <c r="BJ30" s="33" t="n">
        <f aca="false">(BJ22+BI22)/2</f>
        <v>1376936380.71002</v>
      </c>
      <c r="BK30" s="33" t="n">
        <f aca="false">(BK22+BJ22)/2</f>
        <v>1414983470.61854</v>
      </c>
      <c r="BL30" s="33" t="n">
        <f aca="false">(BL22+BK22)/2</f>
        <v>1452531517.91151</v>
      </c>
    </row>
    <row r="31" customFormat="false" ht="15" hidden="false" customHeight="false" outlineLevel="0" collapsed="false">
      <c r="A31" s="12" t="s">
        <v>620</v>
      </c>
      <c r="B31" s="14" t="s">
        <v>63</v>
      </c>
      <c r="E31" s="33" t="n">
        <f aca="false">E23/2</f>
        <v>0</v>
      </c>
      <c r="F31" s="33" t="n">
        <f aca="false">(F23+E23)/2</f>
        <v>0</v>
      </c>
      <c r="G31" s="33" t="n">
        <f aca="false">(G23+F23)/2</f>
        <v>0</v>
      </c>
      <c r="H31" s="33" t="n">
        <f aca="false">(H23+G23)/2</f>
        <v>0</v>
      </c>
      <c r="I31" s="33" t="n">
        <f aca="false">(I23+H23)/2</f>
        <v>0</v>
      </c>
      <c r="J31" s="33" t="n">
        <f aca="false">(J23+I23)/2</f>
        <v>0</v>
      </c>
      <c r="K31" s="33" t="n">
        <f aca="false">(K23+J23)/2</f>
        <v>0</v>
      </c>
      <c r="L31" s="33" t="n">
        <f aca="false">(L23+K23)/2</f>
        <v>0</v>
      </c>
      <c r="M31" s="33" t="n">
        <f aca="false">(M23+L23)/2</f>
        <v>0</v>
      </c>
      <c r="N31" s="33" t="n">
        <f aca="false">(N23+M23)/2</f>
        <v>0</v>
      </c>
      <c r="O31" s="33" t="n">
        <f aca="false">(O23+N23)/2</f>
        <v>0</v>
      </c>
      <c r="P31" s="33" t="n">
        <f aca="false">(P23+O23)/2</f>
        <v>0</v>
      </c>
      <c r="Q31" s="33" t="n">
        <f aca="false">(Q23+P23)/2</f>
        <v>0</v>
      </c>
      <c r="R31" s="33" t="n">
        <f aca="false">(R23+Q23)/2</f>
        <v>0</v>
      </c>
      <c r="S31" s="33" t="n">
        <f aca="false">(S23+R23)/2</f>
        <v>0</v>
      </c>
      <c r="T31" s="33" t="n">
        <f aca="false">(T23+S23)/2</f>
        <v>0</v>
      </c>
      <c r="U31" s="33" t="n">
        <f aca="false">(U23+T23)/2</f>
        <v>0</v>
      </c>
      <c r="V31" s="33" t="n">
        <f aca="false">(V23+U23)/2</f>
        <v>0</v>
      </c>
      <c r="W31" s="33" t="n">
        <f aca="false">(W23+V23)/2</f>
        <v>0</v>
      </c>
      <c r="X31" s="33" t="n">
        <f aca="false">(X23+W23)/2</f>
        <v>10373319.8549723</v>
      </c>
      <c r="Y31" s="33" t="n">
        <f aca="false">(Y23+X23)/2</f>
        <v>33972496.4575871</v>
      </c>
      <c r="Z31" s="33" t="n">
        <f aca="false">(Z23+Y23)/2</f>
        <v>63254946.2109815</v>
      </c>
      <c r="AA31" s="33" t="n">
        <f aca="false">(AA23+Z23)/2</f>
        <v>98181510.1866774</v>
      </c>
      <c r="AB31" s="33" t="n">
        <f aca="false">(AB23+AA23)/2</f>
        <v>138722109.35268</v>
      </c>
      <c r="AC31" s="33" t="n">
        <f aca="false">(AC23+AB23)/2</f>
        <v>186609485.477486</v>
      </c>
      <c r="AD31" s="33" t="n">
        <f aca="false">(AD23+AC23)/2</f>
        <v>242383670.223352</v>
      </c>
      <c r="AE31" s="33" t="n">
        <f aca="false">(AE23+AD23)/2</f>
        <v>304827991.903107</v>
      </c>
      <c r="AF31" s="33" t="n">
        <f aca="false">(AF23+AE23)/2</f>
        <v>373925897.984485</v>
      </c>
      <c r="AG31" s="33" t="n">
        <f aca="false">(AG23+AF23)/2</f>
        <v>449672979.657458</v>
      </c>
      <c r="AH31" s="33" t="n">
        <f aca="false">(AH23+AG23)/2</f>
        <v>532077566.480735</v>
      </c>
      <c r="AI31" s="33" t="n">
        <f aca="false">(AI23+AH23)/2</f>
        <v>621161370.238957</v>
      </c>
      <c r="AJ31" s="33" t="n">
        <f aca="false">(AJ23+AI23)/2</f>
        <v>694177730.704028</v>
      </c>
      <c r="AK31" s="33" t="n">
        <f aca="false">(AK23+AJ23)/2</f>
        <v>747709796.903792</v>
      </c>
      <c r="AL31" s="33" t="n">
        <f aca="false">(AL23+AK23)/2</f>
        <v>801125251.439881</v>
      </c>
      <c r="AM31" s="33" t="n">
        <f aca="false">(AM23+AL23)/2</f>
        <v>854472192.13881</v>
      </c>
      <c r="AN31" s="33" t="n">
        <f aca="false">(AN23+AM23)/2</f>
        <v>907800623.980475</v>
      </c>
      <c r="AO31" s="33" t="n">
        <f aca="false">(AO23+AN23)/2</f>
        <v>962909258.38075</v>
      </c>
      <c r="AP31" s="33" t="n">
        <f aca="false">(AP23+AO23)/2</f>
        <v>1019823500.08351</v>
      </c>
      <c r="AQ31" s="33" t="n">
        <f aca="false">(AQ23+AP23)/2</f>
        <v>1076824926.35874</v>
      </c>
      <c r="AR31" s="33" t="n">
        <f aca="false">(AR23+AQ23)/2</f>
        <v>1133973587.71659</v>
      </c>
      <c r="AS31" s="33" t="n">
        <f aca="false">(AS23+AR23)/2</f>
        <v>1191184914.98665</v>
      </c>
      <c r="AT31" s="33" t="n">
        <f aca="false">(AT23+AS23)/2</f>
        <v>1248037993.79555</v>
      </c>
      <c r="AU31" s="33" t="n">
        <f aca="false">(AU23+AT23)/2</f>
        <v>1304240848.78281</v>
      </c>
      <c r="AV31" s="33" t="n">
        <f aca="false">(AV23+AU23)/2</f>
        <v>1366521124.00352</v>
      </c>
      <c r="AW31" s="33" t="n">
        <f aca="false">(AW23+AV23)/2</f>
        <v>1434796394.80199</v>
      </c>
      <c r="AX31" s="33" t="n">
        <f aca="false">(AX23+AW23)/2</f>
        <v>1502286728.2362</v>
      </c>
      <c r="AY31" s="33" t="n">
        <f aca="false">(AY23+AX23)/2</f>
        <v>1569025250.00887</v>
      </c>
      <c r="AZ31" s="33" t="n">
        <f aca="false">(AZ23+AY23)/2</f>
        <v>1635045655.13329</v>
      </c>
      <c r="BA31" s="33" t="n">
        <f aca="false">(BA23+AZ23)/2</f>
        <v>1702142268.36441</v>
      </c>
      <c r="BB31" s="33" t="n">
        <f aca="false">(BB23+BA23)/2</f>
        <v>1770321067.75464</v>
      </c>
      <c r="BC31" s="33" t="n">
        <f aca="false">(BC23+BB23)/2</f>
        <v>1837829306.33173</v>
      </c>
      <c r="BD31" s="33" t="n">
        <f aca="false">(BD23+BC23)/2</f>
        <v>1904704612.95398</v>
      </c>
      <c r="BE31" s="33" t="n">
        <f aca="false">(BE23+BD23)/2</f>
        <v>1970985502.30004</v>
      </c>
      <c r="BF31" s="33" t="n">
        <f aca="false">(BF23+BE23)/2</f>
        <v>2036711453.37729</v>
      </c>
      <c r="BG31" s="33" t="n">
        <f aca="false">(BG23+BF23)/2</f>
        <v>2101922992.25791</v>
      </c>
      <c r="BH31" s="33" t="n">
        <f aca="false">(BH23+BG23)/2</f>
        <v>2166661779.30538</v>
      </c>
      <c r="BI31" s="33" t="n">
        <f aca="false">(BI23+BH23)/2</f>
        <v>2230970701.17023</v>
      </c>
      <c r="BJ31" s="33" t="n">
        <f aca="false">(BJ23+BI23)/2</f>
        <v>2294893967.85003</v>
      </c>
      <c r="BK31" s="33" t="n">
        <f aca="false">(BK23+BJ23)/2</f>
        <v>2358305784.36423</v>
      </c>
      <c r="BL31" s="33" t="n">
        <f aca="false">(BL23+BK23)/2</f>
        <v>2420885863.18586</v>
      </c>
    </row>
    <row r="32" customFormat="false" ht="15" hidden="false" customHeight="false" outlineLevel="0" collapsed="false">
      <c r="A32" s="12" t="s">
        <v>621</v>
      </c>
      <c r="B32" s="14" t="s">
        <v>63</v>
      </c>
      <c r="E32" s="33" t="n">
        <f aca="false">E24/2</f>
        <v>0</v>
      </c>
      <c r="F32" s="33" t="n">
        <f aca="false">(F24+E24)/2</f>
        <v>0</v>
      </c>
      <c r="G32" s="33" t="n">
        <f aca="false">(G24+F24)/2</f>
        <v>0</v>
      </c>
      <c r="H32" s="33" t="n">
        <f aca="false">(H24+G24)/2</f>
        <v>0</v>
      </c>
      <c r="I32" s="33" t="n">
        <f aca="false">(I24+H24)/2</f>
        <v>0</v>
      </c>
      <c r="J32" s="33" t="n">
        <f aca="false">(J24+I24)/2</f>
        <v>0</v>
      </c>
      <c r="K32" s="33" t="n">
        <f aca="false">(K24+J24)/2</f>
        <v>0</v>
      </c>
      <c r="L32" s="33" t="n">
        <f aca="false">(L24+K24)/2</f>
        <v>0</v>
      </c>
      <c r="M32" s="33" t="n">
        <f aca="false">(M24+L24)/2</f>
        <v>0</v>
      </c>
      <c r="N32" s="33" t="n">
        <f aca="false">(N24+M24)/2</f>
        <v>0</v>
      </c>
      <c r="O32" s="33" t="n">
        <f aca="false">(O24+N24)/2</f>
        <v>0</v>
      </c>
      <c r="P32" s="33" t="n">
        <f aca="false">(P24+O24)/2</f>
        <v>452003.294638392</v>
      </c>
      <c r="Q32" s="33" t="n">
        <f aca="false">(Q24+P24)/2</f>
        <v>1516651.59888268</v>
      </c>
      <c r="R32" s="33" t="n">
        <f aca="false">(R24+Q24)/2</f>
        <v>2902685.83521783</v>
      </c>
      <c r="S32" s="33" t="n">
        <f aca="false">(S24+R24)/2</f>
        <v>4610530.01721414</v>
      </c>
      <c r="T32" s="33" t="n">
        <f aca="false">(T24+S24)/2</f>
        <v>6641059.24943161</v>
      </c>
      <c r="U32" s="33" t="n">
        <f aca="false">(U24+T24)/2</f>
        <v>8995626.87223978</v>
      </c>
      <c r="V32" s="33" t="n">
        <f aca="false">(V24+U24)/2</f>
        <v>11676093.6752663</v>
      </c>
      <c r="W32" s="33" t="n">
        <f aca="false">(W24+V24)/2</f>
        <v>14860859.3219802</v>
      </c>
      <c r="X32" s="33" t="n">
        <f aca="false">(X24+W24)/2</f>
        <v>19163101.137726</v>
      </c>
      <c r="Y32" s="33" t="n">
        <f aca="false">(Y24+X24)/2</f>
        <v>24574606.4656638</v>
      </c>
      <c r="Z32" s="33" t="n">
        <f aca="false">(Z24+Y24)/2</f>
        <v>30652240.3030904</v>
      </c>
      <c r="AA32" s="33" t="n">
        <f aca="false">(AA24+Z24)/2</f>
        <v>37398318.7386676</v>
      </c>
      <c r="AB32" s="33" t="n">
        <f aca="false">(AB24+AA24)/2</f>
        <v>42943327.0176305</v>
      </c>
      <c r="AC32" s="33" t="n">
        <f aca="false">(AC24+AB24)/2</f>
        <v>47351304.1714893</v>
      </c>
      <c r="AD32" s="33" t="n">
        <f aca="false">(AD24+AC24)/2</f>
        <v>52159963.2379242</v>
      </c>
      <c r="AE32" s="33" t="n">
        <f aca="false">(AE24+AD24)/2</f>
        <v>56973726.4579241</v>
      </c>
      <c r="AF32" s="33" t="n">
        <f aca="false">(AF24+AE24)/2</f>
        <v>61795999.3241843</v>
      </c>
      <c r="AG32" s="33" t="n">
        <f aca="false">(AG24+AF24)/2</f>
        <v>66630352.5242321</v>
      </c>
      <c r="AH32" s="33" t="n">
        <f aca="false">(AH24+AG24)/2</f>
        <v>71480532.4186592</v>
      </c>
      <c r="AI32" s="33" t="n">
        <f aca="false">(AI24+AH24)/2</f>
        <v>76350472.1388964</v>
      </c>
      <c r="AJ32" s="33" t="n">
        <f aca="false">(AJ24+AI24)/2</f>
        <v>81998053.3418654</v>
      </c>
      <c r="AK32" s="33" t="n">
        <f aca="false">(AK24+AJ24)/2</f>
        <v>88419453.0360763</v>
      </c>
      <c r="AL32" s="33" t="n">
        <f aca="false">(AL24+AK24)/2</f>
        <v>94857424.466423</v>
      </c>
      <c r="AM32" s="33" t="n">
        <f aca="false">(AM24+AL24)/2</f>
        <v>101316975.24719</v>
      </c>
      <c r="AN32" s="33" t="n">
        <f aca="false">(AN24+AM24)/2</f>
        <v>107803363.028192</v>
      </c>
      <c r="AO32" s="33" t="n">
        <f aca="false">(AO24+AN24)/2</f>
        <v>114518611.223522</v>
      </c>
      <c r="AP32" s="33" t="n">
        <f aca="false">(AP24+AO24)/2</f>
        <v>121466396.922332</v>
      </c>
      <c r="AQ32" s="33" t="n">
        <f aca="false">(AQ24+AP24)/2</f>
        <v>128454223.897143</v>
      </c>
      <c r="AR32" s="33" t="n">
        <f aca="false">(AR24+AQ24)/2</f>
        <v>135488569.66868</v>
      </c>
      <c r="AS32" s="33" t="n">
        <f aca="false">(AS24+AR24)/2</f>
        <v>142559683.728182</v>
      </c>
      <c r="AT32" s="33" t="n">
        <f aca="false">(AT24+AS24)/2</f>
        <v>149619925.746694</v>
      </c>
      <c r="AU32" s="33" t="n">
        <f aca="false">(AU24+AT24)/2</f>
        <v>156635896.195265</v>
      </c>
      <c r="AV32" s="33" t="n">
        <f aca="false">(AV24+AU24)/2</f>
        <v>164363723.053911</v>
      </c>
      <c r="AW32" s="33" t="n">
        <f aca="false">(AW24+AV24)/2</f>
        <v>172797698.911249</v>
      </c>
      <c r="AX32" s="33" t="n">
        <f aca="false">(AX24+AW24)/2</f>
        <v>181178554.363246</v>
      </c>
      <c r="AY32" s="33" t="n">
        <f aca="false">(AY24+AX24)/2</f>
        <v>189509128.205364</v>
      </c>
      <c r="AZ32" s="33" t="n">
        <f aca="false">(AZ24+AY24)/2</f>
        <v>197792354.675824</v>
      </c>
      <c r="BA32" s="33" t="n">
        <f aca="false">(BA24+AZ24)/2</f>
        <v>206229270.25065</v>
      </c>
      <c r="BB32" s="33" t="n">
        <f aca="false">(BB24+BA24)/2</f>
        <v>214820875.829344</v>
      </c>
      <c r="BC32" s="33" t="n">
        <f aca="false">(BC24+BB24)/2</f>
        <v>223370316.147439</v>
      </c>
      <c r="BD32" s="33" t="n">
        <f aca="false">(BD24+BC24)/2</f>
        <v>231881032.431422</v>
      </c>
      <c r="BE32" s="33" t="n">
        <f aca="false">(BE24+BD24)/2</f>
        <v>240356598.713505</v>
      </c>
      <c r="BF32" s="33" t="n">
        <f aca="false">(BF24+BE24)/2</f>
        <v>248800730.844046</v>
      </c>
      <c r="BG32" s="33" t="n">
        <f aca="false">(BG24+BF24)/2</f>
        <v>257217296.028129</v>
      </c>
      <c r="BH32" s="33" t="n">
        <f aca="false">(BH24+BG24)/2</f>
        <v>265610322.918048</v>
      </c>
      <c r="BI32" s="33" t="n">
        <f aca="false">(BI24+BH24)/2</f>
        <v>273984012.295307</v>
      </c>
      <c r="BJ32" s="33" t="n">
        <f aca="false">(BJ24+BI24)/2</f>
        <v>282342748.377809</v>
      </c>
      <c r="BK32" s="33" t="n">
        <f aca="false">(BK24+BJ24)/2</f>
        <v>290671824.829244</v>
      </c>
      <c r="BL32" s="33" t="n">
        <f aca="false">(BL24+BK24)/2</f>
        <v>298934581.127338</v>
      </c>
    </row>
    <row r="33" customFormat="false" ht="15" hidden="false" customHeight="false" outlineLevel="0" collapsed="false">
      <c r="A33" s="8" t="s">
        <v>625</v>
      </c>
      <c r="B33" s="14" t="s">
        <v>63</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10123598.4352671</v>
      </c>
      <c r="Q33" s="16" t="n">
        <f aca="false">SUM(Q28:Q32)</f>
        <v>33924098.4005648</v>
      </c>
      <c r="R33" s="16" t="n">
        <f aca="false">SUM(R28:R32)</f>
        <v>64806475.8929053</v>
      </c>
      <c r="S33" s="16" t="n">
        <f aca="false">SUM(S28:S32)</f>
        <v>106335937.018116</v>
      </c>
      <c r="T33" s="16" t="n">
        <f aca="false">SUM(T28:T32)</f>
        <v>159300697.420907</v>
      </c>
      <c r="U33" s="16" t="n">
        <f aca="false">SUM(U28:U32)</f>
        <v>220888799.981528</v>
      </c>
      <c r="V33" s="16" t="n">
        <f aca="false">SUM(V28:V32)</f>
        <v>291087630.195594</v>
      </c>
      <c r="W33" s="16" t="n">
        <f aca="false">SUM(W28:W32)</f>
        <v>374496244.715193</v>
      </c>
      <c r="X33" s="16" t="n">
        <f aca="false">SUM(X28:X32)</f>
        <v>497626927.687704</v>
      </c>
      <c r="Y33" s="16" t="n">
        <f aca="false">SUM(Y28:Y32)</f>
        <v>663270941.450813</v>
      </c>
      <c r="Z33" s="16" t="n">
        <f aca="false">SUM(Z28:Z32)</f>
        <v>852245599.116809</v>
      </c>
      <c r="AA33" s="16" t="n">
        <f aca="false">SUM(AA28:AA32)</f>
        <v>1064444000.31186</v>
      </c>
      <c r="AB33" s="16" t="n">
        <f aca="false">SUM(AB28:AB32)</f>
        <v>1258629670.32415</v>
      </c>
      <c r="AC33" s="16" t="n">
        <f aca="false">SUM(AC28:AC32)</f>
        <v>1440229780.79021</v>
      </c>
      <c r="AD33" s="16" t="n">
        <f aca="false">SUM(AD28:AD32)</f>
        <v>1643954084.94292</v>
      </c>
      <c r="AE33" s="16" t="n">
        <f aca="false">SUM(AE28:AE32)</f>
        <v>1845256250.22561</v>
      </c>
      <c r="AF33" s="16" t="n">
        <f aca="false">SUM(AF28:AF32)</f>
        <v>2042189746.95687</v>
      </c>
      <c r="AG33" s="16" t="n">
        <f aca="false">SUM(AG28:AG32)</f>
        <v>2245500944.63264</v>
      </c>
      <c r="AH33" s="16" t="n">
        <f aca="false">SUM(AH28:AH32)</f>
        <v>2455311869.49933</v>
      </c>
      <c r="AI33" s="16" t="n">
        <f aca="false">SUM(AI28:AI32)</f>
        <v>2671762457.2063</v>
      </c>
      <c r="AJ33" s="16" t="n">
        <f aca="false">SUM(AJ28:AJ32)</f>
        <v>2893417862.69318</v>
      </c>
      <c r="AK33" s="16" t="n">
        <f aca="false">SUM(AK28:AK32)</f>
        <v>3116644130.49643</v>
      </c>
      <c r="AL33" s="16" t="n">
        <f aca="false">SUM(AL28:AL32)</f>
        <v>3339414692.79794</v>
      </c>
      <c r="AM33" s="16" t="n">
        <f aca="false">SUM(AM28:AM32)</f>
        <v>3561929353.40937</v>
      </c>
      <c r="AN33" s="16" t="n">
        <f aca="false">SUM(AN28:AN32)</f>
        <v>3784395890.14912</v>
      </c>
      <c r="AO33" s="16" t="n">
        <f aca="false">SUM(AO28:AO32)</f>
        <v>4014301107.66556</v>
      </c>
      <c r="AP33" s="16" t="n">
        <f aca="false">SUM(AP28:AP32)</f>
        <v>4251751572.26054</v>
      </c>
      <c r="AQ33" s="16" t="n">
        <f aca="false">SUM(AQ28:AQ32)</f>
        <v>4489595175.65004</v>
      </c>
      <c r="AR33" s="16" t="n">
        <f aca="false">SUM(AR28:AR32)</f>
        <v>4728081599.92087</v>
      </c>
      <c r="AS33" s="16" t="n">
        <f aca="false">SUM(AS28:AS32)</f>
        <v>4966858589.42411</v>
      </c>
      <c r="AT33" s="16" t="n">
        <f aca="false">SUM(AT28:AT32)</f>
        <v>5204173800.61868</v>
      </c>
      <c r="AU33" s="16" t="n">
        <f aca="false">SUM(AU28:AU32)</f>
        <v>5438811333.76564</v>
      </c>
      <c r="AV33" s="16" t="n">
        <f aca="false">SUM(AV28:AV32)</f>
        <v>5698774275.26818</v>
      </c>
      <c r="AW33" s="16" t="n">
        <f aca="false">SUM(AW28:AW32)</f>
        <v>5983723097.8593</v>
      </c>
      <c r="AX33" s="16" t="n">
        <f aca="false">SUM(AX28:AX32)</f>
        <v>6265439803.71986</v>
      </c>
      <c r="AY33" s="16" t="n">
        <f aca="false">SUM(AY28:AY32)</f>
        <v>6544061390.74127</v>
      </c>
      <c r="AZ33" s="16" t="n">
        <f aca="false">SUM(AZ28:AZ32)</f>
        <v>6819727257.96565</v>
      </c>
      <c r="BA33" s="16" t="n">
        <f aca="false">SUM(BA28:BA32)</f>
        <v>7099905457.12652</v>
      </c>
      <c r="BB33" s="16" t="n">
        <f aca="false">SUM(BB28:BB32)</f>
        <v>7384621200.23564</v>
      </c>
      <c r="BC33" s="16" t="n">
        <f aca="false">SUM(BC28:BC32)</f>
        <v>7666579006.79093</v>
      </c>
      <c r="BD33" s="16" t="n">
        <f aca="false">SUM(BD28:BD32)</f>
        <v>7945934714.89505</v>
      </c>
      <c r="BE33" s="16" t="n">
        <f aca="false">SUM(BE28:BE32)</f>
        <v>8222847883.02866</v>
      </c>
      <c r="BF33" s="16" t="n">
        <f aca="false">SUM(BF28:BF32)</f>
        <v>8497482117.02207</v>
      </c>
      <c r="BG33" s="16" t="n">
        <f aca="false">SUM(BG28:BG32)</f>
        <v>8770005414.67266</v>
      </c>
      <c r="BH33" s="16" t="n">
        <f aca="false">SUM(BH28:BH32)</f>
        <v>9040590529.10484</v>
      </c>
      <c r="BI33" s="16" t="n">
        <f aca="false">SUM(BI28:BI32)</f>
        <v>9309415352.03472</v>
      </c>
      <c r="BJ33" s="16" t="n">
        <f aca="false">SUM(BJ28:BJ32)</f>
        <v>9576663318.17043</v>
      </c>
      <c r="BK33" s="16" t="n">
        <f aca="false">SUM(BK28:BK32)</f>
        <v>9841810251.50438</v>
      </c>
      <c r="BL33" s="16" t="n">
        <f aca="false">SUM(BL28:BL32)</f>
        <v>10103522327.0301</v>
      </c>
    </row>
    <row r="35" customFormat="false" ht="15" hidden="false" customHeight="false" outlineLevel="0" collapsed="false">
      <c r="A35" s="10" t="s">
        <v>626</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627</v>
      </c>
      <c r="B36" s="14" t="s">
        <v>63</v>
      </c>
      <c r="D36" s="41" t="n">
        <f aca="false">SUM(E36:BL36)</f>
        <v>3880201186.32293</v>
      </c>
      <c r="E36" s="33" t="n">
        <f aca="false">E28*Yield_Factoring/12+E29*Yield_Bridge/12+E30*Yield_Line/12+E31*Yield_Term/12+E32*Yield_Advance/12</f>
        <v>0</v>
      </c>
      <c r="F36" s="33" t="n">
        <f aca="false">F28*Yield_Factoring/12+F29*Yield_Bridge/12+F30*Yield_Line/12+F31*Yield_Term/12+F32*Yield_Advance/12</f>
        <v>0</v>
      </c>
      <c r="G36" s="33" t="n">
        <f aca="false">G28*Yield_Factoring/12+G29*Yield_Bridge/12+G30*Yield_Line/12+G31*Yield_Term/12+G32*Yield_Advance/12</f>
        <v>0</v>
      </c>
      <c r="H36" s="33" t="n">
        <f aca="false">H28*Yield_Factoring/12+H29*Yield_Bridge/12+H30*Yield_Line/12+H31*Yield_Term/12+H32*Yield_Advance/12</f>
        <v>0</v>
      </c>
      <c r="I36" s="33" t="n">
        <f aca="false">I28*Yield_Factoring/12+I29*Yield_Bridge/12+I30*Yield_Line/12+I31*Yield_Term/12+I32*Yield_Advance/12</f>
        <v>0</v>
      </c>
      <c r="J36" s="33" t="n">
        <f aca="false">J28*Yield_Factoring/12+J29*Yield_Bridge/12+J30*Yield_Line/12+J31*Yield_Term/12+J32*Yield_Advance/12</f>
        <v>0</v>
      </c>
      <c r="K36" s="33" t="n">
        <f aca="false">K28*Yield_Factoring/12+K29*Yield_Bridge/12+K30*Yield_Line/12+K31*Yield_Term/12+K32*Yield_Advance/12</f>
        <v>0</v>
      </c>
      <c r="L36" s="33" t="n">
        <f aca="false">L28*Yield_Factoring/12+L29*Yield_Bridge/12+L30*Yield_Line/12+L31*Yield_Term/12+L32*Yield_Advance/12</f>
        <v>0</v>
      </c>
      <c r="M36" s="33" t="n">
        <f aca="false">M28*Yield_Factoring/12+M29*Yield_Bridge/12+M30*Yield_Line/12+M31*Yield_Term/12+M32*Yield_Advance/12</f>
        <v>0</v>
      </c>
      <c r="N36" s="33" t="n">
        <f aca="false">N28*Yield_Factoring/12+N29*Yield_Bridge/12+N30*Yield_Line/12+N31*Yield_Term/12+N32*Yield_Advance/12</f>
        <v>0</v>
      </c>
      <c r="O36" s="33" t="n">
        <f aca="false">O28*Yield_Factoring/12+O29*Yield_Bridge/12+O30*Yield_Line/12+O31*Yield_Term/12+O32*Yield_Advance/12</f>
        <v>0</v>
      </c>
      <c r="P36" s="33" t="n">
        <f aca="false">P28*Yield_Factoring/12+P29*Yield_Bridge/12+P30*Yield_Line/12+P31*Yield_Term/12+P32*Yield_Advance/12</f>
        <v>194035.636675952</v>
      </c>
      <c r="Q36" s="33" t="n">
        <f aca="false">Q28*Yield_Factoring/12+Q29*Yield_Bridge/12+Q30*Yield_Line/12+Q31*Yield_Term/12+Q32*Yield_Advance/12</f>
        <v>650211.886010825</v>
      </c>
      <c r="R36" s="33" t="n">
        <f aca="false">R28*Yield_Factoring/12+R29*Yield_Bridge/12+R30*Yield_Line/12+R31*Yield_Term/12+R32*Yield_Advance/12</f>
        <v>1242124.12128069</v>
      </c>
      <c r="S36" s="33" t="n">
        <f aca="false">S28*Yield_Factoring/12+S29*Yield_Bridge/12+S30*Yield_Line/12+S31*Yield_Term/12+S32*Yield_Advance/12</f>
        <v>2038105.45951389</v>
      </c>
      <c r="T36" s="33" t="n">
        <f aca="false">T28*Yield_Factoring/12+T29*Yield_Bridge/12+T30*Yield_Line/12+T31*Yield_Term/12+T32*Yield_Advance/12</f>
        <v>3053263.36723405</v>
      </c>
      <c r="U36" s="33" t="n">
        <f aca="false">U28*Yield_Factoring/12+U29*Yield_Bridge/12+U30*Yield_Line/12+U31*Yield_Term/12+U32*Yield_Advance/12</f>
        <v>4233701.99964596</v>
      </c>
      <c r="V36" s="33" t="n">
        <f aca="false">V28*Yield_Factoring/12+V29*Yield_Bridge/12+V30*Yield_Line/12+V31*Yield_Term/12+V32*Yield_Advance/12</f>
        <v>5579179.57874889</v>
      </c>
      <c r="W36" s="33" t="n">
        <f aca="false">W28*Yield_Factoring/12+W29*Yield_Bridge/12+W30*Yield_Line/12+W31*Yield_Term/12+W32*Yield_Advance/12</f>
        <v>7177844.69037454</v>
      </c>
      <c r="X36" s="33" t="n">
        <f aca="false">X28*Yield_Factoring/12+X29*Yield_Bridge/12+X30*Yield_Line/12+X31*Yield_Term/12+X32*Yield_Advance/12</f>
        <v>9529205.01413518</v>
      </c>
      <c r="Y36" s="33" t="n">
        <f aca="false">Y28*Yield_Factoring/12+Y29*Yield_Bridge/12+Y30*Yield_Line/12+Y31*Yield_Term/12+Y32*Yield_Advance/12</f>
        <v>12684382.6307593</v>
      </c>
      <c r="Z36" s="33" t="n">
        <f aca="false">Z28*Yield_Factoring/12+Z29*Yield_Bridge/12+Z30*Yield_Line/12+Z31*Yield_Term/12+Z32*Yield_Advance/12</f>
        <v>16281994.8612297</v>
      </c>
      <c r="AA36" s="33" t="n">
        <f aca="false">AA28*Yield_Factoring/12+AA29*Yield_Bridge/12+AA30*Yield_Line/12+AA31*Yield_Term/12+AA32*Yield_Advance/12</f>
        <v>20320025.4141551</v>
      </c>
      <c r="AB36" s="33" t="n">
        <f aca="false">AB28*Yield_Factoring/12+AB29*Yield_Bridge/12+AB30*Yield_Line/12+AB31*Yield_Term/12+AB32*Yield_Advance/12</f>
        <v>24008133.5900856</v>
      </c>
      <c r="AC36" s="33" t="n">
        <f aca="false">AC28*Yield_Factoring/12+AC29*Yield_Bridge/12+AC30*Yield_Line/12+AC31*Yield_Term/12+AC32*Yield_Advance/12</f>
        <v>27448896.2272477</v>
      </c>
      <c r="AD36" s="33" t="n">
        <f aca="false">AD28*Yield_Factoring/12+AD29*Yield_Bridge/12+AD30*Yield_Line/12+AD31*Yield_Term/12+AD32*Yield_Advance/12</f>
        <v>31307133.5695532</v>
      </c>
      <c r="AE36" s="33" t="n">
        <f aca="false">AE28*Yield_Factoring/12+AE29*Yield_Bridge/12+AE30*Yield_Line/12+AE31*Yield_Term/12+AE32*Yield_Advance/12</f>
        <v>35113388.1360717</v>
      </c>
      <c r="AF36" s="33" t="n">
        <f aca="false">AF28*Yield_Factoring/12+AF29*Yield_Bridge/12+AF30*Yield_Line/12+AF31*Yield_Term/12+AF32*Yield_Advance/12</f>
        <v>38830365.2350196</v>
      </c>
      <c r="AG36" s="33" t="n">
        <f aca="false">AG28*Yield_Factoring/12+AG29*Yield_Bridge/12+AG30*Yield_Line/12+AG31*Yield_Term/12+AG32*Yield_Advance/12</f>
        <v>42664040.6224111</v>
      </c>
      <c r="AH36" s="33" t="n">
        <f aca="false">AH28*Yield_Factoring/12+AH29*Yield_Bridge/12+AH30*Yield_Line/12+AH31*Yield_Term/12+AH32*Yield_Advance/12</f>
        <v>46616746.1933366</v>
      </c>
      <c r="AI36" s="33" t="n">
        <f aca="false">AI28*Yield_Factoring/12+AI29*Yield_Bridge/12+AI30*Yield_Line/12+AI31*Yield_Term/12+AI32*Yield_Advance/12</f>
        <v>50691145.9545883</v>
      </c>
      <c r="AJ36" s="33" t="n">
        <f aca="false">AJ28*Yield_Factoring/12+AJ29*Yield_Bridge/12+AJ30*Yield_Line/12+AJ31*Yield_Term/12+AJ32*Yield_Advance/12</f>
        <v>54878694.2593659</v>
      </c>
      <c r="AK36" s="33" t="n">
        <f aca="false">AK28*Yield_Factoring/12+AK29*Yield_Bridge/12+AK30*Yield_Line/12+AK31*Yield_Term/12+AK32*Yield_Advance/12</f>
        <v>59112587.6704285</v>
      </c>
      <c r="AL36" s="33" t="n">
        <f aca="false">AL28*Yield_Factoring/12+AL29*Yield_Bridge/12+AL30*Yield_Line/12+AL31*Yield_Term/12+AL32*Yield_Advance/12</f>
        <v>63337843.9024273</v>
      </c>
      <c r="AM36" s="33" t="n">
        <f aca="false">AM28*Yield_Factoring/12+AM29*Yield_Bridge/12+AM30*Yield_Line/12+AM31*Yield_Term/12+AM32*Yield_Advance/12</f>
        <v>67558252.4468973</v>
      </c>
      <c r="AN36" s="33" t="n">
        <f aca="false">AN28*Yield_Factoring/12+AN29*Yield_Bridge/12+AN30*Yield_Line/12+AN31*Yield_Term/12+AN32*Yield_Advance/12</f>
        <v>71777754.0412077</v>
      </c>
      <c r="AO36" s="33" t="n">
        <f aca="false">AO28*Yield_Factoring/12+AO29*Yield_Bridge/12+AO30*Yield_Line/12+AO31*Yield_Term/12+AO32*Yield_Advance/12</f>
        <v>76138346.8482726</v>
      </c>
      <c r="AP36" s="33" t="n">
        <f aca="false">AP28*Yield_Factoring/12+AP29*Yield_Bridge/12+AP30*Yield_Line/12+AP31*Yield_Term/12+AP32*Yield_Advance/12</f>
        <v>80642052.2182575</v>
      </c>
      <c r="AQ36" s="33" t="n">
        <f aca="false">AQ28*Yield_Factoring/12+AQ29*Yield_Bridge/12+AQ30*Yield_Line/12+AQ31*Yield_Term/12+AQ32*Yield_Advance/12</f>
        <v>85153220.0946601</v>
      </c>
      <c r="AR36" s="33" t="n">
        <f aca="false">AR28*Yield_Factoring/12+AR29*Yield_Bridge/12+AR30*Yield_Line/12+AR31*Yield_Term/12+AR32*Yield_Advance/12</f>
        <v>89676586.0087194</v>
      </c>
      <c r="AS36" s="33" t="n">
        <f aca="false">AS28*Yield_Factoring/12+AS29*Yield_Bridge/12+AS30*Yield_Line/12+AS31*Yield_Term/12+AS32*Yield_Advance/12</f>
        <v>94205468.8681399</v>
      </c>
      <c r="AT36" s="33" t="n">
        <f aca="false">AT28*Yield_Factoring/12+AT29*Yield_Bridge/12+AT30*Yield_Line/12+AT31*Yield_Term/12+AT32*Yield_Advance/12</f>
        <v>98706632.8503618</v>
      </c>
      <c r="AU36" s="33" t="n">
        <f aca="false">AU28*Yield_Factoring/12+AU29*Yield_Bridge/12+AU30*Yield_Line/12+AU31*Yield_Term/12+AU32*Yield_Advance/12</f>
        <v>103157016.523189</v>
      </c>
      <c r="AV36" s="33" t="n">
        <f aca="false">AV28*Yield_Factoring/12+AV29*Yield_Bridge/12+AV30*Yield_Line/12+AV31*Yield_Term/12+AV32*Yield_Advance/12</f>
        <v>108087739.339304</v>
      </c>
      <c r="AW36" s="33" t="n">
        <f aca="false">AW28*Yield_Factoring/12+AW29*Yield_Bridge/12+AW30*Yield_Line/12+AW31*Yield_Term/12+AW32*Yield_Advance/12</f>
        <v>113492362.379968</v>
      </c>
      <c r="AX36" s="33" t="n">
        <f aca="false">AX28*Yield_Factoring/12+AX29*Yield_Bridge/12+AX30*Yield_Line/12+AX31*Yield_Term/12+AX32*Yield_Advance/12</f>
        <v>118835690.6311</v>
      </c>
      <c r="AY36" s="33" t="n">
        <f aca="false">AY28*Yield_Factoring/12+AY29*Yield_Bridge/12+AY30*Yield_Line/12+AY31*Yield_Term/12+AY32*Yield_Advance/12</f>
        <v>124120322.280867</v>
      </c>
      <c r="AZ36" s="33" t="n">
        <f aca="false">AZ28*Yield_Factoring/12+AZ29*Yield_Bridge/12+AZ30*Yield_Line/12+AZ31*Yield_Term/12+AZ32*Yield_Advance/12</f>
        <v>129348901.065064</v>
      </c>
      <c r="BA36" s="33" t="n">
        <f aca="false">BA28*Yield_Factoring/12+BA29*Yield_Bridge/12+BA30*Yield_Line/12+BA31*Yield_Term/12+BA32*Yield_Advance/12</f>
        <v>134663069.371288</v>
      </c>
      <c r="BB36" s="33" t="n">
        <f aca="false">BB28*Yield_Factoring/12+BB29*Yield_Bridge/12+BB30*Yield_Line/12+BB31*Yield_Term/12+BB32*Yield_Advance/12</f>
        <v>140063305.448054</v>
      </c>
      <c r="BC36" s="33" t="n">
        <f aca="false">BC28*Yield_Factoring/12+BC29*Yield_Bridge/12+BC30*Yield_Line/12+BC31*Yield_Term/12+BC32*Yield_Advance/12</f>
        <v>145411239.874883</v>
      </c>
      <c r="BD36" s="33" t="n">
        <f aca="false">BD28*Yield_Factoring/12+BD29*Yield_Bridge/12+BD30*Yield_Line/12+BD31*Yield_Term/12+BD32*Yield_Advance/12</f>
        <v>150709828.19136</v>
      </c>
      <c r="BE36" s="33" t="n">
        <f aca="false">BE28*Yield_Factoring/12+BE29*Yield_Bridge/12+BE30*Yield_Line/12+BE31*Yield_Term/12+BE32*Yield_Advance/12</f>
        <v>155962096.506133</v>
      </c>
      <c r="BF36" s="33" t="n">
        <f aca="false">BF28*Yield_Factoring/12+BF29*Yield_Bridge/12+BF30*Yield_Line/12+BF31*Yield_Term/12+BF32*Yield_Advance/12</f>
        <v>161171147.698442</v>
      </c>
      <c r="BG36" s="33" t="n">
        <f aca="false">BG28*Yield_Factoring/12+BG29*Yield_Bridge/12+BG30*Yield_Line/12+BG31*Yield_Term/12+BG32*Yield_Advance/12</f>
        <v>166340167.954344</v>
      </c>
      <c r="BH36" s="33" t="n">
        <f aca="false">BH28*Yield_Factoring/12+BH29*Yield_Bridge/12+BH30*Yield_Line/12+BH31*Yield_Term/12+BH32*Yield_Advance/12</f>
        <v>171472433.658422</v>
      </c>
      <c r="BI36" s="33" t="n">
        <f aca="false">BI28*Yield_Factoring/12+BI29*Yield_Bridge/12+BI30*Yield_Line/12+BI31*Yield_Term/12+BI32*Yield_Advance/12</f>
        <v>176571318.663024</v>
      </c>
      <c r="BJ36" s="33" t="n">
        <f aca="false">BJ28*Yield_Factoring/12+BJ29*Yield_Bridge/12+BJ30*Yield_Line/12+BJ31*Yield_Term/12+BJ32*Yield_Advance/12</f>
        <v>181640301.958392</v>
      </c>
      <c r="BK36" s="33" t="n">
        <f aca="false">BK28*Yield_Factoring/12+BK29*Yield_Bridge/12+BK30*Yield_Line/12+BK31*Yield_Term/12+BK32*Yield_Advance/12</f>
        <v>186669441.666864</v>
      </c>
      <c r="BL36" s="33" t="n">
        <f aca="false">BL28*Yield_Factoring/12+BL29*Yield_Bridge/12+BL30*Yield_Line/12+BL31*Yield_Term/12+BL32*Yield_Advance/12</f>
        <v>191633439.715421</v>
      </c>
    </row>
    <row r="37" customFormat="false" ht="15" hidden="false" customHeight="false" outlineLevel="0" collapsed="false">
      <c r="A37" s="12" t="s">
        <v>319</v>
      </c>
      <c r="B37" s="14" t="s">
        <v>63</v>
      </c>
      <c r="D37" s="41" t="n">
        <f aca="false">SUM(E37:BL37)</f>
        <v>-1533763981.9592</v>
      </c>
      <c r="E37" s="33" t="n">
        <f aca="false">-E33*CoF/12</f>
        <v>-0</v>
      </c>
      <c r="F37" s="33" t="n">
        <f aca="false">-F33*CoF/12</f>
        <v>-0</v>
      </c>
      <c r="G37" s="33" t="n">
        <f aca="false">-G33*CoF/12</f>
        <v>-0</v>
      </c>
      <c r="H37" s="33" t="n">
        <f aca="false">-H33*CoF/12</f>
        <v>-0</v>
      </c>
      <c r="I37" s="33" t="n">
        <f aca="false">-I33*CoF/12</f>
        <v>-0</v>
      </c>
      <c r="J37" s="33" t="n">
        <f aca="false">-J33*CoF/12</f>
        <v>-0</v>
      </c>
      <c r="K37" s="33" t="n">
        <f aca="false">-K33*CoF/12</f>
        <v>-0</v>
      </c>
      <c r="L37" s="33" t="n">
        <f aca="false">-L33*CoF/12</f>
        <v>-0</v>
      </c>
      <c r="M37" s="33" t="n">
        <f aca="false">-M33*CoF/12</f>
        <v>-0</v>
      </c>
      <c r="N37" s="33" t="n">
        <f aca="false">-N33*CoF/12</f>
        <v>-0</v>
      </c>
      <c r="O37" s="33" t="n">
        <f aca="false">-O33*CoF/12</f>
        <v>-0</v>
      </c>
      <c r="P37" s="33" t="n">
        <f aca="false">-P33*CoF/12</f>
        <v>-75926.9882645031</v>
      </c>
      <c r="Q37" s="33" t="n">
        <f aca="false">-Q33*CoF/12</f>
        <v>-254430.738004236</v>
      </c>
      <c r="R37" s="33" t="n">
        <f aca="false">-R33*CoF/12</f>
        <v>-486048.56919679</v>
      </c>
      <c r="S37" s="33" t="n">
        <f aca="false">-S33*CoF/12</f>
        <v>-797519.527635869</v>
      </c>
      <c r="T37" s="33" t="n">
        <f aca="false">-T33*CoF/12</f>
        <v>-1194755.2306568</v>
      </c>
      <c r="U37" s="33" t="n">
        <f aca="false">-U33*CoF/12</f>
        <v>-1656665.99986146</v>
      </c>
      <c r="V37" s="33" t="n">
        <f aca="false">-V33*CoF/12</f>
        <v>-2183157.22646696</v>
      </c>
      <c r="W37" s="33" t="n">
        <f aca="false">-W33*CoF/12</f>
        <v>-2808721.83536395</v>
      </c>
      <c r="X37" s="33" t="n">
        <f aca="false">-X33*CoF/12</f>
        <v>-3732201.95765778</v>
      </c>
      <c r="Y37" s="33" t="n">
        <f aca="false">-Y33*CoF/12</f>
        <v>-4974532.06088109</v>
      </c>
      <c r="Z37" s="33" t="n">
        <f aca="false">-Z33*CoF/12</f>
        <v>-6391841.99337607</v>
      </c>
      <c r="AA37" s="33" t="n">
        <f aca="false">-AA33*CoF/12</f>
        <v>-7983330.00233897</v>
      </c>
      <c r="AB37" s="33" t="n">
        <f aca="false">-AB33*CoF/12</f>
        <v>-9439722.52743111</v>
      </c>
      <c r="AC37" s="33" t="n">
        <f aca="false">-AC33*CoF/12</f>
        <v>-10801723.3559266</v>
      </c>
      <c r="AD37" s="33" t="n">
        <f aca="false">-AD33*CoF/12</f>
        <v>-12329655.6370719</v>
      </c>
      <c r="AE37" s="33" t="n">
        <f aca="false">-AE33*CoF/12</f>
        <v>-13839421.8766921</v>
      </c>
      <c r="AF37" s="33" t="n">
        <f aca="false">-AF33*CoF/12</f>
        <v>-15316423.1021765</v>
      </c>
      <c r="AG37" s="33" t="n">
        <f aca="false">-AG33*CoF/12</f>
        <v>-16841257.0847448</v>
      </c>
      <c r="AH37" s="33" t="n">
        <f aca="false">-AH33*CoF/12</f>
        <v>-18414839.021245</v>
      </c>
      <c r="AI37" s="33" t="n">
        <f aca="false">-AI33*CoF/12</f>
        <v>-20038218.4290473</v>
      </c>
      <c r="AJ37" s="33" t="n">
        <f aca="false">-AJ33*CoF/12</f>
        <v>-21700633.9701988</v>
      </c>
      <c r="AK37" s="33" t="n">
        <f aca="false">-AK33*CoF/12</f>
        <v>-23374830.9787233</v>
      </c>
      <c r="AL37" s="33" t="n">
        <f aca="false">-AL33*CoF/12</f>
        <v>-25045610.1959846</v>
      </c>
      <c r="AM37" s="33" t="n">
        <f aca="false">-AM33*CoF/12</f>
        <v>-26714470.1505703</v>
      </c>
      <c r="AN37" s="33" t="n">
        <f aca="false">-AN33*CoF/12</f>
        <v>-28382969.1761184</v>
      </c>
      <c r="AO37" s="33" t="n">
        <f aca="false">-AO33*CoF/12</f>
        <v>-30107258.3074917</v>
      </c>
      <c r="AP37" s="33" t="n">
        <f aca="false">-AP33*CoF/12</f>
        <v>-31888136.7919541</v>
      </c>
      <c r="AQ37" s="33" t="n">
        <f aca="false">-AQ33*CoF/12</f>
        <v>-33671963.8173753</v>
      </c>
      <c r="AR37" s="33" t="n">
        <f aca="false">-AR33*CoF/12</f>
        <v>-35460611.9994065</v>
      </c>
      <c r="AS37" s="33" t="n">
        <f aca="false">-AS33*CoF/12</f>
        <v>-37251439.4206808</v>
      </c>
      <c r="AT37" s="33" t="n">
        <f aca="false">-AT33*CoF/12</f>
        <v>-39031303.5046401</v>
      </c>
      <c r="AU37" s="33" t="n">
        <f aca="false">-AU33*CoF/12</f>
        <v>-40791085.0032423</v>
      </c>
      <c r="AV37" s="33" t="n">
        <f aca="false">-AV33*CoF/12</f>
        <v>-42740807.0645114</v>
      </c>
      <c r="AW37" s="33" t="n">
        <f aca="false">-AW33*CoF/12</f>
        <v>-44877923.2339448</v>
      </c>
      <c r="AX37" s="33" t="n">
        <f aca="false">-AX33*CoF/12</f>
        <v>-46990798.5278989</v>
      </c>
      <c r="AY37" s="33" t="n">
        <f aca="false">-AY33*CoF/12</f>
        <v>-49080460.4305595</v>
      </c>
      <c r="AZ37" s="33" t="n">
        <f aca="false">-AZ33*CoF/12</f>
        <v>-51147954.4347424</v>
      </c>
      <c r="BA37" s="33" t="n">
        <f aca="false">-BA33*CoF/12</f>
        <v>-53249290.9284489</v>
      </c>
      <c r="BB37" s="33" t="n">
        <f aca="false">-BB33*CoF/12</f>
        <v>-55384659.0017673</v>
      </c>
      <c r="BC37" s="33" t="n">
        <f aca="false">-BC33*CoF/12</f>
        <v>-57499342.5509319</v>
      </c>
      <c r="BD37" s="33" t="n">
        <f aca="false">-BD33*CoF/12</f>
        <v>-59594510.3617129</v>
      </c>
      <c r="BE37" s="33" t="n">
        <f aca="false">-BE33*CoF/12</f>
        <v>-61671359.1227149</v>
      </c>
      <c r="BF37" s="33" t="n">
        <f aca="false">-BF33*CoF/12</f>
        <v>-63731115.8776655</v>
      </c>
      <c r="BG37" s="33" t="n">
        <f aca="false">-BG33*CoF/12</f>
        <v>-65775040.6100449</v>
      </c>
      <c r="BH37" s="33" t="n">
        <f aca="false">-BH33*CoF/12</f>
        <v>-67804428.9682863</v>
      </c>
      <c r="BI37" s="33" t="n">
        <f aca="false">-BI33*CoF/12</f>
        <v>-69820615.1402604</v>
      </c>
      <c r="BJ37" s="33" t="n">
        <f aca="false">-BJ33*CoF/12</f>
        <v>-71824974.8862782</v>
      </c>
      <c r="BK37" s="33" t="n">
        <f aca="false">-BK33*CoF/12</f>
        <v>-73813576.8862829</v>
      </c>
      <c r="BL37" s="33" t="n">
        <f aca="false">-BL33*CoF/12</f>
        <v>-75776417.4527254</v>
      </c>
    </row>
    <row r="38" customFormat="false" ht="15" hidden="false" customHeight="false" outlineLevel="0" collapsed="false">
      <c r="A38" s="12" t="s">
        <v>628</v>
      </c>
      <c r="B38" s="14" t="s">
        <v>63</v>
      </c>
      <c r="D38" s="41" t="n">
        <f aca="false">SUM(E38:BL38)</f>
        <v>-385357179.364582</v>
      </c>
      <c r="E38" s="33" t="n">
        <f aca="false">-(E28*CoR_Factoring+E29*CoR_Bridge+E30*CoR_Line+E31*CoR_Term+E32*CoR_Advance)*CoR_Mult/12</f>
        <v>-0</v>
      </c>
      <c r="F38" s="33" t="n">
        <f aca="false">-(F28*CoR_Factoring+F29*CoR_Bridge+F30*CoR_Line+F31*CoR_Term+F32*CoR_Advance)*CoR_Mult/12</f>
        <v>-0</v>
      </c>
      <c r="G38" s="33" t="n">
        <f aca="false">-(G28*CoR_Factoring+G29*CoR_Bridge+G30*CoR_Line+G31*CoR_Term+G32*CoR_Advance)*CoR_Mult/12</f>
        <v>-0</v>
      </c>
      <c r="H38" s="33" t="n">
        <f aca="false">-(H28*CoR_Factoring+H29*CoR_Bridge+H30*CoR_Line+H31*CoR_Term+H32*CoR_Advance)*CoR_Mult/12</f>
        <v>-0</v>
      </c>
      <c r="I38" s="33" t="n">
        <f aca="false">-(I28*CoR_Factoring+I29*CoR_Bridge+I30*CoR_Line+I31*CoR_Term+I32*CoR_Advance)*CoR_Mult/12</f>
        <v>-0</v>
      </c>
      <c r="J38" s="33" t="n">
        <f aca="false">-(J28*CoR_Factoring+J29*CoR_Bridge+J30*CoR_Line+J31*CoR_Term+J32*CoR_Advance)*CoR_Mult/12</f>
        <v>-0</v>
      </c>
      <c r="K38" s="33" t="n">
        <f aca="false">-(K28*CoR_Factoring+K29*CoR_Bridge+K30*CoR_Line+K31*CoR_Term+K32*CoR_Advance)*CoR_Mult/12</f>
        <v>-0</v>
      </c>
      <c r="L38" s="33" t="n">
        <f aca="false">-(L28*CoR_Factoring+L29*CoR_Bridge+L30*CoR_Line+L31*CoR_Term+L32*CoR_Advance)*CoR_Mult/12</f>
        <v>-0</v>
      </c>
      <c r="M38" s="33" t="n">
        <f aca="false">-(M28*CoR_Factoring+M29*CoR_Bridge+M30*CoR_Line+M31*CoR_Term+M32*CoR_Advance)*CoR_Mult/12</f>
        <v>-0</v>
      </c>
      <c r="N38" s="33" t="n">
        <f aca="false">-(N28*CoR_Factoring+N29*CoR_Bridge+N30*CoR_Line+N31*CoR_Term+N32*CoR_Advance)*CoR_Mult/12</f>
        <v>-0</v>
      </c>
      <c r="O38" s="33" t="n">
        <f aca="false">-(O28*CoR_Factoring+O29*CoR_Bridge+O30*CoR_Line+O31*CoR_Term+O32*CoR_Advance)*CoR_Mult/12</f>
        <v>-0</v>
      </c>
      <c r="P38" s="33" t="n">
        <f aca="false">-(P28*CoR_Factoring+P29*CoR_Bridge+P30*CoR_Line+P31*CoR_Term+P32*CoR_Advance)*CoR_Mult/12</f>
        <v>-13394.6711415809</v>
      </c>
      <c r="Q38" s="33" t="n">
        <f aca="false">-(Q28*CoR_Factoring+Q29*CoR_Bridge+Q30*CoR_Line+Q31*CoR_Term+Q32*CoR_Advance)*CoR_Mult/12</f>
        <v>-44885.2847457327</v>
      </c>
      <c r="R38" s="33" t="n">
        <f aca="false">-(R28*CoR_Factoring+R29*CoR_Bridge+R30*CoR_Line+R31*CoR_Term+R32*CoR_Advance)*CoR_Mult/12</f>
        <v>-85745.6298195261</v>
      </c>
      <c r="S38" s="33" t="n">
        <f aca="false">-(S28*CoR_Factoring+S29*CoR_Bridge+S30*CoR_Line+S31*CoR_Term+S32*CoR_Advance)*CoR_Mult/12</f>
        <v>-147947.750002407</v>
      </c>
      <c r="T38" s="33" t="n">
        <f aca="false">-(T28*CoR_Factoring+T29*CoR_Bridge+T30*CoR_Line+T31*CoR_Term+T32*CoR_Advance)*CoR_Mult/12</f>
        <v>-234184.125046669</v>
      </c>
      <c r="U38" s="33" t="n">
        <f aca="false">-(U28*CoR_Factoring+U29*CoR_Bridge+U30*CoR_Line+U31*CoR_Term+U32*CoR_Advance)*CoR_Mult/12</f>
        <v>-335122.676415526</v>
      </c>
      <c r="V38" s="33" t="n">
        <f aca="false">-(V28*CoR_Factoring+V29*CoR_Bridge+V30*CoR_Line+V31*CoR_Term+V32*CoR_Advance)*CoR_Mult/12</f>
        <v>-450737.341261033</v>
      </c>
      <c r="W38" s="33" t="n">
        <f aca="false">-(W28*CoR_Factoring+W29*CoR_Bridge+W30*CoR_Line+W31*CoR_Term+W32*CoR_Advance)*CoR_Mult/12</f>
        <v>-588289.408518376</v>
      </c>
      <c r="X38" s="33" t="n">
        <f aca="false">-(X28*CoR_Factoring+X29*CoR_Bridge+X30*CoR_Line+X31*CoR_Term+X32*CoR_Advance)*CoR_Mult/12</f>
        <v>-799580.190295726</v>
      </c>
      <c r="Y38" s="33" t="n">
        <f aca="false">-(Y28*CoR_Factoring+Y29*CoR_Bridge+Y30*CoR_Line+Y31*CoR_Term+Y32*CoR_Advance)*CoR_Mult/12</f>
        <v>-1092229.79925445</v>
      </c>
      <c r="Z38" s="33" t="n">
        <f aca="false">-(Z28*CoR_Factoring+Z29*CoR_Bridge+Z30*CoR_Line+Z31*CoR_Term+Z32*CoR_Advance)*CoR_Mult/12</f>
        <v>-1429195.54766144</v>
      </c>
      <c r="AA38" s="33" t="n">
        <f aca="false">-(AA28*CoR_Factoring+AA29*CoR_Bridge+AA30*CoR_Line+AA31*CoR_Term+AA32*CoR_Advance)*CoR_Mult/12</f>
        <v>-1810255.50287528</v>
      </c>
      <c r="AB38" s="33" t="n">
        <f aca="false">-(AB28*CoR_Factoring+AB29*CoR_Bridge+AB30*CoR_Line+AB31*CoR_Term+AB32*CoR_Advance)*CoR_Mult/12</f>
        <v>-2180793.38693222</v>
      </c>
      <c r="AC38" s="33" t="n">
        <f aca="false">-(AC28*CoR_Factoring+AC29*CoR_Bridge+AC30*CoR_Line+AC31*CoR_Term+AC32*CoR_Advance)*CoR_Mult/12</f>
        <v>-2553896.68192732</v>
      </c>
      <c r="AD38" s="33" t="n">
        <f aca="false">-(AD28*CoR_Factoring+AD29*CoR_Bridge+AD30*CoR_Line+AD31*CoR_Term+AD32*CoR_Advance)*CoR_Mult/12</f>
        <v>-2976760.79776959</v>
      </c>
      <c r="AE38" s="33" t="n">
        <f aca="false">-(AE28*CoR_Factoring+AE29*CoR_Bridge+AE30*CoR_Line+AE31*CoR_Term+AE32*CoR_Advance)*CoR_Mult/12</f>
        <v>-3386774.44677741</v>
      </c>
      <c r="AF38" s="33" t="n">
        <f aca="false">-(AF28*CoR_Factoring+AF29*CoR_Bridge+AF30*CoR_Line+AF31*CoR_Term+AF32*CoR_Advance)*CoR_Mult/12</f>
        <v>-3777291.28859285</v>
      </c>
      <c r="AG38" s="33" t="n">
        <f aca="false">-(AG28*CoR_Factoring+AG29*CoR_Bridge+AG30*CoR_Line+AG31*CoR_Term+AG32*CoR_Advance)*CoR_Mult/12</f>
        <v>-4183958.08336205</v>
      </c>
      <c r="AH38" s="33" t="n">
        <f aca="false">-(AH28*CoR_Factoring+AH29*CoR_Bridge+AH30*CoR_Line+AH31*CoR_Term+AH32*CoR_Advance)*CoR_Mult/12</f>
        <v>-4606989.59669227</v>
      </c>
      <c r="AI38" s="33" t="n">
        <f aca="false">-(AI28*CoR_Factoring+AI29*CoR_Bridge+AI30*CoR_Line+AI31*CoR_Term+AI32*CoR_Advance)*CoR_Mult/12</f>
        <v>-5046641.75441015</v>
      </c>
      <c r="AJ38" s="33" t="n">
        <f aca="false">-(AJ28*CoR_Factoring+AJ29*CoR_Bridge+AJ30*CoR_Line+AJ31*CoR_Term+AJ32*CoR_Advance)*CoR_Mult/12</f>
        <v>-5482374.97963355</v>
      </c>
      <c r="AK38" s="33" t="n">
        <f aca="false">-(AK28*CoR_Factoring+AK29*CoR_Bridge+AK30*CoR_Line+AK31*CoR_Term+AK32*CoR_Advance)*CoR_Mult/12</f>
        <v>-5905275.24229949</v>
      </c>
      <c r="AL38" s="33" t="n">
        <f aca="false">-(AL28*CoR_Factoring+AL29*CoR_Bridge+AL30*CoR_Line+AL31*CoR_Term+AL32*CoR_Advance)*CoR_Mult/12</f>
        <v>-6327292.47924211</v>
      </c>
      <c r="AM38" s="33" t="n">
        <f aca="false">-(AM28*CoR_Factoring+AM29*CoR_Bridge+AM30*CoR_Line+AM31*CoR_Term+AM32*CoR_Advance)*CoR_Mult/12</f>
        <v>-6748805.70813477</v>
      </c>
      <c r="AN38" s="33" t="n">
        <f aca="false">-(AN28*CoR_Factoring+AN29*CoR_Bridge+AN30*CoR_Line+AN31*CoR_Term+AN32*CoR_Advance)*CoR_Mult/12</f>
        <v>-7170209.03963392</v>
      </c>
      <c r="AO38" s="33" t="n">
        <f aca="false">-(AO28*CoR_Factoring+AO29*CoR_Bridge+AO30*CoR_Line+AO31*CoR_Term+AO32*CoR_Advance)*CoR_Mult/12</f>
        <v>-7605695.01648021</v>
      </c>
      <c r="AP38" s="33" t="n">
        <f aca="false">-(AP28*CoR_Factoring+AP29*CoR_Bridge+AP30*CoR_Line+AP31*CoR_Term+AP32*CoR_Advance)*CoR_Mult/12</f>
        <v>-8055465.12180011</v>
      </c>
      <c r="AQ38" s="33" t="n">
        <f aca="false">-(AQ28*CoR_Factoring+AQ29*CoR_Bridge+AQ30*CoR_Line+AQ31*CoR_Term+AQ32*CoR_Advance)*CoR_Mult/12</f>
        <v>-8505960.95915166</v>
      </c>
      <c r="AR38" s="33" t="n">
        <f aca="false">-(AR28*CoR_Factoring+AR29*CoR_Bridge+AR30*CoR_Line+AR31*CoR_Term+AR32*CoR_Advance)*CoR_Mult/12</f>
        <v>-8957656.01688941</v>
      </c>
      <c r="AS38" s="33" t="n">
        <f aca="false">-(AS28*CoR_Factoring+AS29*CoR_Bridge+AS30*CoR_Line+AS31*CoR_Term+AS32*CoR_Advance)*CoR_Mult/12</f>
        <v>-9409882.69580675</v>
      </c>
      <c r="AT38" s="33" t="n">
        <f aca="false">-(AT28*CoR_Factoring+AT29*CoR_Bridge+AT30*CoR_Line+AT31*CoR_Term+AT32*CoR_Advance)*CoR_Mult/12</f>
        <v>-9859319.3590989</v>
      </c>
      <c r="AU38" s="33" t="n">
        <f aca="false">-(AU28*CoR_Factoring+AU29*CoR_Bridge+AU30*CoR_Line+AU31*CoR_Term+AU32*CoR_Advance)*CoR_Mult/12</f>
        <v>-10303661.4483108</v>
      </c>
      <c r="AV38" s="33" t="n">
        <f aca="false">-(AV28*CoR_Factoring+AV29*CoR_Bridge+AV30*CoR_Line+AV31*CoR_Term+AV32*CoR_Advance)*CoR_Mult/12</f>
        <v>-10795993.3648447</v>
      </c>
      <c r="AW38" s="33" t="n">
        <f aca="false">-(AW28*CoR_Factoring+AW29*CoR_Bridge+AW30*CoR_Line+AW31*CoR_Term+AW32*CoR_Advance)*CoR_Mult/12</f>
        <v>-11335669.1833545</v>
      </c>
      <c r="AX38" s="33" t="n">
        <f aca="false">-(AX28*CoR_Factoring+AX29*CoR_Bridge+AX30*CoR_Line+AX31*CoR_Term+AX32*CoR_Advance)*CoR_Mult/12</f>
        <v>-11869195.3367846</v>
      </c>
      <c r="AY38" s="33" t="n">
        <f aca="false">-(AY28*CoR_Factoring+AY29*CoR_Bridge+AY30*CoR_Line+AY31*CoR_Term+AY32*CoR_Advance)*CoR_Mult/12</f>
        <v>-12396832.0978254</v>
      </c>
      <c r="AZ38" s="33" t="n">
        <f aca="false">-(AZ28*CoR_Factoring+AZ29*CoR_Bridge+AZ30*CoR_Line+AZ31*CoR_Term+AZ32*CoR_Advance)*CoR_Mult/12</f>
        <v>-12918844.2706278</v>
      </c>
      <c r="BA38" s="33" t="n">
        <f aca="false">-(BA28*CoR_Factoring+BA29*CoR_Bridge+BA30*CoR_Line+BA31*CoR_Term+BA32*CoR_Advance)*CoR_Mult/12</f>
        <v>-13449389.1676375</v>
      </c>
      <c r="BB38" s="33" t="n">
        <f aca="false">-(BB28*CoR_Factoring+BB29*CoR_Bridge+BB30*CoR_Line+BB31*CoR_Term+BB32*CoR_Advance)*CoR_Mult/12</f>
        <v>-13988514.3698852</v>
      </c>
      <c r="BC38" s="33" t="n">
        <f aca="false">-(BC28*CoR_Factoring+BC29*CoR_Bridge+BC30*CoR_Line+BC31*CoR_Term+BC32*CoR_Advance)*CoR_Mult/12</f>
        <v>-14522390.0192552</v>
      </c>
      <c r="BD38" s="33" t="n">
        <f aca="false">-(BD28*CoR_Factoring+BD29*CoR_Bridge+BD30*CoR_Line+BD31*CoR_Term+BD32*CoR_Advance)*CoR_Mult/12</f>
        <v>-15051312.0409326</v>
      </c>
      <c r="BE38" s="33" t="n">
        <f aca="false">-(BE28*CoR_Factoring+BE29*CoR_Bridge+BE30*CoR_Line+BE31*CoR_Term+BE32*CoR_Advance)*CoR_Mult/12</f>
        <v>-15575583.3912172</v>
      </c>
      <c r="BF38" s="33" t="n">
        <f aca="false">-(BF28*CoR_Factoring+BF29*CoR_Bridge+BF30*CoR_Line+BF31*CoR_Term+BF32*CoR_Advance)*CoR_Mult/12</f>
        <v>-16095514.677229</v>
      </c>
      <c r="BG38" s="33" t="n">
        <f aca="false">-(BG28*CoR_Factoring+BG29*CoR_Bridge+BG30*CoR_Line+BG31*CoR_Term+BG32*CoR_Advance)*CoR_Mult/12</f>
        <v>-16611424.810034</v>
      </c>
      <c r="BH38" s="33" t="n">
        <f aca="false">-(BH28*CoR_Factoring+BH29*CoR_Bridge+BH30*CoR_Line+BH31*CoR_Term+BH32*CoR_Advance)*CoR_Mult/12</f>
        <v>-17123641.6932643</v>
      </c>
      <c r="BI38" s="33" t="n">
        <f aca="false">-(BI28*CoR_Factoring+BI29*CoR_Bridge+BI30*CoR_Line+BI31*CoR_Term+BI32*CoR_Advance)*CoR_Mult/12</f>
        <v>-17632502.9494384</v>
      </c>
      <c r="BJ38" s="33" t="n">
        <f aca="false">-(BJ28*CoR_Factoring+BJ29*CoR_Bridge+BJ30*CoR_Line+BJ31*CoR_Term+BJ32*CoR_Advance)*CoR_Mult/12</f>
        <v>-18138356.68631</v>
      </c>
      <c r="BK38" s="33" t="n">
        <f aca="false">-(BK28*CoR_Factoring+BK29*CoR_Bridge+BK30*CoR_Line+BK31*CoR_Term+BK32*CoR_Advance)*CoR_Mult/12</f>
        <v>-18640209.6098593</v>
      </c>
      <c r="BL38" s="33" t="n">
        <f aca="false">-(BL28*CoR_Factoring+BL29*CoR_Bridge+BL30*CoR_Line+BL31*CoR_Term+BL32*CoR_Advance)*CoR_Mult/12</f>
        <v>-19135533.6660996</v>
      </c>
    </row>
    <row r="39" customFormat="false" ht="15" hidden="false" customHeight="false" outlineLevel="0" collapsed="false">
      <c r="A39" s="12" t="s">
        <v>321</v>
      </c>
      <c r="B39" s="14" t="s">
        <v>63</v>
      </c>
      <c r="D39" s="41" t="n">
        <f aca="false">SUM(E39:BL39)</f>
        <v>-170418220.217689</v>
      </c>
      <c r="E39" s="33" t="n">
        <f aca="false">-E33*Servicing/12</f>
        <v>-0</v>
      </c>
      <c r="F39" s="33" t="n">
        <f aca="false">-F33*Servicing/12</f>
        <v>-0</v>
      </c>
      <c r="G39" s="33" t="n">
        <f aca="false">-G33*Servicing/12</f>
        <v>-0</v>
      </c>
      <c r="H39" s="33" t="n">
        <f aca="false">-H33*Servicing/12</f>
        <v>-0</v>
      </c>
      <c r="I39" s="33" t="n">
        <f aca="false">-I33*Servicing/12</f>
        <v>-0</v>
      </c>
      <c r="J39" s="33" t="n">
        <f aca="false">-J33*Servicing/12</f>
        <v>-0</v>
      </c>
      <c r="K39" s="33" t="n">
        <f aca="false">-K33*Servicing/12</f>
        <v>-0</v>
      </c>
      <c r="L39" s="33" t="n">
        <f aca="false">-L33*Servicing/12</f>
        <v>-0</v>
      </c>
      <c r="M39" s="33" t="n">
        <f aca="false">-M33*Servicing/12</f>
        <v>-0</v>
      </c>
      <c r="N39" s="33" t="n">
        <f aca="false">-N33*Servicing/12</f>
        <v>-0</v>
      </c>
      <c r="O39" s="33" t="n">
        <f aca="false">-O33*Servicing/12</f>
        <v>-0</v>
      </c>
      <c r="P39" s="33" t="n">
        <f aca="false">-P33*Servicing/12</f>
        <v>-8436.33202938923</v>
      </c>
      <c r="Q39" s="33" t="n">
        <f aca="false">-Q33*Servicing/12</f>
        <v>-28270.0820004707</v>
      </c>
      <c r="R39" s="33" t="n">
        <f aca="false">-R33*Servicing/12</f>
        <v>-54005.3965774211</v>
      </c>
      <c r="S39" s="33" t="n">
        <f aca="false">-S33*Servicing/12</f>
        <v>-88613.2808484299</v>
      </c>
      <c r="T39" s="33" t="n">
        <f aca="false">-T33*Servicing/12</f>
        <v>-132750.581184089</v>
      </c>
      <c r="U39" s="33" t="n">
        <f aca="false">-U33*Servicing/12</f>
        <v>-184073.999984607</v>
      </c>
      <c r="V39" s="33" t="n">
        <f aca="false">-V33*Servicing/12</f>
        <v>-242573.025162995</v>
      </c>
      <c r="W39" s="33" t="n">
        <f aca="false">-W33*Servicing/12</f>
        <v>-312080.203929328</v>
      </c>
      <c r="X39" s="33" t="n">
        <f aca="false">-X33*Servicing/12</f>
        <v>-414689.10640642</v>
      </c>
      <c r="Y39" s="33" t="n">
        <f aca="false">-Y33*Servicing/12</f>
        <v>-552725.784542344</v>
      </c>
      <c r="Z39" s="33" t="n">
        <f aca="false">-Z33*Servicing/12</f>
        <v>-710204.665930674</v>
      </c>
      <c r="AA39" s="33" t="n">
        <f aca="false">-AA33*Servicing/12</f>
        <v>-887036.666926552</v>
      </c>
      <c r="AB39" s="33" t="n">
        <f aca="false">-AB33*Servicing/12</f>
        <v>-1048858.05860346</v>
      </c>
      <c r="AC39" s="33" t="n">
        <f aca="false">-AC33*Servicing/12</f>
        <v>-1200191.48399184</v>
      </c>
      <c r="AD39" s="33" t="n">
        <f aca="false">-AD33*Servicing/12</f>
        <v>-1369961.73745243</v>
      </c>
      <c r="AE39" s="33" t="n">
        <f aca="false">-AE33*Servicing/12</f>
        <v>-1537713.54185468</v>
      </c>
      <c r="AF39" s="33" t="n">
        <f aca="false">-AF33*Servicing/12</f>
        <v>-1701824.78913072</v>
      </c>
      <c r="AG39" s="33" t="n">
        <f aca="false">-AG33*Servicing/12</f>
        <v>-1871250.78719387</v>
      </c>
      <c r="AH39" s="33" t="n">
        <f aca="false">-AH33*Servicing/12</f>
        <v>-2046093.22458278</v>
      </c>
      <c r="AI39" s="33" t="n">
        <f aca="false">-AI33*Servicing/12</f>
        <v>-2226468.71433859</v>
      </c>
      <c r="AJ39" s="33" t="n">
        <f aca="false">-AJ33*Servicing/12</f>
        <v>-2411181.55224432</v>
      </c>
      <c r="AK39" s="33" t="n">
        <f aca="false">-AK33*Servicing/12</f>
        <v>-2597203.44208036</v>
      </c>
      <c r="AL39" s="33" t="n">
        <f aca="false">-AL33*Servicing/12</f>
        <v>-2782845.57733162</v>
      </c>
      <c r="AM39" s="33" t="n">
        <f aca="false">-AM33*Servicing/12</f>
        <v>-2968274.46117448</v>
      </c>
      <c r="AN39" s="33" t="n">
        <f aca="false">-AN33*Servicing/12</f>
        <v>-3153663.24179093</v>
      </c>
      <c r="AO39" s="33" t="n">
        <f aca="false">-AO33*Servicing/12</f>
        <v>-3345250.92305463</v>
      </c>
      <c r="AP39" s="33" t="n">
        <f aca="false">-AP33*Servicing/12</f>
        <v>-3543126.31021712</v>
      </c>
      <c r="AQ39" s="33" t="n">
        <f aca="false">-AQ33*Servicing/12</f>
        <v>-3741329.3130417</v>
      </c>
      <c r="AR39" s="33" t="n">
        <f aca="false">-AR33*Servicing/12</f>
        <v>-3940067.99993406</v>
      </c>
      <c r="AS39" s="33" t="n">
        <f aca="false">-AS33*Servicing/12</f>
        <v>-4139048.82452009</v>
      </c>
      <c r="AT39" s="33" t="n">
        <f aca="false">-AT33*Servicing/12</f>
        <v>-4336811.50051557</v>
      </c>
      <c r="AU39" s="33" t="n">
        <f aca="false">-AU33*Servicing/12</f>
        <v>-4532342.77813803</v>
      </c>
      <c r="AV39" s="33" t="n">
        <f aca="false">-AV33*Servicing/12</f>
        <v>-4748978.56272349</v>
      </c>
      <c r="AW39" s="33" t="n">
        <f aca="false">-AW33*Servicing/12</f>
        <v>-4986435.91488275</v>
      </c>
      <c r="AX39" s="33" t="n">
        <f aca="false">-AX33*Servicing/12</f>
        <v>-5221199.83643321</v>
      </c>
      <c r="AY39" s="33" t="n">
        <f aca="false">-AY33*Servicing/12</f>
        <v>-5453384.49228439</v>
      </c>
      <c r="AZ39" s="33" t="n">
        <f aca="false">-AZ33*Servicing/12</f>
        <v>-5683106.04830471</v>
      </c>
      <c r="BA39" s="33" t="n">
        <f aca="false">-BA33*Servicing/12</f>
        <v>-5916587.88093877</v>
      </c>
      <c r="BB39" s="33" t="n">
        <f aca="false">-BB33*Servicing/12</f>
        <v>-6153851.00019637</v>
      </c>
      <c r="BC39" s="33" t="n">
        <f aca="false">-BC33*Servicing/12</f>
        <v>-6388815.83899244</v>
      </c>
      <c r="BD39" s="33" t="n">
        <f aca="false">-BD33*Servicing/12</f>
        <v>-6621612.26241254</v>
      </c>
      <c r="BE39" s="33" t="n">
        <f aca="false">-BE33*Servicing/12</f>
        <v>-6852373.23585721</v>
      </c>
      <c r="BF39" s="33" t="n">
        <f aca="false">-BF33*Servicing/12</f>
        <v>-7081235.09751839</v>
      </c>
      <c r="BG39" s="33" t="n">
        <f aca="false">-BG33*Servicing/12</f>
        <v>-7308337.84556055</v>
      </c>
      <c r="BH39" s="33" t="n">
        <f aca="false">-BH33*Servicing/12</f>
        <v>-7533825.4409207</v>
      </c>
      <c r="BI39" s="33" t="n">
        <f aca="false">-BI33*Servicing/12</f>
        <v>-7757846.1266956</v>
      </c>
      <c r="BJ39" s="33" t="n">
        <f aca="false">-BJ33*Servicing/12</f>
        <v>-7980552.76514202</v>
      </c>
      <c r="BK39" s="33" t="n">
        <f aca="false">-BK33*Servicing/12</f>
        <v>-8201508.54292032</v>
      </c>
      <c r="BL39" s="33" t="n">
        <f aca="false">-BL33*Servicing/12</f>
        <v>-8419601.93919171</v>
      </c>
    </row>
    <row r="40" customFormat="false" ht="15" hidden="false" customHeight="false" outlineLevel="0" collapsed="false">
      <c r="A40" s="8" t="s">
        <v>629</v>
      </c>
      <c r="B40" s="14" t="s">
        <v>63</v>
      </c>
      <c r="D40" s="41" t="n">
        <f aca="false">SUM(E40:BL40)</f>
        <v>1790661804.78146</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96277.6452404791</v>
      </c>
      <c r="Q40" s="16" t="n">
        <f aca="false">SUM(Q36:Q39)</f>
        <v>322625.781260386</v>
      </c>
      <c r="R40" s="16" t="n">
        <f aca="false">SUM(R36:R39)</f>
        <v>616324.525686948</v>
      </c>
      <c r="S40" s="16" t="n">
        <f aca="false">SUM(S36:S39)</f>
        <v>1004024.90102718</v>
      </c>
      <c r="T40" s="16" t="n">
        <f aca="false">SUM(T36:T39)</f>
        <v>1491573.43034649</v>
      </c>
      <c r="U40" s="16" t="n">
        <f aca="false">SUM(U36:U39)</f>
        <v>2057839.32338436</v>
      </c>
      <c r="V40" s="16" t="n">
        <f aca="false">SUM(V36:V39)</f>
        <v>2702711.98585791</v>
      </c>
      <c r="W40" s="16" t="n">
        <f aca="false">SUM(W36:W39)</f>
        <v>3468753.24256289</v>
      </c>
      <c r="X40" s="16" t="n">
        <f aca="false">SUM(X36:X39)</f>
        <v>4582733.75977526</v>
      </c>
      <c r="Y40" s="16" t="n">
        <f aca="false">SUM(Y36:Y39)</f>
        <v>6064894.98608137</v>
      </c>
      <c r="Z40" s="16" t="n">
        <f aca="false">SUM(Z36:Z39)</f>
        <v>7750752.65426151</v>
      </c>
      <c r="AA40" s="16" t="n">
        <f aca="false">SUM(AA36:AA39)</f>
        <v>9639403.24201433</v>
      </c>
      <c r="AB40" s="16" t="n">
        <f aca="false">SUM(AB36:AB39)</f>
        <v>11338759.6171188</v>
      </c>
      <c r="AC40" s="16" t="n">
        <f aca="false">SUM(AC36:AC39)</f>
        <v>12893084.705402</v>
      </c>
      <c r="AD40" s="16" t="n">
        <f aca="false">SUM(AD36:AD39)</f>
        <v>14630755.3972593</v>
      </c>
      <c r="AE40" s="16" t="n">
        <f aca="false">SUM(AE36:AE39)</f>
        <v>16349478.2707475</v>
      </c>
      <c r="AF40" s="16" t="n">
        <f aca="false">SUM(AF36:AF39)</f>
        <v>18034826.0551195</v>
      </c>
      <c r="AG40" s="16" t="n">
        <f aca="false">SUM(AG36:AG39)</f>
        <v>19767574.6671104</v>
      </c>
      <c r="AH40" s="16" t="n">
        <f aca="false">SUM(AH36:AH39)</f>
        <v>21548824.3508165</v>
      </c>
      <c r="AI40" s="16" t="n">
        <f aca="false">SUM(AI36:AI39)</f>
        <v>23379817.0567923</v>
      </c>
      <c r="AJ40" s="16" t="n">
        <f aca="false">SUM(AJ36:AJ39)</f>
        <v>25284503.7572892</v>
      </c>
      <c r="AK40" s="16" t="n">
        <f aca="false">SUM(AK36:AK39)</f>
        <v>27235278.0073254</v>
      </c>
      <c r="AL40" s="16" t="n">
        <f aca="false">SUM(AL36:AL39)</f>
        <v>29182095.649869</v>
      </c>
      <c r="AM40" s="16" t="n">
        <f aca="false">SUM(AM36:AM39)</f>
        <v>31126702.1270177</v>
      </c>
      <c r="AN40" s="16" t="n">
        <f aca="false">SUM(AN36:AN39)</f>
        <v>33070912.5836645</v>
      </c>
      <c r="AO40" s="16" t="n">
        <f aca="false">SUM(AO36:AO39)</f>
        <v>35080142.601246</v>
      </c>
      <c r="AP40" s="16" t="n">
        <f aca="false">SUM(AP36:AP39)</f>
        <v>37155323.9942862</v>
      </c>
      <c r="AQ40" s="16" t="n">
        <f aca="false">SUM(AQ36:AQ39)</f>
        <v>39233966.0050914</v>
      </c>
      <c r="AR40" s="16" t="n">
        <f aca="false">SUM(AR36:AR39)</f>
        <v>41318249.9924895</v>
      </c>
      <c r="AS40" s="16" t="n">
        <f aca="false">SUM(AS36:AS39)</f>
        <v>43405097.9271322</v>
      </c>
      <c r="AT40" s="16" t="n">
        <f aca="false">SUM(AT36:AT39)</f>
        <v>45479198.4861072</v>
      </c>
      <c r="AU40" s="16" t="n">
        <f aca="false">SUM(AU36:AU39)</f>
        <v>47529927.2934979</v>
      </c>
      <c r="AV40" s="16" t="n">
        <f aca="false">SUM(AV36:AV39)</f>
        <v>49801960.3472243</v>
      </c>
      <c r="AW40" s="16" t="n">
        <f aca="false">SUM(AW36:AW39)</f>
        <v>52292334.0477863</v>
      </c>
      <c r="AX40" s="16" t="n">
        <f aca="false">SUM(AX36:AX39)</f>
        <v>54754496.9299837</v>
      </c>
      <c r="AY40" s="16" t="n">
        <f aca="false">SUM(AY36:AY39)</f>
        <v>57189645.2601976</v>
      </c>
      <c r="AZ40" s="16" t="n">
        <f aca="false">SUM(AZ36:AZ39)</f>
        <v>59598996.3113891</v>
      </c>
      <c r="BA40" s="16" t="n">
        <f aca="false">SUM(BA36:BA39)</f>
        <v>62047801.3942628</v>
      </c>
      <c r="BB40" s="16" t="n">
        <f aca="false">SUM(BB36:BB39)</f>
        <v>64536281.0762054</v>
      </c>
      <c r="BC40" s="16" t="n">
        <f aca="false">SUM(BC36:BC39)</f>
        <v>67000691.4657034</v>
      </c>
      <c r="BD40" s="16" t="n">
        <f aca="false">SUM(BD36:BD39)</f>
        <v>69442393.5263021</v>
      </c>
      <c r="BE40" s="16" t="n">
        <f aca="false">SUM(BE36:BE39)</f>
        <v>71862780.7563433</v>
      </c>
      <c r="BF40" s="16" t="n">
        <f aca="false">SUM(BF36:BF39)</f>
        <v>74263282.046029</v>
      </c>
      <c r="BG40" s="16" t="n">
        <f aca="false">SUM(BG36:BG39)</f>
        <v>76645364.6887049</v>
      </c>
      <c r="BH40" s="16" t="n">
        <f aca="false">SUM(BH36:BH39)</f>
        <v>79010537.5559503</v>
      </c>
      <c r="BI40" s="16" t="n">
        <f aca="false">SUM(BI36:BI39)</f>
        <v>81360354.4466292</v>
      </c>
      <c r="BJ40" s="16" t="n">
        <f aca="false">SUM(BJ36:BJ39)</f>
        <v>83696417.6206613</v>
      </c>
      <c r="BK40" s="16" t="n">
        <f aca="false">SUM(BK36:BK39)</f>
        <v>86014146.6278012</v>
      </c>
      <c r="BL40" s="16" t="n">
        <f aca="false">SUM(BL36:BL39)</f>
        <v>88301886.6574045</v>
      </c>
    </row>
    <row r="41" customFormat="false" ht="15" hidden="false" customHeight="false" outlineLevel="0" collapsed="false">
      <c r="A41" s="12" t="s">
        <v>630</v>
      </c>
      <c r="B41" s="14" t="s">
        <v>115</v>
      </c>
      <c r="E41" s="45" t="n">
        <f aca="false">IF(E$3&gt;=Own_Funding_Month,1,Partner_Share)</f>
        <v>0.5</v>
      </c>
      <c r="F41" s="45" t="n">
        <f aca="false">IF(F$3&gt;=Own_Funding_Month,1,Partner_Share)</f>
        <v>0.5</v>
      </c>
      <c r="G41" s="45" t="n">
        <f aca="false">IF(G$3&gt;=Own_Funding_Month,1,Partner_Share)</f>
        <v>0.5</v>
      </c>
      <c r="H41" s="45" t="n">
        <f aca="false">IF(H$3&gt;=Own_Funding_Month,1,Partner_Share)</f>
        <v>0.5</v>
      </c>
      <c r="I41" s="45" t="n">
        <f aca="false">IF(I$3&gt;=Own_Funding_Month,1,Partner_Share)</f>
        <v>0.5</v>
      </c>
      <c r="J41" s="45" t="n">
        <f aca="false">IF(J$3&gt;=Own_Funding_Month,1,Partner_Share)</f>
        <v>0.5</v>
      </c>
      <c r="K41" s="45" t="n">
        <f aca="false">IF(K$3&gt;=Own_Funding_Month,1,Partner_Share)</f>
        <v>0.5</v>
      </c>
      <c r="L41" s="45" t="n">
        <f aca="false">IF(L$3&gt;=Own_Funding_Month,1,Partner_Share)</f>
        <v>0.5</v>
      </c>
      <c r="M41" s="45" t="n">
        <f aca="false">IF(M$3&gt;=Own_Funding_Month,1,Partner_Share)</f>
        <v>0.5</v>
      </c>
      <c r="N41" s="45" t="n">
        <f aca="false">IF(N$3&gt;=Own_Funding_Month,1,Partner_Share)</f>
        <v>0.5</v>
      </c>
      <c r="O41" s="45" t="n">
        <f aca="false">IF(O$3&gt;=Own_Funding_Month,1,Partner_Share)</f>
        <v>0.5</v>
      </c>
      <c r="P41" s="45" t="n">
        <f aca="false">IF(P$3&gt;=Own_Funding_Month,1,Partner_Share)</f>
        <v>0.5</v>
      </c>
      <c r="Q41" s="45" t="n">
        <f aca="false">IF(Q$3&gt;=Own_Funding_Month,1,Partner_Share)</f>
        <v>0.5</v>
      </c>
      <c r="R41" s="45" t="n">
        <f aca="false">IF(R$3&gt;=Own_Funding_Month,1,Partner_Share)</f>
        <v>0.5</v>
      </c>
      <c r="S41" s="45" t="n">
        <f aca="false">IF(S$3&gt;=Own_Funding_Month,1,Partner_Share)</f>
        <v>0.5</v>
      </c>
      <c r="T41" s="45" t="n">
        <f aca="false">IF(T$3&gt;=Own_Funding_Month,1,Partner_Share)</f>
        <v>0.5</v>
      </c>
      <c r="U41" s="45" t="n">
        <f aca="false">IF(U$3&gt;=Own_Funding_Month,1,Partner_Share)</f>
        <v>0.5</v>
      </c>
      <c r="V41" s="45" t="n">
        <f aca="false">IF(V$3&gt;=Own_Funding_Month,1,Partner_Share)</f>
        <v>0.5</v>
      </c>
      <c r="W41" s="45" t="n">
        <f aca="false">IF(W$3&gt;=Own_Funding_Month,1,Partner_Share)</f>
        <v>0.5</v>
      </c>
      <c r="X41" s="45" t="n">
        <f aca="false">IF(X$3&gt;=Own_Funding_Month,1,Partner_Share)</f>
        <v>0.5</v>
      </c>
      <c r="Y41" s="45" t="n">
        <f aca="false">IF(Y$3&gt;=Own_Funding_Month,1,Partner_Share)</f>
        <v>0.5</v>
      </c>
      <c r="Z41" s="45" t="n">
        <f aca="false">IF(Z$3&gt;=Own_Funding_Month,1,Partner_Share)</f>
        <v>0.5</v>
      </c>
      <c r="AA41" s="45" t="n">
        <f aca="false">IF(AA$3&gt;=Own_Funding_Month,1,Partner_Share)</f>
        <v>0.5</v>
      </c>
      <c r="AB41" s="45" t="n">
        <f aca="false">IF(AB$3&gt;=Own_Funding_Month,1,Partner_Share)</f>
        <v>0.5</v>
      </c>
      <c r="AC41" s="45" t="n">
        <f aca="false">IF(AC$3&gt;=Own_Funding_Month,1,Partner_Share)</f>
        <v>0.5</v>
      </c>
      <c r="AD41" s="45" t="n">
        <f aca="false">IF(AD$3&gt;=Own_Funding_Month,1,Partner_Share)</f>
        <v>0.5</v>
      </c>
      <c r="AE41" s="45" t="n">
        <f aca="false">IF(AE$3&gt;=Own_Funding_Month,1,Partner_Share)</f>
        <v>0.5</v>
      </c>
      <c r="AF41" s="45" t="n">
        <f aca="false">IF(AF$3&gt;=Own_Funding_Month,1,Partner_Share)</f>
        <v>0.5</v>
      </c>
      <c r="AG41" s="45" t="n">
        <f aca="false">IF(AG$3&gt;=Own_Funding_Month,1,Partner_Share)</f>
        <v>0.5</v>
      </c>
      <c r="AH41" s="45" t="n">
        <f aca="false">IF(AH$3&gt;=Own_Funding_Month,1,Partner_Share)</f>
        <v>0.5</v>
      </c>
      <c r="AI41" s="45" t="n">
        <f aca="false">IF(AI$3&gt;=Own_Funding_Month,1,Partner_Share)</f>
        <v>0.5</v>
      </c>
      <c r="AJ41" s="45" t="n">
        <f aca="false">IF(AJ$3&gt;=Own_Funding_Month,1,Partner_Share)</f>
        <v>0.5</v>
      </c>
      <c r="AK41" s="45" t="n">
        <f aca="false">IF(AK$3&gt;=Own_Funding_Month,1,Partner_Share)</f>
        <v>0.5</v>
      </c>
      <c r="AL41" s="45" t="n">
        <f aca="false">IF(AL$3&gt;=Own_Funding_Month,1,Partner_Share)</f>
        <v>0.5</v>
      </c>
      <c r="AM41" s="45" t="n">
        <f aca="false">IF(AM$3&gt;=Own_Funding_Month,1,Partner_Share)</f>
        <v>0.5</v>
      </c>
      <c r="AN41" s="45" t="n">
        <f aca="false">IF(AN$3&gt;=Own_Funding_Month,1,Partner_Share)</f>
        <v>0.5</v>
      </c>
      <c r="AO41" s="45" t="n">
        <f aca="false">IF(AO$3&gt;=Own_Funding_Month,1,Partner_Share)</f>
        <v>1</v>
      </c>
      <c r="AP41" s="45" t="n">
        <f aca="false">IF(AP$3&gt;=Own_Funding_Month,1,Partner_Share)</f>
        <v>1</v>
      </c>
      <c r="AQ41" s="45" t="n">
        <f aca="false">IF(AQ$3&gt;=Own_Funding_Month,1,Partner_Share)</f>
        <v>1</v>
      </c>
      <c r="AR41" s="45" t="n">
        <f aca="false">IF(AR$3&gt;=Own_Funding_Month,1,Partner_Share)</f>
        <v>1</v>
      </c>
      <c r="AS41" s="45" t="n">
        <f aca="false">IF(AS$3&gt;=Own_Funding_Month,1,Partner_Share)</f>
        <v>1</v>
      </c>
      <c r="AT41" s="45" t="n">
        <f aca="false">IF(AT$3&gt;=Own_Funding_Month,1,Partner_Share)</f>
        <v>1</v>
      </c>
      <c r="AU41" s="45" t="n">
        <f aca="false">IF(AU$3&gt;=Own_Funding_Month,1,Partner_Share)</f>
        <v>1</v>
      </c>
      <c r="AV41" s="45" t="n">
        <f aca="false">IF(AV$3&gt;=Own_Funding_Month,1,Partner_Share)</f>
        <v>1</v>
      </c>
      <c r="AW41" s="45" t="n">
        <f aca="false">IF(AW$3&gt;=Own_Funding_Month,1,Partner_Share)</f>
        <v>1</v>
      </c>
      <c r="AX41" s="45" t="n">
        <f aca="false">IF(AX$3&gt;=Own_Funding_Month,1,Partner_Share)</f>
        <v>1</v>
      </c>
      <c r="AY41" s="45" t="n">
        <f aca="false">IF(AY$3&gt;=Own_Funding_Month,1,Partner_Share)</f>
        <v>1</v>
      </c>
      <c r="AZ41" s="45" t="n">
        <f aca="false">IF(AZ$3&gt;=Own_Funding_Month,1,Partner_Share)</f>
        <v>1</v>
      </c>
      <c r="BA41" s="45" t="n">
        <f aca="false">IF(BA$3&gt;=Own_Funding_Month,1,Partner_Share)</f>
        <v>1</v>
      </c>
      <c r="BB41" s="45" t="n">
        <f aca="false">IF(BB$3&gt;=Own_Funding_Month,1,Partner_Share)</f>
        <v>1</v>
      </c>
      <c r="BC41" s="45" t="n">
        <f aca="false">IF(BC$3&gt;=Own_Funding_Month,1,Partner_Share)</f>
        <v>1</v>
      </c>
      <c r="BD41" s="45" t="n">
        <f aca="false">IF(BD$3&gt;=Own_Funding_Month,1,Partner_Share)</f>
        <v>1</v>
      </c>
      <c r="BE41" s="45" t="n">
        <f aca="false">IF(BE$3&gt;=Own_Funding_Month,1,Partner_Share)</f>
        <v>1</v>
      </c>
      <c r="BF41" s="45" t="n">
        <f aca="false">IF(BF$3&gt;=Own_Funding_Month,1,Partner_Share)</f>
        <v>1</v>
      </c>
      <c r="BG41" s="45" t="n">
        <f aca="false">IF(BG$3&gt;=Own_Funding_Month,1,Partner_Share)</f>
        <v>1</v>
      </c>
      <c r="BH41" s="45" t="n">
        <f aca="false">IF(BH$3&gt;=Own_Funding_Month,1,Partner_Share)</f>
        <v>1</v>
      </c>
      <c r="BI41" s="45" t="n">
        <f aca="false">IF(BI$3&gt;=Own_Funding_Month,1,Partner_Share)</f>
        <v>1</v>
      </c>
      <c r="BJ41" s="45" t="n">
        <f aca="false">IF(BJ$3&gt;=Own_Funding_Month,1,Partner_Share)</f>
        <v>1</v>
      </c>
      <c r="BK41" s="45" t="n">
        <f aca="false">IF(BK$3&gt;=Own_Funding_Month,1,Partner_Share)</f>
        <v>1</v>
      </c>
      <c r="BL41" s="45" t="n">
        <f aca="false">IF(BL$3&gt;=Own_Funding_Month,1,Partner_Share)</f>
        <v>1</v>
      </c>
    </row>
    <row r="42" customFormat="false" ht="15" hidden="false" customHeight="false" outlineLevel="0" collapsed="false">
      <c r="A42" s="8" t="s">
        <v>631</v>
      </c>
      <c r="B42" s="14" t="s">
        <v>63</v>
      </c>
      <c r="D42" s="41" t="n">
        <f aca="false">SUM(E42:BL42)</f>
        <v>1628841540.91994</v>
      </c>
      <c r="E42" s="16" t="n">
        <f aca="false">E40*E41</f>
        <v>0</v>
      </c>
      <c r="F42" s="16" t="n">
        <f aca="false">F40*F41</f>
        <v>0</v>
      </c>
      <c r="G42" s="16" t="n">
        <f aca="false">G40*G41</f>
        <v>0</v>
      </c>
      <c r="H42" s="16" t="n">
        <f aca="false">H40*H41</f>
        <v>0</v>
      </c>
      <c r="I42" s="16" t="n">
        <f aca="false">I40*I41</f>
        <v>0</v>
      </c>
      <c r="J42" s="16" t="n">
        <f aca="false">J40*J41</f>
        <v>0</v>
      </c>
      <c r="K42" s="16" t="n">
        <f aca="false">K40*K41</f>
        <v>0</v>
      </c>
      <c r="L42" s="16" t="n">
        <f aca="false">L40*L41</f>
        <v>0</v>
      </c>
      <c r="M42" s="16" t="n">
        <f aca="false">M40*M41</f>
        <v>0</v>
      </c>
      <c r="N42" s="16" t="n">
        <f aca="false">N40*N41</f>
        <v>0</v>
      </c>
      <c r="O42" s="16" t="n">
        <f aca="false">O40*O41</f>
        <v>0</v>
      </c>
      <c r="P42" s="16" t="n">
        <f aca="false">P40*P41</f>
        <v>48138.8226202395</v>
      </c>
      <c r="Q42" s="16" t="n">
        <f aca="false">Q40*Q41</f>
        <v>161312.890630193</v>
      </c>
      <c r="R42" s="16" t="n">
        <f aca="false">R40*R41</f>
        <v>308162.262843474</v>
      </c>
      <c r="S42" s="16" t="n">
        <f aca="false">S40*S41</f>
        <v>502012.450513591</v>
      </c>
      <c r="T42" s="16" t="n">
        <f aca="false">T40*T41</f>
        <v>745786.715173246</v>
      </c>
      <c r="U42" s="16" t="n">
        <f aca="false">U40*U41</f>
        <v>1028919.66169218</v>
      </c>
      <c r="V42" s="16" t="n">
        <f aca="false">V40*V41</f>
        <v>1351355.99292895</v>
      </c>
      <c r="W42" s="16" t="n">
        <f aca="false">W40*W41</f>
        <v>1734376.62128144</v>
      </c>
      <c r="X42" s="16" t="n">
        <f aca="false">X40*X41</f>
        <v>2291366.87988763</v>
      </c>
      <c r="Y42" s="16" t="n">
        <f aca="false">Y40*Y41</f>
        <v>3032447.49304068</v>
      </c>
      <c r="Z42" s="16" t="n">
        <f aca="false">Z40*Z41</f>
        <v>3875376.32713075</v>
      </c>
      <c r="AA42" s="16" t="n">
        <f aca="false">AA40*AA41</f>
        <v>4819701.62100716</v>
      </c>
      <c r="AB42" s="16" t="n">
        <f aca="false">AB40*AB41</f>
        <v>5669379.80855941</v>
      </c>
      <c r="AC42" s="16" t="n">
        <f aca="false">AC40*AC41</f>
        <v>6446542.35270101</v>
      </c>
      <c r="AD42" s="16" t="n">
        <f aca="false">AD40*AD41</f>
        <v>7315377.69862963</v>
      </c>
      <c r="AE42" s="16" t="n">
        <f aca="false">AE40*AE41</f>
        <v>8174739.13537375</v>
      </c>
      <c r="AF42" s="16" t="n">
        <f aca="false">AF40*AF41</f>
        <v>9017413.02755974</v>
      </c>
      <c r="AG42" s="16" t="n">
        <f aca="false">AG40*AG41</f>
        <v>9883787.33355519</v>
      </c>
      <c r="AH42" s="16" t="n">
        <f aca="false">AH40*AH41</f>
        <v>10774412.1754083</v>
      </c>
      <c r="AI42" s="16" t="n">
        <f aca="false">AI40*AI41</f>
        <v>11689908.5283962</v>
      </c>
      <c r="AJ42" s="16" t="n">
        <f aca="false">AJ40*AJ41</f>
        <v>12642251.8786446</v>
      </c>
      <c r="AK42" s="16" t="n">
        <f aca="false">AK40*AK41</f>
        <v>13617639.0036627</v>
      </c>
      <c r="AL42" s="16" t="n">
        <f aca="false">AL40*AL41</f>
        <v>14591047.8249345</v>
      </c>
      <c r="AM42" s="16" t="n">
        <f aca="false">AM40*AM41</f>
        <v>15563351.0635089</v>
      </c>
      <c r="AN42" s="16" t="n">
        <f aca="false">AN40*AN41</f>
        <v>16535456.2918322</v>
      </c>
      <c r="AO42" s="16" t="n">
        <f aca="false">AO40*AO41</f>
        <v>35080142.601246</v>
      </c>
      <c r="AP42" s="16" t="n">
        <f aca="false">AP40*AP41</f>
        <v>37155323.9942862</v>
      </c>
      <c r="AQ42" s="16" t="n">
        <f aca="false">AQ40*AQ41</f>
        <v>39233966.0050914</v>
      </c>
      <c r="AR42" s="16" t="n">
        <f aca="false">AR40*AR41</f>
        <v>41318249.9924895</v>
      </c>
      <c r="AS42" s="16" t="n">
        <f aca="false">AS40*AS41</f>
        <v>43405097.9271322</v>
      </c>
      <c r="AT42" s="16" t="n">
        <f aca="false">AT40*AT41</f>
        <v>45479198.4861072</v>
      </c>
      <c r="AU42" s="16" t="n">
        <f aca="false">AU40*AU41</f>
        <v>47529927.2934979</v>
      </c>
      <c r="AV42" s="16" t="n">
        <f aca="false">AV40*AV41</f>
        <v>49801960.3472243</v>
      </c>
      <c r="AW42" s="16" t="n">
        <f aca="false">AW40*AW41</f>
        <v>52292334.0477863</v>
      </c>
      <c r="AX42" s="16" t="n">
        <f aca="false">AX40*AX41</f>
        <v>54754496.9299837</v>
      </c>
      <c r="AY42" s="16" t="n">
        <f aca="false">AY40*AY41</f>
        <v>57189645.2601976</v>
      </c>
      <c r="AZ42" s="16" t="n">
        <f aca="false">AZ40*AZ41</f>
        <v>59598996.3113891</v>
      </c>
      <c r="BA42" s="16" t="n">
        <f aca="false">BA40*BA41</f>
        <v>62047801.3942628</v>
      </c>
      <c r="BB42" s="16" t="n">
        <f aca="false">BB40*BB41</f>
        <v>64536281.0762054</v>
      </c>
      <c r="BC42" s="16" t="n">
        <f aca="false">BC40*BC41</f>
        <v>67000691.4657034</v>
      </c>
      <c r="BD42" s="16" t="n">
        <f aca="false">BD40*BD41</f>
        <v>69442393.5263021</v>
      </c>
      <c r="BE42" s="16" t="n">
        <f aca="false">BE40*BE41</f>
        <v>71862780.7563433</v>
      </c>
      <c r="BF42" s="16" t="n">
        <f aca="false">BF40*BF41</f>
        <v>74263282.046029</v>
      </c>
      <c r="BG42" s="16" t="n">
        <f aca="false">BG40*BG41</f>
        <v>76645364.6887049</v>
      </c>
      <c r="BH42" s="16" t="n">
        <f aca="false">BH40*BH41</f>
        <v>79010537.5559503</v>
      </c>
      <c r="BI42" s="16" t="n">
        <f aca="false">BI40*BI41</f>
        <v>81360354.4466292</v>
      </c>
      <c r="BJ42" s="16" t="n">
        <f aca="false">BJ40*BJ41</f>
        <v>83696417.6206613</v>
      </c>
      <c r="BK42" s="16" t="n">
        <f aca="false">BK40*BK41</f>
        <v>86014146.6278012</v>
      </c>
      <c r="BL42" s="16" t="n">
        <f aca="false">BL40*BL41</f>
        <v>88301886.6574045</v>
      </c>
    </row>
    <row r="44" customFormat="false" ht="15" hidden="false" customHeight="false" outlineLevel="0" collapsed="false">
      <c r="A44" s="10" t="s">
        <v>632</v>
      </c>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row>
    <row r="45" customFormat="false" ht="15" hidden="false" customHeight="false" outlineLevel="0" collapsed="false">
      <c r="A45" s="12" t="s">
        <v>633</v>
      </c>
      <c r="B45" s="14" t="s">
        <v>63</v>
      </c>
      <c r="D45" s="41" t="n">
        <f aca="false">BL45</f>
        <v>1535001079.02664</v>
      </c>
      <c r="E45" s="33" t="n">
        <f aca="false">IF(E$3&gt;=Own_Funding_Month,E25*Capital_Ratio,E25*First_Loss)</f>
        <v>0</v>
      </c>
      <c r="F45" s="33" t="n">
        <f aca="false">IF(F$3&gt;=Own_Funding_Month,F25*Capital_Ratio,F25*First_Loss)</f>
        <v>0</v>
      </c>
      <c r="G45" s="33" t="n">
        <f aca="false">IF(G$3&gt;=Own_Funding_Month,G25*Capital_Ratio,G25*First_Loss)</f>
        <v>0</v>
      </c>
      <c r="H45" s="33" t="n">
        <f aca="false">IF(H$3&gt;=Own_Funding_Month,H25*Capital_Ratio,H25*First_Loss)</f>
        <v>0</v>
      </c>
      <c r="I45" s="33" t="n">
        <f aca="false">IF(I$3&gt;=Own_Funding_Month,I25*Capital_Ratio,I25*First_Loss)</f>
        <v>0</v>
      </c>
      <c r="J45" s="33" t="n">
        <f aca="false">IF(J$3&gt;=Own_Funding_Month,J25*Capital_Ratio,J25*First_Loss)</f>
        <v>0</v>
      </c>
      <c r="K45" s="33" t="n">
        <f aca="false">IF(K$3&gt;=Own_Funding_Month,K25*Capital_Ratio,K25*First_Loss)</f>
        <v>0</v>
      </c>
      <c r="L45" s="33" t="n">
        <f aca="false">IF(L$3&gt;=Own_Funding_Month,L25*Capital_Ratio,L25*First_Loss)</f>
        <v>0</v>
      </c>
      <c r="M45" s="33" t="n">
        <f aca="false">IF(M$3&gt;=Own_Funding_Month,M25*Capital_Ratio,M25*First_Loss)</f>
        <v>0</v>
      </c>
      <c r="N45" s="33" t="n">
        <f aca="false">IF(N$3&gt;=Own_Funding_Month,N25*Capital_Ratio,N25*First_Loss)</f>
        <v>0</v>
      </c>
      <c r="O45" s="33" t="n">
        <f aca="false">IF(O$3&gt;=Own_Funding_Month,O25*Capital_Ratio,O25*First_Loss)</f>
        <v>0</v>
      </c>
      <c r="P45" s="33" t="n">
        <f aca="false">IF(P$3&gt;=Own_Funding_Month,P25*Capital_Ratio,P25*First_Loss)</f>
        <v>2024719.68705342</v>
      </c>
      <c r="Q45" s="33" t="n">
        <f aca="false">IF(Q$3&gt;=Own_Funding_Month,Q25*Capital_Ratio,Q25*First_Loss)</f>
        <v>4760099.99305954</v>
      </c>
      <c r="R45" s="33" t="n">
        <f aca="false">IF(R$3&gt;=Own_Funding_Month,R25*Capital_Ratio,R25*First_Loss)</f>
        <v>8201195.18552152</v>
      </c>
      <c r="S45" s="33" t="n">
        <f aca="false">IF(S$3&gt;=Own_Funding_Month,S25*Capital_Ratio,S25*First_Loss)</f>
        <v>13065992.2181017</v>
      </c>
      <c r="T45" s="33" t="n">
        <f aca="false">IF(T$3&gt;=Own_Funding_Month,T25*Capital_Ratio,T25*First_Loss)</f>
        <v>18794147.2660798</v>
      </c>
      <c r="U45" s="33" t="n">
        <f aca="false">IF(U$3&gt;=Own_Funding_Month,U25*Capital_Ratio,U25*First_Loss)</f>
        <v>25383612.7302259</v>
      </c>
      <c r="V45" s="33" t="n">
        <f aca="false">IF(V$3&gt;=Own_Funding_Month,V25*Capital_Ratio,V25*First_Loss)</f>
        <v>32833913.308893</v>
      </c>
      <c r="W45" s="33" t="n">
        <f aca="false">IF(W$3&gt;=Own_Funding_Month,W25*Capital_Ratio,W25*First_Loss)</f>
        <v>42065335.6341457</v>
      </c>
      <c r="X45" s="33" t="n">
        <f aca="false">IF(X$3&gt;=Own_Funding_Month,X25*Capital_Ratio,X25*First_Loss)</f>
        <v>57460049.9033951</v>
      </c>
      <c r="Y45" s="33" t="n">
        <f aca="false">IF(Y$3&gt;=Own_Funding_Month,Y25*Capital_Ratio,Y25*First_Loss)</f>
        <v>75194138.3867674</v>
      </c>
      <c r="Z45" s="33" t="n">
        <f aca="false">IF(Z$3&gt;=Own_Funding_Month,Z25*Capital_Ratio,Z25*First_Loss)</f>
        <v>95254981.4365943</v>
      </c>
      <c r="AA45" s="33" t="n">
        <f aca="false">IF(AA$3&gt;=Own_Funding_Month,AA25*Capital_Ratio,AA25*First_Loss)</f>
        <v>117633818.625778</v>
      </c>
      <c r="AB45" s="33" t="n">
        <f aca="false">IF(AB$3&gt;=Own_Funding_Month,AB25*Capital_Ratio,AB25*First_Loss)</f>
        <v>134092115.439051</v>
      </c>
      <c r="AC45" s="33" t="n">
        <f aca="false">IF(AC$3&gt;=Own_Funding_Month,AC25*Capital_Ratio,AC25*First_Loss)</f>
        <v>153953840.71899</v>
      </c>
      <c r="AD45" s="33" t="n">
        <f aca="false">IF(AD$3&gt;=Own_Funding_Month,AD25*Capital_Ratio,AD25*First_Loss)</f>
        <v>174836976.269594</v>
      </c>
      <c r="AE45" s="33" t="n">
        <f aca="false">IF(AE$3&gt;=Own_Funding_Month,AE25*Capital_Ratio,AE25*First_Loss)</f>
        <v>194214273.775529</v>
      </c>
      <c r="AF45" s="33" t="n">
        <f aca="false">IF(AF$3&gt;=Own_Funding_Month,AF25*Capital_Ratio,AF25*First_Loss)</f>
        <v>214223675.615845</v>
      </c>
      <c r="AG45" s="33" t="n">
        <f aca="false">IF(AG$3&gt;=Own_Funding_Month,AG25*Capital_Ratio,AG25*First_Loss)</f>
        <v>234876513.310684</v>
      </c>
      <c r="AH45" s="33" t="n">
        <f aca="false">IF(AH$3&gt;=Own_Funding_Month,AH25*Capital_Ratio,AH25*First_Loss)</f>
        <v>256185860.589182</v>
      </c>
      <c r="AI45" s="33" t="n">
        <f aca="false">IF(AI$3&gt;=Own_Funding_Month,AI25*Capital_Ratio,AI25*First_Loss)</f>
        <v>278166630.852078</v>
      </c>
      <c r="AJ45" s="33" t="n">
        <f aca="false">IF(AJ$3&gt;=Own_Funding_Month,AJ25*Capital_Ratio,AJ25*First_Loss)</f>
        <v>300516941.686558</v>
      </c>
      <c r="AK45" s="33" t="n">
        <f aca="false">IF(AK$3&gt;=Own_Funding_Month,AK25*Capital_Ratio,AK25*First_Loss)</f>
        <v>322811884.412729</v>
      </c>
      <c r="AL45" s="33" t="n">
        <f aca="false">IF(AL$3&gt;=Own_Funding_Month,AL25*Capital_Ratio,AL25*First_Loss)</f>
        <v>345071054.146859</v>
      </c>
      <c r="AM45" s="33" t="n">
        <f aca="false">IF(AM$3&gt;=Own_Funding_Month,AM25*Capital_Ratio,AM25*First_Loss)</f>
        <v>367314816.535016</v>
      </c>
      <c r="AN45" s="33" t="n">
        <f aca="false">IF(AN$3&gt;=Own_Funding_Month,AN25*Capital_Ratio,AN25*First_Loss)</f>
        <v>389564361.494808</v>
      </c>
      <c r="AO45" s="33" t="n">
        <f aca="false">IF(AO$3&gt;=Own_Funding_Month,AO25*Capital_Ratio,AO25*First_Loss)</f>
        <v>619943790.057455</v>
      </c>
      <c r="AP45" s="33" t="n">
        <f aca="false">IF(AP$3&gt;=Own_Funding_Month,AP25*Capital_Ratio,AP25*First_Loss)</f>
        <v>655581681.620707</v>
      </c>
      <c r="AQ45" s="33" t="n">
        <f aca="false">IF(AQ$3&gt;=Own_Funding_Month,AQ25*Capital_Ratio,AQ25*First_Loss)</f>
        <v>691296871.074304</v>
      </c>
      <c r="AR45" s="33" t="n">
        <f aca="false">IF(AR$3&gt;=Own_Funding_Month,AR25*Capital_Ratio,AR25*First_Loss)</f>
        <v>727127608.901956</v>
      </c>
      <c r="AS45" s="33" t="n">
        <f aca="false">IF(AS$3&gt;=Own_Funding_Month,AS25*Capital_Ratio,AS25*First_Loss)</f>
        <v>762929967.925276</v>
      </c>
      <c r="AT45" s="33" t="n">
        <f aca="false">IF(AT$3&gt;=Own_Funding_Month,AT25*Capital_Ratio,AT25*First_Loss)</f>
        <v>798322172.260328</v>
      </c>
      <c r="AU45" s="33" t="n">
        <f aca="false">IF(AU$3&gt;=Own_Funding_Month,AU25*Capital_Ratio,AU25*First_Loss)</f>
        <v>833321227.869363</v>
      </c>
      <c r="AV45" s="33" t="n">
        <f aca="false">IF(AV$3&gt;=Own_Funding_Month,AV25*Capital_Ratio,AV25*First_Loss)</f>
        <v>876311054.711091</v>
      </c>
      <c r="AW45" s="33" t="n">
        <f aca="false">IF(AW$3&gt;=Own_Funding_Month,AW25*Capital_Ratio,AW25*First_Loss)</f>
        <v>918805874.6467</v>
      </c>
      <c r="AX45" s="33" t="n">
        <f aca="false">IF(AX$3&gt;=Own_Funding_Month,AX25*Capital_Ratio,AX25*First_Loss)</f>
        <v>960826066.469257</v>
      </c>
      <c r="AY45" s="33" t="n">
        <f aca="false">IF(AY$3&gt;=Own_Funding_Month,AY25*Capital_Ratio,AY25*First_Loss)</f>
        <v>1002392350.75312</v>
      </c>
      <c r="AZ45" s="33" t="n">
        <f aca="false">IF(AZ$3&gt;=Own_Funding_Month,AZ25*Capital_Ratio,AZ25*First_Loss)</f>
        <v>1043525826.63657</v>
      </c>
      <c r="BA45" s="33" t="n">
        <f aca="false">IF(BA$3&gt;=Own_Funding_Month,BA25*Capital_Ratio,BA25*First_Loss)</f>
        <v>1086445810.50138</v>
      </c>
      <c r="BB45" s="33" t="n">
        <f aca="false">IF(BB$3&gt;=Own_Funding_Month,BB25*Capital_Ratio,BB25*First_Loss)</f>
        <v>1128940549.56931</v>
      </c>
      <c r="BC45" s="33" t="n">
        <f aca="false">IF(BC$3&gt;=Own_Funding_Month,BC25*Capital_Ratio,BC25*First_Loss)</f>
        <v>1171033152.46797</v>
      </c>
      <c r="BD45" s="33" t="n">
        <f aca="false">IF(BD$3&gt;=Own_Funding_Month,BD25*Capital_Ratio,BD25*First_Loss)</f>
        <v>1212747262.00055</v>
      </c>
      <c r="BE45" s="33" t="n">
        <f aca="false">IF(BE$3&gt;=Own_Funding_Month,BE25*Capital_Ratio,BE25*First_Loss)</f>
        <v>1254107102.90805</v>
      </c>
      <c r="BF45" s="33" t="n">
        <f aca="false">IF(BF$3&gt;=Own_Funding_Month,BF25*Capital_Ratio,BF25*First_Loss)</f>
        <v>1295137532.19857</v>
      </c>
      <c r="BG45" s="33" t="n">
        <f aca="false">IF(BG$3&gt;=Own_Funding_Month,BG25*Capital_Ratio,BG25*First_Loss)</f>
        <v>1335864092.20323</v>
      </c>
      <c r="BH45" s="33" t="n">
        <f aca="false">IF(BH$3&gt;=Own_Funding_Month,BH25*Capital_Ratio,BH25*First_Loss)</f>
        <v>1376313066.52822</v>
      </c>
      <c r="BI45" s="33" t="n">
        <f aca="false">IF(BI$3&gt;=Own_Funding_Month,BI25*Capital_Ratio,BI25*First_Loss)</f>
        <v>1416511539.08219</v>
      </c>
      <c r="BJ45" s="33" t="n">
        <f aca="false">IF(BJ$3&gt;=Own_Funding_Month,BJ25*Capital_Ratio,BJ25*First_Loss)</f>
        <v>1456487456.36894</v>
      </c>
      <c r="BK45" s="33" t="n">
        <f aca="false">IF(BK$3&gt;=Own_Funding_Month,BK25*Capital_Ratio,BK25*First_Loss)</f>
        <v>1496055619.08238</v>
      </c>
      <c r="BL45" s="33" t="n">
        <f aca="false">IF(BL$3&gt;=Own_Funding_Month,BL25*Capital_Ratio,BL25*First_Loss)</f>
        <v>1535001079.02664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634</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635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248</v>
      </c>
      <c r="B9" s="14" t="s">
        <v>63</v>
      </c>
      <c r="D9" s="41" t="n">
        <f aca="false">SUM(E9:BL9)</f>
        <v>781184368.196275</v>
      </c>
      <c r="E9" s="33" t="n">
        <f aca="false">'Clients &amp; revenue'!E17*Bank_Fee</f>
        <v>0</v>
      </c>
      <c r="F9" s="33" t="n">
        <f aca="false">'Clients &amp; revenue'!F17*Bank_Fee</f>
        <v>0</v>
      </c>
      <c r="G9" s="33" t="n">
        <f aca="false">'Clients &amp; revenue'!G17*Bank_Fee</f>
        <v>0</v>
      </c>
      <c r="H9" s="33" t="n">
        <f aca="false">'Clients &amp; revenue'!H17*Bank_Fee</f>
        <v>0</v>
      </c>
      <c r="I9" s="33" t="n">
        <f aca="false">'Clients &amp; revenue'!I17*Bank_Fee</f>
        <v>142400</v>
      </c>
      <c r="J9" s="33" t="n">
        <f aca="false">'Clients &amp; revenue'!J17*Bank_Fee</f>
        <v>284250.4</v>
      </c>
      <c r="K9" s="33" t="n">
        <f aca="false">'Clients &amp; revenue'!K17*Bank_Fee</f>
        <v>425671.152</v>
      </c>
      <c r="L9" s="33" t="n">
        <f aca="false">'Clients &amp; revenue'!L17*Bank_Fee</f>
        <v>626786.659535</v>
      </c>
      <c r="M9" s="33" t="n">
        <f aca="false">'Clients &amp; revenue'!M17*Bank_Fee</f>
        <v>826736.0961328</v>
      </c>
      <c r="N9" s="33" t="n">
        <f aca="false">'Clients &amp; revenue'!N17*Bank_Fee</f>
        <v>1025671.29189353</v>
      </c>
      <c r="O9" s="33" t="n">
        <f aca="false">'Clients &amp; revenue'!O17*Bank_Fee</f>
        <v>1223749.21360995</v>
      </c>
      <c r="P9" s="33" t="n">
        <f aca="false">'Clients &amp; revenue'!P17*Bank_Fee</f>
        <v>1421132.34719442</v>
      </c>
      <c r="Q9" s="33" t="n">
        <f aca="false">'Clients &amp; revenue'!Q17*Bank_Fee</f>
        <v>1670389.10162842</v>
      </c>
      <c r="R9" s="33" t="n">
        <f aca="false">'Clients &amp; revenue'!R17*Bank_Fee</f>
        <v>1918429.6357535</v>
      </c>
      <c r="S9" s="33" t="n">
        <f aca="false">'Clients &amp; revenue'!S17*Bank_Fee</f>
        <v>2165450.83630157</v>
      </c>
      <c r="T9" s="33" t="n">
        <f aca="false">'Clients &amp; revenue'!T17*Bank_Fee</f>
        <v>2411656.58321151</v>
      </c>
      <c r="U9" s="33" t="n">
        <f aca="false">'Clients &amp; revenue'!U17*Bank_Fee</f>
        <v>2657258.25909994</v>
      </c>
      <c r="V9" s="33" t="n">
        <f aca="false">'Clients &amp; revenue'!V17*Bank_Fee</f>
        <v>2902475.28757898</v>
      </c>
      <c r="W9" s="33" t="n">
        <f aca="false">'Clients &amp; revenue'!W17*Bank_Fee</f>
        <v>3217935.7021853</v>
      </c>
      <c r="X9" s="33" t="n">
        <f aca="false">'Clients &amp; revenue'!X17*Bank_Fee</f>
        <v>3734395.14779003</v>
      </c>
      <c r="Y9" s="33" t="n">
        <f aca="false">'Clients &amp; revenue'!Y17*Bank_Fee</f>
        <v>4247851.78847066</v>
      </c>
      <c r="Z9" s="33" t="n">
        <f aca="false">'Clients &amp; revenue'!Z17*Bank_Fee</f>
        <v>4758692.35300401</v>
      </c>
      <c r="AA9" s="33" t="n">
        <f aca="false">'Clients &amp; revenue'!AA17*Bank_Fee</f>
        <v>5267316.65204795</v>
      </c>
      <c r="AB9" s="33" t="n">
        <f aca="false">'Clients &amp; revenue'!AB17*Bank_Fee</f>
        <v>5774138.55175459</v>
      </c>
      <c r="AC9" s="33" t="n">
        <f aca="false">'Clients &amp; revenue'!AC17*Bank_Fee</f>
        <v>6384787.00218697</v>
      </c>
      <c r="AD9" s="33" t="n">
        <f aca="false">'Clients &amp; revenue'!AD17*Bank_Fee</f>
        <v>6992771.32389785</v>
      </c>
      <c r="AE9" s="33" t="n">
        <f aca="false">'Clients &amp; revenue'!AE17*Bank_Fee</f>
        <v>7598584.7272292</v>
      </c>
      <c r="AF9" s="33" t="n">
        <f aca="false">'Clients &amp; revenue'!AF17*Bank_Fee</f>
        <v>8202738.38406455</v>
      </c>
      <c r="AG9" s="33" t="n">
        <f aca="false">'Clients &amp; revenue'!AG17*Bank_Fee</f>
        <v>8805762.7220104</v>
      </c>
      <c r="AH9" s="33" t="n">
        <f aca="false">'Clients &amp; revenue'!AH17*Bank_Fee</f>
        <v>9408208.79208734</v>
      </c>
      <c r="AI9" s="33" t="n">
        <f aca="false">'Clients &amp; revenue'!AI17*Bank_Fee</f>
        <v>10010649.714422</v>
      </c>
      <c r="AJ9" s="33" t="n">
        <f aca="false">'Clients &amp; revenue'!AJ17*Bank_Fee</f>
        <v>10814682.2066988</v>
      </c>
      <c r="AK9" s="33" t="n">
        <f aca="false">'Clients &amp; revenue'!AK17*Bank_Fee</f>
        <v>11616611.7004149</v>
      </c>
      <c r="AL9" s="33" t="n">
        <f aca="false">'Clients &amp; revenue'!AL17*Bank_Fee</f>
        <v>12417145.8427815</v>
      </c>
      <c r="AM9" s="33" t="n">
        <f aca="false">'Clients &amp; revenue'!AM17*Bank_Fee</f>
        <v>13217019.9213828</v>
      </c>
      <c r="AN9" s="33" t="n">
        <f aca="false">'Clients &amp; revenue'!AN17*Bank_Fee</f>
        <v>14016998.7980315</v>
      </c>
      <c r="AO9" s="33" t="n">
        <f aca="false">'Clients &amp; revenue'!AO17*Bank_Fee</f>
        <v>14870278.953391</v>
      </c>
      <c r="AP9" s="33" t="n">
        <f aca="false">'Clients &amp; revenue'!AP17*Bank_Fee</f>
        <v>15724426.0491142</v>
      </c>
      <c r="AQ9" s="33" t="n">
        <f aca="false">'Clients &amp; revenue'!AQ17*Bank_Fee</f>
        <v>16580321.7416479</v>
      </c>
      <c r="AR9" s="33" t="n">
        <f aca="false">'Clients &amp; revenue'!AR17*Bank_Fee</f>
        <v>17438885.8898497</v>
      </c>
      <c r="AS9" s="33" t="n">
        <f aca="false">'Clients &amp; revenue'!AS17*Bank_Fee</f>
        <v>18296661.5597497</v>
      </c>
      <c r="AT9" s="33" t="n">
        <f aca="false">'Clients &amp; revenue'!AT17*Bank_Fee</f>
        <v>19144478.2541169</v>
      </c>
      <c r="AU9" s="33" t="n">
        <f aca="false">'Clients &amp; revenue'!AU17*Bank_Fee</f>
        <v>19982747.2093674</v>
      </c>
      <c r="AV9" s="33" t="n">
        <f aca="false">'Clients &amp; revenue'!AV17*Bank_Fee</f>
        <v>21012886.5107383</v>
      </c>
      <c r="AW9" s="33" t="n">
        <f aca="false">'Clients &amp; revenue'!AW17*Bank_Fee</f>
        <v>22031005.3333213</v>
      </c>
      <c r="AX9" s="33" t="n">
        <f aca="false">'Clients &amp; revenue'!AX17*Bank_Fee</f>
        <v>23037596.5137646</v>
      </c>
      <c r="AY9" s="33" t="n">
        <f aca="false">'Clients &amp; revenue'!AY17*Bank_Fee</f>
        <v>24033160.9865013</v>
      </c>
      <c r="AZ9" s="33" t="n">
        <f aca="false">'Clients &amp; revenue'!AZ17*Bank_Fee</f>
        <v>25018208.6674974</v>
      </c>
      <c r="BA9" s="33" t="n">
        <f aca="false">'Clients &amp; revenue'!BA17*Bank_Fee</f>
        <v>26046059.383435</v>
      </c>
      <c r="BB9" s="33" t="n">
        <f aca="false">'Clients &amp; revenue'!BB17*Bank_Fee</f>
        <v>27063572.6492043</v>
      </c>
      <c r="BC9" s="33" t="n">
        <f aca="false">'Clients &amp; revenue'!BC17*Bank_Fee</f>
        <v>28071306.5407475</v>
      </c>
      <c r="BD9" s="33" t="n">
        <f aca="false">'Clients &amp; revenue'!BD17*Bank_Fee</f>
        <v>29069831.847872</v>
      </c>
      <c r="BE9" s="33" t="n">
        <f aca="false">'Clients &amp; revenue'!BE17*Bank_Fee</f>
        <v>30059733.2211291</v>
      </c>
      <c r="BF9" s="33" t="n">
        <f aca="false">'Clients &amp; revenue'!BF17*Bank_Fee</f>
        <v>31041610.3801896</v>
      </c>
      <c r="BG9" s="33" t="n">
        <f aca="false">'Clients &amp; revenue'!BG17*Bank_Fee</f>
        <v>32016079.3875477</v>
      </c>
      <c r="BH9" s="33" t="n">
        <f aca="false">'Clients &amp; revenue'!BH17*Bank_Fee</f>
        <v>32983773.9916137</v>
      </c>
      <c r="BI9" s="33" t="n">
        <f aca="false">'Clients &amp; revenue'!BI17*Bank_Fee</f>
        <v>33945347.043493</v>
      </c>
      <c r="BJ9" s="33" t="n">
        <f aca="false">'Clients &amp; revenue'!BJ17*Bank_Fee</f>
        <v>34901471.9920079</v>
      </c>
      <c r="BK9" s="33" t="n">
        <f aca="false">'Clients &amp; revenue'!BK17*Bank_Fee</f>
        <v>35847701.5389191</v>
      </c>
      <c r="BL9" s="33" t="n">
        <f aca="false">'Clients &amp; revenue'!BL17*Bank_Fee</f>
        <v>36778874.3566566</v>
      </c>
    </row>
    <row r="10" customFormat="false" ht="15" hidden="false" customHeight="false" outlineLevel="0" collapsed="false">
      <c r="A10" s="12" t="s">
        <v>636</v>
      </c>
      <c r="B10" s="14" t="s">
        <v>63</v>
      </c>
      <c r="D10" s="41" t="n">
        <f aca="false">SUM(E10:BL10)</f>
        <v>279373651.451347</v>
      </c>
      <c r="E10" s="33" t="n">
        <f aca="false">'Sales &amp; marketing'!E33*(KYB_Cost+KYC_Cost*KYC_Persons)+MAX(0,'Clients &amp; revenue'!E32-0)*KYC_Cost</f>
        <v>0</v>
      </c>
      <c r="F10" s="33" t="n">
        <f aca="false">'Sales &amp; marketing'!F33*(KYB_Cost+KYC_Cost*KYC_Persons)+MAX(0,'Clients &amp; revenue'!F32-'Clients &amp; revenue'!E32)*KYC_Cost</f>
        <v>0</v>
      </c>
      <c r="G10" s="33" t="n">
        <f aca="false">'Sales &amp; marketing'!G33*(KYB_Cost+KYC_Cost*KYC_Persons)+MAX(0,'Clients &amp; revenue'!G32-'Clients &amp; revenue'!F32)*KYC_Cost</f>
        <v>0</v>
      </c>
      <c r="H10" s="33" t="n">
        <f aca="false">'Sales &amp; marketing'!H33*(KYB_Cost+KYC_Cost*KYC_Persons)+MAX(0,'Clients &amp; revenue'!H32-'Clients &amp; revenue'!G32)*KYC_Cost</f>
        <v>0</v>
      </c>
      <c r="I10" s="33" t="n">
        <f aca="false">'Sales &amp; marketing'!I33*(KYB_Cost+KYC_Cost*KYC_Persons)+MAX(0,'Clients &amp; revenue'!I32-'Clients &amp; revenue'!H32)*KYC_Cost</f>
        <v>655040</v>
      </c>
      <c r="J10" s="33" t="n">
        <f aca="false">'Sales &amp; marketing'!J33*(KYB_Cost+KYC_Cost*KYC_Persons)+MAX(0,'Clients &amp; revenue'!J32-'Clients &amp; revenue'!I32)*KYC_Cost</f>
        <v>663320</v>
      </c>
      <c r="K10" s="33" t="n">
        <f aca="false">'Sales &amp; marketing'!K33*(KYB_Cost+KYC_Cost*KYC_Persons)+MAX(0,'Clients &amp; revenue'!K32-'Clients &amp; revenue'!J32)*KYC_Cost</f>
        <v>672096.8</v>
      </c>
      <c r="L10" s="33" t="n">
        <f aca="false">'Sales &amp; marketing'!L33*(KYB_Cost+KYC_Cost*KYC_Persons)+MAX(0,'Clients &amp; revenue'!L32-'Clients &amp; revenue'!K32)*KYC_Cost</f>
        <v>957400.208</v>
      </c>
      <c r="M10" s="33" t="n">
        <f aca="false">'Sales &amp; marketing'!M33*(KYB_Cost+KYC_Cost*KYC_Persons)+MAX(0,'Clients &amp; revenue'!M32-'Clients &amp; revenue'!L32)*KYC_Cost</f>
        <v>2094549.4670842</v>
      </c>
      <c r="N10" s="33" t="n">
        <f aca="false">'Sales &amp; marketing'!N33*(KYB_Cost+KYC_Cost*KYC_Persons)+MAX(0,'Clients &amp; revenue'!N32-'Clients &amp; revenue'!M32)*KYC_Cost</f>
        <v>1252476.69671572</v>
      </c>
      <c r="O10" s="33" t="n">
        <f aca="false">'Sales &amp; marketing'!O33*(KYB_Cost+KYC_Cost*KYC_Persons)+MAX(0,'Clients &amp; revenue'!O32-'Clients &amp; revenue'!N32)*KYC_Cost</f>
        <v>1263852.30933686</v>
      </c>
      <c r="P10" s="33" t="n">
        <f aca="false">'Sales &amp; marketing'!P33*(KYB_Cost+KYC_Cost*KYC_Persons)+MAX(0,'Clients &amp; revenue'!P32-'Clients &amp; revenue'!O32)*KYC_Cost</f>
        <v>1276089.32312201</v>
      </c>
      <c r="Q10" s="33" t="n">
        <f aca="false">'Sales &amp; marketing'!Q33*(KYB_Cost+KYC_Cost*KYC_Persons)+MAX(0,'Clients &amp; revenue'!Q32-'Clients &amp; revenue'!P32)*KYC_Cost</f>
        <v>1601017.13861506</v>
      </c>
      <c r="R10" s="33" t="n">
        <f aca="false">'Sales &amp; marketing'!R33*(KYB_Cost+KYC_Cost*KYC_Persons)+MAX(0,'Clients &amp; revenue'!R32-'Clients &amp; revenue'!Q32)*KYC_Cost</f>
        <v>1614361.80377663</v>
      </c>
      <c r="S10" s="33" t="n">
        <f aca="false">'Sales &amp; marketing'!S33*(KYB_Cost+KYC_Cost*KYC_Persons)+MAX(0,'Clients &amp; revenue'!S32-'Clients &amp; revenue'!R32)*KYC_Cost</f>
        <v>1628734.82266084</v>
      </c>
      <c r="T10" s="33" t="n">
        <f aca="false">'Sales &amp; marketing'!T33*(KYB_Cost+KYC_Cost*KYC_Persons)+MAX(0,'Clients &amp; revenue'!T32-'Clients &amp; revenue'!S32)*KYC_Cost</f>
        <v>1644194.9993075</v>
      </c>
      <c r="U10" s="33" t="n">
        <f aca="false">'Sales &amp; marketing'!U33*(KYB_Cost+KYC_Cost*KYC_Persons)+MAX(0,'Clients &amp; revenue'!U32-'Clients &amp; revenue'!T32)*KYC_Cost</f>
        <v>1660804.70823137</v>
      </c>
      <c r="V10" s="33" t="n">
        <f aca="false">'Sales &amp; marketing'!V33*(KYB_Cost+KYC_Cost*KYC_Persons)+MAX(0,'Clients &amp; revenue'!V32-'Clients &amp; revenue'!U32)*KYC_Cost</f>
        <v>1678630.10796497</v>
      </c>
      <c r="W10" s="33" t="n">
        <f aca="false">'Sales &amp; marketing'!W33*(KYB_Cost+KYC_Cost*KYC_Persons)+MAX(0,'Clients &amp; revenue'!W32-'Clients &amp; revenue'!V32)*KYC_Cost</f>
        <v>2116621.36742598</v>
      </c>
      <c r="X10" s="33" t="n">
        <f aca="false">'Sales &amp; marketing'!X33*(KYB_Cost+KYC_Cost*KYC_Persons)+MAX(0,'Clients &amp; revenue'!X32-'Clients &amp; revenue'!W32)*KYC_Cost</f>
        <v>3338439.30587834</v>
      </c>
      <c r="Y10" s="33" t="n">
        <f aca="false">'Sales &amp; marketing'!Y33*(KYB_Cost+KYC_Cost*KYC_Persons)+MAX(0,'Clients &amp; revenue'!Y32-'Clients &amp; revenue'!X32)*KYC_Cost</f>
        <v>3363189.45730279</v>
      </c>
      <c r="Z10" s="33" t="n">
        <f aca="false">'Sales &amp; marketing'!Z33*(KYB_Cost+KYC_Cost*KYC_Persons)+MAX(0,'Clients &amp; revenue'!Z32-'Clients &amp; revenue'!Y32)*KYC_Cost</f>
        <v>3389904.08905584</v>
      </c>
      <c r="AA10" s="33" t="n">
        <f aca="false">'Sales &amp; marketing'!AA33*(KYB_Cost+KYC_Cost*KYC_Persons)+MAX(0,'Clients &amp; revenue'!AA32-'Clients &amp; revenue'!Z32)*KYC_Cost</f>
        <v>3418694.97435129</v>
      </c>
      <c r="AB10" s="33" t="n">
        <f aca="false">'Sales &amp; marketing'!AB33*(KYB_Cost+KYC_Cost*KYC_Persons)+MAX(0,'Clients &amp; revenue'!AB32-'Clients &amp; revenue'!AA32)*KYC_Cost</f>
        <v>3449680.68158048</v>
      </c>
      <c r="AC10" s="33" t="n">
        <f aca="false">'Sales &amp; marketing'!AC33*(KYB_Cost+KYC_Cost*KYC_Persons)+MAX(0,'Clients &amp; revenue'!AC32-'Clients &amp; revenue'!AB32)*KYC_Cost</f>
        <v>4108926.98058224</v>
      </c>
      <c r="AD10" s="33" t="n">
        <f aca="false">'Sales &amp; marketing'!AD33*(KYB_Cost+KYC_Cost*KYC_Persons)+MAX(0,'Clients &amp; revenue'!AD32-'Clients &amp; revenue'!AC32)*KYC_Cost</f>
        <v>4143148.72331425</v>
      </c>
      <c r="AE10" s="33" t="n">
        <f aca="false">'Sales &amp; marketing'!AE33*(KYB_Cost+KYC_Cost*KYC_Persons)+MAX(0,'Clients &amp; revenue'!AE32-'Clients &amp; revenue'!AD32)*KYC_Cost</f>
        <v>4179985.18226448</v>
      </c>
      <c r="AF10" s="33" t="n">
        <f aca="false">'Sales &amp; marketing'!AF33*(KYB_Cost+KYC_Cost*KYC_Persons)+MAX(0,'Clients &amp; revenue'!AF32-'Clients &amp; revenue'!AE32)*KYC_Cost</f>
        <v>4219586.14475065</v>
      </c>
      <c r="AG10" s="33" t="n">
        <f aca="false">'Sales &amp; marketing'!AG33*(KYB_Cost+KYC_Cost*KYC_Persons)+MAX(0,'Clients &amp; revenue'!AG32-'Clients &amp; revenue'!AF32)*KYC_Cost</f>
        <v>4262110.48813775</v>
      </c>
      <c r="AH10" s="33" t="n">
        <f aca="false">'Sales &amp; marketing'!AH33*(KYB_Cost+KYC_Cost*KYC_Persons)+MAX(0,'Clients &amp; revenue'!AH32-'Clients &amp; revenue'!AG32)*KYC_Cost</f>
        <v>4307726.72357943</v>
      </c>
      <c r="AI10" s="33" t="n">
        <f aca="false">'Sales &amp; marketing'!AI33*(KYB_Cost+KYC_Cost*KYC_Persons)+MAX(0,'Clients &amp; revenue'!AI32-'Clients &amp; revenue'!AH32)*KYC_Cost</f>
        <v>4356613.57241278</v>
      </c>
      <c r="AJ10" s="33" t="n">
        <f aca="false">'Sales &amp; marketing'!AJ33*(KYB_Cost+KYC_Cost*KYC_Persons)+MAX(0,'Clients &amp; revenue'!AJ32-'Clients &amp; revenue'!AI32)*KYC_Cost</f>
        <v>5604910.57716533</v>
      </c>
      <c r="AK10" s="33" t="n">
        <f aca="false">'Sales &amp; marketing'!AK33*(KYB_Cost+KYC_Cost*KYC_Persons)+MAX(0,'Clients &amp; revenue'!AK32-'Clients &amp; revenue'!AJ32)*KYC_Cost</f>
        <v>5657979.12425042</v>
      </c>
      <c r="AL10" s="33" t="n">
        <f aca="false">'Sales &amp; marketing'!AL33*(KYB_Cost+KYC_Cost*KYC_Persons)+MAX(0,'Clients &amp; revenue'!AL32-'Clients &amp; revenue'!AK32)*KYC_Cost</f>
        <v>5714958.75086415</v>
      </c>
      <c r="AM10" s="33" t="n">
        <f aca="false">'Sales &amp; marketing'!AM33*(KYB_Cost+KYC_Cost*KYC_Persons)+MAX(0,'Clients &amp; revenue'!AM32-'Clients &amp; revenue'!AL32)*KYC_Cost</f>
        <v>5776074.98001308</v>
      </c>
      <c r="AN10" s="33" t="n">
        <f aca="false">'Sales &amp; marketing'!AN33*(KYB_Cost+KYC_Cost*KYC_Persons)+MAX(0,'Clients &amp; revenue'!AN32-'Clients &amp; revenue'!AM32)*KYC_Cost</f>
        <v>5841566.99793683</v>
      </c>
      <c r="AO10" s="33" t="n">
        <f aca="false">'Sales &amp; marketing'!AO33*(KYB_Cost+KYC_Cost*KYC_Persons)+MAX(0,'Clients &amp; revenue'!AO32-'Clients &amp; revenue'!AN32)*KYC_Cost</f>
        <v>6223468.4717787</v>
      </c>
      <c r="AP10" s="33" t="n">
        <f aca="false">'Sales &amp; marketing'!AP33*(KYB_Cost+KYC_Cost*KYC_Persons)+MAX(0,'Clients &amp; revenue'!AP32-'Clients &amp; revenue'!AO32)*KYC_Cost</f>
        <v>6297722.06635342</v>
      </c>
      <c r="AQ10" s="33" t="n">
        <f aca="false">'Sales &amp; marketing'!AQ33*(KYB_Cost+KYC_Cost*KYC_Persons)+MAX(0,'Clients &amp; revenue'!AQ32-'Clients &amp; revenue'!AP32)*KYC_Cost</f>
        <v>6377168.99233229</v>
      </c>
      <c r="AR10" s="33" t="n">
        <f aca="false">'Sales &amp; marketing'!AR33*(KYB_Cost+KYC_Cost*KYC_Persons)+MAX(0,'Clients &amp; revenue'!AR32-'Clients &amp; revenue'!AQ32)*KYC_Cost</f>
        <v>6462111.63404038</v>
      </c>
      <c r="AS10" s="33" t="n">
        <f aca="false">'Sales &amp; marketing'!AS33*(KYB_Cost+KYC_Cost*KYC_Persons)+MAX(0,'Clients &amp; revenue'!AS32-'Clients &amp; revenue'!AR32)*KYC_Cost</f>
        <v>6526586.16893729</v>
      </c>
      <c r="AT10" s="33" t="n">
        <f aca="false">'Sales &amp; marketing'!AT33*(KYB_Cost+KYC_Cost*KYC_Persons)+MAX(0,'Clients &amp; revenue'!AT32-'Clients &amp; revenue'!AS32)*KYC_Cost</f>
        <v>6536309.12779809</v>
      </c>
      <c r="AU10" s="33" t="n">
        <f aca="false">'Sales &amp; marketing'!AU33*(KYB_Cost+KYC_Cost*KYC_Persons)+MAX(0,'Clients &amp; revenue'!AU32-'Clients &amp; revenue'!AT32)*KYC_Cost</f>
        <v>6547527.29396272</v>
      </c>
      <c r="AV10" s="33" t="n">
        <f aca="false">'Sales &amp; marketing'!AV33*(KYB_Cost+KYC_Cost*KYC_Persons)+MAX(0,'Clients &amp; revenue'!AV32-'Clients &amp; revenue'!AU32)*KYC_Cost</f>
        <v>7756269.05904159</v>
      </c>
      <c r="AW10" s="33" t="n">
        <f aca="false">'Sales &amp; marketing'!AW33*(KYB_Cost+KYC_Cost*KYC_Persons)+MAX(0,'Clients &amp; revenue'!AW32-'Clients &amp; revenue'!AV32)*KYC_Cost</f>
        <v>7767778.05452525</v>
      </c>
      <c r="AX10" s="33" t="n">
        <f aca="false">'Sales &amp; marketing'!AX33*(KYB_Cost+KYC_Cost*KYC_Persons)+MAX(0,'Clients &amp; revenue'!AX32-'Clients &amp; revenue'!AW32)*KYC_Cost</f>
        <v>7781069.06141437</v>
      </c>
      <c r="AY10" s="33" t="n">
        <f aca="false">'Sales &amp; marketing'!AY33*(KYB_Cost+KYC_Cost*KYC_Persons)+MAX(0,'Clients &amp; revenue'!AY32-'Clients &amp; revenue'!AX32)*KYC_Cost</f>
        <v>7796235.42416195</v>
      </c>
      <c r="AZ10" s="33" t="n">
        <f aca="false">'Sales &amp; marketing'!AZ33*(KYB_Cost+KYC_Cost*KYC_Persons)+MAX(0,'Clients &amp; revenue'!AZ32-'Clients &amp; revenue'!AY32)*KYC_Cost</f>
        <v>7813376.28176261</v>
      </c>
      <c r="BA10" s="33" t="n">
        <f aca="false">'Sales &amp; marketing'!BA33*(KYB_Cost+KYC_Cost*KYC_Persons)+MAX(0,'Clients &amp; revenue'!BA32-'Clients &amp; revenue'!AZ32)*KYC_Cost</f>
        <v>8146756.91232702</v>
      </c>
      <c r="BB10" s="33" t="n">
        <f aca="false">'Sales &amp; marketing'!BB33*(KYB_Cost+KYC_Cost*KYC_Persons)+MAX(0,'Clients &amp; revenue'!BB32-'Clients &amp; revenue'!BA32)*KYC_Cost</f>
        <v>8167396.89838412</v>
      </c>
      <c r="BC10" s="33" t="n">
        <f aca="false">'Sales &amp; marketing'!BC33*(KYB_Cost+KYC_Cost*KYC_Persons)+MAX(0,'Clients &amp; revenue'!BC32-'Clients &amp; revenue'!BB32)*KYC_Cost</f>
        <v>8190356.76665451</v>
      </c>
      <c r="BD10" s="33" t="n">
        <f aca="false">'Sales &amp; marketing'!BD33*(KYB_Cost+KYC_Cost*KYC_Persons)+MAX(0,'Clients &amp; revenue'!BD32-'Clients &amp; revenue'!BC32)*KYC_Cost</f>
        <v>8215762.35513539</v>
      </c>
      <c r="BE10" s="33" t="n">
        <f aca="false">'Sales &amp; marketing'!BE33*(KYB_Cost+KYC_Cost*KYC_Persons)+MAX(0,'Clients &amp; revenue'!BE32-'Clients &amp; revenue'!BD32)*KYC_Cost</f>
        <v>8243747.24154368</v>
      </c>
      <c r="BF10" s="33" t="n">
        <f aca="false">'Sales &amp; marketing'!BF33*(KYB_Cost+KYC_Cost*KYC_Persons)+MAX(0,'Clients &amp; revenue'!BF32-'Clients &amp; revenue'!BE32)*KYC_Cost</f>
        <v>8274453.20468771</v>
      </c>
      <c r="BG10" s="33" t="n">
        <f aca="false">'Sales &amp; marketing'!BG33*(KYB_Cost+KYC_Cost*KYC_Persons)+MAX(0,'Clients &amp; revenue'!BG32-'Clients &amp; revenue'!BF32)*KYC_Cost</f>
        <v>8308030.71357347</v>
      </c>
      <c r="BH10" s="33" t="n">
        <f aca="false">'Sales &amp; marketing'!BH33*(KYB_Cost+KYC_Cost*KYC_Persons)+MAX(0,'Clients &amp; revenue'!BH32-'Clients &amp; revenue'!BG32)*KYC_Cost</f>
        <v>8344639.44590788</v>
      </c>
      <c r="BI10" s="33" t="n">
        <f aca="false">'Sales &amp; marketing'!BI33*(KYB_Cost+KYC_Cost*KYC_Persons)+MAX(0,'Clients &amp; revenue'!BI32-'Clients &amp; revenue'!BH32)*KYC_Cost</f>
        <v>8384448.83776263</v>
      </c>
      <c r="BJ10" s="33" t="n">
        <f aca="false">'Sales &amp; marketing'!BJ33*(KYB_Cost+KYC_Cost*KYC_Persons)+MAX(0,'Clients &amp; revenue'!BJ32-'Clients &amp; revenue'!BI32)*KYC_Cost</f>
        <v>8427638.66626692</v>
      </c>
      <c r="BK10" s="33" t="n">
        <f aca="false">'Sales &amp; marketing'!BK33*(KYB_Cost+KYC_Cost*KYC_Persons)+MAX(0,'Clients &amp; revenue'!BK32-'Clients &amp; revenue'!BJ32)*KYC_Cost</f>
        <v>8443799.27624381</v>
      </c>
      <c r="BL10" s="33" t="n">
        <f aca="false">'Sales &amp; marketing'!BL33*(KYB_Cost+KYC_Cost*KYC_Persons)+MAX(0,'Clients &amp; revenue'!BL32-'Clients &amp; revenue'!BK32)*KYC_Cost</f>
        <v>8428312.99107014</v>
      </c>
    </row>
    <row r="11" customFormat="false" ht="15" hidden="false" customHeight="false" outlineLevel="0" collapsed="false">
      <c r="A11" s="12" t="s">
        <v>637</v>
      </c>
      <c r="B11" s="14" t="s">
        <v>63</v>
      </c>
      <c r="D11" s="41" t="n">
        <f aca="false">SUM(E11:BL11)</f>
        <v>1226521796.35288</v>
      </c>
      <c r="E11" s="33" t="n">
        <f aca="false">'Clients &amp; revenue'!E35*Card_Proc_Fee</f>
        <v>0</v>
      </c>
      <c r="F11" s="33" t="n">
        <f aca="false">'Clients &amp; revenue'!F35*Card_Proc_Fee</f>
        <v>0</v>
      </c>
      <c r="G11" s="33" t="n">
        <f aca="false">'Clients &amp; revenue'!G35*Card_Proc_Fee</f>
        <v>0</v>
      </c>
      <c r="H11" s="33" t="n">
        <f aca="false">'Clients &amp; revenue'!H35*Card_Proc_Fee</f>
        <v>0</v>
      </c>
      <c r="I11" s="33" t="n">
        <f aca="false">'Clients &amp; revenue'!I35*Card_Proc_Fee</f>
        <v>213600</v>
      </c>
      <c r="J11" s="33" t="n">
        <f aca="false">'Clients &amp; revenue'!J35*Card_Proc_Fee</f>
        <v>427158.8</v>
      </c>
      <c r="K11" s="33" t="n">
        <f aca="false">'Clients &amp; revenue'!K35*Card_Proc_Fee</f>
        <v>640843.889</v>
      </c>
      <c r="L11" s="33" t="n">
        <f aca="false">'Clients &amp; revenue'!L35*Card_Proc_Fee</f>
        <v>944830.2517825</v>
      </c>
      <c r="M11" s="33" t="n">
        <f aca="false">'Clients &amp; revenue'!M35*Card_Proc_Fee</f>
        <v>1248145.86099076</v>
      </c>
      <c r="N11" s="33" t="n">
        <f aca="false">'Clients &amp; revenue'!N35*Card_Proc_Fee</f>
        <v>1550999.11048062</v>
      </c>
      <c r="O11" s="33" t="n">
        <f aca="false">'Clients &amp; revenue'!O35*Card_Proc_Fee</f>
        <v>1853607.17921758</v>
      </c>
      <c r="P11" s="33" t="n">
        <f aca="false">'Clients &amp; revenue'!P35*Card_Proc_Fee</f>
        <v>2156196.61981474</v>
      </c>
      <c r="Q11" s="33" t="n">
        <f aca="false">'Clients &amp; revenue'!Q35*Card_Proc_Fee</f>
        <v>2537603.98129579</v>
      </c>
      <c r="R11" s="33" t="n">
        <f aca="false">'Clients &amp; revenue'!R35*Card_Proc_Fee</f>
        <v>2918467.76815627</v>
      </c>
      <c r="S11" s="33" t="n">
        <f aca="false">'Clients &amp; revenue'!S35*Card_Proc_Fee</f>
        <v>3299061.30817112</v>
      </c>
      <c r="T11" s="33" t="n">
        <f aca="false">'Clients &amp; revenue'!T35*Card_Proc_Fee</f>
        <v>3679669.78038806</v>
      </c>
      <c r="U11" s="33" t="n">
        <f aca="false">'Clients &amp; revenue'!U35*Card_Proc_Fee</f>
        <v>4060591.00100823</v>
      </c>
      <c r="V11" s="33" t="n">
        <f aca="false">'Clients &amp; revenue'!V35*Card_Proc_Fee</f>
        <v>4442136.25509968</v>
      </c>
      <c r="W11" s="33" t="n">
        <f aca="false">'Clients &amp; revenue'!W35*Card_Proc_Fee</f>
        <v>4930231.17691795</v>
      </c>
      <c r="X11" s="33" t="n">
        <f aca="false">'Clients &amp; revenue'!X35*Card_Proc_Fee</f>
        <v>5721381.48177425</v>
      </c>
      <c r="Y11" s="33" t="n">
        <f aca="false">'Clients &amp; revenue'!Y35*Card_Proc_Fee</f>
        <v>6510671.35656737</v>
      </c>
      <c r="Z11" s="33" t="n">
        <f aca="false">'Clients &amp; revenue'!Z35*Card_Proc_Fee</f>
        <v>7298632.77355241</v>
      </c>
      <c r="AA11" s="33" t="n">
        <f aca="false">'Clients &amp; revenue'!AA35*Card_Proc_Fee</f>
        <v>8085820.06232676</v>
      </c>
      <c r="AB11" s="33" t="n">
        <f aca="false">'Clients &amp; revenue'!AB35*Card_Proc_Fee</f>
        <v>8872811.40842645</v>
      </c>
      <c r="AC11" s="33" t="n">
        <f aca="false">'Clients &amp; revenue'!AC35*Card_Proc_Fee</f>
        <v>9818010.43906624</v>
      </c>
      <c r="AD11" s="33" t="n">
        <f aca="false">'Clients &amp; revenue'!AD35*Card_Proc_Fee</f>
        <v>10762222.8013029</v>
      </c>
      <c r="AE11" s="33" t="n">
        <f aca="false">'Clients &amp; revenue'!AE35*Card_Proc_Fee</f>
        <v>11706137.7914675</v>
      </c>
      <c r="AF11" s="33" t="n">
        <f aca="false">'Clients &amp; revenue'!AF35*Card_Proc_Fee</f>
        <v>12650474.9999356</v>
      </c>
      <c r="AG11" s="33" t="n">
        <f aca="false">'Clients &amp; revenue'!AG35*Card_Proc_Fee</f>
        <v>13595986.3099339</v>
      </c>
      <c r="AH11" s="33" t="n">
        <f aca="false">'Clients &amp; revenue'!AH35*Card_Proc_Fee</f>
        <v>14543458.0130885</v>
      </c>
      <c r="AI11" s="33" t="n">
        <f aca="false">'Clients &amp; revenue'!AI35*Card_Proc_Fee</f>
        <v>15493713.0487768</v>
      </c>
      <c r="AJ11" s="33" t="n">
        <f aca="false">'Clients &amp; revenue'!AJ35*Card_Proc_Fee</f>
        <v>16749113.3747707</v>
      </c>
      <c r="AK11" s="33" t="n">
        <f aca="false">'Clients &amp; revenue'!AK35*Card_Proc_Fee</f>
        <v>18005193.2271034</v>
      </c>
      <c r="AL11" s="33" t="n">
        <f aca="false">'Clients &amp; revenue'!AL35*Card_Proc_Fee</f>
        <v>19262956.9344445</v>
      </c>
      <c r="AM11" s="33" t="n">
        <f aca="false">'Clients &amp; revenue'!AM35*Card_Proc_Fee</f>
        <v>20523454.9041261</v>
      </c>
      <c r="AN11" s="33" t="n">
        <f aca="false">'Clients &amp; revenue'!AN35*Card_Proc_Fee</f>
        <v>21787786.6183066</v>
      </c>
      <c r="AO11" s="33" t="n">
        <f aca="false">'Clients &amp; revenue'!AO35*Card_Proc_Fee</f>
        <v>23135703.8058421</v>
      </c>
      <c r="AP11" s="33" t="n">
        <f aca="false">'Clients &amp; revenue'!AP35*Card_Proc_Fee</f>
        <v>24488805.1004828</v>
      </c>
      <c r="AQ11" s="33" t="n">
        <f aca="false">'Clients &amp; revenue'!AQ35*Card_Proc_Fee</f>
        <v>25848371.7668962</v>
      </c>
      <c r="AR11" s="33" t="n">
        <f aca="false">'Clients &amp; revenue'!AR35*Card_Proc_Fee</f>
        <v>27215747.7555552</v>
      </c>
      <c r="AS11" s="33" t="n">
        <f aca="false">'Clients &amp; revenue'!AS35*Card_Proc_Fee</f>
        <v>28585717.3543714</v>
      </c>
      <c r="AT11" s="33" t="n">
        <f aca="false">'Clients &amp; revenue'!AT35*Card_Proc_Fee</f>
        <v>29944475.8933977</v>
      </c>
      <c r="AU11" s="33" t="n">
        <f aca="false">'Clients &amp; revenue'!AU35*Card_Proc_Fee</f>
        <v>31292541.4886052</v>
      </c>
      <c r="AV11" s="33" t="n">
        <f aca="false">'Clients &amp; revenue'!AV35*Card_Proc_Fee</f>
        <v>32931946.01211</v>
      </c>
      <c r="AW11" s="33" t="n">
        <f aca="false">'Clients &amp; revenue'!AW35*Card_Proc_Fee</f>
        <v>34557866.9479689</v>
      </c>
      <c r="AX11" s="33" t="n">
        <f aca="false">'Clients &amp; revenue'!AX35*Card_Proc_Fee</f>
        <v>36170923.7163058</v>
      </c>
      <c r="AY11" s="33" t="n">
        <f aca="false">'Clients &amp; revenue'!AY35*Card_Proc_Fee</f>
        <v>37771752.0777743</v>
      </c>
      <c r="AZ11" s="33" t="n">
        <f aca="false">'Clients &amp; revenue'!AZ35*Card_Proc_Fee</f>
        <v>39361005.451402</v>
      </c>
      <c r="BA11" s="33" t="n">
        <f aca="false">'Clients &amp; revenue'!BA35*Card_Proc_Fee</f>
        <v>41018556.3056115</v>
      </c>
      <c r="BB11" s="33" t="n">
        <f aca="false">'Clients &amp; revenue'!BB35*Card_Proc_Fee</f>
        <v>42664881.2269195</v>
      </c>
      <c r="BC11" s="33" t="n">
        <f aca="false">'Clients &amp; revenue'!BC35*Card_Proc_Fee</f>
        <v>44300710.1540783</v>
      </c>
      <c r="BD11" s="33" t="n">
        <f aca="false">'Clients &amp; revenue'!BD35*Card_Proc_Fee</f>
        <v>45926796.4917404</v>
      </c>
      <c r="BE11" s="33" t="n">
        <f aca="false">'Clients &amp; revenue'!BE35*Card_Proc_Fee</f>
        <v>47543918.8461762</v>
      </c>
      <c r="BF11" s="33" t="n">
        <f aca="false">'Clients &amp; revenue'!BF35*Card_Proc_Fee</f>
        <v>49152882.8594325</v>
      </c>
      <c r="BG11" s="33" t="n">
        <f aca="false">'Clients &amp; revenue'!BG35*Card_Proc_Fee</f>
        <v>50754523.1479395</v>
      </c>
      <c r="BH11" s="33" t="n">
        <f aca="false">'Clients &amp; revenue'!BH35*Card_Proc_Fee</f>
        <v>52349705.3519383</v>
      </c>
      <c r="BI11" s="33" t="n">
        <f aca="false">'Clients &amp; revenue'!BI35*Card_Proc_Fee</f>
        <v>53939328.3024767</v>
      </c>
      <c r="BJ11" s="33" t="n">
        <f aca="false">'Clients &amp; revenue'!BJ35*Card_Proc_Fee</f>
        <v>55524326.3131269</v>
      </c>
      <c r="BK11" s="33" t="n">
        <f aca="false">'Clients &amp; revenue'!BK35*Card_Proc_Fee</f>
        <v>57097957.2197038</v>
      </c>
      <c r="BL11" s="33" t="n">
        <f aca="false">'Clients &amp; revenue'!BL35*Card_Proc_Fee</f>
        <v>58652384.2357331</v>
      </c>
    </row>
    <row r="12" customFormat="false" ht="15" hidden="false" customHeight="false" outlineLevel="0" collapsed="false">
      <c r="A12" s="12" t="s">
        <v>638</v>
      </c>
      <c r="B12" s="14" t="s">
        <v>63</v>
      </c>
      <c r="D12" s="41" t="n">
        <f aca="false">SUM(E12:BL12)</f>
        <v>168619237.764668</v>
      </c>
      <c r="E12" s="33" t="n">
        <f aca="false">'Clients &amp; revenue'!E33*Card_Prod_Cost</f>
        <v>0</v>
      </c>
      <c r="F12" s="33" t="n">
        <f aca="false">'Clients &amp; revenue'!F33*Card_Prod_Cost</f>
        <v>0</v>
      </c>
      <c r="G12" s="33" t="n">
        <f aca="false">'Clients &amp; revenue'!G33*Card_Prod_Cost</f>
        <v>0</v>
      </c>
      <c r="H12" s="33" t="n">
        <f aca="false">'Clients &amp; revenue'!H33*Card_Prod_Cost</f>
        <v>0</v>
      </c>
      <c r="I12" s="33" t="n">
        <f aca="false">'Clients &amp; revenue'!I33*Card_Prod_Cost</f>
        <v>491280</v>
      </c>
      <c r="J12" s="33" t="n">
        <f aca="false">'Clients &amp; revenue'!J33*Card_Prod_Cost</f>
        <v>497490</v>
      </c>
      <c r="K12" s="33" t="n">
        <f aca="false">'Clients &amp; revenue'!K33*Card_Prod_Cost</f>
        <v>504072.6</v>
      </c>
      <c r="L12" s="33" t="n">
        <f aca="false">'Clients &amp; revenue'!L33*Card_Prod_Cost</f>
        <v>718050.156</v>
      </c>
      <c r="M12" s="33" t="n">
        <f aca="false">'Clients &amp; revenue'!M33*Card_Prod_Cost</f>
        <v>725446.36536</v>
      </c>
      <c r="N12" s="33" t="n">
        <f aca="false">'Clients &amp; revenue'!N33*Card_Prod_Cost</f>
        <v>733286.3472816</v>
      </c>
      <c r="O12" s="33" t="n">
        <f aca="false">'Clients &amp; revenue'!O33*Card_Prod_Cost</f>
        <v>741596.728118496</v>
      </c>
      <c r="P12" s="33" t="n">
        <f aca="false">'Clients &amp; revenue'!P33*Card_Prod_Cost</f>
        <v>750405.731805606</v>
      </c>
      <c r="Q12" s="33" t="n">
        <f aca="false">'Clients &amp; revenue'!Q33*Card_Prod_Cost</f>
        <v>940523.275713942</v>
      </c>
      <c r="R12" s="33" t="n">
        <f aca="false">'Clients &amp; revenue'!R33*Card_Prod_Cost</f>
        <v>950421.072256779</v>
      </c>
      <c r="S12" s="33" t="n">
        <f aca="false">'Clients &amp; revenue'!S33*Card_Prod_Cost</f>
        <v>960912.736592186</v>
      </c>
      <c r="T12" s="33" t="n">
        <f aca="false">'Clients &amp; revenue'!T33*Card_Prod_Cost</f>
        <v>972033.900787717</v>
      </c>
      <c r="U12" s="33" t="n">
        <f aca="false">'Clients &amp; revenue'!U33*Card_Prod_Cost</f>
        <v>983822.33483498</v>
      </c>
      <c r="V12" s="33" t="n">
        <f aca="false">'Clients &amp; revenue'!V33*Card_Prod_Cost</f>
        <v>996318.074925078</v>
      </c>
      <c r="W12" s="33" t="n">
        <f aca="false">'Clients &amp; revenue'!W33*Card_Prod_Cost</f>
        <v>1252443.55942058</v>
      </c>
      <c r="X12" s="33" t="n">
        <f aca="false">'Clients &amp; revenue'!X33*Card_Prod_Cost</f>
        <v>1963659.77298582</v>
      </c>
      <c r="Y12" s="33" t="n">
        <f aca="false">'Clients &amp; revenue'!Y33*Card_Prod_Cost</f>
        <v>1982491.95936497</v>
      </c>
      <c r="Z12" s="33" t="n">
        <f aca="false">'Clients &amp; revenue'!Z33*Card_Prod_Cost</f>
        <v>2002454.07692687</v>
      </c>
      <c r="AA12" s="33" t="n">
        <f aca="false">'Clients &amp; revenue'!AA33*Card_Prod_Cost</f>
        <v>2023613.92154248</v>
      </c>
      <c r="AB12" s="33" t="n">
        <f aca="false">'Clients &amp; revenue'!AB33*Card_Prod_Cost</f>
        <v>2046043.35683503</v>
      </c>
      <c r="AC12" s="33" t="n">
        <f aca="false">'Clients &amp; revenue'!AC33*Card_Prod_Cost</f>
        <v>2432758.55824513</v>
      </c>
      <c r="AD12" s="33" t="n">
        <f aca="false">'Clients &amp; revenue'!AD33*Card_Prod_Cost</f>
        <v>2457960.27173984</v>
      </c>
      <c r="AE12" s="33" t="n">
        <f aca="false">'Clients &amp; revenue'!AE33*Card_Prod_Cost</f>
        <v>2484674.08804423</v>
      </c>
      <c r="AF12" s="33" t="n">
        <f aca="false">'Clients &amp; revenue'!AF33*Card_Prod_Cost</f>
        <v>2512990.73332688</v>
      </c>
      <c r="AG12" s="33" t="n">
        <f aca="false">'Clients &amp; revenue'!AG33*Card_Prod_Cost</f>
        <v>2543006.37732649</v>
      </c>
      <c r="AH12" s="33" t="n">
        <f aca="false">'Clients &amp; revenue'!AH33*Card_Prod_Cost</f>
        <v>2574822.95996608</v>
      </c>
      <c r="AI12" s="33" t="n">
        <f aca="false">'Clients &amp; revenue'!AI33*Card_Prod_Cost</f>
        <v>2608548.53756405</v>
      </c>
      <c r="AJ12" s="33" t="n">
        <f aca="false">'Clients &amp; revenue'!AJ33*Card_Prod_Cost</f>
        <v>3337747.64981789</v>
      </c>
      <c r="AK12" s="33" t="n">
        <f aca="false">'Clients &amp; revenue'!AK33*Card_Prod_Cost</f>
        <v>3375641.70880696</v>
      </c>
      <c r="AL12" s="33" t="n">
        <f aca="false">'Clients &amp; revenue'!AL33*Card_Prod_Cost</f>
        <v>3415809.41133538</v>
      </c>
      <c r="AM12" s="33" t="n">
        <f aca="false">'Clients &amp; revenue'!AM33*Card_Prod_Cost</f>
        <v>3458387.1760155</v>
      </c>
      <c r="AN12" s="33" t="n">
        <f aca="false">'Clients &amp; revenue'!AN33*Card_Prod_Cost</f>
        <v>3503519.60657643</v>
      </c>
      <c r="AO12" s="33" t="n">
        <f aca="false">'Clients &amp; revenue'!AO33*Card_Prod_Cost</f>
        <v>3732139.98297102</v>
      </c>
      <c r="AP12" s="33" t="n">
        <f aca="false">'Clients &amp; revenue'!AP33*Card_Prod_Cost</f>
        <v>3782850.78194928</v>
      </c>
      <c r="AQ12" s="33" t="n">
        <f aca="false">'Clients &amp; revenue'!AQ33*Card_Prod_Cost</f>
        <v>3836604.22886624</v>
      </c>
      <c r="AR12" s="33" t="n">
        <f aca="false">'Clients &amp; revenue'!AR33*Card_Prod_Cost</f>
        <v>3893582.88259821</v>
      </c>
      <c r="AS12" s="33" t="n">
        <f aca="false">'Clients &amp; revenue'!AS33*Card_Prod_Cost</f>
        <v>3938739.67356952</v>
      </c>
      <c r="AT12" s="33" t="n">
        <f aca="false">'Clients &amp; revenue'!AT33*Card_Prod_Cost</f>
        <v>3952166.45398369</v>
      </c>
      <c r="AU12" s="33" t="n">
        <f aca="false">'Clients &amp; revenue'!AU33*Card_Prod_Cost</f>
        <v>3966398.84122271</v>
      </c>
      <c r="AV12" s="33" t="n">
        <f aca="false">'Clients &amp; revenue'!AV33*Card_Prod_Cost</f>
        <v>4674935.17169607</v>
      </c>
      <c r="AW12" s="33" t="n">
        <f aca="false">'Clients &amp; revenue'!AW33*Card_Prod_Cost</f>
        <v>4690926.68199783</v>
      </c>
      <c r="AX12" s="33" t="n">
        <f aca="false">'Clients &amp; revenue'!AX33*Card_Prod_Cost</f>
        <v>4707877.6829177</v>
      </c>
      <c r="AY12" s="33" t="n">
        <f aca="false">'Clients &amp; revenue'!AY33*Card_Prod_Cost</f>
        <v>4725845.74389277</v>
      </c>
      <c r="AZ12" s="33" t="n">
        <f aca="false">'Clients &amp; revenue'!AZ33*Card_Prod_Cost</f>
        <v>4744891.88852633</v>
      </c>
      <c r="BA12" s="33" t="n">
        <f aca="false">'Clients &amp; revenue'!BA33*Card_Prod_Cost</f>
        <v>4947240.80183791</v>
      </c>
      <c r="BB12" s="33" t="n">
        <f aca="false">'Clients &amp; revenue'!BB33*Card_Prod_Cost</f>
        <v>4968641.04994819</v>
      </c>
      <c r="BC12" s="33" t="n">
        <f aca="false">'Clients &amp; revenue'!BC33*Card_Prod_Cost</f>
        <v>4991325.31294508</v>
      </c>
      <c r="BD12" s="33" t="n">
        <f aca="false">'Clients &amp; revenue'!BD33*Card_Prod_Cost</f>
        <v>5015370.63172178</v>
      </c>
      <c r="BE12" s="33" t="n">
        <f aca="false">'Clients &amp; revenue'!BE33*Card_Prod_Cost</f>
        <v>5040858.66962509</v>
      </c>
      <c r="BF12" s="33" t="n">
        <f aca="false">'Clients &amp; revenue'!BF33*Card_Prod_Cost</f>
        <v>5067875.9898026</v>
      </c>
      <c r="BG12" s="33" t="n">
        <f aca="false">'Clients &amp; revenue'!BG33*Card_Prod_Cost</f>
        <v>5096514.34919075</v>
      </c>
      <c r="BH12" s="33" t="n">
        <f aca="false">'Clients &amp; revenue'!BH33*Card_Prod_Cost</f>
        <v>5126871.0101422</v>
      </c>
      <c r="BI12" s="33" t="n">
        <f aca="false">'Clients &amp; revenue'!BI33*Card_Prod_Cost</f>
        <v>5159049.07075073</v>
      </c>
      <c r="BJ12" s="33" t="n">
        <f aca="false">'Clients &amp; revenue'!BJ33*Card_Prod_Cost</f>
        <v>5193157.81499577</v>
      </c>
      <c r="BK12" s="33" t="n">
        <f aca="false">'Clients &amp; revenue'!BK33*Card_Prod_Cost</f>
        <v>5211570</v>
      </c>
      <c r="BL12" s="33" t="n">
        <f aca="false">'Clients &amp; revenue'!BL33*Card_Prod_Cost</f>
        <v>5211570</v>
      </c>
    </row>
    <row r="13" customFormat="false" ht="15" hidden="false" customHeight="false" outlineLevel="0" collapsed="false">
      <c r="A13" s="12" t="s">
        <v>261</v>
      </c>
      <c r="B13" s="14" t="s">
        <v>63</v>
      </c>
      <c r="D13" s="41" t="n">
        <f aca="false">SUM(E13:BL13)</f>
        <v>1224548004.27891</v>
      </c>
      <c r="E13" s="33" t="n">
        <f aca="false">'Clients &amp; revenue'!E37*Scheme_Rate</f>
        <v>0</v>
      </c>
      <c r="F13" s="33" t="n">
        <f aca="false">'Clients &amp; revenue'!F37*Scheme_Rate</f>
        <v>0</v>
      </c>
      <c r="G13" s="33" t="n">
        <f aca="false">'Clients &amp; revenue'!G37*Scheme_Rate</f>
        <v>0</v>
      </c>
      <c r="H13" s="33" t="n">
        <f aca="false">'Clients &amp; revenue'!H37*Scheme_Rate</f>
        <v>0</v>
      </c>
      <c r="I13" s="33" t="n">
        <f aca="false">'Clients &amp; revenue'!I37*Scheme_Rate</f>
        <v>211226.666666667</v>
      </c>
      <c r="J13" s="33" t="n">
        <f aca="false">'Clients &amp; revenue'!J37*Scheme_Rate</f>
        <v>422577.933333333</v>
      </c>
      <c r="K13" s="33" t="n">
        <f aca="false">'Clients &amp; revenue'!K37*Scheme_Rate</f>
        <v>634216.9355</v>
      </c>
      <c r="L13" s="33" t="n">
        <f aca="false">'Clients &amp; revenue'!L37*Scheme_Rate</f>
        <v>935314.390300417</v>
      </c>
      <c r="M13" s="33" t="n">
        <f aca="false">'Clients &amp; revenue'!M37*Scheme_Rate</f>
        <v>1235976.58633246</v>
      </c>
      <c r="N13" s="33" t="n">
        <f aca="false">'Clients &amp; revenue'!N37*Scheme_Rate</f>
        <v>1536405.69602861</v>
      </c>
      <c r="O13" s="33" t="n">
        <f aca="false">'Clients &amp; revenue'!O37*Scheme_Rate</f>
        <v>1836812.80197676</v>
      </c>
      <c r="P13" s="33" t="n">
        <f aca="false">'Clients &amp; revenue'!P37*Scheme_Rate</f>
        <v>2137418.48230954</v>
      </c>
      <c r="Q13" s="33" t="n">
        <f aca="false">'Clients &amp; revenue'!Q37*Scheme_Rate</f>
        <v>2516180.0970144</v>
      </c>
      <c r="R13" s="33" t="n">
        <f aca="false">'Clients &amp; revenue'!R37*Scheme_Rate</f>
        <v>2894675.79390216</v>
      </c>
      <c r="S13" s="33" t="n">
        <f aca="false">'Clients &amp; revenue'!S37*Scheme_Rate</f>
        <v>3273171.42297044</v>
      </c>
      <c r="T13" s="33" t="n">
        <f aca="false">'Clients &amp; revenue'!T37*Scheme_Rate</f>
        <v>3651944.83513541</v>
      </c>
      <c r="U13" s="33" t="n">
        <f aca="false">'Clients &amp; revenue'!U37*Scheme_Rate</f>
        <v>4031286.66425808</v>
      </c>
      <c r="V13" s="33" t="n">
        <f aca="false">'Clients &amp; revenue'!V37*Scheme_Rate</f>
        <v>4411501.1550355</v>
      </c>
      <c r="W13" s="33" t="n">
        <f aca="false">'Clients &amp; revenue'!W37*Scheme_Rate</f>
        <v>4897333.70619407</v>
      </c>
      <c r="X13" s="33" t="n">
        <f aca="false">'Clients &amp; revenue'!X37*Scheme_Rate</f>
        <v>5683185.39858892</v>
      </c>
      <c r="Y13" s="33" t="n">
        <f aca="false">'Clients &amp; revenue'!Y37*Scheme_Rate</f>
        <v>6467758.07598841</v>
      </c>
      <c r="Z13" s="33" t="n">
        <f aca="false">'Clients &amp; revenue'!Z37*Scheme_Rate</f>
        <v>7251568.06164142</v>
      </c>
      <c r="AA13" s="33" t="n">
        <f aca="false">'Clients &amp; revenue'!AA37*Scheme_Rate</f>
        <v>8035154.35198148</v>
      </c>
      <c r="AB13" s="33" t="n">
        <f aca="false">'Clients &amp; revenue'!AB37*Scheme_Rate</f>
        <v>8819080.1072473</v>
      </c>
      <c r="AC13" s="33" t="n">
        <f aca="false">'Clients &amp; revenue'!AC37*Scheme_Rate</f>
        <v>9759980.89598724</v>
      </c>
      <c r="AD13" s="33" t="n">
        <f aca="false">'Clients &amp; revenue'!AD37*Scheme_Rate</f>
        <v>10700545.9153874</v>
      </c>
      <c r="AE13" s="33" t="n">
        <f aca="false">'Clients &amp; revenue'!AE37*Scheme_Rate</f>
        <v>11641446.598054</v>
      </c>
      <c r="AF13" s="33" t="n">
        <f aca="false">'Clients &amp; revenue'!AF37*Scheme_Rate</f>
        <v>12583385.0277308</v>
      </c>
      <c r="AG13" s="33" t="n">
        <f aca="false">'Clients &amp; revenue'!AG37*Scheme_Rate</f>
        <v>13527095.9287744</v>
      </c>
      <c r="AH13" s="33" t="n">
        <f aca="false">'Clients &amp; revenue'!AH37*Scheme_Rate</f>
        <v>14473348.7724415</v>
      </c>
      <c r="AI13" s="33" t="n">
        <f aca="false">'Clients &amp; revenue'!AI37*Scheme_Rate</f>
        <v>15422950.0070441</v>
      </c>
      <c r="AJ13" s="33" t="n">
        <f aca="false">'Clients &amp; revenue'!AJ37*Scheme_Rate</f>
        <v>16674895.4194495</v>
      </c>
      <c r="AK13" s="33" t="n">
        <f aca="false">'Clients &amp; revenue'!AK37*Scheme_Rate</f>
        <v>17928329.7608497</v>
      </c>
      <c r="AL13" s="33" t="n">
        <f aca="false">'Clients &amp; revenue'!AL37*Scheme_Rate</f>
        <v>19184234.7042629</v>
      </c>
      <c r="AM13" s="33" t="n">
        <f aca="false">'Clients &amp; revenue'!AM37*Scheme_Rate</f>
        <v>20443638.4480709</v>
      </c>
      <c r="AN13" s="33" t="n">
        <f aca="false">'Clients &amp; revenue'!AN37*Scheme_Rate</f>
        <v>21707618.7000016</v>
      </c>
      <c r="AO13" s="33" t="n">
        <f aca="false">'Clients &amp; revenue'!AO37*Scheme_Rate</f>
        <v>23055032.5035568</v>
      </c>
      <c r="AP13" s="33" t="n">
        <f aca="false">'Clients &amp; revenue'!AP37*Scheme_Rate</f>
        <v>24408402.9341558</v>
      </c>
      <c r="AQ13" s="33" t="n">
        <f aca="false">'Clients &amp; revenue'!AQ37*Scheme_Rate</f>
        <v>25768988.8627765</v>
      </c>
      <c r="AR13" s="33" t="n">
        <f aca="false">'Clients &amp; revenue'!AR37*Scheme_Rate</f>
        <v>27138112.2726575</v>
      </c>
      <c r="AS13" s="33" t="n">
        <f aca="false">'Clients &amp; revenue'!AS37*Scheme_Rate</f>
        <v>28510609.5241518</v>
      </c>
      <c r="AT13" s="33" t="n">
        <f aca="false">'Clients &amp; revenue'!AT37*Scheme_Rate</f>
        <v>29872819.5120906</v>
      </c>
      <c r="AU13" s="33" t="n">
        <f aca="false">'Clients &amp; revenue'!AU37*Scheme_Rate</f>
        <v>31225234.2445822</v>
      </c>
      <c r="AV13" s="33" t="n">
        <f aca="false">'Clients &amp; revenue'!AV37*Scheme_Rate</f>
        <v>32866510.0458177</v>
      </c>
      <c r="AW13" s="33" t="n">
        <f aca="false">'Clients &amp; revenue'!AW37*Scheme_Rate</f>
        <v>34495425.7742168</v>
      </c>
      <c r="AX13" s="33" t="n">
        <f aca="false">'Clients &amp; revenue'!AX37*Scheme_Rate</f>
        <v>36112569.2862862</v>
      </c>
      <c r="AY13" s="33" t="n">
        <f aca="false">'Clients &amp; revenue'!AY37*Scheme_Rate</f>
        <v>37718545.4553585</v>
      </c>
      <c r="AZ13" s="33" t="n">
        <f aca="false">'Clients &amp; revenue'!AZ37*Scheme_Rate</f>
        <v>39313977.474182</v>
      </c>
      <c r="BA13" s="33" t="n">
        <f aca="false">'Clients &amp; revenue'!BA37*Scheme_Rate</f>
        <v>40977828.2309226</v>
      </c>
      <c r="BB13" s="33" t="n">
        <f aca="false">'Clients &amp; revenue'!BB37*Scheme_Rate</f>
        <v>42631497.9630685</v>
      </c>
      <c r="BC13" s="33" t="n">
        <f aca="false">'Clients &amp; revenue'!BC37*Scheme_Rate</f>
        <v>44275686.4124942</v>
      </c>
      <c r="BD13" s="33" t="n">
        <f aca="false">'Clients &amp; revenue'!BD37*Scheme_Rate</f>
        <v>45911117.4296369</v>
      </c>
      <c r="BE13" s="33" t="n">
        <f aca="false">'Clients &amp; revenue'!BE37*Scheme_Rate</f>
        <v>47538540.6942108</v>
      </c>
      <c r="BF13" s="33" t="n">
        <f aca="false">'Clients &amp; revenue'!BF37*Scheme_Rate</f>
        <v>49158733.5345644</v>
      </c>
      <c r="BG13" s="33" t="n">
        <f aca="false">'Clients &amp; revenue'!BG37*Scheme_Rate</f>
        <v>50772502.8516829</v>
      </c>
      <c r="BH13" s="33" t="n">
        <f aca="false">'Clients &amp; revenue'!BH37*Scheme_Rate</f>
        <v>52380687.1541937</v>
      </c>
      <c r="BI13" s="33" t="n">
        <f aca="false">'Clients &amp; revenue'!BI37*Scheme_Rate</f>
        <v>53984158.7111154</v>
      </c>
      <c r="BJ13" s="33" t="n">
        <f aca="false">'Clients &amp; revenue'!BJ37*Scheme_Rate</f>
        <v>55583825.8294913</v>
      </c>
      <c r="BK13" s="33" t="n">
        <f aca="false">'Clients &amp; revenue'!BK37*Scheme_Rate</f>
        <v>57173006.5955566</v>
      </c>
      <c r="BL13" s="33" t="n">
        <f aca="false">'Clients &amp; revenue'!BL37*Scheme_Rate</f>
        <v>58743931.6416776</v>
      </c>
    </row>
    <row r="14" customFormat="false" ht="15" hidden="false" customHeight="false" outlineLevel="0" collapsed="false">
      <c r="A14" s="12" t="s">
        <v>264</v>
      </c>
      <c r="B14" s="14" t="s">
        <v>63</v>
      </c>
      <c r="D14" s="41" t="n">
        <f aca="false">SUM(E14:BL14)</f>
        <v>641962194.620543</v>
      </c>
      <c r="E14" s="33" t="n">
        <f aca="false">('Clients &amp; revenue'!E36+'Clients &amp; revenue'!E37)*Fraud_Rate</f>
        <v>0</v>
      </c>
      <c r="F14" s="33" t="n">
        <f aca="false">('Clients &amp; revenue'!F36+'Clients &amp; revenue'!F37)*Fraud_Rate</f>
        <v>0</v>
      </c>
      <c r="G14" s="33" t="n">
        <f aca="false">('Clients &amp; revenue'!G36+'Clients &amp; revenue'!G37)*Fraud_Rate</f>
        <v>0</v>
      </c>
      <c r="H14" s="33" t="n">
        <f aca="false">('Clients &amp; revenue'!H36+'Clients &amp; revenue'!H37)*Fraud_Rate</f>
        <v>0</v>
      </c>
      <c r="I14" s="33" t="n">
        <f aca="false">('Clients &amp; revenue'!I36+'Clients &amp; revenue'!I37)*Fraud_Rate</f>
        <v>111072</v>
      </c>
      <c r="J14" s="33" t="n">
        <f aca="false">('Clients &amp; revenue'!J36+'Clients &amp; revenue'!J37)*Fraud_Rate</f>
        <v>222180.96</v>
      </c>
      <c r="K14" s="33" t="n">
        <f aca="false">('Clients &amp; revenue'!K36+'Clients &amp; revenue'!K37)*Fraud_Rate</f>
        <v>333413.1708</v>
      </c>
      <c r="L14" s="33" t="n">
        <f aca="false">('Clients &amp; revenue'!L36+'Clients &amp; revenue'!L37)*Fraud_Rate</f>
        <v>491658.878634</v>
      </c>
      <c r="M14" s="33" t="n">
        <f aca="false">('Clients &amp; revenue'!M36+'Clients &amp; revenue'!M37)*Fraud_Rate</f>
        <v>649636.542291758</v>
      </c>
      <c r="N14" s="33" t="n">
        <f aca="false">('Clients &amp; revenue'!N36+'Clients &amp; revenue'!N37)*Fraud_Rate</f>
        <v>807453.250321754</v>
      </c>
      <c r="O14" s="33" t="n">
        <f aca="false">('Clients &amp; revenue'!O36+'Clients &amp; revenue'!O37)*Fraud_Rate</f>
        <v>965220.735076604</v>
      </c>
      <c r="P14" s="33" t="n">
        <f aca="false">('Clients &amp; revenue'!P36+'Clients &amp; revenue'!P37)*Fraud_Rate</f>
        <v>1123055.6800911</v>
      </c>
      <c r="Q14" s="33" t="n">
        <f aca="false">('Clients &amp; revenue'!Q36+'Clients &amp; revenue'!Q37)*Fraud_Rate</f>
        <v>1321952.04540161</v>
      </c>
      <c r="R14" s="33" t="n">
        <f aca="false">('Clients &amp; revenue'!R36+'Clients &amp; revenue'!R37)*Fraud_Rate</f>
        <v>1520662.37189257</v>
      </c>
      <c r="S14" s="33" t="n">
        <f aca="false">('Clients &amp; revenue'!S36+'Clients &amp; revenue'!S37)*Fraud_Rate</f>
        <v>1719327.33912057</v>
      </c>
      <c r="T14" s="33" t="n">
        <f aca="false">('Clients &amp; revenue'!T36+'Clients &amp; revenue'!T37)*Fraud_Rate</f>
        <v>1918093.88514475</v>
      </c>
      <c r="U14" s="33" t="n">
        <f aca="false">('Clients &amp; revenue'!U36+'Clients &amp; revenue'!U37)*Fraud_Rate</f>
        <v>2117115.61708049</v>
      </c>
      <c r="V14" s="33" t="n">
        <f aca="false">('Clients &amp; revenue'!V36+'Clients &amp; revenue'!V37)*Fraud_Rate</f>
        <v>2316553.24567744</v>
      </c>
      <c r="W14" s="33" t="n">
        <f aca="false">('Clients &amp; revenue'!W36+'Clients &amp; revenue'!W37)*Fraud_Rate</f>
        <v>2571487.04537434</v>
      </c>
      <c r="X14" s="33" t="n">
        <f aca="false">('Clients &amp; revenue'!X36+'Clients &amp; revenue'!X37)*Fraud_Rate</f>
        <v>2984127.90137035</v>
      </c>
      <c r="Y14" s="33" t="n">
        <f aca="false">('Clients &amp; revenue'!Y36+'Clients &amp; revenue'!Y37)*Fraud_Rate</f>
        <v>3396000.83814447</v>
      </c>
      <c r="Z14" s="33" t="n">
        <f aca="false">('Clients &amp; revenue'!Z36+'Clients &amp; revenue'!Z37)*Fraud_Rate</f>
        <v>3807379.28413652</v>
      </c>
      <c r="AA14" s="33" t="n">
        <f aca="false">('Clients &amp; revenue'!AA36+'Clients &amp; revenue'!AA37)*Fraud_Rate</f>
        <v>4218548.48536768</v>
      </c>
      <c r="AB14" s="33" t="n">
        <f aca="false">('Clients &amp; revenue'!AB36+'Clients &amp; revenue'!AB37)*Fraud_Rate</f>
        <v>4629806.28812735</v>
      </c>
      <c r="AC14" s="33" t="n">
        <f aca="false">('Clients &amp; revenue'!AC36+'Clients &amp; revenue'!AC37)*Fraud_Rate</f>
        <v>5123519.96734239</v>
      </c>
      <c r="AD14" s="33" t="n">
        <f aca="false">('Clients &amp; revenue'!AD36+'Clients &amp; revenue'!AD37)*Fraud_Rate</f>
        <v>5616949.18339283</v>
      </c>
      <c r="AE14" s="33" t="n">
        <f aca="false">('Clients &amp; revenue'!AE36+'Clients &amp; revenue'!AE37)*Fraud_Rate</f>
        <v>6110449.03120406</v>
      </c>
      <c r="AF14" s="33" t="n">
        <f aca="false">('Clients &amp; revenue'!AF36+'Clients &amp; revenue'!AF37)*Fraud_Rate</f>
        <v>6604390.59557735</v>
      </c>
      <c r="AG14" s="33" t="n">
        <f aca="false">('Clients &amp; revenue'!AG36+'Clients &amp; revenue'!AG37)*Fraud_Rate</f>
        <v>7099161.99553606</v>
      </c>
      <c r="AH14" s="33" t="n">
        <f aca="false">('Clients &amp; revenue'!AH36+'Clients &amp; revenue'!AH37)*Fraud_Rate</f>
        <v>7595169.48986124</v>
      </c>
      <c r="AI14" s="33" t="n">
        <f aca="false">('Clients &amp; revenue'!AI36+'Clients &amp; revenue'!AI37)*Fraud_Rate</f>
        <v>8092838.6475151</v>
      </c>
      <c r="AJ14" s="33" t="n">
        <f aca="false">('Clients &amp; revenue'!AJ36+'Clients &amp; revenue'!AJ37)*Fraud_Rate</f>
        <v>8749395.58687176</v>
      </c>
      <c r="AK14" s="33" t="n">
        <f aca="false">('Clients &amp; revenue'!AK36+'Clients &amp; revenue'!AK37)*Fraud_Rate</f>
        <v>9406598.68790973</v>
      </c>
      <c r="AL14" s="33" t="n">
        <f aca="false">('Clients &amp; revenue'!AL36+'Clients &amp; revenue'!AL37)*Fraud_Rate</f>
        <v>10064966.4675192</v>
      </c>
      <c r="AM14" s="33" t="n">
        <f aca="false">('Clients &amp; revenue'!AM36+'Clients &amp; revenue'!AM37)*Fraud_Rate</f>
        <v>10725041.7326881</v>
      </c>
      <c r="AN14" s="33" t="n">
        <f aca="false">('Clients &amp; revenue'!AN36+'Clients &amp; revenue'!AN37)*Fraud_Rate</f>
        <v>11387393.146521</v>
      </c>
      <c r="AO14" s="33" t="n">
        <f aca="false">('Clients &amp; revenue'!AO36+'Clients &amp; revenue'!AO37)*Fraud_Rate</f>
        <v>12093488.886342</v>
      </c>
      <c r="AP14" s="33" t="n">
        <f aca="false">('Clients &amp; revenue'!AP36+'Clients &amp; revenue'!AP37)*Fraud_Rate</f>
        <v>12802579.3594423</v>
      </c>
      <c r="AQ14" s="33" t="n">
        <f aca="false">('Clients &amp; revenue'!AQ36+'Clients &amp; revenue'!AQ37)*Fraud_Rate</f>
        <v>13515328.2556644</v>
      </c>
      <c r="AR14" s="33" t="n">
        <f aca="false">('Clients &amp; revenue'!AR36+'Clients &amp; revenue'!AR37)*Fraud_Rate</f>
        <v>14232432.2503765</v>
      </c>
      <c r="AS14" s="33" t="n">
        <f aca="false">('Clients &amp; revenue'!AS36+'Clients &amp; revenue'!AS37)*Fraud_Rate</f>
        <v>14951177.3950846</v>
      </c>
      <c r="AT14" s="33" t="n">
        <f aca="false">('Clients &amp; revenue'!AT36+'Clients &amp; revenue'!AT37)*Fraud_Rate</f>
        <v>15664382.085381</v>
      </c>
      <c r="AU14" s="33" t="n">
        <f aca="false">('Clients &amp; revenue'!AU36+'Clients &amp; revenue'!AU37)*Fraud_Rate</f>
        <v>16372308.8389476</v>
      </c>
      <c r="AV14" s="33" t="n">
        <f aca="false">('Clients &amp; revenue'!AV36+'Clients &amp; revenue'!AV37)*Fraud_Rate</f>
        <v>17232007.5654354</v>
      </c>
      <c r="AW14" s="33" t="n">
        <f aca="false">('Clients &amp; revenue'!AW36+'Clients &amp; revenue'!AW37)*Fraud_Rate</f>
        <v>18085046.5418392</v>
      </c>
      <c r="AX14" s="33" t="n">
        <f aca="false">('Clients &amp; revenue'!AX36+'Clients &amp; revenue'!AX37)*Fraud_Rate</f>
        <v>18931739.5058824</v>
      </c>
      <c r="AY14" s="33" t="n">
        <f aca="false">('Clients &amp; revenue'!AY36+'Clients &amp; revenue'!AY37)*Fraud_Rate</f>
        <v>19772408.979486</v>
      </c>
      <c r="AZ14" s="33" t="n">
        <f aca="false">('Clients &amp; revenue'!AZ36+'Clients &amp; revenue'!AZ37)*Fraud_Rate</f>
        <v>20607386.9544236</v>
      </c>
      <c r="BA14" s="33" t="n">
        <f aca="false">('Clients &amp; revenue'!BA36+'Clients &amp; revenue'!BA37)*Fraud_Rate</f>
        <v>21478199.6163904</v>
      </c>
      <c r="BB14" s="33" t="n">
        <f aca="false">('Clients &amp; revenue'!BB36+'Clients &amp; revenue'!BB37)*Fraud_Rate</f>
        <v>22343509.2298424</v>
      </c>
      <c r="BC14" s="33" t="n">
        <f aca="false">('Clients &amp; revenue'!BC36+'Clients &amp; revenue'!BC37)*Fraud_Rate</f>
        <v>23203687.873699</v>
      </c>
      <c r="BD14" s="33" t="n">
        <f aca="false">('Clients &amp; revenue'!BD36+'Clients &amp; revenue'!BD37)*Fraud_Rate</f>
        <v>24059120.1341019</v>
      </c>
      <c r="BE14" s="33" t="n">
        <f aca="false">('Clients &amp; revenue'!BE36+'Clients &amp; revenue'!BE37)*Fraud_Rate</f>
        <v>24910204.0090913</v>
      </c>
      <c r="BF14" s="33" t="n">
        <f aca="false">('Clients &amp; revenue'!BF36+'Clients &amp; revenue'!BF37)*Fraud_Rate</f>
        <v>25757351.8649246</v>
      </c>
      <c r="BG14" s="33" t="n">
        <f aca="false">('Clients &amp; revenue'!BG36+'Clients &amp; revenue'!BG37)*Fraud_Rate</f>
        <v>26600991.4471823</v>
      </c>
      <c r="BH14" s="33" t="n">
        <f aca="false">('Clients &amp; revenue'!BH36+'Clients &amp; revenue'!BH37)*Fraud_Rate</f>
        <v>27441566.9499959</v>
      </c>
      <c r="BI14" s="33" t="n">
        <f aca="false">('Clients &amp; revenue'!BI36+'Clients &amp; revenue'!BI37)*Fraud_Rate</f>
        <v>28279540.1469314</v>
      </c>
      <c r="BJ14" s="33" t="n">
        <f aca="false">('Clients &amp; revenue'!BJ36+'Clients &amp; revenue'!BJ37)*Fraud_Rate</f>
        <v>29115391.587273</v>
      </c>
      <c r="BK14" s="33" t="n">
        <f aca="false">('Clients &amp; revenue'!BK36+'Clients &amp; revenue'!BK37)*Fraud_Rate</f>
        <v>29945610.3818367</v>
      </c>
      <c r="BL14" s="33" t="n">
        <f aca="false">('Clients &amp; revenue'!BL36+'Clients &amp; revenue'!BL37)*Fraud_Rate</f>
        <v>30766114.6649769</v>
      </c>
    </row>
    <row r="15" customFormat="false" ht="15" hidden="false" customHeight="false" outlineLevel="0" collapsed="false">
      <c r="A15" s="12" t="s">
        <v>639</v>
      </c>
      <c r="B15" s="14" t="s">
        <v>63</v>
      </c>
      <c r="D15" s="41" t="n">
        <f aca="false">SUM(E15:BL15)</f>
        <v>1885631333.31464</v>
      </c>
      <c r="E15" s="33" t="n">
        <f aca="false">'Clients &amp; revenue'!E39*Wallet_Share*Wallet_Payout_Cost</f>
        <v>0</v>
      </c>
      <c r="F15" s="33" t="n">
        <f aca="false">'Clients &amp; revenue'!F39*Wallet_Share*Wallet_Payout_Cost</f>
        <v>0</v>
      </c>
      <c r="G15" s="33" t="n">
        <f aca="false">'Clients &amp; revenue'!G39*Wallet_Share*Wallet_Payout_Cost</f>
        <v>0</v>
      </c>
      <c r="H15" s="33" t="n">
        <f aca="false">'Clients &amp; revenue'!H39*Wallet_Share*Wallet_Payout_Cost</f>
        <v>0</v>
      </c>
      <c r="I15" s="33" t="n">
        <f aca="false">'Clients &amp; revenue'!I39*Wallet_Share*Wallet_Payout_Cost</f>
        <v>320400</v>
      </c>
      <c r="J15" s="33" t="n">
        <f aca="false">'Clients &amp; revenue'!J39*Wallet_Share*Wallet_Payout_Cost</f>
        <v>641379</v>
      </c>
      <c r="K15" s="33" t="n">
        <f aca="false">'Clients &amp; revenue'!K39*Wallet_Share*Wallet_Payout_Cost</f>
        <v>963179.5125</v>
      </c>
      <c r="L15" s="33" t="n">
        <f aca="false">'Clients &amp; revenue'!L39*Wallet_Share*Wallet_Payout_Cost</f>
        <v>1421055.92349375</v>
      </c>
      <c r="M15" s="33" t="n">
        <f aca="false">'Clients &amp; revenue'!M39*Wallet_Share*Wallet_Payout_Cost</f>
        <v>1878812.74434033</v>
      </c>
      <c r="N15" s="33" t="n">
        <f aca="false">'Clients &amp; revenue'!N39*Wallet_Share*Wallet_Payout_Cost</f>
        <v>2336748.68935186</v>
      </c>
      <c r="O15" s="33" t="n">
        <f aca="false">'Clients &amp; revenue'!O39*Wallet_Share*Wallet_Payout_Cost</f>
        <v>2795176.47576109</v>
      </c>
      <c r="P15" s="33" t="n">
        <f aca="false">'Clients &amp; revenue'!P39*Wallet_Share*Wallet_Payout_Cost</f>
        <v>3254423.72139642</v>
      </c>
      <c r="Q15" s="33" t="n">
        <f aca="false">'Clients &amp; revenue'!Q39*Wallet_Share*Wallet_Payout_Cost</f>
        <v>3832733.89527942</v>
      </c>
      <c r="R15" s="33" t="n">
        <f aca="false">'Clients &amp; revenue'!R39*Wallet_Share*Wallet_Payout_Cost</f>
        <v>4411290.07433652</v>
      </c>
      <c r="S15" s="33" t="n">
        <f aca="false">'Clients &amp; revenue'!S39*Wallet_Share*Wallet_Payout_Cost</f>
        <v>4990486.47523306</v>
      </c>
      <c r="T15" s="33" t="n">
        <f aca="false">'Clients &amp; revenue'!T39*Wallet_Share*Wallet_Payout_Cost</f>
        <v>5570736.13899507</v>
      </c>
      <c r="U15" s="33" t="n">
        <f aca="false">'Clients &amp; revenue'!U39*Wallet_Share*Wallet_Payout_Cost</f>
        <v>6152472.13085851</v>
      </c>
      <c r="V15" s="33" t="n">
        <f aca="false">'Clients &amp; revenue'!V39*Wallet_Share*Wallet_Payout_Cost</f>
        <v>6736148.81096662</v>
      </c>
      <c r="W15" s="33" t="n">
        <f aca="false">'Clients &amp; revenue'!W39*Wallet_Share*Wallet_Payout_Cost</f>
        <v>7480643.1801864</v>
      </c>
      <c r="X15" s="33" t="n">
        <f aca="false">'Clients &amp; revenue'!X39*Wallet_Share*Wallet_Payout_Cost</f>
        <v>8681020.3055707</v>
      </c>
      <c r="Y15" s="33" t="n">
        <f aca="false">'Clients &amp; revenue'!Y39*Wallet_Share*Wallet_Payout_Cost</f>
        <v>9880798.38026432</v>
      </c>
      <c r="Z15" s="33" t="n">
        <f aca="false">'Clients &amp; revenue'!Z39*Wallet_Share*Wallet_Payout_Cost</f>
        <v>11080740.5799644</v>
      </c>
      <c r="AA15" s="33" t="n">
        <f aca="false">'Clients &amp; revenue'!AA39*Wallet_Share*Wallet_Payout_Cost</f>
        <v>12281645.7115666</v>
      </c>
      <c r="AB15" s="33" t="n">
        <f aca="false">'Clients &amp; revenue'!AB39*Wallet_Share*Wallet_Payout_Cost</f>
        <v>13484350.4990117</v>
      </c>
      <c r="AC15" s="33" t="n">
        <f aca="false">'Clients &amp; revenue'!AC39*Wallet_Share*Wallet_Payout_Cost</f>
        <v>14926432.0038819</v>
      </c>
      <c r="AD15" s="33" t="n">
        <f aca="false">'Clients &amp; revenue'!AD39*Wallet_Share*Wallet_Payout_Cost</f>
        <v>16369545.9388726</v>
      </c>
      <c r="AE15" s="33" t="n">
        <f aca="false">'Clients &amp; revenue'!AE39*Wallet_Share*Wallet_Payout_Cost</f>
        <v>17814689.9358818</v>
      </c>
      <c r="AF15" s="33" t="n">
        <f aca="false">'Clients &amp; revenue'!AF39*Wallet_Share*Wallet_Payout_Cost</f>
        <v>19262909.6586287</v>
      </c>
      <c r="AG15" s="33" t="n">
        <f aca="false">'Clients &amp; revenue'!AG39*Wallet_Share*Wallet_Payout_Cost</f>
        <v>20715301.8559105</v>
      </c>
      <c r="AH15" s="33" t="n">
        <f aca="false">'Clients &amp; revenue'!AH39*Wallet_Share*Wallet_Payout_Cost</f>
        <v>22173017.595285</v>
      </c>
      <c r="AI15" s="33" t="n">
        <f aca="false">'Clients &amp; revenue'!AI39*Wallet_Share*Wallet_Payout_Cost</f>
        <v>23637265.6880528</v>
      </c>
      <c r="AJ15" s="33" t="n">
        <f aca="false">'Clients &amp; revenue'!AJ39*Wallet_Share*Wallet_Payout_Cost</f>
        <v>25561566.3170664</v>
      </c>
      <c r="AK15" s="33" t="n">
        <f aca="false">'Clients &amp; revenue'!AK39*Wallet_Share*Wallet_Payout_Cost</f>
        <v>27490105.5045794</v>
      </c>
      <c r="AL15" s="33" t="n">
        <f aca="false">'Clients &amp; revenue'!AL39*Wallet_Share*Wallet_Payout_Cost</f>
        <v>29424349.1752744</v>
      </c>
      <c r="AM15" s="33" t="n">
        <f aca="false">'Clients &amp; revenue'!AM39*Wallet_Share*Wallet_Payout_Cost</f>
        <v>31365835.9730395</v>
      </c>
      <c r="AN15" s="33" t="n">
        <f aca="false">'Clients &amp; revenue'!AN39*Wallet_Share*Wallet_Payout_Cost</f>
        <v>33316181.8438755</v>
      </c>
      <c r="AO15" s="33" t="n">
        <f aca="false">'Clients &amp; revenue'!AO39*Wallet_Share*Wallet_Payout_Cost</f>
        <v>35394984.8902377</v>
      </c>
      <c r="AP15" s="33" t="n">
        <f aca="false">'Clients &amp; revenue'!AP39*Wallet_Share*Wallet_Payout_Cost</f>
        <v>37484853.2631617</v>
      </c>
      <c r="AQ15" s="33" t="n">
        <f aca="false">'Clients &amp; revenue'!AQ39*Wallet_Share*Wallet_Payout_Cost</f>
        <v>39587681.0751239</v>
      </c>
      <c r="AR15" s="33" t="n">
        <f aca="false">'Clients &amp; revenue'!AR39*Wallet_Share*Wallet_Payout_Cost</f>
        <v>41705460.726084</v>
      </c>
      <c r="AS15" s="33" t="n">
        <f aca="false">'Clients &amp; revenue'!AS39*Wallet_Share*Wallet_Payout_Cost</f>
        <v>43830349.510825</v>
      </c>
      <c r="AT15" s="33" t="n">
        <f aca="false">'Clients &amp; revenue'!AT39*Wallet_Share*Wallet_Payout_Cost</f>
        <v>45941605.9371914</v>
      </c>
      <c r="AU15" s="33" t="n">
        <f aca="false">'Clients &amp; revenue'!AU39*Wallet_Share*Wallet_Payout_Cost</f>
        <v>48039931.7799677</v>
      </c>
      <c r="AV15" s="33" t="n">
        <f aca="false">'Clients &amp; revenue'!AV39*Wallet_Share*Wallet_Payout_Cost</f>
        <v>50578302.0523791</v>
      </c>
      <c r="AW15" s="33" t="n">
        <f aca="false">'Clients &amp; revenue'!AW39*Wallet_Share*Wallet_Payout_Cost</f>
        <v>53100317.2943704</v>
      </c>
      <c r="AX15" s="33" t="n">
        <f aca="false">'Clients &amp; revenue'!AX39*Wallet_Share*Wallet_Payout_Cost</f>
        <v>55606815.3235773</v>
      </c>
      <c r="AY15" s="33" t="n">
        <f aca="false">'Clients &amp; revenue'!AY39*Wallet_Share*Wallet_Payout_Cost</f>
        <v>58098661.599641</v>
      </c>
      <c r="AZ15" s="33" t="n">
        <f aca="false">'Clients &amp; revenue'!AZ39*Wallet_Share*Wallet_Payout_Cost</f>
        <v>60576751.2058535</v>
      </c>
      <c r="BA15" s="33" t="n">
        <f aca="false">'Clients &amp; revenue'!BA39*Wallet_Share*Wallet_Payout_Cost</f>
        <v>63160810.9445365</v>
      </c>
      <c r="BB15" s="33" t="n">
        <f aca="false">'Clients &amp; revenue'!BB39*Wallet_Share*Wallet_Payout_Cost</f>
        <v>65731714.5530696</v>
      </c>
      <c r="BC15" s="33" t="n">
        <f aca="false">'Clients &amp; revenue'!BC39*Wallet_Share*Wallet_Payout_Cost</f>
        <v>68290475.1353937</v>
      </c>
      <c r="BD15" s="33" t="n">
        <f aca="false">'Clients &amp; revenue'!BD39*Wallet_Share*Wallet_Payout_Cost</f>
        <v>70838144.3234598</v>
      </c>
      <c r="BE15" s="33" t="n">
        <f aca="false">'Clients &amp; revenue'!BE39*Wallet_Share*Wallet_Payout_Cost</f>
        <v>73375814.9046435</v>
      </c>
      <c r="BF15" s="33" t="n">
        <f aca="false">'Clients &amp; revenue'!BF39*Wallet_Share*Wallet_Payout_Cost</f>
        <v>75904623.6017839</v>
      </c>
      <c r="BG15" s="33" t="n">
        <f aca="false">'Clients &amp; revenue'!BG39*Wallet_Share*Wallet_Payout_Cost</f>
        <v>78425754.0150936</v>
      </c>
      <c r="BH15" s="33" t="n">
        <f aca="false">'Clients &amp; revenue'!BH39*Wallet_Share*Wallet_Payout_Cost</f>
        <v>80940439.7357352</v>
      </c>
      <c r="BI15" s="33" t="n">
        <f aca="false">'Clients &amp; revenue'!BI39*Wallet_Share*Wallet_Payout_Cost</f>
        <v>83449967.641449</v>
      </c>
      <c r="BJ15" s="33" t="n">
        <f aca="false">'Clients &amp; revenue'!BJ39*Wallet_Share*Wallet_Payout_Cost</f>
        <v>85955681.3852366</v>
      </c>
      <c r="BK15" s="33" t="n">
        <f aca="false">'Clients &amp; revenue'!BK39*Wallet_Share*Wallet_Payout_Cost</f>
        <v>88447413.5123096</v>
      </c>
      <c r="BL15" s="33" t="n">
        <f aca="false">'Clients &amp; revenue'!BL39*Wallet_Share*Wallet_Payout_Cost</f>
        <v>90913335.1640932</v>
      </c>
    </row>
    <row r="16" customFormat="false" ht="15" hidden="false" customHeight="false" outlineLevel="0" collapsed="false">
      <c r="A16" s="12" t="s">
        <v>640</v>
      </c>
      <c r="B16" s="14" t="s">
        <v>63</v>
      </c>
      <c r="D16" s="41" t="n">
        <f aca="false">SUM(E16:BL16)</f>
        <v>251417511.108619</v>
      </c>
      <c r="E16" s="33" t="n">
        <f aca="false">'Clients &amp; revenue'!E31*(1-Wallet_Share)*Bank_Payout_Cost</f>
        <v>0</v>
      </c>
      <c r="F16" s="33" t="n">
        <f aca="false">'Clients &amp; revenue'!F31*(1-Wallet_Share)*Bank_Payout_Cost</f>
        <v>0</v>
      </c>
      <c r="G16" s="33" t="n">
        <f aca="false">'Clients &amp; revenue'!G31*(1-Wallet_Share)*Bank_Payout_Cost</f>
        <v>0</v>
      </c>
      <c r="H16" s="33" t="n">
        <f aca="false">'Clients &amp; revenue'!H31*(1-Wallet_Share)*Bank_Payout_Cost</f>
        <v>0</v>
      </c>
      <c r="I16" s="33" t="n">
        <f aca="false">'Clients &amp; revenue'!I31*(1-Wallet_Share)*Bank_Payout_Cost</f>
        <v>42720</v>
      </c>
      <c r="J16" s="33" t="n">
        <f aca="false">'Clients &amp; revenue'!J31*(1-Wallet_Share)*Bank_Payout_Cost</f>
        <v>85517.2</v>
      </c>
      <c r="K16" s="33" t="n">
        <f aca="false">'Clients &amp; revenue'!K31*(1-Wallet_Share)*Bank_Payout_Cost</f>
        <v>128423.935</v>
      </c>
      <c r="L16" s="33" t="n">
        <f aca="false">'Clients &amp; revenue'!L31*(1-Wallet_Share)*Bank_Payout_Cost</f>
        <v>189474.1231325</v>
      </c>
      <c r="M16" s="33" t="n">
        <f aca="false">'Clients &amp; revenue'!M31*(1-Wallet_Share)*Bank_Payout_Cost</f>
        <v>250508.365912044</v>
      </c>
      <c r="N16" s="33" t="n">
        <f aca="false">'Clients &amp; revenue'!N31*(1-Wallet_Share)*Bank_Payout_Cost</f>
        <v>311566.491913581</v>
      </c>
      <c r="O16" s="33" t="n">
        <f aca="false">'Clients &amp; revenue'!O31*(1-Wallet_Share)*Bank_Payout_Cost</f>
        <v>372690.196768145</v>
      </c>
      <c r="P16" s="33" t="n">
        <f aca="false">'Clients &amp; revenue'!P31*(1-Wallet_Share)*Bank_Payout_Cost</f>
        <v>433923.162852856</v>
      </c>
      <c r="Q16" s="33" t="n">
        <f aca="false">'Clients &amp; revenue'!Q31*(1-Wallet_Share)*Bank_Payout_Cost</f>
        <v>511031.186037256</v>
      </c>
      <c r="R16" s="33" t="n">
        <f aca="false">'Clients &amp; revenue'!R31*(1-Wallet_Share)*Bank_Payout_Cost</f>
        <v>588172.009911536</v>
      </c>
      <c r="S16" s="33" t="n">
        <f aca="false">'Clients &amp; revenue'!S31*(1-Wallet_Share)*Bank_Payout_Cost</f>
        <v>665398.196697742</v>
      </c>
      <c r="T16" s="33" t="n">
        <f aca="false">'Clients &amp; revenue'!T31*(1-Wallet_Share)*Bank_Payout_Cost</f>
        <v>742764.818532677</v>
      </c>
      <c r="U16" s="33" t="n">
        <f aca="false">'Clients &amp; revenue'!U31*(1-Wallet_Share)*Bank_Payout_Cost</f>
        <v>820329.617447801</v>
      </c>
      <c r="V16" s="33" t="n">
        <f aca="false">'Clients &amp; revenue'!V31*(1-Wallet_Share)*Bank_Payout_Cost</f>
        <v>898153.17479555</v>
      </c>
      <c r="W16" s="33" t="n">
        <f aca="false">'Clients &amp; revenue'!W31*(1-Wallet_Share)*Bank_Payout_Cost</f>
        <v>997419.09069152</v>
      </c>
      <c r="X16" s="33" t="n">
        <f aca="false">'Clients &amp; revenue'!X31*(1-Wallet_Share)*Bank_Payout_Cost</f>
        <v>1157469.37407609</v>
      </c>
      <c r="Y16" s="33" t="n">
        <f aca="false">'Clients &amp; revenue'!Y31*(1-Wallet_Share)*Bank_Payout_Cost</f>
        <v>1317439.78403524</v>
      </c>
      <c r="Z16" s="33" t="n">
        <f aca="false">'Clients &amp; revenue'!Z31*(1-Wallet_Share)*Bank_Payout_Cost</f>
        <v>1477432.07732858</v>
      </c>
      <c r="AA16" s="33" t="n">
        <f aca="false">'Clients &amp; revenue'!AA31*(1-Wallet_Share)*Bank_Payout_Cost</f>
        <v>1637552.76154221</v>
      </c>
      <c r="AB16" s="33" t="n">
        <f aca="false">'Clients &amp; revenue'!AB31*(1-Wallet_Share)*Bank_Payout_Cost</f>
        <v>1797913.39986823</v>
      </c>
      <c r="AC16" s="33" t="n">
        <f aca="false">'Clients &amp; revenue'!AC31*(1-Wallet_Share)*Bank_Payout_Cost</f>
        <v>1990190.93385091</v>
      </c>
      <c r="AD16" s="33" t="n">
        <f aca="false">'Clients &amp; revenue'!AD31*(1-Wallet_Share)*Bank_Payout_Cost</f>
        <v>2182606.12518302</v>
      </c>
      <c r="AE16" s="33" t="n">
        <f aca="false">'Clients &amp; revenue'!AE31*(1-Wallet_Share)*Bank_Payout_Cost</f>
        <v>2375291.99145091</v>
      </c>
      <c r="AF16" s="33" t="n">
        <f aca="false">'Clients &amp; revenue'!AF31*(1-Wallet_Share)*Bank_Payout_Cost</f>
        <v>2568387.95448383</v>
      </c>
      <c r="AG16" s="33" t="n">
        <f aca="false">'Clients &amp; revenue'!AG31*(1-Wallet_Share)*Bank_Payout_Cost</f>
        <v>2762040.24745474</v>
      </c>
      <c r="AH16" s="33" t="n">
        <f aca="false">'Clients &amp; revenue'!AH31*(1-Wallet_Share)*Bank_Payout_Cost</f>
        <v>2956402.346038</v>
      </c>
      <c r="AI16" s="33" t="n">
        <f aca="false">'Clients &amp; revenue'!AI31*(1-Wallet_Share)*Bank_Payout_Cost</f>
        <v>3151635.42507371</v>
      </c>
      <c r="AJ16" s="33" t="n">
        <f aca="false">'Clients &amp; revenue'!AJ31*(1-Wallet_Share)*Bank_Payout_Cost</f>
        <v>3408208.84227552</v>
      </c>
      <c r="AK16" s="33" t="n">
        <f aca="false">'Clients &amp; revenue'!AK31*(1-Wallet_Share)*Bank_Payout_Cost</f>
        <v>3665347.40061059</v>
      </c>
      <c r="AL16" s="33" t="n">
        <f aca="false">'Clients &amp; revenue'!AL31*(1-Wallet_Share)*Bank_Payout_Cost</f>
        <v>3923246.55670325</v>
      </c>
      <c r="AM16" s="33" t="n">
        <f aca="false">'Clients &amp; revenue'!AM31*(1-Wallet_Share)*Bank_Payout_Cost</f>
        <v>4182111.46307193</v>
      </c>
      <c r="AN16" s="33" t="n">
        <f aca="false">'Clients &amp; revenue'!AN31*(1-Wallet_Share)*Bank_Payout_Cost</f>
        <v>4442157.5791834</v>
      </c>
      <c r="AO16" s="33" t="n">
        <f aca="false">'Clients &amp; revenue'!AO31*(1-Wallet_Share)*Bank_Payout_Cost</f>
        <v>4719331.31869836</v>
      </c>
      <c r="AP16" s="33" t="n">
        <f aca="false">'Clients &amp; revenue'!AP31*(1-Wallet_Share)*Bank_Payout_Cost</f>
        <v>4997980.43508823</v>
      </c>
      <c r="AQ16" s="33" t="n">
        <f aca="false">'Clients &amp; revenue'!AQ31*(1-Wallet_Share)*Bank_Payout_Cost</f>
        <v>5278357.47668318</v>
      </c>
      <c r="AR16" s="33" t="n">
        <f aca="false">'Clients &amp; revenue'!AR31*(1-Wallet_Share)*Bank_Payout_Cost</f>
        <v>5560728.0968112</v>
      </c>
      <c r="AS16" s="33" t="n">
        <f aca="false">'Clients &amp; revenue'!AS31*(1-Wallet_Share)*Bank_Payout_Cost</f>
        <v>5844046.60144334</v>
      </c>
      <c r="AT16" s="33" t="n">
        <f aca="false">'Clients &amp; revenue'!AT31*(1-Wallet_Share)*Bank_Payout_Cost</f>
        <v>6125547.45829219</v>
      </c>
      <c r="AU16" s="33" t="n">
        <f aca="false">'Clients &amp; revenue'!AU31*(1-Wallet_Share)*Bank_Payout_Cost</f>
        <v>6405324.23732903</v>
      </c>
      <c r="AV16" s="33" t="n">
        <f aca="false">'Clients &amp; revenue'!AV31*(1-Wallet_Share)*Bank_Payout_Cost</f>
        <v>6743773.60698388</v>
      </c>
      <c r="AW16" s="33" t="n">
        <f aca="false">'Clients &amp; revenue'!AW31*(1-Wallet_Share)*Bank_Payout_Cost</f>
        <v>7080042.30591606</v>
      </c>
      <c r="AX16" s="33" t="n">
        <f aca="false">'Clients &amp; revenue'!AX31*(1-Wallet_Share)*Bank_Payout_Cost</f>
        <v>7414242.04314364</v>
      </c>
      <c r="AY16" s="33" t="n">
        <f aca="false">'Clients &amp; revenue'!AY31*(1-Wallet_Share)*Bank_Payout_Cost</f>
        <v>7746488.21328547</v>
      </c>
      <c r="AZ16" s="33" t="n">
        <f aca="false">'Clients &amp; revenue'!AZ31*(1-Wallet_Share)*Bank_Payout_Cost</f>
        <v>8076900.16078047</v>
      </c>
      <c r="BA16" s="33" t="n">
        <f aca="false">'Clients &amp; revenue'!BA31*(1-Wallet_Share)*Bank_Payout_Cost</f>
        <v>8421441.45927154</v>
      </c>
      <c r="BB16" s="33" t="n">
        <f aca="false">'Clients &amp; revenue'!BB31*(1-Wallet_Share)*Bank_Payout_Cost</f>
        <v>8764228.60707595</v>
      </c>
      <c r="BC16" s="33" t="n">
        <f aca="false">'Clients &amp; revenue'!BC31*(1-Wallet_Share)*Bank_Payout_Cost</f>
        <v>9105396.68471915</v>
      </c>
      <c r="BD16" s="33" t="n">
        <f aca="false">'Clients &amp; revenue'!BD31*(1-Wallet_Share)*Bank_Payout_Cost</f>
        <v>9445085.90979464</v>
      </c>
      <c r="BE16" s="33" t="n">
        <f aca="false">'Clients &amp; revenue'!BE31*(1-Wallet_Share)*Bank_Payout_Cost</f>
        <v>9783441.9872858</v>
      </c>
      <c r="BF16" s="33" t="n">
        <f aca="false">'Clients &amp; revenue'!BF31*(1-Wallet_Share)*Bank_Payout_Cost</f>
        <v>10120616.4802379</v>
      </c>
      <c r="BG16" s="33" t="n">
        <f aca="false">'Clients &amp; revenue'!BG31*(1-Wallet_Share)*Bank_Payout_Cost</f>
        <v>10456767.2020125</v>
      </c>
      <c r="BH16" s="33" t="n">
        <f aca="false">'Clients &amp; revenue'!BH31*(1-Wallet_Share)*Bank_Payout_Cost</f>
        <v>10792058.6314314</v>
      </c>
      <c r="BI16" s="33" t="n">
        <f aca="false">'Clients &amp; revenue'!BI31*(1-Wallet_Share)*Bank_Payout_Cost</f>
        <v>11126662.3521932</v>
      </c>
      <c r="BJ16" s="33" t="n">
        <f aca="false">'Clients &amp; revenue'!BJ31*(1-Wallet_Share)*Bank_Payout_Cost</f>
        <v>11460757.5180315</v>
      </c>
      <c r="BK16" s="33" t="n">
        <f aca="false">'Clients &amp; revenue'!BK31*(1-Wallet_Share)*Bank_Payout_Cost</f>
        <v>11792988.468308</v>
      </c>
      <c r="BL16" s="33" t="n">
        <f aca="false">'Clients &amp; revenue'!BL31*(1-Wallet_Share)*Bank_Payout_Cost</f>
        <v>12121778.0218791</v>
      </c>
    </row>
    <row r="17" customFormat="false" ht="15" hidden="false" customHeight="false" outlineLevel="0" collapsed="false">
      <c r="A17" s="12" t="s">
        <v>599</v>
      </c>
      <c r="B17" s="14" t="s">
        <v>63</v>
      </c>
      <c r="D17" s="41" t="n">
        <f aca="false">SUM(E17:BL17)</f>
        <v>913352185.715595</v>
      </c>
      <c r="E17" s="33" t="n">
        <f aca="false">'Clients &amp; revenue'!E40*Supplier_Payout_Cost</f>
        <v>0</v>
      </c>
      <c r="F17" s="33" t="n">
        <f aca="false">'Clients &amp; revenue'!F40*Supplier_Payout_Cost</f>
        <v>0</v>
      </c>
      <c r="G17" s="33" t="n">
        <f aca="false">'Clients &amp; revenue'!G40*Supplier_Payout_Cost</f>
        <v>0</v>
      </c>
      <c r="H17" s="33" t="n">
        <f aca="false">'Clients &amp; revenue'!H40*Supplier_Payout_Cost</f>
        <v>0</v>
      </c>
      <c r="I17" s="33" t="n">
        <f aca="false">'Clients &amp; revenue'!I40*Supplier_Payout_Cost</f>
        <v>156640</v>
      </c>
      <c r="J17" s="33" t="n">
        <f aca="false">'Clients &amp; revenue'!J40*Supplier_Payout_Cost</f>
        <v>313444.4</v>
      </c>
      <c r="K17" s="33" t="n">
        <f aca="false">'Clients &amp; revenue'!K40*Supplier_Payout_Cost</f>
        <v>470533.347</v>
      </c>
      <c r="L17" s="33" t="n">
        <f aca="false">'Clients &amp; revenue'!L40*Supplier_Payout_Cost</f>
        <v>694032.6769975</v>
      </c>
      <c r="M17" s="33" t="n">
        <f aca="false">'Clients &amp; revenue'!M40*Supplier_Payout_Cost</f>
        <v>917309.279981769</v>
      </c>
      <c r="N17" s="33" t="n">
        <f aca="false">'Clients &amp; revenue'!N40*Supplier_Payout_Cost</f>
        <v>1140511.72392522</v>
      </c>
      <c r="O17" s="33" t="n">
        <f aca="false">'Clients &amp; revenue'!O40*Supplier_Payout_Cost</f>
        <v>1363795.27103777</v>
      </c>
      <c r="P17" s="33" t="n">
        <f aca="false">'Clients &amp; revenue'!P40*Supplier_Payout_Cost</f>
        <v>1587322.31382225</v>
      </c>
      <c r="Q17" s="33" t="n">
        <f aca="false">'Clients &amp; revenue'!Q40*Supplier_Payout_Cost</f>
        <v>1868902.83670959</v>
      </c>
      <c r="R17" s="33" t="n">
        <f aca="false">'Clients &amp; revenue'!R40*Supplier_Payout_Cost</f>
        <v>2150406.80481896</v>
      </c>
      <c r="S17" s="33" t="n">
        <f aca="false">'Clients &amp; revenue'!S40*Supplier_Payout_Cost</f>
        <v>2432029.82223078</v>
      </c>
      <c r="T17" s="33" t="n">
        <f aca="false">'Clients &amp; revenue'!T40*Supplier_Payout_Cost</f>
        <v>2713976.50342777</v>
      </c>
      <c r="U17" s="33" t="n">
        <f aca="false">'Clients &amp; revenue'!U40*Supplier_Payout_Cost</f>
        <v>2996461.05592675</v>
      </c>
      <c r="V17" s="33" t="n">
        <f aca="false">'Clients &amp; revenue'!V40*Supplier_Payout_Cost</f>
        <v>3279707.89715846</v>
      </c>
      <c r="W17" s="33" t="n">
        <f aca="false">'Clients &amp; revenue'!W40*Supplier_Payout_Cost</f>
        <v>3641392.30766318</v>
      </c>
      <c r="X17" s="33" t="n">
        <f aca="false">'Clients &amp; revenue'!X40*Supplier_Payout_Cost</f>
        <v>4225711.52279358</v>
      </c>
      <c r="Y17" s="33" t="n">
        <f aca="false">'Clients &amp; revenue'!Y40*Supplier_Payout_Cost</f>
        <v>4809331.43724752</v>
      </c>
      <c r="Z17" s="33" t="n">
        <f aca="false">'Clients &amp; revenue'!Z40*Supplier_Payout_Cost</f>
        <v>5392631.50690267</v>
      </c>
      <c r="AA17" s="33" t="n">
        <f aca="false">'Clients &amp; revenue'!AA40*Supplier_Payout_Cost</f>
        <v>5976008.22223219</v>
      </c>
      <c r="AB17" s="33" t="n">
        <f aca="false">'Clients &amp; revenue'!AB40*Supplier_Payout_Cost</f>
        <v>6559876.21866473</v>
      </c>
      <c r="AC17" s="33" t="n">
        <f aca="false">'Clients &amp; revenue'!AC40*Supplier_Payout_Cost</f>
        <v>7260389.45207505</v>
      </c>
      <c r="AD17" s="33" t="n">
        <f aca="false">'Clients &amp; revenue'!AD40*Supplier_Payout_Cost</f>
        <v>7960941.1433399</v>
      </c>
      <c r="AE17" s="33" t="n">
        <f aca="false">'Clients &amp; revenue'!AE40*Supplier_Payout_Cost</f>
        <v>8662025.64587938</v>
      </c>
      <c r="AF17" s="33" t="n">
        <f aca="false">'Clients &amp; revenue'!AF40*Supplier_Payout_Cost</f>
        <v>9364160.31865559</v>
      </c>
      <c r="AG17" s="33" t="n">
        <f aca="false">'Clients &amp; revenue'!AG40*Supplier_Payout_Cost</f>
        <v>10067887.0085196</v>
      </c>
      <c r="AH17" s="33" t="n">
        <f aca="false">'Clients &amp; revenue'!AH40*Supplier_Payout_Cost</f>
        <v>10773773.6197823</v>
      </c>
      <c r="AI17" s="33" t="n">
        <f aca="false">'Clients &amp; revenue'!AI40*Supplier_Payout_Cost</f>
        <v>11482415.7762735</v>
      </c>
      <c r="AJ17" s="33" t="n">
        <f aca="false">'Clients &amp; revenue'!AJ40*Supplier_Payout_Cost</f>
        <v>12415538.5814685</v>
      </c>
      <c r="AK17" s="33" t="n">
        <f aca="false">'Clients &amp; revenue'!AK40*Supplier_Payout_Cost</f>
        <v>13350135.7325957</v>
      </c>
      <c r="AL17" s="33" t="n">
        <f aca="false">'Clients &amp; revenue'!AL40*Supplier_Payout_Cost</f>
        <v>14286931.2906193</v>
      </c>
      <c r="AM17" s="33" t="n">
        <f aca="false">'Clients &amp; revenue'!AM40*Supplier_Payout_Cost</f>
        <v>15226684.2048343</v>
      </c>
      <c r="AN17" s="33" t="n">
        <f aca="false">'Clients &amp; revenue'!AN40*Supplier_Payout_Cost</f>
        <v>16170190.5367636</v>
      </c>
      <c r="AO17" s="33" t="n">
        <f aca="false">'Clients &amp; revenue'!AO40*Supplier_Payout_Cost</f>
        <v>17175925.8152979</v>
      </c>
      <c r="AP17" s="33" t="n">
        <f aca="false">'Clients &amp; revenue'!AP40*Supplier_Payout_Cost</f>
        <v>18186459.4309915</v>
      </c>
      <c r="AQ17" s="33" t="n">
        <f aca="false">'Clients &amp; revenue'!AQ40*Supplier_Payout_Cost</f>
        <v>19202722.4186518</v>
      </c>
      <c r="AR17" s="33" t="n">
        <f aca="false">'Clients &amp; revenue'!AR40*Supplier_Payout_Cost</f>
        <v>20225693.079033</v>
      </c>
      <c r="AS17" s="33" t="n">
        <f aca="false">'Clients &amp; revenue'!AS40*Supplier_Payout_Cost</f>
        <v>21251540.6292441</v>
      </c>
      <c r="AT17" s="33" t="n">
        <f aca="false">'Clients &amp; revenue'!AT40*Supplier_Payout_Cost</f>
        <v>22270131.0578722</v>
      </c>
      <c r="AU17" s="33" t="n">
        <f aca="false">'Clients &amp; revenue'!AU40*Supplier_Payout_Cost</f>
        <v>23281821.3078867</v>
      </c>
      <c r="AV17" s="33" t="n">
        <f aca="false">'Clients &amp; revenue'!AV40*Supplier_Payout_Cost</f>
        <v>24508079.206008</v>
      </c>
      <c r="AW17" s="33" t="n">
        <f aca="false">'Clients &amp; revenue'!AW40*Supplier_Payout_Cost</f>
        <v>25725621.5248285</v>
      </c>
      <c r="AX17" s="33" t="n">
        <f aca="false">'Clients &amp; revenue'!AX40*Supplier_Payout_Cost</f>
        <v>26934874.6366355</v>
      </c>
      <c r="AY17" s="33" t="n">
        <f aca="false">'Clients &amp; revenue'!AY40*Supplier_Payout_Cost</f>
        <v>28136277.8538457</v>
      </c>
      <c r="AZ17" s="33" t="n">
        <f aca="false">'Clients &amp; revenue'!AZ40*Supplier_Payout_Cost</f>
        <v>29330284.3966767</v>
      </c>
      <c r="BA17" s="33" t="n">
        <f aca="false">'Clients &amp; revenue'!BA40*Supplier_Payout_Cost</f>
        <v>30575442.4156899</v>
      </c>
      <c r="BB17" s="33" t="n">
        <f aca="false">'Clients &amp; revenue'!BB40*Supplier_Payout_Cost</f>
        <v>31813482.8725551</v>
      </c>
      <c r="BC17" s="33" t="n">
        <f aca="false">'Clients &amp; revenue'!BC40*Supplier_Payout_Cost</f>
        <v>33044916.091585</v>
      </c>
      <c r="BD17" s="33" t="n">
        <f aca="false">'Clients &amp; revenue'!BD40*Supplier_Payout_Cost</f>
        <v>34270270.6219324</v>
      </c>
      <c r="BE17" s="33" t="n">
        <f aca="false">'Clients &amp; revenue'!BE40*Supplier_Payout_Cost</f>
        <v>35490094.5174614</v>
      </c>
      <c r="BF17" s="33" t="n">
        <f aca="false">'Clients &amp; revenue'!BF40*Supplier_Payout_Cost</f>
        <v>36704956.6903163</v>
      </c>
      <c r="BG17" s="33" t="n">
        <f aca="false">'Clients &amp; revenue'!BG40*Supplier_Payout_Cost</f>
        <v>37915448.3426682</v>
      </c>
      <c r="BH17" s="33" t="n">
        <f aca="false">'Clients &amp; revenue'!BH40*Supplier_Payout_Cost</f>
        <v>39122184.4813812</v>
      </c>
      <c r="BI17" s="33" t="n">
        <f aca="false">'Clients &amp; revenue'!BI40*Supplier_Payout_Cost</f>
        <v>40325805.5206281</v>
      </c>
      <c r="BJ17" s="33" t="n">
        <f aca="false">'Clients &amp; revenue'!BJ40*Supplier_Payout_Cost</f>
        <v>41526978.9777831</v>
      </c>
      <c r="BK17" s="33" t="n">
        <f aca="false">'Clients &amp; revenue'!BK40*Supplier_Payout_Cost</f>
        <v>42720744.0530852</v>
      </c>
      <c r="BL17" s="33" t="n">
        <f aca="false">'Clients &amp; revenue'!BL40*Supplier_Payout_Cost</f>
        <v>43901331.3141899</v>
      </c>
    </row>
    <row r="18" customFormat="false" ht="15" hidden="false" customHeight="false" outlineLevel="0" collapsed="false">
      <c r="A18" s="12" t="s">
        <v>641</v>
      </c>
      <c r="B18" s="14" t="s">
        <v>63</v>
      </c>
      <c r="D18" s="41" t="n">
        <f aca="false">SUM(E18:BL18)</f>
        <v>762530143.826985</v>
      </c>
      <c r="E18" s="33" t="n">
        <f aca="false">'Clients &amp; revenue'!E43*PL_Momo_Share*PL_Cost</f>
        <v>0</v>
      </c>
      <c r="F18" s="33" t="n">
        <f aca="false">'Clients &amp; revenue'!F43*PL_Momo_Share*PL_Cost</f>
        <v>0</v>
      </c>
      <c r="G18" s="33" t="n">
        <f aca="false">'Clients &amp; revenue'!G43*PL_Momo_Share*PL_Cost</f>
        <v>0</v>
      </c>
      <c r="H18" s="33" t="n">
        <f aca="false">'Clients &amp; revenue'!H43*PL_Momo_Share*PL_Cost</f>
        <v>0</v>
      </c>
      <c r="I18" s="33" t="n">
        <f aca="false">'Clients &amp; revenue'!I43*PL_Momo_Share*PL_Cost</f>
        <v>0</v>
      </c>
      <c r="J18" s="33" t="n">
        <f aca="false">'Clients &amp; revenue'!J43*PL_Momo_Share*PL_Cost</f>
        <v>0</v>
      </c>
      <c r="K18" s="33" t="n">
        <f aca="false">'Clients &amp; revenue'!K43*PL_Momo_Share*PL_Cost</f>
        <v>0</v>
      </c>
      <c r="L18" s="33" t="n">
        <f aca="false">'Clients &amp; revenue'!L43*PL_Momo_Share*PL_Cost</f>
        <v>0</v>
      </c>
      <c r="M18" s="33" t="n">
        <f aca="false">'Clients &amp; revenue'!M43*PL_Momo_Share*PL_Cost</f>
        <v>0</v>
      </c>
      <c r="N18" s="33" t="n">
        <f aca="false">'Clients &amp; revenue'!N43*PL_Momo_Share*PL_Cost</f>
        <v>0</v>
      </c>
      <c r="O18" s="33" t="n">
        <f aca="false">'Clients &amp; revenue'!O43*PL_Momo_Share*PL_Cost</f>
        <v>0</v>
      </c>
      <c r="P18" s="33" t="n">
        <f aca="false">'Clients &amp; revenue'!P43*PL_Momo_Share*PL_Cost</f>
        <v>0</v>
      </c>
      <c r="Q18" s="33" t="n">
        <f aca="false">'Clients &amp; revenue'!Q43*PL_Momo_Share*PL_Cost</f>
        <v>0</v>
      </c>
      <c r="R18" s="33" t="n">
        <f aca="false">'Clients &amp; revenue'!R43*PL_Momo_Share*PL_Cost</f>
        <v>0</v>
      </c>
      <c r="S18" s="33" t="n">
        <f aca="false">'Clients &amp; revenue'!S43*PL_Momo_Share*PL_Cost</f>
        <v>0</v>
      </c>
      <c r="T18" s="33" t="n">
        <f aca="false">'Clients &amp; revenue'!T43*PL_Momo_Share*PL_Cost</f>
        <v>0</v>
      </c>
      <c r="U18" s="33" t="n">
        <f aca="false">'Clients &amp; revenue'!U43*PL_Momo_Share*PL_Cost</f>
        <v>0</v>
      </c>
      <c r="V18" s="33" t="n">
        <f aca="false">'Clients &amp; revenue'!V43*PL_Momo_Share*PL_Cost</f>
        <v>241042.463420847</v>
      </c>
      <c r="W18" s="33" t="n">
        <f aca="false">'Clients &amp; revenue'!W43*PL_Momo_Share*PL_Cost</f>
        <v>535199.034630092</v>
      </c>
      <c r="X18" s="33" t="n">
        <f aca="false">'Clients &amp; revenue'!X43*PL_Momo_Share*PL_Cost</f>
        <v>931620.729946112</v>
      </c>
      <c r="Y18" s="33" t="n">
        <f aca="false">'Clients &amp; revenue'!Y43*PL_Momo_Share*PL_Cost</f>
        <v>1413667.18675693</v>
      </c>
      <c r="Z18" s="33" t="n">
        <f aca="false">'Clients &amp; revenue'!Z43*PL_Momo_Share*PL_Cost</f>
        <v>1981286.55020473</v>
      </c>
      <c r="AA18" s="33" t="n">
        <f aca="false">'Clients &amp; revenue'!AA43*PL_Momo_Share*PL_Cost</f>
        <v>2634546.94912913</v>
      </c>
      <c r="AB18" s="33" t="n">
        <f aca="false">'Clients &amp; revenue'!AB43*PL_Momo_Share*PL_Cost</f>
        <v>3373643.27778856</v>
      </c>
      <c r="AC18" s="33" t="n">
        <f aca="false">'Clients &amp; revenue'!AC43*PL_Momo_Share*PL_Cost</f>
        <v>4267062.41600028</v>
      </c>
      <c r="AD18" s="33" t="n">
        <f aca="false">'Clients &amp; revenue'!AD43*PL_Momo_Share*PL_Cost</f>
        <v>5263243.47979551</v>
      </c>
      <c r="AE18" s="33" t="n">
        <f aca="false">'Clients &amp; revenue'!AE43*PL_Momo_Share*PL_Cost</f>
        <v>6362517.27083949</v>
      </c>
      <c r="AF18" s="33" t="n">
        <f aca="false">'Clients &amp; revenue'!AF43*PL_Momo_Share*PL_Cost</f>
        <v>7565379.45996069</v>
      </c>
      <c r="AG18" s="33" t="n">
        <f aca="false">'Clients &amp; revenue'!AG43*PL_Momo_Share*PL_Cost</f>
        <v>8872500.2876882</v>
      </c>
      <c r="AH18" s="33" t="n">
        <f aca="false">'Clients &amp; revenue'!AH43*PL_Momo_Share*PL_Cost</f>
        <v>9493601.53913243</v>
      </c>
      <c r="AI18" s="33" t="n">
        <f aca="false">'Clients &amp; revenue'!AI43*PL_Momo_Share*PL_Cost</f>
        <v>10116972.9210089</v>
      </c>
      <c r="AJ18" s="33" t="n">
        <f aca="false">'Clients &amp; revenue'!AJ43*PL_Momo_Share*PL_Cost</f>
        <v>10938506.7203265</v>
      </c>
      <c r="AK18" s="33" t="n">
        <f aca="false">'Clients &amp; revenue'!AK43*PL_Momo_Share*PL_Cost</f>
        <v>11761118.8886176</v>
      </c>
      <c r="AL18" s="33" t="n">
        <f aca="false">'Clients &amp; revenue'!AL43*PL_Momo_Share*PL_Cost</f>
        <v>12585451.8496956</v>
      </c>
      <c r="AM18" s="33" t="n">
        <f aca="false">'Clients &amp; revenue'!AM43*PL_Momo_Share*PL_Cost</f>
        <v>13412178.603559</v>
      </c>
      <c r="AN18" s="33" t="n">
        <f aca="false">'Clients &amp; revenue'!AN43*PL_Momo_Share*PL_Cost</f>
        <v>14242004.6848837</v>
      </c>
      <c r="AO18" s="33" t="n">
        <f aca="false">'Clients &amp; revenue'!AO43*PL_Momo_Share*PL_Cost</f>
        <v>15126594.3035843</v>
      </c>
      <c r="AP18" s="33" t="n">
        <f aca="false">'Clients &amp; revenue'!AP43*PL_Momo_Share*PL_Cost</f>
        <v>16015193.7455773</v>
      </c>
      <c r="AQ18" s="33" t="n">
        <f aca="false">'Clients &amp; revenue'!AQ43*PL_Momo_Share*PL_Cost</f>
        <v>16908627.4104167</v>
      </c>
      <c r="AR18" s="33" t="n">
        <f aca="false">'Clients &amp; revenue'!AR43*PL_Momo_Share*PL_Cost</f>
        <v>17807761.163273</v>
      </c>
      <c r="AS18" s="33" t="n">
        <f aca="false">'Clients &amp; revenue'!AS43*PL_Momo_Share*PL_Cost</f>
        <v>18709211.8144899</v>
      </c>
      <c r="AT18" s="33" t="n">
        <f aca="false">'Clients &amp; revenue'!AT43*PL_Momo_Share*PL_Cost</f>
        <v>19604028.4328244</v>
      </c>
      <c r="AU18" s="33" t="n">
        <f aca="false">'Clients &amp; revenue'!AU43*PL_Momo_Share*PL_Cost</f>
        <v>20492531.523288</v>
      </c>
      <c r="AV18" s="33" t="n">
        <f aca="false">'Clients &amp; revenue'!AV43*PL_Momo_Share*PL_Cost</f>
        <v>21570389.5294081</v>
      </c>
      <c r="AW18" s="33" t="n">
        <f aca="false">'Clients &amp; revenue'!AW43*PL_Momo_Share*PL_Cost</f>
        <v>22640277.2240295</v>
      </c>
      <c r="AX18" s="33" t="n">
        <f aca="false">'Clients &amp; revenue'!AX43*PL_Momo_Share*PL_Cost</f>
        <v>23702577.5362628</v>
      </c>
      <c r="AY18" s="33" t="n">
        <f aca="false">'Clients &amp; revenue'!AY43*PL_Momo_Share*PL_Cost</f>
        <v>24757684.6147412</v>
      </c>
      <c r="AZ18" s="33" t="n">
        <f aca="false">'Clients &amp; revenue'!AZ43*PL_Momo_Share*PL_Cost</f>
        <v>25806004.6820521</v>
      </c>
      <c r="BA18" s="33" t="n">
        <f aca="false">'Clients &amp; revenue'!BA43*PL_Momo_Share*PL_Cost</f>
        <v>26899269.7373745</v>
      </c>
      <c r="BB18" s="33" t="n">
        <f aca="false">'Clients &amp; revenue'!BB43*PL_Momo_Share*PL_Cost</f>
        <v>27985988.8842695</v>
      </c>
      <c r="BC18" s="33" t="n">
        <f aca="false">'Clients &amp; revenue'!BC43*PL_Momo_Share*PL_Cost</f>
        <v>29066618.5748914</v>
      </c>
      <c r="BD18" s="33" t="n">
        <f aca="false">'Clients &amp; revenue'!BD43*PL_Momo_Share*PL_Cost</f>
        <v>30141631.135709</v>
      </c>
      <c r="BE18" s="33" t="n">
        <f aca="false">'Clients &amp; revenue'!BE43*PL_Momo_Share*PL_Cost</f>
        <v>31211515.896448</v>
      </c>
      <c r="BF18" s="33" t="n">
        <f aca="false">'Clients &amp; revenue'!BF43*PL_Momo_Share*PL_Cost</f>
        <v>32276780.3838015</v>
      </c>
      <c r="BG18" s="33" t="n">
        <f aca="false">'Clients &amp; revenue'!BG43*PL_Momo_Share*PL_Cost</f>
        <v>33337951.5838496</v>
      </c>
      <c r="BH18" s="33" t="n">
        <f aca="false">'Clients &amp; revenue'!BH43*PL_Momo_Share*PL_Cost</f>
        <v>34395577.2773626</v>
      </c>
      <c r="BI18" s="33" t="n">
        <f aca="false">'Clients &amp; revenue'!BI43*PL_Momo_Share*PL_Cost</f>
        <v>35450227.4524113</v>
      </c>
      <c r="BJ18" s="33" t="n">
        <f aca="false">'Clients &amp; revenue'!BJ43*PL_Momo_Share*PL_Cost</f>
        <v>36502495.7989737</v>
      </c>
      <c r="BK18" s="33" t="n">
        <f aca="false">'Clients &amp; revenue'!BK43*PL_Momo_Share*PL_Cost</f>
        <v>37548003.2266326</v>
      </c>
      <c r="BL18" s="33" t="n">
        <f aca="false">'Clients &amp; revenue'!BL43*PL_Momo_Share*PL_Cost</f>
        <v>38581657.58193</v>
      </c>
    </row>
    <row r="19" customFormat="false" ht="15" hidden="false" customHeight="false" outlineLevel="0" collapsed="false">
      <c r="A19" s="12" t="s">
        <v>642</v>
      </c>
      <c r="B19" s="14" t="s">
        <v>63</v>
      </c>
      <c r="D19" s="41" t="n">
        <f aca="false">SUM(E19:BL19)</f>
        <v>166900759.722125</v>
      </c>
      <c r="E19" s="33" t="n">
        <f aca="false">'Clients &amp; revenue'!E17*Notif_Cost+'Clients &amp; revenue'!E32*Emp_Notif</f>
        <v>0</v>
      </c>
      <c r="F19" s="33" t="n">
        <f aca="false">'Clients &amp; revenue'!F17*Notif_Cost+'Clients &amp; revenue'!F32*Emp_Notif</f>
        <v>0</v>
      </c>
      <c r="G19" s="33" t="n">
        <f aca="false">'Clients &amp; revenue'!G17*Notif_Cost+'Clients &amp; revenue'!G32*Emp_Notif</f>
        <v>0</v>
      </c>
      <c r="H19" s="33" t="n">
        <f aca="false">'Clients &amp; revenue'!H17*Notif_Cost+'Clients &amp; revenue'!H32*Emp_Notif</f>
        <v>0</v>
      </c>
      <c r="I19" s="33" t="n">
        <f aca="false">'Clients &amp; revenue'!I17*Notif_Cost+'Clients &amp; revenue'!I32*Emp_Notif</f>
        <v>18986.6666666667</v>
      </c>
      <c r="J19" s="33" t="n">
        <f aca="false">'Clients &amp; revenue'!J17*Notif_Cost+'Clients &amp; revenue'!J32*Emp_Notif</f>
        <v>37900.0533333333</v>
      </c>
      <c r="K19" s="33" t="n">
        <f aca="false">'Clients &amp; revenue'!K17*Notif_Cost+'Clients &amp; revenue'!K32*Emp_Notif</f>
        <v>56756.1536</v>
      </c>
      <c r="L19" s="33" t="n">
        <f aca="false">'Clients &amp; revenue'!L17*Notif_Cost+'Clients &amp; revenue'!L32*Emp_Notif</f>
        <v>83571.5546046667</v>
      </c>
      <c r="M19" s="33" t="n">
        <f aca="false">'Clients &amp; revenue'!M17*Notif_Cost+'Clients &amp; revenue'!M32*Emp_Notif</f>
        <v>172858.570962384</v>
      </c>
      <c r="N19" s="33" t="n">
        <f aca="false">'Clients &amp; revenue'!N17*Notif_Cost+'Clients &amp; revenue'!N32*Emp_Notif</f>
        <v>214647.795230866</v>
      </c>
      <c r="O19" s="33" t="n">
        <f aca="false">'Clients &amp; revenue'!O17*Notif_Cost+'Clients &amp; revenue'!O32*Emp_Notif</f>
        <v>256339.111006696</v>
      </c>
      <c r="P19" s="33" t="n">
        <f aca="false">'Clients &amp; revenue'!P17*Notif_Cost+'Clients &amp; revenue'!P32*Emp_Notif</f>
        <v>297965.10367247</v>
      </c>
      <c r="Q19" s="33" t="n">
        <f aca="false">'Clients &amp; revenue'!Q17*Notif_Cost+'Clients &amp; revenue'!Q32*Emp_Notif</f>
        <v>350476.343393103</v>
      </c>
      <c r="R19" s="33" t="n">
        <f aca="false">'Clients &amp; revenue'!R17*Notif_Cost+'Clients &amp; revenue'!R32*Emp_Notif</f>
        <v>402833.620578351</v>
      </c>
      <c r="S19" s="33" t="n">
        <f aca="false">'Clients &amp; revenue'!S17*Notif_Cost+'Clients &amp; revenue'!S32*Emp_Notif</f>
        <v>455076.327347978</v>
      </c>
      <c r="T19" s="33" t="n">
        <f aca="false">'Clients &amp; revenue'!T17*Notif_Cost+'Clients &amp; revenue'!T32*Emp_Notif</f>
        <v>507245.415728037</v>
      </c>
      <c r="U19" s="33" t="n">
        <f aca="false">'Clients &amp; revenue'!U17*Notif_Cost+'Clients &amp; revenue'!U32*Emp_Notif</f>
        <v>559383.505575276</v>
      </c>
      <c r="V19" s="33" t="n">
        <f aca="false">'Clients &amp; revenue'!V17*Notif_Cost+'Clients &amp; revenue'!V32*Emp_Notif</f>
        <v>611534.998709418</v>
      </c>
      <c r="W19" s="33" t="n">
        <f aca="false">'Clients &amp; revenue'!W17*Notif_Cost+'Clients &amp; revenue'!W32*Emp_Notif</f>
        <v>678412.866297586</v>
      </c>
      <c r="X19" s="33" t="n">
        <f aca="false">'Clients &amp; revenue'!X17*Notif_Cost+'Clients &amp; revenue'!X32*Emp_Notif</f>
        <v>787286.696557694</v>
      </c>
      <c r="Y19" s="33" t="n">
        <f aca="false">'Clients &amp; revenue'!Y17*Notif_Cost+'Clients &amp; revenue'!Y32*Emp_Notif</f>
        <v>895740.184471565</v>
      </c>
      <c r="Z19" s="33" t="n">
        <f aca="false">'Clients &amp; revenue'!Z17*Notif_Cost+'Clients &amp; revenue'!Z32*Emp_Notif</f>
        <v>1003850.33306601</v>
      </c>
      <c r="AA19" s="33" t="n">
        <f aca="false">'Clients &amp; revenue'!AA17*Notif_Cost+'Clients &amp; revenue'!AA32*Emp_Notif</f>
        <v>1111697.07732528</v>
      </c>
      <c r="AB19" s="33" t="n">
        <f aca="false">'Clients &amp; revenue'!AB17*Notif_Cost+'Clients &amp; revenue'!AB32*Emp_Notif</f>
        <v>1219363.490201</v>
      </c>
      <c r="AC19" s="33" t="n">
        <f aca="false">'Clients &amp; revenue'!AC17*Notif_Cost+'Clients &amp; revenue'!AC32*Emp_Notif</f>
        <v>1348852.66708766</v>
      </c>
      <c r="AD19" s="33" t="n">
        <f aca="false">'Clients &amp; revenue'!AD17*Notif_Cost+'Clients &amp; revenue'!AD32*Emp_Notif</f>
        <v>1478021.0411488</v>
      </c>
      <c r="AE19" s="33" t="n">
        <f aca="false">'Clients &amp; revenue'!AE17*Notif_Cost+'Clients &amp; revenue'!AE32*Emp_Notif</f>
        <v>1606967.62815995</v>
      </c>
      <c r="AF19" s="33" t="n">
        <f aca="false">'Clients &amp; revenue'!AF17*Notif_Cost+'Clients &amp; revenue'!AF32*Emp_Notif</f>
        <v>1735795.43982956</v>
      </c>
      <c r="AG19" s="33" t="n">
        <f aca="false">'Clients &amp; revenue'!AG17*Notif_Cost+'Clients &amp; revenue'!AG32*Emp_Notif</f>
        <v>1864611.75813174</v>
      </c>
      <c r="AH19" s="33" t="n">
        <f aca="false">'Clients &amp; revenue'!AH17*Notif_Cost+'Clients &amp; revenue'!AH32*Emp_Notif</f>
        <v>1993528.42545448</v>
      </c>
      <c r="AI19" s="33" t="n">
        <f aca="false">'Clients &amp; revenue'!AI17*Notif_Cost+'Clients &amp; revenue'!AI32*Emp_Notif</f>
        <v>2122662.15152469</v>
      </c>
      <c r="AJ19" s="33" t="n">
        <f aca="false">'Clients &amp; revenue'!AJ17*Notif_Cost+'Clients &amp; revenue'!AJ32*Emp_Notif</f>
        <v>2294009.83812873</v>
      </c>
      <c r="AK19" s="33" t="n">
        <f aca="false">'Clients &amp; revenue'!AK17*Notif_Cost+'Clients &amp; revenue'!AK32*Emp_Notif</f>
        <v>2465218.41020797</v>
      </c>
      <c r="AL19" s="33" t="n">
        <f aca="false">'Clients &amp; revenue'!AL17*Notif_Cost+'Clients &amp; revenue'!AL32*Emp_Notif</f>
        <v>2636431.08488001</v>
      </c>
      <c r="AM19" s="33" t="n">
        <f aca="false">'Clients &amp; revenue'!AM17*Notif_Cost+'Clients &amp; revenue'!AM32*Emp_Notif</f>
        <v>2807797.18861902</v>
      </c>
      <c r="AN19" s="33" t="n">
        <f aca="false">'Clients &amp; revenue'!AN17*Notif_Cost+'Clients &amp; revenue'!AN32*Emp_Notif</f>
        <v>2979472.56786671</v>
      </c>
      <c r="AO19" s="33" t="n">
        <f aca="false">'Clients &amp; revenue'!AO17*Notif_Cost+'Clients &amp; revenue'!AO32*Emp_Notif</f>
        <v>3162536.69012673</v>
      </c>
      <c r="AP19" s="33" t="n">
        <f aca="false">'Clients &amp; revenue'!AP17*Notif_Cost+'Clients &amp; revenue'!AP32*Emp_Notif</f>
        <v>3346085.24865395</v>
      </c>
      <c r="AQ19" s="33" t="n">
        <f aca="false">'Clients &amp; revenue'!AQ17*Notif_Cost+'Clients &amp; revenue'!AQ32*Emp_Notif</f>
        <v>3530298.93472385</v>
      </c>
      <c r="AR19" s="33" t="n">
        <f aca="false">'Clients &amp; revenue'!AR17*Notif_Cost+'Clients &amp; revenue'!AR32*Emp_Notif</f>
        <v>3715366.8095161</v>
      </c>
      <c r="AS19" s="33" t="n">
        <f aca="false">'Clients &amp; revenue'!AS17*Notif_Cost+'Clients &amp; revenue'!AS32*Emp_Notif</f>
        <v>3900566.52499413</v>
      </c>
      <c r="AT19" s="33" t="n">
        <f aca="false">'Clients &amp; revenue'!AT17*Notif_Cost+'Clients &amp; revenue'!AT32*Emp_Notif</f>
        <v>4083983.96512196</v>
      </c>
      <c r="AU19" s="33" t="n">
        <f aca="false">'Clients &amp; revenue'!AU17*Notif_Cost+'Clients &amp; revenue'!AU32*Emp_Notif</f>
        <v>4265697.35391458</v>
      </c>
      <c r="AV19" s="33" t="n">
        <f aca="false">'Clients &amp; revenue'!AV17*Notif_Cost+'Clients &amp; revenue'!AV32*Emp_Notif</f>
        <v>4487661.60317775</v>
      </c>
      <c r="AW19" s="33" t="n">
        <f aca="false">'Clients &amp; revenue'!AW17*Notif_Cost+'Clients &amp; revenue'!AW32*Emp_Notif</f>
        <v>4707477.95425519</v>
      </c>
      <c r="AX19" s="33" t="n">
        <f aca="false">'Clients &amp; revenue'!AX17*Notif_Cost+'Clients &amp; revenue'!AX32*Emp_Notif</f>
        <v>4925240.04595453</v>
      </c>
      <c r="AY19" s="33" t="n">
        <f aca="false">'Clients &amp; revenue'!AY17*Notif_Cost+'Clients &amp; revenue'!AY32*Emp_Notif</f>
        <v>5141043.51818821</v>
      </c>
      <c r="AZ19" s="33" t="n">
        <f aca="false">'Clients &amp; revenue'!AZ17*Notif_Cost+'Clients &amp; revenue'!AZ32*Emp_Notif</f>
        <v>5354986.19586144</v>
      </c>
      <c r="BA19" s="33" t="n">
        <f aca="false">'Clients &amp; revenue'!BA17*Notif_Cost+'Clients &amp; revenue'!BA32*Emp_Notif</f>
        <v>5578168.28260921</v>
      </c>
      <c r="BB19" s="33" t="n">
        <f aca="false">'Clients &amp; revenue'!BB17*Notif_Cost+'Clients &amp; revenue'!BB32*Emp_Notif</f>
        <v>5799533.50499623</v>
      </c>
      <c r="BC19" s="33" t="n">
        <f aca="false">'Clients &amp; revenue'!BC17*Notif_Cost+'Clients &amp; revenue'!BC32*Emp_Notif</f>
        <v>6019190.04327945</v>
      </c>
      <c r="BD19" s="33" t="n">
        <f aca="false">'Clients &amp; revenue'!BD17*Notif_Cost+'Clients &amp; revenue'!BD32*Emp_Notif</f>
        <v>6237249.05716492</v>
      </c>
      <c r="BE19" s="33" t="n">
        <f aca="false">'Clients &amp; revenue'!BE17*Notif_Cost+'Clients &amp; revenue'!BE32*Emp_Notif</f>
        <v>6453824.92630533</v>
      </c>
      <c r="BF19" s="33" t="n">
        <f aca="false">'Clients &amp; revenue'!BF17*Notif_Cost+'Clients &amp; revenue'!BF32*Emp_Notif</f>
        <v>6669035.50408474</v>
      </c>
      <c r="BG19" s="33" t="n">
        <f aca="false">'Clients &amp; revenue'!BG17*Notif_Cost+'Clients &amp; revenue'!BG32*Emp_Notif</f>
        <v>6883002.38550948</v>
      </c>
      <c r="BH19" s="33" t="n">
        <f aca="false">'Clients &amp; revenue'!BH17*Notif_Cost+'Clients &amp; revenue'!BH32*Emp_Notif</f>
        <v>7095851.190073</v>
      </c>
      <c r="BI19" s="33" t="n">
        <f aca="false">'Clients &amp; revenue'!BI17*Notif_Cost+'Clients &amp; revenue'!BI32*Emp_Notif</f>
        <v>7307711.86051404</v>
      </c>
      <c r="BJ19" s="33" t="n">
        <f aca="false">'Clients &amp; revenue'!BJ17*Notif_Cost+'Clients &amp; revenue'!BJ32*Emp_Notif</f>
        <v>7518718.97844227</v>
      </c>
      <c r="BK19" s="33" t="n">
        <f aca="false">'Clients &amp; revenue'!BK17*Notif_Cost+'Clients &amp; revenue'!BK32*Emp_Notif</f>
        <v>7727940.65559953</v>
      </c>
      <c r="BL19" s="33" t="n">
        <f aca="false">'Clients &amp; revenue'!BL17*Notif_Cost+'Clients &amp; revenue'!BL32*Emp_Notif</f>
        <v>7934294.41969065</v>
      </c>
    </row>
    <row r="20" customFormat="false" ht="15" hidden="false" customHeight="false" outlineLevel="0" collapsed="false">
      <c r="A20" s="12" t="s">
        <v>643</v>
      </c>
      <c r="B20" s="14" t="s">
        <v>63</v>
      </c>
      <c r="D20" s="41" t="n">
        <f aca="false">SUM(E20:BL20)</f>
        <v>188228531.887865</v>
      </c>
      <c r="E20" s="33" t="n">
        <f aca="false">'Clients &amp; revenue'!E32*EmpAcc_Cost</f>
        <v>0</v>
      </c>
      <c r="F20" s="33" t="n">
        <f aca="false">'Clients &amp; revenue'!F32*EmpAcc_Cost</f>
        <v>0</v>
      </c>
      <c r="G20" s="33" t="n">
        <f aca="false">'Clients &amp; revenue'!G32*EmpAcc_Cost</f>
        <v>0</v>
      </c>
      <c r="H20" s="33" t="n">
        <f aca="false">'Clients &amp; revenue'!H32*EmpAcc_Cost</f>
        <v>0</v>
      </c>
      <c r="I20" s="33" t="n">
        <f aca="false">'Clients &amp; revenue'!I32*EmpAcc_Cost</f>
        <v>0</v>
      </c>
      <c r="J20" s="33" t="n">
        <f aca="false">'Clients &amp; revenue'!J32*EmpAcc_Cost</f>
        <v>0</v>
      </c>
      <c r="K20" s="33" t="n">
        <f aca="false">'Clients &amp; revenue'!K32*EmpAcc_Cost</f>
        <v>0</v>
      </c>
      <c r="L20" s="33" t="n">
        <f aca="false">'Clients &amp; revenue'!L32*EmpAcc_Cost</f>
        <v>0</v>
      </c>
      <c r="M20" s="33" t="n">
        <f aca="false">'Clients &amp; revenue'!M32*EmpAcc_Cost</f>
        <v>187881.274434033</v>
      </c>
      <c r="N20" s="33" t="n">
        <f aca="false">'Clients &amp; revenue'!N32*EmpAcc_Cost</f>
        <v>233674.868935186</v>
      </c>
      <c r="O20" s="33" t="n">
        <f aca="false">'Clients &amp; revenue'!O32*EmpAcc_Cost</f>
        <v>279517.647576109</v>
      </c>
      <c r="P20" s="33" t="n">
        <f aca="false">'Clients &amp; revenue'!P32*EmpAcc_Cost</f>
        <v>325442.372139642</v>
      </c>
      <c r="Q20" s="33" t="n">
        <f aca="false">'Clients &amp; revenue'!Q32*EmpAcc_Cost</f>
        <v>383273.389527942</v>
      </c>
      <c r="R20" s="33" t="n">
        <f aca="false">'Clients &amp; revenue'!R32*EmpAcc_Cost</f>
        <v>441129.007433652</v>
      </c>
      <c r="S20" s="33" t="n">
        <f aca="false">'Clients &amp; revenue'!S32*EmpAcc_Cost</f>
        <v>499048.647523306</v>
      </c>
      <c r="T20" s="33" t="n">
        <f aca="false">'Clients &amp; revenue'!T32*EmpAcc_Cost</f>
        <v>557073.613899507</v>
      </c>
      <c r="U20" s="33" t="n">
        <f aca="false">'Clients &amp; revenue'!U32*EmpAcc_Cost</f>
        <v>615247.213085851</v>
      </c>
      <c r="V20" s="33" t="n">
        <f aca="false">'Clients &amp; revenue'!V32*EmpAcc_Cost</f>
        <v>673614.881096662</v>
      </c>
      <c r="W20" s="33" t="n">
        <f aca="false">'Clients &amp; revenue'!W32*EmpAcc_Cost</f>
        <v>748064.31801864</v>
      </c>
      <c r="X20" s="33" t="n">
        <f aca="false">'Clients &amp; revenue'!X32*EmpAcc_Cost</f>
        <v>868102.030557071</v>
      </c>
      <c r="Y20" s="33" t="n">
        <f aca="false">'Clients &amp; revenue'!Y32*EmpAcc_Cost</f>
        <v>988079.838026432</v>
      </c>
      <c r="Z20" s="33" t="n">
        <f aca="false">'Clients &amp; revenue'!Z32*EmpAcc_Cost</f>
        <v>1108074.05799644</v>
      </c>
      <c r="AA20" s="33" t="n">
        <f aca="false">'Clients &amp; revenue'!AA32*EmpAcc_Cost</f>
        <v>1228164.57115666</v>
      </c>
      <c r="AB20" s="33" t="n">
        <f aca="false">'Clients &amp; revenue'!AB32*EmpAcc_Cost</f>
        <v>1348435.04990117</v>
      </c>
      <c r="AC20" s="33" t="n">
        <f aca="false">'Clients &amp; revenue'!AC32*EmpAcc_Cost</f>
        <v>1492643.20038819</v>
      </c>
      <c r="AD20" s="33" t="n">
        <f aca="false">'Clients &amp; revenue'!AD32*EmpAcc_Cost</f>
        <v>1636954.59388726</v>
      </c>
      <c r="AE20" s="33" t="n">
        <f aca="false">'Clients &amp; revenue'!AE32*EmpAcc_Cost</f>
        <v>1781468.99358818</v>
      </c>
      <c r="AF20" s="33" t="n">
        <f aca="false">'Clients &amp; revenue'!AF32*EmpAcc_Cost</f>
        <v>1926290.96586287</v>
      </c>
      <c r="AG20" s="33" t="n">
        <f aca="false">'Clients &amp; revenue'!AG32*EmpAcc_Cost</f>
        <v>2071530.18559106</v>
      </c>
      <c r="AH20" s="33" t="n">
        <f aca="false">'Clients &amp; revenue'!AH32*EmpAcc_Cost</f>
        <v>2217301.7595285</v>
      </c>
      <c r="AI20" s="33" t="n">
        <f aca="false">'Clients &amp; revenue'!AI32*EmpAcc_Cost</f>
        <v>2363726.56880528</v>
      </c>
      <c r="AJ20" s="33" t="n">
        <f aca="false">'Clients &amp; revenue'!AJ32*EmpAcc_Cost</f>
        <v>2556156.63170664</v>
      </c>
      <c r="AK20" s="33" t="n">
        <f aca="false">'Clients &amp; revenue'!AK32*EmpAcc_Cost</f>
        <v>2749010.55045794</v>
      </c>
      <c r="AL20" s="33" t="n">
        <f aca="false">'Clients &amp; revenue'!AL32*EmpAcc_Cost</f>
        <v>2942434.91752744</v>
      </c>
      <c r="AM20" s="33" t="n">
        <f aca="false">'Clients &amp; revenue'!AM32*EmpAcc_Cost</f>
        <v>3136583.59730395</v>
      </c>
      <c r="AN20" s="33" t="n">
        <f aca="false">'Clients &amp; revenue'!AN32*EmpAcc_Cost</f>
        <v>3331618.18438755</v>
      </c>
      <c r="AO20" s="33" t="n">
        <f aca="false">'Clients &amp; revenue'!AO32*EmpAcc_Cost</f>
        <v>3539498.48902377</v>
      </c>
      <c r="AP20" s="33" t="n">
        <f aca="false">'Clients &amp; revenue'!AP32*EmpAcc_Cost</f>
        <v>3748485.32631617</v>
      </c>
      <c r="AQ20" s="33" t="n">
        <f aca="false">'Clients &amp; revenue'!AQ32*EmpAcc_Cost</f>
        <v>3958768.10751239</v>
      </c>
      <c r="AR20" s="33" t="n">
        <f aca="false">'Clients &amp; revenue'!AR32*EmpAcc_Cost</f>
        <v>4170546.0726084</v>
      </c>
      <c r="AS20" s="33" t="n">
        <f aca="false">'Clients &amp; revenue'!AS32*EmpAcc_Cost</f>
        <v>4383034.9510825</v>
      </c>
      <c r="AT20" s="33" t="n">
        <f aca="false">'Clients &amp; revenue'!AT32*EmpAcc_Cost</f>
        <v>4594160.59371914</v>
      </c>
      <c r="AU20" s="33" t="n">
        <f aca="false">'Clients &amp; revenue'!AU32*EmpAcc_Cost</f>
        <v>4803993.17799677</v>
      </c>
      <c r="AV20" s="33" t="n">
        <f aca="false">'Clients &amp; revenue'!AV32*EmpAcc_Cost</f>
        <v>5057830.20523791</v>
      </c>
      <c r="AW20" s="33" t="n">
        <f aca="false">'Clients &amp; revenue'!AW32*EmpAcc_Cost</f>
        <v>5310031.72943704</v>
      </c>
      <c r="AX20" s="33" t="n">
        <f aca="false">'Clients &amp; revenue'!AX32*EmpAcc_Cost</f>
        <v>5560681.53235773</v>
      </c>
      <c r="AY20" s="33" t="n">
        <f aca="false">'Clients &amp; revenue'!AY32*EmpAcc_Cost</f>
        <v>5809866.1599641</v>
      </c>
      <c r="AZ20" s="33" t="n">
        <f aca="false">'Clients &amp; revenue'!AZ32*EmpAcc_Cost</f>
        <v>6057675.12058535</v>
      </c>
      <c r="BA20" s="33" t="n">
        <f aca="false">'Clients &amp; revenue'!BA32*EmpAcc_Cost</f>
        <v>6316081.09445365</v>
      </c>
      <c r="BB20" s="33" t="n">
        <f aca="false">'Clients &amp; revenue'!BB32*EmpAcc_Cost</f>
        <v>6573171.45530696</v>
      </c>
      <c r="BC20" s="33" t="n">
        <f aca="false">'Clients &amp; revenue'!BC32*EmpAcc_Cost</f>
        <v>6829047.51353937</v>
      </c>
      <c r="BD20" s="33" t="n">
        <f aca="false">'Clients &amp; revenue'!BD32*EmpAcc_Cost</f>
        <v>7083814.43234598</v>
      </c>
      <c r="BE20" s="33" t="n">
        <f aca="false">'Clients &amp; revenue'!BE32*EmpAcc_Cost</f>
        <v>7337581.49046435</v>
      </c>
      <c r="BF20" s="33" t="n">
        <f aca="false">'Clients &amp; revenue'!BF32*EmpAcc_Cost</f>
        <v>7590462.36017839</v>
      </c>
      <c r="BG20" s="33" t="n">
        <f aca="false">'Clients &amp; revenue'!BG32*EmpAcc_Cost</f>
        <v>7842575.40150936</v>
      </c>
      <c r="BH20" s="33" t="n">
        <f aca="false">'Clients &amp; revenue'!BH32*EmpAcc_Cost</f>
        <v>8094043.97357352</v>
      </c>
      <c r="BI20" s="33" t="n">
        <f aca="false">'Clients &amp; revenue'!BI32*EmpAcc_Cost</f>
        <v>8344996.7641449</v>
      </c>
      <c r="BJ20" s="33" t="n">
        <f aca="false">'Clients &amp; revenue'!BJ32*EmpAcc_Cost</f>
        <v>8595568.13852366</v>
      </c>
      <c r="BK20" s="33" t="n">
        <f aca="false">'Clients &amp; revenue'!BK32*EmpAcc_Cost</f>
        <v>8844741.35123096</v>
      </c>
      <c r="BL20" s="33" t="n">
        <f aca="false">'Clients &amp; revenue'!BL32*EmpAcc_Cost</f>
        <v>9091333.51640932</v>
      </c>
    </row>
    <row r="21" customFormat="false" ht="15" hidden="false" customHeight="false" outlineLevel="0" collapsed="false">
      <c r="A21" s="8" t="s">
        <v>644</v>
      </c>
      <c r="B21" s="14" t="s">
        <v>63</v>
      </c>
      <c r="D21" s="41" t="n">
        <f aca="false">SUM(E21:BL21)</f>
        <v>8490269718.24045</v>
      </c>
      <c r="E21" s="16" t="n">
        <f aca="false">SUM(E9:E20)</f>
        <v>0</v>
      </c>
      <c r="F21" s="16" t="n">
        <f aca="false">SUM(F9:F20)</f>
        <v>0</v>
      </c>
      <c r="G21" s="16" t="n">
        <f aca="false">SUM(G9:G20)</f>
        <v>0</v>
      </c>
      <c r="H21" s="16" t="n">
        <f aca="false">SUM(H9:H20)</f>
        <v>0</v>
      </c>
      <c r="I21" s="16" t="n">
        <f aca="false">SUM(I9:I20)</f>
        <v>2363365.33333333</v>
      </c>
      <c r="J21" s="16" t="n">
        <f aca="false">SUM(J9:J20)</f>
        <v>3595218.74666667</v>
      </c>
      <c r="K21" s="16" t="n">
        <f aca="false">SUM(K9:K20)</f>
        <v>4829207.4954</v>
      </c>
      <c r="L21" s="16" t="n">
        <f aca="false">SUM(L9:L20)</f>
        <v>7062174.82248033</v>
      </c>
      <c r="M21" s="16" t="n">
        <f aca="false">SUM(M9:M20)</f>
        <v>10187861.1538225</v>
      </c>
      <c r="N21" s="16" t="n">
        <f aca="false">SUM(N9:N20)</f>
        <v>11143441.9620785</v>
      </c>
      <c r="O21" s="16" t="n">
        <f aca="false">SUM(O9:O20)</f>
        <v>12952357.669486</v>
      </c>
      <c r="P21" s="16" t="n">
        <f aca="false">SUM(P9:P20)</f>
        <v>14763374.8582211</v>
      </c>
      <c r="Q21" s="16" t="n">
        <f aca="false">SUM(Q9:Q20)</f>
        <v>17534083.2906165</v>
      </c>
      <c r="R21" s="16" t="n">
        <f aca="false">SUM(R9:R20)</f>
        <v>19810849.9628169</v>
      </c>
      <c r="S21" s="16" t="n">
        <f aca="false">SUM(S9:S20)</f>
        <v>22088697.9348496</v>
      </c>
      <c r="T21" s="16" t="n">
        <f aca="false">SUM(T9:T20)</f>
        <v>24369390.474558</v>
      </c>
      <c r="U21" s="16" t="n">
        <f aca="false">SUM(U9:U20)</f>
        <v>26654772.1074073</v>
      </c>
      <c r="V21" s="16" t="n">
        <f aca="false">SUM(V9:V20)</f>
        <v>29187816.3524292</v>
      </c>
      <c r="W21" s="16" t="n">
        <f aca="false">SUM(W9:W20)</f>
        <v>33067183.3550056</v>
      </c>
      <c r="X21" s="16" t="n">
        <f aca="false">SUM(X9:X20)</f>
        <v>40076399.667889</v>
      </c>
      <c r="Y21" s="16" t="n">
        <f aca="false">SUM(Y9:Y20)</f>
        <v>45273020.2866407</v>
      </c>
      <c r="Z21" s="16" t="n">
        <f aca="false">SUM(Z9:Z20)</f>
        <v>50552645.7437798</v>
      </c>
      <c r="AA21" s="16" t="n">
        <f aca="false">SUM(AA9:AA20)</f>
        <v>55918763.7405697</v>
      </c>
      <c r="AB21" s="16" t="n">
        <f aca="false">SUM(AB9:AB20)</f>
        <v>61375142.3294067</v>
      </c>
      <c r="AC21" s="16" t="n">
        <f aca="false">SUM(AC9:AC20)</f>
        <v>68913554.5166942</v>
      </c>
      <c r="AD21" s="16" t="n">
        <f aca="false">SUM(AD9:AD20)</f>
        <v>75564910.5412622</v>
      </c>
      <c r="AE21" s="16" t="n">
        <f aca="false">SUM(AE9:AE20)</f>
        <v>82324238.8840632</v>
      </c>
      <c r="AF21" s="16" t="n">
        <f aca="false">SUM(AF9:AF20)</f>
        <v>89196489.6828071</v>
      </c>
      <c r="AG21" s="16" t="n">
        <f aca="false">SUM(AG9:AG20)</f>
        <v>96186995.165015</v>
      </c>
      <c r="AH21" s="16" t="n">
        <f aca="false">SUM(AH9:AH20)</f>
        <v>102510360.036245</v>
      </c>
      <c r="AI21" s="16" t="n">
        <f aca="false">SUM(AI9:AI20)</f>
        <v>108859992.058474</v>
      </c>
      <c r="AJ21" s="16" t="n">
        <f aca="false">SUM(AJ9:AJ20)</f>
        <v>119104731.745746</v>
      </c>
      <c r="AK21" s="16" t="n">
        <f aca="false">SUM(AK9:AK20)</f>
        <v>127471290.696404</v>
      </c>
      <c r="AL21" s="16" t="n">
        <f aca="false">SUM(AL9:AL20)</f>
        <v>135858916.985908</v>
      </c>
      <c r="AM21" s="16" t="n">
        <f aca="false">SUM(AM9:AM20)</f>
        <v>144274808.192724</v>
      </c>
      <c r="AN21" s="16" t="n">
        <f aca="false">SUM(AN9:AN20)</f>
        <v>152726509.264334</v>
      </c>
      <c r="AO21" s="16" t="n">
        <f aca="false">SUM(AO9:AO20)</f>
        <v>162228984.110851</v>
      </c>
      <c r="AP21" s="16" t="n">
        <f aca="false">SUM(AP9:AP20)</f>
        <v>171283843.741287</v>
      </c>
      <c r="AQ21" s="16" t="n">
        <f aca="false">SUM(AQ9:AQ20)</f>
        <v>180393239.271295</v>
      </c>
      <c r="AR21" s="16" t="n">
        <f aca="false">SUM(AR9:AR20)</f>
        <v>189566428.632403</v>
      </c>
      <c r="AS21" s="16" t="n">
        <f aca="false">SUM(AS9:AS20)</f>
        <v>198728241.707943</v>
      </c>
      <c r="AT21" s="16" t="n">
        <f aca="false">SUM(AT9:AT20)</f>
        <v>207734088.771789</v>
      </c>
      <c r="AU21" s="16" t="n">
        <f aca="false">SUM(AU9:AU20)</f>
        <v>216676057.297071</v>
      </c>
      <c r="AV21" s="16" t="n">
        <f aca="false">SUM(AV9:AV20)</f>
        <v>229420590.568034</v>
      </c>
      <c r="AW21" s="16" t="n">
        <f aca="false">SUM(AW9:AW20)</f>
        <v>240191817.366706</v>
      </c>
      <c r="AX21" s="16" t="n">
        <f aca="false">SUM(AX9:AX20)</f>
        <v>250886206.884503</v>
      </c>
      <c r="AY21" s="16" t="n">
        <f aca="false">SUM(AY9:AY20)</f>
        <v>261507970.626841</v>
      </c>
      <c r="AZ21" s="16" t="n">
        <f aca="false">SUM(AZ9:AZ20)</f>
        <v>272061448.479603</v>
      </c>
      <c r="BA21" s="16" t="n">
        <f aca="false">SUM(BA9:BA20)</f>
        <v>283565855.18446</v>
      </c>
      <c r="BB21" s="16" t="n">
        <f aca="false">SUM(BB9:BB20)</f>
        <v>294507618.89464</v>
      </c>
      <c r="BC21" s="16" t="n">
        <f aca="false">SUM(BC9:BC20)</f>
        <v>305388717.104027</v>
      </c>
      <c r="BD21" s="16" t="n">
        <f aca="false">SUM(BD9:BD20)</f>
        <v>316214194.370615</v>
      </c>
      <c r="BE21" s="16" t="n">
        <f aca="false">SUM(BE9:BE20)</f>
        <v>326989276.404385</v>
      </c>
      <c r="BF21" s="16" t="n">
        <f aca="false">SUM(BF9:BF20)</f>
        <v>337719382.854004</v>
      </c>
      <c r="BG21" s="16" t="n">
        <f aca="false">SUM(BG9:BG20)</f>
        <v>348410140.827759</v>
      </c>
      <c r="BH21" s="16" t="n">
        <f aca="false">SUM(BH9:BH20)</f>
        <v>359067399.193349</v>
      </c>
      <c r="BI21" s="16" t="n">
        <f aca="false">SUM(BI9:BI20)</f>
        <v>369697243.70387</v>
      </c>
      <c r="BJ21" s="16" t="n">
        <f aca="false">SUM(BJ9:BJ20)</f>
        <v>380306013.000153</v>
      </c>
      <c r="BK21" s="16" t="n">
        <f aca="false">SUM(BK9:BK20)</f>
        <v>390801476.279426</v>
      </c>
      <c r="BL21" s="16" t="n">
        <f aca="false">SUM(BL9:BL20)</f>
        <v>401124917.908306</v>
      </c>
    </row>
    <row r="23" customFormat="false" ht="15" hidden="false" customHeight="false" outlineLevel="0" collapsed="false">
      <c r="A23" s="10" t="s">
        <v>18</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461</v>
      </c>
      <c r="B24" s="14" t="s">
        <v>63</v>
      </c>
      <c r="D24" s="41" t="n">
        <f aca="false">SUM(E24:BL24)</f>
        <v>829076776.1245</v>
      </c>
      <c r="E24" s="20" t="n">
        <f aca="false">Staff!E185</f>
        <v>8153129.33333333</v>
      </c>
      <c r="F24" s="20" t="n">
        <f aca="false">Staff!F185</f>
        <v>8153129.33333333</v>
      </c>
      <c r="G24" s="20" t="n">
        <f aca="false">Staff!G185</f>
        <v>8153129.33333333</v>
      </c>
      <c r="H24" s="20" t="n">
        <f aca="false">Staff!H185</f>
        <v>8153129.33333333</v>
      </c>
      <c r="I24" s="20" t="n">
        <f aca="false">Staff!I185</f>
        <v>8153129.33333333</v>
      </c>
      <c r="J24" s="20" t="n">
        <f aca="false">Staff!J185</f>
        <v>8153129.33333333</v>
      </c>
      <c r="K24" s="20" t="n">
        <f aca="false">Staff!K185</f>
        <v>8153129.33333333</v>
      </c>
      <c r="L24" s="20" t="n">
        <f aca="false">Staff!L185</f>
        <v>8153129.33333333</v>
      </c>
      <c r="M24" s="20" t="n">
        <f aca="false">Staff!M185</f>
        <v>8153129.33333333</v>
      </c>
      <c r="N24" s="20" t="n">
        <f aca="false">Staff!N185</f>
        <v>8153129.33333333</v>
      </c>
      <c r="O24" s="20" t="n">
        <f aca="false">Staff!O185</f>
        <v>8153129.33333333</v>
      </c>
      <c r="P24" s="20" t="n">
        <f aca="false">Staff!P185</f>
        <v>8153129.33333333</v>
      </c>
      <c r="Q24" s="20" t="n">
        <f aca="false">Staff!Q185</f>
        <v>11959914.4</v>
      </c>
      <c r="R24" s="20" t="n">
        <f aca="false">Staff!R185</f>
        <v>11959914.4</v>
      </c>
      <c r="S24" s="20" t="n">
        <f aca="false">Staff!S185</f>
        <v>11959914.4</v>
      </c>
      <c r="T24" s="20" t="n">
        <f aca="false">Staff!T185</f>
        <v>11959914.4</v>
      </c>
      <c r="U24" s="20" t="n">
        <f aca="false">Staff!U185</f>
        <v>11959914.4</v>
      </c>
      <c r="V24" s="20" t="n">
        <f aca="false">Staff!V185</f>
        <v>11959914.4</v>
      </c>
      <c r="W24" s="20" t="n">
        <f aca="false">Staff!W185</f>
        <v>14423843</v>
      </c>
      <c r="X24" s="20" t="n">
        <f aca="false">Staff!X185</f>
        <v>14423843</v>
      </c>
      <c r="Y24" s="20" t="n">
        <f aca="false">Staff!Y185</f>
        <v>14423843</v>
      </c>
      <c r="Z24" s="20" t="n">
        <f aca="false">Staff!Z185</f>
        <v>14423843</v>
      </c>
      <c r="AA24" s="20" t="n">
        <f aca="false">Staff!AA185</f>
        <v>14423843</v>
      </c>
      <c r="AB24" s="20" t="n">
        <f aca="false">Staff!AB185</f>
        <v>14423843</v>
      </c>
      <c r="AC24" s="20" t="n">
        <f aca="false">Staff!AC185</f>
        <v>15145035.15</v>
      </c>
      <c r="AD24" s="20" t="n">
        <f aca="false">Staff!AD185</f>
        <v>15145035.15</v>
      </c>
      <c r="AE24" s="20" t="n">
        <f aca="false">Staff!AE185</f>
        <v>15145035.15</v>
      </c>
      <c r="AF24" s="20" t="n">
        <f aca="false">Staff!AF185</f>
        <v>15145035.15</v>
      </c>
      <c r="AG24" s="20" t="n">
        <f aca="false">Staff!AG185</f>
        <v>15145035.15</v>
      </c>
      <c r="AH24" s="20" t="n">
        <f aca="false">Staff!AH185</f>
        <v>15145035.15</v>
      </c>
      <c r="AI24" s="20" t="n">
        <f aca="false">Staff!AI185</f>
        <v>15145035.15</v>
      </c>
      <c r="AJ24" s="20" t="n">
        <f aca="false">Staff!AJ185</f>
        <v>15145035.15</v>
      </c>
      <c r="AK24" s="20" t="n">
        <f aca="false">Staff!AK185</f>
        <v>15145035.15</v>
      </c>
      <c r="AL24" s="20" t="n">
        <f aca="false">Staff!AL185</f>
        <v>15145035.15</v>
      </c>
      <c r="AM24" s="20" t="n">
        <f aca="false">Staff!AM185</f>
        <v>15145035.15</v>
      </c>
      <c r="AN24" s="20" t="n">
        <f aca="false">Staff!AN185</f>
        <v>15145035.15</v>
      </c>
      <c r="AO24" s="20" t="n">
        <f aca="false">Staff!AO185</f>
        <v>15902286.9075</v>
      </c>
      <c r="AP24" s="20" t="n">
        <f aca="false">Staff!AP185</f>
        <v>15902286.9075</v>
      </c>
      <c r="AQ24" s="20" t="n">
        <f aca="false">Staff!AQ185</f>
        <v>15902286.9075</v>
      </c>
      <c r="AR24" s="20" t="n">
        <f aca="false">Staff!AR185</f>
        <v>15902286.9075</v>
      </c>
      <c r="AS24" s="20" t="n">
        <f aca="false">Staff!AS185</f>
        <v>15902286.9075</v>
      </c>
      <c r="AT24" s="20" t="n">
        <f aca="false">Staff!AT185</f>
        <v>15902286.9075</v>
      </c>
      <c r="AU24" s="20" t="n">
        <f aca="false">Staff!AU185</f>
        <v>15902286.9075</v>
      </c>
      <c r="AV24" s="20" t="n">
        <f aca="false">Staff!AV185</f>
        <v>15902286.9075</v>
      </c>
      <c r="AW24" s="20" t="n">
        <f aca="false">Staff!AW185</f>
        <v>15902286.9075</v>
      </c>
      <c r="AX24" s="20" t="n">
        <f aca="false">Staff!AX185</f>
        <v>15902286.9075</v>
      </c>
      <c r="AY24" s="20" t="n">
        <f aca="false">Staff!AY185</f>
        <v>15902286.9075</v>
      </c>
      <c r="AZ24" s="20" t="n">
        <f aca="false">Staff!AZ185</f>
        <v>15902286.9075</v>
      </c>
      <c r="BA24" s="20" t="n">
        <f aca="false">Staff!BA185</f>
        <v>16697401.252875</v>
      </c>
      <c r="BB24" s="20" t="n">
        <f aca="false">Staff!BB185</f>
        <v>16697401.252875</v>
      </c>
      <c r="BC24" s="20" t="n">
        <f aca="false">Staff!BC185</f>
        <v>16697401.252875</v>
      </c>
      <c r="BD24" s="20" t="n">
        <f aca="false">Staff!BD185</f>
        <v>16697401.252875</v>
      </c>
      <c r="BE24" s="20" t="n">
        <f aca="false">Staff!BE185</f>
        <v>16697401.252875</v>
      </c>
      <c r="BF24" s="20" t="n">
        <f aca="false">Staff!BF185</f>
        <v>16697401.252875</v>
      </c>
      <c r="BG24" s="20" t="n">
        <f aca="false">Staff!BG185</f>
        <v>16697401.252875</v>
      </c>
      <c r="BH24" s="20" t="n">
        <f aca="false">Staff!BH185</f>
        <v>16697401.252875</v>
      </c>
      <c r="BI24" s="20" t="n">
        <f aca="false">Staff!BI185</f>
        <v>16697401.252875</v>
      </c>
      <c r="BJ24" s="20" t="n">
        <f aca="false">Staff!BJ185</f>
        <v>16697401.252875</v>
      </c>
      <c r="BK24" s="20" t="n">
        <f aca="false">Staff!BK185</f>
        <v>16697401.252875</v>
      </c>
      <c r="BL24" s="20" t="n">
        <f aca="false">Staff!BL185</f>
        <v>16697401.252875</v>
      </c>
    </row>
    <row r="25" customFormat="false" ht="15" hidden="false" customHeight="false" outlineLevel="0" collapsed="false">
      <c r="A25" s="12" t="s">
        <v>471</v>
      </c>
      <c r="B25" s="14" t="s">
        <v>63</v>
      </c>
      <c r="D25" s="41" t="n">
        <f aca="false">SUM(E25:BL25)</f>
        <v>795772769.403467</v>
      </c>
      <c r="E25" s="20" t="n">
        <f aca="false">Staff!E186</f>
        <v>4457673.33333333</v>
      </c>
      <c r="F25" s="20" t="n">
        <f aca="false">Staff!F186</f>
        <v>4457673.33333333</v>
      </c>
      <c r="G25" s="20" t="n">
        <f aca="false">Staff!G186</f>
        <v>5450416</v>
      </c>
      <c r="H25" s="20" t="n">
        <f aca="false">Staff!H186</f>
        <v>5450416</v>
      </c>
      <c r="I25" s="20" t="n">
        <f aca="false">Staff!I186</f>
        <v>5450416</v>
      </c>
      <c r="J25" s="20" t="n">
        <f aca="false">Staff!J186</f>
        <v>5450416</v>
      </c>
      <c r="K25" s="20" t="n">
        <f aca="false">Staff!K186</f>
        <v>5450416</v>
      </c>
      <c r="L25" s="20" t="n">
        <f aca="false">Staff!L186</f>
        <v>5450416</v>
      </c>
      <c r="M25" s="20" t="n">
        <f aca="false">Staff!M186</f>
        <v>5450416</v>
      </c>
      <c r="N25" s="20" t="n">
        <f aca="false">Staff!N186</f>
        <v>6902892</v>
      </c>
      <c r="O25" s="20" t="n">
        <f aca="false">Staff!O186</f>
        <v>6902892</v>
      </c>
      <c r="P25" s="20" t="n">
        <f aca="false">Staff!P186</f>
        <v>6902892</v>
      </c>
      <c r="Q25" s="20" t="n">
        <f aca="false">Staff!Q186</f>
        <v>7248036.6</v>
      </c>
      <c r="R25" s="20" t="n">
        <f aca="false">Staff!R186</f>
        <v>7248036.6</v>
      </c>
      <c r="S25" s="20" t="n">
        <f aca="false">Staff!S186</f>
        <v>7248036.6</v>
      </c>
      <c r="T25" s="20" t="n">
        <f aca="false">Staff!T186</f>
        <v>7248036.6</v>
      </c>
      <c r="U25" s="20" t="n">
        <f aca="false">Staff!U186</f>
        <v>7248036.6</v>
      </c>
      <c r="V25" s="20" t="n">
        <f aca="false">Staff!V186</f>
        <v>7248036.6</v>
      </c>
      <c r="W25" s="20" t="n">
        <f aca="false">Staff!W186</f>
        <v>10169845</v>
      </c>
      <c r="X25" s="20" t="n">
        <f aca="false">Staff!X186</f>
        <v>10169845</v>
      </c>
      <c r="Y25" s="20" t="n">
        <f aca="false">Staff!Y186</f>
        <v>10169845</v>
      </c>
      <c r="Z25" s="20" t="n">
        <f aca="false">Staff!Z186</f>
        <v>10169845</v>
      </c>
      <c r="AA25" s="20" t="n">
        <f aca="false">Staff!AA186</f>
        <v>10169845</v>
      </c>
      <c r="AB25" s="20" t="n">
        <f aca="false">Staff!AB186</f>
        <v>10169845</v>
      </c>
      <c r="AC25" s="20" t="n">
        <f aca="false">Staff!AC186</f>
        <v>12406247.28</v>
      </c>
      <c r="AD25" s="20" t="n">
        <f aca="false">Staff!AD186</f>
        <v>12406247.28</v>
      </c>
      <c r="AE25" s="20" t="n">
        <f aca="false">Staff!AE186</f>
        <v>12406247.28</v>
      </c>
      <c r="AF25" s="20" t="n">
        <f aca="false">Staff!AF186</f>
        <v>12406247.28</v>
      </c>
      <c r="AG25" s="20" t="n">
        <f aca="false">Staff!AG186</f>
        <v>12406247.28</v>
      </c>
      <c r="AH25" s="20" t="n">
        <f aca="false">Staff!AH186</f>
        <v>12406247.28</v>
      </c>
      <c r="AI25" s="20" t="n">
        <f aca="false">Staff!AI186</f>
        <v>14007602.07</v>
      </c>
      <c r="AJ25" s="20" t="n">
        <f aca="false">Staff!AJ186</f>
        <v>14007602.07</v>
      </c>
      <c r="AK25" s="20" t="n">
        <f aca="false">Staff!AK186</f>
        <v>14007602.07</v>
      </c>
      <c r="AL25" s="20" t="n">
        <f aca="false">Staff!AL186</f>
        <v>14007602.07</v>
      </c>
      <c r="AM25" s="20" t="n">
        <f aca="false">Staff!AM186</f>
        <v>14007602.07</v>
      </c>
      <c r="AN25" s="20" t="n">
        <f aca="false">Staff!AN186</f>
        <v>14007602.07</v>
      </c>
      <c r="AO25" s="20" t="n">
        <f aca="false">Staff!AO186</f>
        <v>14707982.1735</v>
      </c>
      <c r="AP25" s="20" t="n">
        <f aca="false">Staff!AP186</f>
        <v>14707982.1735</v>
      </c>
      <c r="AQ25" s="20" t="n">
        <f aca="false">Staff!AQ186</f>
        <v>14707982.1735</v>
      </c>
      <c r="AR25" s="20" t="n">
        <f aca="false">Staff!AR186</f>
        <v>14707982.1735</v>
      </c>
      <c r="AS25" s="20" t="n">
        <f aca="false">Staff!AS186</f>
        <v>14707982.1735</v>
      </c>
      <c r="AT25" s="20" t="n">
        <f aca="false">Staff!AT186</f>
        <v>14707982.1735</v>
      </c>
      <c r="AU25" s="20" t="n">
        <f aca="false">Staff!AU186</f>
        <v>18852122.2365</v>
      </c>
      <c r="AV25" s="20" t="n">
        <f aca="false">Staff!AV186</f>
        <v>18852122.2365</v>
      </c>
      <c r="AW25" s="20" t="n">
        <f aca="false">Staff!AW186</f>
        <v>18852122.2365</v>
      </c>
      <c r="AX25" s="20" t="n">
        <f aca="false">Staff!AX186</f>
        <v>18852122.2365</v>
      </c>
      <c r="AY25" s="20" t="n">
        <f aca="false">Staff!AY186</f>
        <v>18852122.2365</v>
      </c>
      <c r="AZ25" s="20" t="n">
        <f aca="false">Staff!AZ186</f>
        <v>18852122.2365</v>
      </c>
      <c r="BA25" s="20" t="n">
        <f aca="false">Staff!BA186</f>
        <v>21970401.8814</v>
      </c>
      <c r="BB25" s="20" t="n">
        <f aca="false">Staff!BB186</f>
        <v>21970401.8814</v>
      </c>
      <c r="BC25" s="20" t="n">
        <f aca="false">Staff!BC186</f>
        <v>21970401.8814</v>
      </c>
      <c r="BD25" s="20" t="n">
        <f aca="false">Staff!BD186</f>
        <v>21970401.8814</v>
      </c>
      <c r="BE25" s="20" t="n">
        <f aca="false">Staff!BE186</f>
        <v>21970401.8814</v>
      </c>
      <c r="BF25" s="20" t="n">
        <f aca="false">Staff!BF186</f>
        <v>21970401.8814</v>
      </c>
      <c r="BG25" s="20" t="n">
        <f aca="false">Staff!BG186</f>
        <v>21970401.8814</v>
      </c>
      <c r="BH25" s="20" t="n">
        <f aca="false">Staff!BH186</f>
        <v>21970401.8814</v>
      </c>
      <c r="BI25" s="20" t="n">
        <f aca="false">Staff!BI186</f>
        <v>21970401.8814</v>
      </c>
      <c r="BJ25" s="20" t="n">
        <f aca="false">Staff!BJ186</f>
        <v>21970401.8814</v>
      </c>
      <c r="BK25" s="20" t="n">
        <f aca="false">Staff!BK186</f>
        <v>21970401.8814</v>
      </c>
      <c r="BL25" s="20" t="n">
        <f aca="false">Staff!BL186</f>
        <v>21970401.8814</v>
      </c>
    </row>
    <row r="26" customFormat="false" ht="15" hidden="false" customHeight="false" outlineLevel="0" collapsed="false">
      <c r="A26" s="12" t="s">
        <v>482</v>
      </c>
      <c r="B26" s="14" t="s">
        <v>63</v>
      </c>
      <c r="D26" s="41" t="n">
        <f aca="false">SUM(E26:BL26)</f>
        <v>304290966.4481</v>
      </c>
      <c r="E26" s="20" t="n">
        <f aca="false">Staff!E187</f>
        <v>0</v>
      </c>
      <c r="F26" s="20" t="n">
        <f aca="false">Staff!F187</f>
        <v>0</v>
      </c>
      <c r="G26" s="20" t="n">
        <f aca="false">Staff!G187</f>
        <v>1789932</v>
      </c>
      <c r="H26" s="20" t="n">
        <f aca="false">Staff!H187</f>
        <v>1789932</v>
      </c>
      <c r="I26" s="20" t="n">
        <f aca="false">Staff!I187</f>
        <v>1789932</v>
      </c>
      <c r="J26" s="20" t="n">
        <f aca="false">Staff!J187</f>
        <v>1789932</v>
      </c>
      <c r="K26" s="20" t="n">
        <f aca="false">Staff!K187</f>
        <v>2495341.33333333</v>
      </c>
      <c r="L26" s="20" t="n">
        <f aca="false">Staff!L187</f>
        <v>2495341.33333333</v>
      </c>
      <c r="M26" s="20" t="n">
        <f aca="false">Staff!M187</f>
        <v>2495341.33333333</v>
      </c>
      <c r="N26" s="20" t="n">
        <f aca="false">Staff!N187</f>
        <v>2495341.33333333</v>
      </c>
      <c r="O26" s="20" t="n">
        <f aca="false">Staff!O187</f>
        <v>2495341.33333333</v>
      </c>
      <c r="P26" s="20" t="n">
        <f aca="false">Staff!P187</f>
        <v>2495341.33333333</v>
      </c>
      <c r="Q26" s="20" t="n">
        <f aca="false">Staff!Q187</f>
        <v>2620108.4</v>
      </c>
      <c r="R26" s="20" t="n">
        <f aca="false">Staff!R187</f>
        <v>2620108.4</v>
      </c>
      <c r="S26" s="20" t="n">
        <f aca="false">Staff!S187</f>
        <v>2620108.4</v>
      </c>
      <c r="T26" s="20" t="n">
        <f aca="false">Staff!T187</f>
        <v>3903848.2</v>
      </c>
      <c r="U26" s="20" t="n">
        <f aca="false">Staff!U187</f>
        <v>3903848.2</v>
      </c>
      <c r="V26" s="20" t="n">
        <f aca="false">Staff!V187</f>
        <v>3903848.2</v>
      </c>
      <c r="W26" s="20" t="n">
        <f aca="false">Staff!W187</f>
        <v>4644528</v>
      </c>
      <c r="X26" s="20" t="n">
        <f aca="false">Staff!X187</f>
        <v>4644528</v>
      </c>
      <c r="Y26" s="20" t="n">
        <f aca="false">Staff!Y187</f>
        <v>4644528</v>
      </c>
      <c r="Z26" s="20" t="n">
        <f aca="false">Staff!Z187</f>
        <v>4644528</v>
      </c>
      <c r="AA26" s="20" t="n">
        <f aca="false">Staff!AA187</f>
        <v>4644528</v>
      </c>
      <c r="AB26" s="20" t="n">
        <f aca="false">Staff!AB187</f>
        <v>4644528</v>
      </c>
      <c r="AC26" s="20" t="n">
        <f aca="false">Staff!AC187</f>
        <v>4876754.4</v>
      </c>
      <c r="AD26" s="20" t="n">
        <f aca="false">Staff!AD187</f>
        <v>4876754.4</v>
      </c>
      <c r="AE26" s="20" t="n">
        <f aca="false">Staff!AE187</f>
        <v>4876754.4</v>
      </c>
      <c r="AF26" s="20" t="n">
        <f aca="false">Staff!AF187</f>
        <v>4876754.4</v>
      </c>
      <c r="AG26" s="20" t="n">
        <f aca="false">Staff!AG187</f>
        <v>4876754.4</v>
      </c>
      <c r="AH26" s="20" t="n">
        <f aca="false">Staff!AH187</f>
        <v>4876754.4</v>
      </c>
      <c r="AI26" s="20" t="n">
        <f aca="false">Staff!AI187</f>
        <v>5654468.19</v>
      </c>
      <c r="AJ26" s="20" t="n">
        <f aca="false">Staff!AJ187</f>
        <v>5654468.19</v>
      </c>
      <c r="AK26" s="20" t="n">
        <f aca="false">Staff!AK187</f>
        <v>5654468.19</v>
      </c>
      <c r="AL26" s="20" t="n">
        <f aca="false">Staff!AL187</f>
        <v>5654468.19</v>
      </c>
      <c r="AM26" s="20" t="n">
        <f aca="false">Staff!AM187</f>
        <v>5654468.19</v>
      </c>
      <c r="AN26" s="20" t="n">
        <f aca="false">Staff!AN187</f>
        <v>5654468.19</v>
      </c>
      <c r="AO26" s="20" t="n">
        <f aca="false">Staff!AO187</f>
        <v>5937191.5995</v>
      </c>
      <c r="AP26" s="20" t="n">
        <f aca="false">Staff!AP187</f>
        <v>5937191.5995</v>
      </c>
      <c r="AQ26" s="20" t="n">
        <f aca="false">Staff!AQ187</f>
        <v>5937191.5995</v>
      </c>
      <c r="AR26" s="20" t="n">
        <f aca="false">Staff!AR187</f>
        <v>5937191.5995</v>
      </c>
      <c r="AS26" s="20" t="n">
        <f aca="false">Staff!AS187</f>
        <v>5937191.5995</v>
      </c>
      <c r="AT26" s="20" t="n">
        <f aca="false">Staff!AT187</f>
        <v>5937191.5995</v>
      </c>
      <c r="AU26" s="20" t="n">
        <f aca="false">Staff!AU187</f>
        <v>6753791.079</v>
      </c>
      <c r="AV26" s="20" t="n">
        <f aca="false">Staff!AV187</f>
        <v>6753791.079</v>
      </c>
      <c r="AW26" s="20" t="n">
        <f aca="false">Staff!AW187</f>
        <v>6753791.079</v>
      </c>
      <c r="AX26" s="20" t="n">
        <f aca="false">Staff!AX187</f>
        <v>6753791.079</v>
      </c>
      <c r="AY26" s="20" t="n">
        <f aca="false">Staff!AY187</f>
        <v>6753791.079</v>
      </c>
      <c r="AZ26" s="20" t="n">
        <f aca="false">Staff!AZ187</f>
        <v>6753791.079</v>
      </c>
      <c r="BA26" s="20" t="n">
        <f aca="false">Staff!BA187</f>
        <v>7948910.086425</v>
      </c>
      <c r="BB26" s="20" t="n">
        <f aca="false">Staff!BB187</f>
        <v>7948910.086425</v>
      </c>
      <c r="BC26" s="20" t="n">
        <f aca="false">Staff!BC187</f>
        <v>7948910.086425</v>
      </c>
      <c r="BD26" s="20" t="n">
        <f aca="false">Staff!BD187</f>
        <v>7948910.086425</v>
      </c>
      <c r="BE26" s="20" t="n">
        <f aca="false">Staff!BE187</f>
        <v>7948910.086425</v>
      </c>
      <c r="BF26" s="20" t="n">
        <f aca="false">Staff!BF187</f>
        <v>7948910.086425</v>
      </c>
      <c r="BG26" s="20" t="n">
        <f aca="false">Staff!BG187</f>
        <v>7948910.086425</v>
      </c>
      <c r="BH26" s="20" t="n">
        <f aca="false">Staff!BH187</f>
        <v>7948910.086425</v>
      </c>
      <c r="BI26" s="20" t="n">
        <f aca="false">Staff!BI187</f>
        <v>7948910.086425</v>
      </c>
      <c r="BJ26" s="20" t="n">
        <f aca="false">Staff!BJ187</f>
        <v>7948910.086425</v>
      </c>
      <c r="BK26" s="20" t="n">
        <f aca="false">Staff!BK187</f>
        <v>7948910.086425</v>
      </c>
      <c r="BL26" s="20" t="n">
        <f aca="false">Staff!BL187</f>
        <v>7948910.086425</v>
      </c>
    </row>
    <row r="27" customFormat="false" ht="15" hidden="false" customHeight="false" outlineLevel="0" collapsed="false">
      <c r="A27" s="12" t="s">
        <v>24</v>
      </c>
      <c r="B27" s="14" t="s">
        <v>63</v>
      </c>
      <c r="D27" s="41" t="n">
        <f aca="false">SUM(E27:BL27)</f>
        <v>265298735.6262</v>
      </c>
      <c r="E27" s="20" t="n">
        <f aca="false">Staff!E188</f>
        <v>0</v>
      </c>
      <c r="F27" s="20" t="n">
        <f aca="false">Staff!F188</f>
        <v>0</v>
      </c>
      <c r="G27" s="20" t="n">
        <f aca="false">Staff!G188</f>
        <v>0</v>
      </c>
      <c r="H27" s="20" t="n">
        <f aca="false">Staff!H188</f>
        <v>0</v>
      </c>
      <c r="I27" s="20" t="n">
        <f aca="false">Staff!I188</f>
        <v>0</v>
      </c>
      <c r="J27" s="20" t="n">
        <f aca="false">Staff!J188</f>
        <v>0</v>
      </c>
      <c r="K27" s="20" t="n">
        <f aca="false">Staff!K188</f>
        <v>1452476</v>
      </c>
      <c r="L27" s="20" t="n">
        <f aca="false">Staff!L188</f>
        <v>1452476</v>
      </c>
      <c r="M27" s="20" t="n">
        <f aca="false">Staff!M188</f>
        <v>1452476</v>
      </c>
      <c r="N27" s="20" t="n">
        <f aca="false">Staff!N188</f>
        <v>1452476</v>
      </c>
      <c r="O27" s="20" t="n">
        <f aca="false">Staff!O188</f>
        <v>1452476</v>
      </c>
      <c r="P27" s="20" t="n">
        <f aca="false">Staff!P188</f>
        <v>1452476</v>
      </c>
      <c r="Q27" s="20" t="n">
        <f aca="false">Staff!Q188</f>
        <v>1525099.8</v>
      </c>
      <c r="R27" s="20" t="n">
        <f aca="false">Staff!R188</f>
        <v>1525099.8</v>
      </c>
      <c r="S27" s="20" t="n">
        <f aca="false">Staff!S188</f>
        <v>1525099.8</v>
      </c>
      <c r="T27" s="20" t="n">
        <f aca="false">Staff!T188</f>
        <v>1525099.8</v>
      </c>
      <c r="U27" s="20" t="n">
        <f aca="false">Staff!U188</f>
        <v>1525099.8</v>
      </c>
      <c r="V27" s="20" t="n">
        <f aca="false">Staff!V188</f>
        <v>1525099.8</v>
      </c>
      <c r="W27" s="20" t="n">
        <f aca="false">Staff!W188</f>
        <v>3070093.6</v>
      </c>
      <c r="X27" s="20" t="n">
        <f aca="false">Staff!X188</f>
        <v>3070093.6</v>
      </c>
      <c r="Y27" s="20" t="n">
        <f aca="false">Staff!Y188</f>
        <v>3070093.6</v>
      </c>
      <c r="Z27" s="20" t="n">
        <f aca="false">Staff!Z188</f>
        <v>3070093.6</v>
      </c>
      <c r="AA27" s="20" t="n">
        <f aca="false">Staff!AA188</f>
        <v>3070093.6</v>
      </c>
      <c r="AB27" s="20" t="n">
        <f aca="false">Staff!AB188</f>
        <v>3070093.6</v>
      </c>
      <c r="AC27" s="20" t="n">
        <f aca="false">Staff!AC188</f>
        <v>3223598.28</v>
      </c>
      <c r="AD27" s="20" t="n">
        <f aca="false">Staff!AD188</f>
        <v>3223598.28</v>
      </c>
      <c r="AE27" s="20" t="n">
        <f aca="false">Staff!AE188</f>
        <v>3223598.28</v>
      </c>
      <c r="AF27" s="20" t="n">
        <f aca="false">Staff!AF188</f>
        <v>3223598.28</v>
      </c>
      <c r="AG27" s="20" t="n">
        <f aca="false">Staff!AG188</f>
        <v>3223598.28</v>
      </c>
      <c r="AH27" s="20" t="n">
        <f aca="false">Staff!AH188</f>
        <v>3223598.28</v>
      </c>
      <c r="AI27" s="20" t="n">
        <f aca="false">Staff!AI188</f>
        <v>5106255.21</v>
      </c>
      <c r="AJ27" s="20" t="n">
        <f aca="false">Staff!AJ188</f>
        <v>5106255.21</v>
      </c>
      <c r="AK27" s="20" t="n">
        <f aca="false">Staff!AK188</f>
        <v>5106255.21</v>
      </c>
      <c r="AL27" s="20" t="n">
        <f aca="false">Staff!AL188</f>
        <v>5106255.21</v>
      </c>
      <c r="AM27" s="20" t="n">
        <f aca="false">Staff!AM188</f>
        <v>5106255.21</v>
      </c>
      <c r="AN27" s="20" t="n">
        <f aca="false">Staff!AN188</f>
        <v>5106255.21</v>
      </c>
      <c r="AO27" s="20" t="n">
        <f aca="false">Staff!AO188</f>
        <v>5361567.9705</v>
      </c>
      <c r="AP27" s="20" t="n">
        <f aca="false">Staff!AP188</f>
        <v>5361567.9705</v>
      </c>
      <c r="AQ27" s="20" t="n">
        <f aca="false">Staff!AQ188</f>
        <v>5361567.9705</v>
      </c>
      <c r="AR27" s="20" t="n">
        <f aca="false">Staff!AR188</f>
        <v>5361567.9705</v>
      </c>
      <c r="AS27" s="20" t="n">
        <f aca="false">Staff!AS188</f>
        <v>5361567.9705</v>
      </c>
      <c r="AT27" s="20" t="n">
        <f aca="false">Staff!AT188</f>
        <v>5361567.9705</v>
      </c>
      <c r="AU27" s="20" t="n">
        <f aca="false">Staff!AU188</f>
        <v>7064923.635</v>
      </c>
      <c r="AV27" s="20" t="n">
        <f aca="false">Staff!AV188</f>
        <v>7064923.635</v>
      </c>
      <c r="AW27" s="20" t="n">
        <f aca="false">Staff!AW188</f>
        <v>7064923.635</v>
      </c>
      <c r="AX27" s="20" t="n">
        <f aca="false">Staff!AX188</f>
        <v>7064923.635</v>
      </c>
      <c r="AY27" s="20" t="n">
        <f aca="false">Staff!AY188</f>
        <v>7064923.635</v>
      </c>
      <c r="AZ27" s="20" t="n">
        <f aca="false">Staff!AZ188</f>
        <v>7064923.635</v>
      </c>
      <c r="BA27" s="20" t="n">
        <f aca="false">Staff!BA188</f>
        <v>8706220.7211</v>
      </c>
      <c r="BB27" s="20" t="n">
        <f aca="false">Staff!BB188</f>
        <v>8706220.7211</v>
      </c>
      <c r="BC27" s="20" t="n">
        <f aca="false">Staff!BC188</f>
        <v>8706220.7211</v>
      </c>
      <c r="BD27" s="20" t="n">
        <f aca="false">Staff!BD188</f>
        <v>8706220.7211</v>
      </c>
      <c r="BE27" s="20" t="n">
        <f aca="false">Staff!BE188</f>
        <v>8706220.7211</v>
      </c>
      <c r="BF27" s="20" t="n">
        <f aca="false">Staff!BF188</f>
        <v>8706220.7211</v>
      </c>
      <c r="BG27" s="20" t="n">
        <f aca="false">Staff!BG188</f>
        <v>8706220.7211</v>
      </c>
      <c r="BH27" s="20" t="n">
        <f aca="false">Staff!BH188</f>
        <v>8706220.7211</v>
      </c>
      <c r="BI27" s="20" t="n">
        <f aca="false">Staff!BI188</f>
        <v>8706220.7211</v>
      </c>
      <c r="BJ27" s="20" t="n">
        <f aca="false">Staff!BJ188</f>
        <v>8706220.7211</v>
      </c>
      <c r="BK27" s="20" t="n">
        <f aca="false">Staff!BK188</f>
        <v>8706220.7211</v>
      </c>
      <c r="BL27" s="20" t="n">
        <f aca="false">Staff!BL188</f>
        <v>8706220.7211</v>
      </c>
    </row>
    <row r="28" customFormat="false" ht="15" hidden="false" customHeight="false" outlineLevel="0" collapsed="false">
      <c r="A28" s="12" t="s">
        <v>492</v>
      </c>
      <c r="B28" s="14" t="s">
        <v>63</v>
      </c>
      <c r="D28" s="41" t="n">
        <f aca="false">SUM(E28:BL28)</f>
        <v>354340761.4842</v>
      </c>
      <c r="E28" s="20" t="n">
        <f aca="false">Staff!E189</f>
        <v>0</v>
      </c>
      <c r="F28" s="20" t="n">
        <f aca="false">Staff!F189</f>
        <v>0</v>
      </c>
      <c r="G28" s="20" t="n">
        <f aca="false">Staff!G189</f>
        <v>0</v>
      </c>
      <c r="H28" s="20" t="n">
        <f aca="false">Staff!H189</f>
        <v>1054120</v>
      </c>
      <c r="I28" s="20" t="n">
        <f aca="false">Staff!I189</f>
        <v>1054120</v>
      </c>
      <c r="J28" s="20" t="n">
        <f aca="false">Staff!J189</f>
        <v>1054120</v>
      </c>
      <c r="K28" s="20" t="n">
        <f aca="false">Staff!K189</f>
        <v>1054120</v>
      </c>
      <c r="L28" s="20" t="n">
        <f aca="false">Staff!L189</f>
        <v>1054120</v>
      </c>
      <c r="M28" s="20" t="n">
        <f aca="false">Staff!M189</f>
        <v>1054120</v>
      </c>
      <c r="N28" s="20" t="n">
        <f aca="false">Staff!N189</f>
        <v>1054120</v>
      </c>
      <c r="O28" s="20" t="n">
        <f aca="false">Staff!O189</f>
        <v>1054120</v>
      </c>
      <c r="P28" s="20" t="n">
        <f aca="false">Staff!P189</f>
        <v>1054120</v>
      </c>
      <c r="Q28" s="20" t="n">
        <f aca="false">Staff!Q189</f>
        <v>1106826</v>
      </c>
      <c r="R28" s="20" t="n">
        <f aca="false">Staff!R189</f>
        <v>1106826</v>
      </c>
      <c r="S28" s="20" t="n">
        <f aca="false">Staff!S189</f>
        <v>1106826</v>
      </c>
      <c r="T28" s="20" t="n">
        <f aca="false">Staff!T189</f>
        <v>1106826</v>
      </c>
      <c r="U28" s="20" t="n">
        <f aca="false">Staff!U189</f>
        <v>1106826</v>
      </c>
      <c r="V28" s="20" t="n">
        <f aca="false">Staff!V189</f>
        <v>1106826</v>
      </c>
      <c r="W28" s="20" t="n">
        <f aca="false">Staff!W189</f>
        <v>3287473</v>
      </c>
      <c r="X28" s="20" t="n">
        <f aca="false">Staff!X189</f>
        <v>3287473</v>
      </c>
      <c r="Y28" s="20" t="n">
        <f aca="false">Staff!Y189</f>
        <v>3287473</v>
      </c>
      <c r="Z28" s="20" t="n">
        <f aca="false">Staff!Z189</f>
        <v>3287473</v>
      </c>
      <c r="AA28" s="20" t="n">
        <f aca="false">Staff!AA189</f>
        <v>3287473</v>
      </c>
      <c r="AB28" s="20" t="n">
        <f aca="false">Staff!AB189</f>
        <v>3287473</v>
      </c>
      <c r="AC28" s="20" t="n">
        <f aca="false">Staff!AC189</f>
        <v>4673059.44</v>
      </c>
      <c r="AD28" s="20" t="n">
        <f aca="false">Staff!AD189</f>
        <v>4673059.44</v>
      </c>
      <c r="AE28" s="20" t="n">
        <f aca="false">Staff!AE189</f>
        <v>4673059.44</v>
      </c>
      <c r="AF28" s="20" t="n">
        <f aca="false">Staff!AF189</f>
        <v>4673059.44</v>
      </c>
      <c r="AG28" s="20" t="n">
        <f aca="false">Staff!AG189</f>
        <v>4673059.44</v>
      </c>
      <c r="AH28" s="20" t="n">
        <f aca="false">Staff!AH189</f>
        <v>4673059.44</v>
      </c>
      <c r="AI28" s="20" t="n">
        <f aca="false">Staff!AI189</f>
        <v>6155510.34</v>
      </c>
      <c r="AJ28" s="20" t="n">
        <f aca="false">Staff!AJ189</f>
        <v>6155510.34</v>
      </c>
      <c r="AK28" s="20" t="n">
        <f aca="false">Staff!AK189</f>
        <v>6155510.34</v>
      </c>
      <c r="AL28" s="20" t="n">
        <f aca="false">Staff!AL189</f>
        <v>6155510.34</v>
      </c>
      <c r="AM28" s="20" t="n">
        <f aca="false">Staff!AM189</f>
        <v>6155510.34</v>
      </c>
      <c r="AN28" s="20" t="n">
        <f aca="false">Staff!AN189</f>
        <v>6155510.34</v>
      </c>
      <c r="AO28" s="20" t="n">
        <f aca="false">Staff!AO189</f>
        <v>7416566.892</v>
      </c>
      <c r="AP28" s="20" t="n">
        <f aca="false">Staff!AP189</f>
        <v>7416566.892</v>
      </c>
      <c r="AQ28" s="20" t="n">
        <f aca="false">Staff!AQ189</f>
        <v>7416566.892</v>
      </c>
      <c r="AR28" s="20" t="n">
        <f aca="false">Staff!AR189</f>
        <v>7416566.892</v>
      </c>
      <c r="AS28" s="20" t="n">
        <f aca="false">Staff!AS189</f>
        <v>7416566.892</v>
      </c>
      <c r="AT28" s="20" t="n">
        <f aca="false">Staff!AT189</f>
        <v>7416566.892</v>
      </c>
      <c r="AU28" s="20" t="n">
        <f aca="false">Staff!AU189</f>
        <v>9309438.117</v>
      </c>
      <c r="AV28" s="20" t="n">
        <f aca="false">Staff!AV189</f>
        <v>9309438.117</v>
      </c>
      <c r="AW28" s="20" t="n">
        <f aca="false">Staff!AW189</f>
        <v>9309438.117</v>
      </c>
      <c r="AX28" s="20" t="n">
        <f aca="false">Staff!AX189</f>
        <v>9309438.117</v>
      </c>
      <c r="AY28" s="20" t="n">
        <f aca="false">Staff!AY189</f>
        <v>9309438.117</v>
      </c>
      <c r="AZ28" s="20" t="n">
        <f aca="false">Staff!AZ189</f>
        <v>9309438.117</v>
      </c>
      <c r="BA28" s="20" t="n">
        <f aca="false">Staff!BA189</f>
        <v>12763369.89585</v>
      </c>
      <c r="BB28" s="20" t="n">
        <f aca="false">Staff!BB189</f>
        <v>12763369.89585</v>
      </c>
      <c r="BC28" s="20" t="n">
        <f aca="false">Staff!BC189</f>
        <v>12763369.89585</v>
      </c>
      <c r="BD28" s="20" t="n">
        <f aca="false">Staff!BD189</f>
        <v>12763369.89585</v>
      </c>
      <c r="BE28" s="20" t="n">
        <f aca="false">Staff!BE189</f>
        <v>12763369.89585</v>
      </c>
      <c r="BF28" s="20" t="n">
        <f aca="false">Staff!BF189</f>
        <v>12763369.89585</v>
      </c>
      <c r="BG28" s="20" t="n">
        <f aca="false">Staff!BG189</f>
        <v>12763369.89585</v>
      </c>
      <c r="BH28" s="20" t="n">
        <f aca="false">Staff!BH189</f>
        <v>12763369.89585</v>
      </c>
      <c r="BI28" s="20" t="n">
        <f aca="false">Staff!BI189</f>
        <v>12763369.89585</v>
      </c>
      <c r="BJ28" s="20" t="n">
        <f aca="false">Staff!BJ189</f>
        <v>12763369.89585</v>
      </c>
      <c r="BK28" s="20" t="n">
        <f aca="false">Staff!BK189</f>
        <v>12763369.89585</v>
      </c>
      <c r="BL28" s="20" t="n">
        <f aca="false">Staff!BL189</f>
        <v>12763369.89585</v>
      </c>
    </row>
    <row r="29" customFormat="false" ht="15" hidden="false" customHeight="false" outlineLevel="0" collapsed="false">
      <c r="A29" s="12" t="s">
        <v>497</v>
      </c>
      <c r="B29" s="14" t="s">
        <v>63</v>
      </c>
      <c r="D29" s="41" t="n">
        <f aca="false">SUM(E29:BL29)</f>
        <v>795167080.686867</v>
      </c>
      <c r="E29" s="20" t="n">
        <f aca="false">Staff!E190</f>
        <v>0</v>
      </c>
      <c r="F29" s="20" t="n">
        <f aca="false">Staff!F190</f>
        <v>2068265.33333333</v>
      </c>
      <c r="G29" s="20" t="n">
        <f aca="false">Staff!G190</f>
        <v>2068265.33333333</v>
      </c>
      <c r="H29" s="20" t="n">
        <f aca="false">Staff!H190</f>
        <v>4238888</v>
      </c>
      <c r="I29" s="20" t="n">
        <f aca="false">Staff!I190</f>
        <v>4238888</v>
      </c>
      <c r="J29" s="20" t="n">
        <f aca="false">Staff!J190</f>
        <v>4238888</v>
      </c>
      <c r="K29" s="20" t="n">
        <f aca="false">Staff!K190</f>
        <v>5301834.66666667</v>
      </c>
      <c r="L29" s="20" t="n">
        <f aca="false">Staff!L190</f>
        <v>5301834.66666667</v>
      </c>
      <c r="M29" s="20" t="n">
        <f aca="false">Staff!M190</f>
        <v>5301834.66666667</v>
      </c>
      <c r="N29" s="20" t="n">
        <f aca="false">Staff!N190</f>
        <v>5301834.66666667</v>
      </c>
      <c r="O29" s="20" t="n">
        <f aca="false">Staff!O190</f>
        <v>5301834.66666667</v>
      </c>
      <c r="P29" s="20" t="n">
        <f aca="false">Staff!P190</f>
        <v>5301834.66666667</v>
      </c>
      <c r="Q29" s="20" t="n">
        <f aca="false">Staff!Q190</f>
        <v>5566926.4</v>
      </c>
      <c r="R29" s="20" t="n">
        <f aca="false">Staff!R190</f>
        <v>5566926.4</v>
      </c>
      <c r="S29" s="20" t="n">
        <f aca="false">Staff!S190</f>
        <v>5566926.4</v>
      </c>
      <c r="T29" s="20" t="n">
        <f aca="false">Staff!T190</f>
        <v>5566926.4</v>
      </c>
      <c r="U29" s="20" t="n">
        <f aca="false">Staff!U190</f>
        <v>5566926.4</v>
      </c>
      <c r="V29" s="20" t="n">
        <f aca="false">Staff!V190</f>
        <v>5566926.4</v>
      </c>
      <c r="W29" s="20" t="n">
        <f aca="false">Staff!W190</f>
        <v>9657072.6</v>
      </c>
      <c r="X29" s="20" t="n">
        <f aca="false">Staff!X190</f>
        <v>9657072.6</v>
      </c>
      <c r="Y29" s="20" t="n">
        <f aca="false">Staff!Y190</f>
        <v>9657072.6</v>
      </c>
      <c r="Z29" s="20" t="n">
        <f aca="false">Staff!Z190</f>
        <v>9657072.6</v>
      </c>
      <c r="AA29" s="20" t="n">
        <f aca="false">Staff!AA190</f>
        <v>9657072.6</v>
      </c>
      <c r="AB29" s="20" t="n">
        <f aca="false">Staff!AB190</f>
        <v>9657072.6</v>
      </c>
      <c r="AC29" s="20" t="n">
        <f aca="false">Staff!AC190</f>
        <v>11487853.02</v>
      </c>
      <c r="AD29" s="20" t="n">
        <f aca="false">Staff!AD190</f>
        <v>11487853.02</v>
      </c>
      <c r="AE29" s="20" t="n">
        <f aca="false">Staff!AE190</f>
        <v>11487853.02</v>
      </c>
      <c r="AF29" s="20" t="n">
        <f aca="false">Staff!AF190</f>
        <v>11487853.02</v>
      </c>
      <c r="AG29" s="20" t="n">
        <f aca="false">Staff!AG190</f>
        <v>11487853.02</v>
      </c>
      <c r="AH29" s="20" t="n">
        <f aca="false">Staff!AH190</f>
        <v>11487853.02</v>
      </c>
      <c r="AI29" s="20" t="n">
        <f aca="false">Staff!AI190</f>
        <v>15782506.53</v>
      </c>
      <c r="AJ29" s="20" t="n">
        <f aca="false">Staff!AJ190</f>
        <v>15782506.53</v>
      </c>
      <c r="AK29" s="20" t="n">
        <f aca="false">Staff!AK190</f>
        <v>15782506.53</v>
      </c>
      <c r="AL29" s="20" t="n">
        <f aca="false">Staff!AL190</f>
        <v>15782506.53</v>
      </c>
      <c r="AM29" s="20" t="n">
        <f aca="false">Staff!AM190</f>
        <v>15782506.53</v>
      </c>
      <c r="AN29" s="20" t="n">
        <f aca="false">Staff!AN190</f>
        <v>15782506.53</v>
      </c>
      <c r="AO29" s="20" t="n">
        <f aca="false">Staff!AO190</f>
        <v>16571631.8565</v>
      </c>
      <c r="AP29" s="20" t="n">
        <f aca="false">Staff!AP190</f>
        <v>16571631.8565</v>
      </c>
      <c r="AQ29" s="20" t="n">
        <f aca="false">Staff!AQ190</f>
        <v>16571631.8565</v>
      </c>
      <c r="AR29" s="20" t="n">
        <f aca="false">Staff!AR190</f>
        <v>16571631.8565</v>
      </c>
      <c r="AS29" s="20" t="n">
        <f aca="false">Staff!AS190</f>
        <v>16571631.8565</v>
      </c>
      <c r="AT29" s="20" t="n">
        <f aca="false">Staff!AT190</f>
        <v>16571631.8565</v>
      </c>
      <c r="AU29" s="20" t="n">
        <f aca="false">Staff!AU190</f>
        <v>21081018.042</v>
      </c>
      <c r="AV29" s="20" t="n">
        <f aca="false">Staff!AV190</f>
        <v>21081018.042</v>
      </c>
      <c r="AW29" s="20" t="n">
        <f aca="false">Staff!AW190</f>
        <v>21081018.042</v>
      </c>
      <c r="AX29" s="20" t="n">
        <f aca="false">Staff!AX190</f>
        <v>21081018.042</v>
      </c>
      <c r="AY29" s="20" t="n">
        <f aca="false">Staff!AY190</f>
        <v>21081018.042</v>
      </c>
      <c r="AZ29" s="20" t="n">
        <f aca="false">Staff!AZ190</f>
        <v>21081018.042</v>
      </c>
      <c r="BA29" s="20" t="n">
        <f aca="false">Staff!BA190</f>
        <v>22135068.9441</v>
      </c>
      <c r="BB29" s="20" t="n">
        <f aca="false">Staff!BB190</f>
        <v>22135068.9441</v>
      </c>
      <c r="BC29" s="20" t="n">
        <f aca="false">Staff!BC190</f>
        <v>22135068.9441</v>
      </c>
      <c r="BD29" s="20" t="n">
        <f aca="false">Staff!BD190</f>
        <v>22135068.9441</v>
      </c>
      <c r="BE29" s="20" t="n">
        <f aca="false">Staff!BE190</f>
        <v>22135068.9441</v>
      </c>
      <c r="BF29" s="20" t="n">
        <f aca="false">Staff!BF190</f>
        <v>22135068.9441</v>
      </c>
      <c r="BG29" s="20" t="n">
        <f aca="false">Staff!BG190</f>
        <v>22135068.9441</v>
      </c>
      <c r="BH29" s="20" t="n">
        <f aca="false">Staff!BH190</f>
        <v>22135068.9441</v>
      </c>
      <c r="BI29" s="20" t="n">
        <f aca="false">Staff!BI190</f>
        <v>22135068.9441</v>
      </c>
      <c r="BJ29" s="20" t="n">
        <f aca="false">Staff!BJ190</f>
        <v>22135068.9441</v>
      </c>
      <c r="BK29" s="20" t="n">
        <f aca="false">Staff!BK190</f>
        <v>22135068.9441</v>
      </c>
      <c r="BL29" s="20" t="n">
        <f aca="false">Staff!BL190</f>
        <v>22135068.9441</v>
      </c>
    </row>
    <row r="30" customFormat="false" ht="15" hidden="false" customHeight="false" outlineLevel="0" collapsed="false">
      <c r="A30" s="12" t="s">
        <v>506</v>
      </c>
      <c r="B30" s="14" t="s">
        <v>63</v>
      </c>
      <c r="D30" s="41" t="n">
        <f aca="false">SUM(E30:BL30)</f>
        <v>93423675.3562</v>
      </c>
      <c r="E30" s="20" t="n">
        <f aca="false">Staff!E191</f>
        <v>0</v>
      </c>
      <c r="F30" s="20" t="n">
        <f aca="false">Staff!F191</f>
        <v>0</v>
      </c>
      <c r="G30" s="20" t="n">
        <f aca="false">Staff!G191</f>
        <v>0</v>
      </c>
      <c r="H30" s="20" t="n">
        <f aca="false">Staff!H191</f>
        <v>0</v>
      </c>
      <c r="I30" s="20" t="n">
        <f aca="false">Staff!I191</f>
        <v>0</v>
      </c>
      <c r="J30" s="20" t="n">
        <f aca="false">Staff!J191</f>
        <v>1107676</v>
      </c>
      <c r="K30" s="20" t="n">
        <f aca="false">Staff!K191</f>
        <v>1107676</v>
      </c>
      <c r="L30" s="20" t="n">
        <f aca="false">Staff!L191</f>
        <v>1107676</v>
      </c>
      <c r="M30" s="20" t="n">
        <f aca="false">Staff!M191</f>
        <v>1107676</v>
      </c>
      <c r="N30" s="20" t="n">
        <f aca="false">Staff!N191</f>
        <v>1107676</v>
      </c>
      <c r="O30" s="20" t="n">
        <f aca="false">Staff!O191</f>
        <v>1107676</v>
      </c>
      <c r="P30" s="20" t="n">
        <f aca="false">Staff!P191</f>
        <v>1107676</v>
      </c>
      <c r="Q30" s="20" t="n">
        <f aca="false">Staff!Q191</f>
        <v>1163059.8</v>
      </c>
      <c r="R30" s="20" t="n">
        <f aca="false">Staff!R191</f>
        <v>1163059.8</v>
      </c>
      <c r="S30" s="20" t="n">
        <f aca="false">Staff!S191</f>
        <v>1163059.8</v>
      </c>
      <c r="T30" s="20" t="n">
        <f aca="false">Staff!T191</f>
        <v>1163059.8</v>
      </c>
      <c r="U30" s="20" t="n">
        <f aca="false">Staff!U191</f>
        <v>1163059.8</v>
      </c>
      <c r="V30" s="20" t="n">
        <f aca="false">Staff!V191</f>
        <v>1163059.8</v>
      </c>
      <c r="W30" s="20" t="n">
        <f aca="false">Staff!W191</f>
        <v>1721106.8</v>
      </c>
      <c r="X30" s="20" t="n">
        <f aca="false">Staff!X191</f>
        <v>1721106.8</v>
      </c>
      <c r="Y30" s="20" t="n">
        <f aca="false">Staff!Y191</f>
        <v>1721106.8</v>
      </c>
      <c r="Z30" s="20" t="n">
        <f aca="false">Staff!Z191</f>
        <v>1721106.8</v>
      </c>
      <c r="AA30" s="20" t="n">
        <f aca="false">Staff!AA191</f>
        <v>1721106.8</v>
      </c>
      <c r="AB30" s="20" t="n">
        <f aca="false">Staff!AB191</f>
        <v>1721106.8</v>
      </c>
      <c r="AC30" s="20" t="n">
        <f aca="false">Staff!AC191</f>
        <v>1807162.14</v>
      </c>
      <c r="AD30" s="20" t="n">
        <f aca="false">Staff!AD191</f>
        <v>1807162.14</v>
      </c>
      <c r="AE30" s="20" t="n">
        <f aca="false">Staff!AE191</f>
        <v>1807162.14</v>
      </c>
      <c r="AF30" s="20" t="n">
        <f aca="false">Staff!AF191</f>
        <v>1807162.14</v>
      </c>
      <c r="AG30" s="20" t="n">
        <f aca="false">Staff!AG191</f>
        <v>1807162.14</v>
      </c>
      <c r="AH30" s="20" t="n">
        <f aca="false">Staff!AH191</f>
        <v>1807162.14</v>
      </c>
      <c r="AI30" s="20" t="n">
        <f aca="false">Staff!AI191</f>
        <v>1807162.14</v>
      </c>
      <c r="AJ30" s="20" t="n">
        <f aca="false">Staff!AJ191</f>
        <v>1807162.14</v>
      </c>
      <c r="AK30" s="20" t="n">
        <f aca="false">Staff!AK191</f>
        <v>1807162.14</v>
      </c>
      <c r="AL30" s="20" t="n">
        <f aca="false">Staff!AL191</f>
        <v>1807162.14</v>
      </c>
      <c r="AM30" s="20" t="n">
        <f aca="false">Staff!AM191</f>
        <v>1807162.14</v>
      </c>
      <c r="AN30" s="20" t="n">
        <f aca="false">Staff!AN191</f>
        <v>1807162.14</v>
      </c>
      <c r="AO30" s="20" t="n">
        <f aca="false">Staff!AO191</f>
        <v>1897520.247</v>
      </c>
      <c r="AP30" s="20" t="n">
        <f aca="false">Staff!AP191</f>
        <v>1897520.247</v>
      </c>
      <c r="AQ30" s="20" t="n">
        <f aca="false">Staff!AQ191</f>
        <v>1897520.247</v>
      </c>
      <c r="AR30" s="20" t="n">
        <f aca="false">Staff!AR191</f>
        <v>1897520.247</v>
      </c>
      <c r="AS30" s="20" t="n">
        <f aca="false">Staff!AS191</f>
        <v>1897520.247</v>
      </c>
      <c r="AT30" s="20" t="n">
        <f aca="false">Staff!AT191</f>
        <v>1897520.247</v>
      </c>
      <c r="AU30" s="20" t="n">
        <f aca="false">Staff!AU191</f>
        <v>1897520.247</v>
      </c>
      <c r="AV30" s="20" t="n">
        <f aca="false">Staff!AV191</f>
        <v>1897520.247</v>
      </c>
      <c r="AW30" s="20" t="n">
        <f aca="false">Staff!AW191</f>
        <v>1897520.247</v>
      </c>
      <c r="AX30" s="20" t="n">
        <f aca="false">Staff!AX191</f>
        <v>1897520.247</v>
      </c>
      <c r="AY30" s="20" t="n">
        <f aca="false">Staff!AY191</f>
        <v>1897520.247</v>
      </c>
      <c r="AZ30" s="20" t="n">
        <f aca="false">Staff!AZ191</f>
        <v>1897520.247</v>
      </c>
      <c r="BA30" s="20" t="n">
        <f aca="false">Staff!BA191</f>
        <v>1992396.25935</v>
      </c>
      <c r="BB30" s="20" t="n">
        <f aca="false">Staff!BB191</f>
        <v>1992396.25935</v>
      </c>
      <c r="BC30" s="20" t="n">
        <f aca="false">Staff!BC191</f>
        <v>1992396.25935</v>
      </c>
      <c r="BD30" s="20" t="n">
        <f aca="false">Staff!BD191</f>
        <v>1992396.25935</v>
      </c>
      <c r="BE30" s="20" t="n">
        <f aca="false">Staff!BE191</f>
        <v>1992396.25935</v>
      </c>
      <c r="BF30" s="20" t="n">
        <f aca="false">Staff!BF191</f>
        <v>1992396.25935</v>
      </c>
      <c r="BG30" s="20" t="n">
        <f aca="false">Staff!BG191</f>
        <v>1992396.25935</v>
      </c>
      <c r="BH30" s="20" t="n">
        <f aca="false">Staff!BH191</f>
        <v>1992396.25935</v>
      </c>
      <c r="BI30" s="20" t="n">
        <f aca="false">Staff!BI191</f>
        <v>1992396.25935</v>
      </c>
      <c r="BJ30" s="20" t="n">
        <f aca="false">Staff!BJ191</f>
        <v>1992396.25935</v>
      </c>
      <c r="BK30" s="20" t="n">
        <f aca="false">Staff!BK191</f>
        <v>1992396.25935</v>
      </c>
      <c r="BL30" s="20" t="n">
        <f aca="false">Staff!BL191</f>
        <v>1992396.25935</v>
      </c>
    </row>
    <row r="31" customFormat="false" ht="15" hidden="false" customHeight="false" outlineLevel="0" collapsed="false">
      <c r="A31" s="12" t="s">
        <v>509</v>
      </c>
      <c r="B31" s="14" t="s">
        <v>63</v>
      </c>
      <c r="D31" s="41" t="n">
        <f aca="false">SUM(E31:BL31)</f>
        <v>72221087.9065</v>
      </c>
      <c r="E31" s="20" t="n">
        <f aca="false">Staff!E192</f>
        <v>531473.333333333</v>
      </c>
      <c r="F31" s="20" t="n">
        <f aca="false">Staff!F192</f>
        <v>531473.333333333</v>
      </c>
      <c r="G31" s="20" t="n">
        <f aca="false">Staff!G192</f>
        <v>531473.333333333</v>
      </c>
      <c r="H31" s="20" t="n">
        <f aca="false">Staff!H192</f>
        <v>531473.333333333</v>
      </c>
      <c r="I31" s="20" t="n">
        <f aca="false">Staff!I192</f>
        <v>531473.333333333</v>
      </c>
      <c r="J31" s="20" t="n">
        <f aca="false">Staff!J192</f>
        <v>531473.333333333</v>
      </c>
      <c r="K31" s="20" t="n">
        <f aca="false">Staff!K192</f>
        <v>531473.333333333</v>
      </c>
      <c r="L31" s="20" t="n">
        <f aca="false">Staff!L192</f>
        <v>531473.333333333</v>
      </c>
      <c r="M31" s="20" t="n">
        <f aca="false">Staff!M192</f>
        <v>531473.333333333</v>
      </c>
      <c r="N31" s="20" t="n">
        <f aca="false">Staff!N192</f>
        <v>531473.333333333</v>
      </c>
      <c r="O31" s="20" t="n">
        <f aca="false">Staff!O192</f>
        <v>531473.333333333</v>
      </c>
      <c r="P31" s="20" t="n">
        <f aca="false">Staff!P192</f>
        <v>531473.333333333</v>
      </c>
      <c r="Q31" s="20" t="n">
        <f aca="false">Staff!Q192</f>
        <v>558047</v>
      </c>
      <c r="R31" s="20" t="n">
        <f aca="false">Staff!R192</f>
        <v>558047</v>
      </c>
      <c r="S31" s="20" t="n">
        <f aca="false">Staff!S192</f>
        <v>558047</v>
      </c>
      <c r="T31" s="20" t="n">
        <f aca="false">Staff!T192</f>
        <v>558047</v>
      </c>
      <c r="U31" s="20" t="n">
        <f aca="false">Staff!U192</f>
        <v>558047</v>
      </c>
      <c r="V31" s="20" t="n">
        <f aca="false">Staff!V192</f>
        <v>558047</v>
      </c>
      <c r="W31" s="20" t="n">
        <f aca="false">Staff!W192</f>
        <v>958944</v>
      </c>
      <c r="X31" s="20" t="n">
        <f aca="false">Staff!X192</f>
        <v>958944</v>
      </c>
      <c r="Y31" s="20" t="n">
        <f aca="false">Staff!Y192</f>
        <v>958944</v>
      </c>
      <c r="Z31" s="20" t="n">
        <f aca="false">Staff!Z192</f>
        <v>958944</v>
      </c>
      <c r="AA31" s="20" t="n">
        <f aca="false">Staff!AA192</f>
        <v>958944</v>
      </c>
      <c r="AB31" s="20" t="n">
        <f aca="false">Staff!AB192</f>
        <v>958944</v>
      </c>
      <c r="AC31" s="20" t="n">
        <f aca="false">Staff!AC192</f>
        <v>1006891.2</v>
      </c>
      <c r="AD31" s="20" t="n">
        <f aca="false">Staff!AD192</f>
        <v>1006891.2</v>
      </c>
      <c r="AE31" s="20" t="n">
        <f aca="false">Staff!AE192</f>
        <v>1006891.2</v>
      </c>
      <c r="AF31" s="20" t="n">
        <f aca="false">Staff!AF192</f>
        <v>1006891.2</v>
      </c>
      <c r="AG31" s="20" t="n">
        <f aca="false">Staff!AG192</f>
        <v>1006891.2</v>
      </c>
      <c r="AH31" s="20" t="n">
        <f aca="false">Staff!AH192</f>
        <v>1006891.2</v>
      </c>
      <c r="AI31" s="20" t="n">
        <f aca="false">Staff!AI192</f>
        <v>1592840.55</v>
      </c>
      <c r="AJ31" s="20" t="n">
        <f aca="false">Staff!AJ192</f>
        <v>1592840.55</v>
      </c>
      <c r="AK31" s="20" t="n">
        <f aca="false">Staff!AK192</f>
        <v>1592840.55</v>
      </c>
      <c r="AL31" s="20" t="n">
        <f aca="false">Staff!AL192</f>
        <v>1592840.55</v>
      </c>
      <c r="AM31" s="20" t="n">
        <f aca="false">Staff!AM192</f>
        <v>1592840.55</v>
      </c>
      <c r="AN31" s="20" t="n">
        <f aca="false">Staff!AN192</f>
        <v>1592840.55</v>
      </c>
      <c r="AO31" s="20" t="n">
        <f aca="false">Staff!AO192</f>
        <v>1672482.5775</v>
      </c>
      <c r="AP31" s="20" t="n">
        <f aca="false">Staff!AP192</f>
        <v>1672482.5775</v>
      </c>
      <c r="AQ31" s="20" t="n">
        <f aca="false">Staff!AQ192</f>
        <v>1672482.5775</v>
      </c>
      <c r="AR31" s="20" t="n">
        <f aca="false">Staff!AR192</f>
        <v>1672482.5775</v>
      </c>
      <c r="AS31" s="20" t="n">
        <f aca="false">Staff!AS192</f>
        <v>1672482.5775</v>
      </c>
      <c r="AT31" s="20" t="n">
        <f aca="false">Staff!AT192</f>
        <v>1672482.5775</v>
      </c>
      <c r="AU31" s="20" t="n">
        <f aca="false">Staff!AU192</f>
        <v>1672482.5775</v>
      </c>
      <c r="AV31" s="20" t="n">
        <f aca="false">Staff!AV192</f>
        <v>1672482.5775</v>
      </c>
      <c r="AW31" s="20" t="n">
        <f aca="false">Staff!AW192</f>
        <v>1672482.5775</v>
      </c>
      <c r="AX31" s="20" t="n">
        <f aca="false">Staff!AX192</f>
        <v>1672482.5775</v>
      </c>
      <c r="AY31" s="20" t="n">
        <f aca="false">Staff!AY192</f>
        <v>1672482.5775</v>
      </c>
      <c r="AZ31" s="20" t="n">
        <f aca="false">Staff!AZ192</f>
        <v>1672482.5775</v>
      </c>
      <c r="BA31" s="20" t="n">
        <f aca="false">Staff!BA192</f>
        <v>1756106.706375</v>
      </c>
      <c r="BB31" s="20" t="n">
        <f aca="false">Staff!BB192</f>
        <v>1756106.706375</v>
      </c>
      <c r="BC31" s="20" t="n">
        <f aca="false">Staff!BC192</f>
        <v>1756106.706375</v>
      </c>
      <c r="BD31" s="20" t="n">
        <f aca="false">Staff!BD192</f>
        <v>1756106.706375</v>
      </c>
      <c r="BE31" s="20" t="n">
        <f aca="false">Staff!BE192</f>
        <v>1756106.706375</v>
      </c>
      <c r="BF31" s="20" t="n">
        <f aca="false">Staff!BF192</f>
        <v>1756106.706375</v>
      </c>
      <c r="BG31" s="20" t="n">
        <f aca="false">Staff!BG192</f>
        <v>1756106.706375</v>
      </c>
      <c r="BH31" s="20" t="n">
        <f aca="false">Staff!BH192</f>
        <v>1756106.706375</v>
      </c>
      <c r="BI31" s="20" t="n">
        <f aca="false">Staff!BI192</f>
        <v>1756106.706375</v>
      </c>
      <c r="BJ31" s="20" t="n">
        <f aca="false">Staff!BJ192</f>
        <v>1756106.706375</v>
      </c>
      <c r="BK31" s="20" t="n">
        <f aca="false">Staff!BK192</f>
        <v>1756106.706375</v>
      </c>
      <c r="BL31" s="20" t="n">
        <f aca="false">Staff!BL192</f>
        <v>1756106.706375</v>
      </c>
    </row>
    <row r="32" customFormat="false" ht="15" hidden="false" customHeight="false" outlineLevel="0" collapsed="false">
      <c r="A32" s="8" t="s">
        <v>645</v>
      </c>
      <c r="B32" s="14" t="s">
        <v>63</v>
      </c>
      <c r="D32" s="41" t="n">
        <f aca="false">SUM(E32:BL32)</f>
        <v>3509591853.03603</v>
      </c>
      <c r="E32" s="16" t="n">
        <f aca="false">SUM(E24:E31)</f>
        <v>13142276</v>
      </c>
      <c r="F32" s="16" t="n">
        <f aca="false">SUM(F24:F31)</f>
        <v>15210541.3333333</v>
      </c>
      <c r="G32" s="16" t="n">
        <f aca="false">SUM(G24:G31)</f>
        <v>17993216</v>
      </c>
      <c r="H32" s="16" t="n">
        <f aca="false">SUM(H24:H31)</f>
        <v>21217958.6666667</v>
      </c>
      <c r="I32" s="16" t="n">
        <f aca="false">SUM(I24:I31)</f>
        <v>21217958.6666667</v>
      </c>
      <c r="J32" s="16" t="n">
        <f aca="false">SUM(J24:J31)</f>
        <v>22325634.6666667</v>
      </c>
      <c r="K32" s="16" t="n">
        <f aca="false">SUM(K24:K31)</f>
        <v>25546466.6666667</v>
      </c>
      <c r="L32" s="16" t="n">
        <f aca="false">SUM(L24:L31)</f>
        <v>25546466.6666667</v>
      </c>
      <c r="M32" s="16" t="n">
        <f aca="false">SUM(M24:M31)</f>
        <v>25546466.6666667</v>
      </c>
      <c r="N32" s="16" t="n">
        <f aca="false">SUM(N24:N31)</f>
        <v>26998942.6666667</v>
      </c>
      <c r="O32" s="16" t="n">
        <f aca="false">SUM(O24:O31)</f>
        <v>26998942.6666667</v>
      </c>
      <c r="P32" s="16" t="n">
        <f aca="false">SUM(P24:P31)</f>
        <v>26998942.6666667</v>
      </c>
      <c r="Q32" s="16" t="n">
        <f aca="false">SUM(Q24:Q31)</f>
        <v>31748018.4</v>
      </c>
      <c r="R32" s="16" t="n">
        <f aca="false">SUM(R24:R31)</f>
        <v>31748018.4</v>
      </c>
      <c r="S32" s="16" t="n">
        <f aca="false">SUM(S24:S31)</f>
        <v>31748018.4</v>
      </c>
      <c r="T32" s="16" t="n">
        <f aca="false">SUM(T24:T31)</f>
        <v>33031758.2</v>
      </c>
      <c r="U32" s="16" t="n">
        <f aca="false">SUM(U24:U31)</f>
        <v>33031758.2</v>
      </c>
      <c r="V32" s="16" t="n">
        <f aca="false">SUM(V24:V31)</f>
        <v>33031758.2</v>
      </c>
      <c r="W32" s="16" t="n">
        <f aca="false">SUM(W24:W31)</f>
        <v>47932906</v>
      </c>
      <c r="X32" s="16" t="n">
        <f aca="false">SUM(X24:X31)</f>
        <v>47932906</v>
      </c>
      <c r="Y32" s="16" t="n">
        <f aca="false">SUM(Y24:Y31)</f>
        <v>47932906</v>
      </c>
      <c r="Z32" s="16" t="n">
        <f aca="false">SUM(Z24:Z31)</f>
        <v>47932906</v>
      </c>
      <c r="AA32" s="16" t="n">
        <f aca="false">SUM(AA24:AA31)</f>
        <v>47932906</v>
      </c>
      <c r="AB32" s="16" t="n">
        <f aca="false">SUM(AB24:AB31)</f>
        <v>47932906</v>
      </c>
      <c r="AC32" s="16" t="n">
        <f aca="false">SUM(AC24:AC31)</f>
        <v>54626600.91</v>
      </c>
      <c r="AD32" s="16" t="n">
        <f aca="false">SUM(AD24:AD31)</f>
        <v>54626600.91</v>
      </c>
      <c r="AE32" s="16" t="n">
        <f aca="false">SUM(AE24:AE31)</f>
        <v>54626600.91</v>
      </c>
      <c r="AF32" s="16" t="n">
        <f aca="false">SUM(AF24:AF31)</f>
        <v>54626600.91</v>
      </c>
      <c r="AG32" s="16" t="n">
        <f aca="false">SUM(AG24:AG31)</f>
        <v>54626600.91</v>
      </c>
      <c r="AH32" s="16" t="n">
        <f aca="false">SUM(AH24:AH31)</f>
        <v>54626600.91</v>
      </c>
      <c r="AI32" s="16" t="n">
        <f aca="false">SUM(AI24:AI31)</f>
        <v>65251380.18</v>
      </c>
      <c r="AJ32" s="16" t="n">
        <f aca="false">SUM(AJ24:AJ31)</f>
        <v>65251380.18</v>
      </c>
      <c r="AK32" s="16" t="n">
        <f aca="false">SUM(AK24:AK31)</f>
        <v>65251380.18</v>
      </c>
      <c r="AL32" s="16" t="n">
        <f aca="false">SUM(AL24:AL31)</f>
        <v>65251380.18</v>
      </c>
      <c r="AM32" s="16" t="n">
        <f aca="false">SUM(AM24:AM31)</f>
        <v>65251380.18</v>
      </c>
      <c r="AN32" s="16" t="n">
        <f aca="false">SUM(AN24:AN31)</f>
        <v>65251380.18</v>
      </c>
      <c r="AO32" s="16" t="n">
        <f aca="false">SUM(AO24:AO31)</f>
        <v>69467230.224</v>
      </c>
      <c r="AP32" s="16" t="n">
        <f aca="false">SUM(AP24:AP31)</f>
        <v>69467230.224</v>
      </c>
      <c r="AQ32" s="16" t="n">
        <f aca="false">SUM(AQ24:AQ31)</f>
        <v>69467230.224</v>
      </c>
      <c r="AR32" s="16" t="n">
        <f aca="false">SUM(AR24:AR31)</f>
        <v>69467230.224</v>
      </c>
      <c r="AS32" s="16" t="n">
        <f aca="false">SUM(AS24:AS31)</f>
        <v>69467230.224</v>
      </c>
      <c r="AT32" s="16" t="n">
        <f aca="false">SUM(AT24:AT31)</f>
        <v>69467230.224</v>
      </c>
      <c r="AU32" s="16" t="n">
        <f aca="false">SUM(AU24:AU31)</f>
        <v>82533582.8415</v>
      </c>
      <c r="AV32" s="16" t="n">
        <f aca="false">SUM(AV24:AV31)</f>
        <v>82533582.8415</v>
      </c>
      <c r="AW32" s="16" t="n">
        <f aca="false">SUM(AW24:AW31)</f>
        <v>82533582.8415</v>
      </c>
      <c r="AX32" s="16" t="n">
        <f aca="false">SUM(AX24:AX31)</f>
        <v>82533582.8415</v>
      </c>
      <c r="AY32" s="16" t="n">
        <f aca="false">SUM(AY24:AY31)</f>
        <v>82533582.8415</v>
      </c>
      <c r="AZ32" s="16" t="n">
        <f aca="false">SUM(AZ24:AZ31)</f>
        <v>82533582.8415</v>
      </c>
      <c r="BA32" s="16" t="n">
        <f aca="false">SUM(BA24:BA31)</f>
        <v>93969875.747475</v>
      </c>
      <c r="BB32" s="16" t="n">
        <f aca="false">SUM(BB24:BB31)</f>
        <v>93969875.747475</v>
      </c>
      <c r="BC32" s="16" t="n">
        <f aca="false">SUM(BC24:BC31)</f>
        <v>93969875.747475</v>
      </c>
      <c r="BD32" s="16" t="n">
        <f aca="false">SUM(BD24:BD31)</f>
        <v>93969875.747475</v>
      </c>
      <c r="BE32" s="16" t="n">
        <f aca="false">SUM(BE24:BE31)</f>
        <v>93969875.747475</v>
      </c>
      <c r="BF32" s="16" t="n">
        <f aca="false">SUM(BF24:BF31)</f>
        <v>93969875.747475</v>
      </c>
      <c r="BG32" s="16" t="n">
        <f aca="false">SUM(BG24:BG31)</f>
        <v>93969875.747475</v>
      </c>
      <c r="BH32" s="16" t="n">
        <f aca="false">SUM(BH24:BH31)</f>
        <v>93969875.747475</v>
      </c>
      <c r="BI32" s="16" t="n">
        <f aca="false">SUM(BI24:BI31)</f>
        <v>93969875.747475</v>
      </c>
      <c r="BJ32" s="16" t="n">
        <f aca="false">SUM(BJ24:BJ31)</f>
        <v>93969875.747475</v>
      </c>
      <c r="BK32" s="16" t="n">
        <f aca="false">SUM(BK24:BK31)</f>
        <v>93969875.747475</v>
      </c>
      <c r="BL32" s="16" t="n">
        <f aca="false">SUM(BL24:BL31)</f>
        <v>93969875.747475</v>
      </c>
    </row>
    <row r="34" customFormat="false" ht="15" hidden="false" customHeight="false" outlineLevel="0" collapsed="false">
      <c r="A34" s="10" t="s">
        <v>360</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361</v>
      </c>
      <c r="B35" s="14" t="s">
        <v>63</v>
      </c>
      <c r="D35" s="41" t="n">
        <f aca="false">SUM(E35:BL35)</f>
        <v>2400000</v>
      </c>
      <c r="E35" s="33" t="n">
        <f aca="false">IF(E$3&lt;Office_Start,Coworking_Monthly,0)</f>
        <v>800000</v>
      </c>
      <c r="F35" s="33" t="n">
        <f aca="false">IF(F$3&lt;Office_Start,Coworking_Monthly,0)</f>
        <v>800000</v>
      </c>
      <c r="G35" s="33" t="n">
        <f aca="false">IF(G$3&lt;Office_Start,Coworking_Monthly,0)</f>
        <v>800000</v>
      </c>
      <c r="H35" s="33" t="n">
        <f aca="false">IF(H$3&lt;Office_Start,Coworking_Monthly,0)</f>
        <v>0</v>
      </c>
      <c r="I35" s="33" t="n">
        <f aca="false">IF(I$3&lt;Office_Start,Coworking_Monthly,0)</f>
        <v>0</v>
      </c>
      <c r="J35" s="33" t="n">
        <f aca="false">IF(J$3&lt;Office_Start,Coworking_Monthly,0)</f>
        <v>0</v>
      </c>
      <c r="K35" s="33" t="n">
        <f aca="false">IF(K$3&lt;Office_Start,Coworking_Monthly,0)</f>
        <v>0</v>
      </c>
      <c r="L35" s="33" t="n">
        <f aca="false">IF(L$3&lt;Office_Start,Coworking_Monthly,0)</f>
        <v>0</v>
      </c>
      <c r="M35" s="33" t="n">
        <f aca="false">IF(M$3&lt;Office_Start,Coworking_Monthly,0)</f>
        <v>0</v>
      </c>
      <c r="N35" s="33" t="n">
        <f aca="false">IF(N$3&lt;Office_Start,Coworking_Monthly,0)</f>
        <v>0</v>
      </c>
      <c r="O35" s="33" t="n">
        <f aca="false">IF(O$3&lt;Office_Start,Coworking_Monthly,0)</f>
        <v>0</v>
      </c>
      <c r="P35" s="33" t="n">
        <f aca="false">IF(P$3&lt;Office_Start,Coworking_Monthly,0)</f>
        <v>0</v>
      </c>
      <c r="Q35" s="33" t="n">
        <f aca="false">IF(Q$3&lt;Office_Start,Coworking_Monthly,0)</f>
        <v>0</v>
      </c>
      <c r="R35" s="33" t="n">
        <f aca="false">IF(R$3&lt;Office_Start,Coworking_Monthly,0)</f>
        <v>0</v>
      </c>
      <c r="S35" s="33" t="n">
        <f aca="false">IF(S$3&lt;Office_Start,Coworking_Monthly,0)</f>
        <v>0</v>
      </c>
      <c r="T35" s="33" t="n">
        <f aca="false">IF(T$3&lt;Office_Start,Coworking_Monthly,0)</f>
        <v>0</v>
      </c>
      <c r="U35" s="33" t="n">
        <f aca="false">IF(U$3&lt;Office_Start,Coworking_Monthly,0)</f>
        <v>0</v>
      </c>
      <c r="V35" s="33" t="n">
        <f aca="false">IF(V$3&lt;Office_Start,Coworking_Monthly,0)</f>
        <v>0</v>
      </c>
      <c r="W35" s="33" t="n">
        <f aca="false">IF(W$3&lt;Office_Start,Coworking_Monthly,0)</f>
        <v>0</v>
      </c>
      <c r="X35" s="33" t="n">
        <f aca="false">IF(X$3&lt;Office_Start,Coworking_Monthly,0)</f>
        <v>0</v>
      </c>
      <c r="Y35" s="33" t="n">
        <f aca="false">IF(Y$3&lt;Office_Start,Coworking_Monthly,0)</f>
        <v>0</v>
      </c>
      <c r="Z35" s="33" t="n">
        <f aca="false">IF(Z$3&lt;Office_Start,Coworking_Monthly,0)</f>
        <v>0</v>
      </c>
      <c r="AA35" s="33" t="n">
        <f aca="false">IF(AA$3&lt;Office_Start,Coworking_Monthly,0)</f>
        <v>0</v>
      </c>
      <c r="AB35" s="33" t="n">
        <f aca="false">IF(AB$3&lt;Office_Start,Coworking_Monthly,0)</f>
        <v>0</v>
      </c>
      <c r="AC35" s="33" t="n">
        <f aca="false">IF(AC$3&lt;Office_Start,Coworking_Monthly,0)</f>
        <v>0</v>
      </c>
      <c r="AD35" s="33" t="n">
        <f aca="false">IF(AD$3&lt;Office_Start,Coworking_Monthly,0)</f>
        <v>0</v>
      </c>
      <c r="AE35" s="33" t="n">
        <f aca="false">IF(AE$3&lt;Office_Start,Coworking_Monthly,0)</f>
        <v>0</v>
      </c>
      <c r="AF35" s="33" t="n">
        <f aca="false">IF(AF$3&lt;Office_Start,Coworking_Monthly,0)</f>
        <v>0</v>
      </c>
      <c r="AG35" s="33" t="n">
        <f aca="false">IF(AG$3&lt;Office_Start,Coworking_Monthly,0)</f>
        <v>0</v>
      </c>
      <c r="AH35" s="33" t="n">
        <f aca="false">IF(AH$3&lt;Office_Start,Coworking_Monthly,0)</f>
        <v>0</v>
      </c>
      <c r="AI35" s="33" t="n">
        <f aca="false">IF(AI$3&lt;Office_Start,Coworking_Monthly,0)</f>
        <v>0</v>
      </c>
      <c r="AJ35" s="33" t="n">
        <f aca="false">IF(AJ$3&lt;Office_Start,Coworking_Monthly,0)</f>
        <v>0</v>
      </c>
      <c r="AK35" s="33" t="n">
        <f aca="false">IF(AK$3&lt;Office_Start,Coworking_Monthly,0)</f>
        <v>0</v>
      </c>
      <c r="AL35" s="33" t="n">
        <f aca="false">IF(AL$3&lt;Office_Start,Coworking_Monthly,0)</f>
        <v>0</v>
      </c>
      <c r="AM35" s="33" t="n">
        <f aca="false">IF(AM$3&lt;Office_Start,Coworking_Monthly,0)</f>
        <v>0</v>
      </c>
      <c r="AN35" s="33" t="n">
        <f aca="false">IF(AN$3&lt;Office_Start,Coworking_Monthly,0)</f>
        <v>0</v>
      </c>
      <c r="AO35" s="33" t="n">
        <f aca="false">IF(AO$3&lt;Office_Start,Coworking_Monthly,0)</f>
        <v>0</v>
      </c>
      <c r="AP35" s="33" t="n">
        <f aca="false">IF(AP$3&lt;Office_Start,Coworking_Monthly,0)</f>
        <v>0</v>
      </c>
      <c r="AQ35" s="33" t="n">
        <f aca="false">IF(AQ$3&lt;Office_Start,Coworking_Monthly,0)</f>
        <v>0</v>
      </c>
      <c r="AR35" s="33" t="n">
        <f aca="false">IF(AR$3&lt;Office_Start,Coworking_Monthly,0)</f>
        <v>0</v>
      </c>
      <c r="AS35" s="33" t="n">
        <f aca="false">IF(AS$3&lt;Office_Start,Coworking_Monthly,0)</f>
        <v>0</v>
      </c>
      <c r="AT35" s="33" t="n">
        <f aca="false">IF(AT$3&lt;Office_Start,Coworking_Monthly,0)</f>
        <v>0</v>
      </c>
      <c r="AU35" s="33" t="n">
        <f aca="false">IF(AU$3&lt;Office_Start,Coworking_Monthly,0)</f>
        <v>0</v>
      </c>
      <c r="AV35" s="33" t="n">
        <f aca="false">IF(AV$3&lt;Office_Start,Coworking_Monthly,0)</f>
        <v>0</v>
      </c>
      <c r="AW35" s="33" t="n">
        <f aca="false">IF(AW$3&lt;Office_Start,Coworking_Monthly,0)</f>
        <v>0</v>
      </c>
      <c r="AX35" s="33" t="n">
        <f aca="false">IF(AX$3&lt;Office_Start,Coworking_Monthly,0)</f>
        <v>0</v>
      </c>
      <c r="AY35" s="33" t="n">
        <f aca="false">IF(AY$3&lt;Office_Start,Coworking_Monthly,0)</f>
        <v>0</v>
      </c>
      <c r="AZ35" s="33" t="n">
        <f aca="false">IF(AZ$3&lt;Office_Start,Coworking_Monthly,0)</f>
        <v>0</v>
      </c>
      <c r="BA35" s="33" t="n">
        <f aca="false">IF(BA$3&lt;Office_Start,Coworking_Monthly,0)</f>
        <v>0</v>
      </c>
      <c r="BB35" s="33" t="n">
        <f aca="false">IF(BB$3&lt;Office_Start,Coworking_Monthly,0)</f>
        <v>0</v>
      </c>
      <c r="BC35" s="33" t="n">
        <f aca="false">IF(BC$3&lt;Office_Start,Coworking_Monthly,0)</f>
        <v>0</v>
      </c>
      <c r="BD35" s="33" t="n">
        <f aca="false">IF(BD$3&lt;Office_Start,Coworking_Monthly,0)</f>
        <v>0</v>
      </c>
      <c r="BE35" s="33" t="n">
        <f aca="false">IF(BE$3&lt;Office_Start,Coworking_Monthly,0)</f>
        <v>0</v>
      </c>
      <c r="BF35" s="33" t="n">
        <f aca="false">IF(BF$3&lt;Office_Start,Coworking_Monthly,0)</f>
        <v>0</v>
      </c>
      <c r="BG35" s="33" t="n">
        <f aca="false">IF(BG$3&lt;Office_Start,Coworking_Monthly,0)</f>
        <v>0</v>
      </c>
      <c r="BH35" s="33" t="n">
        <f aca="false">IF(BH$3&lt;Office_Start,Coworking_Monthly,0)</f>
        <v>0</v>
      </c>
      <c r="BI35" s="33" t="n">
        <f aca="false">IF(BI$3&lt;Office_Start,Coworking_Monthly,0)</f>
        <v>0</v>
      </c>
      <c r="BJ35" s="33" t="n">
        <f aca="false">IF(BJ$3&lt;Office_Start,Coworking_Monthly,0)</f>
        <v>0</v>
      </c>
      <c r="BK35" s="33" t="n">
        <f aca="false">IF(BK$3&lt;Office_Start,Coworking_Monthly,0)</f>
        <v>0</v>
      </c>
      <c r="BL35" s="33" t="n">
        <f aca="false">IF(BL$3&lt;Office_Start,Coworking_Monthly,0)</f>
        <v>0</v>
      </c>
    </row>
    <row r="36" customFormat="false" ht="15" hidden="false" customHeight="false" outlineLevel="0" collapsed="false">
      <c r="A36" s="12" t="s">
        <v>646</v>
      </c>
      <c r="B36" s="14" t="s">
        <v>63</v>
      </c>
      <c r="D36" s="41" t="n">
        <f aca="false">SUM(E36:BL36)</f>
        <v>233175000</v>
      </c>
      <c r="E36" s="33" t="n">
        <f aca="false">IF(E$3&gt;=Office_Start,INDEX(Office_m2,1,E$5)*INDEX(Office_Price_Arr,1,E$5),0)</f>
        <v>0</v>
      </c>
      <c r="F36" s="33" t="n">
        <f aca="false">IF(F$3&gt;=Office_Start,INDEX(Office_m2,1,F$5)*INDEX(Office_Price_Arr,1,F$5),0)</f>
        <v>0</v>
      </c>
      <c r="G36" s="33" t="n">
        <f aca="false">IF(G$3&gt;=Office_Start,INDEX(Office_m2,1,G$5)*INDEX(Office_Price_Arr,1,G$5),0)</f>
        <v>0</v>
      </c>
      <c r="H36" s="33" t="n">
        <f aca="false">IF(H$3&gt;=Office_Start,INDEX(Office_m2,1,H$5)*INDEX(Office_Price_Arr,1,H$5),0)</f>
        <v>1575000</v>
      </c>
      <c r="I36" s="33" t="n">
        <f aca="false">IF(I$3&gt;=Office_Start,INDEX(Office_m2,1,I$5)*INDEX(Office_Price_Arr,1,I$5),0)</f>
        <v>1575000</v>
      </c>
      <c r="J36" s="33" t="n">
        <f aca="false">IF(J$3&gt;=Office_Start,INDEX(Office_m2,1,J$5)*INDEX(Office_Price_Arr,1,J$5),0)</f>
        <v>1575000</v>
      </c>
      <c r="K36" s="33" t="n">
        <f aca="false">IF(K$3&gt;=Office_Start,INDEX(Office_m2,1,K$5)*INDEX(Office_Price_Arr,1,K$5),0)</f>
        <v>1575000</v>
      </c>
      <c r="L36" s="33" t="n">
        <f aca="false">IF(L$3&gt;=Office_Start,INDEX(Office_m2,1,L$5)*INDEX(Office_Price_Arr,1,L$5),0)</f>
        <v>1575000</v>
      </c>
      <c r="M36" s="33" t="n">
        <f aca="false">IF(M$3&gt;=Office_Start,INDEX(Office_m2,1,M$5)*INDEX(Office_Price_Arr,1,M$5),0)</f>
        <v>1575000</v>
      </c>
      <c r="N36" s="33" t="n">
        <f aca="false">IF(N$3&gt;=Office_Start,INDEX(Office_m2,1,N$5)*INDEX(Office_Price_Arr,1,N$5),0)</f>
        <v>1575000</v>
      </c>
      <c r="O36" s="33" t="n">
        <f aca="false">IF(O$3&gt;=Office_Start,INDEX(Office_m2,1,O$5)*INDEX(Office_Price_Arr,1,O$5),0)</f>
        <v>1575000</v>
      </c>
      <c r="P36" s="33" t="n">
        <f aca="false">IF(P$3&gt;=Office_Start,INDEX(Office_m2,1,P$5)*INDEX(Office_Price_Arr,1,P$5),0)</f>
        <v>1575000</v>
      </c>
      <c r="Q36" s="33" t="n">
        <f aca="false">IF(Q$3&gt;=Office_Start,INDEX(Office_m2,1,Q$5)*INDEX(Office_Price_Arr,1,Q$5),0)</f>
        <v>2625000</v>
      </c>
      <c r="R36" s="33" t="n">
        <f aca="false">IF(R$3&gt;=Office_Start,INDEX(Office_m2,1,R$5)*INDEX(Office_Price_Arr,1,R$5),0)</f>
        <v>2625000</v>
      </c>
      <c r="S36" s="33" t="n">
        <f aca="false">IF(S$3&gt;=Office_Start,INDEX(Office_m2,1,S$5)*INDEX(Office_Price_Arr,1,S$5),0)</f>
        <v>2625000</v>
      </c>
      <c r="T36" s="33" t="n">
        <f aca="false">IF(T$3&gt;=Office_Start,INDEX(Office_m2,1,T$5)*INDEX(Office_Price_Arr,1,T$5),0)</f>
        <v>2625000</v>
      </c>
      <c r="U36" s="33" t="n">
        <f aca="false">IF(U$3&gt;=Office_Start,INDEX(Office_m2,1,U$5)*INDEX(Office_Price_Arr,1,U$5),0)</f>
        <v>2625000</v>
      </c>
      <c r="V36" s="33" t="n">
        <f aca="false">IF(V$3&gt;=Office_Start,INDEX(Office_m2,1,V$5)*INDEX(Office_Price_Arr,1,V$5),0)</f>
        <v>2625000</v>
      </c>
      <c r="W36" s="33" t="n">
        <f aca="false">IF(W$3&gt;=Office_Start,INDEX(Office_m2,1,W$5)*INDEX(Office_Price_Arr,1,W$5),0)</f>
        <v>2625000</v>
      </c>
      <c r="X36" s="33" t="n">
        <f aca="false">IF(X$3&gt;=Office_Start,INDEX(Office_m2,1,X$5)*INDEX(Office_Price_Arr,1,X$5),0)</f>
        <v>2625000</v>
      </c>
      <c r="Y36" s="33" t="n">
        <f aca="false">IF(Y$3&gt;=Office_Start,INDEX(Office_m2,1,Y$5)*INDEX(Office_Price_Arr,1,Y$5),0)</f>
        <v>2625000</v>
      </c>
      <c r="Z36" s="33" t="n">
        <f aca="false">IF(Z$3&gt;=Office_Start,INDEX(Office_m2,1,Z$5)*INDEX(Office_Price_Arr,1,Z$5),0)</f>
        <v>2625000</v>
      </c>
      <c r="AA36" s="33" t="n">
        <f aca="false">IF(AA$3&gt;=Office_Start,INDEX(Office_m2,1,AA$5)*INDEX(Office_Price_Arr,1,AA$5),0)</f>
        <v>2625000</v>
      </c>
      <c r="AB36" s="33" t="n">
        <f aca="false">IF(AB$3&gt;=Office_Start,INDEX(Office_m2,1,AB$5)*INDEX(Office_Price_Arr,1,AB$5),0)</f>
        <v>2625000</v>
      </c>
      <c r="AC36" s="33" t="n">
        <f aca="false">IF(AC$3&gt;=Office_Start,INDEX(Office_m2,1,AC$5)*INDEX(Office_Price_Arr,1,AC$5),0)</f>
        <v>3850000</v>
      </c>
      <c r="AD36" s="33" t="n">
        <f aca="false">IF(AD$3&gt;=Office_Start,INDEX(Office_m2,1,AD$5)*INDEX(Office_Price_Arr,1,AD$5),0)</f>
        <v>3850000</v>
      </c>
      <c r="AE36" s="33" t="n">
        <f aca="false">IF(AE$3&gt;=Office_Start,INDEX(Office_m2,1,AE$5)*INDEX(Office_Price_Arr,1,AE$5),0)</f>
        <v>3850000</v>
      </c>
      <c r="AF36" s="33" t="n">
        <f aca="false">IF(AF$3&gt;=Office_Start,INDEX(Office_m2,1,AF$5)*INDEX(Office_Price_Arr,1,AF$5),0)</f>
        <v>3850000</v>
      </c>
      <c r="AG36" s="33" t="n">
        <f aca="false">IF(AG$3&gt;=Office_Start,INDEX(Office_m2,1,AG$5)*INDEX(Office_Price_Arr,1,AG$5),0)</f>
        <v>3850000</v>
      </c>
      <c r="AH36" s="33" t="n">
        <f aca="false">IF(AH$3&gt;=Office_Start,INDEX(Office_m2,1,AH$5)*INDEX(Office_Price_Arr,1,AH$5),0)</f>
        <v>3850000</v>
      </c>
      <c r="AI36" s="33" t="n">
        <f aca="false">IF(AI$3&gt;=Office_Start,INDEX(Office_m2,1,AI$5)*INDEX(Office_Price_Arr,1,AI$5),0)</f>
        <v>3850000</v>
      </c>
      <c r="AJ36" s="33" t="n">
        <f aca="false">IF(AJ$3&gt;=Office_Start,INDEX(Office_m2,1,AJ$5)*INDEX(Office_Price_Arr,1,AJ$5),0)</f>
        <v>3850000</v>
      </c>
      <c r="AK36" s="33" t="n">
        <f aca="false">IF(AK$3&gt;=Office_Start,INDEX(Office_m2,1,AK$5)*INDEX(Office_Price_Arr,1,AK$5),0)</f>
        <v>3850000</v>
      </c>
      <c r="AL36" s="33" t="n">
        <f aca="false">IF(AL$3&gt;=Office_Start,INDEX(Office_m2,1,AL$5)*INDEX(Office_Price_Arr,1,AL$5),0)</f>
        <v>3850000</v>
      </c>
      <c r="AM36" s="33" t="n">
        <f aca="false">IF(AM$3&gt;=Office_Start,INDEX(Office_m2,1,AM$5)*INDEX(Office_Price_Arr,1,AM$5),0)</f>
        <v>3850000</v>
      </c>
      <c r="AN36" s="33" t="n">
        <f aca="false">IF(AN$3&gt;=Office_Start,INDEX(Office_m2,1,AN$5)*INDEX(Office_Price_Arr,1,AN$5),0)</f>
        <v>3850000</v>
      </c>
      <c r="AO36" s="33" t="n">
        <f aca="false">IF(AO$3&gt;=Office_Start,INDEX(Office_m2,1,AO$5)*INDEX(Office_Price_Arr,1,AO$5),0)</f>
        <v>5175000</v>
      </c>
      <c r="AP36" s="33" t="n">
        <f aca="false">IF(AP$3&gt;=Office_Start,INDEX(Office_m2,1,AP$5)*INDEX(Office_Price_Arr,1,AP$5),0)</f>
        <v>5175000</v>
      </c>
      <c r="AQ36" s="33" t="n">
        <f aca="false">IF(AQ$3&gt;=Office_Start,INDEX(Office_m2,1,AQ$5)*INDEX(Office_Price_Arr,1,AQ$5),0)</f>
        <v>5175000</v>
      </c>
      <c r="AR36" s="33" t="n">
        <f aca="false">IF(AR$3&gt;=Office_Start,INDEX(Office_m2,1,AR$5)*INDEX(Office_Price_Arr,1,AR$5),0)</f>
        <v>5175000</v>
      </c>
      <c r="AS36" s="33" t="n">
        <f aca="false">IF(AS$3&gt;=Office_Start,INDEX(Office_m2,1,AS$5)*INDEX(Office_Price_Arr,1,AS$5),0)</f>
        <v>5175000</v>
      </c>
      <c r="AT36" s="33" t="n">
        <f aca="false">IF(AT$3&gt;=Office_Start,INDEX(Office_m2,1,AT$5)*INDEX(Office_Price_Arr,1,AT$5),0)</f>
        <v>5175000</v>
      </c>
      <c r="AU36" s="33" t="n">
        <f aca="false">IF(AU$3&gt;=Office_Start,INDEX(Office_m2,1,AU$5)*INDEX(Office_Price_Arr,1,AU$5),0)</f>
        <v>5175000</v>
      </c>
      <c r="AV36" s="33" t="n">
        <f aca="false">IF(AV$3&gt;=Office_Start,INDEX(Office_m2,1,AV$5)*INDEX(Office_Price_Arr,1,AV$5),0)</f>
        <v>5175000</v>
      </c>
      <c r="AW36" s="33" t="n">
        <f aca="false">IF(AW$3&gt;=Office_Start,INDEX(Office_m2,1,AW$5)*INDEX(Office_Price_Arr,1,AW$5),0)</f>
        <v>5175000</v>
      </c>
      <c r="AX36" s="33" t="n">
        <f aca="false">IF(AX$3&gt;=Office_Start,INDEX(Office_m2,1,AX$5)*INDEX(Office_Price_Arr,1,AX$5),0)</f>
        <v>5175000</v>
      </c>
      <c r="AY36" s="33" t="n">
        <f aca="false">IF(AY$3&gt;=Office_Start,INDEX(Office_m2,1,AY$5)*INDEX(Office_Price_Arr,1,AY$5),0)</f>
        <v>5175000</v>
      </c>
      <c r="AZ36" s="33" t="n">
        <f aca="false">IF(AZ$3&gt;=Office_Start,INDEX(Office_m2,1,AZ$5)*INDEX(Office_Price_Arr,1,AZ$5),0)</f>
        <v>5175000</v>
      </c>
      <c r="BA36" s="33" t="n">
        <f aca="false">IF(BA$3&gt;=Office_Start,INDEX(Office_m2,1,BA$5)*INDEX(Office_Price_Arr,1,BA$5),0)</f>
        <v>6600000</v>
      </c>
      <c r="BB36" s="33" t="n">
        <f aca="false">IF(BB$3&gt;=Office_Start,INDEX(Office_m2,1,BB$5)*INDEX(Office_Price_Arr,1,BB$5),0)</f>
        <v>6600000</v>
      </c>
      <c r="BC36" s="33" t="n">
        <f aca="false">IF(BC$3&gt;=Office_Start,INDEX(Office_m2,1,BC$5)*INDEX(Office_Price_Arr,1,BC$5),0)</f>
        <v>6600000</v>
      </c>
      <c r="BD36" s="33" t="n">
        <f aca="false">IF(BD$3&gt;=Office_Start,INDEX(Office_m2,1,BD$5)*INDEX(Office_Price_Arr,1,BD$5),0)</f>
        <v>6600000</v>
      </c>
      <c r="BE36" s="33" t="n">
        <f aca="false">IF(BE$3&gt;=Office_Start,INDEX(Office_m2,1,BE$5)*INDEX(Office_Price_Arr,1,BE$5),0)</f>
        <v>6600000</v>
      </c>
      <c r="BF36" s="33" t="n">
        <f aca="false">IF(BF$3&gt;=Office_Start,INDEX(Office_m2,1,BF$5)*INDEX(Office_Price_Arr,1,BF$5),0)</f>
        <v>6600000</v>
      </c>
      <c r="BG36" s="33" t="n">
        <f aca="false">IF(BG$3&gt;=Office_Start,INDEX(Office_m2,1,BG$5)*INDEX(Office_Price_Arr,1,BG$5),0)</f>
        <v>6600000</v>
      </c>
      <c r="BH36" s="33" t="n">
        <f aca="false">IF(BH$3&gt;=Office_Start,INDEX(Office_m2,1,BH$5)*INDEX(Office_Price_Arr,1,BH$5),0)</f>
        <v>6600000</v>
      </c>
      <c r="BI36" s="33" t="n">
        <f aca="false">IF(BI$3&gt;=Office_Start,INDEX(Office_m2,1,BI$5)*INDEX(Office_Price_Arr,1,BI$5),0)</f>
        <v>6600000</v>
      </c>
      <c r="BJ36" s="33" t="n">
        <f aca="false">IF(BJ$3&gt;=Office_Start,INDEX(Office_m2,1,BJ$5)*INDEX(Office_Price_Arr,1,BJ$5),0)</f>
        <v>6600000</v>
      </c>
      <c r="BK36" s="33" t="n">
        <f aca="false">IF(BK$3&gt;=Office_Start,INDEX(Office_m2,1,BK$5)*INDEX(Office_Price_Arr,1,BK$5),0)</f>
        <v>6600000</v>
      </c>
      <c r="BL36" s="33" t="n">
        <f aca="false">IF(BL$3&gt;=Office_Start,INDEX(Office_m2,1,BL$5)*INDEX(Office_Price_Arr,1,BL$5),0)</f>
        <v>6600000</v>
      </c>
    </row>
    <row r="37" customFormat="false" ht="15" hidden="false" customHeight="false" outlineLevel="0" collapsed="false">
      <c r="A37" s="12" t="s">
        <v>647</v>
      </c>
      <c r="B37" s="14" t="s">
        <v>63</v>
      </c>
      <c r="D37" s="41" t="n">
        <f aca="false">SUM(E37:BL37)</f>
        <v>35100000</v>
      </c>
      <c r="E37" s="33" t="n">
        <f aca="false">IF(E$3&gt;=Office_Start,INDEX(Electricity,1,E$5),0)</f>
        <v>0</v>
      </c>
      <c r="F37" s="33" t="n">
        <f aca="false">IF(F$3&gt;=Office_Start,INDEX(Electricity,1,F$5),0)</f>
        <v>0</v>
      </c>
      <c r="G37" s="33" t="n">
        <f aca="false">IF(G$3&gt;=Office_Start,INDEX(Electricity,1,G$5),0)</f>
        <v>0</v>
      </c>
      <c r="H37" s="33" t="n">
        <f aca="false">IF(H$3&gt;=Office_Start,INDEX(Electricity,1,H$5),0)</f>
        <v>300000</v>
      </c>
      <c r="I37" s="33" t="n">
        <f aca="false">IF(I$3&gt;=Office_Start,INDEX(Electricity,1,I$5),0)</f>
        <v>300000</v>
      </c>
      <c r="J37" s="33" t="n">
        <f aca="false">IF(J$3&gt;=Office_Start,INDEX(Electricity,1,J$5),0)</f>
        <v>300000</v>
      </c>
      <c r="K37" s="33" t="n">
        <f aca="false">IF(K$3&gt;=Office_Start,INDEX(Electricity,1,K$5),0)</f>
        <v>300000</v>
      </c>
      <c r="L37" s="33" t="n">
        <f aca="false">IF(L$3&gt;=Office_Start,INDEX(Electricity,1,L$5),0)</f>
        <v>300000</v>
      </c>
      <c r="M37" s="33" t="n">
        <f aca="false">IF(M$3&gt;=Office_Start,INDEX(Electricity,1,M$5),0)</f>
        <v>300000</v>
      </c>
      <c r="N37" s="33" t="n">
        <f aca="false">IF(N$3&gt;=Office_Start,INDEX(Electricity,1,N$5),0)</f>
        <v>300000</v>
      </c>
      <c r="O37" s="33" t="n">
        <f aca="false">IF(O$3&gt;=Office_Start,INDEX(Electricity,1,O$5),0)</f>
        <v>300000</v>
      </c>
      <c r="P37" s="33" t="n">
        <f aca="false">IF(P$3&gt;=Office_Start,INDEX(Electricity,1,P$5),0)</f>
        <v>300000</v>
      </c>
      <c r="Q37" s="33" t="n">
        <f aca="false">IF(Q$3&gt;=Office_Start,INDEX(Electricity,1,Q$5),0)</f>
        <v>450000</v>
      </c>
      <c r="R37" s="33" t="n">
        <f aca="false">IF(R$3&gt;=Office_Start,INDEX(Electricity,1,R$5),0)</f>
        <v>450000</v>
      </c>
      <c r="S37" s="33" t="n">
        <f aca="false">IF(S$3&gt;=Office_Start,INDEX(Electricity,1,S$5),0)</f>
        <v>450000</v>
      </c>
      <c r="T37" s="33" t="n">
        <f aca="false">IF(T$3&gt;=Office_Start,INDEX(Electricity,1,T$5),0)</f>
        <v>450000</v>
      </c>
      <c r="U37" s="33" t="n">
        <f aca="false">IF(U$3&gt;=Office_Start,INDEX(Electricity,1,U$5),0)</f>
        <v>450000</v>
      </c>
      <c r="V37" s="33" t="n">
        <f aca="false">IF(V$3&gt;=Office_Start,INDEX(Electricity,1,V$5),0)</f>
        <v>450000</v>
      </c>
      <c r="W37" s="33" t="n">
        <f aca="false">IF(W$3&gt;=Office_Start,INDEX(Electricity,1,W$5),0)</f>
        <v>450000</v>
      </c>
      <c r="X37" s="33" t="n">
        <f aca="false">IF(X$3&gt;=Office_Start,INDEX(Electricity,1,X$5),0)</f>
        <v>450000</v>
      </c>
      <c r="Y37" s="33" t="n">
        <f aca="false">IF(Y$3&gt;=Office_Start,INDEX(Electricity,1,Y$5),0)</f>
        <v>450000</v>
      </c>
      <c r="Z37" s="33" t="n">
        <f aca="false">IF(Z$3&gt;=Office_Start,INDEX(Electricity,1,Z$5),0)</f>
        <v>450000</v>
      </c>
      <c r="AA37" s="33" t="n">
        <f aca="false">IF(AA$3&gt;=Office_Start,INDEX(Electricity,1,AA$5),0)</f>
        <v>450000</v>
      </c>
      <c r="AB37" s="33" t="n">
        <f aca="false">IF(AB$3&gt;=Office_Start,INDEX(Electricity,1,AB$5),0)</f>
        <v>450000</v>
      </c>
      <c r="AC37" s="33" t="n">
        <f aca="false">IF(AC$3&gt;=Office_Start,INDEX(Electricity,1,AC$5),0)</f>
        <v>600000</v>
      </c>
      <c r="AD37" s="33" t="n">
        <f aca="false">IF(AD$3&gt;=Office_Start,INDEX(Electricity,1,AD$5),0)</f>
        <v>600000</v>
      </c>
      <c r="AE37" s="33" t="n">
        <f aca="false">IF(AE$3&gt;=Office_Start,INDEX(Electricity,1,AE$5),0)</f>
        <v>600000</v>
      </c>
      <c r="AF37" s="33" t="n">
        <f aca="false">IF(AF$3&gt;=Office_Start,INDEX(Electricity,1,AF$5),0)</f>
        <v>600000</v>
      </c>
      <c r="AG37" s="33" t="n">
        <f aca="false">IF(AG$3&gt;=Office_Start,INDEX(Electricity,1,AG$5),0)</f>
        <v>600000</v>
      </c>
      <c r="AH37" s="33" t="n">
        <f aca="false">IF(AH$3&gt;=Office_Start,INDEX(Electricity,1,AH$5),0)</f>
        <v>600000</v>
      </c>
      <c r="AI37" s="33" t="n">
        <f aca="false">IF(AI$3&gt;=Office_Start,INDEX(Electricity,1,AI$5),0)</f>
        <v>600000</v>
      </c>
      <c r="AJ37" s="33" t="n">
        <f aca="false">IF(AJ$3&gt;=Office_Start,INDEX(Electricity,1,AJ$5),0)</f>
        <v>600000</v>
      </c>
      <c r="AK37" s="33" t="n">
        <f aca="false">IF(AK$3&gt;=Office_Start,INDEX(Electricity,1,AK$5),0)</f>
        <v>600000</v>
      </c>
      <c r="AL37" s="33" t="n">
        <f aca="false">IF(AL$3&gt;=Office_Start,INDEX(Electricity,1,AL$5),0)</f>
        <v>600000</v>
      </c>
      <c r="AM37" s="33" t="n">
        <f aca="false">IF(AM$3&gt;=Office_Start,INDEX(Electricity,1,AM$5),0)</f>
        <v>600000</v>
      </c>
      <c r="AN37" s="33" t="n">
        <f aca="false">IF(AN$3&gt;=Office_Start,INDEX(Electricity,1,AN$5),0)</f>
        <v>600000</v>
      </c>
      <c r="AO37" s="33" t="n">
        <f aca="false">IF(AO$3&gt;=Office_Start,INDEX(Electricity,1,AO$5),0)</f>
        <v>750000</v>
      </c>
      <c r="AP37" s="33" t="n">
        <f aca="false">IF(AP$3&gt;=Office_Start,INDEX(Electricity,1,AP$5),0)</f>
        <v>750000</v>
      </c>
      <c r="AQ37" s="33" t="n">
        <f aca="false">IF(AQ$3&gt;=Office_Start,INDEX(Electricity,1,AQ$5),0)</f>
        <v>750000</v>
      </c>
      <c r="AR37" s="33" t="n">
        <f aca="false">IF(AR$3&gt;=Office_Start,INDEX(Electricity,1,AR$5),0)</f>
        <v>750000</v>
      </c>
      <c r="AS37" s="33" t="n">
        <f aca="false">IF(AS$3&gt;=Office_Start,INDEX(Electricity,1,AS$5),0)</f>
        <v>750000</v>
      </c>
      <c r="AT37" s="33" t="n">
        <f aca="false">IF(AT$3&gt;=Office_Start,INDEX(Electricity,1,AT$5),0)</f>
        <v>750000</v>
      </c>
      <c r="AU37" s="33" t="n">
        <f aca="false">IF(AU$3&gt;=Office_Start,INDEX(Electricity,1,AU$5),0)</f>
        <v>750000</v>
      </c>
      <c r="AV37" s="33" t="n">
        <f aca="false">IF(AV$3&gt;=Office_Start,INDEX(Electricity,1,AV$5),0)</f>
        <v>750000</v>
      </c>
      <c r="AW37" s="33" t="n">
        <f aca="false">IF(AW$3&gt;=Office_Start,INDEX(Electricity,1,AW$5),0)</f>
        <v>750000</v>
      </c>
      <c r="AX37" s="33" t="n">
        <f aca="false">IF(AX$3&gt;=Office_Start,INDEX(Electricity,1,AX$5),0)</f>
        <v>750000</v>
      </c>
      <c r="AY37" s="33" t="n">
        <f aca="false">IF(AY$3&gt;=Office_Start,INDEX(Electricity,1,AY$5),0)</f>
        <v>750000</v>
      </c>
      <c r="AZ37" s="33" t="n">
        <f aca="false">IF(AZ$3&gt;=Office_Start,INDEX(Electricity,1,AZ$5),0)</f>
        <v>750000</v>
      </c>
      <c r="BA37" s="33" t="n">
        <f aca="false">IF(BA$3&gt;=Office_Start,INDEX(Electricity,1,BA$5),0)</f>
        <v>900000</v>
      </c>
      <c r="BB37" s="33" t="n">
        <f aca="false">IF(BB$3&gt;=Office_Start,INDEX(Electricity,1,BB$5),0)</f>
        <v>900000</v>
      </c>
      <c r="BC37" s="33" t="n">
        <f aca="false">IF(BC$3&gt;=Office_Start,INDEX(Electricity,1,BC$5),0)</f>
        <v>900000</v>
      </c>
      <c r="BD37" s="33" t="n">
        <f aca="false">IF(BD$3&gt;=Office_Start,INDEX(Electricity,1,BD$5),0)</f>
        <v>900000</v>
      </c>
      <c r="BE37" s="33" t="n">
        <f aca="false">IF(BE$3&gt;=Office_Start,INDEX(Electricity,1,BE$5),0)</f>
        <v>900000</v>
      </c>
      <c r="BF37" s="33" t="n">
        <f aca="false">IF(BF$3&gt;=Office_Start,INDEX(Electricity,1,BF$5),0)</f>
        <v>900000</v>
      </c>
      <c r="BG37" s="33" t="n">
        <f aca="false">IF(BG$3&gt;=Office_Start,INDEX(Electricity,1,BG$5),0)</f>
        <v>900000</v>
      </c>
      <c r="BH37" s="33" t="n">
        <f aca="false">IF(BH$3&gt;=Office_Start,INDEX(Electricity,1,BH$5),0)</f>
        <v>900000</v>
      </c>
      <c r="BI37" s="33" t="n">
        <f aca="false">IF(BI$3&gt;=Office_Start,INDEX(Electricity,1,BI$5),0)</f>
        <v>900000</v>
      </c>
      <c r="BJ37" s="33" t="n">
        <f aca="false">IF(BJ$3&gt;=Office_Start,INDEX(Electricity,1,BJ$5),0)</f>
        <v>900000</v>
      </c>
      <c r="BK37" s="33" t="n">
        <f aca="false">IF(BK$3&gt;=Office_Start,INDEX(Electricity,1,BK$5),0)</f>
        <v>900000</v>
      </c>
      <c r="BL37" s="33" t="n">
        <f aca="false">IF(BL$3&gt;=Office_Start,INDEX(Electricity,1,BL$5),0)</f>
        <v>900000</v>
      </c>
    </row>
    <row r="38" customFormat="false" ht="15" hidden="false" customHeight="false" outlineLevel="0" collapsed="false">
      <c r="A38" s="12" t="s">
        <v>648</v>
      </c>
      <c r="B38" s="14" t="s">
        <v>63</v>
      </c>
      <c r="D38" s="41" t="n">
        <f aca="false">SUM(E38:BL38)</f>
        <v>34440000</v>
      </c>
      <c r="E38" s="33" t="n">
        <f aca="false">IF(E$3&gt;=Office_Start,INDEX(Internet,1,E$5),0)</f>
        <v>0</v>
      </c>
      <c r="F38" s="33" t="n">
        <f aca="false">IF(F$3&gt;=Office_Start,INDEX(Internet,1,F$5),0)</f>
        <v>0</v>
      </c>
      <c r="G38" s="33" t="n">
        <f aca="false">IF(G$3&gt;=Office_Start,INDEX(Internet,1,G$5),0)</f>
        <v>0</v>
      </c>
      <c r="H38" s="33" t="n">
        <f aca="false">IF(H$3&gt;=Office_Start,INDEX(Internet,1,H$5),0)</f>
        <v>440000</v>
      </c>
      <c r="I38" s="33" t="n">
        <f aca="false">IF(I$3&gt;=Office_Start,INDEX(Internet,1,I$5),0)</f>
        <v>440000</v>
      </c>
      <c r="J38" s="33" t="n">
        <f aca="false">IF(J$3&gt;=Office_Start,INDEX(Internet,1,J$5),0)</f>
        <v>440000</v>
      </c>
      <c r="K38" s="33" t="n">
        <f aca="false">IF(K$3&gt;=Office_Start,INDEX(Internet,1,K$5),0)</f>
        <v>440000</v>
      </c>
      <c r="L38" s="33" t="n">
        <f aca="false">IF(L$3&gt;=Office_Start,INDEX(Internet,1,L$5),0)</f>
        <v>440000</v>
      </c>
      <c r="M38" s="33" t="n">
        <f aca="false">IF(M$3&gt;=Office_Start,INDEX(Internet,1,M$5),0)</f>
        <v>440000</v>
      </c>
      <c r="N38" s="33" t="n">
        <f aca="false">IF(N$3&gt;=Office_Start,INDEX(Internet,1,N$5),0)</f>
        <v>440000</v>
      </c>
      <c r="O38" s="33" t="n">
        <f aca="false">IF(O$3&gt;=Office_Start,INDEX(Internet,1,O$5),0)</f>
        <v>440000</v>
      </c>
      <c r="P38" s="33" t="n">
        <f aca="false">IF(P$3&gt;=Office_Start,INDEX(Internet,1,P$5),0)</f>
        <v>440000</v>
      </c>
      <c r="Q38" s="33" t="n">
        <f aca="false">IF(Q$3&gt;=Office_Start,INDEX(Internet,1,Q$5),0)</f>
        <v>440000</v>
      </c>
      <c r="R38" s="33" t="n">
        <f aca="false">IF(R$3&gt;=Office_Start,INDEX(Internet,1,R$5),0)</f>
        <v>440000</v>
      </c>
      <c r="S38" s="33" t="n">
        <f aca="false">IF(S$3&gt;=Office_Start,INDEX(Internet,1,S$5),0)</f>
        <v>440000</v>
      </c>
      <c r="T38" s="33" t="n">
        <f aca="false">IF(T$3&gt;=Office_Start,INDEX(Internet,1,T$5),0)</f>
        <v>440000</v>
      </c>
      <c r="U38" s="33" t="n">
        <f aca="false">IF(U$3&gt;=Office_Start,INDEX(Internet,1,U$5),0)</f>
        <v>440000</v>
      </c>
      <c r="V38" s="33" t="n">
        <f aca="false">IF(V$3&gt;=Office_Start,INDEX(Internet,1,V$5),0)</f>
        <v>440000</v>
      </c>
      <c r="W38" s="33" t="n">
        <f aca="false">IF(W$3&gt;=Office_Start,INDEX(Internet,1,W$5),0)</f>
        <v>440000</v>
      </c>
      <c r="X38" s="33" t="n">
        <f aca="false">IF(X$3&gt;=Office_Start,INDEX(Internet,1,X$5),0)</f>
        <v>440000</v>
      </c>
      <c r="Y38" s="33" t="n">
        <f aca="false">IF(Y$3&gt;=Office_Start,INDEX(Internet,1,Y$5),0)</f>
        <v>440000</v>
      </c>
      <c r="Z38" s="33" t="n">
        <f aca="false">IF(Z$3&gt;=Office_Start,INDEX(Internet,1,Z$5),0)</f>
        <v>440000</v>
      </c>
      <c r="AA38" s="33" t="n">
        <f aca="false">IF(AA$3&gt;=Office_Start,INDEX(Internet,1,AA$5),0)</f>
        <v>440000</v>
      </c>
      <c r="AB38" s="33" t="n">
        <f aca="false">IF(AB$3&gt;=Office_Start,INDEX(Internet,1,AB$5),0)</f>
        <v>440000</v>
      </c>
      <c r="AC38" s="33" t="n">
        <f aca="false">IF(AC$3&gt;=Office_Start,INDEX(Internet,1,AC$5),0)</f>
        <v>600000</v>
      </c>
      <c r="AD38" s="33" t="n">
        <f aca="false">IF(AD$3&gt;=Office_Start,INDEX(Internet,1,AD$5),0)</f>
        <v>600000</v>
      </c>
      <c r="AE38" s="33" t="n">
        <f aca="false">IF(AE$3&gt;=Office_Start,INDEX(Internet,1,AE$5),0)</f>
        <v>600000</v>
      </c>
      <c r="AF38" s="33" t="n">
        <f aca="false">IF(AF$3&gt;=Office_Start,INDEX(Internet,1,AF$5),0)</f>
        <v>600000</v>
      </c>
      <c r="AG38" s="33" t="n">
        <f aca="false">IF(AG$3&gt;=Office_Start,INDEX(Internet,1,AG$5),0)</f>
        <v>600000</v>
      </c>
      <c r="AH38" s="33" t="n">
        <f aca="false">IF(AH$3&gt;=Office_Start,INDEX(Internet,1,AH$5),0)</f>
        <v>600000</v>
      </c>
      <c r="AI38" s="33" t="n">
        <f aca="false">IF(AI$3&gt;=Office_Start,INDEX(Internet,1,AI$5),0)</f>
        <v>600000</v>
      </c>
      <c r="AJ38" s="33" t="n">
        <f aca="false">IF(AJ$3&gt;=Office_Start,INDEX(Internet,1,AJ$5),0)</f>
        <v>600000</v>
      </c>
      <c r="AK38" s="33" t="n">
        <f aca="false">IF(AK$3&gt;=Office_Start,INDEX(Internet,1,AK$5),0)</f>
        <v>600000</v>
      </c>
      <c r="AL38" s="33" t="n">
        <f aca="false">IF(AL$3&gt;=Office_Start,INDEX(Internet,1,AL$5),0)</f>
        <v>600000</v>
      </c>
      <c r="AM38" s="33" t="n">
        <f aca="false">IF(AM$3&gt;=Office_Start,INDEX(Internet,1,AM$5),0)</f>
        <v>600000</v>
      </c>
      <c r="AN38" s="33" t="n">
        <f aca="false">IF(AN$3&gt;=Office_Start,INDEX(Internet,1,AN$5),0)</f>
        <v>600000</v>
      </c>
      <c r="AO38" s="33" t="n">
        <f aca="false">IF(AO$3&gt;=Office_Start,INDEX(Internet,1,AO$5),0)</f>
        <v>700000</v>
      </c>
      <c r="AP38" s="33" t="n">
        <f aca="false">IF(AP$3&gt;=Office_Start,INDEX(Internet,1,AP$5),0)</f>
        <v>700000</v>
      </c>
      <c r="AQ38" s="33" t="n">
        <f aca="false">IF(AQ$3&gt;=Office_Start,INDEX(Internet,1,AQ$5),0)</f>
        <v>700000</v>
      </c>
      <c r="AR38" s="33" t="n">
        <f aca="false">IF(AR$3&gt;=Office_Start,INDEX(Internet,1,AR$5),0)</f>
        <v>700000</v>
      </c>
      <c r="AS38" s="33" t="n">
        <f aca="false">IF(AS$3&gt;=Office_Start,INDEX(Internet,1,AS$5),0)</f>
        <v>700000</v>
      </c>
      <c r="AT38" s="33" t="n">
        <f aca="false">IF(AT$3&gt;=Office_Start,INDEX(Internet,1,AT$5),0)</f>
        <v>700000</v>
      </c>
      <c r="AU38" s="33" t="n">
        <f aca="false">IF(AU$3&gt;=Office_Start,INDEX(Internet,1,AU$5),0)</f>
        <v>700000</v>
      </c>
      <c r="AV38" s="33" t="n">
        <f aca="false">IF(AV$3&gt;=Office_Start,INDEX(Internet,1,AV$5),0)</f>
        <v>700000</v>
      </c>
      <c r="AW38" s="33" t="n">
        <f aca="false">IF(AW$3&gt;=Office_Start,INDEX(Internet,1,AW$5),0)</f>
        <v>700000</v>
      </c>
      <c r="AX38" s="33" t="n">
        <f aca="false">IF(AX$3&gt;=Office_Start,INDEX(Internet,1,AX$5),0)</f>
        <v>700000</v>
      </c>
      <c r="AY38" s="33" t="n">
        <f aca="false">IF(AY$3&gt;=Office_Start,INDEX(Internet,1,AY$5),0)</f>
        <v>700000</v>
      </c>
      <c r="AZ38" s="33" t="n">
        <f aca="false">IF(AZ$3&gt;=Office_Start,INDEX(Internet,1,AZ$5),0)</f>
        <v>700000</v>
      </c>
      <c r="BA38" s="33" t="n">
        <f aca="false">IF(BA$3&gt;=Office_Start,INDEX(Internet,1,BA$5),0)</f>
        <v>800000</v>
      </c>
      <c r="BB38" s="33" t="n">
        <f aca="false">IF(BB$3&gt;=Office_Start,INDEX(Internet,1,BB$5),0)</f>
        <v>800000</v>
      </c>
      <c r="BC38" s="33" t="n">
        <f aca="false">IF(BC$3&gt;=Office_Start,INDEX(Internet,1,BC$5),0)</f>
        <v>800000</v>
      </c>
      <c r="BD38" s="33" t="n">
        <f aca="false">IF(BD$3&gt;=Office_Start,INDEX(Internet,1,BD$5),0)</f>
        <v>800000</v>
      </c>
      <c r="BE38" s="33" t="n">
        <f aca="false">IF(BE$3&gt;=Office_Start,INDEX(Internet,1,BE$5),0)</f>
        <v>800000</v>
      </c>
      <c r="BF38" s="33" t="n">
        <f aca="false">IF(BF$3&gt;=Office_Start,INDEX(Internet,1,BF$5),0)</f>
        <v>800000</v>
      </c>
      <c r="BG38" s="33" t="n">
        <f aca="false">IF(BG$3&gt;=Office_Start,INDEX(Internet,1,BG$5),0)</f>
        <v>800000</v>
      </c>
      <c r="BH38" s="33" t="n">
        <f aca="false">IF(BH$3&gt;=Office_Start,INDEX(Internet,1,BH$5),0)</f>
        <v>800000</v>
      </c>
      <c r="BI38" s="33" t="n">
        <f aca="false">IF(BI$3&gt;=Office_Start,INDEX(Internet,1,BI$5),0)</f>
        <v>800000</v>
      </c>
      <c r="BJ38" s="33" t="n">
        <f aca="false">IF(BJ$3&gt;=Office_Start,INDEX(Internet,1,BJ$5),0)</f>
        <v>800000</v>
      </c>
      <c r="BK38" s="33" t="n">
        <f aca="false">IF(BK$3&gt;=Office_Start,INDEX(Internet,1,BK$5),0)</f>
        <v>800000</v>
      </c>
      <c r="BL38" s="33" t="n">
        <f aca="false">IF(BL$3&gt;=Office_Start,INDEX(Internet,1,BL$5),0)</f>
        <v>800000</v>
      </c>
    </row>
    <row r="39" customFormat="false" ht="15" hidden="false" customHeight="false" outlineLevel="0" collapsed="false">
      <c r="A39" s="12" t="s">
        <v>372</v>
      </c>
      <c r="B39" s="14" t="s">
        <v>63</v>
      </c>
      <c r="D39" s="41" t="n">
        <f aca="false">SUM(E39:BL39)</f>
        <v>26250000</v>
      </c>
      <c r="E39" s="33" t="n">
        <f aca="false">IF(E$3&gt;=Office_Start,INDEX(Cleaning,1,E$5),0)</f>
        <v>0</v>
      </c>
      <c r="F39" s="33" t="n">
        <f aca="false">IF(F$3&gt;=Office_Start,INDEX(Cleaning,1,F$5),0)</f>
        <v>0</v>
      </c>
      <c r="G39" s="33" t="n">
        <f aca="false">IF(G$3&gt;=Office_Start,INDEX(Cleaning,1,G$5),0)</f>
        <v>0</v>
      </c>
      <c r="H39" s="33" t="n">
        <f aca="false">IF(H$3&gt;=Office_Start,INDEX(Cleaning,1,H$5),0)</f>
        <v>250000</v>
      </c>
      <c r="I39" s="33" t="n">
        <f aca="false">IF(I$3&gt;=Office_Start,INDEX(Cleaning,1,I$5),0)</f>
        <v>250000</v>
      </c>
      <c r="J39" s="33" t="n">
        <f aca="false">IF(J$3&gt;=Office_Start,INDEX(Cleaning,1,J$5),0)</f>
        <v>250000</v>
      </c>
      <c r="K39" s="33" t="n">
        <f aca="false">IF(K$3&gt;=Office_Start,INDEX(Cleaning,1,K$5),0)</f>
        <v>250000</v>
      </c>
      <c r="L39" s="33" t="n">
        <f aca="false">IF(L$3&gt;=Office_Start,INDEX(Cleaning,1,L$5),0)</f>
        <v>250000</v>
      </c>
      <c r="M39" s="33" t="n">
        <f aca="false">IF(M$3&gt;=Office_Start,INDEX(Cleaning,1,M$5),0)</f>
        <v>250000</v>
      </c>
      <c r="N39" s="33" t="n">
        <f aca="false">IF(N$3&gt;=Office_Start,INDEX(Cleaning,1,N$5),0)</f>
        <v>250000</v>
      </c>
      <c r="O39" s="33" t="n">
        <f aca="false">IF(O$3&gt;=Office_Start,INDEX(Cleaning,1,O$5),0)</f>
        <v>250000</v>
      </c>
      <c r="P39" s="33" t="n">
        <f aca="false">IF(P$3&gt;=Office_Start,INDEX(Cleaning,1,P$5),0)</f>
        <v>250000</v>
      </c>
      <c r="Q39" s="33" t="n">
        <f aca="false">IF(Q$3&gt;=Office_Start,INDEX(Cleaning,1,Q$5),0)</f>
        <v>350000</v>
      </c>
      <c r="R39" s="33" t="n">
        <f aca="false">IF(R$3&gt;=Office_Start,INDEX(Cleaning,1,R$5),0)</f>
        <v>350000</v>
      </c>
      <c r="S39" s="33" t="n">
        <f aca="false">IF(S$3&gt;=Office_Start,INDEX(Cleaning,1,S$5),0)</f>
        <v>350000</v>
      </c>
      <c r="T39" s="33" t="n">
        <f aca="false">IF(T$3&gt;=Office_Start,INDEX(Cleaning,1,T$5),0)</f>
        <v>350000</v>
      </c>
      <c r="U39" s="33" t="n">
        <f aca="false">IF(U$3&gt;=Office_Start,INDEX(Cleaning,1,U$5),0)</f>
        <v>350000</v>
      </c>
      <c r="V39" s="33" t="n">
        <f aca="false">IF(V$3&gt;=Office_Start,INDEX(Cleaning,1,V$5),0)</f>
        <v>350000</v>
      </c>
      <c r="W39" s="33" t="n">
        <f aca="false">IF(W$3&gt;=Office_Start,INDEX(Cleaning,1,W$5),0)</f>
        <v>350000</v>
      </c>
      <c r="X39" s="33" t="n">
        <f aca="false">IF(X$3&gt;=Office_Start,INDEX(Cleaning,1,X$5),0)</f>
        <v>350000</v>
      </c>
      <c r="Y39" s="33" t="n">
        <f aca="false">IF(Y$3&gt;=Office_Start,INDEX(Cleaning,1,Y$5),0)</f>
        <v>350000</v>
      </c>
      <c r="Z39" s="33" t="n">
        <f aca="false">IF(Z$3&gt;=Office_Start,INDEX(Cleaning,1,Z$5),0)</f>
        <v>350000</v>
      </c>
      <c r="AA39" s="33" t="n">
        <f aca="false">IF(AA$3&gt;=Office_Start,INDEX(Cleaning,1,AA$5),0)</f>
        <v>350000</v>
      </c>
      <c r="AB39" s="33" t="n">
        <f aca="false">IF(AB$3&gt;=Office_Start,INDEX(Cleaning,1,AB$5),0)</f>
        <v>350000</v>
      </c>
      <c r="AC39" s="33" t="n">
        <f aca="false">IF(AC$3&gt;=Office_Start,INDEX(Cleaning,1,AC$5),0)</f>
        <v>450000</v>
      </c>
      <c r="AD39" s="33" t="n">
        <f aca="false">IF(AD$3&gt;=Office_Start,INDEX(Cleaning,1,AD$5),0)</f>
        <v>450000</v>
      </c>
      <c r="AE39" s="33" t="n">
        <f aca="false">IF(AE$3&gt;=Office_Start,INDEX(Cleaning,1,AE$5),0)</f>
        <v>450000</v>
      </c>
      <c r="AF39" s="33" t="n">
        <f aca="false">IF(AF$3&gt;=Office_Start,INDEX(Cleaning,1,AF$5),0)</f>
        <v>450000</v>
      </c>
      <c r="AG39" s="33" t="n">
        <f aca="false">IF(AG$3&gt;=Office_Start,INDEX(Cleaning,1,AG$5),0)</f>
        <v>450000</v>
      </c>
      <c r="AH39" s="33" t="n">
        <f aca="false">IF(AH$3&gt;=Office_Start,INDEX(Cleaning,1,AH$5),0)</f>
        <v>450000</v>
      </c>
      <c r="AI39" s="33" t="n">
        <f aca="false">IF(AI$3&gt;=Office_Start,INDEX(Cleaning,1,AI$5),0)</f>
        <v>450000</v>
      </c>
      <c r="AJ39" s="33" t="n">
        <f aca="false">IF(AJ$3&gt;=Office_Start,INDEX(Cleaning,1,AJ$5),0)</f>
        <v>450000</v>
      </c>
      <c r="AK39" s="33" t="n">
        <f aca="false">IF(AK$3&gt;=Office_Start,INDEX(Cleaning,1,AK$5),0)</f>
        <v>450000</v>
      </c>
      <c r="AL39" s="33" t="n">
        <f aca="false">IF(AL$3&gt;=Office_Start,INDEX(Cleaning,1,AL$5),0)</f>
        <v>450000</v>
      </c>
      <c r="AM39" s="33" t="n">
        <f aca="false">IF(AM$3&gt;=Office_Start,INDEX(Cleaning,1,AM$5),0)</f>
        <v>450000</v>
      </c>
      <c r="AN39" s="33" t="n">
        <f aca="false">IF(AN$3&gt;=Office_Start,INDEX(Cleaning,1,AN$5),0)</f>
        <v>450000</v>
      </c>
      <c r="AO39" s="33" t="n">
        <f aca="false">IF(AO$3&gt;=Office_Start,INDEX(Cleaning,1,AO$5),0)</f>
        <v>550000</v>
      </c>
      <c r="AP39" s="33" t="n">
        <f aca="false">IF(AP$3&gt;=Office_Start,INDEX(Cleaning,1,AP$5),0)</f>
        <v>550000</v>
      </c>
      <c r="AQ39" s="33" t="n">
        <f aca="false">IF(AQ$3&gt;=Office_Start,INDEX(Cleaning,1,AQ$5),0)</f>
        <v>550000</v>
      </c>
      <c r="AR39" s="33" t="n">
        <f aca="false">IF(AR$3&gt;=Office_Start,INDEX(Cleaning,1,AR$5),0)</f>
        <v>550000</v>
      </c>
      <c r="AS39" s="33" t="n">
        <f aca="false">IF(AS$3&gt;=Office_Start,INDEX(Cleaning,1,AS$5),0)</f>
        <v>550000</v>
      </c>
      <c r="AT39" s="33" t="n">
        <f aca="false">IF(AT$3&gt;=Office_Start,INDEX(Cleaning,1,AT$5),0)</f>
        <v>550000</v>
      </c>
      <c r="AU39" s="33" t="n">
        <f aca="false">IF(AU$3&gt;=Office_Start,INDEX(Cleaning,1,AU$5),0)</f>
        <v>550000</v>
      </c>
      <c r="AV39" s="33" t="n">
        <f aca="false">IF(AV$3&gt;=Office_Start,INDEX(Cleaning,1,AV$5),0)</f>
        <v>550000</v>
      </c>
      <c r="AW39" s="33" t="n">
        <f aca="false">IF(AW$3&gt;=Office_Start,INDEX(Cleaning,1,AW$5),0)</f>
        <v>550000</v>
      </c>
      <c r="AX39" s="33" t="n">
        <f aca="false">IF(AX$3&gt;=Office_Start,INDEX(Cleaning,1,AX$5),0)</f>
        <v>550000</v>
      </c>
      <c r="AY39" s="33" t="n">
        <f aca="false">IF(AY$3&gt;=Office_Start,INDEX(Cleaning,1,AY$5),0)</f>
        <v>550000</v>
      </c>
      <c r="AZ39" s="33" t="n">
        <f aca="false">IF(AZ$3&gt;=Office_Start,INDEX(Cleaning,1,AZ$5),0)</f>
        <v>550000</v>
      </c>
      <c r="BA39" s="33" t="n">
        <f aca="false">IF(BA$3&gt;=Office_Start,INDEX(Cleaning,1,BA$5),0)</f>
        <v>650000</v>
      </c>
      <c r="BB39" s="33" t="n">
        <f aca="false">IF(BB$3&gt;=Office_Start,INDEX(Cleaning,1,BB$5),0)</f>
        <v>650000</v>
      </c>
      <c r="BC39" s="33" t="n">
        <f aca="false">IF(BC$3&gt;=Office_Start,INDEX(Cleaning,1,BC$5),0)</f>
        <v>650000</v>
      </c>
      <c r="BD39" s="33" t="n">
        <f aca="false">IF(BD$3&gt;=Office_Start,INDEX(Cleaning,1,BD$5),0)</f>
        <v>650000</v>
      </c>
      <c r="BE39" s="33" t="n">
        <f aca="false">IF(BE$3&gt;=Office_Start,INDEX(Cleaning,1,BE$5),0)</f>
        <v>650000</v>
      </c>
      <c r="BF39" s="33" t="n">
        <f aca="false">IF(BF$3&gt;=Office_Start,INDEX(Cleaning,1,BF$5),0)</f>
        <v>650000</v>
      </c>
      <c r="BG39" s="33" t="n">
        <f aca="false">IF(BG$3&gt;=Office_Start,INDEX(Cleaning,1,BG$5),0)</f>
        <v>650000</v>
      </c>
      <c r="BH39" s="33" t="n">
        <f aca="false">IF(BH$3&gt;=Office_Start,INDEX(Cleaning,1,BH$5),0)</f>
        <v>650000</v>
      </c>
      <c r="BI39" s="33" t="n">
        <f aca="false">IF(BI$3&gt;=Office_Start,INDEX(Cleaning,1,BI$5),0)</f>
        <v>650000</v>
      </c>
      <c r="BJ39" s="33" t="n">
        <f aca="false">IF(BJ$3&gt;=Office_Start,INDEX(Cleaning,1,BJ$5),0)</f>
        <v>650000</v>
      </c>
      <c r="BK39" s="33" t="n">
        <f aca="false">IF(BK$3&gt;=Office_Start,INDEX(Cleaning,1,BK$5),0)</f>
        <v>650000</v>
      </c>
      <c r="BL39" s="33" t="n">
        <f aca="false">IF(BL$3&gt;=Office_Start,INDEX(Cleaning,1,BL$5),0)</f>
        <v>650000</v>
      </c>
    </row>
    <row r="40" customFormat="false" ht="15" hidden="false" customHeight="false" outlineLevel="0" collapsed="false">
      <c r="A40" s="12" t="s">
        <v>373</v>
      </c>
      <c r="B40" s="14" t="s">
        <v>63</v>
      </c>
      <c r="D40" s="41" t="n">
        <f aca="false">SUM(E40:BL40)</f>
        <v>140400000</v>
      </c>
      <c r="E40" s="33" t="n">
        <f aca="false">IF(E$3&gt;=CI_Office_Start,INDEX(Abidjan_Office,1,E$5),0)</f>
        <v>0</v>
      </c>
      <c r="F40" s="33" t="n">
        <f aca="false">IF(F$3&gt;=CI_Office_Start,INDEX(Abidjan_Office,1,F$5),0)</f>
        <v>0</v>
      </c>
      <c r="G40" s="33" t="n">
        <f aca="false">IF(G$3&gt;=CI_Office_Start,INDEX(Abidjan_Office,1,G$5),0)</f>
        <v>0</v>
      </c>
      <c r="H40" s="33" t="n">
        <f aca="false">IF(H$3&gt;=CI_Office_Start,INDEX(Abidjan_Office,1,H$5),0)</f>
        <v>0</v>
      </c>
      <c r="I40" s="33" t="n">
        <f aca="false">IF(I$3&gt;=CI_Office_Start,INDEX(Abidjan_Office,1,I$5),0)</f>
        <v>0</v>
      </c>
      <c r="J40" s="33" t="n">
        <f aca="false">IF(J$3&gt;=CI_Office_Start,INDEX(Abidjan_Office,1,J$5),0)</f>
        <v>0</v>
      </c>
      <c r="K40" s="33" t="n">
        <f aca="false">IF(K$3&gt;=CI_Office_Start,INDEX(Abidjan_Office,1,K$5),0)</f>
        <v>0</v>
      </c>
      <c r="L40" s="33" t="n">
        <f aca="false">IF(L$3&gt;=CI_Office_Start,INDEX(Abidjan_Office,1,L$5),0)</f>
        <v>0</v>
      </c>
      <c r="M40" s="33" t="n">
        <f aca="false">IF(M$3&gt;=CI_Office_Start,INDEX(Abidjan_Office,1,M$5),0)</f>
        <v>0</v>
      </c>
      <c r="N40" s="33" t="n">
        <f aca="false">IF(N$3&gt;=CI_Office_Start,INDEX(Abidjan_Office,1,N$5),0)</f>
        <v>0</v>
      </c>
      <c r="O40" s="33" t="n">
        <f aca="false">IF(O$3&gt;=CI_Office_Start,INDEX(Abidjan_Office,1,O$5),0)</f>
        <v>0</v>
      </c>
      <c r="P40" s="33" t="n">
        <f aca="false">IF(P$3&gt;=CI_Office_Start,INDEX(Abidjan_Office,1,P$5),0)</f>
        <v>0</v>
      </c>
      <c r="Q40" s="33" t="n">
        <f aca="false">IF(Q$3&gt;=CI_Office_Start,INDEX(Abidjan_Office,1,Q$5),0)</f>
        <v>1200000</v>
      </c>
      <c r="R40" s="33" t="n">
        <f aca="false">IF(R$3&gt;=CI_Office_Start,INDEX(Abidjan_Office,1,R$5),0)</f>
        <v>1200000</v>
      </c>
      <c r="S40" s="33" t="n">
        <f aca="false">IF(S$3&gt;=CI_Office_Start,INDEX(Abidjan_Office,1,S$5),0)</f>
        <v>1200000</v>
      </c>
      <c r="T40" s="33" t="n">
        <f aca="false">IF(T$3&gt;=CI_Office_Start,INDEX(Abidjan_Office,1,T$5),0)</f>
        <v>1200000</v>
      </c>
      <c r="U40" s="33" t="n">
        <f aca="false">IF(U$3&gt;=CI_Office_Start,INDEX(Abidjan_Office,1,U$5),0)</f>
        <v>1200000</v>
      </c>
      <c r="V40" s="33" t="n">
        <f aca="false">IF(V$3&gt;=CI_Office_Start,INDEX(Abidjan_Office,1,V$5),0)</f>
        <v>1200000</v>
      </c>
      <c r="W40" s="33" t="n">
        <f aca="false">IF(W$3&gt;=CI_Office_Start,INDEX(Abidjan_Office,1,W$5),0)</f>
        <v>1200000</v>
      </c>
      <c r="X40" s="33" t="n">
        <f aca="false">IF(X$3&gt;=CI_Office_Start,INDEX(Abidjan_Office,1,X$5),0)</f>
        <v>1200000</v>
      </c>
      <c r="Y40" s="33" t="n">
        <f aca="false">IF(Y$3&gt;=CI_Office_Start,INDEX(Abidjan_Office,1,Y$5),0)</f>
        <v>1200000</v>
      </c>
      <c r="Z40" s="33" t="n">
        <f aca="false">IF(Z$3&gt;=CI_Office_Start,INDEX(Abidjan_Office,1,Z$5),0)</f>
        <v>1200000</v>
      </c>
      <c r="AA40" s="33" t="n">
        <f aca="false">IF(AA$3&gt;=CI_Office_Start,INDEX(Abidjan_Office,1,AA$5),0)</f>
        <v>1200000</v>
      </c>
      <c r="AB40" s="33" t="n">
        <f aca="false">IF(AB$3&gt;=CI_Office_Start,INDEX(Abidjan_Office,1,AB$5),0)</f>
        <v>1200000</v>
      </c>
      <c r="AC40" s="33" t="n">
        <f aca="false">IF(AC$3&gt;=CI_Office_Start,INDEX(Abidjan_Office,1,AC$5),0)</f>
        <v>3000000</v>
      </c>
      <c r="AD40" s="33" t="n">
        <f aca="false">IF(AD$3&gt;=CI_Office_Start,INDEX(Abidjan_Office,1,AD$5),0)</f>
        <v>3000000</v>
      </c>
      <c r="AE40" s="33" t="n">
        <f aca="false">IF(AE$3&gt;=CI_Office_Start,INDEX(Abidjan_Office,1,AE$5),0)</f>
        <v>3000000</v>
      </c>
      <c r="AF40" s="33" t="n">
        <f aca="false">IF(AF$3&gt;=CI_Office_Start,INDEX(Abidjan_Office,1,AF$5),0)</f>
        <v>3000000</v>
      </c>
      <c r="AG40" s="33" t="n">
        <f aca="false">IF(AG$3&gt;=CI_Office_Start,INDEX(Abidjan_Office,1,AG$5),0)</f>
        <v>3000000</v>
      </c>
      <c r="AH40" s="33" t="n">
        <f aca="false">IF(AH$3&gt;=CI_Office_Start,INDEX(Abidjan_Office,1,AH$5),0)</f>
        <v>3000000</v>
      </c>
      <c r="AI40" s="33" t="n">
        <f aca="false">IF(AI$3&gt;=CI_Office_Start,INDEX(Abidjan_Office,1,AI$5),0)</f>
        <v>3000000</v>
      </c>
      <c r="AJ40" s="33" t="n">
        <f aca="false">IF(AJ$3&gt;=CI_Office_Start,INDEX(Abidjan_Office,1,AJ$5),0)</f>
        <v>3000000</v>
      </c>
      <c r="AK40" s="33" t="n">
        <f aca="false">IF(AK$3&gt;=CI_Office_Start,INDEX(Abidjan_Office,1,AK$5),0)</f>
        <v>3000000</v>
      </c>
      <c r="AL40" s="33" t="n">
        <f aca="false">IF(AL$3&gt;=CI_Office_Start,INDEX(Abidjan_Office,1,AL$5),0)</f>
        <v>3000000</v>
      </c>
      <c r="AM40" s="33" t="n">
        <f aca="false">IF(AM$3&gt;=CI_Office_Start,INDEX(Abidjan_Office,1,AM$5),0)</f>
        <v>3000000</v>
      </c>
      <c r="AN40" s="33" t="n">
        <f aca="false">IF(AN$3&gt;=CI_Office_Start,INDEX(Abidjan_Office,1,AN$5),0)</f>
        <v>3000000</v>
      </c>
      <c r="AO40" s="33" t="n">
        <f aca="false">IF(AO$3&gt;=CI_Office_Start,INDEX(Abidjan_Office,1,AO$5),0)</f>
        <v>3500000</v>
      </c>
      <c r="AP40" s="33" t="n">
        <f aca="false">IF(AP$3&gt;=CI_Office_Start,INDEX(Abidjan_Office,1,AP$5),0)</f>
        <v>3500000</v>
      </c>
      <c r="AQ40" s="33" t="n">
        <f aca="false">IF(AQ$3&gt;=CI_Office_Start,INDEX(Abidjan_Office,1,AQ$5),0)</f>
        <v>3500000</v>
      </c>
      <c r="AR40" s="33" t="n">
        <f aca="false">IF(AR$3&gt;=CI_Office_Start,INDEX(Abidjan_Office,1,AR$5),0)</f>
        <v>3500000</v>
      </c>
      <c r="AS40" s="33" t="n">
        <f aca="false">IF(AS$3&gt;=CI_Office_Start,INDEX(Abidjan_Office,1,AS$5),0)</f>
        <v>3500000</v>
      </c>
      <c r="AT40" s="33" t="n">
        <f aca="false">IF(AT$3&gt;=CI_Office_Start,INDEX(Abidjan_Office,1,AT$5),0)</f>
        <v>3500000</v>
      </c>
      <c r="AU40" s="33" t="n">
        <f aca="false">IF(AU$3&gt;=CI_Office_Start,INDEX(Abidjan_Office,1,AU$5),0)</f>
        <v>3500000</v>
      </c>
      <c r="AV40" s="33" t="n">
        <f aca="false">IF(AV$3&gt;=CI_Office_Start,INDEX(Abidjan_Office,1,AV$5),0)</f>
        <v>3500000</v>
      </c>
      <c r="AW40" s="33" t="n">
        <f aca="false">IF(AW$3&gt;=CI_Office_Start,INDEX(Abidjan_Office,1,AW$5),0)</f>
        <v>3500000</v>
      </c>
      <c r="AX40" s="33" t="n">
        <f aca="false">IF(AX$3&gt;=CI_Office_Start,INDEX(Abidjan_Office,1,AX$5),0)</f>
        <v>3500000</v>
      </c>
      <c r="AY40" s="33" t="n">
        <f aca="false">IF(AY$3&gt;=CI_Office_Start,INDEX(Abidjan_Office,1,AY$5),0)</f>
        <v>3500000</v>
      </c>
      <c r="AZ40" s="33" t="n">
        <f aca="false">IF(AZ$3&gt;=CI_Office_Start,INDEX(Abidjan_Office,1,AZ$5),0)</f>
        <v>3500000</v>
      </c>
      <c r="BA40" s="33" t="n">
        <f aca="false">IF(BA$3&gt;=CI_Office_Start,INDEX(Abidjan_Office,1,BA$5),0)</f>
        <v>4000000</v>
      </c>
      <c r="BB40" s="33" t="n">
        <f aca="false">IF(BB$3&gt;=CI_Office_Start,INDEX(Abidjan_Office,1,BB$5),0)</f>
        <v>4000000</v>
      </c>
      <c r="BC40" s="33" t="n">
        <f aca="false">IF(BC$3&gt;=CI_Office_Start,INDEX(Abidjan_Office,1,BC$5),0)</f>
        <v>4000000</v>
      </c>
      <c r="BD40" s="33" t="n">
        <f aca="false">IF(BD$3&gt;=CI_Office_Start,INDEX(Abidjan_Office,1,BD$5),0)</f>
        <v>4000000</v>
      </c>
      <c r="BE40" s="33" t="n">
        <f aca="false">IF(BE$3&gt;=CI_Office_Start,INDEX(Abidjan_Office,1,BE$5),0)</f>
        <v>4000000</v>
      </c>
      <c r="BF40" s="33" t="n">
        <f aca="false">IF(BF$3&gt;=CI_Office_Start,INDEX(Abidjan_Office,1,BF$5),0)</f>
        <v>4000000</v>
      </c>
      <c r="BG40" s="33" t="n">
        <f aca="false">IF(BG$3&gt;=CI_Office_Start,INDEX(Abidjan_Office,1,BG$5),0)</f>
        <v>4000000</v>
      </c>
      <c r="BH40" s="33" t="n">
        <f aca="false">IF(BH$3&gt;=CI_Office_Start,INDEX(Abidjan_Office,1,BH$5),0)</f>
        <v>4000000</v>
      </c>
      <c r="BI40" s="33" t="n">
        <f aca="false">IF(BI$3&gt;=CI_Office_Start,INDEX(Abidjan_Office,1,BI$5),0)</f>
        <v>4000000</v>
      </c>
      <c r="BJ40" s="33" t="n">
        <f aca="false">IF(BJ$3&gt;=CI_Office_Start,INDEX(Abidjan_Office,1,BJ$5),0)</f>
        <v>4000000</v>
      </c>
      <c r="BK40" s="33" t="n">
        <f aca="false">IF(BK$3&gt;=CI_Office_Start,INDEX(Abidjan_Office,1,BK$5),0)</f>
        <v>4000000</v>
      </c>
      <c r="BL40" s="33" t="n">
        <f aca="false">IF(BL$3&gt;=CI_Office_Start,INDEX(Abidjan_Office,1,BL$5),0)</f>
        <v>4000000</v>
      </c>
    </row>
    <row r="41" customFormat="false" ht="15" hidden="false" customHeight="false" outlineLevel="0" collapsed="false">
      <c r="A41" s="12" t="s">
        <v>649</v>
      </c>
      <c r="B41" s="14" t="s">
        <v>63</v>
      </c>
      <c r="D41" s="41" t="n">
        <f aca="false">SUM(E41:BL41)</f>
        <v>50970000</v>
      </c>
      <c r="E41" s="33" t="n">
        <f aca="false">Staff!E179*Phone_Cost</f>
        <v>105000</v>
      </c>
      <c r="F41" s="33" t="n">
        <f aca="false">Staff!F179*Phone_Cost</f>
        <v>120000</v>
      </c>
      <c r="G41" s="33" t="n">
        <f aca="false">Staff!G179*Phone_Cost</f>
        <v>150000</v>
      </c>
      <c r="H41" s="33" t="n">
        <f aca="false">Staff!H179*Phone_Cost</f>
        <v>240000</v>
      </c>
      <c r="I41" s="33" t="n">
        <f aca="false">Staff!I179*Phone_Cost</f>
        <v>240000</v>
      </c>
      <c r="J41" s="33" t="n">
        <f aca="false">Staff!J179*Phone_Cost</f>
        <v>255000</v>
      </c>
      <c r="K41" s="33" t="n">
        <f aca="false">Staff!K179*Phone_Cost</f>
        <v>315000</v>
      </c>
      <c r="L41" s="33" t="n">
        <f aca="false">Staff!L179*Phone_Cost</f>
        <v>315000</v>
      </c>
      <c r="M41" s="33" t="n">
        <f aca="false">Staff!M179*Phone_Cost</f>
        <v>315000</v>
      </c>
      <c r="N41" s="33" t="n">
        <f aca="false">Staff!N179*Phone_Cost</f>
        <v>330000</v>
      </c>
      <c r="O41" s="33" t="n">
        <f aca="false">Staff!O179*Phone_Cost</f>
        <v>330000</v>
      </c>
      <c r="P41" s="33" t="n">
        <f aca="false">Staff!P179*Phone_Cost</f>
        <v>330000</v>
      </c>
      <c r="Q41" s="33" t="n">
        <f aca="false">Staff!Q179*Phone_Cost</f>
        <v>345000</v>
      </c>
      <c r="R41" s="33" t="n">
        <f aca="false">Staff!R179*Phone_Cost</f>
        <v>345000</v>
      </c>
      <c r="S41" s="33" t="n">
        <f aca="false">Staff!S179*Phone_Cost</f>
        <v>345000</v>
      </c>
      <c r="T41" s="33" t="n">
        <f aca="false">Staff!T179*Phone_Cost</f>
        <v>360000</v>
      </c>
      <c r="U41" s="33" t="n">
        <f aca="false">Staff!U179*Phone_Cost</f>
        <v>360000</v>
      </c>
      <c r="V41" s="33" t="n">
        <f aca="false">Staff!V179*Phone_Cost</f>
        <v>360000</v>
      </c>
      <c r="W41" s="33" t="n">
        <f aca="false">Staff!W179*Phone_Cost</f>
        <v>690000</v>
      </c>
      <c r="X41" s="33" t="n">
        <f aca="false">Staff!X179*Phone_Cost</f>
        <v>690000</v>
      </c>
      <c r="Y41" s="33" t="n">
        <f aca="false">Staff!Y179*Phone_Cost</f>
        <v>690000</v>
      </c>
      <c r="Z41" s="33" t="n">
        <f aca="false">Staff!Z179*Phone_Cost</f>
        <v>690000</v>
      </c>
      <c r="AA41" s="33" t="n">
        <f aca="false">Staff!AA179*Phone_Cost</f>
        <v>690000</v>
      </c>
      <c r="AB41" s="33" t="n">
        <f aca="false">Staff!AB179*Phone_Cost</f>
        <v>690000</v>
      </c>
      <c r="AC41" s="33" t="n">
        <f aca="false">Staff!AC179*Phone_Cost</f>
        <v>735000</v>
      </c>
      <c r="AD41" s="33" t="n">
        <f aca="false">Staff!AD179*Phone_Cost</f>
        <v>735000</v>
      </c>
      <c r="AE41" s="33" t="n">
        <f aca="false">Staff!AE179*Phone_Cost</f>
        <v>735000</v>
      </c>
      <c r="AF41" s="33" t="n">
        <f aca="false">Staff!AF179*Phone_Cost</f>
        <v>735000</v>
      </c>
      <c r="AG41" s="33" t="n">
        <f aca="false">Staff!AG179*Phone_Cost</f>
        <v>735000</v>
      </c>
      <c r="AH41" s="33" t="n">
        <f aca="false">Staff!AH179*Phone_Cost</f>
        <v>735000</v>
      </c>
      <c r="AI41" s="33" t="n">
        <f aca="false">Staff!AI179*Phone_Cost</f>
        <v>990000</v>
      </c>
      <c r="AJ41" s="33" t="n">
        <f aca="false">Staff!AJ179*Phone_Cost</f>
        <v>990000</v>
      </c>
      <c r="AK41" s="33" t="n">
        <f aca="false">Staff!AK179*Phone_Cost</f>
        <v>990000</v>
      </c>
      <c r="AL41" s="33" t="n">
        <f aca="false">Staff!AL179*Phone_Cost</f>
        <v>990000</v>
      </c>
      <c r="AM41" s="33" t="n">
        <f aca="false">Staff!AM179*Phone_Cost</f>
        <v>990000</v>
      </c>
      <c r="AN41" s="33" t="n">
        <f aca="false">Staff!AN179*Phone_Cost</f>
        <v>990000</v>
      </c>
      <c r="AO41" s="33" t="n">
        <f aca="false">Staff!AO179*Phone_Cost</f>
        <v>1020000</v>
      </c>
      <c r="AP41" s="33" t="n">
        <f aca="false">Staff!AP179*Phone_Cost</f>
        <v>1020000</v>
      </c>
      <c r="AQ41" s="33" t="n">
        <f aca="false">Staff!AQ179*Phone_Cost</f>
        <v>1020000</v>
      </c>
      <c r="AR41" s="33" t="n">
        <f aca="false">Staff!AR179*Phone_Cost</f>
        <v>1020000</v>
      </c>
      <c r="AS41" s="33" t="n">
        <f aca="false">Staff!AS179*Phone_Cost</f>
        <v>1020000</v>
      </c>
      <c r="AT41" s="33" t="n">
        <f aca="false">Staff!AT179*Phone_Cost</f>
        <v>1020000</v>
      </c>
      <c r="AU41" s="33" t="n">
        <f aca="false">Staff!AU179*Phone_Cost</f>
        <v>1290000</v>
      </c>
      <c r="AV41" s="33" t="n">
        <f aca="false">Staff!AV179*Phone_Cost</f>
        <v>1290000</v>
      </c>
      <c r="AW41" s="33" t="n">
        <f aca="false">Staff!AW179*Phone_Cost</f>
        <v>1290000</v>
      </c>
      <c r="AX41" s="33" t="n">
        <f aca="false">Staff!AX179*Phone_Cost</f>
        <v>1290000</v>
      </c>
      <c r="AY41" s="33" t="n">
        <f aca="false">Staff!AY179*Phone_Cost</f>
        <v>1290000</v>
      </c>
      <c r="AZ41" s="33" t="n">
        <f aca="false">Staff!AZ179*Phone_Cost</f>
        <v>1290000</v>
      </c>
      <c r="BA41" s="33" t="n">
        <f aca="false">Staff!BA179*Phone_Cost</f>
        <v>1455000</v>
      </c>
      <c r="BB41" s="33" t="n">
        <f aca="false">Staff!BB179*Phone_Cost</f>
        <v>1455000</v>
      </c>
      <c r="BC41" s="33" t="n">
        <f aca="false">Staff!BC179*Phone_Cost</f>
        <v>1455000</v>
      </c>
      <c r="BD41" s="33" t="n">
        <f aca="false">Staff!BD179*Phone_Cost</f>
        <v>1455000</v>
      </c>
      <c r="BE41" s="33" t="n">
        <f aca="false">Staff!BE179*Phone_Cost</f>
        <v>1455000</v>
      </c>
      <c r="BF41" s="33" t="n">
        <f aca="false">Staff!BF179*Phone_Cost</f>
        <v>1455000</v>
      </c>
      <c r="BG41" s="33" t="n">
        <f aca="false">Staff!BG179*Phone_Cost</f>
        <v>1455000</v>
      </c>
      <c r="BH41" s="33" t="n">
        <f aca="false">Staff!BH179*Phone_Cost</f>
        <v>1455000</v>
      </c>
      <c r="BI41" s="33" t="n">
        <f aca="false">Staff!BI179*Phone_Cost</f>
        <v>1455000</v>
      </c>
      <c r="BJ41" s="33" t="n">
        <f aca="false">Staff!BJ179*Phone_Cost</f>
        <v>1455000</v>
      </c>
      <c r="BK41" s="33" t="n">
        <f aca="false">Staff!BK179*Phone_Cost</f>
        <v>1455000</v>
      </c>
      <c r="BL41" s="33" t="n">
        <f aca="false">Staff!BL179*Phone_Cost</f>
        <v>1455000</v>
      </c>
    </row>
    <row r="42" customFormat="false" ht="15" hidden="false" customHeight="false" outlineLevel="0" collapsed="false">
      <c r="A42" s="8" t="s">
        <v>650</v>
      </c>
      <c r="B42" s="14" t="s">
        <v>63</v>
      </c>
      <c r="D42" s="41" t="n">
        <f aca="false">SUM(E42:BL42)</f>
        <v>522735000</v>
      </c>
      <c r="E42" s="16" t="n">
        <f aca="false">SUM(E35:E41)</f>
        <v>905000</v>
      </c>
      <c r="F42" s="16" t="n">
        <f aca="false">SUM(F35:F41)</f>
        <v>920000</v>
      </c>
      <c r="G42" s="16" t="n">
        <f aca="false">SUM(G35:G41)</f>
        <v>950000</v>
      </c>
      <c r="H42" s="16" t="n">
        <f aca="false">SUM(H35:H41)</f>
        <v>2805000</v>
      </c>
      <c r="I42" s="16" t="n">
        <f aca="false">SUM(I35:I41)</f>
        <v>2805000</v>
      </c>
      <c r="J42" s="16" t="n">
        <f aca="false">SUM(J35:J41)</f>
        <v>2820000</v>
      </c>
      <c r="K42" s="16" t="n">
        <f aca="false">SUM(K35:K41)</f>
        <v>2880000</v>
      </c>
      <c r="L42" s="16" t="n">
        <f aca="false">SUM(L35:L41)</f>
        <v>2880000</v>
      </c>
      <c r="M42" s="16" t="n">
        <f aca="false">SUM(M35:M41)</f>
        <v>2880000</v>
      </c>
      <c r="N42" s="16" t="n">
        <f aca="false">SUM(N35:N41)</f>
        <v>2895000</v>
      </c>
      <c r="O42" s="16" t="n">
        <f aca="false">SUM(O35:O41)</f>
        <v>2895000</v>
      </c>
      <c r="P42" s="16" t="n">
        <f aca="false">SUM(P35:P41)</f>
        <v>2895000</v>
      </c>
      <c r="Q42" s="16" t="n">
        <f aca="false">SUM(Q35:Q41)</f>
        <v>5410000</v>
      </c>
      <c r="R42" s="16" t="n">
        <f aca="false">SUM(R35:R41)</f>
        <v>5410000</v>
      </c>
      <c r="S42" s="16" t="n">
        <f aca="false">SUM(S35:S41)</f>
        <v>5410000</v>
      </c>
      <c r="T42" s="16" t="n">
        <f aca="false">SUM(T35:T41)</f>
        <v>5425000</v>
      </c>
      <c r="U42" s="16" t="n">
        <f aca="false">SUM(U35:U41)</f>
        <v>5425000</v>
      </c>
      <c r="V42" s="16" t="n">
        <f aca="false">SUM(V35:V41)</f>
        <v>5425000</v>
      </c>
      <c r="W42" s="16" t="n">
        <f aca="false">SUM(W35:W41)</f>
        <v>5755000</v>
      </c>
      <c r="X42" s="16" t="n">
        <f aca="false">SUM(X35:X41)</f>
        <v>5755000</v>
      </c>
      <c r="Y42" s="16" t="n">
        <f aca="false">SUM(Y35:Y41)</f>
        <v>5755000</v>
      </c>
      <c r="Z42" s="16" t="n">
        <f aca="false">SUM(Z35:Z41)</f>
        <v>5755000</v>
      </c>
      <c r="AA42" s="16" t="n">
        <f aca="false">SUM(AA35:AA41)</f>
        <v>5755000</v>
      </c>
      <c r="AB42" s="16" t="n">
        <f aca="false">SUM(AB35:AB41)</f>
        <v>5755000</v>
      </c>
      <c r="AC42" s="16" t="n">
        <f aca="false">SUM(AC35:AC41)</f>
        <v>9235000</v>
      </c>
      <c r="AD42" s="16" t="n">
        <f aca="false">SUM(AD35:AD41)</f>
        <v>9235000</v>
      </c>
      <c r="AE42" s="16" t="n">
        <f aca="false">SUM(AE35:AE41)</f>
        <v>9235000</v>
      </c>
      <c r="AF42" s="16" t="n">
        <f aca="false">SUM(AF35:AF41)</f>
        <v>9235000</v>
      </c>
      <c r="AG42" s="16" t="n">
        <f aca="false">SUM(AG35:AG41)</f>
        <v>9235000</v>
      </c>
      <c r="AH42" s="16" t="n">
        <f aca="false">SUM(AH35:AH41)</f>
        <v>9235000</v>
      </c>
      <c r="AI42" s="16" t="n">
        <f aca="false">SUM(AI35:AI41)</f>
        <v>9490000</v>
      </c>
      <c r="AJ42" s="16" t="n">
        <f aca="false">SUM(AJ35:AJ41)</f>
        <v>9490000</v>
      </c>
      <c r="AK42" s="16" t="n">
        <f aca="false">SUM(AK35:AK41)</f>
        <v>9490000</v>
      </c>
      <c r="AL42" s="16" t="n">
        <f aca="false">SUM(AL35:AL41)</f>
        <v>9490000</v>
      </c>
      <c r="AM42" s="16" t="n">
        <f aca="false">SUM(AM35:AM41)</f>
        <v>9490000</v>
      </c>
      <c r="AN42" s="16" t="n">
        <f aca="false">SUM(AN35:AN41)</f>
        <v>9490000</v>
      </c>
      <c r="AO42" s="16" t="n">
        <f aca="false">SUM(AO35:AO41)</f>
        <v>11695000</v>
      </c>
      <c r="AP42" s="16" t="n">
        <f aca="false">SUM(AP35:AP41)</f>
        <v>11695000</v>
      </c>
      <c r="AQ42" s="16" t="n">
        <f aca="false">SUM(AQ35:AQ41)</f>
        <v>11695000</v>
      </c>
      <c r="AR42" s="16" t="n">
        <f aca="false">SUM(AR35:AR41)</f>
        <v>11695000</v>
      </c>
      <c r="AS42" s="16" t="n">
        <f aca="false">SUM(AS35:AS41)</f>
        <v>11695000</v>
      </c>
      <c r="AT42" s="16" t="n">
        <f aca="false">SUM(AT35:AT41)</f>
        <v>11695000</v>
      </c>
      <c r="AU42" s="16" t="n">
        <f aca="false">SUM(AU35:AU41)</f>
        <v>11965000</v>
      </c>
      <c r="AV42" s="16" t="n">
        <f aca="false">SUM(AV35:AV41)</f>
        <v>11965000</v>
      </c>
      <c r="AW42" s="16" t="n">
        <f aca="false">SUM(AW35:AW41)</f>
        <v>11965000</v>
      </c>
      <c r="AX42" s="16" t="n">
        <f aca="false">SUM(AX35:AX41)</f>
        <v>11965000</v>
      </c>
      <c r="AY42" s="16" t="n">
        <f aca="false">SUM(AY35:AY41)</f>
        <v>11965000</v>
      </c>
      <c r="AZ42" s="16" t="n">
        <f aca="false">SUM(AZ35:AZ41)</f>
        <v>11965000</v>
      </c>
      <c r="BA42" s="16" t="n">
        <f aca="false">SUM(BA35:BA41)</f>
        <v>14405000</v>
      </c>
      <c r="BB42" s="16" t="n">
        <f aca="false">SUM(BB35:BB41)</f>
        <v>14405000</v>
      </c>
      <c r="BC42" s="16" t="n">
        <f aca="false">SUM(BC35:BC41)</f>
        <v>14405000</v>
      </c>
      <c r="BD42" s="16" t="n">
        <f aca="false">SUM(BD35:BD41)</f>
        <v>14405000</v>
      </c>
      <c r="BE42" s="16" t="n">
        <f aca="false">SUM(BE35:BE41)</f>
        <v>14405000</v>
      </c>
      <c r="BF42" s="16" t="n">
        <f aca="false">SUM(BF35:BF41)</f>
        <v>14405000</v>
      </c>
      <c r="BG42" s="16" t="n">
        <f aca="false">SUM(BG35:BG41)</f>
        <v>14405000</v>
      </c>
      <c r="BH42" s="16" t="n">
        <f aca="false">SUM(BH35:BH41)</f>
        <v>14405000</v>
      </c>
      <c r="BI42" s="16" t="n">
        <f aca="false">SUM(BI35:BI41)</f>
        <v>14405000</v>
      </c>
      <c r="BJ42" s="16" t="n">
        <f aca="false">SUM(BJ35:BJ41)</f>
        <v>14405000</v>
      </c>
      <c r="BK42" s="16" t="n">
        <f aca="false">SUM(BK35:BK41)</f>
        <v>14405000</v>
      </c>
      <c r="BL42" s="16" t="n">
        <f aca="false">SUM(BL35:BL41)</f>
        <v>14405000</v>
      </c>
    </row>
    <row r="44" customFormat="false" ht="15" hidden="false" customHeight="false" outlineLevel="0" collapsed="false">
      <c r="A44" s="10" t="s">
        <v>378</v>
      </c>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row>
    <row r="45" customFormat="false" ht="15" hidden="false" customHeight="false" outlineLevel="0" collapsed="false">
      <c r="A45" s="12" t="s">
        <v>379</v>
      </c>
      <c r="B45" s="14" t="s">
        <v>63</v>
      </c>
      <c r="D45" s="41" t="n">
        <f aca="false">SUM(E45:BL45)</f>
        <v>223300000</v>
      </c>
      <c r="E45" s="33" t="n">
        <f aca="false">INDEX(Ledger_USD,1,E$5)*FX_USD/12</f>
        <v>1933333.33333333</v>
      </c>
      <c r="F45" s="33" t="n">
        <f aca="false">INDEX(Ledger_USD,1,F$5)*FX_USD/12</f>
        <v>1933333.33333333</v>
      </c>
      <c r="G45" s="33" t="n">
        <f aca="false">INDEX(Ledger_USD,1,G$5)*FX_USD/12</f>
        <v>1933333.33333333</v>
      </c>
      <c r="H45" s="33" t="n">
        <f aca="false">INDEX(Ledger_USD,1,H$5)*FX_USD/12</f>
        <v>1933333.33333333</v>
      </c>
      <c r="I45" s="33" t="n">
        <f aca="false">INDEX(Ledger_USD,1,I$5)*FX_USD/12</f>
        <v>1933333.33333333</v>
      </c>
      <c r="J45" s="33" t="n">
        <f aca="false">INDEX(Ledger_USD,1,J$5)*FX_USD/12</f>
        <v>1933333.33333333</v>
      </c>
      <c r="K45" s="33" t="n">
        <f aca="false">INDEX(Ledger_USD,1,K$5)*FX_USD/12</f>
        <v>1933333.33333333</v>
      </c>
      <c r="L45" s="33" t="n">
        <f aca="false">INDEX(Ledger_USD,1,L$5)*FX_USD/12</f>
        <v>1933333.33333333</v>
      </c>
      <c r="M45" s="33" t="n">
        <f aca="false">INDEX(Ledger_USD,1,M$5)*FX_USD/12</f>
        <v>1933333.33333333</v>
      </c>
      <c r="N45" s="33" t="n">
        <f aca="false">INDEX(Ledger_USD,1,N$5)*FX_USD/12</f>
        <v>1933333.33333333</v>
      </c>
      <c r="O45" s="33" t="n">
        <f aca="false">INDEX(Ledger_USD,1,O$5)*FX_USD/12</f>
        <v>1933333.33333333</v>
      </c>
      <c r="P45" s="33" t="n">
        <f aca="false">INDEX(Ledger_USD,1,P$5)*FX_USD/12</f>
        <v>1933333.33333333</v>
      </c>
      <c r="Q45" s="33" t="n">
        <f aca="false">INDEX(Ledger_USD,1,Q$5)*FX_USD/12</f>
        <v>2900000</v>
      </c>
      <c r="R45" s="33" t="n">
        <f aca="false">INDEX(Ledger_USD,1,R$5)*FX_USD/12</f>
        <v>2900000</v>
      </c>
      <c r="S45" s="33" t="n">
        <f aca="false">INDEX(Ledger_USD,1,S$5)*FX_USD/12</f>
        <v>2900000</v>
      </c>
      <c r="T45" s="33" t="n">
        <f aca="false">INDEX(Ledger_USD,1,T$5)*FX_USD/12</f>
        <v>2900000</v>
      </c>
      <c r="U45" s="33" t="n">
        <f aca="false">INDEX(Ledger_USD,1,U$5)*FX_USD/12</f>
        <v>2900000</v>
      </c>
      <c r="V45" s="33" t="n">
        <f aca="false">INDEX(Ledger_USD,1,V$5)*FX_USD/12</f>
        <v>2900000</v>
      </c>
      <c r="W45" s="33" t="n">
        <f aca="false">INDEX(Ledger_USD,1,W$5)*FX_USD/12</f>
        <v>2900000</v>
      </c>
      <c r="X45" s="33" t="n">
        <f aca="false">INDEX(Ledger_USD,1,X$5)*FX_USD/12</f>
        <v>2900000</v>
      </c>
      <c r="Y45" s="33" t="n">
        <f aca="false">INDEX(Ledger_USD,1,Y$5)*FX_USD/12</f>
        <v>2900000</v>
      </c>
      <c r="Z45" s="33" t="n">
        <f aca="false">INDEX(Ledger_USD,1,Z$5)*FX_USD/12</f>
        <v>2900000</v>
      </c>
      <c r="AA45" s="33" t="n">
        <f aca="false">INDEX(Ledger_USD,1,AA$5)*FX_USD/12</f>
        <v>2900000</v>
      </c>
      <c r="AB45" s="33" t="n">
        <f aca="false">INDEX(Ledger_USD,1,AB$5)*FX_USD/12</f>
        <v>2900000</v>
      </c>
      <c r="AC45" s="33" t="n">
        <f aca="false">INDEX(Ledger_USD,1,AC$5)*FX_USD/12</f>
        <v>3866666.66666667</v>
      </c>
      <c r="AD45" s="33" t="n">
        <f aca="false">INDEX(Ledger_USD,1,AD$5)*FX_USD/12</f>
        <v>3866666.66666667</v>
      </c>
      <c r="AE45" s="33" t="n">
        <f aca="false">INDEX(Ledger_USD,1,AE$5)*FX_USD/12</f>
        <v>3866666.66666667</v>
      </c>
      <c r="AF45" s="33" t="n">
        <f aca="false">INDEX(Ledger_USD,1,AF$5)*FX_USD/12</f>
        <v>3866666.66666667</v>
      </c>
      <c r="AG45" s="33" t="n">
        <f aca="false">INDEX(Ledger_USD,1,AG$5)*FX_USD/12</f>
        <v>3866666.66666667</v>
      </c>
      <c r="AH45" s="33" t="n">
        <f aca="false">INDEX(Ledger_USD,1,AH$5)*FX_USD/12</f>
        <v>3866666.66666667</v>
      </c>
      <c r="AI45" s="33" t="n">
        <f aca="false">INDEX(Ledger_USD,1,AI$5)*FX_USD/12</f>
        <v>3866666.66666667</v>
      </c>
      <c r="AJ45" s="33" t="n">
        <f aca="false">INDEX(Ledger_USD,1,AJ$5)*FX_USD/12</f>
        <v>3866666.66666667</v>
      </c>
      <c r="AK45" s="33" t="n">
        <f aca="false">INDEX(Ledger_USD,1,AK$5)*FX_USD/12</f>
        <v>3866666.66666667</v>
      </c>
      <c r="AL45" s="33" t="n">
        <f aca="false">INDEX(Ledger_USD,1,AL$5)*FX_USD/12</f>
        <v>3866666.66666667</v>
      </c>
      <c r="AM45" s="33" t="n">
        <f aca="false">INDEX(Ledger_USD,1,AM$5)*FX_USD/12</f>
        <v>3866666.66666667</v>
      </c>
      <c r="AN45" s="33" t="n">
        <f aca="false">INDEX(Ledger_USD,1,AN$5)*FX_USD/12</f>
        <v>3866666.66666667</v>
      </c>
      <c r="AO45" s="33" t="n">
        <f aca="false">INDEX(Ledger_USD,1,AO$5)*FX_USD/12</f>
        <v>4591666.66666667</v>
      </c>
      <c r="AP45" s="33" t="n">
        <f aca="false">INDEX(Ledger_USD,1,AP$5)*FX_USD/12</f>
        <v>4591666.66666667</v>
      </c>
      <c r="AQ45" s="33" t="n">
        <f aca="false">INDEX(Ledger_USD,1,AQ$5)*FX_USD/12</f>
        <v>4591666.66666667</v>
      </c>
      <c r="AR45" s="33" t="n">
        <f aca="false">INDEX(Ledger_USD,1,AR$5)*FX_USD/12</f>
        <v>4591666.66666667</v>
      </c>
      <c r="AS45" s="33" t="n">
        <f aca="false">INDEX(Ledger_USD,1,AS$5)*FX_USD/12</f>
        <v>4591666.66666667</v>
      </c>
      <c r="AT45" s="33" t="n">
        <f aca="false">INDEX(Ledger_USD,1,AT$5)*FX_USD/12</f>
        <v>4591666.66666667</v>
      </c>
      <c r="AU45" s="33" t="n">
        <f aca="false">INDEX(Ledger_USD,1,AU$5)*FX_USD/12</f>
        <v>4591666.66666667</v>
      </c>
      <c r="AV45" s="33" t="n">
        <f aca="false">INDEX(Ledger_USD,1,AV$5)*FX_USD/12</f>
        <v>4591666.66666667</v>
      </c>
      <c r="AW45" s="33" t="n">
        <f aca="false">INDEX(Ledger_USD,1,AW$5)*FX_USD/12</f>
        <v>4591666.66666667</v>
      </c>
      <c r="AX45" s="33" t="n">
        <f aca="false">INDEX(Ledger_USD,1,AX$5)*FX_USD/12</f>
        <v>4591666.66666667</v>
      </c>
      <c r="AY45" s="33" t="n">
        <f aca="false">INDEX(Ledger_USD,1,AY$5)*FX_USD/12</f>
        <v>4591666.66666667</v>
      </c>
      <c r="AZ45" s="33" t="n">
        <f aca="false">INDEX(Ledger_USD,1,AZ$5)*FX_USD/12</f>
        <v>4591666.66666667</v>
      </c>
      <c r="BA45" s="33" t="n">
        <f aca="false">INDEX(Ledger_USD,1,BA$5)*FX_USD/12</f>
        <v>5316666.66666667</v>
      </c>
      <c r="BB45" s="33" t="n">
        <f aca="false">INDEX(Ledger_USD,1,BB$5)*FX_USD/12</f>
        <v>5316666.66666667</v>
      </c>
      <c r="BC45" s="33" t="n">
        <f aca="false">INDEX(Ledger_USD,1,BC$5)*FX_USD/12</f>
        <v>5316666.66666667</v>
      </c>
      <c r="BD45" s="33" t="n">
        <f aca="false">INDEX(Ledger_USD,1,BD$5)*FX_USD/12</f>
        <v>5316666.66666667</v>
      </c>
      <c r="BE45" s="33" t="n">
        <f aca="false">INDEX(Ledger_USD,1,BE$5)*FX_USD/12</f>
        <v>5316666.66666667</v>
      </c>
      <c r="BF45" s="33" t="n">
        <f aca="false">INDEX(Ledger_USD,1,BF$5)*FX_USD/12</f>
        <v>5316666.66666667</v>
      </c>
      <c r="BG45" s="33" t="n">
        <f aca="false">INDEX(Ledger_USD,1,BG$5)*FX_USD/12</f>
        <v>5316666.66666667</v>
      </c>
      <c r="BH45" s="33" t="n">
        <f aca="false">INDEX(Ledger_USD,1,BH$5)*FX_USD/12</f>
        <v>5316666.66666667</v>
      </c>
      <c r="BI45" s="33" t="n">
        <f aca="false">INDEX(Ledger_USD,1,BI$5)*FX_USD/12</f>
        <v>5316666.66666667</v>
      </c>
      <c r="BJ45" s="33" t="n">
        <f aca="false">INDEX(Ledger_USD,1,BJ$5)*FX_USD/12</f>
        <v>5316666.66666667</v>
      </c>
      <c r="BK45" s="33" t="n">
        <f aca="false">INDEX(Ledger_USD,1,BK$5)*FX_USD/12</f>
        <v>5316666.66666667</v>
      </c>
      <c r="BL45" s="33" t="n">
        <f aca="false">INDEX(Ledger_USD,1,BL$5)*FX_USD/12</f>
        <v>5316666.66666667</v>
      </c>
    </row>
    <row r="46" customFormat="false" ht="15" hidden="false" customHeight="false" outlineLevel="0" collapsed="false">
      <c r="A46" s="12" t="s">
        <v>382</v>
      </c>
      <c r="B46" s="14" t="s">
        <v>63</v>
      </c>
      <c r="D46" s="41" t="n">
        <f aca="false">SUM(E46:BL46)</f>
        <v>262740000</v>
      </c>
      <c r="E46" s="33" t="n">
        <f aca="false">IF(E$3&gt;=Cloud_Start,INDEX(Cloud_USD,1,E$5)*FX_USD,0)</f>
        <v>0</v>
      </c>
      <c r="F46" s="33" t="n">
        <f aca="false">IF(F$3&gt;=Cloud_Start,INDEX(Cloud_USD,1,F$5)*FX_USD,0)</f>
        <v>1740000</v>
      </c>
      <c r="G46" s="33" t="n">
        <f aca="false">IF(G$3&gt;=Cloud_Start,INDEX(Cloud_USD,1,G$5)*FX_USD,0)</f>
        <v>1740000</v>
      </c>
      <c r="H46" s="33" t="n">
        <f aca="false">IF(H$3&gt;=Cloud_Start,INDEX(Cloud_USD,1,H$5)*FX_USD,0)</f>
        <v>1740000</v>
      </c>
      <c r="I46" s="33" t="n">
        <f aca="false">IF(I$3&gt;=Cloud_Start,INDEX(Cloud_USD,1,I$5)*FX_USD,0)</f>
        <v>1740000</v>
      </c>
      <c r="J46" s="33" t="n">
        <f aca="false">IF(J$3&gt;=Cloud_Start,INDEX(Cloud_USD,1,J$5)*FX_USD,0)</f>
        <v>1740000</v>
      </c>
      <c r="K46" s="33" t="n">
        <f aca="false">IF(K$3&gt;=Cloud_Start,INDEX(Cloud_USD,1,K$5)*FX_USD,0)</f>
        <v>1740000</v>
      </c>
      <c r="L46" s="33" t="n">
        <f aca="false">IF(L$3&gt;=Cloud_Start,INDEX(Cloud_USD,1,L$5)*FX_USD,0)</f>
        <v>1740000</v>
      </c>
      <c r="M46" s="33" t="n">
        <f aca="false">IF(M$3&gt;=Cloud_Start,INDEX(Cloud_USD,1,M$5)*FX_USD,0)</f>
        <v>1740000</v>
      </c>
      <c r="N46" s="33" t="n">
        <f aca="false">IF(N$3&gt;=Cloud_Start,INDEX(Cloud_USD,1,N$5)*FX_USD,0)</f>
        <v>1740000</v>
      </c>
      <c r="O46" s="33" t="n">
        <f aca="false">IF(O$3&gt;=Cloud_Start,INDEX(Cloud_USD,1,O$5)*FX_USD,0)</f>
        <v>1740000</v>
      </c>
      <c r="P46" s="33" t="n">
        <f aca="false">IF(P$3&gt;=Cloud_Start,INDEX(Cloud_USD,1,P$5)*FX_USD,0)</f>
        <v>1740000</v>
      </c>
      <c r="Q46" s="33" t="n">
        <f aca="false">IF(Q$3&gt;=Cloud_Start,INDEX(Cloud_USD,1,Q$5)*FX_USD,0)</f>
        <v>2900000</v>
      </c>
      <c r="R46" s="33" t="n">
        <f aca="false">IF(R$3&gt;=Cloud_Start,INDEX(Cloud_USD,1,R$5)*FX_USD,0)</f>
        <v>2900000</v>
      </c>
      <c r="S46" s="33" t="n">
        <f aca="false">IF(S$3&gt;=Cloud_Start,INDEX(Cloud_USD,1,S$5)*FX_USD,0)</f>
        <v>2900000</v>
      </c>
      <c r="T46" s="33" t="n">
        <f aca="false">IF(T$3&gt;=Cloud_Start,INDEX(Cloud_USD,1,T$5)*FX_USD,0)</f>
        <v>2900000</v>
      </c>
      <c r="U46" s="33" t="n">
        <f aca="false">IF(U$3&gt;=Cloud_Start,INDEX(Cloud_USD,1,U$5)*FX_USD,0)</f>
        <v>2900000</v>
      </c>
      <c r="V46" s="33" t="n">
        <f aca="false">IF(V$3&gt;=Cloud_Start,INDEX(Cloud_USD,1,V$5)*FX_USD,0)</f>
        <v>2900000</v>
      </c>
      <c r="W46" s="33" t="n">
        <f aca="false">IF(W$3&gt;=Cloud_Start,INDEX(Cloud_USD,1,W$5)*FX_USD,0)</f>
        <v>2900000</v>
      </c>
      <c r="X46" s="33" t="n">
        <f aca="false">IF(X$3&gt;=Cloud_Start,INDEX(Cloud_USD,1,X$5)*FX_USD,0)</f>
        <v>2900000</v>
      </c>
      <c r="Y46" s="33" t="n">
        <f aca="false">IF(Y$3&gt;=Cloud_Start,INDEX(Cloud_USD,1,Y$5)*FX_USD,0)</f>
        <v>2900000</v>
      </c>
      <c r="Z46" s="33" t="n">
        <f aca="false">IF(Z$3&gt;=Cloud_Start,INDEX(Cloud_USD,1,Z$5)*FX_USD,0)</f>
        <v>2900000</v>
      </c>
      <c r="AA46" s="33" t="n">
        <f aca="false">IF(AA$3&gt;=Cloud_Start,INDEX(Cloud_USD,1,AA$5)*FX_USD,0)</f>
        <v>2900000</v>
      </c>
      <c r="AB46" s="33" t="n">
        <f aca="false">IF(AB$3&gt;=Cloud_Start,INDEX(Cloud_USD,1,AB$5)*FX_USD,0)</f>
        <v>2900000</v>
      </c>
      <c r="AC46" s="33" t="n">
        <f aca="false">IF(AC$3&gt;=Cloud_Start,INDEX(Cloud_USD,1,AC$5)*FX_USD,0)</f>
        <v>4640000</v>
      </c>
      <c r="AD46" s="33" t="n">
        <f aca="false">IF(AD$3&gt;=Cloud_Start,INDEX(Cloud_USD,1,AD$5)*FX_USD,0)</f>
        <v>4640000</v>
      </c>
      <c r="AE46" s="33" t="n">
        <f aca="false">IF(AE$3&gt;=Cloud_Start,INDEX(Cloud_USD,1,AE$5)*FX_USD,0)</f>
        <v>4640000</v>
      </c>
      <c r="AF46" s="33" t="n">
        <f aca="false">IF(AF$3&gt;=Cloud_Start,INDEX(Cloud_USD,1,AF$5)*FX_USD,0)</f>
        <v>4640000</v>
      </c>
      <c r="AG46" s="33" t="n">
        <f aca="false">IF(AG$3&gt;=Cloud_Start,INDEX(Cloud_USD,1,AG$5)*FX_USD,0)</f>
        <v>4640000</v>
      </c>
      <c r="AH46" s="33" t="n">
        <f aca="false">IF(AH$3&gt;=Cloud_Start,INDEX(Cloud_USD,1,AH$5)*FX_USD,0)</f>
        <v>4640000</v>
      </c>
      <c r="AI46" s="33" t="n">
        <f aca="false">IF(AI$3&gt;=Cloud_Start,INDEX(Cloud_USD,1,AI$5)*FX_USD,0)</f>
        <v>4640000</v>
      </c>
      <c r="AJ46" s="33" t="n">
        <f aca="false">IF(AJ$3&gt;=Cloud_Start,INDEX(Cloud_USD,1,AJ$5)*FX_USD,0)</f>
        <v>4640000</v>
      </c>
      <c r="AK46" s="33" t="n">
        <f aca="false">IF(AK$3&gt;=Cloud_Start,INDEX(Cloud_USD,1,AK$5)*FX_USD,0)</f>
        <v>4640000</v>
      </c>
      <c r="AL46" s="33" t="n">
        <f aca="false">IF(AL$3&gt;=Cloud_Start,INDEX(Cloud_USD,1,AL$5)*FX_USD,0)</f>
        <v>4640000</v>
      </c>
      <c r="AM46" s="33" t="n">
        <f aca="false">IF(AM$3&gt;=Cloud_Start,INDEX(Cloud_USD,1,AM$5)*FX_USD,0)</f>
        <v>4640000</v>
      </c>
      <c r="AN46" s="33" t="n">
        <f aca="false">IF(AN$3&gt;=Cloud_Start,INDEX(Cloud_USD,1,AN$5)*FX_USD,0)</f>
        <v>4640000</v>
      </c>
      <c r="AO46" s="33" t="n">
        <f aca="false">IF(AO$3&gt;=Cloud_Start,INDEX(Cloud_USD,1,AO$5)*FX_USD,0)</f>
        <v>5800000</v>
      </c>
      <c r="AP46" s="33" t="n">
        <f aca="false">IF(AP$3&gt;=Cloud_Start,INDEX(Cloud_USD,1,AP$5)*FX_USD,0)</f>
        <v>5800000</v>
      </c>
      <c r="AQ46" s="33" t="n">
        <f aca="false">IF(AQ$3&gt;=Cloud_Start,INDEX(Cloud_USD,1,AQ$5)*FX_USD,0)</f>
        <v>5800000</v>
      </c>
      <c r="AR46" s="33" t="n">
        <f aca="false">IF(AR$3&gt;=Cloud_Start,INDEX(Cloud_USD,1,AR$5)*FX_USD,0)</f>
        <v>5800000</v>
      </c>
      <c r="AS46" s="33" t="n">
        <f aca="false">IF(AS$3&gt;=Cloud_Start,INDEX(Cloud_USD,1,AS$5)*FX_USD,0)</f>
        <v>5800000</v>
      </c>
      <c r="AT46" s="33" t="n">
        <f aca="false">IF(AT$3&gt;=Cloud_Start,INDEX(Cloud_USD,1,AT$5)*FX_USD,0)</f>
        <v>5800000</v>
      </c>
      <c r="AU46" s="33" t="n">
        <f aca="false">IF(AU$3&gt;=Cloud_Start,INDEX(Cloud_USD,1,AU$5)*FX_USD,0)</f>
        <v>5800000</v>
      </c>
      <c r="AV46" s="33" t="n">
        <f aca="false">IF(AV$3&gt;=Cloud_Start,INDEX(Cloud_USD,1,AV$5)*FX_USD,0)</f>
        <v>5800000</v>
      </c>
      <c r="AW46" s="33" t="n">
        <f aca="false">IF(AW$3&gt;=Cloud_Start,INDEX(Cloud_USD,1,AW$5)*FX_USD,0)</f>
        <v>5800000</v>
      </c>
      <c r="AX46" s="33" t="n">
        <f aca="false">IF(AX$3&gt;=Cloud_Start,INDEX(Cloud_USD,1,AX$5)*FX_USD,0)</f>
        <v>5800000</v>
      </c>
      <c r="AY46" s="33" t="n">
        <f aca="false">IF(AY$3&gt;=Cloud_Start,INDEX(Cloud_USD,1,AY$5)*FX_USD,0)</f>
        <v>5800000</v>
      </c>
      <c r="AZ46" s="33" t="n">
        <f aca="false">IF(AZ$3&gt;=Cloud_Start,INDEX(Cloud_USD,1,AZ$5)*FX_USD,0)</f>
        <v>5800000</v>
      </c>
      <c r="BA46" s="33" t="n">
        <f aca="false">IF(BA$3&gt;=Cloud_Start,INDEX(Cloud_USD,1,BA$5)*FX_USD,0)</f>
        <v>6960000</v>
      </c>
      <c r="BB46" s="33" t="n">
        <f aca="false">IF(BB$3&gt;=Cloud_Start,INDEX(Cloud_USD,1,BB$5)*FX_USD,0)</f>
        <v>6960000</v>
      </c>
      <c r="BC46" s="33" t="n">
        <f aca="false">IF(BC$3&gt;=Cloud_Start,INDEX(Cloud_USD,1,BC$5)*FX_USD,0)</f>
        <v>6960000</v>
      </c>
      <c r="BD46" s="33" t="n">
        <f aca="false">IF(BD$3&gt;=Cloud_Start,INDEX(Cloud_USD,1,BD$5)*FX_USD,0)</f>
        <v>6960000</v>
      </c>
      <c r="BE46" s="33" t="n">
        <f aca="false">IF(BE$3&gt;=Cloud_Start,INDEX(Cloud_USD,1,BE$5)*FX_USD,0)</f>
        <v>6960000</v>
      </c>
      <c r="BF46" s="33" t="n">
        <f aca="false">IF(BF$3&gt;=Cloud_Start,INDEX(Cloud_USD,1,BF$5)*FX_USD,0)</f>
        <v>6960000</v>
      </c>
      <c r="BG46" s="33" t="n">
        <f aca="false">IF(BG$3&gt;=Cloud_Start,INDEX(Cloud_USD,1,BG$5)*FX_USD,0)</f>
        <v>6960000</v>
      </c>
      <c r="BH46" s="33" t="n">
        <f aca="false">IF(BH$3&gt;=Cloud_Start,INDEX(Cloud_USD,1,BH$5)*FX_USD,0)</f>
        <v>6960000</v>
      </c>
      <c r="BI46" s="33" t="n">
        <f aca="false">IF(BI$3&gt;=Cloud_Start,INDEX(Cloud_USD,1,BI$5)*FX_USD,0)</f>
        <v>6960000</v>
      </c>
      <c r="BJ46" s="33" t="n">
        <f aca="false">IF(BJ$3&gt;=Cloud_Start,INDEX(Cloud_USD,1,BJ$5)*FX_USD,0)</f>
        <v>6960000</v>
      </c>
      <c r="BK46" s="33" t="n">
        <f aca="false">IF(BK$3&gt;=Cloud_Start,INDEX(Cloud_USD,1,BK$5)*FX_USD,0)</f>
        <v>6960000</v>
      </c>
      <c r="BL46" s="33" t="n">
        <f aca="false">IF(BL$3&gt;=Cloud_Start,INDEX(Cloud_USD,1,BL$5)*FX_USD,0)</f>
        <v>6960000</v>
      </c>
    </row>
    <row r="47" customFormat="false" ht="15" hidden="false" customHeight="false" outlineLevel="0" collapsed="false">
      <c r="A47" s="12" t="s">
        <v>384</v>
      </c>
      <c r="B47" s="14" t="s">
        <v>63</v>
      </c>
      <c r="D47" s="41" t="n">
        <f aca="false">SUM(E47:BL47)</f>
        <v>81780000</v>
      </c>
      <c r="E47" s="33" t="n">
        <f aca="false">INDEX(Monitoring_USD,1,E$5)*FX_USD/12</f>
        <v>290000</v>
      </c>
      <c r="F47" s="33" t="n">
        <f aca="false">INDEX(Monitoring_USD,1,F$5)*FX_USD/12</f>
        <v>290000</v>
      </c>
      <c r="G47" s="33" t="n">
        <f aca="false">INDEX(Monitoring_USD,1,G$5)*FX_USD/12</f>
        <v>290000</v>
      </c>
      <c r="H47" s="33" t="n">
        <f aca="false">INDEX(Monitoring_USD,1,H$5)*FX_USD/12</f>
        <v>290000</v>
      </c>
      <c r="I47" s="33" t="n">
        <f aca="false">INDEX(Monitoring_USD,1,I$5)*FX_USD/12</f>
        <v>290000</v>
      </c>
      <c r="J47" s="33" t="n">
        <f aca="false">INDEX(Monitoring_USD,1,J$5)*FX_USD/12</f>
        <v>290000</v>
      </c>
      <c r="K47" s="33" t="n">
        <f aca="false">INDEX(Monitoring_USD,1,K$5)*FX_USD/12</f>
        <v>290000</v>
      </c>
      <c r="L47" s="33" t="n">
        <f aca="false">INDEX(Monitoring_USD,1,L$5)*FX_USD/12</f>
        <v>290000</v>
      </c>
      <c r="M47" s="33" t="n">
        <f aca="false">INDEX(Monitoring_USD,1,M$5)*FX_USD/12</f>
        <v>290000</v>
      </c>
      <c r="N47" s="33" t="n">
        <f aca="false">INDEX(Monitoring_USD,1,N$5)*FX_USD/12</f>
        <v>290000</v>
      </c>
      <c r="O47" s="33" t="n">
        <f aca="false">INDEX(Monitoring_USD,1,O$5)*FX_USD/12</f>
        <v>290000</v>
      </c>
      <c r="P47" s="33" t="n">
        <f aca="false">INDEX(Monitoring_USD,1,P$5)*FX_USD/12</f>
        <v>290000</v>
      </c>
      <c r="Q47" s="33" t="n">
        <f aca="false">INDEX(Monitoring_USD,1,Q$5)*FX_USD/12</f>
        <v>725000</v>
      </c>
      <c r="R47" s="33" t="n">
        <f aca="false">INDEX(Monitoring_USD,1,R$5)*FX_USD/12</f>
        <v>725000</v>
      </c>
      <c r="S47" s="33" t="n">
        <f aca="false">INDEX(Monitoring_USD,1,S$5)*FX_USD/12</f>
        <v>725000</v>
      </c>
      <c r="T47" s="33" t="n">
        <f aca="false">INDEX(Monitoring_USD,1,T$5)*FX_USD/12</f>
        <v>725000</v>
      </c>
      <c r="U47" s="33" t="n">
        <f aca="false">INDEX(Monitoring_USD,1,U$5)*FX_USD/12</f>
        <v>725000</v>
      </c>
      <c r="V47" s="33" t="n">
        <f aca="false">INDEX(Monitoring_USD,1,V$5)*FX_USD/12</f>
        <v>725000</v>
      </c>
      <c r="W47" s="33" t="n">
        <f aca="false">INDEX(Monitoring_USD,1,W$5)*FX_USD/12</f>
        <v>725000</v>
      </c>
      <c r="X47" s="33" t="n">
        <f aca="false">INDEX(Monitoring_USD,1,X$5)*FX_USD/12</f>
        <v>725000</v>
      </c>
      <c r="Y47" s="33" t="n">
        <f aca="false">INDEX(Monitoring_USD,1,Y$5)*FX_USD/12</f>
        <v>725000</v>
      </c>
      <c r="Z47" s="33" t="n">
        <f aca="false">INDEX(Monitoring_USD,1,Z$5)*FX_USD/12</f>
        <v>725000</v>
      </c>
      <c r="AA47" s="33" t="n">
        <f aca="false">INDEX(Monitoring_USD,1,AA$5)*FX_USD/12</f>
        <v>725000</v>
      </c>
      <c r="AB47" s="33" t="n">
        <f aca="false">INDEX(Monitoring_USD,1,AB$5)*FX_USD/12</f>
        <v>725000</v>
      </c>
      <c r="AC47" s="33" t="n">
        <f aca="false">INDEX(Monitoring_USD,1,AC$5)*FX_USD/12</f>
        <v>1450000</v>
      </c>
      <c r="AD47" s="33" t="n">
        <f aca="false">INDEX(Monitoring_USD,1,AD$5)*FX_USD/12</f>
        <v>1450000</v>
      </c>
      <c r="AE47" s="33" t="n">
        <f aca="false">INDEX(Monitoring_USD,1,AE$5)*FX_USD/12</f>
        <v>1450000</v>
      </c>
      <c r="AF47" s="33" t="n">
        <f aca="false">INDEX(Monitoring_USD,1,AF$5)*FX_USD/12</f>
        <v>1450000</v>
      </c>
      <c r="AG47" s="33" t="n">
        <f aca="false">INDEX(Monitoring_USD,1,AG$5)*FX_USD/12</f>
        <v>1450000</v>
      </c>
      <c r="AH47" s="33" t="n">
        <f aca="false">INDEX(Monitoring_USD,1,AH$5)*FX_USD/12</f>
        <v>1450000</v>
      </c>
      <c r="AI47" s="33" t="n">
        <f aca="false">INDEX(Monitoring_USD,1,AI$5)*FX_USD/12</f>
        <v>1450000</v>
      </c>
      <c r="AJ47" s="33" t="n">
        <f aca="false">INDEX(Monitoring_USD,1,AJ$5)*FX_USD/12</f>
        <v>1450000</v>
      </c>
      <c r="AK47" s="33" t="n">
        <f aca="false">INDEX(Monitoring_USD,1,AK$5)*FX_USD/12</f>
        <v>1450000</v>
      </c>
      <c r="AL47" s="33" t="n">
        <f aca="false">INDEX(Monitoring_USD,1,AL$5)*FX_USD/12</f>
        <v>1450000</v>
      </c>
      <c r="AM47" s="33" t="n">
        <f aca="false">INDEX(Monitoring_USD,1,AM$5)*FX_USD/12</f>
        <v>1450000</v>
      </c>
      <c r="AN47" s="33" t="n">
        <f aca="false">INDEX(Monitoring_USD,1,AN$5)*FX_USD/12</f>
        <v>1450000</v>
      </c>
      <c r="AO47" s="33" t="n">
        <f aca="false">INDEX(Monitoring_USD,1,AO$5)*FX_USD/12</f>
        <v>1933333.33333333</v>
      </c>
      <c r="AP47" s="33" t="n">
        <f aca="false">INDEX(Monitoring_USD,1,AP$5)*FX_USD/12</f>
        <v>1933333.33333333</v>
      </c>
      <c r="AQ47" s="33" t="n">
        <f aca="false">INDEX(Monitoring_USD,1,AQ$5)*FX_USD/12</f>
        <v>1933333.33333333</v>
      </c>
      <c r="AR47" s="33" t="n">
        <f aca="false">INDEX(Monitoring_USD,1,AR$5)*FX_USD/12</f>
        <v>1933333.33333333</v>
      </c>
      <c r="AS47" s="33" t="n">
        <f aca="false">INDEX(Monitoring_USD,1,AS$5)*FX_USD/12</f>
        <v>1933333.33333333</v>
      </c>
      <c r="AT47" s="33" t="n">
        <f aca="false">INDEX(Monitoring_USD,1,AT$5)*FX_USD/12</f>
        <v>1933333.33333333</v>
      </c>
      <c r="AU47" s="33" t="n">
        <f aca="false">INDEX(Monitoring_USD,1,AU$5)*FX_USD/12</f>
        <v>1933333.33333333</v>
      </c>
      <c r="AV47" s="33" t="n">
        <f aca="false">INDEX(Monitoring_USD,1,AV$5)*FX_USD/12</f>
        <v>1933333.33333333</v>
      </c>
      <c r="AW47" s="33" t="n">
        <f aca="false">INDEX(Monitoring_USD,1,AW$5)*FX_USD/12</f>
        <v>1933333.33333333</v>
      </c>
      <c r="AX47" s="33" t="n">
        <f aca="false">INDEX(Monitoring_USD,1,AX$5)*FX_USD/12</f>
        <v>1933333.33333333</v>
      </c>
      <c r="AY47" s="33" t="n">
        <f aca="false">INDEX(Monitoring_USD,1,AY$5)*FX_USD/12</f>
        <v>1933333.33333333</v>
      </c>
      <c r="AZ47" s="33" t="n">
        <f aca="false">INDEX(Monitoring_USD,1,AZ$5)*FX_USD/12</f>
        <v>1933333.33333333</v>
      </c>
      <c r="BA47" s="33" t="n">
        <f aca="false">INDEX(Monitoring_USD,1,BA$5)*FX_USD/12</f>
        <v>2416666.66666667</v>
      </c>
      <c r="BB47" s="33" t="n">
        <f aca="false">INDEX(Monitoring_USD,1,BB$5)*FX_USD/12</f>
        <v>2416666.66666667</v>
      </c>
      <c r="BC47" s="33" t="n">
        <f aca="false">INDEX(Monitoring_USD,1,BC$5)*FX_USD/12</f>
        <v>2416666.66666667</v>
      </c>
      <c r="BD47" s="33" t="n">
        <f aca="false">INDEX(Monitoring_USD,1,BD$5)*FX_USD/12</f>
        <v>2416666.66666667</v>
      </c>
      <c r="BE47" s="33" t="n">
        <f aca="false">INDEX(Monitoring_USD,1,BE$5)*FX_USD/12</f>
        <v>2416666.66666667</v>
      </c>
      <c r="BF47" s="33" t="n">
        <f aca="false">INDEX(Monitoring_USD,1,BF$5)*FX_USD/12</f>
        <v>2416666.66666667</v>
      </c>
      <c r="BG47" s="33" t="n">
        <f aca="false">INDEX(Monitoring_USD,1,BG$5)*FX_USD/12</f>
        <v>2416666.66666667</v>
      </c>
      <c r="BH47" s="33" t="n">
        <f aca="false">INDEX(Monitoring_USD,1,BH$5)*FX_USD/12</f>
        <v>2416666.66666667</v>
      </c>
      <c r="BI47" s="33" t="n">
        <f aca="false">INDEX(Monitoring_USD,1,BI$5)*FX_USD/12</f>
        <v>2416666.66666667</v>
      </c>
      <c r="BJ47" s="33" t="n">
        <f aca="false">INDEX(Monitoring_USD,1,BJ$5)*FX_USD/12</f>
        <v>2416666.66666667</v>
      </c>
      <c r="BK47" s="33" t="n">
        <f aca="false">INDEX(Monitoring_USD,1,BK$5)*FX_USD/12</f>
        <v>2416666.66666667</v>
      </c>
      <c r="BL47" s="33" t="n">
        <f aca="false">INDEX(Monitoring_USD,1,BL$5)*FX_USD/12</f>
        <v>2416666.66666667</v>
      </c>
    </row>
    <row r="48" customFormat="false" ht="15" hidden="false" customHeight="false" outlineLevel="0" collapsed="false">
      <c r="A48" s="12" t="s">
        <v>385</v>
      </c>
      <c r="B48" s="14" t="s">
        <v>63</v>
      </c>
      <c r="D48" s="41" t="n">
        <f aca="false">SUM(E48:BL48)</f>
        <v>69600000</v>
      </c>
      <c r="E48" s="33" t="n">
        <f aca="false">INDEX(Backoffice_USD,1,E$5)*FX_USD/12</f>
        <v>580000</v>
      </c>
      <c r="F48" s="33" t="n">
        <f aca="false">INDEX(Backoffice_USD,1,F$5)*FX_USD/12</f>
        <v>580000</v>
      </c>
      <c r="G48" s="33" t="n">
        <f aca="false">INDEX(Backoffice_USD,1,G$5)*FX_USD/12</f>
        <v>580000</v>
      </c>
      <c r="H48" s="33" t="n">
        <f aca="false">INDEX(Backoffice_USD,1,H$5)*FX_USD/12</f>
        <v>580000</v>
      </c>
      <c r="I48" s="33" t="n">
        <f aca="false">INDEX(Backoffice_USD,1,I$5)*FX_USD/12</f>
        <v>580000</v>
      </c>
      <c r="J48" s="33" t="n">
        <f aca="false">INDEX(Backoffice_USD,1,J$5)*FX_USD/12</f>
        <v>580000</v>
      </c>
      <c r="K48" s="33" t="n">
        <f aca="false">INDEX(Backoffice_USD,1,K$5)*FX_USD/12</f>
        <v>580000</v>
      </c>
      <c r="L48" s="33" t="n">
        <f aca="false">INDEX(Backoffice_USD,1,L$5)*FX_USD/12</f>
        <v>580000</v>
      </c>
      <c r="M48" s="33" t="n">
        <f aca="false">INDEX(Backoffice_USD,1,M$5)*FX_USD/12</f>
        <v>580000</v>
      </c>
      <c r="N48" s="33" t="n">
        <f aca="false">INDEX(Backoffice_USD,1,N$5)*FX_USD/12</f>
        <v>580000</v>
      </c>
      <c r="O48" s="33" t="n">
        <f aca="false">INDEX(Backoffice_USD,1,O$5)*FX_USD/12</f>
        <v>580000</v>
      </c>
      <c r="P48" s="33" t="n">
        <f aca="false">INDEX(Backoffice_USD,1,P$5)*FX_USD/12</f>
        <v>580000</v>
      </c>
      <c r="Q48" s="33" t="n">
        <f aca="false">INDEX(Backoffice_USD,1,Q$5)*FX_USD/12</f>
        <v>870000</v>
      </c>
      <c r="R48" s="33" t="n">
        <f aca="false">INDEX(Backoffice_USD,1,R$5)*FX_USD/12</f>
        <v>870000</v>
      </c>
      <c r="S48" s="33" t="n">
        <f aca="false">INDEX(Backoffice_USD,1,S$5)*FX_USD/12</f>
        <v>870000</v>
      </c>
      <c r="T48" s="33" t="n">
        <f aca="false">INDEX(Backoffice_USD,1,T$5)*FX_USD/12</f>
        <v>870000</v>
      </c>
      <c r="U48" s="33" t="n">
        <f aca="false">INDEX(Backoffice_USD,1,U$5)*FX_USD/12</f>
        <v>870000</v>
      </c>
      <c r="V48" s="33" t="n">
        <f aca="false">INDEX(Backoffice_USD,1,V$5)*FX_USD/12</f>
        <v>870000</v>
      </c>
      <c r="W48" s="33" t="n">
        <f aca="false">INDEX(Backoffice_USD,1,W$5)*FX_USD/12</f>
        <v>870000</v>
      </c>
      <c r="X48" s="33" t="n">
        <f aca="false">INDEX(Backoffice_USD,1,X$5)*FX_USD/12</f>
        <v>870000</v>
      </c>
      <c r="Y48" s="33" t="n">
        <f aca="false">INDEX(Backoffice_USD,1,Y$5)*FX_USD/12</f>
        <v>870000</v>
      </c>
      <c r="Z48" s="33" t="n">
        <f aca="false">INDEX(Backoffice_USD,1,Z$5)*FX_USD/12</f>
        <v>870000</v>
      </c>
      <c r="AA48" s="33" t="n">
        <f aca="false">INDEX(Backoffice_USD,1,AA$5)*FX_USD/12</f>
        <v>870000</v>
      </c>
      <c r="AB48" s="33" t="n">
        <f aca="false">INDEX(Backoffice_USD,1,AB$5)*FX_USD/12</f>
        <v>870000</v>
      </c>
      <c r="AC48" s="33" t="n">
        <f aca="false">INDEX(Backoffice_USD,1,AC$5)*FX_USD/12</f>
        <v>1160000</v>
      </c>
      <c r="AD48" s="33" t="n">
        <f aca="false">INDEX(Backoffice_USD,1,AD$5)*FX_USD/12</f>
        <v>1160000</v>
      </c>
      <c r="AE48" s="33" t="n">
        <f aca="false">INDEX(Backoffice_USD,1,AE$5)*FX_USD/12</f>
        <v>1160000</v>
      </c>
      <c r="AF48" s="33" t="n">
        <f aca="false">INDEX(Backoffice_USD,1,AF$5)*FX_USD/12</f>
        <v>1160000</v>
      </c>
      <c r="AG48" s="33" t="n">
        <f aca="false">INDEX(Backoffice_USD,1,AG$5)*FX_USD/12</f>
        <v>1160000</v>
      </c>
      <c r="AH48" s="33" t="n">
        <f aca="false">INDEX(Backoffice_USD,1,AH$5)*FX_USD/12</f>
        <v>1160000</v>
      </c>
      <c r="AI48" s="33" t="n">
        <f aca="false">INDEX(Backoffice_USD,1,AI$5)*FX_USD/12</f>
        <v>1160000</v>
      </c>
      <c r="AJ48" s="33" t="n">
        <f aca="false">INDEX(Backoffice_USD,1,AJ$5)*FX_USD/12</f>
        <v>1160000</v>
      </c>
      <c r="AK48" s="33" t="n">
        <f aca="false">INDEX(Backoffice_USD,1,AK$5)*FX_USD/12</f>
        <v>1160000</v>
      </c>
      <c r="AL48" s="33" t="n">
        <f aca="false">INDEX(Backoffice_USD,1,AL$5)*FX_USD/12</f>
        <v>1160000</v>
      </c>
      <c r="AM48" s="33" t="n">
        <f aca="false">INDEX(Backoffice_USD,1,AM$5)*FX_USD/12</f>
        <v>1160000</v>
      </c>
      <c r="AN48" s="33" t="n">
        <f aca="false">INDEX(Backoffice_USD,1,AN$5)*FX_USD/12</f>
        <v>1160000</v>
      </c>
      <c r="AO48" s="33" t="n">
        <f aca="false">INDEX(Backoffice_USD,1,AO$5)*FX_USD/12</f>
        <v>1450000</v>
      </c>
      <c r="AP48" s="33" t="n">
        <f aca="false">INDEX(Backoffice_USD,1,AP$5)*FX_USD/12</f>
        <v>1450000</v>
      </c>
      <c r="AQ48" s="33" t="n">
        <f aca="false">INDEX(Backoffice_USD,1,AQ$5)*FX_USD/12</f>
        <v>1450000</v>
      </c>
      <c r="AR48" s="33" t="n">
        <f aca="false">INDEX(Backoffice_USD,1,AR$5)*FX_USD/12</f>
        <v>1450000</v>
      </c>
      <c r="AS48" s="33" t="n">
        <f aca="false">INDEX(Backoffice_USD,1,AS$5)*FX_USD/12</f>
        <v>1450000</v>
      </c>
      <c r="AT48" s="33" t="n">
        <f aca="false">INDEX(Backoffice_USD,1,AT$5)*FX_USD/12</f>
        <v>1450000</v>
      </c>
      <c r="AU48" s="33" t="n">
        <f aca="false">INDEX(Backoffice_USD,1,AU$5)*FX_USD/12</f>
        <v>1450000</v>
      </c>
      <c r="AV48" s="33" t="n">
        <f aca="false">INDEX(Backoffice_USD,1,AV$5)*FX_USD/12</f>
        <v>1450000</v>
      </c>
      <c r="AW48" s="33" t="n">
        <f aca="false">INDEX(Backoffice_USD,1,AW$5)*FX_USD/12</f>
        <v>1450000</v>
      </c>
      <c r="AX48" s="33" t="n">
        <f aca="false">INDEX(Backoffice_USD,1,AX$5)*FX_USD/12</f>
        <v>1450000</v>
      </c>
      <c r="AY48" s="33" t="n">
        <f aca="false">INDEX(Backoffice_USD,1,AY$5)*FX_USD/12</f>
        <v>1450000</v>
      </c>
      <c r="AZ48" s="33" t="n">
        <f aca="false">INDEX(Backoffice_USD,1,AZ$5)*FX_USD/12</f>
        <v>1450000</v>
      </c>
      <c r="BA48" s="33" t="n">
        <f aca="false">INDEX(Backoffice_USD,1,BA$5)*FX_USD/12</f>
        <v>1740000</v>
      </c>
      <c r="BB48" s="33" t="n">
        <f aca="false">INDEX(Backoffice_USD,1,BB$5)*FX_USD/12</f>
        <v>1740000</v>
      </c>
      <c r="BC48" s="33" t="n">
        <f aca="false">INDEX(Backoffice_USD,1,BC$5)*FX_USD/12</f>
        <v>1740000</v>
      </c>
      <c r="BD48" s="33" t="n">
        <f aca="false">INDEX(Backoffice_USD,1,BD$5)*FX_USD/12</f>
        <v>1740000</v>
      </c>
      <c r="BE48" s="33" t="n">
        <f aca="false">INDEX(Backoffice_USD,1,BE$5)*FX_USD/12</f>
        <v>1740000</v>
      </c>
      <c r="BF48" s="33" t="n">
        <f aca="false">INDEX(Backoffice_USD,1,BF$5)*FX_USD/12</f>
        <v>1740000</v>
      </c>
      <c r="BG48" s="33" t="n">
        <f aca="false">INDEX(Backoffice_USD,1,BG$5)*FX_USD/12</f>
        <v>1740000</v>
      </c>
      <c r="BH48" s="33" t="n">
        <f aca="false">INDEX(Backoffice_USD,1,BH$5)*FX_USD/12</f>
        <v>1740000</v>
      </c>
      <c r="BI48" s="33" t="n">
        <f aca="false">INDEX(Backoffice_USD,1,BI$5)*FX_USD/12</f>
        <v>1740000</v>
      </c>
      <c r="BJ48" s="33" t="n">
        <f aca="false">INDEX(Backoffice_USD,1,BJ$5)*FX_USD/12</f>
        <v>1740000</v>
      </c>
      <c r="BK48" s="33" t="n">
        <f aca="false">INDEX(Backoffice_USD,1,BK$5)*FX_USD/12</f>
        <v>1740000</v>
      </c>
      <c r="BL48" s="33" t="n">
        <f aca="false">INDEX(Backoffice_USD,1,BL$5)*FX_USD/12</f>
        <v>1740000</v>
      </c>
    </row>
    <row r="49" customFormat="false" ht="15" hidden="false" customHeight="false" outlineLevel="0" collapsed="false">
      <c r="A49" s="12" t="s">
        <v>350</v>
      </c>
      <c r="B49" s="14" t="s">
        <v>63</v>
      </c>
      <c r="D49" s="41" t="n">
        <f aca="false">SUM(E49:BL49)</f>
        <v>78833600</v>
      </c>
      <c r="E49" s="33" t="n">
        <f aca="false">Staff!E179*Tools_USD*FX_USD</f>
        <v>162400</v>
      </c>
      <c r="F49" s="33" t="n">
        <f aca="false">Staff!F179*Tools_USD*FX_USD</f>
        <v>185600</v>
      </c>
      <c r="G49" s="33" t="n">
        <f aca="false">Staff!G179*Tools_USD*FX_USD</f>
        <v>232000</v>
      </c>
      <c r="H49" s="33" t="n">
        <f aca="false">Staff!H179*Tools_USD*FX_USD</f>
        <v>371200</v>
      </c>
      <c r="I49" s="33" t="n">
        <f aca="false">Staff!I179*Tools_USD*FX_USD</f>
        <v>371200</v>
      </c>
      <c r="J49" s="33" t="n">
        <f aca="false">Staff!J179*Tools_USD*FX_USD</f>
        <v>394400</v>
      </c>
      <c r="K49" s="33" t="n">
        <f aca="false">Staff!K179*Tools_USD*FX_USD</f>
        <v>487200</v>
      </c>
      <c r="L49" s="33" t="n">
        <f aca="false">Staff!L179*Tools_USD*FX_USD</f>
        <v>487200</v>
      </c>
      <c r="M49" s="33" t="n">
        <f aca="false">Staff!M179*Tools_USD*FX_USD</f>
        <v>487200</v>
      </c>
      <c r="N49" s="33" t="n">
        <f aca="false">Staff!N179*Tools_USD*FX_USD</f>
        <v>510400</v>
      </c>
      <c r="O49" s="33" t="n">
        <f aca="false">Staff!O179*Tools_USD*FX_USD</f>
        <v>510400</v>
      </c>
      <c r="P49" s="33" t="n">
        <f aca="false">Staff!P179*Tools_USD*FX_USD</f>
        <v>510400</v>
      </c>
      <c r="Q49" s="33" t="n">
        <f aca="false">Staff!Q179*Tools_USD*FX_USD</f>
        <v>533600</v>
      </c>
      <c r="R49" s="33" t="n">
        <f aca="false">Staff!R179*Tools_USD*FX_USD</f>
        <v>533600</v>
      </c>
      <c r="S49" s="33" t="n">
        <f aca="false">Staff!S179*Tools_USD*FX_USD</f>
        <v>533600</v>
      </c>
      <c r="T49" s="33" t="n">
        <f aca="false">Staff!T179*Tools_USD*FX_USD</f>
        <v>556800</v>
      </c>
      <c r="U49" s="33" t="n">
        <f aca="false">Staff!U179*Tools_USD*FX_USD</f>
        <v>556800</v>
      </c>
      <c r="V49" s="33" t="n">
        <f aca="false">Staff!V179*Tools_USD*FX_USD</f>
        <v>556800</v>
      </c>
      <c r="W49" s="33" t="n">
        <f aca="false">Staff!W179*Tools_USD*FX_USD</f>
        <v>1067200</v>
      </c>
      <c r="X49" s="33" t="n">
        <f aca="false">Staff!X179*Tools_USD*FX_USD</f>
        <v>1067200</v>
      </c>
      <c r="Y49" s="33" t="n">
        <f aca="false">Staff!Y179*Tools_USD*FX_USD</f>
        <v>1067200</v>
      </c>
      <c r="Z49" s="33" t="n">
        <f aca="false">Staff!Z179*Tools_USD*FX_USD</f>
        <v>1067200</v>
      </c>
      <c r="AA49" s="33" t="n">
        <f aca="false">Staff!AA179*Tools_USD*FX_USD</f>
        <v>1067200</v>
      </c>
      <c r="AB49" s="33" t="n">
        <f aca="false">Staff!AB179*Tools_USD*FX_USD</f>
        <v>1067200</v>
      </c>
      <c r="AC49" s="33" t="n">
        <f aca="false">Staff!AC179*Tools_USD*FX_USD</f>
        <v>1136800</v>
      </c>
      <c r="AD49" s="33" t="n">
        <f aca="false">Staff!AD179*Tools_USD*FX_USD</f>
        <v>1136800</v>
      </c>
      <c r="AE49" s="33" t="n">
        <f aca="false">Staff!AE179*Tools_USD*FX_USD</f>
        <v>1136800</v>
      </c>
      <c r="AF49" s="33" t="n">
        <f aca="false">Staff!AF179*Tools_USD*FX_USD</f>
        <v>1136800</v>
      </c>
      <c r="AG49" s="33" t="n">
        <f aca="false">Staff!AG179*Tools_USD*FX_USD</f>
        <v>1136800</v>
      </c>
      <c r="AH49" s="33" t="n">
        <f aca="false">Staff!AH179*Tools_USD*FX_USD</f>
        <v>1136800</v>
      </c>
      <c r="AI49" s="33" t="n">
        <f aca="false">Staff!AI179*Tools_USD*FX_USD</f>
        <v>1531200</v>
      </c>
      <c r="AJ49" s="33" t="n">
        <f aca="false">Staff!AJ179*Tools_USD*FX_USD</f>
        <v>1531200</v>
      </c>
      <c r="AK49" s="33" t="n">
        <f aca="false">Staff!AK179*Tools_USD*FX_USD</f>
        <v>1531200</v>
      </c>
      <c r="AL49" s="33" t="n">
        <f aca="false">Staff!AL179*Tools_USD*FX_USD</f>
        <v>1531200</v>
      </c>
      <c r="AM49" s="33" t="n">
        <f aca="false">Staff!AM179*Tools_USD*FX_USD</f>
        <v>1531200</v>
      </c>
      <c r="AN49" s="33" t="n">
        <f aca="false">Staff!AN179*Tools_USD*FX_USD</f>
        <v>1531200</v>
      </c>
      <c r="AO49" s="33" t="n">
        <f aca="false">Staff!AO179*Tools_USD*FX_USD</f>
        <v>1577600</v>
      </c>
      <c r="AP49" s="33" t="n">
        <f aca="false">Staff!AP179*Tools_USD*FX_USD</f>
        <v>1577600</v>
      </c>
      <c r="AQ49" s="33" t="n">
        <f aca="false">Staff!AQ179*Tools_USD*FX_USD</f>
        <v>1577600</v>
      </c>
      <c r="AR49" s="33" t="n">
        <f aca="false">Staff!AR179*Tools_USD*FX_USD</f>
        <v>1577600</v>
      </c>
      <c r="AS49" s="33" t="n">
        <f aca="false">Staff!AS179*Tools_USD*FX_USD</f>
        <v>1577600</v>
      </c>
      <c r="AT49" s="33" t="n">
        <f aca="false">Staff!AT179*Tools_USD*FX_USD</f>
        <v>1577600</v>
      </c>
      <c r="AU49" s="33" t="n">
        <f aca="false">Staff!AU179*Tools_USD*FX_USD</f>
        <v>1995200</v>
      </c>
      <c r="AV49" s="33" t="n">
        <f aca="false">Staff!AV179*Tools_USD*FX_USD</f>
        <v>1995200</v>
      </c>
      <c r="AW49" s="33" t="n">
        <f aca="false">Staff!AW179*Tools_USD*FX_USD</f>
        <v>1995200</v>
      </c>
      <c r="AX49" s="33" t="n">
        <f aca="false">Staff!AX179*Tools_USD*FX_USD</f>
        <v>1995200</v>
      </c>
      <c r="AY49" s="33" t="n">
        <f aca="false">Staff!AY179*Tools_USD*FX_USD</f>
        <v>1995200</v>
      </c>
      <c r="AZ49" s="33" t="n">
        <f aca="false">Staff!AZ179*Tools_USD*FX_USD</f>
        <v>1995200</v>
      </c>
      <c r="BA49" s="33" t="n">
        <f aca="false">Staff!BA179*Tools_USD*FX_USD</f>
        <v>2250400</v>
      </c>
      <c r="BB49" s="33" t="n">
        <f aca="false">Staff!BB179*Tools_USD*FX_USD</f>
        <v>2250400</v>
      </c>
      <c r="BC49" s="33" t="n">
        <f aca="false">Staff!BC179*Tools_USD*FX_USD</f>
        <v>2250400</v>
      </c>
      <c r="BD49" s="33" t="n">
        <f aca="false">Staff!BD179*Tools_USD*FX_USD</f>
        <v>2250400</v>
      </c>
      <c r="BE49" s="33" t="n">
        <f aca="false">Staff!BE179*Tools_USD*FX_USD</f>
        <v>2250400</v>
      </c>
      <c r="BF49" s="33" t="n">
        <f aca="false">Staff!BF179*Tools_USD*FX_USD</f>
        <v>2250400</v>
      </c>
      <c r="BG49" s="33" t="n">
        <f aca="false">Staff!BG179*Tools_USD*FX_USD</f>
        <v>2250400</v>
      </c>
      <c r="BH49" s="33" t="n">
        <f aca="false">Staff!BH179*Tools_USD*FX_USD</f>
        <v>2250400</v>
      </c>
      <c r="BI49" s="33" t="n">
        <f aca="false">Staff!BI179*Tools_USD*FX_USD</f>
        <v>2250400</v>
      </c>
      <c r="BJ49" s="33" t="n">
        <f aca="false">Staff!BJ179*Tools_USD*FX_USD</f>
        <v>2250400</v>
      </c>
      <c r="BK49" s="33" t="n">
        <f aca="false">Staff!BK179*Tools_USD*FX_USD</f>
        <v>2250400</v>
      </c>
      <c r="BL49" s="33" t="n">
        <f aca="false">Staff!BL179*Tools_USD*FX_USD</f>
        <v>2250400</v>
      </c>
    </row>
    <row r="50" customFormat="false" ht="15" hidden="false" customHeight="false" outlineLevel="0" collapsed="false">
      <c r="A50" s="12" t="s">
        <v>651</v>
      </c>
      <c r="B50" s="14" t="s">
        <v>63</v>
      </c>
      <c r="D50" s="41" t="n">
        <f aca="false">SUM(E50:BL50)</f>
        <v>70800000</v>
      </c>
      <c r="E50" s="33" t="n">
        <f aca="false">INDEX(Freelance,1,E$5)/12</f>
        <v>1308333.33333333</v>
      </c>
      <c r="F50" s="33" t="n">
        <f aca="false">INDEX(Freelance,1,F$5)/12</f>
        <v>1308333.33333333</v>
      </c>
      <c r="G50" s="33" t="n">
        <f aca="false">INDEX(Freelance,1,G$5)/12</f>
        <v>1308333.33333333</v>
      </c>
      <c r="H50" s="33" t="n">
        <f aca="false">INDEX(Freelance,1,H$5)/12</f>
        <v>1308333.33333333</v>
      </c>
      <c r="I50" s="33" t="n">
        <f aca="false">INDEX(Freelance,1,I$5)/12</f>
        <v>1308333.33333333</v>
      </c>
      <c r="J50" s="33" t="n">
        <f aca="false">INDEX(Freelance,1,J$5)/12</f>
        <v>1308333.33333333</v>
      </c>
      <c r="K50" s="33" t="n">
        <f aca="false">INDEX(Freelance,1,K$5)/12</f>
        <v>1308333.33333333</v>
      </c>
      <c r="L50" s="33" t="n">
        <f aca="false">INDEX(Freelance,1,L$5)/12</f>
        <v>1308333.33333333</v>
      </c>
      <c r="M50" s="33" t="n">
        <f aca="false">INDEX(Freelance,1,M$5)/12</f>
        <v>1308333.33333333</v>
      </c>
      <c r="N50" s="33" t="n">
        <f aca="false">INDEX(Freelance,1,N$5)/12</f>
        <v>1308333.33333333</v>
      </c>
      <c r="O50" s="33" t="n">
        <f aca="false">INDEX(Freelance,1,O$5)/12</f>
        <v>1308333.33333333</v>
      </c>
      <c r="P50" s="33" t="n">
        <f aca="false">INDEX(Freelance,1,P$5)/12</f>
        <v>1308333.33333333</v>
      </c>
      <c r="Q50" s="33" t="n">
        <f aca="false">INDEX(Freelance,1,Q$5)/12</f>
        <v>1641666.66666667</v>
      </c>
      <c r="R50" s="33" t="n">
        <f aca="false">INDEX(Freelance,1,R$5)/12</f>
        <v>1641666.66666667</v>
      </c>
      <c r="S50" s="33" t="n">
        <f aca="false">INDEX(Freelance,1,S$5)/12</f>
        <v>1641666.66666667</v>
      </c>
      <c r="T50" s="33" t="n">
        <f aca="false">INDEX(Freelance,1,T$5)/12</f>
        <v>1641666.66666667</v>
      </c>
      <c r="U50" s="33" t="n">
        <f aca="false">INDEX(Freelance,1,U$5)/12</f>
        <v>1641666.66666667</v>
      </c>
      <c r="V50" s="33" t="n">
        <f aca="false">INDEX(Freelance,1,V$5)/12</f>
        <v>1641666.66666667</v>
      </c>
      <c r="W50" s="33" t="n">
        <f aca="false">INDEX(Freelance,1,W$5)/12</f>
        <v>1641666.66666667</v>
      </c>
      <c r="X50" s="33" t="n">
        <f aca="false">INDEX(Freelance,1,X$5)/12</f>
        <v>1641666.66666667</v>
      </c>
      <c r="Y50" s="33" t="n">
        <f aca="false">INDEX(Freelance,1,Y$5)/12</f>
        <v>1641666.66666667</v>
      </c>
      <c r="Z50" s="33" t="n">
        <f aca="false">INDEX(Freelance,1,Z$5)/12</f>
        <v>1641666.66666667</v>
      </c>
      <c r="AA50" s="33" t="n">
        <f aca="false">INDEX(Freelance,1,AA$5)/12</f>
        <v>1641666.66666667</v>
      </c>
      <c r="AB50" s="33" t="n">
        <f aca="false">INDEX(Freelance,1,AB$5)/12</f>
        <v>1641666.66666667</v>
      </c>
      <c r="AC50" s="33" t="n">
        <f aca="false">INDEX(Freelance,1,AC$5)/12</f>
        <v>983333.333333333</v>
      </c>
      <c r="AD50" s="33" t="n">
        <f aca="false">INDEX(Freelance,1,AD$5)/12</f>
        <v>983333.333333333</v>
      </c>
      <c r="AE50" s="33" t="n">
        <f aca="false">INDEX(Freelance,1,AE$5)/12</f>
        <v>983333.333333333</v>
      </c>
      <c r="AF50" s="33" t="n">
        <f aca="false">INDEX(Freelance,1,AF$5)/12</f>
        <v>983333.333333333</v>
      </c>
      <c r="AG50" s="33" t="n">
        <f aca="false">INDEX(Freelance,1,AG$5)/12</f>
        <v>983333.333333333</v>
      </c>
      <c r="AH50" s="33" t="n">
        <f aca="false">INDEX(Freelance,1,AH$5)/12</f>
        <v>983333.333333333</v>
      </c>
      <c r="AI50" s="33" t="n">
        <f aca="false">INDEX(Freelance,1,AI$5)/12</f>
        <v>983333.333333333</v>
      </c>
      <c r="AJ50" s="33" t="n">
        <f aca="false">INDEX(Freelance,1,AJ$5)/12</f>
        <v>983333.333333333</v>
      </c>
      <c r="AK50" s="33" t="n">
        <f aca="false">INDEX(Freelance,1,AK$5)/12</f>
        <v>983333.333333333</v>
      </c>
      <c r="AL50" s="33" t="n">
        <f aca="false">INDEX(Freelance,1,AL$5)/12</f>
        <v>983333.333333333</v>
      </c>
      <c r="AM50" s="33" t="n">
        <f aca="false">INDEX(Freelance,1,AM$5)/12</f>
        <v>983333.333333333</v>
      </c>
      <c r="AN50" s="33" t="n">
        <f aca="false">INDEX(Freelance,1,AN$5)/12</f>
        <v>983333.333333333</v>
      </c>
      <c r="AO50" s="33" t="n">
        <f aca="false">INDEX(Freelance,1,AO$5)/12</f>
        <v>983333.333333333</v>
      </c>
      <c r="AP50" s="33" t="n">
        <f aca="false">INDEX(Freelance,1,AP$5)/12</f>
        <v>983333.333333333</v>
      </c>
      <c r="AQ50" s="33" t="n">
        <f aca="false">INDEX(Freelance,1,AQ$5)/12</f>
        <v>983333.333333333</v>
      </c>
      <c r="AR50" s="33" t="n">
        <f aca="false">INDEX(Freelance,1,AR$5)/12</f>
        <v>983333.333333333</v>
      </c>
      <c r="AS50" s="33" t="n">
        <f aca="false">INDEX(Freelance,1,AS$5)/12</f>
        <v>983333.333333333</v>
      </c>
      <c r="AT50" s="33" t="n">
        <f aca="false">INDEX(Freelance,1,AT$5)/12</f>
        <v>983333.333333333</v>
      </c>
      <c r="AU50" s="33" t="n">
        <f aca="false">INDEX(Freelance,1,AU$5)/12</f>
        <v>983333.333333333</v>
      </c>
      <c r="AV50" s="33" t="n">
        <f aca="false">INDEX(Freelance,1,AV$5)/12</f>
        <v>983333.333333333</v>
      </c>
      <c r="AW50" s="33" t="n">
        <f aca="false">INDEX(Freelance,1,AW$5)/12</f>
        <v>983333.333333333</v>
      </c>
      <c r="AX50" s="33" t="n">
        <f aca="false">INDEX(Freelance,1,AX$5)/12</f>
        <v>983333.333333333</v>
      </c>
      <c r="AY50" s="33" t="n">
        <f aca="false">INDEX(Freelance,1,AY$5)/12</f>
        <v>983333.333333333</v>
      </c>
      <c r="AZ50" s="33" t="n">
        <f aca="false">INDEX(Freelance,1,AZ$5)/12</f>
        <v>983333.333333333</v>
      </c>
      <c r="BA50" s="33" t="n">
        <f aca="false">INDEX(Freelance,1,BA$5)/12</f>
        <v>983333.333333333</v>
      </c>
      <c r="BB50" s="33" t="n">
        <f aca="false">INDEX(Freelance,1,BB$5)/12</f>
        <v>983333.333333333</v>
      </c>
      <c r="BC50" s="33" t="n">
        <f aca="false">INDEX(Freelance,1,BC$5)/12</f>
        <v>983333.333333333</v>
      </c>
      <c r="BD50" s="33" t="n">
        <f aca="false">INDEX(Freelance,1,BD$5)/12</f>
        <v>983333.333333333</v>
      </c>
      <c r="BE50" s="33" t="n">
        <f aca="false">INDEX(Freelance,1,BE$5)/12</f>
        <v>983333.333333333</v>
      </c>
      <c r="BF50" s="33" t="n">
        <f aca="false">INDEX(Freelance,1,BF$5)/12</f>
        <v>983333.333333333</v>
      </c>
      <c r="BG50" s="33" t="n">
        <f aca="false">INDEX(Freelance,1,BG$5)/12</f>
        <v>983333.333333333</v>
      </c>
      <c r="BH50" s="33" t="n">
        <f aca="false">INDEX(Freelance,1,BH$5)/12</f>
        <v>983333.333333333</v>
      </c>
      <c r="BI50" s="33" t="n">
        <f aca="false">INDEX(Freelance,1,BI$5)/12</f>
        <v>983333.333333333</v>
      </c>
      <c r="BJ50" s="33" t="n">
        <f aca="false">INDEX(Freelance,1,BJ$5)/12</f>
        <v>983333.333333333</v>
      </c>
      <c r="BK50" s="33" t="n">
        <f aca="false">INDEX(Freelance,1,BK$5)/12</f>
        <v>983333.333333333</v>
      </c>
      <c r="BL50" s="33" t="n">
        <f aca="false">INDEX(Freelance,1,BL$5)/12</f>
        <v>983333.333333333</v>
      </c>
    </row>
    <row r="51" customFormat="false" ht="15" hidden="false" customHeight="false" outlineLevel="0" collapsed="false">
      <c r="A51" s="12" t="s">
        <v>387</v>
      </c>
      <c r="B51" s="14" t="s">
        <v>63</v>
      </c>
      <c r="D51" s="41" t="n">
        <f aca="false">SUM(E51:BL51)</f>
        <v>127600000</v>
      </c>
      <c r="E51" s="33" t="n">
        <f aca="false">INDEX(Security_USD,1,E$5)*FX_USD/12</f>
        <v>1208333.33333333</v>
      </c>
      <c r="F51" s="33" t="n">
        <f aca="false">INDEX(Security_USD,1,F$5)*FX_USD/12</f>
        <v>1208333.33333333</v>
      </c>
      <c r="G51" s="33" t="n">
        <f aca="false">INDEX(Security_USD,1,G$5)*FX_USD/12</f>
        <v>1208333.33333333</v>
      </c>
      <c r="H51" s="33" t="n">
        <f aca="false">INDEX(Security_USD,1,H$5)*FX_USD/12</f>
        <v>1208333.33333333</v>
      </c>
      <c r="I51" s="33" t="n">
        <f aca="false">INDEX(Security_USD,1,I$5)*FX_USD/12</f>
        <v>1208333.33333333</v>
      </c>
      <c r="J51" s="33" t="n">
        <f aca="false">INDEX(Security_USD,1,J$5)*FX_USD/12</f>
        <v>1208333.33333333</v>
      </c>
      <c r="K51" s="33" t="n">
        <f aca="false">INDEX(Security_USD,1,K$5)*FX_USD/12</f>
        <v>1208333.33333333</v>
      </c>
      <c r="L51" s="33" t="n">
        <f aca="false">INDEX(Security_USD,1,L$5)*FX_USD/12</f>
        <v>1208333.33333333</v>
      </c>
      <c r="M51" s="33" t="n">
        <f aca="false">INDEX(Security_USD,1,M$5)*FX_USD/12</f>
        <v>1208333.33333333</v>
      </c>
      <c r="N51" s="33" t="n">
        <f aca="false">INDEX(Security_USD,1,N$5)*FX_USD/12</f>
        <v>1208333.33333333</v>
      </c>
      <c r="O51" s="33" t="n">
        <f aca="false">INDEX(Security_USD,1,O$5)*FX_USD/12</f>
        <v>1208333.33333333</v>
      </c>
      <c r="P51" s="33" t="n">
        <f aca="false">INDEX(Security_USD,1,P$5)*FX_USD/12</f>
        <v>1208333.33333333</v>
      </c>
      <c r="Q51" s="33" t="n">
        <f aca="false">INDEX(Security_USD,1,Q$5)*FX_USD/12</f>
        <v>2175000</v>
      </c>
      <c r="R51" s="33" t="n">
        <f aca="false">INDEX(Security_USD,1,R$5)*FX_USD/12</f>
        <v>2175000</v>
      </c>
      <c r="S51" s="33" t="n">
        <f aca="false">INDEX(Security_USD,1,S$5)*FX_USD/12</f>
        <v>2175000</v>
      </c>
      <c r="T51" s="33" t="n">
        <f aca="false">INDEX(Security_USD,1,T$5)*FX_USD/12</f>
        <v>2175000</v>
      </c>
      <c r="U51" s="33" t="n">
        <f aca="false">INDEX(Security_USD,1,U$5)*FX_USD/12</f>
        <v>2175000</v>
      </c>
      <c r="V51" s="33" t="n">
        <f aca="false">INDEX(Security_USD,1,V$5)*FX_USD/12</f>
        <v>2175000</v>
      </c>
      <c r="W51" s="33" t="n">
        <f aca="false">INDEX(Security_USD,1,W$5)*FX_USD/12</f>
        <v>2175000</v>
      </c>
      <c r="X51" s="33" t="n">
        <f aca="false">INDEX(Security_USD,1,X$5)*FX_USD/12</f>
        <v>2175000</v>
      </c>
      <c r="Y51" s="33" t="n">
        <f aca="false">INDEX(Security_USD,1,Y$5)*FX_USD/12</f>
        <v>2175000</v>
      </c>
      <c r="Z51" s="33" t="n">
        <f aca="false">INDEX(Security_USD,1,Z$5)*FX_USD/12</f>
        <v>2175000</v>
      </c>
      <c r="AA51" s="33" t="n">
        <f aca="false">INDEX(Security_USD,1,AA$5)*FX_USD/12</f>
        <v>2175000</v>
      </c>
      <c r="AB51" s="33" t="n">
        <f aca="false">INDEX(Security_USD,1,AB$5)*FX_USD/12</f>
        <v>2175000</v>
      </c>
      <c r="AC51" s="33" t="n">
        <f aca="false">INDEX(Security_USD,1,AC$5)*FX_USD/12</f>
        <v>2175000</v>
      </c>
      <c r="AD51" s="33" t="n">
        <f aca="false">INDEX(Security_USD,1,AD$5)*FX_USD/12</f>
        <v>2175000</v>
      </c>
      <c r="AE51" s="33" t="n">
        <f aca="false">INDEX(Security_USD,1,AE$5)*FX_USD/12</f>
        <v>2175000</v>
      </c>
      <c r="AF51" s="33" t="n">
        <f aca="false">INDEX(Security_USD,1,AF$5)*FX_USD/12</f>
        <v>2175000</v>
      </c>
      <c r="AG51" s="33" t="n">
        <f aca="false">INDEX(Security_USD,1,AG$5)*FX_USD/12</f>
        <v>2175000</v>
      </c>
      <c r="AH51" s="33" t="n">
        <f aca="false">INDEX(Security_USD,1,AH$5)*FX_USD/12</f>
        <v>2175000</v>
      </c>
      <c r="AI51" s="33" t="n">
        <f aca="false">INDEX(Security_USD,1,AI$5)*FX_USD/12</f>
        <v>2175000</v>
      </c>
      <c r="AJ51" s="33" t="n">
        <f aca="false">INDEX(Security_USD,1,AJ$5)*FX_USD/12</f>
        <v>2175000</v>
      </c>
      <c r="AK51" s="33" t="n">
        <f aca="false">INDEX(Security_USD,1,AK$5)*FX_USD/12</f>
        <v>2175000</v>
      </c>
      <c r="AL51" s="33" t="n">
        <f aca="false">INDEX(Security_USD,1,AL$5)*FX_USD/12</f>
        <v>2175000</v>
      </c>
      <c r="AM51" s="33" t="n">
        <f aca="false">INDEX(Security_USD,1,AM$5)*FX_USD/12</f>
        <v>2175000</v>
      </c>
      <c r="AN51" s="33" t="n">
        <f aca="false">INDEX(Security_USD,1,AN$5)*FX_USD/12</f>
        <v>2175000</v>
      </c>
      <c r="AO51" s="33" t="n">
        <f aca="false">INDEX(Security_USD,1,AO$5)*FX_USD/12</f>
        <v>2416666.66666667</v>
      </c>
      <c r="AP51" s="33" t="n">
        <f aca="false">INDEX(Security_USD,1,AP$5)*FX_USD/12</f>
        <v>2416666.66666667</v>
      </c>
      <c r="AQ51" s="33" t="n">
        <f aca="false">INDEX(Security_USD,1,AQ$5)*FX_USD/12</f>
        <v>2416666.66666667</v>
      </c>
      <c r="AR51" s="33" t="n">
        <f aca="false">INDEX(Security_USD,1,AR$5)*FX_USD/12</f>
        <v>2416666.66666667</v>
      </c>
      <c r="AS51" s="33" t="n">
        <f aca="false">INDEX(Security_USD,1,AS$5)*FX_USD/12</f>
        <v>2416666.66666667</v>
      </c>
      <c r="AT51" s="33" t="n">
        <f aca="false">INDEX(Security_USD,1,AT$5)*FX_USD/12</f>
        <v>2416666.66666667</v>
      </c>
      <c r="AU51" s="33" t="n">
        <f aca="false">INDEX(Security_USD,1,AU$5)*FX_USD/12</f>
        <v>2416666.66666667</v>
      </c>
      <c r="AV51" s="33" t="n">
        <f aca="false">INDEX(Security_USD,1,AV$5)*FX_USD/12</f>
        <v>2416666.66666667</v>
      </c>
      <c r="AW51" s="33" t="n">
        <f aca="false">INDEX(Security_USD,1,AW$5)*FX_USD/12</f>
        <v>2416666.66666667</v>
      </c>
      <c r="AX51" s="33" t="n">
        <f aca="false">INDEX(Security_USD,1,AX$5)*FX_USD/12</f>
        <v>2416666.66666667</v>
      </c>
      <c r="AY51" s="33" t="n">
        <f aca="false">INDEX(Security_USD,1,AY$5)*FX_USD/12</f>
        <v>2416666.66666667</v>
      </c>
      <c r="AZ51" s="33" t="n">
        <f aca="false">INDEX(Security_USD,1,AZ$5)*FX_USD/12</f>
        <v>2416666.66666667</v>
      </c>
      <c r="BA51" s="33" t="n">
        <f aca="false">INDEX(Security_USD,1,BA$5)*FX_USD/12</f>
        <v>2658333.33333333</v>
      </c>
      <c r="BB51" s="33" t="n">
        <f aca="false">INDEX(Security_USD,1,BB$5)*FX_USD/12</f>
        <v>2658333.33333333</v>
      </c>
      <c r="BC51" s="33" t="n">
        <f aca="false">INDEX(Security_USD,1,BC$5)*FX_USD/12</f>
        <v>2658333.33333333</v>
      </c>
      <c r="BD51" s="33" t="n">
        <f aca="false">INDEX(Security_USD,1,BD$5)*FX_USD/12</f>
        <v>2658333.33333333</v>
      </c>
      <c r="BE51" s="33" t="n">
        <f aca="false">INDEX(Security_USD,1,BE$5)*FX_USD/12</f>
        <v>2658333.33333333</v>
      </c>
      <c r="BF51" s="33" t="n">
        <f aca="false">INDEX(Security_USD,1,BF$5)*FX_USD/12</f>
        <v>2658333.33333333</v>
      </c>
      <c r="BG51" s="33" t="n">
        <f aca="false">INDEX(Security_USD,1,BG$5)*FX_USD/12</f>
        <v>2658333.33333333</v>
      </c>
      <c r="BH51" s="33" t="n">
        <f aca="false">INDEX(Security_USD,1,BH$5)*FX_USD/12</f>
        <v>2658333.33333333</v>
      </c>
      <c r="BI51" s="33" t="n">
        <f aca="false">INDEX(Security_USD,1,BI$5)*FX_USD/12</f>
        <v>2658333.33333333</v>
      </c>
      <c r="BJ51" s="33" t="n">
        <f aca="false">INDEX(Security_USD,1,BJ$5)*FX_USD/12</f>
        <v>2658333.33333333</v>
      </c>
      <c r="BK51" s="33" t="n">
        <f aca="false">INDEX(Security_USD,1,BK$5)*FX_USD/12</f>
        <v>2658333.33333333</v>
      </c>
      <c r="BL51" s="33" t="n">
        <f aca="false">INDEX(Security_USD,1,BL$5)*FX_USD/12</f>
        <v>2658333.33333333</v>
      </c>
    </row>
    <row r="52" customFormat="false" ht="15" hidden="false" customHeight="false" outlineLevel="0" collapsed="false">
      <c r="A52" s="12" t="s">
        <v>652</v>
      </c>
      <c r="B52" s="14" t="s">
        <v>63</v>
      </c>
      <c r="D52" s="41" t="n">
        <f aca="false">SUM(E52:BL52)</f>
        <v>29000000</v>
      </c>
      <c r="E52" s="33" t="n">
        <f aca="false">IF(E$3=Proc_Setup_Month,Proc_Setup_USD*FX_USD,0)</f>
        <v>0</v>
      </c>
      <c r="F52" s="33" t="n">
        <f aca="false">IF(F$3=Proc_Setup_Month,Proc_Setup_USD*FX_USD,0)</f>
        <v>0</v>
      </c>
      <c r="G52" s="33" t="n">
        <f aca="false">IF(G$3=Proc_Setup_Month,Proc_Setup_USD*FX_USD,0)</f>
        <v>29000000</v>
      </c>
      <c r="H52" s="33" t="n">
        <f aca="false">IF(H$3=Proc_Setup_Month,Proc_Setup_USD*FX_USD,0)</f>
        <v>0</v>
      </c>
      <c r="I52" s="33" t="n">
        <f aca="false">IF(I$3=Proc_Setup_Month,Proc_Setup_USD*FX_USD,0)</f>
        <v>0</v>
      </c>
      <c r="J52" s="33" t="n">
        <f aca="false">IF(J$3=Proc_Setup_Month,Proc_Setup_USD*FX_USD,0)</f>
        <v>0</v>
      </c>
      <c r="K52" s="33" t="n">
        <f aca="false">IF(K$3=Proc_Setup_Month,Proc_Setup_USD*FX_USD,0)</f>
        <v>0</v>
      </c>
      <c r="L52" s="33" t="n">
        <f aca="false">IF(L$3=Proc_Setup_Month,Proc_Setup_USD*FX_USD,0)</f>
        <v>0</v>
      </c>
      <c r="M52" s="33" t="n">
        <f aca="false">IF(M$3=Proc_Setup_Month,Proc_Setup_USD*FX_USD,0)</f>
        <v>0</v>
      </c>
      <c r="N52" s="33" t="n">
        <f aca="false">IF(N$3=Proc_Setup_Month,Proc_Setup_USD*FX_USD,0)</f>
        <v>0</v>
      </c>
      <c r="O52" s="33" t="n">
        <f aca="false">IF(O$3=Proc_Setup_Month,Proc_Setup_USD*FX_USD,0)</f>
        <v>0</v>
      </c>
      <c r="P52" s="33" t="n">
        <f aca="false">IF(P$3=Proc_Setup_Month,Proc_Setup_USD*FX_USD,0)</f>
        <v>0</v>
      </c>
      <c r="Q52" s="33" t="n">
        <f aca="false">IF(Q$3=Proc_Setup_Month,Proc_Setup_USD*FX_USD,0)</f>
        <v>0</v>
      </c>
      <c r="R52" s="33" t="n">
        <f aca="false">IF(R$3=Proc_Setup_Month,Proc_Setup_USD*FX_USD,0)</f>
        <v>0</v>
      </c>
      <c r="S52" s="33" t="n">
        <f aca="false">IF(S$3=Proc_Setup_Month,Proc_Setup_USD*FX_USD,0)</f>
        <v>0</v>
      </c>
      <c r="T52" s="33" t="n">
        <f aca="false">IF(T$3=Proc_Setup_Month,Proc_Setup_USD*FX_USD,0)</f>
        <v>0</v>
      </c>
      <c r="U52" s="33" t="n">
        <f aca="false">IF(U$3=Proc_Setup_Month,Proc_Setup_USD*FX_USD,0)</f>
        <v>0</v>
      </c>
      <c r="V52" s="33" t="n">
        <f aca="false">IF(V$3=Proc_Setup_Month,Proc_Setup_USD*FX_USD,0)</f>
        <v>0</v>
      </c>
      <c r="W52" s="33" t="n">
        <f aca="false">IF(W$3=Proc_Setup_Month,Proc_Setup_USD*FX_USD,0)</f>
        <v>0</v>
      </c>
      <c r="X52" s="33" t="n">
        <f aca="false">IF(X$3=Proc_Setup_Month,Proc_Setup_USD*FX_USD,0)</f>
        <v>0</v>
      </c>
      <c r="Y52" s="33" t="n">
        <f aca="false">IF(Y$3=Proc_Setup_Month,Proc_Setup_USD*FX_USD,0)</f>
        <v>0</v>
      </c>
      <c r="Z52" s="33" t="n">
        <f aca="false">IF(Z$3=Proc_Setup_Month,Proc_Setup_USD*FX_USD,0)</f>
        <v>0</v>
      </c>
      <c r="AA52" s="33" t="n">
        <f aca="false">IF(AA$3=Proc_Setup_Month,Proc_Setup_USD*FX_USD,0)</f>
        <v>0</v>
      </c>
      <c r="AB52" s="33" t="n">
        <f aca="false">IF(AB$3=Proc_Setup_Month,Proc_Setup_USD*FX_USD,0)</f>
        <v>0</v>
      </c>
      <c r="AC52" s="33" t="n">
        <f aca="false">IF(AC$3=Proc_Setup_Month,Proc_Setup_USD*FX_USD,0)</f>
        <v>0</v>
      </c>
      <c r="AD52" s="33" t="n">
        <f aca="false">IF(AD$3=Proc_Setup_Month,Proc_Setup_USD*FX_USD,0)</f>
        <v>0</v>
      </c>
      <c r="AE52" s="33" t="n">
        <f aca="false">IF(AE$3=Proc_Setup_Month,Proc_Setup_USD*FX_USD,0)</f>
        <v>0</v>
      </c>
      <c r="AF52" s="33" t="n">
        <f aca="false">IF(AF$3=Proc_Setup_Month,Proc_Setup_USD*FX_USD,0)</f>
        <v>0</v>
      </c>
      <c r="AG52" s="33" t="n">
        <f aca="false">IF(AG$3=Proc_Setup_Month,Proc_Setup_USD*FX_USD,0)</f>
        <v>0</v>
      </c>
      <c r="AH52" s="33" t="n">
        <f aca="false">IF(AH$3=Proc_Setup_Month,Proc_Setup_USD*FX_USD,0)</f>
        <v>0</v>
      </c>
      <c r="AI52" s="33" t="n">
        <f aca="false">IF(AI$3=Proc_Setup_Month,Proc_Setup_USD*FX_USD,0)</f>
        <v>0</v>
      </c>
      <c r="AJ52" s="33" t="n">
        <f aca="false">IF(AJ$3=Proc_Setup_Month,Proc_Setup_USD*FX_USD,0)</f>
        <v>0</v>
      </c>
      <c r="AK52" s="33" t="n">
        <f aca="false">IF(AK$3=Proc_Setup_Month,Proc_Setup_USD*FX_USD,0)</f>
        <v>0</v>
      </c>
      <c r="AL52" s="33" t="n">
        <f aca="false">IF(AL$3=Proc_Setup_Month,Proc_Setup_USD*FX_USD,0)</f>
        <v>0</v>
      </c>
      <c r="AM52" s="33" t="n">
        <f aca="false">IF(AM$3=Proc_Setup_Month,Proc_Setup_USD*FX_USD,0)</f>
        <v>0</v>
      </c>
      <c r="AN52" s="33" t="n">
        <f aca="false">IF(AN$3=Proc_Setup_Month,Proc_Setup_USD*FX_USD,0)</f>
        <v>0</v>
      </c>
      <c r="AO52" s="33" t="n">
        <f aca="false">IF(AO$3=Proc_Setup_Month,Proc_Setup_USD*FX_USD,0)</f>
        <v>0</v>
      </c>
      <c r="AP52" s="33" t="n">
        <f aca="false">IF(AP$3=Proc_Setup_Month,Proc_Setup_USD*FX_USD,0)</f>
        <v>0</v>
      </c>
      <c r="AQ52" s="33" t="n">
        <f aca="false">IF(AQ$3=Proc_Setup_Month,Proc_Setup_USD*FX_USD,0)</f>
        <v>0</v>
      </c>
      <c r="AR52" s="33" t="n">
        <f aca="false">IF(AR$3=Proc_Setup_Month,Proc_Setup_USD*FX_USD,0)</f>
        <v>0</v>
      </c>
      <c r="AS52" s="33" t="n">
        <f aca="false">IF(AS$3=Proc_Setup_Month,Proc_Setup_USD*FX_USD,0)</f>
        <v>0</v>
      </c>
      <c r="AT52" s="33" t="n">
        <f aca="false">IF(AT$3=Proc_Setup_Month,Proc_Setup_USD*FX_USD,0)</f>
        <v>0</v>
      </c>
      <c r="AU52" s="33" t="n">
        <f aca="false">IF(AU$3=Proc_Setup_Month,Proc_Setup_USD*FX_USD,0)</f>
        <v>0</v>
      </c>
      <c r="AV52" s="33" t="n">
        <f aca="false">IF(AV$3=Proc_Setup_Month,Proc_Setup_USD*FX_USD,0)</f>
        <v>0</v>
      </c>
      <c r="AW52" s="33" t="n">
        <f aca="false">IF(AW$3=Proc_Setup_Month,Proc_Setup_USD*FX_USD,0)</f>
        <v>0</v>
      </c>
      <c r="AX52" s="33" t="n">
        <f aca="false">IF(AX$3=Proc_Setup_Month,Proc_Setup_USD*FX_USD,0)</f>
        <v>0</v>
      </c>
      <c r="AY52" s="33" t="n">
        <f aca="false">IF(AY$3=Proc_Setup_Month,Proc_Setup_USD*FX_USD,0)</f>
        <v>0</v>
      </c>
      <c r="AZ52" s="33" t="n">
        <f aca="false">IF(AZ$3=Proc_Setup_Month,Proc_Setup_USD*FX_USD,0)</f>
        <v>0</v>
      </c>
      <c r="BA52" s="33" t="n">
        <f aca="false">IF(BA$3=Proc_Setup_Month,Proc_Setup_USD*FX_USD,0)</f>
        <v>0</v>
      </c>
      <c r="BB52" s="33" t="n">
        <f aca="false">IF(BB$3=Proc_Setup_Month,Proc_Setup_USD*FX_USD,0)</f>
        <v>0</v>
      </c>
      <c r="BC52" s="33" t="n">
        <f aca="false">IF(BC$3=Proc_Setup_Month,Proc_Setup_USD*FX_USD,0)</f>
        <v>0</v>
      </c>
      <c r="BD52" s="33" t="n">
        <f aca="false">IF(BD$3=Proc_Setup_Month,Proc_Setup_USD*FX_USD,0)</f>
        <v>0</v>
      </c>
      <c r="BE52" s="33" t="n">
        <f aca="false">IF(BE$3=Proc_Setup_Month,Proc_Setup_USD*FX_USD,0)</f>
        <v>0</v>
      </c>
      <c r="BF52" s="33" t="n">
        <f aca="false">IF(BF$3=Proc_Setup_Month,Proc_Setup_USD*FX_USD,0)</f>
        <v>0</v>
      </c>
      <c r="BG52" s="33" t="n">
        <f aca="false">IF(BG$3=Proc_Setup_Month,Proc_Setup_USD*FX_USD,0)</f>
        <v>0</v>
      </c>
      <c r="BH52" s="33" t="n">
        <f aca="false">IF(BH$3=Proc_Setup_Month,Proc_Setup_USD*FX_USD,0)</f>
        <v>0</v>
      </c>
      <c r="BI52" s="33" t="n">
        <f aca="false">IF(BI$3=Proc_Setup_Month,Proc_Setup_USD*FX_USD,0)</f>
        <v>0</v>
      </c>
      <c r="BJ52" s="33" t="n">
        <f aca="false">IF(BJ$3=Proc_Setup_Month,Proc_Setup_USD*FX_USD,0)</f>
        <v>0</v>
      </c>
      <c r="BK52" s="33" t="n">
        <f aca="false">IF(BK$3=Proc_Setup_Month,Proc_Setup_USD*FX_USD,0)</f>
        <v>0</v>
      </c>
      <c r="BL52" s="33" t="n">
        <f aca="false">IF(BL$3=Proc_Setup_Month,Proc_Setup_USD*FX_USD,0)</f>
        <v>0</v>
      </c>
    </row>
    <row r="53" customFormat="false" ht="15" hidden="false" customHeight="false" outlineLevel="0" collapsed="false">
      <c r="A53" s="12" t="s">
        <v>653</v>
      </c>
      <c r="B53" s="14" t="s">
        <v>63</v>
      </c>
      <c r="D53" s="41" t="n">
        <f aca="false">SUM(E53:BL53)</f>
        <v>14527014.307418</v>
      </c>
      <c r="E53" s="33" t="n">
        <f aca="false">IF(E$3&gt;=Proc_Min_Start,MAX(0,INDEX(Proc_Min_USD,1,E$5)*FX_USD-E11),0)</f>
        <v>0</v>
      </c>
      <c r="F53" s="33" t="n">
        <f aca="false">IF(F$3&gt;=Proc_Min_Start,MAX(0,INDEX(Proc_Min_USD,1,F$5)*FX_USD-F11),0)</f>
        <v>0</v>
      </c>
      <c r="G53" s="33" t="n">
        <f aca="false">IF(G$3&gt;=Proc_Min_Start,MAX(0,INDEX(Proc_Min_USD,1,G$5)*FX_USD-G11),0)</f>
        <v>0</v>
      </c>
      <c r="H53" s="33" t="n">
        <f aca="false">IF(H$3&gt;=Proc_Min_Start,MAX(0,INDEX(Proc_Min_USD,1,H$5)*FX_USD-H11),0)</f>
        <v>0</v>
      </c>
      <c r="I53" s="33" t="n">
        <f aca="false">IF(I$3&gt;=Proc_Min_Start,MAX(0,INDEX(Proc_Min_USD,1,I$5)*FX_USD-I11),0)</f>
        <v>2686400</v>
      </c>
      <c r="J53" s="33" t="n">
        <f aca="false">IF(J$3&gt;=Proc_Min_Start,MAX(0,INDEX(Proc_Min_USD,1,J$5)*FX_USD-J11),0)</f>
        <v>2472841.2</v>
      </c>
      <c r="K53" s="33" t="n">
        <f aca="false">IF(K$3&gt;=Proc_Min_Start,MAX(0,INDEX(Proc_Min_USD,1,K$5)*FX_USD-K11),0)</f>
        <v>2259156.111</v>
      </c>
      <c r="L53" s="33" t="n">
        <f aca="false">IF(L$3&gt;=Proc_Min_Start,MAX(0,INDEX(Proc_Min_USD,1,L$5)*FX_USD-L11),0)</f>
        <v>1955169.7482175</v>
      </c>
      <c r="M53" s="33" t="n">
        <f aca="false">IF(M$3&gt;=Proc_Min_Start,MAX(0,INDEX(Proc_Min_USD,1,M$5)*FX_USD-M11),0)</f>
        <v>1651854.13900924</v>
      </c>
      <c r="N53" s="33" t="n">
        <f aca="false">IF(N$3&gt;=Proc_Min_Start,MAX(0,INDEX(Proc_Min_USD,1,N$5)*FX_USD-N11),0)</f>
        <v>1349000.88951938</v>
      </c>
      <c r="O53" s="33" t="n">
        <f aca="false">IF(O$3&gt;=Proc_Min_Start,MAX(0,INDEX(Proc_Min_USD,1,O$5)*FX_USD-O11),0)</f>
        <v>1046392.82078243</v>
      </c>
      <c r="P53" s="33" t="n">
        <f aca="false">IF(P$3&gt;=Proc_Min_Start,MAX(0,INDEX(Proc_Min_USD,1,P$5)*FX_USD-P11),0)</f>
        <v>743803.380185259</v>
      </c>
      <c r="Q53" s="33" t="n">
        <f aca="false">IF(Q$3&gt;=Proc_Min_Start,MAX(0,INDEX(Proc_Min_USD,1,Q$5)*FX_USD-Q11),0)</f>
        <v>362396.018704211</v>
      </c>
      <c r="R53" s="33" t="n">
        <f aca="false">IF(R$3&gt;=Proc_Min_Start,MAX(0,INDEX(Proc_Min_USD,1,R$5)*FX_USD-R11),0)</f>
        <v>0</v>
      </c>
      <c r="S53" s="33" t="n">
        <f aca="false">IF(S$3&gt;=Proc_Min_Start,MAX(0,INDEX(Proc_Min_USD,1,S$5)*FX_USD-S11),0)</f>
        <v>0</v>
      </c>
      <c r="T53" s="33" t="n">
        <f aca="false">IF(T$3&gt;=Proc_Min_Start,MAX(0,INDEX(Proc_Min_USD,1,T$5)*FX_USD-T11),0)</f>
        <v>0</v>
      </c>
      <c r="U53" s="33" t="n">
        <f aca="false">IF(U$3&gt;=Proc_Min_Start,MAX(0,INDEX(Proc_Min_USD,1,U$5)*FX_USD-U11),0)</f>
        <v>0</v>
      </c>
      <c r="V53" s="33" t="n">
        <f aca="false">IF(V$3&gt;=Proc_Min_Start,MAX(0,INDEX(Proc_Min_USD,1,V$5)*FX_USD-V11),0)</f>
        <v>0</v>
      </c>
      <c r="W53" s="33" t="n">
        <f aca="false">IF(W$3&gt;=Proc_Min_Start,MAX(0,INDEX(Proc_Min_USD,1,W$5)*FX_USD-W11),0)</f>
        <v>0</v>
      </c>
      <c r="X53" s="33" t="n">
        <f aca="false">IF(X$3&gt;=Proc_Min_Start,MAX(0,INDEX(Proc_Min_USD,1,X$5)*FX_USD-X11),0)</f>
        <v>0</v>
      </c>
      <c r="Y53" s="33" t="n">
        <f aca="false">IF(Y$3&gt;=Proc_Min_Start,MAX(0,INDEX(Proc_Min_USD,1,Y$5)*FX_USD-Y11),0)</f>
        <v>0</v>
      </c>
      <c r="Z53" s="33" t="n">
        <f aca="false">IF(Z$3&gt;=Proc_Min_Start,MAX(0,INDEX(Proc_Min_USD,1,Z$5)*FX_USD-Z11),0)</f>
        <v>0</v>
      </c>
      <c r="AA53" s="33" t="n">
        <f aca="false">IF(AA$3&gt;=Proc_Min_Start,MAX(0,INDEX(Proc_Min_USD,1,AA$5)*FX_USD-AA11),0)</f>
        <v>0</v>
      </c>
      <c r="AB53" s="33" t="n">
        <f aca="false">IF(AB$3&gt;=Proc_Min_Start,MAX(0,INDEX(Proc_Min_USD,1,AB$5)*FX_USD-AB11),0)</f>
        <v>0</v>
      </c>
      <c r="AC53" s="33" t="n">
        <f aca="false">IF(AC$3&gt;=Proc_Min_Start,MAX(0,INDEX(Proc_Min_USD,1,AC$5)*FX_USD-AC11),0)</f>
        <v>0</v>
      </c>
      <c r="AD53" s="33" t="n">
        <f aca="false">IF(AD$3&gt;=Proc_Min_Start,MAX(0,INDEX(Proc_Min_USD,1,AD$5)*FX_USD-AD11),0)</f>
        <v>0</v>
      </c>
      <c r="AE53" s="33" t="n">
        <f aca="false">IF(AE$3&gt;=Proc_Min_Start,MAX(0,INDEX(Proc_Min_USD,1,AE$5)*FX_USD-AE11),0)</f>
        <v>0</v>
      </c>
      <c r="AF53" s="33" t="n">
        <f aca="false">IF(AF$3&gt;=Proc_Min_Start,MAX(0,INDEX(Proc_Min_USD,1,AF$5)*FX_USD-AF11),0)</f>
        <v>0</v>
      </c>
      <c r="AG53" s="33" t="n">
        <f aca="false">IF(AG$3&gt;=Proc_Min_Start,MAX(0,INDEX(Proc_Min_USD,1,AG$5)*FX_USD-AG11),0)</f>
        <v>0</v>
      </c>
      <c r="AH53" s="33" t="n">
        <f aca="false">IF(AH$3&gt;=Proc_Min_Start,MAX(0,INDEX(Proc_Min_USD,1,AH$5)*FX_USD-AH11),0)</f>
        <v>0</v>
      </c>
      <c r="AI53" s="33" t="n">
        <f aca="false">IF(AI$3&gt;=Proc_Min_Start,MAX(0,INDEX(Proc_Min_USD,1,AI$5)*FX_USD-AI11),0)</f>
        <v>0</v>
      </c>
      <c r="AJ53" s="33" t="n">
        <f aca="false">IF(AJ$3&gt;=Proc_Min_Start,MAX(0,INDEX(Proc_Min_USD,1,AJ$5)*FX_USD-AJ11),0)</f>
        <v>0</v>
      </c>
      <c r="AK53" s="33" t="n">
        <f aca="false">IF(AK$3&gt;=Proc_Min_Start,MAX(0,INDEX(Proc_Min_USD,1,AK$5)*FX_USD-AK11),0)</f>
        <v>0</v>
      </c>
      <c r="AL53" s="33" t="n">
        <f aca="false">IF(AL$3&gt;=Proc_Min_Start,MAX(0,INDEX(Proc_Min_USD,1,AL$5)*FX_USD-AL11),0)</f>
        <v>0</v>
      </c>
      <c r="AM53" s="33" t="n">
        <f aca="false">IF(AM$3&gt;=Proc_Min_Start,MAX(0,INDEX(Proc_Min_USD,1,AM$5)*FX_USD-AM11),0)</f>
        <v>0</v>
      </c>
      <c r="AN53" s="33" t="n">
        <f aca="false">IF(AN$3&gt;=Proc_Min_Start,MAX(0,INDEX(Proc_Min_USD,1,AN$5)*FX_USD-AN11),0)</f>
        <v>0</v>
      </c>
      <c r="AO53" s="33" t="n">
        <f aca="false">IF(AO$3&gt;=Proc_Min_Start,MAX(0,INDEX(Proc_Min_USD,1,AO$5)*FX_USD-AO11),0)</f>
        <v>0</v>
      </c>
      <c r="AP53" s="33" t="n">
        <f aca="false">IF(AP$3&gt;=Proc_Min_Start,MAX(0,INDEX(Proc_Min_USD,1,AP$5)*FX_USD-AP11),0)</f>
        <v>0</v>
      </c>
      <c r="AQ53" s="33" t="n">
        <f aca="false">IF(AQ$3&gt;=Proc_Min_Start,MAX(0,INDEX(Proc_Min_USD,1,AQ$5)*FX_USD-AQ11),0)</f>
        <v>0</v>
      </c>
      <c r="AR53" s="33" t="n">
        <f aca="false">IF(AR$3&gt;=Proc_Min_Start,MAX(0,INDEX(Proc_Min_USD,1,AR$5)*FX_USD-AR11),0)</f>
        <v>0</v>
      </c>
      <c r="AS53" s="33" t="n">
        <f aca="false">IF(AS$3&gt;=Proc_Min_Start,MAX(0,INDEX(Proc_Min_USD,1,AS$5)*FX_USD-AS11),0)</f>
        <v>0</v>
      </c>
      <c r="AT53" s="33" t="n">
        <f aca="false">IF(AT$3&gt;=Proc_Min_Start,MAX(0,INDEX(Proc_Min_USD,1,AT$5)*FX_USD-AT11),0)</f>
        <v>0</v>
      </c>
      <c r="AU53" s="33" t="n">
        <f aca="false">IF(AU$3&gt;=Proc_Min_Start,MAX(0,INDEX(Proc_Min_USD,1,AU$5)*FX_USD-AU11),0)</f>
        <v>0</v>
      </c>
      <c r="AV53" s="33" t="n">
        <f aca="false">IF(AV$3&gt;=Proc_Min_Start,MAX(0,INDEX(Proc_Min_USD,1,AV$5)*FX_USD-AV11),0)</f>
        <v>0</v>
      </c>
      <c r="AW53" s="33" t="n">
        <f aca="false">IF(AW$3&gt;=Proc_Min_Start,MAX(0,INDEX(Proc_Min_USD,1,AW$5)*FX_USD-AW11),0)</f>
        <v>0</v>
      </c>
      <c r="AX53" s="33" t="n">
        <f aca="false">IF(AX$3&gt;=Proc_Min_Start,MAX(0,INDEX(Proc_Min_USD,1,AX$5)*FX_USD-AX11),0)</f>
        <v>0</v>
      </c>
      <c r="AY53" s="33" t="n">
        <f aca="false">IF(AY$3&gt;=Proc_Min_Start,MAX(0,INDEX(Proc_Min_USD,1,AY$5)*FX_USD-AY11),0)</f>
        <v>0</v>
      </c>
      <c r="AZ53" s="33" t="n">
        <f aca="false">IF(AZ$3&gt;=Proc_Min_Start,MAX(0,INDEX(Proc_Min_USD,1,AZ$5)*FX_USD-AZ11),0)</f>
        <v>0</v>
      </c>
      <c r="BA53" s="33" t="n">
        <f aca="false">IF(BA$3&gt;=Proc_Min_Start,MAX(0,INDEX(Proc_Min_USD,1,BA$5)*FX_USD-BA11),0)</f>
        <v>0</v>
      </c>
      <c r="BB53" s="33" t="n">
        <f aca="false">IF(BB$3&gt;=Proc_Min_Start,MAX(0,INDEX(Proc_Min_USD,1,BB$5)*FX_USD-BB11),0)</f>
        <v>0</v>
      </c>
      <c r="BC53" s="33" t="n">
        <f aca="false">IF(BC$3&gt;=Proc_Min_Start,MAX(0,INDEX(Proc_Min_USD,1,BC$5)*FX_USD-BC11),0)</f>
        <v>0</v>
      </c>
      <c r="BD53" s="33" t="n">
        <f aca="false">IF(BD$3&gt;=Proc_Min_Start,MAX(0,INDEX(Proc_Min_USD,1,BD$5)*FX_USD-BD11),0)</f>
        <v>0</v>
      </c>
      <c r="BE53" s="33" t="n">
        <f aca="false">IF(BE$3&gt;=Proc_Min_Start,MAX(0,INDEX(Proc_Min_USD,1,BE$5)*FX_USD-BE11),0)</f>
        <v>0</v>
      </c>
      <c r="BF53" s="33" t="n">
        <f aca="false">IF(BF$3&gt;=Proc_Min_Start,MAX(0,INDEX(Proc_Min_USD,1,BF$5)*FX_USD-BF11),0)</f>
        <v>0</v>
      </c>
      <c r="BG53" s="33" t="n">
        <f aca="false">IF(BG$3&gt;=Proc_Min_Start,MAX(0,INDEX(Proc_Min_USD,1,BG$5)*FX_USD-BG11),0)</f>
        <v>0</v>
      </c>
      <c r="BH53" s="33" t="n">
        <f aca="false">IF(BH$3&gt;=Proc_Min_Start,MAX(0,INDEX(Proc_Min_USD,1,BH$5)*FX_USD-BH11),0)</f>
        <v>0</v>
      </c>
      <c r="BI53" s="33" t="n">
        <f aca="false">IF(BI$3&gt;=Proc_Min_Start,MAX(0,INDEX(Proc_Min_USD,1,BI$5)*FX_USD-BI11),0)</f>
        <v>0</v>
      </c>
      <c r="BJ53" s="33" t="n">
        <f aca="false">IF(BJ$3&gt;=Proc_Min_Start,MAX(0,INDEX(Proc_Min_USD,1,BJ$5)*FX_USD-BJ11),0)</f>
        <v>0</v>
      </c>
      <c r="BK53" s="33" t="n">
        <f aca="false">IF(BK$3&gt;=Proc_Min_Start,MAX(0,INDEX(Proc_Min_USD,1,BK$5)*FX_USD-BK11),0)</f>
        <v>0</v>
      </c>
      <c r="BL53" s="33" t="n">
        <f aca="false">IF(BL$3&gt;=Proc_Min_Start,MAX(0,INDEX(Proc_Min_USD,1,BL$5)*FX_USD-BL11),0)</f>
        <v>0</v>
      </c>
    </row>
    <row r="54" customFormat="false" ht="15" hidden="false" customHeight="false" outlineLevel="0" collapsed="false">
      <c r="A54" s="8" t="s">
        <v>654</v>
      </c>
      <c r="B54" s="14" t="s">
        <v>63</v>
      </c>
      <c r="D54" s="41" t="n">
        <f aca="false">SUM(E54:BL54)</f>
        <v>958180614.307418</v>
      </c>
      <c r="E54" s="16" t="n">
        <f aca="false">SUM(E45:E53)</f>
        <v>5482400</v>
      </c>
      <c r="F54" s="16" t="n">
        <f aca="false">SUM(F45:F53)</f>
        <v>7245600</v>
      </c>
      <c r="G54" s="16" t="n">
        <f aca="false">SUM(G45:G53)</f>
        <v>36292000</v>
      </c>
      <c r="H54" s="16" t="n">
        <f aca="false">SUM(H45:H53)</f>
        <v>7431200</v>
      </c>
      <c r="I54" s="16" t="n">
        <f aca="false">SUM(I45:I53)</f>
        <v>10117600</v>
      </c>
      <c r="J54" s="16" t="n">
        <f aca="false">SUM(J45:J53)</f>
        <v>9927241.2</v>
      </c>
      <c r="K54" s="16" t="n">
        <f aca="false">SUM(K45:K53)</f>
        <v>9806356.111</v>
      </c>
      <c r="L54" s="16" t="n">
        <f aca="false">SUM(L45:L53)</f>
        <v>9502369.7482175</v>
      </c>
      <c r="M54" s="16" t="n">
        <f aca="false">SUM(M45:M53)</f>
        <v>9199054.13900924</v>
      </c>
      <c r="N54" s="16" t="n">
        <f aca="false">SUM(N45:N53)</f>
        <v>8919400.88951938</v>
      </c>
      <c r="O54" s="16" t="n">
        <f aca="false">SUM(O45:O53)</f>
        <v>8616792.82078243</v>
      </c>
      <c r="P54" s="16" t="n">
        <f aca="false">SUM(P45:P53)</f>
        <v>8314203.38018526</v>
      </c>
      <c r="Q54" s="16" t="n">
        <f aca="false">SUM(Q45:Q53)</f>
        <v>12107662.6853709</v>
      </c>
      <c r="R54" s="16" t="n">
        <f aca="false">SUM(R45:R53)</f>
        <v>11745266.6666667</v>
      </c>
      <c r="S54" s="16" t="n">
        <f aca="false">SUM(S45:S53)</f>
        <v>11745266.6666667</v>
      </c>
      <c r="T54" s="16" t="n">
        <f aca="false">SUM(T45:T53)</f>
        <v>11768466.6666667</v>
      </c>
      <c r="U54" s="16" t="n">
        <f aca="false">SUM(U45:U53)</f>
        <v>11768466.6666667</v>
      </c>
      <c r="V54" s="16" t="n">
        <f aca="false">SUM(V45:V53)</f>
        <v>11768466.6666667</v>
      </c>
      <c r="W54" s="16" t="n">
        <f aca="false">SUM(W45:W53)</f>
        <v>12278866.6666667</v>
      </c>
      <c r="X54" s="16" t="n">
        <f aca="false">SUM(X45:X53)</f>
        <v>12278866.6666667</v>
      </c>
      <c r="Y54" s="16" t="n">
        <f aca="false">SUM(Y45:Y53)</f>
        <v>12278866.6666667</v>
      </c>
      <c r="Z54" s="16" t="n">
        <f aca="false">SUM(Z45:Z53)</f>
        <v>12278866.6666667</v>
      </c>
      <c r="AA54" s="16" t="n">
        <f aca="false">SUM(AA45:AA53)</f>
        <v>12278866.6666667</v>
      </c>
      <c r="AB54" s="16" t="n">
        <f aca="false">SUM(AB45:AB53)</f>
        <v>12278866.6666667</v>
      </c>
      <c r="AC54" s="16" t="n">
        <f aca="false">SUM(AC45:AC53)</f>
        <v>15411800</v>
      </c>
      <c r="AD54" s="16" t="n">
        <f aca="false">SUM(AD45:AD53)</f>
        <v>15411800</v>
      </c>
      <c r="AE54" s="16" t="n">
        <f aca="false">SUM(AE45:AE53)</f>
        <v>15411800</v>
      </c>
      <c r="AF54" s="16" t="n">
        <f aca="false">SUM(AF45:AF53)</f>
        <v>15411800</v>
      </c>
      <c r="AG54" s="16" t="n">
        <f aca="false">SUM(AG45:AG53)</f>
        <v>15411800</v>
      </c>
      <c r="AH54" s="16" t="n">
        <f aca="false">SUM(AH45:AH53)</f>
        <v>15411800</v>
      </c>
      <c r="AI54" s="16" t="n">
        <f aca="false">SUM(AI45:AI53)</f>
        <v>15806200</v>
      </c>
      <c r="AJ54" s="16" t="n">
        <f aca="false">SUM(AJ45:AJ53)</f>
        <v>15806200</v>
      </c>
      <c r="AK54" s="16" t="n">
        <f aca="false">SUM(AK45:AK53)</f>
        <v>15806200</v>
      </c>
      <c r="AL54" s="16" t="n">
        <f aca="false">SUM(AL45:AL53)</f>
        <v>15806200</v>
      </c>
      <c r="AM54" s="16" t="n">
        <f aca="false">SUM(AM45:AM53)</f>
        <v>15806200</v>
      </c>
      <c r="AN54" s="16" t="n">
        <f aca="false">SUM(AN45:AN53)</f>
        <v>15806200</v>
      </c>
      <c r="AO54" s="16" t="n">
        <f aca="false">SUM(AO45:AO53)</f>
        <v>18752600</v>
      </c>
      <c r="AP54" s="16" t="n">
        <f aca="false">SUM(AP45:AP53)</f>
        <v>18752600</v>
      </c>
      <c r="AQ54" s="16" t="n">
        <f aca="false">SUM(AQ45:AQ53)</f>
        <v>18752600</v>
      </c>
      <c r="AR54" s="16" t="n">
        <f aca="false">SUM(AR45:AR53)</f>
        <v>18752600</v>
      </c>
      <c r="AS54" s="16" t="n">
        <f aca="false">SUM(AS45:AS53)</f>
        <v>18752600</v>
      </c>
      <c r="AT54" s="16" t="n">
        <f aca="false">SUM(AT45:AT53)</f>
        <v>18752600</v>
      </c>
      <c r="AU54" s="16" t="n">
        <f aca="false">SUM(AU45:AU53)</f>
        <v>19170200</v>
      </c>
      <c r="AV54" s="16" t="n">
        <f aca="false">SUM(AV45:AV53)</f>
        <v>19170200</v>
      </c>
      <c r="AW54" s="16" t="n">
        <f aca="false">SUM(AW45:AW53)</f>
        <v>19170200</v>
      </c>
      <c r="AX54" s="16" t="n">
        <f aca="false">SUM(AX45:AX53)</f>
        <v>19170200</v>
      </c>
      <c r="AY54" s="16" t="n">
        <f aca="false">SUM(AY45:AY53)</f>
        <v>19170200</v>
      </c>
      <c r="AZ54" s="16" t="n">
        <f aca="false">SUM(AZ45:AZ53)</f>
        <v>19170200</v>
      </c>
      <c r="BA54" s="16" t="n">
        <f aca="false">SUM(BA45:BA53)</f>
        <v>22325400</v>
      </c>
      <c r="BB54" s="16" t="n">
        <f aca="false">SUM(BB45:BB53)</f>
        <v>22325400</v>
      </c>
      <c r="BC54" s="16" t="n">
        <f aca="false">SUM(BC45:BC53)</f>
        <v>22325400</v>
      </c>
      <c r="BD54" s="16" t="n">
        <f aca="false">SUM(BD45:BD53)</f>
        <v>22325400</v>
      </c>
      <c r="BE54" s="16" t="n">
        <f aca="false">SUM(BE45:BE53)</f>
        <v>22325400</v>
      </c>
      <c r="BF54" s="16" t="n">
        <f aca="false">SUM(BF45:BF53)</f>
        <v>22325400</v>
      </c>
      <c r="BG54" s="16" t="n">
        <f aca="false">SUM(BG45:BG53)</f>
        <v>22325400</v>
      </c>
      <c r="BH54" s="16" t="n">
        <f aca="false">SUM(BH45:BH53)</f>
        <v>22325400</v>
      </c>
      <c r="BI54" s="16" t="n">
        <f aca="false">SUM(BI45:BI53)</f>
        <v>22325400</v>
      </c>
      <c r="BJ54" s="16" t="n">
        <f aca="false">SUM(BJ45:BJ53)</f>
        <v>22325400</v>
      </c>
      <c r="BK54" s="16" t="n">
        <f aca="false">SUM(BK45:BK53)</f>
        <v>22325400</v>
      </c>
      <c r="BL54" s="16" t="n">
        <f aca="false">SUM(BL45:BL53)</f>
        <v>22325400</v>
      </c>
    </row>
    <row r="56" customFormat="false" ht="15" hidden="false" customHeight="false" outlineLevel="0" collapsed="false">
      <c r="A56" s="10" t="s">
        <v>393</v>
      </c>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row>
    <row r="57" customFormat="false" ht="15" hidden="false" customHeight="false" outlineLevel="0" collapsed="false">
      <c r="A57" s="12" t="s">
        <v>655</v>
      </c>
      <c r="B57" s="14" t="s">
        <v>63</v>
      </c>
      <c r="D57" s="41" t="n">
        <f aca="false">SUM(E57:BL57)</f>
        <v>15000000</v>
      </c>
      <c r="E57" s="33" t="n">
        <f aca="false">IF(E$3=Bank_Setup_Month,Bank_Setup_SN,0)</f>
        <v>0</v>
      </c>
      <c r="F57" s="33" t="n">
        <f aca="false">IF(F$3=Bank_Setup_Month,Bank_Setup_SN,0)</f>
        <v>15000000</v>
      </c>
      <c r="G57" s="33" t="n">
        <f aca="false">IF(G$3=Bank_Setup_Month,Bank_Setup_SN,0)</f>
        <v>0</v>
      </c>
      <c r="H57" s="33" t="n">
        <f aca="false">IF(H$3=Bank_Setup_Month,Bank_Setup_SN,0)</f>
        <v>0</v>
      </c>
      <c r="I57" s="33" t="n">
        <f aca="false">IF(I$3=Bank_Setup_Month,Bank_Setup_SN,0)</f>
        <v>0</v>
      </c>
      <c r="J57" s="33" t="n">
        <f aca="false">IF(J$3=Bank_Setup_Month,Bank_Setup_SN,0)</f>
        <v>0</v>
      </c>
      <c r="K57" s="33" t="n">
        <f aca="false">IF(K$3=Bank_Setup_Month,Bank_Setup_SN,0)</f>
        <v>0</v>
      </c>
      <c r="L57" s="33" t="n">
        <f aca="false">IF(L$3=Bank_Setup_Month,Bank_Setup_SN,0)</f>
        <v>0</v>
      </c>
      <c r="M57" s="33" t="n">
        <f aca="false">IF(M$3=Bank_Setup_Month,Bank_Setup_SN,0)</f>
        <v>0</v>
      </c>
      <c r="N57" s="33" t="n">
        <f aca="false">IF(N$3=Bank_Setup_Month,Bank_Setup_SN,0)</f>
        <v>0</v>
      </c>
      <c r="O57" s="33" t="n">
        <f aca="false">IF(O$3=Bank_Setup_Month,Bank_Setup_SN,0)</f>
        <v>0</v>
      </c>
      <c r="P57" s="33" t="n">
        <f aca="false">IF(P$3=Bank_Setup_Month,Bank_Setup_SN,0)</f>
        <v>0</v>
      </c>
      <c r="Q57" s="33" t="n">
        <f aca="false">IF(Q$3=Bank_Setup_Month,Bank_Setup_SN,0)</f>
        <v>0</v>
      </c>
      <c r="R57" s="33" t="n">
        <f aca="false">IF(R$3=Bank_Setup_Month,Bank_Setup_SN,0)</f>
        <v>0</v>
      </c>
      <c r="S57" s="33" t="n">
        <f aca="false">IF(S$3=Bank_Setup_Month,Bank_Setup_SN,0)</f>
        <v>0</v>
      </c>
      <c r="T57" s="33" t="n">
        <f aca="false">IF(T$3=Bank_Setup_Month,Bank_Setup_SN,0)</f>
        <v>0</v>
      </c>
      <c r="U57" s="33" t="n">
        <f aca="false">IF(U$3=Bank_Setup_Month,Bank_Setup_SN,0)</f>
        <v>0</v>
      </c>
      <c r="V57" s="33" t="n">
        <f aca="false">IF(V$3=Bank_Setup_Month,Bank_Setup_SN,0)</f>
        <v>0</v>
      </c>
      <c r="W57" s="33" t="n">
        <f aca="false">IF(W$3=Bank_Setup_Month,Bank_Setup_SN,0)</f>
        <v>0</v>
      </c>
      <c r="X57" s="33" t="n">
        <f aca="false">IF(X$3=Bank_Setup_Month,Bank_Setup_SN,0)</f>
        <v>0</v>
      </c>
      <c r="Y57" s="33" t="n">
        <f aca="false">IF(Y$3=Bank_Setup_Month,Bank_Setup_SN,0)</f>
        <v>0</v>
      </c>
      <c r="Z57" s="33" t="n">
        <f aca="false">IF(Z$3=Bank_Setup_Month,Bank_Setup_SN,0)</f>
        <v>0</v>
      </c>
      <c r="AA57" s="33" t="n">
        <f aca="false">IF(AA$3=Bank_Setup_Month,Bank_Setup_SN,0)</f>
        <v>0</v>
      </c>
      <c r="AB57" s="33" t="n">
        <f aca="false">IF(AB$3=Bank_Setup_Month,Bank_Setup_SN,0)</f>
        <v>0</v>
      </c>
      <c r="AC57" s="33" t="n">
        <f aca="false">IF(AC$3=Bank_Setup_Month,Bank_Setup_SN,0)</f>
        <v>0</v>
      </c>
      <c r="AD57" s="33" t="n">
        <f aca="false">IF(AD$3=Bank_Setup_Month,Bank_Setup_SN,0)</f>
        <v>0</v>
      </c>
      <c r="AE57" s="33" t="n">
        <f aca="false">IF(AE$3=Bank_Setup_Month,Bank_Setup_SN,0)</f>
        <v>0</v>
      </c>
      <c r="AF57" s="33" t="n">
        <f aca="false">IF(AF$3=Bank_Setup_Month,Bank_Setup_SN,0)</f>
        <v>0</v>
      </c>
      <c r="AG57" s="33" t="n">
        <f aca="false">IF(AG$3=Bank_Setup_Month,Bank_Setup_SN,0)</f>
        <v>0</v>
      </c>
      <c r="AH57" s="33" t="n">
        <f aca="false">IF(AH$3=Bank_Setup_Month,Bank_Setup_SN,0)</f>
        <v>0</v>
      </c>
      <c r="AI57" s="33" t="n">
        <f aca="false">IF(AI$3=Bank_Setup_Month,Bank_Setup_SN,0)</f>
        <v>0</v>
      </c>
      <c r="AJ57" s="33" t="n">
        <f aca="false">IF(AJ$3=Bank_Setup_Month,Bank_Setup_SN,0)</f>
        <v>0</v>
      </c>
      <c r="AK57" s="33" t="n">
        <f aca="false">IF(AK$3=Bank_Setup_Month,Bank_Setup_SN,0)</f>
        <v>0</v>
      </c>
      <c r="AL57" s="33" t="n">
        <f aca="false">IF(AL$3=Bank_Setup_Month,Bank_Setup_SN,0)</f>
        <v>0</v>
      </c>
      <c r="AM57" s="33" t="n">
        <f aca="false">IF(AM$3=Bank_Setup_Month,Bank_Setup_SN,0)</f>
        <v>0</v>
      </c>
      <c r="AN57" s="33" t="n">
        <f aca="false">IF(AN$3=Bank_Setup_Month,Bank_Setup_SN,0)</f>
        <v>0</v>
      </c>
      <c r="AO57" s="33" t="n">
        <f aca="false">IF(AO$3=Bank_Setup_Month,Bank_Setup_SN,0)</f>
        <v>0</v>
      </c>
      <c r="AP57" s="33" t="n">
        <f aca="false">IF(AP$3=Bank_Setup_Month,Bank_Setup_SN,0)</f>
        <v>0</v>
      </c>
      <c r="AQ57" s="33" t="n">
        <f aca="false">IF(AQ$3=Bank_Setup_Month,Bank_Setup_SN,0)</f>
        <v>0</v>
      </c>
      <c r="AR57" s="33" t="n">
        <f aca="false">IF(AR$3=Bank_Setup_Month,Bank_Setup_SN,0)</f>
        <v>0</v>
      </c>
      <c r="AS57" s="33" t="n">
        <f aca="false">IF(AS$3=Bank_Setup_Month,Bank_Setup_SN,0)</f>
        <v>0</v>
      </c>
      <c r="AT57" s="33" t="n">
        <f aca="false">IF(AT$3=Bank_Setup_Month,Bank_Setup_SN,0)</f>
        <v>0</v>
      </c>
      <c r="AU57" s="33" t="n">
        <f aca="false">IF(AU$3=Bank_Setup_Month,Bank_Setup_SN,0)</f>
        <v>0</v>
      </c>
      <c r="AV57" s="33" t="n">
        <f aca="false">IF(AV$3=Bank_Setup_Month,Bank_Setup_SN,0)</f>
        <v>0</v>
      </c>
      <c r="AW57" s="33" t="n">
        <f aca="false">IF(AW$3=Bank_Setup_Month,Bank_Setup_SN,0)</f>
        <v>0</v>
      </c>
      <c r="AX57" s="33" t="n">
        <f aca="false">IF(AX$3=Bank_Setup_Month,Bank_Setup_SN,0)</f>
        <v>0</v>
      </c>
      <c r="AY57" s="33" t="n">
        <f aca="false">IF(AY$3=Bank_Setup_Month,Bank_Setup_SN,0)</f>
        <v>0</v>
      </c>
      <c r="AZ57" s="33" t="n">
        <f aca="false">IF(AZ$3=Bank_Setup_Month,Bank_Setup_SN,0)</f>
        <v>0</v>
      </c>
      <c r="BA57" s="33" t="n">
        <f aca="false">IF(BA$3=Bank_Setup_Month,Bank_Setup_SN,0)</f>
        <v>0</v>
      </c>
      <c r="BB57" s="33" t="n">
        <f aca="false">IF(BB$3=Bank_Setup_Month,Bank_Setup_SN,0)</f>
        <v>0</v>
      </c>
      <c r="BC57" s="33" t="n">
        <f aca="false">IF(BC$3=Bank_Setup_Month,Bank_Setup_SN,0)</f>
        <v>0</v>
      </c>
      <c r="BD57" s="33" t="n">
        <f aca="false">IF(BD$3=Bank_Setup_Month,Bank_Setup_SN,0)</f>
        <v>0</v>
      </c>
      <c r="BE57" s="33" t="n">
        <f aca="false">IF(BE$3=Bank_Setup_Month,Bank_Setup_SN,0)</f>
        <v>0</v>
      </c>
      <c r="BF57" s="33" t="n">
        <f aca="false">IF(BF$3=Bank_Setup_Month,Bank_Setup_SN,0)</f>
        <v>0</v>
      </c>
      <c r="BG57" s="33" t="n">
        <f aca="false">IF(BG$3=Bank_Setup_Month,Bank_Setup_SN,0)</f>
        <v>0</v>
      </c>
      <c r="BH57" s="33" t="n">
        <f aca="false">IF(BH$3=Bank_Setup_Month,Bank_Setup_SN,0)</f>
        <v>0</v>
      </c>
      <c r="BI57" s="33" t="n">
        <f aca="false">IF(BI$3=Bank_Setup_Month,Bank_Setup_SN,0)</f>
        <v>0</v>
      </c>
      <c r="BJ57" s="33" t="n">
        <f aca="false">IF(BJ$3=Bank_Setup_Month,Bank_Setup_SN,0)</f>
        <v>0</v>
      </c>
      <c r="BK57" s="33" t="n">
        <f aca="false">IF(BK$3=Bank_Setup_Month,Bank_Setup_SN,0)</f>
        <v>0</v>
      </c>
      <c r="BL57" s="33" t="n">
        <f aca="false">IF(BL$3=Bank_Setup_Month,Bank_Setup_SN,0)</f>
        <v>0</v>
      </c>
    </row>
    <row r="58" customFormat="false" ht="15" hidden="false" customHeight="false" outlineLevel="0" collapsed="false">
      <c r="A58" s="12" t="s">
        <v>398</v>
      </c>
      <c r="B58" s="14" t="s">
        <v>63</v>
      </c>
      <c r="D58" s="41" t="n">
        <f aca="false">SUM(E58:BL58)</f>
        <v>102000000</v>
      </c>
      <c r="E58" s="33" t="n">
        <f aca="false">IF(E$3&gt;=Launch_SN,INDEX(Bank_Min_SN,1,E$5),0)</f>
        <v>0</v>
      </c>
      <c r="F58" s="33" t="n">
        <f aca="false">IF(F$3&gt;=Launch_SN,INDEX(Bank_Min_SN,1,F$5),0)</f>
        <v>0</v>
      </c>
      <c r="G58" s="33" t="n">
        <f aca="false">IF(G$3&gt;=Launch_SN,INDEX(Bank_Min_SN,1,G$5),0)</f>
        <v>0</v>
      </c>
      <c r="H58" s="33" t="n">
        <f aca="false">IF(H$3&gt;=Launch_SN,INDEX(Bank_Min_SN,1,H$5),0)</f>
        <v>0</v>
      </c>
      <c r="I58" s="33" t="n">
        <f aca="false">IF(I$3&gt;=Launch_SN,INDEX(Bank_Min_SN,1,I$5),0)</f>
        <v>1500000</v>
      </c>
      <c r="J58" s="33" t="n">
        <f aca="false">IF(J$3&gt;=Launch_SN,INDEX(Bank_Min_SN,1,J$5),0)</f>
        <v>1500000</v>
      </c>
      <c r="K58" s="33" t="n">
        <f aca="false">IF(K$3&gt;=Launch_SN,INDEX(Bank_Min_SN,1,K$5),0)</f>
        <v>1500000</v>
      </c>
      <c r="L58" s="33" t="n">
        <f aca="false">IF(L$3&gt;=Launch_SN,INDEX(Bank_Min_SN,1,L$5),0)</f>
        <v>1500000</v>
      </c>
      <c r="M58" s="33" t="n">
        <f aca="false">IF(M$3&gt;=Launch_SN,INDEX(Bank_Min_SN,1,M$5),0)</f>
        <v>1500000</v>
      </c>
      <c r="N58" s="33" t="n">
        <f aca="false">IF(N$3&gt;=Launch_SN,INDEX(Bank_Min_SN,1,N$5),0)</f>
        <v>1500000</v>
      </c>
      <c r="O58" s="33" t="n">
        <f aca="false">IF(O$3&gt;=Launch_SN,INDEX(Bank_Min_SN,1,O$5),0)</f>
        <v>1500000</v>
      </c>
      <c r="P58" s="33" t="n">
        <f aca="false">IF(P$3&gt;=Launch_SN,INDEX(Bank_Min_SN,1,P$5),0)</f>
        <v>1500000</v>
      </c>
      <c r="Q58" s="33" t="n">
        <f aca="false">IF(Q$3&gt;=Launch_SN,INDEX(Bank_Min_SN,1,Q$5),0)</f>
        <v>1500000</v>
      </c>
      <c r="R58" s="33" t="n">
        <f aca="false">IF(R$3&gt;=Launch_SN,INDEX(Bank_Min_SN,1,R$5),0)</f>
        <v>1500000</v>
      </c>
      <c r="S58" s="33" t="n">
        <f aca="false">IF(S$3&gt;=Launch_SN,INDEX(Bank_Min_SN,1,S$5),0)</f>
        <v>1500000</v>
      </c>
      <c r="T58" s="33" t="n">
        <f aca="false">IF(T$3&gt;=Launch_SN,INDEX(Bank_Min_SN,1,T$5),0)</f>
        <v>1500000</v>
      </c>
      <c r="U58" s="33" t="n">
        <f aca="false">IF(U$3&gt;=Launch_SN,INDEX(Bank_Min_SN,1,U$5),0)</f>
        <v>1500000</v>
      </c>
      <c r="V58" s="33" t="n">
        <f aca="false">IF(V$3&gt;=Launch_SN,INDEX(Bank_Min_SN,1,V$5),0)</f>
        <v>1500000</v>
      </c>
      <c r="W58" s="33" t="n">
        <f aca="false">IF(W$3&gt;=Launch_SN,INDEX(Bank_Min_SN,1,W$5),0)</f>
        <v>1500000</v>
      </c>
      <c r="X58" s="33" t="n">
        <f aca="false">IF(X$3&gt;=Launch_SN,INDEX(Bank_Min_SN,1,X$5),0)</f>
        <v>1500000</v>
      </c>
      <c r="Y58" s="33" t="n">
        <f aca="false">IF(Y$3&gt;=Launch_SN,INDEX(Bank_Min_SN,1,Y$5),0)</f>
        <v>1500000</v>
      </c>
      <c r="Z58" s="33" t="n">
        <f aca="false">IF(Z$3&gt;=Launch_SN,INDEX(Bank_Min_SN,1,Z$5),0)</f>
        <v>1500000</v>
      </c>
      <c r="AA58" s="33" t="n">
        <f aca="false">IF(AA$3&gt;=Launch_SN,INDEX(Bank_Min_SN,1,AA$5),0)</f>
        <v>1500000</v>
      </c>
      <c r="AB58" s="33" t="n">
        <f aca="false">IF(AB$3&gt;=Launch_SN,INDEX(Bank_Min_SN,1,AB$5),0)</f>
        <v>1500000</v>
      </c>
      <c r="AC58" s="33" t="n">
        <f aca="false">IF(AC$3&gt;=Launch_SN,INDEX(Bank_Min_SN,1,AC$5),0)</f>
        <v>2000000</v>
      </c>
      <c r="AD58" s="33" t="n">
        <f aca="false">IF(AD$3&gt;=Launch_SN,INDEX(Bank_Min_SN,1,AD$5),0)</f>
        <v>2000000</v>
      </c>
      <c r="AE58" s="33" t="n">
        <f aca="false">IF(AE$3&gt;=Launch_SN,INDEX(Bank_Min_SN,1,AE$5),0)</f>
        <v>2000000</v>
      </c>
      <c r="AF58" s="33" t="n">
        <f aca="false">IF(AF$3&gt;=Launch_SN,INDEX(Bank_Min_SN,1,AF$5),0)</f>
        <v>2000000</v>
      </c>
      <c r="AG58" s="33" t="n">
        <f aca="false">IF(AG$3&gt;=Launch_SN,INDEX(Bank_Min_SN,1,AG$5),0)</f>
        <v>2000000</v>
      </c>
      <c r="AH58" s="33" t="n">
        <f aca="false">IF(AH$3&gt;=Launch_SN,INDEX(Bank_Min_SN,1,AH$5),0)</f>
        <v>2000000</v>
      </c>
      <c r="AI58" s="33" t="n">
        <f aca="false">IF(AI$3&gt;=Launch_SN,INDEX(Bank_Min_SN,1,AI$5),0)</f>
        <v>2000000</v>
      </c>
      <c r="AJ58" s="33" t="n">
        <f aca="false">IF(AJ$3&gt;=Launch_SN,INDEX(Bank_Min_SN,1,AJ$5),0)</f>
        <v>2000000</v>
      </c>
      <c r="AK58" s="33" t="n">
        <f aca="false">IF(AK$3&gt;=Launch_SN,INDEX(Bank_Min_SN,1,AK$5),0)</f>
        <v>2000000</v>
      </c>
      <c r="AL58" s="33" t="n">
        <f aca="false">IF(AL$3&gt;=Launch_SN,INDEX(Bank_Min_SN,1,AL$5),0)</f>
        <v>2000000</v>
      </c>
      <c r="AM58" s="33" t="n">
        <f aca="false">IF(AM$3&gt;=Launch_SN,INDEX(Bank_Min_SN,1,AM$5),0)</f>
        <v>2000000</v>
      </c>
      <c r="AN58" s="33" t="n">
        <f aca="false">IF(AN$3&gt;=Launch_SN,INDEX(Bank_Min_SN,1,AN$5),0)</f>
        <v>2000000</v>
      </c>
      <c r="AO58" s="33" t="n">
        <f aca="false">IF(AO$3&gt;=Launch_SN,INDEX(Bank_Min_SN,1,AO$5),0)</f>
        <v>2000000</v>
      </c>
      <c r="AP58" s="33" t="n">
        <f aca="false">IF(AP$3&gt;=Launch_SN,INDEX(Bank_Min_SN,1,AP$5),0)</f>
        <v>2000000</v>
      </c>
      <c r="AQ58" s="33" t="n">
        <f aca="false">IF(AQ$3&gt;=Launch_SN,INDEX(Bank_Min_SN,1,AQ$5),0)</f>
        <v>2000000</v>
      </c>
      <c r="AR58" s="33" t="n">
        <f aca="false">IF(AR$3&gt;=Launch_SN,INDEX(Bank_Min_SN,1,AR$5),0)</f>
        <v>2000000</v>
      </c>
      <c r="AS58" s="33" t="n">
        <f aca="false">IF(AS$3&gt;=Launch_SN,INDEX(Bank_Min_SN,1,AS$5),0)</f>
        <v>2000000</v>
      </c>
      <c r="AT58" s="33" t="n">
        <f aca="false">IF(AT$3&gt;=Launch_SN,INDEX(Bank_Min_SN,1,AT$5),0)</f>
        <v>2000000</v>
      </c>
      <c r="AU58" s="33" t="n">
        <f aca="false">IF(AU$3&gt;=Launch_SN,INDEX(Bank_Min_SN,1,AU$5),0)</f>
        <v>2000000</v>
      </c>
      <c r="AV58" s="33" t="n">
        <f aca="false">IF(AV$3&gt;=Launch_SN,INDEX(Bank_Min_SN,1,AV$5),0)</f>
        <v>2000000</v>
      </c>
      <c r="AW58" s="33" t="n">
        <f aca="false">IF(AW$3&gt;=Launch_SN,INDEX(Bank_Min_SN,1,AW$5),0)</f>
        <v>2000000</v>
      </c>
      <c r="AX58" s="33" t="n">
        <f aca="false">IF(AX$3&gt;=Launch_SN,INDEX(Bank_Min_SN,1,AX$5),0)</f>
        <v>2000000</v>
      </c>
      <c r="AY58" s="33" t="n">
        <f aca="false">IF(AY$3&gt;=Launch_SN,INDEX(Bank_Min_SN,1,AY$5),0)</f>
        <v>2000000</v>
      </c>
      <c r="AZ58" s="33" t="n">
        <f aca="false">IF(AZ$3&gt;=Launch_SN,INDEX(Bank_Min_SN,1,AZ$5),0)</f>
        <v>2000000</v>
      </c>
      <c r="BA58" s="33" t="n">
        <f aca="false">IF(BA$3&gt;=Launch_SN,INDEX(Bank_Min_SN,1,BA$5),0)</f>
        <v>2000000</v>
      </c>
      <c r="BB58" s="33" t="n">
        <f aca="false">IF(BB$3&gt;=Launch_SN,INDEX(Bank_Min_SN,1,BB$5),0)</f>
        <v>2000000</v>
      </c>
      <c r="BC58" s="33" t="n">
        <f aca="false">IF(BC$3&gt;=Launch_SN,INDEX(Bank_Min_SN,1,BC$5),0)</f>
        <v>2000000</v>
      </c>
      <c r="BD58" s="33" t="n">
        <f aca="false">IF(BD$3&gt;=Launch_SN,INDEX(Bank_Min_SN,1,BD$5),0)</f>
        <v>2000000</v>
      </c>
      <c r="BE58" s="33" t="n">
        <f aca="false">IF(BE$3&gt;=Launch_SN,INDEX(Bank_Min_SN,1,BE$5),0)</f>
        <v>2000000</v>
      </c>
      <c r="BF58" s="33" t="n">
        <f aca="false">IF(BF$3&gt;=Launch_SN,INDEX(Bank_Min_SN,1,BF$5),0)</f>
        <v>2000000</v>
      </c>
      <c r="BG58" s="33" t="n">
        <f aca="false">IF(BG$3&gt;=Launch_SN,INDEX(Bank_Min_SN,1,BG$5),0)</f>
        <v>2000000</v>
      </c>
      <c r="BH58" s="33" t="n">
        <f aca="false">IF(BH$3&gt;=Launch_SN,INDEX(Bank_Min_SN,1,BH$5),0)</f>
        <v>2000000</v>
      </c>
      <c r="BI58" s="33" t="n">
        <f aca="false">IF(BI$3&gt;=Launch_SN,INDEX(Bank_Min_SN,1,BI$5),0)</f>
        <v>2000000</v>
      </c>
      <c r="BJ58" s="33" t="n">
        <f aca="false">IF(BJ$3&gt;=Launch_SN,INDEX(Bank_Min_SN,1,BJ$5),0)</f>
        <v>2000000</v>
      </c>
      <c r="BK58" s="33" t="n">
        <f aca="false">IF(BK$3&gt;=Launch_SN,INDEX(Bank_Min_SN,1,BK$5),0)</f>
        <v>2000000</v>
      </c>
      <c r="BL58" s="33" t="n">
        <f aca="false">IF(BL$3&gt;=Launch_SN,INDEX(Bank_Min_SN,1,BL$5),0)</f>
        <v>2000000</v>
      </c>
    </row>
    <row r="59" customFormat="false" ht="15" hidden="false" customHeight="false" outlineLevel="0" collapsed="false">
      <c r="A59" s="12" t="s">
        <v>656</v>
      </c>
      <c r="B59" s="14" t="s">
        <v>63</v>
      </c>
      <c r="D59" s="41" t="n">
        <f aca="false">SUM(E59:BL59)</f>
        <v>15000000</v>
      </c>
      <c r="E59" s="33" t="n">
        <f aca="false">IF(E$3=CI_Bank_Setup_Month,Bank_Setup_CI,0)</f>
        <v>0</v>
      </c>
      <c r="F59" s="33" t="n">
        <f aca="false">IF(F$3=CI_Bank_Setup_Month,Bank_Setup_CI,0)</f>
        <v>0</v>
      </c>
      <c r="G59" s="33" t="n">
        <f aca="false">IF(G$3=CI_Bank_Setup_Month,Bank_Setup_CI,0)</f>
        <v>0</v>
      </c>
      <c r="H59" s="33" t="n">
        <f aca="false">IF(H$3=CI_Bank_Setup_Month,Bank_Setup_CI,0)</f>
        <v>0</v>
      </c>
      <c r="I59" s="33" t="n">
        <f aca="false">IF(I$3=CI_Bank_Setup_Month,Bank_Setup_CI,0)</f>
        <v>0</v>
      </c>
      <c r="J59" s="33" t="n">
        <f aca="false">IF(J$3=CI_Bank_Setup_Month,Bank_Setup_CI,0)</f>
        <v>0</v>
      </c>
      <c r="K59" s="33" t="n">
        <f aca="false">IF(K$3=CI_Bank_Setup_Month,Bank_Setup_CI,0)</f>
        <v>0</v>
      </c>
      <c r="L59" s="33" t="n">
        <f aca="false">IF(L$3=CI_Bank_Setup_Month,Bank_Setup_CI,0)</f>
        <v>0</v>
      </c>
      <c r="M59" s="33" t="n">
        <f aca="false">IF(M$3=CI_Bank_Setup_Month,Bank_Setup_CI,0)</f>
        <v>0</v>
      </c>
      <c r="N59" s="33" t="n">
        <f aca="false">IF(N$3=CI_Bank_Setup_Month,Bank_Setup_CI,0)</f>
        <v>0</v>
      </c>
      <c r="O59" s="33" t="n">
        <f aca="false">IF(O$3=CI_Bank_Setup_Month,Bank_Setup_CI,0)</f>
        <v>0</v>
      </c>
      <c r="P59" s="33" t="n">
        <f aca="false">IF(P$3=CI_Bank_Setup_Month,Bank_Setup_CI,0)</f>
        <v>0</v>
      </c>
      <c r="Q59" s="33" t="n">
        <f aca="false">IF(Q$3=CI_Bank_Setup_Month,Bank_Setup_CI,0)</f>
        <v>0</v>
      </c>
      <c r="R59" s="33" t="n">
        <f aca="false">IF(R$3=CI_Bank_Setup_Month,Bank_Setup_CI,0)</f>
        <v>0</v>
      </c>
      <c r="S59" s="33" t="n">
        <f aca="false">IF(S$3=CI_Bank_Setup_Month,Bank_Setup_CI,0)</f>
        <v>0</v>
      </c>
      <c r="T59" s="33" t="n">
        <f aca="false">IF(T$3=CI_Bank_Setup_Month,Bank_Setup_CI,0)</f>
        <v>15000000</v>
      </c>
      <c r="U59" s="33" t="n">
        <f aca="false">IF(U$3=CI_Bank_Setup_Month,Bank_Setup_CI,0)</f>
        <v>0</v>
      </c>
      <c r="V59" s="33" t="n">
        <f aca="false">IF(V$3=CI_Bank_Setup_Month,Bank_Setup_CI,0)</f>
        <v>0</v>
      </c>
      <c r="W59" s="33" t="n">
        <f aca="false">IF(W$3=CI_Bank_Setup_Month,Bank_Setup_CI,0)</f>
        <v>0</v>
      </c>
      <c r="X59" s="33" t="n">
        <f aca="false">IF(X$3=CI_Bank_Setup_Month,Bank_Setup_CI,0)</f>
        <v>0</v>
      </c>
      <c r="Y59" s="33" t="n">
        <f aca="false">IF(Y$3=CI_Bank_Setup_Month,Bank_Setup_CI,0)</f>
        <v>0</v>
      </c>
      <c r="Z59" s="33" t="n">
        <f aca="false">IF(Z$3=CI_Bank_Setup_Month,Bank_Setup_CI,0)</f>
        <v>0</v>
      </c>
      <c r="AA59" s="33" t="n">
        <f aca="false">IF(AA$3=CI_Bank_Setup_Month,Bank_Setup_CI,0)</f>
        <v>0</v>
      </c>
      <c r="AB59" s="33" t="n">
        <f aca="false">IF(AB$3=CI_Bank_Setup_Month,Bank_Setup_CI,0)</f>
        <v>0</v>
      </c>
      <c r="AC59" s="33" t="n">
        <f aca="false">IF(AC$3=CI_Bank_Setup_Month,Bank_Setup_CI,0)</f>
        <v>0</v>
      </c>
      <c r="AD59" s="33" t="n">
        <f aca="false">IF(AD$3=CI_Bank_Setup_Month,Bank_Setup_CI,0)</f>
        <v>0</v>
      </c>
      <c r="AE59" s="33" t="n">
        <f aca="false">IF(AE$3=CI_Bank_Setup_Month,Bank_Setup_CI,0)</f>
        <v>0</v>
      </c>
      <c r="AF59" s="33" t="n">
        <f aca="false">IF(AF$3=CI_Bank_Setup_Month,Bank_Setup_CI,0)</f>
        <v>0</v>
      </c>
      <c r="AG59" s="33" t="n">
        <f aca="false">IF(AG$3=CI_Bank_Setup_Month,Bank_Setup_CI,0)</f>
        <v>0</v>
      </c>
      <c r="AH59" s="33" t="n">
        <f aca="false">IF(AH$3=CI_Bank_Setup_Month,Bank_Setup_CI,0)</f>
        <v>0</v>
      </c>
      <c r="AI59" s="33" t="n">
        <f aca="false">IF(AI$3=CI_Bank_Setup_Month,Bank_Setup_CI,0)</f>
        <v>0</v>
      </c>
      <c r="AJ59" s="33" t="n">
        <f aca="false">IF(AJ$3=CI_Bank_Setup_Month,Bank_Setup_CI,0)</f>
        <v>0</v>
      </c>
      <c r="AK59" s="33" t="n">
        <f aca="false">IF(AK$3=CI_Bank_Setup_Month,Bank_Setup_CI,0)</f>
        <v>0</v>
      </c>
      <c r="AL59" s="33" t="n">
        <f aca="false">IF(AL$3=CI_Bank_Setup_Month,Bank_Setup_CI,0)</f>
        <v>0</v>
      </c>
      <c r="AM59" s="33" t="n">
        <f aca="false">IF(AM$3=CI_Bank_Setup_Month,Bank_Setup_CI,0)</f>
        <v>0</v>
      </c>
      <c r="AN59" s="33" t="n">
        <f aca="false">IF(AN$3=CI_Bank_Setup_Month,Bank_Setup_CI,0)</f>
        <v>0</v>
      </c>
      <c r="AO59" s="33" t="n">
        <f aca="false">IF(AO$3=CI_Bank_Setup_Month,Bank_Setup_CI,0)</f>
        <v>0</v>
      </c>
      <c r="AP59" s="33" t="n">
        <f aca="false">IF(AP$3=CI_Bank_Setup_Month,Bank_Setup_CI,0)</f>
        <v>0</v>
      </c>
      <c r="AQ59" s="33" t="n">
        <f aca="false">IF(AQ$3=CI_Bank_Setup_Month,Bank_Setup_CI,0)</f>
        <v>0</v>
      </c>
      <c r="AR59" s="33" t="n">
        <f aca="false">IF(AR$3=CI_Bank_Setup_Month,Bank_Setup_CI,0)</f>
        <v>0</v>
      </c>
      <c r="AS59" s="33" t="n">
        <f aca="false">IF(AS$3=CI_Bank_Setup_Month,Bank_Setup_CI,0)</f>
        <v>0</v>
      </c>
      <c r="AT59" s="33" t="n">
        <f aca="false">IF(AT$3=CI_Bank_Setup_Month,Bank_Setup_CI,0)</f>
        <v>0</v>
      </c>
      <c r="AU59" s="33" t="n">
        <f aca="false">IF(AU$3=CI_Bank_Setup_Month,Bank_Setup_CI,0)</f>
        <v>0</v>
      </c>
      <c r="AV59" s="33" t="n">
        <f aca="false">IF(AV$3=CI_Bank_Setup_Month,Bank_Setup_CI,0)</f>
        <v>0</v>
      </c>
      <c r="AW59" s="33" t="n">
        <f aca="false">IF(AW$3=CI_Bank_Setup_Month,Bank_Setup_CI,0)</f>
        <v>0</v>
      </c>
      <c r="AX59" s="33" t="n">
        <f aca="false">IF(AX$3=CI_Bank_Setup_Month,Bank_Setup_CI,0)</f>
        <v>0</v>
      </c>
      <c r="AY59" s="33" t="n">
        <f aca="false">IF(AY$3=CI_Bank_Setup_Month,Bank_Setup_CI,0)</f>
        <v>0</v>
      </c>
      <c r="AZ59" s="33" t="n">
        <f aca="false">IF(AZ$3=CI_Bank_Setup_Month,Bank_Setup_CI,0)</f>
        <v>0</v>
      </c>
      <c r="BA59" s="33" t="n">
        <f aca="false">IF(BA$3=CI_Bank_Setup_Month,Bank_Setup_CI,0)</f>
        <v>0</v>
      </c>
      <c r="BB59" s="33" t="n">
        <f aca="false">IF(BB$3=CI_Bank_Setup_Month,Bank_Setup_CI,0)</f>
        <v>0</v>
      </c>
      <c r="BC59" s="33" t="n">
        <f aca="false">IF(BC$3=CI_Bank_Setup_Month,Bank_Setup_CI,0)</f>
        <v>0</v>
      </c>
      <c r="BD59" s="33" t="n">
        <f aca="false">IF(BD$3=CI_Bank_Setup_Month,Bank_Setup_CI,0)</f>
        <v>0</v>
      </c>
      <c r="BE59" s="33" t="n">
        <f aca="false">IF(BE$3=CI_Bank_Setup_Month,Bank_Setup_CI,0)</f>
        <v>0</v>
      </c>
      <c r="BF59" s="33" t="n">
        <f aca="false">IF(BF$3=CI_Bank_Setup_Month,Bank_Setup_CI,0)</f>
        <v>0</v>
      </c>
      <c r="BG59" s="33" t="n">
        <f aca="false">IF(BG$3=CI_Bank_Setup_Month,Bank_Setup_CI,0)</f>
        <v>0</v>
      </c>
      <c r="BH59" s="33" t="n">
        <f aca="false">IF(BH$3=CI_Bank_Setup_Month,Bank_Setup_CI,0)</f>
        <v>0</v>
      </c>
      <c r="BI59" s="33" t="n">
        <f aca="false">IF(BI$3=CI_Bank_Setup_Month,Bank_Setup_CI,0)</f>
        <v>0</v>
      </c>
      <c r="BJ59" s="33" t="n">
        <f aca="false">IF(BJ$3=CI_Bank_Setup_Month,Bank_Setup_CI,0)</f>
        <v>0</v>
      </c>
      <c r="BK59" s="33" t="n">
        <f aca="false">IF(BK$3=CI_Bank_Setup_Month,Bank_Setup_CI,0)</f>
        <v>0</v>
      </c>
      <c r="BL59" s="33" t="n">
        <f aca="false">IF(BL$3=CI_Bank_Setup_Month,Bank_Setup_CI,0)</f>
        <v>0</v>
      </c>
    </row>
    <row r="60" customFormat="false" ht="15" hidden="false" customHeight="false" outlineLevel="0" collapsed="false">
      <c r="A60" s="12" t="s">
        <v>400</v>
      </c>
      <c r="B60" s="14" t="s">
        <v>63</v>
      </c>
      <c r="D60" s="41" t="n">
        <f aca="false">SUM(E60:BL60)</f>
        <v>81000000</v>
      </c>
      <c r="E60" s="33" t="n">
        <f aca="false">IF(E$3&gt;=Launch_CI,INDEX(Bank_Min_CI,1,E$5),0)</f>
        <v>0</v>
      </c>
      <c r="F60" s="33" t="n">
        <f aca="false">IF(F$3&gt;=Launch_CI,INDEX(Bank_Min_CI,1,F$5),0)</f>
        <v>0</v>
      </c>
      <c r="G60" s="33" t="n">
        <f aca="false">IF(G$3&gt;=Launch_CI,INDEX(Bank_Min_CI,1,G$5),0)</f>
        <v>0</v>
      </c>
      <c r="H60" s="33" t="n">
        <f aca="false">IF(H$3&gt;=Launch_CI,INDEX(Bank_Min_CI,1,H$5),0)</f>
        <v>0</v>
      </c>
      <c r="I60" s="33" t="n">
        <f aca="false">IF(I$3&gt;=Launch_CI,INDEX(Bank_Min_CI,1,I$5),0)</f>
        <v>0</v>
      </c>
      <c r="J60" s="33" t="n">
        <f aca="false">IF(J$3&gt;=Launch_CI,INDEX(Bank_Min_CI,1,J$5),0)</f>
        <v>0</v>
      </c>
      <c r="K60" s="33" t="n">
        <f aca="false">IF(K$3&gt;=Launch_CI,INDEX(Bank_Min_CI,1,K$5),0)</f>
        <v>0</v>
      </c>
      <c r="L60" s="33" t="n">
        <f aca="false">IF(L$3&gt;=Launch_CI,INDEX(Bank_Min_CI,1,L$5),0)</f>
        <v>0</v>
      </c>
      <c r="M60" s="33" t="n">
        <f aca="false">IF(M$3&gt;=Launch_CI,INDEX(Bank_Min_CI,1,M$5),0)</f>
        <v>0</v>
      </c>
      <c r="N60" s="33" t="n">
        <f aca="false">IF(N$3&gt;=Launch_CI,INDEX(Bank_Min_CI,1,N$5),0)</f>
        <v>0</v>
      </c>
      <c r="O60" s="33" t="n">
        <f aca="false">IF(O$3&gt;=Launch_CI,INDEX(Bank_Min_CI,1,O$5),0)</f>
        <v>0</v>
      </c>
      <c r="P60" s="33" t="n">
        <f aca="false">IF(P$3&gt;=Launch_CI,INDEX(Bank_Min_CI,1,P$5),0)</f>
        <v>0</v>
      </c>
      <c r="Q60" s="33" t="n">
        <f aca="false">IF(Q$3&gt;=Launch_CI,INDEX(Bank_Min_CI,1,Q$5),0)</f>
        <v>0</v>
      </c>
      <c r="R60" s="33" t="n">
        <f aca="false">IF(R$3&gt;=Launch_CI,INDEX(Bank_Min_CI,1,R$5),0)</f>
        <v>0</v>
      </c>
      <c r="S60" s="33" t="n">
        <f aca="false">IF(S$3&gt;=Launch_CI,INDEX(Bank_Min_CI,1,S$5),0)</f>
        <v>0</v>
      </c>
      <c r="T60" s="33" t="n">
        <f aca="false">IF(T$3&gt;=Launch_CI,INDEX(Bank_Min_CI,1,T$5),0)</f>
        <v>0</v>
      </c>
      <c r="U60" s="33" t="n">
        <f aca="false">IF(U$3&gt;=Launch_CI,INDEX(Bank_Min_CI,1,U$5),0)</f>
        <v>0</v>
      </c>
      <c r="V60" s="33" t="n">
        <f aca="false">IF(V$3&gt;=Launch_CI,INDEX(Bank_Min_CI,1,V$5),0)</f>
        <v>0</v>
      </c>
      <c r="W60" s="33" t="n">
        <f aca="false">IF(W$3&gt;=Launch_CI,INDEX(Bank_Min_CI,1,W$5),0)</f>
        <v>1500000</v>
      </c>
      <c r="X60" s="33" t="n">
        <f aca="false">IF(X$3&gt;=Launch_CI,INDEX(Bank_Min_CI,1,X$5),0)</f>
        <v>1500000</v>
      </c>
      <c r="Y60" s="33" t="n">
        <f aca="false">IF(Y$3&gt;=Launch_CI,INDEX(Bank_Min_CI,1,Y$5),0)</f>
        <v>1500000</v>
      </c>
      <c r="Z60" s="33" t="n">
        <f aca="false">IF(Z$3&gt;=Launch_CI,INDEX(Bank_Min_CI,1,Z$5),0)</f>
        <v>1500000</v>
      </c>
      <c r="AA60" s="33" t="n">
        <f aca="false">IF(AA$3&gt;=Launch_CI,INDEX(Bank_Min_CI,1,AA$5),0)</f>
        <v>1500000</v>
      </c>
      <c r="AB60" s="33" t="n">
        <f aca="false">IF(AB$3&gt;=Launch_CI,INDEX(Bank_Min_CI,1,AB$5),0)</f>
        <v>1500000</v>
      </c>
      <c r="AC60" s="33" t="n">
        <f aca="false">IF(AC$3&gt;=Launch_CI,INDEX(Bank_Min_CI,1,AC$5),0)</f>
        <v>2000000</v>
      </c>
      <c r="AD60" s="33" t="n">
        <f aca="false">IF(AD$3&gt;=Launch_CI,INDEX(Bank_Min_CI,1,AD$5),0)</f>
        <v>2000000</v>
      </c>
      <c r="AE60" s="33" t="n">
        <f aca="false">IF(AE$3&gt;=Launch_CI,INDEX(Bank_Min_CI,1,AE$5),0)</f>
        <v>2000000</v>
      </c>
      <c r="AF60" s="33" t="n">
        <f aca="false">IF(AF$3&gt;=Launch_CI,INDEX(Bank_Min_CI,1,AF$5),0)</f>
        <v>2000000</v>
      </c>
      <c r="AG60" s="33" t="n">
        <f aca="false">IF(AG$3&gt;=Launch_CI,INDEX(Bank_Min_CI,1,AG$5),0)</f>
        <v>2000000</v>
      </c>
      <c r="AH60" s="33" t="n">
        <f aca="false">IF(AH$3&gt;=Launch_CI,INDEX(Bank_Min_CI,1,AH$5),0)</f>
        <v>2000000</v>
      </c>
      <c r="AI60" s="33" t="n">
        <f aca="false">IF(AI$3&gt;=Launch_CI,INDEX(Bank_Min_CI,1,AI$5),0)</f>
        <v>2000000</v>
      </c>
      <c r="AJ60" s="33" t="n">
        <f aca="false">IF(AJ$3&gt;=Launch_CI,INDEX(Bank_Min_CI,1,AJ$5),0)</f>
        <v>2000000</v>
      </c>
      <c r="AK60" s="33" t="n">
        <f aca="false">IF(AK$3&gt;=Launch_CI,INDEX(Bank_Min_CI,1,AK$5),0)</f>
        <v>2000000</v>
      </c>
      <c r="AL60" s="33" t="n">
        <f aca="false">IF(AL$3&gt;=Launch_CI,INDEX(Bank_Min_CI,1,AL$5),0)</f>
        <v>2000000</v>
      </c>
      <c r="AM60" s="33" t="n">
        <f aca="false">IF(AM$3&gt;=Launch_CI,INDEX(Bank_Min_CI,1,AM$5),0)</f>
        <v>2000000</v>
      </c>
      <c r="AN60" s="33" t="n">
        <f aca="false">IF(AN$3&gt;=Launch_CI,INDEX(Bank_Min_CI,1,AN$5),0)</f>
        <v>2000000</v>
      </c>
      <c r="AO60" s="33" t="n">
        <f aca="false">IF(AO$3&gt;=Launch_CI,INDEX(Bank_Min_CI,1,AO$5),0)</f>
        <v>2000000</v>
      </c>
      <c r="AP60" s="33" t="n">
        <f aca="false">IF(AP$3&gt;=Launch_CI,INDEX(Bank_Min_CI,1,AP$5),0)</f>
        <v>2000000</v>
      </c>
      <c r="AQ60" s="33" t="n">
        <f aca="false">IF(AQ$3&gt;=Launch_CI,INDEX(Bank_Min_CI,1,AQ$5),0)</f>
        <v>2000000</v>
      </c>
      <c r="AR60" s="33" t="n">
        <f aca="false">IF(AR$3&gt;=Launch_CI,INDEX(Bank_Min_CI,1,AR$5),0)</f>
        <v>2000000</v>
      </c>
      <c r="AS60" s="33" t="n">
        <f aca="false">IF(AS$3&gt;=Launch_CI,INDEX(Bank_Min_CI,1,AS$5),0)</f>
        <v>2000000</v>
      </c>
      <c r="AT60" s="33" t="n">
        <f aca="false">IF(AT$3&gt;=Launch_CI,INDEX(Bank_Min_CI,1,AT$5),0)</f>
        <v>2000000</v>
      </c>
      <c r="AU60" s="33" t="n">
        <f aca="false">IF(AU$3&gt;=Launch_CI,INDEX(Bank_Min_CI,1,AU$5),0)</f>
        <v>2000000</v>
      </c>
      <c r="AV60" s="33" t="n">
        <f aca="false">IF(AV$3&gt;=Launch_CI,INDEX(Bank_Min_CI,1,AV$5),0)</f>
        <v>2000000</v>
      </c>
      <c r="AW60" s="33" t="n">
        <f aca="false">IF(AW$3&gt;=Launch_CI,INDEX(Bank_Min_CI,1,AW$5),0)</f>
        <v>2000000</v>
      </c>
      <c r="AX60" s="33" t="n">
        <f aca="false">IF(AX$3&gt;=Launch_CI,INDEX(Bank_Min_CI,1,AX$5),0)</f>
        <v>2000000</v>
      </c>
      <c r="AY60" s="33" t="n">
        <f aca="false">IF(AY$3&gt;=Launch_CI,INDEX(Bank_Min_CI,1,AY$5),0)</f>
        <v>2000000</v>
      </c>
      <c r="AZ60" s="33" t="n">
        <f aca="false">IF(AZ$3&gt;=Launch_CI,INDEX(Bank_Min_CI,1,AZ$5),0)</f>
        <v>2000000</v>
      </c>
      <c r="BA60" s="33" t="n">
        <f aca="false">IF(BA$3&gt;=Launch_CI,INDEX(Bank_Min_CI,1,BA$5),0)</f>
        <v>2000000</v>
      </c>
      <c r="BB60" s="33" t="n">
        <f aca="false">IF(BB$3&gt;=Launch_CI,INDEX(Bank_Min_CI,1,BB$5),0)</f>
        <v>2000000</v>
      </c>
      <c r="BC60" s="33" t="n">
        <f aca="false">IF(BC$3&gt;=Launch_CI,INDEX(Bank_Min_CI,1,BC$5),0)</f>
        <v>2000000</v>
      </c>
      <c r="BD60" s="33" t="n">
        <f aca="false">IF(BD$3&gt;=Launch_CI,INDEX(Bank_Min_CI,1,BD$5),0)</f>
        <v>2000000</v>
      </c>
      <c r="BE60" s="33" t="n">
        <f aca="false">IF(BE$3&gt;=Launch_CI,INDEX(Bank_Min_CI,1,BE$5),0)</f>
        <v>2000000</v>
      </c>
      <c r="BF60" s="33" t="n">
        <f aca="false">IF(BF$3&gt;=Launch_CI,INDEX(Bank_Min_CI,1,BF$5),0)</f>
        <v>2000000</v>
      </c>
      <c r="BG60" s="33" t="n">
        <f aca="false">IF(BG$3&gt;=Launch_CI,INDEX(Bank_Min_CI,1,BG$5),0)</f>
        <v>2000000</v>
      </c>
      <c r="BH60" s="33" t="n">
        <f aca="false">IF(BH$3&gt;=Launch_CI,INDEX(Bank_Min_CI,1,BH$5),0)</f>
        <v>2000000</v>
      </c>
      <c r="BI60" s="33" t="n">
        <f aca="false">IF(BI$3&gt;=Launch_CI,INDEX(Bank_Min_CI,1,BI$5),0)</f>
        <v>2000000</v>
      </c>
      <c r="BJ60" s="33" t="n">
        <f aca="false">IF(BJ$3&gt;=Launch_CI,INDEX(Bank_Min_CI,1,BJ$5),0)</f>
        <v>2000000</v>
      </c>
      <c r="BK60" s="33" t="n">
        <f aca="false">IF(BK$3&gt;=Launch_CI,INDEX(Bank_Min_CI,1,BK$5),0)</f>
        <v>2000000</v>
      </c>
      <c r="BL60" s="33" t="n">
        <f aca="false">IF(BL$3&gt;=Launch_CI,INDEX(Bank_Min_CI,1,BL$5),0)</f>
        <v>2000000</v>
      </c>
    </row>
    <row r="61" customFormat="false" ht="15" hidden="false" customHeight="false" outlineLevel="0" collapsed="false">
      <c r="A61" s="12" t="s">
        <v>657</v>
      </c>
      <c r="B61" s="14" t="s">
        <v>63</v>
      </c>
      <c r="D61" s="41" t="n">
        <f aca="false">SUM(E61:BL61)</f>
        <v>17000000</v>
      </c>
      <c r="E61" s="33" t="n">
        <f aca="false">IF(E$3=SFD_Setup_Month,SFD_Setup,0)+INDEX(SFD_Annual,1,E$5)/12</f>
        <v>0</v>
      </c>
      <c r="F61" s="33" t="n">
        <f aca="false">IF(F$3=SFD_Setup_Month,SFD_Setup,0)+INDEX(SFD_Annual,1,F$5)/12</f>
        <v>0</v>
      </c>
      <c r="G61" s="33" t="n">
        <f aca="false">IF(G$3=SFD_Setup_Month,SFD_Setup,0)+INDEX(SFD_Annual,1,G$5)/12</f>
        <v>0</v>
      </c>
      <c r="H61" s="33" t="n">
        <f aca="false">IF(H$3=SFD_Setup_Month,SFD_Setup,0)+INDEX(SFD_Annual,1,H$5)/12</f>
        <v>0</v>
      </c>
      <c r="I61" s="33" t="n">
        <f aca="false">IF(I$3=SFD_Setup_Month,SFD_Setup,0)+INDEX(SFD_Annual,1,I$5)/12</f>
        <v>0</v>
      </c>
      <c r="J61" s="33" t="n">
        <f aca="false">IF(J$3=SFD_Setup_Month,SFD_Setup,0)+INDEX(SFD_Annual,1,J$5)/12</f>
        <v>0</v>
      </c>
      <c r="K61" s="33" t="n">
        <f aca="false">IF(K$3=SFD_Setup_Month,SFD_Setup,0)+INDEX(SFD_Annual,1,K$5)/12</f>
        <v>0</v>
      </c>
      <c r="L61" s="33" t="n">
        <f aca="false">IF(L$3=SFD_Setup_Month,SFD_Setup,0)+INDEX(SFD_Annual,1,L$5)/12</f>
        <v>0</v>
      </c>
      <c r="M61" s="33" t="n">
        <f aca="false">IF(M$3=SFD_Setup_Month,SFD_Setup,0)+INDEX(SFD_Annual,1,M$5)/12</f>
        <v>5000000</v>
      </c>
      <c r="N61" s="33" t="n">
        <f aca="false">IF(N$3=SFD_Setup_Month,SFD_Setup,0)+INDEX(SFD_Annual,1,N$5)/12</f>
        <v>0</v>
      </c>
      <c r="O61" s="33" t="n">
        <f aca="false">IF(O$3=SFD_Setup_Month,SFD_Setup,0)+INDEX(SFD_Annual,1,O$5)/12</f>
        <v>0</v>
      </c>
      <c r="P61" s="33" t="n">
        <f aca="false">IF(P$3=SFD_Setup_Month,SFD_Setup,0)+INDEX(SFD_Annual,1,P$5)/12</f>
        <v>0</v>
      </c>
      <c r="Q61" s="33" t="n">
        <f aca="false">IF(Q$3=SFD_Setup_Month,SFD_Setup,0)+INDEX(SFD_Annual,1,Q$5)/12</f>
        <v>250000</v>
      </c>
      <c r="R61" s="33" t="n">
        <f aca="false">IF(R$3=SFD_Setup_Month,SFD_Setup,0)+INDEX(SFD_Annual,1,R$5)/12</f>
        <v>250000</v>
      </c>
      <c r="S61" s="33" t="n">
        <f aca="false">IF(S$3=SFD_Setup_Month,SFD_Setup,0)+INDEX(SFD_Annual,1,S$5)/12</f>
        <v>250000</v>
      </c>
      <c r="T61" s="33" t="n">
        <f aca="false">IF(T$3=SFD_Setup_Month,SFD_Setup,0)+INDEX(SFD_Annual,1,T$5)/12</f>
        <v>250000</v>
      </c>
      <c r="U61" s="33" t="n">
        <f aca="false">IF(U$3=SFD_Setup_Month,SFD_Setup,0)+INDEX(SFD_Annual,1,U$5)/12</f>
        <v>250000</v>
      </c>
      <c r="V61" s="33" t="n">
        <f aca="false">IF(V$3=SFD_Setup_Month,SFD_Setup,0)+INDEX(SFD_Annual,1,V$5)/12</f>
        <v>250000</v>
      </c>
      <c r="W61" s="33" t="n">
        <f aca="false">IF(W$3=SFD_Setup_Month,SFD_Setup,0)+INDEX(SFD_Annual,1,W$5)/12</f>
        <v>250000</v>
      </c>
      <c r="X61" s="33" t="n">
        <f aca="false">IF(X$3=SFD_Setup_Month,SFD_Setup,0)+INDEX(SFD_Annual,1,X$5)/12</f>
        <v>250000</v>
      </c>
      <c r="Y61" s="33" t="n">
        <f aca="false">IF(Y$3=SFD_Setup_Month,SFD_Setup,0)+INDEX(SFD_Annual,1,Y$5)/12</f>
        <v>250000</v>
      </c>
      <c r="Z61" s="33" t="n">
        <f aca="false">IF(Z$3=SFD_Setup_Month,SFD_Setup,0)+INDEX(SFD_Annual,1,Z$5)/12</f>
        <v>250000</v>
      </c>
      <c r="AA61" s="33" t="n">
        <f aca="false">IF(AA$3=SFD_Setup_Month,SFD_Setup,0)+INDEX(SFD_Annual,1,AA$5)/12</f>
        <v>250000</v>
      </c>
      <c r="AB61" s="33" t="n">
        <f aca="false">IF(AB$3=SFD_Setup_Month,SFD_Setup,0)+INDEX(SFD_Annual,1,AB$5)/12</f>
        <v>250000</v>
      </c>
      <c r="AC61" s="33" t="n">
        <f aca="false">IF(AC$3=SFD_Setup_Month,SFD_Setup,0)+INDEX(SFD_Annual,1,AC$5)/12</f>
        <v>250000</v>
      </c>
      <c r="AD61" s="33" t="n">
        <f aca="false">IF(AD$3=SFD_Setup_Month,SFD_Setup,0)+INDEX(SFD_Annual,1,AD$5)/12</f>
        <v>250000</v>
      </c>
      <c r="AE61" s="33" t="n">
        <f aca="false">IF(AE$3=SFD_Setup_Month,SFD_Setup,0)+INDEX(SFD_Annual,1,AE$5)/12</f>
        <v>250000</v>
      </c>
      <c r="AF61" s="33" t="n">
        <f aca="false">IF(AF$3=SFD_Setup_Month,SFD_Setup,0)+INDEX(SFD_Annual,1,AF$5)/12</f>
        <v>250000</v>
      </c>
      <c r="AG61" s="33" t="n">
        <f aca="false">IF(AG$3=SFD_Setup_Month,SFD_Setup,0)+INDEX(SFD_Annual,1,AG$5)/12</f>
        <v>250000</v>
      </c>
      <c r="AH61" s="33" t="n">
        <f aca="false">IF(AH$3=SFD_Setup_Month,SFD_Setup,0)+INDEX(SFD_Annual,1,AH$5)/12</f>
        <v>250000</v>
      </c>
      <c r="AI61" s="33" t="n">
        <f aca="false">IF(AI$3=SFD_Setup_Month,SFD_Setup,0)+INDEX(SFD_Annual,1,AI$5)/12</f>
        <v>250000</v>
      </c>
      <c r="AJ61" s="33" t="n">
        <f aca="false">IF(AJ$3=SFD_Setup_Month,SFD_Setup,0)+INDEX(SFD_Annual,1,AJ$5)/12</f>
        <v>250000</v>
      </c>
      <c r="AK61" s="33" t="n">
        <f aca="false">IF(AK$3=SFD_Setup_Month,SFD_Setup,0)+INDEX(SFD_Annual,1,AK$5)/12</f>
        <v>250000</v>
      </c>
      <c r="AL61" s="33" t="n">
        <f aca="false">IF(AL$3=SFD_Setup_Month,SFD_Setup,0)+INDEX(SFD_Annual,1,AL$5)/12</f>
        <v>250000</v>
      </c>
      <c r="AM61" s="33" t="n">
        <f aca="false">IF(AM$3=SFD_Setup_Month,SFD_Setup,0)+INDEX(SFD_Annual,1,AM$5)/12</f>
        <v>250000</v>
      </c>
      <c r="AN61" s="33" t="n">
        <f aca="false">IF(AN$3=SFD_Setup_Month,SFD_Setup,0)+INDEX(SFD_Annual,1,AN$5)/12</f>
        <v>250000</v>
      </c>
      <c r="AO61" s="33" t="n">
        <f aca="false">IF(AO$3=SFD_Setup_Month,SFD_Setup,0)+INDEX(SFD_Annual,1,AO$5)/12</f>
        <v>250000</v>
      </c>
      <c r="AP61" s="33" t="n">
        <f aca="false">IF(AP$3=SFD_Setup_Month,SFD_Setup,0)+INDEX(SFD_Annual,1,AP$5)/12</f>
        <v>250000</v>
      </c>
      <c r="AQ61" s="33" t="n">
        <f aca="false">IF(AQ$3=SFD_Setup_Month,SFD_Setup,0)+INDEX(SFD_Annual,1,AQ$5)/12</f>
        <v>250000</v>
      </c>
      <c r="AR61" s="33" t="n">
        <f aca="false">IF(AR$3=SFD_Setup_Month,SFD_Setup,0)+INDEX(SFD_Annual,1,AR$5)/12</f>
        <v>250000</v>
      </c>
      <c r="AS61" s="33" t="n">
        <f aca="false">IF(AS$3=SFD_Setup_Month,SFD_Setup,0)+INDEX(SFD_Annual,1,AS$5)/12</f>
        <v>250000</v>
      </c>
      <c r="AT61" s="33" t="n">
        <f aca="false">IF(AT$3=SFD_Setup_Month,SFD_Setup,0)+INDEX(SFD_Annual,1,AT$5)/12</f>
        <v>250000</v>
      </c>
      <c r="AU61" s="33" t="n">
        <f aca="false">IF(AU$3=SFD_Setup_Month,SFD_Setup,0)+INDEX(SFD_Annual,1,AU$5)/12</f>
        <v>250000</v>
      </c>
      <c r="AV61" s="33" t="n">
        <f aca="false">IF(AV$3=SFD_Setup_Month,SFD_Setup,0)+INDEX(SFD_Annual,1,AV$5)/12</f>
        <v>250000</v>
      </c>
      <c r="AW61" s="33" t="n">
        <f aca="false">IF(AW$3=SFD_Setup_Month,SFD_Setup,0)+INDEX(SFD_Annual,1,AW$5)/12</f>
        <v>250000</v>
      </c>
      <c r="AX61" s="33" t="n">
        <f aca="false">IF(AX$3=SFD_Setup_Month,SFD_Setup,0)+INDEX(SFD_Annual,1,AX$5)/12</f>
        <v>250000</v>
      </c>
      <c r="AY61" s="33" t="n">
        <f aca="false">IF(AY$3=SFD_Setup_Month,SFD_Setup,0)+INDEX(SFD_Annual,1,AY$5)/12</f>
        <v>250000</v>
      </c>
      <c r="AZ61" s="33" t="n">
        <f aca="false">IF(AZ$3=SFD_Setup_Month,SFD_Setup,0)+INDEX(SFD_Annual,1,AZ$5)/12</f>
        <v>250000</v>
      </c>
      <c r="BA61" s="33" t="n">
        <f aca="false">IF(BA$3=SFD_Setup_Month,SFD_Setup,0)+INDEX(SFD_Annual,1,BA$5)/12</f>
        <v>250000</v>
      </c>
      <c r="BB61" s="33" t="n">
        <f aca="false">IF(BB$3=SFD_Setup_Month,SFD_Setup,0)+INDEX(SFD_Annual,1,BB$5)/12</f>
        <v>250000</v>
      </c>
      <c r="BC61" s="33" t="n">
        <f aca="false">IF(BC$3=SFD_Setup_Month,SFD_Setup,0)+INDEX(SFD_Annual,1,BC$5)/12</f>
        <v>250000</v>
      </c>
      <c r="BD61" s="33" t="n">
        <f aca="false">IF(BD$3=SFD_Setup_Month,SFD_Setup,0)+INDEX(SFD_Annual,1,BD$5)/12</f>
        <v>250000</v>
      </c>
      <c r="BE61" s="33" t="n">
        <f aca="false">IF(BE$3=SFD_Setup_Month,SFD_Setup,0)+INDEX(SFD_Annual,1,BE$5)/12</f>
        <v>250000</v>
      </c>
      <c r="BF61" s="33" t="n">
        <f aca="false">IF(BF$3=SFD_Setup_Month,SFD_Setup,0)+INDEX(SFD_Annual,1,BF$5)/12</f>
        <v>250000</v>
      </c>
      <c r="BG61" s="33" t="n">
        <f aca="false">IF(BG$3=SFD_Setup_Month,SFD_Setup,0)+INDEX(SFD_Annual,1,BG$5)/12</f>
        <v>250000</v>
      </c>
      <c r="BH61" s="33" t="n">
        <f aca="false">IF(BH$3=SFD_Setup_Month,SFD_Setup,0)+INDEX(SFD_Annual,1,BH$5)/12</f>
        <v>250000</v>
      </c>
      <c r="BI61" s="33" t="n">
        <f aca="false">IF(BI$3=SFD_Setup_Month,SFD_Setup,0)+INDEX(SFD_Annual,1,BI$5)/12</f>
        <v>250000</v>
      </c>
      <c r="BJ61" s="33" t="n">
        <f aca="false">IF(BJ$3=SFD_Setup_Month,SFD_Setup,0)+INDEX(SFD_Annual,1,BJ$5)/12</f>
        <v>250000</v>
      </c>
      <c r="BK61" s="33" t="n">
        <f aca="false">IF(BK$3=SFD_Setup_Month,SFD_Setup,0)+INDEX(SFD_Annual,1,BK$5)/12</f>
        <v>250000</v>
      </c>
      <c r="BL61" s="33" t="n">
        <f aca="false">IF(BL$3=SFD_Setup_Month,SFD_Setup,0)+INDEX(SFD_Annual,1,BL$5)/12</f>
        <v>250000</v>
      </c>
    </row>
    <row r="62" customFormat="false" ht="15" hidden="false" customHeight="false" outlineLevel="0" collapsed="false">
      <c r="A62" s="8" t="s">
        <v>658</v>
      </c>
      <c r="B62" s="14" t="s">
        <v>63</v>
      </c>
      <c r="D62" s="41" t="n">
        <f aca="false">SUM(E62:BL62)</f>
        <v>230000000</v>
      </c>
      <c r="E62" s="16" t="n">
        <f aca="false">SUM(E57:E61)</f>
        <v>0</v>
      </c>
      <c r="F62" s="16" t="n">
        <f aca="false">SUM(F57:F61)</f>
        <v>15000000</v>
      </c>
      <c r="G62" s="16" t="n">
        <f aca="false">SUM(G57:G61)</f>
        <v>0</v>
      </c>
      <c r="H62" s="16" t="n">
        <f aca="false">SUM(H57:H61)</f>
        <v>0</v>
      </c>
      <c r="I62" s="16" t="n">
        <f aca="false">SUM(I57:I61)</f>
        <v>1500000</v>
      </c>
      <c r="J62" s="16" t="n">
        <f aca="false">SUM(J57:J61)</f>
        <v>1500000</v>
      </c>
      <c r="K62" s="16" t="n">
        <f aca="false">SUM(K57:K61)</f>
        <v>1500000</v>
      </c>
      <c r="L62" s="16" t="n">
        <f aca="false">SUM(L57:L61)</f>
        <v>1500000</v>
      </c>
      <c r="M62" s="16" t="n">
        <f aca="false">SUM(M57:M61)</f>
        <v>6500000</v>
      </c>
      <c r="N62" s="16" t="n">
        <f aca="false">SUM(N57:N61)</f>
        <v>1500000</v>
      </c>
      <c r="O62" s="16" t="n">
        <f aca="false">SUM(O57:O61)</f>
        <v>1500000</v>
      </c>
      <c r="P62" s="16" t="n">
        <f aca="false">SUM(P57:P61)</f>
        <v>1500000</v>
      </c>
      <c r="Q62" s="16" t="n">
        <f aca="false">SUM(Q57:Q61)</f>
        <v>1750000</v>
      </c>
      <c r="R62" s="16" t="n">
        <f aca="false">SUM(R57:R61)</f>
        <v>1750000</v>
      </c>
      <c r="S62" s="16" t="n">
        <f aca="false">SUM(S57:S61)</f>
        <v>1750000</v>
      </c>
      <c r="T62" s="16" t="n">
        <f aca="false">SUM(T57:T61)</f>
        <v>16750000</v>
      </c>
      <c r="U62" s="16" t="n">
        <f aca="false">SUM(U57:U61)</f>
        <v>1750000</v>
      </c>
      <c r="V62" s="16" t="n">
        <f aca="false">SUM(V57:V61)</f>
        <v>1750000</v>
      </c>
      <c r="W62" s="16" t="n">
        <f aca="false">SUM(W57:W61)</f>
        <v>3250000</v>
      </c>
      <c r="X62" s="16" t="n">
        <f aca="false">SUM(X57:X61)</f>
        <v>3250000</v>
      </c>
      <c r="Y62" s="16" t="n">
        <f aca="false">SUM(Y57:Y61)</f>
        <v>3250000</v>
      </c>
      <c r="Z62" s="16" t="n">
        <f aca="false">SUM(Z57:Z61)</f>
        <v>3250000</v>
      </c>
      <c r="AA62" s="16" t="n">
        <f aca="false">SUM(AA57:AA61)</f>
        <v>3250000</v>
      </c>
      <c r="AB62" s="16" t="n">
        <f aca="false">SUM(AB57:AB61)</f>
        <v>3250000</v>
      </c>
      <c r="AC62" s="16" t="n">
        <f aca="false">SUM(AC57:AC61)</f>
        <v>4250000</v>
      </c>
      <c r="AD62" s="16" t="n">
        <f aca="false">SUM(AD57:AD61)</f>
        <v>4250000</v>
      </c>
      <c r="AE62" s="16" t="n">
        <f aca="false">SUM(AE57:AE61)</f>
        <v>4250000</v>
      </c>
      <c r="AF62" s="16" t="n">
        <f aca="false">SUM(AF57:AF61)</f>
        <v>4250000</v>
      </c>
      <c r="AG62" s="16" t="n">
        <f aca="false">SUM(AG57:AG61)</f>
        <v>4250000</v>
      </c>
      <c r="AH62" s="16" t="n">
        <f aca="false">SUM(AH57:AH61)</f>
        <v>4250000</v>
      </c>
      <c r="AI62" s="16" t="n">
        <f aca="false">SUM(AI57:AI61)</f>
        <v>4250000</v>
      </c>
      <c r="AJ62" s="16" t="n">
        <f aca="false">SUM(AJ57:AJ61)</f>
        <v>4250000</v>
      </c>
      <c r="AK62" s="16" t="n">
        <f aca="false">SUM(AK57:AK61)</f>
        <v>4250000</v>
      </c>
      <c r="AL62" s="16" t="n">
        <f aca="false">SUM(AL57:AL61)</f>
        <v>4250000</v>
      </c>
      <c r="AM62" s="16" t="n">
        <f aca="false">SUM(AM57:AM61)</f>
        <v>4250000</v>
      </c>
      <c r="AN62" s="16" t="n">
        <f aca="false">SUM(AN57:AN61)</f>
        <v>4250000</v>
      </c>
      <c r="AO62" s="16" t="n">
        <f aca="false">SUM(AO57:AO61)</f>
        <v>4250000</v>
      </c>
      <c r="AP62" s="16" t="n">
        <f aca="false">SUM(AP57:AP61)</f>
        <v>4250000</v>
      </c>
      <c r="AQ62" s="16" t="n">
        <f aca="false">SUM(AQ57:AQ61)</f>
        <v>4250000</v>
      </c>
      <c r="AR62" s="16" t="n">
        <f aca="false">SUM(AR57:AR61)</f>
        <v>4250000</v>
      </c>
      <c r="AS62" s="16" t="n">
        <f aca="false">SUM(AS57:AS61)</f>
        <v>4250000</v>
      </c>
      <c r="AT62" s="16" t="n">
        <f aca="false">SUM(AT57:AT61)</f>
        <v>4250000</v>
      </c>
      <c r="AU62" s="16" t="n">
        <f aca="false">SUM(AU57:AU61)</f>
        <v>4250000</v>
      </c>
      <c r="AV62" s="16" t="n">
        <f aca="false">SUM(AV57:AV61)</f>
        <v>4250000</v>
      </c>
      <c r="AW62" s="16" t="n">
        <f aca="false">SUM(AW57:AW61)</f>
        <v>4250000</v>
      </c>
      <c r="AX62" s="16" t="n">
        <f aca="false">SUM(AX57:AX61)</f>
        <v>4250000</v>
      </c>
      <c r="AY62" s="16" t="n">
        <f aca="false">SUM(AY57:AY61)</f>
        <v>4250000</v>
      </c>
      <c r="AZ62" s="16" t="n">
        <f aca="false">SUM(AZ57:AZ61)</f>
        <v>4250000</v>
      </c>
      <c r="BA62" s="16" t="n">
        <f aca="false">SUM(BA57:BA61)</f>
        <v>4250000</v>
      </c>
      <c r="BB62" s="16" t="n">
        <f aca="false">SUM(BB57:BB61)</f>
        <v>4250000</v>
      </c>
      <c r="BC62" s="16" t="n">
        <f aca="false">SUM(BC57:BC61)</f>
        <v>4250000</v>
      </c>
      <c r="BD62" s="16" t="n">
        <f aca="false">SUM(BD57:BD61)</f>
        <v>4250000</v>
      </c>
      <c r="BE62" s="16" t="n">
        <f aca="false">SUM(BE57:BE61)</f>
        <v>4250000</v>
      </c>
      <c r="BF62" s="16" t="n">
        <f aca="false">SUM(BF57:BF61)</f>
        <v>4250000</v>
      </c>
      <c r="BG62" s="16" t="n">
        <f aca="false">SUM(BG57:BG61)</f>
        <v>4250000</v>
      </c>
      <c r="BH62" s="16" t="n">
        <f aca="false">SUM(BH57:BH61)</f>
        <v>4250000</v>
      </c>
      <c r="BI62" s="16" t="n">
        <f aca="false">SUM(BI57:BI61)</f>
        <v>4250000</v>
      </c>
      <c r="BJ62" s="16" t="n">
        <f aca="false">SUM(BJ57:BJ61)</f>
        <v>4250000</v>
      </c>
      <c r="BK62" s="16" t="n">
        <f aca="false">SUM(BK57:BK61)</f>
        <v>4250000</v>
      </c>
      <c r="BL62" s="16" t="n">
        <f aca="false">SUM(BL57:BL61)</f>
        <v>4250000</v>
      </c>
    </row>
    <row r="64" customFormat="false" ht="15" hidden="false" customHeight="false" outlineLevel="0" collapsed="false">
      <c r="A64" s="10" t="s">
        <v>403</v>
      </c>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row>
    <row r="65" customFormat="false" ht="15" hidden="false" customHeight="false" outlineLevel="0" collapsed="false">
      <c r="A65" s="12" t="s">
        <v>659</v>
      </c>
      <c r="B65" s="14" t="s">
        <v>63</v>
      </c>
      <c r="D65" s="41" t="n">
        <f aca="false">SUM(E65:BL65)</f>
        <v>5500000</v>
      </c>
      <c r="E65" s="33" t="n">
        <f aca="false">IF(E$3=1,Company_Setup_SN,0)+IF(E$3=CI_Company_Month,Company_Setup_CI,0)</f>
        <v>2500000</v>
      </c>
      <c r="F65" s="33" t="n">
        <f aca="false">IF(F$3=1,Company_Setup_SN,0)+IF(F$3=CI_Company_Month,Company_Setup_CI,0)</f>
        <v>0</v>
      </c>
      <c r="G65" s="33" t="n">
        <f aca="false">IF(G$3=1,Company_Setup_SN,0)+IF(G$3=CI_Company_Month,Company_Setup_CI,0)</f>
        <v>0</v>
      </c>
      <c r="H65" s="33" t="n">
        <f aca="false">IF(H$3=1,Company_Setup_SN,0)+IF(H$3=CI_Company_Month,Company_Setup_CI,0)</f>
        <v>0</v>
      </c>
      <c r="I65" s="33" t="n">
        <f aca="false">IF(I$3=1,Company_Setup_SN,0)+IF(I$3=CI_Company_Month,Company_Setup_CI,0)</f>
        <v>0</v>
      </c>
      <c r="J65" s="33" t="n">
        <f aca="false">IF(J$3=1,Company_Setup_SN,0)+IF(J$3=CI_Company_Month,Company_Setup_CI,0)</f>
        <v>0</v>
      </c>
      <c r="K65" s="33" t="n">
        <f aca="false">IF(K$3=1,Company_Setup_SN,0)+IF(K$3=CI_Company_Month,Company_Setup_CI,0)</f>
        <v>0</v>
      </c>
      <c r="L65" s="33" t="n">
        <f aca="false">IF(L$3=1,Company_Setup_SN,0)+IF(L$3=CI_Company_Month,Company_Setup_CI,0)</f>
        <v>0</v>
      </c>
      <c r="M65" s="33" t="n">
        <f aca="false">IF(M$3=1,Company_Setup_SN,0)+IF(M$3=CI_Company_Month,Company_Setup_CI,0)</f>
        <v>0</v>
      </c>
      <c r="N65" s="33" t="n">
        <f aca="false">IF(N$3=1,Company_Setup_SN,0)+IF(N$3=CI_Company_Month,Company_Setup_CI,0)</f>
        <v>0</v>
      </c>
      <c r="O65" s="33" t="n">
        <f aca="false">IF(O$3=1,Company_Setup_SN,0)+IF(O$3=CI_Company_Month,Company_Setup_CI,0)</f>
        <v>0</v>
      </c>
      <c r="P65" s="33" t="n">
        <f aca="false">IF(P$3=1,Company_Setup_SN,0)+IF(P$3=CI_Company_Month,Company_Setup_CI,0)</f>
        <v>0</v>
      </c>
      <c r="Q65" s="33" t="n">
        <f aca="false">IF(Q$3=1,Company_Setup_SN,0)+IF(Q$3=CI_Company_Month,Company_Setup_CI,0)</f>
        <v>3000000</v>
      </c>
      <c r="R65" s="33" t="n">
        <f aca="false">IF(R$3=1,Company_Setup_SN,0)+IF(R$3=CI_Company_Month,Company_Setup_CI,0)</f>
        <v>0</v>
      </c>
      <c r="S65" s="33" t="n">
        <f aca="false">IF(S$3=1,Company_Setup_SN,0)+IF(S$3=CI_Company_Month,Company_Setup_CI,0)</f>
        <v>0</v>
      </c>
      <c r="T65" s="33" t="n">
        <f aca="false">IF(T$3=1,Company_Setup_SN,0)+IF(T$3=CI_Company_Month,Company_Setup_CI,0)</f>
        <v>0</v>
      </c>
      <c r="U65" s="33" t="n">
        <f aca="false">IF(U$3=1,Company_Setup_SN,0)+IF(U$3=CI_Company_Month,Company_Setup_CI,0)</f>
        <v>0</v>
      </c>
      <c r="V65" s="33" t="n">
        <f aca="false">IF(V$3=1,Company_Setup_SN,0)+IF(V$3=CI_Company_Month,Company_Setup_CI,0)</f>
        <v>0</v>
      </c>
      <c r="W65" s="33" t="n">
        <f aca="false">IF(W$3=1,Company_Setup_SN,0)+IF(W$3=CI_Company_Month,Company_Setup_CI,0)</f>
        <v>0</v>
      </c>
      <c r="X65" s="33" t="n">
        <f aca="false">IF(X$3=1,Company_Setup_SN,0)+IF(X$3=CI_Company_Month,Company_Setup_CI,0)</f>
        <v>0</v>
      </c>
      <c r="Y65" s="33" t="n">
        <f aca="false">IF(Y$3=1,Company_Setup_SN,0)+IF(Y$3=CI_Company_Month,Company_Setup_CI,0)</f>
        <v>0</v>
      </c>
      <c r="Z65" s="33" t="n">
        <f aca="false">IF(Z$3=1,Company_Setup_SN,0)+IF(Z$3=CI_Company_Month,Company_Setup_CI,0)</f>
        <v>0</v>
      </c>
      <c r="AA65" s="33" t="n">
        <f aca="false">IF(AA$3=1,Company_Setup_SN,0)+IF(AA$3=CI_Company_Month,Company_Setup_CI,0)</f>
        <v>0</v>
      </c>
      <c r="AB65" s="33" t="n">
        <f aca="false">IF(AB$3=1,Company_Setup_SN,0)+IF(AB$3=CI_Company_Month,Company_Setup_CI,0)</f>
        <v>0</v>
      </c>
      <c r="AC65" s="33" t="n">
        <f aca="false">IF(AC$3=1,Company_Setup_SN,0)+IF(AC$3=CI_Company_Month,Company_Setup_CI,0)</f>
        <v>0</v>
      </c>
      <c r="AD65" s="33" t="n">
        <f aca="false">IF(AD$3=1,Company_Setup_SN,0)+IF(AD$3=CI_Company_Month,Company_Setup_CI,0)</f>
        <v>0</v>
      </c>
      <c r="AE65" s="33" t="n">
        <f aca="false">IF(AE$3=1,Company_Setup_SN,0)+IF(AE$3=CI_Company_Month,Company_Setup_CI,0)</f>
        <v>0</v>
      </c>
      <c r="AF65" s="33" t="n">
        <f aca="false">IF(AF$3=1,Company_Setup_SN,0)+IF(AF$3=CI_Company_Month,Company_Setup_CI,0)</f>
        <v>0</v>
      </c>
      <c r="AG65" s="33" t="n">
        <f aca="false">IF(AG$3=1,Company_Setup_SN,0)+IF(AG$3=CI_Company_Month,Company_Setup_CI,0)</f>
        <v>0</v>
      </c>
      <c r="AH65" s="33" t="n">
        <f aca="false">IF(AH$3=1,Company_Setup_SN,0)+IF(AH$3=CI_Company_Month,Company_Setup_CI,0)</f>
        <v>0</v>
      </c>
      <c r="AI65" s="33" t="n">
        <f aca="false">IF(AI$3=1,Company_Setup_SN,0)+IF(AI$3=CI_Company_Month,Company_Setup_CI,0)</f>
        <v>0</v>
      </c>
      <c r="AJ65" s="33" t="n">
        <f aca="false">IF(AJ$3=1,Company_Setup_SN,0)+IF(AJ$3=CI_Company_Month,Company_Setup_CI,0)</f>
        <v>0</v>
      </c>
      <c r="AK65" s="33" t="n">
        <f aca="false">IF(AK$3=1,Company_Setup_SN,0)+IF(AK$3=CI_Company_Month,Company_Setup_CI,0)</f>
        <v>0</v>
      </c>
      <c r="AL65" s="33" t="n">
        <f aca="false">IF(AL$3=1,Company_Setup_SN,0)+IF(AL$3=CI_Company_Month,Company_Setup_CI,0)</f>
        <v>0</v>
      </c>
      <c r="AM65" s="33" t="n">
        <f aca="false">IF(AM$3=1,Company_Setup_SN,0)+IF(AM$3=CI_Company_Month,Company_Setup_CI,0)</f>
        <v>0</v>
      </c>
      <c r="AN65" s="33" t="n">
        <f aca="false">IF(AN$3=1,Company_Setup_SN,0)+IF(AN$3=CI_Company_Month,Company_Setup_CI,0)</f>
        <v>0</v>
      </c>
      <c r="AO65" s="33" t="n">
        <f aca="false">IF(AO$3=1,Company_Setup_SN,0)+IF(AO$3=CI_Company_Month,Company_Setup_CI,0)</f>
        <v>0</v>
      </c>
      <c r="AP65" s="33" t="n">
        <f aca="false">IF(AP$3=1,Company_Setup_SN,0)+IF(AP$3=CI_Company_Month,Company_Setup_CI,0)</f>
        <v>0</v>
      </c>
      <c r="AQ65" s="33" t="n">
        <f aca="false">IF(AQ$3=1,Company_Setup_SN,0)+IF(AQ$3=CI_Company_Month,Company_Setup_CI,0)</f>
        <v>0</v>
      </c>
      <c r="AR65" s="33" t="n">
        <f aca="false">IF(AR$3=1,Company_Setup_SN,0)+IF(AR$3=CI_Company_Month,Company_Setup_CI,0)</f>
        <v>0</v>
      </c>
      <c r="AS65" s="33" t="n">
        <f aca="false">IF(AS$3=1,Company_Setup_SN,0)+IF(AS$3=CI_Company_Month,Company_Setup_CI,0)</f>
        <v>0</v>
      </c>
      <c r="AT65" s="33" t="n">
        <f aca="false">IF(AT$3=1,Company_Setup_SN,0)+IF(AT$3=CI_Company_Month,Company_Setup_CI,0)</f>
        <v>0</v>
      </c>
      <c r="AU65" s="33" t="n">
        <f aca="false">IF(AU$3=1,Company_Setup_SN,0)+IF(AU$3=CI_Company_Month,Company_Setup_CI,0)</f>
        <v>0</v>
      </c>
      <c r="AV65" s="33" t="n">
        <f aca="false">IF(AV$3=1,Company_Setup_SN,0)+IF(AV$3=CI_Company_Month,Company_Setup_CI,0)</f>
        <v>0</v>
      </c>
      <c r="AW65" s="33" t="n">
        <f aca="false">IF(AW$3=1,Company_Setup_SN,0)+IF(AW$3=CI_Company_Month,Company_Setup_CI,0)</f>
        <v>0</v>
      </c>
      <c r="AX65" s="33" t="n">
        <f aca="false">IF(AX$3=1,Company_Setup_SN,0)+IF(AX$3=CI_Company_Month,Company_Setup_CI,0)</f>
        <v>0</v>
      </c>
      <c r="AY65" s="33" t="n">
        <f aca="false">IF(AY$3=1,Company_Setup_SN,0)+IF(AY$3=CI_Company_Month,Company_Setup_CI,0)</f>
        <v>0</v>
      </c>
      <c r="AZ65" s="33" t="n">
        <f aca="false">IF(AZ$3=1,Company_Setup_SN,0)+IF(AZ$3=CI_Company_Month,Company_Setup_CI,0)</f>
        <v>0</v>
      </c>
      <c r="BA65" s="33" t="n">
        <f aca="false">IF(BA$3=1,Company_Setup_SN,0)+IF(BA$3=CI_Company_Month,Company_Setup_CI,0)</f>
        <v>0</v>
      </c>
      <c r="BB65" s="33" t="n">
        <f aca="false">IF(BB$3=1,Company_Setup_SN,0)+IF(BB$3=CI_Company_Month,Company_Setup_CI,0)</f>
        <v>0</v>
      </c>
      <c r="BC65" s="33" t="n">
        <f aca="false">IF(BC$3=1,Company_Setup_SN,0)+IF(BC$3=CI_Company_Month,Company_Setup_CI,0)</f>
        <v>0</v>
      </c>
      <c r="BD65" s="33" t="n">
        <f aca="false">IF(BD$3=1,Company_Setup_SN,0)+IF(BD$3=CI_Company_Month,Company_Setup_CI,0)</f>
        <v>0</v>
      </c>
      <c r="BE65" s="33" t="n">
        <f aca="false">IF(BE$3=1,Company_Setup_SN,0)+IF(BE$3=CI_Company_Month,Company_Setup_CI,0)</f>
        <v>0</v>
      </c>
      <c r="BF65" s="33" t="n">
        <f aca="false">IF(BF$3=1,Company_Setup_SN,0)+IF(BF$3=CI_Company_Month,Company_Setup_CI,0)</f>
        <v>0</v>
      </c>
      <c r="BG65" s="33" t="n">
        <f aca="false">IF(BG$3=1,Company_Setup_SN,0)+IF(BG$3=CI_Company_Month,Company_Setup_CI,0)</f>
        <v>0</v>
      </c>
      <c r="BH65" s="33" t="n">
        <f aca="false">IF(BH$3=1,Company_Setup_SN,0)+IF(BH$3=CI_Company_Month,Company_Setup_CI,0)</f>
        <v>0</v>
      </c>
      <c r="BI65" s="33" t="n">
        <f aca="false">IF(BI$3=1,Company_Setup_SN,0)+IF(BI$3=CI_Company_Month,Company_Setup_CI,0)</f>
        <v>0</v>
      </c>
      <c r="BJ65" s="33" t="n">
        <f aca="false">IF(BJ$3=1,Company_Setup_SN,0)+IF(BJ$3=CI_Company_Month,Company_Setup_CI,0)</f>
        <v>0</v>
      </c>
      <c r="BK65" s="33" t="n">
        <f aca="false">IF(BK$3=1,Company_Setup_SN,0)+IF(BK$3=CI_Company_Month,Company_Setup_CI,0)</f>
        <v>0</v>
      </c>
      <c r="BL65" s="33" t="n">
        <f aca="false">IF(BL$3=1,Company_Setup_SN,0)+IF(BL$3=CI_Company_Month,Company_Setup_CI,0)</f>
        <v>0</v>
      </c>
    </row>
    <row r="66" customFormat="false" ht="15" hidden="false" customHeight="false" outlineLevel="0" collapsed="false">
      <c r="A66" s="12" t="s">
        <v>660</v>
      </c>
      <c r="B66" s="14" t="s">
        <v>63</v>
      </c>
      <c r="D66" s="41" t="n">
        <f aca="false">SUM(E66:BL66)</f>
        <v>40000000</v>
      </c>
      <c r="E66" s="33" t="n">
        <f aca="false">IF(E$3&lt;=Licence_File_SN_Months,Licence_File_SN/Licence_File_SN_Months,0)</f>
        <v>4444444.44444444</v>
      </c>
      <c r="F66" s="33" t="n">
        <f aca="false">IF(F$3&lt;=Licence_File_SN_Months,Licence_File_SN/Licence_File_SN_Months,0)</f>
        <v>4444444.44444444</v>
      </c>
      <c r="G66" s="33" t="n">
        <f aca="false">IF(G$3&lt;=Licence_File_SN_Months,Licence_File_SN/Licence_File_SN_Months,0)</f>
        <v>4444444.44444444</v>
      </c>
      <c r="H66" s="33" t="n">
        <f aca="false">IF(H$3&lt;=Licence_File_SN_Months,Licence_File_SN/Licence_File_SN_Months,0)</f>
        <v>4444444.44444444</v>
      </c>
      <c r="I66" s="33" t="n">
        <f aca="false">IF(I$3&lt;=Licence_File_SN_Months,Licence_File_SN/Licence_File_SN_Months,0)</f>
        <v>4444444.44444444</v>
      </c>
      <c r="J66" s="33" t="n">
        <f aca="false">IF(J$3&lt;=Licence_File_SN_Months,Licence_File_SN/Licence_File_SN_Months,0)</f>
        <v>4444444.44444444</v>
      </c>
      <c r="K66" s="33" t="n">
        <f aca="false">IF(K$3&lt;=Licence_File_SN_Months,Licence_File_SN/Licence_File_SN_Months,0)</f>
        <v>4444444.44444444</v>
      </c>
      <c r="L66" s="33" t="n">
        <f aca="false">IF(L$3&lt;=Licence_File_SN_Months,Licence_File_SN/Licence_File_SN_Months,0)</f>
        <v>4444444.44444444</v>
      </c>
      <c r="M66" s="33" t="n">
        <f aca="false">IF(M$3&lt;=Licence_File_SN_Months,Licence_File_SN/Licence_File_SN_Months,0)</f>
        <v>4444444.44444444</v>
      </c>
      <c r="N66" s="33" t="n">
        <f aca="false">IF(N$3&lt;=Licence_File_SN_Months,Licence_File_SN/Licence_File_SN_Months,0)</f>
        <v>0</v>
      </c>
      <c r="O66" s="33" t="n">
        <f aca="false">IF(O$3&lt;=Licence_File_SN_Months,Licence_File_SN/Licence_File_SN_Months,0)</f>
        <v>0</v>
      </c>
      <c r="P66" s="33" t="n">
        <f aca="false">IF(P$3&lt;=Licence_File_SN_Months,Licence_File_SN/Licence_File_SN_Months,0)</f>
        <v>0</v>
      </c>
      <c r="Q66" s="33" t="n">
        <f aca="false">IF(Q$3&lt;=Licence_File_SN_Months,Licence_File_SN/Licence_File_SN_Months,0)</f>
        <v>0</v>
      </c>
      <c r="R66" s="33" t="n">
        <f aca="false">IF(R$3&lt;=Licence_File_SN_Months,Licence_File_SN/Licence_File_SN_Months,0)</f>
        <v>0</v>
      </c>
      <c r="S66" s="33" t="n">
        <f aca="false">IF(S$3&lt;=Licence_File_SN_Months,Licence_File_SN/Licence_File_SN_Months,0)</f>
        <v>0</v>
      </c>
      <c r="T66" s="33" t="n">
        <f aca="false">IF(T$3&lt;=Licence_File_SN_Months,Licence_File_SN/Licence_File_SN_Months,0)</f>
        <v>0</v>
      </c>
      <c r="U66" s="33" t="n">
        <f aca="false">IF(U$3&lt;=Licence_File_SN_Months,Licence_File_SN/Licence_File_SN_Months,0)</f>
        <v>0</v>
      </c>
      <c r="V66" s="33" t="n">
        <f aca="false">IF(V$3&lt;=Licence_File_SN_Months,Licence_File_SN/Licence_File_SN_Months,0)</f>
        <v>0</v>
      </c>
      <c r="W66" s="33" t="n">
        <f aca="false">IF(W$3&lt;=Licence_File_SN_Months,Licence_File_SN/Licence_File_SN_Months,0)</f>
        <v>0</v>
      </c>
      <c r="X66" s="33" t="n">
        <f aca="false">IF(X$3&lt;=Licence_File_SN_Months,Licence_File_SN/Licence_File_SN_Months,0)</f>
        <v>0</v>
      </c>
      <c r="Y66" s="33" t="n">
        <f aca="false">IF(Y$3&lt;=Licence_File_SN_Months,Licence_File_SN/Licence_File_SN_Months,0)</f>
        <v>0</v>
      </c>
      <c r="Z66" s="33" t="n">
        <f aca="false">IF(Z$3&lt;=Licence_File_SN_Months,Licence_File_SN/Licence_File_SN_Months,0)</f>
        <v>0</v>
      </c>
      <c r="AA66" s="33" t="n">
        <f aca="false">IF(AA$3&lt;=Licence_File_SN_Months,Licence_File_SN/Licence_File_SN_Months,0)</f>
        <v>0</v>
      </c>
      <c r="AB66" s="33" t="n">
        <f aca="false">IF(AB$3&lt;=Licence_File_SN_Months,Licence_File_SN/Licence_File_SN_Months,0)</f>
        <v>0</v>
      </c>
      <c r="AC66" s="33" t="n">
        <f aca="false">IF(AC$3&lt;=Licence_File_SN_Months,Licence_File_SN/Licence_File_SN_Months,0)</f>
        <v>0</v>
      </c>
      <c r="AD66" s="33" t="n">
        <f aca="false">IF(AD$3&lt;=Licence_File_SN_Months,Licence_File_SN/Licence_File_SN_Months,0)</f>
        <v>0</v>
      </c>
      <c r="AE66" s="33" t="n">
        <f aca="false">IF(AE$3&lt;=Licence_File_SN_Months,Licence_File_SN/Licence_File_SN_Months,0)</f>
        <v>0</v>
      </c>
      <c r="AF66" s="33" t="n">
        <f aca="false">IF(AF$3&lt;=Licence_File_SN_Months,Licence_File_SN/Licence_File_SN_Months,0)</f>
        <v>0</v>
      </c>
      <c r="AG66" s="33" t="n">
        <f aca="false">IF(AG$3&lt;=Licence_File_SN_Months,Licence_File_SN/Licence_File_SN_Months,0)</f>
        <v>0</v>
      </c>
      <c r="AH66" s="33" t="n">
        <f aca="false">IF(AH$3&lt;=Licence_File_SN_Months,Licence_File_SN/Licence_File_SN_Months,0)</f>
        <v>0</v>
      </c>
      <c r="AI66" s="33" t="n">
        <f aca="false">IF(AI$3&lt;=Licence_File_SN_Months,Licence_File_SN/Licence_File_SN_Months,0)</f>
        <v>0</v>
      </c>
      <c r="AJ66" s="33" t="n">
        <f aca="false">IF(AJ$3&lt;=Licence_File_SN_Months,Licence_File_SN/Licence_File_SN_Months,0)</f>
        <v>0</v>
      </c>
      <c r="AK66" s="33" t="n">
        <f aca="false">IF(AK$3&lt;=Licence_File_SN_Months,Licence_File_SN/Licence_File_SN_Months,0)</f>
        <v>0</v>
      </c>
      <c r="AL66" s="33" t="n">
        <f aca="false">IF(AL$3&lt;=Licence_File_SN_Months,Licence_File_SN/Licence_File_SN_Months,0)</f>
        <v>0</v>
      </c>
      <c r="AM66" s="33" t="n">
        <f aca="false">IF(AM$3&lt;=Licence_File_SN_Months,Licence_File_SN/Licence_File_SN_Months,0)</f>
        <v>0</v>
      </c>
      <c r="AN66" s="33" t="n">
        <f aca="false">IF(AN$3&lt;=Licence_File_SN_Months,Licence_File_SN/Licence_File_SN_Months,0)</f>
        <v>0</v>
      </c>
      <c r="AO66" s="33" t="n">
        <f aca="false">IF(AO$3&lt;=Licence_File_SN_Months,Licence_File_SN/Licence_File_SN_Months,0)</f>
        <v>0</v>
      </c>
      <c r="AP66" s="33" t="n">
        <f aca="false">IF(AP$3&lt;=Licence_File_SN_Months,Licence_File_SN/Licence_File_SN_Months,0)</f>
        <v>0</v>
      </c>
      <c r="AQ66" s="33" t="n">
        <f aca="false">IF(AQ$3&lt;=Licence_File_SN_Months,Licence_File_SN/Licence_File_SN_Months,0)</f>
        <v>0</v>
      </c>
      <c r="AR66" s="33" t="n">
        <f aca="false">IF(AR$3&lt;=Licence_File_SN_Months,Licence_File_SN/Licence_File_SN_Months,0)</f>
        <v>0</v>
      </c>
      <c r="AS66" s="33" t="n">
        <f aca="false">IF(AS$3&lt;=Licence_File_SN_Months,Licence_File_SN/Licence_File_SN_Months,0)</f>
        <v>0</v>
      </c>
      <c r="AT66" s="33" t="n">
        <f aca="false">IF(AT$3&lt;=Licence_File_SN_Months,Licence_File_SN/Licence_File_SN_Months,0)</f>
        <v>0</v>
      </c>
      <c r="AU66" s="33" t="n">
        <f aca="false">IF(AU$3&lt;=Licence_File_SN_Months,Licence_File_SN/Licence_File_SN_Months,0)</f>
        <v>0</v>
      </c>
      <c r="AV66" s="33" t="n">
        <f aca="false">IF(AV$3&lt;=Licence_File_SN_Months,Licence_File_SN/Licence_File_SN_Months,0)</f>
        <v>0</v>
      </c>
      <c r="AW66" s="33" t="n">
        <f aca="false">IF(AW$3&lt;=Licence_File_SN_Months,Licence_File_SN/Licence_File_SN_Months,0)</f>
        <v>0</v>
      </c>
      <c r="AX66" s="33" t="n">
        <f aca="false">IF(AX$3&lt;=Licence_File_SN_Months,Licence_File_SN/Licence_File_SN_Months,0)</f>
        <v>0</v>
      </c>
      <c r="AY66" s="33" t="n">
        <f aca="false">IF(AY$3&lt;=Licence_File_SN_Months,Licence_File_SN/Licence_File_SN_Months,0)</f>
        <v>0</v>
      </c>
      <c r="AZ66" s="33" t="n">
        <f aca="false">IF(AZ$3&lt;=Licence_File_SN_Months,Licence_File_SN/Licence_File_SN_Months,0)</f>
        <v>0</v>
      </c>
      <c r="BA66" s="33" t="n">
        <f aca="false">IF(BA$3&lt;=Licence_File_SN_Months,Licence_File_SN/Licence_File_SN_Months,0)</f>
        <v>0</v>
      </c>
      <c r="BB66" s="33" t="n">
        <f aca="false">IF(BB$3&lt;=Licence_File_SN_Months,Licence_File_SN/Licence_File_SN_Months,0)</f>
        <v>0</v>
      </c>
      <c r="BC66" s="33" t="n">
        <f aca="false">IF(BC$3&lt;=Licence_File_SN_Months,Licence_File_SN/Licence_File_SN_Months,0)</f>
        <v>0</v>
      </c>
      <c r="BD66" s="33" t="n">
        <f aca="false">IF(BD$3&lt;=Licence_File_SN_Months,Licence_File_SN/Licence_File_SN_Months,0)</f>
        <v>0</v>
      </c>
      <c r="BE66" s="33" t="n">
        <f aca="false">IF(BE$3&lt;=Licence_File_SN_Months,Licence_File_SN/Licence_File_SN_Months,0)</f>
        <v>0</v>
      </c>
      <c r="BF66" s="33" t="n">
        <f aca="false">IF(BF$3&lt;=Licence_File_SN_Months,Licence_File_SN/Licence_File_SN_Months,0)</f>
        <v>0</v>
      </c>
      <c r="BG66" s="33" t="n">
        <f aca="false">IF(BG$3&lt;=Licence_File_SN_Months,Licence_File_SN/Licence_File_SN_Months,0)</f>
        <v>0</v>
      </c>
      <c r="BH66" s="33" t="n">
        <f aca="false">IF(BH$3&lt;=Licence_File_SN_Months,Licence_File_SN/Licence_File_SN_Months,0)</f>
        <v>0</v>
      </c>
      <c r="BI66" s="33" t="n">
        <f aca="false">IF(BI$3&lt;=Licence_File_SN_Months,Licence_File_SN/Licence_File_SN_Months,0)</f>
        <v>0</v>
      </c>
      <c r="BJ66" s="33" t="n">
        <f aca="false">IF(BJ$3&lt;=Licence_File_SN_Months,Licence_File_SN/Licence_File_SN_Months,0)</f>
        <v>0</v>
      </c>
      <c r="BK66" s="33" t="n">
        <f aca="false">IF(BK$3&lt;=Licence_File_SN_Months,Licence_File_SN/Licence_File_SN_Months,0)</f>
        <v>0</v>
      </c>
      <c r="BL66" s="33" t="n">
        <f aca="false">IF(BL$3&lt;=Licence_File_SN_Months,Licence_File_SN/Licence_File_SN_Months,0)</f>
        <v>0</v>
      </c>
    </row>
    <row r="67" customFormat="false" ht="15" hidden="false" customHeight="false" outlineLevel="0" collapsed="false">
      <c r="A67" s="12" t="s">
        <v>409</v>
      </c>
      <c r="B67" s="14" t="s">
        <v>63</v>
      </c>
      <c r="D67" s="41" t="n">
        <f aca="false">SUM(E67:BL67)</f>
        <v>50000000</v>
      </c>
      <c r="E67" s="33" t="n">
        <f aca="false">IF(AND(E$3&gt;=CI_Licence_File_Start,E$3&lt;CI_Licence_File_Start+Licence_File_CI_Months),Licence_File_CI/Licence_File_CI_Months,0)</f>
        <v>0</v>
      </c>
      <c r="F67" s="33" t="n">
        <f aca="false">IF(AND(F$3&gt;=CI_Licence_File_Start,F$3&lt;CI_Licence_File_Start+Licence_File_CI_Months),Licence_File_CI/Licence_File_CI_Months,0)</f>
        <v>0</v>
      </c>
      <c r="G67" s="33" t="n">
        <f aca="false">IF(AND(G$3&gt;=CI_Licence_File_Start,G$3&lt;CI_Licence_File_Start+Licence_File_CI_Months),Licence_File_CI/Licence_File_CI_Months,0)</f>
        <v>0</v>
      </c>
      <c r="H67" s="33" t="n">
        <f aca="false">IF(AND(H$3&gt;=CI_Licence_File_Start,H$3&lt;CI_Licence_File_Start+Licence_File_CI_Months),Licence_File_CI/Licence_File_CI_Months,0)</f>
        <v>0</v>
      </c>
      <c r="I67" s="33" t="n">
        <f aca="false">IF(AND(I$3&gt;=CI_Licence_File_Start,I$3&lt;CI_Licence_File_Start+Licence_File_CI_Months),Licence_File_CI/Licence_File_CI_Months,0)</f>
        <v>0</v>
      </c>
      <c r="J67" s="33" t="n">
        <f aca="false">IF(AND(J$3&gt;=CI_Licence_File_Start,J$3&lt;CI_Licence_File_Start+Licence_File_CI_Months),Licence_File_CI/Licence_File_CI_Months,0)</f>
        <v>0</v>
      </c>
      <c r="K67" s="33" t="n">
        <f aca="false">IF(AND(K$3&gt;=CI_Licence_File_Start,K$3&lt;CI_Licence_File_Start+Licence_File_CI_Months),Licence_File_CI/Licence_File_CI_Months,0)</f>
        <v>0</v>
      </c>
      <c r="L67" s="33" t="n">
        <f aca="false">IF(AND(L$3&gt;=CI_Licence_File_Start,L$3&lt;CI_Licence_File_Start+Licence_File_CI_Months),Licence_File_CI/Licence_File_CI_Months,0)</f>
        <v>0</v>
      </c>
      <c r="M67" s="33" t="n">
        <f aca="false">IF(AND(M$3&gt;=CI_Licence_File_Start,M$3&lt;CI_Licence_File_Start+Licence_File_CI_Months),Licence_File_CI/Licence_File_CI_Months,0)</f>
        <v>0</v>
      </c>
      <c r="N67" s="33" t="n">
        <f aca="false">IF(AND(N$3&gt;=CI_Licence_File_Start,N$3&lt;CI_Licence_File_Start+Licence_File_CI_Months),Licence_File_CI/Licence_File_CI_Months,0)</f>
        <v>0</v>
      </c>
      <c r="O67" s="33" t="n">
        <f aca="false">IF(AND(O$3&gt;=CI_Licence_File_Start,O$3&lt;CI_Licence_File_Start+Licence_File_CI_Months),Licence_File_CI/Licence_File_CI_Months,0)</f>
        <v>0</v>
      </c>
      <c r="P67" s="33" t="n">
        <f aca="false">IF(AND(P$3&gt;=CI_Licence_File_Start,P$3&lt;CI_Licence_File_Start+Licence_File_CI_Months),Licence_File_CI/Licence_File_CI_Months,0)</f>
        <v>0</v>
      </c>
      <c r="Q67" s="33" t="n">
        <f aca="false">IF(AND(Q$3&gt;=CI_Licence_File_Start,Q$3&lt;CI_Licence_File_Start+Licence_File_CI_Months),Licence_File_CI/Licence_File_CI_Months,0)</f>
        <v>4166666.66666667</v>
      </c>
      <c r="R67" s="33" t="n">
        <f aca="false">IF(AND(R$3&gt;=CI_Licence_File_Start,R$3&lt;CI_Licence_File_Start+Licence_File_CI_Months),Licence_File_CI/Licence_File_CI_Months,0)</f>
        <v>4166666.66666667</v>
      </c>
      <c r="S67" s="33" t="n">
        <f aca="false">IF(AND(S$3&gt;=CI_Licence_File_Start,S$3&lt;CI_Licence_File_Start+Licence_File_CI_Months),Licence_File_CI/Licence_File_CI_Months,0)</f>
        <v>4166666.66666667</v>
      </c>
      <c r="T67" s="33" t="n">
        <f aca="false">IF(AND(T$3&gt;=CI_Licence_File_Start,T$3&lt;CI_Licence_File_Start+Licence_File_CI_Months),Licence_File_CI/Licence_File_CI_Months,0)</f>
        <v>4166666.66666667</v>
      </c>
      <c r="U67" s="33" t="n">
        <f aca="false">IF(AND(U$3&gt;=CI_Licence_File_Start,U$3&lt;CI_Licence_File_Start+Licence_File_CI_Months),Licence_File_CI/Licence_File_CI_Months,0)</f>
        <v>4166666.66666667</v>
      </c>
      <c r="V67" s="33" t="n">
        <f aca="false">IF(AND(V$3&gt;=CI_Licence_File_Start,V$3&lt;CI_Licence_File_Start+Licence_File_CI_Months),Licence_File_CI/Licence_File_CI_Months,0)</f>
        <v>4166666.66666667</v>
      </c>
      <c r="W67" s="33" t="n">
        <f aca="false">IF(AND(W$3&gt;=CI_Licence_File_Start,W$3&lt;CI_Licence_File_Start+Licence_File_CI_Months),Licence_File_CI/Licence_File_CI_Months,0)</f>
        <v>4166666.66666667</v>
      </c>
      <c r="X67" s="33" t="n">
        <f aca="false">IF(AND(X$3&gt;=CI_Licence_File_Start,X$3&lt;CI_Licence_File_Start+Licence_File_CI_Months),Licence_File_CI/Licence_File_CI_Months,0)</f>
        <v>4166666.66666667</v>
      </c>
      <c r="Y67" s="33" t="n">
        <f aca="false">IF(AND(Y$3&gt;=CI_Licence_File_Start,Y$3&lt;CI_Licence_File_Start+Licence_File_CI_Months),Licence_File_CI/Licence_File_CI_Months,0)</f>
        <v>4166666.66666667</v>
      </c>
      <c r="Z67" s="33" t="n">
        <f aca="false">IF(AND(Z$3&gt;=CI_Licence_File_Start,Z$3&lt;CI_Licence_File_Start+Licence_File_CI_Months),Licence_File_CI/Licence_File_CI_Months,0)</f>
        <v>4166666.66666667</v>
      </c>
      <c r="AA67" s="33" t="n">
        <f aca="false">IF(AND(AA$3&gt;=CI_Licence_File_Start,AA$3&lt;CI_Licence_File_Start+Licence_File_CI_Months),Licence_File_CI/Licence_File_CI_Months,0)</f>
        <v>4166666.66666667</v>
      </c>
      <c r="AB67" s="33" t="n">
        <f aca="false">IF(AND(AB$3&gt;=CI_Licence_File_Start,AB$3&lt;CI_Licence_File_Start+Licence_File_CI_Months),Licence_File_CI/Licence_File_CI_Months,0)</f>
        <v>4166666.66666667</v>
      </c>
      <c r="AC67" s="33" t="n">
        <f aca="false">IF(AND(AC$3&gt;=CI_Licence_File_Start,AC$3&lt;CI_Licence_File_Start+Licence_File_CI_Months),Licence_File_CI/Licence_File_CI_Months,0)</f>
        <v>0</v>
      </c>
      <c r="AD67" s="33" t="n">
        <f aca="false">IF(AND(AD$3&gt;=CI_Licence_File_Start,AD$3&lt;CI_Licence_File_Start+Licence_File_CI_Months),Licence_File_CI/Licence_File_CI_Months,0)</f>
        <v>0</v>
      </c>
      <c r="AE67" s="33" t="n">
        <f aca="false">IF(AND(AE$3&gt;=CI_Licence_File_Start,AE$3&lt;CI_Licence_File_Start+Licence_File_CI_Months),Licence_File_CI/Licence_File_CI_Months,0)</f>
        <v>0</v>
      </c>
      <c r="AF67" s="33" t="n">
        <f aca="false">IF(AND(AF$3&gt;=CI_Licence_File_Start,AF$3&lt;CI_Licence_File_Start+Licence_File_CI_Months),Licence_File_CI/Licence_File_CI_Months,0)</f>
        <v>0</v>
      </c>
      <c r="AG67" s="33" t="n">
        <f aca="false">IF(AND(AG$3&gt;=CI_Licence_File_Start,AG$3&lt;CI_Licence_File_Start+Licence_File_CI_Months),Licence_File_CI/Licence_File_CI_Months,0)</f>
        <v>0</v>
      </c>
      <c r="AH67" s="33" t="n">
        <f aca="false">IF(AND(AH$3&gt;=CI_Licence_File_Start,AH$3&lt;CI_Licence_File_Start+Licence_File_CI_Months),Licence_File_CI/Licence_File_CI_Months,0)</f>
        <v>0</v>
      </c>
      <c r="AI67" s="33" t="n">
        <f aca="false">IF(AND(AI$3&gt;=CI_Licence_File_Start,AI$3&lt;CI_Licence_File_Start+Licence_File_CI_Months),Licence_File_CI/Licence_File_CI_Months,0)</f>
        <v>0</v>
      </c>
      <c r="AJ67" s="33" t="n">
        <f aca="false">IF(AND(AJ$3&gt;=CI_Licence_File_Start,AJ$3&lt;CI_Licence_File_Start+Licence_File_CI_Months),Licence_File_CI/Licence_File_CI_Months,0)</f>
        <v>0</v>
      </c>
      <c r="AK67" s="33" t="n">
        <f aca="false">IF(AND(AK$3&gt;=CI_Licence_File_Start,AK$3&lt;CI_Licence_File_Start+Licence_File_CI_Months),Licence_File_CI/Licence_File_CI_Months,0)</f>
        <v>0</v>
      </c>
      <c r="AL67" s="33" t="n">
        <f aca="false">IF(AND(AL$3&gt;=CI_Licence_File_Start,AL$3&lt;CI_Licence_File_Start+Licence_File_CI_Months),Licence_File_CI/Licence_File_CI_Months,0)</f>
        <v>0</v>
      </c>
      <c r="AM67" s="33" t="n">
        <f aca="false">IF(AND(AM$3&gt;=CI_Licence_File_Start,AM$3&lt;CI_Licence_File_Start+Licence_File_CI_Months),Licence_File_CI/Licence_File_CI_Months,0)</f>
        <v>0</v>
      </c>
      <c r="AN67" s="33" t="n">
        <f aca="false">IF(AND(AN$3&gt;=CI_Licence_File_Start,AN$3&lt;CI_Licence_File_Start+Licence_File_CI_Months),Licence_File_CI/Licence_File_CI_Months,0)</f>
        <v>0</v>
      </c>
      <c r="AO67" s="33" t="n">
        <f aca="false">IF(AND(AO$3&gt;=CI_Licence_File_Start,AO$3&lt;CI_Licence_File_Start+Licence_File_CI_Months),Licence_File_CI/Licence_File_CI_Months,0)</f>
        <v>0</v>
      </c>
      <c r="AP67" s="33" t="n">
        <f aca="false">IF(AND(AP$3&gt;=CI_Licence_File_Start,AP$3&lt;CI_Licence_File_Start+Licence_File_CI_Months),Licence_File_CI/Licence_File_CI_Months,0)</f>
        <v>0</v>
      </c>
      <c r="AQ67" s="33" t="n">
        <f aca="false">IF(AND(AQ$3&gt;=CI_Licence_File_Start,AQ$3&lt;CI_Licence_File_Start+Licence_File_CI_Months),Licence_File_CI/Licence_File_CI_Months,0)</f>
        <v>0</v>
      </c>
      <c r="AR67" s="33" t="n">
        <f aca="false">IF(AND(AR$3&gt;=CI_Licence_File_Start,AR$3&lt;CI_Licence_File_Start+Licence_File_CI_Months),Licence_File_CI/Licence_File_CI_Months,0)</f>
        <v>0</v>
      </c>
      <c r="AS67" s="33" t="n">
        <f aca="false">IF(AND(AS$3&gt;=CI_Licence_File_Start,AS$3&lt;CI_Licence_File_Start+Licence_File_CI_Months),Licence_File_CI/Licence_File_CI_Months,0)</f>
        <v>0</v>
      </c>
      <c r="AT67" s="33" t="n">
        <f aca="false">IF(AND(AT$3&gt;=CI_Licence_File_Start,AT$3&lt;CI_Licence_File_Start+Licence_File_CI_Months),Licence_File_CI/Licence_File_CI_Months,0)</f>
        <v>0</v>
      </c>
      <c r="AU67" s="33" t="n">
        <f aca="false">IF(AND(AU$3&gt;=CI_Licence_File_Start,AU$3&lt;CI_Licence_File_Start+Licence_File_CI_Months),Licence_File_CI/Licence_File_CI_Months,0)</f>
        <v>0</v>
      </c>
      <c r="AV67" s="33" t="n">
        <f aca="false">IF(AND(AV$3&gt;=CI_Licence_File_Start,AV$3&lt;CI_Licence_File_Start+Licence_File_CI_Months),Licence_File_CI/Licence_File_CI_Months,0)</f>
        <v>0</v>
      </c>
      <c r="AW67" s="33" t="n">
        <f aca="false">IF(AND(AW$3&gt;=CI_Licence_File_Start,AW$3&lt;CI_Licence_File_Start+Licence_File_CI_Months),Licence_File_CI/Licence_File_CI_Months,0)</f>
        <v>0</v>
      </c>
      <c r="AX67" s="33" t="n">
        <f aca="false">IF(AND(AX$3&gt;=CI_Licence_File_Start,AX$3&lt;CI_Licence_File_Start+Licence_File_CI_Months),Licence_File_CI/Licence_File_CI_Months,0)</f>
        <v>0</v>
      </c>
      <c r="AY67" s="33" t="n">
        <f aca="false">IF(AND(AY$3&gt;=CI_Licence_File_Start,AY$3&lt;CI_Licence_File_Start+Licence_File_CI_Months),Licence_File_CI/Licence_File_CI_Months,0)</f>
        <v>0</v>
      </c>
      <c r="AZ67" s="33" t="n">
        <f aca="false">IF(AND(AZ$3&gt;=CI_Licence_File_Start,AZ$3&lt;CI_Licence_File_Start+Licence_File_CI_Months),Licence_File_CI/Licence_File_CI_Months,0)</f>
        <v>0</v>
      </c>
      <c r="BA67" s="33" t="n">
        <f aca="false">IF(AND(BA$3&gt;=CI_Licence_File_Start,BA$3&lt;CI_Licence_File_Start+Licence_File_CI_Months),Licence_File_CI/Licence_File_CI_Months,0)</f>
        <v>0</v>
      </c>
      <c r="BB67" s="33" t="n">
        <f aca="false">IF(AND(BB$3&gt;=CI_Licence_File_Start,BB$3&lt;CI_Licence_File_Start+Licence_File_CI_Months),Licence_File_CI/Licence_File_CI_Months,0)</f>
        <v>0</v>
      </c>
      <c r="BC67" s="33" t="n">
        <f aca="false">IF(AND(BC$3&gt;=CI_Licence_File_Start,BC$3&lt;CI_Licence_File_Start+Licence_File_CI_Months),Licence_File_CI/Licence_File_CI_Months,0)</f>
        <v>0</v>
      </c>
      <c r="BD67" s="33" t="n">
        <f aca="false">IF(AND(BD$3&gt;=CI_Licence_File_Start,BD$3&lt;CI_Licence_File_Start+Licence_File_CI_Months),Licence_File_CI/Licence_File_CI_Months,0)</f>
        <v>0</v>
      </c>
      <c r="BE67" s="33" t="n">
        <f aca="false">IF(AND(BE$3&gt;=CI_Licence_File_Start,BE$3&lt;CI_Licence_File_Start+Licence_File_CI_Months),Licence_File_CI/Licence_File_CI_Months,0)</f>
        <v>0</v>
      </c>
      <c r="BF67" s="33" t="n">
        <f aca="false">IF(AND(BF$3&gt;=CI_Licence_File_Start,BF$3&lt;CI_Licence_File_Start+Licence_File_CI_Months),Licence_File_CI/Licence_File_CI_Months,0)</f>
        <v>0</v>
      </c>
      <c r="BG67" s="33" t="n">
        <f aca="false">IF(AND(BG$3&gt;=CI_Licence_File_Start,BG$3&lt;CI_Licence_File_Start+Licence_File_CI_Months),Licence_File_CI/Licence_File_CI_Months,0)</f>
        <v>0</v>
      </c>
      <c r="BH67" s="33" t="n">
        <f aca="false">IF(AND(BH$3&gt;=CI_Licence_File_Start,BH$3&lt;CI_Licence_File_Start+Licence_File_CI_Months),Licence_File_CI/Licence_File_CI_Months,0)</f>
        <v>0</v>
      </c>
      <c r="BI67" s="33" t="n">
        <f aca="false">IF(AND(BI$3&gt;=CI_Licence_File_Start,BI$3&lt;CI_Licence_File_Start+Licence_File_CI_Months),Licence_File_CI/Licence_File_CI_Months,0)</f>
        <v>0</v>
      </c>
      <c r="BJ67" s="33" t="n">
        <f aca="false">IF(AND(BJ$3&gt;=CI_Licence_File_Start,BJ$3&lt;CI_Licence_File_Start+Licence_File_CI_Months),Licence_File_CI/Licence_File_CI_Months,0)</f>
        <v>0</v>
      </c>
      <c r="BK67" s="33" t="n">
        <f aca="false">IF(AND(BK$3&gt;=CI_Licence_File_Start,BK$3&lt;CI_Licence_File_Start+Licence_File_CI_Months),Licence_File_CI/Licence_File_CI_Months,0)</f>
        <v>0</v>
      </c>
      <c r="BL67" s="33" t="n">
        <f aca="false">IF(AND(BL$3&gt;=CI_Licence_File_Start,BL$3&lt;CI_Licence_File_Start+Licence_File_CI_Months),Licence_File_CI/Licence_File_CI_Months,0)</f>
        <v>0</v>
      </c>
    </row>
    <row r="68" customFormat="false" ht="15" hidden="false" customHeight="false" outlineLevel="0" collapsed="false">
      <c r="A68" s="12" t="s">
        <v>410</v>
      </c>
      <c r="B68" s="14" t="s">
        <v>63</v>
      </c>
      <c r="D68" s="41" t="n">
        <f aca="false">SUM(E68:BL68)</f>
        <v>50000000</v>
      </c>
      <c r="E68" s="33" t="n">
        <f aca="false">INDEX(SFD_Project,1,E$5)/12</f>
        <v>0</v>
      </c>
      <c r="F68" s="33" t="n">
        <f aca="false">INDEX(SFD_Project,1,F$5)/12</f>
        <v>0</v>
      </c>
      <c r="G68" s="33" t="n">
        <f aca="false">INDEX(SFD_Project,1,G$5)/12</f>
        <v>0</v>
      </c>
      <c r="H68" s="33" t="n">
        <f aca="false">INDEX(SFD_Project,1,H$5)/12</f>
        <v>0</v>
      </c>
      <c r="I68" s="33" t="n">
        <f aca="false">INDEX(SFD_Project,1,I$5)/12</f>
        <v>0</v>
      </c>
      <c r="J68" s="33" t="n">
        <f aca="false">INDEX(SFD_Project,1,J$5)/12</f>
        <v>0</v>
      </c>
      <c r="K68" s="33" t="n">
        <f aca="false">INDEX(SFD_Project,1,K$5)/12</f>
        <v>0</v>
      </c>
      <c r="L68" s="33" t="n">
        <f aca="false">INDEX(SFD_Project,1,L$5)/12</f>
        <v>0</v>
      </c>
      <c r="M68" s="33" t="n">
        <f aca="false">INDEX(SFD_Project,1,M$5)/12</f>
        <v>0</v>
      </c>
      <c r="N68" s="33" t="n">
        <f aca="false">INDEX(SFD_Project,1,N$5)/12</f>
        <v>0</v>
      </c>
      <c r="O68" s="33" t="n">
        <f aca="false">INDEX(SFD_Project,1,O$5)/12</f>
        <v>0</v>
      </c>
      <c r="P68" s="33" t="n">
        <f aca="false">INDEX(SFD_Project,1,P$5)/12</f>
        <v>0</v>
      </c>
      <c r="Q68" s="33" t="n">
        <f aca="false">INDEX(SFD_Project,1,Q$5)/12</f>
        <v>2500000</v>
      </c>
      <c r="R68" s="33" t="n">
        <f aca="false">INDEX(SFD_Project,1,R$5)/12</f>
        <v>2500000</v>
      </c>
      <c r="S68" s="33" t="n">
        <f aca="false">INDEX(SFD_Project,1,S$5)/12</f>
        <v>2500000</v>
      </c>
      <c r="T68" s="33" t="n">
        <f aca="false">INDEX(SFD_Project,1,T$5)/12</f>
        <v>2500000</v>
      </c>
      <c r="U68" s="33" t="n">
        <f aca="false">INDEX(SFD_Project,1,U$5)/12</f>
        <v>2500000</v>
      </c>
      <c r="V68" s="33" t="n">
        <f aca="false">INDEX(SFD_Project,1,V$5)/12</f>
        <v>2500000</v>
      </c>
      <c r="W68" s="33" t="n">
        <f aca="false">INDEX(SFD_Project,1,W$5)/12</f>
        <v>2500000</v>
      </c>
      <c r="X68" s="33" t="n">
        <f aca="false">INDEX(SFD_Project,1,X$5)/12</f>
        <v>2500000</v>
      </c>
      <c r="Y68" s="33" t="n">
        <f aca="false">INDEX(SFD_Project,1,Y$5)/12</f>
        <v>2500000</v>
      </c>
      <c r="Z68" s="33" t="n">
        <f aca="false">INDEX(SFD_Project,1,Z$5)/12</f>
        <v>2500000</v>
      </c>
      <c r="AA68" s="33" t="n">
        <f aca="false">INDEX(SFD_Project,1,AA$5)/12</f>
        <v>2500000</v>
      </c>
      <c r="AB68" s="33" t="n">
        <f aca="false">INDEX(SFD_Project,1,AB$5)/12</f>
        <v>2500000</v>
      </c>
      <c r="AC68" s="33" t="n">
        <f aca="false">INDEX(SFD_Project,1,AC$5)/12</f>
        <v>1666666.66666667</v>
      </c>
      <c r="AD68" s="33" t="n">
        <f aca="false">INDEX(SFD_Project,1,AD$5)/12</f>
        <v>1666666.66666667</v>
      </c>
      <c r="AE68" s="33" t="n">
        <f aca="false">INDEX(SFD_Project,1,AE$5)/12</f>
        <v>1666666.66666667</v>
      </c>
      <c r="AF68" s="33" t="n">
        <f aca="false">INDEX(SFD_Project,1,AF$5)/12</f>
        <v>1666666.66666667</v>
      </c>
      <c r="AG68" s="33" t="n">
        <f aca="false">INDEX(SFD_Project,1,AG$5)/12</f>
        <v>1666666.66666667</v>
      </c>
      <c r="AH68" s="33" t="n">
        <f aca="false">INDEX(SFD_Project,1,AH$5)/12</f>
        <v>1666666.66666667</v>
      </c>
      <c r="AI68" s="33" t="n">
        <f aca="false">INDEX(SFD_Project,1,AI$5)/12</f>
        <v>1666666.66666667</v>
      </c>
      <c r="AJ68" s="33" t="n">
        <f aca="false">INDEX(SFD_Project,1,AJ$5)/12</f>
        <v>1666666.66666667</v>
      </c>
      <c r="AK68" s="33" t="n">
        <f aca="false">INDEX(SFD_Project,1,AK$5)/12</f>
        <v>1666666.66666667</v>
      </c>
      <c r="AL68" s="33" t="n">
        <f aca="false">INDEX(SFD_Project,1,AL$5)/12</f>
        <v>1666666.66666667</v>
      </c>
      <c r="AM68" s="33" t="n">
        <f aca="false">INDEX(SFD_Project,1,AM$5)/12</f>
        <v>1666666.66666667</v>
      </c>
      <c r="AN68" s="33" t="n">
        <f aca="false">INDEX(SFD_Project,1,AN$5)/12</f>
        <v>1666666.66666667</v>
      </c>
      <c r="AO68" s="33" t="n">
        <f aca="false">INDEX(SFD_Project,1,AO$5)/12</f>
        <v>0</v>
      </c>
      <c r="AP68" s="33" t="n">
        <f aca="false">INDEX(SFD_Project,1,AP$5)/12</f>
        <v>0</v>
      </c>
      <c r="AQ68" s="33" t="n">
        <f aca="false">INDEX(SFD_Project,1,AQ$5)/12</f>
        <v>0</v>
      </c>
      <c r="AR68" s="33" t="n">
        <f aca="false">INDEX(SFD_Project,1,AR$5)/12</f>
        <v>0</v>
      </c>
      <c r="AS68" s="33" t="n">
        <f aca="false">INDEX(SFD_Project,1,AS$5)/12</f>
        <v>0</v>
      </c>
      <c r="AT68" s="33" t="n">
        <f aca="false">INDEX(SFD_Project,1,AT$5)/12</f>
        <v>0</v>
      </c>
      <c r="AU68" s="33" t="n">
        <f aca="false">INDEX(SFD_Project,1,AU$5)/12</f>
        <v>0</v>
      </c>
      <c r="AV68" s="33" t="n">
        <f aca="false">INDEX(SFD_Project,1,AV$5)/12</f>
        <v>0</v>
      </c>
      <c r="AW68" s="33" t="n">
        <f aca="false">INDEX(SFD_Project,1,AW$5)/12</f>
        <v>0</v>
      </c>
      <c r="AX68" s="33" t="n">
        <f aca="false">INDEX(SFD_Project,1,AX$5)/12</f>
        <v>0</v>
      </c>
      <c r="AY68" s="33" t="n">
        <f aca="false">INDEX(SFD_Project,1,AY$5)/12</f>
        <v>0</v>
      </c>
      <c r="AZ68" s="33" t="n">
        <f aca="false">INDEX(SFD_Project,1,AZ$5)/12</f>
        <v>0</v>
      </c>
      <c r="BA68" s="33" t="n">
        <f aca="false">INDEX(SFD_Project,1,BA$5)/12</f>
        <v>0</v>
      </c>
      <c r="BB68" s="33" t="n">
        <f aca="false">INDEX(SFD_Project,1,BB$5)/12</f>
        <v>0</v>
      </c>
      <c r="BC68" s="33" t="n">
        <f aca="false">INDEX(SFD_Project,1,BC$5)/12</f>
        <v>0</v>
      </c>
      <c r="BD68" s="33" t="n">
        <f aca="false">INDEX(SFD_Project,1,BD$5)/12</f>
        <v>0</v>
      </c>
      <c r="BE68" s="33" t="n">
        <f aca="false">INDEX(SFD_Project,1,BE$5)/12</f>
        <v>0</v>
      </c>
      <c r="BF68" s="33" t="n">
        <f aca="false">INDEX(SFD_Project,1,BF$5)/12</f>
        <v>0</v>
      </c>
      <c r="BG68" s="33" t="n">
        <f aca="false">INDEX(SFD_Project,1,BG$5)/12</f>
        <v>0</v>
      </c>
      <c r="BH68" s="33" t="n">
        <f aca="false">INDEX(SFD_Project,1,BH$5)/12</f>
        <v>0</v>
      </c>
      <c r="BI68" s="33" t="n">
        <f aca="false">INDEX(SFD_Project,1,BI$5)/12</f>
        <v>0</v>
      </c>
      <c r="BJ68" s="33" t="n">
        <f aca="false">INDEX(SFD_Project,1,BJ$5)/12</f>
        <v>0</v>
      </c>
      <c r="BK68" s="33" t="n">
        <f aca="false">INDEX(SFD_Project,1,BK$5)/12</f>
        <v>0</v>
      </c>
      <c r="BL68" s="33" t="n">
        <f aca="false">INDEX(SFD_Project,1,BL$5)/12</f>
        <v>0</v>
      </c>
    </row>
    <row r="69" customFormat="false" ht="15" hidden="false" customHeight="false" outlineLevel="0" collapsed="false">
      <c r="A69" s="12" t="s">
        <v>411</v>
      </c>
      <c r="B69" s="14" t="s">
        <v>63</v>
      </c>
      <c r="D69" s="41" t="n">
        <f aca="false">SUM(E69:BL69)</f>
        <v>120000000</v>
      </c>
      <c r="E69" s="33" t="n">
        <f aca="false">INDEX(Legal_Counsel,1,E$5)</f>
        <v>1000000</v>
      </c>
      <c r="F69" s="33" t="n">
        <f aca="false">INDEX(Legal_Counsel,1,F$5)</f>
        <v>1000000</v>
      </c>
      <c r="G69" s="33" t="n">
        <f aca="false">INDEX(Legal_Counsel,1,G$5)</f>
        <v>1000000</v>
      </c>
      <c r="H69" s="33" t="n">
        <f aca="false">INDEX(Legal_Counsel,1,H$5)</f>
        <v>1000000</v>
      </c>
      <c r="I69" s="33" t="n">
        <f aca="false">INDEX(Legal_Counsel,1,I$5)</f>
        <v>1000000</v>
      </c>
      <c r="J69" s="33" t="n">
        <f aca="false">INDEX(Legal_Counsel,1,J$5)</f>
        <v>1000000</v>
      </c>
      <c r="K69" s="33" t="n">
        <f aca="false">INDEX(Legal_Counsel,1,K$5)</f>
        <v>1000000</v>
      </c>
      <c r="L69" s="33" t="n">
        <f aca="false">INDEX(Legal_Counsel,1,L$5)</f>
        <v>1000000</v>
      </c>
      <c r="M69" s="33" t="n">
        <f aca="false">INDEX(Legal_Counsel,1,M$5)</f>
        <v>1000000</v>
      </c>
      <c r="N69" s="33" t="n">
        <f aca="false">INDEX(Legal_Counsel,1,N$5)</f>
        <v>1000000</v>
      </c>
      <c r="O69" s="33" t="n">
        <f aca="false">INDEX(Legal_Counsel,1,O$5)</f>
        <v>1000000</v>
      </c>
      <c r="P69" s="33" t="n">
        <f aca="false">INDEX(Legal_Counsel,1,P$5)</f>
        <v>1000000</v>
      </c>
      <c r="Q69" s="33" t="n">
        <f aca="false">INDEX(Legal_Counsel,1,Q$5)</f>
        <v>1500000</v>
      </c>
      <c r="R69" s="33" t="n">
        <f aca="false">INDEX(Legal_Counsel,1,R$5)</f>
        <v>1500000</v>
      </c>
      <c r="S69" s="33" t="n">
        <f aca="false">INDEX(Legal_Counsel,1,S$5)</f>
        <v>1500000</v>
      </c>
      <c r="T69" s="33" t="n">
        <f aca="false">INDEX(Legal_Counsel,1,T$5)</f>
        <v>1500000</v>
      </c>
      <c r="U69" s="33" t="n">
        <f aca="false">INDEX(Legal_Counsel,1,U$5)</f>
        <v>1500000</v>
      </c>
      <c r="V69" s="33" t="n">
        <f aca="false">INDEX(Legal_Counsel,1,V$5)</f>
        <v>1500000</v>
      </c>
      <c r="W69" s="33" t="n">
        <f aca="false">INDEX(Legal_Counsel,1,W$5)</f>
        <v>1500000</v>
      </c>
      <c r="X69" s="33" t="n">
        <f aca="false">INDEX(Legal_Counsel,1,X$5)</f>
        <v>1500000</v>
      </c>
      <c r="Y69" s="33" t="n">
        <f aca="false">INDEX(Legal_Counsel,1,Y$5)</f>
        <v>1500000</v>
      </c>
      <c r="Z69" s="33" t="n">
        <f aca="false">INDEX(Legal_Counsel,1,Z$5)</f>
        <v>1500000</v>
      </c>
      <c r="AA69" s="33" t="n">
        <f aca="false">INDEX(Legal_Counsel,1,AA$5)</f>
        <v>1500000</v>
      </c>
      <c r="AB69" s="33" t="n">
        <f aca="false">INDEX(Legal_Counsel,1,AB$5)</f>
        <v>1500000</v>
      </c>
      <c r="AC69" s="33" t="n">
        <f aca="false">INDEX(Legal_Counsel,1,AC$5)</f>
        <v>2000000</v>
      </c>
      <c r="AD69" s="33" t="n">
        <f aca="false">INDEX(Legal_Counsel,1,AD$5)</f>
        <v>2000000</v>
      </c>
      <c r="AE69" s="33" t="n">
        <f aca="false">INDEX(Legal_Counsel,1,AE$5)</f>
        <v>2000000</v>
      </c>
      <c r="AF69" s="33" t="n">
        <f aca="false">INDEX(Legal_Counsel,1,AF$5)</f>
        <v>2000000</v>
      </c>
      <c r="AG69" s="33" t="n">
        <f aca="false">INDEX(Legal_Counsel,1,AG$5)</f>
        <v>2000000</v>
      </c>
      <c r="AH69" s="33" t="n">
        <f aca="false">INDEX(Legal_Counsel,1,AH$5)</f>
        <v>2000000</v>
      </c>
      <c r="AI69" s="33" t="n">
        <f aca="false">INDEX(Legal_Counsel,1,AI$5)</f>
        <v>2000000</v>
      </c>
      <c r="AJ69" s="33" t="n">
        <f aca="false">INDEX(Legal_Counsel,1,AJ$5)</f>
        <v>2000000</v>
      </c>
      <c r="AK69" s="33" t="n">
        <f aca="false">INDEX(Legal_Counsel,1,AK$5)</f>
        <v>2000000</v>
      </c>
      <c r="AL69" s="33" t="n">
        <f aca="false">INDEX(Legal_Counsel,1,AL$5)</f>
        <v>2000000</v>
      </c>
      <c r="AM69" s="33" t="n">
        <f aca="false">INDEX(Legal_Counsel,1,AM$5)</f>
        <v>2000000</v>
      </c>
      <c r="AN69" s="33" t="n">
        <f aca="false">INDEX(Legal_Counsel,1,AN$5)</f>
        <v>2000000</v>
      </c>
      <c r="AO69" s="33" t="n">
        <f aca="false">INDEX(Legal_Counsel,1,AO$5)</f>
        <v>2500000</v>
      </c>
      <c r="AP69" s="33" t="n">
        <f aca="false">INDEX(Legal_Counsel,1,AP$5)</f>
        <v>2500000</v>
      </c>
      <c r="AQ69" s="33" t="n">
        <f aca="false">INDEX(Legal_Counsel,1,AQ$5)</f>
        <v>2500000</v>
      </c>
      <c r="AR69" s="33" t="n">
        <f aca="false">INDEX(Legal_Counsel,1,AR$5)</f>
        <v>2500000</v>
      </c>
      <c r="AS69" s="33" t="n">
        <f aca="false">INDEX(Legal_Counsel,1,AS$5)</f>
        <v>2500000</v>
      </c>
      <c r="AT69" s="33" t="n">
        <f aca="false">INDEX(Legal_Counsel,1,AT$5)</f>
        <v>2500000</v>
      </c>
      <c r="AU69" s="33" t="n">
        <f aca="false">INDEX(Legal_Counsel,1,AU$5)</f>
        <v>2500000</v>
      </c>
      <c r="AV69" s="33" t="n">
        <f aca="false">INDEX(Legal_Counsel,1,AV$5)</f>
        <v>2500000</v>
      </c>
      <c r="AW69" s="33" t="n">
        <f aca="false">INDEX(Legal_Counsel,1,AW$5)</f>
        <v>2500000</v>
      </c>
      <c r="AX69" s="33" t="n">
        <f aca="false">INDEX(Legal_Counsel,1,AX$5)</f>
        <v>2500000</v>
      </c>
      <c r="AY69" s="33" t="n">
        <f aca="false">INDEX(Legal_Counsel,1,AY$5)</f>
        <v>2500000</v>
      </c>
      <c r="AZ69" s="33" t="n">
        <f aca="false">INDEX(Legal_Counsel,1,AZ$5)</f>
        <v>2500000</v>
      </c>
      <c r="BA69" s="33" t="n">
        <f aca="false">INDEX(Legal_Counsel,1,BA$5)</f>
        <v>3000000</v>
      </c>
      <c r="BB69" s="33" t="n">
        <f aca="false">INDEX(Legal_Counsel,1,BB$5)</f>
        <v>3000000</v>
      </c>
      <c r="BC69" s="33" t="n">
        <f aca="false">INDEX(Legal_Counsel,1,BC$5)</f>
        <v>3000000</v>
      </c>
      <c r="BD69" s="33" t="n">
        <f aca="false">INDEX(Legal_Counsel,1,BD$5)</f>
        <v>3000000</v>
      </c>
      <c r="BE69" s="33" t="n">
        <f aca="false">INDEX(Legal_Counsel,1,BE$5)</f>
        <v>3000000</v>
      </c>
      <c r="BF69" s="33" t="n">
        <f aca="false">INDEX(Legal_Counsel,1,BF$5)</f>
        <v>3000000</v>
      </c>
      <c r="BG69" s="33" t="n">
        <f aca="false">INDEX(Legal_Counsel,1,BG$5)</f>
        <v>3000000</v>
      </c>
      <c r="BH69" s="33" t="n">
        <f aca="false">INDEX(Legal_Counsel,1,BH$5)</f>
        <v>3000000</v>
      </c>
      <c r="BI69" s="33" t="n">
        <f aca="false">INDEX(Legal_Counsel,1,BI$5)</f>
        <v>3000000</v>
      </c>
      <c r="BJ69" s="33" t="n">
        <f aca="false">INDEX(Legal_Counsel,1,BJ$5)</f>
        <v>3000000</v>
      </c>
      <c r="BK69" s="33" t="n">
        <f aca="false">INDEX(Legal_Counsel,1,BK$5)</f>
        <v>3000000</v>
      </c>
      <c r="BL69" s="33" t="n">
        <f aca="false">INDEX(Legal_Counsel,1,BL$5)</f>
        <v>3000000</v>
      </c>
    </row>
    <row r="70" customFormat="false" ht="15" hidden="false" customHeight="false" outlineLevel="0" collapsed="false">
      <c r="A70" s="12" t="s">
        <v>412</v>
      </c>
      <c r="B70" s="14" t="s">
        <v>63</v>
      </c>
      <c r="D70" s="41" t="n">
        <f aca="false">SUM(E70:BL70)</f>
        <v>110000000</v>
      </c>
      <c r="E70" s="33" t="n">
        <f aca="false">INDEX(Auditor,1,E$5)/12</f>
        <v>416666.666666667</v>
      </c>
      <c r="F70" s="33" t="n">
        <f aca="false">INDEX(Auditor,1,F$5)/12</f>
        <v>416666.666666667</v>
      </c>
      <c r="G70" s="33" t="n">
        <f aca="false">INDEX(Auditor,1,G$5)/12</f>
        <v>416666.666666667</v>
      </c>
      <c r="H70" s="33" t="n">
        <f aca="false">INDEX(Auditor,1,H$5)/12</f>
        <v>416666.666666667</v>
      </c>
      <c r="I70" s="33" t="n">
        <f aca="false">INDEX(Auditor,1,I$5)/12</f>
        <v>416666.666666667</v>
      </c>
      <c r="J70" s="33" t="n">
        <f aca="false">INDEX(Auditor,1,J$5)/12</f>
        <v>416666.666666667</v>
      </c>
      <c r="K70" s="33" t="n">
        <f aca="false">INDEX(Auditor,1,K$5)/12</f>
        <v>416666.666666667</v>
      </c>
      <c r="L70" s="33" t="n">
        <f aca="false">INDEX(Auditor,1,L$5)/12</f>
        <v>416666.666666667</v>
      </c>
      <c r="M70" s="33" t="n">
        <f aca="false">INDEX(Auditor,1,M$5)/12</f>
        <v>416666.666666667</v>
      </c>
      <c r="N70" s="33" t="n">
        <f aca="false">INDEX(Auditor,1,N$5)/12</f>
        <v>416666.666666667</v>
      </c>
      <c r="O70" s="33" t="n">
        <f aca="false">INDEX(Auditor,1,O$5)/12</f>
        <v>416666.666666667</v>
      </c>
      <c r="P70" s="33" t="n">
        <f aca="false">INDEX(Auditor,1,P$5)/12</f>
        <v>416666.666666667</v>
      </c>
      <c r="Q70" s="33" t="n">
        <f aca="false">INDEX(Auditor,1,Q$5)/12</f>
        <v>1250000</v>
      </c>
      <c r="R70" s="33" t="n">
        <f aca="false">INDEX(Auditor,1,R$5)/12</f>
        <v>1250000</v>
      </c>
      <c r="S70" s="33" t="n">
        <f aca="false">INDEX(Auditor,1,S$5)/12</f>
        <v>1250000</v>
      </c>
      <c r="T70" s="33" t="n">
        <f aca="false">INDEX(Auditor,1,T$5)/12</f>
        <v>1250000</v>
      </c>
      <c r="U70" s="33" t="n">
        <f aca="false">INDEX(Auditor,1,U$5)/12</f>
        <v>1250000</v>
      </c>
      <c r="V70" s="33" t="n">
        <f aca="false">INDEX(Auditor,1,V$5)/12</f>
        <v>1250000</v>
      </c>
      <c r="W70" s="33" t="n">
        <f aca="false">INDEX(Auditor,1,W$5)/12</f>
        <v>1250000</v>
      </c>
      <c r="X70" s="33" t="n">
        <f aca="false">INDEX(Auditor,1,X$5)/12</f>
        <v>1250000</v>
      </c>
      <c r="Y70" s="33" t="n">
        <f aca="false">INDEX(Auditor,1,Y$5)/12</f>
        <v>1250000</v>
      </c>
      <c r="Z70" s="33" t="n">
        <f aca="false">INDEX(Auditor,1,Z$5)/12</f>
        <v>1250000</v>
      </c>
      <c r="AA70" s="33" t="n">
        <f aca="false">INDEX(Auditor,1,AA$5)/12</f>
        <v>1250000</v>
      </c>
      <c r="AB70" s="33" t="n">
        <f aca="false">INDEX(Auditor,1,AB$5)/12</f>
        <v>1250000</v>
      </c>
      <c r="AC70" s="33" t="n">
        <f aca="false">INDEX(Auditor,1,AC$5)/12</f>
        <v>2083333.33333333</v>
      </c>
      <c r="AD70" s="33" t="n">
        <f aca="false">INDEX(Auditor,1,AD$5)/12</f>
        <v>2083333.33333333</v>
      </c>
      <c r="AE70" s="33" t="n">
        <f aca="false">INDEX(Auditor,1,AE$5)/12</f>
        <v>2083333.33333333</v>
      </c>
      <c r="AF70" s="33" t="n">
        <f aca="false">INDEX(Auditor,1,AF$5)/12</f>
        <v>2083333.33333333</v>
      </c>
      <c r="AG70" s="33" t="n">
        <f aca="false">INDEX(Auditor,1,AG$5)/12</f>
        <v>2083333.33333333</v>
      </c>
      <c r="AH70" s="33" t="n">
        <f aca="false">INDEX(Auditor,1,AH$5)/12</f>
        <v>2083333.33333333</v>
      </c>
      <c r="AI70" s="33" t="n">
        <f aca="false">INDEX(Auditor,1,AI$5)/12</f>
        <v>2083333.33333333</v>
      </c>
      <c r="AJ70" s="33" t="n">
        <f aca="false">INDEX(Auditor,1,AJ$5)/12</f>
        <v>2083333.33333333</v>
      </c>
      <c r="AK70" s="33" t="n">
        <f aca="false">INDEX(Auditor,1,AK$5)/12</f>
        <v>2083333.33333333</v>
      </c>
      <c r="AL70" s="33" t="n">
        <f aca="false">INDEX(Auditor,1,AL$5)/12</f>
        <v>2083333.33333333</v>
      </c>
      <c r="AM70" s="33" t="n">
        <f aca="false">INDEX(Auditor,1,AM$5)/12</f>
        <v>2083333.33333333</v>
      </c>
      <c r="AN70" s="33" t="n">
        <f aca="false">INDEX(Auditor,1,AN$5)/12</f>
        <v>2083333.33333333</v>
      </c>
      <c r="AO70" s="33" t="n">
        <f aca="false">INDEX(Auditor,1,AO$5)/12</f>
        <v>2500000</v>
      </c>
      <c r="AP70" s="33" t="n">
        <f aca="false">INDEX(Auditor,1,AP$5)/12</f>
        <v>2500000</v>
      </c>
      <c r="AQ70" s="33" t="n">
        <f aca="false">INDEX(Auditor,1,AQ$5)/12</f>
        <v>2500000</v>
      </c>
      <c r="AR70" s="33" t="n">
        <f aca="false">INDEX(Auditor,1,AR$5)/12</f>
        <v>2500000</v>
      </c>
      <c r="AS70" s="33" t="n">
        <f aca="false">INDEX(Auditor,1,AS$5)/12</f>
        <v>2500000</v>
      </c>
      <c r="AT70" s="33" t="n">
        <f aca="false">INDEX(Auditor,1,AT$5)/12</f>
        <v>2500000</v>
      </c>
      <c r="AU70" s="33" t="n">
        <f aca="false">INDEX(Auditor,1,AU$5)/12</f>
        <v>2500000</v>
      </c>
      <c r="AV70" s="33" t="n">
        <f aca="false">INDEX(Auditor,1,AV$5)/12</f>
        <v>2500000</v>
      </c>
      <c r="AW70" s="33" t="n">
        <f aca="false">INDEX(Auditor,1,AW$5)/12</f>
        <v>2500000</v>
      </c>
      <c r="AX70" s="33" t="n">
        <f aca="false">INDEX(Auditor,1,AX$5)/12</f>
        <v>2500000</v>
      </c>
      <c r="AY70" s="33" t="n">
        <f aca="false">INDEX(Auditor,1,AY$5)/12</f>
        <v>2500000</v>
      </c>
      <c r="AZ70" s="33" t="n">
        <f aca="false">INDEX(Auditor,1,AZ$5)/12</f>
        <v>2500000</v>
      </c>
      <c r="BA70" s="33" t="n">
        <f aca="false">INDEX(Auditor,1,BA$5)/12</f>
        <v>2916666.66666667</v>
      </c>
      <c r="BB70" s="33" t="n">
        <f aca="false">INDEX(Auditor,1,BB$5)/12</f>
        <v>2916666.66666667</v>
      </c>
      <c r="BC70" s="33" t="n">
        <f aca="false">INDEX(Auditor,1,BC$5)/12</f>
        <v>2916666.66666667</v>
      </c>
      <c r="BD70" s="33" t="n">
        <f aca="false">INDEX(Auditor,1,BD$5)/12</f>
        <v>2916666.66666667</v>
      </c>
      <c r="BE70" s="33" t="n">
        <f aca="false">INDEX(Auditor,1,BE$5)/12</f>
        <v>2916666.66666667</v>
      </c>
      <c r="BF70" s="33" t="n">
        <f aca="false">INDEX(Auditor,1,BF$5)/12</f>
        <v>2916666.66666667</v>
      </c>
      <c r="BG70" s="33" t="n">
        <f aca="false">INDEX(Auditor,1,BG$5)/12</f>
        <v>2916666.66666667</v>
      </c>
      <c r="BH70" s="33" t="n">
        <f aca="false">INDEX(Auditor,1,BH$5)/12</f>
        <v>2916666.66666667</v>
      </c>
      <c r="BI70" s="33" t="n">
        <f aca="false">INDEX(Auditor,1,BI$5)/12</f>
        <v>2916666.66666667</v>
      </c>
      <c r="BJ70" s="33" t="n">
        <f aca="false">INDEX(Auditor,1,BJ$5)/12</f>
        <v>2916666.66666667</v>
      </c>
      <c r="BK70" s="33" t="n">
        <f aca="false">INDEX(Auditor,1,BK$5)/12</f>
        <v>2916666.66666667</v>
      </c>
      <c r="BL70" s="33" t="n">
        <f aca="false">INDEX(Auditor,1,BL$5)/12</f>
        <v>2916666.66666667</v>
      </c>
    </row>
    <row r="71" customFormat="false" ht="15" hidden="false" customHeight="false" outlineLevel="0" collapsed="false">
      <c r="A71" s="12" t="s">
        <v>661</v>
      </c>
      <c r="B71" s="14" t="s">
        <v>63</v>
      </c>
      <c r="D71" s="41" t="n">
        <f aca="false">SUM(E71:BL71)</f>
        <v>43200000</v>
      </c>
      <c r="E71" s="33" t="n">
        <f aca="false">INDEX(Accountant_Ext,1,E$5)</f>
        <v>300000</v>
      </c>
      <c r="F71" s="33" t="n">
        <f aca="false">INDEX(Accountant_Ext,1,F$5)</f>
        <v>300000</v>
      </c>
      <c r="G71" s="33" t="n">
        <f aca="false">INDEX(Accountant_Ext,1,G$5)</f>
        <v>300000</v>
      </c>
      <c r="H71" s="33" t="n">
        <f aca="false">INDEX(Accountant_Ext,1,H$5)</f>
        <v>300000</v>
      </c>
      <c r="I71" s="33" t="n">
        <f aca="false">INDEX(Accountant_Ext,1,I$5)</f>
        <v>300000</v>
      </c>
      <c r="J71" s="33" t="n">
        <f aca="false">INDEX(Accountant_Ext,1,J$5)</f>
        <v>300000</v>
      </c>
      <c r="K71" s="33" t="n">
        <f aca="false">INDEX(Accountant_Ext,1,K$5)</f>
        <v>300000</v>
      </c>
      <c r="L71" s="33" t="n">
        <f aca="false">INDEX(Accountant_Ext,1,L$5)</f>
        <v>300000</v>
      </c>
      <c r="M71" s="33" t="n">
        <f aca="false">INDEX(Accountant_Ext,1,M$5)</f>
        <v>300000</v>
      </c>
      <c r="N71" s="33" t="n">
        <f aca="false">INDEX(Accountant_Ext,1,N$5)</f>
        <v>300000</v>
      </c>
      <c r="O71" s="33" t="n">
        <f aca="false">INDEX(Accountant_Ext,1,O$5)</f>
        <v>300000</v>
      </c>
      <c r="P71" s="33" t="n">
        <f aca="false">INDEX(Accountant_Ext,1,P$5)</f>
        <v>300000</v>
      </c>
      <c r="Q71" s="33" t="n">
        <f aca="false">INDEX(Accountant_Ext,1,Q$5)</f>
        <v>600000</v>
      </c>
      <c r="R71" s="33" t="n">
        <f aca="false">INDEX(Accountant_Ext,1,R$5)</f>
        <v>600000</v>
      </c>
      <c r="S71" s="33" t="n">
        <f aca="false">INDEX(Accountant_Ext,1,S$5)</f>
        <v>600000</v>
      </c>
      <c r="T71" s="33" t="n">
        <f aca="false">INDEX(Accountant_Ext,1,T$5)</f>
        <v>600000</v>
      </c>
      <c r="U71" s="33" t="n">
        <f aca="false">INDEX(Accountant_Ext,1,U$5)</f>
        <v>600000</v>
      </c>
      <c r="V71" s="33" t="n">
        <f aca="false">INDEX(Accountant_Ext,1,V$5)</f>
        <v>600000</v>
      </c>
      <c r="W71" s="33" t="n">
        <f aca="false">INDEX(Accountant_Ext,1,W$5)</f>
        <v>600000</v>
      </c>
      <c r="X71" s="33" t="n">
        <f aca="false">INDEX(Accountant_Ext,1,X$5)</f>
        <v>600000</v>
      </c>
      <c r="Y71" s="33" t="n">
        <f aca="false">INDEX(Accountant_Ext,1,Y$5)</f>
        <v>600000</v>
      </c>
      <c r="Z71" s="33" t="n">
        <f aca="false">INDEX(Accountant_Ext,1,Z$5)</f>
        <v>600000</v>
      </c>
      <c r="AA71" s="33" t="n">
        <f aca="false">INDEX(Accountant_Ext,1,AA$5)</f>
        <v>600000</v>
      </c>
      <c r="AB71" s="33" t="n">
        <f aca="false">INDEX(Accountant_Ext,1,AB$5)</f>
        <v>600000</v>
      </c>
      <c r="AC71" s="33" t="n">
        <f aca="false">INDEX(Accountant_Ext,1,AC$5)</f>
        <v>800000</v>
      </c>
      <c r="AD71" s="33" t="n">
        <f aca="false">INDEX(Accountant_Ext,1,AD$5)</f>
        <v>800000</v>
      </c>
      <c r="AE71" s="33" t="n">
        <f aca="false">INDEX(Accountant_Ext,1,AE$5)</f>
        <v>800000</v>
      </c>
      <c r="AF71" s="33" t="n">
        <f aca="false">INDEX(Accountant_Ext,1,AF$5)</f>
        <v>800000</v>
      </c>
      <c r="AG71" s="33" t="n">
        <f aca="false">INDEX(Accountant_Ext,1,AG$5)</f>
        <v>800000</v>
      </c>
      <c r="AH71" s="33" t="n">
        <f aca="false">INDEX(Accountant_Ext,1,AH$5)</f>
        <v>800000</v>
      </c>
      <c r="AI71" s="33" t="n">
        <f aca="false">INDEX(Accountant_Ext,1,AI$5)</f>
        <v>800000</v>
      </c>
      <c r="AJ71" s="33" t="n">
        <f aca="false">INDEX(Accountant_Ext,1,AJ$5)</f>
        <v>800000</v>
      </c>
      <c r="AK71" s="33" t="n">
        <f aca="false">INDEX(Accountant_Ext,1,AK$5)</f>
        <v>800000</v>
      </c>
      <c r="AL71" s="33" t="n">
        <f aca="false">INDEX(Accountant_Ext,1,AL$5)</f>
        <v>800000</v>
      </c>
      <c r="AM71" s="33" t="n">
        <f aca="false">INDEX(Accountant_Ext,1,AM$5)</f>
        <v>800000</v>
      </c>
      <c r="AN71" s="33" t="n">
        <f aca="false">INDEX(Accountant_Ext,1,AN$5)</f>
        <v>800000</v>
      </c>
      <c r="AO71" s="33" t="n">
        <f aca="false">INDEX(Accountant_Ext,1,AO$5)</f>
        <v>900000</v>
      </c>
      <c r="AP71" s="33" t="n">
        <f aca="false">INDEX(Accountant_Ext,1,AP$5)</f>
        <v>900000</v>
      </c>
      <c r="AQ71" s="33" t="n">
        <f aca="false">INDEX(Accountant_Ext,1,AQ$5)</f>
        <v>900000</v>
      </c>
      <c r="AR71" s="33" t="n">
        <f aca="false">INDEX(Accountant_Ext,1,AR$5)</f>
        <v>900000</v>
      </c>
      <c r="AS71" s="33" t="n">
        <f aca="false">INDEX(Accountant_Ext,1,AS$5)</f>
        <v>900000</v>
      </c>
      <c r="AT71" s="33" t="n">
        <f aca="false">INDEX(Accountant_Ext,1,AT$5)</f>
        <v>900000</v>
      </c>
      <c r="AU71" s="33" t="n">
        <f aca="false">INDEX(Accountant_Ext,1,AU$5)</f>
        <v>900000</v>
      </c>
      <c r="AV71" s="33" t="n">
        <f aca="false">INDEX(Accountant_Ext,1,AV$5)</f>
        <v>900000</v>
      </c>
      <c r="AW71" s="33" t="n">
        <f aca="false">INDEX(Accountant_Ext,1,AW$5)</f>
        <v>900000</v>
      </c>
      <c r="AX71" s="33" t="n">
        <f aca="false">INDEX(Accountant_Ext,1,AX$5)</f>
        <v>900000</v>
      </c>
      <c r="AY71" s="33" t="n">
        <f aca="false">INDEX(Accountant_Ext,1,AY$5)</f>
        <v>900000</v>
      </c>
      <c r="AZ71" s="33" t="n">
        <f aca="false">INDEX(Accountant_Ext,1,AZ$5)</f>
        <v>900000</v>
      </c>
      <c r="BA71" s="33" t="n">
        <f aca="false">INDEX(Accountant_Ext,1,BA$5)</f>
        <v>1000000</v>
      </c>
      <c r="BB71" s="33" t="n">
        <f aca="false">INDEX(Accountant_Ext,1,BB$5)</f>
        <v>1000000</v>
      </c>
      <c r="BC71" s="33" t="n">
        <f aca="false">INDEX(Accountant_Ext,1,BC$5)</f>
        <v>1000000</v>
      </c>
      <c r="BD71" s="33" t="n">
        <f aca="false">INDEX(Accountant_Ext,1,BD$5)</f>
        <v>1000000</v>
      </c>
      <c r="BE71" s="33" t="n">
        <f aca="false">INDEX(Accountant_Ext,1,BE$5)</f>
        <v>1000000</v>
      </c>
      <c r="BF71" s="33" t="n">
        <f aca="false">INDEX(Accountant_Ext,1,BF$5)</f>
        <v>1000000</v>
      </c>
      <c r="BG71" s="33" t="n">
        <f aca="false">INDEX(Accountant_Ext,1,BG$5)</f>
        <v>1000000</v>
      </c>
      <c r="BH71" s="33" t="n">
        <f aca="false">INDEX(Accountant_Ext,1,BH$5)</f>
        <v>1000000</v>
      </c>
      <c r="BI71" s="33" t="n">
        <f aca="false">INDEX(Accountant_Ext,1,BI$5)</f>
        <v>1000000</v>
      </c>
      <c r="BJ71" s="33" t="n">
        <f aca="false">INDEX(Accountant_Ext,1,BJ$5)</f>
        <v>1000000</v>
      </c>
      <c r="BK71" s="33" t="n">
        <f aca="false">INDEX(Accountant_Ext,1,BK$5)</f>
        <v>1000000</v>
      </c>
      <c r="BL71" s="33" t="n">
        <f aca="false">INDEX(Accountant_Ext,1,BL$5)</f>
        <v>1000000</v>
      </c>
    </row>
    <row r="72" customFormat="false" ht="15" hidden="false" customHeight="false" outlineLevel="0" collapsed="false">
      <c r="A72" s="12" t="s">
        <v>662</v>
      </c>
      <c r="B72" s="14" t="s">
        <v>63</v>
      </c>
      <c r="D72" s="41" t="n">
        <f aca="false">SUM(E72:BL72)</f>
        <v>50000000</v>
      </c>
      <c r="E72" s="33" t="n">
        <f aca="false">INDEX(AML_Audit,1,E$5)/12</f>
        <v>0</v>
      </c>
      <c r="F72" s="33" t="n">
        <f aca="false">INDEX(AML_Audit,1,F$5)/12</f>
        <v>0</v>
      </c>
      <c r="G72" s="33" t="n">
        <f aca="false">INDEX(AML_Audit,1,G$5)/12</f>
        <v>0</v>
      </c>
      <c r="H72" s="33" t="n">
        <f aca="false">INDEX(AML_Audit,1,H$5)/12</f>
        <v>0</v>
      </c>
      <c r="I72" s="33" t="n">
        <f aca="false">INDEX(AML_Audit,1,I$5)/12</f>
        <v>0</v>
      </c>
      <c r="J72" s="33" t="n">
        <f aca="false">INDEX(AML_Audit,1,J$5)/12</f>
        <v>0</v>
      </c>
      <c r="K72" s="33" t="n">
        <f aca="false">INDEX(AML_Audit,1,K$5)/12</f>
        <v>0</v>
      </c>
      <c r="L72" s="33" t="n">
        <f aca="false">INDEX(AML_Audit,1,L$5)/12</f>
        <v>0</v>
      </c>
      <c r="M72" s="33" t="n">
        <f aca="false">INDEX(AML_Audit,1,M$5)/12</f>
        <v>0</v>
      </c>
      <c r="N72" s="33" t="n">
        <f aca="false">INDEX(AML_Audit,1,N$5)/12</f>
        <v>0</v>
      </c>
      <c r="O72" s="33" t="n">
        <f aca="false">INDEX(AML_Audit,1,O$5)/12</f>
        <v>0</v>
      </c>
      <c r="P72" s="33" t="n">
        <f aca="false">INDEX(AML_Audit,1,P$5)/12</f>
        <v>0</v>
      </c>
      <c r="Q72" s="33" t="n">
        <f aca="false">INDEX(AML_Audit,1,Q$5)/12</f>
        <v>666666.666666667</v>
      </c>
      <c r="R72" s="33" t="n">
        <f aca="false">INDEX(AML_Audit,1,R$5)/12</f>
        <v>666666.666666667</v>
      </c>
      <c r="S72" s="33" t="n">
        <f aca="false">INDEX(AML_Audit,1,S$5)/12</f>
        <v>666666.666666667</v>
      </c>
      <c r="T72" s="33" t="n">
        <f aca="false">INDEX(AML_Audit,1,T$5)/12</f>
        <v>666666.666666667</v>
      </c>
      <c r="U72" s="33" t="n">
        <f aca="false">INDEX(AML_Audit,1,U$5)/12</f>
        <v>666666.666666667</v>
      </c>
      <c r="V72" s="33" t="n">
        <f aca="false">INDEX(AML_Audit,1,V$5)/12</f>
        <v>666666.666666667</v>
      </c>
      <c r="W72" s="33" t="n">
        <f aca="false">INDEX(AML_Audit,1,W$5)/12</f>
        <v>666666.666666667</v>
      </c>
      <c r="X72" s="33" t="n">
        <f aca="false">INDEX(AML_Audit,1,X$5)/12</f>
        <v>666666.666666667</v>
      </c>
      <c r="Y72" s="33" t="n">
        <f aca="false">INDEX(AML_Audit,1,Y$5)/12</f>
        <v>666666.666666667</v>
      </c>
      <c r="Z72" s="33" t="n">
        <f aca="false">INDEX(AML_Audit,1,Z$5)/12</f>
        <v>666666.666666667</v>
      </c>
      <c r="AA72" s="33" t="n">
        <f aca="false">INDEX(AML_Audit,1,AA$5)/12</f>
        <v>666666.666666667</v>
      </c>
      <c r="AB72" s="33" t="n">
        <f aca="false">INDEX(AML_Audit,1,AB$5)/12</f>
        <v>666666.666666667</v>
      </c>
      <c r="AC72" s="33" t="n">
        <f aca="false">INDEX(AML_Audit,1,AC$5)/12</f>
        <v>1000000</v>
      </c>
      <c r="AD72" s="33" t="n">
        <f aca="false">INDEX(AML_Audit,1,AD$5)/12</f>
        <v>1000000</v>
      </c>
      <c r="AE72" s="33" t="n">
        <f aca="false">INDEX(AML_Audit,1,AE$5)/12</f>
        <v>1000000</v>
      </c>
      <c r="AF72" s="33" t="n">
        <f aca="false">INDEX(AML_Audit,1,AF$5)/12</f>
        <v>1000000</v>
      </c>
      <c r="AG72" s="33" t="n">
        <f aca="false">INDEX(AML_Audit,1,AG$5)/12</f>
        <v>1000000</v>
      </c>
      <c r="AH72" s="33" t="n">
        <f aca="false">INDEX(AML_Audit,1,AH$5)/12</f>
        <v>1000000</v>
      </c>
      <c r="AI72" s="33" t="n">
        <f aca="false">INDEX(AML_Audit,1,AI$5)/12</f>
        <v>1000000</v>
      </c>
      <c r="AJ72" s="33" t="n">
        <f aca="false">INDEX(AML_Audit,1,AJ$5)/12</f>
        <v>1000000</v>
      </c>
      <c r="AK72" s="33" t="n">
        <f aca="false">INDEX(AML_Audit,1,AK$5)/12</f>
        <v>1000000</v>
      </c>
      <c r="AL72" s="33" t="n">
        <f aca="false">INDEX(AML_Audit,1,AL$5)/12</f>
        <v>1000000</v>
      </c>
      <c r="AM72" s="33" t="n">
        <f aca="false">INDEX(AML_Audit,1,AM$5)/12</f>
        <v>1000000</v>
      </c>
      <c r="AN72" s="33" t="n">
        <f aca="false">INDEX(AML_Audit,1,AN$5)/12</f>
        <v>1000000</v>
      </c>
      <c r="AO72" s="33" t="n">
        <f aca="false">INDEX(AML_Audit,1,AO$5)/12</f>
        <v>1166666.66666667</v>
      </c>
      <c r="AP72" s="33" t="n">
        <f aca="false">INDEX(AML_Audit,1,AP$5)/12</f>
        <v>1166666.66666667</v>
      </c>
      <c r="AQ72" s="33" t="n">
        <f aca="false">INDEX(AML_Audit,1,AQ$5)/12</f>
        <v>1166666.66666667</v>
      </c>
      <c r="AR72" s="33" t="n">
        <f aca="false">INDEX(AML_Audit,1,AR$5)/12</f>
        <v>1166666.66666667</v>
      </c>
      <c r="AS72" s="33" t="n">
        <f aca="false">INDEX(AML_Audit,1,AS$5)/12</f>
        <v>1166666.66666667</v>
      </c>
      <c r="AT72" s="33" t="n">
        <f aca="false">INDEX(AML_Audit,1,AT$5)/12</f>
        <v>1166666.66666667</v>
      </c>
      <c r="AU72" s="33" t="n">
        <f aca="false">INDEX(AML_Audit,1,AU$5)/12</f>
        <v>1166666.66666667</v>
      </c>
      <c r="AV72" s="33" t="n">
        <f aca="false">INDEX(AML_Audit,1,AV$5)/12</f>
        <v>1166666.66666667</v>
      </c>
      <c r="AW72" s="33" t="n">
        <f aca="false">INDEX(AML_Audit,1,AW$5)/12</f>
        <v>1166666.66666667</v>
      </c>
      <c r="AX72" s="33" t="n">
        <f aca="false">INDEX(AML_Audit,1,AX$5)/12</f>
        <v>1166666.66666667</v>
      </c>
      <c r="AY72" s="33" t="n">
        <f aca="false">INDEX(AML_Audit,1,AY$5)/12</f>
        <v>1166666.66666667</v>
      </c>
      <c r="AZ72" s="33" t="n">
        <f aca="false">INDEX(AML_Audit,1,AZ$5)/12</f>
        <v>1166666.66666667</v>
      </c>
      <c r="BA72" s="33" t="n">
        <f aca="false">INDEX(AML_Audit,1,BA$5)/12</f>
        <v>1333333.33333333</v>
      </c>
      <c r="BB72" s="33" t="n">
        <f aca="false">INDEX(AML_Audit,1,BB$5)/12</f>
        <v>1333333.33333333</v>
      </c>
      <c r="BC72" s="33" t="n">
        <f aca="false">INDEX(AML_Audit,1,BC$5)/12</f>
        <v>1333333.33333333</v>
      </c>
      <c r="BD72" s="33" t="n">
        <f aca="false">INDEX(AML_Audit,1,BD$5)/12</f>
        <v>1333333.33333333</v>
      </c>
      <c r="BE72" s="33" t="n">
        <f aca="false">INDEX(AML_Audit,1,BE$5)/12</f>
        <v>1333333.33333333</v>
      </c>
      <c r="BF72" s="33" t="n">
        <f aca="false">INDEX(AML_Audit,1,BF$5)/12</f>
        <v>1333333.33333333</v>
      </c>
      <c r="BG72" s="33" t="n">
        <f aca="false">INDEX(AML_Audit,1,BG$5)/12</f>
        <v>1333333.33333333</v>
      </c>
      <c r="BH72" s="33" t="n">
        <f aca="false">INDEX(AML_Audit,1,BH$5)/12</f>
        <v>1333333.33333333</v>
      </c>
      <c r="BI72" s="33" t="n">
        <f aca="false">INDEX(AML_Audit,1,BI$5)/12</f>
        <v>1333333.33333333</v>
      </c>
      <c r="BJ72" s="33" t="n">
        <f aca="false">INDEX(AML_Audit,1,BJ$5)/12</f>
        <v>1333333.33333333</v>
      </c>
      <c r="BK72" s="33" t="n">
        <f aca="false">INDEX(AML_Audit,1,BK$5)/12</f>
        <v>1333333.33333333</v>
      </c>
      <c r="BL72" s="33" t="n">
        <f aca="false">INDEX(AML_Audit,1,BL$5)/12</f>
        <v>1333333.33333333</v>
      </c>
    </row>
    <row r="73" customFormat="false" ht="15" hidden="false" customHeight="false" outlineLevel="0" collapsed="false">
      <c r="A73" s="12" t="s">
        <v>663</v>
      </c>
      <c r="B73" s="14" t="s">
        <v>63</v>
      </c>
      <c r="D73" s="41" t="n">
        <f aca="false">SUM(E73:BL73)</f>
        <v>11000000</v>
      </c>
      <c r="E73" s="33" t="n">
        <f aca="false">INDEX(Data_Protection,1,E$5)/12</f>
        <v>291666.666666667</v>
      </c>
      <c r="F73" s="33" t="n">
        <f aca="false">INDEX(Data_Protection,1,F$5)/12</f>
        <v>291666.666666667</v>
      </c>
      <c r="G73" s="33" t="n">
        <f aca="false">INDEX(Data_Protection,1,G$5)/12</f>
        <v>291666.666666667</v>
      </c>
      <c r="H73" s="33" t="n">
        <f aca="false">INDEX(Data_Protection,1,H$5)/12</f>
        <v>291666.666666667</v>
      </c>
      <c r="I73" s="33" t="n">
        <f aca="false">INDEX(Data_Protection,1,I$5)/12</f>
        <v>291666.666666667</v>
      </c>
      <c r="J73" s="33" t="n">
        <f aca="false">INDEX(Data_Protection,1,J$5)/12</f>
        <v>291666.666666667</v>
      </c>
      <c r="K73" s="33" t="n">
        <f aca="false">INDEX(Data_Protection,1,K$5)/12</f>
        <v>291666.666666667</v>
      </c>
      <c r="L73" s="33" t="n">
        <f aca="false">INDEX(Data_Protection,1,L$5)/12</f>
        <v>291666.666666667</v>
      </c>
      <c r="M73" s="33" t="n">
        <f aca="false">INDEX(Data_Protection,1,M$5)/12</f>
        <v>291666.666666667</v>
      </c>
      <c r="N73" s="33" t="n">
        <f aca="false">INDEX(Data_Protection,1,N$5)/12</f>
        <v>291666.666666667</v>
      </c>
      <c r="O73" s="33" t="n">
        <f aca="false">INDEX(Data_Protection,1,O$5)/12</f>
        <v>291666.666666667</v>
      </c>
      <c r="P73" s="33" t="n">
        <f aca="false">INDEX(Data_Protection,1,P$5)/12</f>
        <v>291666.666666667</v>
      </c>
      <c r="Q73" s="33" t="n">
        <f aca="false">INDEX(Data_Protection,1,Q$5)/12</f>
        <v>250000</v>
      </c>
      <c r="R73" s="33" t="n">
        <f aca="false">INDEX(Data_Protection,1,R$5)/12</f>
        <v>250000</v>
      </c>
      <c r="S73" s="33" t="n">
        <f aca="false">INDEX(Data_Protection,1,S$5)/12</f>
        <v>250000</v>
      </c>
      <c r="T73" s="33" t="n">
        <f aca="false">INDEX(Data_Protection,1,T$5)/12</f>
        <v>250000</v>
      </c>
      <c r="U73" s="33" t="n">
        <f aca="false">INDEX(Data_Protection,1,U$5)/12</f>
        <v>250000</v>
      </c>
      <c r="V73" s="33" t="n">
        <f aca="false">INDEX(Data_Protection,1,V$5)/12</f>
        <v>250000</v>
      </c>
      <c r="W73" s="33" t="n">
        <f aca="false">INDEX(Data_Protection,1,W$5)/12</f>
        <v>250000</v>
      </c>
      <c r="X73" s="33" t="n">
        <f aca="false">INDEX(Data_Protection,1,X$5)/12</f>
        <v>250000</v>
      </c>
      <c r="Y73" s="33" t="n">
        <f aca="false">INDEX(Data_Protection,1,Y$5)/12</f>
        <v>250000</v>
      </c>
      <c r="Z73" s="33" t="n">
        <f aca="false">INDEX(Data_Protection,1,Z$5)/12</f>
        <v>250000</v>
      </c>
      <c r="AA73" s="33" t="n">
        <f aca="false">INDEX(Data_Protection,1,AA$5)/12</f>
        <v>250000</v>
      </c>
      <c r="AB73" s="33" t="n">
        <f aca="false">INDEX(Data_Protection,1,AB$5)/12</f>
        <v>250000</v>
      </c>
      <c r="AC73" s="33" t="n">
        <f aca="false">INDEX(Data_Protection,1,AC$5)/12</f>
        <v>125000</v>
      </c>
      <c r="AD73" s="33" t="n">
        <f aca="false">INDEX(Data_Protection,1,AD$5)/12</f>
        <v>125000</v>
      </c>
      <c r="AE73" s="33" t="n">
        <f aca="false">INDEX(Data_Protection,1,AE$5)/12</f>
        <v>125000</v>
      </c>
      <c r="AF73" s="33" t="n">
        <f aca="false">INDEX(Data_Protection,1,AF$5)/12</f>
        <v>125000</v>
      </c>
      <c r="AG73" s="33" t="n">
        <f aca="false">INDEX(Data_Protection,1,AG$5)/12</f>
        <v>125000</v>
      </c>
      <c r="AH73" s="33" t="n">
        <f aca="false">INDEX(Data_Protection,1,AH$5)/12</f>
        <v>125000</v>
      </c>
      <c r="AI73" s="33" t="n">
        <f aca="false">INDEX(Data_Protection,1,AI$5)/12</f>
        <v>125000</v>
      </c>
      <c r="AJ73" s="33" t="n">
        <f aca="false">INDEX(Data_Protection,1,AJ$5)/12</f>
        <v>125000</v>
      </c>
      <c r="AK73" s="33" t="n">
        <f aca="false">INDEX(Data_Protection,1,AK$5)/12</f>
        <v>125000</v>
      </c>
      <c r="AL73" s="33" t="n">
        <f aca="false">INDEX(Data_Protection,1,AL$5)/12</f>
        <v>125000</v>
      </c>
      <c r="AM73" s="33" t="n">
        <f aca="false">INDEX(Data_Protection,1,AM$5)/12</f>
        <v>125000</v>
      </c>
      <c r="AN73" s="33" t="n">
        <f aca="false">INDEX(Data_Protection,1,AN$5)/12</f>
        <v>125000</v>
      </c>
      <c r="AO73" s="33" t="n">
        <f aca="false">INDEX(Data_Protection,1,AO$5)/12</f>
        <v>125000</v>
      </c>
      <c r="AP73" s="33" t="n">
        <f aca="false">INDEX(Data_Protection,1,AP$5)/12</f>
        <v>125000</v>
      </c>
      <c r="AQ73" s="33" t="n">
        <f aca="false">INDEX(Data_Protection,1,AQ$5)/12</f>
        <v>125000</v>
      </c>
      <c r="AR73" s="33" t="n">
        <f aca="false">INDEX(Data_Protection,1,AR$5)/12</f>
        <v>125000</v>
      </c>
      <c r="AS73" s="33" t="n">
        <f aca="false">INDEX(Data_Protection,1,AS$5)/12</f>
        <v>125000</v>
      </c>
      <c r="AT73" s="33" t="n">
        <f aca="false">INDEX(Data_Protection,1,AT$5)/12</f>
        <v>125000</v>
      </c>
      <c r="AU73" s="33" t="n">
        <f aca="false">INDEX(Data_Protection,1,AU$5)/12</f>
        <v>125000</v>
      </c>
      <c r="AV73" s="33" t="n">
        <f aca="false">INDEX(Data_Protection,1,AV$5)/12</f>
        <v>125000</v>
      </c>
      <c r="AW73" s="33" t="n">
        <f aca="false">INDEX(Data_Protection,1,AW$5)/12</f>
        <v>125000</v>
      </c>
      <c r="AX73" s="33" t="n">
        <f aca="false">INDEX(Data_Protection,1,AX$5)/12</f>
        <v>125000</v>
      </c>
      <c r="AY73" s="33" t="n">
        <f aca="false">INDEX(Data_Protection,1,AY$5)/12</f>
        <v>125000</v>
      </c>
      <c r="AZ73" s="33" t="n">
        <f aca="false">INDEX(Data_Protection,1,AZ$5)/12</f>
        <v>125000</v>
      </c>
      <c r="BA73" s="33" t="n">
        <f aca="false">INDEX(Data_Protection,1,BA$5)/12</f>
        <v>125000</v>
      </c>
      <c r="BB73" s="33" t="n">
        <f aca="false">INDEX(Data_Protection,1,BB$5)/12</f>
        <v>125000</v>
      </c>
      <c r="BC73" s="33" t="n">
        <f aca="false">INDEX(Data_Protection,1,BC$5)/12</f>
        <v>125000</v>
      </c>
      <c r="BD73" s="33" t="n">
        <f aca="false">INDEX(Data_Protection,1,BD$5)/12</f>
        <v>125000</v>
      </c>
      <c r="BE73" s="33" t="n">
        <f aca="false">INDEX(Data_Protection,1,BE$5)/12</f>
        <v>125000</v>
      </c>
      <c r="BF73" s="33" t="n">
        <f aca="false">INDEX(Data_Protection,1,BF$5)/12</f>
        <v>125000</v>
      </c>
      <c r="BG73" s="33" t="n">
        <f aca="false">INDEX(Data_Protection,1,BG$5)/12</f>
        <v>125000</v>
      </c>
      <c r="BH73" s="33" t="n">
        <f aca="false">INDEX(Data_Protection,1,BH$5)/12</f>
        <v>125000</v>
      </c>
      <c r="BI73" s="33" t="n">
        <f aca="false">INDEX(Data_Protection,1,BI$5)/12</f>
        <v>125000</v>
      </c>
      <c r="BJ73" s="33" t="n">
        <f aca="false">INDEX(Data_Protection,1,BJ$5)/12</f>
        <v>125000</v>
      </c>
      <c r="BK73" s="33" t="n">
        <f aca="false">INDEX(Data_Protection,1,BK$5)/12</f>
        <v>125000</v>
      </c>
      <c r="BL73" s="33" t="n">
        <f aca="false">INDEX(Data_Protection,1,BL$5)/12</f>
        <v>125000</v>
      </c>
    </row>
    <row r="74" customFormat="false" ht="15" hidden="false" customHeight="false" outlineLevel="0" collapsed="false">
      <c r="A74" s="12" t="s">
        <v>664</v>
      </c>
      <c r="B74" s="14" t="s">
        <v>63</v>
      </c>
      <c r="D74" s="41" t="n">
        <f aca="false">SUM(E74:BL74)</f>
        <v>104400000</v>
      </c>
      <c r="E74" s="33" t="n">
        <f aca="false">INDEX(Insurance_USD,1,E$5)*FX_USD/12</f>
        <v>966666.666666667</v>
      </c>
      <c r="F74" s="33" t="n">
        <f aca="false">INDEX(Insurance_USD,1,F$5)*FX_USD/12</f>
        <v>966666.666666667</v>
      </c>
      <c r="G74" s="33" t="n">
        <f aca="false">INDEX(Insurance_USD,1,G$5)*FX_USD/12</f>
        <v>966666.666666667</v>
      </c>
      <c r="H74" s="33" t="n">
        <f aca="false">INDEX(Insurance_USD,1,H$5)*FX_USD/12</f>
        <v>966666.666666667</v>
      </c>
      <c r="I74" s="33" t="n">
        <f aca="false">INDEX(Insurance_USD,1,I$5)*FX_USD/12</f>
        <v>966666.666666667</v>
      </c>
      <c r="J74" s="33" t="n">
        <f aca="false">INDEX(Insurance_USD,1,J$5)*FX_USD/12</f>
        <v>966666.666666667</v>
      </c>
      <c r="K74" s="33" t="n">
        <f aca="false">INDEX(Insurance_USD,1,K$5)*FX_USD/12</f>
        <v>966666.666666667</v>
      </c>
      <c r="L74" s="33" t="n">
        <f aca="false">INDEX(Insurance_USD,1,L$5)*FX_USD/12</f>
        <v>966666.666666667</v>
      </c>
      <c r="M74" s="33" t="n">
        <f aca="false">INDEX(Insurance_USD,1,M$5)*FX_USD/12</f>
        <v>966666.666666667</v>
      </c>
      <c r="N74" s="33" t="n">
        <f aca="false">INDEX(Insurance_USD,1,N$5)*FX_USD/12</f>
        <v>966666.666666667</v>
      </c>
      <c r="O74" s="33" t="n">
        <f aca="false">INDEX(Insurance_USD,1,O$5)*FX_USD/12</f>
        <v>966666.666666667</v>
      </c>
      <c r="P74" s="33" t="n">
        <f aca="false">INDEX(Insurance_USD,1,P$5)*FX_USD/12</f>
        <v>966666.666666667</v>
      </c>
      <c r="Q74" s="33" t="n">
        <f aca="false">INDEX(Insurance_USD,1,Q$5)*FX_USD/12</f>
        <v>1208333.33333333</v>
      </c>
      <c r="R74" s="33" t="n">
        <f aca="false">INDEX(Insurance_USD,1,R$5)*FX_USD/12</f>
        <v>1208333.33333333</v>
      </c>
      <c r="S74" s="33" t="n">
        <f aca="false">INDEX(Insurance_USD,1,S$5)*FX_USD/12</f>
        <v>1208333.33333333</v>
      </c>
      <c r="T74" s="33" t="n">
        <f aca="false">INDEX(Insurance_USD,1,T$5)*FX_USD/12</f>
        <v>1208333.33333333</v>
      </c>
      <c r="U74" s="33" t="n">
        <f aca="false">INDEX(Insurance_USD,1,U$5)*FX_USD/12</f>
        <v>1208333.33333333</v>
      </c>
      <c r="V74" s="33" t="n">
        <f aca="false">INDEX(Insurance_USD,1,V$5)*FX_USD/12</f>
        <v>1208333.33333333</v>
      </c>
      <c r="W74" s="33" t="n">
        <f aca="false">INDEX(Insurance_USD,1,W$5)*FX_USD/12</f>
        <v>1208333.33333333</v>
      </c>
      <c r="X74" s="33" t="n">
        <f aca="false">INDEX(Insurance_USD,1,X$5)*FX_USD/12</f>
        <v>1208333.33333333</v>
      </c>
      <c r="Y74" s="33" t="n">
        <f aca="false">INDEX(Insurance_USD,1,Y$5)*FX_USD/12</f>
        <v>1208333.33333333</v>
      </c>
      <c r="Z74" s="33" t="n">
        <f aca="false">INDEX(Insurance_USD,1,Z$5)*FX_USD/12</f>
        <v>1208333.33333333</v>
      </c>
      <c r="AA74" s="33" t="n">
        <f aca="false">INDEX(Insurance_USD,1,AA$5)*FX_USD/12</f>
        <v>1208333.33333333</v>
      </c>
      <c r="AB74" s="33" t="n">
        <f aca="false">INDEX(Insurance_USD,1,AB$5)*FX_USD/12</f>
        <v>1208333.33333333</v>
      </c>
      <c r="AC74" s="33" t="n">
        <f aca="false">INDEX(Insurance_USD,1,AC$5)*FX_USD/12</f>
        <v>1691666.66666667</v>
      </c>
      <c r="AD74" s="33" t="n">
        <f aca="false">INDEX(Insurance_USD,1,AD$5)*FX_USD/12</f>
        <v>1691666.66666667</v>
      </c>
      <c r="AE74" s="33" t="n">
        <f aca="false">INDEX(Insurance_USD,1,AE$5)*FX_USD/12</f>
        <v>1691666.66666667</v>
      </c>
      <c r="AF74" s="33" t="n">
        <f aca="false">INDEX(Insurance_USD,1,AF$5)*FX_USD/12</f>
        <v>1691666.66666667</v>
      </c>
      <c r="AG74" s="33" t="n">
        <f aca="false">INDEX(Insurance_USD,1,AG$5)*FX_USD/12</f>
        <v>1691666.66666667</v>
      </c>
      <c r="AH74" s="33" t="n">
        <f aca="false">INDEX(Insurance_USD,1,AH$5)*FX_USD/12</f>
        <v>1691666.66666667</v>
      </c>
      <c r="AI74" s="33" t="n">
        <f aca="false">INDEX(Insurance_USD,1,AI$5)*FX_USD/12</f>
        <v>1691666.66666667</v>
      </c>
      <c r="AJ74" s="33" t="n">
        <f aca="false">INDEX(Insurance_USD,1,AJ$5)*FX_USD/12</f>
        <v>1691666.66666667</v>
      </c>
      <c r="AK74" s="33" t="n">
        <f aca="false">INDEX(Insurance_USD,1,AK$5)*FX_USD/12</f>
        <v>1691666.66666667</v>
      </c>
      <c r="AL74" s="33" t="n">
        <f aca="false">INDEX(Insurance_USD,1,AL$5)*FX_USD/12</f>
        <v>1691666.66666667</v>
      </c>
      <c r="AM74" s="33" t="n">
        <f aca="false">INDEX(Insurance_USD,1,AM$5)*FX_USD/12</f>
        <v>1691666.66666667</v>
      </c>
      <c r="AN74" s="33" t="n">
        <f aca="false">INDEX(Insurance_USD,1,AN$5)*FX_USD/12</f>
        <v>1691666.66666667</v>
      </c>
      <c r="AO74" s="33" t="n">
        <f aca="false">INDEX(Insurance_USD,1,AO$5)*FX_USD/12</f>
        <v>2175000</v>
      </c>
      <c r="AP74" s="33" t="n">
        <f aca="false">INDEX(Insurance_USD,1,AP$5)*FX_USD/12</f>
        <v>2175000</v>
      </c>
      <c r="AQ74" s="33" t="n">
        <f aca="false">INDEX(Insurance_USD,1,AQ$5)*FX_USD/12</f>
        <v>2175000</v>
      </c>
      <c r="AR74" s="33" t="n">
        <f aca="false">INDEX(Insurance_USD,1,AR$5)*FX_USD/12</f>
        <v>2175000</v>
      </c>
      <c r="AS74" s="33" t="n">
        <f aca="false">INDEX(Insurance_USD,1,AS$5)*FX_USD/12</f>
        <v>2175000</v>
      </c>
      <c r="AT74" s="33" t="n">
        <f aca="false">INDEX(Insurance_USD,1,AT$5)*FX_USD/12</f>
        <v>2175000</v>
      </c>
      <c r="AU74" s="33" t="n">
        <f aca="false">INDEX(Insurance_USD,1,AU$5)*FX_USD/12</f>
        <v>2175000</v>
      </c>
      <c r="AV74" s="33" t="n">
        <f aca="false">INDEX(Insurance_USD,1,AV$5)*FX_USD/12</f>
        <v>2175000</v>
      </c>
      <c r="AW74" s="33" t="n">
        <f aca="false">INDEX(Insurance_USD,1,AW$5)*FX_USD/12</f>
        <v>2175000</v>
      </c>
      <c r="AX74" s="33" t="n">
        <f aca="false">INDEX(Insurance_USD,1,AX$5)*FX_USD/12</f>
        <v>2175000</v>
      </c>
      <c r="AY74" s="33" t="n">
        <f aca="false">INDEX(Insurance_USD,1,AY$5)*FX_USD/12</f>
        <v>2175000</v>
      </c>
      <c r="AZ74" s="33" t="n">
        <f aca="false">INDEX(Insurance_USD,1,AZ$5)*FX_USD/12</f>
        <v>2175000</v>
      </c>
      <c r="BA74" s="33" t="n">
        <f aca="false">INDEX(Insurance_USD,1,BA$5)*FX_USD/12</f>
        <v>2658333.33333333</v>
      </c>
      <c r="BB74" s="33" t="n">
        <f aca="false">INDEX(Insurance_USD,1,BB$5)*FX_USD/12</f>
        <v>2658333.33333333</v>
      </c>
      <c r="BC74" s="33" t="n">
        <f aca="false">INDEX(Insurance_USD,1,BC$5)*FX_USD/12</f>
        <v>2658333.33333333</v>
      </c>
      <c r="BD74" s="33" t="n">
        <f aca="false">INDEX(Insurance_USD,1,BD$5)*FX_USD/12</f>
        <v>2658333.33333333</v>
      </c>
      <c r="BE74" s="33" t="n">
        <f aca="false">INDEX(Insurance_USD,1,BE$5)*FX_USD/12</f>
        <v>2658333.33333333</v>
      </c>
      <c r="BF74" s="33" t="n">
        <f aca="false">INDEX(Insurance_USD,1,BF$5)*FX_USD/12</f>
        <v>2658333.33333333</v>
      </c>
      <c r="BG74" s="33" t="n">
        <f aca="false">INDEX(Insurance_USD,1,BG$5)*FX_USD/12</f>
        <v>2658333.33333333</v>
      </c>
      <c r="BH74" s="33" t="n">
        <f aca="false">INDEX(Insurance_USD,1,BH$5)*FX_USD/12</f>
        <v>2658333.33333333</v>
      </c>
      <c r="BI74" s="33" t="n">
        <f aca="false">INDEX(Insurance_USD,1,BI$5)*FX_USD/12</f>
        <v>2658333.33333333</v>
      </c>
      <c r="BJ74" s="33" t="n">
        <f aca="false">INDEX(Insurance_USD,1,BJ$5)*FX_USD/12</f>
        <v>2658333.33333333</v>
      </c>
      <c r="BK74" s="33" t="n">
        <f aca="false">INDEX(Insurance_USD,1,BK$5)*FX_USD/12</f>
        <v>2658333.33333333</v>
      </c>
      <c r="BL74" s="33" t="n">
        <f aca="false">INDEX(Insurance_USD,1,BL$5)*FX_USD/12</f>
        <v>2658333.33333333</v>
      </c>
    </row>
    <row r="75" customFormat="false" ht="15" hidden="false" customHeight="false" outlineLevel="0" collapsed="false">
      <c r="A75" s="8" t="s">
        <v>665</v>
      </c>
      <c r="B75" s="14" t="s">
        <v>63</v>
      </c>
      <c r="D75" s="41" t="n">
        <f aca="false">SUM(E75:BL75)</f>
        <v>584100000</v>
      </c>
      <c r="E75" s="16" t="n">
        <f aca="false">SUM(E65:E74)</f>
        <v>9919444.44444444</v>
      </c>
      <c r="F75" s="16" t="n">
        <f aca="false">SUM(F65:F74)</f>
        <v>7419444.44444444</v>
      </c>
      <c r="G75" s="16" t="n">
        <f aca="false">SUM(G65:G74)</f>
        <v>7419444.44444444</v>
      </c>
      <c r="H75" s="16" t="n">
        <f aca="false">SUM(H65:H74)</f>
        <v>7419444.44444444</v>
      </c>
      <c r="I75" s="16" t="n">
        <f aca="false">SUM(I65:I74)</f>
        <v>7419444.44444444</v>
      </c>
      <c r="J75" s="16" t="n">
        <f aca="false">SUM(J65:J74)</f>
        <v>7419444.44444444</v>
      </c>
      <c r="K75" s="16" t="n">
        <f aca="false">SUM(K65:K74)</f>
        <v>7419444.44444444</v>
      </c>
      <c r="L75" s="16" t="n">
        <f aca="false">SUM(L65:L74)</f>
        <v>7419444.44444444</v>
      </c>
      <c r="M75" s="16" t="n">
        <f aca="false">SUM(M65:M74)</f>
        <v>7419444.44444444</v>
      </c>
      <c r="N75" s="16" t="n">
        <f aca="false">SUM(N65:N74)</f>
        <v>2975000</v>
      </c>
      <c r="O75" s="16" t="n">
        <f aca="false">SUM(O65:O74)</f>
        <v>2975000</v>
      </c>
      <c r="P75" s="16" t="n">
        <f aca="false">SUM(P65:P74)</f>
        <v>2975000</v>
      </c>
      <c r="Q75" s="16" t="n">
        <f aca="false">SUM(Q65:Q74)</f>
        <v>15141666.6666667</v>
      </c>
      <c r="R75" s="16" t="n">
        <f aca="false">SUM(R65:R74)</f>
        <v>12141666.6666667</v>
      </c>
      <c r="S75" s="16" t="n">
        <f aca="false">SUM(S65:S74)</f>
        <v>12141666.6666667</v>
      </c>
      <c r="T75" s="16" t="n">
        <f aca="false">SUM(T65:T74)</f>
        <v>12141666.6666667</v>
      </c>
      <c r="U75" s="16" t="n">
        <f aca="false">SUM(U65:U74)</f>
        <v>12141666.6666667</v>
      </c>
      <c r="V75" s="16" t="n">
        <f aca="false">SUM(V65:V74)</f>
        <v>12141666.6666667</v>
      </c>
      <c r="W75" s="16" t="n">
        <f aca="false">SUM(W65:W74)</f>
        <v>12141666.6666667</v>
      </c>
      <c r="X75" s="16" t="n">
        <f aca="false">SUM(X65:X74)</f>
        <v>12141666.6666667</v>
      </c>
      <c r="Y75" s="16" t="n">
        <f aca="false">SUM(Y65:Y74)</f>
        <v>12141666.6666667</v>
      </c>
      <c r="Z75" s="16" t="n">
        <f aca="false">SUM(Z65:Z74)</f>
        <v>12141666.6666667</v>
      </c>
      <c r="AA75" s="16" t="n">
        <f aca="false">SUM(AA65:AA74)</f>
        <v>12141666.6666667</v>
      </c>
      <c r="AB75" s="16" t="n">
        <f aca="false">SUM(AB65:AB74)</f>
        <v>12141666.6666667</v>
      </c>
      <c r="AC75" s="16" t="n">
        <f aca="false">SUM(AC65:AC74)</f>
        <v>9366666.66666667</v>
      </c>
      <c r="AD75" s="16" t="n">
        <f aca="false">SUM(AD65:AD74)</f>
        <v>9366666.66666667</v>
      </c>
      <c r="AE75" s="16" t="n">
        <f aca="false">SUM(AE65:AE74)</f>
        <v>9366666.66666667</v>
      </c>
      <c r="AF75" s="16" t="n">
        <f aca="false">SUM(AF65:AF74)</f>
        <v>9366666.66666667</v>
      </c>
      <c r="AG75" s="16" t="n">
        <f aca="false">SUM(AG65:AG74)</f>
        <v>9366666.66666667</v>
      </c>
      <c r="AH75" s="16" t="n">
        <f aca="false">SUM(AH65:AH74)</f>
        <v>9366666.66666667</v>
      </c>
      <c r="AI75" s="16" t="n">
        <f aca="false">SUM(AI65:AI74)</f>
        <v>9366666.66666667</v>
      </c>
      <c r="AJ75" s="16" t="n">
        <f aca="false">SUM(AJ65:AJ74)</f>
        <v>9366666.66666667</v>
      </c>
      <c r="AK75" s="16" t="n">
        <f aca="false">SUM(AK65:AK74)</f>
        <v>9366666.66666667</v>
      </c>
      <c r="AL75" s="16" t="n">
        <f aca="false">SUM(AL65:AL74)</f>
        <v>9366666.66666667</v>
      </c>
      <c r="AM75" s="16" t="n">
        <f aca="false">SUM(AM65:AM74)</f>
        <v>9366666.66666667</v>
      </c>
      <c r="AN75" s="16" t="n">
        <f aca="false">SUM(AN65:AN74)</f>
        <v>9366666.66666667</v>
      </c>
      <c r="AO75" s="16" t="n">
        <f aca="false">SUM(AO65:AO74)</f>
        <v>9366666.66666667</v>
      </c>
      <c r="AP75" s="16" t="n">
        <f aca="false">SUM(AP65:AP74)</f>
        <v>9366666.66666667</v>
      </c>
      <c r="AQ75" s="16" t="n">
        <f aca="false">SUM(AQ65:AQ74)</f>
        <v>9366666.66666667</v>
      </c>
      <c r="AR75" s="16" t="n">
        <f aca="false">SUM(AR65:AR74)</f>
        <v>9366666.66666667</v>
      </c>
      <c r="AS75" s="16" t="n">
        <f aca="false">SUM(AS65:AS74)</f>
        <v>9366666.66666667</v>
      </c>
      <c r="AT75" s="16" t="n">
        <f aca="false">SUM(AT65:AT74)</f>
        <v>9366666.66666667</v>
      </c>
      <c r="AU75" s="16" t="n">
        <f aca="false">SUM(AU65:AU74)</f>
        <v>9366666.66666667</v>
      </c>
      <c r="AV75" s="16" t="n">
        <f aca="false">SUM(AV65:AV74)</f>
        <v>9366666.66666667</v>
      </c>
      <c r="AW75" s="16" t="n">
        <f aca="false">SUM(AW65:AW74)</f>
        <v>9366666.66666667</v>
      </c>
      <c r="AX75" s="16" t="n">
        <f aca="false">SUM(AX65:AX74)</f>
        <v>9366666.66666667</v>
      </c>
      <c r="AY75" s="16" t="n">
        <f aca="false">SUM(AY65:AY74)</f>
        <v>9366666.66666667</v>
      </c>
      <c r="AZ75" s="16" t="n">
        <f aca="false">SUM(AZ65:AZ74)</f>
        <v>9366666.66666667</v>
      </c>
      <c r="BA75" s="16" t="n">
        <f aca="false">SUM(BA65:BA74)</f>
        <v>11033333.3333333</v>
      </c>
      <c r="BB75" s="16" t="n">
        <f aca="false">SUM(BB65:BB74)</f>
        <v>11033333.3333333</v>
      </c>
      <c r="BC75" s="16" t="n">
        <f aca="false">SUM(BC65:BC74)</f>
        <v>11033333.3333333</v>
      </c>
      <c r="BD75" s="16" t="n">
        <f aca="false">SUM(BD65:BD74)</f>
        <v>11033333.3333333</v>
      </c>
      <c r="BE75" s="16" t="n">
        <f aca="false">SUM(BE65:BE74)</f>
        <v>11033333.3333333</v>
      </c>
      <c r="BF75" s="16" t="n">
        <f aca="false">SUM(BF65:BF74)</f>
        <v>11033333.3333333</v>
      </c>
      <c r="BG75" s="16" t="n">
        <f aca="false">SUM(BG65:BG74)</f>
        <v>11033333.3333333</v>
      </c>
      <c r="BH75" s="16" t="n">
        <f aca="false">SUM(BH65:BH74)</f>
        <v>11033333.3333333</v>
      </c>
      <c r="BI75" s="16" t="n">
        <f aca="false">SUM(BI65:BI74)</f>
        <v>11033333.3333333</v>
      </c>
      <c r="BJ75" s="16" t="n">
        <f aca="false">SUM(BJ65:BJ74)</f>
        <v>11033333.3333333</v>
      </c>
      <c r="BK75" s="16" t="n">
        <f aca="false">SUM(BK65:BK74)</f>
        <v>11033333.3333333</v>
      </c>
      <c r="BL75" s="16" t="n">
        <f aca="false">SUM(BL65:BL74)</f>
        <v>11033333.3333333</v>
      </c>
    </row>
    <row r="77" customFormat="false" ht="15" hidden="false" customHeight="false" outlineLevel="0" collapsed="false">
      <c r="A77" s="10" t="s">
        <v>418</v>
      </c>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row>
    <row r="78" customFormat="false" ht="15" hidden="false" customHeight="false" outlineLevel="0" collapsed="false">
      <c r="A78" s="12" t="s">
        <v>561</v>
      </c>
      <c r="B78" s="14" t="s">
        <v>63</v>
      </c>
      <c r="D78" s="41" t="n">
        <f aca="false">SUM(E78:BL78)</f>
        <v>333220000</v>
      </c>
      <c r="E78" s="20" t="n">
        <f aca="false">'Sales &amp; marketing'!E40</f>
        <v>0</v>
      </c>
      <c r="F78" s="20" t="n">
        <f aca="false">'Sales &amp; marketing'!F40</f>
        <v>0</v>
      </c>
      <c r="G78" s="20" t="n">
        <f aca="false">'Sales &amp; marketing'!G40</f>
        <v>0</v>
      </c>
      <c r="H78" s="20" t="n">
        <f aca="false">'Sales &amp; marketing'!H40</f>
        <v>0</v>
      </c>
      <c r="I78" s="20" t="n">
        <f aca="false">'Sales &amp; marketing'!I40</f>
        <v>1310000</v>
      </c>
      <c r="J78" s="20" t="n">
        <f aca="false">'Sales &amp; marketing'!J40</f>
        <v>1310000</v>
      </c>
      <c r="K78" s="20" t="n">
        <f aca="false">'Sales &amp; marketing'!K40</f>
        <v>1310000</v>
      </c>
      <c r="L78" s="20" t="n">
        <f aca="false">'Sales &amp; marketing'!L40</f>
        <v>1310000</v>
      </c>
      <c r="M78" s="20" t="n">
        <f aca="false">'Sales &amp; marketing'!M40</f>
        <v>1310000</v>
      </c>
      <c r="N78" s="20" t="n">
        <f aca="false">'Sales &amp; marketing'!N40</f>
        <v>1310000</v>
      </c>
      <c r="O78" s="20" t="n">
        <f aca="false">'Sales &amp; marketing'!O40</f>
        <v>1310000</v>
      </c>
      <c r="P78" s="20" t="n">
        <f aca="false">'Sales &amp; marketing'!P40</f>
        <v>1310000</v>
      </c>
      <c r="Q78" s="20" t="n">
        <f aca="false">'Sales &amp; marketing'!Q40</f>
        <v>2620000</v>
      </c>
      <c r="R78" s="20" t="n">
        <f aca="false">'Sales &amp; marketing'!R40</f>
        <v>2620000</v>
      </c>
      <c r="S78" s="20" t="n">
        <f aca="false">'Sales &amp; marketing'!S40</f>
        <v>2620000</v>
      </c>
      <c r="T78" s="20" t="n">
        <f aca="false">'Sales &amp; marketing'!T40</f>
        <v>2620000</v>
      </c>
      <c r="U78" s="20" t="n">
        <f aca="false">'Sales &amp; marketing'!U40</f>
        <v>2620000</v>
      </c>
      <c r="V78" s="20" t="n">
        <f aca="false">'Sales &amp; marketing'!V40</f>
        <v>2620000</v>
      </c>
      <c r="W78" s="20" t="n">
        <f aca="false">'Sales &amp; marketing'!W40</f>
        <v>3930000</v>
      </c>
      <c r="X78" s="20" t="n">
        <f aca="false">'Sales &amp; marketing'!X40</f>
        <v>3930000</v>
      </c>
      <c r="Y78" s="20" t="n">
        <f aca="false">'Sales &amp; marketing'!Y40</f>
        <v>3930000</v>
      </c>
      <c r="Z78" s="20" t="n">
        <f aca="false">'Sales &amp; marketing'!Z40</f>
        <v>3930000</v>
      </c>
      <c r="AA78" s="20" t="n">
        <f aca="false">'Sales &amp; marketing'!AA40</f>
        <v>3930000</v>
      </c>
      <c r="AB78" s="20" t="n">
        <f aca="false">'Sales &amp; marketing'!AB40</f>
        <v>3930000</v>
      </c>
      <c r="AC78" s="20" t="n">
        <f aca="false">'Sales &amp; marketing'!AC40</f>
        <v>6560000</v>
      </c>
      <c r="AD78" s="20" t="n">
        <f aca="false">'Sales &amp; marketing'!AD40</f>
        <v>6560000</v>
      </c>
      <c r="AE78" s="20" t="n">
        <f aca="false">'Sales &amp; marketing'!AE40</f>
        <v>6560000</v>
      </c>
      <c r="AF78" s="20" t="n">
        <f aca="false">'Sales &amp; marketing'!AF40</f>
        <v>6560000</v>
      </c>
      <c r="AG78" s="20" t="n">
        <f aca="false">'Sales &amp; marketing'!AG40</f>
        <v>6560000</v>
      </c>
      <c r="AH78" s="20" t="n">
        <f aca="false">'Sales &amp; marketing'!AH40</f>
        <v>6560000</v>
      </c>
      <c r="AI78" s="20" t="n">
        <f aca="false">'Sales &amp; marketing'!AI40</f>
        <v>6560000</v>
      </c>
      <c r="AJ78" s="20" t="n">
        <f aca="false">'Sales &amp; marketing'!AJ40</f>
        <v>6560000</v>
      </c>
      <c r="AK78" s="20" t="n">
        <f aca="false">'Sales &amp; marketing'!AK40</f>
        <v>6560000</v>
      </c>
      <c r="AL78" s="20" t="n">
        <f aca="false">'Sales &amp; marketing'!AL40</f>
        <v>6560000</v>
      </c>
      <c r="AM78" s="20" t="n">
        <f aca="false">'Sales &amp; marketing'!AM40</f>
        <v>6560000</v>
      </c>
      <c r="AN78" s="20" t="n">
        <f aca="false">'Sales &amp; marketing'!AN40</f>
        <v>6560000</v>
      </c>
      <c r="AO78" s="20" t="n">
        <f aca="false">'Sales &amp; marketing'!AO40</f>
        <v>7870000</v>
      </c>
      <c r="AP78" s="20" t="n">
        <f aca="false">'Sales &amp; marketing'!AP40</f>
        <v>7870000</v>
      </c>
      <c r="AQ78" s="20" t="n">
        <f aca="false">'Sales &amp; marketing'!AQ40</f>
        <v>7870000</v>
      </c>
      <c r="AR78" s="20" t="n">
        <f aca="false">'Sales &amp; marketing'!AR40</f>
        <v>7870000</v>
      </c>
      <c r="AS78" s="20" t="n">
        <f aca="false">'Sales &amp; marketing'!AS40</f>
        <v>7870000</v>
      </c>
      <c r="AT78" s="20" t="n">
        <f aca="false">'Sales &amp; marketing'!AT40</f>
        <v>7870000</v>
      </c>
      <c r="AU78" s="20" t="n">
        <f aca="false">'Sales &amp; marketing'!AU40</f>
        <v>7870000</v>
      </c>
      <c r="AV78" s="20" t="n">
        <f aca="false">'Sales &amp; marketing'!AV40</f>
        <v>7870000</v>
      </c>
      <c r="AW78" s="20" t="n">
        <f aca="false">'Sales &amp; marketing'!AW40</f>
        <v>7870000</v>
      </c>
      <c r="AX78" s="20" t="n">
        <f aca="false">'Sales &amp; marketing'!AX40</f>
        <v>7870000</v>
      </c>
      <c r="AY78" s="20" t="n">
        <f aca="false">'Sales &amp; marketing'!AY40</f>
        <v>7870000</v>
      </c>
      <c r="AZ78" s="20" t="n">
        <f aca="false">'Sales &amp; marketing'!AZ40</f>
        <v>7870000</v>
      </c>
      <c r="BA78" s="20" t="n">
        <f aca="false">'Sales &amp; marketing'!BA40</f>
        <v>9190000</v>
      </c>
      <c r="BB78" s="20" t="n">
        <f aca="false">'Sales &amp; marketing'!BB40</f>
        <v>9190000</v>
      </c>
      <c r="BC78" s="20" t="n">
        <f aca="false">'Sales &amp; marketing'!BC40</f>
        <v>9190000</v>
      </c>
      <c r="BD78" s="20" t="n">
        <f aca="false">'Sales &amp; marketing'!BD40</f>
        <v>9190000</v>
      </c>
      <c r="BE78" s="20" t="n">
        <f aca="false">'Sales &amp; marketing'!BE40</f>
        <v>9190000</v>
      </c>
      <c r="BF78" s="20" t="n">
        <f aca="false">'Sales &amp; marketing'!BF40</f>
        <v>9190000</v>
      </c>
      <c r="BG78" s="20" t="n">
        <f aca="false">'Sales &amp; marketing'!BG40</f>
        <v>9190000</v>
      </c>
      <c r="BH78" s="20" t="n">
        <f aca="false">'Sales &amp; marketing'!BH40</f>
        <v>9190000</v>
      </c>
      <c r="BI78" s="20" t="n">
        <f aca="false">'Sales &amp; marketing'!BI40</f>
        <v>9190000</v>
      </c>
      <c r="BJ78" s="20" t="n">
        <f aca="false">'Sales &amp; marketing'!BJ40</f>
        <v>9190000</v>
      </c>
      <c r="BK78" s="20" t="n">
        <f aca="false">'Sales &amp; marketing'!BK40</f>
        <v>9190000</v>
      </c>
      <c r="BL78" s="20" t="n">
        <f aca="false">'Sales &amp; marketing'!BL40</f>
        <v>9190000</v>
      </c>
    </row>
    <row r="79" customFormat="false" ht="15" hidden="false" customHeight="false" outlineLevel="0" collapsed="false">
      <c r="A79" s="12" t="s">
        <v>422</v>
      </c>
      <c r="B79" s="14" t="s">
        <v>63</v>
      </c>
      <c r="D79" s="41" t="n">
        <f aca="false">SUM(E79:BL79)</f>
        <v>41330000</v>
      </c>
      <c r="E79" s="20" t="n">
        <f aca="false">'Sales &amp; marketing'!E41</f>
        <v>1366666.66666667</v>
      </c>
      <c r="F79" s="20" t="n">
        <f aca="false">'Sales &amp; marketing'!F41</f>
        <v>1366666.66666667</v>
      </c>
      <c r="G79" s="20" t="n">
        <f aca="false">'Sales &amp; marketing'!G41</f>
        <v>1366666.66666667</v>
      </c>
      <c r="H79" s="20" t="n">
        <f aca="false">'Sales &amp; marketing'!H41</f>
        <v>1366666.66666667</v>
      </c>
      <c r="I79" s="20" t="n">
        <f aca="false">'Sales &amp; marketing'!I41</f>
        <v>1366666.66666667</v>
      </c>
      <c r="J79" s="20" t="n">
        <f aca="false">'Sales &amp; marketing'!J41</f>
        <v>1366666.66666667</v>
      </c>
      <c r="K79" s="20" t="n">
        <f aca="false">'Sales &amp; marketing'!K41</f>
        <v>1366666.66666667</v>
      </c>
      <c r="L79" s="20" t="n">
        <f aca="false">'Sales &amp; marketing'!L41</f>
        <v>1366666.66666667</v>
      </c>
      <c r="M79" s="20" t="n">
        <f aca="false">'Sales &amp; marketing'!M41</f>
        <v>1366666.66666667</v>
      </c>
      <c r="N79" s="20" t="n">
        <f aca="false">'Sales &amp; marketing'!N41</f>
        <v>1366666.66666667</v>
      </c>
      <c r="O79" s="20" t="n">
        <f aca="false">'Sales &amp; marketing'!O41</f>
        <v>1366666.66666667</v>
      </c>
      <c r="P79" s="20" t="n">
        <f aca="false">'Sales &amp; marketing'!P41</f>
        <v>1366666.66666667</v>
      </c>
      <c r="Q79" s="20" t="n">
        <f aca="false">'Sales &amp; marketing'!Q41</f>
        <v>437500</v>
      </c>
      <c r="R79" s="20" t="n">
        <f aca="false">'Sales &amp; marketing'!R41</f>
        <v>437500</v>
      </c>
      <c r="S79" s="20" t="n">
        <f aca="false">'Sales &amp; marketing'!S41</f>
        <v>437500</v>
      </c>
      <c r="T79" s="20" t="n">
        <f aca="false">'Sales &amp; marketing'!T41</f>
        <v>437500</v>
      </c>
      <c r="U79" s="20" t="n">
        <f aca="false">'Sales &amp; marketing'!U41</f>
        <v>437500</v>
      </c>
      <c r="V79" s="20" t="n">
        <f aca="false">'Sales &amp; marketing'!V41</f>
        <v>437500</v>
      </c>
      <c r="W79" s="20" t="n">
        <f aca="false">'Sales &amp; marketing'!W41</f>
        <v>437500</v>
      </c>
      <c r="X79" s="20" t="n">
        <f aca="false">'Sales &amp; marketing'!X41</f>
        <v>437500</v>
      </c>
      <c r="Y79" s="20" t="n">
        <f aca="false">'Sales &amp; marketing'!Y41</f>
        <v>437500</v>
      </c>
      <c r="Z79" s="20" t="n">
        <f aca="false">'Sales &amp; marketing'!Z41</f>
        <v>437500</v>
      </c>
      <c r="AA79" s="20" t="n">
        <f aca="false">'Sales &amp; marketing'!AA41</f>
        <v>437500</v>
      </c>
      <c r="AB79" s="20" t="n">
        <f aca="false">'Sales &amp; marketing'!AB41</f>
        <v>437500</v>
      </c>
      <c r="AC79" s="20" t="n">
        <f aca="false">'Sales &amp; marketing'!AC41</f>
        <v>546666.666666667</v>
      </c>
      <c r="AD79" s="20" t="n">
        <f aca="false">'Sales &amp; marketing'!AD41</f>
        <v>546666.666666667</v>
      </c>
      <c r="AE79" s="20" t="n">
        <f aca="false">'Sales &amp; marketing'!AE41</f>
        <v>546666.666666667</v>
      </c>
      <c r="AF79" s="20" t="n">
        <f aca="false">'Sales &amp; marketing'!AF41</f>
        <v>546666.666666667</v>
      </c>
      <c r="AG79" s="20" t="n">
        <f aca="false">'Sales &amp; marketing'!AG41</f>
        <v>546666.666666667</v>
      </c>
      <c r="AH79" s="20" t="n">
        <f aca="false">'Sales &amp; marketing'!AH41</f>
        <v>546666.666666667</v>
      </c>
      <c r="AI79" s="20" t="n">
        <f aca="false">'Sales &amp; marketing'!AI41</f>
        <v>546666.666666667</v>
      </c>
      <c r="AJ79" s="20" t="n">
        <f aca="false">'Sales &amp; marketing'!AJ41</f>
        <v>546666.666666667</v>
      </c>
      <c r="AK79" s="20" t="n">
        <f aca="false">'Sales &amp; marketing'!AK41</f>
        <v>546666.666666667</v>
      </c>
      <c r="AL79" s="20" t="n">
        <f aca="false">'Sales &amp; marketing'!AL41</f>
        <v>546666.666666667</v>
      </c>
      <c r="AM79" s="20" t="n">
        <f aca="false">'Sales &amp; marketing'!AM41</f>
        <v>546666.666666667</v>
      </c>
      <c r="AN79" s="20" t="n">
        <f aca="false">'Sales &amp; marketing'!AN41</f>
        <v>546666.666666667</v>
      </c>
      <c r="AO79" s="20" t="n">
        <f aca="false">'Sales &amp; marketing'!AO41</f>
        <v>546666.666666667</v>
      </c>
      <c r="AP79" s="20" t="n">
        <f aca="false">'Sales &amp; marketing'!AP41</f>
        <v>546666.666666667</v>
      </c>
      <c r="AQ79" s="20" t="n">
        <f aca="false">'Sales &amp; marketing'!AQ41</f>
        <v>546666.666666667</v>
      </c>
      <c r="AR79" s="20" t="n">
        <f aca="false">'Sales &amp; marketing'!AR41</f>
        <v>546666.666666667</v>
      </c>
      <c r="AS79" s="20" t="n">
        <f aca="false">'Sales &amp; marketing'!AS41</f>
        <v>546666.666666667</v>
      </c>
      <c r="AT79" s="20" t="n">
        <f aca="false">'Sales &amp; marketing'!AT41</f>
        <v>546666.666666667</v>
      </c>
      <c r="AU79" s="20" t="n">
        <f aca="false">'Sales &amp; marketing'!AU41</f>
        <v>546666.666666667</v>
      </c>
      <c r="AV79" s="20" t="n">
        <f aca="false">'Sales &amp; marketing'!AV41</f>
        <v>546666.666666667</v>
      </c>
      <c r="AW79" s="20" t="n">
        <f aca="false">'Sales &amp; marketing'!AW41</f>
        <v>546666.666666667</v>
      </c>
      <c r="AX79" s="20" t="n">
        <f aca="false">'Sales &amp; marketing'!AX41</f>
        <v>546666.666666667</v>
      </c>
      <c r="AY79" s="20" t="n">
        <f aca="false">'Sales &amp; marketing'!AY41</f>
        <v>546666.666666667</v>
      </c>
      <c r="AZ79" s="20" t="n">
        <f aca="false">'Sales &amp; marketing'!AZ41</f>
        <v>546666.666666667</v>
      </c>
      <c r="BA79" s="20" t="n">
        <f aca="false">'Sales &amp; marketing'!BA41</f>
        <v>546666.666666667</v>
      </c>
      <c r="BB79" s="20" t="n">
        <f aca="false">'Sales &amp; marketing'!BB41</f>
        <v>546666.666666667</v>
      </c>
      <c r="BC79" s="20" t="n">
        <f aca="false">'Sales &amp; marketing'!BC41</f>
        <v>546666.666666667</v>
      </c>
      <c r="BD79" s="20" t="n">
        <f aca="false">'Sales &amp; marketing'!BD41</f>
        <v>546666.666666667</v>
      </c>
      <c r="BE79" s="20" t="n">
        <f aca="false">'Sales &amp; marketing'!BE41</f>
        <v>546666.666666667</v>
      </c>
      <c r="BF79" s="20" t="n">
        <f aca="false">'Sales &amp; marketing'!BF41</f>
        <v>546666.666666667</v>
      </c>
      <c r="BG79" s="20" t="n">
        <f aca="false">'Sales &amp; marketing'!BG41</f>
        <v>546666.666666667</v>
      </c>
      <c r="BH79" s="20" t="n">
        <f aca="false">'Sales &amp; marketing'!BH41</f>
        <v>546666.666666667</v>
      </c>
      <c r="BI79" s="20" t="n">
        <f aca="false">'Sales &amp; marketing'!BI41</f>
        <v>546666.666666667</v>
      </c>
      <c r="BJ79" s="20" t="n">
        <f aca="false">'Sales &amp; marketing'!BJ41</f>
        <v>546666.666666667</v>
      </c>
      <c r="BK79" s="20" t="n">
        <f aca="false">'Sales &amp; marketing'!BK41</f>
        <v>546666.666666667</v>
      </c>
      <c r="BL79" s="20" t="n">
        <f aca="false">'Sales &amp; marketing'!BL41</f>
        <v>546666.666666667</v>
      </c>
    </row>
    <row r="80" customFormat="false" ht="15" hidden="false" customHeight="false" outlineLevel="0" collapsed="false">
      <c r="A80" s="12" t="s">
        <v>423</v>
      </c>
      <c r="B80" s="14" t="s">
        <v>63</v>
      </c>
      <c r="D80" s="41" t="n">
        <f aca="false">SUM(E80:BL80)</f>
        <v>137740000</v>
      </c>
      <c r="E80" s="20" t="n">
        <f aca="false">'Sales &amp; marketing'!E42</f>
        <v>820000</v>
      </c>
      <c r="F80" s="20" t="n">
        <f aca="false">'Sales &amp; marketing'!F42</f>
        <v>820000</v>
      </c>
      <c r="G80" s="20" t="n">
        <f aca="false">'Sales &amp; marketing'!G42</f>
        <v>820000</v>
      </c>
      <c r="H80" s="20" t="n">
        <f aca="false">'Sales &amp; marketing'!H42</f>
        <v>820000</v>
      </c>
      <c r="I80" s="20" t="n">
        <f aca="false">'Sales &amp; marketing'!I42</f>
        <v>820000</v>
      </c>
      <c r="J80" s="20" t="n">
        <f aca="false">'Sales &amp; marketing'!J42</f>
        <v>820000</v>
      </c>
      <c r="K80" s="20" t="n">
        <f aca="false">'Sales &amp; marketing'!K42</f>
        <v>820000</v>
      </c>
      <c r="L80" s="20" t="n">
        <f aca="false">'Sales &amp; marketing'!L42</f>
        <v>820000</v>
      </c>
      <c r="M80" s="20" t="n">
        <f aca="false">'Sales &amp; marketing'!M42</f>
        <v>820000</v>
      </c>
      <c r="N80" s="20" t="n">
        <f aca="false">'Sales &amp; marketing'!N42</f>
        <v>820000</v>
      </c>
      <c r="O80" s="20" t="n">
        <f aca="false">'Sales &amp; marketing'!O42</f>
        <v>820000</v>
      </c>
      <c r="P80" s="20" t="n">
        <f aca="false">'Sales &amp; marketing'!P42</f>
        <v>820000</v>
      </c>
      <c r="Q80" s="20" t="n">
        <f aca="false">'Sales &amp; marketing'!Q42</f>
        <v>1641666.66666667</v>
      </c>
      <c r="R80" s="20" t="n">
        <f aca="false">'Sales &amp; marketing'!R42</f>
        <v>1641666.66666667</v>
      </c>
      <c r="S80" s="20" t="n">
        <f aca="false">'Sales &amp; marketing'!S42</f>
        <v>1641666.66666667</v>
      </c>
      <c r="T80" s="20" t="n">
        <f aca="false">'Sales &amp; marketing'!T42</f>
        <v>1641666.66666667</v>
      </c>
      <c r="U80" s="20" t="n">
        <f aca="false">'Sales &amp; marketing'!U42</f>
        <v>1641666.66666667</v>
      </c>
      <c r="V80" s="20" t="n">
        <f aca="false">'Sales &amp; marketing'!V42</f>
        <v>1641666.66666667</v>
      </c>
      <c r="W80" s="20" t="n">
        <f aca="false">'Sales &amp; marketing'!W42</f>
        <v>1641666.66666667</v>
      </c>
      <c r="X80" s="20" t="n">
        <f aca="false">'Sales &amp; marketing'!X42</f>
        <v>1641666.66666667</v>
      </c>
      <c r="Y80" s="20" t="n">
        <f aca="false">'Sales &amp; marketing'!Y42</f>
        <v>1641666.66666667</v>
      </c>
      <c r="Z80" s="20" t="n">
        <f aca="false">'Sales &amp; marketing'!Z42</f>
        <v>1641666.66666667</v>
      </c>
      <c r="AA80" s="20" t="n">
        <f aca="false">'Sales &amp; marketing'!AA42</f>
        <v>1641666.66666667</v>
      </c>
      <c r="AB80" s="20" t="n">
        <f aca="false">'Sales &amp; marketing'!AB42</f>
        <v>1641666.66666667</v>
      </c>
      <c r="AC80" s="20" t="n">
        <f aca="false">'Sales &amp; marketing'!AC42</f>
        <v>2458333.33333333</v>
      </c>
      <c r="AD80" s="20" t="n">
        <f aca="false">'Sales &amp; marketing'!AD42</f>
        <v>2458333.33333333</v>
      </c>
      <c r="AE80" s="20" t="n">
        <f aca="false">'Sales &amp; marketing'!AE42</f>
        <v>2458333.33333333</v>
      </c>
      <c r="AF80" s="20" t="n">
        <f aca="false">'Sales &amp; marketing'!AF42</f>
        <v>2458333.33333333</v>
      </c>
      <c r="AG80" s="20" t="n">
        <f aca="false">'Sales &amp; marketing'!AG42</f>
        <v>2458333.33333333</v>
      </c>
      <c r="AH80" s="20" t="n">
        <f aca="false">'Sales &amp; marketing'!AH42</f>
        <v>2458333.33333333</v>
      </c>
      <c r="AI80" s="20" t="n">
        <f aca="false">'Sales &amp; marketing'!AI42</f>
        <v>2458333.33333333</v>
      </c>
      <c r="AJ80" s="20" t="n">
        <f aca="false">'Sales &amp; marketing'!AJ42</f>
        <v>2458333.33333333</v>
      </c>
      <c r="AK80" s="20" t="n">
        <f aca="false">'Sales &amp; marketing'!AK42</f>
        <v>2458333.33333333</v>
      </c>
      <c r="AL80" s="20" t="n">
        <f aca="false">'Sales &amp; marketing'!AL42</f>
        <v>2458333.33333333</v>
      </c>
      <c r="AM80" s="20" t="n">
        <f aca="false">'Sales &amp; marketing'!AM42</f>
        <v>2458333.33333333</v>
      </c>
      <c r="AN80" s="20" t="n">
        <f aca="false">'Sales &amp; marketing'!AN42</f>
        <v>2458333.33333333</v>
      </c>
      <c r="AO80" s="20" t="n">
        <f aca="false">'Sales &amp; marketing'!AO42</f>
        <v>3008333.33333333</v>
      </c>
      <c r="AP80" s="20" t="n">
        <f aca="false">'Sales &amp; marketing'!AP42</f>
        <v>3008333.33333333</v>
      </c>
      <c r="AQ80" s="20" t="n">
        <f aca="false">'Sales &amp; marketing'!AQ42</f>
        <v>3008333.33333333</v>
      </c>
      <c r="AR80" s="20" t="n">
        <f aca="false">'Sales &amp; marketing'!AR42</f>
        <v>3008333.33333333</v>
      </c>
      <c r="AS80" s="20" t="n">
        <f aca="false">'Sales &amp; marketing'!AS42</f>
        <v>3008333.33333333</v>
      </c>
      <c r="AT80" s="20" t="n">
        <f aca="false">'Sales &amp; marketing'!AT42</f>
        <v>3008333.33333333</v>
      </c>
      <c r="AU80" s="20" t="n">
        <f aca="false">'Sales &amp; marketing'!AU42</f>
        <v>3008333.33333333</v>
      </c>
      <c r="AV80" s="20" t="n">
        <f aca="false">'Sales &amp; marketing'!AV42</f>
        <v>3008333.33333333</v>
      </c>
      <c r="AW80" s="20" t="n">
        <f aca="false">'Sales &amp; marketing'!AW42</f>
        <v>3008333.33333333</v>
      </c>
      <c r="AX80" s="20" t="n">
        <f aca="false">'Sales &amp; marketing'!AX42</f>
        <v>3008333.33333333</v>
      </c>
      <c r="AY80" s="20" t="n">
        <f aca="false">'Sales &amp; marketing'!AY42</f>
        <v>3008333.33333333</v>
      </c>
      <c r="AZ80" s="20" t="n">
        <f aca="false">'Sales &amp; marketing'!AZ42</f>
        <v>3008333.33333333</v>
      </c>
      <c r="BA80" s="20" t="n">
        <f aca="false">'Sales &amp; marketing'!BA42</f>
        <v>3550000</v>
      </c>
      <c r="BB80" s="20" t="n">
        <f aca="false">'Sales &amp; marketing'!BB42</f>
        <v>3550000</v>
      </c>
      <c r="BC80" s="20" t="n">
        <f aca="false">'Sales &amp; marketing'!BC42</f>
        <v>3550000</v>
      </c>
      <c r="BD80" s="20" t="n">
        <f aca="false">'Sales &amp; marketing'!BD42</f>
        <v>3550000</v>
      </c>
      <c r="BE80" s="20" t="n">
        <f aca="false">'Sales &amp; marketing'!BE42</f>
        <v>3550000</v>
      </c>
      <c r="BF80" s="20" t="n">
        <f aca="false">'Sales &amp; marketing'!BF42</f>
        <v>3550000</v>
      </c>
      <c r="BG80" s="20" t="n">
        <f aca="false">'Sales &amp; marketing'!BG42</f>
        <v>3550000</v>
      </c>
      <c r="BH80" s="20" t="n">
        <f aca="false">'Sales &amp; marketing'!BH42</f>
        <v>3550000</v>
      </c>
      <c r="BI80" s="20" t="n">
        <f aca="false">'Sales &amp; marketing'!BI42</f>
        <v>3550000</v>
      </c>
      <c r="BJ80" s="20" t="n">
        <f aca="false">'Sales &amp; marketing'!BJ42</f>
        <v>3550000</v>
      </c>
      <c r="BK80" s="20" t="n">
        <f aca="false">'Sales &amp; marketing'!BK42</f>
        <v>3550000</v>
      </c>
      <c r="BL80" s="20" t="n">
        <f aca="false">'Sales &amp; marketing'!BL42</f>
        <v>3550000</v>
      </c>
    </row>
    <row r="81" customFormat="false" ht="15" hidden="false" customHeight="false" outlineLevel="0" collapsed="false">
      <c r="A81" s="12" t="s">
        <v>562</v>
      </c>
      <c r="B81" s="14" t="s">
        <v>63</v>
      </c>
      <c r="D81" s="41" t="n">
        <f aca="false">SUM(E81:BL81)</f>
        <v>95994511.508861</v>
      </c>
      <c r="E81" s="20" t="n">
        <f aca="false">'Sales &amp; marketing'!E43</f>
        <v>0</v>
      </c>
      <c r="F81" s="20" t="n">
        <f aca="false">'Sales &amp; marketing'!F43</f>
        <v>0</v>
      </c>
      <c r="G81" s="20" t="n">
        <f aca="false">'Sales &amp; marketing'!G43</f>
        <v>0</v>
      </c>
      <c r="H81" s="20" t="n">
        <f aca="false">'Sales &amp; marketing'!H43</f>
        <v>0</v>
      </c>
      <c r="I81" s="20" t="n">
        <f aca="false">'Sales &amp; marketing'!I43</f>
        <v>250000</v>
      </c>
      <c r="J81" s="20" t="n">
        <f aca="false">'Sales &amp; marketing'!J43</f>
        <v>265000</v>
      </c>
      <c r="K81" s="20" t="n">
        <f aca="false">'Sales &amp; marketing'!K43</f>
        <v>280900</v>
      </c>
      <c r="L81" s="20" t="n">
        <f aca="false">'Sales &amp; marketing'!L43</f>
        <v>297754</v>
      </c>
      <c r="M81" s="20" t="n">
        <f aca="false">'Sales &amp; marketing'!M43</f>
        <v>315619.24</v>
      </c>
      <c r="N81" s="20" t="n">
        <f aca="false">'Sales &amp; marketing'!N43</f>
        <v>334556.3944</v>
      </c>
      <c r="O81" s="20" t="n">
        <f aca="false">'Sales &amp; marketing'!O43</f>
        <v>354629.778064</v>
      </c>
      <c r="P81" s="20" t="n">
        <f aca="false">'Sales &amp; marketing'!P43</f>
        <v>375907.56474784</v>
      </c>
      <c r="Q81" s="20" t="n">
        <f aca="false">'Sales &amp; marketing'!Q43</f>
        <v>398462.018632711</v>
      </c>
      <c r="R81" s="20" t="n">
        <f aca="false">'Sales &amp; marketing'!R43</f>
        <v>422369.739750673</v>
      </c>
      <c r="S81" s="20" t="n">
        <f aca="false">'Sales &amp; marketing'!S43</f>
        <v>447711.924135714</v>
      </c>
      <c r="T81" s="20" t="n">
        <f aca="false">'Sales &amp; marketing'!T43</f>
        <v>474574.639583857</v>
      </c>
      <c r="U81" s="20" t="n">
        <f aca="false">'Sales &amp; marketing'!U43</f>
        <v>503049.117958888</v>
      </c>
      <c r="V81" s="20" t="n">
        <f aca="false">'Sales &amp; marketing'!V43</f>
        <v>533232.065036421</v>
      </c>
      <c r="W81" s="20" t="n">
        <f aca="false">'Sales &amp; marketing'!W43</f>
        <v>715225.988938607</v>
      </c>
      <c r="X81" s="20" t="n">
        <f aca="false">'Sales &amp; marketing'!X43</f>
        <v>758139.548274923</v>
      </c>
      <c r="Y81" s="20" t="n">
        <f aca="false">'Sales &amp; marketing'!Y43</f>
        <v>803627.921171418</v>
      </c>
      <c r="Z81" s="20" t="n">
        <f aca="false">'Sales &amp; marketing'!Z43</f>
        <v>851845.596441703</v>
      </c>
      <c r="AA81" s="20" t="n">
        <f aca="false">'Sales &amp; marketing'!AA43</f>
        <v>902956.332228206</v>
      </c>
      <c r="AB81" s="20" t="n">
        <f aca="false">'Sales &amp; marketing'!AB43</f>
        <v>957133.712161898</v>
      </c>
      <c r="AC81" s="20" t="n">
        <f aca="false">'Sales &amp; marketing'!AC43</f>
        <v>1014561.73489161</v>
      </c>
      <c r="AD81" s="20" t="n">
        <f aca="false">'Sales &amp; marketing'!AD43</f>
        <v>1075435.43898511</v>
      </c>
      <c r="AE81" s="20" t="n">
        <f aca="false">'Sales &amp; marketing'!AE43</f>
        <v>1139961.56532422</v>
      </c>
      <c r="AF81" s="20" t="n">
        <f aca="false">'Sales &amp; marketing'!AF43</f>
        <v>1208359.25924367</v>
      </c>
      <c r="AG81" s="20" t="n">
        <f aca="false">'Sales &amp; marketing'!AG43</f>
        <v>1280860.81479829</v>
      </c>
      <c r="AH81" s="20" t="n">
        <f aca="false">'Sales &amp; marketing'!AH43</f>
        <v>1357712.46368619</v>
      </c>
      <c r="AI81" s="20" t="n">
        <f aca="false">'Sales &amp; marketing'!AI43</f>
        <v>1439175.21150736</v>
      </c>
      <c r="AJ81" s="20" t="n">
        <f aca="false">'Sales &amp; marketing'!AJ43</f>
        <v>1525525.7241978</v>
      </c>
      <c r="AK81" s="20" t="n">
        <f aca="false">'Sales &amp; marketing'!AK43</f>
        <v>1617057.26764967</v>
      </c>
      <c r="AL81" s="20" t="n">
        <f aca="false">'Sales &amp; marketing'!AL43</f>
        <v>1714080.70370865</v>
      </c>
      <c r="AM81" s="20" t="n">
        <f aca="false">'Sales &amp; marketing'!AM43</f>
        <v>1816925.54593117</v>
      </c>
      <c r="AN81" s="20" t="n">
        <f aca="false">'Sales &amp; marketing'!AN43</f>
        <v>1925941.07868704</v>
      </c>
      <c r="AO81" s="20" t="n">
        <f aca="false">'Sales &amp; marketing'!AO43</f>
        <v>2041497.54340826</v>
      </c>
      <c r="AP81" s="20" t="n">
        <f aca="false">'Sales &amp; marketing'!AP43</f>
        <v>2163987.39601275</v>
      </c>
      <c r="AQ81" s="20" t="n">
        <f aca="false">'Sales &amp; marketing'!AQ43</f>
        <v>2293826.63977352</v>
      </c>
      <c r="AR81" s="20" t="n">
        <f aca="false">'Sales &amp; marketing'!AR43</f>
        <v>2431456.23815993</v>
      </c>
      <c r="AS81" s="20" t="n">
        <f aca="false">'Sales &amp; marketing'!AS43</f>
        <v>2540530.61248675</v>
      </c>
      <c r="AT81" s="20" t="n">
        <f aca="false">'Sales &amp; marketing'!AT43</f>
        <v>2572962.44923596</v>
      </c>
      <c r="AU81" s="20" t="n">
        <f aca="false">'Sales &amp; marketing'!AU43</f>
        <v>2607340.19619012</v>
      </c>
      <c r="AV81" s="20" t="n">
        <f aca="false">'Sales &amp; marketing'!AV43</f>
        <v>2643780.60796152</v>
      </c>
      <c r="AW81" s="20" t="n">
        <f aca="false">'Sales &amp; marketing'!AW43</f>
        <v>2682407.44443921</v>
      </c>
      <c r="AX81" s="20" t="n">
        <f aca="false">'Sales &amp; marketing'!AX43</f>
        <v>2723351.89110557</v>
      </c>
      <c r="AY81" s="20" t="n">
        <f aca="false">'Sales &amp; marketing'!AY43</f>
        <v>2766753.0045719</v>
      </c>
      <c r="AZ81" s="20" t="n">
        <f aca="false">'Sales &amp; marketing'!AZ43</f>
        <v>2812758.18484622</v>
      </c>
      <c r="BA81" s="20" t="n">
        <f aca="false">'Sales &amp; marketing'!BA43</f>
        <v>2861523.67593699</v>
      </c>
      <c r="BB81" s="20" t="n">
        <f aca="false">'Sales &amp; marketing'!BB43</f>
        <v>2913215.09649321</v>
      </c>
      <c r="BC81" s="20" t="n">
        <f aca="false">'Sales &amp; marketing'!BC43</f>
        <v>2968008.0022828</v>
      </c>
      <c r="BD81" s="20" t="n">
        <f aca="false">'Sales &amp; marketing'!BD43</f>
        <v>3026088.48241977</v>
      </c>
      <c r="BE81" s="20" t="n">
        <f aca="false">'Sales &amp; marketing'!BE43</f>
        <v>3087653.79136496</v>
      </c>
      <c r="BF81" s="20" t="n">
        <f aca="false">'Sales &amp; marketing'!BF43</f>
        <v>3152913.01884685</v>
      </c>
      <c r="BG81" s="20" t="n">
        <f aca="false">'Sales &amp; marketing'!BG43</f>
        <v>3222087.79997766</v>
      </c>
      <c r="BH81" s="20" t="n">
        <f aca="false">'Sales &amp; marketing'!BH43</f>
        <v>3295413.06797632</v>
      </c>
      <c r="BI81" s="20" t="n">
        <f aca="false">'Sales &amp; marketing'!BI43</f>
        <v>3373137.8520549</v>
      </c>
      <c r="BJ81" s="20" t="n">
        <f aca="false">'Sales &amp; marketing'!BJ43</f>
        <v>3455526.1231782</v>
      </c>
      <c r="BK81" s="20" t="n">
        <f aca="false">'Sales &amp; marketing'!BK43</f>
        <v>3500000</v>
      </c>
      <c r="BL81" s="20" t="n">
        <f aca="false">'Sales &amp; marketing'!BL43</f>
        <v>3500000</v>
      </c>
    </row>
    <row r="82" customFormat="false" ht="15" hidden="false" customHeight="false" outlineLevel="0" collapsed="false">
      <c r="A82" s="12" t="s">
        <v>563</v>
      </c>
      <c r="B82" s="14" t="s">
        <v>63</v>
      </c>
      <c r="D82" s="41" t="n">
        <f aca="false">SUM(E82:BL82)</f>
        <v>63900000</v>
      </c>
      <c r="E82" s="20" t="n">
        <f aca="false">'Sales &amp; marketing'!E44</f>
        <v>0</v>
      </c>
      <c r="F82" s="20" t="n">
        <f aca="false">'Sales &amp; marketing'!F44</f>
        <v>0</v>
      </c>
      <c r="G82" s="20" t="n">
        <f aca="false">'Sales &amp; marketing'!G44</f>
        <v>0</v>
      </c>
      <c r="H82" s="20" t="n">
        <f aca="false">'Sales &amp; marketing'!H44</f>
        <v>150000</v>
      </c>
      <c r="I82" s="20" t="n">
        <f aca="false">'Sales &amp; marketing'!I44</f>
        <v>150000</v>
      </c>
      <c r="J82" s="20" t="n">
        <f aca="false">'Sales &amp; marketing'!J44</f>
        <v>150000</v>
      </c>
      <c r="K82" s="20" t="n">
        <f aca="false">'Sales &amp; marketing'!K44</f>
        <v>300000</v>
      </c>
      <c r="L82" s="20" t="n">
        <f aca="false">'Sales &amp; marketing'!L44</f>
        <v>300000</v>
      </c>
      <c r="M82" s="20" t="n">
        <f aca="false">'Sales &amp; marketing'!M44</f>
        <v>300000</v>
      </c>
      <c r="N82" s="20" t="n">
        <f aca="false">'Sales &amp; marketing'!N44</f>
        <v>300000</v>
      </c>
      <c r="O82" s="20" t="n">
        <f aca="false">'Sales &amp; marketing'!O44</f>
        <v>300000</v>
      </c>
      <c r="P82" s="20" t="n">
        <f aca="false">'Sales &amp; marketing'!P44</f>
        <v>300000</v>
      </c>
      <c r="Q82" s="20" t="n">
        <f aca="false">'Sales &amp; marketing'!Q44</f>
        <v>300000</v>
      </c>
      <c r="R82" s="20" t="n">
        <f aca="false">'Sales &amp; marketing'!R44</f>
        <v>300000</v>
      </c>
      <c r="S82" s="20" t="n">
        <f aca="false">'Sales &amp; marketing'!S44</f>
        <v>300000</v>
      </c>
      <c r="T82" s="20" t="n">
        <f aca="false">'Sales &amp; marketing'!T44</f>
        <v>300000</v>
      </c>
      <c r="U82" s="20" t="n">
        <f aca="false">'Sales &amp; marketing'!U44</f>
        <v>300000</v>
      </c>
      <c r="V82" s="20" t="n">
        <f aca="false">'Sales &amp; marketing'!V44</f>
        <v>300000</v>
      </c>
      <c r="W82" s="20" t="n">
        <f aca="false">'Sales &amp; marketing'!W44</f>
        <v>825000</v>
      </c>
      <c r="X82" s="20" t="n">
        <f aca="false">'Sales &amp; marketing'!X44</f>
        <v>825000</v>
      </c>
      <c r="Y82" s="20" t="n">
        <f aca="false">'Sales &amp; marketing'!Y44</f>
        <v>825000</v>
      </c>
      <c r="Z82" s="20" t="n">
        <f aca="false">'Sales &amp; marketing'!Z44</f>
        <v>825000</v>
      </c>
      <c r="AA82" s="20" t="n">
        <f aca="false">'Sales &amp; marketing'!AA44</f>
        <v>825000</v>
      </c>
      <c r="AB82" s="20" t="n">
        <f aca="false">'Sales &amp; marketing'!AB44</f>
        <v>825000</v>
      </c>
      <c r="AC82" s="20" t="n">
        <f aca="false">'Sales &amp; marketing'!AC44</f>
        <v>825000</v>
      </c>
      <c r="AD82" s="20" t="n">
        <f aca="false">'Sales &amp; marketing'!AD44</f>
        <v>825000</v>
      </c>
      <c r="AE82" s="20" t="n">
        <f aca="false">'Sales &amp; marketing'!AE44</f>
        <v>825000</v>
      </c>
      <c r="AF82" s="20" t="n">
        <f aca="false">'Sales &amp; marketing'!AF44</f>
        <v>825000</v>
      </c>
      <c r="AG82" s="20" t="n">
        <f aca="false">'Sales &amp; marketing'!AG44</f>
        <v>825000</v>
      </c>
      <c r="AH82" s="20" t="n">
        <f aca="false">'Sales &amp; marketing'!AH44</f>
        <v>825000</v>
      </c>
      <c r="AI82" s="20" t="n">
        <f aca="false">'Sales &amp; marketing'!AI44</f>
        <v>1350000</v>
      </c>
      <c r="AJ82" s="20" t="n">
        <f aca="false">'Sales &amp; marketing'!AJ44</f>
        <v>1350000</v>
      </c>
      <c r="AK82" s="20" t="n">
        <f aca="false">'Sales &amp; marketing'!AK44</f>
        <v>1350000</v>
      </c>
      <c r="AL82" s="20" t="n">
        <f aca="false">'Sales &amp; marketing'!AL44</f>
        <v>1350000</v>
      </c>
      <c r="AM82" s="20" t="n">
        <f aca="false">'Sales &amp; marketing'!AM44</f>
        <v>1350000</v>
      </c>
      <c r="AN82" s="20" t="n">
        <f aca="false">'Sales &amp; marketing'!AN44</f>
        <v>1350000</v>
      </c>
      <c r="AO82" s="20" t="n">
        <f aca="false">'Sales &amp; marketing'!AO44</f>
        <v>1350000</v>
      </c>
      <c r="AP82" s="20" t="n">
        <f aca="false">'Sales &amp; marketing'!AP44</f>
        <v>1350000</v>
      </c>
      <c r="AQ82" s="20" t="n">
        <f aca="false">'Sales &amp; marketing'!AQ44</f>
        <v>1350000</v>
      </c>
      <c r="AR82" s="20" t="n">
        <f aca="false">'Sales &amp; marketing'!AR44</f>
        <v>1350000</v>
      </c>
      <c r="AS82" s="20" t="n">
        <f aca="false">'Sales &amp; marketing'!AS44</f>
        <v>1350000</v>
      </c>
      <c r="AT82" s="20" t="n">
        <f aca="false">'Sales &amp; marketing'!AT44</f>
        <v>1350000</v>
      </c>
      <c r="AU82" s="20" t="n">
        <f aca="false">'Sales &amp; marketing'!AU44</f>
        <v>1875000</v>
      </c>
      <c r="AV82" s="20" t="n">
        <f aca="false">'Sales &amp; marketing'!AV44</f>
        <v>1875000</v>
      </c>
      <c r="AW82" s="20" t="n">
        <f aca="false">'Sales &amp; marketing'!AW44</f>
        <v>1875000</v>
      </c>
      <c r="AX82" s="20" t="n">
        <f aca="false">'Sales &amp; marketing'!AX44</f>
        <v>1875000</v>
      </c>
      <c r="AY82" s="20" t="n">
        <f aca="false">'Sales &amp; marketing'!AY44</f>
        <v>1875000</v>
      </c>
      <c r="AZ82" s="20" t="n">
        <f aca="false">'Sales &amp; marketing'!AZ44</f>
        <v>1875000</v>
      </c>
      <c r="BA82" s="20" t="n">
        <f aca="false">'Sales &amp; marketing'!BA44</f>
        <v>1875000</v>
      </c>
      <c r="BB82" s="20" t="n">
        <f aca="false">'Sales &amp; marketing'!BB44</f>
        <v>1875000</v>
      </c>
      <c r="BC82" s="20" t="n">
        <f aca="false">'Sales &amp; marketing'!BC44</f>
        <v>1875000</v>
      </c>
      <c r="BD82" s="20" t="n">
        <f aca="false">'Sales &amp; marketing'!BD44</f>
        <v>1875000</v>
      </c>
      <c r="BE82" s="20" t="n">
        <f aca="false">'Sales &amp; marketing'!BE44</f>
        <v>1875000</v>
      </c>
      <c r="BF82" s="20" t="n">
        <f aca="false">'Sales &amp; marketing'!BF44</f>
        <v>1875000</v>
      </c>
      <c r="BG82" s="20" t="n">
        <f aca="false">'Sales &amp; marketing'!BG44</f>
        <v>1875000</v>
      </c>
      <c r="BH82" s="20" t="n">
        <f aca="false">'Sales &amp; marketing'!BH44</f>
        <v>1875000</v>
      </c>
      <c r="BI82" s="20" t="n">
        <f aca="false">'Sales &amp; marketing'!BI44</f>
        <v>1875000</v>
      </c>
      <c r="BJ82" s="20" t="n">
        <f aca="false">'Sales &amp; marketing'!BJ44</f>
        <v>1875000</v>
      </c>
      <c r="BK82" s="20" t="n">
        <f aca="false">'Sales &amp; marketing'!BK44</f>
        <v>1875000</v>
      </c>
      <c r="BL82" s="20" t="n">
        <f aca="false">'Sales &amp; marketing'!BL44</f>
        <v>1875000</v>
      </c>
    </row>
    <row r="83" customFormat="false" ht="15" hidden="false" customHeight="false" outlineLevel="0" collapsed="false">
      <c r="A83" s="8" t="s">
        <v>666</v>
      </c>
      <c r="B83" s="14" t="s">
        <v>63</v>
      </c>
      <c r="D83" s="41" t="n">
        <f aca="false">SUM(E83:BL83)</f>
        <v>672184511.508861</v>
      </c>
      <c r="E83" s="16" t="n">
        <f aca="false">SUM(E78:E82)</f>
        <v>2186666.66666667</v>
      </c>
      <c r="F83" s="16" t="n">
        <f aca="false">SUM(F78:F82)</f>
        <v>2186666.66666667</v>
      </c>
      <c r="G83" s="16" t="n">
        <f aca="false">SUM(G78:G82)</f>
        <v>2186666.66666667</v>
      </c>
      <c r="H83" s="16" t="n">
        <f aca="false">SUM(H78:H82)</f>
        <v>2336666.66666667</v>
      </c>
      <c r="I83" s="16" t="n">
        <f aca="false">SUM(I78:I82)</f>
        <v>3896666.66666667</v>
      </c>
      <c r="J83" s="16" t="n">
        <f aca="false">SUM(J78:J82)</f>
        <v>3911666.66666667</v>
      </c>
      <c r="K83" s="16" t="n">
        <f aca="false">SUM(K78:K82)</f>
        <v>4077566.66666667</v>
      </c>
      <c r="L83" s="16" t="n">
        <f aca="false">SUM(L78:L82)</f>
        <v>4094420.66666667</v>
      </c>
      <c r="M83" s="16" t="n">
        <f aca="false">SUM(M78:M82)</f>
        <v>4112285.90666667</v>
      </c>
      <c r="N83" s="16" t="n">
        <f aca="false">SUM(N78:N82)</f>
        <v>4131223.06106667</v>
      </c>
      <c r="O83" s="16" t="n">
        <f aca="false">SUM(O78:O82)</f>
        <v>4151296.44473067</v>
      </c>
      <c r="P83" s="16" t="n">
        <f aca="false">SUM(P78:P82)</f>
        <v>4172574.23141451</v>
      </c>
      <c r="Q83" s="16" t="n">
        <f aca="false">SUM(Q78:Q82)</f>
        <v>5397628.68529938</v>
      </c>
      <c r="R83" s="16" t="n">
        <f aca="false">SUM(R78:R82)</f>
        <v>5421536.40641734</v>
      </c>
      <c r="S83" s="16" t="n">
        <f aca="false">SUM(S78:S82)</f>
        <v>5446878.59080238</v>
      </c>
      <c r="T83" s="16" t="n">
        <f aca="false">SUM(T78:T82)</f>
        <v>5473741.30625052</v>
      </c>
      <c r="U83" s="16" t="n">
        <f aca="false">SUM(U78:U82)</f>
        <v>5502215.78462555</v>
      </c>
      <c r="V83" s="16" t="n">
        <f aca="false">SUM(V78:V82)</f>
        <v>5532398.73170309</v>
      </c>
      <c r="W83" s="16" t="n">
        <f aca="false">SUM(W78:W82)</f>
        <v>7549392.65560527</v>
      </c>
      <c r="X83" s="16" t="n">
        <f aca="false">SUM(X78:X82)</f>
        <v>7592306.21494159</v>
      </c>
      <c r="Y83" s="16" t="n">
        <f aca="false">SUM(Y78:Y82)</f>
        <v>7637794.58783809</v>
      </c>
      <c r="Z83" s="16" t="n">
        <f aca="false">SUM(Z78:Z82)</f>
        <v>7686012.26310837</v>
      </c>
      <c r="AA83" s="16" t="n">
        <f aca="false">SUM(AA78:AA82)</f>
        <v>7737122.99889487</v>
      </c>
      <c r="AB83" s="16" t="n">
        <f aca="false">SUM(AB78:AB82)</f>
        <v>7791300.37882857</v>
      </c>
      <c r="AC83" s="16" t="n">
        <f aca="false">SUM(AC78:AC82)</f>
        <v>11404561.7348916</v>
      </c>
      <c r="AD83" s="16" t="n">
        <f aca="false">SUM(AD78:AD82)</f>
        <v>11465435.4389851</v>
      </c>
      <c r="AE83" s="16" t="n">
        <f aca="false">SUM(AE78:AE82)</f>
        <v>11529961.5653242</v>
      </c>
      <c r="AF83" s="16" t="n">
        <f aca="false">SUM(AF78:AF82)</f>
        <v>11598359.2592437</v>
      </c>
      <c r="AG83" s="16" t="n">
        <f aca="false">SUM(AG78:AG82)</f>
        <v>11670860.8147983</v>
      </c>
      <c r="AH83" s="16" t="n">
        <f aca="false">SUM(AH78:AH82)</f>
        <v>11747712.4636862</v>
      </c>
      <c r="AI83" s="16" t="n">
        <f aca="false">SUM(AI78:AI82)</f>
        <v>12354175.2115074</v>
      </c>
      <c r="AJ83" s="16" t="n">
        <f aca="false">SUM(AJ78:AJ82)</f>
        <v>12440525.7241978</v>
      </c>
      <c r="AK83" s="16" t="n">
        <f aca="false">SUM(AK78:AK82)</f>
        <v>12532057.2676497</v>
      </c>
      <c r="AL83" s="16" t="n">
        <f aca="false">SUM(AL78:AL82)</f>
        <v>12629080.7037086</v>
      </c>
      <c r="AM83" s="16" t="n">
        <f aca="false">SUM(AM78:AM82)</f>
        <v>12731925.5459312</v>
      </c>
      <c r="AN83" s="16" t="n">
        <f aca="false">SUM(AN78:AN82)</f>
        <v>12840941.078687</v>
      </c>
      <c r="AO83" s="16" t="n">
        <f aca="false">SUM(AO78:AO82)</f>
        <v>14816497.5434083</v>
      </c>
      <c r="AP83" s="16" t="n">
        <f aca="false">SUM(AP78:AP82)</f>
        <v>14938987.3960128</v>
      </c>
      <c r="AQ83" s="16" t="n">
        <f aca="false">SUM(AQ78:AQ82)</f>
        <v>15068826.6397735</v>
      </c>
      <c r="AR83" s="16" t="n">
        <f aca="false">SUM(AR78:AR82)</f>
        <v>15206456.2381599</v>
      </c>
      <c r="AS83" s="16" t="n">
        <f aca="false">SUM(AS78:AS82)</f>
        <v>15315530.6124868</v>
      </c>
      <c r="AT83" s="16" t="n">
        <f aca="false">SUM(AT78:AT82)</f>
        <v>15347962.449236</v>
      </c>
      <c r="AU83" s="16" t="n">
        <f aca="false">SUM(AU78:AU82)</f>
        <v>15907340.1961901</v>
      </c>
      <c r="AV83" s="16" t="n">
        <f aca="false">SUM(AV78:AV82)</f>
        <v>15943780.6079615</v>
      </c>
      <c r="AW83" s="16" t="n">
        <f aca="false">SUM(AW78:AW82)</f>
        <v>15982407.4444392</v>
      </c>
      <c r="AX83" s="16" t="n">
        <f aca="false">SUM(AX78:AX82)</f>
        <v>16023351.8911056</v>
      </c>
      <c r="AY83" s="16" t="n">
        <f aca="false">SUM(AY78:AY82)</f>
        <v>16066753.0045719</v>
      </c>
      <c r="AZ83" s="16" t="n">
        <f aca="false">SUM(AZ78:AZ82)</f>
        <v>16112758.1848462</v>
      </c>
      <c r="BA83" s="16" t="n">
        <f aca="false">SUM(BA78:BA82)</f>
        <v>18023190.3426037</v>
      </c>
      <c r="BB83" s="16" t="n">
        <f aca="false">SUM(BB78:BB82)</f>
        <v>18074881.7631599</v>
      </c>
      <c r="BC83" s="16" t="n">
        <f aca="false">SUM(BC78:BC82)</f>
        <v>18129674.6689495</v>
      </c>
      <c r="BD83" s="16" t="n">
        <f aca="false">SUM(BD78:BD82)</f>
        <v>18187755.1490864</v>
      </c>
      <c r="BE83" s="16" t="n">
        <f aca="false">SUM(BE78:BE82)</f>
        <v>18249320.4580316</v>
      </c>
      <c r="BF83" s="16" t="n">
        <f aca="false">SUM(BF78:BF82)</f>
        <v>18314579.6855135</v>
      </c>
      <c r="BG83" s="16" t="n">
        <f aca="false">SUM(BG78:BG82)</f>
        <v>18383754.4666443</v>
      </c>
      <c r="BH83" s="16" t="n">
        <f aca="false">SUM(BH78:BH82)</f>
        <v>18457079.734643</v>
      </c>
      <c r="BI83" s="16" t="n">
        <f aca="false">SUM(BI78:BI82)</f>
        <v>18534804.5187216</v>
      </c>
      <c r="BJ83" s="16" t="n">
        <f aca="false">SUM(BJ78:BJ82)</f>
        <v>18617192.7898449</v>
      </c>
      <c r="BK83" s="16" t="n">
        <f aca="false">SUM(BK78:BK82)</f>
        <v>18661666.6666667</v>
      </c>
      <c r="BL83" s="16" t="n">
        <f aca="false">SUM(BL78:BL82)</f>
        <v>18661666.6666667</v>
      </c>
    </row>
    <row r="85" customFormat="false" ht="15" hidden="false" customHeight="false" outlineLevel="0" collapsed="false">
      <c r="A85" s="10" t="s">
        <v>424</v>
      </c>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row>
    <row r="86" customFormat="false" ht="15" hidden="false" customHeight="false" outlineLevel="0" collapsed="false">
      <c r="A86" s="12" t="s">
        <v>667</v>
      </c>
      <c r="B86" s="14" t="s">
        <v>63</v>
      </c>
      <c r="D86" s="41" t="n">
        <f aca="false">SUM(E86:BL86)</f>
        <v>49000000</v>
      </c>
      <c r="E86" s="33" t="n">
        <f aca="false">INDEX(Recruitment,1,E$5)/12</f>
        <v>1108333.33333333</v>
      </c>
      <c r="F86" s="33" t="n">
        <f aca="false">INDEX(Recruitment,1,F$5)/12</f>
        <v>1108333.33333333</v>
      </c>
      <c r="G86" s="33" t="n">
        <f aca="false">INDEX(Recruitment,1,G$5)/12</f>
        <v>1108333.33333333</v>
      </c>
      <c r="H86" s="33" t="n">
        <f aca="false">INDEX(Recruitment,1,H$5)/12</f>
        <v>1108333.33333333</v>
      </c>
      <c r="I86" s="33" t="n">
        <f aca="false">INDEX(Recruitment,1,I$5)/12</f>
        <v>1108333.33333333</v>
      </c>
      <c r="J86" s="33" t="n">
        <f aca="false">INDEX(Recruitment,1,J$5)/12</f>
        <v>1108333.33333333</v>
      </c>
      <c r="K86" s="33" t="n">
        <f aca="false">INDEX(Recruitment,1,K$5)/12</f>
        <v>1108333.33333333</v>
      </c>
      <c r="L86" s="33" t="n">
        <f aca="false">INDEX(Recruitment,1,L$5)/12</f>
        <v>1108333.33333333</v>
      </c>
      <c r="M86" s="33" t="n">
        <f aca="false">INDEX(Recruitment,1,M$5)/12</f>
        <v>1108333.33333333</v>
      </c>
      <c r="N86" s="33" t="n">
        <f aca="false">INDEX(Recruitment,1,N$5)/12</f>
        <v>1108333.33333333</v>
      </c>
      <c r="O86" s="33" t="n">
        <f aca="false">INDEX(Recruitment,1,O$5)/12</f>
        <v>1108333.33333333</v>
      </c>
      <c r="P86" s="33" t="n">
        <f aca="false">INDEX(Recruitment,1,P$5)/12</f>
        <v>1108333.33333333</v>
      </c>
      <c r="Q86" s="33" t="n">
        <f aca="false">INDEX(Recruitment,1,Q$5)/12</f>
        <v>1808333.33333333</v>
      </c>
      <c r="R86" s="33" t="n">
        <f aca="false">INDEX(Recruitment,1,R$5)/12</f>
        <v>1808333.33333333</v>
      </c>
      <c r="S86" s="33" t="n">
        <f aca="false">INDEX(Recruitment,1,S$5)/12</f>
        <v>1808333.33333333</v>
      </c>
      <c r="T86" s="33" t="n">
        <f aca="false">INDEX(Recruitment,1,T$5)/12</f>
        <v>1808333.33333333</v>
      </c>
      <c r="U86" s="33" t="n">
        <f aca="false">INDEX(Recruitment,1,U$5)/12</f>
        <v>1808333.33333333</v>
      </c>
      <c r="V86" s="33" t="n">
        <f aca="false">INDEX(Recruitment,1,V$5)/12</f>
        <v>1808333.33333333</v>
      </c>
      <c r="W86" s="33" t="n">
        <f aca="false">INDEX(Recruitment,1,W$5)/12</f>
        <v>1808333.33333333</v>
      </c>
      <c r="X86" s="33" t="n">
        <f aca="false">INDEX(Recruitment,1,X$5)/12</f>
        <v>1808333.33333333</v>
      </c>
      <c r="Y86" s="33" t="n">
        <f aca="false">INDEX(Recruitment,1,Y$5)/12</f>
        <v>1808333.33333333</v>
      </c>
      <c r="Z86" s="33" t="n">
        <f aca="false">INDEX(Recruitment,1,Z$5)/12</f>
        <v>1808333.33333333</v>
      </c>
      <c r="AA86" s="33" t="n">
        <f aca="false">INDEX(Recruitment,1,AA$5)/12</f>
        <v>1808333.33333333</v>
      </c>
      <c r="AB86" s="33" t="n">
        <f aca="false">INDEX(Recruitment,1,AB$5)/12</f>
        <v>1808333.33333333</v>
      </c>
      <c r="AC86" s="33" t="n">
        <f aca="false">INDEX(Recruitment,1,AC$5)/12</f>
        <v>333333.333333333</v>
      </c>
      <c r="AD86" s="33" t="n">
        <f aca="false">INDEX(Recruitment,1,AD$5)/12</f>
        <v>333333.333333333</v>
      </c>
      <c r="AE86" s="33" t="n">
        <f aca="false">INDEX(Recruitment,1,AE$5)/12</f>
        <v>333333.333333333</v>
      </c>
      <c r="AF86" s="33" t="n">
        <f aca="false">INDEX(Recruitment,1,AF$5)/12</f>
        <v>333333.333333333</v>
      </c>
      <c r="AG86" s="33" t="n">
        <f aca="false">INDEX(Recruitment,1,AG$5)/12</f>
        <v>333333.333333333</v>
      </c>
      <c r="AH86" s="33" t="n">
        <f aca="false">INDEX(Recruitment,1,AH$5)/12</f>
        <v>333333.333333333</v>
      </c>
      <c r="AI86" s="33" t="n">
        <f aca="false">INDEX(Recruitment,1,AI$5)/12</f>
        <v>333333.333333333</v>
      </c>
      <c r="AJ86" s="33" t="n">
        <f aca="false">INDEX(Recruitment,1,AJ$5)/12</f>
        <v>333333.333333333</v>
      </c>
      <c r="AK86" s="33" t="n">
        <f aca="false">INDEX(Recruitment,1,AK$5)/12</f>
        <v>333333.333333333</v>
      </c>
      <c r="AL86" s="33" t="n">
        <f aca="false">INDEX(Recruitment,1,AL$5)/12</f>
        <v>333333.333333333</v>
      </c>
      <c r="AM86" s="33" t="n">
        <f aca="false">INDEX(Recruitment,1,AM$5)/12</f>
        <v>333333.333333333</v>
      </c>
      <c r="AN86" s="33" t="n">
        <f aca="false">INDEX(Recruitment,1,AN$5)/12</f>
        <v>333333.333333333</v>
      </c>
      <c r="AO86" s="33" t="n">
        <f aca="false">INDEX(Recruitment,1,AO$5)/12</f>
        <v>416666.666666667</v>
      </c>
      <c r="AP86" s="33" t="n">
        <f aca="false">INDEX(Recruitment,1,AP$5)/12</f>
        <v>416666.666666667</v>
      </c>
      <c r="AQ86" s="33" t="n">
        <f aca="false">INDEX(Recruitment,1,AQ$5)/12</f>
        <v>416666.666666667</v>
      </c>
      <c r="AR86" s="33" t="n">
        <f aca="false">INDEX(Recruitment,1,AR$5)/12</f>
        <v>416666.666666667</v>
      </c>
      <c r="AS86" s="33" t="n">
        <f aca="false">INDEX(Recruitment,1,AS$5)/12</f>
        <v>416666.666666667</v>
      </c>
      <c r="AT86" s="33" t="n">
        <f aca="false">INDEX(Recruitment,1,AT$5)/12</f>
        <v>416666.666666667</v>
      </c>
      <c r="AU86" s="33" t="n">
        <f aca="false">INDEX(Recruitment,1,AU$5)/12</f>
        <v>416666.666666667</v>
      </c>
      <c r="AV86" s="33" t="n">
        <f aca="false">INDEX(Recruitment,1,AV$5)/12</f>
        <v>416666.666666667</v>
      </c>
      <c r="AW86" s="33" t="n">
        <f aca="false">INDEX(Recruitment,1,AW$5)/12</f>
        <v>416666.666666667</v>
      </c>
      <c r="AX86" s="33" t="n">
        <f aca="false">INDEX(Recruitment,1,AX$5)/12</f>
        <v>416666.666666667</v>
      </c>
      <c r="AY86" s="33" t="n">
        <f aca="false">INDEX(Recruitment,1,AY$5)/12</f>
        <v>416666.666666667</v>
      </c>
      <c r="AZ86" s="33" t="n">
        <f aca="false">INDEX(Recruitment,1,AZ$5)/12</f>
        <v>416666.666666667</v>
      </c>
      <c r="BA86" s="33" t="n">
        <f aca="false">INDEX(Recruitment,1,BA$5)/12</f>
        <v>416666.666666667</v>
      </c>
      <c r="BB86" s="33" t="n">
        <f aca="false">INDEX(Recruitment,1,BB$5)/12</f>
        <v>416666.666666667</v>
      </c>
      <c r="BC86" s="33" t="n">
        <f aca="false">INDEX(Recruitment,1,BC$5)/12</f>
        <v>416666.666666667</v>
      </c>
      <c r="BD86" s="33" t="n">
        <f aca="false">INDEX(Recruitment,1,BD$5)/12</f>
        <v>416666.666666667</v>
      </c>
      <c r="BE86" s="33" t="n">
        <f aca="false">INDEX(Recruitment,1,BE$5)/12</f>
        <v>416666.666666667</v>
      </c>
      <c r="BF86" s="33" t="n">
        <f aca="false">INDEX(Recruitment,1,BF$5)/12</f>
        <v>416666.666666667</v>
      </c>
      <c r="BG86" s="33" t="n">
        <f aca="false">INDEX(Recruitment,1,BG$5)/12</f>
        <v>416666.666666667</v>
      </c>
      <c r="BH86" s="33" t="n">
        <f aca="false">INDEX(Recruitment,1,BH$5)/12</f>
        <v>416666.666666667</v>
      </c>
      <c r="BI86" s="33" t="n">
        <f aca="false">INDEX(Recruitment,1,BI$5)/12</f>
        <v>416666.666666667</v>
      </c>
      <c r="BJ86" s="33" t="n">
        <f aca="false">INDEX(Recruitment,1,BJ$5)/12</f>
        <v>416666.666666667</v>
      </c>
      <c r="BK86" s="33" t="n">
        <f aca="false">INDEX(Recruitment,1,BK$5)/12</f>
        <v>416666.666666667</v>
      </c>
      <c r="BL86" s="33" t="n">
        <f aca="false">INDEX(Recruitment,1,BL$5)/12</f>
        <v>416666.666666667</v>
      </c>
    </row>
    <row r="87" customFormat="false" ht="15" hidden="false" customHeight="false" outlineLevel="0" collapsed="false">
      <c r="A87" s="12" t="s">
        <v>668</v>
      </c>
      <c r="B87" s="14" t="s">
        <v>63</v>
      </c>
      <c r="D87" s="41" t="n">
        <f aca="false">SUM(E87:BL87)</f>
        <v>77450000</v>
      </c>
      <c r="E87" s="33" t="n">
        <f aca="false">INDEX(Travel,1,E$5)/12</f>
        <v>437500</v>
      </c>
      <c r="F87" s="33" t="n">
        <f aca="false">INDEX(Travel,1,F$5)/12</f>
        <v>437500</v>
      </c>
      <c r="G87" s="33" t="n">
        <f aca="false">INDEX(Travel,1,G$5)/12</f>
        <v>437500</v>
      </c>
      <c r="H87" s="33" t="n">
        <f aca="false">INDEX(Travel,1,H$5)/12</f>
        <v>437500</v>
      </c>
      <c r="I87" s="33" t="n">
        <f aca="false">INDEX(Travel,1,I$5)/12</f>
        <v>437500</v>
      </c>
      <c r="J87" s="33" t="n">
        <f aca="false">INDEX(Travel,1,J$5)/12</f>
        <v>437500</v>
      </c>
      <c r="K87" s="33" t="n">
        <f aca="false">INDEX(Travel,1,K$5)/12</f>
        <v>437500</v>
      </c>
      <c r="L87" s="33" t="n">
        <f aca="false">INDEX(Travel,1,L$5)/12</f>
        <v>437500</v>
      </c>
      <c r="M87" s="33" t="n">
        <f aca="false">INDEX(Travel,1,M$5)/12</f>
        <v>437500</v>
      </c>
      <c r="N87" s="33" t="n">
        <f aca="false">INDEX(Travel,1,N$5)/12</f>
        <v>437500</v>
      </c>
      <c r="O87" s="33" t="n">
        <f aca="false">INDEX(Travel,1,O$5)/12</f>
        <v>437500</v>
      </c>
      <c r="P87" s="33" t="n">
        <f aca="false">INDEX(Travel,1,P$5)/12</f>
        <v>437500</v>
      </c>
      <c r="Q87" s="33" t="n">
        <f aca="false">INDEX(Travel,1,Q$5)/12</f>
        <v>1091666.66666667</v>
      </c>
      <c r="R87" s="33" t="n">
        <f aca="false">INDEX(Travel,1,R$5)/12</f>
        <v>1091666.66666667</v>
      </c>
      <c r="S87" s="33" t="n">
        <f aca="false">INDEX(Travel,1,S$5)/12</f>
        <v>1091666.66666667</v>
      </c>
      <c r="T87" s="33" t="n">
        <f aca="false">INDEX(Travel,1,T$5)/12</f>
        <v>1091666.66666667</v>
      </c>
      <c r="U87" s="33" t="n">
        <f aca="false">INDEX(Travel,1,U$5)/12</f>
        <v>1091666.66666667</v>
      </c>
      <c r="V87" s="33" t="n">
        <f aca="false">INDEX(Travel,1,V$5)/12</f>
        <v>1091666.66666667</v>
      </c>
      <c r="W87" s="33" t="n">
        <f aca="false">INDEX(Travel,1,W$5)/12</f>
        <v>1091666.66666667</v>
      </c>
      <c r="X87" s="33" t="n">
        <f aca="false">INDEX(Travel,1,X$5)/12</f>
        <v>1091666.66666667</v>
      </c>
      <c r="Y87" s="33" t="n">
        <f aca="false">INDEX(Travel,1,Y$5)/12</f>
        <v>1091666.66666667</v>
      </c>
      <c r="Z87" s="33" t="n">
        <f aca="false">INDEX(Travel,1,Z$5)/12</f>
        <v>1091666.66666667</v>
      </c>
      <c r="AA87" s="33" t="n">
        <f aca="false">INDEX(Travel,1,AA$5)/12</f>
        <v>1091666.66666667</v>
      </c>
      <c r="AB87" s="33" t="n">
        <f aca="false">INDEX(Travel,1,AB$5)/12</f>
        <v>1091666.66666667</v>
      </c>
      <c r="AC87" s="33" t="n">
        <f aca="false">INDEX(Travel,1,AC$5)/12</f>
        <v>1366666.66666667</v>
      </c>
      <c r="AD87" s="33" t="n">
        <f aca="false">INDEX(Travel,1,AD$5)/12</f>
        <v>1366666.66666667</v>
      </c>
      <c r="AE87" s="33" t="n">
        <f aca="false">INDEX(Travel,1,AE$5)/12</f>
        <v>1366666.66666667</v>
      </c>
      <c r="AF87" s="33" t="n">
        <f aca="false">INDEX(Travel,1,AF$5)/12</f>
        <v>1366666.66666667</v>
      </c>
      <c r="AG87" s="33" t="n">
        <f aca="false">INDEX(Travel,1,AG$5)/12</f>
        <v>1366666.66666667</v>
      </c>
      <c r="AH87" s="33" t="n">
        <f aca="false">INDEX(Travel,1,AH$5)/12</f>
        <v>1366666.66666667</v>
      </c>
      <c r="AI87" s="33" t="n">
        <f aca="false">INDEX(Travel,1,AI$5)/12</f>
        <v>1366666.66666667</v>
      </c>
      <c r="AJ87" s="33" t="n">
        <f aca="false">INDEX(Travel,1,AJ$5)/12</f>
        <v>1366666.66666667</v>
      </c>
      <c r="AK87" s="33" t="n">
        <f aca="false">INDEX(Travel,1,AK$5)/12</f>
        <v>1366666.66666667</v>
      </c>
      <c r="AL87" s="33" t="n">
        <f aca="false">INDEX(Travel,1,AL$5)/12</f>
        <v>1366666.66666667</v>
      </c>
      <c r="AM87" s="33" t="n">
        <f aca="false">INDEX(Travel,1,AM$5)/12</f>
        <v>1366666.66666667</v>
      </c>
      <c r="AN87" s="33" t="n">
        <f aca="false">INDEX(Travel,1,AN$5)/12</f>
        <v>1366666.66666667</v>
      </c>
      <c r="AO87" s="33" t="n">
        <f aca="false">INDEX(Travel,1,AO$5)/12</f>
        <v>1641666.66666667</v>
      </c>
      <c r="AP87" s="33" t="n">
        <f aca="false">INDEX(Travel,1,AP$5)/12</f>
        <v>1641666.66666667</v>
      </c>
      <c r="AQ87" s="33" t="n">
        <f aca="false">INDEX(Travel,1,AQ$5)/12</f>
        <v>1641666.66666667</v>
      </c>
      <c r="AR87" s="33" t="n">
        <f aca="false">INDEX(Travel,1,AR$5)/12</f>
        <v>1641666.66666667</v>
      </c>
      <c r="AS87" s="33" t="n">
        <f aca="false">INDEX(Travel,1,AS$5)/12</f>
        <v>1641666.66666667</v>
      </c>
      <c r="AT87" s="33" t="n">
        <f aca="false">INDEX(Travel,1,AT$5)/12</f>
        <v>1641666.66666667</v>
      </c>
      <c r="AU87" s="33" t="n">
        <f aca="false">INDEX(Travel,1,AU$5)/12</f>
        <v>1641666.66666667</v>
      </c>
      <c r="AV87" s="33" t="n">
        <f aca="false">INDEX(Travel,1,AV$5)/12</f>
        <v>1641666.66666667</v>
      </c>
      <c r="AW87" s="33" t="n">
        <f aca="false">INDEX(Travel,1,AW$5)/12</f>
        <v>1641666.66666667</v>
      </c>
      <c r="AX87" s="33" t="n">
        <f aca="false">INDEX(Travel,1,AX$5)/12</f>
        <v>1641666.66666667</v>
      </c>
      <c r="AY87" s="33" t="n">
        <f aca="false">INDEX(Travel,1,AY$5)/12</f>
        <v>1641666.66666667</v>
      </c>
      <c r="AZ87" s="33" t="n">
        <f aca="false">INDEX(Travel,1,AZ$5)/12</f>
        <v>1641666.66666667</v>
      </c>
      <c r="BA87" s="33" t="n">
        <f aca="false">INDEX(Travel,1,BA$5)/12</f>
        <v>1916666.66666667</v>
      </c>
      <c r="BB87" s="33" t="n">
        <f aca="false">INDEX(Travel,1,BB$5)/12</f>
        <v>1916666.66666667</v>
      </c>
      <c r="BC87" s="33" t="n">
        <f aca="false">INDEX(Travel,1,BC$5)/12</f>
        <v>1916666.66666667</v>
      </c>
      <c r="BD87" s="33" t="n">
        <f aca="false">INDEX(Travel,1,BD$5)/12</f>
        <v>1916666.66666667</v>
      </c>
      <c r="BE87" s="33" t="n">
        <f aca="false">INDEX(Travel,1,BE$5)/12</f>
        <v>1916666.66666667</v>
      </c>
      <c r="BF87" s="33" t="n">
        <f aca="false">INDEX(Travel,1,BF$5)/12</f>
        <v>1916666.66666667</v>
      </c>
      <c r="BG87" s="33" t="n">
        <f aca="false">INDEX(Travel,1,BG$5)/12</f>
        <v>1916666.66666667</v>
      </c>
      <c r="BH87" s="33" t="n">
        <f aca="false">INDEX(Travel,1,BH$5)/12</f>
        <v>1916666.66666667</v>
      </c>
      <c r="BI87" s="33" t="n">
        <f aca="false">INDEX(Travel,1,BI$5)/12</f>
        <v>1916666.66666667</v>
      </c>
      <c r="BJ87" s="33" t="n">
        <f aca="false">INDEX(Travel,1,BJ$5)/12</f>
        <v>1916666.66666667</v>
      </c>
      <c r="BK87" s="33" t="n">
        <f aca="false">INDEX(Travel,1,BK$5)/12</f>
        <v>1916666.66666667</v>
      </c>
      <c r="BL87" s="33" t="n">
        <f aca="false">INDEX(Travel,1,BL$5)/12</f>
        <v>1916666.66666667</v>
      </c>
    </row>
    <row r="88" customFormat="false" ht="15" hidden="false" customHeight="false" outlineLevel="0" collapsed="false">
      <c r="A88" s="12" t="s">
        <v>428</v>
      </c>
      <c r="B88" s="14" t="s">
        <v>63</v>
      </c>
      <c r="D88" s="41" t="n">
        <f aca="false">SUM(E88:BL88)</f>
        <v>34200000</v>
      </c>
      <c r="E88" s="33" t="n">
        <f aca="false">INDEX(Misc,1,E$5)</f>
        <v>300000</v>
      </c>
      <c r="F88" s="33" t="n">
        <f aca="false">INDEX(Misc,1,F$5)</f>
        <v>300000</v>
      </c>
      <c r="G88" s="33" t="n">
        <f aca="false">INDEX(Misc,1,G$5)</f>
        <v>300000</v>
      </c>
      <c r="H88" s="33" t="n">
        <f aca="false">INDEX(Misc,1,H$5)</f>
        <v>300000</v>
      </c>
      <c r="I88" s="33" t="n">
        <f aca="false">INDEX(Misc,1,I$5)</f>
        <v>300000</v>
      </c>
      <c r="J88" s="33" t="n">
        <f aca="false">INDEX(Misc,1,J$5)</f>
        <v>300000</v>
      </c>
      <c r="K88" s="33" t="n">
        <f aca="false">INDEX(Misc,1,K$5)</f>
        <v>300000</v>
      </c>
      <c r="L88" s="33" t="n">
        <f aca="false">INDEX(Misc,1,L$5)</f>
        <v>300000</v>
      </c>
      <c r="M88" s="33" t="n">
        <f aca="false">INDEX(Misc,1,M$5)</f>
        <v>300000</v>
      </c>
      <c r="N88" s="33" t="n">
        <f aca="false">INDEX(Misc,1,N$5)</f>
        <v>300000</v>
      </c>
      <c r="O88" s="33" t="n">
        <f aca="false">INDEX(Misc,1,O$5)</f>
        <v>300000</v>
      </c>
      <c r="P88" s="33" t="n">
        <f aca="false">INDEX(Misc,1,P$5)</f>
        <v>300000</v>
      </c>
      <c r="Q88" s="33" t="n">
        <f aca="false">INDEX(Misc,1,Q$5)</f>
        <v>450000</v>
      </c>
      <c r="R88" s="33" t="n">
        <f aca="false">INDEX(Misc,1,R$5)</f>
        <v>450000</v>
      </c>
      <c r="S88" s="33" t="n">
        <f aca="false">INDEX(Misc,1,S$5)</f>
        <v>450000</v>
      </c>
      <c r="T88" s="33" t="n">
        <f aca="false">INDEX(Misc,1,T$5)</f>
        <v>450000</v>
      </c>
      <c r="U88" s="33" t="n">
        <f aca="false">INDEX(Misc,1,U$5)</f>
        <v>450000</v>
      </c>
      <c r="V88" s="33" t="n">
        <f aca="false">INDEX(Misc,1,V$5)</f>
        <v>450000</v>
      </c>
      <c r="W88" s="33" t="n">
        <f aca="false">INDEX(Misc,1,W$5)</f>
        <v>450000</v>
      </c>
      <c r="X88" s="33" t="n">
        <f aca="false">INDEX(Misc,1,X$5)</f>
        <v>450000</v>
      </c>
      <c r="Y88" s="33" t="n">
        <f aca="false">INDEX(Misc,1,Y$5)</f>
        <v>450000</v>
      </c>
      <c r="Z88" s="33" t="n">
        <f aca="false">INDEX(Misc,1,Z$5)</f>
        <v>450000</v>
      </c>
      <c r="AA88" s="33" t="n">
        <f aca="false">INDEX(Misc,1,AA$5)</f>
        <v>450000</v>
      </c>
      <c r="AB88" s="33" t="n">
        <f aca="false">INDEX(Misc,1,AB$5)</f>
        <v>450000</v>
      </c>
      <c r="AC88" s="33" t="n">
        <f aca="false">INDEX(Misc,1,AC$5)</f>
        <v>600000</v>
      </c>
      <c r="AD88" s="33" t="n">
        <f aca="false">INDEX(Misc,1,AD$5)</f>
        <v>600000</v>
      </c>
      <c r="AE88" s="33" t="n">
        <f aca="false">INDEX(Misc,1,AE$5)</f>
        <v>600000</v>
      </c>
      <c r="AF88" s="33" t="n">
        <f aca="false">INDEX(Misc,1,AF$5)</f>
        <v>600000</v>
      </c>
      <c r="AG88" s="33" t="n">
        <f aca="false">INDEX(Misc,1,AG$5)</f>
        <v>600000</v>
      </c>
      <c r="AH88" s="33" t="n">
        <f aca="false">INDEX(Misc,1,AH$5)</f>
        <v>600000</v>
      </c>
      <c r="AI88" s="33" t="n">
        <f aca="false">INDEX(Misc,1,AI$5)</f>
        <v>600000</v>
      </c>
      <c r="AJ88" s="33" t="n">
        <f aca="false">INDEX(Misc,1,AJ$5)</f>
        <v>600000</v>
      </c>
      <c r="AK88" s="33" t="n">
        <f aca="false">INDEX(Misc,1,AK$5)</f>
        <v>600000</v>
      </c>
      <c r="AL88" s="33" t="n">
        <f aca="false">INDEX(Misc,1,AL$5)</f>
        <v>600000</v>
      </c>
      <c r="AM88" s="33" t="n">
        <f aca="false">INDEX(Misc,1,AM$5)</f>
        <v>600000</v>
      </c>
      <c r="AN88" s="33" t="n">
        <f aca="false">INDEX(Misc,1,AN$5)</f>
        <v>600000</v>
      </c>
      <c r="AO88" s="33" t="n">
        <f aca="false">INDEX(Misc,1,AO$5)</f>
        <v>700000</v>
      </c>
      <c r="AP88" s="33" t="n">
        <f aca="false">INDEX(Misc,1,AP$5)</f>
        <v>700000</v>
      </c>
      <c r="AQ88" s="33" t="n">
        <f aca="false">INDEX(Misc,1,AQ$5)</f>
        <v>700000</v>
      </c>
      <c r="AR88" s="33" t="n">
        <f aca="false">INDEX(Misc,1,AR$5)</f>
        <v>700000</v>
      </c>
      <c r="AS88" s="33" t="n">
        <f aca="false">INDEX(Misc,1,AS$5)</f>
        <v>700000</v>
      </c>
      <c r="AT88" s="33" t="n">
        <f aca="false">INDEX(Misc,1,AT$5)</f>
        <v>700000</v>
      </c>
      <c r="AU88" s="33" t="n">
        <f aca="false">INDEX(Misc,1,AU$5)</f>
        <v>700000</v>
      </c>
      <c r="AV88" s="33" t="n">
        <f aca="false">INDEX(Misc,1,AV$5)</f>
        <v>700000</v>
      </c>
      <c r="AW88" s="33" t="n">
        <f aca="false">INDEX(Misc,1,AW$5)</f>
        <v>700000</v>
      </c>
      <c r="AX88" s="33" t="n">
        <f aca="false">INDEX(Misc,1,AX$5)</f>
        <v>700000</v>
      </c>
      <c r="AY88" s="33" t="n">
        <f aca="false">INDEX(Misc,1,AY$5)</f>
        <v>700000</v>
      </c>
      <c r="AZ88" s="33" t="n">
        <f aca="false">INDEX(Misc,1,AZ$5)</f>
        <v>700000</v>
      </c>
      <c r="BA88" s="33" t="n">
        <f aca="false">INDEX(Misc,1,BA$5)</f>
        <v>800000</v>
      </c>
      <c r="BB88" s="33" t="n">
        <f aca="false">INDEX(Misc,1,BB$5)</f>
        <v>800000</v>
      </c>
      <c r="BC88" s="33" t="n">
        <f aca="false">INDEX(Misc,1,BC$5)</f>
        <v>800000</v>
      </c>
      <c r="BD88" s="33" t="n">
        <f aca="false">INDEX(Misc,1,BD$5)</f>
        <v>800000</v>
      </c>
      <c r="BE88" s="33" t="n">
        <f aca="false">INDEX(Misc,1,BE$5)</f>
        <v>800000</v>
      </c>
      <c r="BF88" s="33" t="n">
        <f aca="false">INDEX(Misc,1,BF$5)</f>
        <v>800000</v>
      </c>
      <c r="BG88" s="33" t="n">
        <f aca="false">INDEX(Misc,1,BG$5)</f>
        <v>800000</v>
      </c>
      <c r="BH88" s="33" t="n">
        <f aca="false">INDEX(Misc,1,BH$5)</f>
        <v>800000</v>
      </c>
      <c r="BI88" s="33" t="n">
        <f aca="false">INDEX(Misc,1,BI$5)</f>
        <v>800000</v>
      </c>
      <c r="BJ88" s="33" t="n">
        <f aca="false">INDEX(Misc,1,BJ$5)</f>
        <v>800000</v>
      </c>
      <c r="BK88" s="33" t="n">
        <f aca="false">INDEX(Misc,1,BK$5)</f>
        <v>800000</v>
      </c>
      <c r="BL88" s="33" t="n">
        <f aca="false">INDEX(Misc,1,BL$5)</f>
        <v>800000</v>
      </c>
    </row>
    <row r="89" customFormat="false" ht="15" hidden="false" customHeight="false" outlineLevel="0" collapsed="false">
      <c r="A89" s="8" t="s">
        <v>669</v>
      </c>
      <c r="B89" s="14" t="s">
        <v>63</v>
      </c>
      <c r="D89" s="41" t="n">
        <f aca="false">SUM(E89:BL89)</f>
        <v>160650000</v>
      </c>
      <c r="E89" s="16" t="n">
        <f aca="false">SUM(E86:E88)</f>
        <v>1845833.33333333</v>
      </c>
      <c r="F89" s="16" t="n">
        <f aca="false">SUM(F86:F88)</f>
        <v>1845833.33333333</v>
      </c>
      <c r="G89" s="16" t="n">
        <f aca="false">SUM(G86:G88)</f>
        <v>1845833.33333333</v>
      </c>
      <c r="H89" s="16" t="n">
        <f aca="false">SUM(H86:H88)</f>
        <v>1845833.33333333</v>
      </c>
      <c r="I89" s="16" t="n">
        <f aca="false">SUM(I86:I88)</f>
        <v>1845833.33333333</v>
      </c>
      <c r="J89" s="16" t="n">
        <f aca="false">SUM(J86:J88)</f>
        <v>1845833.33333333</v>
      </c>
      <c r="K89" s="16" t="n">
        <f aca="false">SUM(K86:K88)</f>
        <v>1845833.33333333</v>
      </c>
      <c r="L89" s="16" t="n">
        <f aca="false">SUM(L86:L88)</f>
        <v>1845833.33333333</v>
      </c>
      <c r="M89" s="16" t="n">
        <f aca="false">SUM(M86:M88)</f>
        <v>1845833.33333333</v>
      </c>
      <c r="N89" s="16" t="n">
        <f aca="false">SUM(N86:N88)</f>
        <v>1845833.33333333</v>
      </c>
      <c r="O89" s="16" t="n">
        <f aca="false">SUM(O86:O88)</f>
        <v>1845833.33333333</v>
      </c>
      <c r="P89" s="16" t="n">
        <f aca="false">SUM(P86:P88)</f>
        <v>1845833.33333333</v>
      </c>
      <c r="Q89" s="16" t="n">
        <f aca="false">SUM(Q86:Q88)</f>
        <v>3350000</v>
      </c>
      <c r="R89" s="16" t="n">
        <f aca="false">SUM(R86:R88)</f>
        <v>3350000</v>
      </c>
      <c r="S89" s="16" t="n">
        <f aca="false">SUM(S86:S88)</f>
        <v>3350000</v>
      </c>
      <c r="T89" s="16" t="n">
        <f aca="false">SUM(T86:T88)</f>
        <v>3350000</v>
      </c>
      <c r="U89" s="16" t="n">
        <f aca="false">SUM(U86:U88)</f>
        <v>3350000</v>
      </c>
      <c r="V89" s="16" t="n">
        <f aca="false">SUM(V86:V88)</f>
        <v>3350000</v>
      </c>
      <c r="W89" s="16" t="n">
        <f aca="false">SUM(W86:W88)</f>
        <v>3350000</v>
      </c>
      <c r="X89" s="16" t="n">
        <f aca="false">SUM(X86:X88)</f>
        <v>3350000</v>
      </c>
      <c r="Y89" s="16" t="n">
        <f aca="false">SUM(Y86:Y88)</f>
        <v>3350000</v>
      </c>
      <c r="Z89" s="16" t="n">
        <f aca="false">SUM(Z86:Z88)</f>
        <v>3350000</v>
      </c>
      <c r="AA89" s="16" t="n">
        <f aca="false">SUM(AA86:AA88)</f>
        <v>3350000</v>
      </c>
      <c r="AB89" s="16" t="n">
        <f aca="false">SUM(AB86:AB88)</f>
        <v>3350000</v>
      </c>
      <c r="AC89" s="16" t="n">
        <f aca="false">SUM(AC86:AC88)</f>
        <v>2300000</v>
      </c>
      <c r="AD89" s="16" t="n">
        <f aca="false">SUM(AD86:AD88)</f>
        <v>2300000</v>
      </c>
      <c r="AE89" s="16" t="n">
        <f aca="false">SUM(AE86:AE88)</f>
        <v>2300000</v>
      </c>
      <c r="AF89" s="16" t="n">
        <f aca="false">SUM(AF86:AF88)</f>
        <v>2300000</v>
      </c>
      <c r="AG89" s="16" t="n">
        <f aca="false">SUM(AG86:AG88)</f>
        <v>2300000</v>
      </c>
      <c r="AH89" s="16" t="n">
        <f aca="false">SUM(AH86:AH88)</f>
        <v>2300000</v>
      </c>
      <c r="AI89" s="16" t="n">
        <f aca="false">SUM(AI86:AI88)</f>
        <v>2300000</v>
      </c>
      <c r="AJ89" s="16" t="n">
        <f aca="false">SUM(AJ86:AJ88)</f>
        <v>2300000</v>
      </c>
      <c r="AK89" s="16" t="n">
        <f aca="false">SUM(AK86:AK88)</f>
        <v>2300000</v>
      </c>
      <c r="AL89" s="16" t="n">
        <f aca="false">SUM(AL86:AL88)</f>
        <v>2300000</v>
      </c>
      <c r="AM89" s="16" t="n">
        <f aca="false">SUM(AM86:AM88)</f>
        <v>2300000</v>
      </c>
      <c r="AN89" s="16" t="n">
        <f aca="false">SUM(AN86:AN88)</f>
        <v>2300000</v>
      </c>
      <c r="AO89" s="16" t="n">
        <f aca="false">SUM(AO86:AO88)</f>
        <v>2758333.33333333</v>
      </c>
      <c r="AP89" s="16" t="n">
        <f aca="false">SUM(AP86:AP88)</f>
        <v>2758333.33333333</v>
      </c>
      <c r="AQ89" s="16" t="n">
        <f aca="false">SUM(AQ86:AQ88)</f>
        <v>2758333.33333333</v>
      </c>
      <c r="AR89" s="16" t="n">
        <f aca="false">SUM(AR86:AR88)</f>
        <v>2758333.33333333</v>
      </c>
      <c r="AS89" s="16" t="n">
        <f aca="false">SUM(AS86:AS88)</f>
        <v>2758333.33333333</v>
      </c>
      <c r="AT89" s="16" t="n">
        <f aca="false">SUM(AT86:AT88)</f>
        <v>2758333.33333333</v>
      </c>
      <c r="AU89" s="16" t="n">
        <f aca="false">SUM(AU86:AU88)</f>
        <v>2758333.33333333</v>
      </c>
      <c r="AV89" s="16" t="n">
        <f aca="false">SUM(AV86:AV88)</f>
        <v>2758333.33333333</v>
      </c>
      <c r="AW89" s="16" t="n">
        <f aca="false">SUM(AW86:AW88)</f>
        <v>2758333.33333333</v>
      </c>
      <c r="AX89" s="16" t="n">
        <f aca="false">SUM(AX86:AX88)</f>
        <v>2758333.33333333</v>
      </c>
      <c r="AY89" s="16" t="n">
        <f aca="false">SUM(AY86:AY88)</f>
        <v>2758333.33333333</v>
      </c>
      <c r="AZ89" s="16" t="n">
        <f aca="false">SUM(AZ86:AZ88)</f>
        <v>2758333.33333333</v>
      </c>
      <c r="BA89" s="16" t="n">
        <f aca="false">SUM(BA86:BA88)</f>
        <v>3133333.33333333</v>
      </c>
      <c r="BB89" s="16" t="n">
        <f aca="false">SUM(BB86:BB88)</f>
        <v>3133333.33333333</v>
      </c>
      <c r="BC89" s="16" t="n">
        <f aca="false">SUM(BC86:BC88)</f>
        <v>3133333.33333333</v>
      </c>
      <c r="BD89" s="16" t="n">
        <f aca="false">SUM(BD86:BD88)</f>
        <v>3133333.33333333</v>
      </c>
      <c r="BE89" s="16" t="n">
        <f aca="false">SUM(BE86:BE88)</f>
        <v>3133333.33333333</v>
      </c>
      <c r="BF89" s="16" t="n">
        <f aca="false">SUM(BF86:BF88)</f>
        <v>3133333.33333333</v>
      </c>
      <c r="BG89" s="16" t="n">
        <f aca="false">SUM(BG86:BG88)</f>
        <v>3133333.33333333</v>
      </c>
      <c r="BH89" s="16" t="n">
        <f aca="false">SUM(BH86:BH88)</f>
        <v>3133333.33333333</v>
      </c>
      <c r="BI89" s="16" t="n">
        <f aca="false">SUM(BI86:BI88)</f>
        <v>3133333.33333333</v>
      </c>
      <c r="BJ89" s="16" t="n">
        <f aca="false">SUM(BJ86:BJ88)</f>
        <v>3133333.33333333</v>
      </c>
      <c r="BK89" s="16" t="n">
        <f aca="false">SUM(BK86:BK88)</f>
        <v>3133333.33333333</v>
      </c>
      <c r="BL89" s="16" t="n">
        <f aca="false">SUM(BL86:BL88)</f>
        <v>3133333.33333333</v>
      </c>
    </row>
    <row r="91" customFormat="false" ht="15" hidden="false" customHeight="false" outlineLevel="0" collapsed="false">
      <c r="A91" s="10" t="s">
        <v>670</v>
      </c>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row>
    <row r="92" customFormat="false" ht="15" hidden="false" customHeight="false" outlineLevel="0" collapsed="false">
      <c r="A92" s="12" t="s">
        <v>671</v>
      </c>
      <c r="B92" s="14" t="s">
        <v>63</v>
      </c>
      <c r="D92" s="41" t="n">
        <f aca="false">SUM(E92:BL92)</f>
        <v>6637441978.85231</v>
      </c>
      <c r="E92" s="33" t="n">
        <f aca="false">E32+E42+E54+E62+E75+E83+E89</f>
        <v>33481620.4444444</v>
      </c>
      <c r="F92" s="33" t="n">
        <f aca="false">F32+F42+F54+F62+F75+F83+F89</f>
        <v>49828085.7777778</v>
      </c>
      <c r="G92" s="33" t="n">
        <f aca="false">G32+G42+G54+G62+G75+G83+G89</f>
        <v>66687160.4444445</v>
      </c>
      <c r="H92" s="33" t="n">
        <f aca="false">H32+H42+H54+H62+H75+H83+H89</f>
        <v>43056103.1111111</v>
      </c>
      <c r="I92" s="33" t="n">
        <f aca="false">I32+I42+I54+I62+I75+I83+I89</f>
        <v>48802503.1111111</v>
      </c>
      <c r="J92" s="33" t="n">
        <f aca="false">J32+J42+J54+J62+J75+J83+J89</f>
        <v>49749820.3111111</v>
      </c>
      <c r="K92" s="33" t="n">
        <f aca="false">K32+K42+K54+K62+K75+K83+K89</f>
        <v>53075667.2221111</v>
      </c>
      <c r="L92" s="33" t="n">
        <f aca="false">L32+L42+L54+L62+L75+L83+L89</f>
        <v>52788534.8593286</v>
      </c>
      <c r="M92" s="33" t="n">
        <f aca="false">M32+M42+M54+M62+M75+M83+M89</f>
        <v>57503084.4901204</v>
      </c>
      <c r="N92" s="33" t="n">
        <f aca="false">N32+N42+N54+N62+N75+N83+N89</f>
        <v>49265399.950586</v>
      </c>
      <c r="O92" s="33" t="n">
        <f aca="false">O32+O42+O54+O62+O75+O83+O89</f>
        <v>48982865.2655131</v>
      </c>
      <c r="P92" s="33" t="n">
        <f aca="false">P32+P42+P54+P62+P75+P83+P89</f>
        <v>48701553.6115998</v>
      </c>
      <c r="Q92" s="33" t="n">
        <f aca="false">Q32+Q42+Q54+Q62+Q75+Q83+Q89</f>
        <v>74904976.4373369</v>
      </c>
      <c r="R92" s="33" t="n">
        <f aca="false">R32+R42+R54+R62+R75+R83+R89</f>
        <v>71566488.1397507</v>
      </c>
      <c r="S92" s="33" t="n">
        <f aca="false">S32+S42+S54+S62+S75+S83+S89</f>
        <v>71591830.3241357</v>
      </c>
      <c r="T92" s="33" t="n">
        <f aca="false">T32+T42+T54+T62+T75+T83+T89</f>
        <v>87940632.8395839</v>
      </c>
      <c r="U92" s="33" t="n">
        <f aca="false">U32+U42+U54+U62+U75+U83+U89</f>
        <v>72969107.3179589</v>
      </c>
      <c r="V92" s="33" t="n">
        <f aca="false">V32+V42+V54+V62+V75+V83+V89</f>
        <v>72999290.2650364</v>
      </c>
      <c r="W92" s="33" t="n">
        <f aca="false">W32+W42+W54+W62+W75+W83+W89</f>
        <v>92257831.9889386</v>
      </c>
      <c r="X92" s="33" t="n">
        <f aca="false">X32+X42+X54+X62+X75+X83+X89</f>
        <v>92300745.5482749</v>
      </c>
      <c r="Y92" s="33" t="n">
        <f aca="false">Y32+Y42+Y54+Y62+Y75+Y83+Y89</f>
        <v>92346233.9211714</v>
      </c>
      <c r="Z92" s="33" t="n">
        <f aca="false">Z32+Z42+Z54+Z62+Z75+Z83+Z89</f>
        <v>92394451.5964417</v>
      </c>
      <c r="AA92" s="33" t="n">
        <f aca="false">AA32+AA42+AA54+AA62+AA75+AA83+AA89</f>
        <v>92445562.3322282</v>
      </c>
      <c r="AB92" s="33" t="n">
        <f aca="false">AB32+AB42+AB54+AB62+AB75+AB83+AB89</f>
        <v>92499739.7121619</v>
      </c>
      <c r="AC92" s="33" t="n">
        <f aca="false">AC32+AC42+AC54+AC62+AC75+AC83+AC89</f>
        <v>106594629.311558</v>
      </c>
      <c r="AD92" s="33" t="n">
        <f aca="false">AD32+AD42+AD54+AD62+AD75+AD83+AD89</f>
        <v>106655503.015652</v>
      </c>
      <c r="AE92" s="33" t="n">
        <f aca="false">AE32+AE42+AE54+AE62+AE75+AE83+AE89</f>
        <v>106720029.141991</v>
      </c>
      <c r="AF92" s="33" t="n">
        <f aca="false">AF32+AF42+AF54+AF62+AF75+AF83+AF89</f>
        <v>106788426.83591</v>
      </c>
      <c r="AG92" s="33" t="n">
        <f aca="false">AG32+AG42+AG54+AG62+AG75+AG83+AG89</f>
        <v>106860928.391465</v>
      </c>
      <c r="AH92" s="33" t="n">
        <f aca="false">AH32+AH42+AH54+AH62+AH75+AH83+AH89</f>
        <v>106937780.040353</v>
      </c>
      <c r="AI92" s="33" t="n">
        <f aca="false">AI32+AI42+AI54+AI62+AI75+AI83+AI89</f>
        <v>118818422.058174</v>
      </c>
      <c r="AJ92" s="33" t="n">
        <f aca="false">AJ32+AJ42+AJ54+AJ62+AJ75+AJ83+AJ89</f>
        <v>118904772.570864</v>
      </c>
      <c r="AK92" s="33" t="n">
        <f aca="false">AK32+AK42+AK54+AK62+AK75+AK83+AK89</f>
        <v>118996304.114316</v>
      </c>
      <c r="AL92" s="33" t="n">
        <f aca="false">AL32+AL42+AL54+AL62+AL75+AL83+AL89</f>
        <v>119093327.550375</v>
      </c>
      <c r="AM92" s="33" t="n">
        <f aca="false">AM32+AM42+AM54+AM62+AM75+AM83+AM89</f>
        <v>119196172.392598</v>
      </c>
      <c r="AN92" s="33" t="n">
        <f aca="false">AN32+AN42+AN54+AN62+AN75+AN83+AN89</f>
        <v>119305187.925354</v>
      </c>
      <c r="AO92" s="33" t="n">
        <f aca="false">AO32+AO42+AO54+AO62+AO75+AO83+AO89</f>
        <v>131106327.767408</v>
      </c>
      <c r="AP92" s="33" t="n">
        <f aca="false">AP32+AP42+AP54+AP62+AP75+AP83+AP89</f>
        <v>131228817.620013</v>
      </c>
      <c r="AQ92" s="33" t="n">
        <f aca="false">AQ32+AQ42+AQ54+AQ62+AQ75+AQ83+AQ89</f>
        <v>131358656.863774</v>
      </c>
      <c r="AR92" s="33" t="n">
        <f aca="false">AR32+AR42+AR54+AR62+AR75+AR83+AR89</f>
        <v>131496286.46216</v>
      </c>
      <c r="AS92" s="33" t="n">
        <f aca="false">AS32+AS42+AS54+AS62+AS75+AS83+AS89</f>
        <v>131605360.836487</v>
      </c>
      <c r="AT92" s="33" t="n">
        <f aca="false">AT32+AT42+AT54+AT62+AT75+AT83+AT89</f>
        <v>131637792.673236</v>
      </c>
      <c r="AU92" s="33" t="n">
        <f aca="false">AU32+AU42+AU54+AU62+AU75+AU83+AU89</f>
        <v>145951123.03769</v>
      </c>
      <c r="AV92" s="33" t="n">
        <f aca="false">AV32+AV42+AV54+AV62+AV75+AV83+AV89</f>
        <v>145987563.449462</v>
      </c>
      <c r="AW92" s="33" t="n">
        <f aca="false">AW32+AW42+AW54+AW62+AW75+AW83+AW89</f>
        <v>146026190.285939</v>
      </c>
      <c r="AX92" s="33" t="n">
        <f aca="false">AX32+AX42+AX54+AX62+AX75+AX83+AX89</f>
        <v>146067134.732606</v>
      </c>
      <c r="AY92" s="33" t="n">
        <f aca="false">AY32+AY42+AY54+AY62+AY75+AY83+AY89</f>
        <v>146110535.846072</v>
      </c>
      <c r="AZ92" s="33" t="n">
        <f aca="false">AZ32+AZ42+AZ54+AZ62+AZ75+AZ83+AZ89</f>
        <v>146156541.026346</v>
      </c>
      <c r="BA92" s="33" t="n">
        <f aca="false">BA32+BA42+BA54+BA62+BA75+BA83+BA89</f>
        <v>167140132.756745</v>
      </c>
      <c r="BB92" s="33" t="n">
        <f aca="false">BB32+BB42+BB54+BB62+BB75+BB83+BB89</f>
        <v>167191824.177302</v>
      </c>
      <c r="BC92" s="33" t="n">
        <f aca="false">BC32+BC42+BC54+BC62+BC75+BC83+BC89</f>
        <v>167246617.083091</v>
      </c>
      <c r="BD92" s="33" t="n">
        <f aca="false">BD32+BD42+BD54+BD62+BD75+BD83+BD89</f>
        <v>167304697.563228</v>
      </c>
      <c r="BE92" s="33" t="n">
        <f aca="false">BE32+BE42+BE54+BE62+BE75+BE83+BE89</f>
        <v>167366262.872173</v>
      </c>
      <c r="BF92" s="33" t="n">
        <f aca="false">BF32+BF42+BF54+BF62+BF75+BF83+BF89</f>
        <v>167431522.099655</v>
      </c>
      <c r="BG92" s="33" t="n">
        <f aca="false">BG32+BG42+BG54+BG62+BG75+BG83+BG89</f>
        <v>167500696.880786</v>
      </c>
      <c r="BH92" s="33" t="n">
        <f aca="false">BH32+BH42+BH54+BH62+BH75+BH83+BH89</f>
        <v>167574022.148785</v>
      </c>
      <c r="BI92" s="33" t="n">
        <f aca="false">BI32+BI42+BI54+BI62+BI75+BI83+BI89</f>
        <v>167651746.932863</v>
      </c>
      <c r="BJ92" s="33" t="n">
        <f aca="false">BJ32+BJ42+BJ54+BJ62+BJ75+BJ83+BJ89</f>
        <v>167734135.203987</v>
      </c>
      <c r="BK92" s="33" t="n">
        <f aca="false">BK32+BK42+BK54+BK62+BK75+BK83+BK89</f>
        <v>167778609.080808</v>
      </c>
      <c r="BL92" s="33" t="n">
        <f aca="false">BL32+BL42+BL54+BL62+BL75+BL83+BL89</f>
        <v>167778609.080808</v>
      </c>
    </row>
    <row r="93" customFormat="false" ht="15" hidden="false" customHeight="false" outlineLevel="0" collapsed="false">
      <c r="A93" s="12" t="s">
        <v>672</v>
      </c>
      <c r="B93" s="14" t="s">
        <v>63</v>
      </c>
      <c r="D93" s="41" t="n">
        <f aca="false">SUM(E93:BL93)</f>
        <v>331872098.942616</v>
      </c>
      <c r="E93" s="33" t="n">
        <f aca="false">E92*Contingency_Pct</f>
        <v>1674081.02222222</v>
      </c>
      <c r="F93" s="33" t="n">
        <f aca="false">F92*Contingency_Pct</f>
        <v>2491404.28888889</v>
      </c>
      <c r="G93" s="33" t="n">
        <f aca="false">G92*Contingency_Pct</f>
        <v>3334358.02222222</v>
      </c>
      <c r="H93" s="33" t="n">
        <f aca="false">H92*Contingency_Pct</f>
        <v>2152805.15555556</v>
      </c>
      <c r="I93" s="33" t="n">
        <f aca="false">I92*Contingency_Pct</f>
        <v>2440125.15555556</v>
      </c>
      <c r="J93" s="33" t="n">
        <f aca="false">J92*Contingency_Pct</f>
        <v>2487491.01555556</v>
      </c>
      <c r="K93" s="33" t="n">
        <f aca="false">K92*Contingency_Pct</f>
        <v>2653783.36110556</v>
      </c>
      <c r="L93" s="33" t="n">
        <f aca="false">L92*Contingency_Pct</f>
        <v>2639426.74296643</v>
      </c>
      <c r="M93" s="33" t="n">
        <f aca="false">M92*Contingency_Pct</f>
        <v>2875154.22450602</v>
      </c>
      <c r="N93" s="33" t="n">
        <f aca="false">N92*Contingency_Pct</f>
        <v>2463269.9975293</v>
      </c>
      <c r="O93" s="33" t="n">
        <f aca="false">O92*Contingency_Pct</f>
        <v>2449143.26327565</v>
      </c>
      <c r="P93" s="33" t="n">
        <f aca="false">P92*Contingency_Pct</f>
        <v>2435077.68057999</v>
      </c>
      <c r="Q93" s="33" t="n">
        <f aca="false">Q92*Contingency_Pct</f>
        <v>3745248.82186685</v>
      </c>
      <c r="R93" s="33" t="n">
        <f aca="false">R92*Contingency_Pct</f>
        <v>3578324.40698753</v>
      </c>
      <c r="S93" s="33" t="n">
        <f aca="false">S92*Contingency_Pct</f>
        <v>3579591.51620679</v>
      </c>
      <c r="T93" s="33" t="n">
        <f aca="false">T92*Contingency_Pct</f>
        <v>4397031.64197919</v>
      </c>
      <c r="U93" s="33" t="n">
        <f aca="false">U92*Contingency_Pct</f>
        <v>3648455.36589794</v>
      </c>
      <c r="V93" s="33" t="n">
        <f aca="false">V92*Contingency_Pct</f>
        <v>3649964.51325182</v>
      </c>
      <c r="W93" s="33" t="n">
        <f aca="false">W92*Contingency_Pct</f>
        <v>4612891.59944693</v>
      </c>
      <c r="X93" s="33" t="n">
        <f aca="false">X92*Contingency_Pct</f>
        <v>4615037.27741375</v>
      </c>
      <c r="Y93" s="33" t="n">
        <f aca="false">Y92*Contingency_Pct</f>
        <v>4617311.69605857</v>
      </c>
      <c r="Z93" s="33" t="n">
        <f aca="false">Z92*Contingency_Pct</f>
        <v>4619722.57982209</v>
      </c>
      <c r="AA93" s="33" t="n">
        <f aca="false">AA92*Contingency_Pct</f>
        <v>4622278.11661141</v>
      </c>
      <c r="AB93" s="33" t="n">
        <f aca="false">AB92*Contingency_Pct</f>
        <v>4624986.9856081</v>
      </c>
      <c r="AC93" s="33" t="n">
        <f aca="false">AC92*Contingency_Pct</f>
        <v>5329731.46557791</v>
      </c>
      <c r="AD93" s="33" t="n">
        <f aca="false">AD92*Contingency_Pct</f>
        <v>5332775.15078259</v>
      </c>
      <c r="AE93" s="33" t="n">
        <f aca="false">AE92*Contingency_Pct</f>
        <v>5336001.45709955</v>
      </c>
      <c r="AF93" s="33" t="n">
        <f aca="false">AF92*Contingency_Pct</f>
        <v>5339421.34179552</v>
      </c>
      <c r="AG93" s="33" t="n">
        <f aca="false">AG92*Contingency_Pct</f>
        <v>5343046.41957325</v>
      </c>
      <c r="AH93" s="33" t="n">
        <f aca="false">AH92*Contingency_Pct</f>
        <v>5346889.00201764</v>
      </c>
      <c r="AI93" s="33" t="n">
        <f aca="false">AI92*Contingency_Pct</f>
        <v>5940921.1029087</v>
      </c>
      <c r="AJ93" s="33" t="n">
        <f aca="false">AJ92*Contingency_Pct</f>
        <v>5945238.62854322</v>
      </c>
      <c r="AK93" s="33" t="n">
        <f aca="false">AK92*Contingency_Pct</f>
        <v>5949815.20571582</v>
      </c>
      <c r="AL93" s="33" t="n">
        <f aca="false">AL92*Contingency_Pct</f>
        <v>5954666.37751877</v>
      </c>
      <c r="AM93" s="33" t="n">
        <f aca="false">AM92*Contingency_Pct</f>
        <v>5959808.61962989</v>
      </c>
      <c r="AN93" s="33" t="n">
        <f aca="false">AN92*Contingency_Pct</f>
        <v>5965259.39626769</v>
      </c>
      <c r="AO93" s="33" t="n">
        <f aca="false">AO92*Contingency_Pct</f>
        <v>6555316.38837041</v>
      </c>
      <c r="AP93" s="33" t="n">
        <f aca="false">AP92*Contingency_Pct</f>
        <v>6561440.88100064</v>
      </c>
      <c r="AQ93" s="33" t="n">
        <f aca="false">AQ92*Contingency_Pct</f>
        <v>6567932.84318868</v>
      </c>
      <c r="AR93" s="33" t="n">
        <f aca="false">AR92*Contingency_Pct</f>
        <v>6574814.323108</v>
      </c>
      <c r="AS93" s="33" t="n">
        <f aca="false">AS92*Contingency_Pct</f>
        <v>6580268.04182434</v>
      </c>
      <c r="AT93" s="33" t="n">
        <f aca="false">AT92*Contingency_Pct</f>
        <v>6581889.6336618</v>
      </c>
      <c r="AU93" s="33" t="n">
        <f aca="false">AU92*Contingency_Pct</f>
        <v>7297556.15188451</v>
      </c>
      <c r="AV93" s="33" t="n">
        <f aca="false">AV92*Contingency_Pct</f>
        <v>7299378.17247308</v>
      </c>
      <c r="AW93" s="33" t="n">
        <f aca="false">AW92*Contingency_Pct</f>
        <v>7301309.51429696</v>
      </c>
      <c r="AX93" s="33" t="n">
        <f aca="false">AX92*Contingency_Pct</f>
        <v>7303356.73663028</v>
      </c>
      <c r="AY93" s="33" t="n">
        <f aca="false">AY92*Contingency_Pct</f>
        <v>7305526.7923036</v>
      </c>
      <c r="AZ93" s="33" t="n">
        <f aca="false">AZ92*Contingency_Pct</f>
        <v>7307827.05131731</v>
      </c>
      <c r="BA93" s="33" t="n">
        <f aca="false">BA92*Contingency_Pct</f>
        <v>8357006.63783727</v>
      </c>
      <c r="BB93" s="33" t="n">
        <f aca="false">BB92*Contingency_Pct</f>
        <v>8359591.20886508</v>
      </c>
      <c r="BC93" s="33" t="n">
        <f aca="false">BC92*Contingency_Pct</f>
        <v>8362330.85415456</v>
      </c>
      <c r="BD93" s="33" t="n">
        <f aca="false">BD92*Contingency_Pct</f>
        <v>8365234.87816141</v>
      </c>
      <c r="BE93" s="33" t="n">
        <f aca="false">BE92*Contingency_Pct</f>
        <v>8368313.14360867</v>
      </c>
      <c r="BF93" s="33" t="n">
        <f aca="false">BF92*Contingency_Pct</f>
        <v>8371576.10498276</v>
      </c>
      <c r="BG93" s="33" t="n">
        <f aca="false">BG92*Contingency_Pct</f>
        <v>8375034.8440393</v>
      </c>
      <c r="BH93" s="33" t="n">
        <f aca="false">BH92*Contingency_Pct</f>
        <v>8378701.10743924</v>
      </c>
      <c r="BI93" s="33" t="n">
        <f aca="false">BI92*Contingency_Pct</f>
        <v>8382587.34664317</v>
      </c>
      <c r="BJ93" s="33" t="n">
        <f aca="false">BJ92*Contingency_Pct</f>
        <v>8386706.76019933</v>
      </c>
      <c r="BK93" s="33" t="n">
        <f aca="false">BK92*Contingency_Pct</f>
        <v>8388930.45404042</v>
      </c>
      <c r="BL93" s="33" t="n">
        <f aca="false">BL92*Contingency_Pct</f>
        <v>8388930.45404042</v>
      </c>
    </row>
    <row r="94" customFormat="false" ht="15" hidden="false" customHeight="false" outlineLevel="0" collapsed="false">
      <c r="A94" s="8" t="s">
        <v>673</v>
      </c>
      <c r="B94" s="14" t="s">
        <v>63</v>
      </c>
      <c r="D94" s="41" t="n">
        <f aca="false">SUM(E94:BL94)</f>
        <v>6969314077.79493</v>
      </c>
      <c r="E94" s="16" t="n">
        <f aca="false">E92+E93</f>
        <v>35155701.4666667</v>
      </c>
      <c r="F94" s="16" t="n">
        <f aca="false">F92+F93</f>
        <v>52319490.0666667</v>
      </c>
      <c r="G94" s="16" t="n">
        <f aca="false">G92+G93</f>
        <v>70021518.4666667</v>
      </c>
      <c r="H94" s="16" t="n">
        <f aca="false">H92+H93</f>
        <v>45208908.2666667</v>
      </c>
      <c r="I94" s="16" t="n">
        <f aca="false">I92+I93</f>
        <v>51242628.2666667</v>
      </c>
      <c r="J94" s="16" t="n">
        <f aca="false">J92+J93</f>
        <v>52237311.3266667</v>
      </c>
      <c r="K94" s="16" t="n">
        <f aca="false">K92+K93</f>
        <v>55729450.5832167</v>
      </c>
      <c r="L94" s="16" t="n">
        <f aca="false">L92+L93</f>
        <v>55427961.602295</v>
      </c>
      <c r="M94" s="16" t="n">
        <f aca="false">M92+M93</f>
        <v>60378238.7146264</v>
      </c>
      <c r="N94" s="16" t="n">
        <f aca="false">N92+N93</f>
        <v>51728669.9481154</v>
      </c>
      <c r="O94" s="16" t="n">
        <f aca="false">O92+O93</f>
        <v>51432008.5287887</v>
      </c>
      <c r="P94" s="16" t="n">
        <f aca="false">P92+P93</f>
        <v>51136631.2921798</v>
      </c>
      <c r="Q94" s="16" t="n">
        <f aca="false">Q92+Q93</f>
        <v>78650225.2592038</v>
      </c>
      <c r="R94" s="16" t="n">
        <f aca="false">R92+R93</f>
        <v>75144812.5467382</v>
      </c>
      <c r="S94" s="16" t="n">
        <f aca="false">S92+S93</f>
        <v>75171421.8403425</v>
      </c>
      <c r="T94" s="16" t="n">
        <f aca="false">T92+T93</f>
        <v>92337664.4815631</v>
      </c>
      <c r="U94" s="16" t="n">
        <f aca="false">U92+U93</f>
        <v>76617562.6838568</v>
      </c>
      <c r="V94" s="16" t="n">
        <f aca="false">V92+V93</f>
        <v>76649254.7782883</v>
      </c>
      <c r="W94" s="16" t="n">
        <f aca="false">W92+W93</f>
        <v>96870723.5883855</v>
      </c>
      <c r="X94" s="16" t="n">
        <f aca="false">X92+X93</f>
        <v>96915782.8256887</v>
      </c>
      <c r="Y94" s="16" t="n">
        <f aca="false">Y92+Y93</f>
        <v>96963545.61723</v>
      </c>
      <c r="Z94" s="16" t="n">
        <f aca="false">Z92+Z93</f>
        <v>97014174.1762638</v>
      </c>
      <c r="AA94" s="16" t="n">
        <f aca="false">AA92+AA93</f>
        <v>97067840.4488396</v>
      </c>
      <c r="AB94" s="16" t="n">
        <f aca="false">AB92+AB93</f>
        <v>97124726.69777</v>
      </c>
      <c r="AC94" s="16" t="n">
        <f aca="false">AC92+AC93</f>
        <v>111924360.777136</v>
      </c>
      <c r="AD94" s="16" t="n">
        <f aca="false">AD92+AD93</f>
        <v>111988278.166434</v>
      </c>
      <c r="AE94" s="16" t="n">
        <f aca="false">AE92+AE93</f>
        <v>112056030.59909</v>
      </c>
      <c r="AF94" s="16" t="n">
        <f aca="false">AF92+AF93</f>
        <v>112127848.177706</v>
      </c>
      <c r="AG94" s="16" t="n">
        <f aca="false">AG92+AG93</f>
        <v>112203974.811038</v>
      </c>
      <c r="AH94" s="16" t="n">
        <f aca="false">AH92+AH93</f>
        <v>112284669.042371</v>
      </c>
      <c r="AI94" s="16" t="n">
        <f aca="false">AI92+AI93</f>
        <v>124759343.161083</v>
      </c>
      <c r="AJ94" s="16" t="n">
        <f aca="false">AJ92+AJ93</f>
        <v>124850011.199408</v>
      </c>
      <c r="AK94" s="16" t="n">
        <f aca="false">AK92+AK93</f>
        <v>124946119.320032</v>
      </c>
      <c r="AL94" s="16" t="n">
        <f aca="false">AL92+AL93</f>
        <v>125047993.927894</v>
      </c>
      <c r="AM94" s="16" t="n">
        <f aca="false">AM92+AM93</f>
        <v>125155981.012228</v>
      </c>
      <c r="AN94" s="16" t="n">
        <f aca="false">AN92+AN93</f>
        <v>125270447.321621</v>
      </c>
      <c r="AO94" s="16" t="n">
        <f aca="false">AO92+AO93</f>
        <v>137661644.155779</v>
      </c>
      <c r="AP94" s="16" t="n">
        <f aca="false">AP92+AP93</f>
        <v>137790258.501013</v>
      </c>
      <c r="AQ94" s="16" t="n">
        <f aca="false">AQ92+AQ93</f>
        <v>137926589.706962</v>
      </c>
      <c r="AR94" s="16" t="n">
        <f aca="false">AR92+AR93</f>
        <v>138071100.785268</v>
      </c>
      <c r="AS94" s="16" t="n">
        <f aca="false">AS92+AS93</f>
        <v>138185628.878311</v>
      </c>
      <c r="AT94" s="16" t="n">
        <f aca="false">AT92+AT93</f>
        <v>138219682.306898</v>
      </c>
      <c r="AU94" s="16" t="n">
        <f aca="false">AU92+AU93</f>
        <v>153248679.189575</v>
      </c>
      <c r="AV94" s="16" t="n">
        <f aca="false">AV92+AV93</f>
        <v>153286941.621935</v>
      </c>
      <c r="AW94" s="16" t="n">
        <f aca="false">AW92+AW93</f>
        <v>153327499.800236</v>
      </c>
      <c r="AX94" s="16" t="n">
        <f aca="false">AX92+AX93</f>
        <v>153370491.469236</v>
      </c>
      <c r="AY94" s="16" t="n">
        <f aca="false">AY92+AY93</f>
        <v>153416062.638376</v>
      </c>
      <c r="AZ94" s="16" t="n">
        <f aca="false">AZ92+AZ93</f>
        <v>153464368.077664</v>
      </c>
      <c r="BA94" s="16" t="n">
        <f aca="false">BA92+BA93</f>
        <v>175497139.394583</v>
      </c>
      <c r="BB94" s="16" t="n">
        <f aca="false">BB92+BB93</f>
        <v>175551415.386167</v>
      </c>
      <c r="BC94" s="16" t="n">
        <f aca="false">BC92+BC93</f>
        <v>175608947.937246</v>
      </c>
      <c r="BD94" s="16" t="n">
        <f aca="false">BD92+BD93</f>
        <v>175669932.44139</v>
      </c>
      <c r="BE94" s="16" t="n">
        <f aca="false">BE92+BE93</f>
        <v>175734576.015782</v>
      </c>
      <c r="BF94" s="16" t="n">
        <f aca="false">BF92+BF93</f>
        <v>175803098.204638</v>
      </c>
      <c r="BG94" s="16" t="n">
        <f aca="false">BG92+BG93</f>
        <v>175875731.724825</v>
      </c>
      <c r="BH94" s="16" t="n">
        <f aca="false">BH92+BH93</f>
        <v>175952723.256224</v>
      </c>
      <c r="BI94" s="16" t="n">
        <f aca="false">BI92+BI93</f>
        <v>176034334.279506</v>
      </c>
      <c r="BJ94" s="16" t="n">
        <f aca="false">BJ92+BJ93</f>
        <v>176120841.964186</v>
      </c>
      <c r="BK94" s="16" t="n">
        <f aca="false">BK92+BK93</f>
        <v>176167539.534849</v>
      </c>
      <c r="BL94" s="16" t="n">
        <f aca="false">BL92+BL93</f>
        <v>176167539.534849</v>
      </c>
    </row>
    <row r="96" customFormat="false" ht="15" hidden="false" customHeight="false" outlineLevel="0" collapsed="false">
      <c r="A96" s="10" t="s">
        <v>674</v>
      </c>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row>
    <row r="97" customFormat="false" ht="15" hidden="false" customHeight="false" outlineLevel="0" collapsed="false">
      <c r="A97" s="12" t="s">
        <v>675</v>
      </c>
      <c r="B97" s="14" t="s">
        <v>63</v>
      </c>
      <c r="D97" s="41" t="n">
        <f aca="false">SUM(E97:BL97)</f>
        <v>58200000</v>
      </c>
      <c r="E97" s="33" t="n">
        <f aca="false">Staff!E184*Laptop_Cost</f>
        <v>4200000</v>
      </c>
      <c r="F97" s="33" t="n">
        <f aca="false">Staff!F184*Laptop_Cost</f>
        <v>600000</v>
      </c>
      <c r="G97" s="33" t="n">
        <f aca="false">Staff!G184*Laptop_Cost</f>
        <v>1200000</v>
      </c>
      <c r="H97" s="33" t="n">
        <f aca="false">Staff!H184*Laptop_Cost</f>
        <v>3600000</v>
      </c>
      <c r="I97" s="33" t="n">
        <f aca="false">Staff!I184*Laptop_Cost</f>
        <v>0</v>
      </c>
      <c r="J97" s="33" t="n">
        <f aca="false">Staff!J184*Laptop_Cost</f>
        <v>600000</v>
      </c>
      <c r="K97" s="33" t="n">
        <f aca="false">Staff!K184*Laptop_Cost</f>
        <v>2400000</v>
      </c>
      <c r="L97" s="33" t="n">
        <f aca="false">Staff!L184*Laptop_Cost</f>
        <v>0</v>
      </c>
      <c r="M97" s="33" t="n">
        <f aca="false">Staff!M184*Laptop_Cost</f>
        <v>0</v>
      </c>
      <c r="N97" s="33" t="n">
        <f aca="false">Staff!N184*Laptop_Cost</f>
        <v>600000</v>
      </c>
      <c r="O97" s="33" t="n">
        <f aca="false">Staff!O184*Laptop_Cost</f>
        <v>0</v>
      </c>
      <c r="P97" s="33" t="n">
        <f aca="false">Staff!P184*Laptop_Cost</f>
        <v>0</v>
      </c>
      <c r="Q97" s="33" t="n">
        <f aca="false">Staff!Q184*Laptop_Cost</f>
        <v>600000</v>
      </c>
      <c r="R97" s="33" t="n">
        <f aca="false">Staff!R184*Laptop_Cost</f>
        <v>0</v>
      </c>
      <c r="S97" s="33" t="n">
        <f aca="false">Staff!S184*Laptop_Cost</f>
        <v>0</v>
      </c>
      <c r="T97" s="33" t="n">
        <f aca="false">Staff!T184*Laptop_Cost</f>
        <v>600000</v>
      </c>
      <c r="U97" s="33" t="n">
        <f aca="false">Staff!U184*Laptop_Cost</f>
        <v>0</v>
      </c>
      <c r="V97" s="33" t="n">
        <f aca="false">Staff!V184*Laptop_Cost</f>
        <v>0</v>
      </c>
      <c r="W97" s="33" t="n">
        <f aca="false">Staff!W184*Laptop_Cost</f>
        <v>13200000</v>
      </c>
      <c r="X97" s="33" t="n">
        <f aca="false">Staff!X184*Laptop_Cost</f>
        <v>0</v>
      </c>
      <c r="Y97" s="33" t="n">
        <f aca="false">Staff!Y184*Laptop_Cost</f>
        <v>0</v>
      </c>
      <c r="Z97" s="33" t="n">
        <f aca="false">Staff!Z184*Laptop_Cost</f>
        <v>0</v>
      </c>
      <c r="AA97" s="33" t="n">
        <f aca="false">Staff!AA184*Laptop_Cost</f>
        <v>0</v>
      </c>
      <c r="AB97" s="33" t="n">
        <f aca="false">Staff!AB184*Laptop_Cost</f>
        <v>0</v>
      </c>
      <c r="AC97" s="33" t="n">
        <f aca="false">Staff!AC184*Laptop_Cost</f>
        <v>1800000</v>
      </c>
      <c r="AD97" s="33" t="n">
        <f aca="false">Staff!AD184*Laptop_Cost</f>
        <v>0</v>
      </c>
      <c r="AE97" s="33" t="n">
        <f aca="false">Staff!AE184*Laptop_Cost</f>
        <v>0</v>
      </c>
      <c r="AF97" s="33" t="n">
        <f aca="false">Staff!AF184*Laptop_Cost</f>
        <v>0</v>
      </c>
      <c r="AG97" s="33" t="n">
        <f aca="false">Staff!AG184*Laptop_Cost</f>
        <v>0</v>
      </c>
      <c r="AH97" s="33" t="n">
        <f aca="false">Staff!AH184*Laptop_Cost</f>
        <v>0</v>
      </c>
      <c r="AI97" s="33" t="n">
        <f aca="false">Staff!AI184*Laptop_Cost</f>
        <v>10200000</v>
      </c>
      <c r="AJ97" s="33" t="n">
        <f aca="false">Staff!AJ184*Laptop_Cost</f>
        <v>0</v>
      </c>
      <c r="AK97" s="33" t="n">
        <f aca="false">Staff!AK184*Laptop_Cost</f>
        <v>0</v>
      </c>
      <c r="AL97" s="33" t="n">
        <f aca="false">Staff!AL184*Laptop_Cost</f>
        <v>0</v>
      </c>
      <c r="AM97" s="33" t="n">
        <f aca="false">Staff!AM184*Laptop_Cost</f>
        <v>0</v>
      </c>
      <c r="AN97" s="33" t="n">
        <f aca="false">Staff!AN184*Laptop_Cost</f>
        <v>0</v>
      </c>
      <c r="AO97" s="33" t="n">
        <f aca="false">Staff!AO184*Laptop_Cost</f>
        <v>1200000</v>
      </c>
      <c r="AP97" s="33" t="n">
        <f aca="false">Staff!AP184*Laptop_Cost</f>
        <v>0</v>
      </c>
      <c r="AQ97" s="33" t="n">
        <f aca="false">Staff!AQ184*Laptop_Cost</f>
        <v>0</v>
      </c>
      <c r="AR97" s="33" t="n">
        <f aca="false">Staff!AR184*Laptop_Cost</f>
        <v>0</v>
      </c>
      <c r="AS97" s="33" t="n">
        <f aca="false">Staff!AS184*Laptop_Cost</f>
        <v>0</v>
      </c>
      <c r="AT97" s="33" t="n">
        <f aca="false">Staff!AT184*Laptop_Cost</f>
        <v>0</v>
      </c>
      <c r="AU97" s="33" t="n">
        <f aca="false">Staff!AU184*Laptop_Cost</f>
        <v>10800000</v>
      </c>
      <c r="AV97" s="33" t="n">
        <f aca="false">Staff!AV184*Laptop_Cost</f>
        <v>0</v>
      </c>
      <c r="AW97" s="33" t="n">
        <f aca="false">Staff!AW184*Laptop_Cost</f>
        <v>0</v>
      </c>
      <c r="AX97" s="33" t="n">
        <f aca="false">Staff!AX184*Laptop_Cost</f>
        <v>0</v>
      </c>
      <c r="AY97" s="33" t="n">
        <f aca="false">Staff!AY184*Laptop_Cost</f>
        <v>0</v>
      </c>
      <c r="AZ97" s="33" t="n">
        <f aca="false">Staff!AZ184*Laptop_Cost</f>
        <v>0</v>
      </c>
      <c r="BA97" s="33" t="n">
        <f aca="false">Staff!BA184*Laptop_Cost</f>
        <v>6600000</v>
      </c>
      <c r="BB97" s="33" t="n">
        <f aca="false">Staff!BB184*Laptop_Cost</f>
        <v>0</v>
      </c>
      <c r="BC97" s="33" t="n">
        <f aca="false">Staff!BC184*Laptop_Cost</f>
        <v>0</v>
      </c>
      <c r="BD97" s="33" t="n">
        <f aca="false">Staff!BD184*Laptop_Cost</f>
        <v>0</v>
      </c>
      <c r="BE97" s="33" t="n">
        <f aca="false">Staff!BE184*Laptop_Cost</f>
        <v>0</v>
      </c>
      <c r="BF97" s="33" t="n">
        <f aca="false">Staff!BF184*Laptop_Cost</f>
        <v>0</v>
      </c>
      <c r="BG97" s="33" t="n">
        <f aca="false">Staff!BG184*Laptop_Cost</f>
        <v>0</v>
      </c>
      <c r="BH97" s="33" t="n">
        <f aca="false">Staff!BH184*Laptop_Cost</f>
        <v>0</v>
      </c>
      <c r="BI97" s="33" t="n">
        <f aca="false">Staff!BI184*Laptop_Cost</f>
        <v>0</v>
      </c>
      <c r="BJ97" s="33" t="n">
        <f aca="false">Staff!BJ184*Laptop_Cost</f>
        <v>0</v>
      </c>
      <c r="BK97" s="33" t="n">
        <f aca="false">Staff!BK184*Laptop_Cost</f>
        <v>0</v>
      </c>
      <c r="BL97" s="33" t="n">
        <f aca="false">Staff!BL184*Laptop_Cost</f>
        <v>0</v>
      </c>
    </row>
    <row r="98" customFormat="false" ht="15" hidden="false" customHeight="false" outlineLevel="0" collapsed="false">
      <c r="A98" s="12" t="s">
        <v>676</v>
      </c>
      <c r="B98" s="14" t="s">
        <v>63</v>
      </c>
      <c r="D98" s="41" t="n">
        <f aca="false">SUM(E98:BL98)</f>
        <v>34300000</v>
      </c>
      <c r="E98" s="33" t="n">
        <f aca="false">IF(E$3=IF(E$5=1,Office_Start,(E$5-1)*12+1),INDEX(Fitout,1,E$5),0)</f>
        <v>0</v>
      </c>
      <c r="F98" s="33" t="n">
        <f aca="false">IF(F$3=IF(F$5=1,Office_Start,(F$5-1)*12+1),INDEX(Fitout,1,F$5),0)</f>
        <v>0</v>
      </c>
      <c r="G98" s="33" t="n">
        <f aca="false">IF(G$3=IF(G$5=1,Office_Start,(G$5-1)*12+1),INDEX(Fitout,1,G$5),0)</f>
        <v>0</v>
      </c>
      <c r="H98" s="33" t="n">
        <f aca="false">IF(H$3=IF(H$5=1,Office_Start,(H$5-1)*12+1),INDEX(Fitout,1,H$5),0)</f>
        <v>13300000</v>
      </c>
      <c r="I98" s="33" t="n">
        <f aca="false">IF(I$3=IF(I$5=1,Office_Start,(I$5-1)*12+1),INDEX(Fitout,1,I$5),0)</f>
        <v>0</v>
      </c>
      <c r="J98" s="33" t="n">
        <f aca="false">IF(J$3=IF(J$5=1,Office_Start,(J$5-1)*12+1),INDEX(Fitout,1,J$5),0)</f>
        <v>0</v>
      </c>
      <c r="K98" s="33" t="n">
        <f aca="false">IF(K$3=IF(K$5=1,Office_Start,(K$5-1)*12+1),INDEX(Fitout,1,K$5),0)</f>
        <v>0</v>
      </c>
      <c r="L98" s="33" t="n">
        <f aca="false">IF(L$3=IF(L$5=1,Office_Start,(L$5-1)*12+1),INDEX(Fitout,1,L$5),0)</f>
        <v>0</v>
      </c>
      <c r="M98" s="33" t="n">
        <f aca="false">IF(M$3=IF(M$5=1,Office_Start,(M$5-1)*12+1),INDEX(Fitout,1,M$5),0)</f>
        <v>0</v>
      </c>
      <c r="N98" s="33" t="n">
        <f aca="false">IF(N$3=IF(N$5=1,Office_Start,(N$5-1)*12+1),INDEX(Fitout,1,N$5),0)</f>
        <v>0</v>
      </c>
      <c r="O98" s="33" t="n">
        <f aca="false">IF(O$3=IF(O$5=1,Office_Start,(O$5-1)*12+1),INDEX(Fitout,1,O$5),0)</f>
        <v>0</v>
      </c>
      <c r="P98" s="33" t="n">
        <f aca="false">IF(P$3=IF(P$5=1,Office_Start,(P$5-1)*12+1),INDEX(Fitout,1,P$5),0)</f>
        <v>0</v>
      </c>
      <c r="Q98" s="33" t="n">
        <f aca="false">IF(Q$3=IF(Q$5=1,Office_Start,(Q$5-1)*12+1),INDEX(Fitout,1,Q$5),0)</f>
        <v>5000000</v>
      </c>
      <c r="R98" s="33" t="n">
        <f aca="false">IF(R$3=IF(R$5=1,Office_Start,(R$5-1)*12+1),INDEX(Fitout,1,R$5),0)</f>
        <v>0</v>
      </c>
      <c r="S98" s="33" t="n">
        <f aca="false">IF(S$3=IF(S$5=1,Office_Start,(S$5-1)*12+1),INDEX(Fitout,1,S$5),0)</f>
        <v>0</v>
      </c>
      <c r="T98" s="33" t="n">
        <f aca="false">IF(T$3=IF(T$5=1,Office_Start,(T$5-1)*12+1),INDEX(Fitout,1,T$5),0)</f>
        <v>0</v>
      </c>
      <c r="U98" s="33" t="n">
        <f aca="false">IF(U$3=IF(U$5=1,Office_Start,(U$5-1)*12+1),INDEX(Fitout,1,U$5),0)</f>
        <v>0</v>
      </c>
      <c r="V98" s="33" t="n">
        <f aca="false">IF(V$3=IF(V$5=1,Office_Start,(V$5-1)*12+1),INDEX(Fitout,1,V$5),0)</f>
        <v>0</v>
      </c>
      <c r="W98" s="33" t="n">
        <f aca="false">IF(W$3=IF(W$5=1,Office_Start,(W$5-1)*12+1),INDEX(Fitout,1,W$5),0)</f>
        <v>0</v>
      </c>
      <c r="X98" s="33" t="n">
        <f aca="false">IF(X$3=IF(X$5=1,Office_Start,(X$5-1)*12+1),INDEX(Fitout,1,X$5),0)</f>
        <v>0</v>
      </c>
      <c r="Y98" s="33" t="n">
        <f aca="false">IF(Y$3=IF(Y$5=1,Office_Start,(Y$5-1)*12+1),INDEX(Fitout,1,Y$5),0)</f>
        <v>0</v>
      </c>
      <c r="Z98" s="33" t="n">
        <f aca="false">IF(Z$3=IF(Z$5=1,Office_Start,(Z$5-1)*12+1),INDEX(Fitout,1,Z$5),0)</f>
        <v>0</v>
      </c>
      <c r="AA98" s="33" t="n">
        <f aca="false">IF(AA$3=IF(AA$5=1,Office_Start,(AA$5-1)*12+1),INDEX(Fitout,1,AA$5),0)</f>
        <v>0</v>
      </c>
      <c r="AB98" s="33" t="n">
        <f aca="false">IF(AB$3=IF(AB$5=1,Office_Start,(AB$5-1)*12+1),INDEX(Fitout,1,AB$5),0)</f>
        <v>0</v>
      </c>
      <c r="AC98" s="33" t="n">
        <f aca="false">IF(AC$3=IF(AC$5=1,Office_Start,(AC$5-1)*12+1),INDEX(Fitout,1,AC$5),0)</f>
        <v>6000000</v>
      </c>
      <c r="AD98" s="33" t="n">
        <f aca="false">IF(AD$3=IF(AD$5=1,Office_Start,(AD$5-1)*12+1),INDEX(Fitout,1,AD$5),0)</f>
        <v>0</v>
      </c>
      <c r="AE98" s="33" t="n">
        <f aca="false">IF(AE$3=IF(AE$5=1,Office_Start,(AE$5-1)*12+1),INDEX(Fitout,1,AE$5),0)</f>
        <v>0</v>
      </c>
      <c r="AF98" s="33" t="n">
        <f aca="false">IF(AF$3=IF(AF$5=1,Office_Start,(AF$5-1)*12+1),INDEX(Fitout,1,AF$5),0)</f>
        <v>0</v>
      </c>
      <c r="AG98" s="33" t="n">
        <f aca="false">IF(AG$3=IF(AG$5=1,Office_Start,(AG$5-1)*12+1),INDEX(Fitout,1,AG$5),0)</f>
        <v>0</v>
      </c>
      <c r="AH98" s="33" t="n">
        <f aca="false">IF(AH$3=IF(AH$5=1,Office_Start,(AH$5-1)*12+1),INDEX(Fitout,1,AH$5),0)</f>
        <v>0</v>
      </c>
      <c r="AI98" s="33" t="n">
        <f aca="false">IF(AI$3=IF(AI$5=1,Office_Start,(AI$5-1)*12+1),INDEX(Fitout,1,AI$5),0)</f>
        <v>0</v>
      </c>
      <c r="AJ98" s="33" t="n">
        <f aca="false">IF(AJ$3=IF(AJ$5=1,Office_Start,(AJ$5-1)*12+1),INDEX(Fitout,1,AJ$5),0)</f>
        <v>0</v>
      </c>
      <c r="AK98" s="33" t="n">
        <f aca="false">IF(AK$3=IF(AK$5=1,Office_Start,(AK$5-1)*12+1),INDEX(Fitout,1,AK$5),0)</f>
        <v>0</v>
      </c>
      <c r="AL98" s="33" t="n">
        <f aca="false">IF(AL$3=IF(AL$5=1,Office_Start,(AL$5-1)*12+1),INDEX(Fitout,1,AL$5),0)</f>
        <v>0</v>
      </c>
      <c r="AM98" s="33" t="n">
        <f aca="false">IF(AM$3=IF(AM$5=1,Office_Start,(AM$5-1)*12+1),INDEX(Fitout,1,AM$5),0)</f>
        <v>0</v>
      </c>
      <c r="AN98" s="33" t="n">
        <f aca="false">IF(AN$3=IF(AN$5=1,Office_Start,(AN$5-1)*12+1),INDEX(Fitout,1,AN$5),0)</f>
        <v>0</v>
      </c>
      <c r="AO98" s="33" t="n">
        <f aca="false">IF(AO$3=IF(AO$5=1,Office_Start,(AO$5-1)*12+1),INDEX(Fitout,1,AO$5),0)</f>
        <v>5000000</v>
      </c>
      <c r="AP98" s="33" t="n">
        <f aca="false">IF(AP$3=IF(AP$5=1,Office_Start,(AP$5-1)*12+1),INDEX(Fitout,1,AP$5),0)</f>
        <v>0</v>
      </c>
      <c r="AQ98" s="33" t="n">
        <f aca="false">IF(AQ$3=IF(AQ$5=1,Office_Start,(AQ$5-1)*12+1),INDEX(Fitout,1,AQ$5),0)</f>
        <v>0</v>
      </c>
      <c r="AR98" s="33" t="n">
        <f aca="false">IF(AR$3=IF(AR$5=1,Office_Start,(AR$5-1)*12+1),INDEX(Fitout,1,AR$5),0)</f>
        <v>0</v>
      </c>
      <c r="AS98" s="33" t="n">
        <f aca="false">IF(AS$3=IF(AS$5=1,Office_Start,(AS$5-1)*12+1),INDEX(Fitout,1,AS$5),0)</f>
        <v>0</v>
      </c>
      <c r="AT98" s="33" t="n">
        <f aca="false">IF(AT$3=IF(AT$5=1,Office_Start,(AT$5-1)*12+1),INDEX(Fitout,1,AT$5),0)</f>
        <v>0</v>
      </c>
      <c r="AU98" s="33" t="n">
        <f aca="false">IF(AU$3=IF(AU$5=1,Office_Start,(AU$5-1)*12+1),INDEX(Fitout,1,AU$5),0)</f>
        <v>0</v>
      </c>
      <c r="AV98" s="33" t="n">
        <f aca="false">IF(AV$3=IF(AV$5=1,Office_Start,(AV$5-1)*12+1),INDEX(Fitout,1,AV$5),0)</f>
        <v>0</v>
      </c>
      <c r="AW98" s="33" t="n">
        <f aca="false">IF(AW$3=IF(AW$5=1,Office_Start,(AW$5-1)*12+1),INDEX(Fitout,1,AW$5),0)</f>
        <v>0</v>
      </c>
      <c r="AX98" s="33" t="n">
        <f aca="false">IF(AX$3=IF(AX$5=1,Office_Start,(AX$5-1)*12+1),INDEX(Fitout,1,AX$5),0)</f>
        <v>0</v>
      </c>
      <c r="AY98" s="33" t="n">
        <f aca="false">IF(AY$3=IF(AY$5=1,Office_Start,(AY$5-1)*12+1),INDEX(Fitout,1,AY$5),0)</f>
        <v>0</v>
      </c>
      <c r="AZ98" s="33" t="n">
        <f aca="false">IF(AZ$3=IF(AZ$5=1,Office_Start,(AZ$5-1)*12+1),INDEX(Fitout,1,AZ$5),0)</f>
        <v>0</v>
      </c>
      <c r="BA98" s="33" t="n">
        <f aca="false">IF(BA$3=IF(BA$5=1,Office_Start,(BA$5-1)*12+1),INDEX(Fitout,1,BA$5),0)</f>
        <v>5000000</v>
      </c>
      <c r="BB98" s="33" t="n">
        <f aca="false">IF(BB$3=IF(BB$5=1,Office_Start,(BB$5-1)*12+1),INDEX(Fitout,1,BB$5),0)</f>
        <v>0</v>
      </c>
      <c r="BC98" s="33" t="n">
        <f aca="false">IF(BC$3=IF(BC$5=1,Office_Start,(BC$5-1)*12+1),INDEX(Fitout,1,BC$5),0)</f>
        <v>0</v>
      </c>
      <c r="BD98" s="33" t="n">
        <f aca="false">IF(BD$3=IF(BD$5=1,Office_Start,(BD$5-1)*12+1),INDEX(Fitout,1,BD$5),0)</f>
        <v>0</v>
      </c>
      <c r="BE98" s="33" t="n">
        <f aca="false">IF(BE$3=IF(BE$5=1,Office_Start,(BE$5-1)*12+1),INDEX(Fitout,1,BE$5),0)</f>
        <v>0</v>
      </c>
      <c r="BF98" s="33" t="n">
        <f aca="false">IF(BF$3=IF(BF$5=1,Office_Start,(BF$5-1)*12+1),INDEX(Fitout,1,BF$5),0)</f>
        <v>0</v>
      </c>
      <c r="BG98" s="33" t="n">
        <f aca="false">IF(BG$3=IF(BG$5=1,Office_Start,(BG$5-1)*12+1),INDEX(Fitout,1,BG$5),0)</f>
        <v>0</v>
      </c>
      <c r="BH98" s="33" t="n">
        <f aca="false">IF(BH$3=IF(BH$5=1,Office_Start,(BH$5-1)*12+1),INDEX(Fitout,1,BH$5),0)</f>
        <v>0</v>
      </c>
      <c r="BI98" s="33" t="n">
        <f aca="false">IF(BI$3=IF(BI$5=1,Office_Start,(BI$5-1)*12+1),INDEX(Fitout,1,BI$5),0)</f>
        <v>0</v>
      </c>
      <c r="BJ98" s="33" t="n">
        <f aca="false">IF(BJ$3=IF(BJ$5=1,Office_Start,(BJ$5-1)*12+1),INDEX(Fitout,1,BJ$5),0)</f>
        <v>0</v>
      </c>
      <c r="BK98" s="33" t="n">
        <f aca="false">IF(BK$3=IF(BK$5=1,Office_Start,(BK$5-1)*12+1),INDEX(Fitout,1,BK$5),0)</f>
        <v>0</v>
      </c>
      <c r="BL98" s="33" t="n">
        <f aca="false">IF(BL$3=IF(BL$5=1,Office_Start,(BL$5-1)*12+1),INDEX(Fitout,1,BL$5),0)</f>
        <v>0</v>
      </c>
    </row>
    <row r="99" customFormat="false" ht="15" hidden="false" customHeight="false" outlineLevel="0" collapsed="false">
      <c r="A99" s="8" t="s">
        <v>677</v>
      </c>
      <c r="B99" s="14" t="s">
        <v>63</v>
      </c>
      <c r="D99" s="41" t="n">
        <f aca="false">SUM(E99:BL99)</f>
        <v>92500000</v>
      </c>
      <c r="E99" s="16" t="n">
        <f aca="false">E97+E98</f>
        <v>4200000</v>
      </c>
      <c r="F99" s="16" t="n">
        <f aca="false">F97+F98</f>
        <v>600000</v>
      </c>
      <c r="G99" s="16" t="n">
        <f aca="false">G97+G98</f>
        <v>1200000</v>
      </c>
      <c r="H99" s="16" t="n">
        <f aca="false">H97+H98</f>
        <v>16900000</v>
      </c>
      <c r="I99" s="16" t="n">
        <f aca="false">I97+I98</f>
        <v>0</v>
      </c>
      <c r="J99" s="16" t="n">
        <f aca="false">J97+J98</f>
        <v>600000</v>
      </c>
      <c r="K99" s="16" t="n">
        <f aca="false">K97+K98</f>
        <v>2400000</v>
      </c>
      <c r="L99" s="16" t="n">
        <f aca="false">L97+L98</f>
        <v>0</v>
      </c>
      <c r="M99" s="16" t="n">
        <f aca="false">M97+M98</f>
        <v>0</v>
      </c>
      <c r="N99" s="16" t="n">
        <f aca="false">N97+N98</f>
        <v>600000</v>
      </c>
      <c r="O99" s="16" t="n">
        <f aca="false">O97+O98</f>
        <v>0</v>
      </c>
      <c r="P99" s="16" t="n">
        <f aca="false">P97+P98</f>
        <v>0</v>
      </c>
      <c r="Q99" s="16" t="n">
        <f aca="false">Q97+Q98</f>
        <v>5600000</v>
      </c>
      <c r="R99" s="16" t="n">
        <f aca="false">R97+R98</f>
        <v>0</v>
      </c>
      <c r="S99" s="16" t="n">
        <f aca="false">S97+S98</f>
        <v>0</v>
      </c>
      <c r="T99" s="16" t="n">
        <f aca="false">T97+T98</f>
        <v>600000</v>
      </c>
      <c r="U99" s="16" t="n">
        <f aca="false">U97+U98</f>
        <v>0</v>
      </c>
      <c r="V99" s="16" t="n">
        <f aca="false">V97+V98</f>
        <v>0</v>
      </c>
      <c r="W99" s="16" t="n">
        <f aca="false">W97+W98</f>
        <v>13200000</v>
      </c>
      <c r="X99" s="16" t="n">
        <f aca="false">X97+X98</f>
        <v>0</v>
      </c>
      <c r="Y99" s="16" t="n">
        <f aca="false">Y97+Y98</f>
        <v>0</v>
      </c>
      <c r="Z99" s="16" t="n">
        <f aca="false">Z97+Z98</f>
        <v>0</v>
      </c>
      <c r="AA99" s="16" t="n">
        <f aca="false">AA97+AA98</f>
        <v>0</v>
      </c>
      <c r="AB99" s="16" t="n">
        <f aca="false">AB97+AB98</f>
        <v>0</v>
      </c>
      <c r="AC99" s="16" t="n">
        <f aca="false">AC97+AC98</f>
        <v>7800000</v>
      </c>
      <c r="AD99" s="16" t="n">
        <f aca="false">AD97+AD98</f>
        <v>0</v>
      </c>
      <c r="AE99" s="16" t="n">
        <f aca="false">AE97+AE98</f>
        <v>0</v>
      </c>
      <c r="AF99" s="16" t="n">
        <f aca="false">AF97+AF98</f>
        <v>0</v>
      </c>
      <c r="AG99" s="16" t="n">
        <f aca="false">AG97+AG98</f>
        <v>0</v>
      </c>
      <c r="AH99" s="16" t="n">
        <f aca="false">AH97+AH98</f>
        <v>0</v>
      </c>
      <c r="AI99" s="16" t="n">
        <f aca="false">AI97+AI98</f>
        <v>10200000</v>
      </c>
      <c r="AJ99" s="16" t="n">
        <f aca="false">AJ97+AJ98</f>
        <v>0</v>
      </c>
      <c r="AK99" s="16" t="n">
        <f aca="false">AK97+AK98</f>
        <v>0</v>
      </c>
      <c r="AL99" s="16" t="n">
        <f aca="false">AL97+AL98</f>
        <v>0</v>
      </c>
      <c r="AM99" s="16" t="n">
        <f aca="false">AM97+AM98</f>
        <v>0</v>
      </c>
      <c r="AN99" s="16" t="n">
        <f aca="false">AN97+AN98</f>
        <v>0</v>
      </c>
      <c r="AO99" s="16" t="n">
        <f aca="false">AO97+AO98</f>
        <v>6200000</v>
      </c>
      <c r="AP99" s="16" t="n">
        <f aca="false">AP97+AP98</f>
        <v>0</v>
      </c>
      <c r="AQ99" s="16" t="n">
        <f aca="false">AQ97+AQ98</f>
        <v>0</v>
      </c>
      <c r="AR99" s="16" t="n">
        <f aca="false">AR97+AR98</f>
        <v>0</v>
      </c>
      <c r="AS99" s="16" t="n">
        <f aca="false">AS97+AS98</f>
        <v>0</v>
      </c>
      <c r="AT99" s="16" t="n">
        <f aca="false">AT97+AT98</f>
        <v>0</v>
      </c>
      <c r="AU99" s="16" t="n">
        <f aca="false">AU97+AU98</f>
        <v>10800000</v>
      </c>
      <c r="AV99" s="16" t="n">
        <f aca="false">AV97+AV98</f>
        <v>0</v>
      </c>
      <c r="AW99" s="16" t="n">
        <f aca="false">AW97+AW98</f>
        <v>0</v>
      </c>
      <c r="AX99" s="16" t="n">
        <f aca="false">AX97+AX98</f>
        <v>0</v>
      </c>
      <c r="AY99" s="16" t="n">
        <f aca="false">AY97+AY98</f>
        <v>0</v>
      </c>
      <c r="AZ99" s="16" t="n">
        <f aca="false">AZ97+AZ98</f>
        <v>0</v>
      </c>
      <c r="BA99" s="16" t="n">
        <f aca="false">BA97+BA98</f>
        <v>11600000</v>
      </c>
      <c r="BB99" s="16" t="n">
        <f aca="false">BB97+BB98</f>
        <v>0</v>
      </c>
      <c r="BC99" s="16" t="n">
        <f aca="false">BC97+BC98</f>
        <v>0</v>
      </c>
      <c r="BD99" s="16" t="n">
        <f aca="false">BD97+BD98</f>
        <v>0</v>
      </c>
      <c r="BE99" s="16" t="n">
        <f aca="false">BE97+BE98</f>
        <v>0</v>
      </c>
      <c r="BF99" s="16" t="n">
        <f aca="false">BF97+BF98</f>
        <v>0</v>
      </c>
      <c r="BG99" s="16" t="n">
        <f aca="false">BG97+BG98</f>
        <v>0</v>
      </c>
      <c r="BH99" s="16" t="n">
        <f aca="false">BH97+BH98</f>
        <v>0</v>
      </c>
      <c r="BI99" s="16" t="n">
        <f aca="false">BI97+BI98</f>
        <v>0</v>
      </c>
      <c r="BJ99" s="16" t="n">
        <f aca="false">BJ97+BJ98</f>
        <v>0</v>
      </c>
      <c r="BK99" s="16" t="n">
        <f aca="false">BK97+BK98</f>
        <v>0</v>
      </c>
      <c r="BL99" s="16" t="n">
        <f aca="false">BL97+BL98</f>
        <v>0</v>
      </c>
    </row>
    <row r="100" customFormat="false" ht="15" hidden="false" customHeight="false" outlineLevel="0" collapsed="false">
      <c r="A100" s="12" t="s">
        <v>678</v>
      </c>
      <c r="B100" s="14" t="s">
        <v>63</v>
      </c>
      <c r="D100" s="41" t="n">
        <f aca="false">SUM(E100:BL100)</f>
        <v>75600000</v>
      </c>
      <c r="E100" s="33" t="n">
        <f aca="true">SUM(OFFSET(E99,0,1-MIN(Dep_Months,E$3),1,MIN(Dep_Months,E$3)))/Dep_Months</f>
        <v>116666.666666667</v>
      </c>
      <c r="F100" s="33" t="n">
        <f aca="true">SUM(OFFSET(F99,0,1-MIN(Dep_Months,F$3),1,MIN(Dep_Months,F$3)))/Dep_Months</f>
        <v>133333.333333333</v>
      </c>
      <c r="G100" s="33" t="n">
        <f aca="true">SUM(OFFSET(G99,0,1-MIN(Dep_Months,G$3),1,MIN(Dep_Months,G$3)))/Dep_Months</f>
        <v>166666.666666667</v>
      </c>
      <c r="H100" s="33" t="n">
        <f aca="true">SUM(OFFSET(H99,0,1-MIN(Dep_Months,H$3),1,MIN(Dep_Months,H$3)))/Dep_Months</f>
        <v>636111.111111111</v>
      </c>
      <c r="I100" s="33" t="n">
        <f aca="true">SUM(OFFSET(I99,0,1-MIN(Dep_Months,I$3),1,MIN(Dep_Months,I$3)))/Dep_Months</f>
        <v>636111.111111111</v>
      </c>
      <c r="J100" s="33" t="n">
        <f aca="true">SUM(OFFSET(J99,0,1-MIN(Dep_Months,J$3),1,MIN(Dep_Months,J$3)))/Dep_Months</f>
        <v>652777.777777778</v>
      </c>
      <c r="K100" s="33" t="n">
        <f aca="true">SUM(OFFSET(K99,0,1-MIN(Dep_Months,K$3),1,MIN(Dep_Months,K$3)))/Dep_Months</f>
        <v>719444.444444445</v>
      </c>
      <c r="L100" s="33" t="n">
        <f aca="true">SUM(OFFSET(L99,0,1-MIN(Dep_Months,L$3),1,MIN(Dep_Months,L$3)))/Dep_Months</f>
        <v>719444.444444445</v>
      </c>
      <c r="M100" s="33" t="n">
        <f aca="true">SUM(OFFSET(M99,0,1-MIN(Dep_Months,M$3),1,MIN(Dep_Months,M$3)))/Dep_Months</f>
        <v>719444.444444445</v>
      </c>
      <c r="N100" s="33" t="n">
        <f aca="true">SUM(OFFSET(N99,0,1-MIN(Dep_Months,N$3),1,MIN(Dep_Months,N$3)))/Dep_Months</f>
        <v>736111.111111111</v>
      </c>
      <c r="O100" s="33" t="n">
        <f aca="true">SUM(OFFSET(O99,0,1-MIN(Dep_Months,O$3),1,MIN(Dep_Months,O$3)))/Dep_Months</f>
        <v>736111.111111111</v>
      </c>
      <c r="P100" s="33" t="n">
        <f aca="true">SUM(OFFSET(P99,0,1-MIN(Dep_Months,P$3),1,MIN(Dep_Months,P$3)))/Dep_Months</f>
        <v>736111.111111111</v>
      </c>
      <c r="Q100" s="33" t="n">
        <f aca="true">SUM(OFFSET(Q99,0,1-MIN(Dep_Months,Q$3),1,MIN(Dep_Months,Q$3)))/Dep_Months</f>
        <v>891666.666666667</v>
      </c>
      <c r="R100" s="33" t="n">
        <f aca="true">SUM(OFFSET(R99,0,1-MIN(Dep_Months,R$3),1,MIN(Dep_Months,R$3)))/Dep_Months</f>
        <v>891666.666666667</v>
      </c>
      <c r="S100" s="33" t="n">
        <f aca="true">SUM(OFFSET(S99,0,1-MIN(Dep_Months,S$3),1,MIN(Dep_Months,S$3)))/Dep_Months</f>
        <v>891666.666666667</v>
      </c>
      <c r="T100" s="33" t="n">
        <f aca="true">SUM(OFFSET(T99,0,1-MIN(Dep_Months,T$3),1,MIN(Dep_Months,T$3)))/Dep_Months</f>
        <v>908333.333333333</v>
      </c>
      <c r="U100" s="33" t="n">
        <f aca="true">SUM(OFFSET(U99,0,1-MIN(Dep_Months,U$3),1,MIN(Dep_Months,U$3)))/Dep_Months</f>
        <v>908333.333333333</v>
      </c>
      <c r="V100" s="33" t="n">
        <f aca="true">SUM(OFFSET(V99,0,1-MIN(Dep_Months,V$3),1,MIN(Dep_Months,V$3)))/Dep_Months</f>
        <v>908333.333333333</v>
      </c>
      <c r="W100" s="33" t="n">
        <f aca="true">SUM(OFFSET(W99,0,1-MIN(Dep_Months,W$3),1,MIN(Dep_Months,W$3)))/Dep_Months</f>
        <v>1275000</v>
      </c>
      <c r="X100" s="33" t="n">
        <f aca="true">SUM(OFFSET(X99,0,1-MIN(Dep_Months,X$3),1,MIN(Dep_Months,X$3)))/Dep_Months</f>
        <v>1275000</v>
      </c>
      <c r="Y100" s="33" t="n">
        <f aca="true">SUM(OFFSET(Y99,0,1-MIN(Dep_Months,Y$3),1,MIN(Dep_Months,Y$3)))/Dep_Months</f>
        <v>1275000</v>
      </c>
      <c r="Z100" s="33" t="n">
        <f aca="true">SUM(OFFSET(Z99,0,1-MIN(Dep_Months,Z$3),1,MIN(Dep_Months,Z$3)))/Dep_Months</f>
        <v>1275000</v>
      </c>
      <c r="AA100" s="33" t="n">
        <f aca="true">SUM(OFFSET(AA99,0,1-MIN(Dep_Months,AA$3),1,MIN(Dep_Months,AA$3)))/Dep_Months</f>
        <v>1275000</v>
      </c>
      <c r="AB100" s="33" t="n">
        <f aca="true">SUM(OFFSET(AB99,0,1-MIN(Dep_Months,AB$3),1,MIN(Dep_Months,AB$3)))/Dep_Months</f>
        <v>1275000</v>
      </c>
      <c r="AC100" s="33" t="n">
        <f aca="true">SUM(OFFSET(AC99,0,1-MIN(Dep_Months,AC$3),1,MIN(Dep_Months,AC$3)))/Dep_Months</f>
        <v>1491666.66666667</v>
      </c>
      <c r="AD100" s="33" t="n">
        <f aca="true">SUM(OFFSET(AD99,0,1-MIN(Dep_Months,AD$3),1,MIN(Dep_Months,AD$3)))/Dep_Months</f>
        <v>1491666.66666667</v>
      </c>
      <c r="AE100" s="33" t="n">
        <f aca="true">SUM(OFFSET(AE99,0,1-MIN(Dep_Months,AE$3),1,MIN(Dep_Months,AE$3)))/Dep_Months</f>
        <v>1491666.66666667</v>
      </c>
      <c r="AF100" s="33" t="n">
        <f aca="true">SUM(OFFSET(AF99,0,1-MIN(Dep_Months,AF$3),1,MIN(Dep_Months,AF$3)))/Dep_Months</f>
        <v>1491666.66666667</v>
      </c>
      <c r="AG100" s="33" t="n">
        <f aca="true">SUM(OFFSET(AG99,0,1-MIN(Dep_Months,AG$3),1,MIN(Dep_Months,AG$3)))/Dep_Months</f>
        <v>1491666.66666667</v>
      </c>
      <c r="AH100" s="33" t="n">
        <f aca="true">SUM(OFFSET(AH99,0,1-MIN(Dep_Months,AH$3),1,MIN(Dep_Months,AH$3)))/Dep_Months</f>
        <v>1491666.66666667</v>
      </c>
      <c r="AI100" s="33" t="n">
        <f aca="true">SUM(OFFSET(AI99,0,1-MIN(Dep_Months,AI$3),1,MIN(Dep_Months,AI$3)))/Dep_Months</f>
        <v>1775000</v>
      </c>
      <c r="AJ100" s="33" t="n">
        <f aca="true">SUM(OFFSET(AJ99,0,1-MIN(Dep_Months,AJ$3),1,MIN(Dep_Months,AJ$3)))/Dep_Months</f>
        <v>1775000</v>
      </c>
      <c r="AK100" s="33" t="n">
        <f aca="true">SUM(OFFSET(AK99,0,1-MIN(Dep_Months,AK$3),1,MIN(Dep_Months,AK$3)))/Dep_Months</f>
        <v>1775000</v>
      </c>
      <c r="AL100" s="33" t="n">
        <f aca="true">SUM(OFFSET(AL99,0,1-MIN(Dep_Months,AL$3),1,MIN(Dep_Months,AL$3)))/Dep_Months</f>
        <v>1775000</v>
      </c>
      <c r="AM100" s="33" t="n">
        <f aca="true">SUM(OFFSET(AM99,0,1-MIN(Dep_Months,AM$3),1,MIN(Dep_Months,AM$3)))/Dep_Months</f>
        <v>1775000</v>
      </c>
      <c r="AN100" s="33" t="n">
        <f aca="true">SUM(OFFSET(AN99,0,1-MIN(Dep_Months,AN$3),1,MIN(Dep_Months,AN$3)))/Dep_Months</f>
        <v>1775000</v>
      </c>
      <c r="AO100" s="33" t="n">
        <f aca="true">SUM(OFFSET(AO99,0,1-MIN(Dep_Months,AO$3),1,MIN(Dep_Months,AO$3)))/Dep_Months</f>
        <v>1830555.55555556</v>
      </c>
      <c r="AP100" s="33" t="n">
        <f aca="true">SUM(OFFSET(AP99,0,1-MIN(Dep_Months,AP$3),1,MIN(Dep_Months,AP$3)))/Dep_Months</f>
        <v>1813888.88888889</v>
      </c>
      <c r="AQ100" s="33" t="n">
        <f aca="true">SUM(OFFSET(AQ99,0,1-MIN(Dep_Months,AQ$3),1,MIN(Dep_Months,AQ$3)))/Dep_Months</f>
        <v>1780555.55555556</v>
      </c>
      <c r="AR100" s="33" t="n">
        <f aca="true">SUM(OFFSET(AR99,0,1-MIN(Dep_Months,AR$3),1,MIN(Dep_Months,AR$3)))/Dep_Months</f>
        <v>1311111.11111111</v>
      </c>
      <c r="AS100" s="33" t="n">
        <f aca="true">SUM(OFFSET(AS99,0,1-MIN(Dep_Months,AS$3),1,MIN(Dep_Months,AS$3)))/Dep_Months</f>
        <v>1311111.11111111</v>
      </c>
      <c r="AT100" s="33" t="n">
        <f aca="true">SUM(OFFSET(AT99,0,1-MIN(Dep_Months,AT$3),1,MIN(Dep_Months,AT$3)))/Dep_Months</f>
        <v>1294444.44444444</v>
      </c>
      <c r="AU100" s="33" t="n">
        <f aca="true">SUM(OFFSET(AU99,0,1-MIN(Dep_Months,AU$3),1,MIN(Dep_Months,AU$3)))/Dep_Months</f>
        <v>1527777.77777778</v>
      </c>
      <c r="AV100" s="33" t="n">
        <f aca="true">SUM(OFFSET(AV99,0,1-MIN(Dep_Months,AV$3),1,MIN(Dep_Months,AV$3)))/Dep_Months</f>
        <v>1527777.77777778</v>
      </c>
      <c r="AW100" s="33" t="n">
        <f aca="true">SUM(OFFSET(AW99,0,1-MIN(Dep_Months,AW$3),1,MIN(Dep_Months,AW$3)))/Dep_Months</f>
        <v>1527777.77777778</v>
      </c>
      <c r="AX100" s="33" t="n">
        <f aca="true">SUM(OFFSET(AX99,0,1-MIN(Dep_Months,AX$3),1,MIN(Dep_Months,AX$3)))/Dep_Months</f>
        <v>1511111.11111111</v>
      </c>
      <c r="AY100" s="33" t="n">
        <f aca="true">SUM(OFFSET(AY99,0,1-MIN(Dep_Months,AY$3),1,MIN(Dep_Months,AY$3)))/Dep_Months</f>
        <v>1511111.11111111</v>
      </c>
      <c r="AZ100" s="33" t="n">
        <f aca="true">SUM(OFFSET(AZ99,0,1-MIN(Dep_Months,AZ$3),1,MIN(Dep_Months,AZ$3)))/Dep_Months</f>
        <v>1511111.11111111</v>
      </c>
      <c r="BA100" s="33" t="n">
        <f aca="true">SUM(OFFSET(BA99,0,1-MIN(Dep_Months,BA$3),1,MIN(Dep_Months,BA$3)))/Dep_Months</f>
        <v>1677777.77777778</v>
      </c>
      <c r="BB100" s="33" t="n">
        <f aca="true">SUM(OFFSET(BB99,0,1-MIN(Dep_Months,BB$3),1,MIN(Dep_Months,BB$3)))/Dep_Months</f>
        <v>1677777.77777778</v>
      </c>
      <c r="BC100" s="33" t="n">
        <f aca="true">SUM(OFFSET(BC99,0,1-MIN(Dep_Months,BC$3),1,MIN(Dep_Months,BC$3)))/Dep_Months</f>
        <v>1677777.77777778</v>
      </c>
      <c r="BD100" s="33" t="n">
        <f aca="true">SUM(OFFSET(BD99,0,1-MIN(Dep_Months,BD$3),1,MIN(Dep_Months,BD$3)))/Dep_Months</f>
        <v>1661111.11111111</v>
      </c>
      <c r="BE100" s="33" t="n">
        <f aca="true">SUM(OFFSET(BE99,0,1-MIN(Dep_Months,BE$3),1,MIN(Dep_Months,BE$3)))/Dep_Months</f>
        <v>1661111.11111111</v>
      </c>
      <c r="BF100" s="33" t="n">
        <f aca="true">SUM(OFFSET(BF99,0,1-MIN(Dep_Months,BF$3),1,MIN(Dep_Months,BF$3)))/Dep_Months</f>
        <v>1661111.11111111</v>
      </c>
      <c r="BG100" s="33" t="n">
        <f aca="true">SUM(OFFSET(BG99,0,1-MIN(Dep_Months,BG$3),1,MIN(Dep_Months,BG$3)))/Dep_Months</f>
        <v>1294444.44444444</v>
      </c>
      <c r="BH100" s="33" t="n">
        <f aca="true">SUM(OFFSET(BH99,0,1-MIN(Dep_Months,BH$3),1,MIN(Dep_Months,BH$3)))/Dep_Months</f>
        <v>1294444.44444444</v>
      </c>
      <c r="BI100" s="33" t="n">
        <f aca="true">SUM(OFFSET(BI99,0,1-MIN(Dep_Months,BI$3),1,MIN(Dep_Months,BI$3)))/Dep_Months</f>
        <v>1294444.44444444</v>
      </c>
      <c r="BJ100" s="33" t="n">
        <f aca="true">SUM(OFFSET(BJ99,0,1-MIN(Dep_Months,BJ$3),1,MIN(Dep_Months,BJ$3)))/Dep_Months</f>
        <v>1294444.44444444</v>
      </c>
      <c r="BK100" s="33" t="n">
        <f aca="true">SUM(OFFSET(BK99,0,1-MIN(Dep_Months,BK$3),1,MIN(Dep_Months,BK$3)))/Dep_Months</f>
        <v>1294444.44444444</v>
      </c>
      <c r="BL100" s="33" t="n">
        <f aca="true">SUM(OFFSET(BL99,0,1-MIN(Dep_Months,BL$3),1,MIN(Dep_Months,BL$3)))/Dep_Months</f>
        <v>1294444.44444444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679</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680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608</v>
      </c>
      <c r="B9" s="14" t="s">
        <v>63</v>
      </c>
      <c r="D9" s="41" t="n">
        <f aca="false">SUM(E9:BL9)</f>
        <v>4909084127.27701</v>
      </c>
      <c r="E9" s="20" t="n">
        <f aca="false">'Clients &amp; revenue'!E50</f>
        <v>0</v>
      </c>
      <c r="F9" s="20" t="n">
        <f aca="false">'Clients &amp; revenue'!F50</f>
        <v>0</v>
      </c>
      <c r="G9" s="20" t="n">
        <f aca="false">'Clients &amp; revenue'!G50</f>
        <v>0</v>
      </c>
      <c r="H9" s="20" t="n">
        <f aca="false">'Clients &amp; revenue'!H50</f>
        <v>0</v>
      </c>
      <c r="I9" s="20" t="n">
        <f aca="false">'Clients &amp; revenue'!I50</f>
        <v>0</v>
      </c>
      <c r="J9" s="20" t="n">
        <f aca="false">'Clients &amp; revenue'!J50</f>
        <v>0</v>
      </c>
      <c r="K9" s="20" t="n">
        <f aca="false">'Clients &amp; revenue'!K50</f>
        <v>0</v>
      </c>
      <c r="L9" s="20" t="n">
        <f aca="false">'Clients &amp; revenue'!L50</f>
        <v>954033.634884308</v>
      </c>
      <c r="M9" s="20" t="n">
        <f aca="false">'Clients &amp; revenue'!M50</f>
        <v>1941842.25683874</v>
      </c>
      <c r="N9" s="20" t="n">
        <f aca="false">'Clients &amp; revenue'!N50</f>
        <v>2924959.61138439</v>
      </c>
      <c r="O9" s="20" t="n">
        <f aca="false">'Clients &amp; revenue'!O50</f>
        <v>4339374.47227723</v>
      </c>
      <c r="P9" s="20" t="n">
        <f aca="false">'Clients &amp; revenue'!P50</f>
        <v>5750911.5886731</v>
      </c>
      <c r="Q9" s="20" t="n">
        <f aca="false">'Clients &amp; revenue'!Q50</f>
        <v>7160534.1287552</v>
      </c>
      <c r="R9" s="20" t="n">
        <f aca="false">'Clients &amp; revenue'!R50</f>
        <v>8564420.09394794</v>
      </c>
      <c r="S9" s="20" t="n">
        <f aca="false">'Clients &amp; revenue'!S50</f>
        <v>9963687.53632544</v>
      </c>
      <c r="T9" s="20" t="n">
        <f aca="false">'Clients &amp; revenue'!T50</f>
        <v>11739487.3404344</v>
      </c>
      <c r="U9" s="20" t="n">
        <f aca="false">'Clients &amp; revenue'!U50</f>
        <v>13513044.3067048</v>
      </c>
      <c r="V9" s="20" t="n">
        <f aca="false">'Clients &amp; revenue'!V50</f>
        <v>15285622.4136422</v>
      </c>
      <c r="W9" s="20" t="n">
        <f aca="false">'Clients &amp; revenue'!W50</f>
        <v>17058540.9363099</v>
      </c>
      <c r="X9" s="20" t="n">
        <f aca="false">'Clients &amp; revenue'!X50</f>
        <v>18826694.0832578</v>
      </c>
      <c r="Y9" s="20" t="n">
        <f aca="false">'Clients &amp; revenue'!Y50</f>
        <v>20573005.0554622</v>
      </c>
      <c r="Z9" s="20" t="n">
        <f aca="false">'Clients &amp; revenue'!Z50</f>
        <v>22809756.8987033</v>
      </c>
      <c r="AA9" s="20" t="n">
        <f aca="false">'Clients &amp; revenue'!AA50</f>
        <v>26493675.3623704</v>
      </c>
      <c r="AB9" s="20" t="n">
        <f aca="false">'Clients &amp; revenue'!AB50</f>
        <v>30169536.5842806</v>
      </c>
      <c r="AC9" s="20" t="n">
        <f aca="false">'Clients &amp; revenue'!AC50</f>
        <v>33839799.4701835</v>
      </c>
      <c r="AD9" s="20" t="n">
        <f aca="false">'Clients &amp; revenue'!AD50</f>
        <v>37497338.0935423</v>
      </c>
      <c r="AE9" s="20" t="n">
        <f aca="false">'Clients &amp; revenue'!AE50</f>
        <v>41144967.8421491</v>
      </c>
      <c r="AF9" s="20" t="n">
        <f aca="false">'Clients &amp; revenue'!AF50</f>
        <v>45548495.8447281</v>
      </c>
      <c r="AG9" s="20" t="n">
        <f aca="false">'Clients &amp; revenue'!AG50</f>
        <v>49948102.8115508</v>
      </c>
      <c r="AH9" s="20" t="n">
        <f aca="false">'Clients &amp; revenue'!AH50</f>
        <v>54346977.3304603</v>
      </c>
      <c r="AI9" s="20" t="n">
        <f aca="false">'Clients &amp; revenue'!AI50</f>
        <v>58748449.3125735</v>
      </c>
      <c r="AJ9" s="20" t="n">
        <f aca="false">'Clients &amp; revenue'!AJ50</f>
        <v>63155999.2835807</v>
      </c>
      <c r="AK9" s="20" t="n">
        <f aca="false">'Clients &amp; revenue'!AK50</f>
        <v>67554755.6158103</v>
      </c>
      <c r="AL9" s="20" t="n">
        <f aca="false">'Clients &amp; revenue'!AL50</f>
        <v>71948799.1924667</v>
      </c>
      <c r="AM9" s="20" t="n">
        <f aca="false">'Clients &amp; revenue'!AM50</f>
        <v>77799973.4238983</v>
      </c>
      <c r="AN9" s="20" t="n">
        <f aca="false">'Clients &amp; revenue'!AN50</f>
        <v>83655140.9931285</v>
      </c>
      <c r="AO9" s="20" t="n">
        <f aca="false">'Clients &amp; revenue'!AO50</f>
        <v>89518951.2869631</v>
      </c>
      <c r="AP9" s="20" t="n">
        <f aca="false">'Clients &amp; revenue'!AP50</f>
        <v>95391442.383162</v>
      </c>
      <c r="AQ9" s="20" t="n">
        <f aca="false">'Clients &amp; revenue'!AQ50</f>
        <v>101277777.461664</v>
      </c>
      <c r="AR9" s="20" t="n">
        <f aca="false">'Clients &amp; revenue'!AR50</f>
        <v>107563349.438585</v>
      </c>
      <c r="AS9" s="20" t="n">
        <f aca="false">'Clients &amp; revenue'!AS50</f>
        <v>113873834.599904</v>
      </c>
      <c r="AT9" s="20" t="n">
        <f aca="false">'Clients &amp; revenue'!AT50</f>
        <v>120215578.022483</v>
      </c>
      <c r="AU9" s="20" t="n">
        <f aca="false">'Clients &amp; revenue'!AU50</f>
        <v>126596154.806261</v>
      </c>
      <c r="AV9" s="20" t="n">
        <f aca="false">'Clients &amp; revenue'!AV50</f>
        <v>132991477.562619</v>
      </c>
      <c r="AW9" s="20" t="n">
        <f aca="false">'Clients &amp; revenue'!AW50</f>
        <v>139317065.406081</v>
      </c>
      <c r="AX9" s="20" t="n">
        <f aca="false">'Clients &amp; revenue'!AX50</f>
        <v>145575570.639244</v>
      </c>
      <c r="AY9" s="20" t="n">
        <f aca="false">'Clients &amp; revenue'!AY50</f>
        <v>153227290.792292</v>
      </c>
      <c r="AZ9" s="20" t="n">
        <f aca="false">'Clients &amp; revenue'!AZ50</f>
        <v>160817418.831808</v>
      </c>
      <c r="BA9" s="20" t="n">
        <f aca="false">'Clients &amp; revenue'!BA50</f>
        <v>168348803.654329</v>
      </c>
      <c r="BB9" s="20" t="n">
        <f aca="false">'Clients &amp; revenue'!BB50</f>
        <v>175819507.87023</v>
      </c>
      <c r="BC9" s="20" t="n">
        <f aca="false">'Clients &amp; revenue'!BC50</f>
        <v>183232610.620032</v>
      </c>
      <c r="BD9" s="20" t="n">
        <f aca="false">'Clients &amp; revenue'!BD50</f>
        <v>190974167.200726</v>
      </c>
      <c r="BE9" s="20" t="n">
        <f aca="false">'Clients &amp; revenue'!BE50</f>
        <v>198664551.904983</v>
      </c>
      <c r="BF9" s="20" t="n">
        <f aca="false">'Clients &amp; revenue'!BF50</f>
        <v>206307129.243815</v>
      </c>
      <c r="BG9" s="20" t="n">
        <f aca="false">'Clients &amp; revenue'!BG50</f>
        <v>213905373.57619</v>
      </c>
      <c r="BH9" s="20" t="n">
        <f aca="false">'Clients &amp; revenue'!BH50</f>
        <v>221462877.170496</v>
      </c>
      <c r="BI9" s="20" t="n">
        <f aca="false">'Clients &amp; revenue'!BI50</f>
        <v>228983358.724237</v>
      </c>
      <c r="BJ9" s="20" t="n">
        <f aca="false">'Clients &amp; revenue'!BJ50</f>
        <v>236470672.369929</v>
      </c>
      <c r="BK9" s="20" t="n">
        <f aca="false">'Clients &amp; revenue'!BK50</f>
        <v>243928817.196814</v>
      </c>
      <c r="BL9" s="20" t="n">
        <f aca="false">'Clients &amp; revenue'!BL50</f>
        <v>251362420.995842</v>
      </c>
    </row>
    <row r="10" customFormat="false" ht="15" hidden="false" customHeight="false" outlineLevel="0" collapsed="false">
      <c r="A10" s="12" t="s">
        <v>609</v>
      </c>
      <c r="B10" s="14" t="s">
        <v>63</v>
      </c>
      <c r="D10" s="41" t="n">
        <f aca="false">SUM(E10:BL10)</f>
        <v>2449096008.55781</v>
      </c>
      <c r="E10" s="20" t="n">
        <f aca="false">'Clients &amp; revenue'!E51</f>
        <v>0</v>
      </c>
      <c r="F10" s="20" t="n">
        <f aca="false">'Clients &amp; revenue'!F51</f>
        <v>0</v>
      </c>
      <c r="G10" s="20" t="n">
        <f aca="false">'Clients &amp; revenue'!G51</f>
        <v>0</v>
      </c>
      <c r="H10" s="20" t="n">
        <f aca="false">'Clients &amp; revenue'!H51</f>
        <v>0</v>
      </c>
      <c r="I10" s="20" t="n">
        <f aca="false">'Clients &amp; revenue'!I51</f>
        <v>422453.333333333</v>
      </c>
      <c r="J10" s="20" t="n">
        <f aca="false">'Clients &amp; revenue'!J51</f>
        <v>845155.866666667</v>
      </c>
      <c r="K10" s="20" t="n">
        <f aca="false">'Clients &amp; revenue'!K51</f>
        <v>1268433.871</v>
      </c>
      <c r="L10" s="20" t="n">
        <f aca="false">'Clients &amp; revenue'!L51</f>
        <v>1870628.78060083</v>
      </c>
      <c r="M10" s="20" t="n">
        <f aca="false">'Clients &amp; revenue'!M51</f>
        <v>2471953.17266491</v>
      </c>
      <c r="N10" s="20" t="n">
        <f aca="false">'Clients &amp; revenue'!N51</f>
        <v>3072811.39205721</v>
      </c>
      <c r="O10" s="20" t="n">
        <f aca="false">'Clients &amp; revenue'!O51</f>
        <v>3673625.60395351</v>
      </c>
      <c r="P10" s="20" t="n">
        <f aca="false">'Clients &amp; revenue'!P51</f>
        <v>4274836.96461907</v>
      </c>
      <c r="Q10" s="20" t="n">
        <f aca="false">'Clients &amp; revenue'!Q51</f>
        <v>5032360.19402881</v>
      </c>
      <c r="R10" s="20" t="n">
        <f aca="false">'Clients &amp; revenue'!R51</f>
        <v>5789351.58780432</v>
      </c>
      <c r="S10" s="20" t="n">
        <f aca="false">'Clients &amp; revenue'!S51</f>
        <v>6546342.84594089</v>
      </c>
      <c r="T10" s="20" t="n">
        <f aca="false">'Clients &amp; revenue'!T51</f>
        <v>7303889.67027081</v>
      </c>
      <c r="U10" s="20" t="n">
        <f aca="false">'Clients &amp; revenue'!U51</f>
        <v>8062573.32851617</v>
      </c>
      <c r="V10" s="20" t="n">
        <f aca="false">'Clients &amp; revenue'!V51</f>
        <v>8823002.31007099</v>
      </c>
      <c r="W10" s="20" t="n">
        <f aca="false">'Clients &amp; revenue'!W51</f>
        <v>9794667.41238814</v>
      </c>
      <c r="X10" s="20" t="n">
        <f aca="false">'Clients &amp; revenue'!X51</f>
        <v>11366370.7971778</v>
      </c>
      <c r="Y10" s="20" t="n">
        <f aca="false">'Clients &amp; revenue'!Y51</f>
        <v>12935516.1519768</v>
      </c>
      <c r="Z10" s="20" t="n">
        <f aca="false">'Clients &amp; revenue'!Z51</f>
        <v>14503136.1232828</v>
      </c>
      <c r="AA10" s="20" t="n">
        <f aca="false">'Clients &amp; revenue'!AA51</f>
        <v>16070308.703963</v>
      </c>
      <c r="AB10" s="20" t="n">
        <f aca="false">'Clients &amp; revenue'!AB51</f>
        <v>17638160.2144946</v>
      </c>
      <c r="AC10" s="20" t="n">
        <f aca="false">'Clients &amp; revenue'!AC51</f>
        <v>19519961.7919745</v>
      </c>
      <c r="AD10" s="20" t="n">
        <f aca="false">'Clients &amp; revenue'!AD51</f>
        <v>21401091.8307748</v>
      </c>
      <c r="AE10" s="20" t="n">
        <f aca="false">'Clients &amp; revenue'!AE51</f>
        <v>23282893.196108</v>
      </c>
      <c r="AF10" s="20" t="n">
        <f aca="false">'Clients &amp; revenue'!AF51</f>
        <v>25166770.0554617</v>
      </c>
      <c r="AG10" s="20" t="n">
        <f aca="false">'Clients &amp; revenue'!AG51</f>
        <v>27054191.8575489</v>
      </c>
      <c r="AH10" s="20" t="n">
        <f aca="false">'Clients &amp; revenue'!AH51</f>
        <v>28946697.544883</v>
      </c>
      <c r="AI10" s="20" t="n">
        <f aca="false">'Clients &amp; revenue'!AI51</f>
        <v>30845900.0140882</v>
      </c>
      <c r="AJ10" s="20" t="n">
        <f aca="false">'Clients &amp; revenue'!AJ51</f>
        <v>33349790.838899</v>
      </c>
      <c r="AK10" s="20" t="n">
        <f aca="false">'Clients &amp; revenue'!AK51</f>
        <v>35856659.5216993</v>
      </c>
      <c r="AL10" s="20" t="n">
        <f aca="false">'Clients &amp; revenue'!AL51</f>
        <v>38368469.4085258</v>
      </c>
      <c r="AM10" s="20" t="n">
        <f aca="false">'Clients &amp; revenue'!AM51</f>
        <v>40887276.8961417</v>
      </c>
      <c r="AN10" s="20" t="n">
        <f aca="false">'Clients &amp; revenue'!AN51</f>
        <v>43415237.4000032</v>
      </c>
      <c r="AO10" s="20" t="n">
        <f aca="false">'Clients &amp; revenue'!AO51</f>
        <v>46110065.0071137</v>
      </c>
      <c r="AP10" s="20" t="n">
        <f aca="false">'Clients &amp; revenue'!AP51</f>
        <v>48816805.8683115</v>
      </c>
      <c r="AQ10" s="20" t="n">
        <f aca="false">'Clients &amp; revenue'!AQ51</f>
        <v>51537977.7255531</v>
      </c>
      <c r="AR10" s="20" t="n">
        <f aca="false">'Clients &amp; revenue'!AR51</f>
        <v>54276224.5453149</v>
      </c>
      <c r="AS10" s="20" t="n">
        <f aca="false">'Clients &amp; revenue'!AS51</f>
        <v>57021219.0483037</v>
      </c>
      <c r="AT10" s="20" t="n">
        <f aca="false">'Clients &amp; revenue'!AT51</f>
        <v>59745639.0241811</v>
      </c>
      <c r="AU10" s="20" t="n">
        <f aca="false">'Clients &amp; revenue'!AU51</f>
        <v>62450468.4891643</v>
      </c>
      <c r="AV10" s="20" t="n">
        <f aca="false">'Clients &amp; revenue'!AV51</f>
        <v>65733020.0916353</v>
      </c>
      <c r="AW10" s="20" t="n">
        <f aca="false">'Clients &amp; revenue'!AW51</f>
        <v>68990851.5484337</v>
      </c>
      <c r="AX10" s="20" t="n">
        <f aca="false">'Clients &amp; revenue'!AX51</f>
        <v>72225138.5725725</v>
      </c>
      <c r="AY10" s="20" t="n">
        <f aca="false">'Clients &amp; revenue'!AY51</f>
        <v>75437090.910717</v>
      </c>
      <c r="AZ10" s="20" t="n">
        <f aca="false">'Clients &amp; revenue'!AZ51</f>
        <v>78627954.9483639</v>
      </c>
      <c r="BA10" s="20" t="n">
        <f aca="false">'Clients &amp; revenue'!BA51</f>
        <v>81955656.4618451</v>
      </c>
      <c r="BB10" s="20" t="n">
        <f aca="false">'Clients &amp; revenue'!BB51</f>
        <v>85262995.926137</v>
      </c>
      <c r="BC10" s="20" t="n">
        <f aca="false">'Clients &amp; revenue'!BC51</f>
        <v>88551372.8249884</v>
      </c>
      <c r="BD10" s="20" t="n">
        <f aca="false">'Clients &amp; revenue'!BD51</f>
        <v>91822234.8592739</v>
      </c>
      <c r="BE10" s="20" t="n">
        <f aca="false">'Clients &amp; revenue'!BE51</f>
        <v>95077081.3884216</v>
      </c>
      <c r="BF10" s="20" t="n">
        <f aca="false">'Clients &amp; revenue'!BF51</f>
        <v>98317467.0691288</v>
      </c>
      <c r="BG10" s="20" t="n">
        <f aca="false">'Clients &amp; revenue'!BG51</f>
        <v>101545005.703366</v>
      </c>
      <c r="BH10" s="20" t="n">
        <f aca="false">'Clients &amp; revenue'!BH51</f>
        <v>104761374.308387</v>
      </c>
      <c r="BI10" s="20" t="n">
        <f aca="false">'Clients &amp; revenue'!BI51</f>
        <v>107968317.422231</v>
      </c>
      <c r="BJ10" s="20" t="n">
        <f aca="false">'Clients &amp; revenue'!BJ51</f>
        <v>111167651.658983</v>
      </c>
      <c r="BK10" s="20" t="n">
        <f aca="false">'Clients &amp; revenue'!BK51</f>
        <v>114346013.191113</v>
      </c>
      <c r="BL10" s="20" t="n">
        <f aca="false">'Clients &amp; revenue'!BL51</f>
        <v>117487863.283355</v>
      </c>
    </row>
    <row r="11" customFormat="false" ht="15" hidden="false" customHeight="false" outlineLevel="0" collapsed="false">
      <c r="A11" s="12" t="s">
        <v>681</v>
      </c>
      <c r="B11" s="14" t="s">
        <v>63</v>
      </c>
      <c r="D11" s="41" t="n">
        <f aca="false">SUM(E11:BL11)</f>
        <v>915325977.78957</v>
      </c>
      <c r="E11" s="20" t="n">
        <f aca="false">'Clients &amp; revenue'!E52</f>
        <v>0</v>
      </c>
      <c r="F11" s="20" t="n">
        <f aca="false">'Clients &amp; revenue'!F52</f>
        <v>0</v>
      </c>
      <c r="G11" s="20" t="n">
        <f aca="false">'Clients &amp; revenue'!G52</f>
        <v>0</v>
      </c>
      <c r="H11" s="20" t="n">
        <f aca="false">'Clients &amp; revenue'!H52</f>
        <v>0</v>
      </c>
      <c r="I11" s="20" t="n">
        <f aca="false">'Clients &amp; revenue'!I52</f>
        <v>159013.333333333</v>
      </c>
      <c r="J11" s="20" t="n">
        <f aca="false">'Clients &amp; revenue'!J52</f>
        <v>318025.266666667</v>
      </c>
      <c r="K11" s="20" t="n">
        <f aca="false">'Clients &amp; revenue'!K52</f>
        <v>477160.3005</v>
      </c>
      <c r="L11" s="20" t="n">
        <f aca="false">'Clients &amp; revenue'!L52</f>
        <v>703548.538479584</v>
      </c>
      <c r="M11" s="20" t="n">
        <f aca="false">'Clients &amp; revenue'!M52</f>
        <v>929478.55464007</v>
      </c>
      <c r="N11" s="20" t="n">
        <f aca="false">'Clients &amp; revenue'!N52</f>
        <v>1155105.13837724</v>
      </c>
      <c r="O11" s="20" t="n">
        <f aca="false">'Clients &amp; revenue'!O52</f>
        <v>1380589.64827859</v>
      </c>
      <c r="P11" s="20" t="n">
        <f aca="false">'Clients &amp; revenue'!P52</f>
        <v>1606100.45132746</v>
      </c>
      <c r="Q11" s="20" t="n">
        <f aca="false">'Clients &amp; revenue'!Q52</f>
        <v>1890326.72099098</v>
      </c>
      <c r="R11" s="20" t="n">
        <f aca="false">'Clients &amp; revenue'!R52</f>
        <v>2174198.77907308</v>
      </c>
      <c r="S11" s="20" t="n">
        <f aca="false">'Clients &amp; revenue'!S52</f>
        <v>2457919.70743146</v>
      </c>
      <c r="T11" s="20" t="n">
        <f aca="false">'Clients &amp; revenue'!T52</f>
        <v>2741701.44868042</v>
      </c>
      <c r="U11" s="20" t="n">
        <f aca="false">'Clients &amp; revenue'!U52</f>
        <v>3025765.3926769</v>
      </c>
      <c r="V11" s="20" t="n">
        <f aca="false">'Clients &amp; revenue'!V52</f>
        <v>3310342.99722264</v>
      </c>
      <c r="W11" s="20" t="n">
        <f aca="false">'Clients &amp; revenue'!W52</f>
        <v>3674289.77838707</v>
      </c>
      <c r="X11" s="20" t="n">
        <f aca="false">'Clients &amp; revenue'!X52</f>
        <v>4263907.60597891</v>
      </c>
      <c r="Y11" s="20" t="n">
        <f aca="false">'Clients &amp; revenue'!Y52</f>
        <v>4852244.71782647</v>
      </c>
      <c r="Z11" s="20" t="n">
        <f aca="false">'Clients &amp; revenue'!Z52</f>
        <v>5439696.21881366</v>
      </c>
      <c r="AA11" s="20" t="n">
        <f aca="false">'Clients &amp; revenue'!AA52</f>
        <v>6026673.93257746</v>
      </c>
      <c r="AB11" s="20" t="n">
        <f aca="false">'Clients &amp; revenue'!AB52</f>
        <v>6613607.51984388</v>
      </c>
      <c r="AC11" s="20" t="n">
        <f aca="false">'Clients &amp; revenue'!AC52</f>
        <v>7318418.99515405</v>
      </c>
      <c r="AD11" s="20" t="n">
        <f aca="false">'Clients &amp; revenue'!AD52</f>
        <v>8022618.02925534</v>
      </c>
      <c r="AE11" s="20" t="n">
        <f aca="false">'Clients &amp; revenue'!AE52</f>
        <v>8726716.83929285</v>
      </c>
      <c r="AF11" s="20" t="n">
        <f aca="false">'Clients &amp; revenue'!AF52</f>
        <v>9431250.29086033</v>
      </c>
      <c r="AG11" s="20" t="n">
        <f aca="false">'Clients &amp; revenue'!AG52</f>
        <v>10136777.3896791</v>
      </c>
      <c r="AH11" s="20" t="n">
        <f aca="false">'Clients &amp; revenue'!AH52</f>
        <v>10843882.8604293</v>
      </c>
      <c r="AI11" s="20" t="n">
        <f aca="false">'Clients &amp; revenue'!AI52</f>
        <v>11553178.8180062</v>
      </c>
      <c r="AJ11" s="20" t="n">
        <f aca="false">'Clients &amp; revenue'!AJ52</f>
        <v>12489756.5367897</v>
      </c>
      <c r="AK11" s="20" t="n">
        <f aca="false">'Clients &amp; revenue'!AK52</f>
        <v>13426999.1988495</v>
      </c>
      <c r="AL11" s="20" t="n">
        <f aca="false">'Clients &amp; revenue'!AL52</f>
        <v>14365653.520801</v>
      </c>
      <c r="AM11" s="20" t="n">
        <f aca="false">'Clients &amp; revenue'!AM52</f>
        <v>15306500.6608896</v>
      </c>
      <c r="AN11" s="20" t="n">
        <f aca="false">'Clients &amp; revenue'!AN52</f>
        <v>16250358.4550686</v>
      </c>
      <c r="AO11" s="20" t="n">
        <f aca="false">'Clients &amp; revenue'!AO52</f>
        <v>17256597.1175832</v>
      </c>
      <c r="AP11" s="20" t="n">
        <f aca="false">'Clients &amp; revenue'!AP52</f>
        <v>18266861.5973186</v>
      </c>
      <c r="AQ11" s="20" t="n">
        <f aca="false">'Clients &amp; revenue'!AQ52</f>
        <v>19282105.3227715</v>
      </c>
      <c r="AR11" s="20" t="n">
        <f aca="false">'Clients &amp; revenue'!AR52</f>
        <v>20303328.5619307</v>
      </c>
      <c r="AS11" s="20" t="n">
        <f aca="false">'Clients &amp; revenue'!AS52</f>
        <v>21326648.4594636</v>
      </c>
      <c r="AT11" s="20" t="n">
        <f aca="false">'Clients &amp; revenue'!AT52</f>
        <v>22341787.4391793</v>
      </c>
      <c r="AU11" s="20" t="n">
        <f aca="false">'Clients &amp; revenue'!AU52</f>
        <v>23349128.5519097</v>
      </c>
      <c r="AV11" s="20" t="n">
        <f aca="false">'Clients &amp; revenue'!AV52</f>
        <v>24573515.1723004</v>
      </c>
      <c r="AW11" s="20" t="n">
        <f aca="false">'Clients &amp; revenue'!AW52</f>
        <v>25788062.6985806</v>
      </c>
      <c r="AX11" s="20" t="n">
        <f aca="false">'Clients &amp; revenue'!AX52</f>
        <v>26993229.066655</v>
      </c>
      <c r="AY11" s="20" t="n">
        <f aca="false">'Clients &amp; revenue'!AY52</f>
        <v>28189484.4762615</v>
      </c>
      <c r="AZ11" s="20" t="n">
        <f aca="false">'Clients &amp; revenue'!AZ52</f>
        <v>29377312.3738967</v>
      </c>
      <c r="BA11" s="20" t="n">
        <f aca="false">'Clients &amp; revenue'!BA52</f>
        <v>30616170.4903788</v>
      </c>
      <c r="BB11" s="20" t="n">
        <f aca="false">'Clients &amp; revenue'!BB52</f>
        <v>31846866.1364061</v>
      </c>
      <c r="BC11" s="20" t="n">
        <f aca="false">'Clients &amp; revenue'!BC52</f>
        <v>33069939.8331691</v>
      </c>
      <c r="BD11" s="20" t="n">
        <f aca="false">'Clients &amp; revenue'!BD52</f>
        <v>34285949.6840359</v>
      </c>
      <c r="BE11" s="20" t="n">
        <f aca="false">'Clients &amp; revenue'!BE52</f>
        <v>35495472.6694268</v>
      </c>
      <c r="BF11" s="20" t="n">
        <f aca="false">'Clients &amp; revenue'!BF52</f>
        <v>36699106.0151843</v>
      </c>
      <c r="BG11" s="20" t="n">
        <f aca="false">'Clients &amp; revenue'!BG52</f>
        <v>37897468.6389248</v>
      </c>
      <c r="BH11" s="20" t="n">
        <f aca="false">'Clients &amp; revenue'!BH52</f>
        <v>39091202.6791259</v>
      </c>
      <c r="BI11" s="20" t="n">
        <f aca="false">'Clients &amp; revenue'!BI52</f>
        <v>40280975.1119894</v>
      </c>
      <c r="BJ11" s="20" t="n">
        <f aca="false">'Clients &amp; revenue'!BJ52</f>
        <v>41467479.4614188</v>
      </c>
      <c r="BK11" s="20" t="n">
        <f aca="false">'Clients &amp; revenue'!BK52</f>
        <v>42645694.6772324</v>
      </c>
      <c r="BL11" s="20" t="n">
        <f aca="false">'Clients &amp; revenue'!BL52</f>
        <v>43809783.9082454</v>
      </c>
    </row>
    <row r="12" customFormat="false" ht="15" hidden="false" customHeight="false" outlineLevel="0" collapsed="false">
      <c r="A12" s="12" t="s">
        <v>198</v>
      </c>
      <c r="B12" s="14" t="s">
        <v>63</v>
      </c>
      <c r="D12" s="41" t="n">
        <f aca="false">SUM(E12:BL12)</f>
        <v>3038543163.32181</v>
      </c>
      <c r="E12" s="20" t="n">
        <f aca="false">'Clients &amp; revenue'!E53</f>
        <v>0</v>
      </c>
      <c r="F12" s="20" t="n">
        <f aca="false">'Clients &amp; revenue'!F53</f>
        <v>0</v>
      </c>
      <c r="G12" s="20" t="n">
        <f aca="false">'Clients &amp; revenue'!G53</f>
        <v>0</v>
      </c>
      <c r="H12" s="20" t="n">
        <f aca="false">'Clients &amp; revenue'!H53</f>
        <v>0</v>
      </c>
      <c r="I12" s="20" t="n">
        <f aca="false">'Clients &amp; revenue'!I53</f>
        <v>522133.333333333</v>
      </c>
      <c r="J12" s="20" t="n">
        <f aca="false">'Clients &amp; revenue'!J53</f>
        <v>1044725.66666667</v>
      </c>
      <c r="K12" s="20" t="n">
        <f aca="false">'Clients &amp; revenue'!K53</f>
        <v>1568179.2575</v>
      </c>
      <c r="L12" s="20" t="n">
        <f aca="false">'Clients &amp; revenue'!L53</f>
        <v>2312915.22396458</v>
      </c>
      <c r="M12" s="20" t="n">
        <f aca="false">'Clients &amp; revenue'!M53</f>
        <v>3056787.26031615</v>
      </c>
      <c r="N12" s="20" t="n">
        <f aca="false">'Clients &amp; revenue'!N53</f>
        <v>3800293.26765538</v>
      </c>
      <c r="O12" s="20" t="n">
        <f aca="false">'Clients &amp; revenue'!O53</f>
        <v>4543953.32426893</v>
      </c>
      <c r="P12" s="20" t="n">
        <f aca="false">'Clients &amp; revenue'!P53</f>
        <v>5288311.13810584</v>
      </c>
      <c r="Q12" s="20" t="n">
        <f aca="false">'Clients &amp; revenue'!Q53</f>
        <v>6226068.91763168</v>
      </c>
      <c r="R12" s="20" t="n">
        <f aca="false">'Clients &amp; revenue'!R53</f>
        <v>7163429.24953476</v>
      </c>
      <c r="S12" s="20" t="n">
        <f aca="false">'Clients &amp; revenue'!S53</f>
        <v>8101047.18894168</v>
      </c>
      <c r="T12" s="20" t="n">
        <f aca="false">'Clients &amp; revenue'!T53</f>
        <v>9039607.6547854</v>
      </c>
      <c r="U12" s="20" t="n">
        <f aca="false">'Clients &amp; revenue'!U53</f>
        <v>9979827.37024884</v>
      </c>
      <c r="V12" s="20" t="n">
        <f aca="false">'Clients &amp; revenue'!V53</f>
        <v>10922456.9170782</v>
      </c>
      <c r="W12" s="20" t="n">
        <f aca="false">'Clients &amp; revenue'!W53</f>
        <v>12126416.2439782</v>
      </c>
      <c r="X12" s="20" t="n">
        <f aca="false">'Clients &amp; revenue'!X53</f>
        <v>14072320.9697134</v>
      </c>
      <c r="Y12" s="20" t="n">
        <f aca="false">'Clients &amp; revenue'!Y53</f>
        <v>16015601.1919758</v>
      </c>
      <c r="Z12" s="20" t="n">
        <f aca="false">'Clients &amp; revenue'!Z53</f>
        <v>17957528.3473503</v>
      </c>
      <c r="AA12" s="20" t="n">
        <f aca="false">'Clients &amp; revenue'!AA53</f>
        <v>19899430.3091157</v>
      </c>
      <c r="AB12" s="20" t="n">
        <f aca="false">'Clients &amp; revenue'!AB53</f>
        <v>21842695.0857384</v>
      </c>
      <c r="AC12" s="20" t="n">
        <f aca="false">'Clients &amp; revenue'!AC53</f>
        <v>24174508.0692399</v>
      </c>
      <c r="AD12" s="20" t="n">
        <f aca="false">'Clients &amp; revenue'!AD53</f>
        <v>26506119.4298595</v>
      </c>
      <c r="AE12" s="20" t="n">
        <f aca="false">'Clients &amp; revenue'!AE53</f>
        <v>28839183.9735963</v>
      </c>
      <c r="AF12" s="20" t="n">
        <f aca="false">'Clients &amp; revenue'!AF53</f>
        <v>31175432.7738703</v>
      </c>
      <c r="AG12" s="20" t="n">
        <f aca="false">'Clients &amp; revenue'!AG53</f>
        <v>33516678.1080793</v>
      </c>
      <c r="AH12" s="20" t="n">
        <f aca="false">'Clients &amp; revenue'!AH53</f>
        <v>35864818.6841684</v>
      </c>
      <c r="AI12" s="20" t="n">
        <f aca="false">'Clients &amp; revenue'!AI53</f>
        <v>38221845.1747284</v>
      </c>
      <c r="AJ12" s="20" t="n">
        <f aca="false">'Clients &amp; revenue'!AJ53</f>
        <v>41326846.0771821</v>
      </c>
      <c r="AK12" s="20" t="n">
        <f aca="false">'Clients &amp; revenue'!AK53</f>
        <v>44436345.7947337</v>
      </c>
      <c r="AL12" s="20" t="n">
        <f aca="false">'Clients &amp; revenue'!AL53</f>
        <v>47552765.8604951</v>
      </c>
      <c r="AM12" s="20" t="n">
        <f aca="false">'Clients &amp; revenue'!AM53</f>
        <v>50678643.5341519</v>
      </c>
      <c r="AN12" s="20" t="n">
        <f aca="false">'Clients &amp; revenue'!AN53</f>
        <v>53816639.2066971</v>
      </c>
      <c r="AO12" s="20" t="n">
        <f aca="false">'Clients &amp; revenue'!AO53</f>
        <v>57161677.5749001</v>
      </c>
      <c r="AP12" s="20" t="n">
        <f aca="false">'Clients &amp; revenue'!AP53</f>
        <v>60522296.1951717</v>
      </c>
      <c r="AQ12" s="20" t="n">
        <f aca="false">'Clients &amp; revenue'!AQ53</f>
        <v>63901604.644938</v>
      </c>
      <c r="AR12" s="20" t="n">
        <f aca="false">'Clients &amp; revenue'!AR53</f>
        <v>67302869.4079653</v>
      </c>
      <c r="AS12" s="20" t="n">
        <f aca="false">'Clients &amp; revenue'!AS53</f>
        <v>70713326.028805</v>
      </c>
      <c r="AT12" s="20" t="n">
        <f aca="false">'Clients &amp; revenue'!AT53</f>
        <v>74099201.3758818</v>
      </c>
      <c r="AU12" s="20" t="n">
        <f aca="false">'Clients &amp; revenue'!AU53</f>
        <v>77461697.7887345</v>
      </c>
      <c r="AV12" s="20" t="n">
        <f aca="false">'Clients &amp; revenue'!AV53</f>
        <v>81539053.4306336</v>
      </c>
      <c r="AW12" s="20" t="n">
        <f aca="false">'Clients &amp; revenue'!AW53</f>
        <v>85586876.8735615</v>
      </c>
      <c r="AX12" s="20" t="n">
        <f aca="false">'Clients &amp; revenue'!AX53</f>
        <v>89606604.612844</v>
      </c>
      <c r="AY12" s="20" t="n">
        <f aca="false">'Clients &amp; revenue'!AY53</f>
        <v>93599715.7280502</v>
      </c>
      <c r="AZ12" s="20" t="n">
        <f aca="false">'Clients &amp; revenue'!AZ53</f>
        <v>97567735.1121811</v>
      </c>
      <c r="BA12" s="20" t="n">
        <f aca="false">'Clients &amp; revenue'!BA53</f>
        <v>101705836.883157</v>
      </c>
      <c r="BB12" s="20" t="n">
        <f aca="false">'Clients &amp; revenue'!BB53</f>
        <v>105819770.988754</v>
      </c>
      <c r="BC12" s="20" t="n">
        <f aca="false">'Clients &amp; revenue'!BC53</f>
        <v>109911252.119287</v>
      </c>
      <c r="BD12" s="20" t="n">
        <f aca="false">'Clients &amp; revenue'!BD53</f>
        <v>113982055.150245</v>
      </c>
      <c r="BE12" s="20" t="n">
        <f aca="false">'Clients &amp; revenue'!BE53</f>
        <v>118034019.4095</v>
      </c>
      <c r="BF12" s="20" t="n">
        <f aca="false">'Clients &amp; revenue'!BF53</f>
        <v>122069053.189461</v>
      </c>
      <c r="BG12" s="20" t="n">
        <f aca="false">'Clients &amp; revenue'!BG53</f>
        <v>126089138.519058</v>
      </c>
      <c r="BH12" s="20" t="n">
        <f aca="false">'Clients &amp; revenue'!BH53</f>
        <v>130096336.211345</v>
      </c>
      <c r="BI12" s="20" t="n">
        <f aca="false">'Clients &amp; revenue'!BI53</f>
        <v>134092791.203448</v>
      </c>
      <c r="BJ12" s="20" t="n">
        <f aca="false">'Clients &amp; revenue'!BJ53</f>
        <v>138080738.206596</v>
      </c>
      <c r="BK12" s="20" t="n">
        <f aca="false">'Clients &amp; revenue'!BK53</f>
        <v>142043650.301164</v>
      </c>
      <c r="BL12" s="20" t="n">
        <f aca="false">'Clients &amp; revenue'!BL53</f>
        <v>145962307.761422</v>
      </c>
    </row>
    <row r="13" customFormat="false" ht="15" hidden="false" customHeight="false" outlineLevel="0" collapsed="false">
      <c r="A13" s="12" t="s">
        <v>611</v>
      </c>
      <c r="B13" s="14" t="s">
        <v>63</v>
      </c>
      <c r="D13" s="41" t="n">
        <f aca="false">SUM(E13:BL13)</f>
        <v>105896139.658971</v>
      </c>
      <c r="E13" s="20" t="n">
        <f aca="false">'Clients &amp; revenue'!E54</f>
        <v>0</v>
      </c>
      <c r="F13" s="20" t="n">
        <f aca="false">'Clients &amp; revenue'!F54</f>
        <v>0</v>
      </c>
      <c r="G13" s="20" t="n">
        <f aca="false">'Clients &amp; revenue'!G54</f>
        <v>0</v>
      </c>
      <c r="H13" s="20" t="n">
        <f aca="false">'Clients &amp; revenue'!H54</f>
        <v>0</v>
      </c>
      <c r="I13" s="20" t="n">
        <f aca="false">'Clients &amp; revenue'!I54</f>
        <v>308533.333333333</v>
      </c>
      <c r="J13" s="20" t="n">
        <f aca="false">'Clients &amp; revenue'!J54</f>
        <v>312433.333333333</v>
      </c>
      <c r="K13" s="20" t="n">
        <f aca="false">'Clients &amp; revenue'!K54</f>
        <v>316567.333333333</v>
      </c>
      <c r="L13" s="20" t="n">
        <f aca="false">'Clients &amp; revenue'!L54</f>
        <v>450949.373333333</v>
      </c>
      <c r="M13" s="20" t="n">
        <f aca="false">'Clients &amp; revenue'!M54</f>
        <v>455594.335733333</v>
      </c>
      <c r="N13" s="20" t="n">
        <f aca="false">'Clients &amp; revenue'!N54</f>
        <v>460517.995877333</v>
      </c>
      <c r="O13" s="20" t="n">
        <f aca="false">'Clients &amp; revenue'!O54</f>
        <v>465737.075629973</v>
      </c>
      <c r="P13" s="20" t="n">
        <f aca="false">'Clients &amp; revenue'!P54</f>
        <v>471269.300167772</v>
      </c>
      <c r="Q13" s="20" t="n">
        <f aca="false">'Clients &amp; revenue'!Q54</f>
        <v>590666.791511171</v>
      </c>
      <c r="R13" s="20" t="n">
        <f aca="false">'Clients &amp; revenue'!R54</f>
        <v>596882.799001842</v>
      </c>
      <c r="S13" s="20" t="n">
        <f aca="false">'Clients &amp; revenue'!S54</f>
        <v>603471.766941952</v>
      </c>
      <c r="T13" s="20" t="n">
        <f aca="false">'Clients &amp; revenue'!T54</f>
        <v>610456.072958469</v>
      </c>
      <c r="U13" s="20" t="n">
        <f aca="false">'Clients &amp; revenue'!U54</f>
        <v>617859.437335977</v>
      </c>
      <c r="V13" s="20" t="n">
        <f aca="false">'Clients &amp; revenue'!V54</f>
        <v>625707.003576136</v>
      </c>
      <c r="W13" s="20" t="n">
        <f aca="false">'Clients &amp; revenue'!W54</f>
        <v>786558.757124038</v>
      </c>
      <c r="X13" s="20" t="n">
        <f aca="false">'Clients &amp; revenue'!X54</f>
        <v>1233216.28255148</v>
      </c>
      <c r="Y13" s="20" t="n">
        <f aca="false">'Clients &amp; revenue'!Y54</f>
        <v>1245043.25950457</v>
      </c>
      <c r="Z13" s="20" t="n">
        <f aca="false">'Clients &amp; revenue'!Z54</f>
        <v>1257579.85507484</v>
      </c>
      <c r="AA13" s="20" t="n">
        <f aca="false">'Clients &amp; revenue'!AA54</f>
        <v>1270868.64637933</v>
      </c>
      <c r="AB13" s="20" t="n">
        <f aca="false">'Clients &amp; revenue'!AB54</f>
        <v>1284954.76516209</v>
      </c>
      <c r="AC13" s="20" t="n">
        <f aca="false">'Clients &amp; revenue'!AC54</f>
        <v>1527819.38440515</v>
      </c>
      <c r="AD13" s="20" t="n">
        <f aca="false">'Clients &amp; revenue'!AD54</f>
        <v>1543646.54746946</v>
      </c>
      <c r="AE13" s="20" t="n">
        <f aca="false">'Clients &amp; revenue'!AE54</f>
        <v>1560423.34031763</v>
      </c>
      <c r="AF13" s="20" t="n">
        <f aca="false">'Clients &amp; revenue'!AF54</f>
        <v>1578206.74073669</v>
      </c>
      <c r="AG13" s="20" t="n">
        <f aca="false">'Clients &amp; revenue'!AG54</f>
        <v>1597057.14518089</v>
      </c>
      <c r="AH13" s="20" t="n">
        <f aca="false">'Clients &amp; revenue'!AH54</f>
        <v>1617038.57389174</v>
      </c>
      <c r="AI13" s="20" t="n">
        <f aca="false">'Clients &amp; revenue'!AI54</f>
        <v>1638218.88832525</v>
      </c>
      <c r="AJ13" s="20" t="n">
        <f aca="false">'Clients &amp; revenue'!AJ54</f>
        <v>2096170.02162476</v>
      </c>
      <c r="AK13" s="20" t="n">
        <f aca="false">'Clients &amp; revenue'!AK54</f>
        <v>2119968.22292225</v>
      </c>
      <c r="AL13" s="20" t="n">
        <f aca="false">'Clients &amp; revenue'!AL54</f>
        <v>2145194.31629758</v>
      </c>
      <c r="AM13" s="20" t="n">
        <f aca="false">'Clients &amp; revenue'!AM54</f>
        <v>2171933.97527544</v>
      </c>
      <c r="AN13" s="20" t="n">
        <f aca="false">'Clients &amp; revenue'!AN54</f>
        <v>2200278.01379196</v>
      </c>
      <c r="AO13" s="20" t="n">
        <f aca="false">'Clients &amp; revenue'!AO54</f>
        <v>2343856.02795281</v>
      </c>
      <c r="AP13" s="20" t="n">
        <f aca="false">'Clients &amp; revenue'!AP54</f>
        <v>2375703.38962998</v>
      </c>
      <c r="AQ13" s="20" t="n">
        <f aca="false">'Clients &amp; revenue'!AQ54</f>
        <v>2409461.59300778</v>
      </c>
      <c r="AR13" s="20" t="n">
        <f aca="false">'Clients &amp; revenue'!AR54</f>
        <v>2445245.28858825</v>
      </c>
      <c r="AS13" s="20" t="n">
        <f aca="false">'Clients &amp; revenue'!AS54</f>
        <v>2473604.62591322</v>
      </c>
      <c r="AT13" s="20" t="n">
        <f aca="false">'Clients &amp; revenue'!AT54</f>
        <v>2482036.90346802</v>
      </c>
      <c r="AU13" s="20" t="n">
        <f aca="false">'Clients &amp; revenue'!AU54</f>
        <v>2490975.1176761</v>
      </c>
      <c r="AV13" s="20" t="n">
        <f aca="false">'Clients &amp; revenue'!AV54</f>
        <v>2935949.62473666</v>
      </c>
      <c r="AW13" s="20" t="n">
        <f aca="false">'Clients &amp; revenue'!AW54</f>
        <v>2945992.60222086</v>
      </c>
      <c r="AX13" s="20" t="n">
        <f aca="false">'Clients &amp; revenue'!AX54</f>
        <v>2956638.15835411</v>
      </c>
      <c r="AY13" s="20" t="n">
        <f aca="false">'Clients &amp; revenue'!AY54</f>
        <v>2967922.44785536</v>
      </c>
      <c r="AZ13" s="20" t="n">
        <f aca="false">'Clients &amp; revenue'!AZ54</f>
        <v>2979883.79472668</v>
      </c>
      <c r="BA13" s="20" t="n">
        <f aca="false">'Clients &amp; revenue'!BA54</f>
        <v>3106962.82241028</v>
      </c>
      <c r="BB13" s="20" t="n">
        <f aca="false">'Clients &amp; revenue'!BB54</f>
        <v>3120402.5917549</v>
      </c>
      <c r="BC13" s="20" t="n">
        <f aca="false">'Clients &amp; revenue'!BC54</f>
        <v>3134648.74726019</v>
      </c>
      <c r="BD13" s="20" t="n">
        <f aca="false">'Clients &amp; revenue'!BD54</f>
        <v>3149749.67209581</v>
      </c>
      <c r="BE13" s="20" t="n">
        <f aca="false">'Clients &amp; revenue'!BE54</f>
        <v>3165756.65242156</v>
      </c>
      <c r="BF13" s="20" t="n">
        <f aca="false">'Clients &amp; revenue'!BF54</f>
        <v>3182724.05156685</v>
      </c>
      <c r="BG13" s="20" t="n">
        <f aca="false">'Clients &amp; revenue'!BG54</f>
        <v>3200709.49466086</v>
      </c>
      <c r="BH13" s="20" t="n">
        <f aca="false">'Clients &amp; revenue'!BH54</f>
        <v>3219774.06434051</v>
      </c>
      <c r="BI13" s="20" t="n">
        <f aca="false">'Clients &amp; revenue'!BI54</f>
        <v>3239982.50820094</v>
      </c>
      <c r="BJ13" s="20" t="n">
        <f aca="false">'Clients &amp; revenue'!BJ54</f>
        <v>3261403.458693</v>
      </c>
      <c r="BK13" s="20" t="n">
        <f aca="false">'Clients &amp; revenue'!BK54</f>
        <v>3272966.66666667</v>
      </c>
      <c r="BL13" s="20" t="n">
        <f aca="false">'Clients &amp; revenue'!BL54</f>
        <v>3272966.66666667</v>
      </c>
    </row>
    <row r="14" customFormat="false" ht="15" hidden="false" customHeight="false" outlineLevel="0" collapsed="false">
      <c r="A14" s="12" t="s">
        <v>682</v>
      </c>
      <c r="B14" s="14" t="s">
        <v>63</v>
      </c>
      <c r="D14" s="41" t="n">
        <f aca="false">SUM(E14:BL14)</f>
        <v>157319657.484301</v>
      </c>
      <c r="E14" s="20" t="n">
        <f aca="false">'Clients &amp; revenue'!E55</f>
        <v>0</v>
      </c>
      <c r="F14" s="20" t="n">
        <f aca="false">'Clients &amp; revenue'!F55</f>
        <v>0</v>
      </c>
      <c r="G14" s="20" t="n">
        <f aca="false">'Clients &amp; revenue'!G55</f>
        <v>0</v>
      </c>
      <c r="H14" s="20" t="n">
        <f aca="false">'Clients &amp; revenue'!H55</f>
        <v>0</v>
      </c>
      <c r="I14" s="20" t="n">
        <f aca="false">'Clients &amp; revenue'!I55</f>
        <v>26106.6666666667</v>
      </c>
      <c r="J14" s="20" t="n">
        <f aca="false">'Clients &amp; revenue'!J55</f>
        <v>52311.9333333333</v>
      </c>
      <c r="K14" s="20" t="n">
        <f aca="false">'Clients &amp; revenue'!K55</f>
        <v>78634.8555</v>
      </c>
      <c r="L14" s="20" t="n">
        <f aca="false">'Clients &amp; revenue'!L55</f>
        <v>116095.506812917</v>
      </c>
      <c r="M14" s="20" t="n">
        <f aca="false">'Clients &amp; revenue'!M55</f>
        <v>153617.541425205</v>
      </c>
      <c r="N14" s="20" t="n">
        <f aca="false">'Clients &amp; revenue'!N55</f>
        <v>191224.178835418</v>
      </c>
      <c r="O14" s="20" t="n">
        <f aca="false">'Clients &amp; revenue'!O55</f>
        <v>228939.845943487</v>
      </c>
      <c r="P14" s="20" t="n">
        <f aca="false">'Clients &amp; revenue'!P55</f>
        <v>266790.251378632</v>
      </c>
      <c r="Q14" s="20" t="n">
        <f aca="false">'Clients &amp; revenue'!Q55</f>
        <v>314409.130933347</v>
      </c>
      <c r="R14" s="20" t="n">
        <f aca="false">'Clients &amp; revenue'!R55</f>
        <v>362133.181036728</v>
      </c>
      <c r="S14" s="20" t="n">
        <f aca="false">'Clients &amp; revenue'!S55</f>
        <v>409993.249591394</v>
      </c>
      <c r="T14" s="20" t="n">
        <f aca="false">'Clients &amp; revenue'!T55</f>
        <v>458021.802617182</v>
      </c>
      <c r="U14" s="20" t="n">
        <f aca="false">'Clients &amp; revenue'!U55</f>
        <v>506253.023692921</v>
      </c>
      <c r="V14" s="20" t="n">
        <f aca="false">'Clients &amp; revenue'!V55</f>
        <v>554722.919339423</v>
      </c>
      <c r="W14" s="20" t="n">
        <f aca="false">'Clients &amp; revenue'!W55</f>
        <v>616376.097367138</v>
      </c>
      <c r="X14" s="20" t="n">
        <f aca="false">'Clients &amp; revenue'!X55</f>
        <v>715279.4852333</v>
      </c>
      <c r="Y14" s="20" t="n">
        <f aca="false">'Clients &amp; revenue'!Y55</f>
        <v>814309.833476061</v>
      </c>
      <c r="Z14" s="20" t="n">
        <f aca="false">'Clients &amp; revenue'!Z55</f>
        <v>913526.519998859</v>
      </c>
      <c r="AA14" s="20" t="n">
        <f aca="false">'Clients &amp; revenue'!AA55</f>
        <v>1012991.99460274</v>
      </c>
      <c r="AB14" s="20" t="n">
        <f aca="false">'Clients &amp; revenue'!AB55</f>
        <v>1112771.96826324</v>
      </c>
      <c r="AC14" s="20" t="n">
        <f aca="false">'Clients &amp; revenue'!AC55</f>
        <v>1232222.28037723</v>
      </c>
      <c r="AD14" s="20" t="n">
        <f aca="false">'Clients &amp; revenue'!AD55</f>
        <v>1351958.16132535</v>
      </c>
      <c r="AE14" s="20" t="n">
        <f aca="false">'Clients &amp; revenue'!AE55</f>
        <v>1472057.96861108</v>
      </c>
      <c r="AF14" s="20" t="n">
        <f aca="false">'Clients &amp; revenue'!AF55</f>
        <v>1592604.18185653</v>
      </c>
      <c r="AG14" s="20" t="n">
        <f aca="false">'Clients &amp; revenue'!AG55</f>
        <v>1713683.65597656</v>
      </c>
      <c r="AH14" s="20" t="n">
        <f aca="false">'Clients &amp; revenue'!AH55</f>
        <v>1835387.88948063</v>
      </c>
      <c r="AI14" s="20" t="n">
        <f aca="false">'Clients &amp; revenue'!AI55</f>
        <v>1957813.30881088</v>
      </c>
      <c r="AJ14" s="20" t="n">
        <f aca="false">'Clients &amp; revenue'!AJ55</f>
        <v>2117911.56967923</v>
      </c>
      <c r="AK14" s="20" t="n">
        <f aca="false">'Clients &amp; revenue'!AK55</f>
        <v>2278613.25142421</v>
      </c>
      <c r="AL14" s="20" t="n">
        <f aca="false">'Clients &amp; revenue'!AL55</f>
        <v>2440034.52328184</v>
      </c>
      <c r="AM14" s="20" t="n">
        <f aca="false">'Clients &amp; revenue'!AM55</f>
        <v>2602297.76934464</v>
      </c>
      <c r="AN14" s="20" t="n">
        <f aca="false">'Clients &amp; revenue'!AN55</f>
        <v>2765531.96906233</v>
      </c>
      <c r="AO14" s="20" t="n">
        <f aca="false">'Clients &amp; revenue'!AO55</f>
        <v>2939479.76715794</v>
      </c>
      <c r="AP14" s="20" t="n">
        <f aca="false">'Clients &amp; revenue'!AP55</f>
        <v>3114592.75099164</v>
      </c>
      <c r="AQ14" s="20" t="n">
        <f aca="false">'Clients &amp; revenue'!AQ55</f>
        <v>3291023.00586192</v>
      </c>
      <c r="AR14" s="20" t="n">
        <f aca="false">'Clients &amp; revenue'!AR55</f>
        <v>3468930.96792231</v>
      </c>
      <c r="AS14" s="20" t="n">
        <f aca="false">'Clients &amp; revenue'!AS55</f>
        <v>3647676.04701489</v>
      </c>
      <c r="AT14" s="20" t="n">
        <f aca="false">'Clients &amp; revenue'!AT55</f>
        <v>3825565.40932258</v>
      </c>
      <c r="AU14" s="20" t="n">
        <f aca="false">'Clients &amp; revenue'!AU55</f>
        <v>4002650.16765444</v>
      </c>
      <c r="AV14" s="20" t="n">
        <f aca="false">'Clients &amp; revenue'!AV55</f>
        <v>4215833.53813624</v>
      </c>
      <c r="AW14" s="20" t="n">
        <f aca="false">'Clients &amp; revenue'!AW55</f>
        <v>4427994.35107331</v>
      </c>
      <c r="AX14" s="20" t="n">
        <f aca="false">'Clients &amp; revenue'!AX55</f>
        <v>4639193.52267465</v>
      </c>
      <c r="AY14" s="20" t="n">
        <f aca="false">'Clients &amp; revenue'!AY55</f>
        <v>4849494.4737498</v>
      </c>
      <c r="AZ14" s="20" t="n">
        <f aca="false">'Clients &amp; revenue'!AZ55</f>
        <v>5058963.29152952</v>
      </c>
      <c r="BA14" s="20" t="n">
        <f aca="false">'Clients &amp; revenue'!BA55</f>
        <v>5277348.90107268</v>
      </c>
      <c r="BB14" s="20" t="n">
        <f aca="false">'Clients &amp; revenue'!BB55</f>
        <v>5494957.4468359</v>
      </c>
      <c r="BC14" s="20" t="n">
        <f aca="false">'Clients &amp; revenue'!BC55</f>
        <v>5711864.89351707</v>
      </c>
      <c r="BD14" s="20" t="n">
        <f aca="false">'Clients &amp; revenue'!BD55</f>
        <v>5928150.6131942</v>
      </c>
      <c r="BE14" s="20" t="n">
        <f aca="false">'Clients &amp; revenue'!BE55</f>
        <v>6143897.60128569</v>
      </c>
      <c r="BF14" s="20" t="n">
        <f aca="false">'Clients &amp; revenue'!BF55</f>
        <v>6359192.70534551</v>
      </c>
      <c r="BG14" s="20" t="n">
        <f aca="false">'Clients &amp; revenue'!BG55</f>
        <v>6574126.86746517</v>
      </c>
      <c r="BH14" s="20" t="n">
        <f aca="false">'Clients &amp; revenue'!BH55</f>
        <v>6788795.38109995</v>
      </c>
      <c r="BI14" s="20" t="n">
        <f aca="false">'Clients &amp; revenue'!BI55</f>
        <v>7003298.16318625</v>
      </c>
      <c r="BJ14" s="20" t="n">
        <f aca="false">'Clients &amp; revenue'!BJ55</f>
        <v>7217740.04246898</v>
      </c>
      <c r="BK14" s="20" t="n">
        <f aca="false">'Clients &amp; revenue'!BK55</f>
        <v>7431288.19582019</v>
      </c>
      <c r="BL14" s="20" t="n">
        <f aca="false">'Clients &amp; revenue'!BL55</f>
        <v>7642972.86464205</v>
      </c>
    </row>
    <row r="15" customFormat="false" ht="15" hidden="false" customHeight="false" outlineLevel="0" collapsed="false">
      <c r="A15" s="12" t="s">
        <v>612</v>
      </c>
      <c r="B15" s="14" t="s">
        <v>63</v>
      </c>
      <c r="D15" s="41" t="n">
        <f aca="false">SUM(E15:BL15)</f>
        <v>1089328776.89569</v>
      </c>
      <c r="E15" s="20" t="n">
        <f aca="false">'Clients &amp; revenue'!E56</f>
        <v>0</v>
      </c>
      <c r="F15" s="20" t="n">
        <f aca="false">'Clients &amp; revenue'!F56</f>
        <v>0</v>
      </c>
      <c r="G15" s="20" t="n">
        <f aca="false">'Clients &amp; revenue'!G56</f>
        <v>0</v>
      </c>
      <c r="H15" s="20" t="n">
        <f aca="false">'Clients &amp; revenue'!H56</f>
        <v>0</v>
      </c>
      <c r="I15" s="20" t="n">
        <f aca="false">'Clients &amp; revenue'!I56</f>
        <v>0</v>
      </c>
      <c r="J15" s="20" t="n">
        <f aca="false">'Clients &amp; revenue'!J56</f>
        <v>0</v>
      </c>
      <c r="K15" s="20" t="n">
        <f aca="false">'Clients &amp; revenue'!K56</f>
        <v>0</v>
      </c>
      <c r="L15" s="20" t="n">
        <f aca="false">'Clients &amp; revenue'!L56</f>
        <v>0</v>
      </c>
      <c r="M15" s="20" t="n">
        <f aca="false">'Clients &amp; revenue'!M56</f>
        <v>0</v>
      </c>
      <c r="N15" s="20" t="n">
        <f aca="false">'Clients &amp; revenue'!N56</f>
        <v>0</v>
      </c>
      <c r="O15" s="20" t="n">
        <f aca="false">'Clients &amp; revenue'!O56</f>
        <v>0</v>
      </c>
      <c r="P15" s="20" t="n">
        <f aca="false">'Clients &amp; revenue'!P56</f>
        <v>0</v>
      </c>
      <c r="Q15" s="20" t="n">
        <f aca="false">'Clients &amp; revenue'!Q56</f>
        <v>0</v>
      </c>
      <c r="R15" s="20" t="n">
        <f aca="false">'Clients &amp; revenue'!R56</f>
        <v>0</v>
      </c>
      <c r="S15" s="20" t="n">
        <f aca="false">'Clients &amp; revenue'!S56</f>
        <v>0</v>
      </c>
      <c r="T15" s="20" t="n">
        <f aca="false">'Clients &amp; revenue'!T56</f>
        <v>0</v>
      </c>
      <c r="U15" s="20" t="n">
        <f aca="false">'Clients &amp; revenue'!U56</f>
        <v>0</v>
      </c>
      <c r="V15" s="20" t="n">
        <f aca="false">'Clients &amp; revenue'!V56</f>
        <v>344346.376315495</v>
      </c>
      <c r="W15" s="20" t="n">
        <f aca="false">'Clients &amp; revenue'!W56</f>
        <v>764570.04947156</v>
      </c>
      <c r="X15" s="20" t="n">
        <f aca="false">'Clients &amp; revenue'!X56</f>
        <v>1330886.75706587</v>
      </c>
      <c r="Y15" s="20" t="n">
        <f aca="false">'Clients &amp; revenue'!Y56</f>
        <v>2019524.55250989</v>
      </c>
      <c r="Z15" s="20" t="n">
        <f aca="false">'Clients &amp; revenue'!Z56</f>
        <v>2830409.35743532</v>
      </c>
      <c r="AA15" s="20" t="n">
        <f aca="false">'Clients &amp; revenue'!AA56</f>
        <v>3763638.4987559</v>
      </c>
      <c r="AB15" s="20" t="n">
        <f aca="false">'Clients &amp; revenue'!AB56</f>
        <v>4819490.39684081</v>
      </c>
      <c r="AC15" s="20" t="n">
        <f aca="false">'Clients &amp; revenue'!AC56</f>
        <v>6095803.45142897</v>
      </c>
      <c r="AD15" s="20" t="n">
        <f aca="false">'Clients &amp; revenue'!AD56</f>
        <v>7518919.25685073</v>
      </c>
      <c r="AE15" s="20" t="n">
        <f aca="false">'Clients &amp; revenue'!AE56</f>
        <v>9089310.38691356</v>
      </c>
      <c r="AF15" s="20" t="n">
        <f aca="false">'Clients &amp; revenue'!AF56</f>
        <v>10807684.942801</v>
      </c>
      <c r="AG15" s="20" t="n">
        <f aca="false">'Clients &amp; revenue'!AG56</f>
        <v>12675000.4109831</v>
      </c>
      <c r="AH15" s="20" t="n">
        <f aca="false">'Clients &amp; revenue'!AH56</f>
        <v>13562287.9130463</v>
      </c>
      <c r="AI15" s="20" t="n">
        <f aca="false">'Clients &amp; revenue'!AI56</f>
        <v>14452818.4585841</v>
      </c>
      <c r="AJ15" s="20" t="n">
        <f aca="false">'Clients &amp; revenue'!AJ56</f>
        <v>15626438.171895</v>
      </c>
      <c r="AK15" s="20" t="n">
        <f aca="false">'Clients &amp; revenue'!AK56</f>
        <v>16801598.4123109</v>
      </c>
      <c r="AL15" s="20" t="n">
        <f aca="false">'Clients &amp; revenue'!AL56</f>
        <v>17979216.9281365</v>
      </c>
      <c r="AM15" s="20" t="n">
        <f aca="false">'Clients &amp; revenue'!AM56</f>
        <v>19160255.1479415</v>
      </c>
      <c r="AN15" s="20" t="n">
        <f aca="false">'Clients &amp; revenue'!AN56</f>
        <v>20345720.9784052</v>
      </c>
      <c r="AO15" s="20" t="n">
        <f aca="false">'Clients &amp; revenue'!AO56</f>
        <v>21609420.4336919</v>
      </c>
      <c r="AP15" s="20" t="n">
        <f aca="false">'Clients &amp; revenue'!AP56</f>
        <v>22878848.2079676</v>
      </c>
      <c r="AQ15" s="20" t="n">
        <f aca="false">'Clients &amp; revenue'!AQ56</f>
        <v>24155182.014881</v>
      </c>
      <c r="AR15" s="20" t="n">
        <f aca="false">'Clients &amp; revenue'!AR56</f>
        <v>25439658.8046757</v>
      </c>
      <c r="AS15" s="20" t="n">
        <f aca="false">'Clients &amp; revenue'!AS56</f>
        <v>26727445.4492713</v>
      </c>
      <c r="AT15" s="20" t="n">
        <f aca="false">'Clients &amp; revenue'!AT56</f>
        <v>28005754.9040348</v>
      </c>
      <c r="AU15" s="20" t="n">
        <f aca="false">'Clients &amp; revenue'!AU56</f>
        <v>29275045.0332686</v>
      </c>
      <c r="AV15" s="20" t="n">
        <f aca="false">'Clients &amp; revenue'!AV56</f>
        <v>30814842.1848687</v>
      </c>
      <c r="AW15" s="20" t="n">
        <f aca="false">'Clients &amp; revenue'!AW56</f>
        <v>32343253.1771849</v>
      </c>
      <c r="AX15" s="20" t="n">
        <f aca="false">'Clients &amp; revenue'!AX56</f>
        <v>33860825.051804</v>
      </c>
      <c r="AY15" s="20" t="n">
        <f aca="false">'Clients &amp; revenue'!AY56</f>
        <v>35368120.8782018</v>
      </c>
      <c r="AZ15" s="20" t="n">
        <f aca="false">'Clients &amp; revenue'!AZ56</f>
        <v>36865720.9743601</v>
      </c>
      <c r="BA15" s="20" t="n">
        <f aca="false">'Clients &amp; revenue'!BA56</f>
        <v>38427528.1962492</v>
      </c>
      <c r="BB15" s="20" t="n">
        <f aca="false">'Clients &amp; revenue'!BB56</f>
        <v>39979984.120385</v>
      </c>
      <c r="BC15" s="20" t="n">
        <f aca="false">'Clients &amp; revenue'!BC56</f>
        <v>41523740.8212734</v>
      </c>
      <c r="BD15" s="20" t="n">
        <f aca="false">'Clients &amp; revenue'!BD56</f>
        <v>43059473.0510128</v>
      </c>
      <c r="BE15" s="20" t="n">
        <f aca="false">'Clients &amp; revenue'!BE56</f>
        <v>44587879.8520686</v>
      </c>
      <c r="BF15" s="20" t="n">
        <f aca="false">'Clients &amp; revenue'!BF56</f>
        <v>46109686.2625735</v>
      </c>
      <c r="BG15" s="20" t="n">
        <f aca="false">'Clients &amp; revenue'!BG56</f>
        <v>47625645.1197851</v>
      </c>
      <c r="BH15" s="20" t="n">
        <f aca="false">'Clients &amp; revenue'!BH56</f>
        <v>49136538.9676608</v>
      </c>
      <c r="BI15" s="20" t="n">
        <f aca="false">'Clients &amp; revenue'!BI56</f>
        <v>50643182.0748733</v>
      </c>
      <c r="BJ15" s="20" t="n">
        <f aca="false">'Clients &amp; revenue'!BJ56</f>
        <v>52146422.5699624</v>
      </c>
      <c r="BK15" s="20" t="n">
        <f aca="false">'Clients &amp; revenue'!BK56</f>
        <v>53640004.6094751</v>
      </c>
      <c r="BL15" s="20" t="n">
        <f aca="false">'Clients &amp; revenue'!BL56</f>
        <v>55116653.6884714</v>
      </c>
    </row>
    <row r="16" customFormat="false" ht="15" hidden="false" customHeight="false" outlineLevel="0" collapsed="false">
      <c r="A16" s="12" t="s">
        <v>683</v>
      </c>
      <c r="B16" s="14" t="s">
        <v>63</v>
      </c>
      <c r="D16" s="41" t="n">
        <f aca="false">SUM(E16:BL16)</f>
        <v>1628841540.91994</v>
      </c>
      <c r="E16" s="20" t="n">
        <f aca="false">Credit!E42</f>
        <v>0</v>
      </c>
      <c r="F16" s="20" t="n">
        <f aca="false">Credit!F42</f>
        <v>0</v>
      </c>
      <c r="G16" s="20" t="n">
        <f aca="false">Credit!G42</f>
        <v>0</v>
      </c>
      <c r="H16" s="20" t="n">
        <f aca="false">Credit!H42</f>
        <v>0</v>
      </c>
      <c r="I16" s="20" t="n">
        <f aca="false">Credit!I42</f>
        <v>0</v>
      </c>
      <c r="J16" s="20" t="n">
        <f aca="false">Credit!J42</f>
        <v>0</v>
      </c>
      <c r="K16" s="20" t="n">
        <f aca="false">Credit!K42</f>
        <v>0</v>
      </c>
      <c r="L16" s="20" t="n">
        <f aca="false">Credit!L42</f>
        <v>0</v>
      </c>
      <c r="M16" s="20" t="n">
        <f aca="false">Credit!M42</f>
        <v>0</v>
      </c>
      <c r="N16" s="20" t="n">
        <f aca="false">Credit!N42</f>
        <v>0</v>
      </c>
      <c r="O16" s="20" t="n">
        <f aca="false">Credit!O42</f>
        <v>0</v>
      </c>
      <c r="P16" s="20" t="n">
        <f aca="false">Credit!P42</f>
        <v>48138.8226202395</v>
      </c>
      <c r="Q16" s="20" t="n">
        <f aca="false">Credit!Q42</f>
        <v>161312.890630193</v>
      </c>
      <c r="R16" s="20" t="n">
        <f aca="false">Credit!R42</f>
        <v>308162.262843474</v>
      </c>
      <c r="S16" s="20" t="n">
        <f aca="false">Credit!S42</f>
        <v>502012.450513591</v>
      </c>
      <c r="T16" s="20" t="n">
        <f aca="false">Credit!T42</f>
        <v>745786.715173246</v>
      </c>
      <c r="U16" s="20" t="n">
        <f aca="false">Credit!U42</f>
        <v>1028919.66169218</v>
      </c>
      <c r="V16" s="20" t="n">
        <f aca="false">Credit!V42</f>
        <v>1351355.99292895</v>
      </c>
      <c r="W16" s="20" t="n">
        <f aca="false">Credit!W42</f>
        <v>1734376.62128144</v>
      </c>
      <c r="X16" s="20" t="n">
        <f aca="false">Credit!X42</f>
        <v>2291366.87988763</v>
      </c>
      <c r="Y16" s="20" t="n">
        <f aca="false">Credit!Y42</f>
        <v>3032447.49304068</v>
      </c>
      <c r="Z16" s="20" t="n">
        <f aca="false">Credit!Z42</f>
        <v>3875376.32713075</v>
      </c>
      <c r="AA16" s="20" t="n">
        <f aca="false">Credit!AA42</f>
        <v>4819701.62100716</v>
      </c>
      <c r="AB16" s="20" t="n">
        <f aca="false">Credit!AB42</f>
        <v>5669379.80855941</v>
      </c>
      <c r="AC16" s="20" t="n">
        <f aca="false">Credit!AC42</f>
        <v>6446542.35270101</v>
      </c>
      <c r="AD16" s="20" t="n">
        <f aca="false">Credit!AD42</f>
        <v>7315377.69862963</v>
      </c>
      <c r="AE16" s="20" t="n">
        <f aca="false">Credit!AE42</f>
        <v>8174739.13537375</v>
      </c>
      <c r="AF16" s="20" t="n">
        <f aca="false">Credit!AF42</f>
        <v>9017413.02755974</v>
      </c>
      <c r="AG16" s="20" t="n">
        <f aca="false">Credit!AG42</f>
        <v>9883787.33355519</v>
      </c>
      <c r="AH16" s="20" t="n">
        <f aca="false">Credit!AH42</f>
        <v>10774412.1754083</v>
      </c>
      <c r="AI16" s="20" t="n">
        <f aca="false">Credit!AI42</f>
        <v>11689908.5283962</v>
      </c>
      <c r="AJ16" s="20" t="n">
        <f aca="false">Credit!AJ42</f>
        <v>12642251.8786446</v>
      </c>
      <c r="AK16" s="20" t="n">
        <f aca="false">Credit!AK42</f>
        <v>13617639.0036627</v>
      </c>
      <c r="AL16" s="20" t="n">
        <f aca="false">Credit!AL42</f>
        <v>14591047.8249345</v>
      </c>
      <c r="AM16" s="20" t="n">
        <f aca="false">Credit!AM42</f>
        <v>15563351.0635089</v>
      </c>
      <c r="AN16" s="20" t="n">
        <f aca="false">Credit!AN42</f>
        <v>16535456.2918322</v>
      </c>
      <c r="AO16" s="20" t="n">
        <f aca="false">Credit!AO42</f>
        <v>35080142.601246</v>
      </c>
      <c r="AP16" s="20" t="n">
        <f aca="false">Credit!AP42</f>
        <v>37155323.9942862</v>
      </c>
      <c r="AQ16" s="20" t="n">
        <f aca="false">Credit!AQ42</f>
        <v>39233966.0050914</v>
      </c>
      <c r="AR16" s="20" t="n">
        <f aca="false">Credit!AR42</f>
        <v>41318249.9924895</v>
      </c>
      <c r="AS16" s="20" t="n">
        <f aca="false">Credit!AS42</f>
        <v>43405097.9271322</v>
      </c>
      <c r="AT16" s="20" t="n">
        <f aca="false">Credit!AT42</f>
        <v>45479198.4861072</v>
      </c>
      <c r="AU16" s="20" t="n">
        <f aca="false">Credit!AU42</f>
        <v>47529927.2934979</v>
      </c>
      <c r="AV16" s="20" t="n">
        <f aca="false">Credit!AV42</f>
        <v>49801960.3472243</v>
      </c>
      <c r="AW16" s="20" t="n">
        <f aca="false">Credit!AW42</f>
        <v>52292334.0477863</v>
      </c>
      <c r="AX16" s="20" t="n">
        <f aca="false">Credit!AX42</f>
        <v>54754496.9299837</v>
      </c>
      <c r="AY16" s="20" t="n">
        <f aca="false">Credit!AY42</f>
        <v>57189645.2601976</v>
      </c>
      <c r="AZ16" s="20" t="n">
        <f aca="false">Credit!AZ42</f>
        <v>59598996.3113891</v>
      </c>
      <c r="BA16" s="20" t="n">
        <f aca="false">Credit!BA42</f>
        <v>62047801.3942628</v>
      </c>
      <c r="BB16" s="20" t="n">
        <f aca="false">Credit!BB42</f>
        <v>64536281.0762054</v>
      </c>
      <c r="BC16" s="20" t="n">
        <f aca="false">Credit!BC42</f>
        <v>67000691.4657034</v>
      </c>
      <c r="BD16" s="20" t="n">
        <f aca="false">Credit!BD42</f>
        <v>69442393.5263021</v>
      </c>
      <c r="BE16" s="20" t="n">
        <f aca="false">Credit!BE42</f>
        <v>71862780.7563433</v>
      </c>
      <c r="BF16" s="20" t="n">
        <f aca="false">Credit!BF42</f>
        <v>74263282.046029</v>
      </c>
      <c r="BG16" s="20" t="n">
        <f aca="false">Credit!BG42</f>
        <v>76645364.6887049</v>
      </c>
      <c r="BH16" s="20" t="n">
        <f aca="false">Credit!BH42</f>
        <v>79010537.5559503</v>
      </c>
      <c r="BI16" s="20" t="n">
        <f aca="false">Credit!BI42</f>
        <v>81360354.4466292</v>
      </c>
      <c r="BJ16" s="20" t="n">
        <f aca="false">Credit!BJ42</f>
        <v>83696417.6206613</v>
      </c>
      <c r="BK16" s="20" t="n">
        <f aca="false">Credit!BK42</f>
        <v>86014146.6278012</v>
      </c>
      <c r="BL16" s="20" t="n">
        <f aca="false">Credit!BL42</f>
        <v>88301886.6574045</v>
      </c>
    </row>
    <row r="17" customFormat="false" ht="15" hidden="false" customHeight="false" outlineLevel="0" collapsed="false">
      <c r="A17" s="8" t="s">
        <v>75</v>
      </c>
      <c r="B17" s="14" t="s">
        <v>63</v>
      </c>
      <c r="D17" s="41" t="n">
        <f aca="false">SUM(E17:BL17)</f>
        <v>14293435391.9051</v>
      </c>
      <c r="E17" s="41" t="n">
        <f aca="false">SUM(E9:E16)</f>
        <v>0</v>
      </c>
      <c r="F17" s="41" t="n">
        <f aca="false">SUM(F9:F16)</f>
        <v>0</v>
      </c>
      <c r="G17" s="41" t="n">
        <f aca="false">SUM(G9:G16)</f>
        <v>0</v>
      </c>
      <c r="H17" s="41" t="n">
        <f aca="false">SUM(H9:H16)</f>
        <v>0</v>
      </c>
      <c r="I17" s="41" t="n">
        <f aca="false">SUM(I9:I16)</f>
        <v>1438240</v>
      </c>
      <c r="J17" s="41" t="n">
        <f aca="false">SUM(J9:J16)</f>
        <v>2572652.06666667</v>
      </c>
      <c r="K17" s="41" t="n">
        <f aca="false">SUM(K9:K16)</f>
        <v>3708975.61783333</v>
      </c>
      <c r="L17" s="41" t="n">
        <f aca="false">SUM(L9:L16)</f>
        <v>6408171.05807556</v>
      </c>
      <c r="M17" s="41" t="n">
        <f aca="false">SUM(M9:M16)</f>
        <v>9009273.12161841</v>
      </c>
      <c r="N17" s="41" t="n">
        <f aca="false">SUM(N9:N16)</f>
        <v>11604911.584187</v>
      </c>
      <c r="O17" s="41" t="n">
        <f aca="false">SUM(O9:O16)</f>
        <v>14632219.9703517</v>
      </c>
      <c r="P17" s="41" t="n">
        <f aca="false">SUM(P9:P16)</f>
        <v>17706358.5168921</v>
      </c>
      <c r="Q17" s="41" t="n">
        <f aca="false">SUM(Q9:Q16)</f>
        <v>21375678.7744814</v>
      </c>
      <c r="R17" s="41" t="n">
        <f aca="false">SUM(R9:R16)</f>
        <v>24958577.9532421</v>
      </c>
      <c r="S17" s="41" t="n">
        <f aca="false">SUM(S9:S16)</f>
        <v>28584474.7456864</v>
      </c>
      <c r="T17" s="41" t="n">
        <f aca="false">SUM(T9:T16)</f>
        <v>32638950.7049199</v>
      </c>
      <c r="U17" s="41" t="n">
        <f aca="false">SUM(U9:U16)</f>
        <v>36734242.5208678</v>
      </c>
      <c r="V17" s="41" t="n">
        <f aca="false">SUM(V9:V16)</f>
        <v>41217556.930174</v>
      </c>
      <c r="W17" s="41" t="n">
        <f aca="false">SUM(W9:W16)</f>
        <v>46555795.8963074</v>
      </c>
      <c r="X17" s="41" t="n">
        <f aca="false">SUM(X9:X16)</f>
        <v>54100042.8608662</v>
      </c>
      <c r="Y17" s="41" t="n">
        <f aca="false">SUM(Y9:Y16)</f>
        <v>61487692.2557725</v>
      </c>
      <c r="Z17" s="41" t="n">
        <f aca="false">SUM(Z9:Z16)</f>
        <v>69587009.6477899</v>
      </c>
      <c r="AA17" s="41" t="n">
        <f aca="false">SUM(AA9:AA16)</f>
        <v>79357289.0687717</v>
      </c>
      <c r="AB17" s="41" t="n">
        <f aca="false">SUM(AB9:AB16)</f>
        <v>89150596.343183</v>
      </c>
      <c r="AC17" s="41" t="n">
        <f aca="false">SUM(AC9:AC16)</f>
        <v>100155075.795464</v>
      </c>
      <c r="AD17" s="41" t="n">
        <f aca="false">SUM(AD9:AD16)</f>
        <v>111157069.047707</v>
      </c>
      <c r="AE17" s="41" t="n">
        <f aca="false">SUM(AE9:AE16)</f>
        <v>122290292.682362</v>
      </c>
      <c r="AF17" s="41" t="n">
        <f aca="false">SUM(AF9:AF16)</f>
        <v>134317857.857874</v>
      </c>
      <c r="AG17" s="41" t="n">
        <f aca="false">SUM(AG9:AG16)</f>
        <v>146525278.712554</v>
      </c>
      <c r="AH17" s="41" t="n">
        <f aca="false">SUM(AH9:AH16)</f>
        <v>157791502.971768</v>
      </c>
      <c r="AI17" s="41" t="n">
        <f aca="false">SUM(AI9:AI16)</f>
        <v>169108132.503513</v>
      </c>
      <c r="AJ17" s="41" t="n">
        <f aca="false">SUM(AJ9:AJ16)</f>
        <v>182805164.378295</v>
      </c>
      <c r="AK17" s="41" t="n">
        <f aca="false">SUM(AK9:AK16)</f>
        <v>196092579.021413</v>
      </c>
      <c r="AL17" s="41" t="n">
        <f aca="false">SUM(AL9:AL16)</f>
        <v>209391181.574939</v>
      </c>
      <c r="AM17" s="41" t="n">
        <f aca="false">SUM(AM9:AM16)</f>
        <v>224170232.471152</v>
      </c>
      <c r="AN17" s="41" t="n">
        <f aca="false">SUM(AN9:AN16)</f>
        <v>238984363.307989</v>
      </c>
      <c r="AO17" s="41" t="n">
        <f aca="false">SUM(AO9:AO16)</f>
        <v>272020189.816609</v>
      </c>
      <c r="AP17" s="41" t="n">
        <f aca="false">SUM(AP9:AP16)</f>
        <v>288521874.386839</v>
      </c>
      <c r="AQ17" s="41" t="n">
        <f aca="false">SUM(AQ9:AQ16)</f>
        <v>305089097.773769</v>
      </c>
      <c r="AR17" s="41" t="n">
        <f aca="false">SUM(AR9:AR16)</f>
        <v>322117857.007471</v>
      </c>
      <c r="AS17" s="41" t="n">
        <f aca="false">SUM(AS9:AS16)</f>
        <v>339188852.185808</v>
      </c>
      <c r="AT17" s="41" t="n">
        <f aca="false">SUM(AT9:AT16)</f>
        <v>356194761.564657</v>
      </c>
      <c r="AU17" s="41" t="n">
        <f aca="false">SUM(AU9:AU16)</f>
        <v>373156047.248167</v>
      </c>
      <c r="AV17" s="41" t="n">
        <f aca="false">SUM(AV9:AV16)</f>
        <v>392605651.952155</v>
      </c>
      <c r="AW17" s="41" t="n">
        <f aca="false">SUM(AW9:AW16)</f>
        <v>411692430.704923</v>
      </c>
      <c r="AX17" s="41" t="n">
        <f aca="false">SUM(AX9:AX16)</f>
        <v>430611696.554132</v>
      </c>
      <c r="AY17" s="41" t="n">
        <f aca="false">SUM(AY9:AY16)</f>
        <v>450828764.967325</v>
      </c>
      <c r="AZ17" s="41" t="n">
        <f aca="false">SUM(AZ9:AZ16)</f>
        <v>470893985.638255</v>
      </c>
      <c r="BA17" s="41" t="n">
        <f aca="false">SUM(BA9:BA16)</f>
        <v>491486108.803705</v>
      </c>
      <c r="BB17" s="41" t="n">
        <f aca="false">SUM(BB9:BB16)</f>
        <v>511880766.156708</v>
      </c>
      <c r="BC17" s="41" t="n">
        <f aca="false">SUM(BC9:BC16)</f>
        <v>532136121.325231</v>
      </c>
      <c r="BD17" s="41" t="n">
        <f aca="false">SUM(BD9:BD16)</f>
        <v>552644173.756886</v>
      </c>
      <c r="BE17" s="41" t="n">
        <f aca="false">SUM(BE9:BE16)</f>
        <v>573031440.23445</v>
      </c>
      <c r="BF17" s="41" t="n">
        <f aca="false">SUM(BF9:BF16)</f>
        <v>593307640.583104</v>
      </c>
      <c r="BG17" s="41" t="n">
        <f aca="false">SUM(BG9:BG16)</f>
        <v>613482832.608155</v>
      </c>
      <c r="BH17" s="41" t="n">
        <f aca="false">SUM(BH9:BH16)</f>
        <v>633567436.338406</v>
      </c>
      <c r="BI17" s="41" t="n">
        <f aca="false">SUM(BI9:BI16)</f>
        <v>653572259.654795</v>
      </c>
      <c r="BJ17" s="41" t="n">
        <f aca="false">SUM(BJ9:BJ16)</f>
        <v>673508525.388712</v>
      </c>
      <c r="BK17" s="41" t="n">
        <f aca="false">SUM(BK9:BK16)</f>
        <v>693322581.466086</v>
      </c>
      <c r="BL17" s="41" t="n">
        <f aca="false">SUM(BL9:BL16)</f>
        <v>712956855.826049</v>
      </c>
    </row>
    <row r="19" customFormat="false" ht="15" hidden="false" customHeight="false" outlineLevel="0" collapsed="false">
      <c r="A19" s="10" t="s">
        <v>684</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685</v>
      </c>
      <c r="B20" s="14" t="s">
        <v>63</v>
      </c>
      <c r="D20" s="41" t="n">
        <f aca="false">SUM(E20:BL20)</f>
        <v>1060558019.64762</v>
      </c>
      <c r="E20" s="33" t="n">
        <f aca="false">Costs!E9+Costs!E10</f>
        <v>0</v>
      </c>
      <c r="F20" s="33" t="n">
        <f aca="false">Costs!F9+Costs!F10</f>
        <v>0</v>
      </c>
      <c r="G20" s="33" t="n">
        <f aca="false">Costs!G9+Costs!G10</f>
        <v>0</v>
      </c>
      <c r="H20" s="33" t="n">
        <f aca="false">Costs!H9+Costs!H10</f>
        <v>0</v>
      </c>
      <c r="I20" s="33" t="n">
        <f aca="false">Costs!I9+Costs!I10</f>
        <v>797440</v>
      </c>
      <c r="J20" s="33" t="n">
        <f aca="false">Costs!J9+Costs!J10</f>
        <v>947570.4</v>
      </c>
      <c r="K20" s="33" t="n">
        <f aca="false">Costs!K9+Costs!K10</f>
        <v>1097767.952</v>
      </c>
      <c r="L20" s="33" t="n">
        <f aca="false">Costs!L9+Costs!L10</f>
        <v>1584186.867535</v>
      </c>
      <c r="M20" s="33" t="n">
        <f aca="false">Costs!M9+Costs!M10</f>
        <v>2921285.563217</v>
      </c>
      <c r="N20" s="33" t="n">
        <f aca="false">Costs!N9+Costs!N10</f>
        <v>2278147.98860925</v>
      </c>
      <c r="O20" s="33" t="n">
        <f aca="false">Costs!O9+Costs!O10</f>
        <v>2487601.52294681</v>
      </c>
      <c r="P20" s="33" t="n">
        <f aca="false">Costs!P9+Costs!P10</f>
        <v>2697221.67031643</v>
      </c>
      <c r="Q20" s="33" t="n">
        <f aca="false">Costs!Q9+Costs!Q10</f>
        <v>3271406.24024347</v>
      </c>
      <c r="R20" s="33" t="n">
        <f aca="false">Costs!R9+Costs!R10</f>
        <v>3532791.43953013</v>
      </c>
      <c r="S20" s="33" t="n">
        <f aca="false">Costs!S9+Costs!S10</f>
        <v>3794185.65896241</v>
      </c>
      <c r="T20" s="33" t="n">
        <f aca="false">Costs!T9+Costs!T10</f>
        <v>4055851.58251901</v>
      </c>
      <c r="U20" s="33" t="n">
        <f aca="false">Costs!U9+Costs!U10</f>
        <v>4318062.96733131</v>
      </c>
      <c r="V20" s="33" t="n">
        <f aca="false">Costs!V9+Costs!V10</f>
        <v>4581105.39554396</v>
      </c>
      <c r="W20" s="33" t="n">
        <f aca="false">Costs!W9+Costs!W10</f>
        <v>5334557.06961127</v>
      </c>
      <c r="X20" s="33" t="n">
        <f aca="false">Costs!X9+Costs!X10</f>
        <v>7072834.45366837</v>
      </c>
      <c r="Y20" s="33" t="n">
        <f aca="false">Costs!Y9+Costs!Y10</f>
        <v>7611041.24577345</v>
      </c>
      <c r="Z20" s="33" t="n">
        <f aca="false">Costs!Z9+Costs!Z10</f>
        <v>8148596.44205985</v>
      </c>
      <c r="AA20" s="33" t="n">
        <f aca="false">Costs!AA9+Costs!AA10</f>
        <v>8686011.62639925</v>
      </c>
      <c r="AB20" s="33" t="n">
        <f aca="false">Costs!AB9+Costs!AB10</f>
        <v>9223819.23333507</v>
      </c>
      <c r="AC20" s="33" t="n">
        <f aca="false">Costs!AC9+Costs!AC10</f>
        <v>10493713.9827692</v>
      </c>
      <c r="AD20" s="33" t="n">
        <f aca="false">Costs!AD9+Costs!AD10</f>
        <v>11135920.0472121</v>
      </c>
      <c r="AE20" s="33" t="n">
        <f aca="false">Costs!AE9+Costs!AE10</f>
        <v>11778569.9094937</v>
      </c>
      <c r="AF20" s="33" t="n">
        <f aca="false">Costs!AF9+Costs!AF10</f>
        <v>12422324.5288152</v>
      </c>
      <c r="AG20" s="33" t="n">
        <f aca="false">Costs!AG9+Costs!AG10</f>
        <v>13067873.2101481</v>
      </c>
      <c r="AH20" s="33" t="n">
        <f aca="false">Costs!AH9+Costs!AH10</f>
        <v>13715935.5156668</v>
      </c>
      <c r="AI20" s="33" t="n">
        <f aca="false">Costs!AI9+Costs!AI10</f>
        <v>14367263.2868348</v>
      </c>
      <c r="AJ20" s="33" t="n">
        <f aca="false">Costs!AJ9+Costs!AJ10</f>
        <v>16419592.7838642</v>
      </c>
      <c r="AK20" s="33" t="n">
        <f aca="false">Costs!AK9+Costs!AK10</f>
        <v>17274590.8246653</v>
      </c>
      <c r="AL20" s="33" t="n">
        <f aca="false">Costs!AL9+Costs!AL10</f>
        <v>18132104.5936457</v>
      </c>
      <c r="AM20" s="33" t="n">
        <f aca="false">Costs!AM9+Costs!AM10</f>
        <v>18993094.9013959</v>
      </c>
      <c r="AN20" s="33" t="n">
        <f aca="false">Costs!AN9+Costs!AN10</f>
        <v>19858565.7959683</v>
      </c>
      <c r="AO20" s="33" t="n">
        <f aca="false">Costs!AO9+Costs!AO10</f>
        <v>21093747.4251697</v>
      </c>
      <c r="AP20" s="33" t="n">
        <f aca="false">Costs!AP9+Costs!AP10</f>
        <v>22022148.1154676</v>
      </c>
      <c r="AQ20" s="33" t="n">
        <f aca="false">Costs!AQ9+Costs!AQ10</f>
        <v>22957490.7339802</v>
      </c>
      <c r="AR20" s="33" t="n">
        <f aca="false">Costs!AR9+Costs!AR10</f>
        <v>23900997.5238901</v>
      </c>
      <c r="AS20" s="33" t="n">
        <f aca="false">Costs!AS9+Costs!AS10</f>
        <v>24823247.728687</v>
      </c>
      <c r="AT20" s="33" t="n">
        <f aca="false">Costs!AT9+Costs!AT10</f>
        <v>25680787.3819149</v>
      </c>
      <c r="AU20" s="33" t="n">
        <f aca="false">Costs!AU9+Costs!AU10</f>
        <v>26530274.5033301</v>
      </c>
      <c r="AV20" s="33" t="n">
        <f aca="false">Costs!AV9+Costs!AV10</f>
        <v>28769155.5697799</v>
      </c>
      <c r="AW20" s="33" t="n">
        <f aca="false">Costs!AW9+Costs!AW10</f>
        <v>29798783.3878466</v>
      </c>
      <c r="AX20" s="33" t="n">
        <f aca="false">Costs!AX9+Costs!AX10</f>
        <v>30818665.575179</v>
      </c>
      <c r="AY20" s="33" t="n">
        <f aca="false">Costs!AY9+Costs!AY10</f>
        <v>31829396.4106633</v>
      </c>
      <c r="AZ20" s="33" t="n">
        <f aca="false">Costs!AZ9+Costs!AZ10</f>
        <v>32831584.94926</v>
      </c>
      <c r="BA20" s="33" t="n">
        <f aca="false">Costs!BA9+Costs!BA10</f>
        <v>34192816.295762</v>
      </c>
      <c r="BB20" s="33" t="n">
        <f aca="false">Costs!BB9+Costs!BB10</f>
        <v>35230969.5475884</v>
      </c>
      <c r="BC20" s="33" t="n">
        <f aca="false">Costs!BC9+Costs!BC10</f>
        <v>36261663.307402</v>
      </c>
      <c r="BD20" s="33" t="n">
        <f aca="false">Costs!BD9+Costs!BD10</f>
        <v>37285594.2030074</v>
      </c>
      <c r="BE20" s="33" t="n">
        <f aca="false">Costs!BE9+Costs!BE10</f>
        <v>38303480.4626728</v>
      </c>
      <c r="BF20" s="33" t="n">
        <f aca="false">Costs!BF9+Costs!BF10</f>
        <v>39316063.5848773</v>
      </c>
      <c r="BG20" s="33" t="n">
        <f aca="false">Costs!BG9+Costs!BG10</f>
        <v>40324110.1011212</v>
      </c>
      <c r="BH20" s="33" t="n">
        <f aca="false">Costs!BH9+Costs!BH10</f>
        <v>41328413.4375216</v>
      </c>
      <c r="BI20" s="33" t="n">
        <f aca="false">Costs!BI9+Costs!BI10</f>
        <v>42329795.8812556</v>
      </c>
      <c r="BJ20" s="33" t="n">
        <f aca="false">Costs!BJ9+Costs!BJ10</f>
        <v>43329110.6582748</v>
      </c>
      <c r="BK20" s="33" t="n">
        <f aca="false">Costs!BK9+Costs!BK10</f>
        <v>44291500.8151629</v>
      </c>
      <c r="BL20" s="33" t="n">
        <f aca="false">Costs!BL9+Costs!BL10</f>
        <v>45207187.3477267</v>
      </c>
    </row>
    <row r="21" customFormat="false" ht="15" hidden="false" customHeight="false" outlineLevel="0" collapsed="false">
      <c r="A21" s="12" t="s">
        <v>686</v>
      </c>
      <c r="B21" s="14" t="s">
        <v>63</v>
      </c>
      <c r="D21" s="41" t="n">
        <f aca="false">SUM(E21:BL21)</f>
        <v>3261651233.017</v>
      </c>
      <c r="E21" s="33" t="n">
        <f aca="false">Costs!E11+Costs!E12+Costs!E13+Costs!E14</f>
        <v>0</v>
      </c>
      <c r="F21" s="33" t="n">
        <f aca="false">Costs!F11+Costs!F12+Costs!F13+Costs!F14</f>
        <v>0</v>
      </c>
      <c r="G21" s="33" t="n">
        <f aca="false">Costs!G11+Costs!G12+Costs!G13+Costs!G14</f>
        <v>0</v>
      </c>
      <c r="H21" s="33" t="n">
        <f aca="false">Costs!H11+Costs!H12+Costs!H13+Costs!H14</f>
        <v>0</v>
      </c>
      <c r="I21" s="33" t="n">
        <f aca="false">Costs!I11+Costs!I12+Costs!I13+Costs!I14</f>
        <v>1027178.66666667</v>
      </c>
      <c r="J21" s="33" t="n">
        <f aca="false">Costs!J11+Costs!J12+Costs!J13+Costs!J14</f>
        <v>1569407.69333333</v>
      </c>
      <c r="K21" s="33" t="n">
        <f aca="false">Costs!K11+Costs!K12+Costs!K13+Costs!K14</f>
        <v>2112546.5953</v>
      </c>
      <c r="L21" s="33" t="n">
        <f aca="false">Costs!L11+Costs!L12+Costs!L13+Costs!L14</f>
        <v>3089853.67671692</v>
      </c>
      <c r="M21" s="33" t="n">
        <f aca="false">Costs!M11+Costs!M12+Costs!M13+Costs!M14</f>
        <v>3859205.35497497</v>
      </c>
      <c r="N21" s="33" t="n">
        <f aca="false">Costs!N11+Costs!N12+Costs!N13+Costs!N14</f>
        <v>4628144.40411258</v>
      </c>
      <c r="O21" s="33" t="n">
        <f aca="false">Costs!O11+Costs!O12+Costs!O13+Costs!O14</f>
        <v>5397237.44438943</v>
      </c>
      <c r="P21" s="33" t="n">
        <f aca="false">Costs!P11+Costs!P12+Costs!P13+Costs!P14</f>
        <v>6167076.51402098</v>
      </c>
      <c r="Q21" s="33" t="n">
        <f aca="false">Costs!Q11+Costs!Q12+Costs!Q13+Costs!Q14</f>
        <v>7316259.39942575</v>
      </c>
      <c r="R21" s="33" t="n">
        <f aca="false">Costs!R11+Costs!R12+Costs!R13+Costs!R14</f>
        <v>8284227.00620778</v>
      </c>
      <c r="S21" s="33" t="n">
        <f aca="false">Costs!S11+Costs!S12+Costs!S13+Costs!S14</f>
        <v>9252472.80685432</v>
      </c>
      <c r="T21" s="33" t="n">
        <f aca="false">Costs!T11+Costs!T12+Costs!T13+Costs!T14</f>
        <v>10221742.4014559</v>
      </c>
      <c r="U21" s="33" t="n">
        <f aca="false">Costs!U11+Costs!U12+Costs!U13+Costs!U14</f>
        <v>11192815.6171818</v>
      </c>
      <c r="V21" s="33" t="n">
        <f aca="false">Costs!V11+Costs!V12+Costs!V13+Costs!V14</f>
        <v>12166508.7307377</v>
      </c>
      <c r="W21" s="33" t="n">
        <f aca="false">Costs!W11+Costs!W12+Costs!W13+Costs!W14</f>
        <v>13651495.4879069</v>
      </c>
      <c r="X21" s="33" t="n">
        <f aca="false">Costs!X11+Costs!X12+Costs!X13+Costs!X14</f>
        <v>16352354.5547193</v>
      </c>
      <c r="Y21" s="33" t="n">
        <f aca="false">Costs!Y11+Costs!Y12+Costs!Y13+Costs!Y14</f>
        <v>18356922.2300652</v>
      </c>
      <c r="Z21" s="33" t="n">
        <f aca="false">Costs!Z11+Costs!Z12+Costs!Z13+Costs!Z14</f>
        <v>20360034.1962572</v>
      </c>
      <c r="AA21" s="33" t="n">
        <f aca="false">Costs!AA11+Costs!AA12+Costs!AA13+Costs!AA14</f>
        <v>22363136.8212184</v>
      </c>
      <c r="AB21" s="33" t="n">
        <f aca="false">Costs!AB11+Costs!AB12+Costs!AB13+Costs!AB14</f>
        <v>24367741.1606361</v>
      </c>
      <c r="AC21" s="33" t="n">
        <f aca="false">Costs!AC11+Costs!AC12+Costs!AC13+Costs!AC14</f>
        <v>27134269.860641</v>
      </c>
      <c r="AD21" s="33" t="n">
        <f aca="false">Costs!AD11+Costs!AD12+Costs!AD13+Costs!AD14</f>
        <v>29537678.171823</v>
      </c>
      <c r="AE21" s="33" t="n">
        <f aca="false">Costs!AE11+Costs!AE12+Costs!AE13+Costs!AE14</f>
        <v>31942707.5087698</v>
      </c>
      <c r="AF21" s="33" t="n">
        <f aca="false">Costs!AF11+Costs!AF12+Costs!AF13+Costs!AF14</f>
        <v>34351241.3565707</v>
      </c>
      <c r="AG21" s="33" t="n">
        <f aca="false">Costs!AG11+Costs!AG12+Costs!AG13+Costs!AG14</f>
        <v>36765250.6115709</v>
      </c>
      <c r="AH21" s="33" t="n">
        <f aca="false">Costs!AH11+Costs!AH12+Costs!AH13+Costs!AH14</f>
        <v>39186799.2353573</v>
      </c>
      <c r="AI21" s="33" t="n">
        <f aca="false">Costs!AI11+Costs!AI12+Costs!AI13+Costs!AI14</f>
        <v>41618050.2409001</v>
      </c>
      <c r="AJ21" s="33" t="n">
        <f aca="false">Costs!AJ11+Costs!AJ12+Costs!AJ13+Costs!AJ14</f>
        <v>45511152.0309099</v>
      </c>
      <c r="AK21" s="33" t="n">
        <f aca="false">Costs!AK11+Costs!AK12+Costs!AK13+Costs!AK14</f>
        <v>48715763.3846697</v>
      </c>
      <c r="AL21" s="33" t="n">
        <f aca="false">Costs!AL11+Costs!AL12+Costs!AL13+Costs!AL14</f>
        <v>51927967.517562</v>
      </c>
      <c r="AM21" s="33" t="n">
        <f aca="false">Costs!AM11+Costs!AM12+Costs!AM13+Costs!AM14</f>
        <v>55150522.2609006</v>
      </c>
      <c r="AN21" s="33" t="n">
        <f aca="false">Costs!AN11+Costs!AN12+Costs!AN13+Costs!AN14</f>
        <v>58386318.0714056</v>
      </c>
      <c r="AO21" s="33" t="n">
        <f aca="false">Costs!AO11+Costs!AO12+Costs!AO13+Costs!AO14</f>
        <v>62016365.178712</v>
      </c>
      <c r="AP21" s="33" t="n">
        <f aca="false">Costs!AP11+Costs!AP12+Costs!AP13+Costs!AP14</f>
        <v>65482638.1760301</v>
      </c>
      <c r="AQ21" s="33" t="n">
        <f aca="false">Costs!AQ11+Costs!AQ12+Costs!AQ13+Costs!AQ14</f>
        <v>68969293.1142034</v>
      </c>
      <c r="AR21" s="33" t="n">
        <f aca="false">Costs!AR11+Costs!AR12+Costs!AR13+Costs!AR14</f>
        <v>72479875.1611873</v>
      </c>
      <c r="AS21" s="33" t="n">
        <f aca="false">Costs!AS11+Costs!AS12+Costs!AS13+Costs!AS14</f>
        <v>75986243.9471774</v>
      </c>
      <c r="AT21" s="33" t="n">
        <f aca="false">Costs!AT11+Costs!AT12+Costs!AT13+Costs!AT14</f>
        <v>79433843.9448529</v>
      </c>
      <c r="AU21" s="33" t="n">
        <f aca="false">Costs!AU11+Costs!AU12+Costs!AU13+Costs!AU14</f>
        <v>82856483.4133577</v>
      </c>
      <c r="AV21" s="33" t="n">
        <f aca="false">Costs!AV11+Costs!AV12+Costs!AV13+Costs!AV14</f>
        <v>87705398.7950591</v>
      </c>
      <c r="AW21" s="33" t="n">
        <f aca="false">Costs!AW11+Costs!AW12+Costs!AW13+Costs!AW14</f>
        <v>91829265.9460228</v>
      </c>
      <c r="AX21" s="33" t="n">
        <f aca="false">Costs!AX11+Costs!AX12+Costs!AX13+Costs!AX14</f>
        <v>95923110.1913921</v>
      </c>
      <c r="AY21" s="33" t="n">
        <f aca="false">Costs!AY11+Costs!AY12+Costs!AY13+Costs!AY14</f>
        <v>99988552.2565116</v>
      </c>
      <c r="AZ21" s="33" t="n">
        <f aca="false">Costs!AZ11+Costs!AZ12+Costs!AZ13+Costs!AZ14</f>
        <v>104027261.768534</v>
      </c>
      <c r="BA21" s="33" t="n">
        <f aca="false">Costs!BA11+Costs!BA12+Costs!BA13+Costs!BA14</f>
        <v>108421824.954762</v>
      </c>
      <c r="BB21" s="33" t="n">
        <f aca="false">Costs!BB11+Costs!BB12+Costs!BB13+Costs!BB14</f>
        <v>112608529.469778</v>
      </c>
      <c r="BC21" s="33" t="n">
        <f aca="false">Costs!BC11+Costs!BC12+Costs!BC13+Costs!BC14</f>
        <v>116771409.753217</v>
      </c>
      <c r="BD21" s="33" t="n">
        <f aca="false">Costs!BD11+Costs!BD12+Costs!BD13+Costs!BD14</f>
        <v>120912404.687201</v>
      </c>
      <c r="BE21" s="33" t="n">
        <f aca="false">Costs!BE11+Costs!BE12+Costs!BE13+Costs!BE14</f>
        <v>125033522.219103</v>
      </c>
      <c r="BF21" s="33" t="n">
        <f aca="false">Costs!BF11+Costs!BF12+Costs!BF13+Costs!BF14</f>
        <v>129136844.248724</v>
      </c>
      <c r="BG21" s="33" t="n">
        <f aca="false">Costs!BG11+Costs!BG12+Costs!BG13+Costs!BG14</f>
        <v>133224531.795995</v>
      </c>
      <c r="BH21" s="33" t="n">
        <f aca="false">Costs!BH11+Costs!BH12+Costs!BH13+Costs!BH14</f>
        <v>137298830.46627</v>
      </c>
      <c r="BI21" s="33" t="n">
        <f aca="false">Costs!BI11+Costs!BI12+Costs!BI13+Costs!BI14</f>
        <v>141362076.231274</v>
      </c>
      <c r="BJ21" s="33" t="n">
        <f aca="false">Costs!BJ11+Costs!BJ12+Costs!BJ13+Costs!BJ14</f>
        <v>145416701.544887</v>
      </c>
      <c r="BK21" s="33" t="n">
        <f aca="false">Costs!BK11+Costs!BK12+Costs!BK13+Costs!BK14</f>
        <v>149428144.197097</v>
      </c>
      <c r="BL21" s="33" t="n">
        <f aca="false">Costs!BL11+Costs!BL12+Costs!BL13+Costs!BL14</f>
        <v>153374000.542388</v>
      </c>
    </row>
    <row r="22" customFormat="false" ht="15" hidden="false" customHeight="false" outlineLevel="0" collapsed="false">
      <c r="A22" s="12" t="s">
        <v>687</v>
      </c>
      <c r="B22" s="14" t="s">
        <v>63</v>
      </c>
      <c r="D22" s="41" t="n">
        <f aca="false">SUM(E22:BL22)</f>
        <v>3812931173.96584</v>
      </c>
      <c r="E22" s="33" t="n">
        <f aca="false">Costs!E15+Costs!E16+Costs!E17+Costs!E18</f>
        <v>0</v>
      </c>
      <c r="F22" s="33" t="n">
        <f aca="false">Costs!F15+Costs!F16+Costs!F17+Costs!F18</f>
        <v>0</v>
      </c>
      <c r="G22" s="33" t="n">
        <f aca="false">Costs!G15+Costs!G16+Costs!G17+Costs!G18</f>
        <v>0</v>
      </c>
      <c r="H22" s="33" t="n">
        <f aca="false">Costs!H15+Costs!H16+Costs!H17+Costs!H18</f>
        <v>0</v>
      </c>
      <c r="I22" s="33" t="n">
        <f aca="false">Costs!I15+Costs!I16+Costs!I17+Costs!I18</f>
        <v>519760</v>
      </c>
      <c r="J22" s="33" t="n">
        <f aca="false">Costs!J15+Costs!J16+Costs!J17+Costs!J18</f>
        <v>1040340.6</v>
      </c>
      <c r="K22" s="33" t="n">
        <f aca="false">Costs!K15+Costs!K16+Costs!K17+Costs!K18</f>
        <v>1562136.7945</v>
      </c>
      <c r="L22" s="33" t="n">
        <f aca="false">Costs!L15+Costs!L16+Costs!L17+Costs!L18</f>
        <v>2304562.72362375</v>
      </c>
      <c r="M22" s="33" t="n">
        <f aca="false">Costs!M15+Costs!M16+Costs!M17+Costs!M18</f>
        <v>3046630.39023414</v>
      </c>
      <c r="N22" s="33" t="n">
        <f aca="false">Costs!N15+Costs!N16+Costs!N17+Costs!N18</f>
        <v>3788826.90519066</v>
      </c>
      <c r="O22" s="33" t="n">
        <f aca="false">Costs!O15+Costs!O16+Costs!O17+Costs!O18</f>
        <v>4531661.943567</v>
      </c>
      <c r="P22" s="33" t="n">
        <f aca="false">Costs!P15+Costs!P16+Costs!P17+Costs!P18</f>
        <v>5275669.19807153</v>
      </c>
      <c r="Q22" s="33" t="n">
        <f aca="false">Costs!Q15+Costs!Q16+Costs!Q17+Costs!Q18</f>
        <v>6212667.91802627</v>
      </c>
      <c r="R22" s="33" t="n">
        <f aca="false">Costs!R15+Costs!R16+Costs!R17+Costs!R18</f>
        <v>7149868.88906702</v>
      </c>
      <c r="S22" s="33" t="n">
        <f aca="false">Costs!S15+Costs!S16+Costs!S17+Costs!S18</f>
        <v>8087914.49416158</v>
      </c>
      <c r="T22" s="33" t="n">
        <f aca="false">Costs!T15+Costs!T16+Costs!T17+Costs!T18</f>
        <v>9027477.46095552</v>
      </c>
      <c r="U22" s="33" t="n">
        <f aca="false">Costs!U15+Costs!U16+Costs!U17+Costs!U18</f>
        <v>9969262.80423306</v>
      </c>
      <c r="V22" s="33" t="n">
        <f aca="false">Costs!V15+Costs!V16+Costs!V17+Costs!V18</f>
        <v>11155052.3463415</v>
      </c>
      <c r="W22" s="33" t="n">
        <f aca="false">Costs!W15+Costs!W16+Costs!W17+Costs!W18</f>
        <v>12654653.6131712</v>
      </c>
      <c r="X22" s="33" t="n">
        <f aca="false">Costs!X15+Costs!X16+Costs!X17+Costs!X18</f>
        <v>14995821.9323865</v>
      </c>
      <c r="Y22" s="33" t="n">
        <f aca="false">Costs!Y15+Costs!Y16+Costs!Y17+Costs!Y18</f>
        <v>17421236.788304</v>
      </c>
      <c r="Z22" s="33" t="n">
        <f aca="false">Costs!Z15+Costs!Z16+Costs!Z17+Costs!Z18</f>
        <v>19932090.7144003</v>
      </c>
      <c r="AA22" s="33" t="n">
        <f aca="false">Costs!AA15+Costs!AA16+Costs!AA17+Costs!AA18</f>
        <v>22529753.6444701</v>
      </c>
      <c r="AB22" s="33" t="n">
        <f aca="false">Costs!AB15+Costs!AB16+Costs!AB17+Costs!AB18</f>
        <v>25215783.3953333</v>
      </c>
      <c r="AC22" s="33" t="n">
        <f aca="false">Costs!AC15+Costs!AC16+Costs!AC17+Costs!AC18</f>
        <v>28444074.8058081</v>
      </c>
      <c r="AD22" s="33" t="n">
        <f aca="false">Costs!AD15+Costs!AD16+Costs!AD17+Costs!AD18</f>
        <v>31776336.6871911</v>
      </c>
      <c r="AE22" s="33" t="n">
        <f aca="false">Costs!AE15+Costs!AE16+Costs!AE17+Costs!AE18</f>
        <v>35214524.8440516</v>
      </c>
      <c r="AF22" s="33" t="n">
        <f aca="false">Costs!AF15+Costs!AF16+Costs!AF17+Costs!AF18</f>
        <v>38760837.3917288</v>
      </c>
      <c r="AG22" s="33" t="n">
        <f aca="false">Costs!AG15+Costs!AG16+Costs!AG17+Costs!AG18</f>
        <v>42417729.3995731</v>
      </c>
      <c r="AH22" s="33" t="n">
        <f aca="false">Costs!AH15+Costs!AH16+Costs!AH17+Costs!AH18</f>
        <v>45396795.1002377</v>
      </c>
      <c r="AI22" s="33" t="n">
        <f aca="false">Costs!AI15+Costs!AI16+Costs!AI17+Costs!AI18</f>
        <v>48388289.8104089</v>
      </c>
      <c r="AJ22" s="33" t="n">
        <f aca="false">Costs!AJ15+Costs!AJ16+Costs!AJ17+Costs!AJ18</f>
        <v>52323820.4611369</v>
      </c>
      <c r="AK22" s="33" t="n">
        <f aca="false">Costs!AK15+Costs!AK16+Costs!AK17+Costs!AK18</f>
        <v>56266707.5264034</v>
      </c>
      <c r="AL22" s="33" t="n">
        <f aca="false">Costs!AL15+Costs!AL16+Costs!AL17+Costs!AL18</f>
        <v>60219978.8722925</v>
      </c>
      <c r="AM22" s="33" t="n">
        <f aca="false">Costs!AM15+Costs!AM16+Costs!AM17+Costs!AM18</f>
        <v>64186810.2445048</v>
      </c>
      <c r="AN22" s="33" t="n">
        <f aca="false">Costs!AN15+Costs!AN16+Costs!AN17+Costs!AN18</f>
        <v>68170534.6447061</v>
      </c>
      <c r="AO22" s="33" t="n">
        <f aca="false">Costs!AO15+Costs!AO16+Costs!AO17+Costs!AO18</f>
        <v>72416836.3278183</v>
      </c>
      <c r="AP22" s="33" t="n">
        <f aca="false">Costs!AP15+Costs!AP16+Costs!AP17+Costs!AP18</f>
        <v>76684486.8748187</v>
      </c>
      <c r="AQ22" s="33" t="n">
        <f aca="false">Costs!AQ15+Costs!AQ16+Costs!AQ17+Costs!AQ18</f>
        <v>80977388.3808756</v>
      </c>
      <c r="AR22" s="33" t="n">
        <f aca="false">Costs!AR15+Costs!AR16+Costs!AR17+Costs!AR18</f>
        <v>85299643.0652012</v>
      </c>
      <c r="AS22" s="33" t="n">
        <f aca="false">Costs!AS15+Costs!AS16+Costs!AS17+Costs!AS18</f>
        <v>89635148.5560023</v>
      </c>
      <c r="AT22" s="33" t="n">
        <f aca="false">Costs!AT15+Costs!AT16+Costs!AT17+Costs!AT18</f>
        <v>93941312.8861802</v>
      </c>
      <c r="AU22" s="33" t="n">
        <f aca="false">Costs!AU15+Costs!AU16+Costs!AU17+Costs!AU18</f>
        <v>98219608.8484714</v>
      </c>
      <c r="AV22" s="33" t="n">
        <f aca="false">Costs!AV15+Costs!AV16+Costs!AV17+Costs!AV18</f>
        <v>103400544.394779</v>
      </c>
      <c r="AW22" s="33" t="n">
        <f aca="false">Costs!AW15+Costs!AW16+Costs!AW17+Costs!AW18</f>
        <v>108546258.349144</v>
      </c>
      <c r="AX22" s="33" t="n">
        <f aca="false">Costs!AX15+Costs!AX16+Costs!AX17+Costs!AX18</f>
        <v>113658509.539619</v>
      </c>
      <c r="AY22" s="33" t="n">
        <f aca="false">Costs!AY15+Costs!AY16+Costs!AY17+Costs!AY18</f>
        <v>118739112.281513</v>
      </c>
      <c r="AZ22" s="33" t="n">
        <f aca="false">Costs!AZ15+Costs!AZ16+Costs!AZ17+Costs!AZ18</f>
        <v>123789940.445363</v>
      </c>
      <c r="BA22" s="33" t="n">
        <f aca="false">Costs!BA15+Costs!BA16+Costs!BA17+Costs!BA18</f>
        <v>129056964.556872</v>
      </c>
      <c r="BB22" s="33" t="n">
        <f aca="false">Costs!BB15+Costs!BB16+Costs!BB17+Costs!BB18</f>
        <v>134295414.91697</v>
      </c>
      <c r="BC22" s="33" t="n">
        <f aca="false">Costs!BC15+Costs!BC16+Costs!BC17+Costs!BC18</f>
        <v>139507406.486589</v>
      </c>
      <c r="BD22" s="33" t="n">
        <f aca="false">Costs!BD15+Costs!BD16+Costs!BD17+Costs!BD18</f>
        <v>144695131.990896</v>
      </c>
      <c r="BE22" s="33" t="n">
        <f aca="false">Costs!BE15+Costs!BE16+Costs!BE17+Costs!BE18</f>
        <v>149860867.305839</v>
      </c>
      <c r="BF22" s="33" t="n">
        <f aca="false">Costs!BF15+Costs!BF16+Costs!BF17+Costs!BF18</f>
        <v>155006977.15614</v>
      </c>
      <c r="BG22" s="33" t="n">
        <f aca="false">Costs!BG15+Costs!BG16+Costs!BG17+Costs!BG18</f>
        <v>160135921.143624</v>
      </c>
      <c r="BH22" s="33" t="n">
        <f aca="false">Costs!BH15+Costs!BH16+Costs!BH17+Costs!BH18</f>
        <v>165250260.12591</v>
      </c>
      <c r="BI22" s="33" t="n">
        <f aca="false">Costs!BI15+Costs!BI16+Costs!BI17+Costs!BI18</f>
        <v>170352662.966682</v>
      </c>
      <c r="BJ22" s="33" t="n">
        <f aca="false">Costs!BJ15+Costs!BJ16+Costs!BJ17+Costs!BJ18</f>
        <v>175445913.680025</v>
      </c>
      <c r="BK22" s="33" t="n">
        <f aca="false">Costs!BK15+Costs!BK16+Costs!BK17+Costs!BK18</f>
        <v>180509149.260335</v>
      </c>
      <c r="BL22" s="33" t="n">
        <f aca="false">Costs!BL15+Costs!BL16+Costs!BL17+Costs!BL18</f>
        <v>185518102.082092</v>
      </c>
    </row>
    <row r="23" customFormat="false" ht="15" hidden="false" customHeight="false" outlineLevel="0" collapsed="false">
      <c r="A23" s="12" t="s">
        <v>688</v>
      </c>
      <c r="B23" s="14" t="s">
        <v>63</v>
      </c>
      <c r="D23" s="41" t="n">
        <f aca="false">SUM(E23:BL23)</f>
        <v>355129291.60999</v>
      </c>
      <c r="E23" s="33" t="n">
        <f aca="false">Costs!E19+Costs!E20</f>
        <v>0</v>
      </c>
      <c r="F23" s="33" t="n">
        <f aca="false">Costs!F19+Costs!F20</f>
        <v>0</v>
      </c>
      <c r="G23" s="33" t="n">
        <f aca="false">Costs!G19+Costs!G20</f>
        <v>0</v>
      </c>
      <c r="H23" s="33" t="n">
        <f aca="false">Costs!H19+Costs!H20</f>
        <v>0</v>
      </c>
      <c r="I23" s="33" t="n">
        <f aca="false">Costs!I19+Costs!I20</f>
        <v>18986.6666666667</v>
      </c>
      <c r="J23" s="33" t="n">
        <f aca="false">Costs!J19+Costs!J20</f>
        <v>37900.0533333333</v>
      </c>
      <c r="K23" s="33" t="n">
        <f aca="false">Costs!K19+Costs!K20</f>
        <v>56756.1536</v>
      </c>
      <c r="L23" s="33" t="n">
        <f aca="false">Costs!L19+Costs!L20</f>
        <v>83571.5546046667</v>
      </c>
      <c r="M23" s="33" t="n">
        <f aca="false">Costs!M19+Costs!M20</f>
        <v>360739.845396417</v>
      </c>
      <c r="N23" s="33" t="n">
        <f aca="false">Costs!N19+Costs!N20</f>
        <v>448322.664166052</v>
      </c>
      <c r="O23" s="33" t="n">
        <f aca="false">Costs!O19+Costs!O20</f>
        <v>535856.758582804</v>
      </c>
      <c r="P23" s="33" t="n">
        <f aca="false">Costs!P19+Costs!P20</f>
        <v>623407.475812112</v>
      </c>
      <c r="Q23" s="33" t="n">
        <f aca="false">Costs!Q19+Costs!Q20</f>
        <v>733749.732921045</v>
      </c>
      <c r="R23" s="33" t="n">
        <f aca="false">Costs!R19+Costs!R20</f>
        <v>843962.628012003</v>
      </c>
      <c r="S23" s="33" t="n">
        <f aca="false">Costs!S19+Costs!S20</f>
        <v>954124.974871285</v>
      </c>
      <c r="T23" s="33" t="n">
        <f aca="false">Costs!T19+Costs!T20</f>
        <v>1064319.02962754</v>
      </c>
      <c r="U23" s="33" t="n">
        <f aca="false">Costs!U19+Costs!U20</f>
        <v>1174630.71866113</v>
      </c>
      <c r="V23" s="33" t="n">
        <f aca="false">Costs!V19+Costs!V20</f>
        <v>1285149.87980608</v>
      </c>
      <c r="W23" s="33" t="n">
        <f aca="false">Costs!W19+Costs!W20</f>
        <v>1426477.18431623</v>
      </c>
      <c r="X23" s="33" t="n">
        <f aca="false">Costs!X19+Costs!X20</f>
        <v>1655388.72711477</v>
      </c>
      <c r="Y23" s="33" t="n">
        <f aca="false">Costs!Y19+Costs!Y20</f>
        <v>1883820.022498</v>
      </c>
      <c r="Z23" s="33" t="n">
        <f aca="false">Costs!Z19+Costs!Z20</f>
        <v>2111924.39106245</v>
      </c>
      <c r="AA23" s="33" t="n">
        <f aca="false">Costs!AA19+Costs!AA20</f>
        <v>2339861.64848193</v>
      </c>
      <c r="AB23" s="33" t="n">
        <f aca="false">Costs!AB19+Costs!AB20</f>
        <v>2567798.54010218</v>
      </c>
      <c r="AC23" s="33" t="n">
        <f aca="false">Costs!AC19+Costs!AC20</f>
        <v>2841495.86747584</v>
      </c>
      <c r="AD23" s="33" t="n">
        <f aca="false">Costs!AD19+Costs!AD20</f>
        <v>3114975.63503607</v>
      </c>
      <c r="AE23" s="33" t="n">
        <f aca="false">Costs!AE19+Costs!AE20</f>
        <v>3388436.62174814</v>
      </c>
      <c r="AF23" s="33" t="n">
        <f aca="false">Costs!AF19+Costs!AF20</f>
        <v>3662086.40569244</v>
      </c>
      <c r="AG23" s="33" t="n">
        <f aca="false">Costs!AG19+Costs!AG20</f>
        <v>3936141.94372279</v>
      </c>
      <c r="AH23" s="33" t="n">
        <f aca="false">Costs!AH19+Costs!AH20</f>
        <v>4210830.18498298</v>
      </c>
      <c r="AI23" s="33" t="n">
        <f aca="false">Costs!AI19+Costs!AI20</f>
        <v>4486388.72032998</v>
      </c>
      <c r="AJ23" s="33" t="n">
        <f aca="false">Costs!AJ19+Costs!AJ20</f>
        <v>4850166.46983537</v>
      </c>
      <c r="AK23" s="33" t="n">
        <f aca="false">Costs!AK19+Costs!AK20</f>
        <v>5214228.96066591</v>
      </c>
      <c r="AL23" s="33" t="n">
        <f aca="false">Costs!AL19+Costs!AL20</f>
        <v>5578866.00240745</v>
      </c>
      <c r="AM23" s="33" t="n">
        <f aca="false">Costs!AM19+Costs!AM20</f>
        <v>5944380.78592297</v>
      </c>
      <c r="AN23" s="33" t="n">
        <f aca="false">Costs!AN19+Costs!AN20</f>
        <v>6311090.75225426</v>
      </c>
      <c r="AO23" s="33" t="n">
        <f aca="false">Costs!AO19+Costs!AO20</f>
        <v>6702035.1791505</v>
      </c>
      <c r="AP23" s="33" t="n">
        <f aca="false">Costs!AP19+Costs!AP20</f>
        <v>7094570.57497012</v>
      </c>
      <c r="AQ23" s="33" t="n">
        <f aca="false">Costs!AQ19+Costs!AQ20</f>
        <v>7489067.04223624</v>
      </c>
      <c r="AR23" s="33" t="n">
        <f aca="false">Costs!AR19+Costs!AR20</f>
        <v>7885912.8821245</v>
      </c>
      <c r="AS23" s="33" t="n">
        <f aca="false">Costs!AS19+Costs!AS20</f>
        <v>8283601.47607664</v>
      </c>
      <c r="AT23" s="33" t="n">
        <f aca="false">Costs!AT19+Costs!AT20</f>
        <v>8678144.5588411</v>
      </c>
      <c r="AU23" s="33" t="n">
        <f aca="false">Costs!AU19+Costs!AU20</f>
        <v>9069690.53191135</v>
      </c>
      <c r="AV23" s="33" t="n">
        <f aca="false">Costs!AV19+Costs!AV20</f>
        <v>9545491.80841566</v>
      </c>
      <c r="AW23" s="33" t="n">
        <f aca="false">Costs!AW19+Costs!AW20</f>
        <v>10017509.6836922</v>
      </c>
      <c r="AX23" s="33" t="n">
        <f aca="false">Costs!AX19+Costs!AX20</f>
        <v>10485921.5783123</v>
      </c>
      <c r="AY23" s="33" t="n">
        <f aca="false">Costs!AY19+Costs!AY20</f>
        <v>10950909.6781523</v>
      </c>
      <c r="AZ23" s="33" t="n">
        <f aca="false">Costs!AZ19+Costs!AZ20</f>
        <v>11412661.3164468</v>
      </c>
      <c r="BA23" s="33" t="n">
        <f aca="false">Costs!BA19+Costs!BA20</f>
        <v>11894249.3770629</v>
      </c>
      <c r="BB23" s="33" t="n">
        <f aca="false">Costs!BB19+Costs!BB20</f>
        <v>12372704.9603032</v>
      </c>
      <c r="BC23" s="33" t="n">
        <f aca="false">Costs!BC19+Costs!BC20</f>
        <v>12848237.5568188</v>
      </c>
      <c r="BD23" s="33" t="n">
        <f aca="false">Costs!BD19+Costs!BD20</f>
        <v>13321063.4895109</v>
      </c>
      <c r="BE23" s="33" t="n">
        <f aca="false">Costs!BE19+Costs!BE20</f>
        <v>13791406.4167697</v>
      </c>
      <c r="BF23" s="33" t="n">
        <f aca="false">Costs!BF19+Costs!BF20</f>
        <v>14259497.8642631</v>
      </c>
      <c r="BG23" s="33" t="n">
        <f aca="false">Costs!BG19+Costs!BG20</f>
        <v>14725577.7870188</v>
      </c>
      <c r="BH23" s="33" t="n">
        <f aca="false">Costs!BH19+Costs!BH20</f>
        <v>15189895.1636465</v>
      </c>
      <c r="BI23" s="33" t="n">
        <f aca="false">Costs!BI19+Costs!BI20</f>
        <v>15652708.6246589</v>
      </c>
      <c r="BJ23" s="33" t="n">
        <f aca="false">Costs!BJ19+Costs!BJ20</f>
        <v>16114287.1169659</v>
      </c>
      <c r="BK23" s="33" t="n">
        <f aca="false">Costs!BK19+Costs!BK20</f>
        <v>16572682.0068305</v>
      </c>
      <c r="BL23" s="33" t="n">
        <f aca="false">Costs!BL19+Costs!BL20</f>
        <v>17025627.9361</v>
      </c>
    </row>
    <row r="24" customFormat="false" ht="15" hidden="false" customHeight="false" outlineLevel="0" collapsed="false">
      <c r="A24" s="8" t="s">
        <v>689</v>
      </c>
      <c r="B24" s="14" t="s">
        <v>63</v>
      </c>
      <c r="D24" s="41" t="n">
        <f aca="false">SUM(E24:BL24)</f>
        <v>8490269718.24045</v>
      </c>
      <c r="E24" s="16" t="n">
        <f aca="false">SUM(E20:E23)</f>
        <v>0</v>
      </c>
      <c r="F24" s="16" t="n">
        <f aca="false">SUM(F20:F23)</f>
        <v>0</v>
      </c>
      <c r="G24" s="16" t="n">
        <f aca="false">SUM(G20:G23)</f>
        <v>0</v>
      </c>
      <c r="H24" s="16" t="n">
        <f aca="false">SUM(H20:H23)</f>
        <v>0</v>
      </c>
      <c r="I24" s="16" t="n">
        <f aca="false">SUM(I20:I23)</f>
        <v>2363365.33333333</v>
      </c>
      <c r="J24" s="16" t="n">
        <f aca="false">SUM(J20:J23)</f>
        <v>3595218.74666667</v>
      </c>
      <c r="K24" s="16" t="n">
        <f aca="false">SUM(K20:K23)</f>
        <v>4829207.4954</v>
      </c>
      <c r="L24" s="16" t="n">
        <f aca="false">SUM(L20:L23)</f>
        <v>7062174.82248033</v>
      </c>
      <c r="M24" s="16" t="n">
        <f aca="false">SUM(M20:M23)</f>
        <v>10187861.1538225</v>
      </c>
      <c r="N24" s="16" t="n">
        <f aca="false">SUM(N20:N23)</f>
        <v>11143441.9620785</v>
      </c>
      <c r="O24" s="16" t="n">
        <f aca="false">SUM(O20:O23)</f>
        <v>12952357.669486</v>
      </c>
      <c r="P24" s="16" t="n">
        <f aca="false">SUM(P20:P23)</f>
        <v>14763374.8582211</v>
      </c>
      <c r="Q24" s="16" t="n">
        <f aca="false">SUM(Q20:Q23)</f>
        <v>17534083.2906165</v>
      </c>
      <c r="R24" s="16" t="n">
        <f aca="false">SUM(R20:R23)</f>
        <v>19810849.9628169</v>
      </c>
      <c r="S24" s="16" t="n">
        <f aca="false">SUM(S20:S23)</f>
        <v>22088697.9348496</v>
      </c>
      <c r="T24" s="16" t="n">
        <f aca="false">SUM(T20:T23)</f>
        <v>24369390.474558</v>
      </c>
      <c r="U24" s="16" t="n">
        <f aca="false">SUM(U20:U23)</f>
        <v>26654772.1074073</v>
      </c>
      <c r="V24" s="16" t="n">
        <f aca="false">SUM(V20:V23)</f>
        <v>29187816.3524292</v>
      </c>
      <c r="W24" s="16" t="n">
        <f aca="false">SUM(W20:W23)</f>
        <v>33067183.3550056</v>
      </c>
      <c r="X24" s="16" t="n">
        <f aca="false">SUM(X20:X23)</f>
        <v>40076399.667889</v>
      </c>
      <c r="Y24" s="16" t="n">
        <f aca="false">SUM(Y20:Y23)</f>
        <v>45273020.2866407</v>
      </c>
      <c r="Z24" s="16" t="n">
        <f aca="false">SUM(Z20:Z23)</f>
        <v>50552645.7437798</v>
      </c>
      <c r="AA24" s="16" t="n">
        <f aca="false">SUM(AA20:AA23)</f>
        <v>55918763.7405697</v>
      </c>
      <c r="AB24" s="16" t="n">
        <f aca="false">SUM(AB20:AB23)</f>
        <v>61375142.3294067</v>
      </c>
      <c r="AC24" s="16" t="n">
        <f aca="false">SUM(AC20:AC23)</f>
        <v>68913554.5166941</v>
      </c>
      <c r="AD24" s="16" t="n">
        <f aca="false">SUM(AD20:AD23)</f>
        <v>75564910.5412622</v>
      </c>
      <c r="AE24" s="16" t="n">
        <f aca="false">SUM(AE20:AE23)</f>
        <v>82324238.8840632</v>
      </c>
      <c r="AF24" s="16" t="n">
        <f aca="false">SUM(AF20:AF23)</f>
        <v>89196489.6828071</v>
      </c>
      <c r="AG24" s="16" t="n">
        <f aca="false">SUM(AG20:AG23)</f>
        <v>96186995.165015</v>
      </c>
      <c r="AH24" s="16" t="n">
        <f aca="false">SUM(AH20:AH23)</f>
        <v>102510360.036245</v>
      </c>
      <c r="AI24" s="16" t="n">
        <f aca="false">SUM(AI20:AI23)</f>
        <v>108859992.058474</v>
      </c>
      <c r="AJ24" s="16" t="n">
        <f aca="false">SUM(AJ20:AJ23)</f>
        <v>119104731.745746</v>
      </c>
      <c r="AK24" s="16" t="n">
        <f aca="false">SUM(AK20:AK23)</f>
        <v>127471290.696404</v>
      </c>
      <c r="AL24" s="16" t="n">
        <f aca="false">SUM(AL20:AL23)</f>
        <v>135858916.985908</v>
      </c>
      <c r="AM24" s="16" t="n">
        <f aca="false">SUM(AM20:AM23)</f>
        <v>144274808.192724</v>
      </c>
      <c r="AN24" s="16" t="n">
        <f aca="false">SUM(AN20:AN23)</f>
        <v>152726509.264334</v>
      </c>
      <c r="AO24" s="16" t="n">
        <f aca="false">SUM(AO20:AO23)</f>
        <v>162228984.110851</v>
      </c>
      <c r="AP24" s="16" t="n">
        <f aca="false">SUM(AP20:AP23)</f>
        <v>171283843.741287</v>
      </c>
      <c r="AQ24" s="16" t="n">
        <f aca="false">SUM(AQ20:AQ23)</f>
        <v>180393239.271295</v>
      </c>
      <c r="AR24" s="16" t="n">
        <f aca="false">SUM(AR20:AR23)</f>
        <v>189566428.632403</v>
      </c>
      <c r="AS24" s="16" t="n">
        <f aca="false">SUM(AS20:AS23)</f>
        <v>198728241.707943</v>
      </c>
      <c r="AT24" s="16" t="n">
        <f aca="false">SUM(AT20:AT23)</f>
        <v>207734088.771789</v>
      </c>
      <c r="AU24" s="16" t="n">
        <f aca="false">SUM(AU20:AU23)</f>
        <v>216676057.297071</v>
      </c>
      <c r="AV24" s="16" t="n">
        <f aca="false">SUM(AV20:AV23)</f>
        <v>229420590.568034</v>
      </c>
      <c r="AW24" s="16" t="n">
        <f aca="false">SUM(AW20:AW23)</f>
        <v>240191817.366706</v>
      </c>
      <c r="AX24" s="16" t="n">
        <f aca="false">SUM(AX20:AX23)</f>
        <v>250886206.884503</v>
      </c>
      <c r="AY24" s="16" t="n">
        <f aca="false">SUM(AY20:AY23)</f>
        <v>261507970.626841</v>
      </c>
      <c r="AZ24" s="16" t="n">
        <f aca="false">SUM(AZ20:AZ23)</f>
        <v>272061448.479603</v>
      </c>
      <c r="BA24" s="16" t="n">
        <f aca="false">SUM(BA20:BA23)</f>
        <v>283565855.18446</v>
      </c>
      <c r="BB24" s="16" t="n">
        <f aca="false">SUM(BB20:BB23)</f>
        <v>294507618.89464</v>
      </c>
      <c r="BC24" s="16" t="n">
        <f aca="false">SUM(BC20:BC23)</f>
        <v>305388717.104027</v>
      </c>
      <c r="BD24" s="16" t="n">
        <f aca="false">SUM(BD20:BD23)</f>
        <v>316214194.370615</v>
      </c>
      <c r="BE24" s="16" t="n">
        <f aca="false">SUM(BE20:BE23)</f>
        <v>326989276.404385</v>
      </c>
      <c r="BF24" s="16" t="n">
        <f aca="false">SUM(BF20:BF23)</f>
        <v>337719382.854004</v>
      </c>
      <c r="BG24" s="16" t="n">
        <f aca="false">SUM(BG20:BG23)</f>
        <v>348410140.827759</v>
      </c>
      <c r="BH24" s="16" t="n">
        <f aca="false">SUM(BH20:BH23)</f>
        <v>359067399.193349</v>
      </c>
      <c r="BI24" s="16" t="n">
        <f aca="false">SUM(BI20:BI23)</f>
        <v>369697243.70387</v>
      </c>
      <c r="BJ24" s="16" t="n">
        <f aca="false">SUM(BJ20:BJ23)</f>
        <v>380306013.000153</v>
      </c>
      <c r="BK24" s="16" t="n">
        <f aca="false">SUM(BK20:BK23)</f>
        <v>390801476.279426</v>
      </c>
      <c r="BL24" s="16" t="n">
        <f aca="false">SUM(BL20:BL23)</f>
        <v>401124917.908306</v>
      </c>
    </row>
    <row r="25" customFormat="false" ht="15" hidden="false" customHeight="false" outlineLevel="0" collapsed="false">
      <c r="A25" s="8" t="s">
        <v>76</v>
      </c>
      <c r="B25" s="14" t="s">
        <v>63</v>
      </c>
      <c r="D25" s="41" t="n">
        <f aca="false">SUM(E25:BL25)</f>
        <v>5803165673.66466</v>
      </c>
      <c r="E25" s="41" t="n">
        <f aca="false">E17-E24</f>
        <v>0</v>
      </c>
      <c r="F25" s="41" t="n">
        <f aca="false">F17-F24</f>
        <v>0</v>
      </c>
      <c r="G25" s="41" t="n">
        <f aca="false">G17-G24</f>
        <v>0</v>
      </c>
      <c r="H25" s="41" t="n">
        <f aca="false">H17-H24</f>
        <v>0</v>
      </c>
      <c r="I25" s="41" t="n">
        <f aca="false">I17-I24</f>
        <v>-925125.333333334</v>
      </c>
      <c r="J25" s="41" t="n">
        <f aca="false">J17-J24</f>
        <v>-1022566.68</v>
      </c>
      <c r="K25" s="41" t="n">
        <f aca="false">K17-K24</f>
        <v>-1120231.87756667</v>
      </c>
      <c r="L25" s="41" t="n">
        <f aca="false">L17-L24</f>
        <v>-654003.764404776</v>
      </c>
      <c r="M25" s="41" t="n">
        <f aca="false">M17-M24</f>
        <v>-1178588.03220411</v>
      </c>
      <c r="N25" s="41" t="n">
        <f aca="false">N17-N24</f>
        <v>461469.622108426</v>
      </c>
      <c r="O25" s="41" t="n">
        <f aca="false">O17-O24</f>
        <v>1679862.30086567</v>
      </c>
      <c r="P25" s="41" t="n">
        <f aca="false">P17-P24</f>
        <v>2942983.65867106</v>
      </c>
      <c r="Q25" s="41" t="n">
        <f aca="false">Q17-Q24</f>
        <v>3841595.48386484</v>
      </c>
      <c r="R25" s="41" t="n">
        <f aca="false">R17-R24</f>
        <v>5147727.99042521</v>
      </c>
      <c r="S25" s="41" t="n">
        <f aca="false">S17-S24</f>
        <v>6495776.81083679</v>
      </c>
      <c r="T25" s="41" t="n">
        <f aca="false">T17-T24</f>
        <v>8269560.23036191</v>
      </c>
      <c r="U25" s="41" t="n">
        <f aca="false">U17-U24</f>
        <v>10079470.4134605</v>
      </c>
      <c r="V25" s="41" t="n">
        <f aca="false">V17-V24</f>
        <v>12029740.5777448</v>
      </c>
      <c r="W25" s="41" t="n">
        <f aca="false">W17-W24</f>
        <v>13488612.5413018</v>
      </c>
      <c r="X25" s="41" t="n">
        <f aca="false">X17-X24</f>
        <v>14023643.1929773</v>
      </c>
      <c r="Y25" s="41" t="n">
        <f aca="false">Y17-Y24</f>
        <v>16214671.9691318</v>
      </c>
      <c r="Z25" s="41" t="n">
        <f aca="false">Z17-Z24</f>
        <v>19034363.9040101</v>
      </c>
      <c r="AA25" s="41" t="n">
        <f aca="false">AA17-AA24</f>
        <v>23438525.328202</v>
      </c>
      <c r="AB25" s="41" t="n">
        <f aca="false">AB17-AB24</f>
        <v>27775454.0137764</v>
      </c>
      <c r="AC25" s="41" t="n">
        <f aca="false">AC17-AC24</f>
        <v>31241521.2787702</v>
      </c>
      <c r="AD25" s="41" t="n">
        <f aca="false">AD17-AD24</f>
        <v>35592158.506445</v>
      </c>
      <c r="AE25" s="41" t="n">
        <f aca="false">AE17-AE24</f>
        <v>39966053.798299</v>
      </c>
      <c r="AF25" s="41" t="n">
        <f aca="false">AF17-AF24</f>
        <v>45121368.1750672</v>
      </c>
      <c r="AG25" s="41" t="n">
        <f aca="false">AG17-AG24</f>
        <v>50338283.5475389</v>
      </c>
      <c r="AH25" s="41" t="n">
        <f aca="false">AH17-AH24</f>
        <v>55281142.9355232</v>
      </c>
      <c r="AI25" s="41" t="n">
        <f aca="false">AI17-AI24</f>
        <v>60248140.445039</v>
      </c>
      <c r="AJ25" s="41" t="n">
        <f aca="false">AJ17-AJ24</f>
        <v>63700432.6325488</v>
      </c>
      <c r="AK25" s="41" t="n">
        <f aca="false">AK17-AK24</f>
        <v>68621288.3250085</v>
      </c>
      <c r="AL25" s="41" t="n">
        <f aca="false">AL17-AL24</f>
        <v>73532264.5890314</v>
      </c>
      <c r="AM25" s="41" t="n">
        <f aca="false">AM17-AM24</f>
        <v>79895424.2784277</v>
      </c>
      <c r="AN25" s="41" t="n">
        <f aca="false">AN17-AN24</f>
        <v>86257854.0436548</v>
      </c>
      <c r="AO25" s="41" t="n">
        <f aca="false">AO17-AO24</f>
        <v>109791205.705758</v>
      </c>
      <c r="AP25" s="41" t="n">
        <f aca="false">AP17-AP24</f>
        <v>117238030.645553</v>
      </c>
      <c r="AQ25" s="41" t="n">
        <f aca="false">AQ17-AQ24</f>
        <v>124695858.502473</v>
      </c>
      <c r="AR25" s="41" t="n">
        <f aca="false">AR17-AR24</f>
        <v>132551428.375068</v>
      </c>
      <c r="AS25" s="41" t="n">
        <f aca="false">AS17-AS24</f>
        <v>140460610.477864</v>
      </c>
      <c r="AT25" s="41" t="n">
        <f aca="false">AT17-AT24</f>
        <v>148460672.792868</v>
      </c>
      <c r="AU25" s="41" t="n">
        <f aca="false">AU17-AU24</f>
        <v>156479989.951096</v>
      </c>
      <c r="AV25" s="41" t="n">
        <f aca="false">AV17-AV24</f>
        <v>163185061.384121</v>
      </c>
      <c r="AW25" s="41" t="n">
        <f aca="false">AW17-AW24</f>
        <v>171500613.338216</v>
      </c>
      <c r="AX25" s="41" t="n">
        <f aca="false">AX17-AX24</f>
        <v>179725489.66963</v>
      </c>
      <c r="AY25" s="41" t="n">
        <f aca="false">AY17-AY24</f>
        <v>189320794.340485</v>
      </c>
      <c r="AZ25" s="41" t="n">
        <f aca="false">AZ17-AZ24</f>
        <v>198832537.158652</v>
      </c>
      <c r="BA25" s="41" t="n">
        <f aca="false">BA17-BA24</f>
        <v>207920253.619245</v>
      </c>
      <c r="BB25" s="41" t="n">
        <f aca="false">BB17-BB24</f>
        <v>217373147.262068</v>
      </c>
      <c r="BC25" s="41" t="n">
        <f aca="false">BC17-BC24</f>
        <v>226747404.221205</v>
      </c>
      <c r="BD25" s="41" t="n">
        <f aca="false">BD17-BD24</f>
        <v>236429979.386271</v>
      </c>
      <c r="BE25" s="41" t="n">
        <f aca="false">BE17-BE24</f>
        <v>246042163.830066</v>
      </c>
      <c r="BF25" s="41" t="n">
        <f aca="false">BF17-BF24</f>
        <v>255588257.7291</v>
      </c>
      <c r="BG25" s="41" t="n">
        <f aca="false">BG17-BG24</f>
        <v>265072691.780396</v>
      </c>
      <c r="BH25" s="41" t="n">
        <f aca="false">BH17-BH24</f>
        <v>274500037.145057</v>
      </c>
      <c r="BI25" s="41" t="n">
        <f aca="false">BI17-BI24</f>
        <v>283875015.950925</v>
      </c>
      <c r="BJ25" s="41" t="n">
        <f aca="false">BJ17-BJ24</f>
        <v>293202512.38856</v>
      </c>
      <c r="BK25" s="41" t="n">
        <f aca="false">BK17-BK24</f>
        <v>302521105.186661</v>
      </c>
      <c r="BL25" s="41" t="n">
        <f aca="false">BL17-BL24</f>
        <v>311831937.917743</v>
      </c>
    </row>
    <row r="26" customFormat="false" ht="15" hidden="false" customHeight="false" outlineLevel="0" collapsed="false">
      <c r="A26" s="12" t="s">
        <v>77</v>
      </c>
      <c r="B26" s="14" t="s">
        <v>115</v>
      </c>
      <c r="E26" s="45" t="n">
        <f aca="false">IFERROR(E25/E17,0)</f>
        <v>0</v>
      </c>
      <c r="F26" s="45" t="n">
        <f aca="false">IFERROR(F25/F17,0)</f>
        <v>0</v>
      </c>
      <c r="G26" s="45" t="n">
        <f aca="false">IFERROR(G25/G17,0)</f>
        <v>0</v>
      </c>
      <c r="H26" s="45" t="n">
        <f aca="false">IFERROR(H25/H17,0)</f>
        <v>0</v>
      </c>
      <c r="I26" s="45" t="n">
        <f aca="false">IFERROR(I25/I17,0)</f>
        <v>-0.643234323432343</v>
      </c>
      <c r="J26" s="45" t="n">
        <f aca="false">IFERROR(J25/J17,0)</f>
        <v>-0.397475699590003</v>
      </c>
      <c r="K26" s="45" t="n">
        <f aca="false">IFERROR(K25/K17,0)</f>
        <v>-0.302032688535459</v>
      </c>
      <c r="L26" s="45" t="n">
        <f aca="false">IFERROR(L25/L17,0)</f>
        <v>-0.102057788170402</v>
      </c>
      <c r="M26" s="45" t="n">
        <f aca="false">IFERROR(M25/M17,0)</f>
        <v>-0.130819436406696</v>
      </c>
      <c r="N26" s="45" t="n">
        <f aca="false">IFERROR(N25/N17,0)</f>
        <v>0.0397650269681702</v>
      </c>
      <c r="O26" s="45" t="n">
        <f aca="false">IFERROR(O25/O17,0)</f>
        <v>0.114805703049125</v>
      </c>
      <c r="P26" s="45" t="n">
        <f aca="false">IFERROR(P25/P17,0)</f>
        <v>0.166210554014447</v>
      </c>
      <c r="Q26" s="45" t="n">
        <f aca="false">IFERROR(Q25/Q17,0)</f>
        <v>0.179718058284586</v>
      </c>
      <c r="R26" s="45" t="n">
        <f aca="false">IFERROR(R25/R17,0)</f>
        <v>0.206250852915942</v>
      </c>
      <c r="S26" s="45" t="n">
        <f aca="false">IFERROR(S25/S17,0)</f>
        <v>0.227248423090827</v>
      </c>
      <c r="T26" s="45" t="n">
        <f aca="false">IFERROR(T25/T17,0)</f>
        <v>0.25336476975393</v>
      </c>
      <c r="U26" s="45" t="n">
        <f aca="false">IFERROR(U25/U17,0)</f>
        <v>0.274388954875947</v>
      </c>
      <c r="V26" s="45" t="n">
        <f aca="false">IFERROR(V25/V17,0)</f>
        <v>0.291859621814174</v>
      </c>
      <c r="W26" s="45" t="n">
        <f aca="false">IFERROR(W25/W17,0)</f>
        <v>0.289730038583051</v>
      </c>
      <c r="X26" s="45" t="n">
        <f aca="false">IFERROR(X25/X17,0)</f>
        <v>0.259216859199966</v>
      </c>
      <c r="Y26" s="45" t="n">
        <f aca="false">IFERROR(Y25/Y17,0)</f>
        <v>0.263705977152031</v>
      </c>
      <c r="Z26" s="45" t="n">
        <f aca="false">IFERROR(Z25/Z17,0)</f>
        <v>0.273533293072245</v>
      </c>
      <c r="AA26" s="45" t="n">
        <f aca="false">IFERROR(AA25/AA17,0)</f>
        <v>0.295354410454848</v>
      </c>
      <c r="AB26" s="45" t="n">
        <f aca="false">IFERROR(AB25/AB17,0)</f>
        <v>0.311556570040827</v>
      </c>
      <c r="AC26" s="45" t="n">
        <f aca="false">IFERROR(AC25/AC17,0)</f>
        <v>0.311931482559818</v>
      </c>
      <c r="AD26" s="45" t="n">
        <f aca="false">IFERROR(AD25/AD17,0)</f>
        <v>0.320196986222885</v>
      </c>
      <c r="AE26" s="45" t="n">
        <f aca="false">IFERROR(AE25/AE17,0)</f>
        <v>0.326812970364763</v>
      </c>
      <c r="AF26" s="45" t="n">
        <f aca="false">IFERROR(AF25/AF17,0)</f>
        <v>0.335929778025581</v>
      </c>
      <c r="AG26" s="45" t="n">
        <f aca="false">IFERROR(AG25/AG17,0)</f>
        <v>0.343546751726643</v>
      </c>
      <c r="AH26" s="45" t="n">
        <f aca="false">IFERROR(AH25/AH17,0)</f>
        <v>0.350342964572776</v>
      </c>
      <c r="AI26" s="45" t="n">
        <f aca="false">IFERROR(AI25/AI17,0)</f>
        <v>0.356269917674051</v>
      </c>
      <c r="AJ26" s="45" t="n">
        <f aca="false">IFERROR(AJ25/AJ17,0)</f>
        <v>0.348460793485723</v>
      </c>
      <c r="AK26" s="45" t="n">
        <f aca="false">IFERROR(AK25/AK17,0)</f>
        <v>0.349943320993882</v>
      </c>
      <c r="AL26" s="45" t="n">
        <f aca="false">IFERROR(AL25/AL17,0)</f>
        <v>0.351171735294473</v>
      </c>
      <c r="AM26" s="45" t="n">
        <f aca="false">IFERROR(AM25/AM17,0)</f>
        <v>0.356405145311652</v>
      </c>
      <c r="AN26" s="45" t="n">
        <f aca="false">IFERROR(AN25/AN17,0)</f>
        <v>0.360935137553292</v>
      </c>
      <c r="AO26" s="45" t="n">
        <f aca="false">IFERROR(AO25/AO17,0)</f>
        <v>0.403614179446671</v>
      </c>
      <c r="AP26" s="45" t="n">
        <f aca="false">IFERROR(AP25/AP17,0)</f>
        <v>0.406340180947127</v>
      </c>
      <c r="AQ26" s="45" t="n">
        <f aca="false">IFERROR(AQ25/AQ17,0)</f>
        <v>0.408719483627496</v>
      </c>
      <c r="AR26" s="45" t="n">
        <f aca="false">IFERROR(AR25/AR17,0)</f>
        <v>0.41149978336033</v>
      </c>
      <c r="AS26" s="45" t="n">
        <f aca="false">IFERROR(AS25/AS17,0)</f>
        <v>0.41410739053688</v>
      </c>
      <c r="AT26" s="45" t="n">
        <f aca="false">IFERROR(AT25/AT17,0)</f>
        <v>0.416796339566379</v>
      </c>
      <c r="AU26" s="45" t="n">
        <f aca="false">IFERROR(AU25/AU17,0)</f>
        <v>0.419341964588422</v>
      </c>
      <c r="AV26" s="45" t="n">
        <f aca="false">IFERROR(AV25/AV17,0)</f>
        <v>0.415646235790838</v>
      </c>
      <c r="AW26" s="45" t="n">
        <f aca="false">IFERROR(AW25/AW17,0)</f>
        <v>0.416574608973412</v>
      </c>
      <c r="AX26" s="45" t="n">
        <f aca="false">IFERROR(AX25/AX17,0)</f>
        <v>0.417372521712346</v>
      </c>
      <c r="AY26" s="45" t="n">
        <f aca="false">IFERROR(AY25/AY17,0)</f>
        <v>0.419939473813757</v>
      </c>
      <c r="AZ26" s="45" t="n">
        <f aca="false">IFERROR(AZ25/AZ17,0)</f>
        <v>0.422244800789188</v>
      </c>
      <c r="BA26" s="45" t="n">
        <f aca="false">IFERROR(BA25/BA17,0)</f>
        <v>0.423044008558718</v>
      </c>
      <c r="BB26" s="45" t="n">
        <f aca="false">IFERROR(BB25/BB17,0)</f>
        <v>0.424655821499495</v>
      </c>
      <c r="BC26" s="45" t="n">
        <f aca="false">IFERROR(BC25/BC17,0)</f>
        <v>0.426107898213174</v>
      </c>
      <c r="BD26" s="45" t="n">
        <f aca="false">IFERROR(BD25/BD17,0)</f>
        <v>0.427815926799726</v>
      </c>
      <c r="BE26" s="45" t="n">
        <f aca="false">IFERROR(BE25/BE17,0)</f>
        <v>0.429369396781091</v>
      </c>
      <c r="BF26" s="45" t="n">
        <f aca="false">IFERROR(BF25/BF17,0)</f>
        <v>0.430785380545424</v>
      </c>
      <c r="BG26" s="45" t="n">
        <f aca="false">IFERROR(BG25/BG17,0)</f>
        <v>0.432078417994956</v>
      </c>
      <c r="BH26" s="45" t="n">
        <f aca="false">IFERROR(BH25/BH17,0)</f>
        <v>0.433260962292322</v>
      </c>
      <c r="BI26" s="45" t="n">
        <f aca="false">IFERROR(BI25/BI17,0)</f>
        <v>0.434343734388088</v>
      </c>
      <c r="BJ26" s="45" t="n">
        <f aca="false">IFERROR(BJ25/BJ17,0)</f>
        <v>0.435336007394026</v>
      </c>
      <c r="BK26" s="45" t="n">
        <f aca="false">IFERROR(BK25/BK17,0)</f>
        <v>0.43633528356592</v>
      </c>
      <c r="BL26" s="45" t="n">
        <f aca="false">IFERROR(BL25/BL17,0)</f>
        <v>0.437378412690129</v>
      </c>
    </row>
    <row r="28" customFormat="false" ht="15" hidden="false" customHeight="false" outlineLevel="0" collapsed="false">
      <c r="A28" s="10" t="s">
        <v>690</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18</v>
      </c>
      <c r="B29" s="14" t="s">
        <v>63</v>
      </c>
      <c r="D29" s="41" t="n">
        <f aca="false">SUM(E29:BL29)</f>
        <v>3509591853.03603</v>
      </c>
      <c r="E29" s="20" t="n">
        <f aca="false">Costs!E32</f>
        <v>13142276</v>
      </c>
      <c r="F29" s="20" t="n">
        <f aca="false">Costs!F32</f>
        <v>15210541.3333333</v>
      </c>
      <c r="G29" s="20" t="n">
        <f aca="false">Costs!G32</f>
        <v>17993216</v>
      </c>
      <c r="H29" s="20" t="n">
        <f aca="false">Costs!H32</f>
        <v>21217958.6666667</v>
      </c>
      <c r="I29" s="20" t="n">
        <f aca="false">Costs!I32</f>
        <v>21217958.6666667</v>
      </c>
      <c r="J29" s="20" t="n">
        <f aca="false">Costs!J32</f>
        <v>22325634.6666667</v>
      </c>
      <c r="K29" s="20" t="n">
        <f aca="false">Costs!K32</f>
        <v>25546466.6666667</v>
      </c>
      <c r="L29" s="20" t="n">
        <f aca="false">Costs!L32</f>
        <v>25546466.6666667</v>
      </c>
      <c r="M29" s="20" t="n">
        <f aca="false">Costs!M32</f>
        <v>25546466.6666667</v>
      </c>
      <c r="N29" s="20" t="n">
        <f aca="false">Costs!N32</f>
        <v>26998942.6666667</v>
      </c>
      <c r="O29" s="20" t="n">
        <f aca="false">Costs!O32</f>
        <v>26998942.6666667</v>
      </c>
      <c r="P29" s="20" t="n">
        <f aca="false">Costs!P32</f>
        <v>26998942.6666667</v>
      </c>
      <c r="Q29" s="20" t="n">
        <f aca="false">Costs!Q32</f>
        <v>31748018.4</v>
      </c>
      <c r="R29" s="20" t="n">
        <f aca="false">Costs!R32</f>
        <v>31748018.4</v>
      </c>
      <c r="S29" s="20" t="n">
        <f aca="false">Costs!S32</f>
        <v>31748018.4</v>
      </c>
      <c r="T29" s="20" t="n">
        <f aca="false">Costs!T32</f>
        <v>33031758.2</v>
      </c>
      <c r="U29" s="20" t="n">
        <f aca="false">Costs!U32</f>
        <v>33031758.2</v>
      </c>
      <c r="V29" s="20" t="n">
        <f aca="false">Costs!V32</f>
        <v>33031758.2</v>
      </c>
      <c r="W29" s="20" t="n">
        <f aca="false">Costs!W32</f>
        <v>47932906</v>
      </c>
      <c r="X29" s="20" t="n">
        <f aca="false">Costs!X32</f>
        <v>47932906</v>
      </c>
      <c r="Y29" s="20" t="n">
        <f aca="false">Costs!Y32</f>
        <v>47932906</v>
      </c>
      <c r="Z29" s="20" t="n">
        <f aca="false">Costs!Z32</f>
        <v>47932906</v>
      </c>
      <c r="AA29" s="20" t="n">
        <f aca="false">Costs!AA32</f>
        <v>47932906</v>
      </c>
      <c r="AB29" s="20" t="n">
        <f aca="false">Costs!AB32</f>
        <v>47932906</v>
      </c>
      <c r="AC29" s="20" t="n">
        <f aca="false">Costs!AC32</f>
        <v>54626600.91</v>
      </c>
      <c r="AD29" s="20" t="n">
        <f aca="false">Costs!AD32</f>
        <v>54626600.91</v>
      </c>
      <c r="AE29" s="20" t="n">
        <f aca="false">Costs!AE32</f>
        <v>54626600.91</v>
      </c>
      <c r="AF29" s="20" t="n">
        <f aca="false">Costs!AF32</f>
        <v>54626600.91</v>
      </c>
      <c r="AG29" s="20" t="n">
        <f aca="false">Costs!AG32</f>
        <v>54626600.91</v>
      </c>
      <c r="AH29" s="20" t="n">
        <f aca="false">Costs!AH32</f>
        <v>54626600.91</v>
      </c>
      <c r="AI29" s="20" t="n">
        <f aca="false">Costs!AI32</f>
        <v>65251380.18</v>
      </c>
      <c r="AJ29" s="20" t="n">
        <f aca="false">Costs!AJ32</f>
        <v>65251380.18</v>
      </c>
      <c r="AK29" s="20" t="n">
        <f aca="false">Costs!AK32</f>
        <v>65251380.18</v>
      </c>
      <c r="AL29" s="20" t="n">
        <f aca="false">Costs!AL32</f>
        <v>65251380.18</v>
      </c>
      <c r="AM29" s="20" t="n">
        <f aca="false">Costs!AM32</f>
        <v>65251380.18</v>
      </c>
      <c r="AN29" s="20" t="n">
        <f aca="false">Costs!AN32</f>
        <v>65251380.18</v>
      </c>
      <c r="AO29" s="20" t="n">
        <f aca="false">Costs!AO32</f>
        <v>69467230.224</v>
      </c>
      <c r="AP29" s="20" t="n">
        <f aca="false">Costs!AP32</f>
        <v>69467230.224</v>
      </c>
      <c r="AQ29" s="20" t="n">
        <f aca="false">Costs!AQ32</f>
        <v>69467230.224</v>
      </c>
      <c r="AR29" s="20" t="n">
        <f aca="false">Costs!AR32</f>
        <v>69467230.224</v>
      </c>
      <c r="AS29" s="20" t="n">
        <f aca="false">Costs!AS32</f>
        <v>69467230.224</v>
      </c>
      <c r="AT29" s="20" t="n">
        <f aca="false">Costs!AT32</f>
        <v>69467230.224</v>
      </c>
      <c r="AU29" s="20" t="n">
        <f aca="false">Costs!AU32</f>
        <v>82533582.8415</v>
      </c>
      <c r="AV29" s="20" t="n">
        <f aca="false">Costs!AV32</f>
        <v>82533582.8415</v>
      </c>
      <c r="AW29" s="20" t="n">
        <f aca="false">Costs!AW32</f>
        <v>82533582.8415</v>
      </c>
      <c r="AX29" s="20" t="n">
        <f aca="false">Costs!AX32</f>
        <v>82533582.8415</v>
      </c>
      <c r="AY29" s="20" t="n">
        <f aca="false">Costs!AY32</f>
        <v>82533582.8415</v>
      </c>
      <c r="AZ29" s="20" t="n">
        <f aca="false">Costs!AZ32</f>
        <v>82533582.8415</v>
      </c>
      <c r="BA29" s="20" t="n">
        <f aca="false">Costs!BA32</f>
        <v>93969875.747475</v>
      </c>
      <c r="BB29" s="20" t="n">
        <f aca="false">Costs!BB32</f>
        <v>93969875.747475</v>
      </c>
      <c r="BC29" s="20" t="n">
        <f aca="false">Costs!BC32</f>
        <v>93969875.747475</v>
      </c>
      <c r="BD29" s="20" t="n">
        <f aca="false">Costs!BD32</f>
        <v>93969875.747475</v>
      </c>
      <c r="BE29" s="20" t="n">
        <f aca="false">Costs!BE32</f>
        <v>93969875.747475</v>
      </c>
      <c r="BF29" s="20" t="n">
        <f aca="false">Costs!BF32</f>
        <v>93969875.747475</v>
      </c>
      <c r="BG29" s="20" t="n">
        <f aca="false">Costs!BG32</f>
        <v>93969875.747475</v>
      </c>
      <c r="BH29" s="20" t="n">
        <f aca="false">Costs!BH32</f>
        <v>93969875.747475</v>
      </c>
      <c r="BI29" s="20" t="n">
        <f aca="false">Costs!BI32</f>
        <v>93969875.747475</v>
      </c>
      <c r="BJ29" s="20" t="n">
        <f aca="false">Costs!BJ32</f>
        <v>93969875.747475</v>
      </c>
      <c r="BK29" s="20" t="n">
        <f aca="false">Costs!BK32</f>
        <v>93969875.747475</v>
      </c>
      <c r="BL29" s="20" t="n">
        <f aca="false">Costs!BL32</f>
        <v>93969875.747475</v>
      </c>
    </row>
    <row r="30" customFormat="false" ht="15" hidden="false" customHeight="false" outlineLevel="0" collapsed="false">
      <c r="A30" s="12" t="s">
        <v>360</v>
      </c>
      <c r="B30" s="14" t="s">
        <v>63</v>
      </c>
      <c r="D30" s="41" t="n">
        <f aca="false">SUM(E30:BL30)</f>
        <v>522735000</v>
      </c>
      <c r="E30" s="20" t="n">
        <f aca="false">Costs!E42</f>
        <v>905000</v>
      </c>
      <c r="F30" s="20" t="n">
        <f aca="false">Costs!F42</f>
        <v>920000</v>
      </c>
      <c r="G30" s="20" t="n">
        <f aca="false">Costs!G42</f>
        <v>950000</v>
      </c>
      <c r="H30" s="20" t="n">
        <f aca="false">Costs!H42</f>
        <v>2805000</v>
      </c>
      <c r="I30" s="20" t="n">
        <f aca="false">Costs!I42</f>
        <v>2805000</v>
      </c>
      <c r="J30" s="20" t="n">
        <f aca="false">Costs!J42</f>
        <v>2820000</v>
      </c>
      <c r="K30" s="20" t="n">
        <f aca="false">Costs!K42</f>
        <v>2880000</v>
      </c>
      <c r="L30" s="20" t="n">
        <f aca="false">Costs!L42</f>
        <v>2880000</v>
      </c>
      <c r="M30" s="20" t="n">
        <f aca="false">Costs!M42</f>
        <v>2880000</v>
      </c>
      <c r="N30" s="20" t="n">
        <f aca="false">Costs!N42</f>
        <v>2895000</v>
      </c>
      <c r="O30" s="20" t="n">
        <f aca="false">Costs!O42</f>
        <v>2895000</v>
      </c>
      <c r="P30" s="20" t="n">
        <f aca="false">Costs!P42</f>
        <v>2895000</v>
      </c>
      <c r="Q30" s="20" t="n">
        <f aca="false">Costs!Q42</f>
        <v>5410000</v>
      </c>
      <c r="R30" s="20" t="n">
        <f aca="false">Costs!R42</f>
        <v>5410000</v>
      </c>
      <c r="S30" s="20" t="n">
        <f aca="false">Costs!S42</f>
        <v>5410000</v>
      </c>
      <c r="T30" s="20" t="n">
        <f aca="false">Costs!T42</f>
        <v>5425000</v>
      </c>
      <c r="U30" s="20" t="n">
        <f aca="false">Costs!U42</f>
        <v>5425000</v>
      </c>
      <c r="V30" s="20" t="n">
        <f aca="false">Costs!V42</f>
        <v>5425000</v>
      </c>
      <c r="W30" s="20" t="n">
        <f aca="false">Costs!W42</f>
        <v>5755000</v>
      </c>
      <c r="X30" s="20" t="n">
        <f aca="false">Costs!X42</f>
        <v>5755000</v>
      </c>
      <c r="Y30" s="20" t="n">
        <f aca="false">Costs!Y42</f>
        <v>5755000</v>
      </c>
      <c r="Z30" s="20" t="n">
        <f aca="false">Costs!Z42</f>
        <v>5755000</v>
      </c>
      <c r="AA30" s="20" t="n">
        <f aca="false">Costs!AA42</f>
        <v>5755000</v>
      </c>
      <c r="AB30" s="20" t="n">
        <f aca="false">Costs!AB42</f>
        <v>5755000</v>
      </c>
      <c r="AC30" s="20" t="n">
        <f aca="false">Costs!AC42</f>
        <v>9235000</v>
      </c>
      <c r="AD30" s="20" t="n">
        <f aca="false">Costs!AD42</f>
        <v>9235000</v>
      </c>
      <c r="AE30" s="20" t="n">
        <f aca="false">Costs!AE42</f>
        <v>9235000</v>
      </c>
      <c r="AF30" s="20" t="n">
        <f aca="false">Costs!AF42</f>
        <v>9235000</v>
      </c>
      <c r="AG30" s="20" t="n">
        <f aca="false">Costs!AG42</f>
        <v>9235000</v>
      </c>
      <c r="AH30" s="20" t="n">
        <f aca="false">Costs!AH42</f>
        <v>9235000</v>
      </c>
      <c r="AI30" s="20" t="n">
        <f aca="false">Costs!AI42</f>
        <v>9490000</v>
      </c>
      <c r="AJ30" s="20" t="n">
        <f aca="false">Costs!AJ42</f>
        <v>9490000</v>
      </c>
      <c r="AK30" s="20" t="n">
        <f aca="false">Costs!AK42</f>
        <v>9490000</v>
      </c>
      <c r="AL30" s="20" t="n">
        <f aca="false">Costs!AL42</f>
        <v>9490000</v>
      </c>
      <c r="AM30" s="20" t="n">
        <f aca="false">Costs!AM42</f>
        <v>9490000</v>
      </c>
      <c r="AN30" s="20" t="n">
        <f aca="false">Costs!AN42</f>
        <v>9490000</v>
      </c>
      <c r="AO30" s="20" t="n">
        <f aca="false">Costs!AO42</f>
        <v>11695000</v>
      </c>
      <c r="AP30" s="20" t="n">
        <f aca="false">Costs!AP42</f>
        <v>11695000</v>
      </c>
      <c r="AQ30" s="20" t="n">
        <f aca="false">Costs!AQ42</f>
        <v>11695000</v>
      </c>
      <c r="AR30" s="20" t="n">
        <f aca="false">Costs!AR42</f>
        <v>11695000</v>
      </c>
      <c r="AS30" s="20" t="n">
        <f aca="false">Costs!AS42</f>
        <v>11695000</v>
      </c>
      <c r="AT30" s="20" t="n">
        <f aca="false">Costs!AT42</f>
        <v>11695000</v>
      </c>
      <c r="AU30" s="20" t="n">
        <f aca="false">Costs!AU42</f>
        <v>11965000</v>
      </c>
      <c r="AV30" s="20" t="n">
        <f aca="false">Costs!AV42</f>
        <v>11965000</v>
      </c>
      <c r="AW30" s="20" t="n">
        <f aca="false">Costs!AW42</f>
        <v>11965000</v>
      </c>
      <c r="AX30" s="20" t="n">
        <f aca="false">Costs!AX42</f>
        <v>11965000</v>
      </c>
      <c r="AY30" s="20" t="n">
        <f aca="false">Costs!AY42</f>
        <v>11965000</v>
      </c>
      <c r="AZ30" s="20" t="n">
        <f aca="false">Costs!AZ42</f>
        <v>11965000</v>
      </c>
      <c r="BA30" s="20" t="n">
        <f aca="false">Costs!BA42</f>
        <v>14405000</v>
      </c>
      <c r="BB30" s="20" t="n">
        <f aca="false">Costs!BB42</f>
        <v>14405000</v>
      </c>
      <c r="BC30" s="20" t="n">
        <f aca="false">Costs!BC42</f>
        <v>14405000</v>
      </c>
      <c r="BD30" s="20" t="n">
        <f aca="false">Costs!BD42</f>
        <v>14405000</v>
      </c>
      <c r="BE30" s="20" t="n">
        <f aca="false">Costs!BE42</f>
        <v>14405000</v>
      </c>
      <c r="BF30" s="20" t="n">
        <f aca="false">Costs!BF42</f>
        <v>14405000</v>
      </c>
      <c r="BG30" s="20" t="n">
        <f aca="false">Costs!BG42</f>
        <v>14405000</v>
      </c>
      <c r="BH30" s="20" t="n">
        <f aca="false">Costs!BH42</f>
        <v>14405000</v>
      </c>
      <c r="BI30" s="20" t="n">
        <f aca="false">Costs!BI42</f>
        <v>14405000</v>
      </c>
      <c r="BJ30" s="20" t="n">
        <f aca="false">Costs!BJ42</f>
        <v>14405000</v>
      </c>
      <c r="BK30" s="20" t="n">
        <f aca="false">Costs!BK42</f>
        <v>14405000</v>
      </c>
      <c r="BL30" s="20" t="n">
        <f aca="false">Costs!BL42</f>
        <v>14405000</v>
      </c>
    </row>
    <row r="31" customFormat="false" ht="15" hidden="false" customHeight="false" outlineLevel="0" collapsed="false">
      <c r="A31" s="12" t="s">
        <v>378</v>
      </c>
      <c r="B31" s="14" t="s">
        <v>63</v>
      </c>
      <c r="D31" s="41" t="n">
        <f aca="false">SUM(E31:BL31)</f>
        <v>958180614.307418</v>
      </c>
      <c r="E31" s="20" t="n">
        <f aca="false">Costs!E54</f>
        <v>5482400</v>
      </c>
      <c r="F31" s="20" t="n">
        <f aca="false">Costs!F54</f>
        <v>7245600</v>
      </c>
      <c r="G31" s="20" t="n">
        <f aca="false">Costs!G54</f>
        <v>36292000</v>
      </c>
      <c r="H31" s="20" t="n">
        <f aca="false">Costs!H54</f>
        <v>7431200</v>
      </c>
      <c r="I31" s="20" t="n">
        <f aca="false">Costs!I54</f>
        <v>10117600</v>
      </c>
      <c r="J31" s="20" t="n">
        <f aca="false">Costs!J54</f>
        <v>9927241.2</v>
      </c>
      <c r="K31" s="20" t="n">
        <f aca="false">Costs!K54</f>
        <v>9806356.111</v>
      </c>
      <c r="L31" s="20" t="n">
        <f aca="false">Costs!L54</f>
        <v>9502369.7482175</v>
      </c>
      <c r="M31" s="20" t="n">
        <f aca="false">Costs!M54</f>
        <v>9199054.13900924</v>
      </c>
      <c r="N31" s="20" t="n">
        <f aca="false">Costs!N54</f>
        <v>8919400.88951938</v>
      </c>
      <c r="O31" s="20" t="n">
        <f aca="false">Costs!O54</f>
        <v>8616792.82078243</v>
      </c>
      <c r="P31" s="20" t="n">
        <f aca="false">Costs!P54</f>
        <v>8314203.38018526</v>
      </c>
      <c r="Q31" s="20" t="n">
        <f aca="false">Costs!Q54</f>
        <v>12107662.6853709</v>
      </c>
      <c r="R31" s="20" t="n">
        <f aca="false">Costs!R54</f>
        <v>11745266.6666667</v>
      </c>
      <c r="S31" s="20" t="n">
        <f aca="false">Costs!S54</f>
        <v>11745266.6666667</v>
      </c>
      <c r="T31" s="20" t="n">
        <f aca="false">Costs!T54</f>
        <v>11768466.6666667</v>
      </c>
      <c r="U31" s="20" t="n">
        <f aca="false">Costs!U54</f>
        <v>11768466.6666667</v>
      </c>
      <c r="V31" s="20" t="n">
        <f aca="false">Costs!V54</f>
        <v>11768466.6666667</v>
      </c>
      <c r="W31" s="20" t="n">
        <f aca="false">Costs!W54</f>
        <v>12278866.6666667</v>
      </c>
      <c r="X31" s="20" t="n">
        <f aca="false">Costs!X54</f>
        <v>12278866.6666667</v>
      </c>
      <c r="Y31" s="20" t="n">
        <f aca="false">Costs!Y54</f>
        <v>12278866.6666667</v>
      </c>
      <c r="Z31" s="20" t="n">
        <f aca="false">Costs!Z54</f>
        <v>12278866.6666667</v>
      </c>
      <c r="AA31" s="20" t="n">
        <f aca="false">Costs!AA54</f>
        <v>12278866.6666667</v>
      </c>
      <c r="AB31" s="20" t="n">
        <f aca="false">Costs!AB54</f>
        <v>12278866.6666667</v>
      </c>
      <c r="AC31" s="20" t="n">
        <f aca="false">Costs!AC54</f>
        <v>15411800</v>
      </c>
      <c r="AD31" s="20" t="n">
        <f aca="false">Costs!AD54</f>
        <v>15411800</v>
      </c>
      <c r="AE31" s="20" t="n">
        <f aca="false">Costs!AE54</f>
        <v>15411800</v>
      </c>
      <c r="AF31" s="20" t="n">
        <f aca="false">Costs!AF54</f>
        <v>15411800</v>
      </c>
      <c r="AG31" s="20" t="n">
        <f aca="false">Costs!AG54</f>
        <v>15411800</v>
      </c>
      <c r="AH31" s="20" t="n">
        <f aca="false">Costs!AH54</f>
        <v>15411800</v>
      </c>
      <c r="AI31" s="20" t="n">
        <f aca="false">Costs!AI54</f>
        <v>15806200</v>
      </c>
      <c r="AJ31" s="20" t="n">
        <f aca="false">Costs!AJ54</f>
        <v>15806200</v>
      </c>
      <c r="AK31" s="20" t="n">
        <f aca="false">Costs!AK54</f>
        <v>15806200</v>
      </c>
      <c r="AL31" s="20" t="n">
        <f aca="false">Costs!AL54</f>
        <v>15806200</v>
      </c>
      <c r="AM31" s="20" t="n">
        <f aca="false">Costs!AM54</f>
        <v>15806200</v>
      </c>
      <c r="AN31" s="20" t="n">
        <f aca="false">Costs!AN54</f>
        <v>15806200</v>
      </c>
      <c r="AO31" s="20" t="n">
        <f aca="false">Costs!AO54</f>
        <v>18752600</v>
      </c>
      <c r="AP31" s="20" t="n">
        <f aca="false">Costs!AP54</f>
        <v>18752600</v>
      </c>
      <c r="AQ31" s="20" t="n">
        <f aca="false">Costs!AQ54</f>
        <v>18752600</v>
      </c>
      <c r="AR31" s="20" t="n">
        <f aca="false">Costs!AR54</f>
        <v>18752600</v>
      </c>
      <c r="AS31" s="20" t="n">
        <f aca="false">Costs!AS54</f>
        <v>18752600</v>
      </c>
      <c r="AT31" s="20" t="n">
        <f aca="false">Costs!AT54</f>
        <v>18752600</v>
      </c>
      <c r="AU31" s="20" t="n">
        <f aca="false">Costs!AU54</f>
        <v>19170200</v>
      </c>
      <c r="AV31" s="20" t="n">
        <f aca="false">Costs!AV54</f>
        <v>19170200</v>
      </c>
      <c r="AW31" s="20" t="n">
        <f aca="false">Costs!AW54</f>
        <v>19170200</v>
      </c>
      <c r="AX31" s="20" t="n">
        <f aca="false">Costs!AX54</f>
        <v>19170200</v>
      </c>
      <c r="AY31" s="20" t="n">
        <f aca="false">Costs!AY54</f>
        <v>19170200</v>
      </c>
      <c r="AZ31" s="20" t="n">
        <f aca="false">Costs!AZ54</f>
        <v>19170200</v>
      </c>
      <c r="BA31" s="20" t="n">
        <f aca="false">Costs!BA54</f>
        <v>22325400</v>
      </c>
      <c r="BB31" s="20" t="n">
        <f aca="false">Costs!BB54</f>
        <v>22325400</v>
      </c>
      <c r="BC31" s="20" t="n">
        <f aca="false">Costs!BC54</f>
        <v>22325400</v>
      </c>
      <c r="BD31" s="20" t="n">
        <f aca="false">Costs!BD54</f>
        <v>22325400</v>
      </c>
      <c r="BE31" s="20" t="n">
        <f aca="false">Costs!BE54</f>
        <v>22325400</v>
      </c>
      <c r="BF31" s="20" t="n">
        <f aca="false">Costs!BF54</f>
        <v>22325400</v>
      </c>
      <c r="BG31" s="20" t="n">
        <f aca="false">Costs!BG54</f>
        <v>22325400</v>
      </c>
      <c r="BH31" s="20" t="n">
        <f aca="false">Costs!BH54</f>
        <v>22325400</v>
      </c>
      <c r="BI31" s="20" t="n">
        <f aca="false">Costs!BI54</f>
        <v>22325400</v>
      </c>
      <c r="BJ31" s="20" t="n">
        <f aca="false">Costs!BJ54</f>
        <v>22325400</v>
      </c>
      <c r="BK31" s="20" t="n">
        <f aca="false">Costs!BK54</f>
        <v>22325400</v>
      </c>
      <c r="BL31" s="20" t="n">
        <f aca="false">Costs!BL54</f>
        <v>22325400</v>
      </c>
    </row>
    <row r="32" customFormat="false" ht="15" hidden="false" customHeight="false" outlineLevel="0" collapsed="false">
      <c r="A32" s="12" t="s">
        <v>393</v>
      </c>
      <c r="B32" s="14" t="s">
        <v>63</v>
      </c>
      <c r="D32" s="41" t="n">
        <f aca="false">SUM(E32:BL32)</f>
        <v>230000000</v>
      </c>
      <c r="E32" s="20" t="n">
        <f aca="false">Costs!E62</f>
        <v>0</v>
      </c>
      <c r="F32" s="20" t="n">
        <f aca="false">Costs!F62</f>
        <v>15000000</v>
      </c>
      <c r="G32" s="20" t="n">
        <f aca="false">Costs!G62</f>
        <v>0</v>
      </c>
      <c r="H32" s="20" t="n">
        <f aca="false">Costs!H62</f>
        <v>0</v>
      </c>
      <c r="I32" s="20" t="n">
        <f aca="false">Costs!I62</f>
        <v>1500000</v>
      </c>
      <c r="J32" s="20" t="n">
        <f aca="false">Costs!J62</f>
        <v>1500000</v>
      </c>
      <c r="K32" s="20" t="n">
        <f aca="false">Costs!K62</f>
        <v>1500000</v>
      </c>
      <c r="L32" s="20" t="n">
        <f aca="false">Costs!L62</f>
        <v>1500000</v>
      </c>
      <c r="M32" s="20" t="n">
        <f aca="false">Costs!M62</f>
        <v>6500000</v>
      </c>
      <c r="N32" s="20" t="n">
        <f aca="false">Costs!N62</f>
        <v>1500000</v>
      </c>
      <c r="O32" s="20" t="n">
        <f aca="false">Costs!O62</f>
        <v>1500000</v>
      </c>
      <c r="P32" s="20" t="n">
        <f aca="false">Costs!P62</f>
        <v>1500000</v>
      </c>
      <c r="Q32" s="20" t="n">
        <f aca="false">Costs!Q62</f>
        <v>1750000</v>
      </c>
      <c r="R32" s="20" t="n">
        <f aca="false">Costs!R62</f>
        <v>1750000</v>
      </c>
      <c r="S32" s="20" t="n">
        <f aca="false">Costs!S62</f>
        <v>1750000</v>
      </c>
      <c r="T32" s="20" t="n">
        <f aca="false">Costs!T62</f>
        <v>16750000</v>
      </c>
      <c r="U32" s="20" t="n">
        <f aca="false">Costs!U62</f>
        <v>1750000</v>
      </c>
      <c r="V32" s="20" t="n">
        <f aca="false">Costs!V62</f>
        <v>1750000</v>
      </c>
      <c r="W32" s="20" t="n">
        <f aca="false">Costs!W62</f>
        <v>3250000</v>
      </c>
      <c r="X32" s="20" t="n">
        <f aca="false">Costs!X62</f>
        <v>3250000</v>
      </c>
      <c r="Y32" s="20" t="n">
        <f aca="false">Costs!Y62</f>
        <v>3250000</v>
      </c>
      <c r="Z32" s="20" t="n">
        <f aca="false">Costs!Z62</f>
        <v>3250000</v>
      </c>
      <c r="AA32" s="20" t="n">
        <f aca="false">Costs!AA62</f>
        <v>3250000</v>
      </c>
      <c r="AB32" s="20" t="n">
        <f aca="false">Costs!AB62</f>
        <v>3250000</v>
      </c>
      <c r="AC32" s="20" t="n">
        <f aca="false">Costs!AC62</f>
        <v>4250000</v>
      </c>
      <c r="AD32" s="20" t="n">
        <f aca="false">Costs!AD62</f>
        <v>4250000</v>
      </c>
      <c r="AE32" s="20" t="n">
        <f aca="false">Costs!AE62</f>
        <v>4250000</v>
      </c>
      <c r="AF32" s="20" t="n">
        <f aca="false">Costs!AF62</f>
        <v>4250000</v>
      </c>
      <c r="AG32" s="20" t="n">
        <f aca="false">Costs!AG62</f>
        <v>4250000</v>
      </c>
      <c r="AH32" s="20" t="n">
        <f aca="false">Costs!AH62</f>
        <v>4250000</v>
      </c>
      <c r="AI32" s="20" t="n">
        <f aca="false">Costs!AI62</f>
        <v>4250000</v>
      </c>
      <c r="AJ32" s="20" t="n">
        <f aca="false">Costs!AJ62</f>
        <v>4250000</v>
      </c>
      <c r="AK32" s="20" t="n">
        <f aca="false">Costs!AK62</f>
        <v>4250000</v>
      </c>
      <c r="AL32" s="20" t="n">
        <f aca="false">Costs!AL62</f>
        <v>4250000</v>
      </c>
      <c r="AM32" s="20" t="n">
        <f aca="false">Costs!AM62</f>
        <v>4250000</v>
      </c>
      <c r="AN32" s="20" t="n">
        <f aca="false">Costs!AN62</f>
        <v>4250000</v>
      </c>
      <c r="AO32" s="20" t="n">
        <f aca="false">Costs!AO62</f>
        <v>4250000</v>
      </c>
      <c r="AP32" s="20" t="n">
        <f aca="false">Costs!AP62</f>
        <v>4250000</v>
      </c>
      <c r="AQ32" s="20" t="n">
        <f aca="false">Costs!AQ62</f>
        <v>4250000</v>
      </c>
      <c r="AR32" s="20" t="n">
        <f aca="false">Costs!AR62</f>
        <v>4250000</v>
      </c>
      <c r="AS32" s="20" t="n">
        <f aca="false">Costs!AS62</f>
        <v>4250000</v>
      </c>
      <c r="AT32" s="20" t="n">
        <f aca="false">Costs!AT62</f>
        <v>4250000</v>
      </c>
      <c r="AU32" s="20" t="n">
        <f aca="false">Costs!AU62</f>
        <v>4250000</v>
      </c>
      <c r="AV32" s="20" t="n">
        <f aca="false">Costs!AV62</f>
        <v>4250000</v>
      </c>
      <c r="AW32" s="20" t="n">
        <f aca="false">Costs!AW62</f>
        <v>4250000</v>
      </c>
      <c r="AX32" s="20" t="n">
        <f aca="false">Costs!AX62</f>
        <v>4250000</v>
      </c>
      <c r="AY32" s="20" t="n">
        <f aca="false">Costs!AY62</f>
        <v>4250000</v>
      </c>
      <c r="AZ32" s="20" t="n">
        <f aca="false">Costs!AZ62</f>
        <v>4250000</v>
      </c>
      <c r="BA32" s="20" t="n">
        <f aca="false">Costs!BA62</f>
        <v>4250000</v>
      </c>
      <c r="BB32" s="20" t="n">
        <f aca="false">Costs!BB62</f>
        <v>4250000</v>
      </c>
      <c r="BC32" s="20" t="n">
        <f aca="false">Costs!BC62</f>
        <v>4250000</v>
      </c>
      <c r="BD32" s="20" t="n">
        <f aca="false">Costs!BD62</f>
        <v>4250000</v>
      </c>
      <c r="BE32" s="20" t="n">
        <f aca="false">Costs!BE62</f>
        <v>4250000</v>
      </c>
      <c r="BF32" s="20" t="n">
        <f aca="false">Costs!BF62</f>
        <v>4250000</v>
      </c>
      <c r="BG32" s="20" t="n">
        <f aca="false">Costs!BG62</f>
        <v>4250000</v>
      </c>
      <c r="BH32" s="20" t="n">
        <f aca="false">Costs!BH62</f>
        <v>4250000</v>
      </c>
      <c r="BI32" s="20" t="n">
        <f aca="false">Costs!BI62</f>
        <v>4250000</v>
      </c>
      <c r="BJ32" s="20" t="n">
        <f aca="false">Costs!BJ62</f>
        <v>4250000</v>
      </c>
      <c r="BK32" s="20" t="n">
        <f aca="false">Costs!BK62</f>
        <v>4250000</v>
      </c>
      <c r="BL32" s="20" t="n">
        <f aca="false">Costs!BL62</f>
        <v>4250000</v>
      </c>
    </row>
    <row r="33" customFormat="false" ht="15" hidden="false" customHeight="false" outlineLevel="0" collapsed="false">
      <c r="A33" s="12" t="s">
        <v>403</v>
      </c>
      <c r="B33" s="14" t="s">
        <v>63</v>
      </c>
      <c r="D33" s="41" t="n">
        <f aca="false">SUM(E33:BL33)</f>
        <v>584100000</v>
      </c>
      <c r="E33" s="20" t="n">
        <f aca="false">Costs!E75</f>
        <v>9919444.44444444</v>
      </c>
      <c r="F33" s="20" t="n">
        <f aca="false">Costs!F75</f>
        <v>7419444.44444444</v>
      </c>
      <c r="G33" s="20" t="n">
        <f aca="false">Costs!G75</f>
        <v>7419444.44444444</v>
      </c>
      <c r="H33" s="20" t="n">
        <f aca="false">Costs!H75</f>
        <v>7419444.44444444</v>
      </c>
      <c r="I33" s="20" t="n">
        <f aca="false">Costs!I75</f>
        <v>7419444.44444444</v>
      </c>
      <c r="J33" s="20" t="n">
        <f aca="false">Costs!J75</f>
        <v>7419444.44444444</v>
      </c>
      <c r="K33" s="20" t="n">
        <f aca="false">Costs!K75</f>
        <v>7419444.44444444</v>
      </c>
      <c r="L33" s="20" t="n">
        <f aca="false">Costs!L75</f>
        <v>7419444.44444444</v>
      </c>
      <c r="M33" s="20" t="n">
        <f aca="false">Costs!M75</f>
        <v>7419444.44444444</v>
      </c>
      <c r="N33" s="20" t="n">
        <f aca="false">Costs!N75</f>
        <v>2975000</v>
      </c>
      <c r="O33" s="20" t="n">
        <f aca="false">Costs!O75</f>
        <v>2975000</v>
      </c>
      <c r="P33" s="20" t="n">
        <f aca="false">Costs!P75</f>
        <v>2975000</v>
      </c>
      <c r="Q33" s="20" t="n">
        <f aca="false">Costs!Q75</f>
        <v>15141666.6666667</v>
      </c>
      <c r="R33" s="20" t="n">
        <f aca="false">Costs!R75</f>
        <v>12141666.6666667</v>
      </c>
      <c r="S33" s="20" t="n">
        <f aca="false">Costs!S75</f>
        <v>12141666.6666667</v>
      </c>
      <c r="T33" s="20" t="n">
        <f aca="false">Costs!T75</f>
        <v>12141666.6666667</v>
      </c>
      <c r="U33" s="20" t="n">
        <f aca="false">Costs!U75</f>
        <v>12141666.6666667</v>
      </c>
      <c r="V33" s="20" t="n">
        <f aca="false">Costs!V75</f>
        <v>12141666.6666667</v>
      </c>
      <c r="W33" s="20" t="n">
        <f aca="false">Costs!W75</f>
        <v>12141666.6666667</v>
      </c>
      <c r="X33" s="20" t="n">
        <f aca="false">Costs!X75</f>
        <v>12141666.6666667</v>
      </c>
      <c r="Y33" s="20" t="n">
        <f aca="false">Costs!Y75</f>
        <v>12141666.6666667</v>
      </c>
      <c r="Z33" s="20" t="n">
        <f aca="false">Costs!Z75</f>
        <v>12141666.6666667</v>
      </c>
      <c r="AA33" s="20" t="n">
        <f aca="false">Costs!AA75</f>
        <v>12141666.6666667</v>
      </c>
      <c r="AB33" s="20" t="n">
        <f aca="false">Costs!AB75</f>
        <v>12141666.6666667</v>
      </c>
      <c r="AC33" s="20" t="n">
        <f aca="false">Costs!AC75</f>
        <v>9366666.66666667</v>
      </c>
      <c r="AD33" s="20" t="n">
        <f aca="false">Costs!AD75</f>
        <v>9366666.66666667</v>
      </c>
      <c r="AE33" s="20" t="n">
        <f aca="false">Costs!AE75</f>
        <v>9366666.66666667</v>
      </c>
      <c r="AF33" s="20" t="n">
        <f aca="false">Costs!AF75</f>
        <v>9366666.66666667</v>
      </c>
      <c r="AG33" s="20" t="n">
        <f aca="false">Costs!AG75</f>
        <v>9366666.66666667</v>
      </c>
      <c r="AH33" s="20" t="n">
        <f aca="false">Costs!AH75</f>
        <v>9366666.66666667</v>
      </c>
      <c r="AI33" s="20" t="n">
        <f aca="false">Costs!AI75</f>
        <v>9366666.66666667</v>
      </c>
      <c r="AJ33" s="20" t="n">
        <f aca="false">Costs!AJ75</f>
        <v>9366666.66666667</v>
      </c>
      <c r="AK33" s="20" t="n">
        <f aca="false">Costs!AK75</f>
        <v>9366666.66666667</v>
      </c>
      <c r="AL33" s="20" t="n">
        <f aca="false">Costs!AL75</f>
        <v>9366666.66666667</v>
      </c>
      <c r="AM33" s="20" t="n">
        <f aca="false">Costs!AM75</f>
        <v>9366666.66666667</v>
      </c>
      <c r="AN33" s="20" t="n">
        <f aca="false">Costs!AN75</f>
        <v>9366666.66666667</v>
      </c>
      <c r="AO33" s="20" t="n">
        <f aca="false">Costs!AO75</f>
        <v>9366666.66666667</v>
      </c>
      <c r="AP33" s="20" t="n">
        <f aca="false">Costs!AP75</f>
        <v>9366666.66666667</v>
      </c>
      <c r="AQ33" s="20" t="n">
        <f aca="false">Costs!AQ75</f>
        <v>9366666.66666667</v>
      </c>
      <c r="AR33" s="20" t="n">
        <f aca="false">Costs!AR75</f>
        <v>9366666.66666667</v>
      </c>
      <c r="AS33" s="20" t="n">
        <f aca="false">Costs!AS75</f>
        <v>9366666.66666667</v>
      </c>
      <c r="AT33" s="20" t="n">
        <f aca="false">Costs!AT75</f>
        <v>9366666.66666667</v>
      </c>
      <c r="AU33" s="20" t="n">
        <f aca="false">Costs!AU75</f>
        <v>9366666.66666667</v>
      </c>
      <c r="AV33" s="20" t="n">
        <f aca="false">Costs!AV75</f>
        <v>9366666.66666667</v>
      </c>
      <c r="AW33" s="20" t="n">
        <f aca="false">Costs!AW75</f>
        <v>9366666.66666667</v>
      </c>
      <c r="AX33" s="20" t="n">
        <f aca="false">Costs!AX75</f>
        <v>9366666.66666667</v>
      </c>
      <c r="AY33" s="20" t="n">
        <f aca="false">Costs!AY75</f>
        <v>9366666.66666667</v>
      </c>
      <c r="AZ33" s="20" t="n">
        <f aca="false">Costs!AZ75</f>
        <v>9366666.66666667</v>
      </c>
      <c r="BA33" s="20" t="n">
        <f aca="false">Costs!BA75</f>
        <v>11033333.3333333</v>
      </c>
      <c r="BB33" s="20" t="n">
        <f aca="false">Costs!BB75</f>
        <v>11033333.3333333</v>
      </c>
      <c r="BC33" s="20" t="n">
        <f aca="false">Costs!BC75</f>
        <v>11033333.3333333</v>
      </c>
      <c r="BD33" s="20" t="n">
        <f aca="false">Costs!BD75</f>
        <v>11033333.3333333</v>
      </c>
      <c r="BE33" s="20" t="n">
        <f aca="false">Costs!BE75</f>
        <v>11033333.3333333</v>
      </c>
      <c r="BF33" s="20" t="n">
        <f aca="false">Costs!BF75</f>
        <v>11033333.3333333</v>
      </c>
      <c r="BG33" s="20" t="n">
        <f aca="false">Costs!BG75</f>
        <v>11033333.3333333</v>
      </c>
      <c r="BH33" s="20" t="n">
        <f aca="false">Costs!BH75</f>
        <v>11033333.3333333</v>
      </c>
      <c r="BI33" s="20" t="n">
        <f aca="false">Costs!BI75</f>
        <v>11033333.3333333</v>
      </c>
      <c r="BJ33" s="20" t="n">
        <f aca="false">Costs!BJ75</f>
        <v>11033333.3333333</v>
      </c>
      <c r="BK33" s="20" t="n">
        <f aca="false">Costs!BK75</f>
        <v>11033333.3333333</v>
      </c>
      <c r="BL33" s="20" t="n">
        <f aca="false">Costs!BL75</f>
        <v>11033333.3333333</v>
      </c>
    </row>
    <row r="34" customFormat="false" ht="15" hidden="false" customHeight="false" outlineLevel="0" collapsed="false">
      <c r="A34" s="12" t="s">
        <v>418</v>
      </c>
      <c r="B34" s="14" t="s">
        <v>63</v>
      </c>
      <c r="D34" s="41" t="n">
        <f aca="false">SUM(E34:BL34)</f>
        <v>672184511.508861</v>
      </c>
      <c r="E34" s="20" t="n">
        <f aca="false">Costs!E83</f>
        <v>2186666.66666667</v>
      </c>
      <c r="F34" s="20" t="n">
        <f aca="false">Costs!F83</f>
        <v>2186666.66666667</v>
      </c>
      <c r="G34" s="20" t="n">
        <f aca="false">Costs!G83</f>
        <v>2186666.66666667</v>
      </c>
      <c r="H34" s="20" t="n">
        <f aca="false">Costs!H83</f>
        <v>2336666.66666667</v>
      </c>
      <c r="I34" s="20" t="n">
        <f aca="false">Costs!I83</f>
        <v>3896666.66666667</v>
      </c>
      <c r="J34" s="20" t="n">
        <f aca="false">Costs!J83</f>
        <v>3911666.66666667</v>
      </c>
      <c r="K34" s="20" t="n">
        <f aca="false">Costs!K83</f>
        <v>4077566.66666667</v>
      </c>
      <c r="L34" s="20" t="n">
        <f aca="false">Costs!L83</f>
        <v>4094420.66666667</v>
      </c>
      <c r="M34" s="20" t="n">
        <f aca="false">Costs!M83</f>
        <v>4112285.90666667</v>
      </c>
      <c r="N34" s="20" t="n">
        <f aca="false">Costs!N83</f>
        <v>4131223.06106667</v>
      </c>
      <c r="O34" s="20" t="n">
        <f aca="false">Costs!O83</f>
        <v>4151296.44473067</v>
      </c>
      <c r="P34" s="20" t="n">
        <f aca="false">Costs!P83</f>
        <v>4172574.23141451</v>
      </c>
      <c r="Q34" s="20" t="n">
        <f aca="false">Costs!Q83</f>
        <v>5397628.68529938</v>
      </c>
      <c r="R34" s="20" t="n">
        <f aca="false">Costs!R83</f>
        <v>5421536.40641734</v>
      </c>
      <c r="S34" s="20" t="n">
        <f aca="false">Costs!S83</f>
        <v>5446878.59080238</v>
      </c>
      <c r="T34" s="20" t="n">
        <f aca="false">Costs!T83</f>
        <v>5473741.30625052</v>
      </c>
      <c r="U34" s="20" t="n">
        <f aca="false">Costs!U83</f>
        <v>5502215.78462555</v>
      </c>
      <c r="V34" s="20" t="n">
        <f aca="false">Costs!V83</f>
        <v>5532398.73170309</v>
      </c>
      <c r="W34" s="20" t="n">
        <f aca="false">Costs!W83</f>
        <v>7549392.65560527</v>
      </c>
      <c r="X34" s="20" t="n">
        <f aca="false">Costs!X83</f>
        <v>7592306.21494159</v>
      </c>
      <c r="Y34" s="20" t="n">
        <f aca="false">Costs!Y83</f>
        <v>7637794.58783809</v>
      </c>
      <c r="Z34" s="20" t="n">
        <f aca="false">Costs!Z83</f>
        <v>7686012.26310837</v>
      </c>
      <c r="AA34" s="20" t="n">
        <f aca="false">Costs!AA83</f>
        <v>7737122.99889487</v>
      </c>
      <c r="AB34" s="20" t="n">
        <f aca="false">Costs!AB83</f>
        <v>7791300.37882857</v>
      </c>
      <c r="AC34" s="20" t="n">
        <f aca="false">Costs!AC83</f>
        <v>11404561.7348916</v>
      </c>
      <c r="AD34" s="20" t="n">
        <f aca="false">Costs!AD83</f>
        <v>11465435.4389851</v>
      </c>
      <c r="AE34" s="20" t="n">
        <f aca="false">Costs!AE83</f>
        <v>11529961.5653242</v>
      </c>
      <c r="AF34" s="20" t="n">
        <f aca="false">Costs!AF83</f>
        <v>11598359.2592437</v>
      </c>
      <c r="AG34" s="20" t="n">
        <f aca="false">Costs!AG83</f>
        <v>11670860.8147983</v>
      </c>
      <c r="AH34" s="20" t="n">
        <f aca="false">Costs!AH83</f>
        <v>11747712.4636862</v>
      </c>
      <c r="AI34" s="20" t="n">
        <f aca="false">Costs!AI83</f>
        <v>12354175.2115074</v>
      </c>
      <c r="AJ34" s="20" t="n">
        <f aca="false">Costs!AJ83</f>
        <v>12440525.7241978</v>
      </c>
      <c r="AK34" s="20" t="n">
        <f aca="false">Costs!AK83</f>
        <v>12532057.2676497</v>
      </c>
      <c r="AL34" s="20" t="n">
        <f aca="false">Costs!AL83</f>
        <v>12629080.7037086</v>
      </c>
      <c r="AM34" s="20" t="n">
        <f aca="false">Costs!AM83</f>
        <v>12731925.5459312</v>
      </c>
      <c r="AN34" s="20" t="n">
        <f aca="false">Costs!AN83</f>
        <v>12840941.078687</v>
      </c>
      <c r="AO34" s="20" t="n">
        <f aca="false">Costs!AO83</f>
        <v>14816497.5434083</v>
      </c>
      <c r="AP34" s="20" t="n">
        <f aca="false">Costs!AP83</f>
        <v>14938987.3960128</v>
      </c>
      <c r="AQ34" s="20" t="n">
        <f aca="false">Costs!AQ83</f>
        <v>15068826.6397735</v>
      </c>
      <c r="AR34" s="20" t="n">
        <f aca="false">Costs!AR83</f>
        <v>15206456.2381599</v>
      </c>
      <c r="AS34" s="20" t="n">
        <f aca="false">Costs!AS83</f>
        <v>15315530.6124868</v>
      </c>
      <c r="AT34" s="20" t="n">
        <f aca="false">Costs!AT83</f>
        <v>15347962.449236</v>
      </c>
      <c r="AU34" s="20" t="n">
        <f aca="false">Costs!AU83</f>
        <v>15907340.1961901</v>
      </c>
      <c r="AV34" s="20" t="n">
        <f aca="false">Costs!AV83</f>
        <v>15943780.6079615</v>
      </c>
      <c r="AW34" s="20" t="n">
        <f aca="false">Costs!AW83</f>
        <v>15982407.4444392</v>
      </c>
      <c r="AX34" s="20" t="n">
        <f aca="false">Costs!AX83</f>
        <v>16023351.8911056</v>
      </c>
      <c r="AY34" s="20" t="n">
        <f aca="false">Costs!AY83</f>
        <v>16066753.0045719</v>
      </c>
      <c r="AZ34" s="20" t="n">
        <f aca="false">Costs!AZ83</f>
        <v>16112758.1848462</v>
      </c>
      <c r="BA34" s="20" t="n">
        <f aca="false">Costs!BA83</f>
        <v>18023190.3426037</v>
      </c>
      <c r="BB34" s="20" t="n">
        <f aca="false">Costs!BB83</f>
        <v>18074881.7631599</v>
      </c>
      <c r="BC34" s="20" t="n">
        <f aca="false">Costs!BC83</f>
        <v>18129674.6689495</v>
      </c>
      <c r="BD34" s="20" t="n">
        <f aca="false">Costs!BD83</f>
        <v>18187755.1490864</v>
      </c>
      <c r="BE34" s="20" t="n">
        <f aca="false">Costs!BE83</f>
        <v>18249320.4580316</v>
      </c>
      <c r="BF34" s="20" t="n">
        <f aca="false">Costs!BF83</f>
        <v>18314579.6855135</v>
      </c>
      <c r="BG34" s="20" t="n">
        <f aca="false">Costs!BG83</f>
        <v>18383754.4666443</v>
      </c>
      <c r="BH34" s="20" t="n">
        <f aca="false">Costs!BH83</f>
        <v>18457079.734643</v>
      </c>
      <c r="BI34" s="20" t="n">
        <f aca="false">Costs!BI83</f>
        <v>18534804.5187216</v>
      </c>
      <c r="BJ34" s="20" t="n">
        <f aca="false">Costs!BJ83</f>
        <v>18617192.7898449</v>
      </c>
      <c r="BK34" s="20" t="n">
        <f aca="false">Costs!BK83</f>
        <v>18661666.6666667</v>
      </c>
      <c r="BL34" s="20" t="n">
        <f aca="false">Costs!BL83</f>
        <v>18661666.6666667</v>
      </c>
    </row>
    <row r="35" customFormat="false" ht="15" hidden="false" customHeight="false" outlineLevel="0" collapsed="false">
      <c r="A35" s="12" t="s">
        <v>424</v>
      </c>
      <c r="B35" s="14" t="s">
        <v>63</v>
      </c>
      <c r="D35" s="41" t="n">
        <f aca="false">SUM(E35:BL35)</f>
        <v>160650000</v>
      </c>
      <c r="E35" s="20" t="n">
        <f aca="false">Costs!E89</f>
        <v>1845833.33333333</v>
      </c>
      <c r="F35" s="20" t="n">
        <f aca="false">Costs!F89</f>
        <v>1845833.33333333</v>
      </c>
      <c r="G35" s="20" t="n">
        <f aca="false">Costs!G89</f>
        <v>1845833.33333333</v>
      </c>
      <c r="H35" s="20" t="n">
        <f aca="false">Costs!H89</f>
        <v>1845833.33333333</v>
      </c>
      <c r="I35" s="20" t="n">
        <f aca="false">Costs!I89</f>
        <v>1845833.33333333</v>
      </c>
      <c r="J35" s="20" t="n">
        <f aca="false">Costs!J89</f>
        <v>1845833.33333333</v>
      </c>
      <c r="K35" s="20" t="n">
        <f aca="false">Costs!K89</f>
        <v>1845833.33333333</v>
      </c>
      <c r="L35" s="20" t="n">
        <f aca="false">Costs!L89</f>
        <v>1845833.33333333</v>
      </c>
      <c r="M35" s="20" t="n">
        <f aca="false">Costs!M89</f>
        <v>1845833.33333333</v>
      </c>
      <c r="N35" s="20" t="n">
        <f aca="false">Costs!N89</f>
        <v>1845833.33333333</v>
      </c>
      <c r="O35" s="20" t="n">
        <f aca="false">Costs!O89</f>
        <v>1845833.33333333</v>
      </c>
      <c r="P35" s="20" t="n">
        <f aca="false">Costs!P89</f>
        <v>1845833.33333333</v>
      </c>
      <c r="Q35" s="20" t="n">
        <f aca="false">Costs!Q89</f>
        <v>3350000</v>
      </c>
      <c r="R35" s="20" t="n">
        <f aca="false">Costs!R89</f>
        <v>3350000</v>
      </c>
      <c r="S35" s="20" t="n">
        <f aca="false">Costs!S89</f>
        <v>3350000</v>
      </c>
      <c r="T35" s="20" t="n">
        <f aca="false">Costs!T89</f>
        <v>3350000</v>
      </c>
      <c r="U35" s="20" t="n">
        <f aca="false">Costs!U89</f>
        <v>3350000</v>
      </c>
      <c r="V35" s="20" t="n">
        <f aca="false">Costs!V89</f>
        <v>3350000</v>
      </c>
      <c r="W35" s="20" t="n">
        <f aca="false">Costs!W89</f>
        <v>3350000</v>
      </c>
      <c r="X35" s="20" t="n">
        <f aca="false">Costs!X89</f>
        <v>3350000</v>
      </c>
      <c r="Y35" s="20" t="n">
        <f aca="false">Costs!Y89</f>
        <v>3350000</v>
      </c>
      <c r="Z35" s="20" t="n">
        <f aca="false">Costs!Z89</f>
        <v>3350000</v>
      </c>
      <c r="AA35" s="20" t="n">
        <f aca="false">Costs!AA89</f>
        <v>3350000</v>
      </c>
      <c r="AB35" s="20" t="n">
        <f aca="false">Costs!AB89</f>
        <v>3350000</v>
      </c>
      <c r="AC35" s="20" t="n">
        <f aca="false">Costs!AC89</f>
        <v>2300000</v>
      </c>
      <c r="AD35" s="20" t="n">
        <f aca="false">Costs!AD89</f>
        <v>2300000</v>
      </c>
      <c r="AE35" s="20" t="n">
        <f aca="false">Costs!AE89</f>
        <v>2300000</v>
      </c>
      <c r="AF35" s="20" t="n">
        <f aca="false">Costs!AF89</f>
        <v>2300000</v>
      </c>
      <c r="AG35" s="20" t="n">
        <f aca="false">Costs!AG89</f>
        <v>2300000</v>
      </c>
      <c r="AH35" s="20" t="n">
        <f aca="false">Costs!AH89</f>
        <v>2300000</v>
      </c>
      <c r="AI35" s="20" t="n">
        <f aca="false">Costs!AI89</f>
        <v>2300000</v>
      </c>
      <c r="AJ35" s="20" t="n">
        <f aca="false">Costs!AJ89</f>
        <v>2300000</v>
      </c>
      <c r="AK35" s="20" t="n">
        <f aca="false">Costs!AK89</f>
        <v>2300000</v>
      </c>
      <c r="AL35" s="20" t="n">
        <f aca="false">Costs!AL89</f>
        <v>2300000</v>
      </c>
      <c r="AM35" s="20" t="n">
        <f aca="false">Costs!AM89</f>
        <v>2300000</v>
      </c>
      <c r="AN35" s="20" t="n">
        <f aca="false">Costs!AN89</f>
        <v>2300000</v>
      </c>
      <c r="AO35" s="20" t="n">
        <f aca="false">Costs!AO89</f>
        <v>2758333.33333333</v>
      </c>
      <c r="AP35" s="20" t="n">
        <f aca="false">Costs!AP89</f>
        <v>2758333.33333333</v>
      </c>
      <c r="AQ35" s="20" t="n">
        <f aca="false">Costs!AQ89</f>
        <v>2758333.33333333</v>
      </c>
      <c r="AR35" s="20" t="n">
        <f aca="false">Costs!AR89</f>
        <v>2758333.33333333</v>
      </c>
      <c r="AS35" s="20" t="n">
        <f aca="false">Costs!AS89</f>
        <v>2758333.33333333</v>
      </c>
      <c r="AT35" s="20" t="n">
        <f aca="false">Costs!AT89</f>
        <v>2758333.33333333</v>
      </c>
      <c r="AU35" s="20" t="n">
        <f aca="false">Costs!AU89</f>
        <v>2758333.33333333</v>
      </c>
      <c r="AV35" s="20" t="n">
        <f aca="false">Costs!AV89</f>
        <v>2758333.33333333</v>
      </c>
      <c r="AW35" s="20" t="n">
        <f aca="false">Costs!AW89</f>
        <v>2758333.33333333</v>
      </c>
      <c r="AX35" s="20" t="n">
        <f aca="false">Costs!AX89</f>
        <v>2758333.33333333</v>
      </c>
      <c r="AY35" s="20" t="n">
        <f aca="false">Costs!AY89</f>
        <v>2758333.33333333</v>
      </c>
      <c r="AZ35" s="20" t="n">
        <f aca="false">Costs!AZ89</f>
        <v>2758333.33333333</v>
      </c>
      <c r="BA35" s="20" t="n">
        <f aca="false">Costs!BA89</f>
        <v>3133333.33333333</v>
      </c>
      <c r="BB35" s="20" t="n">
        <f aca="false">Costs!BB89</f>
        <v>3133333.33333333</v>
      </c>
      <c r="BC35" s="20" t="n">
        <f aca="false">Costs!BC89</f>
        <v>3133333.33333333</v>
      </c>
      <c r="BD35" s="20" t="n">
        <f aca="false">Costs!BD89</f>
        <v>3133333.33333333</v>
      </c>
      <c r="BE35" s="20" t="n">
        <f aca="false">Costs!BE89</f>
        <v>3133333.33333333</v>
      </c>
      <c r="BF35" s="20" t="n">
        <f aca="false">Costs!BF89</f>
        <v>3133333.33333333</v>
      </c>
      <c r="BG35" s="20" t="n">
        <f aca="false">Costs!BG89</f>
        <v>3133333.33333333</v>
      </c>
      <c r="BH35" s="20" t="n">
        <f aca="false">Costs!BH89</f>
        <v>3133333.33333333</v>
      </c>
      <c r="BI35" s="20" t="n">
        <f aca="false">Costs!BI89</f>
        <v>3133333.33333333</v>
      </c>
      <c r="BJ35" s="20" t="n">
        <f aca="false">Costs!BJ89</f>
        <v>3133333.33333333</v>
      </c>
      <c r="BK35" s="20" t="n">
        <f aca="false">Costs!BK89</f>
        <v>3133333.33333333</v>
      </c>
      <c r="BL35" s="20" t="n">
        <f aca="false">Costs!BL89</f>
        <v>3133333.33333333</v>
      </c>
    </row>
    <row r="36" customFormat="false" ht="15" hidden="false" customHeight="false" outlineLevel="0" collapsed="false">
      <c r="A36" s="12" t="s">
        <v>672</v>
      </c>
      <c r="B36" s="14" t="s">
        <v>63</v>
      </c>
      <c r="D36" s="41" t="n">
        <f aca="false">SUM(E36:BL36)</f>
        <v>331872098.942616</v>
      </c>
      <c r="E36" s="20" t="n">
        <f aca="false">Costs!E93</f>
        <v>1674081.02222222</v>
      </c>
      <c r="F36" s="20" t="n">
        <f aca="false">Costs!F93</f>
        <v>2491404.28888889</v>
      </c>
      <c r="G36" s="20" t="n">
        <f aca="false">Costs!G93</f>
        <v>3334358.02222222</v>
      </c>
      <c r="H36" s="20" t="n">
        <f aca="false">Costs!H93</f>
        <v>2152805.15555556</v>
      </c>
      <c r="I36" s="20" t="n">
        <f aca="false">Costs!I93</f>
        <v>2440125.15555556</v>
      </c>
      <c r="J36" s="20" t="n">
        <f aca="false">Costs!J93</f>
        <v>2487491.01555556</v>
      </c>
      <c r="K36" s="20" t="n">
        <f aca="false">Costs!K93</f>
        <v>2653783.36110556</v>
      </c>
      <c r="L36" s="20" t="n">
        <f aca="false">Costs!L93</f>
        <v>2639426.74296643</v>
      </c>
      <c r="M36" s="20" t="n">
        <f aca="false">Costs!M93</f>
        <v>2875154.22450602</v>
      </c>
      <c r="N36" s="20" t="n">
        <f aca="false">Costs!N93</f>
        <v>2463269.9975293</v>
      </c>
      <c r="O36" s="20" t="n">
        <f aca="false">Costs!O93</f>
        <v>2449143.26327565</v>
      </c>
      <c r="P36" s="20" t="n">
        <f aca="false">Costs!P93</f>
        <v>2435077.68057999</v>
      </c>
      <c r="Q36" s="20" t="n">
        <f aca="false">Costs!Q93</f>
        <v>3745248.82186685</v>
      </c>
      <c r="R36" s="20" t="n">
        <f aca="false">Costs!R93</f>
        <v>3578324.40698753</v>
      </c>
      <c r="S36" s="20" t="n">
        <f aca="false">Costs!S93</f>
        <v>3579591.51620679</v>
      </c>
      <c r="T36" s="20" t="n">
        <f aca="false">Costs!T93</f>
        <v>4397031.64197919</v>
      </c>
      <c r="U36" s="20" t="n">
        <f aca="false">Costs!U93</f>
        <v>3648455.36589794</v>
      </c>
      <c r="V36" s="20" t="n">
        <f aca="false">Costs!V93</f>
        <v>3649964.51325182</v>
      </c>
      <c r="W36" s="20" t="n">
        <f aca="false">Costs!W93</f>
        <v>4612891.59944693</v>
      </c>
      <c r="X36" s="20" t="n">
        <f aca="false">Costs!X93</f>
        <v>4615037.27741375</v>
      </c>
      <c r="Y36" s="20" t="n">
        <f aca="false">Costs!Y93</f>
        <v>4617311.69605857</v>
      </c>
      <c r="Z36" s="20" t="n">
        <f aca="false">Costs!Z93</f>
        <v>4619722.57982209</v>
      </c>
      <c r="AA36" s="20" t="n">
        <f aca="false">Costs!AA93</f>
        <v>4622278.11661141</v>
      </c>
      <c r="AB36" s="20" t="n">
        <f aca="false">Costs!AB93</f>
        <v>4624986.9856081</v>
      </c>
      <c r="AC36" s="20" t="n">
        <f aca="false">Costs!AC93</f>
        <v>5329731.46557791</v>
      </c>
      <c r="AD36" s="20" t="n">
        <f aca="false">Costs!AD93</f>
        <v>5332775.15078259</v>
      </c>
      <c r="AE36" s="20" t="n">
        <f aca="false">Costs!AE93</f>
        <v>5336001.45709955</v>
      </c>
      <c r="AF36" s="20" t="n">
        <f aca="false">Costs!AF93</f>
        <v>5339421.34179552</v>
      </c>
      <c r="AG36" s="20" t="n">
        <f aca="false">Costs!AG93</f>
        <v>5343046.41957325</v>
      </c>
      <c r="AH36" s="20" t="n">
        <f aca="false">Costs!AH93</f>
        <v>5346889.00201764</v>
      </c>
      <c r="AI36" s="20" t="n">
        <f aca="false">Costs!AI93</f>
        <v>5940921.1029087</v>
      </c>
      <c r="AJ36" s="20" t="n">
        <f aca="false">Costs!AJ93</f>
        <v>5945238.62854322</v>
      </c>
      <c r="AK36" s="20" t="n">
        <f aca="false">Costs!AK93</f>
        <v>5949815.20571582</v>
      </c>
      <c r="AL36" s="20" t="n">
        <f aca="false">Costs!AL93</f>
        <v>5954666.37751877</v>
      </c>
      <c r="AM36" s="20" t="n">
        <f aca="false">Costs!AM93</f>
        <v>5959808.61962989</v>
      </c>
      <c r="AN36" s="20" t="n">
        <f aca="false">Costs!AN93</f>
        <v>5965259.39626769</v>
      </c>
      <c r="AO36" s="20" t="n">
        <f aca="false">Costs!AO93</f>
        <v>6555316.38837041</v>
      </c>
      <c r="AP36" s="20" t="n">
        <f aca="false">Costs!AP93</f>
        <v>6561440.88100064</v>
      </c>
      <c r="AQ36" s="20" t="n">
        <f aca="false">Costs!AQ93</f>
        <v>6567932.84318868</v>
      </c>
      <c r="AR36" s="20" t="n">
        <f aca="false">Costs!AR93</f>
        <v>6574814.323108</v>
      </c>
      <c r="AS36" s="20" t="n">
        <f aca="false">Costs!AS93</f>
        <v>6580268.04182434</v>
      </c>
      <c r="AT36" s="20" t="n">
        <f aca="false">Costs!AT93</f>
        <v>6581889.6336618</v>
      </c>
      <c r="AU36" s="20" t="n">
        <f aca="false">Costs!AU93</f>
        <v>7297556.15188451</v>
      </c>
      <c r="AV36" s="20" t="n">
        <f aca="false">Costs!AV93</f>
        <v>7299378.17247308</v>
      </c>
      <c r="AW36" s="20" t="n">
        <f aca="false">Costs!AW93</f>
        <v>7301309.51429696</v>
      </c>
      <c r="AX36" s="20" t="n">
        <f aca="false">Costs!AX93</f>
        <v>7303356.73663028</v>
      </c>
      <c r="AY36" s="20" t="n">
        <f aca="false">Costs!AY93</f>
        <v>7305526.7923036</v>
      </c>
      <c r="AZ36" s="20" t="n">
        <f aca="false">Costs!AZ93</f>
        <v>7307827.05131731</v>
      </c>
      <c r="BA36" s="20" t="n">
        <f aca="false">Costs!BA93</f>
        <v>8357006.63783727</v>
      </c>
      <c r="BB36" s="20" t="n">
        <f aca="false">Costs!BB93</f>
        <v>8359591.20886508</v>
      </c>
      <c r="BC36" s="20" t="n">
        <f aca="false">Costs!BC93</f>
        <v>8362330.85415456</v>
      </c>
      <c r="BD36" s="20" t="n">
        <f aca="false">Costs!BD93</f>
        <v>8365234.87816141</v>
      </c>
      <c r="BE36" s="20" t="n">
        <f aca="false">Costs!BE93</f>
        <v>8368313.14360867</v>
      </c>
      <c r="BF36" s="20" t="n">
        <f aca="false">Costs!BF93</f>
        <v>8371576.10498276</v>
      </c>
      <c r="BG36" s="20" t="n">
        <f aca="false">Costs!BG93</f>
        <v>8375034.8440393</v>
      </c>
      <c r="BH36" s="20" t="n">
        <f aca="false">Costs!BH93</f>
        <v>8378701.10743924</v>
      </c>
      <c r="BI36" s="20" t="n">
        <f aca="false">Costs!BI93</f>
        <v>8382587.34664317</v>
      </c>
      <c r="BJ36" s="20" t="n">
        <f aca="false">Costs!BJ93</f>
        <v>8386706.76019933</v>
      </c>
      <c r="BK36" s="20" t="n">
        <f aca="false">Costs!BK93</f>
        <v>8388930.45404042</v>
      </c>
      <c r="BL36" s="20" t="n">
        <f aca="false">Costs!BL93</f>
        <v>8388930.45404042</v>
      </c>
    </row>
    <row r="37" customFormat="false" ht="15" hidden="false" customHeight="false" outlineLevel="0" collapsed="false">
      <c r="A37" s="8" t="s">
        <v>78</v>
      </c>
      <c r="B37" s="14" t="s">
        <v>63</v>
      </c>
      <c r="D37" s="41" t="n">
        <f aca="false">SUM(E37:BL37)</f>
        <v>6969314077.79493</v>
      </c>
      <c r="E37" s="16" t="n">
        <f aca="false">SUM(E29:E36)</f>
        <v>35155701.4666667</v>
      </c>
      <c r="F37" s="16" t="n">
        <f aca="false">SUM(F29:F36)</f>
        <v>52319490.0666667</v>
      </c>
      <c r="G37" s="16" t="n">
        <f aca="false">SUM(G29:G36)</f>
        <v>70021518.4666667</v>
      </c>
      <c r="H37" s="16" t="n">
        <f aca="false">SUM(H29:H36)</f>
        <v>45208908.2666667</v>
      </c>
      <c r="I37" s="16" t="n">
        <f aca="false">SUM(I29:I36)</f>
        <v>51242628.2666667</v>
      </c>
      <c r="J37" s="16" t="n">
        <f aca="false">SUM(J29:J36)</f>
        <v>52237311.3266667</v>
      </c>
      <c r="K37" s="16" t="n">
        <f aca="false">SUM(K29:K36)</f>
        <v>55729450.5832167</v>
      </c>
      <c r="L37" s="16" t="n">
        <f aca="false">SUM(L29:L36)</f>
        <v>55427961.602295</v>
      </c>
      <c r="M37" s="16" t="n">
        <f aca="false">SUM(M29:M36)</f>
        <v>60378238.7146264</v>
      </c>
      <c r="N37" s="16" t="n">
        <f aca="false">SUM(N29:N36)</f>
        <v>51728669.9481154</v>
      </c>
      <c r="O37" s="16" t="n">
        <f aca="false">SUM(O29:O36)</f>
        <v>51432008.5287887</v>
      </c>
      <c r="P37" s="16" t="n">
        <f aca="false">SUM(P29:P36)</f>
        <v>51136631.2921798</v>
      </c>
      <c r="Q37" s="16" t="n">
        <f aca="false">SUM(Q29:Q36)</f>
        <v>78650225.2592038</v>
      </c>
      <c r="R37" s="16" t="n">
        <f aca="false">SUM(R29:R36)</f>
        <v>75144812.5467382</v>
      </c>
      <c r="S37" s="16" t="n">
        <f aca="false">SUM(S29:S36)</f>
        <v>75171421.8403425</v>
      </c>
      <c r="T37" s="16" t="n">
        <f aca="false">SUM(T29:T36)</f>
        <v>92337664.4815631</v>
      </c>
      <c r="U37" s="16" t="n">
        <f aca="false">SUM(U29:U36)</f>
        <v>76617562.6838568</v>
      </c>
      <c r="V37" s="16" t="n">
        <f aca="false">SUM(V29:V36)</f>
        <v>76649254.7782883</v>
      </c>
      <c r="W37" s="16" t="n">
        <f aca="false">SUM(W29:W36)</f>
        <v>96870723.5883855</v>
      </c>
      <c r="X37" s="16" t="n">
        <f aca="false">SUM(X29:X36)</f>
        <v>96915782.8256887</v>
      </c>
      <c r="Y37" s="16" t="n">
        <f aca="false">SUM(Y29:Y36)</f>
        <v>96963545.61723</v>
      </c>
      <c r="Z37" s="16" t="n">
        <f aca="false">SUM(Z29:Z36)</f>
        <v>97014174.1762638</v>
      </c>
      <c r="AA37" s="16" t="n">
        <f aca="false">SUM(AA29:AA36)</f>
        <v>97067840.4488396</v>
      </c>
      <c r="AB37" s="16" t="n">
        <f aca="false">SUM(AB29:AB36)</f>
        <v>97124726.69777</v>
      </c>
      <c r="AC37" s="16" t="n">
        <f aca="false">SUM(AC29:AC36)</f>
        <v>111924360.777136</v>
      </c>
      <c r="AD37" s="16" t="n">
        <f aca="false">SUM(AD29:AD36)</f>
        <v>111988278.166434</v>
      </c>
      <c r="AE37" s="16" t="n">
        <f aca="false">SUM(AE29:AE36)</f>
        <v>112056030.59909</v>
      </c>
      <c r="AF37" s="16" t="n">
        <f aca="false">SUM(AF29:AF36)</f>
        <v>112127848.177706</v>
      </c>
      <c r="AG37" s="16" t="n">
        <f aca="false">SUM(AG29:AG36)</f>
        <v>112203974.811038</v>
      </c>
      <c r="AH37" s="16" t="n">
        <f aca="false">SUM(AH29:AH36)</f>
        <v>112284669.042371</v>
      </c>
      <c r="AI37" s="16" t="n">
        <f aca="false">SUM(AI29:AI36)</f>
        <v>124759343.161083</v>
      </c>
      <c r="AJ37" s="16" t="n">
        <f aca="false">SUM(AJ29:AJ36)</f>
        <v>124850011.199408</v>
      </c>
      <c r="AK37" s="16" t="n">
        <f aca="false">SUM(AK29:AK36)</f>
        <v>124946119.320032</v>
      </c>
      <c r="AL37" s="16" t="n">
        <f aca="false">SUM(AL29:AL36)</f>
        <v>125047993.927894</v>
      </c>
      <c r="AM37" s="16" t="n">
        <f aca="false">SUM(AM29:AM36)</f>
        <v>125155981.012228</v>
      </c>
      <c r="AN37" s="16" t="n">
        <f aca="false">SUM(AN29:AN36)</f>
        <v>125270447.321621</v>
      </c>
      <c r="AO37" s="16" t="n">
        <f aca="false">SUM(AO29:AO36)</f>
        <v>137661644.155779</v>
      </c>
      <c r="AP37" s="16" t="n">
        <f aca="false">SUM(AP29:AP36)</f>
        <v>137790258.501013</v>
      </c>
      <c r="AQ37" s="16" t="n">
        <f aca="false">SUM(AQ29:AQ36)</f>
        <v>137926589.706962</v>
      </c>
      <c r="AR37" s="16" t="n">
        <f aca="false">SUM(AR29:AR36)</f>
        <v>138071100.785268</v>
      </c>
      <c r="AS37" s="16" t="n">
        <f aca="false">SUM(AS29:AS36)</f>
        <v>138185628.878311</v>
      </c>
      <c r="AT37" s="16" t="n">
        <f aca="false">SUM(AT29:AT36)</f>
        <v>138219682.306898</v>
      </c>
      <c r="AU37" s="16" t="n">
        <f aca="false">SUM(AU29:AU36)</f>
        <v>153248679.189575</v>
      </c>
      <c r="AV37" s="16" t="n">
        <f aca="false">SUM(AV29:AV36)</f>
        <v>153286941.621935</v>
      </c>
      <c r="AW37" s="16" t="n">
        <f aca="false">SUM(AW29:AW36)</f>
        <v>153327499.800236</v>
      </c>
      <c r="AX37" s="16" t="n">
        <f aca="false">SUM(AX29:AX36)</f>
        <v>153370491.469236</v>
      </c>
      <c r="AY37" s="16" t="n">
        <f aca="false">SUM(AY29:AY36)</f>
        <v>153416062.638376</v>
      </c>
      <c r="AZ37" s="16" t="n">
        <f aca="false">SUM(AZ29:AZ36)</f>
        <v>153464368.077664</v>
      </c>
      <c r="BA37" s="16" t="n">
        <f aca="false">SUM(BA29:BA36)</f>
        <v>175497139.394583</v>
      </c>
      <c r="BB37" s="16" t="n">
        <f aca="false">SUM(BB29:BB36)</f>
        <v>175551415.386167</v>
      </c>
      <c r="BC37" s="16" t="n">
        <f aca="false">SUM(BC29:BC36)</f>
        <v>175608947.937246</v>
      </c>
      <c r="BD37" s="16" t="n">
        <f aca="false">SUM(BD29:BD36)</f>
        <v>175669932.44139</v>
      </c>
      <c r="BE37" s="16" t="n">
        <f aca="false">SUM(BE29:BE36)</f>
        <v>175734576.015782</v>
      </c>
      <c r="BF37" s="16" t="n">
        <f aca="false">SUM(BF29:BF36)</f>
        <v>175803098.204638</v>
      </c>
      <c r="BG37" s="16" t="n">
        <f aca="false">SUM(BG29:BG36)</f>
        <v>175875731.724825</v>
      </c>
      <c r="BH37" s="16" t="n">
        <f aca="false">SUM(BH29:BH36)</f>
        <v>175952723.256224</v>
      </c>
      <c r="BI37" s="16" t="n">
        <f aca="false">SUM(BI29:BI36)</f>
        <v>176034334.279506</v>
      </c>
      <c r="BJ37" s="16" t="n">
        <f aca="false">SUM(BJ29:BJ36)</f>
        <v>176120841.964186</v>
      </c>
      <c r="BK37" s="16" t="n">
        <f aca="false">SUM(BK29:BK36)</f>
        <v>176167539.534849</v>
      </c>
      <c r="BL37" s="16" t="n">
        <f aca="false">SUM(BL29:BL36)</f>
        <v>176167539.534849</v>
      </c>
    </row>
    <row r="38" customFormat="false" ht="15" hidden="false" customHeight="false" outlineLevel="0" collapsed="false">
      <c r="A38" s="8" t="s">
        <v>79</v>
      </c>
      <c r="B38" s="14" t="s">
        <v>63</v>
      </c>
      <c r="D38" s="41" t="n">
        <f aca="false">SUM(E38:BL38)</f>
        <v>-1166148404.13027</v>
      </c>
      <c r="E38" s="41" t="n">
        <f aca="false">E25-E37</f>
        <v>-35155701.4666667</v>
      </c>
      <c r="F38" s="41" t="n">
        <f aca="false">F25-F37</f>
        <v>-52319490.0666667</v>
      </c>
      <c r="G38" s="41" t="n">
        <f aca="false">G25-G37</f>
        <v>-70021518.4666667</v>
      </c>
      <c r="H38" s="41" t="n">
        <f aca="false">H25-H37</f>
        <v>-45208908.2666667</v>
      </c>
      <c r="I38" s="41" t="n">
        <f aca="false">I25-I37</f>
        <v>-52167753.6</v>
      </c>
      <c r="J38" s="41" t="n">
        <f aca="false">J25-J37</f>
        <v>-53259878.0066667</v>
      </c>
      <c r="K38" s="41" t="n">
        <f aca="false">K25-K37</f>
        <v>-56849682.4607833</v>
      </c>
      <c r="L38" s="41" t="n">
        <f aca="false">L25-L37</f>
        <v>-56081965.3666998</v>
      </c>
      <c r="M38" s="41" t="n">
        <f aca="false">M25-M37</f>
        <v>-61556826.7468305</v>
      </c>
      <c r="N38" s="41" t="n">
        <f aca="false">N25-N37</f>
        <v>-51267200.3260069</v>
      </c>
      <c r="O38" s="41" t="n">
        <f aca="false">O25-O37</f>
        <v>-49752146.2279231</v>
      </c>
      <c r="P38" s="41" t="n">
        <f aca="false">P25-P37</f>
        <v>-48193647.6335087</v>
      </c>
      <c r="Q38" s="41" t="n">
        <f aca="false">Q25-Q37</f>
        <v>-74808629.7753389</v>
      </c>
      <c r="R38" s="41" t="n">
        <f aca="false">R25-R37</f>
        <v>-69997084.556313</v>
      </c>
      <c r="S38" s="41" t="n">
        <f aca="false">S25-S37</f>
        <v>-68675645.0295057</v>
      </c>
      <c r="T38" s="41" t="n">
        <f aca="false">T25-T37</f>
        <v>-84068104.2512011</v>
      </c>
      <c r="U38" s="41" t="n">
        <f aca="false">U25-U37</f>
        <v>-66538092.2703964</v>
      </c>
      <c r="V38" s="41" t="n">
        <f aca="false">V25-V37</f>
        <v>-64619514.2005435</v>
      </c>
      <c r="W38" s="41" t="n">
        <f aca="false">W25-W37</f>
        <v>-83382111.0470837</v>
      </c>
      <c r="X38" s="41" t="n">
        <f aca="false">X25-X37</f>
        <v>-82892139.6327114</v>
      </c>
      <c r="Y38" s="41" t="n">
        <f aca="false">Y25-Y37</f>
        <v>-80748873.6480982</v>
      </c>
      <c r="Z38" s="41" t="n">
        <f aca="false">Z25-Z37</f>
        <v>-77979810.2722537</v>
      </c>
      <c r="AA38" s="41" t="n">
        <f aca="false">AA25-AA37</f>
        <v>-73629315.1206376</v>
      </c>
      <c r="AB38" s="41" t="n">
        <f aca="false">AB25-AB37</f>
        <v>-69349272.6839936</v>
      </c>
      <c r="AC38" s="41" t="n">
        <f aca="false">AC25-AC37</f>
        <v>-80682839.498366</v>
      </c>
      <c r="AD38" s="41" t="n">
        <f aca="false">AD25-AD37</f>
        <v>-76396119.6599893</v>
      </c>
      <c r="AE38" s="41" t="n">
        <f aca="false">AE25-AE37</f>
        <v>-72089976.8007914</v>
      </c>
      <c r="AF38" s="41" t="n">
        <f aca="false">AF25-AF37</f>
        <v>-67006480.0026386</v>
      </c>
      <c r="AG38" s="41" t="n">
        <f aca="false">AG25-AG37</f>
        <v>-61865691.2634994</v>
      </c>
      <c r="AH38" s="41" t="n">
        <f aca="false">AH25-AH37</f>
        <v>-57003526.1068473</v>
      </c>
      <c r="AI38" s="41" t="n">
        <f aca="false">AI25-AI37</f>
        <v>-64511202.7160438</v>
      </c>
      <c r="AJ38" s="41" t="n">
        <f aca="false">AJ25-AJ37</f>
        <v>-61149578.5668589</v>
      </c>
      <c r="AK38" s="41" t="n">
        <f aca="false">AK25-AK37</f>
        <v>-56324830.9950236</v>
      </c>
      <c r="AL38" s="41" t="n">
        <f aca="false">AL25-AL37</f>
        <v>-51515729.3388627</v>
      </c>
      <c r="AM38" s="41" t="n">
        <f aca="false">AM25-AM37</f>
        <v>-45260556.7338</v>
      </c>
      <c r="AN38" s="41" t="n">
        <f aca="false">AN25-AN37</f>
        <v>-39012593.2779666</v>
      </c>
      <c r="AO38" s="41" t="n">
        <f aca="false">AO25-AO37</f>
        <v>-27870438.4500205</v>
      </c>
      <c r="AP38" s="41" t="n">
        <f aca="false">AP25-AP37</f>
        <v>-20552227.8554609</v>
      </c>
      <c r="AQ38" s="41" t="n">
        <f aca="false">AQ25-AQ37</f>
        <v>-13230731.2044889</v>
      </c>
      <c r="AR38" s="41" t="n">
        <f aca="false">AR25-AR37</f>
        <v>-5519672.4101997</v>
      </c>
      <c r="AS38" s="41" t="n">
        <f aca="false">AS25-AS37</f>
        <v>2274981.59955311</v>
      </c>
      <c r="AT38" s="41" t="n">
        <f aca="false">AT25-AT37</f>
        <v>10240990.4859706</v>
      </c>
      <c r="AU38" s="41" t="n">
        <f aca="false">AU25-AU37</f>
        <v>3231310.76152161</v>
      </c>
      <c r="AV38" s="41" t="n">
        <f aca="false">AV25-AV37</f>
        <v>9898119.76218617</v>
      </c>
      <c r="AW38" s="41" t="n">
        <f aca="false">AW25-AW37</f>
        <v>18173113.5379803</v>
      </c>
      <c r="AX38" s="41" t="n">
        <f aca="false">AX25-AX37</f>
        <v>26354998.2003938</v>
      </c>
      <c r="AY38" s="41" t="n">
        <f aca="false">AY25-AY37</f>
        <v>35904731.7021092</v>
      </c>
      <c r="AZ38" s="41" t="n">
        <f aca="false">AZ25-AZ37</f>
        <v>45368169.0809884</v>
      </c>
      <c r="BA38" s="41" t="n">
        <f aca="false">BA25-BA37</f>
        <v>32423114.2246628</v>
      </c>
      <c r="BB38" s="41" t="n">
        <f aca="false">BB25-BB37</f>
        <v>41821731.8759011</v>
      </c>
      <c r="BC38" s="41" t="n">
        <f aca="false">BC25-BC37</f>
        <v>51138456.283959</v>
      </c>
      <c r="BD38" s="41" t="n">
        <f aca="false">BD25-BD37</f>
        <v>60760046.9448817</v>
      </c>
      <c r="BE38" s="41" t="n">
        <f aca="false">BE25-BE37</f>
        <v>70307587.8142838</v>
      </c>
      <c r="BF38" s="41" t="n">
        <f aca="false">BF25-BF37</f>
        <v>79785159.5244618</v>
      </c>
      <c r="BG38" s="41" t="n">
        <f aca="false">BG25-BG37</f>
        <v>89196960.0555705</v>
      </c>
      <c r="BH38" s="41" t="n">
        <f aca="false">BH25-BH37</f>
        <v>98547313.8888333</v>
      </c>
      <c r="BI38" s="41" t="n">
        <f aca="false">BI25-BI37</f>
        <v>107840681.671418</v>
      </c>
      <c r="BJ38" s="41" t="n">
        <f aca="false">BJ25-BJ37</f>
        <v>117081670.424374</v>
      </c>
      <c r="BK38" s="41" t="n">
        <f aca="false">BK25-BK37</f>
        <v>126353565.651812</v>
      </c>
      <c r="BL38" s="41" t="n">
        <f aca="false">BL25-BL37</f>
        <v>135664398.382894</v>
      </c>
    </row>
    <row r="39" customFormat="false" ht="15" hidden="false" customHeight="false" outlineLevel="0" collapsed="false">
      <c r="A39" s="12" t="s">
        <v>80</v>
      </c>
      <c r="B39" s="14" t="s">
        <v>115</v>
      </c>
      <c r="E39" s="45" t="n">
        <f aca="false">IFERROR(E38/E17,0)</f>
        <v>0</v>
      </c>
      <c r="F39" s="45" t="n">
        <f aca="false">IFERROR(F38/F17,0)</f>
        <v>0</v>
      </c>
      <c r="G39" s="45" t="n">
        <f aca="false">IFERROR(G38/G17,0)</f>
        <v>0</v>
      </c>
      <c r="H39" s="45" t="n">
        <f aca="false">IFERROR(H38/H17,0)</f>
        <v>0</v>
      </c>
      <c r="I39" s="45" t="n">
        <f aca="false">IFERROR(I38/I17,0)</f>
        <v>-36.2719390366003</v>
      </c>
      <c r="J39" s="45" t="n">
        <f aca="false">IFERROR(J38/J17,0)</f>
        <v>-20.7023245376801</v>
      </c>
      <c r="K39" s="45" t="n">
        <f aca="false">IFERROR(K38/K17,0)</f>
        <v>-15.3275967055273</v>
      </c>
      <c r="L39" s="45" t="n">
        <f aca="false">IFERROR(L38/L17,0)</f>
        <v>-8.7516336343777</v>
      </c>
      <c r="M39" s="45" t="n">
        <f aca="false">IFERROR(M38/M17,0)</f>
        <v>-6.83260746076399</v>
      </c>
      <c r="N39" s="45" t="n">
        <f aca="false">IFERROR(N38/N17,0)</f>
        <v>-4.41771571925325</v>
      </c>
      <c r="O39" s="45" t="n">
        <f aca="false">IFERROR(O38/O17,0)</f>
        <v>-3.40017757583829</v>
      </c>
      <c r="P39" s="45" t="n">
        <f aca="false">IFERROR(P38/P17,0)</f>
        <v>-2.72182716663798</v>
      </c>
      <c r="Q39" s="45" t="n">
        <f aca="false">IFERROR(Q38/Q17,0)</f>
        <v>-3.49970780177735</v>
      </c>
      <c r="R39" s="45" t="n">
        <f aca="false">IFERROR(R38/R17,0)</f>
        <v>-2.80453015742511</v>
      </c>
      <c r="S39" s="45" t="n">
        <f aca="false">IFERROR(S38/S17,0)</f>
        <v>-2.40255053278071</v>
      </c>
      <c r="T39" s="45" t="n">
        <f aca="false">IFERROR(T38/T17,0)</f>
        <v>-2.57569874139762</v>
      </c>
      <c r="U39" s="45" t="n">
        <f aca="false">IFERROR(U38/U17,0)</f>
        <v>-1.81133698980176</v>
      </c>
      <c r="V39" s="45" t="n">
        <f aca="false">IFERROR(V38/V17,0)</f>
        <v>-1.56776672402041</v>
      </c>
      <c r="W39" s="45" t="n">
        <f aca="false">IFERROR(W38/W17,0)</f>
        <v>-1.79101461894881</v>
      </c>
      <c r="X39" s="45" t="n">
        <f aca="false">IFERROR(X38/X17,0)</f>
        <v>-1.53220099743529</v>
      </c>
      <c r="Y39" s="45" t="n">
        <f aca="false">IFERROR(Y38/Y17,0)</f>
        <v>-1.31325263131041</v>
      </c>
      <c r="Z39" s="45" t="n">
        <f aca="false">IFERROR(Z38/Z17,0)</f>
        <v>-1.12060872664228</v>
      </c>
      <c r="AA39" s="45" t="n">
        <f aca="false">IFERROR(AA38/AA17,0)</f>
        <v>-0.927820443271819</v>
      </c>
      <c r="AB39" s="45" t="n">
        <f aca="false">IFERROR(AB38/AB17,0)</f>
        <v>-0.7778890498616</v>
      </c>
      <c r="AC39" s="45" t="n">
        <f aca="false">IFERROR(AC38/AC17,0)</f>
        <v>-0.805579136729283</v>
      </c>
      <c r="AD39" s="45" t="n">
        <f aca="false">IFERROR(AD38/AD17,0)</f>
        <v>-0.687280802871845</v>
      </c>
      <c r="AE39" s="45" t="n">
        <f aca="false">IFERROR(AE38/AE17,0)</f>
        <v>-0.589498767396351</v>
      </c>
      <c r="AF39" s="45" t="n">
        <f aca="false">IFERROR(AF38/AF17,0)</f>
        <v>-0.498865013716494</v>
      </c>
      <c r="AG39" s="45" t="n">
        <f aca="false">IFERROR(AG38/AG17,0)</f>
        <v>-0.422218553734093</v>
      </c>
      <c r="AH39" s="45" t="n">
        <f aca="false">IFERROR(AH38/AH17,0)</f>
        <v>-0.361258528078324</v>
      </c>
      <c r="AI39" s="45" t="n">
        <f aca="false">IFERROR(AI38/AI17,0)</f>
        <v>-0.381479008495962</v>
      </c>
      <c r="AJ39" s="45" t="n">
        <f aca="false">IFERROR(AJ38/AJ17,0)</f>
        <v>-0.334506843801834</v>
      </c>
      <c r="AK39" s="45" t="n">
        <f aca="false">IFERROR(AK38/AK17,0)</f>
        <v>-0.287235913139136</v>
      </c>
      <c r="AL39" s="45" t="n">
        <f aca="false">IFERROR(AL38/AL17,0)</f>
        <v>-0.246026260281767</v>
      </c>
      <c r="AM39" s="45" t="n">
        <f aca="false">IFERROR(AM38/AM17,0)</f>
        <v>-0.201902617644047</v>
      </c>
      <c r="AN39" s="45" t="n">
        <f aca="false">IFERROR(AN38/AN17,0)</f>
        <v>-0.163243288129648</v>
      </c>
      <c r="AO39" s="45" t="n">
        <f aca="false">IFERROR(AO38/AO17,0)</f>
        <v>-0.102457242121661</v>
      </c>
      <c r="AP39" s="45" t="n">
        <f aca="false">IFERROR(AP38/AP17,0)</f>
        <v>-0.0712328238513564</v>
      </c>
      <c r="AQ39" s="45" t="n">
        <f aca="false">IFERROR(AQ38/AQ17,0)</f>
        <v>-0.0433667781019819</v>
      </c>
      <c r="AR39" s="45" t="n">
        <f aca="false">IFERROR(AR38/AR17,0)</f>
        <v>-0.0171355678989001</v>
      </c>
      <c r="AS39" s="45" t="n">
        <f aca="false">IFERROR(AS38/AS17,0)</f>
        <v>0.00670712373031315</v>
      </c>
      <c r="AT39" s="45" t="n">
        <f aca="false">IFERROR(AT38/AT17,0)</f>
        <v>0.0287510979695067</v>
      </c>
      <c r="AU39" s="45" t="n">
        <f aca="false">IFERROR(AU38/AU17,0)</f>
        <v>0.00865940880591607</v>
      </c>
      <c r="AV39" s="45" t="n">
        <f aca="false">IFERROR(AV38/AV17,0)</f>
        <v>0.0252113532063782</v>
      </c>
      <c r="AW39" s="45" t="n">
        <f aca="false">IFERROR(AW38/AW17,0)</f>
        <v>0.0441424524295073</v>
      </c>
      <c r="AX39" s="45" t="n">
        <f aca="false">IFERROR(AX38/AX17,0)</f>
        <v>0.0612036282602014</v>
      </c>
      <c r="AY39" s="45" t="n">
        <f aca="false">IFERROR(AY38/AY17,0)</f>
        <v>0.0796416167116387</v>
      </c>
      <c r="AZ39" s="45" t="n">
        <f aca="false">IFERROR(AZ38/AZ17,0)</f>
        <v>0.0963447622281601</v>
      </c>
      <c r="BA39" s="45" t="n">
        <f aca="false">IFERROR(BA38/BA17,0)</f>
        <v>0.0659695434802458</v>
      </c>
      <c r="BB39" s="45" t="n">
        <f aca="false">IFERROR(BB38/BB17,0)</f>
        <v>0.0817020967400399</v>
      </c>
      <c r="BC39" s="45" t="n">
        <f aca="false">IFERROR(BC38/BC17,0)</f>
        <v>0.0961003289094599</v>
      </c>
      <c r="BD39" s="45" t="n">
        <f aca="false">IFERROR(BD38/BD17,0)</f>
        <v>0.10994424591837</v>
      </c>
      <c r="BE39" s="45" t="n">
        <f aca="false">IFERROR(BE38/BE17,0)</f>
        <v>0.122694119166512</v>
      </c>
      <c r="BF39" s="45" t="n">
        <f aca="false">IFERROR(BF38/BF17,0)</f>
        <v>0.134475193082039</v>
      </c>
      <c r="BG39" s="45" t="n">
        <f aca="false">IFERROR(BG38/BG17,0)</f>
        <v>0.145394386467767</v>
      </c>
      <c r="BH39" s="45" t="n">
        <f aca="false">IFERROR(BH38/BH17,0)</f>
        <v>0.155543527392081</v>
      </c>
      <c r="BI39" s="45" t="n">
        <f aca="false">IFERROR(BI38/BI17,0)</f>
        <v>0.165001926073756</v>
      </c>
      <c r="BJ39" s="45" t="n">
        <f aca="false">IFERROR(BJ38/BJ17,0)</f>
        <v>0.173838438580715</v>
      </c>
      <c r="BK39" s="45" t="n">
        <f aca="false">IFERROR(BK38/BK17,0)</f>
        <v>0.182243545832053</v>
      </c>
      <c r="BL39" s="45" t="n">
        <f aca="false">IFERROR(BL38/BL17,0)</f>
        <v>0.190284162743214</v>
      </c>
    </row>
    <row r="40" customFormat="false" ht="15" hidden="false" customHeight="false" outlineLevel="0" collapsed="false">
      <c r="A40" s="12" t="s">
        <v>678</v>
      </c>
      <c r="B40" s="14" t="s">
        <v>63</v>
      </c>
      <c r="D40" s="41" t="n">
        <f aca="false">SUM(E40:BL40)</f>
        <v>75600000</v>
      </c>
      <c r="E40" s="20" t="n">
        <f aca="false">Costs!E100</f>
        <v>116666.666666667</v>
      </c>
      <c r="F40" s="20" t="n">
        <f aca="false">Costs!F100</f>
        <v>133333.333333333</v>
      </c>
      <c r="G40" s="20" t="n">
        <f aca="false">Costs!G100</f>
        <v>166666.666666667</v>
      </c>
      <c r="H40" s="20" t="n">
        <f aca="false">Costs!H100</f>
        <v>636111.111111111</v>
      </c>
      <c r="I40" s="20" t="n">
        <f aca="false">Costs!I100</f>
        <v>636111.111111111</v>
      </c>
      <c r="J40" s="20" t="n">
        <f aca="false">Costs!J100</f>
        <v>652777.777777778</v>
      </c>
      <c r="K40" s="20" t="n">
        <f aca="false">Costs!K100</f>
        <v>719444.444444445</v>
      </c>
      <c r="L40" s="20" t="n">
        <f aca="false">Costs!L100</f>
        <v>719444.444444445</v>
      </c>
      <c r="M40" s="20" t="n">
        <f aca="false">Costs!M100</f>
        <v>719444.444444445</v>
      </c>
      <c r="N40" s="20" t="n">
        <f aca="false">Costs!N100</f>
        <v>736111.111111111</v>
      </c>
      <c r="O40" s="20" t="n">
        <f aca="false">Costs!O100</f>
        <v>736111.111111111</v>
      </c>
      <c r="P40" s="20" t="n">
        <f aca="false">Costs!P100</f>
        <v>736111.111111111</v>
      </c>
      <c r="Q40" s="20" t="n">
        <f aca="false">Costs!Q100</f>
        <v>891666.666666667</v>
      </c>
      <c r="R40" s="20" t="n">
        <f aca="false">Costs!R100</f>
        <v>891666.666666667</v>
      </c>
      <c r="S40" s="20" t="n">
        <f aca="false">Costs!S100</f>
        <v>891666.666666667</v>
      </c>
      <c r="T40" s="20" t="n">
        <f aca="false">Costs!T100</f>
        <v>908333.333333333</v>
      </c>
      <c r="U40" s="20" t="n">
        <f aca="false">Costs!U100</f>
        <v>908333.333333333</v>
      </c>
      <c r="V40" s="20" t="n">
        <f aca="false">Costs!V100</f>
        <v>908333.333333333</v>
      </c>
      <c r="W40" s="20" t="n">
        <f aca="false">Costs!W100</f>
        <v>1275000</v>
      </c>
      <c r="X40" s="20" t="n">
        <f aca="false">Costs!X100</f>
        <v>1275000</v>
      </c>
      <c r="Y40" s="20" t="n">
        <f aca="false">Costs!Y100</f>
        <v>1275000</v>
      </c>
      <c r="Z40" s="20" t="n">
        <f aca="false">Costs!Z100</f>
        <v>1275000</v>
      </c>
      <c r="AA40" s="20" t="n">
        <f aca="false">Costs!AA100</f>
        <v>1275000</v>
      </c>
      <c r="AB40" s="20" t="n">
        <f aca="false">Costs!AB100</f>
        <v>1275000</v>
      </c>
      <c r="AC40" s="20" t="n">
        <f aca="false">Costs!AC100</f>
        <v>1491666.66666667</v>
      </c>
      <c r="AD40" s="20" t="n">
        <f aca="false">Costs!AD100</f>
        <v>1491666.66666667</v>
      </c>
      <c r="AE40" s="20" t="n">
        <f aca="false">Costs!AE100</f>
        <v>1491666.66666667</v>
      </c>
      <c r="AF40" s="20" t="n">
        <f aca="false">Costs!AF100</f>
        <v>1491666.66666667</v>
      </c>
      <c r="AG40" s="20" t="n">
        <f aca="false">Costs!AG100</f>
        <v>1491666.66666667</v>
      </c>
      <c r="AH40" s="20" t="n">
        <f aca="false">Costs!AH100</f>
        <v>1491666.66666667</v>
      </c>
      <c r="AI40" s="20" t="n">
        <f aca="false">Costs!AI100</f>
        <v>1775000</v>
      </c>
      <c r="AJ40" s="20" t="n">
        <f aca="false">Costs!AJ100</f>
        <v>1775000</v>
      </c>
      <c r="AK40" s="20" t="n">
        <f aca="false">Costs!AK100</f>
        <v>1775000</v>
      </c>
      <c r="AL40" s="20" t="n">
        <f aca="false">Costs!AL100</f>
        <v>1775000</v>
      </c>
      <c r="AM40" s="20" t="n">
        <f aca="false">Costs!AM100</f>
        <v>1775000</v>
      </c>
      <c r="AN40" s="20" t="n">
        <f aca="false">Costs!AN100</f>
        <v>1775000</v>
      </c>
      <c r="AO40" s="20" t="n">
        <f aca="false">Costs!AO100</f>
        <v>1830555.55555556</v>
      </c>
      <c r="AP40" s="20" t="n">
        <f aca="false">Costs!AP100</f>
        <v>1813888.88888889</v>
      </c>
      <c r="AQ40" s="20" t="n">
        <f aca="false">Costs!AQ100</f>
        <v>1780555.55555556</v>
      </c>
      <c r="AR40" s="20" t="n">
        <f aca="false">Costs!AR100</f>
        <v>1311111.11111111</v>
      </c>
      <c r="AS40" s="20" t="n">
        <f aca="false">Costs!AS100</f>
        <v>1311111.11111111</v>
      </c>
      <c r="AT40" s="20" t="n">
        <f aca="false">Costs!AT100</f>
        <v>1294444.44444444</v>
      </c>
      <c r="AU40" s="20" t="n">
        <f aca="false">Costs!AU100</f>
        <v>1527777.77777778</v>
      </c>
      <c r="AV40" s="20" t="n">
        <f aca="false">Costs!AV100</f>
        <v>1527777.77777778</v>
      </c>
      <c r="AW40" s="20" t="n">
        <f aca="false">Costs!AW100</f>
        <v>1527777.77777778</v>
      </c>
      <c r="AX40" s="20" t="n">
        <f aca="false">Costs!AX100</f>
        <v>1511111.11111111</v>
      </c>
      <c r="AY40" s="20" t="n">
        <f aca="false">Costs!AY100</f>
        <v>1511111.11111111</v>
      </c>
      <c r="AZ40" s="20" t="n">
        <f aca="false">Costs!AZ100</f>
        <v>1511111.11111111</v>
      </c>
      <c r="BA40" s="20" t="n">
        <f aca="false">Costs!BA100</f>
        <v>1677777.77777778</v>
      </c>
      <c r="BB40" s="20" t="n">
        <f aca="false">Costs!BB100</f>
        <v>1677777.77777778</v>
      </c>
      <c r="BC40" s="20" t="n">
        <f aca="false">Costs!BC100</f>
        <v>1677777.77777778</v>
      </c>
      <c r="BD40" s="20" t="n">
        <f aca="false">Costs!BD100</f>
        <v>1661111.11111111</v>
      </c>
      <c r="BE40" s="20" t="n">
        <f aca="false">Costs!BE100</f>
        <v>1661111.11111111</v>
      </c>
      <c r="BF40" s="20" t="n">
        <f aca="false">Costs!BF100</f>
        <v>1661111.11111111</v>
      </c>
      <c r="BG40" s="20" t="n">
        <f aca="false">Costs!BG100</f>
        <v>1294444.44444444</v>
      </c>
      <c r="BH40" s="20" t="n">
        <f aca="false">Costs!BH100</f>
        <v>1294444.44444444</v>
      </c>
      <c r="BI40" s="20" t="n">
        <f aca="false">Costs!BI100</f>
        <v>1294444.44444444</v>
      </c>
      <c r="BJ40" s="20" t="n">
        <f aca="false">Costs!BJ100</f>
        <v>1294444.44444444</v>
      </c>
      <c r="BK40" s="20" t="n">
        <f aca="false">Costs!BK100</f>
        <v>1294444.44444444</v>
      </c>
      <c r="BL40" s="20" t="n">
        <f aca="false">Costs!BL100</f>
        <v>1294444.44444444</v>
      </c>
    </row>
    <row r="41" customFormat="false" ht="15" hidden="false" customHeight="false" outlineLevel="0" collapsed="false">
      <c r="A41" s="8" t="s">
        <v>691</v>
      </c>
      <c r="B41" s="14" t="s">
        <v>63</v>
      </c>
      <c r="D41" s="41" t="n">
        <f aca="false">SUM(E41:BL41)</f>
        <v>-1241748404.13027</v>
      </c>
      <c r="E41" s="16" t="n">
        <f aca="false">E38-E40</f>
        <v>-35272368.1333333</v>
      </c>
      <c r="F41" s="16" t="n">
        <f aca="false">F38-F40</f>
        <v>-52452823.4</v>
      </c>
      <c r="G41" s="16" t="n">
        <f aca="false">G38-G40</f>
        <v>-70188185.1333333</v>
      </c>
      <c r="H41" s="16" t="n">
        <f aca="false">H38-H40</f>
        <v>-45845019.3777778</v>
      </c>
      <c r="I41" s="16" t="n">
        <f aca="false">I38-I40</f>
        <v>-52803864.7111111</v>
      </c>
      <c r="J41" s="16" t="n">
        <f aca="false">J38-J40</f>
        <v>-53912655.7844444</v>
      </c>
      <c r="K41" s="16" t="n">
        <f aca="false">K38-K40</f>
        <v>-57569126.9052278</v>
      </c>
      <c r="L41" s="16" t="n">
        <f aca="false">L38-L40</f>
        <v>-56801409.8111443</v>
      </c>
      <c r="M41" s="16" t="n">
        <f aca="false">M38-M40</f>
        <v>-62276271.1912749</v>
      </c>
      <c r="N41" s="16" t="n">
        <f aca="false">N38-N40</f>
        <v>-52003311.437118</v>
      </c>
      <c r="O41" s="16" t="n">
        <f aca="false">O38-O40</f>
        <v>-50488257.3390342</v>
      </c>
      <c r="P41" s="16" t="n">
        <f aca="false">P38-P40</f>
        <v>-48929758.7446198</v>
      </c>
      <c r="Q41" s="16" t="n">
        <f aca="false">Q38-Q40</f>
        <v>-75700296.4420056</v>
      </c>
      <c r="R41" s="16" t="n">
        <f aca="false">R38-R40</f>
        <v>-70888751.2229797</v>
      </c>
      <c r="S41" s="16" t="n">
        <f aca="false">S38-S40</f>
        <v>-69567311.6961724</v>
      </c>
      <c r="T41" s="16" t="n">
        <f aca="false">T38-T40</f>
        <v>-84976437.5845345</v>
      </c>
      <c r="U41" s="16" t="n">
        <f aca="false">U38-U40</f>
        <v>-67446425.6037297</v>
      </c>
      <c r="V41" s="16" t="n">
        <f aca="false">V38-V40</f>
        <v>-65527847.5338768</v>
      </c>
      <c r="W41" s="16" t="n">
        <f aca="false">W38-W40</f>
        <v>-84657111.0470837</v>
      </c>
      <c r="X41" s="16" t="n">
        <f aca="false">X38-X40</f>
        <v>-84167139.6327114</v>
      </c>
      <c r="Y41" s="16" t="n">
        <f aca="false">Y38-Y40</f>
        <v>-82023873.6480982</v>
      </c>
      <c r="Z41" s="16" t="n">
        <f aca="false">Z38-Z40</f>
        <v>-79254810.2722537</v>
      </c>
      <c r="AA41" s="16" t="n">
        <f aca="false">AA38-AA40</f>
        <v>-74904315.1206376</v>
      </c>
      <c r="AB41" s="16" t="n">
        <f aca="false">AB38-AB40</f>
        <v>-70624272.6839936</v>
      </c>
      <c r="AC41" s="16" t="n">
        <f aca="false">AC38-AC40</f>
        <v>-82174506.1650327</v>
      </c>
      <c r="AD41" s="16" t="n">
        <f aca="false">AD38-AD40</f>
        <v>-77887786.326656</v>
      </c>
      <c r="AE41" s="16" t="n">
        <f aca="false">AE38-AE40</f>
        <v>-73581643.4674581</v>
      </c>
      <c r="AF41" s="16" t="n">
        <f aca="false">AF38-AF40</f>
        <v>-68498146.6693053</v>
      </c>
      <c r="AG41" s="16" t="n">
        <f aca="false">AG38-AG40</f>
        <v>-63357357.930166</v>
      </c>
      <c r="AH41" s="16" t="n">
        <f aca="false">AH38-AH40</f>
        <v>-58495192.773514</v>
      </c>
      <c r="AI41" s="16" t="n">
        <f aca="false">AI38-AI40</f>
        <v>-66286202.7160438</v>
      </c>
      <c r="AJ41" s="16" t="n">
        <f aca="false">AJ38-AJ40</f>
        <v>-62924578.5668589</v>
      </c>
      <c r="AK41" s="16" t="n">
        <f aca="false">AK38-AK40</f>
        <v>-58099830.9950236</v>
      </c>
      <c r="AL41" s="16" t="n">
        <f aca="false">AL38-AL40</f>
        <v>-53290729.3388627</v>
      </c>
      <c r="AM41" s="16" t="n">
        <f aca="false">AM38-AM40</f>
        <v>-47035556.7338</v>
      </c>
      <c r="AN41" s="16" t="n">
        <f aca="false">AN38-AN40</f>
        <v>-40787593.2779666</v>
      </c>
      <c r="AO41" s="16" t="n">
        <f aca="false">AO38-AO40</f>
        <v>-29700994.005576</v>
      </c>
      <c r="AP41" s="16" t="n">
        <f aca="false">AP38-AP40</f>
        <v>-22366116.7443498</v>
      </c>
      <c r="AQ41" s="16" t="n">
        <f aca="false">AQ38-AQ40</f>
        <v>-15011286.7600444</v>
      </c>
      <c r="AR41" s="16" t="n">
        <f aca="false">AR38-AR40</f>
        <v>-6830783.52131081</v>
      </c>
      <c r="AS41" s="16" t="n">
        <f aca="false">AS38-AS40</f>
        <v>963870.488441997</v>
      </c>
      <c r="AT41" s="16" t="n">
        <f aca="false">AT38-AT40</f>
        <v>8946546.04152611</v>
      </c>
      <c r="AU41" s="16" t="n">
        <f aca="false">AU38-AU40</f>
        <v>1703532.98374383</v>
      </c>
      <c r="AV41" s="16" t="n">
        <f aca="false">AV38-AV40</f>
        <v>8370341.98440839</v>
      </c>
      <c r="AW41" s="16" t="n">
        <f aca="false">AW38-AW40</f>
        <v>16645335.7602025</v>
      </c>
      <c r="AX41" s="16" t="n">
        <f aca="false">AX38-AX40</f>
        <v>24843887.0892827</v>
      </c>
      <c r="AY41" s="16" t="n">
        <f aca="false">AY38-AY40</f>
        <v>34393620.590998</v>
      </c>
      <c r="AZ41" s="16" t="n">
        <f aca="false">AZ38-AZ40</f>
        <v>43857057.9698772</v>
      </c>
      <c r="BA41" s="16" t="n">
        <f aca="false">BA38-BA40</f>
        <v>30745336.446885</v>
      </c>
      <c r="BB41" s="16" t="n">
        <f aca="false">BB38-BB40</f>
        <v>40143954.0981233</v>
      </c>
      <c r="BC41" s="16" t="n">
        <f aca="false">BC38-BC40</f>
        <v>49460678.5061812</v>
      </c>
      <c r="BD41" s="16" t="n">
        <f aca="false">BD38-BD40</f>
        <v>59098935.8337706</v>
      </c>
      <c r="BE41" s="16" t="n">
        <f aca="false">BE38-BE40</f>
        <v>68646476.7031727</v>
      </c>
      <c r="BF41" s="16" t="n">
        <f aca="false">BF38-BF40</f>
        <v>78124048.4133507</v>
      </c>
      <c r="BG41" s="16" t="n">
        <f aca="false">BG38-BG40</f>
        <v>87902515.611126</v>
      </c>
      <c r="BH41" s="16" t="n">
        <f aca="false">BH38-BH40</f>
        <v>97252869.4443889</v>
      </c>
      <c r="BI41" s="16" t="n">
        <f aca="false">BI38-BI40</f>
        <v>106546237.226974</v>
      </c>
      <c r="BJ41" s="16" t="n">
        <f aca="false">BJ38-BJ40</f>
        <v>115787225.979929</v>
      </c>
      <c r="BK41" s="16" t="n">
        <f aca="false">BK38-BK40</f>
        <v>125059121.207367</v>
      </c>
      <c r="BL41" s="16" t="n">
        <f aca="false">BL38-BL40</f>
        <v>134369953.93845</v>
      </c>
    </row>
    <row r="42" customFormat="false" ht="15" hidden="false" customHeight="false" outlineLevel="0" collapsed="false">
      <c r="A42" s="12" t="s">
        <v>692</v>
      </c>
      <c r="B42" s="14" t="s">
        <v>63</v>
      </c>
      <c r="D42" s="41" t="n">
        <f aca="false">BL42</f>
        <v>-1241748404.13027</v>
      </c>
      <c r="E42" s="33" t="n">
        <f aca="false">E41</f>
        <v>-35272368.1333333</v>
      </c>
      <c r="F42" s="33" t="n">
        <f aca="false">E42+F41</f>
        <v>-87725191.5333333</v>
      </c>
      <c r="G42" s="33" t="n">
        <f aca="false">F42+G41</f>
        <v>-157913376.666667</v>
      </c>
      <c r="H42" s="33" t="n">
        <f aca="false">G42+H41</f>
        <v>-203758396.044444</v>
      </c>
      <c r="I42" s="33" t="n">
        <f aca="false">H42+I41</f>
        <v>-256562260.755556</v>
      </c>
      <c r="J42" s="33" t="n">
        <f aca="false">I42+J41</f>
        <v>-310474916.54</v>
      </c>
      <c r="K42" s="33" t="n">
        <f aca="false">J42+K41</f>
        <v>-368044043.445228</v>
      </c>
      <c r="L42" s="33" t="n">
        <f aca="false">K42+L41</f>
        <v>-424845453.256372</v>
      </c>
      <c r="M42" s="33" t="n">
        <f aca="false">L42+M41</f>
        <v>-487121724.447647</v>
      </c>
      <c r="N42" s="33" t="n">
        <f aca="false">M42+N41</f>
        <v>-539125035.884765</v>
      </c>
      <c r="O42" s="33" t="n">
        <f aca="false">N42+O41</f>
        <v>-589613293.223799</v>
      </c>
      <c r="P42" s="33" t="n">
        <f aca="false">O42+P41</f>
        <v>-638543051.968419</v>
      </c>
      <c r="Q42" s="33" t="n">
        <f aca="false">P42+Q41</f>
        <v>-714243348.410425</v>
      </c>
      <c r="R42" s="33" t="n">
        <f aca="false">Q42+R41</f>
        <v>-785132099.633404</v>
      </c>
      <c r="S42" s="33" t="n">
        <f aca="false">R42+S41</f>
        <v>-854699411.329577</v>
      </c>
      <c r="T42" s="33" t="n">
        <f aca="false">S42+T41</f>
        <v>-939675848.914111</v>
      </c>
      <c r="U42" s="33" t="n">
        <f aca="false">T42+U41</f>
        <v>-1007122274.51784</v>
      </c>
      <c r="V42" s="33" t="n">
        <f aca="false">U42+V41</f>
        <v>-1072650122.05172</v>
      </c>
      <c r="W42" s="33" t="n">
        <f aca="false">V42+W41</f>
        <v>-1157307233.0988</v>
      </c>
      <c r="X42" s="33" t="n">
        <f aca="false">W42+X41</f>
        <v>-1241474372.73151</v>
      </c>
      <c r="Y42" s="33" t="n">
        <f aca="false">X42+Y41</f>
        <v>-1323498246.37961</v>
      </c>
      <c r="Z42" s="33" t="n">
        <f aca="false">Y42+Z41</f>
        <v>-1402753056.65186</v>
      </c>
      <c r="AA42" s="33" t="n">
        <f aca="false">Z42+AA41</f>
        <v>-1477657371.7725</v>
      </c>
      <c r="AB42" s="33" t="n">
        <f aca="false">AA42+AB41</f>
        <v>-1548281644.4565</v>
      </c>
      <c r="AC42" s="33" t="n">
        <f aca="false">AB42+AC41</f>
        <v>-1630456150.62153</v>
      </c>
      <c r="AD42" s="33" t="n">
        <f aca="false">AC42+AD41</f>
        <v>-1708343936.94818</v>
      </c>
      <c r="AE42" s="33" t="n">
        <f aca="false">AD42+AE41</f>
        <v>-1781925580.41564</v>
      </c>
      <c r="AF42" s="33" t="n">
        <f aca="false">AE42+AF41</f>
        <v>-1850423727.08495</v>
      </c>
      <c r="AG42" s="33" t="n">
        <f aca="false">AF42+AG41</f>
        <v>-1913781085.01511</v>
      </c>
      <c r="AH42" s="33" t="n">
        <f aca="false">AG42+AH41</f>
        <v>-1972276277.78863</v>
      </c>
      <c r="AI42" s="33" t="n">
        <f aca="false">AH42+AI41</f>
        <v>-2038562480.50467</v>
      </c>
      <c r="AJ42" s="33" t="n">
        <f aca="false">AI42+AJ41</f>
        <v>-2101487059.07153</v>
      </c>
      <c r="AK42" s="33" t="n">
        <f aca="false">AJ42+AK41</f>
        <v>-2159586890.06655</v>
      </c>
      <c r="AL42" s="33" t="n">
        <f aca="false">AK42+AL41</f>
        <v>-2212877619.40542</v>
      </c>
      <c r="AM42" s="33" t="n">
        <f aca="false">AL42+AM41</f>
        <v>-2259913176.13922</v>
      </c>
      <c r="AN42" s="33" t="n">
        <f aca="false">AM42+AN41</f>
        <v>-2300700769.41718</v>
      </c>
      <c r="AO42" s="33" t="n">
        <f aca="false">AN42+AO41</f>
        <v>-2330401763.42276</v>
      </c>
      <c r="AP42" s="33" t="n">
        <f aca="false">AO42+AP41</f>
        <v>-2352767880.16711</v>
      </c>
      <c r="AQ42" s="33" t="n">
        <f aca="false">AP42+AQ41</f>
        <v>-2367779166.92715</v>
      </c>
      <c r="AR42" s="33" t="n">
        <f aca="false">AQ42+AR41</f>
        <v>-2374609950.44847</v>
      </c>
      <c r="AS42" s="33" t="n">
        <f aca="false">AR42+AS41</f>
        <v>-2373646079.96002</v>
      </c>
      <c r="AT42" s="33" t="n">
        <f aca="false">AS42+AT41</f>
        <v>-2364699533.9185</v>
      </c>
      <c r="AU42" s="33" t="n">
        <f aca="false">AT42+AU41</f>
        <v>-2362996000.93475</v>
      </c>
      <c r="AV42" s="33" t="n">
        <f aca="false">AU42+AV41</f>
        <v>-2354625658.95035</v>
      </c>
      <c r="AW42" s="33" t="n">
        <f aca="false">AV42+AW41</f>
        <v>-2337980323.19014</v>
      </c>
      <c r="AX42" s="33" t="n">
        <f aca="false">AW42+AX41</f>
        <v>-2313136436.10086</v>
      </c>
      <c r="AY42" s="33" t="n">
        <f aca="false">AX42+AY41</f>
        <v>-2278742815.50986</v>
      </c>
      <c r="AZ42" s="33" t="n">
        <f aca="false">AY42+AZ41</f>
        <v>-2234885757.53998</v>
      </c>
      <c r="BA42" s="33" t="n">
        <f aca="false">AZ42+BA41</f>
        <v>-2204140421.0931</v>
      </c>
      <c r="BB42" s="33" t="n">
        <f aca="false">BA42+BB41</f>
        <v>-2163996466.99498</v>
      </c>
      <c r="BC42" s="33" t="n">
        <f aca="false">BB42+BC41</f>
        <v>-2114535788.48879</v>
      </c>
      <c r="BD42" s="33" t="n">
        <f aca="false">BC42+BD41</f>
        <v>-2055436852.65502</v>
      </c>
      <c r="BE42" s="33" t="n">
        <f aca="false">BD42+BE41</f>
        <v>-1986790375.95185</v>
      </c>
      <c r="BF42" s="33" t="n">
        <f aca="false">BE42+BF41</f>
        <v>-1908666327.5385</v>
      </c>
      <c r="BG42" s="33" t="n">
        <f aca="false">BF42+BG41</f>
        <v>-1820763811.92738</v>
      </c>
      <c r="BH42" s="33" t="n">
        <f aca="false">BG42+BH41</f>
        <v>-1723510942.48299</v>
      </c>
      <c r="BI42" s="33" t="n">
        <f aca="false">BH42+BI41</f>
        <v>-1616964705.25601</v>
      </c>
      <c r="BJ42" s="33" t="n">
        <f aca="false">BI42+BJ41</f>
        <v>-1501177479.27608</v>
      </c>
      <c r="BK42" s="33" t="n">
        <f aca="false">BJ42+BK41</f>
        <v>-1376118358.06872</v>
      </c>
      <c r="BL42" s="33" t="n">
        <f aca="false">BK42+BL41</f>
        <v>-1241748404.13027</v>
      </c>
    </row>
    <row r="43" customFormat="false" ht="15" hidden="false" customHeight="false" outlineLevel="0" collapsed="false">
      <c r="A43" s="12" t="s">
        <v>693</v>
      </c>
      <c r="B43" s="14" t="s">
        <v>63</v>
      </c>
      <c r="D43" s="41" t="n">
        <f aca="false">SUM(E43:BL43)</f>
        <v>0</v>
      </c>
      <c r="E43" s="33" t="n">
        <f aca="false">Tax_Rate*MAX(0,E42)</f>
        <v>0</v>
      </c>
      <c r="F43" s="33" t="n">
        <f aca="false">Tax_Rate*MAX(0,F42)-Tax_Rate*MAX(0,E42)</f>
        <v>0</v>
      </c>
      <c r="G43" s="33" t="n">
        <f aca="false">Tax_Rate*MAX(0,G42)-Tax_Rate*MAX(0,F42)</f>
        <v>0</v>
      </c>
      <c r="H43" s="33" t="n">
        <f aca="false">Tax_Rate*MAX(0,H42)-Tax_Rate*MAX(0,G42)</f>
        <v>0</v>
      </c>
      <c r="I43" s="33" t="n">
        <f aca="false">Tax_Rate*MAX(0,I42)-Tax_Rate*MAX(0,H42)</f>
        <v>0</v>
      </c>
      <c r="J43" s="33" t="n">
        <f aca="false">Tax_Rate*MAX(0,J42)-Tax_Rate*MAX(0,I42)</f>
        <v>0</v>
      </c>
      <c r="K43" s="33" t="n">
        <f aca="false">Tax_Rate*MAX(0,K42)-Tax_Rate*MAX(0,J42)</f>
        <v>0</v>
      </c>
      <c r="L43" s="33" t="n">
        <f aca="false">Tax_Rate*MAX(0,L42)-Tax_Rate*MAX(0,K42)</f>
        <v>0</v>
      </c>
      <c r="M43" s="33" t="n">
        <f aca="false">Tax_Rate*MAX(0,M42)-Tax_Rate*MAX(0,L42)</f>
        <v>0</v>
      </c>
      <c r="N43" s="33" t="n">
        <f aca="false">Tax_Rate*MAX(0,N42)-Tax_Rate*MAX(0,M42)</f>
        <v>0</v>
      </c>
      <c r="O43" s="33" t="n">
        <f aca="false">Tax_Rate*MAX(0,O42)-Tax_Rate*MAX(0,N42)</f>
        <v>0</v>
      </c>
      <c r="P43" s="33" t="n">
        <f aca="false">Tax_Rate*MAX(0,P42)-Tax_Rate*MAX(0,O42)</f>
        <v>0</v>
      </c>
      <c r="Q43" s="33" t="n">
        <f aca="false">Tax_Rate*MAX(0,Q42)-Tax_Rate*MAX(0,P42)</f>
        <v>0</v>
      </c>
      <c r="R43" s="33" t="n">
        <f aca="false">Tax_Rate*MAX(0,R42)-Tax_Rate*MAX(0,Q42)</f>
        <v>0</v>
      </c>
      <c r="S43" s="33" t="n">
        <f aca="false">Tax_Rate*MAX(0,S42)-Tax_Rate*MAX(0,R42)</f>
        <v>0</v>
      </c>
      <c r="T43" s="33" t="n">
        <f aca="false">Tax_Rate*MAX(0,T42)-Tax_Rate*MAX(0,S42)</f>
        <v>0</v>
      </c>
      <c r="U43" s="33" t="n">
        <f aca="false">Tax_Rate*MAX(0,U42)-Tax_Rate*MAX(0,T42)</f>
        <v>0</v>
      </c>
      <c r="V43" s="33" t="n">
        <f aca="false">Tax_Rate*MAX(0,V42)-Tax_Rate*MAX(0,U42)</f>
        <v>0</v>
      </c>
      <c r="W43" s="33" t="n">
        <f aca="false">Tax_Rate*MAX(0,W42)-Tax_Rate*MAX(0,V42)</f>
        <v>0</v>
      </c>
      <c r="X43" s="33" t="n">
        <f aca="false">Tax_Rate*MAX(0,X42)-Tax_Rate*MAX(0,W42)</f>
        <v>0</v>
      </c>
      <c r="Y43" s="33" t="n">
        <f aca="false">Tax_Rate*MAX(0,Y42)-Tax_Rate*MAX(0,X42)</f>
        <v>0</v>
      </c>
      <c r="Z43" s="33" t="n">
        <f aca="false">Tax_Rate*MAX(0,Z42)-Tax_Rate*MAX(0,Y42)</f>
        <v>0</v>
      </c>
      <c r="AA43" s="33" t="n">
        <f aca="false">Tax_Rate*MAX(0,AA42)-Tax_Rate*MAX(0,Z42)</f>
        <v>0</v>
      </c>
      <c r="AB43" s="33" t="n">
        <f aca="false">Tax_Rate*MAX(0,AB42)-Tax_Rate*MAX(0,AA42)</f>
        <v>0</v>
      </c>
      <c r="AC43" s="33" t="n">
        <f aca="false">Tax_Rate*MAX(0,AC42)-Tax_Rate*MAX(0,AB42)</f>
        <v>0</v>
      </c>
      <c r="AD43" s="33" t="n">
        <f aca="false">Tax_Rate*MAX(0,AD42)-Tax_Rate*MAX(0,AC42)</f>
        <v>0</v>
      </c>
      <c r="AE43" s="33" t="n">
        <f aca="false">Tax_Rate*MAX(0,AE42)-Tax_Rate*MAX(0,AD42)</f>
        <v>0</v>
      </c>
      <c r="AF43" s="33" t="n">
        <f aca="false">Tax_Rate*MAX(0,AF42)-Tax_Rate*MAX(0,AE42)</f>
        <v>0</v>
      </c>
      <c r="AG43" s="33" t="n">
        <f aca="false">Tax_Rate*MAX(0,AG42)-Tax_Rate*MAX(0,AF42)</f>
        <v>0</v>
      </c>
      <c r="AH43" s="33" t="n">
        <f aca="false">Tax_Rate*MAX(0,AH42)-Tax_Rate*MAX(0,AG42)</f>
        <v>0</v>
      </c>
      <c r="AI43" s="33" t="n">
        <f aca="false">Tax_Rate*MAX(0,AI42)-Tax_Rate*MAX(0,AH42)</f>
        <v>0</v>
      </c>
      <c r="AJ43" s="33" t="n">
        <f aca="false">Tax_Rate*MAX(0,AJ42)-Tax_Rate*MAX(0,AI42)</f>
        <v>0</v>
      </c>
      <c r="AK43" s="33" t="n">
        <f aca="false">Tax_Rate*MAX(0,AK42)-Tax_Rate*MAX(0,AJ42)</f>
        <v>0</v>
      </c>
      <c r="AL43" s="33" t="n">
        <f aca="false">Tax_Rate*MAX(0,AL42)-Tax_Rate*MAX(0,AK42)</f>
        <v>0</v>
      </c>
      <c r="AM43" s="33" t="n">
        <f aca="false">Tax_Rate*MAX(0,AM42)-Tax_Rate*MAX(0,AL42)</f>
        <v>0</v>
      </c>
      <c r="AN43" s="33" t="n">
        <f aca="false">Tax_Rate*MAX(0,AN42)-Tax_Rate*MAX(0,AM42)</f>
        <v>0</v>
      </c>
      <c r="AO43" s="33" t="n">
        <f aca="false">Tax_Rate*MAX(0,AO42)-Tax_Rate*MAX(0,AN42)</f>
        <v>0</v>
      </c>
      <c r="AP43" s="33" t="n">
        <f aca="false">Tax_Rate*MAX(0,AP42)-Tax_Rate*MAX(0,AO42)</f>
        <v>0</v>
      </c>
      <c r="AQ43" s="33" t="n">
        <f aca="false">Tax_Rate*MAX(0,AQ42)-Tax_Rate*MAX(0,AP42)</f>
        <v>0</v>
      </c>
      <c r="AR43" s="33" t="n">
        <f aca="false">Tax_Rate*MAX(0,AR42)-Tax_Rate*MAX(0,AQ42)</f>
        <v>0</v>
      </c>
      <c r="AS43" s="33" t="n">
        <f aca="false">Tax_Rate*MAX(0,AS42)-Tax_Rate*MAX(0,AR42)</f>
        <v>0</v>
      </c>
      <c r="AT43" s="33" t="n">
        <f aca="false">Tax_Rate*MAX(0,AT42)-Tax_Rate*MAX(0,AS42)</f>
        <v>0</v>
      </c>
      <c r="AU43" s="33" t="n">
        <f aca="false">Tax_Rate*MAX(0,AU42)-Tax_Rate*MAX(0,AT42)</f>
        <v>0</v>
      </c>
      <c r="AV43" s="33" t="n">
        <f aca="false">Tax_Rate*MAX(0,AV42)-Tax_Rate*MAX(0,AU42)</f>
        <v>0</v>
      </c>
      <c r="AW43" s="33" t="n">
        <f aca="false">Tax_Rate*MAX(0,AW42)-Tax_Rate*MAX(0,AV42)</f>
        <v>0</v>
      </c>
      <c r="AX43" s="33" t="n">
        <f aca="false">Tax_Rate*MAX(0,AX42)-Tax_Rate*MAX(0,AW42)</f>
        <v>0</v>
      </c>
      <c r="AY43" s="33" t="n">
        <f aca="false">Tax_Rate*MAX(0,AY42)-Tax_Rate*MAX(0,AX42)</f>
        <v>0</v>
      </c>
      <c r="AZ43" s="33" t="n">
        <f aca="false">Tax_Rate*MAX(0,AZ42)-Tax_Rate*MAX(0,AY42)</f>
        <v>0</v>
      </c>
      <c r="BA43" s="33" t="n">
        <f aca="false">Tax_Rate*MAX(0,BA42)-Tax_Rate*MAX(0,AZ42)</f>
        <v>0</v>
      </c>
      <c r="BB43" s="33" t="n">
        <f aca="false">Tax_Rate*MAX(0,BB42)-Tax_Rate*MAX(0,BA42)</f>
        <v>0</v>
      </c>
      <c r="BC43" s="33" t="n">
        <f aca="false">Tax_Rate*MAX(0,BC42)-Tax_Rate*MAX(0,BB42)</f>
        <v>0</v>
      </c>
      <c r="BD43" s="33" t="n">
        <f aca="false">Tax_Rate*MAX(0,BD42)-Tax_Rate*MAX(0,BC42)</f>
        <v>0</v>
      </c>
      <c r="BE43" s="33" t="n">
        <f aca="false">Tax_Rate*MAX(0,BE42)-Tax_Rate*MAX(0,BD42)</f>
        <v>0</v>
      </c>
      <c r="BF43" s="33" t="n">
        <f aca="false">Tax_Rate*MAX(0,BF42)-Tax_Rate*MAX(0,BE42)</f>
        <v>0</v>
      </c>
      <c r="BG43" s="33" t="n">
        <f aca="false">Tax_Rate*MAX(0,BG42)-Tax_Rate*MAX(0,BF42)</f>
        <v>0</v>
      </c>
      <c r="BH43" s="33" t="n">
        <f aca="false">Tax_Rate*MAX(0,BH42)-Tax_Rate*MAX(0,BG42)</f>
        <v>0</v>
      </c>
      <c r="BI43" s="33" t="n">
        <f aca="false">Tax_Rate*MAX(0,BI42)-Tax_Rate*MAX(0,BH42)</f>
        <v>0</v>
      </c>
      <c r="BJ43" s="33" t="n">
        <f aca="false">Tax_Rate*MAX(0,BJ42)-Tax_Rate*MAX(0,BI42)</f>
        <v>0</v>
      </c>
      <c r="BK43" s="33" t="n">
        <f aca="false">Tax_Rate*MAX(0,BK42)-Tax_Rate*MAX(0,BJ42)</f>
        <v>0</v>
      </c>
      <c r="BL43" s="33" t="n">
        <f aca="false">Tax_Rate*MAX(0,BL42)-Tax_Rate*MAX(0,BK42)</f>
        <v>0</v>
      </c>
    </row>
    <row r="44" customFormat="false" ht="15" hidden="false" customHeight="false" outlineLevel="0" collapsed="false">
      <c r="A44" s="8" t="s">
        <v>81</v>
      </c>
      <c r="B44" s="14" t="s">
        <v>63</v>
      </c>
      <c r="D44" s="41" t="n">
        <f aca="false">SUM(E44:BL44)</f>
        <v>-1241748404.13027</v>
      </c>
      <c r="E44" s="41" t="n">
        <f aca="false">E41-E43</f>
        <v>-35272368.1333333</v>
      </c>
      <c r="F44" s="41" t="n">
        <f aca="false">F41-F43</f>
        <v>-52452823.4</v>
      </c>
      <c r="G44" s="41" t="n">
        <f aca="false">G41-G43</f>
        <v>-70188185.1333333</v>
      </c>
      <c r="H44" s="41" t="n">
        <f aca="false">H41-H43</f>
        <v>-45845019.3777778</v>
      </c>
      <c r="I44" s="41" t="n">
        <f aca="false">I41-I43</f>
        <v>-52803864.7111111</v>
      </c>
      <c r="J44" s="41" t="n">
        <f aca="false">J41-J43</f>
        <v>-53912655.7844444</v>
      </c>
      <c r="K44" s="41" t="n">
        <f aca="false">K41-K43</f>
        <v>-57569126.9052278</v>
      </c>
      <c r="L44" s="41" t="n">
        <f aca="false">L41-L43</f>
        <v>-56801409.8111443</v>
      </c>
      <c r="M44" s="41" t="n">
        <f aca="false">M41-M43</f>
        <v>-62276271.1912749</v>
      </c>
      <c r="N44" s="41" t="n">
        <f aca="false">N41-N43</f>
        <v>-52003311.437118</v>
      </c>
      <c r="O44" s="41" t="n">
        <f aca="false">O41-O43</f>
        <v>-50488257.3390342</v>
      </c>
      <c r="P44" s="41" t="n">
        <f aca="false">P41-P43</f>
        <v>-48929758.7446198</v>
      </c>
      <c r="Q44" s="41" t="n">
        <f aca="false">Q41-Q43</f>
        <v>-75700296.4420056</v>
      </c>
      <c r="R44" s="41" t="n">
        <f aca="false">R41-R43</f>
        <v>-70888751.2229797</v>
      </c>
      <c r="S44" s="41" t="n">
        <f aca="false">S41-S43</f>
        <v>-69567311.6961724</v>
      </c>
      <c r="T44" s="41" t="n">
        <f aca="false">T41-T43</f>
        <v>-84976437.5845345</v>
      </c>
      <c r="U44" s="41" t="n">
        <f aca="false">U41-U43</f>
        <v>-67446425.6037297</v>
      </c>
      <c r="V44" s="41" t="n">
        <f aca="false">V41-V43</f>
        <v>-65527847.5338768</v>
      </c>
      <c r="W44" s="41" t="n">
        <f aca="false">W41-W43</f>
        <v>-84657111.0470837</v>
      </c>
      <c r="X44" s="41" t="n">
        <f aca="false">X41-X43</f>
        <v>-84167139.6327114</v>
      </c>
      <c r="Y44" s="41" t="n">
        <f aca="false">Y41-Y43</f>
        <v>-82023873.6480982</v>
      </c>
      <c r="Z44" s="41" t="n">
        <f aca="false">Z41-Z43</f>
        <v>-79254810.2722537</v>
      </c>
      <c r="AA44" s="41" t="n">
        <f aca="false">AA41-AA43</f>
        <v>-74904315.1206376</v>
      </c>
      <c r="AB44" s="41" t="n">
        <f aca="false">AB41-AB43</f>
        <v>-70624272.6839936</v>
      </c>
      <c r="AC44" s="41" t="n">
        <f aca="false">AC41-AC43</f>
        <v>-82174506.1650327</v>
      </c>
      <c r="AD44" s="41" t="n">
        <f aca="false">AD41-AD43</f>
        <v>-77887786.326656</v>
      </c>
      <c r="AE44" s="41" t="n">
        <f aca="false">AE41-AE43</f>
        <v>-73581643.4674581</v>
      </c>
      <c r="AF44" s="41" t="n">
        <f aca="false">AF41-AF43</f>
        <v>-68498146.6693053</v>
      </c>
      <c r="AG44" s="41" t="n">
        <f aca="false">AG41-AG43</f>
        <v>-63357357.930166</v>
      </c>
      <c r="AH44" s="41" t="n">
        <f aca="false">AH41-AH43</f>
        <v>-58495192.773514</v>
      </c>
      <c r="AI44" s="41" t="n">
        <f aca="false">AI41-AI43</f>
        <v>-66286202.7160438</v>
      </c>
      <c r="AJ44" s="41" t="n">
        <f aca="false">AJ41-AJ43</f>
        <v>-62924578.5668589</v>
      </c>
      <c r="AK44" s="41" t="n">
        <f aca="false">AK41-AK43</f>
        <v>-58099830.9950236</v>
      </c>
      <c r="AL44" s="41" t="n">
        <f aca="false">AL41-AL43</f>
        <v>-53290729.3388627</v>
      </c>
      <c r="AM44" s="41" t="n">
        <f aca="false">AM41-AM43</f>
        <v>-47035556.7338</v>
      </c>
      <c r="AN44" s="41" t="n">
        <f aca="false">AN41-AN43</f>
        <v>-40787593.2779666</v>
      </c>
      <c r="AO44" s="41" t="n">
        <f aca="false">AO41-AO43</f>
        <v>-29700994.005576</v>
      </c>
      <c r="AP44" s="41" t="n">
        <f aca="false">AP41-AP43</f>
        <v>-22366116.7443498</v>
      </c>
      <c r="AQ44" s="41" t="n">
        <f aca="false">AQ41-AQ43</f>
        <v>-15011286.7600444</v>
      </c>
      <c r="AR44" s="41" t="n">
        <f aca="false">AR41-AR43</f>
        <v>-6830783.52131081</v>
      </c>
      <c r="AS44" s="41" t="n">
        <f aca="false">AS41-AS43</f>
        <v>963870.488441997</v>
      </c>
      <c r="AT44" s="41" t="n">
        <f aca="false">AT41-AT43</f>
        <v>8946546.04152611</v>
      </c>
      <c r="AU44" s="41" t="n">
        <f aca="false">AU41-AU43</f>
        <v>1703532.98374383</v>
      </c>
      <c r="AV44" s="41" t="n">
        <f aca="false">AV41-AV43</f>
        <v>8370341.98440839</v>
      </c>
      <c r="AW44" s="41" t="n">
        <f aca="false">AW41-AW43</f>
        <v>16645335.7602025</v>
      </c>
      <c r="AX44" s="41" t="n">
        <f aca="false">AX41-AX43</f>
        <v>24843887.0892827</v>
      </c>
      <c r="AY44" s="41" t="n">
        <f aca="false">AY41-AY43</f>
        <v>34393620.590998</v>
      </c>
      <c r="AZ44" s="41" t="n">
        <f aca="false">AZ41-AZ43</f>
        <v>43857057.9698772</v>
      </c>
      <c r="BA44" s="41" t="n">
        <f aca="false">BA41-BA43</f>
        <v>30745336.446885</v>
      </c>
      <c r="BB44" s="41" t="n">
        <f aca="false">BB41-BB43</f>
        <v>40143954.0981233</v>
      </c>
      <c r="BC44" s="41" t="n">
        <f aca="false">BC41-BC43</f>
        <v>49460678.5061812</v>
      </c>
      <c r="BD44" s="41" t="n">
        <f aca="false">BD41-BD43</f>
        <v>59098935.8337706</v>
      </c>
      <c r="BE44" s="41" t="n">
        <f aca="false">BE41-BE43</f>
        <v>68646476.7031727</v>
      </c>
      <c r="BF44" s="41" t="n">
        <f aca="false">BF41-BF43</f>
        <v>78124048.4133507</v>
      </c>
      <c r="BG44" s="41" t="n">
        <f aca="false">BG41-BG43</f>
        <v>87902515.611126</v>
      </c>
      <c r="BH44" s="41" t="n">
        <f aca="false">BH41-BH43</f>
        <v>97252869.4443889</v>
      </c>
      <c r="BI44" s="41" t="n">
        <f aca="false">BI41-BI43</f>
        <v>106546237.226974</v>
      </c>
      <c r="BJ44" s="41" t="n">
        <f aca="false">BJ41-BJ43</f>
        <v>115787225.979929</v>
      </c>
      <c r="BK44" s="41" t="n">
        <f aca="false">BK41-BK43</f>
        <v>125059121.207367</v>
      </c>
      <c r="BL44" s="41" t="n">
        <f aca="false">BL41-BL43</f>
        <v>134369953.93845</v>
      </c>
    </row>
    <row r="45" customFormat="false" ht="15" hidden="false" customHeight="false" outlineLevel="0" collapsed="false">
      <c r="A45" s="12" t="s">
        <v>694</v>
      </c>
      <c r="B45" s="14" t="s">
        <v>63</v>
      </c>
      <c r="D45" s="41" t="n">
        <f aca="false">BL45</f>
        <v>-1241748404.13027</v>
      </c>
      <c r="E45" s="33" t="n">
        <f aca="false">E44</f>
        <v>-35272368.1333333</v>
      </c>
      <c r="F45" s="33" t="n">
        <f aca="false">E45+F44</f>
        <v>-87725191.5333333</v>
      </c>
      <c r="G45" s="33" t="n">
        <f aca="false">F45+G44</f>
        <v>-157913376.666667</v>
      </c>
      <c r="H45" s="33" t="n">
        <f aca="false">G45+H44</f>
        <v>-203758396.044444</v>
      </c>
      <c r="I45" s="33" t="n">
        <f aca="false">H45+I44</f>
        <v>-256562260.755556</v>
      </c>
      <c r="J45" s="33" t="n">
        <f aca="false">I45+J44</f>
        <v>-310474916.54</v>
      </c>
      <c r="K45" s="33" t="n">
        <f aca="false">J45+K44</f>
        <v>-368044043.445228</v>
      </c>
      <c r="L45" s="33" t="n">
        <f aca="false">K45+L44</f>
        <v>-424845453.256372</v>
      </c>
      <c r="M45" s="33" t="n">
        <f aca="false">L45+M44</f>
        <v>-487121724.447647</v>
      </c>
      <c r="N45" s="33" t="n">
        <f aca="false">M45+N44</f>
        <v>-539125035.884765</v>
      </c>
      <c r="O45" s="33" t="n">
        <f aca="false">N45+O44</f>
        <v>-589613293.223799</v>
      </c>
      <c r="P45" s="33" t="n">
        <f aca="false">O45+P44</f>
        <v>-638543051.968419</v>
      </c>
      <c r="Q45" s="33" t="n">
        <f aca="false">P45+Q44</f>
        <v>-714243348.410425</v>
      </c>
      <c r="R45" s="33" t="n">
        <f aca="false">Q45+R44</f>
        <v>-785132099.633404</v>
      </c>
      <c r="S45" s="33" t="n">
        <f aca="false">R45+S44</f>
        <v>-854699411.329577</v>
      </c>
      <c r="T45" s="33" t="n">
        <f aca="false">S45+T44</f>
        <v>-939675848.914111</v>
      </c>
      <c r="U45" s="33" t="n">
        <f aca="false">T45+U44</f>
        <v>-1007122274.51784</v>
      </c>
      <c r="V45" s="33" t="n">
        <f aca="false">U45+V44</f>
        <v>-1072650122.05172</v>
      </c>
      <c r="W45" s="33" t="n">
        <f aca="false">V45+W44</f>
        <v>-1157307233.0988</v>
      </c>
      <c r="X45" s="33" t="n">
        <f aca="false">W45+X44</f>
        <v>-1241474372.73151</v>
      </c>
      <c r="Y45" s="33" t="n">
        <f aca="false">X45+Y44</f>
        <v>-1323498246.37961</v>
      </c>
      <c r="Z45" s="33" t="n">
        <f aca="false">Y45+Z44</f>
        <v>-1402753056.65186</v>
      </c>
      <c r="AA45" s="33" t="n">
        <f aca="false">Z45+AA44</f>
        <v>-1477657371.7725</v>
      </c>
      <c r="AB45" s="33" t="n">
        <f aca="false">AA45+AB44</f>
        <v>-1548281644.4565</v>
      </c>
      <c r="AC45" s="33" t="n">
        <f aca="false">AB45+AC44</f>
        <v>-1630456150.62153</v>
      </c>
      <c r="AD45" s="33" t="n">
        <f aca="false">AC45+AD44</f>
        <v>-1708343936.94818</v>
      </c>
      <c r="AE45" s="33" t="n">
        <f aca="false">AD45+AE44</f>
        <v>-1781925580.41564</v>
      </c>
      <c r="AF45" s="33" t="n">
        <f aca="false">AE45+AF44</f>
        <v>-1850423727.08495</v>
      </c>
      <c r="AG45" s="33" t="n">
        <f aca="false">AF45+AG44</f>
        <v>-1913781085.01511</v>
      </c>
      <c r="AH45" s="33" t="n">
        <f aca="false">AG45+AH44</f>
        <v>-1972276277.78863</v>
      </c>
      <c r="AI45" s="33" t="n">
        <f aca="false">AH45+AI44</f>
        <v>-2038562480.50467</v>
      </c>
      <c r="AJ45" s="33" t="n">
        <f aca="false">AI45+AJ44</f>
        <v>-2101487059.07153</v>
      </c>
      <c r="AK45" s="33" t="n">
        <f aca="false">AJ45+AK44</f>
        <v>-2159586890.06655</v>
      </c>
      <c r="AL45" s="33" t="n">
        <f aca="false">AK45+AL44</f>
        <v>-2212877619.40542</v>
      </c>
      <c r="AM45" s="33" t="n">
        <f aca="false">AL45+AM44</f>
        <v>-2259913176.13922</v>
      </c>
      <c r="AN45" s="33" t="n">
        <f aca="false">AM45+AN44</f>
        <v>-2300700769.41718</v>
      </c>
      <c r="AO45" s="33" t="n">
        <f aca="false">AN45+AO44</f>
        <v>-2330401763.42276</v>
      </c>
      <c r="AP45" s="33" t="n">
        <f aca="false">AO45+AP44</f>
        <v>-2352767880.16711</v>
      </c>
      <c r="AQ45" s="33" t="n">
        <f aca="false">AP45+AQ44</f>
        <v>-2367779166.92715</v>
      </c>
      <c r="AR45" s="33" t="n">
        <f aca="false">AQ45+AR44</f>
        <v>-2374609950.44847</v>
      </c>
      <c r="AS45" s="33" t="n">
        <f aca="false">AR45+AS44</f>
        <v>-2373646079.96002</v>
      </c>
      <c r="AT45" s="33" t="n">
        <f aca="false">AS45+AT44</f>
        <v>-2364699533.9185</v>
      </c>
      <c r="AU45" s="33" t="n">
        <f aca="false">AT45+AU44</f>
        <v>-2362996000.93475</v>
      </c>
      <c r="AV45" s="33" t="n">
        <f aca="false">AU45+AV44</f>
        <v>-2354625658.95035</v>
      </c>
      <c r="AW45" s="33" t="n">
        <f aca="false">AV45+AW44</f>
        <v>-2337980323.19014</v>
      </c>
      <c r="AX45" s="33" t="n">
        <f aca="false">AW45+AX44</f>
        <v>-2313136436.10086</v>
      </c>
      <c r="AY45" s="33" t="n">
        <f aca="false">AX45+AY44</f>
        <v>-2278742815.50986</v>
      </c>
      <c r="AZ45" s="33" t="n">
        <f aca="false">AY45+AZ44</f>
        <v>-2234885757.53998</v>
      </c>
      <c r="BA45" s="33" t="n">
        <f aca="false">AZ45+BA44</f>
        <v>-2204140421.0931</v>
      </c>
      <c r="BB45" s="33" t="n">
        <f aca="false">BA45+BB44</f>
        <v>-2163996466.99498</v>
      </c>
      <c r="BC45" s="33" t="n">
        <f aca="false">BB45+BC44</f>
        <v>-2114535788.48879</v>
      </c>
      <c r="BD45" s="33" t="n">
        <f aca="false">BC45+BD44</f>
        <v>-2055436852.65502</v>
      </c>
      <c r="BE45" s="33" t="n">
        <f aca="false">BD45+BE44</f>
        <v>-1986790375.95185</v>
      </c>
      <c r="BF45" s="33" t="n">
        <f aca="false">BE45+BF44</f>
        <v>-1908666327.5385</v>
      </c>
      <c r="BG45" s="33" t="n">
        <f aca="false">BF45+BG44</f>
        <v>-1820763811.92738</v>
      </c>
      <c r="BH45" s="33" t="n">
        <f aca="false">BG45+BH44</f>
        <v>-1723510942.48299</v>
      </c>
      <c r="BI45" s="33" t="n">
        <f aca="false">BH45+BI44</f>
        <v>-1616964705.25601</v>
      </c>
      <c r="BJ45" s="33" t="n">
        <f aca="false">BI45+BJ44</f>
        <v>-1501177479.27608</v>
      </c>
      <c r="BK45" s="33" t="n">
        <f aca="false">BJ45+BK44</f>
        <v>-1376118358.06872</v>
      </c>
      <c r="BL45" s="33" t="n">
        <f aca="false">BK45+BL44</f>
        <v>-1241748404.13027</v>
      </c>
    </row>
    <row r="47" customFormat="false" ht="15" hidden="false" customHeight="false" outlineLevel="0" collapsed="false">
      <c r="A47" s="10" t="s">
        <v>695</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696</v>
      </c>
      <c r="B48" s="14" t="s">
        <v>60</v>
      </c>
      <c r="E48" s="42" t="n">
        <f aca="false">IF(E38&gt;0,E$3,999)</f>
        <v>999</v>
      </c>
      <c r="F48" s="42" t="n">
        <f aca="false">IF(F38&gt;0,F$3,999)</f>
        <v>999</v>
      </c>
      <c r="G48" s="42" t="n">
        <f aca="false">IF(G38&gt;0,G$3,999)</f>
        <v>999</v>
      </c>
      <c r="H48" s="42" t="n">
        <f aca="false">IF(H38&gt;0,H$3,999)</f>
        <v>999</v>
      </c>
      <c r="I48" s="42" t="n">
        <f aca="false">IF(I38&gt;0,I$3,999)</f>
        <v>999</v>
      </c>
      <c r="J48" s="42" t="n">
        <f aca="false">IF(J38&gt;0,J$3,999)</f>
        <v>999</v>
      </c>
      <c r="K48" s="42" t="n">
        <f aca="false">IF(K38&gt;0,K$3,999)</f>
        <v>999</v>
      </c>
      <c r="L48" s="42" t="n">
        <f aca="false">IF(L38&gt;0,L$3,999)</f>
        <v>999</v>
      </c>
      <c r="M48" s="42" t="n">
        <f aca="false">IF(M38&gt;0,M$3,999)</f>
        <v>999</v>
      </c>
      <c r="N48" s="42" t="n">
        <f aca="false">IF(N38&gt;0,N$3,999)</f>
        <v>999</v>
      </c>
      <c r="O48" s="42" t="n">
        <f aca="false">IF(O38&gt;0,O$3,999)</f>
        <v>999</v>
      </c>
      <c r="P48" s="42" t="n">
        <f aca="false">IF(P38&gt;0,P$3,999)</f>
        <v>999</v>
      </c>
      <c r="Q48" s="42" t="n">
        <f aca="false">IF(Q38&gt;0,Q$3,999)</f>
        <v>999</v>
      </c>
      <c r="R48" s="42" t="n">
        <f aca="false">IF(R38&gt;0,R$3,999)</f>
        <v>999</v>
      </c>
      <c r="S48" s="42" t="n">
        <f aca="false">IF(S38&gt;0,S$3,999)</f>
        <v>999</v>
      </c>
      <c r="T48" s="42" t="n">
        <f aca="false">IF(T38&gt;0,T$3,999)</f>
        <v>999</v>
      </c>
      <c r="U48" s="42" t="n">
        <f aca="false">IF(U38&gt;0,U$3,999)</f>
        <v>999</v>
      </c>
      <c r="V48" s="42" t="n">
        <f aca="false">IF(V38&gt;0,V$3,999)</f>
        <v>999</v>
      </c>
      <c r="W48" s="42" t="n">
        <f aca="false">IF(W38&gt;0,W$3,999)</f>
        <v>999</v>
      </c>
      <c r="X48" s="42" t="n">
        <f aca="false">IF(X38&gt;0,X$3,999)</f>
        <v>999</v>
      </c>
      <c r="Y48" s="42" t="n">
        <f aca="false">IF(Y38&gt;0,Y$3,999)</f>
        <v>999</v>
      </c>
      <c r="Z48" s="42" t="n">
        <f aca="false">IF(Z38&gt;0,Z$3,999)</f>
        <v>999</v>
      </c>
      <c r="AA48" s="42" t="n">
        <f aca="false">IF(AA38&gt;0,AA$3,999)</f>
        <v>999</v>
      </c>
      <c r="AB48" s="42" t="n">
        <f aca="false">IF(AB38&gt;0,AB$3,999)</f>
        <v>999</v>
      </c>
      <c r="AC48" s="42" t="n">
        <f aca="false">IF(AC38&gt;0,AC$3,999)</f>
        <v>999</v>
      </c>
      <c r="AD48" s="42" t="n">
        <f aca="false">IF(AD38&gt;0,AD$3,999)</f>
        <v>999</v>
      </c>
      <c r="AE48" s="42" t="n">
        <f aca="false">IF(AE38&gt;0,AE$3,999)</f>
        <v>999</v>
      </c>
      <c r="AF48" s="42" t="n">
        <f aca="false">IF(AF38&gt;0,AF$3,999)</f>
        <v>999</v>
      </c>
      <c r="AG48" s="42" t="n">
        <f aca="false">IF(AG38&gt;0,AG$3,999)</f>
        <v>999</v>
      </c>
      <c r="AH48" s="42" t="n">
        <f aca="false">IF(AH38&gt;0,AH$3,999)</f>
        <v>999</v>
      </c>
      <c r="AI48" s="42" t="n">
        <f aca="false">IF(AI38&gt;0,AI$3,999)</f>
        <v>999</v>
      </c>
      <c r="AJ48" s="42" t="n">
        <f aca="false">IF(AJ38&gt;0,AJ$3,999)</f>
        <v>999</v>
      </c>
      <c r="AK48" s="42" t="n">
        <f aca="false">IF(AK38&gt;0,AK$3,999)</f>
        <v>999</v>
      </c>
      <c r="AL48" s="42" t="n">
        <f aca="false">IF(AL38&gt;0,AL$3,999)</f>
        <v>999</v>
      </c>
      <c r="AM48" s="42" t="n">
        <f aca="false">IF(AM38&gt;0,AM$3,999)</f>
        <v>999</v>
      </c>
      <c r="AN48" s="42" t="n">
        <f aca="false">IF(AN38&gt;0,AN$3,999)</f>
        <v>999</v>
      </c>
      <c r="AO48" s="42" t="n">
        <f aca="false">IF(AO38&gt;0,AO$3,999)</f>
        <v>999</v>
      </c>
      <c r="AP48" s="42" t="n">
        <f aca="false">IF(AP38&gt;0,AP$3,999)</f>
        <v>999</v>
      </c>
      <c r="AQ48" s="42" t="n">
        <f aca="false">IF(AQ38&gt;0,AQ$3,999)</f>
        <v>999</v>
      </c>
      <c r="AR48" s="42" t="n">
        <f aca="false">IF(AR38&gt;0,AR$3,999)</f>
        <v>999</v>
      </c>
      <c r="AS48" s="42" t="n">
        <f aca="false">IF(AS38&gt;0,AS$3,999)</f>
        <v>41</v>
      </c>
      <c r="AT48" s="42" t="n">
        <f aca="false">IF(AT38&gt;0,AT$3,999)</f>
        <v>42</v>
      </c>
      <c r="AU48" s="42" t="n">
        <f aca="false">IF(AU38&gt;0,AU$3,999)</f>
        <v>43</v>
      </c>
      <c r="AV48" s="42" t="n">
        <f aca="false">IF(AV38&gt;0,AV$3,999)</f>
        <v>44</v>
      </c>
      <c r="AW48" s="42" t="n">
        <f aca="false">IF(AW38&gt;0,AW$3,999)</f>
        <v>45</v>
      </c>
      <c r="AX48" s="42" t="n">
        <f aca="false">IF(AX38&gt;0,AX$3,999)</f>
        <v>46</v>
      </c>
      <c r="AY48" s="42" t="n">
        <f aca="false">IF(AY38&gt;0,AY$3,999)</f>
        <v>47</v>
      </c>
      <c r="AZ48" s="42" t="n">
        <f aca="false">IF(AZ38&gt;0,AZ$3,999)</f>
        <v>48</v>
      </c>
      <c r="BA48" s="42" t="n">
        <f aca="false">IF(BA38&gt;0,BA$3,999)</f>
        <v>49</v>
      </c>
      <c r="BB48" s="42" t="n">
        <f aca="false">IF(BB38&gt;0,BB$3,999)</f>
        <v>50</v>
      </c>
      <c r="BC48" s="42" t="n">
        <f aca="false">IF(BC38&gt;0,BC$3,999)</f>
        <v>51</v>
      </c>
      <c r="BD48" s="42" t="n">
        <f aca="false">IF(BD38&gt;0,BD$3,999)</f>
        <v>52</v>
      </c>
      <c r="BE48" s="42" t="n">
        <f aca="false">IF(BE38&gt;0,BE$3,999)</f>
        <v>53</v>
      </c>
      <c r="BF48" s="42" t="n">
        <f aca="false">IF(BF38&gt;0,BF$3,999)</f>
        <v>54</v>
      </c>
      <c r="BG48" s="42" t="n">
        <f aca="false">IF(BG38&gt;0,BG$3,999)</f>
        <v>55</v>
      </c>
      <c r="BH48" s="42" t="n">
        <f aca="false">IF(BH38&gt;0,BH$3,999)</f>
        <v>56</v>
      </c>
      <c r="BI48" s="42" t="n">
        <f aca="false">IF(BI38&gt;0,BI$3,999)</f>
        <v>57</v>
      </c>
      <c r="BJ48" s="42" t="n">
        <f aca="false">IF(BJ38&gt;0,BJ$3,999)</f>
        <v>58</v>
      </c>
      <c r="BK48" s="42" t="n">
        <f aca="false">IF(BK38&gt;0,BK$3,999)</f>
        <v>59</v>
      </c>
      <c r="BL48" s="42" t="n">
        <f aca="false">IF(BL38&gt;0,BL$3,999)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s>
  <sheetData>
    <row r="1" customFormat="false" ht="17.35" hidden="false" customHeight="false" outlineLevel="0" collapsed="false">
      <c r="A1" s="7" t="s">
        <v>30</v>
      </c>
    </row>
    <row r="2" customFormat="false" ht="15" hidden="false" customHeight="false" outlineLevel="0" collapsed="false">
      <c r="A2" s="2" t="s">
        <v>697</v>
      </c>
    </row>
    <row r="4" customFormat="false" ht="15" hidden="false" customHeight="false" outlineLevel="0" collapsed="false">
      <c r="A4" s="0" t="s">
        <v>71</v>
      </c>
      <c r="D4" s="40" t="n">
        <v>1</v>
      </c>
      <c r="E4" s="40" t="n">
        <v>2</v>
      </c>
      <c r="F4" s="40" t="n">
        <v>3</v>
      </c>
      <c r="G4" s="40" t="n">
        <v>4</v>
      </c>
      <c r="H4" s="40" t="n">
        <v>5</v>
      </c>
      <c r="I4" s="47" t="s">
        <v>698</v>
      </c>
    </row>
    <row r="5" customFormat="false" ht="15" hidden="false" customHeight="false" outlineLevel="0" collapsed="false">
      <c r="A5" s="0" t="s">
        <v>699</v>
      </c>
      <c r="D5" s="18" t="n">
        <f aca="false">YEAR(Start_Date)+D4-1</f>
        <v>2027</v>
      </c>
      <c r="E5" s="18" t="n">
        <f aca="false">YEAR(Start_Date)+E4-1</f>
        <v>2028</v>
      </c>
      <c r="F5" s="18" t="n">
        <f aca="false">YEAR(Start_Date)+F4-1</f>
        <v>2029</v>
      </c>
      <c r="G5" s="18" t="n">
        <f aca="false">YEAR(Start_Date)+G4-1</f>
        <v>2030</v>
      </c>
      <c r="H5" s="18" t="n">
        <f aca="false">YEAR(Start_Date)+H4-1</f>
        <v>2031</v>
      </c>
    </row>
    <row r="8" customFormat="false" ht="15" hidden="false" customHeight="false" outlineLevel="0" collapsed="false">
      <c r="A8" s="10" t="s">
        <v>700</v>
      </c>
      <c r="B8" s="11"/>
      <c r="C8" s="11"/>
      <c r="D8" s="11"/>
      <c r="E8" s="11"/>
      <c r="F8" s="11"/>
      <c r="G8" s="11"/>
      <c r="H8" s="11"/>
      <c r="I8" s="11"/>
    </row>
    <row r="9" customFormat="false" ht="15" hidden="false" customHeight="false" outlineLevel="0" collapsed="false">
      <c r="A9" s="12" t="s">
        <v>608</v>
      </c>
      <c r="D9" s="20" t="n">
        <f aca="false">SUMIF('P&amp;L monthly'!$E$5:$BL$5,D$4,'P&amp;L monthly'!$E$9:$BL$9)</f>
        <v>15911121.5640578</v>
      </c>
      <c r="E9" s="20" t="n">
        <f aca="false">SUMIF('P&amp;L monthly'!$E$5:$BL$5,E$4,'P&amp;L monthly'!$E$9:$BL$9)</f>
        <v>202158004.740194</v>
      </c>
      <c r="F9" s="20" t="n">
        <f aca="false">SUMIF('P&amp;L monthly'!$E$5:$BL$5,F$4,'P&amp;L monthly'!$E$9:$BL$9)</f>
        <v>685188799.214072</v>
      </c>
      <c r="G9" s="20" t="n">
        <f aca="false">SUMIF('P&amp;L monthly'!$E$5:$BL$5,G$4,'P&amp;L monthly'!$E$9:$BL$9)</f>
        <v>1486365911.23107</v>
      </c>
      <c r="H9" s="20" t="n">
        <f aca="false">SUMIF('P&amp;L monthly'!$E$5:$BL$5,H$4,'P&amp;L monthly'!$E$9:$BL$9)</f>
        <v>2519460290.52762</v>
      </c>
      <c r="I9" s="41" t="n">
        <f aca="false">SUM(D9:H9)</f>
        <v>4909084127.27701</v>
      </c>
    </row>
    <row r="10" customFormat="false" ht="15" hidden="false" customHeight="false" outlineLevel="0" collapsed="false">
      <c r="A10" s="12" t="s">
        <v>609</v>
      </c>
      <c r="D10" s="20" t="n">
        <f aca="false">SUMIF('P&amp;L monthly'!$E$5:$BL$5,D$4,'P&amp;L monthly'!$E$10:$BL$10)</f>
        <v>17899898.9848955</v>
      </c>
      <c r="E10" s="20" t="n">
        <f aca="false">SUMIF('P&amp;L monthly'!$E$5:$BL$5,E$4,'P&amp;L monthly'!$E$10:$BL$10)</f>
        <v>123865679.339915</v>
      </c>
      <c r="F10" s="20" t="n">
        <f aca="false">SUMIF('P&amp;L monthly'!$E$5:$BL$5,F$4,'P&amp;L monthly'!$E$10:$BL$10)</f>
        <v>368094940.356108</v>
      </c>
      <c r="G10" s="20" t="n">
        <f aca="false">SUMIF('P&amp;L monthly'!$E$5:$BL$5,G$4,'P&amp;L monthly'!$E$10:$BL$10)</f>
        <v>740972455.779665</v>
      </c>
      <c r="H10" s="20" t="n">
        <f aca="false">SUMIF('P&amp;L monthly'!$E$5:$BL$5,H$4,'P&amp;L monthly'!$E$10:$BL$10)</f>
        <v>1198263034.09723</v>
      </c>
      <c r="I10" s="41" t="n">
        <f aca="false">SUM(D10:H10)</f>
        <v>2449096008.55781</v>
      </c>
    </row>
    <row r="11" customFormat="false" ht="15" hidden="false" customHeight="false" outlineLevel="0" collapsed="false">
      <c r="A11" s="12" t="s">
        <v>681</v>
      </c>
      <c r="D11" s="20" t="n">
        <f aca="false">SUMIF('P&amp;L monthly'!$E$5:$BL$5,D$4,'P&amp;L monthly'!$E$11:$BL$11)</f>
        <v>6729021.23160294</v>
      </c>
      <c r="E11" s="20" t="n">
        <f aca="false">SUMIF('P&amp;L monthly'!$E$5:$BL$5,E$4,'P&amp;L monthly'!$E$11:$BL$11)</f>
        <v>46470674.8195029</v>
      </c>
      <c r="F11" s="20" t="n">
        <f aca="false">SUMIF('P&amp;L monthly'!$E$5:$BL$5,F$4,'P&amp;L monthly'!$E$11:$BL$11)</f>
        <v>137872111.595075</v>
      </c>
      <c r="G11" s="20" t="n">
        <f aca="false">SUMIF('P&amp;L monthly'!$E$5:$BL$5,G$4,'P&amp;L monthly'!$E$11:$BL$11)</f>
        <v>277048060.837851</v>
      </c>
      <c r="H11" s="20" t="n">
        <f aca="false">SUMIF('P&amp;L monthly'!$E$5:$BL$5,H$4,'P&amp;L monthly'!$E$11:$BL$11)</f>
        <v>447206109.305538</v>
      </c>
      <c r="I11" s="41" t="n">
        <f aca="false">SUM(D11:H11)</f>
        <v>915325977.78957</v>
      </c>
    </row>
    <row r="12" customFormat="false" ht="15" hidden="false" customHeight="false" outlineLevel="0" collapsed="false">
      <c r="A12" s="12" t="s">
        <v>198</v>
      </c>
      <c r="D12" s="20" t="n">
        <f aca="false">SUMIF('P&amp;L monthly'!$E$5:$BL$5,D$4,'P&amp;L monthly'!$E$12:$BL$12)</f>
        <v>22137298.4718109</v>
      </c>
      <c r="E12" s="20" t="n">
        <f aca="false">SUMIF('P&amp;L monthly'!$E$5:$BL$5,E$4,'P&amp;L monthly'!$E$12:$BL$12)</f>
        <v>153346429.446092</v>
      </c>
      <c r="F12" s="20" t="n">
        <f aca="false">SUMIF('P&amp;L monthly'!$E$5:$BL$5,F$4,'P&amp;L monthly'!$E$12:$BL$12)</f>
        <v>456109826.686802</v>
      </c>
      <c r="G12" s="20" t="n">
        <f aca="false">SUMIF('P&amp;L monthly'!$E$5:$BL$5,G$4,'P&amp;L monthly'!$E$12:$BL$12)</f>
        <v>919062658.773667</v>
      </c>
      <c r="H12" s="20" t="n">
        <f aca="false">SUMIF('P&amp;L monthly'!$E$5:$BL$5,H$4,'P&amp;L monthly'!$E$12:$BL$12)</f>
        <v>1487886949.94344</v>
      </c>
      <c r="I12" s="41" t="n">
        <f aca="false">SUM(D12:H12)</f>
        <v>3038543163.32181</v>
      </c>
    </row>
    <row r="13" customFormat="false" ht="15" hidden="false" customHeight="false" outlineLevel="0" collapsed="false">
      <c r="A13" s="12" t="s">
        <v>611</v>
      </c>
      <c r="D13" s="20" t="n">
        <f aca="false">SUMIF('P&amp;L monthly'!$E$5:$BL$5,D$4,'P&amp;L monthly'!$E$13:$BL$13)</f>
        <v>3241602.08074175</v>
      </c>
      <c r="E13" s="20" t="n">
        <f aca="false">SUMIF('P&amp;L monthly'!$E$5:$BL$5,E$4,'P&amp;L monthly'!$E$13:$BL$13)</f>
        <v>10723265.4371219</v>
      </c>
      <c r="F13" s="20" t="n">
        <f aca="false">SUMIF('P&amp;L monthly'!$E$5:$BL$5,F$4,'P&amp;L monthly'!$E$13:$BL$13)</f>
        <v>21795955.1702388</v>
      </c>
      <c r="G13" s="20" t="n">
        <f aca="false">SUMIF('P&amp;L monthly'!$E$5:$BL$5,G$4,'P&amp;L monthly'!$E$13:$BL$13)</f>
        <v>31807269.5741298</v>
      </c>
      <c r="H13" s="20" t="n">
        <f aca="false">SUMIF('P&amp;L monthly'!$E$5:$BL$5,H$4,'P&amp;L monthly'!$E$13:$BL$13)</f>
        <v>38328047.3967382</v>
      </c>
      <c r="I13" s="41" t="n">
        <f aca="false">SUM(D13:H13)</f>
        <v>105896139.658971</v>
      </c>
    </row>
    <row r="14" customFormat="false" ht="15" hidden="false" customHeight="false" outlineLevel="0" collapsed="false">
      <c r="A14" s="12" t="s">
        <v>682</v>
      </c>
      <c r="D14" s="20" t="n">
        <f aca="false">SUMIF('P&amp;L monthly'!$E$5:$BL$5,D$4,'P&amp;L monthly'!$E$14:$BL$14)</f>
        <v>1113720.77989566</v>
      </c>
      <c r="E14" s="20" t="n">
        <f aca="false">SUMIF('P&amp;L monthly'!$E$5:$BL$5,E$4,'P&amp;L monthly'!$E$14:$BL$14)</f>
        <v>7790789.20615234</v>
      </c>
      <c r="F14" s="20" t="n">
        <f aca="false">SUMIF('P&amp;L monthly'!$E$5:$BL$5,F$4,'P&amp;L monthly'!$E$14:$BL$14)</f>
        <v>23360116.5292305</v>
      </c>
      <c r="G14" s="20" t="n">
        <f aca="false">SUMIF('P&amp;L monthly'!$E$5:$BL$5,G$4,'P&amp;L monthly'!$E$14:$BL$14)</f>
        <v>47481397.2930892</v>
      </c>
      <c r="H14" s="20" t="n">
        <f aca="false">SUMIF('P&amp;L monthly'!$E$5:$BL$5,H$4,'P&amp;L monthly'!$E$14:$BL$14)</f>
        <v>77573633.6759336</v>
      </c>
      <c r="I14" s="41" t="n">
        <f aca="false">SUM(D14:H14)</f>
        <v>157319657.484301</v>
      </c>
    </row>
    <row r="15" customFormat="false" ht="15" hidden="false" customHeight="false" outlineLevel="0" collapsed="false">
      <c r="A15" s="12" t="s">
        <v>612</v>
      </c>
      <c r="D15" s="20" t="n">
        <f aca="false">SUMIF('P&amp;L monthly'!$E$5:$BL$5,D$4,'P&amp;L monthly'!$E$15:$BL$15)</f>
        <v>0</v>
      </c>
      <c r="E15" s="20" t="n">
        <f aca="false">SUMIF('P&amp;L monthly'!$E$5:$BL$5,E$4,'P&amp;L monthly'!$E$15:$BL$15)</f>
        <v>15872865.9883948</v>
      </c>
      <c r="F15" s="20" t="n">
        <f aca="false">SUMIF('P&amp;L monthly'!$E$5:$BL$5,F$4,'P&amp;L monthly'!$E$15:$BL$15)</f>
        <v>164115054.459297</v>
      </c>
      <c r="G15" s="20" t="n">
        <f aca="false">SUMIF('P&amp;L monthly'!$E$5:$BL$5,G$4,'P&amp;L monthly'!$E$15:$BL$15)</f>
        <v>347344117.11421</v>
      </c>
      <c r="H15" s="20" t="n">
        <f aca="false">SUMIF('P&amp;L monthly'!$E$5:$BL$5,H$4,'P&amp;L monthly'!$E$15:$BL$15)</f>
        <v>561996739.333791</v>
      </c>
      <c r="I15" s="41" t="n">
        <f aca="false">SUM(D15:H15)</f>
        <v>1089328776.89569</v>
      </c>
    </row>
    <row r="16" customFormat="false" ht="15" hidden="false" customHeight="false" outlineLevel="0" collapsed="false">
      <c r="A16" s="12" t="s">
        <v>683</v>
      </c>
      <c r="D16" s="20" t="n">
        <f aca="false">SUMIF('P&amp;L monthly'!$E$5:$BL$5,D$4,'P&amp;L monthly'!$E$16:$BL$16)</f>
        <v>48138.8226202395</v>
      </c>
      <c r="E16" s="20" t="n">
        <f aca="false">SUMIF('P&amp;L monthly'!$E$5:$BL$5,E$4,'P&amp;L monthly'!$E$16:$BL$16)</f>
        <v>25520198.7246887</v>
      </c>
      <c r="F16" s="20" t="n">
        <f aca="false">SUMIF('P&amp;L monthly'!$E$5:$BL$5,F$4,'P&amp;L monthly'!$E$16:$BL$16)</f>
        <v>136251926.314207</v>
      </c>
      <c r="G16" s="20" t="n">
        <f aca="false">SUMIF('P&amp;L monthly'!$E$5:$BL$5,G$4,'P&amp;L monthly'!$E$16:$BL$16)</f>
        <v>562839339.196432</v>
      </c>
      <c r="H16" s="20" t="n">
        <f aca="false">SUMIF('P&amp;L monthly'!$E$5:$BL$5,H$4,'P&amp;L monthly'!$E$16:$BL$16)</f>
        <v>904181937.861997</v>
      </c>
      <c r="I16" s="41" t="n">
        <f aca="false">SUM(D16:H16)</f>
        <v>1628841540.91994</v>
      </c>
    </row>
    <row r="17" customFormat="false" ht="15" hidden="false" customHeight="false" outlineLevel="0" collapsed="false">
      <c r="A17" s="8" t="s">
        <v>75</v>
      </c>
      <c r="D17" s="19" t="n">
        <f aca="false">SUMIF('P&amp;L monthly'!$E$5:$BL$5,D$4,'P&amp;L monthly'!$E$17:$BL$17)</f>
        <v>67080801.9356248</v>
      </c>
      <c r="E17" s="19" t="n">
        <f aca="false">SUMIF('P&amp;L monthly'!$E$5:$BL$5,E$4,'P&amp;L monthly'!$E$17:$BL$17)</f>
        <v>585747907.702062</v>
      </c>
      <c r="F17" s="19" t="n">
        <f aca="false">SUMIF('P&amp;L monthly'!$E$5:$BL$5,F$4,'P&amp;L monthly'!$E$17:$BL$17)</f>
        <v>1992788730.32503</v>
      </c>
      <c r="G17" s="19" t="n">
        <f aca="false">SUMIF('P&amp;L monthly'!$E$5:$BL$5,G$4,'P&amp;L monthly'!$E$17:$BL$17)</f>
        <v>4412921209.80011</v>
      </c>
      <c r="H17" s="19" t="n">
        <f aca="false">SUMIF('P&amp;L monthly'!$E$5:$BL$5,H$4,'P&amp;L monthly'!$E$17:$BL$17)</f>
        <v>7234896742.14229</v>
      </c>
      <c r="I17" s="41" t="n">
        <f aca="false">SUM(D17:H17)</f>
        <v>14293435391.9051</v>
      </c>
    </row>
    <row r="18" customFormat="false" ht="15" hidden="false" customHeight="false" outlineLevel="0" collapsed="false">
      <c r="A18" s="12" t="s">
        <v>701</v>
      </c>
      <c r="D18" s="45" t="n">
        <f aca="false">0</f>
        <v>0</v>
      </c>
      <c r="E18" s="45" t="n">
        <f aca="false">IFERROR(E17/D17-1,0)</f>
        <v>7.73197533124582</v>
      </c>
      <c r="F18" s="45" t="n">
        <f aca="false">IFERROR(F17/E17-1,0)</f>
        <v>2.40212692887441</v>
      </c>
      <c r="G18" s="45" t="n">
        <f aca="false">IFERROR(G17/F17-1,0)</f>
        <v>1.21444508524511</v>
      </c>
      <c r="H18" s="45" t="n">
        <f aca="false">IFERROR(H17/G17-1,0)</f>
        <v>0.639480153435598</v>
      </c>
    </row>
    <row r="20" customFormat="false" ht="15" hidden="false" customHeight="false" outlineLevel="0" collapsed="false">
      <c r="A20" s="10" t="s">
        <v>702</v>
      </c>
      <c r="B20" s="11"/>
      <c r="C20" s="11"/>
      <c r="D20" s="11"/>
      <c r="E20" s="11"/>
      <c r="F20" s="11"/>
      <c r="G20" s="11"/>
      <c r="H20" s="11"/>
      <c r="I20" s="11"/>
    </row>
    <row r="21" customFormat="false" ht="15" hidden="false" customHeight="false" outlineLevel="0" collapsed="false">
      <c r="A21" s="12" t="s">
        <v>685</v>
      </c>
      <c r="D21" s="20" t="n">
        <f aca="false">SUMIF('P&amp;L monthly'!$E$5:$BL$5,D$4,'P&amp;L monthly'!$E$20:$BL$20)</f>
        <v>14811221.9646245</v>
      </c>
      <c r="E21" s="20" t="n">
        <f aca="false">SUMIF('P&amp;L monthly'!$E$5:$BL$5,E$4,'P&amp;L monthly'!$E$20:$BL$20)</f>
        <v>69630263.3549776</v>
      </c>
      <c r="F21" s="20" t="n">
        <f aca="false">SUMIF('P&amp;L monthly'!$E$5:$BL$5,F$4,'P&amp;L monthly'!$E$20:$BL$20)</f>
        <v>177659549.380479</v>
      </c>
      <c r="G21" s="20" t="n">
        <f aca="false">SUMIF('P&amp;L monthly'!$E$5:$BL$5,G$4,'P&amp;L monthly'!$E$20:$BL$20)</f>
        <v>321056279.305169</v>
      </c>
      <c r="H21" s="20" t="n">
        <f aca="false">SUMIF('P&amp;L monthly'!$E$5:$BL$5,H$4,'P&amp;L monthly'!$E$20:$BL$20)</f>
        <v>477400705.642373</v>
      </c>
      <c r="I21" s="41" t="n">
        <f aca="false">SUM(D21:H21)</f>
        <v>1060558019.64762</v>
      </c>
    </row>
    <row r="22" customFormat="false" ht="15" hidden="false" customHeight="false" outlineLevel="0" collapsed="false">
      <c r="A22" s="12" t="s">
        <v>686</v>
      </c>
      <c r="D22" s="20" t="n">
        <f aca="false">SUMIF('P&amp;L monthly'!$E$5:$BL$5,D$4,'P&amp;L monthly'!$E$21:$BL$21)</f>
        <v>27850650.3495149</v>
      </c>
      <c r="E22" s="20" t="n">
        <f aca="false">SUMIF('P&amp;L monthly'!$E$5:$BL$5,E$4,'P&amp;L monthly'!$E$21:$BL$21)</f>
        <v>173885710.412667</v>
      </c>
      <c r="F22" s="20" t="n">
        <f aca="false">SUMIF('P&amp;L monthly'!$E$5:$BL$5,F$4,'P&amp;L monthly'!$E$21:$BL$21)</f>
        <v>500227720.251081</v>
      </c>
      <c r="G22" s="20" t="n">
        <f aca="false">SUMIF('P&amp;L monthly'!$E$5:$BL$5,G$4,'P&amp;L monthly'!$E$21:$BL$21)</f>
        <v>986698331.89304</v>
      </c>
      <c r="H22" s="20" t="n">
        <f aca="false">SUMIF('P&amp;L monthly'!$E$5:$BL$5,H$4,'P&amp;L monthly'!$E$21:$BL$21)</f>
        <v>1572988820.1107</v>
      </c>
      <c r="I22" s="41" t="n">
        <f aca="false">SUM(D22:H22)</f>
        <v>3261651233.017</v>
      </c>
    </row>
    <row r="23" customFormat="false" ht="15" hidden="false" customHeight="false" outlineLevel="0" collapsed="false">
      <c r="A23" s="12" t="s">
        <v>687</v>
      </c>
      <c r="D23" s="20" t="n">
        <f aca="false">SUMIF('P&amp;L monthly'!$E$5:$BL$5,D$4,'P&amp;L monthly'!$E$22:$BL$22)</f>
        <v>22069588.5551871</v>
      </c>
      <c r="E23" s="20" t="n">
        <f aca="false">SUMIF('P&amp;L monthly'!$E$5:$BL$5,E$4,'P&amp;L monthly'!$E$22:$BL$22)</f>
        <v>164351584.00085</v>
      </c>
      <c r="F23" s="20" t="n">
        <f aca="false">SUMIF('P&amp;L monthly'!$E$5:$BL$5,F$4,'P&amp;L monthly'!$E$22:$BL$22)</f>
        <v>571566439.788043</v>
      </c>
      <c r="G23" s="20" t="n">
        <f aca="false">SUMIF('P&amp;L monthly'!$E$5:$BL$5,G$4,'P&amp;L monthly'!$E$22:$BL$22)</f>
        <v>1165308789.94979</v>
      </c>
      <c r="H23" s="20" t="n">
        <f aca="false">SUMIF('P&amp;L monthly'!$E$5:$BL$5,H$4,'P&amp;L monthly'!$E$22:$BL$22)</f>
        <v>1889634771.67197</v>
      </c>
      <c r="I23" s="41" t="n">
        <f aca="false">SUM(D23:H23)</f>
        <v>3812931173.96584</v>
      </c>
    </row>
    <row r="24" customFormat="false" ht="15" hidden="false" customHeight="false" outlineLevel="0" collapsed="false">
      <c r="A24" s="12" t="s">
        <v>688</v>
      </c>
      <c r="D24" s="20" t="n">
        <f aca="false">SUMIF('P&amp;L monthly'!$E$5:$BL$5,D$4,'P&amp;L monthly'!$E$23:$BL$23)</f>
        <v>2165541.17216205</v>
      </c>
      <c r="E24" s="20" t="n">
        <f aca="false">SUMIF('P&amp;L monthly'!$E$5:$BL$5,E$4,'P&amp;L monthly'!$E$23:$BL$23)</f>
        <v>18041207.4774746</v>
      </c>
      <c r="F24" s="20" t="n">
        <f aca="false">SUMIF('P&amp;L monthly'!$E$5:$BL$5,F$4,'P&amp;L monthly'!$E$23:$BL$23)</f>
        <v>53539088.3500742</v>
      </c>
      <c r="G24" s="20" t="n">
        <f aca="false">SUMIF('P&amp;L monthly'!$E$5:$BL$5,G$4,'P&amp;L monthly'!$E$23:$BL$23)</f>
        <v>107615516.31033</v>
      </c>
      <c r="H24" s="20" t="n">
        <f aca="false">SUMIF('P&amp;L monthly'!$E$5:$BL$5,H$4,'P&amp;L monthly'!$E$23:$BL$23)</f>
        <v>173767938.299949</v>
      </c>
      <c r="I24" s="41" t="n">
        <f aca="false">SUM(D24:H24)</f>
        <v>355129291.60999</v>
      </c>
    </row>
    <row r="25" customFormat="false" ht="15" hidden="false" customHeight="false" outlineLevel="0" collapsed="false">
      <c r="A25" s="8" t="s">
        <v>689</v>
      </c>
      <c r="D25" s="19" t="n">
        <f aca="false">SUMIF('P&amp;L monthly'!$E$5:$BL$5,D$4,'P&amp;L monthly'!$E$24:$BL$24)</f>
        <v>66897002.0414885</v>
      </c>
      <c r="E25" s="19" t="n">
        <f aca="false">SUMIF('P&amp;L monthly'!$E$5:$BL$5,E$4,'P&amp;L monthly'!$E$24:$BL$24)</f>
        <v>425908765.245969</v>
      </c>
      <c r="F25" s="19" t="n">
        <f aca="false">SUMIF('P&amp;L monthly'!$E$5:$BL$5,F$4,'P&amp;L monthly'!$E$24:$BL$24)</f>
        <v>1302992797.76968</v>
      </c>
      <c r="G25" s="19" t="n">
        <f aca="false">SUMIF('P&amp;L monthly'!$E$5:$BL$5,G$4,'P&amp;L monthly'!$E$24:$BL$24)</f>
        <v>2580678917.45833</v>
      </c>
      <c r="H25" s="19" t="n">
        <f aca="false">SUMIF('P&amp;L monthly'!$E$5:$BL$5,H$4,'P&amp;L monthly'!$E$24:$BL$24)</f>
        <v>4113792235.72499</v>
      </c>
      <c r="I25" s="41" t="n">
        <f aca="false">SUM(D25:H25)</f>
        <v>8490269718.24045</v>
      </c>
    </row>
    <row r="26" customFormat="false" ht="15" hidden="false" customHeight="false" outlineLevel="0" collapsed="false">
      <c r="A26" s="8" t="s">
        <v>76</v>
      </c>
      <c r="D26" s="41" t="n">
        <f aca="false">D17-D25</f>
        <v>183799.894136272</v>
      </c>
      <c r="E26" s="41" t="n">
        <f aca="false">E17-E25</f>
        <v>159839142.456093</v>
      </c>
      <c r="F26" s="41" t="n">
        <f aca="false">F17-F25</f>
        <v>689795932.555354</v>
      </c>
      <c r="G26" s="41" t="n">
        <f aca="false">G17-G25</f>
        <v>1832242292.34178</v>
      </c>
      <c r="H26" s="41" t="n">
        <f aca="false">H17-H25</f>
        <v>3121104506.4173</v>
      </c>
      <c r="I26" s="41" t="n">
        <f aca="false">SUM(D26:H26)</f>
        <v>5803165673.66466</v>
      </c>
    </row>
    <row r="27" customFormat="false" ht="15" hidden="false" customHeight="false" outlineLevel="0" collapsed="false">
      <c r="A27" s="12" t="s">
        <v>77</v>
      </c>
      <c r="D27" s="45" t="n">
        <f aca="false">IFERROR(D26/D17,0)</f>
        <v>0.00273997759169097</v>
      </c>
      <c r="E27" s="45" t="n">
        <f aca="false">IFERROR(E26/E17,0)</f>
        <v>0.272880432613333</v>
      </c>
      <c r="F27" s="45" t="n">
        <f aca="false">IFERROR(F26/F17,0)</f>
        <v>0.346146042507399</v>
      </c>
      <c r="G27" s="45" t="n">
        <f aca="false">IFERROR(G26/G17,0)</f>
        <v>0.415199412188186</v>
      </c>
      <c r="H27" s="45" t="n">
        <f aca="false">IFERROR(H26/H17,0)</f>
        <v>0.431395860598436</v>
      </c>
      <c r="I27" s="48" t="n">
        <f aca="false">IFERROR(I26/I17,0)</f>
        <v>0.40600216214999</v>
      </c>
    </row>
    <row r="29" customFormat="false" ht="15" hidden="false" customHeight="false" outlineLevel="0" collapsed="false">
      <c r="A29" s="10" t="s">
        <v>690</v>
      </c>
      <c r="B29" s="11"/>
      <c r="C29" s="11"/>
      <c r="D29" s="11"/>
      <c r="E29" s="11"/>
      <c r="F29" s="11"/>
      <c r="G29" s="11"/>
      <c r="H29" s="11"/>
      <c r="I29" s="11"/>
    </row>
    <row r="30" customFormat="false" ht="15" hidden="false" customHeight="false" outlineLevel="0" collapsed="false">
      <c r="A30" s="12" t="s">
        <v>18</v>
      </c>
      <c r="D30" s="20" t="n">
        <f aca="false">SUMIF('P&amp;L monthly'!$E$5:$BL$5,D$4,'P&amp;L monthly'!$E$29:$BL$29)</f>
        <v>268743813.333333</v>
      </c>
      <c r="E30" s="20" t="n">
        <f aca="false">SUMIF('P&amp;L monthly'!$E$5:$BL$5,E$4,'P&amp;L monthly'!$E$29:$BL$29)</f>
        <v>481936765.8</v>
      </c>
      <c r="F30" s="20" t="n">
        <f aca="false">SUMIF('P&amp;L monthly'!$E$5:$BL$5,F$4,'P&amp;L monthly'!$E$29:$BL$29)</f>
        <v>719267886.54</v>
      </c>
      <c r="G30" s="20" t="n">
        <f aca="false">SUMIF('P&amp;L monthly'!$E$5:$BL$5,G$4,'P&amp;L monthly'!$E$29:$BL$29)</f>
        <v>912004878.393</v>
      </c>
      <c r="H30" s="20" t="n">
        <f aca="false">SUMIF('P&amp;L monthly'!$E$5:$BL$5,H$4,'P&amp;L monthly'!$E$29:$BL$29)</f>
        <v>1127638508.9697</v>
      </c>
      <c r="I30" s="41" t="n">
        <f aca="false">SUM(D30:H30)</f>
        <v>3509591853.03603</v>
      </c>
    </row>
    <row r="31" customFormat="false" ht="15" hidden="false" customHeight="false" outlineLevel="0" collapsed="false">
      <c r="A31" s="12" t="s">
        <v>360</v>
      </c>
      <c r="D31" s="20" t="n">
        <f aca="false">SUMIF('P&amp;L monthly'!$E$5:$BL$5,D$4,'P&amp;L monthly'!$E$30:$BL$30)</f>
        <v>28530000</v>
      </c>
      <c r="E31" s="20" t="n">
        <f aca="false">SUMIF('P&amp;L monthly'!$E$5:$BL$5,E$4,'P&amp;L monthly'!$E$30:$BL$30)</f>
        <v>67035000</v>
      </c>
      <c r="F31" s="20" t="n">
        <f aca="false">SUMIF('P&amp;L monthly'!$E$5:$BL$5,F$4,'P&amp;L monthly'!$E$30:$BL$30)</f>
        <v>112350000</v>
      </c>
      <c r="G31" s="20" t="n">
        <f aca="false">SUMIF('P&amp;L monthly'!$E$5:$BL$5,G$4,'P&amp;L monthly'!$E$30:$BL$30)</f>
        <v>141960000</v>
      </c>
      <c r="H31" s="20" t="n">
        <f aca="false">SUMIF('P&amp;L monthly'!$E$5:$BL$5,H$4,'P&amp;L monthly'!$E$30:$BL$30)</f>
        <v>172860000</v>
      </c>
      <c r="I31" s="41" t="n">
        <f aca="false">SUM(D31:H31)</f>
        <v>522735000</v>
      </c>
    </row>
    <row r="32" customFormat="false" ht="15" hidden="false" customHeight="false" outlineLevel="0" collapsed="false">
      <c r="A32" s="12" t="s">
        <v>378</v>
      </c>
      <c r="D32" s="20" t="n">
        <f aca="false">SUMIF('P&amp;L monthly'!$E$5:$BL$5,D$4,'P&amp;L monthly'!$E$31:$BL$31)</f>
        <v>130854218.288714</v>
      </c>
      <c r="E32" s="20" t="n">
        <f aca="false">SUMIF('P&amp;L monthly'!$E$5:$BL$5,E$4,'P&amp;L monthly'!$E$31:$BL$31)</f>
        <v>144576796.018704</v>
      </c>
      <c r="F32" s="20" t="n">
        <f aca="false">SUMIF('P&amp;L monthly'!$E$5:$BL$5,F$4,'P&amp;L monthly'!$E$31:$BL$31)</f>
        <v>187308000</v>
      </c>
      <c r="G32" s="20" t="n">
        <f aca="false">SUMIF('P&amp;L monthly'!$E$5:$BL$5,G$4,'P&amp;L monthly'!$E$31:$BL$31)</f>
        <v>227536800</v>
      </c>
      <c r="H32" s="20" t="n">
        <f aca="false">SUMIF('P&amp;L monthly'!$E$5:$BL$5,H$4,'P&amp;L monthly'!$E$31:$BL$31)</f>
        <v>267904800</v>
      </c>
      <c r="I32" s="41" t="n">
        <f aca="false">SUM(D32:H32)</f>
        <v>958180614.307418</v>
      </c>
    </row>
    <row r="33" customFormat="false" ht="15" hidden="false" customHeight="false" outlineLevel="0" collapsed="false">
      <c r="A33" s="12" t="s">
        <v>393</v>
      </c>
      <c r="D33" s="20" t="n">
        <f aca="false">SUMIF('P&amp;L monthly'!$E$5:$BL$5,D$4,'P&amp;L monthly'!$E$32:$BL$32)</f>
        <v>32000000</v>
      </c>
      <c r="E33" s="20" t="n">
        <f aca="false">SUMIF('P&amp;L monthly'!$E$5:$BL$5,E$4,'P&amp;L monthly'!$E$32:$BL$32)</f>
        <v>45000000</v>
      </c>
      <c r="F33" s="20" t="n">
        <f aca="false">SUMIF('P&amp;L monthly'!$E$5:$BL$5,F$4,'P&amp;L monthly'!$E$32:$BL$32)</f>
        <v>51000000</v>
      </c>
      <c r="G33" s="20" t="n">
        <f aca="false">SUMIF('P&amp;L monthly'!$E$5:$BL$5,G$4,'P&amp;L monthly'!$E$32:$BL$32)</f>
        <v>51000000</v>
      </c>
      <c r="H33" s="20" t="n">
        <f aca="false">SUMIF('P&amp;L monthly'!$E$5:$BL$5,H$4,'P&amp;L monthly'!$E$32:$BL$32)</f>
        <v>51000000</v>
      </c>
      <c r="I33" s="41" t="n">
        <f aca="false">SUM(D33:H33)</f>
        <v>230000000</v>
      </c>
    </row>
    <row r="34" customFormat="false" ht="15" hidden="false" customHeight="false" outlineLevel="0" collapsed="false">
      <c r="A34" s="12" t="s">
        <v>403</v>
      </c>
      <c r="D34" s="20" t="n">
        <f aca="false">SUMIF('P&amp;L monthly'!$E$5:$BL$5,D$4,'P&amp;L monthly'!$E$33:$BL$33)</f>
        <v>78200000</v>
      </c>
      <c r="E34" s="20" t="n">
        <f aca="false">SUMIF('P&amp;L monthly'!$E$5:$BL$5,E$4,'P&amp;L monthly'!$E$33:$BL$33)</f>
        <v>148700000</v>
      </c>
      <c r="F34" s="20" t="n">
        <f aca="false">SUMIF('P&amp;L monthly'!$E$5:$BL$5,F$4,'P&amp;L monthly'!$E$33:$BL$33)</f>
        <v>112400000</v>
      </c>
      <c r="G34" s="20" t="n">
        <f aca="false">SUMIF('P&amp;L monthly'!$E$5:$BL$5,G$4,'P&amp;L monthly'!$E$33:$BL$33)</f>
        <v>112400000</v>
      </c>
      <c r="H34" s="20" t="n">
        <f aca="false">SUMIF('P&amp;L monthly'!$E$5:$BL$5,H$4,'P&amp;L monthly'!$E$33:$BL$33)</f>
        <v>132400000</v>
      </c>
      <c r="I34" s="41" t="n">
        <f aca="false">SUM(D34:H34)</f>
        <v>584100000</v>
      </c>
    </row>
    <row r="35" customFormat="false" ht="15" hidden="false" customHeight="false" outlineLevel="0" collapsed="false">
      <c r="A35" s="12" t="s">
        <v>418</v>
      </c>
      <c r="D35" s="20" t="n">
        <f aca="false">SUMIF('P&amp;L monthly'!$E$5:$BL$5,D$4,'P&amp;L monthly'!$E$34:$BL$34)</f>
        <v>41444366.9772118</v>
      </c>
      <c r="E35" s="20" t="n">
        <f aca="false">SUMIF('P&amp;L monthly'!$E$5:$BL$5,E$4,'P&amp;L monthly'!$E$34:$BL$34)</f>
        <v>78768328.604315</v>
      </c>
      <c r="F35" s="20" t="n">
        <f aca="false">SUMIF('P&amp;L monthly'!$E$5:$BL$5,F$4,'P&amp;L monthly'!$E$34:$BL$34)</f>
        <v>144945596.808611</v>
      </c>
      <c r="G35" s="20" t="n">
        <f aca="false">SUMIF('P&amp;L monthly'!$E$5:$BL$5,G$4,'P&amp;L monthly'!$E$34:$BL$34)</f>
        <v>186730652.208192</v>
      </c>
      <c r="H35" s="20" t="n">
        <f aca="false">SUMIF('P&amp;L monthly'!$E$5:$BL$5,H$4,'P&amp;L monthly'!$E$34:$BL$34)</f>
        <v>220295566.910532</v>
      </c>
      <c r="I35" s="41" t="n">
        <f aca="false">SUM(D35:H35)</f>
        <v>672184511.508861</v>
      </c>
    </row>
    <row r="36" customFormat="false" ht="15" hidden="false" customHeight="false" outlineLevel="0" collapsed="false">
      <c r="A36" s="12" t="s">
        <v>424</v>
      </c>
      <c r="D36" s="20" t="n">
        <f aca="false">SUMIF('P&amp;L monthly'!$E$5:$BL$5,D$4,'P&amp;L monthly'!$E$35:$BL$35)</f>
        <v>22150000</v>
      </c>
      <c r="E36" s="20" t="n">
        <f aca="false">SUMIF('P&amp;L monthly'!$E$5:$BL$5,E$4,'P&amp;L monthly'!$E$35:$BL$35)</f>
        <v>40200000</v>
      </c>
      <c r="F36" s="20" t="n">
        <f aca="false">SUMIF('P&amp;L monthly'!$E$5:$BL$5,F$4,'P&amp;L monthly'!$E$35:$BL$35)</f>
        <v>27600000</v>
      </c>
      <c r="G36" s="20" t="n">
        <f aca="false">SUMIF('P&amp;L monthly'!$E$5:$BL$5,G$4,'P&amp;L monthly'!$E$35:$BL$35)</f>
        <v>33100000</v>
      </c>
      <c r="H36" s="20" t="n">
        <f aca="false">SUMIF('P&amp;L monthly'!$E$5:$BL$5,H$4,'P&amp;L monthly'!$E$35:$BL$35)</f>
        <v>37600000</v>
      </c>
      <c r="I36" s="41" t="n">
        <f aca="false">SUM(D36:H36)</f>
        <v>160650000</v>
      </c>
    </row>
    <row r="37" customFormat="false" ht="15" hidden="false" customHeight="false" outlineLevel="0" collapsed="false">
      <c r="A37" s="12" t="s">
        <v>672</v>
      </c>
      <c r="D37" s="20" t="n">
        <f aca="false">SUMIF('P&amp;L monthly'!$E$5:$BL$5,D$4,'P&amp;L monthly'!$E$36:$BL$36)</f>
        <v>30096119.929963</v>
      </c>
      <c r="E37" s="20" t="n">
        <f aca="false">SUMIF('P&amp;L monthly'!$E$5:$BL$5,E$4,'P&amp;L monthly'!$E$36:$BL$36)</f>
        <v>50310844.521151</v>
      </c>
      <c r="F37" s="20" t="n">
        <f aca="false">SUMIF('P&amp;L monthly'!$E$5:$BL$5,F$4,'P&amp;L monthly'!$E$36:$BL$36)</f>
        <v>67743574.1674306</v>
      </c>
      <c r="G37" s="20" t="n">
        <f aca="false">SUMIF('P&amp;L monthly'!$E$5:$BL$5,G$4,'P&amp;L monthly'!$E$36:$BL$36)</f>
        <v>83236616.5300596</v>
      </c>
      <c r="H37" s="20" t="n">
        <f aca="false">SUMIF('P&amp;L monthly'!$E$5:$BL$5,H$4,'P&amp;L monthly'!$E$36:$BL$36)</f>
        <v>100484943.794012</v>
      </c>
      <c r="I37" s="41" t="n">
        <f aca="false">SUM(D37:H37)</f>
        <v>331872098.942616</v>
      </c>
    </row>
    <row r="38" customFormat="false" ht="15" hidden="false" customHeight="false" outlineLevel="0" collapsed="false">
      <c r="A38" s="8" t="s">
        <v>78</v>
      </c>
      <c r="D38" s="19" t="n">
        <f aca="false">SUMIF('P&amp;L monthly'!$E$5:$BL$5,D$4,'P&amp;L monthly'!$E$37:$BL$37)</f>
        <v>632018518.529222</v>
      </c>
      <c r="E38" s="19" t="n">
        <f aca="false">SUMIF('P&amp;L monthly'!$E$5:$BL$5,E$4,'P&amp;L monthly'!$E$37:$BL$37)</f>
        <v>1056527734.94417</v>
      </c>
      <c r="F38" s="19" t="n">
        <f aca="false">SUMIF('P&amp;L monthly'!$E$5:$BL$5,F$4,'P&amp;L monthly'!$E$37:$BL$37)</f>
        <v>1422615057.51604</v>
      </c>
      <c r="G38" s="19" t="n">
        <f aca="false">SUMIF('P&amp;L monthly'!$E$5:$BL$5,G$4,'P&amp;L monthly'!$E$37:$BL$37)</f>
        <v>1747968947.13125</v>
      </c>
      <c r="H38" s="19" t="n">
        <f aca="false">SUMIF('P&amp;L monthly'!$E$5:$BL$5,H$4,'P&amp;L monthly'!$E$37:$BL$37)</f>
        <v>2110183819.67424</v>
      </c>
      <c r="I38" s="41" t="n">
        <f aca="false">SUM(D38:H38)</f>
        <v>6969314077.79493</v>
      </c>
    </row>
    <row r="39" customFormat="false" ht="15" hidden="false" customHeight="false" outlineLevel="0" collapsed="false">
      <c r="A39" s="8" t="s">
        <v>79</v>
      </c>
      <c r="D39" s="41" t="n">
        <f aca="false">D26-D38</f>
        <v>-631834718.635086</v>
      </c>
      <c r="E39" s="41" t="n">
        <f aca="false">E26-E38</f>
        <v>-896688592.488077</v>
      </c>
      <c r="F39" s="41" t="n">
        <f aca="false">F26-F38</f>
        <v>-732819124.960688</v>
      </c>
      <c r="G39" s="41" t="n">
        <f aca="false">G26-G38</f>
        <v>84273345.2105331</v>
      </c>
      <c r="H39" s="41" t="n">
        <f aca="false">H26-H38</f>
        <v>1010920686.74305</v>
      </c>
      <c r="I39" s="41" t="n">
        <f aca="false">SUM(D39:H39)</f>
        <v>-1166148404.13027</v>
      </c>
    </row>
    <row r="40" customFormat="false" ht="15" hidden="false" customHeight="false" outlineLevel="0" collapsed="false">
      <c r="A40" s="12" t="s">
        <v>80</v>
      </c>
      <c r="D40" s="45" t="n">
        <f aca="false">IFERROR(D39/D17,0)</f>
        <v>-9.41900961830236</v>
      </c>
      <c r="E40" s="45" t="n">
        <f aca="false">IFERROR(E39/E17,0)</f>
        <v>-1.530843867639</v>
      </c>
      <c r="F40" s="45" t="n">
        <f aca="false">IFERROR(F39/F17,0)</f>
        <v>-0.367735482346472</v>
      </c>
      <c r="G40" s="45" t="n">
        <f aca="false">IFERROR(G39/G17,0)</f>
        <v>0.0190969521557242</v>
      </c>
      <c r="H40" s="45" t="n">
        <f aca="false">IFERROR(H39/H17,0)</f>
        <v>0.139728419460996</v>
      </c>
      <c r="I40" s="48" t="n">
        <f aca="false">IFERROR(I39/I17,0)</f>
        <v>-0.0815862927390218</v>
      </c>
    </row>
    <row r="41" customFormat="false" ht="15" hidden="false" customHeight="false" outlineLevel="0" collapsed="false">
      <c r="A41" s="12" t="s">
        <v>678</v>
      </c>
      <c r="D41" s="20" t="n">
        <f aca="false">SUMIF('P&amp;L monthly'!$E$5:$BL$5,D$4,'P&amp;L monthly'!$E$40:$BL$40)</f>
        <v>6708333.33333333</v>
      </c>
      <c r="E41" s="20" t="n">
        <f aca="false">SUMIF('P&amp;L monthly'!$E$5:$BL$5,E$4,'P&amp;L monthly'!$E$40:$BL$40)</f>
        <v>13050000</v>
      </c>
      <c r="F41" s="20" t="n">
        <f aca="false">SUMIF('P&amp;L monthly'!$E$5:$BL$5,F$4,'P&amp;L monthly'!$E$40:$BL$40)</f>
        <v>19600000</v>
      </c>
      <c r="G41" s="20" t="n">
        <f aca="false">SUMIF('P&amp;L monthly'!$E$5:$BL$5,G$4,'P&amp;L monthly'!$E$40:$BL$40)</f>
        <v>18458333.3333333</v>
      </c>
      <c r="H41" s="20" t="n">
        <f aca="false">SUMIF('P&amp;L monthly'!$E$5:$BL$5,H$4,'P&amp;L monthly'!$E$40:$BL$40)</f>
        <v>17783333.3333333</v>
      </c>
      <c r="I41" s="41" t="n">
        <f aca="false">SUM(D41:H41)</f>
        <v>75600000</v>
      </c>
    </row>
    <row r="42" customFormat="false" ht="15" hidden="false" customHeight="false" outlineLevel="0" collapsed="false">
      <c r="A42" s="8" t="s">
        <v>691</v>
      </c>
      <c r="D42" s="16" t="n">
        <f aca="false">D39-D41</f>
        <v>-638543051.968419</v>
      </c>
      <c r="E42" s="16" t="n">
        <f aca="false">E39-E41</f>
        <v>-909738592.488077</v>
      </c>
      <c r="F42" s="16" t="n">
        <f aca="false">F39-F41</f>
        <v>-752419124.960688</v>
      </c>
      <c r="G42" s="16" t="n">
        <f aca="false">G39-G41</f>
        <v>65815011.8771998</v>
      </c>
      <c r="H42" s="16" t="n">
        <f aca="false">H39-H41</f>
        <v>993137353.409718</v>
      </c>
      <c r="I42" s="41" t="n">
        <f aca="false">SUM(D42:H42)</f>
        <v>-1241748404.13027</v>
      </c>
    </row>
    <row r="43" customFormat="false" ht="15" hidden="false" customHeight="false" outlineLevel="0" collapsed="false">
      <c r="A43" s="12" t="s">
        <v>693</v>
      </c>
      <c r="D43" s="20" t="n">
        <f aca="false">SUMIF('P&amp;L monthly'!$E$5:$BL$5,D$4,'P&amp;L monthly'!$E$43:$BL$43)</f>
        <v>0</v>
      </c>
      <c r="E43" s="20" t="n">
        <f aca="false">SUMIF('P&amp;L monthly'!$E$5:$BL$5,E$4,'P&amp;L monthly'!$E$43:$BL$43)</f>
        <v>0</v>
      </c>
      <c r="F43" s="20" t="n">
        <f aca="false">SUMIF('P&amp;L monthly'!$E$5:$BL$5,F$4,'P&amp;L monthly'!$E$43:$BL$43)</f>
        <v>0</v>
      </c>
      <c r="G43" s="20" t="n">
        <f aca="false">SUMIF('P&amp;L monthly'!$E$5:$BL$5,G$4,'P&amp;L monthly'!$E$43:$BL$43)</f>
        <v>0</v>
      </c>
      <c r="H43" s="20" t="n">
        <f aca="false">SUMIF('P&amp;L monthly'!$E$5:$BL$5,H$4,'P&amp;L monthly'!$E$43:$BL$43)</f>
        <v>0</v>
      </c>
      <c r="I43" s="41" t="n">
        <f aca="false">SUM(D43:H43)</f>
        <v>0</v>
      </c>
    </row>
    <row r="44" customFormat="false" ht="15" hidden="false" customHeight="false" outlineLevel="0" collapsed="false">
      <c r="A44" s="8" t="s">
        <v>81</v>
      </c>
      <c r="D44" s="41" t="n">
        <f aca="false">D42-D43</f>
        <v>-638543051.968419</v>
      </c>
      <c r="E44" s="41" t="n">
        <f aca="false">E42-E43</f>
        <v>-909738592.488077</v>
      </c>
      <c r="F44" s="41" t="n">
        <f aca="false">F42-F43</f>
        <v>-752419124.960688</v>
      </c>
      <c r="G44" s="41" t="n">
        <f aca="false">G42-G43</f>
        <v>65815011.8771998</v>
      </c>
      <c r="H44" s="41" t="n">
        <f aca="false">H42-H43</f>
        <v>993137353.409718</v>
      </c>
      <c r="I44" s="41" t="n">
        <f aca="false">SUM(D44:H44)</f>
        <v>-1241748404.13027</v>
      </c>
    </row>
    <row r="46" customFormat="false" ht="15" hidden="false" customHeight="false" outlineLevel="0" collapsed="false">
      <c r="A46" s="10" t="s">
        <v>703</v>
      </c>
      <c r="B46" s="11"/>
      <c r="C46" s="11"/>
      <c r="D46" s="11"/>
      <c r="E46" s="11"/>
      <c r="F46" s="11"/>
      <c r="G46" s="11"/>
      <c r="H46" s="11"/>
      <c r="I46" s="11"/>
    </row>
    <row r="47" customFormat="false" ht="15" hidden="false" customHeight="false" outlineLevel="0" collapsed="false">
      <c r="A47" s="12" t="s">
        <v>704</v>
      </c>
      <c r="D47" s="20" t="n">
        <f aca="false">SUMIF('Cash flow'!$E$5:$BL$5,D$4,'Cash flow'!$E$20:$BL$20)</f>
        <v>-825084438.322139</v>
      </c>
      <c r="E47" s="20" t="n">
        <f aca="false">SUMIF('Cash flow'!$E$5:$BL$5,E$4,'Cash flow'!$E$20:$BL$20)</f>
        <v>-1048155988.24007</v>
      </c>
      <c r="F47" s="20" t="n">
        <f aca="false">SUMIF('Cash flow'!$E$5:$BL$5,F$4,'Cash flow'!$E$20:$BL$20)</f>
        <v>-1756291371.01644</v>
      </c>
      <c r="G47" s="20" t="n">
        <f aca="false">SUMIF('Cash flow'!$E$5:$BL$5,G$4,'Cash flow'!$E$20:$BL$20)</f>
        <v>-586688119.93123</v>
      </c>
      <c r="H47" s="20" t="n">
        <f aca="false">SUMIF('Cash flow'!$E$5:$BL$5,H$4,'Cash flow'!$E$20:$BL$20)</f>
        <v>507845434.352985</v>
      </c>
      <c r="I47" s="41" t="n">
        <f aca="false">SUM(D47:H47)</f>
        <v>-3708374483.1569</v>
      </c>
    </row>
    <row r="48" customFormat="false" ht="15" hidden="false" customHeight="false" outlineLevel="0" collapsed="false">
      <c r="A48" s="12" t="s">
        <v>705</v>
      </c>
      <c r="D48" s="20" t="n">
        <f aca="false">SUMIF('Cash flow'!$E$5:$BL$5,D$4,'Cash flow'!$E$24:$BL$24)</f>
        <v>1200000000</v>
      </c>
      <c r="E48" s="20" t="n">
        <f aca="false">SUMIF('Cash flow'!$E$5:$BL$5,E$4,'Cash flow'!$E$24:$BL$24)</f>
        <v>1800000000</v>
      </c>
      <c r="F48" s="20" t="n">
        <f aca="false">SUMIF('Cash flow'!$E$5:$BL$5,F$4,'Cash flow'!$E$24:$BL$24)</f>
        <v>2000000000</v>
      </c>
      <c r="G48" s="20" t="n">
        <f aca="false">SUMIF('Cash flow'!$E$5:$BL$5,G$4,'Cash flow'!$E$24:$BL$24)</f>
        <v>0</v>
      </c>
      <c r="H48" s="20" t="n">
        <f aca="false">SUMIF('Cash flow'!$E$5:$BL$5,H$4,'Cash flow'!$E$24:$BL$24)</f>
        <v>0</v>
      </c>
      <c r="I48" s="41" t="n">
        <f aca="false">SUM(D48:H48)</f>
        <v>5000000000</v>
      </c>
    </row>
    <row r="49" customFormat="false" ht="15" hidden="false" customHeight="false" outlineLevel="0" collapsed="false">
      <c r="A49" s="8" t="s">
        <v>706</v>
      </c>
      <c r="D49" s="19" t="n">
        <f aca="false">INDEX('Cash flow'!$E$29:$BL$29,1,D$4*12)</f>
        <v>374915561.677861</v>
      </c>
      <c r="E49" s="19" t="n">
        <f aca="false">INDEX('Cash flow'!$E$29:$BL$29,1,E$4*12)</f>
        <v>1126759573.43779</v>
      </c>
      <c r="F49" s="19" t="n">
        <f aca="false">INDEX('Cash flow'!$E$29:$BL$29,1,F$4*12)</f>
        <v>1370468202.42134</v>
      </c>
      <c r="G49" s="19" t="n">
        <f aca="false">INDEX('Cash flow'!$E$29:$BL$29,1,G$4*12)</f>
        <v>783780082.490111</v>
      </c>
      <c r="H49" s="19" t="n">
        <f aca="false">INDEX('Cash flow'!$E$29:$BL$29,1,H$4*12)</f>
        <v>1291625516.8431</v>
      </c>
    </row>
    <row r="51" customFormat="false" ht="15" hidden="false" customHeight="false" outlineLevel="0" collapsed="false">
      <c r="A51" s="10" t="s">
        <v>707</v>
      </c>
      <c r="B51" s="11"/>
      <c r="C51" s="11"/>
      <c r="D51" s="11"/>
      <c r="E51" s="11"/>
      <c r="F51" s="11"/>
      <c r="G51" s="11"/>
      <c r="H51" s="11"/>
      <c r="I51" s="11"/>
    </row>
    <row r="52" customFormat="false" ht="15" hidden="false" customHeight="false" outlineLevel="0" collapsed="false">
      <c r="A52" s="8" t="s">
        <v>615</v>
      </c>
      <c r="D52" s="19" t="n">
        <f aca="false">INDEX('Clients &amp; revenue'!$E$17:$BL$17,1,D$4*12)</f>
        <v>473.71078239814</v>
      </c>
      <c r="E52" s="19" t="n">
        <f aca="false">INDEX('Clients &amp; revenue'!$E$17:$BL$17,1,E$4*12)</f>
        <v>1924.71285058486</v>
      </c>
      <c r="F52" s="19" t="n">
        <f aca="false">INDEX('Clients &amp; revenue'!$E$17:$BL$17,1,F$4*12)</f>
        <v>4672.33293267715</v>
      </c>
      <c r="G52" s="19" t="n">
        <f aca="false">INDEX('Clients &amp; revenue'!$E$17:$BL$17,1,G$4*12)</f>
        <v>8339.4028891658</v>
      </c>
      <c r="H52" s="19" t="n">
        <f aca="false">INDEX('Clients &amp; revenue'!$E$17:$BL$17,1,H$4*12)</f>
        <v>12259.6247855522</v>
      </c>
    </row>
    <row r="53" customFormat="false" ht="15" hidden="false" customHeight="false" outlineLevel="0" collapsed="false">
      <c r="A53" s="12" t="s">
        <v>708</v>
      </c>
      <c r="D53" s="20" t="n">
        <f aca="false">INDEX('Clients &amp; revenue'!$E$19:$BL$19,1,D$4*12)</f>
        <v>473.65517013683</v>
      </c>
      <c r="E53" s="20" t="n">
        <f aca="false">INDEX('Clients &amp; revenue'!$E$19:$BL$19,1,E$4*12)</f>
        <v>1651.9571470641</v>
      </c>
      <c r="F53" s="20" t="n">
        <f aca="false">INDEX('Clients &amp; revenue'!$E$19:$BL$19,1,F$4*12)</f>
        <v>3500.43061963583</v>
      </c>
      <c r="G53" s="20" t="n">
        <f aca="false">INDEX('Clients &amp; revenue'!$E$19:$BL$19,1,G$4*12)</f>
        <v>5893.55594322978</v>
      </c>
      <c r="H53" s="20" t="n">
        <f aca="false">INDEX('Clients &amp; revenue'!$E$19:$BL$19,1,H$4*12)</f>
        <v>8227.22243366776</v>
      </c>
    </row>
    <row r="54" customFormat="false" ht="15" hidden="false" customHeight="false" outlineLevel="0" collapsed="false">
      <c r="A54" s="12" t="s">
        <v>709</v>
      </c>
      <c r="D54" s="20" t="n">
        <f aca="false">INDEX('Clients &amp; revenue'!$E$20:$BL$20,1,D$4*12)</f>
        <v>0</v>
      </c>
      <c r="E54" s="20" t="n">
        <f aca="false">INDEX('Clients &amp; revenue'!$E$20:$BL$20,1,E$4*12)</f>
        <v>271.465239895432</v>
      </c>
      <c r="F54" s="20" t="n">
        <f aca="false">INDEX('Clients &amp; revenue'!$E$20:$BL$20,1,F$4*12)</f>
        <v>1165.03118703942</v>
      </c>
      <c r="G54" s="20" t="n">
        <f aca="false">INDEX('Clients &amp; revenue'!$E$20:$BL$20,1,G$4*12)</f>
        <v>2423.92450445685</v>
      </c>
      <c r="H54" s="20" t="n">
        <f aca="false">INDEX('Clients &amp; revenue'!$E$20:$BL$20,1,H$4*12)</f>
        <v>3980.31253551417</v>
      </c>
    </row>
    <row r="55" customFormat="false" ht="15" hidden="false" customHeight="false" outlineLevel="0" collapsed="false">
      <c r="A55" s="12" t="s">
        <v>73</v>
      </c>
      <c r="D55" s="20" t="n">
        <f aca="false">SUMIF('Sales &amp; marketing'!$E$5:$BL$5,D$4,'Sales &amp; marketing'!$E$33:$BL$33)</f>
        <v>498.708012421807</v>
      </c>
      <c r="E55" s="20" t="n">
        <f aca="false">SUMIF('Sales &amp; marketing'!$E$5:$BL$5,E$4,'Sales &amp; marketing'!$E$33:$BL$33)</f>
        <v>1649.7331441726</v>
      </c>
      <c r="F55" s="20" t="n">
        <f aca="false">SUMIF('Sales &amp; marketing'!$E$5:$BL$5,F$4,'Sales &amp; marketing'!$E$33:$BL$33)</f>
        <v>3353.22387234443</v>
      </c>
      <c r="G55" s="20" t="n">
        <f aca="false">SUMIF('Sales &amp; marketing'!$E$5:$BL$5,G$4,'Sales &amp; marketing'!$E$33:$BL$33)</f>
        <v>4893.42608832767</v>
      </c>
      <c r="H55" s="20" t="n">
        <f aca="false">SUMIF('Sales &amp; marketing'!$E$5:$BL$5,H$4,'Sales &amp; marketing'!$E$33:$BL$33)</f>
        <v>5896.62267642127</v>
      </c>
      <c r="I55" s="41" t="n">
        <f aca="false">SUM(D55:H55)</f>
        <v>16291.7137936878</v>
      </c>
    </row>
    <row r="56" customFormat="false" ht="15" hidden="false" customHeight="false" outlineLevel="0" collapsed="false">
      <c r="A56" s="12" t="s">
        <v>454</v>
      </c>
      <c r="D56" s="20" t="n">
        <f aca="false">INDEX(Staff!$E$179:$BL$179,1,D$4*12)</f>
        <v>22</v>
      </c>
      <c r="E56" s="20" t="n">
        <f aca="false">INDEX(Staff!$E$179:$BL$179,1,E$4*12)</f>
        <v>46</v>
      </c>
      <c r="F56" s="20" t="n">
        <f aca="false">INDEX(Staff!$E$179:$BL$179,1,F$4*12)</f>
        <v>66</v>
      </c>
      <c r="G56" s="20" t="n">
        <f aca="false">INDEX(Staff!$E$179:$BL$179,1,G$4*12)</f>
        <v>86</v>
      </c>
      <c r="H56" s="20" t="n">
        <f aca="false">INDEX(Staff!$E$179:$BL$179,1,H$4*12)</f>
        <v>97</v>
      </c>
    </row>
    <row r="57" customFormat="false" ht="15" hidden="false" customHeight="false" outlineLevel="0" collapsed="false">
      <c r="A57" s="12" t="s">
        <v>710</v>
      </c>
      <c r="D57" s="20" t="n">
        <f aca="false">INDEX(Credit!$E$25:$BL$25,1,D$4*12)</f>
        <v>20247196.8705342</v>
      </c>
      <c r="E57" s="20" t="n">
        <f aca="false">INDEX(Credit!$E$25:$BL$25,1,E$4*12)</f>
        <v>1340921154.39051</v>
      </c>
      <c r="F57" s="20" t="n">
        <f aca="false">INDEX(Credit!$E$25:$BL$25,1,F$4*12)</f>
        <v>3895643614.94808</v>
      </c>
      <c r="G57" s="20" t="n">
        <f aca="false">INDEX(Credit!$E$25:$BL$25,1,G$4*12)</f>
        <v>6956838844.24381</v>
      </c>
      <c r="H57" s="20" t="n">
        <f aca="false">INDEX(Credit!$E$25:$BL$25,1,H$4*12)</f>
        <v>10233340526.8443</v>
      </c>
    </row>
    <row r="58" customFormat="false" ht="15" hidden="false" customHeight="false" outlineLevel="0" collapsed="false">
      <c r="A58" s="12" t="s">
        <v>590</v>
      </c>
      <c r="D58" s="20" t="n">
        <f aca="false">INDEX('Clients &amp; revenue'!$E$32:$BL$32,1,D$4*12)</f>
        <v>2169.61581426428</v>
      </c>
      <c r="E58" s="20" t="n">
        <f aca="false">INDEX('Clients &amp; revenue'!$E$32:$BL$32,1,E$4*12)</f>
        <v>8989.56699934116</v>
      </c>
      <c r="F58" s="20" t="n">
        <f aca="false">INDEX('Clients &amp; revenue'!$E$32:$BL$32,1,F$4*12)</f>
        <v>22210.787895917</v>
      </c>
      <c r="G58" s="20" t="n">
        <f aca="false">INDEX('Clients &amp; revenue'!$E$32:$BL$32,1,G$4*12)</f>
        <v>40384.5008039024</v>
      </c>
      <c r="H58" s="20" t="n">
        <f aca="false">INDEX('Clients &amp; revenue'!$E$32:$BL$32,1,H$4*12)</f>
        <v>60608.8901093955</v>
      </c>
    </row>
    <row r="60" customFormat="false" ht="15" hidden="false" customHeight="false" outlineLevel="0" collapsed="false">
      <c r="A60" s="10" t="s">
        <v>711</v>
      </c>
      <c r="B60" s="11"/>
      <c r="C60" s="11"/>
      <c r="D60" s="11"/>
      <c r="E60" s="11"/>
      <c r="F60" s="11"/>
      <c r="G60" s="11"/>
      <c r="H60" s="11"/>
      <c r="I60" s="11"/>
    </row>
    <row r="61" customFormat="false" ht="15" hidden="false" customHeight="false" outlineLevel="0" collapsed="false">
      <c r="A61" s="8" t="s">
        <v>712</v>
      </c>
      <c r="D61" s="16" t="n">
        <f aca="false">D17/FX_EUR/1000</f>
        <v>102.264023305834</v>
      </c>
      <c r="E61" s="16" t="n">
        <f aca="false">E17/FX_EUR/1000</f>
        <v>892.966928780488</v>
      </c>
      <c r="F61" s="16" t="n">
        <f aca="false">F17/FX_EUR/1000</f>
        <v>3037.98683499838</v>
      </c>
      <c r="G61" s="16" t="n">
        <f aca="false">G17/FX_EUR/1000</f>
        <v>6727.45501580151</v>
      </c>
      <c r="H61" s="16" t="n">
        <f aca="false">H17/FX_EUR/1000</f>
        <v>11029.5289815373</v>
      </c>
      <c r="I61" s="41" t="n">
        <f aca="false">SUM(D61:H61)</f>
        <v>21790.2017844235</v>
      </c>
    </row>
    <row r="62" customFormat="false" ht="15" hidden="false" customHeight="false" outlineLevel="0" collapsed="false">
      <c r="A62" s="12" t="s">
        <v>713</v>
      </c>
      <c r="D62" s="33" t="n">
        <f aca="false">D26/FX_EUR/1000</f>
        <v>0.280201132294148</v>
      </c>
      <c r="E62" s="33" t="n">
        <f aca="false">E26/FX_EUR/1000</f>
        <v>243.673201835019</v>
      </c>
      <c r="F62" s="33" t="n">
        <f aca="false">F26/FX_EUR/1000</f>
        <v>1051.58712012427</v>
      </c>
      <c r="G62" s="33" t="n">
        <f aca="false">G26/FX_EUR/1000</f>
        <v>2793.23536808325</v>
      </c>
      <c r="H62" s="33" t="n">
        <f aca="false">H26/FX_EUR/1000</f>
        <v>4758.09314698569</v>
      </c>
      <c r="I62" s="41" t="n">
        <f aca="false">SUM(D62:H62)</f>
        <v>8846.86903816052</v>
      </c>
    </row>
    <row r="63" customFormat="false" ht="15" hidden="false" customHeight="false" outlineLevel="0" collapsed="false">
      <c r="A63" s="12" t="s">
        <v>714</v>
      </c>
      <c r="D63" s="33" t="n">
        <f aca="false">D38/FX_EUR/1000</f>
        <v>963.506020256239</v>
      </c>
      <c r="E63" s="33" t="n">
        <f aca="false">E38/FX_EUR/1000</f>
        <v>1610.66614876306</v>
      </c>
      <c r="F63" s="33" t="n">
        <f aca="false">F38/FX_EUR/1000</f>
        <v>2168.76267425463</v>
      </c>
      <c r="G63" s="33" t="n">
        <f aca="false">G38/FX_EUR/1000</f>
        <v>2664.7614815167</v>
      </c>
      <c r="H63" s="33" t="n">
        <f aca="false">H38/FX_EUR/1000</f>
        <v>3216.95449499623</v>
      </c>
      <c r="I63" s="41" t="n">
        <f aca="false">SUM(D63:H63)</f>
        <v>10624.6508197869</v>
      </c>
    </row>
    <row r="64" customFormat="false" ht="15" hidden="false" customHeight="false" outlineLevel="0" collapsed="false">
      <c r="A64" s="8" t="s">
        <v>85</v>
      </c>
      <c r="D64" s="16" t="n">
        <f aca="false">D39/FX_EUR/1000</f>
        <v>-963.225819123945</v>
      </c>
      <c r="E64" s="16" t="n">
        <f aca="false">E39/FX_EUR/1000</f>
        <v>-1366.99294692804</v>
      </c>
      <c r="F64" s="16" t="n">
        <f aca="false">F39/FX_EUR/1000</f>
        <v>-1117.17555413036</v>
      </c>
      <c r="G64" s="16" t="n">
        <f aca="false">G39/FX_EUR/1000</f>
        <v>128.473886566548</v>
      </c>
      <c r="H64" s="16" t="n">
        <f aca="false">H39/FX_EUR/1000</f>
        <v>1541.13865198946</v>
      </c>
      <c r="I64" s="41" t="n">
        <f aca="false">SUM(D64:H64)</f>
        <v>-1777.78178162633</v>
      </c>
    </row>
    <row r="65" customFormat="false" ht="15" hidden="false" customHeight="false" outlineLevel="0" collapsed="false">
      <c r="A65" s="12" t="s">
        <v>86</v>
      </c>
      <c r="D65" s="33" t="n">
        <f aca="false">D44/FX_EUR/1000</f>
        <v>-973.452607363621</v>
      </c>
      <c r="E65" s="33" t="n">
        <f aca="false">E44/FX_EUR/1000</f>
        <v>-1386.88754367752</v>
      </c>
      <c r="F65" s="33" t="n">
        <f aca="false">F44/FX_EUR/1000</f>
        <v>-1147.05556150889</v>
      </c>
      <c r="G65" s="33" t="n">
        <f aca="false">G44/FX_EUR/1000</f>
        <v>100.334338801476</v>
      </c>
      <c r="H65" s="33" t="n">
        <f aca="false">H44/FX_EUR/1000</f>
        <v>1514.02813509074</v>
      </c>
      <c r="I65" s="41" t="n">
        <f aca="false">SUM(D65:H65)</f>
        <v>-1893.03323865782</v>
      </c>
    </row>
    <row r="66" customFormat="false" ht="15" hidden="false" customHeight="false" outlineLevel="0" collapsed="false">
      <c r="A66" s="12" t="s">
        <v>715</v>
      </c>
      <c r="D66" s="33" t="n">
        <f aca="false">D48/FX_EUR/1000</f>
        <v>1829.38820684892</v>
      </c>
      <c r="E66" s="33" t="n">
        <f aca="false">E48/FX_EUR/1000</f>
        <v>2744.08231027339</v>
      </c>
      <c r="F66" s="33" t="n">
        <f aca="false">F48/FX_EUR/1000</f>
        <v>3048.98034474821</v>
      </c>
      <c r="G66" s="33" t="n">
        <f aca="false">G48/FX_EUR/1000</f>
        <v>0</v>
      </c>
      <c r="H66" s="33" t="n">
        <f aca="false">H48/FX_EUR/1000</f>
        <v>0</v>
      </c>
      <c r="I66" s="41" t="n">
        <f aca="false">SUM(D66:H66)</f>
        <v>7622.45086187052</v>
      </c>
    </row>
    <row r="67" customFormat="false" ht="15" hidden="false" customHeight="false" outlineLevel="0" collapsed="false">
      <c r="A67" s="12" t="s">
        <v>716</v>
      </c>
      <c r="D67" s="33" t="n">
        <f aca="false">D49/FX_EUR/1000</f>
        <v>571.555089248016</v>
      </c>
      <c r="E67" s="33" t="n">
        <f aca="false">E49/FX_EUR/1000</f>
        <v>1717.73389633434</v>
      </c>
      <c r="F67" s="33" t="n">
        <f aca="false">F49/FX_EUR/1000</f>
        <v>2089.26530614254</v>
      </c>
      <c r="G67" s="33" t="n">
        <f aca="false">G49/FX_EUR/1000</f>
        <v>1194.86503305874</v>
      </c>
      <c r="H67" s="33" t="n">
        <f aca="false">H49/FX_EUR/1000</f>
        <v>1969.07040681492</v>
      </c>
    </row>
    <row r="68" customFormat="false" ht="15" hidden="false" customHeight="false" outlineLevel="0" collapsed="false">
      <c r="A68" s="12" t="s">
        <v>717</v>
      </c>
      <c r="D68" s="33" t="n">
        <f aca="false">D57/FX_EUR/1000</f>
        <v>30.866652647253</v>
      </c>
      <c r="E68" s="33" t="n">
        <f aca="false">E57/FX_EUR/1000</f>
        <v>2044.22112179688</v>
      </c>
      <c r="F68" s="33" t="n">
        <f aca="false">F57/FX_EUR/1000</f>
        <v>5938.87040606027</v>
      </c>
      <c r="G68" s="33" t="n">
        <f aca="false">G57/FX_EUR/1000</f>
        <v>10605.6324488401</v>
      </c>
      <c r="H68" s="33" t="n">
        <f aca="false">H57/FX_EUR/1000</f>
        <v>15600.6270637317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718</v>
      </c>
    </row>
    <row r="3" customFormat="false" ht="15" hidden="false" customHeight="false" outlineLevel="0" collapsed="false">
      <c r="A3" s="8" t="s">
        <v>515</v>
      </c>
      <c r="D3" s="8" t="s">
        <v>516</v>
      </c>
      <c r="E3" s="18" t="n">
        <v>1</v>
      </c>
      <c r="F3" s="18" t="n">
        <f aca="false">E3+1</f>
        <v>2</v>
      </c>
      <c r="G3" s="18" t="n">
        <f aca="false">F3+1</f>
        <v>3</v>
      </c>
      <c r="H3" s="18" t="n">
        <f aca="false">G3+1</f>
        <v>4</v>
      </c>
      <c r="I3" s="18" t="n">
        <f aca="false">H3+1</f>
        <v>5</v>
      </c>
      <c r="J3" s="18" t="n">
        <f aca="false">I3+1</f>
        <v>6</v>
      </c>
      <c r="K3" s="18" t="n">
        <f aca="false">J3+1</f>
        <v>7</v>
      </c>
      <c r="L3" s="18" t="n">
        <f aca="false">K3+1</f>
        <v>8</v>
      </c>
      <c r="M3" s="18" t="n">
        <f aca="false">L3+1</f>
        <v>9</v>
      </c>
      <c r="N3" s="18" t="n">
        <f aca="false">M3+1</f>
        <v>10</v>
      </c>
      <c r="O3" s="18" t="n">
        <f aca="false">N3+1</f>
        <v>11</v>
      </c>
      <c r="P3" s="18" t="n">
        <f aca="false">O3+1</f>
        <v>12</v>
      </c>
      <c r="Q3" s="18" t="n">
        <f aca="false">P3+1</f>
        <v>13</v>
      </c>
      <c r="R3" s="18" t="n">
        <f aca="false">Q3+1</f>
        <v>14</v>
      </c>
      <c r="S3" s="18" t="n">
        <f aca="false">R3+1</f>
        <v>15</v>
      </c>
      <c r="T3" s="18" t="n">
        <f aca="false">S3+1</f>
        <v>16</v>
      </c>
      <c r="U3" s="18" t="n">
        <f aca="false">T3+1</f>
        <v>17</v>
      </c>
      <c r="V3" s="18" t="n">
        <f aca="false">U3+1</f>
        <v>18</v>
      </c>
      <c r="W3" s="18" t="n">
        <f aca="false">V3+1</f>
        <v>19</v>
      </c>
      <c r="X3" s="18" t="n">
        <f aca="false">W3+1</f>
        <v>20</v>
      </c>
      <c r="Y3" s="18" t="n">
        <f aca="false">X3+1</f>
        <v>21</v>
      </c>
      <c r="Z3" s="18" t="n">
        <f aca="false">Y3+1</f>
        <v>22</v>
      </c>
      <c r="AA3" s="18" t="n">
        <f aca="false">Z3+1</f>
        <v>23</v>
      </c>
      <c r="AB3" s="18" t="n">
        <f aca="false">AA3+1</f>
        <v>24</v>
      </c>
      <c r="AC3" s="18" t="n">
        <f aca="false">AB3+1</f>
        <v>25</v>
      </c>
      <c r="AD3" s="18" t="n">
        <f aca="false">AC3+1</f>
        <v>26</v>
      </c>
      <c r="AE3" s="18" t="n">
        <f aca="false">AD3+1</f>
        <v>27</v>
      </c>
      <c r="AF3" s="18" t="n">
        <f aca="false">AE3+1</f>
        <v>28</v>
      </c>
      <c r="AG3" s="18" t="n">
        <f aca="false">AF3+1</f>
        <v>29</v>
      </c>
      <c r="AH3" s="18" t="n">
        <f aca="false">AG3+1</f>
        <v>30</v>
      </c>
      <c r="AI3" s="18" t="n">
        <f aca="false">AH3+1</f>
        <v>31</v>
      </c>
      <c r="AJ3" s="18" t="n">
        <f aca="false">AI3+1</f>
        <v>32</v>
      </c>
      <c r="AK3" s="18" t="n">
        <f aca="false">AJ3+1</f>
        <v>33</v>
      </c>
      <c r="AL3" s="18" t="n">
        <f aca="false">AK3+1</f>
        <v>34</v>
      </c>
      <c r="AM3" s="18" t="n">
        <f aca="false">AL3+1</f>
        <v>35</v>
      </c>
      <c r="AN3" s="18" t="n">
        <f aca="false">AM3+1</f>
        <v>36</v>
      </c>
      <c r="AO3" s="18" t="n">
        <f aca="false">AN3+1</f>
        <v>37</v>
      </c>
      <c r="AP3" s="18" t="n">
        <f aca="false">AO3+1</f>
        <v>38</v>
      </c>
      <c r="AQ3" s="18" t="n">
        <f aca="false">AP3+1</f>
        <v>39</v>
      </c>
      <c r="AR3" s="18" t="n">
        <f aca="false">AQ3+1</f>
        <v>40</v>
      </c>
      <c r="AS3" s="18" t="n">
        <f aca="false">AR3+1</f>
        <v>41</v>
      </c>
      <c r="AT3" s="18" t="n">
        <f aca="false">AS3+1</f>
        <v>42</v>
      </c>
      <c r="AU3" s="18" t="n">
        <f aca="false">AT3+1</f>
        <v>43</v>
      </c>
      <c r="AV3" s="18" t="n">
        <f aca="false">AU3+1</f>
        <v>44</v>
      </c>
      <c r="AW3" s="18" t="n">
        <f aca="false">AV3+1</f>
        <v>45</v>
      </c>
      <c r="AX3" s="18" t="n">
        <f aca="false">AW3+1</f>
        <v>46</v>
      </c>
      <c r="AY3" s="18" t="n">
        <f aca="false">AX3+1</f>
        <v>47</v>
      </c>
      <c r="AZ3" s="18" t="n">
        <f aca="false">AY3+1</f>
        <v>48</v>
      </c>
      <c r="BA3" s="18" t="n">
        <f aca="false">AZ3+1</f>
        <v>49</v>
      </c>
      <c r="BB3" s="18" t="n">
        <f aca="false">BA3+1</f>
        <v>50</v>
      </c>
      <c r="BC3" s="18" t="n">
        <f aca="false">BB3+1</f>
        <v>51</v>
      </c>
      <c r="BD3" s="18" t="n">
        <f aca="false">BC3+1</f>
        <v>52</v>
      </c>
      <c r="BE3" s="18" t="n">
        <f aca="false">BD3+1</f>
        <v>53</v>
      </c>
      <c r="BF3" s="18" t="n">
        <f aca="false">BE3+1</f>
        <v>54</v>
      </c>
      <c r="BG3" s="18" t="n">
        <f aca="false">BF3+1</f>
        <v>55</v>
      </c>
      <c r="BH3" s="18" t="n">
        <f aca="false">BG3+1</f>
        <v>56</v>
      </c>
      <c r="BI3" s="18" t="n">
        <f aca="false">BH3+1</f>
        <v>57</v>
      </c>
      <c r="BJ3" s="18" t="n">
        <f aca="false">BI3+1</f>
        <v>58</v>
      </c>
      <c r="BK3" s="18" t="n">
        <f aca="false">BJ3+1</f>
        <v>59</v>
      </c>
      <c r="BL3" s="18" t="n">
        <f aca="false">BK3+1</f>
        <v>60</v>
      </c>
    </row>
    <row r="4" customFormat="false" ht="15" hidden="false" customHeight="false" outlineLevel="0" collapsed="false">
      <c r="A4" s="8" t="s">
        <v>517</v>
      </c>
      <c r="E4" s="39" t="n">
        <f aca="false">DATE(YEAR(Start_Date),MONTH(Start_Date)+E3-1,1)</f>
        <v>46388</v>
      </c>
      <c r="F4" s="39" t="n">
        <f aca="false">DATE(YEAR(Start_Date),MONTH(Start_Date)+F3-1,1)</f>
        <v>46419</v>
      </c>
      <c r="G4" s="39" t="n">
        <f aca="false">DATE(YEAR(Start_Date),MONTH(Start_Date)+G3-1,1)</f>
        <v>46447</v>
      </c>
      <c r="H4" s="39" t="n">
        <f aca="false">DATE(YEAR(Start_Date),MONTH(Start_Date)+H3-1,1)</f>
        <v>46478</v>
      </c>
      <c r="I4" s="39" t="n">
        <f aca="false">DATE(YEAR(Start_Date),MONTH(Start_Date)+I3-1,1)</f>
        <v>46508</v>
      </c>
      <c r="J4" s="39" t="n">
        <f aca="false">DATE(YEAR(Start_Date),MONTH(Start_Date)+J3-1,1)</f>
        <v>46539</v>
      </c>
      <c r="K4" s="39" t="n">
        <f aca="false">DATE(YEAR(Start_Date),MONTH(Start_Date)+K3-1,1)</f>
        <v>46569</v>
      </c>
      <c r="L4" s="39" t="n">
        <f aca="false">DATE(YEAR(Start_Date),MONTH(Start_Date)+L3-1,1)</f>
        <v>46600</v>
      </c>
      <c r="M4" s="39" t="n">
        <f aca="false">DATE(YEAR(Start_Date),MONTH(Start_Date)+M3-1,1)</f>
        <v>46631</v>
      </c>
      <c r="N4" s="39" t="n">
        <f aca="false">DATE(YEAR(Start_Date),MONTH(Start_Date)+N3-1,1)</f>
        <v>46661</v>
      </c>
      <c r="O4" s="39" t="n">
        <f aca="false">DATE(YEAR(Start_Date),MONTH(Start_Date)+O3-1,1)</f>
        <v>46692</v>
      </c>
      <c r="P4" s="39" t="n">
        <f aca="false">DATE(YEAR(Start_Date),MONTH(Start_Date)+P3-1,1)</f>
        <v>46722</v>
      </c>
      <c r="Q4" s="39" t="n">
        <f aca="false">DATE(YEAR(Start_Date),MONTH(Start_Date)+Q3-1,1)</f>
        <v>46753</v>
      </c>
      <c r="R4" s="39" t="n">
        <f aca="false">DATE(YEAR(Start_Date),MONTH(Start_Date)+R3-1,1)</f>
        <v>46784</v>
      </c>
      <c r="S4" s="39" t="n">
        <f aca="false">DATE(YEAR(Start_Date),MONTH(Start_Date)+S3-1,1)</f>
        <v>46813</v>
      </c>
      <c r="T4" s="39" t="n">
        <f aca="false">DATE(YEAR(Start_Date),MONTH(Start_Date)+T3-1,1)</f>
        <v>46844</v>
      </c>
      <c r="U4" s="39" t="n">
        <f aca="false">DATE(YEAR(Start_Date),MONTH(Start_Date)+U3-1,1)</f>
        <v>46874</v>
      </c>
      <c r="V4" s="39" t="n">
        <f aca="false">DATE(YEAR(Start_Date),MONTH(Start_Date)+V3-1,1)</f>
        <v>46905</v>
      </c>
      <c r="W4" s="39" t="n">
        <f aca="false">DATE(YEAR(Start_Date),MONTH(Start_Date)+W3-1,1)</f>
        <v>46935</v>
      </c>
      <c r="X4" s="39" t="n">
        <f aca="false">DATE(YEAR(Start_Date),MONTH(Start_Date)+X3-1,1)</f>
        <v>46966</v>
      </c>
      <c r="Y4" s="39" t="n">
        <f aca="false">DATE(YEAR(Start_Date),MONTH(Start_Date)+Y3-1,1)</f>
        <v>46997</v>
      </c>
      <c r="Z4" s="39" t="n">
        <f aca="false">DATE(YEAR(Start_Date),MONTH(Start_Date)+Z3-1,1)</f>
        <v>47027</v>
      </c>
      <c r="AA4" s="39" t="n">
        <f aca="false">DATE(YEAR(Start_Date),MONTH(Start_Date)+AA3-1,1)</f>
        <v>47058</v>
      </c>
      <c r="AB4" s="39" t="n">
        <f aca="false">DATE(YEAR(Start_Date),MONTH(Start_Date)+AB3-1,1)</f>
        <v>47088</v>
      </c>
      <c r="AC4" s="39" t="n">
        <f aca="false">DATE(YEAR(Start_Date),MONTH(Start_Date)+AC3-1,1)</f>
        <v>47119</v>
      </c>
      <c r="AD4" s="39" t="n">
        <f aca="false">DATE(YEAR(Start_Date),MONTH(Start_Date)+AD3-1,1)</f>
        <v>47150</v>
      </c>
      <c r="AE4" s="39" t="n">
        <f aca="false">DATE(YEAR(Start_Date),MONTH(Start_Date)+AE3-1,1)</f>
        <v>47178</v>
      </c>
      <c r="AF4" s="39" t="n">
        <f aca="false">DATE(YEAR(Start_Date),MONTH(Start_Date)+AF3-1,1)</f>
        <v>47209</v>
      </c>
      <c r="AG4" s="39" t="n">
        <f aca="false">DATE(YEAR(Start_Date),MONTH(Start_Date)+AG3-1,1)</f>
        <v>47239</v>
      </c>
      <c r="AH4" s="39" t="n">
        <f aca="false">DATE(YEAR(Start_Date),MONTH(Start_Date)+AH3-1,1)</f>
        <v>47270</v>
      </c>
      <c r="AI4" s="39" t="n">
        <f aca="false">DATE(YEAR(Start_Date),MONTH(Start_Date)+AI3-1,1)</f>
        <v>47300</v>
      </c>
      <c r="AJ4" s="39" t="n">
        <f aca="false">DATE(YEAR(Start_Date),MONTH(Start_Date)+AJ3-1,1)</f>
        <v>47331</v>
      </c>
      <c r="AK4" s="39" t="n">
        <f aca="false">DATE(YEAR(Start_Date),MONTH(Start_Date)+AK3-1,1)</f>
        <v>47362</v>
      </c>
      <c r="AL4" s="39" t="n">
        <f aca="false">DATE(YEAR(Start_Date),MONTH(Start_Date)+AL3-1,1)</f>
        <v>47392</v>
      </c>
      <c r="AM4" s="39" t="n">
        <f aca="false">DATE(YEAR(Start_Date),MONTH(Start_Date)+AM3-1,1)</f>
        <v>47423</v>
      </c>
      <c r="AN4" s="39" t="n">
        <f aca="false">DATE(YEAR(Start_Date),MONTH(Start_Date)+AN3-1,1)</f>
        <v>47453</v>
      </c>
      <c r="AO4" s="39" t="n">
        <f aca="false">DATE(YEAR(Start_Date),MONTH(Start_Date)+AO3-1,1)</f>
        <v>47484</v>
      </c>
      <c r="AP4" s="39" t="n">
        <f aca="false">DATE(YEAR(Start_Date),MONTH(Start_Date)+AP3-1,1)</f>
        <v>47515</v>
      </c>
      <c r="AQ4" s="39" t="n">
        <f aca="false">DATE(YEAR(Start_Date),MONTH(Start_Date)+AQ3-1,1)</f>
        <v>47543</v>
      </c>
      <c r="AR4" s="39" t="n">
        <f aca="false">DATE(YEAR(Start_Date),MONTH(Start_Date)+AR3-1,1)</f>
        <v>47574</v>
      </c>
      <c r="AS4" s="39" t="n">
        <f aca="false">DATE(YEAR(Start_Date),MONTH(Start_Date)+AS3-1,1)</f>
        <v>47604</v>
      </c>
      <c r="AT4" s="39" t="n">
        <f aca="false">DATE(YEAR(Start_Date),MONTH(Start_Date)+AT3-1,1)</f>
        <v>47635</v>
      </c>
      <c r="AU4" s="39" t="n">
        <f aca="false">DATE(YEAR(Start_Date),MONTH(Start_Date)+AU3-1,1)</f>
        <v>47665</v>
      </c>
      <c r="AV4" s="39" t="n">
        <f aca="false">DATE(YEAR(Start_Date),MONTH(Start_Date)+AV3-1,1)</f>
        <v>47696</v>
      </c>
      <c r="AW4" s="39" t="n">
        <f aca="false">DATE(YEAR(Start_Date),MONTH(Start_Date)+AW3-1,1)</f>
        <v>47727</v>
      </c>
      <c r="AX4" s="39" t="n">
        <f aca="false">DATE(YEAR(Start_Date),MONTH(Start_Date)+AX3-1,1)</f>
        <v>47757</v>
      </c>
      <c r="AY4" s="39" t="n">
        <f aca="false">DATE(YEAR(Start_Date),MONTH(Start_Date)+AY3-1,1)</f>
        <v>47788</v>
      </c>
      <c r="AZ4" s="39" t="n">
        <f aca="false">DATE(YEAR(Start_Date),MONTH(Start_Date)+AZ3-1,1)</f>
        <v>47818</v>
      </c>
      <c r="BA4" s="39" t="n">
        <f aca="false">DATE(YEAR(Start_Date),MONTH(Start_Date)+BA3-1,1)</f>
        <v>47849</v>
      </c>
      <c r="BB4" s="39" t="n">
        <f aca="false">DATE(YEAR(Start_Date),MONTH(Start_Date)+BB3-1,1)</f>
        <v>47880</v>
      </c>
      <c r="BC4" s="39" t="n">
        <f aca="false">DATE(YEAR(Start_Date),MONTH(Start_Date)+BC3-1,1)</f>
        <v>47908</v>
      </c>
      <c r="BD4" s="39" t="n">
        <f aca="false">DATE(YEAR(Start_Date),MONTH(Start_Date)+BD3-1,1)</f>
        <v>47939</v>
      </c>
      <c r="BE4" s="39" t="n">
        <f aca="false">DATE(YEAR(Start_Date),MONTH(Start_Date)+BE3-1,1)</f>
        <v>47969</v>
      </c>
      <c r="BF4" s="39" t="n">
        <f aca="false">DATE(YEAR(Start_Date),MONTH(Start_Date)+BF3-1,1)</f>
        <v>48000</v>
      </c>
      <c r="BG4" s="39" t="n">
        <f aca="false">DATE(YEAR(Start_Date),MONTH(Start_Date)+BG3-1,1)</f>
        <v>48030</v>
      </c>
      <c r="BH4" s="39" t="n">
        <f aca="false">DATE(YEAR(Start_Date),MONTH(Start_Date)+BH3-1,1)</f>
        <v>48061</v>
      </c>
      <c r="BI4" s="39" t="n">
        <f aca="false">DATE(YEAR(Start_Date),MONTH(Start_Date)+BI3-1,1)</f>
        <v>48092</v>
      </c>
      <c r="BJ4" s="39" t="n">
        <f aca="false">DATE(YEAR(Start_Date),MONTH(Start_Date)+BJ3-1,1)</f>
        <v>48122</v>
      </c>
      <c r="BK4" s="39" t="n">
        <f aca="false">DATE(YEAR(Start_Date),MONTH(Start_Date)+BK3-1,1)</f>
        <v>48153</v>
      </c>
      <c r="BL4" s="39" t="n">
        <f aca="false">DATE(YEAR(Start_Date),MONTH(Start_Date)+BL3-1,1)</f>
        <v>48183</v>
      </c>
    </row>
    <row r="5" customFormat="false" ht="15" hidden="false" customHeight="false" outlineLevel="0" collapsed="false">
      <c r="A5" s="8" t="s">
        <v>71</v>
      </c>
      <c r="E5" s="40" t="n">
        <f aca="false">INT((E3-1)/12)+1</f>
        <v>1</v>
      </c>
      <c r="F5" s="40" t="n">
        <f aca="false">INT((F3-1)/12)+1</f>
        <v>1</v>
      </c>
      <c r="G5" s="40" t="n">
        <f aca="false">INT((G3-1)/12)+1</f>
        <v>1</v>
      </c>
      <c r="H5" s="40" t="n">
        <f aca="false">INT((H3-1)/12)+1</f>
        <v>1</v>
      </c>
      <c r="I5" s="40" t="n">
        <f aca="false">INT((I3-1)/12)+1</f>
        <v>1</v>
      </c>
      <c r="J5" s="40" t="n">
        <f aca="false">INT((J3-1)/12)+1</f>
        <v>1</v>
      </c>
      <c r="K5" s="40" t="n">
        <f aca="false">INT((K3-1)/12)+1</f>
        <v>1</v>
      </c>
      <c r="L5" s="40" t="n">
        <f aca="false">INT((L3-1)/12)+1</f>
        <v>1</v>
      </c>
      <c r="M5" s="40" t="n">
        <f aca="false">INT((M3-1)/12)+1</f>
        <v>1</v>
      </c>
      <c r="N5" s="40" t="n">
        <f aca="false">INT((N3-1)/12)+1</f>
        <v>1</v>
      </c>
      <c r="O5" s="40" t="n">
        <f aca="false">INT((O3-1)/12)+1</f>
        <v>1</v>
      </c>
      <c r="P5" s="40" t="n">
        <f aca="false">INT((P3-1)/12)+1</f>
        <v>1</v>
      </c>
      <c r="Q5" s="40" t="n">
        <f aca="false">INT((Q3-1)/12)+1</f>
        <v>2</v>
      </c>
      <c r="R5" s="40" t="n">
        <f aca="false">INT((R3-1)/12)+1</f>
        <v>2</v>
      </c>
      <c r="S5" s="40" t="n">
        <f aca="false">INT((S3-1)/12)+1</f>
        <v>2</v>
      </c>
      <c r="T5" s="40" t="n">
        <f aca="false">INT((T3-1)/12)+1</f>
        <v>2</v>
      </c>
      <c r="U5" s="40" t="n">
        <f aca="false">INT((U3-1)/12)+1</f>
        <v>2</v>
      </c>
      <c r="V5" s="40" t="n">
        <f aca="false">INT((V3-1)/12)+1</f>
        <v>2</v>
      </c>
      <c r="W5" s="40" t="n">
        <f aca="false">INT((W3-1)/12)+1</f>
        <v>2</v>
      </c>
      <c r="X5" s="40" t="n">
        <f aca="false">INT((X3-1)/12)+1</f>
        <v>2</v>
      </c>
      <c r="Y5" s="40" t="n">
        <f aca="false">INT((Y3-1)/12)+1</f>
        <v>2</v>
      </c>
      <c r="Z5" s="40" t="n">
        <f aca="false">INT((Z3-1)/12)+1</f>
        <v>2</v>
      </c>
      <c r="AA5" s="40" t="n">
        <f aca="false">INT((AA3-1)/12)+1</f>
        <v>2</v>
      </c>
      <c r="AB5" s="40" t="n">
        <f aca="false">INT((AB3-1)/12)+1</f>
        <v>2</v>
      </c>
      <c r="AC5" s="40" t="n">
        <f aca="false">INT((AC3-1)/12)+1</f>
        <v>3</v>
      </c>
      <c r="AD5" s="40" t="n">
        <f aca="false">INT((AD3-1)/12)+1</f>
        <v>3</v>
      </c>
      <c r="AE5" s="40" t="n">
        <f aca="false">INT((AE3-1)/12)+1</f>
        <v>3</v>
      </c>
      <c r="AF5" s="40" t="n">
        <f aca="false">INT((AF3-1)/12)+1</f>
        <v>3</v>
      </c>
      <c r="AG5" s="40" t="n">
        <f aca="false">INT((AG3-1)/12)+1</f>
        <v>3</v>
      </c>
      <c r="AH5" s="40" t="n">
        <f aca="false">INT((AH3-1)/12)+1</f>
        <v>3</v>
      </c>
      <c r="AI5" s="40" t="n">
        <f aca="false">INT((AI3-1)/12)+1</f>
        <v>3</v>
      </c>
      <c r="AJ5" s="40" t="n">
        <f aca="false">INT((AJ3-1)/12)+1</f>
        <v>3</v>
      </c>
      <c r="AK5" s="40" t="n">
        <f aca="false">INT((AK3-1)/12)+1</f>
        <v>3</v>
      </c>
      <c r="AL5" s="40" t="n">
        <f aca="false">INT((AL3-1)/12)+1</f>
        <v>3</v>
      </c>
      <c r="AM5" s="40" t="n">
        <f aca="false">INT((AM3-1)/12)+1</f>
        <v>3</v>
      </c>
      <c r="AN5" s="40" t="n">
        <f aca="false">INT((AN3-1)/12)+1</f>
        <v>3</v>
      </c>
      <c r="AO5" s="40" t="n">
        <f aca="false">INT((AO3-1)/12)+1</f>
        <v>4</v>
      </c>
      <c r="AP5" s="40" t="n">
        <f aca="false">INT((AP3-1)/12)+1</f>
        <v>4</v>
      </c>
      <c r="AQ5" s="40" t="n">
        <f aca="false">INT((AQ3-1)/12)+1</f>
        <v>4</v>
      </c>
      <c r="AR5" s="40" t="n">
        <f aca="false">INT((AR3-1)/12)+1</f>
        <v>4</v>
      </c>
      <c r="AS5" s="40" t="n">
        <f aca="false">INT((AS3-1)/12)+1</f>
        <v>4</v>
      </c>
      <c r="AT5" s="40" t="n">
        <f aca="false">INT((AT3-1)/12)+1</f>
        <v>4</v>
      </c>
      <c r="AU5" s="40" t="n">
        <f aca="false">INT((AU3-1)/12)+1</f>
        <v>4</v>
      </c>
      <c r="AV5" s="40" t="n">
        <f aca="false">INT((AV3-1)/12)+1</f>
        <v>4</v>
      </c>
      <c r="AW5" s="40" t="n">
        <f aca="false">INT((AW3-1)/12)+1</f>
        <v>4</v>
      </c>
      <c r="AX5" s="40" t="n">
        <f aca="false">INT((AX3-1)/12)+1</f>
        <v>4</v>
      </c>
      <c r="AY5" s="40" t="n">
        <f aca="false">INT((AY3-1)/12)+1</f>
        <v>4</v>
      </c>
      <c r="AZ5" s="40" t="n">
        <f aca="false">INT((AZ3-1)/12)+1</f>
        <v>4</v>
      </c>
      <c r="BA5" s="40" t="n">
        <f aca="false">INT((BA3-1)/12)+1</f>
        <v>5</v>
      </c>
      <c r="BB5" s="40" t="n">
        <f aca="false">INT((BB3-1)/12)+1</f>
        <v>5</v>
      </c>
      <c r="BC5" s="40" t="n">
        <f aca="false">INT((BC3-1)/12)+1</f>
        <v>5</v>
      </c>
      <c r="BD5" s="40" t="n">
        <f aca="false">INT((BD3-1)/12)+1</f>
        <v>5</v>
      </c>
      <c r="BE5" s="40" t="n">
        <f aca="false">INT((BE3-1)/12)+1</f>
        <v>5</v>
      </c>
      <c r="BF5" s="40" t="n">
        <f aca="false">INT((BF3-1)/12)+1</f>
        <v>5</v>
      </c>
      <c r="BG5" s="40" t="n">
        <f aca="false">INT((BG3-1)/12)+1</f>
        <v>5</v>
      </c>
      <c r="BH5" s="40" t="n">
        <f aca="false">INT((BH3-1)/12)+1</f>
        <v>5</v>
      </c>
      <c r="BI5" s="40" t="n">
        <f aca="false">INT((BI3-1)/12)+1</f>
        <v>5</v>
      </c>
      <c r="BJ5" s="40" t="n">
        <f aca="false">INT((BJ3-1)/12)+1</f>
        <v>5</v>
      </c>
      <c r="BK5" s="40" t="n">
        <f aca="false">INT((BK3-1)/12)+1</f>
        <v>5</v>
      </c>
      <c r="BL5" s="40" t="n">
        <f aca="false">INT((BL3-1)/12)+1</f>
        <v>5</v>
      </c>
    </row>
    <row r="8" customFormat="false" ht="15" hidden="false" customHeight="false" outlineLevel="0" collapsed="false">
      <c r="A8" s="10" t="s">
        <v>719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81</v>
      </c>
      <c r="B9" s="14" t="s">
        <v>63</v>
      </c>
      <c r="D9" s="41" t="n">
        <f aca="false">SUM(E9:BL9)</f>
        <v>-1241748404.13027</v>
      </c>
      <c r="E9" s="20" t="n">
        <f aca="false">'P&amp;L monthly'!E44</f>
        <v>-35272368.1333333</v>
      </c>
      <c r="F9" s="20" t="n">
        <f aca="false">'P&amp;L monthly'!F44</f>
        <v>-52452823.4</v>
      </c>
      <c r="G9" s="20" t="n">
        <f aca="false">'P&amp;L monthly'!G44</f>
        <v>-70188185.1333333</v>
      </c>
      <c r="H9" s="20" t="n">
        <f aca="false">'P&amp;L monthly'!H44</f>
        <v>-45845019.3777778</v>
      </c>
      <c r="I9" s="20" t="n">
        <f aca="false">'P&amp;L monthly'!I44</f>
        <v>-52803864.7111111</v>
      </c>
      <c r="J9" s="20" t="n">
        <f aca="false">'P&amp;L monthly'!J44</f>
        <v>-53912655.7844444</v>
      </c>
      <c r="K9" s="20" t="n">
        <f aca="false">'P&amp;L monthly'!K44</f>
        <v>-57569126.9052278</v>
      </c>
      <c r="L9" s="20" t="n">
        <f aca="false">'P&amp;L monthly'!L44</f>
        <v>-56801409.8111443</v>
      </c>
      <c r="M9" s="20" t="n">
        <f aca="false">'P&amp;L monthly'!M44</f>
        <v>-62276271.1912749</v>
      </c>
      <c r="N9" s="20" t="n">
        <f aca="false">'P&amp;L monthly'!N44</f>
        <v>-52003311.437118</v>
      </c>
      <c r="O9" s="20" t="n">
        <f aca="false">'P&amp;L monthly'!O44</f>
        <v>-50488257.3390342</v>
      </c>
      <c r="P9" s="20" t="n">
        <f aca="false">'P&amp;L monthly'!P44</f>
        <v>-48929758.7446198</v>
      </c>
      <c r="Q9" s="20" t="n">
        <f aca="false">'P&amp;L monthly'!Q44</f>
        <v>-75700296.4420056</v>
      </c>
      <c r="R9" s="20" t="n">
        <f aca="false">'P&amp;L monthly'!R44</f>
        <v>-70888751.2229797</v>
      </c>
      <c r="S9" s="20" t="n">
        <f aca="false">'P&amp;L monthly'!S44</f>
        <v>-69567311.6961724</v>
      </c>
      <c r="T9" s="20" t="n">
        <f aca="false">'P&amp;L monthly'!T44</f>
        <v>-84976437.5845345</v>
      </c>
      <c r="U9" s="20" t="n">
        <f aca="false">'P&amp;L monthly'!U44</f>
        <v>-67446425.6037297</v>
      </c>
      <c r="V9" s="20" t="n">
        <f aca="false">'P&amp;L monthly'!V44</f>
        <v>-65527847.5338768</v>
      </c>
      <c r="W9" s="20" t="n">
        <f aca="false">'P&amp;L monthly'!W44</f>
        <v>-84657111.0470837</v>
      </c>
      <c r="X9" s="20" t="n">
        <f aca="false">'P&amp;L monthly'!X44</f>
        <v>-84167139.6327114</v>
      </c>
      <c r="Y9" s="20" t="n">
        <f aca="false">'P&amp;L monthly'!Y44</f>
        <v>-82023873.6480982</v>
      </c>
      <c r="Z9" s="20" t="n">
        <f aca="false">'P&amp;L monthly'!Z44</f>
        <v>-79254810.2722537</v>
      </c>
      <c r="AA9" s="20" t="n">
        <f aca="false">'P&amp;L monthly'!AA44</f>
        <v>-74904315.1206376</v>
      </c>
      <c r="AB9" s="20" t="n">
        <f aca="false">'P&amp;L monthly'!AB44</f>
        <v>-70624272.6839936</v>
      </c>
      <c r="AC9" s="20" t="n">
        <f aca="false">'P&amp;L monthly'!AC44</f>
        <v>-82174506.1650327</v>
      </c>
      <c r="AD9" s="20" t="n">
        <f aca="false">'P&amp;L monthly'!AD44</f>
        <v>-77887786.326656</v>
      </c>
      <c r="AE9" s="20" t="n">
        <f aca="false">'P&amp;L monthly'!AE44</f>
        <v>-73581643.4674581</v>
      </c>
      <c r="AF9" s="20" t="n">
        <f aca="false">'P&amp;L monthly'!AF44</f>
        <v>-68498146.6693053</v>
      </c>
      <c r="AG9" s="20" t="n">
        <f aca="false">'P&amp;L monthly'!AG44</f>
        <v>-63357357.930166</v>
      </c>
      <c r="AH9" s="20" t="n">
        <f aca="false">'P&amp;L monthly'!AH44</f>
        <v>-58495192.773514</v>
      </c>
      <c r="AI9" s="20" t="n">
        <f aca="false">'P&amp;L monthly'!AI44</f>
        <v>-66286202.7160438</v>
      </c>
      <c r="AJ9" s="20" t="n">
        <f aca="false">'P&amp;L monthly'!AJ44</f>
        <v>-62924578.5668589</v>
      </c>
      <c r="AK9" s="20" t="n">
        <f aca="false">'P&amp;L monthly'!AK44</f>
        <v>-58099830.9950236</v>
      </c>
      <c r="AL9" s="20" t="n">
        <f aca="false">'P&amp;L monthly'!AL44</f>
        <v>-53290729.3388627</v>
      </c>
      <c r="AM9" s="20" t="n">
        <f aca="false">'P&amp;L monthly'!AM44</f>
        <v>-47035556.7338</v>
      </c>
      <c r="AN9" s="20" t="n">
        <f aca="false">'P&amp;L monthly'!AN44</f>
        <v>-40787593.2779666</v>
      </c>
      <c r="AO9" s="20" t="n">
        <f aca="false">'P&amp;L monthly'!AO44</f>
        <v>-29700994.005576</v>
      </c>
      <c r="AP9" s="20" t="n">
        <f aca="false">'P&amp;L monthly'!AP44</f>
        <v>-22366116.7443498</v>
      </c>
      <c r="AQ9" s="20" t="n">
        <f aca="false">'P&amp;L monthly'!AQ44</f>
        <v>-15011286.7600444</v>
      </c>
      <c r="AR9" s="20" t="n">
        <f aca="false">'P&amp;L monthly'!AR44</f>
        <v>-6830783.52131081</v>
      </c>
      <c r="AS9" s="20" t="n">
        <f aca="false">'P&amp;L monthly'!AS44</f>
        <v>963870.488441997</v>
      </c>
      <c r="AT9" s="20" t="n">
        <f aca="false">'P&amp;L monthly'!AT44</f>
        <v>8946546.04152611</v>
      </c>
      <c r="AU9" s="20" t="n">
        <f aca="false">'P&amp;L monthly'!AU44</f>
        <v>1703532.98374383</v>
      </c>
      <c r="AV9" s="20" t="n">
        <f aca="false">'P&amp;L monthly'!AV44</f>
        <v>8370341.98440839</v>
      </c>
      <c r="AW9" s="20" t="n">
        <f aca="false">'P&amp;L monthly'!AW44</f>
        <v>16645335.7602025</v>
      </c>
      <c r="AX9" s="20" t="n">
        <f aca="false">'P&amp;L monthly'!AX44</f>
        <v>24843887.0892827</v>
      </c>
      <c r="AY9" s="20" t="n">
        <f aca="false">'P&amp;L monthly'!AY44</f>
        <v>34393620.590998</v>
      </c>
      <c r="AZ9" s="20" t="n">
        <f aca="false">'P&amp;L monthly'!AZ44</f>
        <v>43857057.9698772</v>
      </c>
      <c r="BA9" s="20" t="n">
        <f aca="false">'P&amp;L monthly'!BA44</f>
        <v>30745336.446885</v>
      </c>
      <c r="BB9" s="20" t="n">
        <f aca="false">'P&amp;L monthly'!BB44</f>
        <v>40143954.0981233</v>
      </c>
      <c r="BC9" s="20" t="n">
        <f aca="false">'P&amp;L monthly'!BC44</f>
        <v>49460678.5061812</v>
      </c>
      <c r="BD9" s="20" t="n">
        <f aca="false">'P&amp;L monthly'!BD44</f>
        <v>59098935.8337706</v>
      </c>
      <c r="BE9" s="20" t="n">
        <f aca="false">'P&amp;L monthly'!BE44</f>
        <v>68646476.7031727</v>
      </c>
      <c r="BF9" s="20" t="n">
        <f aca="false">'P&amp;L monthly'!BF44</f>
        <v>78124048.4133507</v>
      </c>
      <c r="BG9" s="20" t="n">
        <f aca="false">'P&amp;L monthly'!BG44</f>
        <v>87902515.611126</v>
      </c>
      <c r="BH9" s="20" t="n">
        <f aca="false">'P&amp;L monthly'!BH44</f>
        <v>97252869.4443889</v>
      </c>
      <c r="BI9" s="20" t="n">
        <f aca="false">'P&amp;L monthly'!BI44</f>
        <v>106546237.226974</v>
      </c>
      <c r="BJ9" s="20" t="n">
        <f aca="false">'P&amp;L monthly'!BJ44</f>
        <v>115787225.979929</v>
      </c>
      <c r="BK9" s="20" t="n">
        <f aca="false">'P&amp;L monthly'!BK44</f>
        <v>125059121.207367</v>
      </c>
      <c r="BL9" s="20" t="n">
        <f aca="false">'P&amp;L monthly'!BL44</f>
        <v>134369953.93845</v>
      </c>
    </row>
    <row r="10" customFormat="false" ht="15" hidden="false" customHeight="false" outlineLevel="0" collapsed="false">
      <c r="A10" s="12" t="s">
        <v>720</v>
      </c>
      <c r="B10" s="14" t="s">
        <v>63</v>
      </c>
      <c r="D10" s="41" t="n">
        <f aca="false">SUM(E10:BL10)</f>
        <v>75600000</v>
      </c>
      <c r="E10" s="20" t="n">
        <f aca="false">'P&amp;L monthly'!E40</f>
        <v>116666.666666667</v>
      </c>
      <c r="F10" s="20" t="n">
        <f aca="false">'P&amp;L monthly'!F40</f>
        <v>133333.333333333</v>
      </c>
      <c r="G10" s="20" t="n">
        <f aca="false">'P&amp;L monthly'!G40</f>
        <v>166666.666666667</v>
      </c>
      <c r="H10" s="20" t="n">
        <f aca="false">'P&amp;L monthly'!H40</f>
        <v>636111.111111111</v>
      </c>
      <c r="I10" s="20" t="n">
        <f aca="false">'P&amp;L monthly'!I40</f>
        <v>636111.111111111</v>
      </c>
      <c r="J10" s="20" t="n">
        <f aca="false">'P&amp;L monthly'!J40</f>
        <v>652777.777777778</v>
      </c>
      <c r="K10" s="20" t="n">
        <f aca="false">'P&amp;L monthly'!K40</f>
        <v>719444.444444445</v>
      </c>
      <c r="L10" s="20" t="n">
        <f aca="false">'P&amp;L monthly'!L40</f>
        <v>719444.444444445</v>
      </c>
      <c r="M10" s="20" t="n">
        <f aca="false">'P&amp;L monthly'!M40</f>
        <v>719444.444444445</v>
      </c>
      <c r="N10" s="20" t="n">
        <f aca="false">'P&amp;L monthly'!N40</f>
        <v>736111.111111111</v>
      </c>
      <c r="O10" s="20" t="n">
        <f aca="false">'P&amp;L monthly'!O40</f>
        <v>736111.111111111</v>
      </c>
      <c r="P10" s="20" t="n">
        <f aca="false">'P&amp;L monthly'!P40</f>
        <v>736111.111111111</v>
      </c>
      <c r="Q10" s="20" t="n">
        <f aca="false">'P&amp;L monthly'!Q40</f>
        <v>891666.666666667</v>
      </c>
      <c r="R10" s="20" t="n">
        <f aca="false">'P&amp;L monthly'!R40</f>
        <v>891666.666666667</v>
      </c>
      <c r="S10" s="20" t="n">
        <f aca="false">'P&amp;L monthly'!S40</f>
        <v>891666.666666667</v>
      </c>
      <c r="T10" s="20" t="n">
        <f aca="false">'P&amp;L monthly'!T40</f>
        <v>908333.333333333</v>
      </c>
      <c r="U10" s="20" t="n">
        <f aca="false">'P&amp;L monthly'!U40</f>
        <v>908333.333333333</v>
      </c>
      <c r="V10" s="20" t="n">
        <f aca="false">'P&amp;L monthly'!V40</f>
        <v>908333.333333333</v>
      </c>
      <c r="W10" s="20" t="n">
        <f aca="false">'P&amp;L monthly'!W40</f>
        <v>1275000</v>
      </c>
      <c r="X10" s="20" t="n">
        <f aca="false">'P&amp;L monthly'!X40</f>
        <v>1275000</v>
      </c>
      <c r="Y10" s="20" t="n">
        <f aca="false">'P&amp;L monthly'!Y40</f>
        <v>1275000</v>
      </c>
      <c r="Z10" s="20" t="n">
        <f aca="false">'P&amp;L monthly'!Z40</f>
        <v>1275000</v>
      </c>
      <c r="AA10" s="20" t="n">
        <f aca="false">'P&amp;L monthly'!AA40</f>
        <v>1275000</v>
      </c>
      <c r="AB10" s="20" t="n">
        <f aca="false">'P&amp;L monthly'!AB40</f>
        <v>1275000</v>
      </c>
      <c r="AC10" s="20" t="n">
        <f aca="false">'P&amp;L monthly'!AC40</f>
        <v>1491666.66666667</v>
      </c>
      <c r="AD10" s="20" t="n">
        <f aca="false">'P&amp;L monthly'!AD40</f>
        <v>1491666.66666667</v>
      </c>
      <c r="AE10" s="20" t="n">
        <f aca="false">'P&amp;L monthly'!AE40</f>
        <v>1491666.66666667</v>
      </c>
      <c r="AF10" s="20" t="n">
        <f aca="false">'P&amp;L monthly'!AF40</f>
        <v>1491666.66666667</v>
      </c>
      <c r="AG10" s="20" t="n">
        <f aca="false">'P&amp;L monthly'!AG40</f>
        <v>1491666.66666667</v>
      </c>
      <c r="AH10" s="20" t="n">
        <f aca="false">'P&amp;L monthly'!AH40</f>
        <v>1491666.66666667</v>
      </c>
      <c r="AI10" s="20" t="n">
        <f aca="false">'P&amp;L monthly'!AI40</f>
        <v>1775000</v>
      </c>
      <c r="AJ10" s="20" t="n">
        <f aca="false">'P&amp;L monthly'!AJ40</f>
        <v>1775000</v>
      </c>
      <c r="AK10" s="20" t="n">
        <f aca="false">'P&amp;L monthly'!AK40</f>
        <v>1775000</v>
      </c>
      <c r="AL10" s="20" t="n">
        <f aca="false">'P&amp;L monthly'!AL40</f>
        <v>1775000</v>
      </c>
      <c r="AM10" s="20" t="n">
        <f aca="false">'P&amp;L monthly'!AM40</f>
        <v>1775000</v>
      </c>
      <c r="AN10" s="20" t="n">
        <f aca="false">'P&amp;L monthly'!AN40</f>
        <v>1775000</v>
      </c>
      <c r="AO10" s="20" t="n">
        <f aca="false">'P&amp;L monthly'!AO40</f>
        <v>1830555.55555556</v>
      </c>
      <c r="AP10" s="20" t="n">
        <f aca="false">'P&amp;L monthly'!AP40</f>
        <v>1813888.88888889</v>
      </c>
      <c r="AQ10" s="20" t="n">
        <f aca="false">'P&amp;L monthly'!AQ40</f>
        <v>1780555.55555556</v>
      </c>
      <c r="AR10" s="20" t="n">
        <f aca="false">'P&amp;L monthly'!AR40</f>
        <v>1311111.11111111</v>
      </c>
      <c r="AS10" s="20" t="n">
        <f aca="false">'P&amp;L monthly'!AS40</f>
        <v>1311111.11111111</v>
      </c>
      <c r="AT10" s="20" t="n">
        <f aca="false">'P&amp;L monthly'!AT40</f>
        <v>1294444.44444444</v>
      </c>
      <c r="AU10" s="20" t="n">
        <f aca="false">'P&amp;L monthly'!AU40</f>
        <v>1527777.77777778</v>
      </c>
      <c r="AV10" s="20" t="n">
        <f aca="false">'P&amp;L monthly'!AV40</f>
        <v>1527777.77777778</v>
      </c>
      <c r="AW10" s="20" t="n">
        <f aca="false">'P&amp;L monthly'!AW40</f>
        <v>1527777.77777778</v>
      </c>
      <c r="AX10" s="20" t="n">
        <f aca="false">'P&amp;L monthly'!AX40</f>
        <v>1511111.11111111</v>
      </c>
      <c r="AY10" s="20" t="n">
        <f aca="false">'P&amp;L monthly'!AY40</f>
        <v>1511111.11111111</v>
      </c>
      <c r="AZ10" s="20" t="n">
        <f aca="false">'P&amp;L monthly'!AZ40</f>
        <v>1511111.11111111</v>
      </c>
      <c r="BA10" s="20" t="n">
        <f aca="false">'P&amp;L monthly'!BA40</f>
        <v>1677777.77777778</v>
      </c>
      <c r="BB10" s="20" t="n">
        <f aca="false">'P&amp;L monthly'!BB40</f>
        <v>1677777.77777778</v>
      </c>
      <c r="BC10" s="20" t="n">
        <f aca="false">'P&amp;L monthly'!BC40</f>
        <v>1677777.77777778</v>
      </c>
      <c r="BD10" s="20" t="n">
        <f aca="false">'P&amp;L monthly'!BD40</f>
        <v>1661111.11111111</v>
      </c>
      <c r="BE10" s="20" t="n">
        <f aca="false">'P&amp;L monthly'!BE40</f>
        <v>1661111.11111111</v>
      </c>
      <c r="BF10" s="20" t="n">
        <f aca="false">'P&amp;L monthly'!BF40</f>
        <v>1661111.11111111</v>
      </c>
      <c r="BG10" s="20" t="n">
        <f aca="false">'P&amp;L monthly'!BG40</f>
        <v>1294444.44444444</v>
      </c>
      <c r="BH10" s="20" t="n">
        <f aca="false">'P&amp;L monthly'!BH40</f>
        <v>1294444.44444444</v>
      </c>
      <c r="BI10" s="20" t="n">
        <f aca="false">'P&amp;L monthly'!BI40</f>
        <v>1294444.44444444</v>
      </c>
      <c r="BJ10" s="20" t="n">
        <f aca="false">'P&amp;L monthly'!BJ40</f>
        <v>1294444.44444444</v>
      </c>
      <c r="BK10" s="20" t="n">
        <f aca="false">'P&amp;L monthly'!BK40</f>
        <v>1294444.44444444</v>
      </c>
      <c r="BL10" s="20" t="n">
        <f aca="false">'P&amp;L monthly'!BL40</f>
        <v>1294444.44444444</v>
      </c>
    </row>
    <row r="11" customFormat="false" ht="15" hidden="false" customHeight="false" outlineLevel="0" collapsed="false">
      <c r="A11" s="12" t="s">
        <v>721</v>
      </c>
      <c r="B11" s="14" t="s">
        <v>63</v>
      </c>
      <c r="D11" s="41" t="n">
        <f aca="false">SUM(E11:BL11)</f>
        <v>-92500000</v>
      </c>
      <c r="E11" s="33" t="n">
        <f aca="false">-Costs!E99</f>
        <v>-4200000</v>
      </c>
      <c r="F11" s="33" t="n">
        <f aca="false">-Costs!F99</f>
        <v>-600000</v>
      </c>
      <c r="G11" s="33" t="n">
        <f aca="false">-Costs!G99</f>
        <v>-1200000</v>
      </c>
      <c r="H11" s="33" t="n">
        <f aca="false">-Costs!H99</f>
        <v>-16900000</v>
      </c>
      <c r="I11" s="33" t="n">
        <f aca="false">-Costs!I99</f>
        <v>-0</v>
      </c>
      <c r="J11" s="33" t="n">
        <f aca="false">-Costs!J99</f>
        <v>-600000</v>
      </c>
      <c r="K11" s="33" t="n">
        <f aca="false">-Costs!K99</f>
        <v>-2400000</v>
      </c>
      <c r="L11" s="33" t="n">
        <f aca="false">-Costs!L99</f>
        <v>-0</v>
      </c>
      <c r="M11" s="33" t="n">
        <f aca="false">-Costs!M99</f>
        <v>-0</v>
      </c>
      <c r="N11" s="33" t="n">
        <f aca="false">-Costs!N99</f>
        <v>-600000</v>
      </c>
      <c r="O11" s="33" t="n">
        <f aca="false">-Costs!O99</f>
        <v>-0</v>
      </c>
      <c r="P11" s="33" t="n">
        <f aca="false">-Costs!P99</f>
        <v>-0</v>
      </c>
      <c r="Q11" s="33" t="n">
        <f aca="false">-Costs!Q99</f>
        <v>-5600000</v>
      </c>
      <c r="R11" s="33" t="n">
        <f aca="false">-Costs!R99</f>
        <v>-0</v>
      </c>
      <c r="S11" s="33" t="n">
        <f aca="false">-Costs!S99</f>
        <v>-0</v>
      </c>
      <c r="T11" s="33" t="n">
        <f aca="false">-Costs!T99</f>
        <v>-600000</v>
      </c>
      <c r="U11" s="33" t="n">
        <f aca="false">-Costs!U99</f>
        <v>-0</v>
      </c>
      <c r="V11" s="33" t="n">
        <f aca="false">-Costs!V99</f>
        <v>-0</v>
      </c>
      <c r="W11" s="33" t="n">
        <f aca="false">-Costs!W99</f>
        <v>-13200000</v>
      </c>
      <c r="X11" s="33" t="n">
        <f aca="false">-Costs!X99</f>
        <v>-0</v>
      </c>
      <c r="Y11" s="33" t="n">
        <f aca="false">-Costs!Y99</f>
        <v>-0</v>
      </c>
      <c r="Z11" s="33" t="n">
        <f aca="false">-Costs!Z99</f>
        <v>-0</v>
      </c>
      <c r="AA11" s="33" t="n">
        <f aca="false">-Costs!AA99</f>
        <v>-0</v>
      </c>
      <c r="AB11" s="33" t="n">
        <f aca="false">-Costs!AB99</f>
        <v>-0</v>
      </c>
      <c r="AC11" s="33" t="n">
        <f aca="false">-Costs!AC99</f>
        <v>-7800000</v>
      </c>
      <c r="AD11" s="33" t="n">
        <f aca="false">-Costs!AD99</f>
        <v>-0</v>
      </c>
      <c r="AE11" s="33" t="n">
        <f aca="false">-Costs!AE99</f>
        <v>-0</v>
      </c>
      <c r="AF11" s="33" t="n">
        <f aca="false">-Costs!AF99</f>
        <v>-0</v>
      </c>
      <c r="AG11" s="33" t="n">
        <f aca="false">-Costs!AG99</f>
        <v>-0</v>
      </c>
      <c r="AH11" s="33" t="n">
        <f aca="false">-Costs!AH99</f>
        <v>-0</v>
      </c>
      <c r="AI11" s="33" t="n">
        <f aca="false">-Costs!AI99</f>
        <v>-10200000</v>
      </c>
      <c r="AJ11" s="33" t="n">
        <f aca="false">-Costs!AJ99</f>
        <v>-0</v>
      </c>
      <c r="AK11" s="33" t="n">
        <f aca="false">-Costs!AK99</f>
        <v>-0</v>
      </c>
      <c r="AL11" s="33" t="n">
        <f aca="false">-Costs!AL99</f>
        <v>-0</v>
      </c>
      <c r="AM11" s="33" t="n">
        <f aca="false">-Costs!AM99</f>
        <v>-0</v>
      </c>
      <c r="AN11" s="33" t="n">
        <f aca="false">-Costs!AN99</f>
        <v>-0</v>
      </c>
      <c r="AO11" s="33" t="n">
        <f aca="false">-Costs!AO99</f>
        <v>-6200000</v>
      </c>
      <c r="AP11" s="33" t="n">
        <f aca="false">-Costs!AP99</f>
        <v>-0</v>
      </c>
      <c r="AQ11" s="33" t="n">
        <f aca="false">-Costs!AQ99</f>
        <v>-0</v>
      </c>
      <c r="AR11" s="33" t="n">
        <f aca="false">-Costs!AR99</f>
        <v>-0</v>
      </c>
      <c r="AS11" s="33" t="n">
        <f aca="false">-Costs!AS99</f>
        <v>-0</v>
      </c>
      <c r="AT11" s="33" t="n">
        <f aca="false">-Costs!AT99</f>
        <v>-0</v>
      </c>
      <c r="AU11" s="33" t="n">
        <f aca="false">-Costs!AU99</f>
        <v>-10800000</v>
      </c>
      <c r="AV11" s="33" t="n">
        <f aca="false">-Costs!AV99</f>
        <v>-0</v>
      </c>
      <c r="AW11" s="33" t="n">
        <f aca="false">-Costs!AW99</f>
        <v>-0</v>
      </c>
      <c r="AX11" s="33" t="n">
        <f aca="false">-Costs!AX99</f>
        <v>-0</v>
      </c>
      <c r="AY11" s="33" t="n">
        <f aca="false">-Costs!AY99</f>
        <v>-0</v>
      </c>
      <c r="AZ11" s="33" t="n">
        <f aca="false">-Costs!AZ99</f>
        <v>-0</v>
      </c>
      <c r="BA11" s="33" t="n">
        <f aca="false">-Costs!BA99</f>
        <v>-11600000</v>
      </c>
      <c r="BB11" s="33" t="n">
        <f aca="false">-Costs!BB99</f>
        <v>-0</v>
      </c>
      <c r="BC11" s="33" t="n">
        <f aca="false">-Costs!BC99</f>
        <v>-0</v>
      </c>
      <c r="BD11" s="33" t="n">
        <f aca="false">-Costs!BD99</f>
        <v>-0</v>
      </c>
      <c r="BE11" s="33" t="n">
        <f aca="false">-Costs!BE99</f>
        <v>-0</v>
      </c>
      <c r="BF11" s="33" t="n">
        <f aca="false">-Costs!BF99</f>
        <v>-0</v>
      </c>
      <c r="BG11" s="33" t="n">
        <f aca="false">-Costs!BG99</f>
        <v>-0</v>
      </c>
      <c r="BH11" s="33" t="n">
        <f aca="false">-Costs!BH99</f>
        <v>-0</v>
      </c>
      <c r="BI11" s="33" t="n">
        <f aca="false">-Costs!BI99</f>
        <v>-0</v>
      </c>
      <c r="BJ11" s="33" t="n">
        <f aca="false">-Costs!BJ99</f>
        <v>-0</v>
      </c>
      <c r="BK11" s="33" t="n">
        <f aca="false">-Costs!BK99</f>
        <v>-0</v>
      </c>
      <c r="BL11" s="33" t="n">
        <f aca="false">-Costs!BL99</f>
        <v>-0</v>
      </c>
    </row>
    <row r="13" customFormat="false" ht="15" hidden="false" customHeight="false" outlineLevel="0" collapsed="false">
      <c r="A13" s="10" t="s">
        <v>722</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723</v>
      </c>
      <c r="B14" s="14" t="s">
        <v>63</v>
      </c>
      <c r="D14" s="41" t="n">
        <f aca="false">SUM(E14:BL14)</f>
        <v>-100000000</v>
      </c>
      <c r="E14" s="33" t="n">
        <f aca="false">-IF(E$3=Licence_SN_Month,Licence_Capital_SN,0)</f>
        <v>-0</v>
      </c>
      <c r="F14" s="33" t="n">
        <f aca="false">-IF(F$3=Licence_SN_Month,Licence_Capital_SN,0)</f>
        <v>-0</v>
      </c>
      <c r="G14" s="33" t="n">
        <f aca="false">-IF(G$3=Licence_SN_Month,Licence_Capital_SN,0)</f>
        <v>-0</v>
      </c>
      <c r="H14" s="33" t="n">
        <f aca="false">-IF(H$3=Licence_SN_Month,Licence_Capital_SN,0)</f>
        <v>-0</v>
      </c>
      <c r="I14" s="33" t="n">
        <f aca="false">-IF(I$3=Licence_SN_Month,Licence_Capital_SN,0)</f>
        <v>-0</v>
      </c>
      <c r="J14" s="33" t="n">
        <f aca="false">-IF(J$3=Licence_SN_Month,Licence_Capital_SN,0)</f>
        <v>-0</v>
      </c>
      <c r="K14" s="33" t="n">
        <f aca="false">-IF(K$3=Licence_SN_Month,Licence_Capital_SN,0)</f>
        <v>-0</v>
      </c>
      <c r="L14" s="33" t="n">
        <f aca="false">-IF(L$3=Licence_SN_Month,Licence_Capital_SN,0)</f>
        <v>-0</v>
      </c>
      <c r="M14" s="33" t="n">
        <f aca="false">-IF(M$3=Licence_SN_Month,Licence_Capital_SN,0)</f>
        <v>-0</v>
      </c>
      <c r="N14" s="33" t="n">
        <f aca="false">-IF(N$3=Licence_SN_Month,Licence_Capital_SN,0)</f>
        <v>-0</v>
      </c>
      <c r="O14" s="33" t="n">
        <f aca="false">-IF(O$3=Licence_SN_Month,Licence_Capital_SN,0)</f>
        <v>-0</v>
      </c>
      <c r="P14" s="33" t="n">
        <f aca="false">-IF(P$3=Licence_SN_Month,Licence_Capital_SN,0)</f>
        <v>-100000000</v>
      </c>
      <c r="Q14" s="33" t="n">
        <f aca="false">-IF(Q$3=Licence_SN_Month,Licence_Capital_SN,0)</f>
        <v>-0</v>
      </c>
      <c r="R14" s="33" t="n">
        <f aca="false">-IF(R$3=Licence_SN_Month,Licence_Capital_SN,0)</f>
        <v>-0</v>
      </c>
      <c r="S14" s="33" t="n">
        <f aca="false">-IF(S$3=Licence_SN_Month,Licence_Capital_SN,0)</f>
        <v>-0</v>
      </c>
      <c r="T14" s="33" t="n">
        <f aca="false">-IF(T$3=Licence_SN_Month,Licence_Capital_SN,0)</f>
        <v>-0</v>
      </c>
      <c r="U14" s="33" t="n">
        <f aca="false">-IF(U$3=Licence_SN_Month,Licence_Capital_SN,0)</f>
        <v>-0</v>
      </c>
      <c r="V14" s="33" t="n">
        <f aca="false">-IF(V$3=Licence_SN_Month,Licence_Capital_SN,0)</f>
        <v>-0</v>
      </c>
      <c r="W14" s="33" t="n">
        <f aca="false">-IF(W$3=Licence_SN_Month,Licence_Capital_SN,0)</f>
        <v>-0</v>
      </c>
      <c r="X14" s="33" t="n">
        <f aca="false">-IF(X$3=Licence_SN_Month,Licence_Capital_SN,0)</f>
        <v>-0</v>
      </c>
      <c r="Y14" s="33" t="n">
        <f aca="false">-IF(Y$3=Licence_SN_Month,Licence_Capital_SN,0)</f>
        <v>-0</v>
      </c>
      <c r="Z14" s="33" t="n">
        <f aca="false">-IF(Z$3=Licence_SN_Month,Licence_Capital_SN,0)</f>
        <v>-0</v>
      </c>
      <c r="AA14" s="33" t="n">
        <f aca="false">-IF(AA$3=Licence_SN_Month,Licence_Capital_SN,0)</f>
        <v>-0</v>
      </c>
      <c r="AB14" s="33" t="n">
        <f aca="false">-IF(AB$3=Licence_SN_Month,Licence_Capital_SN,0)</f>
        <v>-0</v>
      </c>
      <c r="AC14" s="33" t="n">
        <f aca="false">-IF(AC$3=Licence_SN_Month,Licence_Capital_SN,0)</f>
        <v>-0</v>
      </c>
      <c r="AD14" s="33" t="n">
        <f aca="false">-IF(AD$3=Licence_SN_Month,Licence_Capital_SN,0)</f>
        <v>-0</v>
      </c>
      <c r="AE14" s="33" t="n">
        <f aca="false">-IF(AE$3=Licence_SN_Month,Licence_Capital_SN,0)</f>
        <v>-0</v>
      </c>
      <c r="AF14" s="33" t="n">
        <f aca="false">-IF(AF$3=Licence_SN_Month,Licence_Capital_SN,0)</f>
        <v>-0</v>
      </c>
      <c r="AG14" s="33" t="n">
        <f aca="false">-IF(AG$3=Licence_SN_Month,Licence_Capital_SN,0)</f>
        <v>-0</v>
      </c>
      <c r="AH14" s="33" t="n">
        <f aca="false">-IF(AH$3=Licence_SN_Month,Licence_Capital_SN,0)</f>
        <v>-0</v>
      </c>
      <c r="AI14" s="33" t="n">
        <f aca="false">-IF(AI$3=Licence_SN_Month,Licence_Capital_SN,0)</f>
        <v>-0</v>
      </c>
      <c r="AJ14" s="33" t="n">
        <f aca="false">-IF(AJ$3=Licence_SN_Month,Licence_Capital_SN,0)</f>
        <v>-0</v>
      </c>
      <c r="AK14" s="33" t="n">
        <f aca="false">-IF(AK$3=Licence_SN_Month,Licence_Capital_SN,0)</f>
        <v>-0</v>
      </c>
      <c r="AL14" s="33" t="n">
        <f aca="false">-IF(AL$3=Licence_SN_Month,Licence_Capital_SN,0)</f>
        <v>-0</v>
      </c>
      <c r="AM14" s="33" t="n">
        <f aca="false">-IF(AM$3=Licence_SN_Month,Licence_Capital_SN,0)</f>
        <v>-0</v>
      </c>
      <c r="AN14" s="33" t="n">
        <f aca="false">-IF(AN$3=Licence_SN_Month,Licence_Capital_SN,0)</f>
        <v>-0</v>
      </c>
      <c r="AO14" s="33" t="n">
        <f aca="false">-IF(AO$3=Licence_SN_Month,Licence_Capital_SN,0)</f>
        <v>-0</v>
      </c>
      <c r="AP14" s="33" t="n">
        <f aca="false">-IF(AP$3=Licence_SN_Month,Licence_Capital_SN,0)</f>
        <v>-0</v>
      </c>
      <c r="AQ14" s="33" t="n">
        <f aca="false">-IF(AQ$3=Licence_SN_Month,Licence_Capital_SN,0)</f>
        <v>-0</v>
      </c>
      <c r="AR14" s="33" t="n">
        <f aca="false">-IF(AR$3=Licence_SN_Month,Licence_Capital_SN,0)</f>
        <v>-0</v>
      </c>
      <c r="AS14" s="33" t="n">
        <f aca="false">-IF(AS$3=Licence_SN_Month,Licence_Capital_SN,0)</f>
        <v>-0</v>
      </c>
      <c r="AT14" s="33" t="n">
        <f aca="false">-IF(AT$3=Licence_SN_Month,Licence_Capital_SN,0)</f>
        <v>-0</v>
      </c>
      <c r="AU14" s="33" t="n">
        <f aca="false">-IF(AU$3=Licence_SN_Month,Licence_Capital_SN,0)</f>
        <v>-0</v>
      </c>
      <c r="AV14" s="33" t="n">
        <f aca="false">-IF(AV$3=Licence_SN_Month,Licence_Capital_SN,0)</f>
        <v>-0</v>
      </c>
      <c r="AW14" s="33" t="n">
        <f aca="false">-IF(AW$3=Licence_SN_Month,Licence_Capital_SN,0)</f>
        <v>-0</v>
      </c>
      <c r="AX14" s="33" t="n">
        <f aca="false">-IF(AX$3=Licence_SN_Month,Licence_Capital_SN,0)</f>
        <v>-0</v>
      </c>
      <c r="AY14" s="33" t="n">
        <f aca="false">-IF(AY$3=Licence_SN_Month,Licence_Capital_SN,0)</f>
        <v>-0</v>
      </c>
      <c r="AZ14" s="33" t="n">
        <f aca="false">-IF(AZ$3=Licence_SN_Month,Licence_Capital_SN,0)</f>
        <v>-0</v>
      </c>
      <c r="BA14" s="33" t="n">
        <f aca="false">-IF(BA$3=Licence_SN_Month,Licence_Capital_SN,0)</f>
        <v>-0</v>
      </c>
      <c r="BB14" s="33" t="n">
        <f aca="false">-IF(BB$3=Licence_SN_Month,Licence_Capital_SN,0)</f>
        <v>-0</v>
      </c>
      <c r="BC14" s="33" t="n">
        <f aca="false">-IF(BC$3=Licence_SN_Month,Licence_Capital_SN,0)</f>
        <v>-0</v>
      </c>
      <c r="BD14" s="33" t="n">
        <f aca="false">-IF(BD$3=Licence_SN_Month,Licence_Capital_SN,0)</f>
        <v>-0</v>
      </c>
      <c r="BE14" s="33" t="n">
        <f aca="false">-IF(BE$3=Licence_SN_Month,Licence_Capital_SN,0)</f>
        <v>-0</v>
      </c>
      <c r="BF14" s="33" t="n">
        <f aca="false">-IF(BF$3=Licence_SN_Month,Licence_Capital_SN,0)</f>
        <v>-0</v>
      </c>
      <c r="BG14" s="33" t="n">
        <f aca="false">-IF(BG$3=Licence_SN_Month,Licence_Capital_SN,0)</f>
        <v>-0</v>
      </c>
      <c r="BH14" s="33" t="n">
        <f aca="false">-IF(BH$3=Licence_SN_Month,Licence_Capital_SN,0)</f>
        <v>-0</v>
      </c>
      <c r="BI14" s="33" t="n">
        <f aca="false">-IF(BI$3=Licence_SN_Month,Licence_Capital_SN,0)</f>
        <v>-0</v>
      </c>
      <c r="BJ14" s="33" t="n">
        <f aca="false">-IF(BJ$3=Licence_SN_Month,Licence_Capital_SN,0)</f>
        <v>-0</v>
      </c>
      <c r="BK14" s="33" t="n">
        <f aca="false">-IF(BK$3=Licence_SN_Month,Licence_Capital_SN,0)</f>
        <v>-0</v>
      </c>
      <c r="BL14" s="33" t="n">
        <f aca="false">-IF(BL$3=Licence_SN_Month,Licence_Capital_SN,0)</f>
        <v>-0</v>
      </c>
    </row>
    <row r="15" customFormat="false" ht="15" hidden="false" customHeight="false" outlineLevel="0" collapsed="false">
      <c r="A15" s="12" t="s">
        <v>724</v>
      </c>
      <c r="B15" s="14" t="s">
        <v>63</v>
      </c>
      <c r="D15" s="41" t="n">
        <f aca="false">SUM(E15:BL15)</f>
        <v>-100000000</v>
      </c>
      <c r="E15" s="33" t="n">
        <f aca="false">-IF(E$3=Licence_CI_Month,Licence_Capital_CI,0)</f>
        <v>-0</v>
      </c>
      <c r="F15" s="33" t="n">
        <f aca="false">-IF(F$3=Licence_CI_Month,Licence_Capital_CI,0)</f>
        <v>-0</v>
      </c>
      <c r="G15" s="33" t="n">
        <f aca="false">-IF(G$3=Licence_CI_Month,Licence_Capital_CI,0)</f>
        <v>-0</v>
      </c>
      <c r="H15" s="33" t="n">
        <f aca="false">-IF(H$3=Licence_CI_Month,Licence_Capital_CI,0)</f>
        <v>-0</v>
      </c>
      <c r="I15" s="33" t="n">
        <f aca="false">-IF(I$3=Licence_CI_Month,Licence_Capital_CI,0)</f>
        <v>-0</v>
      </c>
      <c r="J15" s="33" t="n">
        <f aca="false">-IF(J$3=Licence_CI_Month,Licence_Capital_CI,0)</f>
        <v>-0</v>
      </c>
      <c r="K15" s="33" t="n">
        <f aca="false">-IF(K$3=Licence_CI_Month,Licence_Capital_CI,0)</f>
        <v>-0</v>
      </c>
      <c r="L15" s="33" t="n">
        <f aca="false">-IF(L$3=Licence_CI_Month,Licence_Capital_CI,0)</f>
        <v>-0</v>
      </c>
      <c r="M15" s="33" t="n">
        <f aca="false">-IF(M$3=Licence_CI_Month,Licence_Capital_CI,0)</f>
        <v>-0</v>
      </c>
      <c r="N15" s="33" t="n">
        <f aca="false">-IF(N$3=Licence_CI_Month,Licence_Capital_CI,0)</f>
        <v>-0</v>
      </c>
      <c r="O15" s="33" t="n">
        <f aca="false">-IF(O$3=Licence_CI_Month,Licence_Capital_CI,0)</f>
        <v>-0</v>
      </c>
      <c r="P15" s="33" t="n">
        <f aca="false">-IF(P$3=Licence_CI_Month,Licence_Capital_CI,0)</f>
        <v>-0</v>
      </c>
      <c r="Q15" s="33" t="n">
        <f aca="false">-IF(Q$3=Licence_CI_Month,Licence_Capital_CI,0)</f>
        <v>-0</v>
      </c>
      <c r="R15" s="33" t="n">
        <f aca="false">-IF(R$3=Licence_CI_Month,Licence_Capital_CI,0)</f>
        <v>-0</v>
      </c>
      <c r="S15" s="33" t="n">
        <f aca="false">-IF(S$3=Licence_CI_Month,Licence_Capital_CI,0)</f>
        <v>-0</v>
      </c>
      <c r="T15" s="33" t="n">
        <f aca="false">-IF(T$3=Licence_CI_Month,Licence_Capital_CI,0)</f>
        <v>-0</v>
      </c>
      <c r="U15" s="33" t="n">
        <f aca="false">-IF(U$3=Licence_CI_Month,Licence_Capital_CI,0)</f>
        <v>-0</v>
      </c>
      <c r="V15" s="33" t="n">
        <f aca="false">-IF(V$3=Licence_CI_Month,Licence_Capital_CI,0)</f>
        <v>-0</v>
      </c>
      <c r="W15" s="33" t="n">
        <f aca="false">-IF(W$3=Licence_CI_Month,Licence_Capital_CI,0)</f>
        <v>-0</v>
      </c>
      <c r="X15" s="33" t="n">
        <f aca="false">-IF(X$3=Licence_CI_Month,Licence_Capital_CI,0)</f>
        <v>-0</v>
      </c>
      <c r="Y15" s="33" t="n">
        <f aca="false">-IF(Y$3=Licence_CI_Month,Licence_Capital_CI,0)</f>
        <v>-0</v>
      </c>
      <c r="Z15" s="33" t="n">
        <f aca="false">-IF(Z$3=Licence_CI_Month,Licence_Capital_CI,0)</f>
        <v>-0</v>
      </c>
      <c r="AA15" s="33" t="n">
        <f aca="false">-IF(AA$3=Licence_CI_Month,Licence_Capital_CI,0)</f>
        <v>-0</v>
      </c>
      <c r="AB15" s="33" t="n">
        <f aca="false">-IF(AB$3=Licence_CI_Month,Licence_Capital_CI,0)</f>
        <v>-0</v>
      </c>
      <c r="AC15" s="33" t="n">
        <f aca="false">-IF(AC$3=Licence_CI_Month,Licence_Capital_CI,0)</f>
        <v>-0</v>
      </c>
      <c r="AD15" s="33" t="n">
        <f aca="false">-IF(AD$3=Licence_CI_Month,Licence_Capital_CI,0)</f>
        <v>-0</v>
      </c>
      <c r="AE15" s="33" t="n">
        <f aca="false">-IF(AE$3=Licence_CI_Month,Licence_Capital_CI,0)</f>
        <v>-0</v>
      </c>
      <c r="AF15" s="33" t="n">
        <f aca="false">-IF(AF$3=Licence_CI_Month,Licence_Capital_CI,0)</f>
        <v>-0</v>
      </c>
      <c r="AG15" s="33" t="n">
        <f aca="false">-IF(AG$3=Licence_CI_Month,Licence_Capital_CI,0)</f>
        <v>-0</v>
      </c>
      <c r="AH15" s="33" t="n">
        <f aca="false">-IF(AH$3=Licence_CI_Month,Licence_Capital_CI,0)</f>
        <v>-100000000</v>
      </c>
      <c r="AI15" s="33" t="n">
        <f aca="false">-IF(AI$3=Licence_CI_Month,Licence_Capital_CI,0)</f>
        <v>-0</v>
      </c>
      <c r="AJ15" s="33" t="n">
        <f aca="false">-IF(AJ$3=Licence_CI_Month,Licence_Capital_CI,0)</f>
        <v>-0</v>
      </c>
      <c r="AK15" s="33" t="n">
        <f aca="false">-IF(AK$3=Licence_CI_Month,Licence_Capital_CI,0)</f>
        <v>-0</v>
      </c>
      <c r="AL15" s="33" t="n">
        <f aca="false">-IF(AL$3=Licence_CI_Month,Licence_Capital_CI,0)</f>
        <v>-0</v>
      </c>
      <c r="AM15" s="33" t="n">
        <f aca="false">-IF(AM$3=Licence_CI_Month,Licence_Capital_CI,0)</f>
        <v>-0</v>
      </c>
      <c r="AN15" s="33" t="n">
        <f aca="false">-IF(AN$3=Licence_CI_Month,Licence_Capital_CI,0)</f>
        <v>-0</v>
      </c>
      <c r="AO15" s="33" t="n">
        <f aca="false">-IF(AO$3=Licence_CI_Month,Licence_Capital_CI,0)</f>
        <v>-0</v>
      </c>
      <c r="AP15" s="33" t="n">
        <f aca="false">-IF(AP$3=Licence_CI_Month,Licence_Capital_CI,0)</f>
        <v>-0</v>
      </c>
      <c r="AQ15" s="33" t="n">
        <f aca="false">-IF(AQ$3=Licence_CI_Month,Licence_Capital_CI,0)</f>
        <v>-0</v>
      </c>
      <c r="AR15" s="33" t="n">
        <f aca="false">-IF(AR$3=Licence_CI_Month,Licence_Capital_CI,0)</f>
        <v>-0</v>
      </c>
      <c r="AS15" s="33" t="n">
        <f aca="false">-IF(AS$3=Licence_CI_Month,Licence_Capital_CI,0)</f>
        <v>-0</v>
      </c>
      <c r="AT15" s="33" t="n">
        <f aca="false">-IF(AT$3=Licence_CI_Month,Licence_Capital_CI,0)</f>
        <v>-0</v>
      </c>
      <c r="AU15" s="33" t="n">
        <f aca="false">-IF(AU$3=Licence_CI_Month,Licence_Capital_CI,0)</f>
        <v>-0</v>
      </c>
      <c r="AV15" s="33" t="n">
        <f aca="false">-IF(AV$3=Licence_CI_Month,Licence_Capital_CI,0)</f>
        <v>-0</v>
      </c>
      <c r="AW15" s="33" t="n">
        <f aca="false">-IF(AW$3=Licence_CI_Month,Licence_Capital_CI,0)</f>
        <v>-0</v>
      </c>
      <c r="AX15" s="33" t="n">
        <f aca="false">-IF(AX$3=Licence_CI_Month,Licence_Capital_CI,0)</f>
        <v>-0</v>
      </c>
      <c r="AY15" s="33" t="n">
        <f aca="false">-IF(AY$3=Licence_CI_Month,Licence_Capital_CI,0)</f>
        <v>-0</v>
      </c>
      <c r="AZ15" s="33" t="n">
        <f aca="false">-IF(AZ$3=Licence_CI_Month,Licence_Capital_CI,0)</f>
        <v>-0</v>
      </c>
      <c r="BA15" s="33" t="n">
        <f aca="false">-IF(BA$3=Licence_CI_Month,Licence_Capital_CI,0)</f>
        <v>-0</v>
      </c>
      <c r="BB15" s="33" t="n">
        <f aca="false">-IF(BB$3=Licence_CI_Month,Licence_Capital_CI,0)</f>
        <v>-0</v>
      </c>
      <c r="BC15" s="33" t="n">
        <f aca="false">-IF(BC$3=Licence_CI_Month,Licence_Capital_CI,0)</f>
        <v>-0</v>
      </c>
      <c r="BD15" s="33" t="n">
        <f aca="false">-IF(BD$3=Licence_CI_Month,Licence_Capital_CI,0)</f>
        <v>-0</v>
      </c>
      <c r="BE15" s="33" t="n">
        <f aca="false">-IF(BE$3=Licence_CI_Month,Licence_Capital_CI,0)</f>
        <v>-0</v>
      </c>
      <c r="BF15" s="33" t="n">
        <f aca="false">-IF(BF$3=Licence_CI_Month,Licence_Capital_CI,0)</f>
        <v>-0</v>
      </c>
      <c r="BG15" s="33" t="n">
        <f aca="false">-IF(BG$3=Licence_CI_Month,Licence_Capital_CI,0)</f>
        <v>-0</v>
      </c>
      <c r="BH15" s="33" t="n">
        <f aca="false">-IF(BH$3=Licence_CI_Month,Licence_Capital_CI,0)</f>
        <v>-0</v>
      </c>
      <c r="BI15" s="33" t="n">
        <f aca="false">-IF(BI$3=Licence_CI_Month,Licence_Capital_CI,0)</f>
        <v>-0</v>
      </c>
      <c r="BJ15" s="33" t="n">
        <f aca="false">-IF(BJ$3=Licence_CI_Month,Licence_Capital_CI,0)</f>
        <v>-0</v>
      </c>
      <c r="BK15" s="33" t="n">
        <f aca="false">-IF(BK$3=Licence_CI_Month,Licence_Capital_CI,0)</f>
        <v>-0</v>
      </c>
      <c r="BL15" s="33" t="n">
        <f aca="false">-IF(BL$3=Licence_CI_Month,Licence_Capital_CI,0)</f>
        <v>-0</v>
      </c>
    </row>
    <row r="16" customFormat="false" ht="15" hidden="false" customHeight="false" outlineLevel="0" collapsed="false">
      <c r="A16" s="12" t="s">
        <v>725</v>
      </c>
      <c r="B16" s="14" t="s">
        <v>63</v>
      </c>
      <c r="D16" s="41" t="n">
        <f aca="false">SUM(E16:BL16)</f>
        <v>-60000000</v>
      </c>
      <c r="E16" s="33" t="n">
        <f aca="false">-IF(E$3=Collateral_Month,Card_Collateral,0)</f>
        <v>-0</v>
      </c>
      <c r="F16" s="33" t="n">
        <f aca="false">-IF(F$3=Collateral_Month,Card_Collateral,0)</f>
        <v>-0</v>
      </c>
      <c r="G16" s="33" t="n">
        <f aca="false">-IF(G$3=Collateral_Month,Card_Collateral,0)</f>
        <v>-0</v>
      </c>
      <c r="H16" s="33" t="n">
        <f aca="false">-IF(H$3=Collateral_Month,Card_Collateral,0)</f>
        <v>-60000000</v>
      </c>
      <c r="I16" s="33" t="n">
        <f aca="false">-IF(I$3=Collateral_Month,Card_Collateral,0)</f>
        <v>-0</v>
      </c>
      <c r="J16" s="33" t="n">
        <f aca="false">-IF(J$3=Collateral_Month,Card_Collateral,0)</f>
        <v>-0</v>
      </c>
      <c r="K16" s="33" t="n">
        <f aca="false">-IF(K$3=Collateral_Month,Card_Collateral,0)</f>
        <v>-0</v>
      </c>
      <c r="L16" s="33" t="n">
        <f aca="false">-IF(L$3=Collateral_Month,Card_Collateral,0)</f>
        <v>-0</v>
      </c>
      <c r="M16" s="33" t="n">
        <f aca="false">-IF(M$3=Collateral_Month,Card_Collateral,0)</f>
        <v>-0</v>
      </c>
      <c r="N16" s="33" t="n">
        <f aca="false">-IF(N$3=Collateral_Month,Card_Collateral,0)</f>
        <v>-0</v>
      </c>
      <c r="O16" s="33" t="n">
        <f aca="false">-IF(O$3=Collateral_Month,Card_Collateral,0)</f>
        <v>-0</v>
      </c>
      <c r="P16" s="33" t="n">
        <f aca="false">-IF(P$3=Collateral_Month,Card_Collateral,0)</f>
        <v>-0</v>
      </c>
      <c r="Q16" s="33" t="n">
        <f aca="false">-IF(Q$3=Collateral_Month,Card_Collateral,0)</f>
        <v>-0</v>
      </c>
      <c r="R16" s="33" t="n">
        <f aca="false">-IF(R$3=Collateral_Month,Card_Collateral,0)</f>
        <v>-0</v>
      </c>
      <c r="S16" s="33" t="n">
        <f aca="false">-IF(S$3=Collateral_Month,Card_Collateral,0)</f>
        <v>-0</v>
      </c>
      <c r="T16" s="33" t="n">
        <f aca="false">-IF(T$3=Collateral_Month,Card_Collateral,0)</f>
        <v>-0</v>
      </c>
      <c r="U16" s="33" t="n">
        <f aca="false">-IF(U$3=Collateral_Month,Card_Collateral,0)</f>
        <v>-0</v>
      </c>
      <c r="V16" s="33" t="n">
        <f aca="false">-IF(V$3=Collateral_Month,Card_Collateral,0)</f>
        <v>-0</v>
      </c>
      <c r="W16" s="33" t="n">
        <f aca="false">-IF(W$3=Collateral_Month,Card_Collateral,0)</f>
        <v>-0</v>
      </c>
      <c r="X16" s="33" t="n">
        <f aca="false">-IF(X$3=Collateral_Month,Card_Collateral,0)</f>
        <v>-0</v>
      </c>
      <c r="Y16" s="33" t="n">
        <f aca="false">-IF(Y$3=Collateral_Month,Card_Collateral,0)</f>
        <v>-0</v>
      </c>
      <c r="Z16" s="33" t="n">
        <f aca="false">-IF(Z$3=Collateral_Month,Card_Collateral,0)</f>
        <v>-0</v>
      </c>
      <c r="AA16" s="33" t="n">
        <f aca="false">-IF(AA$3=Collateral_Month,Card_Collateral,0)</f>
        <v>-0</v>
      </c>
      <c r="AB16" s="33" t="n">
        <f aca="false">-IF(AB$3=Collateral_Month,Card_Collateral,0)</f>
        <v>-0</v>
      </c>
      <c r="AC16" s="33" t="n">
        <f aca="false">-IF(AC$3=Collateral_Month,Card_Collateral,0)</f>
        <v>-0</v>
      </c>
      <c r="AD16" s="33" t="n">
        <f aca="false">-IF(AD$3=Collateral_Month,Card_Collateral,0)</f>
        <v>-0</v>
      </c>
      <c r="AE16" s="33" t="n">
        <f aca="false">-IF(AE$3=Collateral_Month,Card_Collateral,0)</f>
        <v>-0</v>
      </c>
      <c r="AF16" s="33" t="n">
        <f aca="false">-IF(AF$3=Collateral_Month,Card_Collateral,0)</f>
        <v>-0</v>
      </c>
      <c r="AG16" s="33" t="n">
        <f aca="false">-IF(AG$3=Collateral_Month,Card_Collateral,0)</f>
        <v>-0</v>
      </c>
      <c r="AH16" s="33" t="n">
        <f aca="false">-IF(AH$3=Collateral_Month,Card_Collateral,0)</f>
        <v>-0</v>
      </c>
      <c r="AI16" s="33" t="n">
        <f aca="false">-IF(AI$3=Collateral_Month,Card_Collateral,0)</f>
        <v>-0</v>
      </c>
      <c r="AJ16" s="33" t="n">
        <f aca="false">-IF(AJ$3=Collateral_Month,Card_Collateral,0)</f>
        <v>-0</v>
      </c>
      <c r="AK16" s="33" t="n">
        <f aca="false">-IF(AK$3=Collateral_Month,Card_Collateral,0)</f>
        <v>-0</v>
      </c>
      <c r="AL16" s="33" t="n">
        <f aca="false">-IF(AL$3=Collateral_Month,Card_Collateral,0)</f>
        <v>-0</v>
      </c>
      <c r="AM16" s="33" t="n">
        <f aca="false">-IF(AM$3=Collateral_Month,Card_Collateral,0)</f>
        <v>-0</v>
      </c>
      <c r="AN16" s="33" t="n">
        <f aca="false">-IF(AN$3=Collateral_Month,Card_Collateral,0)</f>
        <v>-0</v>
      </c>
      <c r="AO16" s="33" t="n">
        <f aca="false">-IF(AO$3=Collateral_Month,Card_Collateral,0)</f>
        <v>-0</v>
      </c>
      <c r="AP16" s="33" t="n">
        <f aca="false">-IF(AP$3=Collateral_Month,Card_Collateral,0)</f>
        <v>-0</v>
      </c>
      <c r="AQ16" s="33" t="n">
        <f aca="false">-IF(AQ$3=Collateral_Month,Card_Collateral,0)</f>
        <v>-0</v>
      </c>
      <c r="AR16" s="33" t="n">
        <f aca="false">-IF(AR$3=Collateral_Month,Card_Collateral,0)</f>
        <v>-0</v>
      </c>
      <c r="AS16" s="33" t="n">
        <f aca="false">-IF(AS$3=Collateral_Month,Card_Collateral,0)</f>
        <v>-0</v>
      </c>
      <c r="AT16" s="33" t="n">
        <f aca="false">-IF(AT$3=Collateral_Month,Card_Collateral,0)</f>
        <v>-0</v>
      </c>
      <c r="AU16" s="33" t="n">
        <f aca="false">-IF(AU$3=Collateral_Month,Card_Collateral,0)</f>
        <v>-0</v>
      </c>
      <c r="AV16" s="33" t="n">
        <f aca="false">-IF(AV$3=Collateral_Month,Card_Collateral,0)</f>
        <v>-0</v>
      </c>
      <c r="AW16" s="33" t="n">
        <f aca="false">-IF(AW$3=Collateral_Month,Card_Collateral,0)</f>
        <v>-0</v>
      </c>
      <c r="AX16" s="33" t="n">
        <f aca="false">-IF(AX$3=Collateral_Month,Card_Collateral,0)</f>
        <v>-0</v>
      </c>
      <c r="AY16" s="33" t="n">
        <f aca="false">-IF(AY$3=Collateral_Month,Card_Collateral,0)</f>
        <v>-0</v>
      </c>
      <c r="AZ16" s="33" t="n">
        <f aca="false">-IF(AZ$3=Collateral_Month,Card_Collateral,0)</f>
        <v>-0</v>
      </c>
      <c r="BA16" s="33" t="n">
        <f aca="false">-IF(BA$3=Collateral_Month,Card_Collateral,0)</f>
        <v>-0</v>
      </c>
      <c r="BB16" s="33" t="n">
        <f aca="false">-IF(BB$3=Collateral_Month,Card_Collateral,0)</f>
        <v>-0</v>
      </c>
      <c r="BC16" s="33" t="n">
        <f aca="false">-IF(BC$3=Collateral_Month,Card_Collateral,0)</f>
        <v>-0</v>
      </c>
      <c r="BD16" s="33" t="n">
        <f aca="false">-IF(BD$3=Collateral_Month,Card_Collateral,0)</f>
        <v>-0</v>
      </c>
      <c r="BE16" s="33" t="n">
        <f aca="false">-IF(BE$3=Collateral_Month,Card_Collateral,0)</f>
        <v>-0</v>
      </c>
      <c r="BF16" s="33" t="n">
        <f aca="false">-IF(BF$3=Collateral_Month,Card_Collateral,0)</f>
        <v>-0</v>
      </c>
      <c r="BG16" s="33" t="n">
        <f aca="false">-IF(BG$3=Collateral_Month,Card_Collateral,0)</f>
        <v>-0</v>
      </c>
      <c r="BH16" s="33" t="n">
        <f aca="false">-IF(BH$3=Collateral_Month,Card_Collateral,0)</f>
        <v>-0</v>
      </c>
      <c r="BI16" s="33" t="n">
        <f aca="false">-IF(BI$3=Collateral_Month,Card_Collateral,0)</f>
        <v>-0</v>
      </c>
      <c r="BJ16" s="33" t="n">
        <f aca="false">-IF(BJ$3=Collateral_Month,Card_Collateral,0)</f>
        <v>-0</v>
      </c>
      <c r="BK16" s="33" t="n">
        <f aca="false">-IF(BK$3=Collateral_Month,Card_Collateral,0)</f>
        <v>-0</v>
      </c>
      <c r="BL16" s="33" t="n">
        <f aca="false">-IF(BL$3=Collateral_Month,Card_Collateral,0)</f>
        <v>-0</v>
      </c>
    </row>
    <row r="17" customFormat="false" ht="15" hidden="false" customHeight="false" outlineLevel="0" collapsed="false">
      <c r="A17" s="12" t="s">
        <v>436</v>
      </c>
      <c r="B17" s="14" t="s">
        <v>63</v>
      </c>
      <c r="D17" s="41" t="n">
        <f aca="false">SUM(E17:BL17)</f>
        <v>-4725000</v>
      </c>
      <c r="E17" s="33" t="n">
        <f aca="false">-IF(E$3=Office_Start,Office_Deposit_Months*Costs!E36,0)</f>
        <v>-0</v>
      </c>
      <c r="F17" s="33" t="n">
        <f aca="false">-IF(F$3=Office_Start,Office_Deposit_Months*Costs!F36,0)</f>
        <v>-0</v>
      </c>
      <c r="G17" s="33" t="n">
        <f aca="false">-IF(G$3=Office_Start,Office_Deposit_Months*Costs!G36,0)</f>
        <v>-0</v>
      </c>
      <c r="H17" s="33" t="n">
        <f aca="false">-IF(H$3=Office_Start,Office_Deposit_Months*Costs!H36,0)</f>
        <v>-4725000</v>
      </c>
      <c r="I17" s="33" t="n">
        <f aca="false">-IF(I$3=Office_Start,Office_Deposit_Months*Costs!I36,0)</f>
        <v>-0</v>
      </c>
      <c r="J17" s="33" t="n">
        <f aca="false">-IF(J$3=Office_Start,Office_Deposit_Months*Costs!J36,0)</f>
        <v>-0</v>
      </c>
      <c r="K17" s="33" t="n">
        <f aca="false">-IF(K$3=Office_Start,Office_Deposit_Months*Costs!K36,0)</f>
        <v>-0</v>
      </c>
      <c r="L17" s="33" t="n">
        <f aca="false">-IF(L$3=Office_Start,Office_Deposit_Months*Costs!L36,0)</f>
        <v>-0</v>
      </c>
      <c r="M17" s="33" t="n">
        <f aca="false">-IF(M$3=Office_Start,Office_Deposit_Months*Costs!M36,0)</f>
        <v>-0</v>
      </c>
      <c r="N17" s="33" t="n">
        <f aca="false">-IF(N$3=Office_Start,Office_Deposit_Months*Costs!N36,0)</f>
        <v>-0</v>
      </c>
      <c r="O17" s="33" t="n">
        <f aca="false">-IF(O$3=Office_Start,Office_Deposit_Months*Costs!O36,0)</f>
        <v>-0</v>
      </c>
      <c r="P17" s="33" t="n">
        <f aca="false">-IF(P$3=Office_Start,Office_Deposit_Months*Costs!P36,0)</f>
        <v>-0</v>
      </c>
      <c r="Q17" s="33" t="n">
        <f aca="false">-IF(Q$3=Office_Start,Office_Deposit_Months*Costs!Q36,0)</f>
        <v>-0</v>
      </c>
      <c r="R17" s="33" t="n">
        <f aca="false">-IF(R$3=Office_Start,Office_Deposit_Months*Costs!R36,0)</f>
        <v>-0</v>
      </c>
      <c r="S17" s="33" t="n">
        <f aca="false">-IF(S$3=Office_Start,Office_Deposit_Months*Costs!S36,0)</f>
        <v>-0</v>
      </c>
      <c r="T17" s="33" t="n">
        <f aca="false">-IF(T$3=Office_Start,Office_Deposit_Months*Costs!T36,0)</f>
        <v>-0</v>
      </c>
      <c r="U17" s="33" t="n">
        <f aca="false">-IF(U$3=Office_Start,Office_Deposit_Months*Costs!U36,0)</f>
        <v>-0</v>
      </c>
      <c r="V17" s="33" t="n">
        <f aca="false">-IF(V$3=Office_Start,Office_Deposit_Months*Costs!V36,0)</f>
        <v>-0</v>
      </c>
      <c r="W17" s="33" t="n">
        <f aca="false">-IF(W$3=Office_Start,Office_Deposit_Months*Costs!W36,0)</f>
        <v>-0</v>
      </c>
      <c r="X17" s="33" t="n">
        <f aca="false">-IF(X$3=Office_Start,Office_Deposit_Months*Costs!X36,0)</f>
        <v>-0</v>
      </c>
      <c r="Y17" s="33" t="n">
        <f aca="false">-IF(Y$3=Office_Start,Office_Deposit_Months*Costs!Y36,0)</f>
        <v>-0</v>
      </c>
      <c r="Z17" s="33" t="n">
        <f aca="false">-IF(Z$3=Office_Start,Office_Deposit_Months*Costs!Z36,0)</f>
        <v>-0</v>
      </c>
      <c r="AA17" s="33" t="n">
        <f aca="false">-IF(AA$3=Office_Start,Office_Deposit_Months*Costs!AA36,0)</f>
        <v>-0</v>
      </c>
      <c r="AB17" s="33" t="n">
        <f aca="false">-IF(AB$3=Office_Start,Office_Deposit_Months*Costs!AB36,0)</f>
        <v>-0</v>
      </c>
      <c r="AC17" s="33" t="n">
        <f aca="false">-IF(AC$3=Office_Start,Office_Deposit_Months*Costs!AC36,0)</f>
        <v>-0</v>
      </c>
      <c r="AD17" s="33" t="n">
        <f aca="false">-IF(AD$3=Office_Start,Office_Deposit_Months*Costs!AD36,0)</f>
        <v>-0</v>
      </c>
      <c r="AE17" s="33" t="n">
        <f aca="false">-IF(AE$3=Office_Start,Office_Deposit_Months*Costs!AE36,0)</f>
        <v>-0</v>
      </c>
      <c r="AF17" s="33" t="n">
        <f aca="false">-IF(AF$3=Office_Start,Office_Deposit_Months*Costs!AF36,0)</f>
        <v>-0</v>
      </c>
      <c r="AG17" s="33" t="n">
        <f aca="false">-IF(AG$3=Office_Start,Office_Deposit_Months*Costs!AG36,0)</f>
        <v>-0</v>
      </c>
      <c r="AH17" s="33" t="n">
        <f aca="false">-IF(AH$3=Office_Start,Office_Deposit_Months*Costs!AH36,0)</f>
        <v>-0</v>
      </c>
      <c r="AI17" s="33" t="n">
        <f aca="false">-IF(AI$3=Office_Start,Office_Deposit_Months*Costs!AI36,0)</f>
        <v>-0</v>
      </c>
      <c r="AJ17" s="33" t="n">
        <f aca="false">-IF(AJ$3=Office_Start,Office_Deposit_Months*Costs!AJ36,0)</f>
        <v>-0</v>
      </c>
      <c r="AK17" s="33" t="n">
        <f aca="false">-IF(AK$3=Office_Start,Office_Deposit_Months*Costs!AK36,0)</f>
        <v>-0</v>
      </c>
      <c r="AL17" s="33" t="n">
        <f aca="false">-IF(AL$3=Office_Start,Office_Deposit_Months*Costs!AL36,0)</f>
        <v>-0</v>
      </c>
      <c r="AM17" s="33" t="n">
        <f aca="false">-IF(AM$3=Office_Start,Office_Deposit_Months*Costs!AM36,0)</f>
        <v>-0</v>
      </c>
      <c r="AN17" s="33" t="n">
        <f aca="false">-IF(AN$3=Office_Start,Office_Deposit_Months*Costs!AN36,0)</f>
        <v>-0</v>
      </c>
      <c r="AO17" s="33" t="n">
        <f aca="false">-IF(AO$3=Office_Start,Office_Deposit_Months*Costs!AO36,0)</f>
        <v>-0</v>
      </c>
      <c r="AP17" s="33" t="n">
        <f aca="false">-IF(AP$3=Office_Start,Office_Deposit_Months*Costs!AP36,0)</f>
        <v>-0</v>
      </c>
      <c r="AQ17" s="33" t="n">
        <f aca="false">-IF(AQ$3=Office_Start,Office_Deposit_Months*Costs!AQ36,0)</f>
        <v>-0</v>
      </c>
      <c r="AR17" s="33" t="n">
        <f aca="false">-IF(AR$3=Office_Start,Office_Deposit_Months*Costs!AR36,0)</f>
        <v>-0</v>
      </c>
      <c r="AS17" s="33" t="n">
        <f aca="false">-IF(AS$3=Office_Start,Office_Deposit_Months*Costs!AS36,0)</f>
        <v>-0</v>
      </c>
      <c r="AT17" s="33" t="n">
        <f aca="false">-IF(AT$3=Office_Start,Office_Deposit_Months*Costs!AT36,0)</f>
        <v>-0</v>
      </c>
      <c r="AU17" s="33" t="n">
        <f aca="false">-IF(AU$3=Office_Start,Office_Deposit_Months*Costs!AU36,0)</f>
        <v>-0</v>
      </c>
      <c r="AV17" s="33" t="n">
        <f aca="false">-IF(AV$3=Office_Start,Office_Deposit_Months*Costs!AV36,0)</f>
        <v>-0</v>
      </c>
      <c r="AW17" s="33" t="n">
        <f aca="false">-IF(AW$3=Office_Start,Office_Deposit_Months*Costs!AW36,0)</f>
        <v>-0</v>
      </c>
      <c r="AX17" s="33" t="n">
        <f aca="false">-IF(AX$3=Office_Start,Office_Deposit_Months*Costs!AX36,0)</f>
        <v>-0</v>
      </c>
      <c r="AY17" s="33" t="n">
        <f aca="false">-IF(AY$3=Office_Start,Office_Deposit_Months*Costs!AY36,0)</f>
        <v>-0</v>
      </c>
      <c r="AZ17" s="33" t="n">
        <f aca="false">-IF(AZ$3=Office_Start,Office_Deposit_Months*Costs!AZ36,0)</f>
        <v>-0</v>
      </c>
      <c r="BA17" s="33" t="n">
        <f aca="false">-IF(BA$3=Office_Start,Office_Deposit_Months*Costs!BA36,0)</f>
        <v>-0</v>
      </c>
      <c r="BB17" s="33" t="n">
        <f aca="false">-IF(BB$3=Office_Start,Office_Deposit_Months*Costs!BB36,0)</f>
        <v>-0</v>
      </c>
      <c r="BC17" s="33" t="n">
        <f aca="false">-IF(BC$3=Office_Start,Office_Deposit_Months*Costs!BC36,0)</f>
        <v>-0</v>
      </c>
      <c r="BD17" s="33" t="n">
        <f aca="false">-IF(BD$3=Office_Start,Office_Deposit_Months*Costs!BD36,0)</f>
        <v>-0</v>
      </c>
      <c r="BE17" s="33" t="n">
        <f aca="false">-IF(BE$3=Office_Start,Office_Deposit_Months*Costs!BE36,0)</f>
        <v>-0</v>
      </c>
      <c r="BF17" s="33" t="n">
        <f aca="false">-IF(BF$3=Office_Start,Office_Deposit_Months*Costs!BF36,0)</f>
        <v>-0</v>
      </c>
      <c r="BG17" s="33" t="n">
        <f aca="false">-IF(BG$3=Office_Start,Office_Deposit_Months*Costs!BG36,0)</f>
        <v>-0</v>
      </c>
      <c r="BH17" s="33" t="n">
        <f aca="false">-IF(BH$3=Office_Start,Office_Deposit_Months*Costs!BH36,0)</f>
        <v>-0</v>
      </c>
      <c r="BI17" s="33" t="n">
        <f aca="false">-IF(BI$3=Office_Start,Office_Deposit_Months*Costs!BI36,0)</f>
        <v>-0</v>
      </c>
      <c r="BJ17" s="33" t="n">
        <f aca="false">-IF(BJ$3=Office_Start,Office_Deposit_Months*Costs!BJ36,0)</f>
        <v>-0</v>
      </c>
      <c r="BK17" s="33" t="n">
        <f aca="false">-IF(BK$3=Office_Start,Office_Deposit_Months*Costs!BK36,0)</f>
        <v>-0</v>
      </c>
      <c r="BL17" s="33" t="n">
        <f aca="false">-IF(BL$3=Office_Start,Office_Deposit_Months*Costs!BL36,0)</f>
        <v>-0</v>
      </c>
    </row>
    <row r="18" customFormat="false" ht="15" hidden="false" customHeight="false" outlineLevel="0" collapsed="false">
      <c r="A18" s="12" t="s">
        <v>726</v>
      </c>
      <c r="B18" s="14" t="s">
        <v>63</v>
      </c>
      <c r="D18" s="41" t="n">
        <f aca="false">SUM(E18:BL18)</f>
        <v>-650000000</v>
      </c>
      <c r="E18" s="33" t="n">
        <f aca="false">-IF(E$3=SFD_Acq_Month,SFD_Acquisition,0)</f>
        <v>-0</v>
      </c>
      <c r="F18" s="33" t="n">
        <f aca="false">-IF(F$3=SFD_Acq_Month,SFD_Acquisition,0)</f>
        <v>-0</v>
      </c>
      <c r="G18" s="33" t="n">
        <f aca="false">-IF(G$3=SFD_Acq_Month,SFD_Acquisition,0)</f>
        <v>-0</v>
      </c>
      <c r="H18" s="33" t="n">
        <f aca="false">-IF(H$3=SFD_Acq_Month,SFD_Acquisition,0)</f>
        <v>-0</v>
      </c>
      <c r="I18" s="33" t="n">
        <f aca="false">-IF(I$3=SFD_Acq_Month,SFD_Acquisition,0)</f>
        <v>-0</v>
      </c>
      <c r="J18" s="33" t="n">
        <f aca="false">-IF(J$3=SFD_Acq_Month,SFD_Acquisition,0)</f>
        <v>-0</v>
      </c>
      <c r="K18" s="33" t="n">
        <f aca="false">-IF(K$3=SFD_Acq_Month,SFD_Acquisition,0)</f>
        <v>-0</v>
      </c>
      <c r="L18" s="33" t="n">
        <f aca="false">-IF(L$3=SFD_Acq_Month,SFD_Acquisition,0)</f>
        <v>-0</v>
      </c>
      <c r="M18" s="33" t="n">
        <f aca="false">-IF(M$3=SFD_Acq_Month,SFD_Acquisition,0)</f>
        <v>-0</v>
      </c>
      <c r="N18" s="33" t="n">
        <f aca="false">-IF(N$3=SFD_Acq_Month,SFD_Acquisition,0)</f>
        <v>-0</v>
      </c>
      <c r="O18" s="33" t="n">
        <f aca="false">-IF(O$3=SFD_Acq_Month,SFD_Acquisition,0)</f>
        <v>-0</v>
      </c>
      <c r="P18" s="33" t="n">
        <f aca="false">-IF(P$3=SFD_Acq_Month,SFD_Acquisition,0)</f>
        <v>-0</v>
      </c>
      <c r="Q18" s="33" t="n">
        <f aca="false">-IF(Q$3=SFD_Acq_Month,SFD_Acquisition,0)</f>
        <v>-0</v>
      </c>
      <c r="R18" s="33" t="n">
        <f aca="false">-IF(R$3=SFD_Acq_Month,SFD_Acquisition,0)</f>
        <v>-0</v>
      </c>
      <c r="S18" s="33" t="n">
        <f aca="false">-IF(S$3=SFD_Acq_Month,SFD_Acquisition,0)</f>
        <v>-0</v>
      </c>
      <c r="T18" s="33" t="n">
        <f aca="false">-IF(T$3=SFD_Acq_Month,SFD_Acquisition,0)</f>
        <v>-0</v>
      </c>
      <c r="U18" s="33" t="n">
        <f aca="false">-IF(U$3=SFD_Acq_Month,SFD_Acquisition,0)</f>
        <v>-0</v>
      </c>
      <c r="V18" s="33" t="n">
        <f aca="false">-IF(V$3=SFD_Acq_Month,SFD_Acquisition,0)</f>
        <v>-0</v>
      </c>
      <c r="W18" s="33" t="n">
        <f aca="false">-IF(W$3=SFD_Acq_Month,SFD_Acquisition,0)</f>
        <v>-0</v>
      </c>
      <c r="X18" s="33" t="n">
        <f aca="false">-IF(X$3=SFD_Acq_Month,SFD_Acquisition,0)</f>
        <v>-0</v>
      </c>
      <c r="Y18" s="33" t="n">
        <f aca="false">-IF(Y$3=SFD_Acq_Month,SFD_Acquisition,0)</f>
        <v>-0</v>
      </c>
      <c r="Z18" s="33" t="n">
        <f aca="false">-IF(Z$3=SFD_Acq_Month,SFD_Acquisition,0)</f>
        <v>-0</v>
      </c>
      <c r="AA18" s="33" t="n">
        <f aca="false">-IF(AA$3=SFD_Acq_Month,SFD_Acquisition,0)</f>
        <v>-0</v>
      </c>
      <c r="AB18" s="33" t="n">
        <f aca="false">-IF(AB$3=SFD_Acq_Month,SFD_Acquisition,0)</f>
        <v>-0</v>
      </c>
      <c r="AC18" s="33" t="n">
        <f aca="false">-IF(AC$3=SFD_Acq_Month,SFD_Acquisition,0)</f>
        <v>-0</v>
      </c>
      <c r="AD18" s="33" t="n">
        <f aca="false">-IF(AD$3=SFD_Acq_Month,SFD_Acquisition,0)</f>
        <v>-0</v>
      </c>
      <c r="AE18" s="33" t="n">
        <f aca="false">-IF(AE$3=SFD_Acq_Month,SFD_Acquisition,0)</f>
        <v>-0</v>
      </c>
      <c r="AF18" s="33" t="n">
        <f aca="false">-IF(AF$3=SFD_Acq_Month,SFD_Acquisition,0)</f>
        <v>-0</v>
      </c>
      <c r="AG18" s="33" t="n">
        <f aca="false">-IF(AG$3=SFD_Acq_Month,SFD_Acquisition,0)</f>
        <v>-0</v>
      </c>
      <c r="AH18" s="33" t="n">
        <f aca="false">-IF(AH$3=SFD_Acq_Month,SFD_Acquisition,0)</f>
        <v>-0</v>
      </c>
      <c r="AI18" s="33" t="n">
        <f aca="false">-IF(AI$3=SFD_Acq_Month,SFD_Acquisition,0)</f>
        <v>-0</v>
      </c>
      <c r="AJ18" s="33" t="n">
        <f aca="false">-IF(AJ$3=SFD_Acq_Month,SFD_Acquisition,0)</f>
        <v>-0</v>
      </c>
      <c r="AK18" s="33" t="n">
        <f aca="false">-IF(AK$3=SFD_Acq_Month,SFD_Acquisition,0)</f>
        <v>-0</v>
      </c>
      <c r="AL18" s="33" t="n">
        <f aca="false">-IF(AL$3=SFD_Acq_Month,SFD_Acquisition,0)</f>
        <v>-0</v>
      </c>
      <c r="AM18" s="33" t="n">
        <f aca="false">-IF(AM$3=SFD_Acq_Month,SFD_Acquisition,0)</f>
        <v>-0</v>
      </c>
      <c r="AN18" s="33" t="n">
        <f aca="false">-IF(AN$3=SFD_Acq_Month,SFD_Acquisition,0)</f>
        <v>-650000000</v>
      </c>
      <c r="AO18" s="33" t="n">
        <f aca="false">-IF(AO$3=SFD_Acq_Month,SFD_Acquisition,0)</f>
        <v>-0</v>
      </c>
      <c r="AP18" s="33" t="n">
        <f aca="false">-IF(AP$3=SFD_Acq_Month,SFD_Acquisition,0)</f>
        <v>-0</v>
      </c>
      <c r="AQ18" s="33" t="n">
        <f aca="false">-IF(AQ$3=SFD_Acq_Month,SFD_Acquisition,0)</f>
        <v>-0</v>
      </c>
      <c r="AR18" s="33" t="n">
        <f aca="false">-IF(AR$3=SFD_Acq_Month,SFD_Acquisition,0)</f>
        <v>-0</v>
      </c>
      <c r="AS18" s="33" t="n">
        <f aca="false">-IF(AS$3=SFD_Acq_Month,SFD_Acquisition,0)</f>
        <v>-0</v>
      </c>
      <c r="AT18" s="33" t="n">
        <f aca="false">-IF(AT$3=SFD_Acq_Month,SFD_Acquisition,0)</f>
        <v>-0</v>
      </c>
      <c r="AU18" s="33" t="n">
        <f aca="false">-IF(AU$3=SFD_Acq_Month,SFD_Acquisition,0)</f>
        <v>-0</v>
      </c>
      <c r="AV18" s="33" t="n">
        <f aca="false">-IF(AV$3=SFD_Acq_Month,SFD_Acquisition,0)</f>
        <v>-0</v>
      </c>
      <c r="AW18" s="33" t="n">
        <f aca="false">-IF(AW$3=SFD_Acq_Month,SFD_Acquisition,0)</f>
        <v>-0</v>
      </c>
      <c r="AX18" s="33" t="n">
        <f aca="false">-IF(AX$3=SFD_Acq_Month,SFD_Acquisition,0)</f>
        <v>-0</v>
      </c>
      <c r="AY18" s="33" t="n">
        <f aca="false">-IF(AY$3=SFD_Acq_Month,SFD_Acquisition,0)</f>
        <v>-0</v>
      </c>
      <c r="AZ18" s="33" t="n">
        <f aca="false">-IF(AZ$3=SFD_Acq_Month,SFD_Acquisition,0)</f>
        <v>-0</v>
      </c>
      <c r="BA18" s="33" t="n">
        <f aca="false">-IF(BA$3=SFD_Acq_Month,SFD_Acquisition,0)</f>
        <v>-0</v>
      </c>
      <c r="BB18" s="33" t="n">
        <f aca="false">-IF(BB$3=SFD_Acq_Month,SFD_Acquisition,0)</f>
        <v>-0</v>
      </c>
      <c r="BC18" s="33" t="n">
        <f aca="false">-IF(BC$3=SFD_Acq_Month,SFD_Acquisition,0)</f>
        <v>-0</v>
      </c>
      <c r="BD18" s="33" t="n">
        <f aca="false">-IF(BD$3=SFD_Acq_Month,SFD_Acquisition,0)</f>
        <v>-0</v>
      </c>
      <c r="BE18" s="33" t="n">
        <f aca="false">-IF(BE$3=SFD_Acq_Month,SFD_Acquisition,0)</f>
        <v>-0</v>
      </c>
      <c r="BF18" s="33" t="n">
        <f aca="false">-IF(BF$3=SFD_Acq_Month,SFD_Acquisition,0)</f>
        <v>-0</v>
      </c>
      <c r="BG18" s="33" t="n">
        <f aca="false">-IF(BG$3=SFD_Acq_Month,SFD_Acquisition,0)</f>
        <v>-0</v>
      </c>
      <c r="BH18" s="33" t="n">
        <f aca="false">-IF(BH$3=SFD_Acq_Month,SFD_Acquisition,0)</f>
        <v>-0</v>
      </c>
      <c r="BI18" s="33" t="n">
        <f aca="false">-IF(BI$3=SFD_Acq_Month,SFD_Acquisition,0)</f>
        <v>-0</v>
      </c>
      <c r="BJ18" s="33" t="n">
        <f aca="false">-IF(BJ$3=SFD_Acq_Month,SFD_Acquisition,0)</f>
        <v>-0</v>
      </c>
      <c r="BK18" s="33" t="n">
        <f aca="false">-IF(BK$3=SFD_Acq_Month,SFD_Acquisition,0)</f>
        <v>-0</v>
      </c>
      <c r="BL18" s="33" t="n">
        <f aca="false">-IF(BL$3=SFD_Acq_Month,SFD_Acquisition,0)</f>
        <v>-0</v>
      </c>
    </row>
    <row r="19" customFormat="false" ht="15" hidden="false" customHeight="false" outlineLevel="0" collapsed="false">
      <c r="A19" s="12" t="s">
        <v>727</v>
      </c>
      <c r="B19" s="14" t="s">
        <v>63</v>
      </c>
      <c r="D19" s="41" t="n">
        <f aca="false">SUM(E19:BL19)</f>
        <v>-1535001079.02664</v>
      </c>
      <c r="E19" s="33" t="n">
        <f aca="false">-Credit!E45</f>
        <v>-0</v>
      </c>
      <c r="F19" s="33" t="n">
        <f aca="false">-(Credit!F45-Credit!E45)</f>
        <v>-0</v>
      </c>
      <c r="G19" s="33" t="n">
        <f aca="false">-(Credit!G45-Credit!F45)</f>
        <v>-0</v>
      </c>
      <c r="H19" s="33" t="n">
        <f aca="false">-(Credit!H45-Credit!G45)</f>
        <v>-0</v>
      </c>
      <c r="I19" s="33" t="n">
        <f aca="false">-(Credit!I45-Credit!H45)</f>
        <v>-0</v>
      </c>
      <c r="J19" s="33" t="n">
        <f aca="false">-(Credit!J45-Credit!I45)</f>
        <v>-0</v>
      </c>
      <c r="K19" s="33" t="n">
        <f aca="false">-(Credit!K45-Credit!J45)</f>
        <v>-0</v>
      </c>
      <c r="L19" s="33" t="n">
        <f aca="false">-(Credit!L45-Credit!K45)</f>
        <v>-0</v>
      </c>
      <c r="M19" s="33" t="n">
        <f aca="false">-(Credit!M45-Credit!L45)</f>
        <v>-0</v>
      </c>
      <c r="N19" s="33" t="n">
        <f aca="false">-(Credit!N45-Credit!M45)</f>
        <v>-0</v>
      </c>
      <c r="O19" s="33" t="n">
        <f aca="false">-(Credit!O45-Credit!N45)</f>
        <v>-0</v>
      </c>
      <c r="P19" s="33" t="n">
        <f aca="false">-(Credit!P45-Credit!O45)</f>
        <v>-2024719.68705342</v>
      </c>
      <c r="Q19" s="33" t="n">
        <f aca="false">-(Credit!Q45-Credit!P45)</f>
        <v>-2735380.30600613</v>
      </c>
      <c r="R19" s="33" t="n">
        <f aca="false">-(Credit!R45-Credit!Q45)</f>
        <v>-3441095.19246198</v>
      </c>
      <c r="S19" s="33" t="n">
        <f aca="false">-(Credit!S45-Credit!R45)</f>
        <v>-4864797.03258013</v>
      </c>
      <c r="T19" s="33" t="n">
        <f aca="false">-(Credit!T45-Credit!S45)</f>
        <v>-5728155.04797811</v>
      </c>
      <c r="U19" s="33" t="n">
        <f aca="false">-(Credit!U45-Credit!T45)</f>
        <v>-6589465.46414611</v>
      </c>
      <c r="V19" s="33" t="n">
        <f aca="false">-(Credit!V45-Credit!U45)</f>
        <v>-7450300.57866712</v>
      </c>
      <c r="W19" s="33" t="n">
        <f aca="false">-(Credit!W45-Credit!V45)</f>
        <v>-9231422.32525269</v>
      </c>
      <c r="X19" s="33" t="n">
        <f aca="false">-(Credit!X45-Credit!W45)</f>
        <v>-15394714.2692494</v>
      </c>
      <c r="Y19" s="33" t="n">
        <f aca="false">-(Credit!Y45-Credit!X45)</f>
        <v>-17734088.4833723</v>
      </c>
      <c r="Z19" s="33" t="n">
        <f aca="false">-(Credit!Z45-Credit!Y45)</f>
        <v>-20060843.0498269</v>
      </c>
      <c r="AA19" s="33" t="n">
        <f aca="false">-(Credit!AA45-Credit!Z45)</f>
        <v>-22378837.1891838</v>
      </c>
      <c r="AB19" s="33" t="n">
        <f aca="false">-(Credit!AB45-Credit!AA45)</f>
        <v>-16458296.8132733</v>
      </c>
      <c r="AC19" s="33" t="n">
        <f aca="false">-(Credit!AC45-Credit!AB45)</f>
        <v>-19861725.2799385</v>
      </c>
      <c r="AD19" s="33" t="n">
        <f aca="false">-(Credit!AD45-Credit!AC45)</f>
        <v>-20883135.5506044</v>
      </c>
      <c r="AE19" s="33" t="n">
        <f aca="false">-(Credit!AE45-Credit!AD45)</f>
        <v>-19377297.5059342</v>
      </c>
      <c r="AF19" s="33" t="n">
        <f aca="false">-(Credit!AF45-Credit!AE45)</f>
        <v>-20009401.8403163</v>
      </c>
      <c r="AG19" s="33" t="n">
        <f aca="false">-(Credit!AG45-Credit!AF45)</f>
        <v>-20652837.694839</v>
      </c>
      <c r="AH19" s="33" t="n">
        <f aca="false">-(Credit!AH45-Credit!AG45)</f>
        <v>-21309347.2784986</v>
      </c>
      <c r="AI19" s="33" t="n">
        <f aca="false">-(Credit!AI45-Credit!AH45)</f>
        <v>-21980770.2628957</v>
      </c>
      <c r="AJ19" s="33" t="n">
        <f aca="false">-(Credit!AJ45-Credit!AI45)</f>
        <v>-22350310.8344794</v>
      </c>
      <c r="AK19" s="33" t="n">
        <f aca="false">-(Credit!AK45-Credit!AJ45)</f>
        <v>-22294942.7261719</v>
      </c>
      <c r="AL19" s="33" t="n">
        <f aca="false">-(Credit!AL45-Credit!AK45)</f>
        <v>-22259169.7341293</v>
      </c>
      <c r="AM19" s="33" t="n">
        <f aca="false">-(Credit!AM45-Credit!AL45)</f>
        <v>-22243762.388157</v>
      </c>
      <c r="AN19" s="33" t="n">
        <f aca="false">-(Credit!AN45-Credit!AM45)</f>
        <v>-22249544.9597923</v>
      </c>
      <c r="AO19" s="33" t="n">
        <f aca="false">-(Credit!AO45-Credit!AN45)</f>
        <v>-230379428.562648</v>
      </c>
      <c r="AP19" s="33" t="n">
        <f aca="false">-(Credit!AP45-Credit!AO45)</f>
        <v>-35637891.5632516</v>
      </c>
      <c r="AQ19" s="33" t="n">
        <f aca="false">-(Credit!AQ45-Credit!AP45)</f>
        <v>-35715189.4535965</v>
      </c>
      <c r="AR19" s="33" t="n">
        <f aca="false">-(Credit!AR45-Credit!AQ45)</f>
        <v>-35830737.8276525</v>
      </c>
      <c r="AS19" s="33" t="n">
        <f aca="false">-(Credit!AS45-Credit!AR45)</f>
        <v>-35802359.0233203</v>
      </c>
      <c r="AT19" s="33" t="n">
        <f aca="false">-(Credit!AT45-Credit!AS45)</f>
        <v>-35392204.3350521</v>
      </c>
      <c r="AU19" s="33" t="n">
        <f aca="false">-(Credit!AU45-Credit!AT45)</f>
        <v>-34999055.6090348</v>
      </c>
      <c r="AV19" s="33" t="n">
        <f aca="false">-(Credit!AV45-Credit!AU45)</f>
        <v>-42989826.8417281</v>
      </c>
      <c r="AW19" s="33" t="n">
        <f aca="false">-(Credit!AW45-Credit!AV45)</f>
        <v>-42494819.9356084</v>
      </c>
      <c r="AX19" s="33" t="n">
        <f aca="false">-(Credit!AX45-Credit!AW45)</f>
        <v>-42020191.8225572</v>
      </c>
      <c r="AY19" s="33" t="n">
        <f aca="false">-(Credit!AY45-Credit!AX45)</f>
        <v>-41566284.2838675</v>
      </c>
      <c r="AZ19" s="33" t="n">
        <f aca="false">-(Credit!AZ45-Credit!AY45)</f>
        <v>-41133475.8834471</v>
      </c>
      <c r="BA19" s="33" t="n">
        <f aca="false">-(Credit!BA45-Credit!AZ45)</f>
        <v>-42919983.8648133</v>
      </c>
      <c r="BB19" s="33" t="n">
        <f aca="false">-(Credit!BB45-Credit!BA45)</f>
        <v>-42494739.0679235</v>
      </c>
      <c r="BC19" s="33" t="n">
        <f aca="false">-(Credit!BC45-Credit!BB45)</f>
        <v>-42092602.8986611</v>
      </c>
      <c r="BD19" s="33" t="n">
        <f aca="false">-(Credit!BD45-Credit!BC45)</f>
        <v>-41714109.5325761</v>
      </c>
      <c r="BE19" s="33" t="n">
        <f aca="false">-(Credit!BE45-Credit!BD45)</f>
        <v>-41359840.9075055</v>
      </c>
      <c r="BF19" s="33" t="n">
        <f aca="false">-(Credit!BF45-Credit!BE45)</f>
        <v>-41030429.290518</v>
      </c>
      <c r="BG19" s="33" t="n">
        <f aca="false">-(Credit!BG45-Credit!BF45)</f>
        <v>-40726560.0046594</v>
      </c>
      <c r="BH19" s="33" t="n">
        <f aca="false">-(Credit!BH45-Credit!BG45)</f>
        <v>-40448974.3249953</v>
      </c>
      <c r="BI19" s="33" t="n">
        <f aca="false">-(Credit!BI45-Credit!BH45)</f>
        <v>-40198472.553968</v>
      </c>
      <c r="BJ19" s="33" t="n">
        <f aca="false">-(Credit!BJ45-Credit!BI45)</f>
        <v>-39975917.2867446</v>
      </c>
      <c r="BK19" s="33" t="n">
        <f aca="false">-(Credit!BK45-Credit!BJ45)</f>
        <v>-39568162.7134414</v>
      </c>
      <c r="BL19" s="33" t="n">
        <f aca="false">-(Credit!BL45-Credit!BK45)</f>
        <v>-38945459.9442604</v>
      </c>
    </row>
    <row r="20" customFormat="false" ht="15" hidden="false" customHeight="false" outlineLevel="0" collapsed="false">
      <c r="A20" s="8" t="s">
        <v>704</v>
      </c>
      <c r="B20" s="14" t="s">
        <v>63</v>
      </c>
      <c r="D20" s="41" t="n">
        <f aca="false">SUM(E20:BL20)</f>
        <v>-3708374483.1569</v>
      </c>
      <c r="E20" s="16" t="n">
        <f aca="false">SUM(E9:E19)</f>
        <v>-39355701.4666667</v>
      </c>
      <c r="F20" s="16" t="n">
        <f aca="false">SUM(F9:F19)</f>
        <v>-52919490.0666667</v>
      </c>
      <c r="G20" s="16" t="n">
        <f aca="false">SUM(G9:G19)</f>
        <v>-71221518.4666667</v>
      </c>
      <c r="H20" s="16" t="n">
        <f aca="false">SUM(H9:H19)</f>
        <v>-126833908.266667</v>
      </c>
      <c r="I20" s="16" t="n">
        <f aca="false">SUM(I9:I19)</f>
        <v>-52167753.6</v>
      </c>
      <c r="J20" s="16" t="n">
        <f aca="false">SUM(J9:J19)</f>
        <v>-53859878.0066667</v>
      </c>
      <c r="K20" s="16" t="n">
        <f aca="false">SUM(K9:K19)</f>
        <v>-59249682.4607833</v>
      </c>
      <c r="L20" s="16" t="n">
        <f aca="false">SUM(L9:L19)</f>
        <v>-56081965.3666998</v>
      </c>
      <c r="M20" s="16" t="n">
        <f aca="false">SUM(M9:M19)</f>
        <v>-61556826.7468305</v>
      </c>
      <c r="N20" s="16" t="n">
        <f aca="false">SUM(N9:N19)</f>
        <v>-51867200.3260069</v>
      </c>
      <c r="O20" s="16" t="n">
        <f aca="false">SUM(O9:O19)</f>
        <v>-49752146.2279231</v>
      </c>
      <c r="P20" s="16" t="n">
        <f aca="false">SUM(P9:P19)</f>
        <v>-150218367.320562</v>
      </c>
      <c r="Q20" s="16" t="n">
        <f aca="false">SUM(Q9:Q19)</f>
        <v>-83144010.0813451</v>
      </c>
      <c r="R20" s="16" t="n">
        <f aca="false">SUM(R9:R19)</f>
        <v>-73438179.748775</v>
      </c>
      <c r="S20" s="16" t="n">
        <f aca="false">SUM(S9:S19)</f>
        <v>-73540442.0620859</v>
      </c>
      <c r="T20" s="16" t="n">
        <f aca="false">SUM(T9:T19)</f>
        <v>-90396259.2991793</v>
      </c>
      <c r="U20" s="16" t="n">
        <f aca="false">SUM(U9:U19)</f>
        <v>-73127557.7345425</v>
      </c>
      <c r="V20" s="16" t="n">
        <f aca="false">SUM(V9:V19)</f>
        <v>-72069814.7792106</v>
      </c>
      <c r="W20" s="16" t="n">
        <f aca="false">SUM(W9:W19)</f>
        <v>-105813533.372336</v>
      </c>
      <c r="X20" s="16" t="n">
        <f aca="false">SUM(X9:X19)</f>
        <v>-98286853.9019608</v>
      </c>
      <c r="Y20" s="16" t="n">
        <f aca="false">SUM(Y9:Y19)</f>
        <v>-98482962.1314705</v>
      </c>
      <c r="Z20" s="16" t="n">
        <f aca="false">SUM(Z9:Z19)</f>
        <v>-98040653.3220806</v>
      </c>
      <c r="AA20" s="16" t="n">
        <f aca="false">SUM(AA9:AA19)</f>
        <v>-96008152.3098214</v>
      </c>
      <c r="AB20" s="16" t="n">
        <f aca="false">SUM(AB9:AB19)</f>
        <v>-85807569.497267</v>
      </c>
      <c r="AC20" s="16" t="n">
        <f aca="false">SUM(AC9:AC19)</f>
        <v>-108344564.778305</v>
      </c>
      <c r="AD20" s="16" t="n">
        <f aca="false">SUM(AD9:AD19)</f>
        <v>-97279255.2105938</v>
      </c>
      <c r="AE20" s="16" t="n">
        <f aca="false">SUM(AE9:AE19)</f>
        <v>-91467274.3067257</v>
      </c>
      <c r="AF20" s="16" t="n">
        <f aca="false">SUM(AF9:AF19)</f>
        <v>-87015881.8429549</v>
      </c>
      <c r="AG20" s="16" t="n">
        <f aca="false">SUM(AG9:AG19)</f>
        <v>-82518528.9583384</v>
      </c>
      <c r="AH20" s="16" t="n">
        <f aca="false">SUM(AH9:AH19)</f>
        <v>-178312873.385346</v>
      </c>
      <c r="AI20" s="16" t="n">
        <f aca="false">SUM(AI9:AI19)</f>
        <v>-96691972.9789395</v>
      </c>
      <c r="AJ20" s="16" t="n">
        <f aca="false">SUM(AJ9:AJ19)</f>
        <v>-83499889.4013383</v>
      </c>
      <c r="AK20" s="16" t="n">
        <f aca="false">SUM(AK9:AK19)</f>
        <v>-78619773.7211955</v>
      </c>
      <c r="AL20" s="16" t="n">
        <f aca="false">SUM(AL9:AL19)</f>
        <v>-73774899.0729919</v>
      </c>
      <c r="AM20" s="16" t="n">
        <f aca="false">SUM(AM9:AM19)</f>
        <v>-67504319.121957</v>
      </c>
      <c r="AN20" s="16" t="n">
        <f aca="false">SUM(AN9:AN19)</f>
        <v>-711262138.237759</v>
      </c>
      <c r="AO20" s="16" t="n">
        <f aca="false">SUM(AO9:AO19)</f>
        <v>-264449867.012668</v>
      </c>
      <c r="AP20" s="16" t="n">
        <f aca="false">SUM(AP9:AP19)</f>
        <v>-56190119.4187125</v>
      </c>
      <c r="AQ20" s="16" t="n">
        <f aca="false">SUM(AQ9:AQ19)</f>
        <v>-48945920.6580853</v>
      </c>
      <c r="AR20" s="16" t="n">
        <f aca="false">SUM(AR9:AR19)</f>
        <v>-41350410.2378522</v>
      </c>
      <c r="AS20" s="16" t="n">
        <f aca="false">SUM(AS9:AS19)</f>
        <v>-33527377.4237672</v>
      </c>
      <c r="AT20" s="16" t="n">
        <f aca="false">SUM(AT9:AT19)</f>
        <v>-25151213.8490816</v>
      </c>
      <c r="AU20" s="16" t="n">
        <f aca="false">SUM(AU9:AU19)</f>
        <v>-42567744.8475132</v>
      </c>
      <c r="AV20" s="16" t="n">
        <f aca="false">SUM(AV9:AV19)</f>
        <v>-33091707.0795419</v>
      </c>
      <c r="AW20" s="16" t="n">
        <f aca="false">SUM(AW9:AW19)</f>
        <v>-24321706.3976281</v>
      </c>
      <c r="AX20" s="16" t="n">
        <f aca="false">SUM(AX9:AX19)</f>
        <v>-15665193.6221634</v>
      </c>
      <c r="AY20" s="16" t="n">
        <f aca="false">SUM(AY9:AY19)</f>
        <v>-5661552.58175832</v>
      </c>
      <c r="AZ20" s="16" t="n">
        <f aca="false">SUM(AZ9:AZ19)</f>
        <v>4234693.1975413</v>
      </c>
      <c r="BA20" s="16" t="n">
        <f aca="false">SUM(BA9:BA19)</f>
        <v>-22096869.6401505</v>
      </c>
      <c r="BB20" s="16" t="n">
        <f aca="false">SUM(BB9:BB19)</f>
        <v>-673007.192022443</v>
      </c>
      <c r="BC20" s="16" t="n">
        <f aca="false">SUM(BC9:BC19)</f>
        <v>9045853.38529787</v>
      </c>
      <c r="BD20" s="16" t="n">
        <f aca="false">SUM(BD9:BD19)</f>
        <v>19045937.4123056</v>
      </c>
      <c r="BE20" s="16" t="n">
        <f aca="false">SUM(BE9:BE19)</f>
        <v>28947746.9067783</v>
      </c>
      <c r="BF20" s="16" t="n">
        <f aca="false">SUM(BF9:BF19)</f>
        <v>38754730.2339437</v>
      </c>
      <c r="BG20" s="16" t="n">
        <f aca="false">SUM(BG9:BG19)</f>
        <v>48470400.050911</v>
      </c>
      <c r="BH20" s="16" t="n">
        <f aca="false">SUM(BH9:BH19)</f>
        <v>58098339.5638381</v>
      </c>
      <c r="BI20" s="16" t="n">
        <f aca="false">SUM(BI9:BI19)</f>
        <v>67642209.1174504</v>
      </c>
      <c r="BJ20" s="16" t="n">
        <f aca="false">SUM(BJ9:BJ19)</f>
        <v>77105753.1376292</v>
      </c>
      <c r="BK20" s="16" t="n">
        <f aca="false">SUM(BK9:BK19)</f>
        <v>86785402.9383705</v>
      </c>
      <c r="BL20" s="16" t="n">
        <f aca="false">SUM(BL9:BL19)</f>
        <v>96718938.4386336</v>
      </c>
    </row>
    <row r="21" customFormat="false" ht="15" hidden="false" customHeight="false" outlineLevel="0" collapsed="false">
      <c r="A21" s="12" t="s">
        <v>728</v>
      </c>
      <c r="B21" s="14" t="s">
        <v>63</v>
      </c>
      <c r="D21" s="41" t="n">
        <f aca="false">BL21</f>
        <v>-3708374483.1569</v>
      </c>
      <c r="E21" s="33" t="n">
        <f aca="false">E20</f>
        <v>-39355701.4666667</v>
      </c>
      <c r="F21" s="33" t="n">
        <f aca="false">E21+F20</f>
        <v>-92275191.5333333</v>
      </c>
      <c r="G21" s="33" t="n">
        <f aca="false">F21+G20</f>
        <v>-163496710</v>
      </c>
      <c r="H21" s="33" t="n">
        <f aca="false">G21+H20</f>
        <v>-290330618.266667</v>
      </c>
      <c r="I21" s="33" t="n">
        <f aca="false">H21+I20</f>
        <v>-342498371.866667</v>
      </c>
      <c r="J21" s="33" t="n">
        <f aca="false">I21+J20</f>
        <v>-396358249.873333</v>
      </c>
      <c r="K21" s="33" t="n">
        <f aca="false">J21+K20</f>
        <v>-455607932.334117</v>
      </c>
      <c r="L21" s="33" t="n">
        <f aca="false">K21+L20</f>
        <v>-511689897.700816</v>
      </c>
      <c r="M21" s="33" t="n">
        <f aca="false">L21+M20</f>
        <v>-573246724.447647</v>
      </c>
      <c r="N21" s="33" t="n">
        <f aca="false">M21+N20</f>
        <v>-625113924.773654</v>
      </c>
      <c r="O21" s="33" t="n">
        <f aca="false">N21+O20</f>
        <v>-674866071.001577</v>
      </c>
      <c r="P21" s="33" t="n">
        <f aca="false">O21+P20</f>
        <v>-825084438.322139</v>
      </c>
      <c r="Q21" s="33" t="n">
        <f aca="false">P21+Q20</f>
        <v>-908228448.403484</v>
      </c>
      <c r="R21" s="33" t="n">
        <f aca="false">Q21+R20</f>
        <v>-981666628.152259</v>
      </c>
      <c r="S21" s="33" t="n">
        <f aca="false">R21+S20</f>
        <v>-1055207070.21435</v>
      </c>
      <c r="T21" s="33" t="n">
        <f aca="false">S21+T20</f>
        <v>-1145603329.51352</v>
      </c>
      <c r="U21" s="33" t="n">
        <f aca="false">T21+U20</f>
        <v>-1218730887.24807</v>
      </c>
      <c r="V21" s="33" t="n">
        <f aca="false">U21+V20</f>
        <v>-1290800702.02728</v>
      </c>
      <c r="W21" s="33" t="n">
        <f aca="false">V21+W20</f>
        <v>-1396614235.39961</v>
      </c>
      <c r="X21" s="33" t="n">
        <f aca="false">W21+X20</f>
        <v>-1494901089.30157</v>
      </c>
      <c r="Y21" s="33" t="n">
        <f aca="false">X21+Y20</f>
        <v>-1593384051.43305</v>
      </c>
      <c r="Z21" s="33" t="n">
        <f aca="false">Y21+Z20</f>
        <v>-1691424704.75513</v>
      </c>
      <c r="AA21" s="33" t="n">
        <f aca="false">Z21+AA20</f>
        <v>-1787432857.06495</v>
      </c>
      <c r="AB21" s="33" t="n">
        <f aca="false">AA21+AB20</f>
        <v>-1873240426.56221</v>
      </c>
      <c r="AC21" s="33" t="n">
        <f aca="false">AB21+AC20</f>
        <v>-1981584991.34052</v>
      </c>
      <c r="AD21" s="33" t="n">
        <f aca="false">AC21+AD20</f>
        <v>-2078864246.55111</v>
      </c>
      <c r="AE21" s="33" t="n">
        <f aca="false">AD21+AE20</f>
        <v>-2170331520.85784</v>
      </c>
      <c r="AF21" s="33" t="n">
        <f aca="false">AE21+AF20</f>
        <v>-2257347402.70079</v>
      </c>
      <c r="AG21" s="33" t="n">
        <f aca="false">AF21+AG20</f>
        <v>-2339865931.65913</v>
      </c>
      <c r="AH21" s="33" t="n">
        <f aca="false">AG21+AH20</f>
        <v>-2518178805.04448</v>
      </c>
      <c r="AI21" s="33" t="n">
        <f aca="false">AH21+AI20</f>
        <v>-2614870778.02342</v>
      </c>
      <c r="AJ21" s="33" t="n">
        <f aca="false">AI21+AJ20</f>
        <v>-2698370667.42475</v>
      </c>
      <c r="AK21" s="33" t="n">
        <f aca="false">AJ21+AK20</f>
        <v>-2776990441.14595</v>
      </c>
      <c r="AL21" s="33" t="n">
        <f aca="false">AK21+AL20</f>
        <v>-2850765340.21894</v>
      </c>
      <c r="AM21" s="33" t="n">
        <f aca="false">AL21+AM20</f>
        <v>-2918269659.3409</v>
      </c>
      <c r="AN21" s="33" t="n">
        <f aca="false">AM21+AN20</f>
        <v>-3629531797.57866</v>
      </c>
      <c r="AO21" s="33" t="n">
        <f aca="false">AN21+AO20</f>
        <v>-3893981664.59133</v>
      </c>
      <c r="AP21" s="33" t="n">
        <f aca="false">AO21+AP20</f>
        <v>-3950171784.01004</v>
      </c>
      <c r="AQ21" s="33" t="n">
        <f aca="false">AP21+AQ20</f>
        <v>-3999117704.66812</v>
      </c>
      <c r="AR21" s="33" t="n">
        <f aca="false">AQ21+AR20</f>
        <v>-4040468114.90598</v>
      </c>
      <c r="AS21" s="33" t="n">
        <f aca="false">AR21+AS20</f>
        <v>-4073995492.32974</v>
      </c>
      <c r="AT21" s="33" t="n">
        <f aca="false">AS21+AT20</f>
        <v>-4099146706.17883</v>
      </c>
      <c r="AU21" s="33" t="n">
        <f aca="false">AT21+AU20</f>
        <v>-4141714451.02634</v>
      </c>
      <c r="AV21" s="33" t="n">
        <f aca="false">AU21+AV20</f>
        <v>-4174806158.10588</v>
      </c>
      <c r="AW21" s="33" t="n">
        <f aca="false">AV21+AW20</f>
        <v>-4199127864.50351</v>
      </c>
      <c r="AX21" s="33" t="n">
        <f aca="false">AW21+AX20</f>
        <v>-4214793058.12567</v>
      </c>
      <c r="AY21" s="33" t="n">
        <f aca="false">AX21+AY20</f>
        <v>-4220454610.70743</v>
      </c>
      <c r="AZ21" s="33" t="n">
        <f aca="false">AY21+AZ20</f>
        <v>-4216219917.50989</v>
      </c>
      <c r="BA21" s="33" t="n">
        <f aca="false">AZ21+BA20</f>
        <v>-4238316787.15004</v>
      </c>
      <c r="BB21" s="33" t="n">
        <f aca="false">BA21+BB20</f>
        <v>-4238989794.34206</v>
      </c>
      <c r="BC21" s="33" t="n">
        <f aca="false">BB21+BC20</f>
        <v>-4229943940.95676</v>
      </c>
      <c r="BD21" s="33" t="n">
        <f aca="false">BC21+BD20</f>
        <v>-4210898003.54446</v>
      </c>
      <c r="BE21" s="33" t="n">
        <f aca="false">BD21+BE20</f>
        <v>-4181950256.63768</v>
      </c>
      <c r="BF21" s="33" t="n">
        <f aca="false">BE21+BF20</f>
        <v>-4143195526.40374</v>
      </c>
      <c r="BG21" s="33" t="n">
        <f aca="false">BF21+BG20</f>
        <v>-4094725126.35282</v>
      </c>
      <c r="BH21" s="33" t="n">
        <f aca="false">BG21+BH20</f>
        <v>-4036626786.78899</v>
      </c>
      <c r="BI21" s="33" t="n">
        <f aca="false">BH21+BI20</f>
        <v>-3968984577.67154</v>
      </c>
      <c r="BJ21" s="33" t="n">
        <f aca="false">BI21+BJ20</f>
        <v>-3891878824.53391</v>
      </c>
      <c r="BK21" s="33" t="n">
        <f aca="false">BJ21+BK20</f>
        <v>-3805093421.59554</v>
      </c>
      <c r="BL21" s="33" t="n">
        <f aca="false">BK21+BL20</f>
        <v>-3708374483.1569</v>
      </c>
    </row>
    <row r="23" customFormat="false" ht="15" hidden="false" customHeight="false" outlineLevel="0" collapsed="false">
      <c r="A23" s="10" t="s">
        <v>729</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705</v>
      </c>
      <c r="B24" s="14" t="s">
        <v>63</v>
      </c>
      <c r="D24" s="41" t="n">
        <f aca="false">SUM(E24:BL24)</f>
        <v>5000000000</v>
      </c>
      <c r="E24" s="33" t="n">
        <f aca="false">IF(E$3=Seed_Month,Seed_Amount,0)+IF(E$3=SeriesA_Month,SeriesA_Amount,0)+IF(E$3=SeriesB_Month,SeriesB_Amount,0)</f>
        <v>1200000000</v>
      </c>
      <c r="F24" s="33" t="n">
        <f aca="false">IF(F$3=Seed_Month,Seed_Amount,0)+IF(F$3=SeriesA_Month,SeriesA_Amount,0)+IF(F$3=SeriesB_Month,SeriesB_Amount,0)</f>
        <v>0</v>
      </c>
      <c r="G24" s="33" t="n">
        <f aca="false">IF(G$3=Seed_Month,Seed_Amount,0)+IF(G$3=SeriesA_Month,SeriesA_Amount,0)+IF(G$3=SeriesB_Month,SeriesB_Amount,0)</f>
        <v>0</v>
      </c>
      <c r="H24" s="33" t="n">
        <f aca="false">IF(H$3=Seed_Month,Seed_Amount,0)+IF(H$3=SeriesA_Month,SeriesA_Amount,0)+IF(H$3=SeriesB_Month,SeriesB_Amount,0)</f>
        <v>0</v>
      </c>
      <c r="I24" s="33" t="n">
        <f aca="false">IF(I$3=Seed_Month,Seed_Amount,0)+IF(I$3=SeriesA_Month,SeriesA_Amount,0)+IF(I$3=SeriesB_Month,SeriesB_Amount,0)</f>
        <v>0</v>
      </c>
      <c r="J24" s="33" t="n">
        <f aca="false">IF(J$3=Seed_Month,Seed_Amount,0)+IF(J$3=SeriesA_Month,SeriesA_Amount,0)+IF(J$3=SeriesB_Month,SeriesB_Amount,0)</f>
        <v>0</v>
      </c>
      <c r="K24" s="33" t="n">
        <f aca="false">IF(K$3=Seed_Month,Seed_Amount,0)+IF(K$3=SeriesA_Month,SeriesA_Amount,0)+IF(K$3=SeriesB_Month,SeriesB_Amount,0)</f>
        <v>0</v>
      </c>
      <c r="L24" s="33" t="n">
        <f aca="false">IF(L$3=Seed_Month,Seed_Amount,0)+IF(L$3=SeriesA_Month,SeriesA_Amount,0)+IF(L$3=SeriesB_Month,SeriesB_Amount,0)</f>
        <v>0</v>
      </c>
      <c r="M24" s="33" t="n">
        <f aca="false">IF(M$3=Seed_Month,Seed_Amount,0)+IF(M$3=SeriesA_Month,SeriesA_Amount,0)+IF(M$3=SeriesB_Month,SeriesB_Amount,0)</f>
        <v>0</v>
      </c>
      <c r="N24" s="33" t="n">
        <f aca="false">IF(N$3=Seed_Month,Seed_Amount,0)+IF(N$3=SeriesA_Month,SeriesA_Amount,0)+IF(N$3=SeriesB_Month,SeriesB_Amount,0)</f>
        <v>0</v>
      </c>
      <c r="O24" s="33" t="n">
        <f aca="false">IF(O$3=Seed_Month,Seed_Amount,0)+IF(O$3=SeriesA_Month,SeriesA_Amount,0)+IF(O$3=SeriesB_Month,SeriesB_Amount,0)</f>
        <v>0</v>
      </c>
      <c r="P24" s="33" t="n">
        <f aca="false">IF(P$3=Seed_Month,Seed_Amount,0)+IF(P$3=SeriesA_Month,SeriesA_Amount,0)+IF(P$3=SeriesB_Month,SeriesB_Amount,0)</f>
        <v>0</v>
      </c>
      <c r="Q24" s="33" t="n">
        <f aca="false">IF(Q$3=Seed_Month,Seed_Amount,0)+IF(Q$3=SeriesA_Month,SeriesA_Amount,0)+IF(Q$3=SeriesB_Month,SeriesB_Amount,0)</f>
        <v>0</v>
      </c>
      <c r="R24" s="33" t="n">
        <f aca="false">IF(R$3=Seed_Month,Seed_Amount,0)+IF(R$3=SeriesA_Month,SeriesA_Amount,0)+IF(R$3=SeriesB_Month,SeriesB_Amount,0)</f>
        <v>0</v>
      </c>
      <c r="S24" s="33" t="n">
        <f aca="false">IF(S$3=Seed_Month,Seed_Amount,0)+IF(S$3=SeriesA_Month,SeriesA_Amount,0)+IF(S$3=SeriesB_Month,SeriesB_Amount,0)</f>
        <v>1800000000</v>
      </c>
      <c r="T24" s="33" t="n">
        <f aca="false">IF(T$3=Seed_Month,Seed_Amount,0)+IF(T$3=SeriesA_Month,SeriesA_Amount,0)+IF(T$3=SeriesB_Month,SeriesB_Amount,0)</f>
        <v>0</v>
      </c>
      <c r="U24" s="33" t="n">
        <f aca="false">IF(U$3=Seed_Month,Seed_Amount,0)+IF(U$3=SeriesA_Month,SeriesA_Amount,0)+IF(U$3=SeriesB_Month,SeriesB_Amount,0)</f>
        <v>0</v>
      </c>
      <c r="V24" s="33" t="n">
        <f aca="false">IF(V$3=Seed_Month,Seed_Amount,0)+IF(V$3=SeriesA_Month,SeriesA_Amount,0)+IF(V$3=SeriesB_Month,SeriesB_Amount,0)</f>
        <v>0</v>
      </c>
      <c r="W24" s="33" t="n">
        <f aca="false">IF(W$3=Seed_Month,Seed_Amount,0)+IF(W$3=SeriesA_Month,SeriesA_Amount,0)+IF(W$3=SeriesB_Month,SeriesB_Amount,0)</f>
        <v>0</v>
      </c>
      <c r="X24" s="33" t="n">
        <f aca="false">IF(X$3=Seed_Month,Seed_Amount,0)+IF(X$3=SeriesA_Month,SeriesA_Amount,0)+IF(X$3=SeriesB_Month,SeriesB_Amount,0)</f>
        <v>0</v>
      </c>
      <c r="Y24" s="33" t="n">
        <f aca="false">IF(Y$3=Seed_Month,Seed_Amount,0)+IF(Y$3=SeriesA_Month,SeriesA_Amount,0)+IF(Y$3=SeriesB_Month,SeriesB_Amount,0)</f>
        <v>0</v>
      </c>
      <c r="Z24" s="33" t="n">
        <f aca="false">IF(Z$3=Seed_Month,Seed_Amount,0)+IF(Z$3=SeriesA_Month,SeriesA_Amount,0)+IF(Z$3=SeriesB_Month,SeriesB_Amount,0)</f>
        <v>0</v>
      </c>
      <c r="AA24" s="33" t="n">
        <f aca="false">IF(AA$3=Seed_Month,Seed_Amount,0)+IF(AA$3=SeriesA_Month,SeriesA_Amount,0)+IF(AA$3=SeriesB_Month,SeriesB_Amount,0)</f>
        <v>0</v>
      </c>
      <c r="AB24" s="33" t="n">
        <f aca="false">IF(AB$3=Seed_Month,Seed_Amount,0)+IF(AB$3=SeriesA_Month,SeriesA_Amount,0)+IF(AB$3=SeriesB_Month,SeriesB_Amount,0)</f>
        <v>0</v>
      </c>
      <c r="AC24" s="33" t="n">
        <f aca="false">IF(AC$3=Seed_Month,Seed_Amount,0)+IF(AC$3=SeriesA_Month,SeriesA_Amount,0)+IF(AC$3=SeriesB_Month,SeriesB_Amount,0)</f>
        <v>0</v>
      </c>
      <c r="AD24" s="33" t="n">
        <f aca="false">IF(AD$3=Seed_Month,Seed_Amount,0)+IF(AD$3=SeriesA_Month,SeriesA_Amount,0)+IF(AD$3=SeriesB_Month,SeriesB_Amount,0)</f>
        <v>0</v>
      </c>
      <c r="AE24" s="33" t="n">
        <f aca="false">IF(AE$3=Seed_Month,Seed_Amount,0)+IF(AE$3=SeriesA_Month,SeriesA_Amount,0)+IF(AE$3=SeriesB_Month,SeriesB_Amount,0)</f>
        <v>0</v>
      </c>
      <c r="AF24" s="33" t="n">
        <f aca="false">IF(AF$3=Seed_Month,Seed_Amount,0)+IF(AF$3=SeriesA_Month,SeriesA_Amount,0)+IF(AF$3=SeriesB_Month,SeriesB_Amount,0)</f>
        <v>0</v>
      </c>
      <c r="AG24" s="33" t="n">
        <f aca="false">IF(AG$3=Seed_Month,Seed_Amount,0)+IF(AG$3=SeriesA_Month,SeriesA_Amount,0)+IF(AG$3=SeriesB_Month,SeriesB_Amount,0)</f>
        <v>0</v>
      </c>
      <c r="AH24" s="33" t="n">
        <f aca="false">IF(AH$3=Seed_Month,Seed_Amount,0)+IF(AH$3=SeriesA_Month,SeriesA_Amount,0)+IF(AH$3=SeriesB_Month,SeriesB_Amount,0)</f>
        <v>0</v>
      </c>
      <c r="AI24" s="33" t="n">
        <f aca="false">IF(AI$3=Seed_Month,Seed_Amount,0)+IF(AI$3=SeriesA_Month,SeriesA_Amount,0)+IF(AI$3=SeriesB_Month,SeriesB_Amount,0)</f>
        <v>0</v>
      </c>
      <c r="AJ24" s="33" t="n">
        <f aca="false">IF(AJ$3=Seed_Month,Seed_Amount,0)+IF(AJ$3=SeriesA_Month,SeriesA_Amount,0)+IF(AJ$3=SeriesB_Month,SeriesB_Amount,0)</f>
        <v>0</v>
      </c>
      <c r="AK24" s="33" t="n">
        <f aca="false">IF(AK$3=Seed_Month,Seed_Amount,0)+IF(AK$3=SeriesA_Month,SeriesA_Amount,0)+IF(AK$3=SeriesB_Month,SeriesB_Amount,0)</f>
        <v>2000000000</v>
      </c>
      <c r="AL24" s="33" t="n">
        <f aca="false">IF(AL$3=Seed_Month,Seed_Amount,0)+IF(AL$3=SeriesA_Month,SeriesA_Amount,0)+IF(AL$3=SeriesB_Month,SeriesB_Amount,0)</f>
        <v>0</v>
      </c>
      <c r="AM24" s="33" t="n">
        <f aca="false">IF(AM$3=Seed_Month,Seed_Amount,0)+IF(AM$3=SeriesA_Month,SeriesA_Amount,0)+IF(AM$3=SeriesB_Month,SeriesB_Amount,0)</f>
        <v>0</v>
      </c>
      <c r="AN24" s="33" t="n">
        <f aca="false">IF(AN$3=Seed_Month,Seed_Amount,0)+IF(AN$3=SeriesA_Month,SeriesA_Amount,0)+IF(AN$3=SeriesB_Month,SeriesB_Amount,0)</f>
        <v>0</v>
      </c>
      <c r="AO24" s="33" t="n">
        <f aca="false">IF(AO$3=Seed_Month,Seed_Amount,0)+IF(AO$3=SeriesA_Month,SeriesA_Amount,0)+IF(AO$3=SeriesB_Month,SeriesB_Amount,0)</f>
        <v>0</v>
      </c>
      <c r="AP24" s="33" t="n">
        <f aca="false">IF(AP$3=Seed_Month,Seed_Amount,0)+IF(AP$3=SeriesA_Month,SeriesA_Amount,0)+IF(AP$3=SeriesB_Month,SeriesB_Amount,0)</f>
        <v>0</v>
      </c>
      <c r="AQ24" s="33" t="n">
        <f aca="false">IF(AQ$3=Seed_Month,Seed_Amount,0)+IF(AQ$3=SeriesA_Month,SeriesA_Amount,0)+IF(AQ$3=SeriesB_Month,SeriesB_Amount,0)</f>
        <v>0</v>
      </c>
      <c r="AR24" s="33" t="n">
        <f aca="false">IF(AR$3=Seed_Month,Seed_Amount,0)+IF(AR$3=SeriesA_Month,SeriesA_Amount,0)+IF(AR$3=SeriesB_Month,SeriesB_Amount,0)</f>
        <v>0</v>
      </c>
      <c r="AS24" s="33" t="n">
        <f aca="false">IF(AS$3=Seed_Month,Seed_Amount,0)+IF(AS$3=SeriesA_Month,SeriesA_Amount,0)+IF(AS$3=SeriesB_Month,SeriesB_Amount,0)</f>
        <v>0</v>
      </c>
      <c r="AT24" s="33" t="n">
        <f aca="false">IF(AT$3=Seed_Month,Seed_Amount,0)+IF(AT$3=SeriesA_Month,SeriesA_Amount,0)+IF(AT$3=SeriesB_Month,SeriesB_Amount,0)</f>
        <v>0</v>
      </c>
      <c r="AU24" s="33" t="n">
        <f aca="false">IF(AU$3=Seed_Month,Seed_Amount,0)+IF(AU$3=SeriesA_Month,SeriesA_Amount,0)+IF(AU$3=SeriesB_Month,SeriesB_Amount,0)</f>
        <v>0</v>
      </c>
      <c r="AV24" s="33" t="n">
        <f aca="false">IF(AV$3=Seed_Month,Seed_Amount,0)+IF(AV$3=SeriesA_Month,SeriesA_Amount,0)+IF(AV$3=SeriesB_Month,SeriesB_Amount,0)</f>
        <v>0</v>
      </c>
      <c r="AW24" s="33" t="n">
        <f aca="false">IF(AW$3=Seed_Month,Seed_Amount,0)+IF(AW$3=SeriesA_Month,SeriesA_Amount,0)+IF(AW$3=SeriesB_Month,SeriesB_Amount,0)</f>
        <v>0</v>
      </c>
      <c r="AX24" s="33" t="n">
        <f aca="false">IF(AX$3=Seed_Month,Seed_Amount,0)+IF(AX$3=SeriesA_Month,SeriesA_Amount,0)+IF(AX$3=SeriesB_Month,SeriesB_Amount,0)</f>
        <v>0</v>
      </c>
      <c r="AY24" s="33" t="n">
        <f aca="false">IF(AY$3=Seed_Month,Seed_Amount,0)+IF(AY$3=SeriesA_Month,SeriesA_Amount,0)+IF(AY$3=SeriesB_Month,SeriesB_Amount,0)</f>
        <v>0</v>
      </c>
      <c r="AZ24" s="33" t="n">
        <f aca="false">IF(AZ$3=Seed_Month,Seed_Amount,0)+IF(AZ$3=SeriesA_Month,SeriesA_Amount,0)+IF(AZ$3=SeriesB_Month,SeriesB_Amount,0)</f>
        <v>0</v>
      </c>
      <c r="BA24" s="33" t="n">
        <f aca="false">IF(BA$3=Seed_Month,Seed_Amount,0)+IF(BA$3=SeriesA_Month,SeriesA_Amount,0)+IF(BA$3=SeriesB_Month,SeriesB_Amount,0)</f>
        <v>0</v>
      </c>
      <c r="BB24" s="33" t="n">
        <f aca="false">IF(BB$3=Seed_Month,Seed_Amount,0)+IF(BB$3=SeriesA_Month,SeriesA_Amount,0)+IF(BB$3=SeriesB_Month,SeriesB_Amount,0)</f>
        <v>0</v>
      </c>
      <c r="BC24" s="33" t="n">
        <f aca="false">IF(BC$3=Seed_Month,Seed_Amount,0)+IF(BC$3=SeriesA_Month,SeriesA_Amount,0)+IF(BC$3=SeriesB_Month,SeriesB_Amount,0)</f>
        <v>0</v>
      </c>
      <c r="BD24" s="33" t="n">
        <f aca="false">IF(BD$3=Seed_Month,Seed_Amount,0)+IF(BD$3=SeriesA_Month,SeriesA_Amount,0)+IF(BD$3=SeriesB_Month,SeriesB_Amount,0)</f>
        <v>0</v>
      </c>
      <c r="BE24" s="33" t="n">
        <f aca="false">IF(BE$3=Seed_Month,Seed_Amount,0)+IF(BE$3=SeriesA_Month,SeriesA_Amount,0)+IF(BE$3=SeriesB_Month,SeriesB_Amount,0)</f>
        <v>0</v>
      </c>
      <c r="BF24" s="33" t="n">
        <f aca="false">IF(BF$3=Seed_Month,Seed_Amount,0)+IF(BF$3=SeriesA_Month,SeriesA_Amount,0)+IF(BF$3=SeriesB_Month,SeriesB_Amount,0)</f>
        <v>0</v>
      </c>
      <c r="BG24" s="33" t="n">
        <f aca="false">IF(BG$3=Seed_Month,Seed_Amount,0)+IF(BG$3=SeriesA_Month,SeriesA_Amount,0)+IF(BG$3=SeriesB_Month,SeriesB_Amount,0)</f>
        <v>0</v>
      </c>
      <c r="BH24" s="33" t="n">
        <f aca="false">IF(BH$3=Seed_Month,Seed_Amount,0)+IF(BH$3=SeriesA_Month,SeriesA_Amount,0)+IF(BH$3=SeriesB_Month,SeriesB_Amount,0)</f>
        <v>0</v>
      </c>
      <c r="BI24" s="33" t="n">
        <f aca="false">IF(BI$3=Seed_Month,Seed_Amount,0)+IF(BI$3=SeriesA_Month,SeriesA_Amount,0)+IF(BI$3=SeriesB_Month,SeriesB_Amount,0)</f>
        <v>0</v>
      </c>
      <c r="BJ24" s="33" t="n">
        <f aca="false">IF(BJ$3=Seed_Month,Seed_Amount,0)+IF(BJ$3=SeriesA_Month,SeriesA_Amount,0)+IF(BJ$3=SeriesB_Month,SeriesB_Amount,0)</f>
        <v>0</v>
      </c>
      <c r="BK24" s="33" t="n">
        <f aca="false">IF(BK$3=Seed_Month,Seed_Amount,0)+IF(BK$3=SeriesA_Month,SeriesA_Amount,0)+IF(BK$3=SeriesB_Month,SeriesB_Amount,0)</f>
        <v>0</v>
      </c>
      <c r="BL24" s="33" t="n">
        <f aca="false">IF(BL$3=Seed_Month,Seed_Amount,0)+IF(BL$3=SeriesA_Month,SeriesA_Amount,0)+IF(BL$3=SeriesB_Month,SeriesB_Amount,0)</f>
        <v>0</v>
      </c>
    </row>
    <row r="25" customFormat="false" ht="15" hidden="false" customHeight="false" outlineLevel="0" collapsed="false">
      <c r="A25" s="8" t="s">
        <v>730</v>
      </c>
      <c r="B25" s="14" t="s">
        <v>63</v>
      </c>
      <c r="D25" s="41" t="n">
        <f aca="false">SUM(E25:BL25)</f>
        <v>1291625516.8431</v>
      </c>
      <c r="E25" s="16" t="n">
        <f aca="false">E20+E24</f>
        <v>1160644298.53333</v>
      </c>
      <c r="F25" s="16" t="n">
        <f aca="false">F20+F24</f>
        <v>-52919490.0666667</v>
      </c>
      <c r="G25" s="16" t="n">
        <f aca="false">G20+G24</f>
        <v>-71221518.4666667</v>
      </c>
      <c r="H25" s="16" t="n">
        <f aca="false">H20+H24</f>
        <v>-126833908.266667</v>
      </c>
      <c r="I25" s="16" t="n">
        <f aca="false">I20+I24</f>
        <v>-52167753.6</v>
      </c>
      <c r="J25" s="16" t="n">
        <f aca="false">J20+J24</f>
        <v>-53859878.0066667</v>
      </c>
      <c r="K25" s="16" t="n">
        <f aca="false">K20+K24</f>
        <v>-59249682.4607833</v>
      </c>
      <c r="L25" s="16" t="n">
        <f aca="false">L20+L24</f>
        <v>-56081965.3666998</v>
      </c>
      <c r="M25" s="16" t="n">
        <f aca="false">M20+M24</f>
        <v>-61556826.7468305</v>
      </c>
      <c r="N25" s="16" t="n">
        <f aca="false">N20+N24</f>
        <v>-51867200.3260069</v>
      </c>
      <c r="O25" s="16" t="n">
        <f aca="false">O20+O24</f>
        <v>-49752146.2279231</v>
      </c>
      <c r="P25" s="16" t="n">
        <f aca="false">P20+P24</f>
        <v>-150218367.320562</v>
      </c>
      <c r="Q25" s="16" t="n">
        <f aca="false">Q20+Q24</f>
        <v>-83144010.0813451</v>
      </c>
      <c r="R25" s="16" t="n">
        <f aca="false">R20+R24</f>
        <v>-73438179.748775</v>
      </c>
      <c r="S25" s="16" t="n">
        <f aca="false">S20+S24</f>
        <v>1726459557.93791</v>
      </c>
      <c r="T25" s="16" t="n">
        <f aca="false">T20+T24</f>
        <v>-90396259.2991793</v>
      </c>
      <c r="U25" s="16" t="n">
        <f aca="false">U20+U24</f>
        <v>-73127557.7345425</v>
      </c>
      <c r="V25" s="16" t="n">
        <f aca="false">V20+V24</f>
        <v>-72069814.7792106</v>
      </c>
      <c r="W25" s="16" t="n">
        <f aca="false">W20+W24</f>
        <v>-105813533.372336</v>
      </c>
      <c r="X25" s="16" t="n">
        <f aca="false">X20+X24</f>
        <v>-98286853.9019608</v>
      </c>
      <c r="Y25" s="16" t="n">
        <f aca="false">Y20+Y24</f>
        <v>-98482962.1314705</v>
      </c>
      <c r="Z25" s="16" t="n">
        <f aca="false">Z20+Z24</f>
        <v>-98040653.3220806</v>
      </c>
      <c r="AA25" s="16" t="n">
        <f aca="false">AA20+AA24</f>
        <v>-96008152.3098214</v>
      </c>
      <c r="AB25" s="16" t="n">
        <f aca="false">AB20+AB24</f>
        <v>-85807569.497267</v>
      </c>
      <c r="AC25" s="16" t="n">
        <f aca="false">AC20+AC24</f>
        <v>-108344564.778305</v>
      </c>
      <c r="AD25" s="16" t="n">
        <f aca="false">AD20+AD24</f>
        <v>-97279255.2105938</v>
      </c>
      <c r="AE25" s="16" t="n">
        <f aca="false">AE20+AE24</f>
        <v>-91467274.3067257</v>
      </c>
      <c r="AF25" s="16" t="n">
        <f aca="false">AF20+AF24</f>
        <v>-87015881.8429549</v>
      </c>
      <c r="AG25" s="16" t="n">
        <f aca="false">AG20+AG24</f>
        <v>-82518528.9583384</v>
      </c>
      <c r="AH25" s="16" t="n">
        <f aca="false">AH20+AH24</f>
        <v>-178312873.385346</v>
      </c>
      <c r="AI25" s="16" t="n">
        <f aca="false">AI20+AI24</f>
        <v>-96691972.9789395</v>
      </c>
      <c r="AJ25" s="16" t="n">
        <f aca="false">AJ20+AJ24</f>
        <v>-83499889.4013383</v>
      </c>
      <c r="AK25" s="16" t="n">
        <f aca="false">AK20+AK24</f>
        <v>1921380226.2788</v>
      </c>
      <c r="AL25" s="16" t="n">
        <f aca="false">AL20+AL24</f>
        <v>-73774899.0729919</v>
      </c>
      <c r="AM25" s="16" t="n">
        <f aca="false">AM20+AM24</f>
        <v>-67504319.121957</v>
      </c>
      <c r="AN25" s="16" t="n">
        <f aca="false">AN20+AN24</f>
        <v>-711262138.237759</v>
      </c>
      <c r="AO25" s="16" t="n">
        <f aca="false">AO20+AO24</f>
        <v>-264449867.012668</v>
      </c>
      <c r="AP25" s="16" t="n">
        <f aca="false">AP20+AP24</f>
        <v>-56190119.4187125</v>
      </c>
      <c r="AQ25" s="16" t="n">
        <f aca="false">AQ20+AQ24</f>
        <v>-48945920.6580853</v>
      </c>
      <c r="AR25" s="16" t="n">
        <f aca="false">AR20+AR24</f>
        <v>-41350410.2378522</v>
      </c>
      <c r="AS25" s="16" t="n">
        <f aca="false">AS20+AS24</f>
        <v>-33527377.4237672</v>
      </c>
      <c r="AT25" s="16" t="n">
        <f aca="false">AT20+AT24</f>
        <v>-25151213.8490816</v>
      </c>
      <c r="AU25" s="16" t="n">
        <f aca="false">AU20+AU24</f>
        <v>-42567744.8475132</v>
      </c>
      <c r="AV25" s="16" t="n">
        <f aca="false">AV20+AV24</f>
        <v>-33091707.0795419</v>
      </c>
      <c r="AW25" s="16" t="n">
        <f aca="false">AW20+AW24</f>
        <v>-24321706.3976281</v>
      </c>
      <c r="AX25" s="16" t="n">
        <f aca="false">AX20+AX24</f>
        <v>-15665193.6221634</v>
      </c>
      <c r="AY25" s="16" t="n">
        <f aca="false">AY20+AY24</f>
        <v>-5661552.58175832</v>
      </c>
      <c r="AZ25" s="16" t="n">
        <f aca="false">AZ20+AZ24</f>
        <v>4234693.1975413</v>
      </c>
      <c r="BA25" s="16" t="n">
        <f aca="false">BA20+BA24</f>
        <v>-22096869.6401505</v>
      </c>
      <c r="BB25" s="16" t="n">
        <f aca="false">BB20+BB24</f>
        <v>-673007.192022443</v>
      </c>
      <c r="BC25" s="16" t="n">
        <f aca="false">BC20+BC24</f>
        <v>9045853.38529787</v>
      </c>
      <c r="BD25" s="16" t="n">
        <f aca="false">BD20+BD24</f>
        <v>19045937.4123056</v>
      </c>
      <c r="BE25" s="16" t="n">
        <f aca="false">BE20+BE24</f>
        <v>28947746.9067783</v>
      </c>
      <c r="BF25" s="16" t="n">
        <f aca="false">BF20+BF24</f>
        <v>38754730.2339437</v>
      </c>
      <c r="BG25" s="16" t="n">
        <f aca="false">BG20+BG24</f>
        <v>48470400.050911</v>
      </c>
      <c r="BH25" s="16" t="n">
        <f aca="false">BH20+BH24</f>
        <v>58098339.5638381</v>
      </c>
      <c r="BI25" s="16" t="n">
        <f aca="false">BI20+BI24</f>
        <v>67642209.1174504</v>
      </c>
      <c r="BJ25" s="16" t="n">
        <f aca="false">BJ20+BJ24</f>
        <v>77105753.1376292</v>
      </c>
      <c r="BK25" s="16" t="n">
        <f aca="false">BK20+BK24</f>
        <v>86785402.9383705</v>
      </c>
      <c r="BL25" s="16" t="n">
        <f aca="false">BL20+BL24</f>
        <v>96718938.4386336</v>
      </c>
    </row>
    <row r="27" customFormat="false" ht="15" hidden="false" customHeight="false" outlineLevel="0" collapsed="false">
      <c r="A27" s="10" t="s">
        <v>731</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732</v>
      </c>
      <c r="B28" s="14" t="s">
        <v>63</v>
      </c>
      <c r="E28" s="33" t="n">
        <f aca="false">Opening_Cash</f>
        <v>0</v>
      </c>
      <c r="F28" s="33" t="n">
        <f aca="false">E29</f>
        <v>1160644298.53333</v>
      </c>
      <c r="G28" s="33" t="n">
        <f aca="false">F29</f>
        <v>1107724808.46667</v>
      </c>
      <c r="H28" s="33" t="n">
        <f aca="false">G29</f>
        <v>1036503290</v>
      </c>
      <c r="I28" s="33" t="n">
        <f aca="false">H29</f>
        <v>909669381.733333</v>
      </c>
      <c r="J28" s="33" t="n">
        <f aca="false">I29</f>
        <v>857501628.133333</v>
      </c>
      <c r="K28" s="33" t="n">
        <f aca="false">J29</f>
        <v>803641750.126667</v>
      </c>
      <c r="L28" s="33" t="n">
        <f aca="false">K29</f>
        <v>744392067.665883</v>
      </c>
      <c r="M28" s="33" t="n">
        <f aca="false">L29</f>
        <v>688310102.299184</v>
      </c>
      <c r="N28" s="33" t="n">
        <f aca="false">M29</f>
        <v>626753275.552353</v>
      </c>
      <c r="O28" s="33" t="n">
        <f aca="false">N29</f>
        <v>574886075.226346</v>
      </c>
      <c r="P28" s="33" t="n">
        <f aca="false">O29</f>
        <v>525133928.998423</v>
      </c>
      <c r="Q28" s="33" t="n">
        <f aca="false">P29</f>
        <v>374915561.677861</v>
      </c>
      <c r="R28" s="33" t="n">
        <f aca="false">Q29</f>
        <v>291771551.596516</v>
      </c>
      <c r="S28" s="33" t="n">
        <f aca="false">R29</f>
        <v>218333371.847741</v>
      </c>
      <c r="T28" s="33" t="n">
        <f aca="false">S29</f>
        <v>1944792929.78566</v>
      </c>
      <c r="U28" s="33" t="n">
        <f aca="false">T29</f>
        <v>1854396670.48648</v>
      </c>
      <c r="V28" s="33" t="n">
        <f aca="false">U29</f>
        <v>1781269112.75193</v>
      </c>
      <c r="W28" s="33" t="n">
        <f aca="false">V29</f>
        <v>1709199297.97272</v>
      </c>
      <c r="X28" s="33" t="n">
        <f aca="false">W29</f>
        <v>1603385764.60039</v>
      </c>
      <c r="Y28" s="33" t="n">
        <f aca="false">X29</f>
        <v>1505098910.69843</v>
      </c>
      <c r="Z28" s="33" t="n">
        <f aca="false">Y29</f>
        <v>1406615948.56696</v>
      </c>
      <c r="AA28" s="33" t="n">
        <f aca="false">Z29</f>
        <v>1308575295.24487</v>
      </c>
      <c r="AB28" s="33" t="n">
        <f aca="false">AA29</f>
        <v>1212567142.93505</v>
      </c>
      <c r="AC28" s="33" t="n">
        <f aca="false">AB29</f>
        <v>1126759573.43779</v>
      </c>
      <c r="AD28" s="33" t="n">
        <f aca="false">AC29</f>
        <v>1018415008.65948</v>
      </c>
      <c r="AE28" s="33" t="n">
        <f aca="false">AD29</f>
        <v>921135753.448888</v>
      </c>
      <c r="AF28" s="33" t="n">
        <f aca="false">AE29</f>
        <v>829668479.142162</v>
      </c>
      <c r="AG28" s="33" t="n">
        <f aca="false">AF29</f>
        <v>742652597.299207</v>
      </c>
      <c r="AH28" s="33" t="n">
        <f aca="false">AG29</f>
        <v>660134068.340869</v>
      </c>
      <c r="AI28" s="33" t="n">
        <f aca="false">AH29</f>
        <v>481821194.955523</v>
      </c>
      <c r="AJ28" s="33" t="n">
        <f aca="false">AI29</f>
        <v>385129221.976583</v>
      </c>
      <c r="AK28" s="33" t="n">
        <f aca="false">AJ29</f>
        <v>301629332.575245</v>
      </c>
      <c r="AL28" s="33" t="n">
        <f aca="false">AK29</f>
        <v>2223009558.85405</v>
      </c>
      <c r="AM28" s="33" t="n">
        <f aca="false">AL29</f>
        <v>2149234659.78106</v>
      </c>
      <c r="AN28" s="33" t="n">
        <f aca="false">AM29</f>
        <v>2081730340.6591</v>
      </c>
      <c r="AO28" s="33" t="n">
        <f aca="false">AN29</f>
        <v>1370468202.42134</v>
      </c>
      <c r="AP28" s="33" t="n">
        <f aca="false">AO29</f>
        <v>1106018335.40867</v>
      </c>
      <c r="AQ28" s="33" t="n">
        <f aca="false">AP29</f>
        <v>1049828215.98996</v>
      </c>
      <c r="AR28" s="33" t="n">
        <f aca="false">AQ29</f>
        <v>1000882295.33188</v>
      </c>
      <c r="AS28" s="33" t="n">
        <f aca="false">AR29</f>
        <v>959531885.094024</v>
      </c>
      <c r="AT28" s="33" t="n">
        <f aca="false">AS29</f>
        <v>926004507.670257</v>
      </c>
      <c r="AU28" s="33" t="n">
        <f aca="false">AT29</f>
        <v>900853293.821175</v>
      </c>
      <c r="AV28" s="33" t="n">
        <f aca="false">AU29</f>
        <v>858285548.973662</v>
      </c>
      <c r="AW28" s="33" t="n">
        <f aca="false">AV29</f>
        <v>825193841.89412</v>
      </c>
      <c r="AX28" s="33" t="n">
        <f aca="false">AW29</f>
        <v>800872135.496492</v>
      </c>
      <c r="AY28" s="33" t="n">
        <f aca="false">AX29</f>
        <v>785206941.874329</v>
      </c>
      <c r="AZ28" s="33" t="n">
        <f aca="false">AY29</f>
        <v>779545389.29257</v>
      </c>
      <c r="BA28" s="33" t="n">
        <f aca="false">AZ29</f>
        <v>783780082.490111</v>
      </c>
      <c r="BB28" s="33" t="n">
        <f aca="false">BA29</f>
        <v>761683212.849961</v>
      </c>
      <c r="BC28" s="33" t="n">
        <f aca="false">BB29</f>
        <v>761010205.657938</v>
      </c>
      <c r="BD28" s="33" t="n">
        <f aca="false">BC29</f>
        <v>770056059.043236</v>
      </c>
      <c r="BE28" s="33" t="n">
        <f aca="false">BD29</f>
        <v>789101996.455542</v>
      </c>
      <c r="BF28" s="33" t="n">
        <f aca="false">BE29</f>
        <v>818049743.36232</v>
      </c>
      <c r="BG28" s="33" t="n">
        <f aca="false">BF29</f>
        <v>856804473.596264</v>
      </c>
      <c r="BH28" s="33" t="n">
        <f aca="false">BG29</f>
        <v>905274873.647175</v>
      </c>
      <c r="BI28" s="33" t="n">
        <f aca="false">BH29</f>
        <v>963373213.211013</v>
      </c>
      <c r="BJ28" s="33" t="n">
        <f aca="false">BI29</f>
        <v>1031015422.32846</v>
      </c>
      <c r="BK28" s="33" t="n">
        <f aca="false">BJ29</f>
        <v>1108121175.46609</v>
      </c>
      <c r="BL28" s="33" t="n">
        <f aca="false">BK29</f>
        <v>1194906578.40446</v>
      </c>
    </row>
    <row r="29" customFormat="false" ht="15" hidden="false" customHeight="false" outlineLevel="0" collapsed="false">
      <c r="A29" s="8" t="s">
        <v>82</v>
      </c>
      <c r="B29" s="14" t="s">
        <v>63</v>
      </c>
      <c r="D29" s="41" t="n">
        <f aca="false">BL29</f>
        <v>1291625516.8431</v>
      </c>
      <c r="E29" s="41" t="n">
        <f aca="false">E28+E25</f>
        <v>1160644298.53333</v>
      </c>
      <c r="F29" s="41" t="n">
        <f aca="false">F28+F25</f>
        <v>1107724808.46667</v>
      </c>
      <c r="G29" s="41" t="n">
        <f aca="false">G28+G25</f>
        <v>1036503290</v>
      </c>
      <c r="H29" s="41" t="n">
        <f aca="false">H28+H25</f>
        <v>909669381.733333</v>
      </c>
      <c r="I29" s="41" t="n">
        <f aca="false">I28+I25</f>
        <v>857501628.133333</v>
      </c>
      <c r="J29" s="41" t="n">
        <f aca="false">J28+J25</f>
        <v>803641750.126667</v>
      </c>
      <c r="K29" s="41" t="n">
        <f aca="false">K28+K25</f>
        <v>744392067.665883</v>
      </c>
      <c r="L29" s="41" t="n">
        <f aca="false">L28+L25</f>
        <v>688310102.299184</v>
      </c>
      <c r="M29" s="41" t="n">
        <f aca="false">M28+M25</f>
        <v>626753275.552353</v>
      </c>
      <c r="N29" s="41" t="n">
        <f aca="false">N28+N25</f>
        <v>574886075.226346</v>
      </c>
      <c r="O29" s="41" t="n">
        <f aca="false">O28+O25</f>
        <v>525133928.998423</v>
      </c>
      <c r="P29" s="41" t="n">
        <f aca="false">P28+P25</f>
        <v>374915561.677861</v>
      </c>
      <c r="Q29" s="41" t="n">
        <f aca="false">Q28+Q25</f>
        <v>291771551.596516</v>
      </c>
      <c r="R29" s="41" t="n">
        <f aca="false">R28+R25</f>
        <v>218333371.847741</v>
      </c>
      <c r="S29" s="41" t="n">
        <f aca="false">S28+S25</f>
        <v>1944792929.78566</v>
      </c>
      <c r="T29" s="41" t="n">
        <f aca="false">T28+T25</f>
        <v>1854396670.48648</v>
      </c>
      <c r="U29" s="41" t="n">
        <f aca="false">U28+U25</f>
        <v>1781269112.75193</v>
      </c>
      <c r="V29" s="41" t="n">
        <f aca="false">V28+V25</f>
        <v>1709199297.97272</v>
      </c>
      <c r="W29" s="41" t="n">
        <f aca="false">W28+W25</f>
        <v>1603385764.60039</v>
      </c>
      <c r="X29" s="41" t="n">
        <f aca="false">X28+X25</f>
        <v>1505098910.69843</v>
      </c>
      <c r="Y29" s="41" t="n">
        <f aca="false">Y28+Y25</f>
        <v>1406615948.56696</v>
      </c>
      <c r="Z29" s="41" t="n">
        <f aca="false">Z28+Z25</f>
        <v>1308575295.24487</v>
      </c>
      <c r="AA29" s="41" t="n">
        <f aca="false">AA28+AA25</f>
        <v>1212567142.93505</v>
      </c>
      <c r="AB29" s="41" t="n">
        <f aca="false">AB28+AB25</f>
        <v>1126759573.43779</v>
      </c>
      <c r="AC29" s="41" t="n">
        <f aca="false">AC28+AC25</f>
        <v>1018415008.65948</v>
      </c>
      <c r="AD29" s="41" t="n">
        <f aca="false">AD28+AD25</f>
        <v>921135753.448888</v>
      </c>
      <c r="AE29" s="41" t="n">
        <f aca="false">AE28+AE25</f>
        <v>829668479.142162</v>
      </c>
      <c r="AF29" s="41" t="n">
        <f aca="false">AF28+AF25</f>
        <v>742652597.299207</v>
      </c>
      <c r="AG29" s="41" t="n">
        <f aca="false">AG28+AG25</f>
        <v>660134068.340869</v>
      </c>
      <c r="AH29" s="41" t="n">
        <f aca="false">AH28+AH25</f>
        <v>481821194.955523</v>
      </c>
      <c r="AI29" s="41" t="n">
        <f aca="false">AI28+AI25</f>
        <v>385129221.976583</v>
      </c>
      <c r="AJ29" s="41" t="n">
        <f aca="false">AJ28+AJ25</f>
        <v>301629332.575245</v>
      </c>
      <c r="AK29" s="41" t="n">
        <f aca="false">AK28+AK25</f>
        <v>2223009558.85405</v>
      </c>
      <c r="AL29" s="41" t="n">
        <f aca="false">AL28+AL25</f>
        <v>2149234659.78106</v>
      </c>
      <c r="AM29" s="41" t="n">
        <f aca="false">AM28+AM25</f>
        <v>2081730340.6591</v>
      </c>
      <c r="AN29" s="41" t="n">
        <f aca="false">AN28+AN25</f>
        <v>1370468202.42134</v>
      </c>
      <c r="AO29" s="41" t="n">
        <f aca="false">AO28+AO25</f>
        <v>1106018335.40867</v>
      </c>
      <c r="AP29" s="41" t="n">
        <f aca="false">AP28+AP25</f>
        <v>1049828215.98996</v>
      </c>
      <c r="AQ29" s="41" t="n">
        <f aca="false">AQ28+AQ25</f>
        <v>1000882295.33188</v>
      </c>
      <c r="AR29" s="41" t="n">
        <f aca="false">AR28+AR25</f>
        <v>959531885.094024</v>
      </c>
      <c r="AS29" s="41" t="n">
        <f aca="false">AS28+AS25</f>
        <v>926004507.670257</v>
      </c>
      <c r="AT29" s="41" t="n">
        <f aca="false">AT28+AT25</f>
        <v>900853293.821175</v>
      </c>
      <c r="AU29" s="41" t="n">
        <f aca="false">AU28+AU25</f>
        <v>858285548.973662</v>
      </c>
      <c r="AV29" s="41" t="n">
        <f aca="false">AV28+AV25</f>
        <v>825193841.89412</v>
      </c>
      <c r="AW29" s="41" t="n">
        <f aca="false">AW28+AW25</f>
        <v>800872135.496492</v>
      </c>
      <c r="AX29" s="41" t="n">
        <f aca="false">AX28+AX25</f>
        <v>785206941.874329</v>
      </c>
      <c r="AY29" s="41" t="n">
        <f aca="false">AY28+AY25</f>
        <v>779545389.29257</v>
      </c>
      <c r="AZ29" s="41" t="n">
        <f aca="false">AZ28+AZ25</f>
        <v>783780082.490111</v>
      </c>
      <c r="BA29" s="41" t="n">
        <f aca="false">BA28+BA25</f>
        <v>761683212.849961</v>
      </c>
      <c r="BB29" s="41" t="n">
        <f aca="false">BB28+BB25</f>
        <v>761010205.657938</v>
      </c>
      <c r="BC29" s="41" t="n">
        <f aca="false">BC28+BC25</f>
        <v>770056059.043236</v>
      </c>
      <c r="BD29" s="41" t="n">
        <f aca="false">BD28+BD25</f>
        <v>789101996.455542</v>
      </c>
      <c r="BE29" s="41" t="n">
        <f aca="false">BE28+BE25</f>
        <v>818049743.36232</v>
      </c>
      <c r="BF29" s="41" t="n">
        <f aca="false">BF28+BF25</f>
        <v>856804473.596264</v>
      </c>
      <c r="BG29" s="41" t="n">
        <f aca="false">BG28+BG25</f>
        <v>905274873.647175</v>
      </c>
      <c r="BH29" s="41" t="n">
        <f aca="false">BH28+BH25</f>
        <v>963373213.211013</v>
      </c>
      <c r="BI29" s="41" t="n">
        <f aca="false">BI28+BI25</f>
        <v>1031015422.32846</v>
      </c>
      <c r="BJ29" s="41" t="n">
        <f aca="false">BJ28+BJ25</f>
        <v>1108121175.46609</v>
      </c>
      <c r="BK29" s="41" t="n">
        <f aca="false">BK28+BK25</f>
        <v>1194906578.40446</v>
      </c>
      <c r="BL29" s="41" t="n">
        <f aca="false">BL28+BL25</f>
        <v>1291625516.8431</v>
      </c>
    </row>
    <row r="30" customFormat="false" ht="15" hidden="false" customHeight="false" outlineLevel="0" collapsed="false">
      <c r="A30" s="12" t="s">
        <v>733</v>
      </c>
      <c r="B30" s="14" t="s">
        <v>63</v>
      </c>
      <c r="D30" s="41" t="n">
        <f aca="false">BL30</f>
        <v>1799726079.02664</v>
      </c>
      <c r="E30" s="33" t="n">
        <f aca="false">-SUM(E14:E14)-SUM(E15:E15)-SUM(E16:E16)-SUM(E17:E17)+Credit!E45</f>
        <v>0</v>
      </c>
      <c r="F30" s="33" t="n">
        <f aca="false">-SUM(E14:F14)-SUM(E15:F15)-SUM(E16:F16)-SUM(E17:F17)+Credit!F45</f>
        <v>0</v>
      </c>
      <c r="G30" s="33" t="n">
        <f aca="false">-SUM(E14:G14)-SUM(E15:G15)-SUM(E16:G16)-SUM(E17:G17)+Credit!G45</f>
        <v>0</v>
      </c>
      <c r="H30" s="33" t="n">
        <f aca="false">-SUM(E14:H14)-SUM(E15:H15)-SUM(E16:H16)-SUM(E17:H17)+Credit!H45</f>
        <v>64725000</v>
      </c>
      <c r="I30" s="33" t="n">
        <f aca="false">-SUM(E14:I14)-SUM(E15:I15)-SUM(E16:I16)-SUM(E17:I17)+Credit!I45</f>
        <v>64725000</v>
      </c>
      <c r="J30" s="33" t="n">
        <f aca="false">-SUM(E14:J14)-SUM(E15:J15)-SUM(E16:J16)-SUM(E17:J17)+Credit!J45</f>
        <v>64725000</v>
      </c>
      <c r="K30" s="33" t="n">
        <f aca="false">-SUM(E14:K14)-SUM(E15:K15)-SUM(E16:K16)-SUM(E17:K17)+Credit!K45</f>
        <v>64725000</v>
      </c>
      <c r="L30" s="33" t="n">
        <f aca="false">-SUM(E14:L14)-SUM(E15:L15)-SUM(E16:L16)-SUM(E17:L17)+Credit!L45</f>
        <v>64725000</v>
      </c>
      <c r="M30" s="33" t="n">
        <f aca="false">-SUM(E14:M14)-SUM(E15:M15)-SUM(E16:M16)-SUM(E17:M17)+Credit!M45</f>
        <v>64725000</v>
      </c>
      <c r="N30" s="33" t="n">
        <f aca="false">-SUM(E14:N14)-SUM(E15:N15)-SUM(E16:N16)-SUM(E17:N17)+Credit!N45</f>
        <v>64725000</v>
      </c>
      <c r="O30" s="33" t="n">
        <f aca="false">-SUM(E14:O14)-SUM(E15:O15)-SUM(E16:O16)-SUM(E17:O17)+Credit!O45</f>
        <v>64725000</v>
      </c>
      <c r="P30" s="33" t="n">
        <f aca="false">-SUM(E14:P14)-SUM(E15:P15)-SUM(E16:P16)-SUM(E17:P17)+Credit!P45</f>
        <v>166749719.687053</v>
      </c>
      <c r="Q30" s="33" t="n">
        <f aca="false">-SUM(E14:Q14)-SUM(E15:Q15)-SUM(E16:Q16)-SUM(E17:Q17)+Credit!Q45</f>
        <v>169485099.99306</v>
      </c>
      <c r="R30" s="33" t="n">
        <f aca="false">-SUM(E14:R14)-SUM(E15:R15)-SUM(E16:R16)-SUM(E17:R17)+Credit!R45</f>
        <v>172926195.185522</v>
      </c>
      <c r="S30" s="33" t="n">
        <f aca="false">-SUM(E14:S14)-SUM(E15:S15)-SUM(E16:S16)-SUM(E17:S17)+Credit!S45</f>
        <v>177790992.218102</v>
      </c>
      <c r="T30" s="33" t="n">
        <f aca="false">-SUM(E14:T14)-SUM(E15:T15)-SUM(E16:T16)-SUM(E17:T17)+Credit!T45</f>
        <v>183519147.26608</v>
      </c>
      <c r="U30" s="33" t="n">
        <f aca="false">-SUM(E14:U14)-SUM(E15:U15)-SUM(E16:U16)-SUM(E17:U17)+Credit!U45</f>
        <v>190108612.730226</v>
      </c>
      <c r="V30" s="33" t="n">
        <f aca="false">-SUM(E14:V14)-SUM(E15:V15)-SUM(E16:V16)-SUM(E17:V17)+Credit!V45</f>
        <v>197558913.308893</v>
      </c>
      <c r="W30" s="33" t="n">
        <f aca="false">-SUM(E14:W14)-SUM(E15:W15)-SUM(E16:W16)-SUM(E17:W17)+Credit!W45</f>
        <v>206790335.634146</v>
      </c>
      <c r="X30" s="33" t="n">
        <f aca="false">-SUM(E14:X14)-SUM(E15:X15)-SUM(E16:X16)-SUM(E17:X17)+Credit!X45</f>
        <v>222185049.903395</v>
      </c>
      <c r="Y30" s="33" t="n">
        <f aca="false">-SUM(E14:Y14)-SUM(E15:Y15)-SUM(E16:Y16)-SUM(E17:Y17)+Credit!Y45</f>
        <v>239919138.386767</v>
      </c>
      <c r="Z30" s="33" t="n">
        <f aca="false">-SUM(E14:Z14)-SUM(E15:Z15)-SUM(E16:Z16)-SUM(E17:Z17)+Credit!Z45</f>
        <v>259979981.436594</v>
      </c>
      <c r="AA30" s="33" t="n">
        <f aca="false">-SUM(E14:AA14)-SUM(E15:AA15)-SUM(E16:AA16)-SUM(E17:AA17)+Credit!AA45</f>
        <v>282358818.625778</v>
      </c>
      <c r="AB30" s="33" t="n">
        <f aca="false">-SUM(E14:AB14)-SUM(E15:AB15)-SUM(E16:AB16)-SUM(E17:AB17)+Credit!AB45</f>
        <v>298817115.439051</v>
      </c>
      <c r="AC30" s="33" t="n">
        <f aca="false">-SUM(E14:AC14)-SUM(E15:AC15)-SUM(E16:AC16)-SUM(E17:AC17)+Credit!AC45</f>
        <v>318678840.71899</v>
      </c>
      <c r="AD30" s="33" t="n">
        <f aca="false">-SUM(E14:AD14)-SUM(E15:AD15)-SUM(E16:AD16)-SUM(E17:AD17)+Credit!AD45</f>
        <v>339561976.269594</v>
      </c>
      <c r="AE30" s="33" t="n">
        <f aca="false">-SUM(E14:AE14)-SUM(E15:AE15)-SUM(E16:AE16)-SUM(E17:AE17)+Credit!AE45</f>
        <v>358939273.775529</v>
      </c>
      <c r="AF30" s="33" t="n">
        <f aca="false">-SUM(E14:AF14)-SUM(E15:AF15)-SUM(E16:AF16)-SUM(E17:AF17)+Credit!AF45</f>
        <v>378948675.615845</v>
      </c>
      <c r="AG30" s="33" t="n">
        <f aca="false">-SUM(E14:AG14)-SUM(E15:AG15)-SUM(E16:AG16)-SUM(E17:AG17)+Credit!AG45</f>
        <v>399601513.310684</v>
      </c>
      <c r="AH30" s="33" t="n">
        <f aca="false">-SUM(E14:AH14)-SUM(E15:AH15)-SUM(E16:AH16)-SUM(E17:AH17)+Credit!AH45</f>
        <v>520910860.589182</v>
      </c>
      <c r="AI30" s="33" t="n">
        <f aca="false">-SUM(E14:AI14)-SUM(E15:AI15)-SUM(E16:AI16)-SUM(E17:AI17)+Credit!AI45</f>
        <v>542891630.852078</v>
      </c>
      <c r="AJ30" s="33" t="n">
        <f aca="false">-SUM(E14:AJ14)-SUM(E15:AJ15)-SUM(E16:AJ16)-SUM(E17:AJ17)+Credit!AJ45</f>
        <v>565241941.686558</v>
      </c>
      <c r="AK30" s="33" t="n">
        <f aca="false">-SUM(E14:AK14)-SUM(E15:AK15)-SUM(E16:AK16)-SUM(E17:AK17)+Credit!AK45</f>
        <v>587536884.412729</v>
      </c>
      <c r="AL30" s="33" t="n">
        <f aca="false">-SUM(E14:AL14)-SUM(E15:AL15)-SUM(E16:AL16)-SUM(E17:AL17)+Credit!AL45</f>
        <v>609796054.146859</v>
      </c>
      <c r="AM30" s="33" t="n">
        <f aca="false">-SUM(E14:AM14)-SUM(E15:AM15)-SUM(E16:AM16)-SUM(E17:AM17)+Credit!AM45</f>
        <v>632039816.535016</v>
      </c>
      <c r="AN30" s="33" t="n">
        <f aca="false">-SUM(E14:AN14)-SUM(E15:AN15)-SUM(E16:AN16)-SUM(E17:AN17)+Credit!AN45</f>
        <v>654289361.494808</v>
      </c>
      <c r="AO30" s="33" t="n">
        <f aca="false">-SUM(E14:AO14)-SUM(E15:AO15)-SUM(E16:AO16)-SUM(E17:AO17)+Credit!AO45</f>
        <v>884668790.057455</v>
      </c>
      <c r="AP30" s="33" t="n">
        <f aca="false">-SUM(E14:AP14)-SUM(E15:AP15)-SUM(E16:AP16)-SUM(E17:AP17)+Credit!AP45</f>
        <v>920306681.620707</v>
      </c>
      <c r="AQ30" s="33" t="n">
        <f aca="false">-SUM(E14:AQ14)-SUM(E15:AQ15)-SUM(E16:AQ16)-SUM(E17:AQ17)+Credit!AQ45</f>
        <v>956021871.074304</v>
      </c>
      <c r="AR30" s="33" t="n">
        <f aca="false">-SUM(E14:AR14)-SUM(E15:AR15)-SUM(E16:AR16)-SUM(E17:AR17)+Credit!AR45</f>
        <v>991852608.901956</v>
      </c>
      <c r="AS30" s="33" t="n">
        <f aca="false">-SUM(E14:AS14)-SUM(E15:AS15)-SUM(E16:AS16)-SUM(E17:AS17)+Credit!AS45</f>
        <v>1027654967.92528</v>
      </c>
      <c r="AT30" s="33" t="n">
        <f aca="false">-SUM(E14:AT14)-SUM(E15:AT15)-SUM(E16:AT16)-SUM(E17:AT17)+Credit!AT45</f>
        <v>1063047172.26033</v>
      </c>
      <c r="AU30" s="33" t="n">
        <f aca="false">-SUM(E14:AU14)-SUM(E15:AU15)-SUM(E16:AU16)-SUM(E17:AU17)+Credit!AU45</f>
        <v>1098046227.86936</v>
      </c>
      <c r="AV30" s="33" t="n">
        <f aca="false">-SUM(E14:AV14)-SUM(E15:AV15)-SUM(E16:AV16)-SUM(E17:AV17)+Credit!AV45</f>
        <v>1141036054.71109</v>
      </c>
      <c r="AW30" s="33" t="n">
        <f aca="false">-SUM(E14:AW14)-SUM(E15:AW15)-SUM(E16:AW16)-SUM(E17:AW17)+Credit!AW45</f>
        <v>1183530874.6467</v>
      </c>
      <c r="AX30" s="33" t="n">
        <f aca="false">-SUM(E14:AX14)-SUM(E15:AX15)-SUM(E16:AX16)-SUM(E17:AX17)+Credit!AX45</f>
        <v>1225551066.46926</v>
      </c>
      <c r="AY30" s="33" t="n">
        <f aca="false">-SUM(E14:AY14)-SUM(E15:AY15)-SUM(E16:AY16)-SUM(E17:AY17)+Credit!AY45</f>
        <v>1267117350.75312</v>
      </c>
      <c r="AZ30" s="33" t="n">
        <f aca="false">-SUM(E14:AZ14)-SUM(E15:AZ15)-SUM(E16:AZ16)-SUM(E17:AZ17)+Credit!AZ45</f>
        <v>1308250826.63657</v>
      </c>
      <c r="BA30" s="33" t="n">
        <f aca="false">-SUM(E14:BA14)-SUM(E15:BA15)-SUM(E16:BA16)-SUM(E17:BA17)+Credit!BA45</f>
        <v>1351170810.50138</v>
      </c>
      <c r="BB30" s="33" t="n">
        <f aca="false">-SUM(E14:BB14)-SUM(E15:BB15)-SUM(E16:BB16)-SUM(E17:BB17)+Credit!BB45</f>
        <v>1393665549.56931</v>
      </c>
      <c r="BC30" s="33" t="n">
        <f aca="false">-SUM(E14:BC14)-SUM(E15:BC15)-SUM(E16:BC16)-SUM(E17:BC17)+Credit!BC45</f>
        <v>1435758152.46797</v>
      </c>
      <c r="BD30" s="33" t="n">
        <f aca="false">-SUM(E14:BD14)-SUM(E15:BD15)-SUM(E16:BD16)-SUM(E17:BD17)+Credit!BD45</f>
        <v>1477472262.00055</v>
      </c>
      <c r="BE30" s="33" t="n">
        <f aca="false">-SUM(E14:BE14)-SUM(E15:BE15)-SUM(E16:BE16)-SUM(E17:BE17)+Credit!BE45</f>
        <v>1518832102.90805</v>
      </c>
      <c r="BF30" s="33" t="n">
        <f aca="false">-SUM(E14:BF14)-SUM(E15:BF15)-SUM(E16:BF16)-SUM(E17:BF17)+Credit!BF45</f>
        <v>1559862532.19857</v>
      </c>
      <c r="BG30" s="33" t="n">
        <f aca="false">-SUM(E14:BG14)-SUM(E15:BG15)-SUM(E16:BG16)-SUM(E17:BG17)+Credit!BG45</f>
        <v>1600589092.20323</v>
      </c>
      <c r="BH30" s="33" t="n">
        <f aca="false">-SUM(E14:BH14)-SUM(E15:BH15)-SUM(E16:BH16)-SUM(E17:BH17)+Credit!BH45</f>
        <v>1641038066.52822</v>
      </c>
      <c r="BI30" s="33" t="n">
        <f aca="false">-SUM(E14:BI14)-SUM(E15:BI15)-SUM(E16:BI16)-SUM(E17:BI17)+Credit!BI45</f>
        <v>1681236539.08219</v>
      </c>
      <c r="BJ30" s="33" t="n">
        <f aca="false">-SUM(E14:BJ14)-SUM(E15:BJ15)-SUM(E16:BJ16)-SUM(E17:BJ17)+Credit!BJ45</f>
        <v>1721212456.36894</v>
      </c>
      <c r="BK30" s="33" t="n">
        <f aca="false">-SUM(E14:BK14)-SUM(E15:BK15)-SUM(E16:BK16)-SUM(E17:BK17)+Credit!BK45</f>
        <v>1760780619.08238</v>
      </c>
      <c r="BL30" s="33" t="n">
        <f aca="false">-SUM(E14:BL14)-SUM(E15:BL15)-SUM(E16:BL16)-SUM(E17:BL17)+Credit!BL45</f>
        <v>1799726079.02664</v>
      </c>
    </row>
    <row r="31" customFormat="false" ht="15" hidden="false" customHeight="false" outlineLevel="0" collapsed="false">
      <c r="A31" s="12" t="s">
        <v>734</v>
      </c>
      <c r="B31" s="14" t="s">
        <v>63</v>
      </c>
      <c r="E31" s="33" t="n">
        <f aca="false">MAX(0,-AVERAGE(E20))</f>
        <v>39355701.4666667</v>
      </c>
      <c r="F31" s="33" t="n">
        <f aca="false">MAX(0,-AVERAGE(F20))</f>
        <v>52919490.0666667</v>
      </c>
      <c r="G31" s="33" t="n">
        <f aca="false">MAX(0,-AVERAGE(E20:G20))</f>
        <v>54498903.3333333</v>
      </c>
      <c r="H31" s="33" t="n">
        <f aca="false">MAX(0,-AVERAGE(F20:H20))</f>
        <v>83658305.6</v>
      </c>
      <c r="I31" s="33" t="n">
        <f aca="false">MAX(0,-AVERAGE(G20:I20))</f>
        <v>83407726.7777778</v>
      </c>
      <c r="J31" s="33" t="n">
        <f aca="false">MAX(0,-AVERAGE(H20:J20))</f>
        <v>77620513.2911111</v>
      </c>
      <c r="K31" s="33" t="n">
        <f aca="false">MAX(0,-AVERAGE(I20:K20))</f>
        <v>55092438.0224833</v>
      </c>
      <c r="L31" s="33" t="n">
        <f aca="false">MAX(0,-AVERAGE(J20:L20))</f>
        <v>56397175.2780499</v>
      </c>
      <c r="M31" s="33" t="n">
        <f aca="false">MAX(0,-AVERAGE(K20:M20))</f>
        <v>58962824.8581046</v>
      </c>
      <c r="N31" s="33" t="n">
        <f aca="false">MAX(0,-AVERAGE(L20:N20))</f>
        <v>56501997.4798457</v>
      </c>
      <c r="O31" s="33" t="n">
        <f aca="false">MAX(0,-AVERAGE(M20:O20))</f>
        <v>54392057.7669202</v>
      </c>
      <c r="P31" s="33" t="n">
        <f aca="false">MAX(0,-AVERAGE(N20:P20))</f>
        <v>83945904.6248307</v>
      </c>
      <c r="Q31" s="33" t="n">
        <f aca="false">MAX(0,-AVERAGE(O20:Q20))</f>
        <v>94371507.8766101</v>
      </c>
      <c r="R31" s="33" t="n">
        <f aca="false">MAX(0,-AVERAGE(P20:R20))</f>
        <v>102266852.383561</v>
      </c>
      <c r="S31" s="33" t="n">
        <f aca="false">MAX(0,-AVERAGE(Q20:S20))</f>
        <v>76707543.9640686</v>
      </c>
      <c r="T31" s="33" t="n">
        <f aca="false">MAX(0,-AVERAGE(R20:T20))</f>
        <v>79124960.3700134</v>
      </c>
      <c r="U31" s="33" t="n">
        <f aca="false">MAX(0,-AVERAGE(S20:U20))</f>
        <v>79021419.6986025</v>
      </c>
      <c r="V31" s="33" t="n">
        <f aca="false">MAX(0,-AVERAGE(T20:V20))</f>
        <v>78531210.6043108</v>
      </c>
      <c r="W31" s="33" t="n">
        <f aca="false">MAX(0,-AVERAGE(U20:W20))</f>
        <v>83670301.9620298</v>
      </c>
      <c r="X31" s="33" t="n">
        <f aca="false">MAX(0,-AVERAGE(V20:X20))</f>
        <v>92056734.0178359</v>
      </c>
      <c r="Y31" s="33" t="n">
        <f aca="false">MAX(0,-AVERAGE(W20:Y20))</f>
        <v>100861116.468589</v>
      </c>
      <c r="Z31" s="33" t="n">
        <f aca="false">MAX(0,-AVERAGE(X20:Z20))</f>
        <v>98270156.4518373</v>
      </c>
      <c r="AA31" s="33" t="n">
        <f aca="false">MAX(0,-AVERAGE(Y20:AA20))</f>
        <v>97510589.2544575</v>
      </c>
      <c r="AB31" s="33" t="n">
        <f aca="false">MAX(0,-AVERAGE(Z20:AB20))</f>
        <v>93285458.3763896</v>
      </c>
      <c r="AC31" s="33" t="n">
        <f aca="false">MAX(0,-AVERAGE(AA20:AC20))</f>
        <v>96720095.5284643</v>
      </c>
      <c r="AD31" s="33" t="n">
        <f aca="false">MAX(0,-AVERAGE(AB20:AD20))</f>
        <v>97143796.4953884</v>
      </c>
      <c r="AE31" s="33" t="n">
        <f aca="false">MAX(0,-AVERAGE(AC20:AE20))</f>
        <v>99030364.765208</v>
      </c>
      <c r="AF31" s="33" t="n">
        <f aca="false">MAX(0,-AVERAGE(AD20:AF20))</f>
        <v>91920803.7867581</v>
      </c>
      <c r="AG31" s="33" t="n">
        <f aca="false">MAX(0,-AVERAGE(AE20:AG20))</f>
        <v>87000561.702673</v>
      </c>
      <c r="AH31" s="33" t="n">
        <f aca="false">MAX(0,-AVERAGE(AF20:AH20))</f>
        <v>115949094.72888</v>
      </c>
      <c r="AI31" s="33" t="n">
        <f aca="false">MAX(0,-AVERAGE(AG20:AI20))</f>
        <v>119174458.440875</v>
      </c>
      <c r="AJ31" s="33" t="n">
        <f aca="false">MAX(0,-AVERAGE(AH20:AJ20))</f>
        <v>119501578.588541</v>
      </c>
      <c r="AK31" s="33" t="n">
        <f aca="false">MAX(0,-AVERAGE(AI20:AK20))</f>
        <v>86270545.3671578</v>
      </c>
      <c r="AL31" s="33" t="n">
        <f aca="false">MAX(0,-AVERAGE(AJ20:AL20))</f>
        <v>78631520.7318419</v>
      </c>
      <c r="AM31" s="33" t="n">
        <f aca="false">MAX(0,-AVERAGE(AK20:AM20))</f>
        <v>73299663.9720481</v>
      </c>
      <c r="AN31" s="33" t="n">
        <f aca="false">MAX(0,-AVERAGE(AL20:AN20))</f>
        <v>284180452.144236</v>
      </c>
      <c r="AO31" s="33" t="n">
        <f aca="false">MAX(0,-AVERAGE(AM20:AO20))</f>
        <v>347738774.790795</v>
      </c>
      <c r="AP31" s="33" t="n">
        <f aca="false">MAX(0,-AVERAGE(AN20:AP20))</f>
        <v>343967374.889713</v>
      </c>
      <c r="AQ31" s="33" t="n">
        <f aca="false">MAX(0,-AVERAGE(AO20:AQ20))</f>
        <v>123195302.363155</v>
      </c>
      <c r="AR31" s="33" t="n">
        <f aca="false">MAX(0,-AVERAGE(AP20:AR20))</f>
        <v>48828816.77155</v>
      </c>
      <c r="AS31" s="33" t="n">
        <f aca="false">MAX(0,-AVERAGE(AQ20:AS20))</f>
        <v>41274569.4399016</v>
      </c>
      <c r="AT31" s="33" t="n">
        <f aca="false">MAX(0,-AVERAGE(AR20:AT20))</f>
        <v>33343000.503567</v>
      </c>
      <c r="AU31" s="33" t="n">
        <f aca="false">MAX(0,-AVERAGE(AS20:AU20))</f>
        <v>33748778.7067873</v>
      </c>
      <c r="AV31" s="33" t="n">
        <f aca="false">MAX(0,-AVERAGE(AT20:AV20))</f>
        <v>33603555.2587122</v>
      </c>
      <c r="AW31" s="33" t="n">
        <f aca="false">MAX(0,-AVERAGE(AU20:AW20))</f>
        <v>33327052.7748944</v>
      </c>
      <c r="AX31" s="33" t="n">
        <f aca="false">MAX(0,-AVERAGE(AV20:AX20))</f>
        <v>24359535.6997778</v>
      </c>
      <c r="AY31" s="33" t="n">
        <f aca="false">MAX(0,-AVERAGE(AW20:AY20))</f>
        <v>15216150.8671833</v>
      </c>
      <c r="AZ31" s="33" t="n">
        <f aca="false">MAX(0,-AVERAGE(AX20:AZ20))</f>
        <v>5697351.00212682</v>
      </c>
      <c r="BA31" s="33" t="n">
        <f aca="false">MAX(0,-AVERAGE(AY20:BA20))</f>
        <v>7841243.00812251</v>
      </c>
      <c r="BB31" s="33" t="n">
        <f aca="false">MAX(0,-AVERAGE(AZ20:BB20))</f>
        <v>6178394.54487722</v>
      </c>
      <c r="BC31" s="33" t="n">
        <f aca="false">MAX(0,-AVERAGE(BA20:BC20))</f>
        <v>4574674.4822917</v>
      </c>
      <c r="BD31" s="33" t="n">
        <f aca="false">MAX(0,-AVERAGE(BB20:BD20))</f>
        <v>0</v>
      </c>
      <c r="BE31" s="33" t="n">
        <f aca="false">MAX(0,-AVERAGE(BC20:BE20))</f>
        <v>0</v>
      </c>
      <c r="BF31" s="33" t="n">
        <f aca="false">MAX(0,-AVERAGE(BD20:BF20))</f>
        <v>0</v>
      </c>
      <c r="BG31" s="33" t="n">
        <f aca="false">MAX(0,-AVERAGE(BE20:BG20))</f>
        <v>0</v>
      </c>
      <c r="BH31" s="33" t="n">
        <f aca="false">MAX(0,-AVERAGE(BF20:BH20))</f>
        <v>0</v>
      </c>
      <c r="BI31" s="33" t="n">
        <f aca="false">MAX(0,-AVERAGE(BG20:BI20))</f>
        <v>0</v>
      </c>
      <c r="BJ31" s="33" t="n">
        <f aca="false">MAX(0,-AVERAGE(BH20:BJ20))</f>
        <v>0</v>
      </c>
      <c r="BK31" s="33" t="n">
        <f aca="false">MAX(0,-AVERAGE(BI20:BK20))</f>
        <v>0</v>
      </c>
      <c r="BL31" s="33" t="n">
        <f aca="false">MAX(0,-AVERAGE(BJ20:BL20))</f>
        <v>0</v>
      </c>
    </row>
    <row r="32" customFormat="false" ht="15" hidden="false" customHeight="false" outlineLevel="0" collapsed="false">
      <c r="A32" s="12" t="s">
        <v>735</v>
      </c>
      <c r="B32" s="14" t="s">
        <v>148</v>
      </c>
      <c r="E32" s="30" t="n">
        <f aca="false">IF(E31=0,"cash positive",E29/E31)</f>
        <v>29.4911348363685</v>
      </c>
      <c r="F32" s="30" t="n">
        <f aca="false">IF(F31=0,"cash positive",F29/F31)</f>
        <v>20.9322653538646</v>
      </c>
      <c r="G32" s="30" t="n">
        <f aca="false">IF(G31=0,"cash positive",G29/G31)</f>
        <v>19.0187916931172</v>
      </c>
      <c r="H32" s="30" t="n">
        <f aca="false">IF(H31=0,"cash positive",H29/H31)</f>
        <v>10.8736290462633</v>
      </c>
      <c r="I32" s="30" t="n">
        <f aca="false">IF(I31=0,"cash positive",I29/I31)</f>
        <v>10.2808416109693</v>
      </c>
      <c r="J32" s="30" t="n">
        <f aca="false">IF(J31=0,"cash positive",J29/J31)</f>
        <v>10.3534712159485</v>
      </c>
      <c r="K32" s="30" t="n">
        <f aca="false">IF(K31=0,"cash positive",K29/K31)</f>
        <v>13.5116922464403</v>
      </c>
      <c r="L32" s="30" t="n">
        <f aca="false">IF(L31=0,"cash positive",L29/L31)</f>
        <v>12.2046910843614</v>
      </c>
      <c r="M32" s="30" t="n">
        <f aca="false">IF(M31=0,"cash positive",M29/M31)</f>
        <v>10.6296344698655</v>
      </c>
      <c r="N32" s="30" t="n">
        <f aca="false">IF(N31=0,"cash positive",N29/N31)</f>
        <v>10.1746150732354</v>
      </c>
      <c r="O32" s="30" t="n">
        <f aca="false">IF(O31=0,"cash positive",O29/O31)</f>
        <v>9.65460676719968</v>
      </c>
      <c r="P32" s="30" t="n">
        <f aca="false">IF(P31=0,"cash positive",P29/P31)</f>
        <v>4.46615666783777</v>
      </c>
      <c r="Q32" s="30" t="n">
        <f aca="false">IF(Q31=0,"cash positive",Q29/Q31)</f>
        <v>3.09173349204089</v>
      </c>
      <c r="R32" s="30" t="n">
        <f aca="false">IF(R31=0,"cash positive",R29/R31)</f>
        <v>2.13493782940402</v>
      </c>
      <c r="S32" s="30" t="n">
        <f aca="false">IF(S31=0,"cash positive",S29/S31)</f>
        <v>25.3533463500883</v>
      </c>
      <c r="T32" s="30" t="n">
        <f aca="false">IF(T31=0,"cash positive",T29/T31)</f>
        <v>23.4363045720937</v>
      </c>
      <c r="U32" s="30" t="n">
        <f aca="false">IF(U31=0,"cash positive",U29/U31)</f>
        <v>22.5415984621121</v>
      </c>
      <c r="V32" s="30" t="n">
        <f aca="false">IF(V31=0,"cash positive",V29/V31)</f>
        <v>21.7645861412316</v>
      </c>
      <c r="W32" s="30" t="n">
        <f aca="false">IF(W31=0,"cash positive",W29/W31)</f>
        <v>19.1631406484945</v>
      </c>
      <c r="X32" s="30" t="n">
        <f aca="false">IF(X31=0,"cash positive",X29/X31)</f>
        <v>16.3496883390064</v>
      </c>
      <c r="Y32" s="30" t="n">
        <f aca="false">IF(Y31=0,"cash positive",Y29/Y31)</f>
        <v>13.9460676008381</v>
      </c>
      <c r="Z32" s="30" t="n">
        <f aca="false">IF(Z31=0,"cash positive",Z29/Z31)</f>
        <v>13.3161006605929</v>
      </c>
      <c r="AA32" s="30" t="n">
        <f aca="false">IF(AA31=0,"cash positive",AA29/AA31)</f>
        <v>12.4352355185837</v>
      </c>
      <c r="AB32" s="30" t="n">
        <f aca="false">IF(AB31=0,"cash positive",AB29/AB31)</f>
        <v>12.0786196803742</v>
      </c>
      <c r="AC32" s="30" t="n">
        <f aca="false">IF(AC31=0,"cash positive",AC29/AC31)</f>
        <v>10.529507886598</v>
      </c>
      <c r="AD32" s="30" t="n">
        <f aca="false">IF(AD31=0,"cash positive",AD29/AD31)</f>
        <v>9.48218812400044</v>
      </c>
      <c r="AE32" s="30" t="n">
        <f aca="false">IF(AE31=0,"cash positive",AE29/AE31)</f>
        <v>8.37792005622953</v>
      </c>
      <c r="AF32" s="30" t="n">
        <f aca="false">IF(AF31=0,"cash positive",AF29/AF31)</f>
        <v>8.07926570161468</v>
      </c>
      <c r="AG32" s="30" t="n">
        <f aca="false">IF(AG31=0,"cash positive",AG29/AG31)</f>
        <v>7.58769892310462</v>
      </c>
      <c r="AH32" s="30" t="n">
        <f aca="false">IF(AH31=0,"cash positive",AH29/AH31)</f>
        <v>4.15545456462727</v>
      </c>
      <c r="AI32" s="30" t="n">
        <f aca="false">IF(AI31=0,"cash positive",AI29/AI31)</f>
        <v>3.23164230838654</v>
      </c>
      <c r="AJ32" s="30" t="n">
        <f aca="false">IF(AJ31=0,"cash positive",AJ29/AJ31)</f>
        <v>2.52406149054978</v>
      </c>
      <c r="AK32" s="30" t="n">
        <f aca="false">IF(AK31=0,"cash positive",AK29/AK31)</f>
        <v>25.7678857759989</v>
      </c>
      <c r="AL32" s="30" t="n">
        <f aca="false">IF(AL31=0,"cash positive",AL29/AL31)</f>
        <v>27.3329911437249</v>
      </c>
      <c r="AM32" s="30" t="n">
        <f aca="false">IF(AM31=0,"cash positive",AM29/AM31)</f>
        <v>28.4002712679957</v>
      </c>
      <c r="AN32" s="30" t="n">
        <f aca="false">IF(AN31=0,"cash positive",AN29/AN31)</f>
        <v>4.8225280524424</v>
      </c>
      <c r="AO32" s="30" t="n">
        <f aca="false">IF(AO31=0,"cash positive",AO29/AO31)</f>
        <v>3.18060111666889</v>
      </c>
      <c r="AP32" s="30" t="n">
        <f aca="false">IF(AP31=0,"cash positive",AP29/AP31)</f>
        <v>3.05211567325701</v>
      </c>
      <c r="AQ32" s="30" t="n">
        <f aca="false">IF(AQ31=0,"cash positive",AQ29/AQ31)</f>
        <v>8.12435438797393</v>
      </c>
      <c r="AR32" s="30" t="n">
        <f aca="false">IF(AR31=0,"cash positive",AR29/AR31)</f>
        <v>19.6509346024762</v>
      </c>
      <c r="AS32" s="30" t="n">
        <f aca="false">IF(AS31=0,"cash positive",AS29/AS31)</f>
        <v>22.4352311904447</v>
      </c>
      <c r="AT32" s="30" t="n">
        <f aca="false">IF(AT31=0,"cash positive",AT29/AT31)</f>
        <v>27.0177632551337</v>
      </c>
      <c r="AU32" s="30" t="n">
        <f aca="false">IF(AU31=0,"cash positive",AU29/AU31)</f>
        <v>25.4316032123868</v>
      </c>
      <c r="AV32" s="30" t="n">
        <f aca="false">IF(AV31=0,"cash positive",AV29/AV31)</f>
        <v>24.5567421524595</v>
      </c>
      <c r="AW32" s="30" t="n">
        <f aca="false">IF(AW31=0,"cash positive",AW29/AW31)</f>
        <v>24.0306918498295</v>
      </c>
      <c r="AX32" s="30" t="n">
        <f aca="false">IF(AX31=0,"cash positive",AX29/AX31)</f>
        <v>32.2340684794534</v>
      </c>
      <c r="AY32" s="30" t="n">
        <f aca="false">IF(AY31=0,"cash positive",AY29/AY31)</f>
        <v>51.2314445418531</v>
      </c>
      <c r="AZ32" s="30" t="n">
        <f aca="false">IF(AZ31=0,"cash positive",AZ29/AZ31)</f>
        <v>137.569211059232</v>
      </c>
      <c r="BA32" s="30" t="n">
        <f aca="false">IF(BA31=0,"cash positive",BA29/BA31)</f>
        <v>97.1380700816128</v>
      </c>
      <c r="BB32" s="30" t="n">
        <f aca="false">IF(BB31=0,"cash positive",BB29/BB31)</f>
        <v>123.172808102539</v>
      </c>
      <c r="BC32" s="30" t="n">
        <f aca="false">IF(BC31=0,"cash positive",BC29/BC31)</f>
        <v>168.330241206031</v>
      </c>
      <c r="BD32" s="30" t="str">
        <f aca="false">IF(BD31=0,"cash positive",BD29/BD31)</f>
        <v>cash positive</v>
      </c>
      <c r="BE32" s="30" t="str">
        <f aca="false">IF(BE31=0,"cash positive",BE29/BE31)</f>
        <v>cash positive</v>
      </c>
      <c r="BF32" s="30" t="str">
        <f aca="false">IF(BF31=0,"cash positive",BF29/BF31)</f>
        <v>cash positive</v>
      </c>
      <c r="BG32" s="30" t="str">
        <f aca="false">IF(BG31=0,"cash positive",BG29/BG31)</f>
        <v>cash positive</v>
      </c>
      <c r="BH32" s="30" t="str">
        <f aca="false">IF(BH31=0,"cash positive",BH29/BH31)</f>
        <v>cash positive</v>
      </c>
      <c r="BI32" s="30" t="str">
        <f aca="false">IF(BI31=0,"cash positive",BI29/BI31)</f>
        <v>cash positive</v>
      </c>
      <c r="BJ32" s="30" t="str">
        <f aca="false">IF(BJ31=0,"cash positive",BJ29/BJ31)</f>
        <v>cash positive</v>
      </c>
      <c r="BK32" s="30" t="str">
        <f aca="false">IF(BK31=0,"cash positive",BK29/BK31)</f>
        <v>cash positive</v>
      </c>
      <c r="BL32" s="30" t="str">
        <f aca="false">IF(BL31=0,"cash positive",BL29/BL31)</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s>
  <sheetData>
    <row r="1" customFormat="false" ht="17.35" hidden="false" customHeight="false" outlineLevel="0" collapsed="false">
      <c r="A1" s="7" t="s">
        <v>736</v>
      </c>
    </row>
    <row r="2" customFormat="false" ht="15" hidden="false" customHeight="false" outlineLevel="0" collapsed="false">
      <c r="A2" s="2" t="s">
        <v>737</v>
      </c>
    </row>
    <row r="4" customFormat="false" ht="15" hidden="false" customHeight="false" outlineLevel="0" collapsed="false">
      <c r="A4" s="0" t="s">
        <v>71</v>
      </c>
      <c r="D4" s="40" t="n">
        <v>1</v>
      </c>
      <c r="E4" s="40" t="n">
        <v>2</v>
      </c>
      <c r="F4" s="40" t="n">
        <v>3</v>
      </c>
      <c r="G4" s="40" t="n">
        <v>4</v>
      </c>
      <c r="H4" s="40" t="n">
        <v>5</v>
      </c>
    </row>
    <row r="7" customFormat="false" ht="15" hidden="false" customHeight="false" outlineLevel="0" collapsed="false">
      <c r="A7" s="10" t="s">
        <v>738</v>
      </c>
      <c r="B7" s="11"/>
      <c r="C7" s="11"/>
      <c r="D7" s="11"/>
      <c r="E7" s="11"/>
      <c r="F7" s="11"/>
      <c r="G7" s="11"/>
      <c r="H7" s="11"/>
    </row>
    <row r="8" customFormat="false" ht="15" hidden="false" customHeight="false" outlineLevel="0" collapsed="false">
      <c r="A8" s="12" t="s">
        <v>739</v>
      </c>
      <c r="B8" s="14" t="s">
        <v>154</v>
      </c>
      <c r="D8" s="33" t="n">
        <f aca="false">AVERAGEIF('Clients &amp; revenue'!$E$5:$BL$5,D$4,'Clients &amp; revenue'!$E$17:$BL$17)</f>
        <v>166.011032232381</v>
      </c>
      <c r="E8" s="33" t="n">
        <f aca="false">AVERAGEIF('Clients &amp; revenue'!$E$5:$BL$5,E$4,'Clients &amp; revenue'!$E$17:$BL$17)</f>
        <v>1131.27749718962</v>
      </c>
      <c r="F8" s="33" t="n">
        <f aca="false">AVERAGEIF('Clients &amp; revenue'!$E$5:$BL$5,F$4,'Clients &amp; revenue'!$E$17:$BL$17)</f>
        <v>3319.054475978</v>
      </c>
      <c r="G8" s="33" t="n">
        <f aca="false">AVERAGEIF('Clients &amp; revenue'!$E$5:$BL$5,G$4,'Clients &amp; revenue'!$E$17:$BL$17)</f>
        <v>6588.07382414055</v>
      </c>
      <c r="H8" s="33" t="n">
        <f aca="false">AVERAGEIF('Clients &amp; revenue'!$E$5:$BL$5,H$4,'Clients &amp; revenue'!$E$17:$BL$17)</f>
        <v>10495.1489536893</v>
      </c>
    </row>
    <row r="9" customFormat="false" ht="15" hidden="false" customHeight="false" outlineLevel="0" collapsed="false">
      <c r="A9" s="12" t="s">
        <v>552</v>
      </c>
      <c r="B9" s="14" t="s">
        <v>154</v>
      </c>
      <c r="D9" s="33" t="n">
        <f aca="false">SUMIF('Sales &amp; marketing'!$E$5:$BL$5,D$4,'Sales &amp; marketing'!$E$33:$BL$33)</f>
        <v>498.708012421807</v>
      </c>
      <c r="E9" s="33" t="n">
        <f aca="false">SUMIF('Sales &amp; marketing'!$E$5:$BL$5,E$4,'Sales &amp; marketing'!$E$33:$BL$33)</f>
        <v>1649.7331441726</v>
      </c>
      <c r="F9" s="33" t="n">
        <f aca="false">SUMIF('Sales &amp; marketing'!$E$5:$BL$5,F$4,'Sales &amp; marketing'!$E$33:$BL$33)</f>
        <v>3353.22387234443</v>
      </c>
      <c r="G9" s="33" t="n">
        <f aca="false">SUMIF('Sales &amp; marketing'!$E$5:$BL$5,G$4,'Sales &amp; marketing'!$E$33:$BL$33)</f>
        <v>4893.42608832767</v>
      </c>
      <c r="H9" s="33" t="n">
        <f aca="false">SUMIF('Sales &amp; marketing'!$E$5:$BL$5,H$4,'Sales &amp; marketing'!$E$33:$BL$33)</f>
        <v>5896.62267642127</v>
      </c>
    </row>
    <row r="10" customFormat="false" ht="15" hidden="false" customHeight="false" outlineLevel="0" collapsed="false">
      <c r="A10" s="12" t="s">
        <v>740</v>
      </c>
      <c r="B10" s="14" t="s">
        <v>154</v>
      </c>
      <c r="D10" s="33" t="n">
        <f aca="false">MAX(0,SUMIF('Sales &amp; marketing'!$E$5:$BL$5,D$4,'Sales &amp; marketing'!$E$33:$BL$33)-('P&amp;L annual'!D52-IF(D$4=1,0,INDEX('P&amp;L annual'!$D$52:$H$52,1,D$4-1))))</f>
        <v>24.9972300236671</v>
      </c>
      <c r="E10" s="33" t="n">
        <f aca="false">MAX(0,SUMIF('Sales &amp; marketing'!$E$5:$BL$5,E$4,'Sales &amp; marketing'!$E$33:$BL$33)-('P&amp;L annual'!E52-IF(E$4=1,0,INDEX('P&amp;L annual'!$D$52:$H$52,1,E$4-1))))</f>
        <v>198.731075985876</v>
      </c>
      <c r="F10" s="33" t="n">
        <f aca="false">MAX(0,SUMIF('Sales &amp; marketing'!$E$5:$BL$5,F$4,'Sales &amp; marketing'!$E$33:$BL$33)-('P&amp;L annual'!F52-IF(F$4=1,0,INDEX('P&amp;L annual'!$D$52:$H$52,1,F$4-1))))</f>
        <v>605.603790252141</v>
      </c>
      <c r="G10" s="33" t="n">
        <f aca="false">MAX(0,SUMIF('Sales &amp; marketing'!$E$5:$BL$5,G$4,'Sales &amp; marketing'!$E$33:$BL$33)-('P&amp;L annual'!G52-IF(G$4=1,0,INDEX('P&amp;L annual'!$D$52:$H$52,1,G$4-1))))</f>
        <v>1226.35613183902</v>
      </c>
      <c r="H10" s="33" t="n">
        <f aca="false">MAX(0,SUMIF('Sales &amp; marketing'!$E$5:$BL$5,H$4,'Sales &amp; marketing'!$E$33:$BL$33)-('P&amp;L annual'!H52-IF(H$4=1,0,INDEX('P&amp;L annual'!$D$52:$H$52,1,H$4-1))))</f>
        <v>1976.40078003487</v>
      </c>
    </row>
    <row r="12" customFormat="false" ht="15" hidden="false" customHeight="false" outlineLevel="0" collapsed="false">
      <c r="A12" s="10" t="s">
        <v>741</v>
      </c>
      <c r="B12" s="11"/>
      <c r="C12" s="11"/>
      <c r="D12" s="11"/>
      <c r="E12" s="11"/>
      <c r="F12" s="11"/>
      <c r="G12" s="11"/>
      <c r="H12" s="11"/>
    </row>
    <row r="13" customFormat="false" ht="15" hidden="false" customHeight="false" outlineLevel="0" collapsed="false">
      <c r="A13" s="8" t="s">
        <v>742</v>
      </c>
      <c r="B13" s="14" t="s">
        <v>180</v>
      </c>
      <c r="D13" s="16" t="n">
        <f aca="false">IFERROR('P&amp;L annual'!D17/D8/12,0)</f>
        <v>33672.8635006848</v>
      </c>
      <c r="E13" s="16" t="n">
        <f aca="false">IFERROR('P&amp;L annual'!E17/E8/12,0)</f>
        <v>43147.9683482616</v>
      </c>
      <c r="F13" s="16" t="n">
        <f aca="false">IFERROR('P&amp;L annual'!F17/F8/12,0)</f>
        <v>50034.0469639785</v>
      </c>
      <c r="G13" s="16" t="n">
        <f aca="false">IFERROR('P&amp;L annual'!G17/G8/12,0)</f>
        <v>55819.5678989652</v>
      </c>
      <c r="H13" s="16" t="n">
        <f aca="false">IFERROR('P&amp;L annual'!H17/H8/12,0)</f>
        <v>57446.3558836155</v>
      </c>
    </row>
    <row r="14" customFormat="false" ht="15" hidden="false" customHeight="false" outlineLevel="0" collapsed="false">
      <c r="A14" s="12" t="s">
        <v>743</v>
      </c>
      <c r="B14" s="14" t="s">
        <v>180</v>
      </c>
      <c r="D14" s="33" t="n">
        <f aca="false">IFERROR('P&amp;L annual'!D9/D8/12,0)</f>
        <v>7986.98001677862</v>
      </c>
      <c r="E14" s="33" t="n">
        <f aca="false">IFERROR('P&amp;L annual'!E9/E8/12,0)</f>
        <v>14891.5720827711</v>
      </c>
      <c r="F14" s="33" t="n">
        <f aca="false">IFERROR('P&amp;L annual'!F9/F8/12,0)</f>
        <v>17203.4135065975</v>
      </c>
      <c r="G14" s="33" t="n">
        <f aca="false">IFERROR('P&amp;L annual'!G9/G8/12,0)</f>
        <v>18801.2200898615</v>
      </c>
      <c r="H14" s="33" t="n">
        <f aca="false">IFERROR('P&amp;L annual'!H9/H8/12,0)</f>
        <v>20004.9589707663</v>
      </c>
    </row>
    <row r="15" customFormat="false" ht="15" hidden="false" customHeight="false" outlineLevel="0" collapsed="false">
      <c r="A15" s="12" t="s">
        <v>744</v>
      </c>
      <c r="B15" s="14" t="s">
        <v>180</v>
      </c>
      <c r="D15" s="33" t="n">
        <f aca="false">IFERROR('P&amp;L annual'!D25/D8/12,0)</f>
        <v>33580.6006092448</v>
      </c>
      <c r="E15" s="33" t="n">
        <f aca="false">IFERROR('P&amp;L annual'!E25/E8/12,0)</f>
        <v>31373.7320790016</v>
      </c>
      <c r="F15" s="33" t="n">
        <f aca="false">IFERROR('P&amp;L annual'!F25/F8/12,0)</f>
        <v>32714.959616768</v>
      </c>
      <c r="G15" s="33" t="n">
        <f aca="false">IFERROR('P&amp;L annual'!G25/G8/12,0)</f>
        <v>32643.3161187163</v>
      </c>
      <c r="H15" s="33" t="n">
        <f aca="false">IFERROR('P&amp;L annual'!H25/H8/12,0)</f>
        <v>32664.2357489591</v>
      </c>
    </row>
    <row r="16" customFormat="false" ht="15" hidden="false" customHeight="false" outlineLevel="0" collapsed="false">
      <c r="A16" s="8" t="s">
        <v>745</v>
      </c>
      <c r="B16" s="14" t="s">
        <v>180</v>
      </c>
      <c r="D16" s="16" t="n">
        <f aca="false">D13-D15</f>
        <v>92.2628914399465</v>
      </c>
      <c r="E16" s="16" t="n">
        <f aca="false">E13-E15</f>
        <v>11774.23626926</v>
      </c>
      <c r="F16" s="16" t="n">
        <f aca="false">F13-F15</f>
        <v>17319.0873472105</v>
      </c>
      <c r="G16" s="16" t="n">
        <f aca="false">G13-G15</f>
        <v>23176.2517802489</v>
      </c>
      <c r="H16" s="16" t="n">
        <f aca="false">H13-H15</f>
        <v>24782.1201346563</v>
      </c>
    </row>
    <row r="17" customFormat="false" ht="15" hidden="false" customHeight="false" outlineLevel="0" collapsed="false">
      <c r="A17" s="12" t="s">
        <v>746</v>
      </c>
      <c r="B17" s="14" t="s">
        <v>747</v>
      </c>
      <c r="D17" s="30" t="n">
        <f aca="false">D16/FX_EUR</f>
        <v>0.140653871275017</v>
      </c>
      <c r="E17" s="30" t="n">
        <f aca="false">E16/FX_EUR</f>
        <v>17.9497074796977</v>
      </c>
      <c r="F17" s="30" t="n">
        <f aca="false">F16/FX_EUR</f>
        <v>26.4027784553111</v>
      </c>
      <c r="G17" s="30" t="n">
        <f aca="false">G16/FX_EUR</f>
        <v>35.3319680714573</v>
      </c>
      <c r="H17" s="30" t="n">
        <f aca="false">H16/FX_EUR</f>
        <v>37.780098595878</v>
      </c>
    </row>
    <row r="19" customFormat="false" ht="15" hidden="false" customHeight="false" outlineLevel="0" collapsed="false">
      <c r="A19" s="10" t="s">
        <v>748</v>
      </c>
      <c r="B19" s="11"/>
      <c r="C19" s="11"/>
      <c r="D19" s="11"/>
      <c r="E19" s="11"/>
      <c r="F19" s="11"/>
      <c r="G19" s="11"/>
      <c r="H19" s="11"/>
    </row>
    <row r="20" customFormat="false" ht="15" hidden="false" customHeight="false" outlineLevel="0" collapsed="false">
      <c r="A20" s="12" t="s">
        <v>749</v>
      </c>
      <c r="B20" s="14" t="s">
        <v>63</v>
      </c>
      <c r="D20" s="33" t="n">
        <f aca="false">SUMIF('Sales &amp; marketing'!$E$5:$BL$5,D$4,'Sales &amp; marketing'!$E$45:$BL$45)+SUMIF('Sales &amp; marketing'!$E$5:$BL$5,D$4,'Sales &amp; marketing'!$E$48:$BL$48)</f>
        <v>97862301.6438785</v>
      </c>
      <c r="E20" s="33" t="n">
        <f aca="false">SUMIF('Sales &amp; marketing'!$E$5:$BL$5,E$4,'Sales &amp; marketing'!$E$45:$BL$45)+SUMIF('Sales &amp; marketing'!$E$5:$BL$5,E$4,'Sales &amp; marketing'!$E$48:$BL$48)</f>
        <v>187417322.204315</v>
      </c>
      <c r="F20" s="33" t="n">
        <f aca="false">SUMIF('Sales &amp; marketing'!$E$5:$BL$5,F$4,'Sales &amp; marketing'!$E$45:$BL$45)+SUMIF('Sales &amp; marketing'!$E$5:$BL$5,F$4,'Sales &amp; marketing'!$E$48:$BL$48)</f>
        <v>330253699.788611</v>
      </c>
      <c r="G20" s="33" t="n">
        <f aca="false">SUMIF('Sales &amp; marketing'!$E$5:$BL$5,G$4,'Sales &amp; marketing'!$E$45:$BL$45)+SUMIF('Sales &amp; marketing'!$E$5:$BL$5,G$4,'Sales &amp; marketing'!$E$48:$BL$48)</f>
        <v>435416794.563192</v>
      </c>
      <c r="H20" s="33" t="n">
        <f aca="false">SUMIF('Sales &amp; marketing'!$E$5:$BL$5,H$4,'Sales &amp; marketing'!$E$45:$BL$45)+SUMIF('Sales &amp; marketing'!$E$5:$BL$5,H$4,'Sales &amp; marketing'!$E$48:$BL$48)</f>
        <v>509825149.351932</v>
      </c>
    </row>
    <row r="21" customFormat="false" ht="15" hidden="false" customHeight="false" outlineLevel="0" collapsed="false">
      <c r="A21" s="8" t="s">
        <v>750</v>
      </c>
      <c r="B21" s="14" t="s">
        <v>63</v>
      </c>
      <c r="D21" s="16" t="n">
        <f aca="false">IFERROR(D20/D9,0)</f>
        <v>196231.661024741</v>
      </c>
      <c r="E21" s="16" t="n">
        <f aca="false">IFERROR(E20/E9,0)</f>
        <v>113604.629249485</v>
      </c>
      <c r="F21" s="16" t="n">
        <f aca="false">IFERROR(F20/F9,0)</f>
        <v>98488.4136464505</v>
      </c>
      <c r="G21" s="16" t="n">
        <f aca="false">IFERROR(G20/G9,0)</f>
        <v>88979.9471175819</v>
      </c>
      <c r="H21" s="16" t="n">
        <f aca="false">IFERROR(H20/H9,0)</f>
        <v>86460.5346702209</v>
      </c>
    </row>
    <row r="22" customFormat="false" ht="15" hidden="false" customHeight="false" outlineLevel="0" collapsed="false">
      <c r="A22" s="12" t="s">
        <v>751</v>
      </c>
      <c r="B22" s="14" t="s">
        <v>148</v>
      </c>
      <c r="D22" s="30" t="n">
        <f aca="false">IFERROR(D21/D16,0)</f>
        <v>2126.87525788705</v>
      </c>
      <c r="E22" s="30" t="n">
        <f aca="false">IFERROR(E21/E16,0)</f>
        <v>9.64857733881913</v>
      </c>
      <c r="F22" s="30" t="n">
        <f aca="false">IFERROR(F21/F16,0)</f>
        <v>5.68669766899199</v>
      </c>
      <c r="G22" s="30" t="n">
        <f aca="false">IFERROR(G21/G16,0)</f>
        <v>3.83927254334593</v>
      </c>
      <c r="H22" s="30" t="n">
        <f aca="false">IFERROR(H21/H16,0)</f>
        <v>3.48882719478512</v>
      </c>
    </row>
    <row r="23" customFormat="false" ht="15" hidden="false" customHeight="false" outlineLevel="0" collapsed="false">
      <c r="A23" s="12" t="s">
        <v>578</v>
      </c>
      <c r="B23" s="14" t="s">
        <v>163</v>
      </c>
      <c r="D23" s="34" t="n">
        <f aca="false">Mix_Petite*Churn_Petite+Mix_Moyenne*Churn_Moyenne+Mix_Grande*Churn_Grande</f>
        <v>0.0165</v>
      </c>
      <c r="E23" s="34" t="n">
        <f aca="false">Mix_Petite*Churn_Petite+Mix_Moyenne*Churn_Moyenne+Mix_Grande*Churn_Grande</f>
        <v>0.0165</v>
      </c>
      <c r="F23" s="34" t="n">
        <f aca="false">Mix_Petite*Churn_Petite+Mix_Moyenne*Churn_Moyenne+Mix_Grande*Churn_Grande</f>
        <v>0.0165</v>
      </c>
      <c r="G23" s="34" t="n">
        <f aca="false">Mix_Petite*Churn_Petite+Mix_Moyenne*Churn_Moyenne+Mix_Grande*Churn_Grande</f>
        <v>0.0165</v>
      </c>
      <c r="H23" s="34" t="n">
        <f aca="false">Mix_Petite*Churn_Petite+Mix_Moyenne*Churn_Moyenne+Mix_Grande*Churn_Grande</f>
        <v>0.0165</v>
      </c>
    </row>
    <row r="24" customFormat="false" ht="15" hidden="false" customHeight="false" outlineLevel="0" collapsed="false">
      <c r="A24" s="12" t="s">
        <v>752</v>
      </c>
      <c r="B24" s="14" t="s">
        <v>63</v>
      </c>
      <c r="D24" s="33" t="n">
        <f aca="false">IFERROR(D16/D23,0)</f>
        <v>5591.69039029979</v>
      </c>
      <c r="E24" s="33" t="n">
        <f aca="false">IFERROR(E16/E23,0)</f>
        <v>713590.076924851</v>
      </c>
      <c r="F24" s="33" t="n">
        <f aca="false">IFERROR(F16/F23,0)</f>
        <v>1049641.6574067</v>
      </c>
      <c r="G24" s="33" t="n">
        <f aca="false">IFERROR(G16/G23,0)</f>
        <v>1404621.32001509</v>
      </c>
      <c r="H24" s="33" t="n">
        <f aca="false">IFERROR(H16/H23,0)</f>
        <v>1501946.67482766</v>
      </c>
    </row>
    <row r="25" customFormat="false" ht="15" hidden="false" customHeight="false" outlineLevel="0" collapsed="false">
      <c r="A25" s="12" t="s">
        <v>753</v>
      </c>
      <c r="B25" s="14" t="s">
        <v>157</v>
      </c>
      <c r="D25" s="49" t="n">
        <f aca="false">IFERROR(D24/D21,0)</f>
        <v>0.02849535269232</v>
      </c>
      <c r="E25" s="49" t="n">
        <f aca="false">IFERROR(E24/E21,0)</f>
        <v>6.28134682221224</v>
      </c>
      <c r="F25" s="49" t="n">
        <f aca="false">IFERROR(F24/F21,0)</f>
        <v>10.6575141028736</v>
      </c>
      <c r="G25" s="49" t="n">
        <f aca="false">IFERROR(G24/G21,0)</f>
        <v>15.785818777336</v>
      </c>
      <c r="H25" s="49" t="n">
        <f aca="false">IFERROR(H24/H21,0)</f>
        <v>17.3714710481077</v>
      </c>
    </row>
    <row r="27" customFormat="false" ht="15" hidden="false" customHeight="false" outlineLevel="0" collapsed="false">
      <c r="A27" s="10" t="s">
        <v>754</v>
      </c>
      <c r="B27" s="11"/>
      <c r="C27" s="11"/>
      <c r="D27" s="11"/>
      <c r="E27" s="11"/>
      <c r="F27" s="11"/>
      <c r="G27" s="11"/>
      <c r="H27" s="11"/>
    </row>
    <row r="28" customFormat="false" ht="15" hidden="false" customHeight="false" outlineLevel="0" collapsed="false">
      <c r="A28" s="12" t="s">
        <v>74</v>
      </c>
      <c r="B28" s="14" t="s">
        <v>222</v>
      </c>
      <c r="D28" s="33" t="n">
        <f aca="false">'P&amp;L annual'!D56</f>
        <v>22</v>
      </c>
      <c r="E28" s="33" t="n">
        <f aca="false">'P&amp;L annual'!E56</f>
        <v>46</v>
      </c>
      <c r="F28" s="33" t="n">
        <f aca="false">'P&amp;L annual'!F56</f>
        <v>66</v>
      </c>
      <c r="G28" s="33" t="n">
        <f aca="false">'P&amp;L annual'!G56</f>
        <v>86</v>
      </c>
      <c r="H28" s="33" t="n">
        <f aca="false">'P&amp;L annual'!H56</f>
        <v>97</v>
      </c>
    </row>
    <row r="29" customFormat="false" ht="15" hidden="false" customHeight="false" outlineLevel="0" collapsed="false">
      <c r="A29" s="12" t="s">
        <v>755</v>
      </c>
      <c r="B29" s="14" t="s">
        <v>63</v>
      </c>
      <c r="D29" s="33" t="n">
        <f aca="false">IFERROR('P&amp;L annual'!D17/D28,0)</f>
        <v>3049127.36071022</v>
      </c>
      <c r="E29" s="33" t="n">
        <f aca="false">IFERROR('P&amp;L annual'!E17/E28,0)</f>
        <v>12733650.1674361</v>
      </c>
      <c r="F29" s="33" t="n">
        <f aca="false">IFERROR('P&amp;L annual'!F17/F28,0)</f>
        <v>30193768.6412883</v>
      </c>
      <c r="G29" s="33" t="n">
        <f aca="false">IFERROR('P&amp;L annual'!G17/G28,0)</f>
        <v>51313037.3232571</v>
      </c>
      <c r="H29" s="33" t="n">
        <f aca="false">IFERROR('P&amp;L annual'!H17/H28,0)</f>
        <v>74586564.3519824</v>
      </c>
    </row>
    <row r="30" customFormat="false" ht="15" hidden="false" customHeight="false" outlineLevel="0" collapsed="false">
      <c r="A30" s="12" t="s">
        <v>756</v>
      </c>
      <c r="B30" s="14" t="s">
        <v>115</v>
      </c>
      <c r="D30" s="45" t="n">
        <f aca="false">IFERROR('P&amp;L annual'!D30/'P&amp;L annual'!D17,0)</f>
        <v>4.00627013361048</v>
      </c>
      <c r="E30" s="45" t="n">
        <f aca="false">IFERROR('P&amp;L annual'!E30/'P&amp;L annual'!E17,0)</f>
        <v>0.822771638554678</v>
      </c>
      <c r="F30" s="45" t="n">
        <f aca="false">IFERROR('P&amp;L annual'!F30/'P&amp;L annual'!F17,0)</f>
        <v>0.360935344321565</v>
      </c>
      <c r="G30" s="45" t="n">
        <f aca="false">IFERROR('P&amp;L annual'!G30/'P&amp;L annual'!G17,0)</f>
        <v>0.206666929916546</v>
      </c>
      <c r="H30" s="45" t="n">
        <f aca="false">IFERROR('P&amp;L annual'!H30/'P&amp;L annual'!H17,0)</f>
        <v>0.155861037020938</v>
      </c>
    </row>
    <row r="31" customFormat="false" ht="15" hidden="false" customHeight="false" outlineLevel="0" collapsed="false">
      <c r="A31" s="12" t="s">
        <v>757</v>
      </c>
      <c r="B31" s="14" t="s">
        <v>154</v>
      </c>
      <c r="D31" s="30" t="n">
        <f aca="false">IFERROR(D9/(INDEX(Staff!$E$182:$BL$182,1,D$4*12)+INDEX(Staff!$E$183:$BL$183,1,D$4*12)),0)</f>
        <v>124.677003105452</v>
      </c>
      <c r="E31" s="30" t="n">
        <f aca="false">IFERROR(E9/(INDEX(Staff!$E$182:$BL$182,1,E$4*12)+INDEX(Staff!$E$183:$BL$183,1,E$4*12)),0)</f>
        <v>149.975740379327</v>
      </c>
      <c r="F31" s="30" t="n">
        <f aca="false">IFERROR(F9/(INDEX(Staff!$E$182:$BL$182,1,F$4*12)+INDEX(Staff!$E$183:$BL$183,1,F$4*12)),0)</f>
        <v>186.290215130246</v>
      </c>
      <c r="G31" s="30" t="n">
        <f aca="false">IFERROR(G9/(INDEX(Staff!$E$182:$BL$182,1,G$4*12)+INDEX(Staff!$E$183:$BL$183,1,G$4*12)),0)</f>
        <v>195.737043533107</v>
      </c>
      <c r="H31" s="30" t="n">
        <f aca="false">IFERROR(H9/(INDEX(Staff!$E$182:$BL$182,1,H$4*12)+INDEX(Staff!$E$183:$BL$183,1,H$4*12)),0)</f>
        <v>235.864907056851</v>
      </c>
    </row>
    <row r="33" customFormat="false" ht="15" hidden="false" customHeight="false" outlineLevel="0" collapsed="false">
      <c r="A33" s="10" t="s">
        <v>24</v>
      </c>
      <c r="B33" s="11"/>
      <c r="C33" s="11"/>
      <c r="D33" s="11"/>
      <c r="E33" s="11"/>
      <c r="F33" s="11"/>
      <c r="G33" s="11"/>
      <c r="H33" s="11"/>
    </row>
    <row r="34" customFormat="false" ht="15" hidden="false" customHeight="false" outlineLevel="0" collapsed="false">
      <c r="A34" s="12" t="s">
        <v>758</v>
      </c>
      <c r="B34" s="14" t="s">
        <v>115</v>
      </c>
      <c r="D34" s="45" t="n">
        <f aca="false">IFERROR('P&amp;L annual'!D16/'P&amp;L annual'!D17,0)</f>
        <v>0.00071762443547465</v>
      </c>
      <c r="E34" s="45" t="n">
        <f aca="false">IFERROR('P&amp;L annual'!E16/'P&amp;L annual'!E17,0)</f>
        <v>0.0435685700095909</v>
      </c>
      <c r="F34" s="45" t="n">
        <f aca="false">IFERROR('P&amp;L annual'!F16/'P&amp;L annual'!F17,0)</f>
        <v>0.0683724893867618</v>
      </c>
      <c r="G34" s="45" t="n">
        <f aca="false">IFERROR('P&amp;L annual'!G16/'P&amp;L annual'!G17,0)</f>
        <v>0.127543482522754</v>
      </c>
      <c r="H34" s="45" t="n">
        <f aca="false">IFERROR('P&amp;L annual'!H16/'P&amp;L annual'!H17,0)</f>
        <v>0.124975099173878</v>
      </c>
    </row>
    <row r="35" customFormat="false" ht="15" hidden="false" customHeight="false" outlineLevel="0" collapsed="false">
      <c r="A35" s="12" t="s">
        <v>759</v>
      </c>
      <c r="B35" s="14" t="s">
        <v>63</v>
      </c>
      <c r="D35" s="33" t="n">
        <f aca="false">IFERROR('P&amp;L annual'!D57/'P&amp;L annual'!D52,0)</f>
        <v>42741.6846372667</v>
      </c>
      <c r="E35" s="33" t="n">
        <f aca="false">IFERROR('P&amp;L annual'!E57/'P&amp;L annual'!E52,0)</f>
        <v>696686.34154079</v>
      </c>
      <c r="F35" s="33" t="n">
        <f aca="false">IFERROR('P&amp;L annual'!F57/'P&amp;L annual'!F52,0)</f>
        <v>833768.413141731</v>
      </c>
      <c r="G35" s="33" t="n">
        <f aca="false">IFERROR('P&amp;L annual'!G57/'P&amp;L annual'!G52,0)</f>
        <v>834213.064976372</v>
      </c>
      <c r="H35" s="33" t="n">
        <f aca="false">IFERROR('P&amp;L annual'!H57/'P&amp;L annual'!H52,0)</f>
        <v>834718.900932769</v>
      </c>
    </row>
    <row r="36" customFormat="false" ht="15" hidden="false" customHeight="false" outlineLevel="0" collapsed="false">
      <c r="A36" s="12" t="s">
        <v>760</v>
      </c>
      <c r="B36" s="14" t="s">
        <v>115</v>
      </c>
      <c r="D36" s="45" t="n">
        <f aca="false">IFERROR('P&amp;L annual'!D12/'P&amp;L annual'!D17,0)</f>
        <v>0.330009448799603</v>
      </c>
      <c r="E36" s="45" t="n">
        <f aca="false">IFERROR('P&amp;L annual'!E12/'P&amp;L annual'!E17,0)</f>
        <v>0.261795949127131</v>
      </c>
      <c r="F36" s="45" t="n">
        <f aca="false">IFERROR('P&amp;L annual'!F12/'P&amp;L annual'!F17,0)</f>
        <v>0.228880171663962</v>
      </c>
      <c r="G36" s="45" t="n">
        <f aca="false">IFERROR('P&amp;L annual'!G12/'P&amp;L annual'!G17,0)</f>
        <v>0.208266274215963</v>
      </c>
      <c r="H36" s="45" t="n">
        <f aca="false">IFERROR('P&amp;L annual'!H12/'P&amp;L annual'!H17,0)</f>
        <v>0.205654206683656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36</v>
      </c>
    </row>
    <row r="2" customFormat="false" ht="15" hidden="false" customHeight="false" outlineLevel="0" collapsed="false">
      <c r="A2" s="2" t="s">
        <v>761</v>
      </c>
    </row>
    <row r="5" customFormat="false" ht="15" hidden="false" customHeight="false" outlineLevel="0" collapsed="false">
      <c r="A5" s="24" t="s">
        <v>762</v>
      </c>
      <c r="B5" s="24" t="s">
        <v>101</v>
      </c>
      <c r="C5" s="24"/>
      <c r="D5" s="24" t="s">
        <v>763</v>
      </c>
      <c r="E5" s="24"/>
      <c r="F5" s="24"/>
      <c r="G5" s="24"/>
      <c r="H5" s="24"/>
      <c r="I5" s="24" t="s">
        <v>106</v>
      </c>
    </row>
    <row r="6" customFormat="false" ht="15" hidden="false" customHeight="false" outlineLevel="0" collapsed="false">
      <c r="A6" s="12" t="s">
        <v>764</v>
      </c>
      <c r="B6" s="14" t="s">
        <v>765</v>
      </c>
      <c r="D6" s="27" t="n">
        <v>40300</v>
      </c>
      <c r="I6" s="14" t="s">
        <v>766</v>
      </c>
    </row>
    <row r="7" customFormat="false" ht="15" hidden="false" customHeight="false" outlineLevel="0" collapsed="false">
      <c r="A7" s="12" t="s">
        <v>767</v>
      </c>
      <c r="B7" s="14" t="s">
        <v>118</v>
      </c>
      <c r="D7" s="28" t="n">
        <v>0.049</v>
      </c>
      <c r="I7" s="14" t="s">
        <v>768</v>
      </c>
    </row>
    <row r="8" customFormat="false" ht="15" hidden="false" customHeight="false" outlineLevel="0" collapsed="false">
      <c r="A8" s="12" t="s">
        <v>769</v>
      </c>
      <c r="B8" s="14" t="s">
        <v>222</v>
      </c>
      <c r="D8" s="27" t="n">
        <v>577171</v>
      </c>
      <c r="I8" s="14" t="s">
        <v>770</v>
      </c>
    </row>
    <row r="9" customFormat="false" ht="15" hidden="false" customHeight="false" outlineLevel="0" collapsed="false">
      <c r="A9" s="12" t="s">
        <v>771</v>
      </c>
      <c r="B9" s="14" t="s">
        <v>772</v>
      </c>
      <c r="D9" s="27" t="n">
        <v>26000</v>
      </c>
      <c r="I9" s="14" t="s">
        <v>773</v>
      </c>
    </row>
    <row r="10" customFormat="false" ht="15" hidden="false" customHeight="false" outlineLevel="0" collapsed="false">
      <c r="A10" s="12" t="s">
        <v>774</v>
      </c>
      <c r="B10" s="14" t="s">
        <v>775</v>
      </c>
      <c r="D10" s="27" t="n">
        <v>407882</v>
      </c>
      <c r="I10" s="14" t="s">
        <v>776</v>
      </c>
    </row>
    <row r="11" customFormat="false" ht="15" hidden="false" customHeight="false" outlineLevel="0" collapsed="false">
      <c r="A11" s="12" t="s">
        <v>777</v>
      </c>
      <c r="B11" s="14" t="s">
        <v>115</v>
      </c>
      <c r="D11" s="28" t="n">
        <v>0.5</v>
      </c>
      <c r="I11" s="14" t="s">
        <v>778</v>
      </c>
    </row>
    <row r="13" customFormat="false" ht="15" hidden="false" customHeight="false" outlineLevel="0" collapsed="false">
      <c r="A13" s="24" t="s">
        <v>779</v>
      </c>
      <c r="B13" s="24" t="s">
        <v>101</v>
      </c>
      <c r="C13" s="24"/>
      <c r="D13" s="24" t="s">
        <v>763</v>
      </c>
      <c r="E13" s="24"/>
      <c r="F13" s="24"/>
      <c r="G13" s="24"/>
      <c r="H13" s="24"/>
      <c r="I13" s="24" t="s">
        <v>106</v>
      </c>
    </row>
    <row r="14" customFormat="false" ht="15" hidden="false" customHeight="false" outlineLevel="0" collapsed="false">
      <c r="A14" s="12" t="s">
        <v>780</v>
      </c>
      <c r="B14" s="14" t="s">
        <v>765</v>
      </c>
      <c r="D14" s="27" t="n">
        <v>60000</v>
      </c>
      <c r="I14" s="14" t="s">
        <v>781</v>
      </c>
    </row>
    <row r="15" customFormat="false" ht="15" hidden="false" customHeight="false" outlineLevel="0" collapsed="false">
      <c r="A15" s="12" t="s">
        <v>767</v>
      </c>
      <c r="B15" s="14" t="s">
        <v>118</v>
      </c>
      <c r="D15" s="28" t="n">
        <v>0.05</v>
      </c>
      <c r="I15" s="14" t="s">
        <v>782</v>
      </c>
    </row>
    <row r="16" customFormat="false" ht="15" hidden="false" customHeight="false" outlineLevel="0" collapsed="false">
      <c r="A16" s="12" t="s">
        <v>783</v>
      </c>
      <c r="B16" s="14" t="s">
        <v>772</v>
      </c>
      <c r="D16" s="27" t="n">
        <v>26948</v>
      </c>
      <c r="I16" s="14" t="s">
        <v>784</v>
      </c>
    </row>
    <row r="17" customFormat="false" ht="15" hidden="false" customHeight="false" outlineLevel="0" collapsed="false">
      <c r="A17" s="12" t="s">
        <v>785</v>
      </c>
      <c r="B17" s="14" t="s">
        <v>115</v>
      </c>
      <c r="D17" s="28" t="n">
        <v>0.5</v>
      </c>
      <c r="I17" s="14" t="s">
        <v>786</v>
      </c>
    </row>
    <row r="19" customFormat="false" ht="15" hidden="false" customHeight="false" outlineLevel="0" collapsed="false">
      <c r="A19" s="24" t="s">
        <v>787</v>
      </c>
      <c r="B19" s="24" t="s">
        <v>101</v>
      </c>
      <c r="C19" s="24"/>
      <c r="D19" s="24" t="s">
        <v>788</v>
      </c>
      <c r="E19" s="24" t="s">
        <v>789</v>
      </c>
      <c r="F19" s="24" t="s">
        <v>790</v>
      </c>
      <c r="G19" s="24" t="s">
        <v>791</v>
      </c>
      <c r="H19" s="24" t="s">
        <v>792</v>
      </c>
      <c r="I19" s="24" t="s">
        <v>106</v>
      </c>
    </row>
    <row r="20" customFormat="false" ht="15" hidden="false" customHeight="false" outlineLevel="0" collapsed="false">
      <c r="A20" s="12" t="s">
        <v>793</v>
      </c>
      <c r="B20" s="14" t="s">
        <v>765</v>
      </c>
      <c r="D20" s="33" t="n">
        <f aca="false">$D$6*(1+$D$7)^(YEAR(Start_Date)+0-2024)</f>
        <v>46519.1221547</v>
      </c>
      <c r="E20" s="33" t="n">
        <f aca="false">$D$6*(1+$D$7)^(YEAR(Start_Date)+1-2024)</f>
        <v>48798.5591402803</v>
      </c>
      <c r="F20" s="33" t="n">
        <f aca="false">$D$6*(1+$D$7)^(YEAR(Start_Date)+2-2024)</f>
        <v>51189.688538154</v>
      </c>
      <c r="G20" s="33" t="n">
        <f aca="false">$D$6*(1+$D$7)^(YEAR(Start_Date)+3-2024)</f>
        <v>53697.9832765236</v>
      </c>
      <c r="H20" s="33" t="n">
        <f aca="false">$D$6*(1+$D$7)^(YEAR(Start_Date)+4-2024)</f>
        <v>56329.1844570732</v>
      </c>
    </row>
    <row r="21" customFormat="false" ht="15" hidden="false" customHeight="false" outlineLevel="0" collapsed="false">
      <c r="A21" s="8" t="s">
        <v>794</v>
      </c>
      <c r="B21" s="14" t="s">
        <v>765</v>
      </c>
      <c r="D21" s="16" t="n">
        <f aca="false">D20*$D$11</f>
        <v>23259.56107735</v>
      </c>
      <c r="E21" s="16" t="n">
        <f aca="false">E20*$D$11</f>
        <v>24399.2795701401</v>
      </c>
      <c r="F21" s="16" t="n">
        <f aca="false">F20*$D$11</f>
        <v>25594.844269077</v>
      </c>
      <c r="G21" s="16" t="n">
        <f aca="false">G20*$D$11</f>
        <v>26848.9916382618</v>
      </c>
      <c r="H21" s="16" t="n">
        <f aca="false">H20*$D$11</f>
        <v>28164.5922285366</v>
      </c>
    </row>
    <row r="22" customFormat="false" ht="15" hidden="false" customHeight="false" outlineLevel="0" collapsed="false">
      <c r="A22" s="12" t="s">
        <v>795</v>
      </c>
      <c r="B22" s="14" t="s">
        <v>154</v>
      </c>
      <c r="D22" s="33" t="n">
        <f aca="false">'P&amp;L annual'!D53</f>
        <v>473.65517013683</v>
      </c>
      <c r="E22" s="33" t="n">
        <f aca="false">'P&amp;L annual'!E53</f>
        <v>1651.9571470641</v>
      </c>
      <c r="F22" s="33" t="n">
        <f aca="false">'P&amp;L annual'!F53</f>
        <v>3500.43061963583</v>
      </c>
      <c r="G22" s="33" t="n">
        <f aca="false">'P&amp;L annual'!G53</f>
        <v>5893.55594322978</v>
      </c>
      <c r="H22" s="33" t="n">
        <f aca="false">'P&amp;L annual'!H53</f>
        <v>8227.22243366776</v>
      </c>
    </row>
    <row r="23" customFormat="false" ht="15" hidden="false" customHeight="false" outlineLevel="0" collapsed="false">
      <c r="A23" s="8" t="s">
        <v>796</v>
      </c>
      <c r="B23" s="14" t="s">
        <v>115</v>
      </c>
      <c r="D23" s="50" t="n">
        <f aca="false">IFERROR(D22/D21,0)</f>
        <v>0.0203638911569175</v>
      </c>
      <c r="E23" s="50" t="n">
        <f aca="false">IFERROR(E22/E21,0)</f>
        <v>0.0677051608149022</v>
      </c>
      <c r="F23" s="50" t="n">
        <f aca="false">IFERROR(F22/F21,0)</f>
        <v>0.13676311458808</v>
      </c>
      <c r="G23" s="50" t="n">
        <f aca="false">IFERROR(G22/G21,0)</f>
        <v>0.219507533937738</v>
      </c>
      <c r="H23" s="50" t="n">
        <f aca="false">IFERROR(H22/H21,0)</f>
        <v>0.292112250974891</v>
      </c>
    </row>
    <row r="24" customFormat="false" ht="15" hidden="false" customHeight="false" outlineLevel="0" collapsed="false">
      <c r="A24" s="12" t="s">
        <v>797</v>
      </c>
      <c r="B24" s="14" t="s">
        <v>765</v>
      </c>
      <c r="D24" s="33" t="n">
        <f aca="false">$D$14*(1+$D$15)^(YEAR(Start_Date)+0-2024)</f>
        <v>69457.5</v>
      </c>
      <c r="E24" s="33" t="n">
        <f aca="false">$D$14*(1+$D$15)^(YEAR(Start_Date)+1-2024)</f>
        <v>72930.375</v>
      </c>
      <c r="F24" s="33" t="n">
        <f aca="false">$D$14*(1+$D$15)^(YEAR(Start_Date)+2-2024)</f>
        <v>76576.89375</v>
      </c>
      <c r="G24" s="33" t="n">
        <f aca="false">$D$14*(1+$D$15)^(YEAR(Start_Date)+3-2024)</f>
        <v>80405.7384375</v>
      </c>
      <c r="H24" s="33" t="n">
        <f aca="false">$D$14*(1+$D$15)^(YEAR(Start_Date)+4-2024)</f>
        <v>84426.025359375</v>
      </c>
    </row>
    <row r="25" customFormat="false" ht="15" hidden="false" customHeight="false" outlineLevel="0" collapsed="false">
      <c r="A25" s="8" t="s">
        <v>798</v>
      </c>
      <c r="B25" s="14" t="s">
        <v>765</v>
      </c>
      <c r="D25" s="16" t="n">
        <f aca="false">D24*$D$17</f>
        <v>34728.75</v>
      </c>
      <c r="E25" s="16" t="n">
        <f aca="false">E24*$D$17</f>
        <v>36465.1875</v>
      </c>
      <c r="F25" s="16" t="n">
        <f aca="false">F24*$D$17</f>
        <v>38288.446875</v>
      </c>
      <c r="G25" s="16" t="n">
        <f aca="false">G24*$D$17</f>
        <v>40202.86921875</v>
      </c>
      <c r="H25" s="16" t="n">
        <f aca="false">H24*$D$17</f>
        <v>42213.0126796875</v>
      </c>
    </row>
    <row r="26" customFormat="false" ht="15" hidden="false" customHeight="false" outlineLevel="0" collapsed="false">
      <c r="A26" s="12" t="s">
        <v>799</v>
      </c>
      <c r="B26" s="14" t="s">
        <v>154</v>
      </c>
      <c r="D26" s="33" t="n">
        <f aca="false">'P&amp;L annual'!D54</f>
        <v>0</v>
      </c>
      <c r="E26" s="33" t="n">
        <f aca="false">'P&amp;L annual'!E54</f>
        <v>271.465239895432</v>
      </c>
      <c r="F26" s="33" t="n">
        <f aca="false">'P&amp;L annual'!F54</f>
        <v>1165.03118703942</v>
      </c>
      <c r="G26" s="33" t="n">
        <f aca="false">'P&amp;L annual'!G54</f>
        <v>2423.92450445685</v>
      </c>
      <c r="H26" s="33" t="n">
        <f aca="false">'P&amp;L annual'!H54</f>
        <v>3980.31253551417</v>
      </c>
    </row>
    <row r="27" customFormat="false" ht="15" hidden="false" customHeight="false" outlineLevel="0" collapsed="false">
      <c r="A27" s="8" t="s">
        <v>800</v>
      </c>
      <c r="B27" s="14" t="s">
        <v>115</v>
      </c>
      <c r="D27" s="50" t="n">
        <f aca="false">IFERROR(D26/D25,0)</f>
        <v>0</v>
      </c>
      <c r="E27" s="50" t="n">
        <f aca="false">IFERROR(E26/E25,0)</f>
        <v>0.00744450415606478</v>
      </c>
      <c r="F27" s="50" t="n">
        <f aca="false">IFERROR(F26/F25,0)</f>
        <v>0.0304277473265732</v>
      </c>
      <c r="G27" s="50" t="n">
        <f aca="false">IFERROR(G26/G25,0)</f>
        <v>0.0602923261836836</v>
      </c>
      <c r="H27" s="50" t="n">
        <f aca="false">IFERROR(H26/H25,0)</f>
        <v>0.0942911269024269</v>
      </c>
    </row>
    <row r="28" customFormat="false" ht="15" hidden="false" customHeight="false" outlineLevel="0" collapsed="false">
      <c r="A28" s="12" t="s">
        <v>801</v>
      </c>
      <c r="B28" s="14" t="s">
        <v>115</v>
      </c>
      <c r="D28" s="34" t="n">
        <f aca="false">IFERROR('P&amp;L annual'!D58/$D$8,0)</f>
        <v>0.00375905202143608</v>
      </c>
      <c r="E28" s="34" t="n">
        <f aca="false">IFERROR('P&amp;L annual'!E58/$D$8,0)</f>
        <v>0.0155752229397201</v>
      </c>
      <c r="F28" s="34" t="n">
        <f aca="false">IFERROR('P&amp;L annual'!F58/$D$8,0)</f>
        <v>0.03848216195186</v>
      </c>
      <c r="G28" s="34" t="n">
        <f aca="false">IFERROR('P&amp;L annual'!G58/$D$8,0)</f>
        <v>0.0699697330668075</v>
      </c>
      <c r="H28" s="34" t="n">
        <f aca="false">IFERROR('P&amp;L annual'!H58/$D$8,0)</f>
        <v>0.10501028310396</v>
      </c>
    </row>
    <row r="30" customFormat="false" ht="15" hidden="false" customHeight="false" outlineLevel="0" collapsed="false">
      <c r="A30" s="24" t="s">
        <v>802</v>
      </c>
      <c r="B30" s="24" t="s">
        <v>101</v>
      </c>
      <c r="C30" s="24"/>
      <c r="D30" s="24" t="s">
        <v>763</v>
      </c>
      <c r="E30" s="24"/>
      <c r="F30" s="24"/>
      <c r="G30" s="24"/>
      <c r="H30" s="24"/>
      <c r="I30" s="24" t="s">
        <v>106</v>
      </c>
    </row>
    <row r="31" customFormat="false" ht="15" hidden="false" customHeight="false" outlineLevel="0" collapsed="false">
      <c r="A31" s="12" t="s">
        <v>803</v>
      </c>
      <c r="B31" s="14" t="s">
        <v>180</v>
      </c>
      <c r="D31" s="27" t="n">
        <v>15000</v>
      </c>
      <c r="I31" s="14" t="s">
        <v>804</v>
      </c>
    </row>
    <row r="32" customFormat="false" ht="15" hidden="false" customHeight="false" outlineLevel="0" collapsed="false">
      <c r="A32" s="12" t="s">
        <v>805</v>
      </c>
      <c r="B32" s="14" t="s">
        <v>376</v>
      </c>
      <c r="D32" s="33" t="n">
        <f aca="false">D21*D31*12</f>
        <v>4186720993.923</v>
      </c>
      <c r="I32" s="14" t="s">
        <v>806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2026-10-12T15:21:51Z</dcterms:created>
  <dc:creator>openpyxl</dc:creator>
  <dc:description/>
  <dc:language>en-US</dc:language>
  <cp:lastModifiedBy/>
  <dcterms:modified xsi:type="dcterms:W3CDTF">2026-10-12T15:21:54Z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